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44" firstSheet="3" activeTab="5" autoFilterDateGrouping="1"/>
  </bookViews>
  <sheets>
    <sheet xmlns:r="http://schemas.openxmlformats.org/officeDocument/2006/relationships" name="Matlab_Data_VALOR" sheetId="1" state="visible" r:id="rId1"/>
    <sheet xmlns:r="http://schemas.openxmlformats.org/officeDocument/2006/relationships" name="Estado da arte_VALOR" sheetId="2" state="visible" r:id="rId2"/>
    <sheet xmlns:r="http://schemas.openxmlformats.org/officeDocument/2006/relationships" name="Main_variables_VALOR" sheetId="3" state="visible" r:id="rId3"/>
    <sheet xmlns:r="http://schemas.openxmlformats.org/officeDocument/2006/relationships" name="Matlab_Data" sheetId="4" state="visible" r:id="rId4"/>
    <sheet xmlns:r="http://schemas.openxmlformats.org/officeDocument/2006/relationships" name="Estado da arte" sheetId="5" state="visible" r:id="rId5"/>
    <sheet xmlns:r="http://schemas.openxmlformats.org/officeDocument/2006/relationships" name="Main_variables" sheetId="6" state="visible" r:id="rId6"/>
    <sheet xmlns:r="http://schemas.openxmlformats.org/officeDocument/2006/relationships" name="Factories_WIP" sheetId="7" state="visible" r:id="rId7"/>
    <sheet xmlns:r="http://schemas.openxmlformats.org/officeDocument/2006/relationships" name="Supp_Fourth_central_moment_5var" sheetId="8" state="visible" r:id="rId8"/>
    <sheet xmlns:r="http://schemas.openxmlformats.org/officeDocument/2006/relationships" name="Fac_Fourth_central_moment_5var" sheetId="9" state="visible" r:id="rId9"/>
    <sheet xmlns:r="http://schemas.openxmlformats.org/officeDocument/2006/relationships" name="Results" sheetId="10" state="visible" r:id="rId10"/>
    <sheet xmlns:r="http://schemas.openxmlformats.org/officeDocument/2006/relationships" name="Demand" sheetId="11" state="visible" r:id="rId11"/>
    <sheet xmlns:r="http://schemas.openxmlformats.org/officeDocument/2006/relationships" name="Planned_Beginning_stock " sheetId="12" state="visible" r:id="rId12"/>
    <sheet xmlns:r="http://schemas.openxmlformats.org/officeDocument/2006/relationships" name="Beginning_stock" sheetId="13" state="visible" r:id="rId13"/>
    <sheet xmlns:r="http://schemas.openxmlformats.org/officeDocument/2006/relationships" name="Suppliers_stock_balance" sheetId="14" state="visible" r:id="rId14"/>
    <sheet xmlns:r="http://schemas.openxmlformats.org/officeDocument/2006/relationships" name="Factories_stock_balance" sheetId="15" state="visible" r:id="rId15"/>
    <sheet xmlns:r="http://schemas.openxmlformats.org/officeDocument/2006/relationships" name="Distributors_stock_balance" sheetId="16" state="visible" r:id="rId16"/>
    <sheet xmlns:r="http://schemas.openxmlformats.org/officeDocument/2006/relationships" name="Retailers_stock_balance" sheetId="17" state="visible" r:id="rId17"/>
    <sheet xmlns:r="http://schemas.openxmlformats.org/officeDocument/2006/relationships" name="Suppliers" sheetId="18" state="visible" r:id="rId18"/>
    <sheet xmlns:r="http://schemas.openxmlformats.org/officeDocument/2006/relationships" name="Factories" sheetId="19" state="visible" r:id="rId19"/>
    <sheet xmlns:r="http://schemas.openxmlformats.org/officeDocument/2006/relationships" name="Distributors" sheetId="20" state="visible" r:id="rId20"/>
    <sheet xmlns:r="http://schemas.openxmlformats.org/officeDocument/2006/relationships" name="Retailers" sheetId="21" state="visible" r:id="rId21"/>
    <sheet xmlns:r="http://schemas.openxmlformats.org/officeDocument/2006/relationships" name="Suppliers_Cap" sheetId="22" state="visible" r:id="rId22"/>
    <sheet xmlns:r="http://schemas.openxmlformats.org/officeDocument/2006/relationships" name="Factories_Cap" sheetId="23" state="visible" r:id="rId23"/>
    <sheet xmlns:r="http://schemas.openxmlformats.org/officeDocument/2006/relationships" name="Distributors_Cap" sheetId="24" state="visible" r:id="rId24"/>
    <sheet xmlns:r="http://schemas.openxmlformats.org/officeDocument/2006/relationships" name="Retailers_Cap" sheetId="25" state="visible" r:id="rId25"/>
    <sheet xmlns:r="http://schemas.openxmlformats.org/officeDocument/2006/relationships" name="Data" sheetId="26" state="visible" r:id="rId26"/>
  </sheets>
  <definedNames>
    <definedName name="Distributors_Stock_Begining">Distributors_stock_balance!$D$10:$F$11</definedName>
    <definedName name="Distributors_Stock_Demand">Distributors_stock_balance!$D$16:$F$17</definedName>
    <definedName name="Distributors_Stock_Replenishment">Distributors_stock_balance!$D$5:$F$6</definedName>
    <definedName name="DistributorsBegStock">Beginning_stock!$AT$25:$AV$26</definedName>
    <definedName name="DistributorsCap">Distributors_Cap!$D$13:$F$14</definedName>
    <definedName name="DistributorsCost">Distributors!$P$6:$R$7</definedName>
    <definedName name="DistributorsDem">Demand!$AU$19:$AW$20</definedName>
    <definedName name="DistributorsLeadTime">Distributors!$P$16:$R$17</definedName>
    <definedName name="DistributorsNumberBinaryVarY">Distributors_Cap!$D$29:$F$30</definedName>
    <definedName name="DistributorsSafetyFactor">Distributors!$P$21:$R$22</definedName>
    <definedName name="DistributorsStdDev">Distributors!$P$11:$R$12</definedName>
    <definedName name="DistributorsUpperBound">Distributors_Cap!$D$22:$F$23</definedName>
    <definedName name="Fac_Qtd_LB">Matlab_Data!$D$98:$F$100</definedName>
    <definedName name="Factories_Actual_Min_Stock">Factories_stock_balance!$D$278:$F$280</definedName>
    <definedName name="Factories_Actual_RunOutTime">Factories_stock_balance!$D$284:$F$286</definedName>
    <definedName name="Factories_Backlog">Factories_stock_balance!$D$254:$F$256</definedName>
    <definedName name="Factories_Cap_StdDev">Factories_Cap!$D$9:$F$11</definedName>
    <definedName name="Factories_Capacity_Coefficient">Factories_stock_balance!$D$266:$F$268</definedName>
    <definedName name="Factories_Coverage_Time">Factories_stock_balance!$D$28:$F$30</definedName>
    <definedName name="Factories_Delta">Factories_stock_balance!$D$34:$F$36</definedName>
    <definedName name="Factories_Gamma">Factories_stock_balance!$D$45:$F$47</definedName>
    <definedName name="Factories_Gross_Base_Stock">Factories_stock_balance!$D$212:$F$214</definedName>
    <definedName name="Factories_Max_NumberofCycles">Factories_stock_balance!$D$290:$F$292</definedName>
    <definedName name="Factories_Net_Demand">Factories_stock_balance!$D$200:$F$202</definedName>
    <definedName name="Factories_Omega">Factories_stock_balance!$D$57:$F$59</definedName>
    <definedName name="Factories_Omega1">Factories_stock_balance!$D$110:$F$112</definedName>
    <definedName name="Factories_Omega2">Factories_stock_balance!$D$116:$F$118</definedName>
    <definedName name="Factories_Omega3">Factories_stock_balance!$D$122:$F$124</definedName>
    <definedName name="Factories_Omega4">Factories_stock_balance!$D$140:$F$142</definedName>
    <definedName name="Factories_Omega5">Factories_stock_balance!$D$146:$F$148</definedName>
    <definedName name="Factories_Omega6">Factories_stock_balance!$D$152:$F$154</definedName>
    <definedName name="Factories_Replenishment_Time">Factories_stock_balance!$D$22:$F$24</definedName>
    <definedName name="Factories_Rho">Factories_stock_balance!$D$51:$F$53</definedName>
    <definedName name="Factories_Runout_Time">Factories_stock_balance!$D$63:$F$65</definedName>
    <definedName name="Factories_Safety_Stock">Factories_stock_balance!$D$230:$F$232</definedName>
    <definedName name="Factories_Squared_root">Factories_stock_balance!$D$182:$F$184</definedName>
    <definedName name="Factories_Stock_Consumption">Factories_stock_balance!$D$248:$F$250</definedName>
    <definedName name="Factories_Stock_Recovery">Factories_stock_balance!$D$260:$F$262</definedName>
    <definedName name="Factories_Variance_NetDemand_Rate">Factories_stock_balance!$D$218:$F$220</definedName>
    <definedName name="Factories_Work_in_process">Factories_WIP!$D$8:$F$10</definedName>
    <definedName name="Factories_Zeta">Factories_stock_balance!$D$39:$F$41</definedName>
    <definedName name="FactoriesBegStock">Beginning_stock!$AT$15:$AV$17</definedName>
    <definedName name="FactoriesCap">Factories_Cap!$D$14:$F$16</definedName>
    <definedName name="FactoriesCost">Factories!$I$6:$K$8</definedName>
    <definedName name="FactoriesDem">Demand!$AU$11:$AW$13</definedName>
    <definedName name="FactoriesLeadTime">Factories!$I$22:$K$24</definedName>
    <definedName name="FactoriesLeadTimeStdDev">Factories!$I$27:$K$29</definedName>
    <definedName name="FactoriesNumberBinaryVarY">Factories_Cap!$D$61:$F$63</definedName>
    <definedName name="FactoriesPlanStock">'Planned_Beginning_stock '!$AT$15:$AV$17</definedName>
    <definedName name="FactoriesStdDev">Factories!$I$17:$K$19</definedName>
    <definedName name="FactoriesStdDevVarVar">Fac_Fourth_central_moment_5var!$D$41:$F$43</definedName>
    <definedName name="FactoriesUpperBound">Factories_Cap!#REF!</definedName>
    <definedName name="InboundServiceTimef">Factories_Cap!$D$39:$F$41</definedName>
    <definedName name="InboundServiceTimew">Suppliers_Cap!$D$39:$R$41</definedName>
    <definedName name="Maxd">Distributors_Cap!$D$35</definedName>
    <definedName name="Maxf">Factories_Cap!#REF!</definedName>
    <definedName name="Maxr">Retailers_Cap!$AN$9</definedName>
    <definedName name="MaxStkOutd">Distributors_Cap!$R$47</definedName>
    <definedName name="MaxStkOutf">Factories_Cap!#REF!</definedName>
    <definedName name="MaxStkOutr">Retailers_Cap!$CQ$7</definedName>
    <definedName name="MaxStkOutw">Suppliers_Cap!$V$31</definedName>
    <definedName name="MaxStkOutw1">Suppliers_Cap!$V$25</definedName>
    <definedName name="MaxStkOutw2">Suppliers_Cap!$V$26</definedName>
    <definedName name="MaxStkOutw3">Suppliers_Cap!$V$27</definedName>
    <definedName name="Maxw">Suppliers_Cap!$D$67</definedName>
    <definedName name="Mind">Distributors_Cap!$D$36</definedName>
    <definedName name="Minf">Factories_Cap!#REF!</definedName>
    <definedName name="Minr">Retailers_Cap!$AN$10</definedName>
    <definedName name="Minw">Suppliers_Cap!$D$68</definedName>
    <definedName name="NDRLTStdDevf">Matlab_Data!$D$103:$F$105</definedName>
    <definedName name="NDRLTStdDevw">Matlab_Data!$D$50:$R$52</definedName>
    <definedName name="Optimal_solutionf">Results!$H$10</definedName>
    <definedName name="Optimal_solutionw">Results!$T$5</definedName>
    <definedName name="Radicandf">Factories_stock_balance!$D$176:$F$178</definedName>
    <definedName name="Radicandw">Suppliers_stock_balance!$D$176:$R$178</definedName>
    <definedName name="Retailers_Stock_Begining">Retailers_stock_balance!$J$5:$L$194</definedName>
    <definedName name="Retailers_Stock_Demand">Retailers_stock_balance!$P$5:$R$194</definedName>
    <definedName name="Retailers_Stock_Replenishment">Retailers_stock_balance!$D$5:$F$194</definedName>
    <definedName name="RetailersBegStock">Beginning_stock!$AT$35:$AV$224</definedName>
    <definedName name="RetailersCap">Retailers_Cap!$N$7:$P$196</definedName>
    <definedName name="RetailersCost">Retailers!$P$6:$R$195</definedName>
    <definedName name="RetailersDem">Demand!$AU$24:$AW$213</definedName>
    <definedName name="RetailersLeadTime">Retailers!$AJ$6:$AL$195</definedName>
    <definedName name="RetailersNumberBinaryVarY">Retailers_Cap!$AH$7:$AJ$196</definedName>
    <definedName name="RetailersSafetyFactor">Retailers!$AS$6:$AU$195</definedName>
    <definedName name="RetailersStdDev">Retailers!$Z$6:$AB$195</definedName>
    <definedName name="RetailersUpperBound">Retailers_Cap!$X$7:$Z$196</definedName>
    <definedName name="RLTfFactor">Factories_stock_balance!$D$92:$F$94</definedName>
    <definedName name="RLTwFactor">Suppliers_stock_balance!$D$92:$R$94</definedName>
    <definedName name="ServiceTimef">Results!$D$10:$F$12</definedName>
    <definedName name="ServiceTimew">Results!$D$5:$R$7</definedName>
    <definedName name="Supp_Qtd_LB">Matlab_Data!$D$45:$R$47</definedName>
    <definedName name="Suppliers_Actual_Min_Stock">Suppliers_stock_balance!$D$278:$R$280</definedName>
    <definedName name="Suppliers_Actual_RunOutTime">Suppliers_stock_balance!$D$284:$R$286</definedName>
    <definedName name="Suppliers_Backlog">Suppliers_stock_balance!$D$254:$R$256</definedName>
    <definedName name="Suppliers_Cap_StdDev">Suppliers_Cap!$D$9:$R$11</definedName>
    <definedName name="Suppliers_Capacity_Coefficient">Suppliers_stock_balance!$D$266:$R$268</definedName>
    <definedName name="Suppliers_Coverage_Time">Suppliers_stock_balance!$D$28:$R$30</definedName>
    <definedName name="Suppliers_Delta">Suppliers_stock_balance!$D$34:$R$36</definedName>
    <definedName name="Suppliers_Gamma">Suppliers_stock_balance!$D$45:$R$47</definedName>
    <definedName name="Suppliers_Gross_Base_Stock">Suppliers_stock_balance!$D$212:$R$214</definedName>
    <definedName name="Suppliers_Max_NumberofCycles">Suppliers_stock_balance!$D$290:$R$292</definedName>
    <definedName name="Suppliers_Min_Planned_Stock">Suppliers_stock_balance!$D$278:$R$280</definedName>
    <definedName name="Suppliers_Net_Demand">Suppliers_stock_balance!$D$200:$R$202</definedName>
    <definedName name="Suppliers_Omega">Suppliers_stock_balance!$D$57:$R$59</definedName>
    <definedName name="Suppliers_Omega1">Suppliers_stock_balance!$D$110:$R$112</definedName>
    <definedName name="Suppliers_Omega2">Suppliers_stock_balance!$D$116:$R$118</definedName>
    <definedName name="Suppliers_Omega3">Suppliers_stock_balance!$D$122:$R$124</definedName>
    <definedName name="Suppliers_Omega4">Suppliers_stock_balance!$D$140:$R$142</definedName>
    <definedName name="Suppliers_Omega5">Suppliers_stock_balance!$D$146:$R$148</definedName>
    <definedName name="Suppliers_Omega6">Suppliers_stock_balance!$D$152:$R$154</definedName>
    <definedName name="Suppliers_Replenishment_Time">Suppliers_stock_balance!$D$22:$R$24</definedName>
    <definedName name="Suppliers_Rho">Suppliers_stock_balance!$D$51:$R$53</definedName>
    <definedName name="Suppliers_Runout_Time">Suppliers_stock_balance!$D$63:$R$65</definedName>
    <definedName name="Suppliers_Safety_Stock">Suppliers_stock_balance!$D$230:$R$232</definedName>
    <definedName name="Suppliers_Squared_root">Suppliers_stock_balance!$D$182:$R$184</definedName>
    <definedName name="Suppliers_Stock_Consumption">Suppliers_stock_balance!$D$248:$R$250</definedName>
    <definedName name="Suppliers_Stock_Recovery">Suppliers_stock_balance!$D$260:$R$262</definedName>
    <definedName name="Suppliers_Variance_NetDemand_Rate">Suppliers_stock_balance!$D$218:$R$220</definedName>
    <definedName name="Suppliers_Zeta">Suppliers_stock_balance!$D$39:$R$41</definedName>
    <definedName name="SuppliersBegStock">Beginning_stock!$AT$5:$BH$7</definedName>
    <definedName name="SuppliersCap">Suppliers_Cap!$D$14:$R$16</definedName>
    <definedName name="SuppliersCost">Suppliers!$I$6:$W$8</definedName>
    <definedName name="SuppliersDem">Demand!$AU$5:$BI$7</definedName>
    <definedName name="SuppliersLeadTime">Suppliers!$I$22:$W$24</definedName>
    <definedName name="SuppliersLeadTimeStdDev">Suppliers!$I$27:$W$29</definedName>
    <definedName name="SuppliersNumberBinaryVarY">Suppliers_Cap!$D$61:$R$63</definedName>
    <definedName name="SuppliersPlanStock">'Planned_Beginning_stock '!$AT$5:$BH$7</definedName>
    <definedName name="SuppliersSafetyFactor">Suppliers!#REF!</definedName>
    <definedName name="SuppliersStdDev">Suppliers!$I$17:$W$19</definedName>
    <definedName name="SuppliersStdDevVarVar">Supp_Fourth_central_moment_5var!$D$41:$R$43</definedName>
  </definedNames>
  <calcPr calcId="191029" fullCalcOnLoad="1"/>
</workbook>
</file>

<file path=xl/styles.xml><?xml version="1.0" encoding="utf-8"?>
<styleSheet xmlns="http://schemas.openxmlformats.org/spreadsheetml/2006/main">
  <numFmts count="11">
    <numFmt numFmtId="164" formatCode="0.00000"/>
    <numFmt numFmtId="165" formatCode="0.000"/>
    <numFmt numFmtId="166" formatCode="0.0000"/>
    <numFmt numFmtId="167" formatCode="#,##0.000"/>
    <numFmt numFmtId="168" formatCode="&quot;R$&quot;\ #,##0.00"/>
    <numFmt numFmtId="169" formatCode="#,##0.0000"/>
    <numFmt numFmtId="170" formatCode="#,##0.00000"/>
    <numFmt numFmtId="171" formatCode="#,##0.0000000"/>
    <numFmt numFmtId="172" formatCode="#,##0.0"/>
    <numFmt numFmtId="173" formatCode="0.0000000"/>
    <numFmt numFmtId="174" formatCode="0.0"/>
  </numFmts>
  <fonts count="10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  <vertAlign val="sub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28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center"/>
    </xf>
    <xf numFmtId="2" fontId="0" fillId="3" borderId="0" applyAlignment="1" pivotButton="0" quotePrefix="0" xfId="0">
      <alignment horizontal="center"/>
    </xf>
    <xf numFmtId="2" fontId="1" fillId="3" borderId="0" applyAlignment="1" pivotButton="0" quotePrefix="0" xfId="0">
      <alignment horizontal="center"/>
    </xf>
    <xf numFmtId="4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2" fontId="0" fillId="0" borderId="0" pivotButton="0" quotePrefix="0" xfId="0"/>
    <xf numFmtId="3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left"/>
    </xf>
    <xf numFmtId="2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166" fontId="4" fillId="3" borderId="0" applyAlignment="1" pivotButton="0" quotePrefix="0" xfId="0">
      <alignment horizontal="center" vertical="center"/>
    </xf>
    <xf numFmtId="3" fontId="4" fillId="3" borderId="0" applyAlignment="1" pivotButton="0" quotePrefix="0" xfId="0">
      <alignment horizontal="center" vertical="center"/>
    </xf>
    <xf numFmtId="168" fontId="4" fillId="3" borderId="0" applyAlignment="1" pivotButton="0" quotePrefix="0" xfId="0">
      <alignment horizontal="center"/>
    </xf>
    <xf numFmtId="2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9" fontId="0" fillId="0" borderId="0" applyAlignment="1" pivotButton="0" quotePrefix="0" xfId="0">
      <alignment horizontal="center" vertical="center"/>
    </xf>
    <xf numFmtId="170" fontId="0" fillId="0" borderId="0" applyAlignment="1" pivotButton="0" quotePrefix="0" xfId="0">
      <alignment horizontal="center" vertical="center"/>
    </xf>
    <xf numFmtId="167" fontId="4" fillId="3" borderId="0" applyAlignment="1" pivotButton="0" quotePrefix="0" xfId="0">
      <alignment horizontal="center" vertical="center"/>
    </xf>
    <xf numFmtId="171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4" fontId="0" fillId="2" borderId="0" applyAlignment="1" pivotButton="0" quotePrefix="0" xfId="0">
      <alignment horizontal="center" vertical="center"/>
    </xf>
    <xf numFmtId="172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center" vertical="center"/>
    </xf>
    <xf numFmtId="2" fontId="4" fillId="3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2" fontId="0" fillId="3" borderId="0" applyAlignment="1" pivotButton="0" quotePrefix="0" xfId="0">
      <alignment horizontal="center" vertical="center"/>
    </xf>
    <xf numFmtId="2" fontId="1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  <xf numFmtId="166" fontId="0" fillId="2" borderId="0" applyAlignment="1" pivotButton="0" quotePrefix="0" xfId="0">
      <alignment horizontal="center" vertical="center"/>
    </xf>
    <xf numFmtId="169" fontId="2" fillId="0" borderId="0" applyAlignment="1" pivotButton="0" quotePrefix="0" xfId="0">
      <alignment horizontal="center" vertical="center"/>
    </xf>
    <xf numFmtId="4" fontId="2" fillId="0" borderId="0" applyAlignment="1" pivotButton="0" quotePrefix="0" xfId="0">
      <alignment horizontal="center" vertical="center"/>
    </xf>
    <xf numFmtId="167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172" fontId="0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168" fontId="4" fillId="3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2" borderId="0" applyAlignment="1" pivotButton="0" quotePrefix="0" xfId="0">
      <alignment horizontal="center" vertical="center"/>
    </xf>
    <xf numFmtId="174" fontId="0" fillId="2" borderId="0" applyAlignment="1" pivotButton="0" quotePrefix="0" xfId="0">
      <alignment horizontal="center" vertical="center"/>
    </xf>
    <xf numFmtId="174" fontId="0" fillId="0" borderId="0" applyAlignment="1" pivotButton="0" quotePrefix="0" xfId="0">
      <alignment horizontal="center" vertical="center"/>
    </xf>
    <xf numFmtId="2" fontId="2" fillId="2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2" fontId="2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center" vertical="center"/>
    </xf>
    <xf numFmtId="166" fontId="0" fillId="2" borderId="0" applyAlignment="1" pivotButton="0" quotePrefix="0" xfId="0">
      <alignment horizontal="center" vertical="center"/>
    </xf>
    <xf numFmtId="166" fontId="4" fillId="3" borderId="0" applyAlignment="1" pivotButton="0" quotePrefix="0" xfId="0">
      <alignment horizontal="center" vertical="center"/>
    </xf>
    <xf numFmtId="168" fontId="4" fillId="3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71" fontId="0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8" fontId="4" fillId="3" borderId="0" applyAlignment="1" pivotButton="0" quotePrefix="0" xfId="0">
      <alignment horizontal="center"/>
    </xf>
    <xf numFmtId="169" fontId="0" fillId="0" borderId="0" applyAlignment="1" pivotButton="0" quotePrefix="0" xfId="0">
      <alignment horizontal="center" vertical="center"/>
    </xf>
    <xf numFmtId="170" fontId="0" fillId="0" borderId="0" applyAlignment="1" pivotButton="0" quotePrefix="0" xfId="0">
      <alignment horizontal="center" vertical="center"/>
    </xf>
    <xf numFmtId="169" fontId="2" fillId="0" borderId="0" applyAlignment="1" pivotButton="0" quotePrefix="0" xfId="0">
      <alignment horizontal="center" vertical="center"/>
    </xf>
    <xf numFmtId="172" fontId="4" fillId="3" borderId="0" applyAlignment="1" pivotButton="0" quotePrefix="0" xfId="0">
      <alignment horizontal="center" vertical="center"/>
    </xf>
    <xf numFmtId="172" fontId="0" fillId="0" borderId="0" applyAlignment="1" pivotButton="0" quotePrefix="0" xfId="0">
      <alignment horizontal="center" vertical="center"/>
    </xf>
  </cellXfs>
  <cellStyles count="1">
    <cellStyle name="Normal" xfId="0" builtinId="0"/>
  </cellStyles>
  <dxfs count="108">
    <dxf>
      <fill>
        <patternFill>
          <bgColor rgb="FFFFC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9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C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99"/>
        </patternFill>
      </fill>
    </dxf>
    <dxf>
      <fill>
        <patternFill>
          <bgColor rgb="FFFFFF00"/>
        </patternFill>
      </fill>
    </dxf>
    <dxf>
      <fill>
        <patternFill>
          <bgColor theme="4" tint="0.799981688894314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105"/>
  <sheetViews>
    <sheetView topLeftCell="A22" zoomScale="90" zoomScaleNormal="90" workbookViewId="0">
      <selection activeCell="D98" sqref="D98"/>
    </sheetView>
  </sheetViews>
  <sheetFormatPr baseColWidth="8" defaultRowHeight="14.4"/>
  <cols>
    <col width="3.21875" customWidth="1" style="15" min="1" max="1"/>
    <col width="25.33203125" customWidth="1" style="15" min="2" max="2"/>
    <col width="25.77734375" bestFit="1" customWidth="1" style="15" min="3" max="3"/>
    <col width="12.77734375" customWidth="1" style="15" min="4" max="4"/>
    <col width="12.6640625" customWidth="1" style="15" min="5" max="18"/>
    <col width="8.88671875" customWidth="1" style="15" min="19" max="16384"/>
  </cols>
  <sheetData>
    <row r="1" ht="23.4" customHeight="1">
      <c r="C1" s="60" t="inlineStr">
        <is>
          <t>SUPPLIERS</t>
        </is>
      </c>
    </row>
    <row r="2">
      <c r="C2" s="15" t="inlineStr">
        <is>
          <t>demand</t>
        </is>
      </c>
      <c r="D2" s="15" t="n">
        <v>1</v>
      </c>
      <c r="E2" s="15" t="n">
        <v>2</v>
      </c>
      <c r="F2" s="15" t="n">
        <v>3</v>
      </c>
      <c r="G2" s="15" t="n">
        <v>4</v>
      </c>
      <c r="H2" s="15" t="n">
        <v>5</v>
      </c>
      <c r="I2" s="15" t="n">
        <v>6</v>
      </c>
      <c r="J2" s="15" t="n">
        <v>7</v>
      </c>
      <c r="K2" s="15" t="n">
        <v>8</v>
      </c>
      <c r="L2" s="15" t="n">
        <v>9</v>
      </c>
      <c r="M2" s="15" t="n">
        <v>10</v>
      </c>
      <c r="N2" s="15" t="n">
        <v>11</v>
      </c>
      <c r="O2" s="15" t="n">
        <v>12</v>
      </c>
      <c r="P2" s="15" t="n">
        <v>13</v>
      </c>
      <c r="Q2" s="15" t="n">
        <v>14</v>
      </c>
      <c r="R2" s="15" t="n">
        <v>15</v>
      </c>
    </row>
    <row r="3">
      <c r="C3" s="15" t="n">
        <v>1</v>
      </c>
      <c r="D3" s="39" t="n">
        <v>231.5</v>
      </c>
      <c r="E3" s="39" t="n">
        <v>297.34</v>
      </c>
      <c r="F3" s="39" t="n">
        <v>217.82</v>
      </c>
      <c r="G3" s="39" t="n">
        <v>222.62</v>
      </c>
      <c r="H3" s="55" t="n">
        <v>453.86</v>
      </c>
      <c r="I3" s="55" t="n">
        <v>315.98</v>
      </c>
      <c r="J3" s="39" t="n">
        <v>216.18</v>
      </c>
      <c r="K3" s="55" t="n">
        <v>463.97</v>
      </c>
      <c r="L3" s="55" t="n">
        <v>404.65</v>
      </c>
      <c r="M3" s="39" t="n">
        <v>334.69</v>
      </c>
      <c r="N3" s="55" t="n">
        <v>440.61</v>
      </c>
      <c r="O3" s="39" t="n">
        <v>225.39</v>
      </c>
      <c r="P3" s="55" t="n">
        <v>314.98</v>
      </c>
      <c r="Q3" s="55" t="n">
        <v>305.23</v>
      </c>
      <c r="R3" s="55" t="n">
        <v>541.84</v>
      </c>
    </row>
    <row r="4">
      <c r="B4" s="39" t="n"/>
      <c r="C4" s="15" t="n">
        <v>2</v>
      </c>
      <c r="D4" s="55" t="n">
        <v>358.95</v>
      </c>
      <c r="E4" s="55" t="n">
        <v>308.97</v>
      </c>
      <c r="F4" s="39" t="n">
        <v>264.61</v>
      </c>
      <c r="G4" s="39" t="n">
        <v>343.62</v>
      </c>
      <c r="H4" s="55" t="n">
        <v>399.3</v>
      </c>
      <c r="I4" s="55" t="n">
        <v>433.24</v>
      </c>
      <c r="J4" s="55" t="n">
        <v>310.82</v>
      </c>
      <c r="K4" s="39" t="n">
        <v>234.15</v>
      </c>
      <c r="L4" s="39" t="n">
        <v>302.73</v>
      </c>
      <c r="M4" s="55" t="n">
        <v>304.23</v>
      </c>
      <c r="N4" s="39" t="n">
        <v>278.95</v>
      </c>
      <c r="O4" s="55" t="n">
        <v>403.93</v>
      </c>
      <c r="P4" s="55" t="n">
        <v>327.87</v>
      </c>
      <c r="Q4" s="55" t="n">
        <v>462.67</v>
      </c>
      <c r="R4" s="55" t="n">
        <v>445.18</v>
      </c>
    </row>
    <row r="5">
      <c r="C5" s="15" t="n">
        <v>3</v>
      </c>
      <c r="D5" s="55" t="n">
        <v>492.88</v>
      </c>
      <c r="E5" s="39" t="n">
        <v>260.36</v>
      </c>
      <c r="F5" s="39" t="n">
        <v>232.33</v>
      </c>
      <c r="G5" s="55" t="n">
        <v>514.3200000000001</v>
      </c>
      <c r="H5" s="39" t="n">
        <v>271.63</v>
      </c>
      <c r="I5" s="55" t="n">
        <v>506.16</v>
      </c>
      <c r="J5" s="55" t="n">
        <v>393.21</v>
      </c>
      <c r="K5" s="39" t="n">
        <v>346.58</v>
      </c>
      <c r="L5" s="39" t="n">
        <v>267.82</v>
      </c>
      <c r="M5" s="39" t="n">
        <v>272.81</v>
      </c>
      <c r="N5" s="55" t="n">
        <v>372.8</v>
      </c>
      <c r="O5" s="55" t="n">
        <v>326.64</v>
      </c>
      <c r="P5" s="39" t="n">
        <v>338.03</v>
      </c>
      <c r="Q5" s="39" t="n">
        <v>348.46</v>
      </c>
      <c r="R5" s="55" t="n">
        <v>405.85</v>
      </c>
    </row>
    <row r="7">
      <c r="B7" s="15" t="inlineStr">
        <is>
          <t>Parâmetro p/ μy</t>
        </is>
      </c>
      <c r="C7" s="15" t="inlineStr">
        <is>
          <t>Média(E(RLT))</t>
        </is>
      </c>
      <c r="D7" s="15" t="n">
        <v>1</v>
      </c>
      <c r="E7" s="15" t="n">
        <v>2</v>
      </c>
      <c r="F7" s="15" t="n">
        <v>3</v>
      </c>
      <c r="G7" s="15" t="n">
        <v>4</v>
      </c>
      <c r="H7" s="15" t="n">
        <v>5</v>
      </c>
      <c r="I7" s="15" t="n">
        <v>6</v>
      </c>
      <c r="J7" s="15" t="n">
        <v>7</v>
      </c>
      <c r="K7" s="15" t="n">
        <v>8</v>
      </c>
      <c r="L7" s="15" t="n">
        <v>9</v>
      </c>
      <c r="M7" s="15" t="n">
        <v>10</v>
      </c>
      <c r="N7" s="15" t="n">
        <v>11</v>
      </c>
      <c r="O7" s="15" t="n">
        <v>12</v>
      </c>
      <c r="P7" s="15" t="n">
        <v>13</v>
      </c>
      <c r="Q7" s="15" t="n">
        <v>14</v>
      </c>
      <c r="R7" s="15" t="n">
        <v>15</v>
      </c>
    </row>
    <row r="8">
      <c r="B8" s="15" t="inlineStr">
        <is>
          <t>LB e DesvPad(ND*RLT)</t>
        </is>
      </c>
      <c r="C8" s="15" t="n">
        <v>1</v>
      </c>
      <c r="D8" s="39" t="n">
        <v>9.449999999999999</v>
      </c>
      <c r="E8" s="39" t="n">
        <v>14.92</v>
      </c>
      <c r="F8" s="39" t="n">
        <v>14.79</v>
      </c>
      <c r="G8" s="39" t="n">
        <v>17.69</v>
      </c>
      <c r="H8" s="55" t="n">
        <v>14.79</v>
      </c>
      <c r="I8" s="55" t="n">
        <v>14.31</v>
      </c>
      <c r="J8" s="39" t="n">
        <v>10.15</v>
      </c>
      <c r="K8" s="55" t="n">
        <v>14.45</v>
      </c>
      <c r="L8" s="55" t="n">
        <v>12.52</v>
      </c>
      <c r="M8" s="39" t="n">
        <v>11.45</v>
      </c>
      <c r="N8" s="55" t="n">
        <v>13.36</v>
      </c>
      <c r="O8" s="39" t="n">
        <v>13.38</v>
      </c>
      <c r="P8" s="55" t="n">
        <v>14.59</v>
      </c>
      <c r="Q8" s="55" t="n">
        <v>14.28</v>
      </c>
      <c r="R8" s="55" t="n">
        <v>16.04</v>
      </c>
    </row>
    <row r="9">
      <c r="B9" s="15" t="inlineStr">
        <is>
          <t>LB e DesvPad(ND*RLT)</t>
        </is>
      </c>
      <c r="C9" s="15" t="n">
        <v>2</v>
      </c>
      <c r="D9" s="55" t="n">
        <v>13.11</v>
      </c>
      <c r="E9" s="55" t="n">
        <v>17.64</v>
      </c>
      <c r="F9" s="39" t="n">
        <v>11.65</v>
      </c>
      <c r="G9" s="39" t="n">
        <v>20.06</v>
      </c>
      <c r="H9" s="55" t="n">
        <v>11.73</v>
      </c>
      <c r="I9" s="55" t="n">
        <v>15.92</v>
      </c>
      <c r="J9" s="55" t="n">
        <v>12.08</v>
      </c>
      <c r="K9" s="39" t="n">
        <v>15.93</v>
      </c>
      <c r="L9" s="39" t="n">
        <v>10.8</v>
      </c>
      <c r="M9" s="55" t="n">
        <v>13.12</v>
      </c>
      <c r="N9" s="39" t="n">
        <v>12.44</v>
      </c>
      <c r="O9" s="55" t="n">
        <v>15.71</v>
      </c>
      <c r="P9" s="55" t="n">
        <v>19.48</v>
      </c>
      <c r="Q9" s="55" t="n">
        <v>17.94</v>
      </c>
      <c r="R9" s="55" t="n">
        <v>13.48</v>
      </c>
    </row>
    <row r="10">
      <c r="B10" s="15" t="inlineStr">
        <is>
          <t>LB e DesvPad(ND*RLT)</t>
        </is>
      </c>
      <c r="C10" s="15" t="n">
        <v>3</v>
      </c>
      <c r="D10" s="55" t="n">
        <v>18.26</v>
      </c>
      <c r="E10" s="39" t="n">
        <v>19.27</v>
      </c>
      <c r="F10" s="39" t="n">
        <v>20.64</v>
      </c>
      <c r="G10" s="55" t="n">
        <v>13.97</v>
      </c>
      <c r="H10" s="39" t="n">
        <v>13.78</v>
      </c>
      <c r="I10" s="55" t="n">
        <v>17.6</v>
      </c>
      <c r="J10" s="55" t="n">
        <v>12.66</v>
      </c>
      <c r="K10" s="39" t="n">
        <v>13.15</v>
      </c>
      <c r="L10" s="39" t="n">
        <v>16.36</v>
      </c>
      <c r="M10" s="39" t="n">
        <v>15.94</v>
      </c>
      <c r="N10" s="55" t="n">
        <v>10.35</v>
      </c>
      <c r="O10" s="55" t="n">
        <v>14.02</v>
      </c>
      <c r="P10" s="39" t="n">
        <v>14.06</v>
      </c>
      <c r="Q10" s="39" t="n">
        <v>12.12</v>
      </c>
      <c r="R10" s="55" t="n">
        <v>12.77</v>
      </c>
    </row>
    <row r="12">
      <c r="C12" s="15" t="inlineStr">
        <is>
          <t>Cap</t>
        </is>
      </c>
      <c r="D12" s="15" t="n">
        <v>1</v>
      </c>
      <c r="E12" s="15" t="n">
        <v>2</v>
      </c>
      <c r="F12" s="15" t="n">
        <v>3</v>
      </c>
      <c r="G12" s="15" t="n">
        <v>4</v>
      </c>
      <c r="H12" s="15" t="n">
        <v>5</v>
      </c>
      <c r="I12" s="15" t="n">
        <v>6</v>
      </c>
      <c r="J12" s="15" t="n">
        <v>7</v>
      </c>
      <c r="K12" s="15" t="n">
        <v>8</v>
      </c>
      <c r="L12" s="15" t="n">
        <v>9</v>
      </c>
      <c r="M12" s="15" t="n">
        <v>10</v>
      </c>
      <c r="N12" s="15" t="n">
        <v>11</v>
      </c>
      <c r="O12" s="15" t="n">
        <v>12</v>
      </c>
      <c r="P12" s="15" t="n">
        <v>13</v>
      </c>
      <c r="Q12" s="15" t="n">
        <v>14</v>
      </c>
      <c r="R12" s="15" t="n">
        <v>15</v>
      </c>
    </row>
    <row r="13">
      <c r="C13" s="15" t="n">
        <v>1</v>
      </c>
      <c r="D13" s="39" t="n">
        <v>304.6</v>
      </c>
      <c r="E13" s="39" t="n">
        <v>336.22</v>
      </c>
      <c r="F13" s="39" t="n">
        <v>367.37</v>
      </c>
      <c r="G13" s="39" t="n">
        <v>330.6</v>
      </c>
      <c r="H13" s="55" t="n">
        <v>407.16</v>
      </c>
      <c r="I13" s="55" t="n">
        <v>209.81</v>
      </c>
      <c r="J13" s="39" t="n">
        <v>353.15</v>
      </c>
      <c r="K13" s="55" t="n">
        <v>325.44</v>
      </c>
      <c r="L13" s="55" t="n">
        <v>303.38</v>
      </c>
      <c r="M13" s="39" t="n">
        <v>363.91</v>
      </c>
      <c r="N13" s="55" t="n">
        <v>423.84</v>
      </c>
      <c r="O13" s="39" t="n">
        <v>250.7</v>
      </c>
      <c r="P13" s="55" t="n">
        <v>253.28</v>
      </c>
      <c r="Q13" s="55" t="n">
        <v>216.52</v>
      </c>
      <c r="R13" s="55" t="n">
        <v>388.77</v>
      </c>
    </row>
    <row r="14">
      <c r="C14" s="15" t="n">
        <v>2</v>
      </c>
      <c r="D14" s="55" t="n">
        <v>288.68</v>
      </c>
      <c r="E14" s="55" t="n">
        <v>254.58</v>
      </c>
      <c r="F14" s="39" t="n">
        <v>333.83</v>
      </c>
      <c r="G14" s="39" t="n">
        <v>569.96</v>
      </c>
      <c r="H14" s="55" t="n">
        <v>363.61</v>
      </c>
      <c r="I14" s="55" t="n">
        <v>359.54</v>
      </c>
      <c r="J14" s="55" t="n">
        <v>304.66</v>
      </c>
      <c r="K14" s="39" t="n">
        <v>312.17</v>
      </c>
      <c r="L14" s="39" t="n">
        <v>379.11</v>
      </c>
      <c r="M14" s="55" t="n">
        <v>233.3</v>
      </c>
      <c r="N14" s="39" t="n">
        <v>387.92</v>
      </c>
      <c r="O14" s="55" t="n">
        <v>330.06</v>
      </c>
      <c r="P14" s="55" t="n">
        <v>266.36</v>
      </c>
      <c r="Q14" s="55" t="n">
        <v>408.27</v>
      </c>
      <c r="R14" s="55" t="n">
        <v>358.07</v>
      </c>
    </row>
    <row r="15">
      <c r="C15" s="15" t="n">
        <v>3</v>
      </c>
      <c r="D15" s="55" t="n">
        <v>327.67</v>
      </c>
      <c r="E15" s="39" t="n">
        <v>359.24</v>
      </c>
      <c r="F15" s="39" t="n">
        <v>403.54</v>
      </c>
      <c r="G15" s="55" t="n">
        <v>415.74</v>
      </c>
      <c r="H15" s="39" t="n">
        <v>368.14</v>
      </c>
      <c r="I15" s="55" t="n">
        <v>306.54</v>
      </c>
      <c r="J15" s="55" t="n">
        <v>220.2</v>
      </c>
      <c r="K15" s="39" t="n">
        <v>408.05</v>
      </c>
      <c r="L15" s="39" t="n">
        <v>398.03</v>
      </c>
      <c r="M15" s="39" t="n">
        <v>305.5</v>
      </c>
      <c r="N15" s="55" t="n">
        <v>241.55</v>
      </c>
      <c r="O15" s="55" t="n">
        <v>315.53</v>
      </c>
      <c r="P15" s="39" t="n">
        <v>436.88</v>
      </c>
      <c r="Q15" s="39" t="n">
        <v>393.14</v>
      </c>
      <c r="R15" s="55" t="n">
        <v>327.17</v>
      </c>
    </row>
    <row r="17">
      <c r="B17" s="15" t="inlineStr">
        <is>
          <t>Parâmetro p/ μx</t>
        </is>
      </c>
      <c r="C17" s="15" t="inlineStr">
        <is>
          <t>Var(d-cap)</t>
        </is>
      </c>
      <c r="D17" s="15" t="n">
        <v>1</v>
      </c>
      <c r="E17" s="15" t="n">
        <v>2</v>
      </c>
      <c r="F17" s="15" t="n">
        <v>3</v>
      </c>
      <c r="G17" s="15" t="n">
        <v>4</v>
      </c>
      <c r="H17" s="15" t="n">
        <v>5</v>
      </c>
      <c r="I17" s="15" t="n">
        <v>6</v>
      </c>
      <c r="J17" s="15" t="n">
        <v>7</v>
      </c>
      <c r="K17" s="15" t="n">
        <v>8</v>
      </c>
      <c r="L17" s="15" t="n">
        <v>9</v>
      </c>
      <c r="M17" s="15" t="n">
        <v>10</v>
      </c>
      <c r="N17" s="15" t="n">
        <v>11</v>
      </c>
      <c r="O17" s="15" t="n">
        <v>12</v>
      </c>
      <c r="P17" s="15" t="n">
        <v>13</v>
      </c>
      <c r="Q17" s="15" t="n">
        <v>14</v>
      </c>
      <c r="R17" s="15" t="n">
        <v>15</v>
      </c>
    </row>
    <row r="18">
      <c r="B18" s="15" t="inlineStr">
        <is>
          <t>LB</t>
        </is>
      </c>
      <c r="C18" s="15" t="n">
        <v>1</v>
      </c>
      <c r="D18" s="79" t="n"/>
      <c r="E18" s="79" t="n"/>
      <c r="F18" s="79" t="n"/>
      <c r="G18" s="79" t="n"/>
      <c r="H18" s="80" t="inlineStr">
        <is>
          <t>495,6908</t>
        </is>
      </c>
      <c r="I18" s="80" t="n">
        <v>191.8181</v>
      </c>
      <c r="J18" s="79" t="n"/>
      <c r="K18" s="80" t="n">
        <v>428.2391</v>
      </c>
      <c r="L18" s="80" t="n">
        <v>341.0413</v>
      </c>
      <c r="M18" s="79" t="n"/>
      <c r="N18" s="80" t="n">
        <v>498.37</v>
      </c>
      <c r="O18" s="79" t="n"/>
      <c r="P18" s="80" t="n">
        <v>217.8175</v>
      </c>
      <c r="Q18" s="80" t="n">
        <v>186.7283</v>
      </c>
      <c r="R18" s="80" t="n">
        <v>592.9769</v>
      </c>
    </row>
    <row r="19">
      <c r="B19" s="15" t="inlineStr">
        <is>
          <t>LB</t>
        </is>
      </c>
      <c r="C19" s="15" t="n">
        <v>2</v>
      </c>
      <c r="D19" s="80" t="inlineStr">
        <is>
          <t>282,9083</t>
        </is>
      </c>
      <c r="E19" s="80" t="inlineStr">
        <is>
          <t>213,6979</t>
        </is>
      </c>
      <c r="F19" s="79" t="n"/>
      <c r="G19" s="79" t="n"/>
      <c r="H19" s="80" t="inlineStr">
        <is>
          <t>388,8702</t>
        </is>
      </c>
      <c r="I19" s="80" t="n">
        <v>422.6212</v>
      </c>
      <c r="J19" s="80" t="n">
        <v>252.569</v>
      </c>
      <c r="K19" s="79" t="n"/>
      <c r="L19" s="79" t="n"/>
      <c r="M19" s="80" t="n">
        <v>195.9797</v>
      </c>
      <c r="N19" s="79" t="n"/>
      <c r="O19" s="80" t="n">
        <v>362.7987</v>
      </c>
      <c r="P19" s="80" t="n">
        <v>237.9285</v>
      </c>
      <c r="Q19" s="80" t="n">
        <v>507.6638</v>
      </c>
      <c r="R19" s="80" t="n">
        <v>435.1991</v>
      </c>
    </row>
    <row r="20">
      <c r="B20" s="15" t="inlineStr">
        <is>
          <t>LB</t>
        </is>
      </c>
      <c r="C20" s="15" t="n">
        <v>3</v>
      </c>
      <c r="D20" s="80" t="inlineStr">
        <is>
          <t>467,0644</t>
        </is>
      </c>
      <c r="E20" s="79" t="n"/>
      <c r="F20" s="79" t="n"/>
      <c r="G20" s="80" t="inlineStr">
        <is>
          <t>583,1530</t>
        </is>
      </c>
      <c r="H20" s="79" t="n"/>
      <c r="I20" s="80" t="n">
        <v>466.8862</v>
      </c>
      <c r="J20" s="80" t="n">
        <v>270.8028</v>
      </c>
      <c r="K20" s="79" t="n"/>
      <c r="L20" s="79" t="n"/>
      <c r="M20" s="79" t="n"/>
      <c r="N20" s="80" t="n">
        <v>263.1016</v>
      </c>
      <c r="O20" s="80" t="n">
        <v>275.0038</v>
      </c>
      <c r="P20" s="79" t="n"/>
      <c r="Q20" s="79" t="n"/>
      <c r="R20" s="80" t="n">
        <v>362.3392</v>
      </c>
    </row>
    <row r="22" ht="16.2" customHeight="1">
      <c r="B22" s="15" t="inlineStr">
        <is>
          <t>Parâmetro p/ σx</t>
        </is>
      </c>
      <c r="C22" s="15" t="inlineStr">
        <is>
          <t>Desvpad(Var(S2nd))</t>
        </is>
      </c>
      <c r="D22" s="15" t="n">
        <v>1</v>
      </c>
      <c r="E22" s="15" t="n">
        <v>2</v>
      </c>
      <c r="F22" s="15" t="n">
        <v>3</v>
      </c>
      <c r="G22" s="15" t="n">
        <v>4</v>
      </c>
      <c r="H22" s="15" t="n">
        <v>5</v>
      </c>
      <c r="I22" s="15" t="n">
        <v>6</v>
      </c>
      <c r="J22" s="15" t="n">
        <v>7</v>
      </c>
      <c r="K22" s="15" t="n">
        <v>8</v>
      </c>
      <c r="L22" s="15" t="n">
        <v>9</v>
      </c>
      <c r="M22" s="15" t="n">
        <v>10</v>
      </c>
      <c r="N22" s="15" t="n">
        <v>11</v>
      </c>
      <c r="O22" s="15" t="n">
        <v>12</v>
      </c>
      <c r="P22" s="15" t="n">
        <v>13</v>
      </c>
      <c r="Q22" s="15" t="n">
        <v>14</v>
      </c>
      <c r="R22" s="15" t="n">
        <v>15</v>
      </c>
    </row>
    <row r="23">
      <c r="B23" s="15" t="inlineStr">
        <is>
          <t>LB</t>
        </is>
      </c>
      <c r="C23" s="15" t="n">
        <v>1</v>
      </c>
      <c r="D23" s="79" t="n"/>
      <c r="E23" s="79" t="n"/>
      <c r="F23" s="79" t="n"/>
      <c r="G23" s="79" t="n"/>
      <c r="H23" s="80" t="n">
        <v>277.3852</v>
      </c>
      <c r="I23" s="80" t="n">
        <v>114.4701</v>
      </c>
      <c r="J23" s="79" t="n"/>
      <c r="K23" s="80" t="n">
        <v>251.6818</v>
      </c>
      <c r="L23" s="80" t="n">
        <v>197.052</v>
      </c>
      <c r="M23" s="79" t="n"/>
      <c r="N23" s="80" t="n">
        <v>277.4759</v>
      </c>
      <c r="O23" s="79" t="n"/>
      <c r="P23" s="80" t="n">
        <v>123.9421</v>
      </c>
      <c r="Q23" s="80" t="n">
        <v>109.4126</v>
      </c>
      <c r="R23" s="80" t="n">
        <v>346.4116</v>
      </c>
    </row>
    <row r="24">
      <c r="B24" s="15" t="inlineStr">
        <is>
          <t>LB</t>
        </is>
      </c>
      <c r="C24" s="15" t="n">
        <v>2</v>
      </c>
      <c r="D24" s="80" t="n">
        <v>160.9752</v>
      </c>
      <c r="E24" s="80" t="n">
        <v>121.0452</v>
      </c>
      <c r="F24" s="79" t="n"/>
      <c r="G24" s="79" t="n"/>
      <c r="H24" s="80" t="n">
        <v>217.2882</v>
      </c>
      <c r="I24" s="80" t="n">
        <v>239.086</v>
      </c>
      <c r="J24" s="80" t="n">
        <v>140.5445</v>
      </c>
      <c r="K24" s="79" t="n"/>
      <c r="L24" s="79" t="n"/>
      <c r="M24" s="80" t="n">
        <v>112.6414</v>
      </c>
      <c r="N24" s="79" t="n"/>
      <c r="O24" s="80" t="n">
        <v>205.8108</v>
      </c>
      <c r="P24" s="80" t="n">
        <v>135.1195</v>
      </c>
      <c r="Q24" s="80" t="n">
        <v>284.6164</v>
      </c>
      <c r="R24" s="80" t="n">
        <v>247.6234</v>
      </c>
    </row>
    <row r="25">
      <c r="B25" s="15" t="inlineStr">
        <is>
          <t>LB</t>
        </is>
      </c>
      <c r="C25" s="15" t="n">
        <v>3</v>
      </c>
      <c r="D25" s="80" t="n">
        <v>278.6301</v>
      </c>
      <c r="E25" s="79" t="n"/>
      <c r="F25" s="79" t="n"/>
      <c r="G25" s="80" t="n">
        <v>331.4884</v>
      </c>
      <c r="H25" s="79" t="n"/>
      <c r="I25" s="80" t="n">
        <v>286.2747</v>
      </c>
      <c r="J25" s="80" t="n">
        <v>169.9887</v>
      </c>
      <c r="K25" s="79" t="n"/>
      <c r="L25" s="79" t="n"/>
      <c r="M25" s="79" t="n"/>
      <c r="N25" s="80" t="n">
        <v>158.1255</v>
      </c>
      <c r="O25" s="80" t="n">
        <v>153.0895</v>
      </c>
      <c r="P25" s="79" t="n"/>
      <c r="Q25" s="79" t="n"/>
      <c r="R25" s="80" t="n">
        <v>206.0767</v>
      </c>
    </row>
    <row r="27">
      <c r="B27" s="15" t="inlineStr">
        <is>
          <t>Parâmetro p/ σy</t>
        </is>
      </c>
      <c r="C27" s="15" t="inlineStr">
        <is>
          <t>DesvPad(Var(E(RLT)))</t>
        </is>
      </c>
      <c r="D27" s="15" t="n">
        <v>1</v>
      </c>
      <c r="E27" s="15" t="n">
        <v>2</v>
      </c>
      <c r="F27" s="15" t="n">
        <v>3</v>
      </c>
      <c r="G27" s="15" t="n">
        <v>4</v>
      </c>
      <c r="H27" s="15" t="n">
        <v>5</v>
      </c>
      <c r="I27" s="15" t="n">
        <v>6</v>
      </c>
      <c r="J27" s="15" t="n">
        <v>7</v>
      </c>
      <c r="K27" s="15" t="n">
        <v>8</v>
      </c>
      <c r="L27" s="15" t="n">
        <v>9</v>
      </c>
      <c r="M27" s="15" t="n">
        <v>10</v>
      </c>
      <c r="N27" s="15" t="n">
        <v>11</v>
      </c>
      <c r="O27" s="15" t="n">
        <v>12</v>
      </c>
      <c r="P27" s="15" t="n">
        <v>13</v>
      </c>
      <c r="Q27" s="15" t="n">
        <v>14</v>
      </c>
      <c r="R27" s="15" t="n">
        <v>15</v>
      </c>
    </row>
    <row r="28">
      <c r="B28" s="15" t="inlineStr">
        <is>
          <t>LB e DesvPad(ND*RLT)</t>
        </is>
      </c>
      <c r="C28" s="15" t="n">
        <v>1</v>
      </c>
      <c r="D28" s="79" t="n">
        <v>0.3449</v>
      </c>
      <c r="E28" s="79" t="n">
        <v>0.5447</v>
      </c>
      <c r="F28" s="79" t="n">
        <v>0.54</v>
      </c>
      <c r="G28" s="79" t="n">
        <v>0.6459</v>
      </c>
      <c r="H28" s="80" t="n">
        <v>0.54</v>
      </c>
      <c r="I28" s="80" t="n">
        <v>0.5224</v>
      </c>
      <c r="J28" s="79" t="n">
        <v>0.3705</v>
      </c>
      <c r="K28" s="80" t="n">
        <v>0.5276</v>
      </c>
      <c r="L28" s="80" t="n">
        <v>0.4571</v>
      </c>
      <c r="M28" s="79" t="n">
        <v>0.418</v>
      </c>
      <c r="N28" s="80" t="n">
        <v>0.4877</v>
      </c>
      <c r="O28" s="79" t="n">
        <v>0.4884</v>
      </c>
      <c r="P28" s="80" t="n">
        <v>0.5327</v>
      </c>
      <c r="Q28" s="80" t="n">
        <v>0.5213</v>
      </c>
      <c r="R28" s="80" t="n">
        <v>0.5856</v>
      </c>
    </row>
    <row r="29">
      <c r="B29" s="15" t="inlineStr">
        <is>
          <t>LB e DesvPad(ND*RLT)</t>
        </is>
      </c>
      <c r="C29" s="15" t="n">
        <v>2</v>
      </c>
      <c r="D29" s="80" t="n">
        <v>0.4786</v>
      </c>
      <c r="E29" s="80" t="n">
        <v>0.644</v>
      </c>
      <c r="F29" s="79" t="n">
        <v>0.4253</v>
      </c>
      <c r="G29" s="79" t="n">
        <v>0.7324000000000001</v>
      </c>
      <c r="H29" s="80" t="n">
        <v>0.4282</v>
      </c>
      <c r="I29" s="80" t="n">
        <v>0.5812</v>
      </c>
      <c r="J29" s="80" t="n">
        <v>0.441</v>
      </c>
      <c r="K29" s="79" t="n">
        <v>0.5816</v>
      </c>
      <c r="L29" s="79" t="n">
        <v>0.3943</v>
      </c>
      <c r="M29" s="80" t="n">
        <v>0.479</v>
      </c>
      <c r="N29" s="79" t="n">
        <v>0.4542</v>
      </c>
      <c r="O29" s="80" t="n">
        <v>0.5735</v>
      </c>
      <c r="P29" s="80" t="n">
        <v>0.7112000000000001</v>
      </c>
      <c r="Q29" s="80" t="n">
        <v>0.655</v>
      </c>
      <c r="R29" s="80" t="n">
        <v>0.4921</v>
      </c>
    </row>
    <row r="30">
      <c r="B30" s="15" t="inlineStr">
        <is>
          <t>LB e DesvPad(ND*RLT)</t>
        </is>
      </c>
      <c r="C30" s="15" t="n">
        <v>3</v>
      </c>
      <c r="D30" s="80" t="n">
        <v>0.6667</v>
      </c>
      <c r="E30" s="79" t="n">
        <v>0.7036</v>
      </c>
      <c r="F30" s="79" t="n">
        <v>0.7536</v>
      </c>
      <c r="G30" s="80" t="n">
        <v>0.51</v>
      </c>
      <c r="H30" s="79" t="n">
        <v>0.503</v>
      </c>
      <c r="I30" s="80" t="n">
        <v>0.6425999999999999</v>
      </c>
      <c r="J30" s="80" t="n">
        <v>0.4622</v>
      </c>
      <c r="K30" s="79" t="n">
        <v>0.4801</v>
      </c>
      <c r="L30" s="79" t="n">
        <v>0.5973000000000001</v>
      </c>
      <c r="M30" s="79" t="n">
        <v>0.5819</v>
      </c>
      <c r="N30" s="80" t="n">
        <v>0.3778</v>
      </c>
      <c r="O30" s="80" t="n">
        <v>0.5118</v>
      </c>
      <c r="P30" s="79" t="n">
        <v>0.5133</v>
      </c>
      <c r="Q30" s="79" t="n">
        <v>0.4424</v>
      </c>
      <c r="R30" s="80" t="n">
        <v>0.4662</v>
      </c>
    </row>
    <row r="32">
      <c r="B32" s="15" t="inlineStr">
        <is>
          <t>Parâmetro p/ μx</t>
        </is>
      </c>
      <c r="C32" s="15" t="inlineStr">
        <is>
          <t>Média(d-Cap)</t>
        </is>
      </c>
      <c r="D32" s="15" t="n">
        <v>1</v>
      </c>
      <c r="E32" s="15" t="n">
        <v>2</v>
      </c>
      <c r="F32" s="15" t="n">
        <v>3</v>
      </c>
      <c r="G32" s="15" t="n">
        <v>4</v>
      </c>
      <c r="H32" s="15" t="n">
        <v>5</v>
      </c>
      <c r="I32" s="15" t="n">
        <v>6</v>
      </c>
      <c r="J32" s="15" t="n">
        <v>7</v>
      </c>
      <c r="K32" s="15" t="n">
        <v>8</v>
      </c>
      <c r="L32" s="15" t="n">
        <v>9</v>
      </c>
      <c r="M32" s="15" t="n">
        <v>10</v>
      </c>
      <c r="N32" s="15" t="n">
        <v>11</v>
      </c>
      <c r="O32" s="15" t="n">
        <v>12</v>
      </c>
      <c r="P32" s="15" t="n">
        <v>13</v>
      </c>
      <c r="Q32" s="15" t="n">
        <v>14</v>
      </c>
      <c r="R32" s="15" t="n">
        <v>15</v>
      </c>
    </row>
    <row r="33">
      <c r="B33" s="15" t="inlineStr">
        <is>
          <t>DesvPad(ND*RLT)</t>
        </is>
      </c>
      <c r="C33" s="15" t="n">
        <v>1</v>
      </c>
      <c r="D33" s="81" t="n">
        <v>-73.10000000000002</v>
      </c>
      <c r="E33" s="81" t="n">
        <v>-38.88000000000005</v>
      </c>
      <c r="F33" s="81" t="n">
        <v>-149.55</v>
      </c>
      <c r="G33" s="81" t="n">
        <v>-107.98</v>
      </c>
      <c r="H33" s="81" t="n">
        <v>46.69999999999999</v>
      </c>
      <c r="I33" s="81" t="n">
        <v>106.17</v>
      </c>
      <c r="J33" s="81" t="n">
        <v>-136.97</v>
      </c>
      <c r="K33" s="81" t="n">
        <v>138.53</v>
      </c>
      <c r="L33" s="81" t="n">
        <v>101.27</v>
      </c>
      <c r="M33" s="81" t="n">
        <v>-29.22000000000003</v>
      </c>
      <c r="N33" s="81" t="n">
        <v>16.77000000000004</v>
      </c>
      <c r="O33" s="81" t="n">
        <v>-25.31</v>
      </c>
      <c r="P33" s="81" t="n">
        <v>61.70000000000002</v>
      </c>
      <c r="Q33" s="81" t="n">
        <v>88.71000000000001</v>
      </c>
      <c r="R33" s="81" t="n">
        <v>153.0700000000001</v>
      </c>
    </row>
    <row r="34">
      <c r="B34" s="15" t="inlineStr">
        <is>
          <t>DesvPad(ND*RLT)</t>
        </is>
      </c>
      <c r="C34" s="15" t="n">
        <v>2</v>
      </c>
      <c r="D34" s="81" t="n">
        <v>70.26999999999998</v>
      </c>
      <c r="E34" s="81" t="n">
        <v>54.39000000000001</v>
      </c>
      <c r="F34" s="81" t="n">
        <v>-69.21999999999997</v>
      </c>
      <c r="G34" s="81" t="n">
        <v>-226.34</v>
      </c>
      <c r="H34" s="81" t="n">
        <v>35.69</v>
      </c>
      <c r="I34" s="81" t="n">
        <v>73.69999999999999</v>
      </c>
      <c r="J34" s="81" t="n">
        <v>6.159999999999968</v>
      </c>
      <c r="K34" s="81" t="n">
        <v>-78.02000000000001</v>
      </c>
      <c r="L34" s="81" t="n">
        <v>-76.38</v>
      </c>
      <c r="M34" s="81" t="n">
        <v>70.93000000000001</v>
      </c>
      <c r="N34" s="81" t="n">
        <v>-108.97</v>
      </c>
      <c r="O34" s="81" t="n">
        <v>73.87</v>
      </c>
      <c r="P34" s="81" t="n">
        <v>61.50999999999999</v>
      </c>
      <c r="Q34" s="81" t="n">
        <v>54.40000000000003</v>
      </c>
      <c r="R34" s="81" t="n">
        <v>87.11000000000001</v>
      </c>
    </row>
    <row r="35">
      <c r="B35" s="15" t="inlineStr">
        <is>
          <t>DesvPad(ND*RLT)</t>
        </is>
      </c>
      <c r="C35" s="15" t="n">
        <v>3</v>
      </c>
      <c r="D35" s="81" t="n">
        <v>165.21</v>
      </c>
      <c r="E35" s="81" t="n">
        <v>-98.88</v>
      </c>
      <c r="F35" s="81" t="n">
        <v>-171.21</v>
      </c>
      <c r="G35" s="81" t="n">
        <v>98.58000000000004</v>
      </c>
      <c r="H35" s="81" t="n">
        <v>-96.50999999999999</v>
      </c>
      <c r="I35" s="81" t="n">
        <v>199.62</v>
      </c>
      <c r="J35" s="81" t="n">
        <v>173.01</v>
      </c>
      <c r="K35" s="81" t="n">
        <v>-61.47000000000003</v>
      </c>
      <c r="L35" s="81" t="n">
        <v>-130.21</v>
      </c>
      <c r="M35" s="81" t="n">
        <v>-32.69</v>
      </c>
      <c r="N35" s="81" t="n">
        <v>131.25</v>
      </c>
      <c r="O35" s="81" t="n">
        <v>11.11000000000001</v>
      </c>
      <c r="P35" s="81" t="n">
        <v>-98.85000000000002</v>
      </c>
      <c r="Q35" s="81" t="n">
        <v>-44.68000000000001</v>
      </c>
      <c r="R35" s="81" t="n">
        <v>78.68000000000001</v>
      </c>
    </row>
    <row r="37">
      <c r="B37" s="15" t="inlineStr">
        <is>
          <t>Parâmetro p/ σx</t>
        </is>
      </c>
      <c r="C37" s="15" t="inlineStr">
        <is>
          <t>DesvPad(Var(d-cap))</t>
        </is>
      </c>
      <c r="D37" s="15" t="n">
        <v>1</v>
      </c>
      <c r="E37" s="15" t="n">
        <v>2</v>
      </c>
      <c r="F37" s="15" t="n">
        <v>3</v>
      </c>
      <c r="G37" s="15" t="n">
        <v>4</v>
      </c>
      <c r="H37" s="15" t="n">
        <v>5</v>
      </c>
      <c r="I37" s="15" t="n">
        <v>6</v>
      </c>
      <c r="J37" s="15" t="n">
        <v>7</v>
      </c>
      <c r="K37" s="15" t="n">
        <v>8</v>
      </c>
      <c r="L37" s="15" t="n">
        <v>9</v>
      </c>
      <c r="M37" s="15" t="n">
        <v>10</v>
      </c>
      <c r="N37" s="15" t="n">
        <v>11</v>
      </c>
      <c r="O37" s="15" t="n">
        <v>12</v>
      </c>
      <c r="P37" s="15" t="n">
        <v>13</v>
      </c>
      <c r="Q37" s="15" t="n">
        <v>14</v>
      </c>
      <c r="R37" s="15" t="n">
        <v>15</v>
      </c>
    </row>
    <row r="38">
      <c r="B38" s="15" t="inlineStr">
        <is>
          <t>DesvPad(ND*RLT)</t>
        </is>
      </c>
      <c r="C38" s="15" t="n">
        <v>1</v>
      </c>
      <c r="D38" s="81" t="n">
        <v>0</v>
      </c>
      <c r="E38" s="81" t="n">
        <v>0</v>
      </c>
      <c r="F38" s="81" t="n">
        <v>0</v>
      </c>
      <c r="G38" s="81" t="n">
        <v>0</v>
      </c>
      <c r="H38" s="81" t="n">
        <v>22.26411462421086</v>
      </c>
      <c r="I38" s="81" t="n">
        <v>13.84984115432376</v>
      </c>
      <c r="J38" s="81" t="n">
        <v>0</v>
      </c>
      <c r="K38" s="81" t="n">
        <v>20.69393872611012</v>
      </c>
      <c r="L38" s="81" t="n">
        <v>18.46730353895771</v>
      </c>
      <c r="M38" s="81" t="n">
        <v>0</v>
      </c>
      <c r="N38" s="81" t="n">
        <v>22.3242021134015</v>
      </c>
      <c r="O38" s="81" t="n">
        <v>0</v>
      </c>
      <c r="P38" s="81" t="n">
        <v>14.75864153640165</v>
      </c>
      <c r="Q38" s="81" t="n">
        <v>13.66485638417031</v>
      </c>
      <c r="R38" s="81" t="n">
        <v>24.35111701750045</v>
      </c>
    </row>
    <row r="39">
      <c r="B39" s="15" t="inlineStr">
        <is>
          <t>DesvPad(ND*RLT)</t>
        </is>
      </c>
      <c r="C39" s="15" t="n">
        <v>2</v>
      </c>
      <c r="D39" s="81" t="n">
        <v>16.81987812084261</v>
      </c>
      <c r="E39" s="81" t="n">
        <v>14.61840962622131</v>
      </c>
      <c r="F39" s="81" t="n">
        <v>0</v>
      </c>
      <c r="G39" s="81" t="n">
        <v>0</v>
      </c>
      <c r="H39" s="81" t="n">
        <v>19.71979208815346</v>
      </c>
      <c r="I39" s="81" t="n">
        <v>20.5577527954784</v>
      </c>
      <c r="J39" s="81" t="n">
        <v>15.89241957664093</v>
      </c>
      <c r="K39" s="81" t="n">
        <v>0</v>
      </c>
      <c r="L39" s="81" t="n">
        <v>0</v>
      </c>
      <c r="M39" s="81" t="n">
        <v>13.99927498122671</v>
      </c>
      <c r="N39" s="81" t="n">
        <v>0</v>
      </c>
      <c r="O39" s="81" t="n">
        <v>19.04727539570949</v>
      </c>
      <c r="P39" s="81" t="n">
        <v>15.42493111816063</v>
      </c>
      <c r="Q39" s="81" t="n">
        <v>22.5313958733142</v>
      </c>
      <c r="R39" s="81" t="n">
        <v>20.86142612574701</v>
      </c>
    </row>
    <row r="40">
      <c r="B40" s="15" t="inlineStr">
        <is>
          <t>DesvPad(ND*RLT)</t>
        </is>
      </c>
      <c r="C40" s="15" t="n">
        <v>3</v>
      </c>
      <c r="D40" s="81" t="n">
        <v>21.61167277190732</v>
      </c>
      <c r="E40" s="81" t="n">
        <v>0</v>
      </c>
      <c r="F40" s="81" t="n">
        <v>0</v>
      </c>
      <c r="G40" s="81" t="n">
        <v>24.1485610337345</v>
      </c>
      <c r="H40" s="81" t="n">
        <v>0</v>
      </c>
      <c r="I40" s="81" t="n">
        <v>21.60754960656113</v>
      </c>
      <c r="J40" s="81" t="n">
        <v>16.45608701970186</v>
      </c>
      <c r="K40" s="81" t="n">
        <v>0</v>
      </c>
      <c r="L40" s="81" t="n">
        <v>0</v>
      </c>
      <c r="M40" s="81" t="n">
        <v>0</v>
      </c>
      <c r="N40" s="81" t="n">
        <v>16.22040689995168</v>
      </c>
      <c r="O40" s="81" t="n">
        <v>16.58323852569214</v>
      </c>
      <c r="P40" s="81" t="n">
        <v>0</v>
      </c>
      <c r="Q40" s="81" t="n">
        <v>0</v>
      </c>
      <c r="R40" s="81" t="n">
        <v>19.0352094813795</v>
      </c>
    </row>
    <row r="42">
      <c r="C42" s="15" t="inlineStr">
        <is>
          <t>Prob1</t>
        </is>
      </c>
      <c r="D42" s="51" t="n">
        <v>0.98</v>
      </c>
    </row>
    <row r="43">
      <c r="D43" s="51" t="n"/>
    </row>
    <row r="44">
      <c r="C44" s="15" t="inlineStr">
        <is>
          <t>LB</t>
        </is>
      </c>
      <c r="D44" s="15" t="n">
        <v>1</v>
      </c>
      <c r="E44" s="15" t="n">
        <v>2</v>
      </c>
      <c r="F44" s="15" t="n">
        <v>3</v>
      </c>
      <c r="G44" s="15" t="n">
        <v>4</v>
      </c>
      <c r="H44" s="15" t="n">
        <v>5</v>
      </c>
      <c r="I44" s="15" t="n">
        <v>6</v>
      </c>
      <c r="J44" s="15" t="n">
        <v>7</v>
      </c>
      <c r="K44" s="15" t="n">
        <v>8</v>
      </c>
      <c r="L44" s="15" t="n">
        <v>9</v>
      </c>
      <c r="M44" s="15" t="n">
        <v>10</v>
      </c>
      <c r="N44" s="15" t="n">
        <v>11</v>
      </c>
      <c r="O44" s="15" t="n">
        <v>12</v>
      </c>
      <c r="P44" s="15" t="n">
        <v>13</v>
      </c>
      <c r="Q44" s="15" t="n">
        <v>14</v>
      </c>
      <c r="R44" s="15" t="n">
        <v>15</v>
      </c>
    </row>
    <row r="45">
      <c r="C45" s="15" t="n">
        <v>1</v>
      </c>
      <c r="D45" s="81" t="n">
        <v>-40028922</v>
      </c>
      <c r="E45" s="81" t="n">
        <v>0</v>
      </c>
      <c r="F45" s="81" t="n">
        <v>-40028922</v>
      </c>
      <c r="G45" s="81" t="n">
        <v>0</v>
      </c>
      <c r="H45" s="81" t="n">
        <v>15818.30225</v>
      </c>
      <c r="I45" s="81" t="n">
        <v>6132.009322</v>
      </c>
      <c r="J45" s="81" t="n">
        <v>0</v>
      </c>
      <c r="K45" s="81" t="n">
        <v>13708.84898</v>
      </c>
      <c r="L45" s="81" t="n">
        <v>9372.339625000001</v>
      </c>
      <c r="M45" s="81" t="n">
        <v>0</v>
      </c>
      <c r="N45" s="81" t="n">
        <v>-40028922</v>
      </c>
      <c r="O45" s="81" t="n">
        <v>0</v>
      </c>
      <c r="P45" s="81" t="n">
        <v>6918.396918</v>
      </c>
      <c r="Q45" s="81" t="n">
        <v>5897.562664</v>
      </c>
      <c r="R45" s="81" t="n">
        <v>21002.389586</v>
      </c>
    </row>
    <row r="46">
      <c r="C46" s="15" t="n">
        <v>2</v>
      </c>
      <c r="D46" s="81" t="n">
        <v>8074.181162</v>
      </c>
      <c r="E46" s="81" t="n">
        <v>8186.446299</v>
      </c>
      <c r="F46" s="81" t="n">
        <v>0</v>
      </c>
      <c r="G46" s="81" t="n">
        <v>0</v>
      </c>
      <c r="H46" s="81" t="n">
        <v>9834.263471</v>
      </c>
      <c r="I46" s="81" t="n">
        <v>14601.56764</v>
      </c>
      <c r="J46" s="81" t="n">
        <v>6563.431588</v>
      </c>
      <c r="K46" s="81" t="n">
        <v>0</v>
      </c>
      <c r="L46" s="81" t="n">
        <v>0</v>
      </c>
      <c r="M46" s="81" t="n">
        <v>5627.912588</v>
      </c>
      <c r="N46" s="81" t="n">
        <v>0</v>
      </c>
      <c r="O46" s="81" t="n">
        <v>12387.655605</v>
      </c>
      <c r="P46" s="81" t="n">
        <v>10079.393149</v>
      </c>
      <c r="Q46" s="81" t="n">
        <v>19670.322975</v>
      </c>
      <c r="R46" s="81" t="n">
        <v>12770.937933</v>
      </c>
    </row>
    <row r="47">
      <c r="C47" s="15" t="n">
        <v>3</v>
      </c>
      <c r="D47" s="81" t="n">
        <v>19048.847044</v>
      </c>
      <c r="E47" s="81" t="n">
        <v>0</v>
      </c>
      <c r="F47" s="81" t="n">
        <v>0</v>
      </c>
      <c r="G47" s="81" t="n">
        <v>17725.552026</v>
      </c>
      <c r="H47" s="81" t="n">
        <v>0</v>
      </c>
      <c r="I47" s="81" t="n">
        <v>18633.410754</v>
      </c>
      <c r="J47" s="81" t="n">
        <v>7876.716274</v>
      </c>
      <c r="K47" s="81" t="n">
        <v>0</v>
      </c>
      <c r="L47" s="81" t="n">
        <v>0</v>
      </c>
      <c r="M47" s="81" t="n">
        <v>0</v>
      </c>
      <c r="N47" s="81" t="n">
        <v>6106.984279</v>
      </c>
      <c r="O47" s="81" t="n">
        <v>8295.877818999999</v>
      </c>
      <c r="P47" s="81" t="n">
        <v>0</v>
      </c>
      <c r="Q47" s="81" t="n">
        <v>0</v>
      </c>
      <c r="R47" s="81" t="n">
        <v>10070.459227</v>
      </c>
    </row>
    <row r="49">
      <c r="C49" s="15" t="inlineStr">
        <is>
          <t>DesvPad(ND*ELT)</t>
        </is>
      </c>
      <c r="D49" s="15" t="n">
        <v>1</v>
      </c>
      <c r="E49" s="15" t="n">
        <v>2</v>
      </c>
      <c r="F49" s="15" t="n">
        <v>3</v>
      </c>
      <c r="G49" s="15" t="n">
        <v>4</v>
      </c>
      <c r="H49" s="15" t="n">
        <v>5</v>
      </c>
      <c r="I49" s="15" t="n">
        <v>6</v>
      </c>
      <c r="J49" s="15" t="n">
        <v>7</v>
      </c>
      <c r="K49" s="15" t="n">
        <v>8</v>
      </c>
      <c r="L49" s="15" t="n">
        <v>9</v>
      </c>
      <c r="M49" s="15" t="n">
        <v>10</v>
      </c>
      <c r="N49" s="15" t="n">
        <v>11</v>
      </c>
      <c r="O49" s="15" t="n">
        <v>12</v>
      </c>
      <c r="P49" s="15" t="n">
        <v>13</v>
      </c>
      <c r="Q49" s="15" t="n">
        <v>14</v>
      </c>
      <c r="R49" s="15" t="n">
        <v>15</v>
      </c>
    </row>
    <row r="50">
      <c r="C50" s="15" t="n">
        <v>1</v>
      </c>
      <c r="D50" s="81" t="n">
        <v>-40028922</v>
      </c>
      <c r="E50" s="81" t="n">
        <v>0</v>
      </c>
      <c r="F50" s="81" t="n">
        <v>-40028922</v>
      </c>
      <c r="G50" s="81" t="n">
        <v>0</v>
      </c>
      <c r="H50" s="81" t="n">
        <v>89.3519</v>
      </c>
      <c r="I50" s="81" t="n">
        <v>58.127</v>
      </c>
      <c r="J50" s="81" t="n">
        <v>0</v>
      </c>
      <c r="K50" s="81" t="n">
        <v>86.01690000000001</v>
      </c>
      <c r="L50" s="81" t="n">
        <v>70.3036</v>
      </c>
      <c r="M50" s="81" t="n">
        <v>0</v>
      </c>
      <c r="N50" s="81" t="n">
        <v>84.74079999999999</v>
      </c>
      <c r="O50" s="81" t="n">
        <v>0</v>
      </c>
      <c r="P50" s="81" t="n">
        <v>59.7737</v>
      </c>
      <c r="Q50" s="81" t="n">
        <v>56.3029</v>
      </c>
      <c r="R50" s="81" t="n">
        <v>106.0337</v>
      </c>
    </row>
    <row r="51">
      <c r="C51" s="15" t="n">
        <v>2</v>
      </c>
      <c r="D51" s="81" t="n">
        <v>223.0756</v>
      </c>
      <c r="E51" s="81" t="n">
        <v>64.8184</v>
      </c>
      <c r="F51" s="81" t="n">
        <v>0</v>
      </c>
      <c r="G51" s="81" t="n">
        <v>0</v>
      </c>
      <c r="H51" s="81" t="n">
        <v>70.3806</v>
      </c>
      <c r="I51" s="81" t="n">
        <v>86.49209999999999</v>
      </c>
      <c r="J51" s="81" t="n">
        <v>57.3334</v>
      </c>
      <c r="K51" s="81" t="n">
        <v>0</v>
      </c>
      <c r="L51" s="81" t="n">
        <v>0</v>
      </c>
      <c r="M51" s="81" t="n">
        <v>54.2832</v>
      </c>
      <c r="N51" s="81" t="n">
        <v>0</v>
      </c>
      <c r="O51" s="81" t="n">
        <v>79.8168</v>
      </c>
      <c r="P51" s="81" t="n">
        <v>72.0508</v>
      </c>
      <c r="Q51" s="81" t="n">
        <v>99.76730000000001</v>
      </c>
      <c r="R51" s="81" t="n">
        <v>81.2089</v>
      </c>
    </row>
    <row r="52">
      <c r="C52" s="15" t="n">
        <v>3</v>
      </c>
      <c r="D52" s="81" t="n">
        <v>102.4257</v>
      </c>
      <c r="E52" s="81" t="n">
        <v>0</v>
      </c>
      <c r="F52" s="81" t="n">
        <v>0</v>
      </c>
      <c r="G52" s="81" t="n">
        <v>95.6105</v>
      </c>
      <c r="H52" s="81" t="n">
        <v>0</v>
      </c>
      <c r="I52" s="81" t="n">
        <v>103.1899</v>
      </c>
      <c r="J52" s="81" t="n">
        <v>68.1494</v>
      </c>
      <c r="K52" s="81" t="n">
        <v>0</v>
      </c>
      <c r="L52" s="81" t="n">
        <v>0</v>
      </c>
      <c r="M52" s="81" t="n">
        <v>0</v>
      </c>
      <c r="N52" s="81" t="n">
        <v>58.2861</v>
      </c>
      <c r="O52" s="81" t="n">
        <v>64.4752</v>
      </c>
      <c r="P52" s="81" t="n">
        <v>0</v>
      </c>
      <c r="Q52" s="81" t="n">
        <v>0</v>
      </c>
      <c r="R52" s="81" t="n">
        <v>72.0919</v>
      </c>
    </row>
    <row r="54" ht="23.4" customHeight="1">
      <c r="C54" s="60" t="inlineStr">
        <is>
          <t>FACTORIES</t>
        </is>
      </c>
    </row>
    <row r="55">
      <c r="C55" s="15" t="inlineStr">
        <is>
          <t>demand</t>
        </is>
      </c>
      <c r="D55" s="15" t="n">
        <v>16</v>
      </c>
      <c r="E55" s="15" t="n">
        <v>17</v>
      </c>
      <c r="F55" s="15" t="n">
        <v>18</v>
      </c>
    </row>
    <row r="56">
      <c r="C56" s="15" t="n">
        <v>4</v>
      </c>
      <c r="D56" s="39" t="n">
        <v>1894.6</v>
      </c>
      <c r="E56" s="39" t="n">
        <v>1607.87</v>
      </c>
      <c r="F56" s="39" t="n">
        <v>1829.53</v>
      </c>
    </row>
    <row r="57">
      <c r="B57" s="39" t="n"/>
      <c r="C57" s="15" t="n">
        <v>5</v>
      </c>
      <c r="D57" s="39" t="n">
        <v>1303.06</v>
      </c>
      <c r="E57" s="39" t="n">
        <v>1484.38</v>
      </c>
      <c r="F57" s="39" t="n">
        <v>1783.87</v>
      </c>
    </row>
    <row r="58">
      <c r="C58" s="15" t="n">
        <v>6</v>
      </c>
      <c r="D58" s="39" t="n">
        <v>1377.91</v>
      </c>
      <c r="E58" s="39" t="n">
        <v>1520.56</v>
      </c>
      <c r="F58" s="39" t="n">
        <v>1301.6</v>
      </c>
    </row>
    <row r="60">
      <c r="B60" s="15" t="inlineStr">
        <is>
          <t>Parâmetro p/ μy</t>
        </is>
      </c>
      <c r="C60" s="15" t="inlineStr">
        <is>
          <t>Média(E(RLT))</t>
        </is>
      </c>
      <c r="D60" s="15" t="n">
        <v>16</v>
      </c>
      <c r="E60" s="15" t="n">
        <v>17</v>
      </c>
      <c r="F60" s="15" t="n">
        <v>18</v>
      </c>
    </row>
    <row r="61">
      <c r="B61" s="15" t="inlineStr">
        <is>
          <t>LB e DesvPad(ND*RLT)</t>
        </is>
      </c>
      <c r="C61" s="15" t="n">
        <v>4</v>
      </c>
      <c r="D61" s="39" t="n">
        <v>4.889</v>
      </c>
      <c r="E61" s="39" t="n">
        <v>6.521</v>
      </c>
      <c r="F61" s="39" t="n">
        <v>4.091</v>
      </c>
    </row>
    <row r="62">
      <c r="B62" s="15" t="inlineStr">
        <is>
          <t>LB e DesvPad(ND*RLT)</t>
        </is>
      </c>
      <c r="C62" s="15" t="n">
        <v>5</v>
      </c>
      <c r="D62" s="39" t="n">
        <v>3.548</v>
      </c>
      <c r="E62" s="39" t="n">
        <v>6.734</v>
      </c>
      <c r="F62" s="39" t="n">
        <v>4.237</v>
      </c>
    </row>
    <row r="63">
      <c r="B63" s="15" t="inlineStr">
        <is>
          <t>LB e DesvPad(ND*RLT)</t>
        </is>
      </c>
      <c r="C63" s="15" t="n">
        <v>6</v>
      </c>
      <c r="D63" s="39" t="n">
        <v>4.35</v>
      </c>
      <c r="E63" s="39" t="n">
        <v>5.496</v>
      </c>
      <c r="F63" s="39" t="n">
        <v>4.967</v>
      </c>
    </row>
    <row r="65">
      <c r="C65" s="15" t="inlineStr">
        <is>
          <t>Cap</t>
        </is>
      </c>
      <c r="D65" s="15" t="n">
        <v>16</v>
      </c>
      <c r="E65" s="15" t="n">
        <v>17</v>
      </c>
      <c r="F65" s="15" t="n">
        <v>18</v>
      </c>
    </row>
    <row r="66">
      <c r="C66" s="15" t="n">
        <v>4</v>
      </c>
      <c r="D66" s="39" t="n">
        <v>1390.95</v>
      </c>
      <c r="E66" s="39" t="n">
        <v>1437.58</v>
      </c>
      <c r="F66" s="39" t="n">
        <v>1688.77</v>
      </c>
    </row>
    <row r="67">
      <c r="C67" s="15" t="n">
        <v>5</v>
      </c>
      <c r="D67" s="39" t="n">
        <v>1503.1</v>
      </c>
      <c r="E67" s="39" t="n">
        <v>1294.01</v>
      </c>
      <c r="F67" s="39" t="n">
        <v>2188.83</v>
      </c>
    </row>
    <row r="68">
      <c r="C68" s="15" t="n">
        <v>6</v>
      </c>
      <c r="D68" s="39" t="n">
        <v>1709.45</v>
      </c>
      <c r="E68" s="39" t="n">
        <v>1169.55</v>
      </c>
      <c r="F68" s="39" t="n">
        <v>2274.49</v>
      </c>
    </row>
    <row r="70">
      <c r="B70" s="15" t="inlineStr">
        <is>
          <t>Parâmetro p/ μx</t>
        </is>
      </c>
      <c r="C70" s="15" t="inlineStr">
        <is>
          <t>Var(d-cap)</t>
        </is>
      </c>
      <c r="D70" s="15" t="n">
        <v>16</v>
      </c>
      <c r="E70" s="15" t="n">
        <v>17</v>
      </c>
      <c r="F70" s="15" t="n">
        <v>18</v>
      </c>
    </row>
    <row r="71">
      <c r="B71" s="15" t="inlineStr">
        <is>
          <t>LB</t>
        </is>
      </c>
      <c r="C71" s="15" t="n">
        <v>4</v>
      </c>
      <c r="D71" s="54" t="inlineStr">
        <is>
          <t>7365,6680</t>
        </is>
      </c>
      <c r="E71" s="54" t="inlineStr">
        <is>
          <t>6202,5095</t>
        </is>
      </c>
      <c r="F71" s="54" t="inlineStr">
        <is>
          <t>8265,4988</t>
        </is>
      </c>
    </row>
    <row r="72">
      <c r="B72" s="15" t="inlineStr">
        <is>
          <t>LB</t>
        </is>
      </c>
      <c r="C72" s="15" t="n">
        <v>5</v>
      </c>
      <c r="D72" s="53" t="n"/>
      <c r="E72" s="54" t="inlineStr">
        <is>
          <t>5170,4611</t>
        </is>
      </c>
      <c r="F72" s="53" t="n"/>
    </row>
    <row r="73">
      <c r="B73" s="15" t="inlineStr">
        <is>
          <t>LB</t>
        </is>
      </c>
      <c r="C73" s="15" t="n">
        <v>6</v>
      </c>
      <c r="D73" s="53" t="n"/>
      <c r="E73" s="54" t="inlineStr">
        <is>
          <t>4906,5998</t>
        </is>
      </c>
      <c r="F73" s="53" t="n"/>
    </row>
    <row r="75" ht="16.2" customHeight="1">
      <c r="B75" s="15" t="inlineStr">
        <is>
          <t>Parâmetro p/ σx</t>
        </is>
      </c>
      <c r="C75" s="15" t="inlineStr">
        <is>
          <t>Desvpad(Var(S2nd))</t>
        </is>
      </c>
      <c r="D75" s="15" t="n">
        <v>16</v>
      </c>
      <c r="E75" s="15" t="n">
        <v>17</v>
      </c>
      <c r="F75" s="15" t="n">
        <v>18</v>
      </c>
    </row>
    <row r="76">
      <c r="B76" s="15" t="inlineStr">
        <is>
          <t>LB</t>
        </is>
      </c>
      <c r="C76" s="15" t="n">
        <v>4</v>
      </c>
      <c r="D76" s="54" t="inlineStr">
        <is>
          <t>4277,7774</t>
        </is>
      </c>
      <c r="E76" s="54" t="inlineStr">
        <is>
          <t>3472,1356</t>
        </is>
      </c>
      <c r="F76" s="54" t="inlineStr">
        <is>
          <t>4613,1497</t>
        </is>
      </c>
    </row>
    <row r="77">
      <c r="B77" s="15" t="inlineStr">
        <is>
          <t>LB</t>
        </is>
      </c>
      <c r="C77" s="15" t="n">
        <v>5</v>
      </c>
      <c r="D77" s="53" t="n"/>
      <c r="E77" s="54" t="inlineStr">
        <is>
          <t>2903,2134</t>
        </is>
      </c>
      <c r="F77" s="53" t="n"/>
    </row>
    <row r="78">
      <c r="B78" s="15" t="inlineStr">
        <is>
          <t>LB</t>
        </is>
      </c>
      <c r="C78" s="15" t="n">
        <v>6</v>
      </c>
      <c r="D78" s="53" t="n"/>
      <c r="E78" s="54" t="inlineStr">
        <is>
          <t>2818,2132</t>
        </is>
      </c>
      <c r="F78" s="53" t="n"/>
    </row>
    <row r="80">
      <c r="B80" s="15" t="inlineStr">
        <is>
          <t>Parâmetro p/ σy</t>
        </is>
      </c>
      <c r="C80" s="15" t="inlineStr">
        <is>
          <t>DesvPadVar(E(RLT))</t>
        </is>
      </c>
      <c r="D80" s="15" t="n">
        <v>16</v>
      </c>
      <c r="E80" s="15" t="n">
        <v>17</v>
      </c>
      <c r="F80" s="15" t="n">
        <v>18</v>
      </c>
    </row>
    <row r="81">
      <c r="B81" s="15" t="inlineStr">
        <is>
          <t>LB e DesvPad(ND*RLT)</t>
        </is>
      </c>
      <c r="C81" s="15" t="n">
        <v>4</v>
      </c>
      <c r="D81" s="79" t="n">
        <v>0.1783</v>
      </c>
      <c r="E81" s="79" t="n">
        <v>0.2379</v>
      </c>
      <c r="F81" s="79" t="n">
        <v>0.1493</v>
      </c>
    </row>
    <row r="82">
      <c r="B82" s="15" t="inlineStr">
        <is>
          <t>LB e DesvPad(ND*RLT)</t>
        </is>
      </c>
      <c r="C82" s="15" t="n">
        <v>5</v>
      </c>
      <c r="D82" s="79" t="n">
        <v>0.1292</v>
      </c>
      <c r="E82" s="79" t="n">
        <v>0.2457</v>
      </c>
      <c r="F82" s="79" t="n">
        <v>0.1545</v>
      </c>
    </row>
    <row r="83">
      <c r="B83" s="15" t="inlineStr">
        <is>
          <t>LB e DesvPad(ND*RLT)</t>
        </is>
      </c>
      <c r="C83" s="15" t="n">
        <v>6</v>
      </c>
      <c r="D83" s="79" t="n">
        <v>0.1587</v>
      </c>
      <c r="E83" s="79" t="n">
        <v>0.2004</v>
      </c>
      <c r="F83" s="79" t="n">
        <v>0.1811</v>
      </c>
    </row>
    <row r="85">
      <c r="B85" s="15" t="inlineStr">
        <is>
          <t>Parâmetro p/ μx</t>
        </is>
      </c>
      <c r="C85" s="15" t="inlineStr">
        <is>
          <t>Média(d-Cap)</t>
        </is>
      </c>
      <c r="D85" s="15" t="n">
        <v>16</v>
      </c>
      <c r="E85" s="15" t="n">
        <v>17</v>
      </c>
      <c r="F85" s="15" t="n">
        <v>18</v>
      </c>
    </row>
    <row r="86">
      <c r="B86" s="15" t="inlineStr">
        <is>
          <t>DesvPad(ND*RLT)</t>
        </is>
      </c>
      <c r="C86" s="15" t="n">
        <v>4</v>
      </c>
      <c r="D86" s="81" t="n">
        <v>503.6499999999999</v>
      </c>
      <c r="E86" s="81" t="n">
        <v>170.29</v>
      </c>
      <c r="F86" s="81" t="n">
        <v>140.76</v>
      </c>
    </row>
    <row r="87">
      <c r="B87" s="15" t="inlineStr">
        <is>
          <t>DesvPad(ND*RLT)</t>
        </is>
      </c>
      <c r="C87" s="15" t="n">
        <v>5</v>
      </c>
      <c r="D87" s="81" t="n">
        <v>-200.04</v>
      </c>
      <c r="E87" s="81" t="n">
        <v>190.3700000000001</v>
      </c>
      <c r="F87" s="81" t="n">
        <v>-404.96</v>
      </c>
    </row>
    <row r="88">
      <c r="B88" s="15" t="inlineStr">
        <is>
          <t>DesvPad(ND*RLT)</t>
        </is>
      </c>
      <c r="C88" s="15" t="n">
        <v>6</v>
      </c>
      <c r="D88" s="81" t="n">
        <v>-331.54</v>
      </c>
      <c r="E88" s="81" t="n">
        <v>351.01</v>
      </c>
      <c r="F88" s="81" t="n">
        <v>-972.8899999999999</v>
      </c>
    </row>
    <row r="90">
      <c r="B90" s="15" t="inlineStr">
        <is>
          <t>Parâmetro p/ σx</t>
        </is>
      </c>
      <c r="C90" s="15" t="inlineStr">
        <is>
          <t>DesvPad(Var(d-cap))</t>
        </is>
      </c>
      <c r="D90" s="15" t="n">
        <v>16</v>
      </c>
      <c r="E90" s="15" t="n">
        <v>17</v>
      </c>
      <c r="F90" s="15" t="n">
        <v>18</v>
      </c>
    </row>
    <row r="91">
      <c r="B91" s="15" t="inlineStr">
        <is>
          <t>DesvPad(ND*RLT)</t>
        </is>
      </c>
      <c r="C91" s="15" t="n">
        <v>4</v>
      </c>
      <c r="D91" s="81" t="n">
        <v>85.82346998344916</v>
      </c>
      <c r="E91" s="81" t="n">
        <v>78.75601246889028</v>
      </c>
      <c r="F91" s="81" t="n">
        <v>90.91478867599044</v>
      </c>
    </row>
    <row r="92">
      <c r="B92" s="15" t="inlineStr">
        <is>
          <t>DesvPad(ND*RLT)</t>
        </is>
      </c>
      <c r="C92" s="15" t="n">
        <v>5</v>
      </c>
      <c r="D92" s="81" t="n">
        <v>0</v>
      </c>
      <c r="E92" s="81" t="n">
        <v>71.90591839341182</v>
      </c>
      <c r="F92" s="81" t="n">
        <v>0</v>
      </c>
    </row>
    <row r="93">
      <c r="B93" s="15" t="inlineStr">
        <is>
          <t>DesvPad(ND*RLT)</t>
        </is>
      </c>
      <c r="C93" s="15" t="n">
        <v>6</v>
      </c>
      <c r="D93" s="81" t="n">
        <v>0</v>
      </c>
      <c r="E93" s="81" t="n">
        <v>70.04712556557907</v>
      </c>
      <c r="F93" s="81" t="n">
        <v>0</v>
      </c>
    </row>
    <row r="95">
      <c r="C95" s="15" t="inlineStr">
        <is>
          <t>Prob1</t>
        </is>
      </c>
      <c r="D95" s="51" t="n">
        <v>0.98</v>
      </c>
    </row>
    <row r="96">
      <c r="E96" s="51" t="n"/>
      <c r="F96" s="51" t="n"/>
    </row>
    <row r="97">
      <c r="C97" s="15" t="inlineStr">
        <is>
          <t>LB</t>
        </is>
      </c>
      <c r="D97" s="15" t="n">
        <v>16</v>
      </c>
      <c r="E97" s="15" t="n">
        <v>17</v>
      </c>
      <c r="F97" s="15" t="n">
        <v>18</v>
      </c>
    </row>
    <row r="98">
      <c r="C98" s="15" t="n">
        <v>4</v>
      </c>
      <c r="D98" s="81" t="n">
        <v>79279.530407</v>
      </c>
      <c r="E98" s="81" t="n">
        <v>87272.45713</v>
      </c>
      <c r="F98" s="81" t="n">
        <v>72838.994498</v>
      </c>
    </row>
    <row r="99">
      <c r="C99" s="15" t="n">
        <v>5</v>
      </c>
      <c r="D99" s="81" t="n"/>
      <c r="E99" s="81" t="n">
        <v>75216.29309399999</v>
      </c>
      <c r="F99" s="81" t="n"/>
    </row>
    <row r="100">
      <c r="C100" s="15" t="n">
        <v>6</v>
      </c>
      <c r="D100" s="81" t="n"/>
      <c r="E100" s="81" t="n">
        <v>59044.691188</v>
      </c>
      <c r="F100" s="81" t="n"/>
    </row>
    <row r="102">
      <c r="C102" s="15" t="inlineStr">
        <is>
          <t>DesvPad(ND*ELT)</t>
        </is>
      </c>
      <c r="D102" s="15" t="n">
        <v>16</v>
      </c>
      <c r="E102" s="15" t="n">
        <v>17</v>
      </c>
      <c r="F102" s="15" t="n">
        <v>18</v>
      </c>
    </row>
    <row r="103">
      <c r="C103" s="15" t="n">
        <v>4</v>
      </c>
      <c r="D103" s="81" t="n">
        <v>205.1894</v>
      </c>
      <c r="E103" s="81" t="n">
        <v>209.9278</v>
      </c>
      <c r="F103" s="81" t="n">
        <v>191.3891</v>
      </c>
    </row>
    <row r="104">
      <c r="C104" s="15" t="n">
        <v>5</v>
      </c>
      <c r="D104" s="81" t="n">
        <v>0</v>
      </c>
      <c r="E104" s="81" t="n">
        <v>195.2975</v>
      </c>
      <c r="F104" s="81" t="n">
        <v>0</v>
      </c>
    </row>
    <row r="105">
      <c r="C105" s="15" t="n">
        <v>6</v>
      </c>
      <c r="D105" s="81" t="n">
        <v>0</v>
      </c>
      <c r="E105" s="81" t="n">
        <v>175.744</v>
      </c>
      <c r="F105" s="81" t="n">
        <v>0</v>
      </c>
    </row>
  </sheetData>
  <conditionalFormatting sqref="D86:F88">
    <cfRule type="cellIs" priority="2" operator="equal" dxfId="9">
      <formula>1</formula>
    </cfRule>
  </conditionalFormatting>
  <conditionalFormatting sqref="D91:F93">
    <cfRule type="cellIs" priority="1" operator="equal" dxfId="9">
      <formula>1</formula>
    </cfRule>
  </conditionalFormatting>
  <conditionalFormatting sqref="D98:F100">
    <cfRule type="cellIs" priority="8" operator="equal" dxfId="9">
      <formula>1</formula>
    </cfRule>
  </conditionalFormatting>
  <conditionalFormatting sqref="D103:F105">
    <cfRule type="cellIs" priority="7" operator="equal" dxfId="9">
      <formula>1</formula>
    </cfRule>
  </conditionalFormatting>
  <conditionalFormatting sqref="D33:R35">
    <cfRule type="cellIs" priority="4" operator="equal" dxfId="9">
      <formula>1</formula>
    </cfRule>
  </conditionalFormatting>
  <conditionalFormatting sqref="D38:R40">
    <cfRule type="cellIs" priority="3" operator="equal" dxfId="9">
      <formula>1</formula>
    </cfRule>
  </conditionalFormatting>
  <conditionalFormatting sqref="D45:R47">
    <cfRule type="cellIs" priority="6" operator="equal" dxfId="9">
      <formula>1</formula>
    </cfRule>
  </conditionalFormatting>
  <conditionalFormatting sqref="D50:R52">
    <cfRule type="cellIs" priority="5" operator="equal" dxfId="9">
      <formula>1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7"/>
  <sheetViews>
    <sheetView zoomScale="90" zoomScaleNormal="90" workbookViewId="0">
      <selection activeCell="D36" sqref="D36"/>
    </sheetView>
  </sheetViews>
  <sheetFormatPr baseColWidth="8" defaultRowHeight="14.4"/>
  <cols>
    <col width="11" customWidth="1" style="15" min="1" max="1"/>
    <col width="17.109375" customWidth="1" style="15" min="2" max="2"/>
    <col width="18.44140625" bestFit="1" customWidth="1" style="15" min="3" max="3"/>
    <col width="12" bestFit="1" customWidth="1" style="15" min="4" max="18"/>
    <col width="8.88671875" customWidth="1" style="15" min="19" max="16384"/>
  </cols>
  <sheetData>
    <row r="1" ht="23.4" customHeight="1">
      <c r="C1" s="60" t="inlineStr">
        <is>
          <t>SUPPLIERS</t>
        </is>
      </c>
    </row>
    <row r="2">
      <c r="B2" s="15" t="inlineStr">
        <is>
          <t>Parâmetros p/</t>
        </is>
      </c>
      <c r="C2" s="15" t="inlineStr">
        <is>
          <t>demand</t>
        </is>
      </c>
      <c r="D2" s="15" t="n">
        <v>1</v>
      </c>
      <c r="E2" s="15" t="n">
        <v>2</v>
      </c>
      <c r="F2" s="15" t="n">
        <v>3</v>
      </c>
      <c r="G2" s="15" t="n">
        <v>4</v>
      </c>
      <c r="H2" s="15" t="n">
        <v>5</v>
      </c>
      <c r="I2" s="15" t="n">
        <v>6</v>
      </c>
      <c r="J2" s="15" t="n">
        <v>7</v>
      </c>
      <c r="K2" s="15" t="n">
        <v>8</v>
      </c>
      <c r="L2" s="15" t="n">
        <v>9</v>
      </c>
      <c r="M2" s="15" t="n">
        <v>10</v>
      </c>
      <c r="N2" s="15" t="n">
        <v>11</v>
      </c>
      <c r="O2" s="15" t="n">
        <v>12</v>
      </c>
      <c r="P2" s="15" t="n">
        <v>13</v>
      </c>
      <c r="Q2" s="15" t="n">
        <v>14</v>
      </c>
      <c r="R2" s="15" t="n">
        <v>15</v>
      </c>
    </row>
    <row r="3">
      <c r="B3" s="15" t="inlineStr">
        <is>
          <t>Prob(D*ELT)</t>
        </is>
      </c>
      <c r="C3" s="15" t="n">
        <v>1</v>
      </c>
      <c r="D3" s="39" t="n">
        <v>231.5</v>
      </c>
      <c r="E3" s="39" t="n">
        <v>297.34</v>
      </c>
      <c r="F3" s="39" t="n">
        <v>217.82</v>
      </c>
      <c r="G3" s="39" t="n">
        <v>222.62</v>
      </c>
      <c r="H3" s="55" t="n">
        <v>453.86</v>
      </c>
      <c r="I3" s="55" t="n">
        <v>315.98</v>
      </c>
      <c r="J3" s="39" t="n">
        <v>216.18</v>
      </c>
      <c r="K3" s="55" t="n">
        <v>463.97</v>
      </c>
      <c r="L3" s="55" t="n">
        <v>404.65</v>
      </c>
      <c r="M3" s="39" t="n">
        <v>334.69</v>
      </c>
      <c r="N3" s="55" t="n">
        <v>440.61</v>
      </c>
      <c r="O3" s="39" t="n">
        <v>225.39</v>
      </c>
      <c r="P3" s="55" t="n">
        <v>314.98</v>
      </c>
      <c r="Q3" s="55" t="n">
        <v>305.23</v>
      </c>
      <c r="R3" s="55" t="n">
        <v>541.84</v>
      </c>
    </row>
    <row r="4">
      <c r="B4" s="15" t="inlineStr">
        <is>
          <t>Prob(D*ELT)</t>
        </is>
      </c>
      <c r="C4" s="15" t="n">
        <v>2</v>
      </c>
      <c r="D4" s="55" t="n">
        <v>358.95</v>
      </c>
      <c r="E4" s="55" t="n">
        <v>308.97</v>
      </c>
      <c r="F4" s="39" t="n">
        <v>264.61</v>
      </c>
      <c r="G4" s="39" t="n">
        <v>343.62</v>
      </c>
      <c r="H4" s="55" t="n">
        <v>399.3</v>
      </c>
      <c r="I4" s="55" t="n">
        <v>433.24</v>
      </c>
      <c r="J4" s="55" t="n">
        <v>310.82</v>
      </c>
      <c r="K4" s="39" t="n">
        <v>234.15</v>
      </c>
      <c r="L4" s="39" t="n">
        <v>302.73</v>
      </c>
      <c r="M4" s="55" t="n">
        <v>304.23</v>
      </c>
      <c r="N4" s="39" t="n">
        <v>278.95</v>
      </c>
      <c r="O4" s="55" t="n">
        <v>403.93</v>
      </c>
      <c r="P4" s="55" t="n">
        <v>327.87</v>
      </c>
      <c r="Q4" s="55" t="n">
        <v>462.67</v>
      </c>
      <c r="R4" s="55" t="n">
        <v>445.18</v>
      </c>
    </row>
    <row r="5">
      <c r="B5" s="15" t="inlineStr">
        <is>
          <t>Prob(D*ELT)</t>
        </is>
      </c>
      <c r="C5" s="15" t="n">
        <v>3</v>
      </c>
      <c r="D5" s="55" t="n">
        <v>492.88</v>
      </c>
      <c r="E5" s="39" t="n">
        <v>260.36</v>
      </c>
      <c r="F5" s="39" t="n">
        <v>232.33</v>
      </c>
      <c r="G5" s="55" t="n">
        <v>514.3200000000001</v>
      </c>
      <c r="H5" s="39" t="n">
        <v>271.63</v>
      </c>
      <c r="I5" s="55" t="n">
        <v>506.16</v>
      </c>
      <c r="J5" s="55" t="n">
        <v>393.21</v>
      </c>
      <c r="K5" s="39" t="n">
        <v>346.58</v>
      </c>
      <c r="L5" s="39" t="n">
        <v>267.82</v>
      </c>
      <c r="M5" s="39" t="n">
        <v>272.81</v>
      </c>
      <c r="N5" s="55" t="n">
        <v>372.8</v>
      </c>
      <c r="O5" s="55" t="n">
        <v>326.64</v>
      </c>
      <c r="P5" s="39" t="n">
        <v>338.03</v>
      </c>
      <c r="Q5" s="39" t="n">
        <v>348.46</v>
      </c>
      <c r="R5" s="55" t="n">
        <v>405.85</v>
      </c>
    </row>
    <row r="6">
      <c r="A6" s="15" t="inlineStr">
        <is>
          <t>CV</t>
        </is>
      </c>
    </row>
    <row r="7">
      <c r="A7" s="15" t="n">
        <v>0.2</v>
      </c>
      <c r="B7" s="15" t="inlineStr">
        <is>
          <t>Parâmetros</t>
        </is>
      </c>
      <c r="C7" s="15" t="inlineStr">
        <is>
          <t>DesvPad(demand)</t>
        </is>
      </c>
      <c r="D7" s="15" t="n">
        <v>1</v>
      </c>
      <c r="E7" s="15" t="n">
        <v>2</v>
      </c>
      <c r="F7" s="15" t="n">
        <v>3</v>
      </c>
      <c r="G7" s="15" t="n">
        <v>4</v>
      </c>
      <c r="H7" s="15" t="n">
        <v>5</v>
      </c>
      <c r="I7" s="15" t="n">
        <v>6</v>
      </c>
      <c r="J7" s="15" t="n">
        <v>7</v>
      </c>
      <c r="K7" s="15" t="n">
        <v>8</v>
      </c>
      <c r="L7" s="15" t="n">
        <v>9</v>
      </c>
      <c r="M7" s="15" t="n">
        <v>10</v>
      </c>
      <c r="N7" s="15" t="n">
        <v>11</v>
      </c>
      <c r="O7" s="15" t="n">
        <v>12</v>
      </c>
      <c r="P7" s="15" t="n">
        <v>13</v>
      </c>
      <c r="Q7" s="15" t="n">
        <v>14</v>
      </c>
      <c r="R7" s="15" t="n">
        <v>15</v>
      </c>
    </row>
    <row r="8">
      <c r="B8" s="15" t="inlineStr">
        <is>
          <t>Prob(D*ELT)</t>
        </is>
      </c>
      <c r="C8" s="15" t="n">
        <v>1</v>
      </c>
      <c r="D8" s="15" t="n">
        <v>46.3</v>
      </c>
      <c r="E8" s="15" t="n">
        <v>59.468</v>
      </c>
      <c r="F8" s="15" t="n">
        <v>43.564</v>
      </c>
      <c r="G8" s="15" t="n">
        <v>44.524</v>
      </c>
      <c r="H8" s="15" t="n">
        <v>90.77200000000001</v>
      </c>
      <c r="I8" s="15" t="n">
        <v>63.19600000000001</v>
      </c>
      <c r="J8" s="15" t="n">
        <v>43.236</v>
      </c>
      <c r="K8" s="15" t="n">
        <v>92.79400000000001</v>
      </c>
      <c r="L8" s="15" t="n">
        <v>80.93000000000001</v>
      </c>
      <c r="M8" s="15" t="n">
        <v>66.938</v>
      </c>
      <c r="N8" s="15" t="n">
        <v>88.12200000000001</v>
      </c>
      <c r="O8" s="15" t="n">
        <v>45.078</v>
      </c>
      <c r="P8" s="15" t="n">
        <v>62.99600000000001</v>
      </c>
      <c r="Q8" s="15" t="n">
        <v>61.04600000000001</v>
      </c>
      <c r="R8" s="15" t="n">
        <v>108.368</v>
      </c>
    </row>
    <row r="9">
      <c r="B9" s="15" t="inlineStr">
        <is>
          <t>Prob(D*ELT)</t>
        </is>
      </c>
      <c r="C9" s="15" t="n">
        <v>2</v>
      </c>
      <c r="D9" s="15" t="n">
        <v>71.79000000000001</v>
      </c>
      <c r="E9" s="15" t="n">
        <v>61.79400000000001</v>
      </c>
      <c r="F9" s="15" t="n">
        <v>52.922</v>
      </c>
      <c r="G9" s="15" t="n">
        <v>68.724</v>
      </c>
      <c r="H9" s="15" t="n">
        <v>79.86000000000001</v>
      </c>
      <c r="I9" s="15" t="n">
        <v>86.64800000000001</v>
      </c>
      <c r="J9" s="15" t="n">
        <v>62.164</v>
      </c>
      <c r="K9" s="15" t="n">
        <v>46.83000000000001</v>
      </c>
      <c r="L9" s="15" t="n">
        <v>60.54600000000001</v>
      </c>
      <c r="M9" s="15" t="n">
        <v>60.846</v>
      </c>
      <c r="N9" s="15" t="n">
        <v>55.79</v>
      </c>
      <c r="O9" s="15" t="n">
        <v>80.786</v>
      </c>
      <c r="P9" s="15" t="n">
        <v>65.574</v>
      </c>
      <c r="Q9" s="15" t="n">
        <v>92.53400000000001</v>
      </c>
      <c r="R9" s="15" t="n">
        <v>89.036</v>
      </c>
    </row>
    <row r="10">
      <c r="B10" s="15" t="inlineStr">
        <is>
          <t>Prob(D*ELT)</t>
        </is>
      </c>
      <c r="C10" s="15" t="n">
        <v>3</v>
      </c>
      <c r="D10" s="15" t="n">
        <v>98.57600000000001</v>
      </c>
      <c r="E10" s="15" t="n">
        <v>52.072</v>
      </c>
      <c r="F10" s="15" t="n">
        <v>46.46600000000001</v>
      </c>
      <c r="G10" s="15" t="n">
        <v>102.864</v>
      </c>
      <c r="H10" s="15" t="n">
        <v>54.326</v>
      </c>
      <c r="I10" s="15" t="n">
        <v>101.232</v>
      </c>
      <c r="J10" s="15" t="n">
        <v>78.642</v>
      </c>
      <c r="K10" s="15" t="n">
        <v>69.316</v>
      </c>
      <c r="L10" s="15" t="n">
        <v>53.564</v>
      </c>
      <c r="M10" s="15" t="n">
        <v>54.562</v>
      </c>
      <c r="N10" s="15" t="n">
        <v>74.56</v>
      </c>
      <c r="O10" s="15" t="n">
        <v>65.328</v>
      </c>
      <c r="P10" s="15" t="n">
        <v>67.60599999999999</v>
      </c>
      <c r="Q10" s="15" t="n">
        <v>69.69199999999999</v>
      </c>
      <c r="R10" s="15" t="n">
        <v>81.17000000000002</v>
      </c>
    </row>
    <row r="12">
      <c r="B12" s="15" t="inlineStr">
        <is>
          <t>Parâmetros</t>
        </is>
      </c>
      <c r="C12" s="15" t="inlineStr">
        <is>
          <t>Média(E(RLT))</t>
        </is>
      </c>
      <c r="D12" s="15" t="n">
        <v>1</v>
      </c>
      <c r="E12" s="15" t="n">
        <v>2</v>
      </c>
      <c r="F12" s="15" t="n">
        <v>3</v>
      </c>
      <c r="G12" s="15" t="n">
        <v>4</v>
      </c>
      <c r="H12" s="15" t="n">
        <v>5</v>
      </c>
      <c r="I12" s="15" t="n">
        <v>6</v>
      </c>
      <c r="J12" s="15" t="n">
        <v>7</v>
      </c>
      <c r="K12" s="15" t="n">
        <v>8</v>
      </c>
      <c r="L12" s="15" t="n">
        <v>9</v>
      </c>
      <c r="M12" s="15" t="n">
        <v>10</v>
      </c>
      <c r="N12" s="15" t="n">
        <v>11</v>
      </c>
      <c r="O12" s="15" t="n">
        <v>12</v>
      </c>
      <c r="P12" s="15" t="n">
        <v>13</v>
      </c>
      <c r="Q12" s="15" t="n">
        <v>14</v>
      </c>
      <c r="R12" s="15" t="n">
        <v>15</v>
      </c>
    </row>
    <row r="13">
      <c r="B13" s="15" t="inlineStr">
        <is>
          <t>Prob(D*ELT)</t>
        </is>
      </c>
      <c r="C13" s="15" t="n">
        <v>1</v>
      </c>
      <c r="D13" s="39" t="n">
        <v>9.449999999999999</v>
      </c>
      <c r="E13" s="39" t="n">
        <v>14.92</v>
      </c>
      <c r="F13" s="39" t="n">
        <v>14.79</v>
      </c>
      <c r="G13" s="39" t="n">
        <v>17.69</v>
      </c>
      <c r="H13" s="55" t="n">
        <v>14.79</v>
      </c>
      <c r="I13" s="55" t="n">
        <v>14.31</v>
      </c>
      <c r="J13" s="39" t="n">
        <v>10.15</v>
      </c>
      <c r="K13" s="55" t="n">
        <v>14.45</v>
      </c>
      <c r="L13" s="55" t="n">
        <v>12.52</v>
      </c>
      <c r="M13" s="39" t="n">
        <v>11.45</v>
      </c>
      <c r="N13" s="55" t="n">
        <v>13.36</v>
      </c>
      <c r="O13" s="39" t="n">
        <v>13.38</v>
      </c>
      <c r="P13" s="55" t="n">
        <v>14.59</v>
      </c>
      <c r="Q13" s="55" t="n">
        <v>14.28</v>
      </c>
      <c r="R13" s="55" t="n">
        <v>16.04</v>
      </c>
    </row>
    <row r="14">
      <c r="B14" s="15" t="inlineStr">
        <is>
          <t>Prob(D*ELT)</t>
        </is>
      </c>
      <c r="C14" s="15" t="n">
        <v>2</v>
      </c>
      <c r="D14" s="55" t="n">
        <v>13.11</v>
      </c>
      <c r="E14" s="55" t="n">
        <v>17.64</v>
      </c>
      <c r="F14" s="39" t="n">
        <v>11.65</v>
      </c>
      <c r="G14" s="39" t="n">
        <v>20.06</v>
      </c>
      <c r="H14" s="55" t="n">
        <v>11.73</v>
      </c>
      <c r="I14" s="55" t="n">
        <v>15.92</v>
      </c>
      <c r="J14" s="55" t="n">
        <v>12.08</v>
      </c>
      <c r="K14" s="39" t="n">
        <v>15.93</v>
      </c>
      <c r="L14" s="39" t="n">
        <v>10.8</v>
      </c>
      <c r="M14" s="55" t="n">
        <v>13.12</v>
      </c>
      <c r="N14" s="39" t="n">
        <v>12.44</v>
      </c>
      <c r="O14" s="55" t="n">
        <v>15.71</v>
      </c>
      <c r="P14" s="55" t="n">
        <v>19.48</v>
      </c>
      <c r="Q14" s="55" t="n">
        <v>17.94</v>
      </c>
      <c r="R14" s="55" t="n">
        <v>13.48</v>
      </c>
    </row>
    <row r="15">
      <c r="B15" s="15" t="inlineStr">
        <is>
          <t>Prob(D*ELT)</t>
        </is>
      </c>
      <c r="C15" s="15" t="n">
        <v>3</v>
      </c>
      <c r="D15" s="55" t="n">
        <v>18.26</v>
      </c>
      <c r="E15" s="39" t="n">
        <v>19.27</v>
      </c>
      <c r="F15" s="39" t="n">
        <v>20.64</v>
      </c>
      <c r="G15" s="55" t="n">
        <v>13.97</v>
      </c>
      <c r="H15" s="39" t="n">
        <v>13.78</v>
      </c>
      <c r="I15" s="55" t="n">
        <v>17.6</v>
      </c>
      <c r="J15" s="55" t="n">
        <v>12.66</v>
      </c>
      <c r="K15" s="39" t="n">
        <v>13.15</v>
      </c>
      <c r="L15" s="39" t="n">
        <v>16.36</v>
      </c>
      <c r="M15" s="39" t="n">
        <v>15.94</v>
      </c>
      <c r="N15" s="55" t="n">
        <v>10.35</v>
      </c>
      <c r="O15" s="55" t="n">
        <v>14.02</v>
      </c>
      <c r="P15" s="39" t="n">
        <v>14.06</v>
      </c>
      <c r="Q15" s="39" t="n">
        <v>12.12</v>
      </c>
      <c r="R15" s="55" t="n">
        <v>12.77</v>
      </c>
    </row>
    <row r="17">
      <c r="A17" s="15" t="inlineStr">
        <is>
          <t>CV</t>
        </is>
      </c>
      <c r="B17" s="15" t="inlineStr">
        <is>
          <t>Parâmetros</t>
        </is>
      </c>
      <c r="C17" s="15" t="inlineStr">
        <is>
          <t>DesvPad(E(RLT))</t>
        </is>
      </c>
      <c r="D17" s="15" t="n">
        <v>1</v>
      </c>
      <c r="E17" s="15" t="n">
        <v>2</v>
      </c>
      <c r="F17" s="15" t="n">
        <v>3</v>
      </c>
      <c r="G17" s="15" t="n">
        <v>4</v>
      </c>
      <c r="H17" s="15" t="n">
        <v>5</v>
      </c>
      <c r="I17" s="15" t="n">
        <v>6</v>
      </c>
      <c r="J17" s="15" t="n">
        <v>7</v>
      </c>
      <c r="K17" s="15" t="n">
        <v>8</v>
      </c>
      <c r="L17" s="15" t="n">
        <v>9</v>
      </c>
      <c r="M17" s="15" t="n">
        <v>10</v>
      </c>
      <c r="N17" s="15" t="n">
        <v>11</v>
      </c>
      <c r="O17" s="15" t="n">
        <v>12</v>
      </c>
      <c r="P17" s="15" t="n">
        <v>13</v>
      </c>
      <c r="Q17" s="15" t="n">
        <v>14</v>
      </c>
      <c r="R17" s="15" t="n">
        <v>15</v>
      </c>
    </row>
    <row r="18">
      <c r="A18" s="15" t="n">
        <v>0.2</v>
      </c>
      <c r="B18" s="15" t="inlineStr">
        <is>
          <t>Prob(D*ELT)</t>
        </is>
      </c>
      <c r="C18" s="15" t="n">
        <v>1</v>
      </c>
      <c r="D18" s="15" t="n">
        <v>1.89</v>
      </c>
      <c r="E18" s="15" t="n">
        <v>2.984</v>
      </c>
      <c r="F18" s="15" t="n">
        <v>2.958</v>
      </c>
      <c r="G18" s="15" t="n">
        <v>3.538</v>
      </c>
      <c r="H18" s="15" t="n">
        <v>2.958</v>
      </c>
      <c r="I18" s="15" t="n">
        <v>2.862</v>
      </c>
      <c r="J18" s="15" t="n">
        <v>2.03</v>
      </c>
      <c r="K18" s="15" t="n">
        <v>2.89</v>
      </c>
      <c r="L18" s="15" t="n">
        <v>2.504</v>
      </c>
      <c r="M18" s="15" t="n">
        <v>2.29</v>
      </c>
      <c r="N18" s="15" t="n">
        <v>2.672</v>
      </c>
      <c r="O18" s="15" t="n">
        <v>2.676</v>
      </c>
      <c r="P18" s="15" t="n">
        <v>2.918</v>
      </c>
      <c r="Q18" s="15" t="n">
        <v>2.856</v>
      </c>
      <c r="R18" s="15" t="n">
        <v>3.208</v>
      </c>
    </row>
    <row r="19">
      <c r="B19" s="15" t="inlineStr">
        <is>
          <t>Prob(D*ELT)</t>
        </is>
      </c>
      <c r="C19" s="15" t="n">
        <v>2</v>
      </c>
      <c r="D19" s="15" t="n">
        <v>2.622</v>
      </c>
      <c r="E19" s="15" t="n">
        <v>3.528</v>
      </c>
      <c r="F19" s="15" t="n">
        <v>2.33</v>
      </c>
      <c r="G19" s="15" t="n">
        <v>4.012</v>
      </c>
      <c r="H19" s="15" t="n">
        <v>2.346</v>
      </c>
      <c r="I19" s="15" t="n">
        <v>3.184</v>
      </c>
      <c r="J19" s="15" t="n">
        <v>2.416</v>
      </c>
      <c r="K19" s="15" t="n">
        <v>3.186</v>
      </c>
      <c r="L19" s="15" t="n">
        <v>2.16</v>
      </c>
      <c r="M19" s="15" t="n">
        <v>2.624</v>
      </c>
      <c r="N19" s="15" t="n">
        <v>2.488</v>
      </c>
      <c r="O19" s="15" t="n">
        <v>3.142</v>
      </c>
      <c r="P19" s="15" t="n">
        <v>3.896</v>
      </c>
      <c r="Q19" s="15" t="n">
        <v>3.588000000000001</v>
      </c>
      <c r="R19" s="15" t="n">
        <v>2.696</v>
      </c>
    </row>
    <row r="20">
      <c r="B20" s="15" t="inlineStr">
        <is>
          <t>Prob(D*ELT)</t>
        </is>
      </c>
      <c r="C20" s="15" t="n">
        <v>3</v>
      </c>
      <c r="D20" s="15" t="n">
        <v>3.652000000000001</v>
      </c>
      <c r="E20" s="15" t="n">
        <v>3.854</v>
      </c>
      <c r="F20" s="15" t="n">
        <v>4.128</v>
      </c>
      <c r="G20" s="15" t="n">
        <v>2.794</v>
      </c>
      <c r="H20" s="15" t="n">
        <v>2.756</v>
      </c>
      <c r="I20" s="15" t="n">
        <v>3.52</v>
      </c>
      <c r="J20" s="15" t="n">
        <v>2.532</v>
      </c>
      <c r="K20" s="15" t="n">
        <v>2.63</v>
      </c>
      <c r="L20" s="15" t="n">
        <v>3.272</v>
      </c>
      <c r="M20" s="15" t="n">
        <v>3.188</v>
      </c>
      <c r="N20" s="15" t="n">
        <v>2.07</v>
      </c>
      <c r="O20" s="15" t="n">
        <v>2.804</v>
      </c>
      <c r="P20" s="15" t="n">
        <v>2.812</v>
      </c>
      <c r="Q20" s="15" t="n">
        <v>2.424</v>
      </c>
      <c r="R20" s="15" t="n">
        <v>2.554</v>
      </c>
    </row>
    <row r="23">
      <c r="C23" s="15" t="inlineStr">
        <is>
          <t>z</t>
        </is>
      </c>
      <c r="D23" s="15" t="n">
        <v>2.06</v>
      </c>
    </row>
    <row r="25">
      <c r="C25" s="15" t="inlineStr">
        <is>
          <t>DesvPad</t>
        </is>
      </c>
      <c r="D25" s="15" t="n">
        <v>1</v>
      </c>
      <c r="E25" s="15" t="n">
        <v>2</v>
      </c>
      <c r="F25" s="15" t="n">
        <v>3</v>
      </c>
      <c r="G25" s="15" t="n">
        <v>4</v>
      </c>
      <c r="H25" s="15" t="n">
        <v>5</v>
      </c>
      <c r="I25" s="15" t="n">
        <v>6</v>
      </c>
      <c r="J25" s="15" t="n">
        <v>7</v>
      </c>
      <c r="K25" s="15" t="n">
        <v>8</v>
      </c>
      <c r="L25" s="15" t="n">
        <v>9</v>
      </c>
      <c r="M25" s="15" t="n">
        <v>10</v>
      </c>
      <c r="N25" s="15" t="n">
        <v>11</v>
      </c>
      <c r="O25" s="15" t="n">
        <v>12</v>
      </c>
      <c r="P25" s="15" t="n">
        <v>13</v>
      </c>
      <c r="Q25" s="15" t="n">
        <v>14</v>
      </c>
      <c r="R25" s="15" t="n">
        <v>15</v>
      </c>
    </row>
    <row r="26">
      <c r="C26" s="15" t="n">
        <v>1</v>
      </c>
      <c r="D26" s="15" t="n">
        <v>460.1029740449413</v>
      </c>
      <c r="E26" s="15" t="n">
        <v>916.5143644787208</v>
      </c>
      <c r="F26" s="15" t="n">
        <v>665.7373169272349</v>
      </c>
      <c r="G26" s="15" t="n">
        <v>809.5855373678767</v>
      </c>
      <c r="H26" s="15" t="n">
        <v>1387.161595173055</v>
      </c>
      <c r="I26" s="15" t="n">
        <v>935.3992183218979</v>
      </c>
      <c r="J26" s="15" t="n">
        <v>459.9556552707664</v>
      </c>
      <c r="K26" s="15" t="n">
        <v>1386.49421335002</v>
      </c>
      <c r="L26" s="15" t="n">
        <v>1052.931335600266</v>
      </c>
      <c r="M26" s="15" t="n">
        <v>799.2086049973499</v>
      </c>
      <c r="N26" s="15" t="n">
        <v>1220.575910175458</v>
      </c>
      <c r="O26" s="15" t="n">
        <v>625.2765463987671</v>
      </c>
      <c r="P26" s="15" t="n">
        <v>950.0876610381432</v>
      </c>
      <c r="Q26" s="15" t="n">
        <v>901.7434432967142</v>
      </c>
      <c r="R26" s="15" t="n">
        <v>1791.587548529281</v>
      </c>
    </row>
    <row r="27">
      <c r="C27" s="15" t="n">
        <v>2</v>
      </c>
      <c r="D27" s="15" t="n">
        <v>976.4023276327284</v>
      </c>
      <c r="E27" s="15" t="n">
        <v>1120.517265972188</v>
      </c>
      <c r="F27" s="15" t="n">
        <v>642.4576042699549</v>
      </c>
      <c r="G27" s="15" t="n">
        <v>1412.547552328909</v>
      </c>
      <c r="H27" s="15" t="n">
        <v>975.8712280669208</v>
      </c>
      <c r="I27" s="15" t="n">
        <v>1422.100384609759</v>
      </c>
      <c r="J27" s="15" t="n">
        <v>781.4051890604096</v>
      </c>
      <c r="K27" s="15" t="n">
        <v>769.06053323559</v>
      </c>
      <c r="L27" s="15" t="n">
        <v>683.4997152179656</v>
      </c>
      <c r="M27" s="15" t="n">
        <v>828.163906618823</v>
      </c>
      <c r="N27" s="15" t="n">
        <v>721.3834690133674</v>
      </c>
      <c r="O27" s="15" t="n">
        <v>1308.917947534116</v>
      </c>
      <c r="P27" s="15" t="n">
        <v>1309.758208002527</v>
      </c>
      <c r="Q27" s="15" t="n">
        <v>1705.699580563307</v>
      </c>
      <c r="R27" s="15" t="n">
        <v>1243.926923677576</v>
      </c>
    </row>
    <row r="28">
      <c r="C28" s="15" t="n">
        <v>3</v>
      </c>
      <c r="D28" s="15" t="n">
        <v>1848.628820286749</v>
      </c>
      <c r="E28" s="15" t="n">
        <v>1029.134151119587</v>
      </c>
      <c r="F28" s="15" t="n">
        <v>982.0164499089299</v>
      </c>
      <c r="G28" s="15" t="n">
        <v>1487.553217498698</v>
      </c>
      <c r="H28" s="15" t="n">
        <v>775.2995914419654</v>
      </c>
      <c r="I28" s="15" t="n">
        <v>1831.599950552697</v>
      </c>
      <c r="J28" s="15" t="n">
        <v>1034.181470748649</v>
      </c>
      <c r="K28" s="15" t="n">
        <v>945.5284250278044</v>
      </c>
      <c r="L28" s="15" t="n">
        <v>902.6918292773684</v>
      </c>
      <c r="M28" s="15" t="n">
        <v>896.5843269651319</v>
      </c>
      <c r="N28" s="15" t="n">
        <v>808.1165572960375</v>
      </c>
      <c r="O28" s="15" t="n">
        <v>947.999996486157</v>
      </c>
      <c r="P28" s="15" t="n">
        <v>983.7627801289749</v>
      </c>
      <c r="Q28" s="15" t="n">
        <v>878.8224757105621</v>
      </c>
      <c r="R28" s="15" t="n">
        <v>1076.361027827471</v>
      </c>
    </row>
    <row r="30">
      <c r="C30" s="15" t="inlineStr">
        <is>
          <t>Média(Demand*ELT)</t>
        </is>
      </c>
      <c r="D30" s="15" t="n">
        <v>1</v>
      </c>
      <c r="E30" s="15" t="n">
        <v>2</v>
      </c>
      <c r="F30" s="15" t="n">
        <v>3</v>
      </c>
      <c r="G30" s="15" t="n">
        <v>4</v>
      </c>
      <c r="H30" s="15" t="n">
        <v>5</v>
      </c>
      <c r="I30" s="15" t="n">
        <v>6</v>
      </c>
      <c r="J30" s="15" t="n">
        <v>7</v>
      </c>
      <c r="K30" s="15" t="n">
        <v>8</v>
      </c>
      <c r="L30" s="15" t="n">
        <v>9</v>
      </c>
      <c r="M30" s="15" t="n">
        <v>10</v>
      </c>
      <c r="N30" s="15" t="n">
        <v>11</v>
      </c>
      <c r="O30" s="15" t="n">
        <v>12</v>
      </c>
      <c r="P30" s="15" t="n">
        <v>13</v>
      </c>
      <c r="Q30" s="15" t="n">
        <v>14</v>
      </c>
      <c r="R30" s="15" t="n">
        <v>15</v>
      </c>
    </row>
    <row r="31">
      <c r="C31" s="15" t="n">
        <v>1</v>
      </c>
      <c r="D31" s="15" t="n">
        <v>2187.675</v>
      </c>
      <c r="E31" s="15" t="n">
        <v>4436.3128</v>
      </c>
      <c r="F31" s="15" t="n">
        <v>3221.5578</v>
      </c>
      <c r="G31" s="15" t="n">
        <v>3938.1478</v>
      </c>
      <c r="H31" s="15" t="n">
        <v>6712.5894</v>
      </c>
      <c r="I31" s="15" t="n">
        <v>4521.6738</v>
      </c>
      <c r="J31" s="15" t="n">
        <v>2194.227</v>
      </c>
      <c r="K31" s="15" t="n">
        <v>6704.3665</v>
      </c>
      <c r="L31" s="15" t="n">
        <v>5066.218</v>
      </c>
      <c r="M31" s="15" t="n">
        <v>3832.2005</v>
      </c>
      <c r="N31" s="15" t="n">
        <v>5886.5496</v>
      </c>
      <c r="O31" s="15" t="n">
        <v>3015.7182</v>
      </c>
      <c r="P31" s="15" t="n">
        <v>4595.5582</v>
      </c>
      <c r="Q31" s="15" t="n">
        <v>4358.6844</v>
      </c>
      <c r="R31" s="15" t="n">
        <v>8691.113600000001</v>
      </c>
    </row>
    <row r="32">
      <c r="C32" s="15" t="n">
        <v>2</v>
      </c>
      <c r="D32" s="15" t="n">
        <v>4705.8345</v>
      </c>
      <c r="E32" s="15" t="n">
        <v>5450.2308</v>
      </c>
      <c r="F32" s="15" t="n">
        <v>3082.7065</v>
      </c>
      <c r="G32" s="15" t="n">
        <v>6893.017199999999</v>
      </c>
      <c r="H32" s="15" t="n">
        <v>4683.789000000001</v>
      </c>
      <c r="I32" s="15" t="n">
        <v>6897.1808</v>
      </c>
      <c r="J32" s="15" t="n">
        <v>3754.7056</v>
      </c>
      <c r="K32" s="15" t="n">
        <v>3730.0095</v>
      </c>
      <c r="L32" s="15" t="n">
        <v>3269.484</v>
      </c>
      <c r="M32" s="15" t="n">
        <v>3991.4976</v>
      </c>
      <c r="N32" s="15" t="n">
        <v>3470.138</v>
      </c>
      <c r="O32" s="15" t="n">
        <v>6345.7403</v>
      </c>
      <c r="P32" s="15" t="n">
        <v>6386.9076</v>
      </c>
      <c r="Q32" s="15" t="n">
        <v>8300.299800000001</v>
      </c>
      <c r="R32" s="15" t="n">
        <v>6001.026400000001</v>
      </c>
    </row>
    <row r="33">
      <c r="C33" s="15" t="n">
        <v>3</v>
      </c>
      <c r="D33" s="15" t="n">
        <v>8999.988800000001</v>
      </c>
      <c r="E33" s="15" t="n">
        <v>5017.1372</v>
      </c>
      <c r="F33" s="15" t="n">
        <v>4795.291200000001</v>
      </c>
      <c r="G33" s="15" t="n">
        <v>7185.050400000001</v>
      </c>
      <c r="H33" s="15" t="n">
        <v>3743.0614</v>
      </c>
      <c r="I33" s="15" t="n">
        <v>8908.416000000001</v>
      </c>
      <c r="J33" s="15" t="n">
        <v>4978.0386</v>
      </c>
      <c r="K33" s="15" t="n">
        <v>4557.527</v>
      </c>
      <c r="L33" s="15" t="n">
        <v>4381.535199999999</v>
      </c>
      <c r="M33" s="15" t="n">
        <v>4348.5914</v>
      </c>
      <c r="N33" s="15" t="n">
        <v>3858.48</v>
      </c>
      <c r="O33" s="15" t="n">
        <v>4579.4928</v>
      </c>
      <c r="P33" s="15" t="n">
        <v>4752.7018</v>
      </c>
      <c r="Q33" s="15" t="n">
        <v>4223.3352</v>
      </c>
      <c r="R33" s="15" t="n">
        <v>5182.7045</v>
      </c>
    </row>
    <row r="35">
      <c r="B35" s="15" t="inlineStr">
        <is>
          <t>Parâmetro p/ c</t>
        </is>
      </c>
      <c r="C35" s="15" t="inlineStr">
        <is>
          <t>Reposição</t>
        </is>
      </c>
      <c r="D35" s="15" t="n">
        <v>1</v>
      </c>
      <c r="E35" s="15" t="n">
        <v>2</v>
      </c>
      <c r="F35" s="15" t="n">
        <v>3</v>
      </c>
      <c r="G35" s="15" t="n">
        <v>4</v>
      </c>
      <c r="H35" s="15" t="n">
        <v>5</v>
      </c>
      <c r="I35" s="15" t="n">
        <v>6</v>
      </c>
      <c r="J35" s="15" t="n">
        <v>7</v>
      </c>
      <c r="K35" s="15" t="n">
        <v>8</v>
      </c>
      <c r="L35" s="15" t="n">
        <v>9</v>
      </c>
      <c r="M35" s="15" t="n">
        <v>10</v>
      </c>
      <c r="N35" s="15" t="n">
        <v>11</v>
      </c>
      <c r="O35" s="15" t="n">
        <v>12</v>
      </c>
      <c r="P35" s="15" t="n">
        <v>13</v>
      </c>
      <c r="Q35" s="15" t="n">
        <v>14</v>
      </c>
      <c r="R35" s="15" t="n">
        <v>15</v>
      </c>
    </row>
    <row r="36">
      <c r="B36" s="15" t="inlineStr">
        <is>
          <t>Prob(D*ELT)</t>
        </is>
      </c>
      <c r="C36" s="15" t="n">
        <v>1</v>
      </c>
      <c r="D36" s="81" t="n">
        <v>3135.487126532579</v>
      </c>
      <c r="E36" s="81" t="n">
        <v>6324.332390826165</v>
      </c>
      <c r="F36" s="81" t="n">
        <v>4592.976672870103</v>
      </c>
      <c r="G36" s="81" t="n">
        <v>5605.894006977826</v>
      </c>
      <c r="H36" s="81" t="n">
        <v>9570.142286056493</v>
      </c>
      <c r="I36" s="81" t="n">
        <v>6448.59618974311</v>
      </c>
      <c r="J36" s="81" t="n">
        <v>3141.735649857779</v>
      </c>
      <c r="K36" s="81" t="n">
        <v>9560.544579501042</v>
      </c>
      <c r="L36" s="81" t="n">
        <v>7235.256551336548</v>
      </c>
      <c r="M36" s="81" t="n">
        <v>5478.570226294541</v>
      </c>
      <c r="N36" s="81" t="n">
        <v>8400.935974961443</v>
      </c>
      <c r="O36" s="81" t="n">
        <v>4303.78788558146</v>
      </c>
      <c r="P36" s="81" t="n">
        <v>6552.738781738575</v>
      </c>
      <c r="Q36" s="81" t="n">
        <v>6216.275893191231</v>
      </c>
      <c r="R36" s="81" t="n">
        <v>12381.78394997032</v>
      </c>
    </row>
    <row r="37">
      <c r="B37" s="15" t="inlineStr">
        <is>
          <t>Prob(D*ELT)</t>
        </is>
      </c>
      <c r="C37" s="15" t="n">
        <v>2</v>
      </c>
      <c r="D37" s="81" t="n">
        <v>6717.22329492342</v>
      </c>
      <c r="E37" s="81" t="n">
        <v>7758.496367902707</v>
      </c>
      <c r="F37" s="81" t="n">
        <v>4406.169164796107</v>
      </c>
      <c r="G37" s="81" t="n">
        <v>9802.865157797552</v>
      </c>
      <c r="H37" s="81" t="n">
        <v>6694.083729817858</v>
      </c>
      <c r="I37" s="81" t="n">
        <v>9826.707592296105</v>
      </c>
      <c r="J37" s="81" t="n">
        <v>5364.400289464444</v>
      </c>
      <c r="K37" s="81" t="n">
        <v>5314.274198465316</v>
      </c>
      <c r="L37" s="81" t="n">
        <v>4677.49341334901</v>
      </c>
      <c r="M37" s="81" t="n">
        <v>5697.515247634776</v>
      </c>
      <c r="N37" s="81" t="n">
        <v>4956.187946167537</v>
      </c>
      <c r="O37" s="81" t="n">
        <v>9042.111271920279</v>
      </c>
      <c r="P37" s="81" t="n">
        <v>9085.009508485206</v>
      </c>
      <c r="Q37" s="81" t="n">
        <v>11814.04093596041</v>
      </c>
      <c r="R37" s="81" t="n">
        <v>8563.515862775808</v>
      </c>
    </row>
    <row r="38">
      <c r="B38" s="15" t="inlineStr">
        <is>
          <t>Prob(D*ELT)</t>
        </is>
      </c>
      <c r="C38" s="15" t="n">
        <v>3</v>
      </c>
      <c r="D38" s="81" t="n">
        <v>12808.16416979071</v>
      </c>
      <c r="E38" s="81" t="n">
        <v>7137.15355130635</v>
      </c>
      <c r="F38" s="81" t="n">
        <v>6818.245086812396</v>
      </c>
      <c r="G38" s="81" t="n">
        <v>10249.41002804732</v>
      </c>
      <c r="H38" s="81" t="n">
        <v>5340.178558370449</v>
      </c>
      <c r="I38" s="81" t="n">
        <v>12681.51189813856</v>
      </c>
      <c r="J38" s="81" t="n">
        <v>7108.452429742217</v>
      </c>
      <c r="K38" s="81" t="n">
        <v>6505.315555557278</v>
      </c>
      <c r="L38" s="81" t="n">
        <v>6241.080368311378</v>
      </c>
      <c r="M38" s="81" t="n">
        <v>6195.555113548172</v>
      </c>
      <c r="N38" s="81" t="n">
        <v>5523.200108029838</v>
      </c>
      <c r="O38" s="81" t="n">
        <v>6532.372792761484</v>
      </c>
      <c r="P38" s="81" t="n">
        <v>6779.253127065688</v>
      </c>
      <c r="Q38" s="81" t="n">
        <v>6033.709499963757</v>
      </c>
      <c r="R38" s="81" t="n">
        <v>7400.008217324591</v>
      </c>
    </row>
    <row r="40">
      <c r="C40" s="15" t="inlineStr">
        <is>
          <t>P(Reposição)</t>
        </is>
      </c>
      <c r="D40" s="15" t="n">
        <v>1</v>
      </c>
      <c r="E40" s="15" t="n">
        <v>2</v>
      </c>
      <c r="F40" s="15" t="n">
        <v>3</v>
      </c>
      <c r="G40" s="15" t="n">
        <v>4</v>
      </c>
      <c r="H40" s="15" t="n">
        <v>5</v>
      </c>
      <c r="I40" s="15" t="n">
        <v>6</v>
      </c>
      <c r="J40" s="15" t="n">
        <v>7</v>
      </c>
      <c r="K40" s="15" t="n">
        <v>8</v>
      </c>
      <c r="L40" s="15" t="n">
        <v>9</v>
      </c>
      <c r="M40" s="15" t="n">
        <v>10</v>
      </c>
      <c r="N40" s="15" t="n">
        <v>11</v>
      </c>
      <c r="O40" s="15" t="n">
        <v>12</v>
      </c>
      <c r="P40" s="15" t="n">
        <v>13</v>
      </c>
      <c r="Q40" s="15" t="n">
        <v>14</v>
      </c>
      <c r="R40" s="15" t="n">
        <v>15</v>
      </c>
    </row>
    <row r="41">
      <c r="C41" s="15" t="n">
        <v>1</v>
      </c>
    </row>
    <row r="42">
      <c r="C42" s="15" t="n">
        <v>2</v>
      </c>
    </row>
    <row r="43">
      <c r="C43" s="15" t="n">
        <v>3</v>
      </c>
    </row>
    <row r="45" ht="23.4" customHeight="1">
      <c r="C45" s="60" t="inlineStr">
        <is>
          <t>Factories</t>
        </is>
      </c>
    </row>
    <row r="46">
      <c r="B46" s="15" t="inlineStr">
        <is>
          <t>Parâmetros p/</t>
        </is>
      </c>
      <c r="C46" s="15" t="inlineStr">
        <is>
          <t>demand</t>
        </is>
      </c>
      <c r="D46" s="15" t="n">
        <v>16</v>
      </c>
      <c r="E46" s="15" t="n">
        <v>17</v>
      </c>
      <c r="F46" s="15" t="n">
        <v>18</v>
      </c>
    </row>
    <row r="47">
      <c r="B47" s="15" t="inlineStr">
        <is>
          <t>Prob(D*ELT)</t>
        </is>
      </c>
      <c r="C47" s="15" t="n">
        <v>4</v>
      </c>
      <c r="D47" s="39" t="n">
        <v>1894.6</v>
      </c>
      <c r="E47" s="39" t="n">
        <v>1607.87</v>
      </c>
      <c r="F47" s="39" t="n">
        <v>1829.53</v>
      </c>
    </row>
    <row r="48">
      <c r="B48" s="15" t="inlineStr">
        <is>
          <t>Prob(D*ELT)</t>
        </is>
      </c>
      <c r="C48" s="15" t="n">
        <v>5</v>
      </c>
      <c r="D48" s="39" t="n">
        <v>1303.06</v>
      </c>
      <c r="E48" s="39" t="n">
        <v>1484.38</v>
      </c>
      <c r="F48" s="39" t="n">
        <v>1783.87</v>
      </c>
    </row>
    <row r="49">
      <c r="B49" s="15" t="inlineStr">
        <is>
          <t>Prob(D*ELT)</t>
        </is>
      </c>
      <c r="C49" s="15" t="n">
        <v>6</v>
      </c>
      <c r="D49" s="39" t="n">
        <v>1377.91</v>
      </c>
      <c r="E49" s="39" t="n">
        <v>1520.56</v>
      </c>
      <c r="F49" s="39" t="n">
        <v>1301.6</v>
      </c>
    </row>
    <row r="51">
      <c r="B51" s="15" t="inlineStr">
        <is>
          <t>Parâmetros</t>
        </is>
      </c>
      <c r="C51" s="15" t="inlineStr">
        <is>
          <t>DesvPad(demand)</t>
        </is>
      </c>
      <c r="D51" s="15" t="n">
        <v>16</v>
      </c>
      <c r="E51" s="15" t="n">
        <v>17</v>
      </c>
      <c r="F51" s="15" t="n">
        <v>18</v>
      </c>
    </row>
    <row r="52">
      <c r="B52" s="15" t="inlineStr">
        <is>
          <t>Prob(D*ELT)</t>
        </is>
      </c>
      <c r="C52" s="15" t="n">
        <v>4</v>
      </c>
      <c r="D52" s="15" t="n">
        <v>378.92</v>
      </c>
      <c r="E52" s="15" t="n">
        <v>321.574</v>
      </c>
      <c r="F52" s="15" t="n">
        <v>365.906</v>
      </c>
    </row>
    <row r="53">
      <c r="B53" s="15" t="inlineStr">
        <is>
          <t>Prob(D*ELT)</t>
        </is>
      </c>
      <c r="C53" s="15" t="n">
        <v>5</v>
      </c>
      <c r="D53" s="15" t="n">
        <v>260.612</v>
      </c>
      <c r="E53" s="15" t="n">
        <v>296.876</v>
      </c>
      <c r="F53" s="15" t="n">
        <v>356.774</v>
      </c>
    </row>
    <row r="54">
      <c r="B54" s="15" t="inlineStr">
        <is>
          <t>Prob(D*ELT)</t>
        </is>
      </c>
      <c r="C54" s="15" t="n">
        <v>6</v>
      </c>
      <c r="D54" s="15" t="n">
        <v>275.5820000000001</v>
      </c>
      <c r="E54" s="15" t="n">
        <v>304.112</v>
      </c>
      <c r="F54" s="15" t="n">
        <v>260.32</v>
      </c>
    </row>
    <row r="56">
      <c r="B56" s="15" t="inlineStr">
        <is>
          <t>Parâmetros</t>
        </is>
      </c>
      <c r="C56" s="15" t="inlineStr">
        <is>
          <t>Média(E(RLT))</t>
        </is>
      </c>
      <c r="D56" s="15" t="n">
        <v>16</v>
      </c>
      <c r="E56" s="15" t="n">
        <v>17</v>
      </c>
      <c r="F56" s="15" t="n">
        <v>18</v>
      </c>
    </row>
    <row r="57">
      <c r="B57" s="15" t="inlineStr">
        <is>
          <t>Prob(D*ELT)</t>
        </is>
      </c>
      <c r="C57" s="15" t="n">
        <v>4</v>
      </c>
      <c r="D57" s="39" t="n">
        <v>4.889</v>
      </c>
      <c r="E57" s="39" t="n">
        <v>6.521</v>
      </c>
      <c r="F57" s="39" t="n">
        <v>4.091</v>
      </c>
    </row>
    <row r="58">
      <c r="B58" s="15" t="inlineStr">
        <is>
          <t>Prob(D*ELT)</t>
        </is>
      </c>
      <c r="C58" s="15" t="n">
        <v>5</v>
      </c>
      <c r="D58" s="39" t="n">
        <v>3.548</v>
      </c>
      <c r="E58" s="39" t="n">
        <v>6.734</v>
      </c>
      <c r="F58" s="39" t="n">
        <v>4.237</v>
      </c>
    </row>
    <row r="59">
      <c r="B59" s="15" t="inlineStr">
        <is>
          <t>Prob(D*ELT)</t>
        </is>
      </c>
      <c r="C59" s="15" t="n">
        <v>6</v>
      </c>
      <c r="D59" s="39" t="n">
        <v>4.35</v>
      </c>
      <c r="E59" s="39" t="n">
        <v>5.496</v>
      </c>
      <c r="F59" s="39" t="n">
        <v>4.967</v>
      </c>
    </row>
    <row r="61">
      <c r="B61" s="15" t="inlineStr">
        <is>
          <t>Parâmetros</t>
        </is>
      </c>
      <c r="C61" s="15" t="inlineStr">
        <is>
          <t>DesvPad(E(RLT))</t>
        </is>
      </c>
      <c r="D61" s="15" t="n">
        <v>16</v>
      </c>
      <c r="E61" s="15" t="n">
        <v>17</v>
      </c>
      <c r="F61" s="15" t="n">
        <v>18</v>
      </c>
    </row>
    <row r="62">
      <c r="B62" s="15" t="inlineStr">
        <is>
          <t>Prob(D*ELT)</t>
        </is>
      </c>
      <c r="C62" s="15" t="n">
        <v>4</v>
      </c>
      <c r="D62" s="15" t="n">
        <v>0.9778000000000001</v>
      </c>
      <c r="E62" s="15" t="n">
        <v>1.3042</v>
      </c>
      <c r="F62" s="15" t="n">
        <v>0.8182</v>
      </c>
    </row>
    <row r="63">
      <c r="B63" s="15" t="inlineStr">
        <is>
          <t>Prob(D*ELT)</t>
        </is>
      </c>
      <c r="C63" s="15" t="n">
        <v>5</v>
      </c>
      <c r="D63" s="15" t="n">
        <v>0.7096</v>
      </c>
      <c r="E63" s="15" t="n">
        <v>1.3468</v>
      </c>
      <c r="F63" s="15" t="n">
        <v>0.8474</v>
      </c>
    </row>
    <row r="64">
      <c r="B64" s="15" t="inlineStr">
        <is>
          <t>Prob(D*ELT)</t>
        </is>
      </c>
      <c r="C64" s="15" t="n">
        <v>6</v>
      </c>
      <c r="D64" s="15" t="n">
        <v>0.87</v>
      </c>
      <c r="E64" s="15" t="n">
        <v>1.0992</v>
      </c>
      <c r="F64" s="15" t="n">
        <v>0.9933999999999999</v>
      </c>
    </row>
    <row r="67">
      <c r="C67" s="15" t="inlineStr">
        <is>
          <t>z</t>
        </is>
      </c>
      <c r="D67" s="15" t="n">
        <v>2.06</v>
      </c>
    </row>
    <row r="69">
      <c r="C69" s="15" t="inlineStr">
        <is>
          <t>DesvPad</t>
        </is>
      </c>
      <c r="D69" s="15" t="n">
        <v>16</v>
      </c>
      <c r="E69" s="15" t="n">
        <v>17</v>
      </c>
      <c r="F69" s="15" t="n">
        <v>18</v>
      </c>
    </row>
    <row r="70">
      <c r="C70" s="15" t="n">
        <v>4</v>
      </c>
      <c r="D70" s="15" t="n">
        <v>2033.191682631034</v>
      </c>
      <c r="E70" s="15" t="n">
        <v>2252.038559374877</v>
      </c>
      <c r="F70" s="15" t="n">
        <v>1669.882137791409</v>
      </c>
    </row>
    <row r="71">
      <c r="C71" s="15" t="n">
        <v>5</v>
      </c>
      <c r="D71" s="15" t="n">
        <v>1046.878890579424</v>
      </c>
      <c r="E71" s="15" t="n">
        <v>2142.464969756511</v>
      </c>
      <c r="F71" s="15" t="n">
        <v>1680.597512835384</v>
      </c>
    </row>
    <row r="72">
      <c r="C72" s="15" t="n">
        <v>6</v>
      </c>
      <c r="D72" s="15" t="n">
        <v>1329.451098274882</v>
      </c>
      <c r="E72" s="15" t="n">
        <v>1817.104598800968</v>
      </c>
      <c r="F72" s="15" t="n">
        <v>1417.204864989502</v>
      </c>
    </row>
    <row r="74">
      <c r="C74" s="15" t="inlineStr">
        <is>
          <t>Média(Demand*ELT)</t>
        </is>
      </c>
      <c r="D74" s="15" t="n">
        <v>16</v>
      </c>
      <c r="E74" s="15" t="n">
        <v>17</v>
      </c>
      <c r="F74" s="15" t="n">
        <v>18</v>
      </c>
    </row>
    <row r="75">
      <c r="C75" s="15" t="n">
        <v>4</v>
      </c>
      <c r="D75" s="15" t="n">
        <v>9262.6994</v>
      </c>
      <c r="E75" s="15" t="n">
        <v>10484.92027</v>
      </c>
      <c r="F75" s="15" t="n">
        <v>7484.607230000001</v>
      </c>
    </row>
    <row r="76">
      <c r="C76" s="15" t="n">
        <v>5</v>
      </c>
      <c r="D76" s="15" t="n">
        <v>4623.25688</v>
      </c>
      <c r="E76" s="15" t="n">
        <v>9995.814920000001</v>
      </c>
      <c r="F76" s="15" t="n">
        <v>7558.257189999999</v>
      </c>
    </row>
    <row r="77">
      <c r="C77" s="15" t="n">
        <v>6</v>
      </c>
      <c r="D77" s="15" t="n">
        <v>5993.9085</v>
      </c>
      <c r="E77" s="15" t="n">
        <v>8356.99776</v>
      </c>
      <c r="F77" s="15" t="n">
        <v>6465.047199999999</v>
      </c>
    </row>
    <row r="79">
      <c r="B79" s="15" t="inlineStr">
        <is>
          <t>Parâmetro p/ c</t>
        </is>
      </c>
      <c r="C79" s="15" t="inlineStr">
        <is>
          <t>Reposição</t>
        </is>
      </c>
      <c r="D79" s="15" t="n">
        <v>16</v>
      </c>
      <c r="E79" s="15" t="n">
        <v>17</v>
      </c>
      <c r="F79" s="15" t="n">
        <v>18</v>
      </c>
    </row>
    <row r="80">
      <c r="B80" s="15" t="inlineStr">
        <is>
          <t>Prob(D*ELT)</t>
        </is>
      </c>
      <c r="C80" s="15" t="n">
        <v>4</v>
      </c>
      <c r="D80" s="81" t="n">
        <v>13451.07426621993</v>
      </c>
      <c r="E80" s="81" t="n">
        <v>15124.11970231224</v>
      </c>
      <c r="F80" s="81" t="n">
        <v>10924.5644338503</v>
      </c>
    </row>
    <row r="81">
      <c r="B81" s="15" t="inlineStr">
        <is>
          <t>Prob(D*ELT)</t>
        </is>
      </c>
      <c r="C81" s="15" t="n">
        <v>5</v>
      </c>
      <c r="D81" s="81" t="n">
        <v>6779.827394593613</v>
      </c>
      <c r="E81" s="81" t="n">
        <v>14409.29275769841</v>
      </c>
      <c r="F81" s="81" t="n">
        <v>11020.28806644089</v>
      </c>
    </row>
    <row r="82">
      <c r="B82" s="15" t="inlineStr">
        <is>
          <t>Prob(D*ELT)</t>
        </is>
      </c>
      <c r="C82" s="15" t="n">
        <v>6</v>
      </c>
      <c r="D82" s="81" t="n">
        <v>8732.577762446257</v>
      </c>
      <c r="E82" s="81" t="n">
        <v>12100.23323352999</v>
      </c>
      <c r="F82" s="81" t="n">
        <v>9384.489221878373</v>
      </c>
    </row>
    <row r="84">
      <c r="C84" s="15" t="inlineStr">
        <is>
          <t>P(Reposição)</t>
        </is>
      </c>
      <c r="D84" s="15" t="n">
        <v>16</v>
      </c>
      <c r="E84" s="15" t="n">
        <v>17</v>
      </c>
      <c r="F84" s="15" t="n">
        <v>18</v>
      </c>
    </row>
    <row r="85">
      <c r="C85" s="15" t="n">
        <v>4</v>
      </c>
    </row>
    <row r="86">
      <c r="C86" s="15" t="n">
        <v>5</v>
      </c>
    </row>
    <row r="87">
      <c r="C87" s="15" t="n">
        <v>6</v>
      </c>
    </row>
  </sheetData>
  <conditionalFormatting sqref="D80:F82">
    <cfRule type="cellIs" priority="1" operator="equal" dxfId="9">
      <formula>1</formula>
    </cfRule>
  </conditionalFormatting>
  <conditionalFormatting sqref="D36:R38">
    <cfRule type="cellIs" priority="2" operator="equal" dxfId="9">
      <formula>1</formula>
    </cfRule>
  </conditionalFormatting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K4947"/>
  <sheetViews>
    <sheetView zoomScale="90" zoomScaleNormal="90" workbookViewId="0">
      <selection activeCell="Q8" sqref="Q8"/>
    </sheetView>
  </sheetViews>
  <sheetFormatPr baseColWidth="8" defaultRowHeight="14.4"/>
  <cols>
    <col width="5.109375" customWidth="1" style="15" min="1" max="1"/>
    <col width="15.77734375" bestFit="1" customWidth="1" style="15" min="2" max="2"/>
    <col width="21.6640625" bestFit="1" customWidth="1" style="15" min="3" max="3"/>
    <col width="16.21875" bestFit="1" customWidth="1" style="15" min="4" max="4"/>
    <col width="15.21875" bestFit="1" customWidth="1" style="15" min="5" max="5"/>
    <col width="16.21875" bestFit="1" customWidth="1" style="15" min="6" max="6"/>
    <col width="13.6640625" bestFit="1" customWidth="1" style="15" min="7" max="18"/>
    <col width="8.88671875" customWidth="1" style="15" min="19" max="21"/>
    <col width="20.44140625" bestFit="1" customWidth="1" style="15" min="22" max="22"/>
    <col width="8.88671875" customWidth="1" style="15" min="23" max="41"/>
    <col width="10.6640625" bestFit="1" customWidth="1" style="15" min="42" max="42"/>
    <col width="12.88671875" bestFit="1" customWidth="1" style="15" min="43" max="45"/>
    <col width="12" bestFit="1" customWidth="1" style="15" min="46" max="47"/>
    <col width="12.88671875" bestFit="1" customWidth="1" style="15" min="48" max="50"/>
    <col width="12" bestFit="1" customWidth="1" style="15" min="51" max="51"/>
    <col width="8.88671875" customWidth="1" style="15" min="52" max="16384"/>
  </cols>
  <sheetData>
    <row r="1" ht="23.4" customHeight="1">
      <c r="C1" s="60" t="inlineStr">
        <is>
          <t>SUPPLIERS</t>
        </is>
      </c>
      <c r="D1" s="15" t="inlineStr">
        <is>
          <t>Objective</t>
        </is>
      </c>
      <c r="E1" s="82" t="n">
        <v>3543387.051018335</v>
      </c>
      <c r="V1" s="60" t="n"/>
      <c r="X1" s="83" t="n"/>
    </row>
    <row r="2">
      <c r="C2" s="15" t="inlineStr">
        <is>
          <t>P(Reorder)</t>
        </is>
      </c>
      <c r="D2" s="15" t="n">
        <v>1</v>
      </c>
      <c r="E2" s="15" t="n">
        <v>2</v>
      </c>
      <c r="F2" s="15" t="n">
        <v>3</v>
      </c>
      <c r="G2" s="15" t="n">
        <v>4</v>
      </c>
      <c r="H2" s="15" t="n">
        <v>5</v>
      </c>
      <c r="I2" s="15" t="n">
        <v>6</v>
      </c>
      <c r="J2" s="15" t="n">
        <v>7</v>
      </c>
      <c r="K2" s="15" t="n">
        <v>8</v>
      </c>
      <c r="L2" s="15" t="n">
        <v>9</v>
      </c>
      <c r="M2" s="15" t="n">
        <v>10</v>
      </c>
      <c r="N2" s="15" t="n">
        <v>11</v>
      </c>
      <c r="O2" s="15" t="n">
        <v>12</v>
      </c>
      <c r="P2" s="15" t="n">
        <v>13</v>
      </c>
      <c r="Q2" s="15" t="n">
        <v>14</v>
      </c>
      <c r="R2" s="15" t="n">
        <v>15</v>
      </c>
    </row>
    <row r="3">
      <c r="C3" s="15" t="n">
        <v>1</v>
      </c>
    </row>
    <row r="4">
      <c r="C4" s="15" t="n">
        <v>2</v>
      </c>
    </row>
    <row r="5">
      <c r="C5" s="15" t="n">
        <v>3</v>
      </c>
    </row>
    <row r="7">
      <c r="C7" s="15" t="inlineStr">
        <is>
          <t>Reorder</t>
        </is>
      </c>
      <c r="D7" s="15" t="n">
        <v>1</v>
      </c>
      <c r="E7" s="15" t="n">
        <v>2</v>
      </c>
      <c r="F7" s="15" t="n">
        <v>3</v>
      </c>
      <c r="G7" s="15" t="n">
        <v>4</v>
      </c>
      <c r="H7" s="15" t="n">
        <v>5</v>
      </c>
      <c r="I7" s="15" t="n">
        <v>6</v>
      </c>
      <c r="J7" s="15" t="n">
        <v>7</v>
      </c>
      <c r="K7" s="15" t="n">
        <v>8</v>
      </c>
      <c r="L7" s="15" t="n">
        <v>9</v>
      </c>
      <c r="M7" s="15" t="n">
        <v>10</v>
      </c>
      <c r="N7" s="15" t="n">
        <v>11</v>
      </c>
      <c r="O7" s="15" t="n">
        <v>12</v>
      </c>
      <c r="P7" s="15" t="n">
        <v>13</v>
      </c>
      <c r="Q7" s="15" t="n">
        <v>14</v>
      </c>
      <c r="R7" s="15" t="n">
        <v>15</v>
      </c>
    </row>
    <row r="8">
      <c r="C8" s="15" t="n">
        <v>1</v>
      </c>
      <c r="D8" s="15" t="n">
        <v>0</v>
      </c>
      <c r="E8" s="15" t="n">
        <v>0</v>
      </c>
      <c r="F8" s="15" t="n">
        <v>0</v>
      </c>
      <c r="G8" s="15" t="n">
        <v>0</v>
      </c>
      <c r="H8" s="15" t="n">
        <v>1168.693</v>
      </c>
      <c r="I8" s="15" t="n">
        <v>1817.2927</v>
      </c>
      <c r="J8" s="15" t="n">
        <v>0</v>
      </c>
      <c r="K8" s="15" t="n">
        <v>2446.7585</v>
      </c>
      <c r="L8" s="15" t="n">
        <v>1635.9004</v>
      </c>
      <c r="M8" s="15" t="n">
        <v>0</v>
      </c>
      <c r="N8" s="15" t="n">
        <v>0</v>
      </c>
      <c r="O8" s="15" t="n">
        <v>0</v>
      </c>
      <c r="P8" s="15" t="n">
        <v>1216.203</v>
      </c>
      <c r="Q8" s="15" t="n">
        <v>1558.7788</v>
      </c>
      <c r="R8" s="15" t="n">
        <v>3007.242800000001</v>
      </c>
    </row>
    <row r="9">
      <c r="C9" s="15" t="n">
        <v>2</v>
      </c>
      <c r="D9" s="15" t="n">
        <v>1262.2397</v>
      </c>
      <c r="E9" s="15" t="n">
        <v>1303.4396</v>
      </c>
      <c r="F9" s="15" t="n">
        <v>0</v>
      </c>
      <c r="G9" s="15" t="n">
        <v>0</v>
      </c>
      <c r="H9" s="15" t="n">
        <v>0</v>
      </c>
      <c r="I9" s="15" t="n">
        <v>1632.304</v>
      </c>
      <c r="J9" s="15" t="n">
        <v>0</v>
      </c>
      <c r="K9" s="15" t="n">
        <v>0</v>
      </c>
      <c r="L9" s="15" t="n">
        <v>0</v>
      </c>
      <c r="M9" s="15" t="n">
        <v>1215.6016</v>
      </c>
      <c r="N9" s="15" t="n">
        <v>0</v>
      </c>
      <c r="O9" s="15" t="n">
        <v>1583.4977</v>
      </c>
      <c r="P9" s="15" t="n">
        <v>1579.2148</v>
      </c>
      <c r="Q9" s="15" t="n">
        <v>1508.936000000001</v>
      </c>
      <c r="R9" s="15" t="n">
        <v>1603.2428</v>
      </c>
    </row>
    <row r="10">
      <c r="C10" s="15" t="n">
        <v>3</v>
      </c>
      <c r="D10" s="15" t="n">
        <v>3540.7346</v>
      </c>
      <c r="E10" s="15" t="n">
        <v>0</v>
      </c>
      <c r="F10" s="15" t="n">
        <v>0</v>
      </c>
      <c r="G10" s="15" t="n">
        <v>1883.162600000001</v>
      </c>
      <c r="H10" s="15" t="n">
        <v>0</v>
      </c>
      <c r="I10" s="15" t="n">
        <v>4031.312</v>
      </c>
      <c r="J10" s="15" t="n">
        <v>2527.3066</v>
      </c>
      <c r="K10" s="15" t="n">
        <v>0</v>
      </c>
      <c r="L10" s="15" t="n">
        <v>0</v>
      </c>
      <c r="M10" s="15" t="n">
        <v>0</v>
      </c>
      <c r="N10" s="15" t="n">
        <v>1655.4375</v>
      </c>
      <c r="O10" s="15" t="n">
        <v>0</v>
      </c>
      <c r="P10" s="15" t="n">
        <v>0</v>
      </c>
      <c r="Q10" s="15" t="n">
        <v>0</v>
      </c>
      <c r="R10" s="15" t="n">
        <v>1385.7436</v>
      </c>
    </row>
    <row r="12">
      <c r="C12" s="15" t="inlineStr">
        <is>
          <t>Var(Var(d))</t>
        </is>
      </c>
      <c r="D12" s="15" t="n">
        <v>1</v>
      </c>
      <c r="E12" s="15" t="n">
        <v>2</v>
      </c>
      <c r="F12" s="15" t="n">
        <v>3</v>
      </c>
      <c r="G12" s="15" t="n">
        <v>4</v>
      </c>
      <c r="H12" s="15" t="n">
        <v>5</v>
      </c>
      <c r="I12" s="15" t="n">
        <v>6</v>
      </c>
      <c r="J12" s="15" t="n">
        <v>7</v>
      </c>
      <c r="K12" s="15" t="n">
        <v>8</v>
      </c>
      <c r="L12" s="15" t="n">
        <v>9</v>
      </c>
      <c r="M12" s="15" t="n">
        <v>10</v>
      </c>
      <c r="N12" s="15" t="n">
        <v>11</v>
      </c>
      <c r="O12" s="15" t="n">
        <v>12</v>
      </c>
      <c r="P12" s="15" t="n">
        <v>13</v>
      </c>
      <c r="Q12" s="15" t="n">
        <v>14</v>
      </c>
      <c r="R12" s="15" t="n">
        <v>15</v>
      </c>
    </row>
    <row r="13">
      <c r="C13" s="15" t="n">
        <v>1</v>
      </c>
      <c r="D13" s="18" t="n">
        <v>2844775.648</v>
      </c>
      <c r="E13" s="18" t="n">
        <v>7742075.1523</v>
      </c>
      <c r="F13" s="18" t="n">
        <v>2229641.3556</v>
      </c>
      <c r="G13" s="18" t="n">
        <v>2432768.1457</v>
      </c>
      <c r="H13" s="18" t="n">
        <v>42027317.0752</v>
      </c>
      <c r="I13" s="18" t="n">
        <v>9873756.569</v>
      </c>
      <c r="J13" s="18" t="n">
        <v>2163246.6789</v>
      </c>
      <c r="K13" s="18" t="n">
        <v>45899043.7506</v>
      </c>
      <c r="L13" s="18" t="n">
        <v>26555973.0442</v>
      </c>
      <c r="M13" s="18" t="n">
        <v>12428393.0037</v>
      </c>
      <c r="N13" s="18" t="n">
        <v>37330295.6253</v>
      </c>
      <c r="O13" s="18" t="n">
        <v>2556127.8876</v>
      </c>
      <c r="P13" s="18" t="n">
        <v>9749356.5012</v>
      </c>
      <c r="Q13" s="18" t="n">
        <v>8597118.3073</v>
      </c>
      <c r="R13" s="18" t="n">
        <v>85374522.7282</v>
      </c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</row>
    <row r="14">
      <c r="C14" s="15" t="n">
        <v>2</v>
      </c>
      <c r="D14" s="18" t="n">
        <v>16442955.1007</v>
      </c>
      <c r="E14" s="18" t="n">
        <v>9026290.018999999</v>
      </c>
      <c r="F14" s="18" t="n">
        <v>4855892.0704</v>
      </c>
      <c r="G14" s="18" t="n">
        <v>13808857.8907</v>
      </c>
      <c r="H14" s="18" t="n">
        <v>25179162.5195</v>
      </c>
      <c r="I14" s="18" t="n">
        <v>34894600.3279</v>
      </c>
      <c r="J14" s="18" t="n">
        <v>9244423.716600001</v>
      </c>
      <c r="K14" s="18" t="n">
        <v>2977286.9148</v>
      </c>
      <c r="L14" s="18" t="n">
        <v>8318899.5452</v>
      </c>
      <c r="M14" s="18" t="n">
        <v>8485006.634199999</v>
      </c>
      <c r="N14" s="18" t="n">
        <v>5997213.4071</v>
      </c>
      <c r="O14" s="18" t="n">
        <v>26367470.3085</v>
      </c>
      <c r="P14" s="18" t="n">
        <v>11445921.093</v>
      </c>
      <c r="Q14" s="18" t="n">
        <v>45386782.4361</v>
      </c>
      <c r="R14" s="18" t="n">
        <v>38903315.0531</v>
      </c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</row>
    <row r="15">
      <c r="C15" s="15" t="n">
        <v>3</v>
      </c>
      <c r="D15" s="18" t="n">
        <v>58453270.6789</v>
      </c>
      <c r="E15" s="18" t="n">
        <v>4551358.7051</v>
      </c>
      <c r="F15" s="18" t="n">
        <v>2885793.0782</v>
      </c>
      <c r="G15" s="18" t="n">
        <v>69307093.0121</v>
      </c>
      <c r="H15" s="18" t="n">
        <v>5392062.9329</v>
      </c>
      <c r="I15" s="18" t="n">
        <v>65012269.0505</v>
      </c>
      <c r="J15" s="18" t="n">
        <v>23677849.0662</v>
      </c>
      <c r="K15" s="18" t="n">
        <v>14290848.6459</v>
      </c>
      <c r="L15" s="18" t="n">
        <v>5095842.9392</v>
      </c>
      <c r="M15" s="18" t="n">
        <v>5486370.9688</v>
      </c>
      <c r="N15" s="18" t="n">
        <v>19131439.7747</v>
      </c>
      <c r="O15" s="18" t="n">
        <v>11275128.2575</v>
      </c>
      <c r="P15" s="18" t="n">
        <v>12931979.725</v>
      </c>
      <c r="Q15" s="18" t="n">
        <v>14603459.7477</v>
      </c>
      <c r="R15" s="18" t="n">
        <v>26872386.7595</v>
      </c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</row>
    <row r="17">
      <c r="C17" s="15" t="inlineStr">
        <is>
          <t>Var(Var(Cap))</t>
        </is>
      </c>
      <c r="D17" s="15" t="n">
        <v>1</v>
      </c>
      <c r="E17" s="15" t="n">
        <v>2</v>
      </c>
      <c r="F17" s="15" t="n">
        <v>3</v>
      </c>
      <c r="G17" s="15" t="n">
        <v>4</v>
      </c>
      <c r="H17" s="15" t="n">
        <v>5</v>
      </c>
      <c r="I17" s="15" t="n">
        <v>6</v>
      </c>
      <c r="J17" s="15" t="n">
        <v>7</v>
      </c>
      <c r="K17" s="15" t="n">
        <v>8</v>
      </c>
      <c r="L17" s="15" t="n">
        <v>9</v>
      </c>
      <c r="M17" s="15" t="n">
        <v>10</v>
      </c>
      <c r="N17" s="15" t="n">
        <v>11</v>
      </c>
      <c r="O17" s="15" t="n">
        <v>12</v>
      </c>
      <c r="P17" s="15" t="n">
        <v>13</v>
      </c>
      <c r="Q17" s="15" t="n">
        <v>14</v>
      </c>
      <c r="R17" s="15" t="n">
        <v>15</v>
      </c>
    </row>
    <row r="18">
      <c r="C18" s="15" t="n">
        <v>1</v>
      </c>
      <c r="D18" s="15" t="n">
        <v>8526359.4256</v>
      </c>
      <c r="E18" s="15" t="n">
        <v>12657216.4963</v>
      </c>
      <c r="F18" s="15" t="n">
        <v>18040924.1686</v>
      </c>
      <c r="G18" s="15" t="n">
        <v>11831925.792</v>
      </c>
      <c r="H18" s="15" t="n">
        <v>27221024.0877</v>
      </c>
      <c r="I18" s="15" t="n">
        <v>1919326.0314</v>
      </c>
      <c r="J18" s="15" t="n">
        <v>15405680.3523</v>
      </c>
      <c r="K18" s="15" t="n">
        <v>11110350.4044</v>
      </c>
      <c r="L18" s="15" t="n">
        <v>8390576.6722</v>
      </c>
      <c r="M18" s="15" t="n">
        <v>17370807.0288</v>
      </c>
      <c r="N18" s="15" t="n">
        <v>31963313.994</v>
      </c>
      <c r="O18" s="15" t="n">
        <v>3912563.2923</v>
      </c>
      <c r="P18" s="15" t="n">
        <v>4076126.1669</v>
      </c>
      <c r="Q18" s="15" t="n">
        <v>2176888.106</v>
      </c>
      <c r="R18" s="15" t="n">
        <v>22626376.855</v>
      </c>
    </row>
    <row r="19">
      <c r="C19" s="15" t="n">
        <v>2</v>
      </c>
      <c r="D19" s="15" t="n">
        <v>6878770.2088</v>
      </c>
      <c r="E19" s="15" t="n">
        <v>4160458.0758</v>
      </c>
      <c r="F19" s="15" t="n">
        <v>12301143.338</v>
      </c>
      <c r="G19" s="15" t="n">
        <v>104525329.9498</v>
      </c>
      <c r="H19" s="15" t="n">
        <v>17313596.8686</v>
      </c>
      <c r="I19" s="15" t="n">
        <v>16551329.5468</v>
      </c>
      <c r="J19" s="15" t="n">
        <v>8533079.377599999</v>
      </c>
      <c r="K19" s="15" t="n">
        <v>9406080.371200001</v>
      </c>
      <c r="L19" s="15" t="n">
        <v>20459969.802</v>
      </c>
      <c r="M19" s="15" t="n">
        <v>2934289.7421</v>
      </c>
      <c r="N19" s="15" t="n">
        <v>22429144.8969</v>
      </c>
      <c r="O19" s="15" t="n">
        <v>11754809.9738</v>
      </c>
      <c r="P19" s="15" t="n">
        <v>4985629.9363</v>
      </c>
      <c r="Q19" s="15" t="n">
        <v>27519080.163</v>
      </c>
      <c r="R19" s="15" t="n">
        <v>16282300.6255</v>
      </c>
    </row>
    <row r="20">
      <c r="C20" s="15" t="n">
        <v>3</v>
      </c>
      <c r="D20" s="15" t="n">
        <v>11418018.7927</v>
      </c>
      <c r="E20" s="15" t="n">
        <v>16496157.3465</v>
      </c>
      <c r="F20" s="15" t="n">
        <v>26265785.3228</v>
      </c>
      <c r="G20" s="15" t="n">
        <v>29589068.0461</v>
      </c>
      <c r="H20" s="15" t="n">
        <v>18192653.9497</v>
      </c>
      <c r="I20" s="15" t="n">
        <v>8745660.9702</v>
      </c>
      <c r="J20" s="15" t="n">
        <v>2328698.6894</v>
      </c>
      <c r="K20" s="15" t="n">
        <v>27459812.5959</v>
      </c>
      <c r="L20" s="15" t="n">
        <v>24860351.3216</v>
      </c>
      <c r="M20" s="15" t="n">
        <v>8627578.0834</v>
      </c>
      <c r="N20" s="15" t="n">
        <v>3371880.7543</v>
      </c>
      <c r="O20" s="15" t="n">
        <v>9817630.033399999</v>
      </c>
      <c r="P20" s="15" t="n">
        <v>36082173.1028</v>
      </c>
      <c r="Q20" s="15" t="n">
        <v>23660992.7099</v>
      </c>
      <c r="R20" s="15" t="n">
        <v>11348485.9642</v>
      </c>
    </row>
    <row r="22">
      <c r="C22" s="15" t="inlineStr">
        <is>
          <t>CV</t>
        </is>
      </c>
      <c r="D22" s="15" t="n">
        <v>1</v>
      </c>
      <c r="E22" s="15" t="n">
        <v>2</v>
      </c>
      <c r="F22" s="15" t="n">
        <v>3</v>
      </c>
      <c r="G22" s="15" t="n">
        <v>4</v>
      </c>
      <c r="H22" s="15" t="n">
        <v>5</v>
      </c>
      <c r="I22" s="15" t="n">
        <v>6</v>
      </c>
      <c r="J22" s="15" t="n">
        <v>7</v>
      </c>
      <c r="K22" s="15" t="n">
        <v>8</v>
      </c>
      <c r="L22" s="15" t="n">
        <v>9</v>
      </c>
      <c r="M22" s="15" t="n">
        <v>10</v>
      </c>
      <c r="N22" s="15" t="n">
        <v>11</v>
      </c>
      <c r="O22" s="15" t="n">
        <v>12</v>
      </c>
      <c r="P22" s="15" t="n">
        <v>13</v>
      </c>
      <c r="Q22" s="15" t="n">
        <v>14</v>
      </c>
      <c r="R22" s="15" t="n">
        <v>15</v>
      </c>
    </row>
    <row r="23">
      <c r="C23" s="15" t="n">
        <v>1</v>
      </c>
      <c r="D23" s="15" t="n">
        <v>0.2</v>
      </c>
      <c r="E23" s="15" t="n">
        <v>0.2</v>
      </c>
      <c r="F23" s="15" t="n">
        <v>0.2</v>
      </c>
      <c r="G23" s="15" t="n">
        <v>0.2</v>
      </c>
      <c r="H23" s="15" t="n">
        <v>0.2</v>
      </c>
      <c r="I23" s="15" t="n">
        <v>0.2</v>
      </c>
      <c r="J23" s="15" t="n">
        <v>0.2</v>
      </c>
      <c r="K23" s="15" t="n">
        <v>0.2</v>
      </c>
      <c r="L23" s="15" t="n">
        <v>0.2</v>
      </c>
      <c r="M23" s="15" t="n">
        <v>0.2</v>
      </c>
      <c r="N23" s="15" t="n">
        <v>0.2</v>
      </c>
      <c r="O23" s="15" t="n">
        <v>0.2</v>
      </c>
      <c r="P23" s="15" t="n">
        <v>0.2</v>
      </c>
      <c r="Q23" s="15" t="n">
        <v>0.2</v>
      </c>
      <c r="R23" s="15" t="n">
        <v>0.2</v>
      </c>
    </row>
    <row r="24">
      <c r="C24" s="15" t="n">
        <v>2</v>
      </c>
      <c r="D24" s="15" t="n">
        <v>0.2</v>
      </c>
      <c r="E24" s="15" t="n">
        <v>0.2</v>
      </c>
      <c r="F24" s="15" t="n">
        <v>0.2</v>
      </c>
      <c r="G24" s="15" t="n">
        <v>0.2</v>
      </c>
      <c r="H24" s="15" t="n">
        <v>0.2</v>
      </c>
      <c r="I24" s="15" t="n">
        <v>0.2</v>
      </c>
      <c r="J24" s="15" t="n">
        <v>0.2</v>
      </c>
      <c r="K24" s="15" t="n">
        <v>0.2</v>
      </c>
      <c r="L24" s="15" t="n">
        <v>0.2</v>
      </c>
      <c r="M24" s="15" t="n">
        <v>0.2</v>
      </c>
      <c r="N24" s="15" t="n">
        <v>0.2</v>
      </c>
      <c r="O24" s="15" t="n">
        <v>0.2</v>
      </c>
      <c r="P24" s="15" t="n">
        <v>0.2</v>
      </c>
      <c r="Q24" s="15" t="n">
        <v>0.2</v>
      </c>
      <c r="R24" s="15" t="n">
        <v>0.2</v>
      </c>
    </row>
    <row r="25">
      <c r="C25" s="15" t="n">
        <v>3</v>
      </c>
      <c r="D25" s="15" t="n">
        <v>0.2</v>
      </c>
      <c r="E25" s="15" t="n">
        <v>0.2</v>
      </c>
      <c r="F25" s="15" t="n">
        <v>0.2</v>
      </c>
      <c r="G25" s="15" t="n">
        <v>0.2</v>
      </c>
      <c r="H25" s="15" t="n">
        <v>0.2</v>
      </c>
      <c r="I25" s="15" t="n">
        <v>0.2</v>
      </c>
      <c r="J25" s="15" t="n">
        <v>0.2</v>
      </c>
      <c r="K25" s="15" t="n">
        <v>0.2</v>
      </c>
      <c r="L25" s="15" t="n">
        <v>0.2</v>
      </c>
      <c r="M25" s="15" t="n">
        <v>0.2</v>
      </c>
      <c r="N25" s="15" t="n">
        <v>0.2</v>
      </c>
      <c r="O25" s="15" t="n">
        <v>0.2</v>
      </c>
      <c r="P25" s="15" t="n">
        <v>0.2</v>
      </c>
      <c r="Q25" s="15" t="n">
        <v>0.2</v>
      </c>
      <c r="R25" s="15" t="n">
        <v>0.2</v>
      </c>
    </row>
    <row r="27">
      <c r="C27" s="15" t="inlineStr">
        <is>
          <t>Planned Stock</t>
        </is>
      </c>
      <c r="D27" s="15" t="n">
        <v>1</v>
      </c>
      <c r="E27" s="15" t="n">
        <v>2</v>
      </c>
      <c r="F27" s="15" t="n">
        <v>3</v>
      </c>
      <c r="G27" s="15" t="n">
        <v>4</v>
      </c>
      <c r="H27" s="15" t="n">
        <v>5</v>
      </c>
      <c r="I27" s="15" t="n">
        <v>6</v>
      </c>
      <c r="J27" s="15" t="n">
        <v>7</v>
      </c>
      <c r="K27" s="15" t="n">
        <v>8</v>
      </c>
      <c r="L27" s="15" t="n">
        <v>9</v>
      </c>
      <c r="M27" s="15" t="n">
        <v>10</v>
      </c>
      <c r="N27" s="15" t="n">
        <v>11</v>
      </c>
      <c r="O27" s="15" t="n">
        <v>12</v>
      </c>
      <c r="P27" s="15" t="n">
        <v>13</v>
      </c>
      <c r="Q27" s="15" t="n">
        <v>14</v>
      </c>
      <c r="R27" s="15" t="n">
        <v>15</v>
      </c>
    </row>
    <row r="28">
      <c r="C28" s="15" t="n">
        <v>1</v>
      </c>
      <c r="D28" s="15" t="n">
        <v>1</v>
      </c>
      <c r="E28" s="15" t="n">
        <v>1</v>
      </c>
      <c r="F28" s="15" t="n">
        <v>1</v>
      </c>
      <c r="G28" s="15" t="n">
        <v>1</v>
      </c>
      <c r="H28" s="15" t="n">
        <v>1</v>
      </c>
      <c r="I28" s="15" t="n">
        <v>1</v>
      </c>
      <c r="J28" s="15" t="n">
        <v>1</v>
      </c>
      <c r="K28" s="15" t="n">
        <v>1</v>
      </c>
      <c r="L28" s="15" t="n">
        <v>1</v>
      </c>
      <c r="M28" s="15" t="n">
        <v>1</v>
      </c>
      <c r="N28" s="15" t="n">
        <v>1</v>
      </c>
      <c r="O28" s="15" t="n">
        <v>1</v>
      </c>
      <c r="P28" s="15" t="n">
        <v>1</v>
      </c>
      <c r="Q28" s="15" t="n">
        <v>1</v>
      </c>
      <c r="R28" s="15" t="n">
        <v>1</v>
      </c>
    </row>
    <row r="29">
      <c r="C29" s="15" t="n">
        <v>2</v>
      </c>
      <c r="D29" s="15" t="n">
        <v>1</v>
      </c>
      <c r="E29" s="15" t="n">
        <v>1</v>
      </c>
      <c r="F29" s="15" t="n">
        <v>1</v>
      </c>
      <c r="G29" s="15" t="n">
        <v>1</v>
      </c>
      <c r="H29" s="15" t="n">
        <v>1</v>
      </c>
      <c r="I29" s="15" t="n">
        <v>1</v>
      </c>
      <c r="J29" s="15" t="n">
        <v>1</v>
      </c>
      <c r="K29" s="15" t="n">
        <v>1</v>
      </c>
      <c r="L29" s="15" t="n">
        <v>1</v>
      </c>
      <c r="M29" s="15" t="n">
        <v>1</v>
      </c>
      <c r="N29" s="15" t="n">
        <v>1</v>
      </c>
      <c r="O29" s="15" t="n">
        <v>1</v>
      </c>
      <c r="P29" s="15" t="n">
        <v>1</v>
      </c>
      <c r="Q29" s="15" t="n">
        <v>1</v>
      </c>
      <c r="R29" s="15" t="n">
        <v>1</v>
      </c>
    </row>
    <row r="30">
      <c r="C30" s="15" t="n">
        <v>3</v>
      </c>
      <c r="D30" s="15" t="n">
        <v>1</v>
      </c>
      <c r="E30" s="15" t="n">
        <v>1</v>
      </c>
      <c r="F30" s="15" t="n">
        <v>1</v>
      </c>
      <c r="G30" s="15" t="n">
        <v>1</v>
      </c>
      <c r="H30" s="15" t="n">
        <v>1</v>
      </c>
      <c r="I30" s="15" t="n">
        <v>1</v>
      </c>
      <c r="J30" s="15" t="n">
        <v>1</v>
      </c>
      <c r="K30" s="15" t="n">
        <v>1</v>
      </c>
      <c r="L30" s="15" t="n">
        <v>1</v>
      </c>
      <c r="M30" s="15" t="n">
        <v>1</v>
      </c>
      <c r="N30" s="15" t="n">
        <v>1</v>
      </c>
      <c r="O30" s="15" t="n">
        <v>1</v>
      </c>
      <c r="P30" s="15" t="n">
        <v>1</v>
      </c>
      <c r="Q30" s="15" t="n">
        <v>1</v>
      </c>
      <c r="R30" s="15" t="n">
        <v>1</v>
      </c>
    </row>
    <row r="32" ht="16.2" customHeight="1">
      <c r="C32" s="15" t="inlineStr">
        <is>
          <t>Variance coeff - z(S2nd)</t>
        </is>
      </c>
      <c r="D32" s="15" t="n">
        <v>1</v>
      </c>
      <c r="E32" s="15" t="n">
        <v>2</v>
      </c>
      <c r="F32" s="15" t="n">
        <v>3</v>
      </c>
      <c r="G32" s="15" t="n">
        <v>4</v>
      </c>
      <c r="H32" s="15" t="n">
        <v>5</v>
      </c>
      <c r="I32" s="15" t="n">
        <v>6</v>
      </c>
      <c r="J32" s="15" t="n">
        <v>7</v>
      </c>
      <c r="K32" s="15" t="n">
        <v>8</v>
      </c>
      <c r="L32" s="15" t="n">
        <v>9</v>
      </c>
      <c r="M32" s="15" t="n">
        <v>10</v>
      </c>
      <c r="N32" s="15" t="n">
        <v>11</v>
      </c>
      <c r="O32" s="15" t="n">
        <v>12</v>
      </c>
      <c r="P32" s="15" t="n">
        <v>13</v>
      </c>
      <c r="Q32" s="15" t="n">
        <v>14</v>
      </c>
      <c r="R32" s="15" t="n">
        <v>15</v>
      </c>
    </row>
    <row r="33">
      <c r="C33" s="15" t="n">
        <v>1</v>
      </c>
      <c r="D33" s="84" t="n">
        <v>1.7057377</v>
      </c>
      <c r="E33" s="84" t="n">
        <v>1.7057377</v>
      </c>
      <c r="F33" s="84" t="n">
        <v>1.7057377</v>
      </c>
      <c r="G33" s="84" t="n">
        <v>1.7057377</v>
      </c>
      <c r="H33" s="84" t="n">
        <v>1.7057377</v>
      </c>
      <c r="I33" s="84" t="n">
        <v>1.7057377</v>
      </c>
      <c r="J33" s="84" t="n">
        <v>1.7057377</v>
      </c>
      <c r="K33" s="84" t="n">
        <v>1.7057377</v>
      </c>
      <c r="L33" s="84" t="n">
        <v>1.7057377</v>
      </c>
      <c r="M33" s="84" t="n">
        <v>1.7057377</v>
      </c>
      <c r="N33" s="84" t="n">
        <v>1.7057377</v>
      </c>
      <c r="O33" s="84" t="n">
        <v>1.7057377</v>
      </c>
      <c r="P33" s="84" t="n">
        <v>1.7057377</v>
      </c>
      <c r="Q33" s="84" t="n">
        <v>1.7057377</v>
      </c>
      <c r="R33" s="84" t="n">
        <v>1.7057377</v>
      </c>
      <c r="W33" s="84" t="n"/>
      <c r="X33" s="84" t="n"/>
      <c r="Y33" s="84" t="n"/>
      <c r="Z33" s="84" t="n"/>
      <c r="AA33" s="84" t="n"/>
      <c r="AB33" s="84" t="n"/>
      <c r="AC33" s="84" t="n"/>
      <c r="AD33" s="84" t="n"/>
      <c r="AE33" s="84" t="n"/>
      <c r="AF33" s="84" t="n"/>
      <c r="AG33" s="84" t="n"/>
      <c r="AH33" s="84" t="n"/>
      <c r="AI33" s="84" t="n"/>
      <c r="AJ33" s="84" t="n"/>
      <c r="AK33" s="84" t="n"/>
    </row>
    <row r="34">
      <c r="C34" s="15" t="n">
        <v>2</v>
      </c>
      <c r="D34" s="84" t="n">
        <v>1.7057377</v>
      </c>
      <c r="E34" s="84" t="n">
        <v>1.7057377</v>
      </c>
      <c r="F34" s="84" t="n">
        <v>1.7057377</v>
      </c>
      <c r="G34" s="84" t="n">
        <v>1.7057377</v>
      </c>
      <c r="H34" s="84" t="n">
        <v>1.7057377</v>
      </c>
      <c r="I34" s="84" t="n">
        <v>1.7057377</v>
      </c>
      <c r="J34" s="84" t="n">
        <v>1.7057377</v>
      </c>
      <c r="K34" s="84" t="n">
        <v>1.7057377</v>
      </c>
      <c r="L34" s="84" t="n">
        <v>1.7057377</v>
      </c>
      <c r="M34" s="84" t="n">
        <v>1.7057377</v>
      </c>
      <c r="N34" s="84" t="n">
        <v>1.7057377</v>
      </c>
      <c r="O34" s="84" t="n">
        <v>1.7057377</v>
      </c>
      <c r="P34" s="84" t="n">
        <v>1.7057377</v>
      </c>
      <c r="Q34" s="84" t="n">
        <v>1.7057377</v>
      </c>
      <c r="R34" s="84" t="n">
        <v>1.7057377</v>
      </c>
      <c r="W34" s="84" t="n"/>
      <c r="X34" s="84" t="n"/>
      <c r="Y34" s="84" t="n"/>
      <c r="Z34" s="84" t="n"/>
      <c r="AA34" s="84" t="n"/>
      <c r="AB34" s="84" t="n"/>
      <c r="AC34" s="84" t="n"/>
      <c r="AD34" s="84" t="n"/>
      <c r="AE34" s="84" t="n"/>
      <c r="AF34" s="84" t="n"/>
      <c r="AG34" s="84" t="n"/>
      <c r="AH34" s="84" t="n"/>
      <c r="AI34" s="84" t="n"/>
      <c r="AJ34" s="84" t="n"/>
      <c r="AK34" s="84" t="n"/>
    </row>
    <row r="35">
      <c r="C35" s="15" t="n">
        <v>3</v>
      </c>
      <c r="D35" s="84" t="n">
        <v>1.7057377</v>
      </c>
      <c r="E35" s="84" t="n">
        <v>1.7057377</v>
      </c>
      <c r="F35" s="84" t="n">
        <v>1.7057377</v>
      </c>
      <c r="G35" s="84" t="n">
        <v>1.7057377</v>
      </c>
      <c r="H35" s="84" t="n">
        <v>1.7057377</v>
      </c>
      <c r="I35" s="84" t="n">
        <v>1.7057377</v>
      </c>
      <c r="J35" s="84" t="n">
        <v>1.7057377</v>
      </c>
      <c r="K35" s="84" t="n">
        <v>1.7057377</v>
      </c>
      <c r="L35" s="84" t="n">
        <v>1.7057377</v>
      </c>
      <c r="M35" s="84" t="n">
        <v>1.7057377</v>
      </c>
      <c r="N35" s="84" t="n">
        <v>1.7057377</v>
      </c>
      <c r="O35" s="84" t="n">
        <v>1.7057377</v>
      </c>
      <c r="P35" s="84" t="n">
        <v>1.7057377</v>
      </c>
      <c r="Q35" s="84" t="n">
        <v>1.7057377</v>
      </c>
      <c r="R35" s="84" t="n">
        <v>1.7057377</v>
      </c>
      <c r="W35" s="84" t="n"/>
      <c r="X35" s="84" t="n"/>
      <c r="Y35" s="84" t="n"/>
      <c r="Z35" s="84" t="n"/>
      <c r="AA35" s="84" t="n"/>
      <c r="AB35" s="84" t="n"/>
      <c r="AC35" s="84" t="n"/>
      <c r="AD35" s="84" t="n"/>
      <c r="AE35" s="84" t="n"/>
      <c r="AF35" s="84" t="n"/>
      <c r="AG35" s="84" t="n"/>
      <c r="AH35" s="84" t="n"/>
      <c r="AI35" s="84" t="n"/>
      <c r="AJ35" s="84" t="n"/>
      <c r="AK35" s="84" t="n"/>
    </row>
    <row r="37">
      <c r="C37" s="15" t="inlineStr">
        <is>
          <t>demand</t>
        </is>
      </c>
      <c r="D37" s="15" t="n">
        <v>1</v>
      </c>
      <c r="E37" s="15" t="n">
        <v>2</v>
      </c>
      <c r="F37" s="15" t="n">
        <v>3</v>
      </c>
      <c r="G37" s="15" t="n">
        <v>4</v>
      </c>
      <c r="H37" s="15" t="n">
        <v>5</v>
      </c>
      <c r="I37" s="15" t="n">
        <v>6</v>
      </c>
      <c r="J37" s="15" t="n">
        <v>7</v>
      </c>
      <c r="K37" s="15" t="n">
        <v>8</v>
      </c>
      <c r="L37" s="15" t="n">
        <v>9</v>
      </c>
      <c r="M37" s="15" t="n">
        <v>10</v>
      </c>
      <c r="N37" s="15" t="n">
        <v>11</v>
      </c>
      <c r="O37" s="15" t="n">
        <v>12</v>
      </c>
      <c r="P37" s="15" t="n">
        <v>13</v>
      </c>
      <c r="Q37" s="15" t="n">
        <v>14</v>
      </c>
      <c r="R37" s="15" t="n">
        <v>15</v>
      </c>
    </row>
    <row r="38">
      <c r="C38" s="15" t="n">
        <v>1</v>
      </c>
      <c r="D38" s="39" t="n">
        <v>231.5</v>
      </c>
      <c r="E38" s="39" t="n">
        <v>297.34</v>
      </c>
      <c r="F38" s="39" t="n">
        <v>217.82</v>
      </c>
      <c r="G38" s="39" t="n">
        <v>222.62</v>
      </c>
      <c r="H38" s="39" t="n">
        <v>453.86</v>
      </c>
      <c r="I38" s="39" t="n">
        <v>315.98</v>
      </c>
      <c r="J38" s="39" t="n">
        <v>216.18</v>
      </c>
      <c r="K38" s="39" t="n">
        <v>463.97</v>
      </c>
      <c r="L38" s="39" t="n">
        <v>404.65</v>
      </c>
      <c r="M38" s="39" t="n">
        <v>334.69</v>
      </c>
      <c r="N38" s="39" t="n">
        <v>440.61</v>
      </c>
      <c r="O38" s="39" t="n">
        <v>225.39</v>
      </c>
      <c r="P38" s="39" t="n">
        <v>314.98</v>
      </c>
      <c r="Q38" s="39" t="n">
        <v>305.23</v>
      </c>
      <c r="R38" s="39" t="n">
        <v>541.84</v>
      </c>
      <c r="W38" s="39" t="n"/>
      <c r="X38" s="39" t="n"/>
      <c r="Y38" s="39" t="n"/>
      <c r="Z38" s="39" t="n"/>
      <c r="AA38" s="39" t="n"/>
      <c r="AB38" s="39" t="n"/>
      <c r="AC38" s="39" t="n"/>
      <c r="AD38" s="39" t="n"/>
      <c r="AE38" s="39" t="n"/>
      <c r="AF38" s="39" t="n"/>
      <c r="AG38" s="39" t="n"/>
      <c r="AH38" s="39" t="n"/>
      <c r="AI38" s="39" t="n"/>
      <c r="AJ38" s="39" t="n"/>
      <c r="AK38" s="39" t="n"/>
    </row>
    <row r="39">
      <c r="C39" s="15" t="n">
        <v>2</v>
      </c>
      <c r="D39" s="39" t="n">
        <v>358.95</v>
      </c>
      <c r="E39" s="39" t="n">
        <v>308.97</v>
      </c>
      <c r="F39" s="39" t="n">
        <v>264.61</v>
      </c>
      <c r="G39" s="39" t="n">
        <v>343.62</v>
      </c>
      <c r="H39" s="39" t="n">
        <v>399.3</v>
      </c>
      <c r="I39" s="39" t="n">
        <v>433.24</v>
      </c>
      <c r="J39" s="39" t="n">
        <v>310.82</v>
      </c>
      <c r="K39" s="39" t="n">
        <v>234.15</v>
      </c>
      <c r="L39" s="39" t="n">
        <v>302.73</v>
      </c>
      <c r="M39" s="39" t="n">
        <v>304.23</v>
      </c>
      <c r="N39" s="39" t="n">
        <v>278.95</v>
      </c>
      <c r="O39" s="39" t="n">
        <v>403.93</v>
      </c>
      <c r="P39" s="39" t="n">
        <v>327.87</v>
      </c>
      <c r="Q39" s="39" t="n">
        <v>462.67</v>
      </c>
      <c r="R39" s="39" t="n">
        <v>445.18</v>
      </c>
      <c r="W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F39" s="39" t="n"/>
      <c r="AG39" s="39" t="n"/>
      <c r="AH39" s="39" t="n"/>
      <c r="AI39" s="39" t="n"/>
      <c r="AJ39" s="39" t="n"/>
      <c r="AK39" s="39" t="n"/>
    </row>
    <row r="40">
      <c r="C40" s="15" t="n">
        <v>3</v>
      </c>
      <c r="D40" s="39" t="n">
        <v>492.88</v>
      </c>
      <c r="E40" s="39" t="n">
        <v>260.36</v>
      </c>
      <c r="F40" s="39" t="n">
        <v>232.33</v>
      </c>
      <c r="G40" s="39" t="n">
        <v>514.3200000000001</v>
      </c>
      <c r="H40" s="39" t="n">
        <v>271.63</v>
      </c>
      <c r="I40" s="39" t="n">
        <v>506.16</v>
      </c>
      <c r="J40" s="39" t="n">
        <v>393.21</v>
      </c>
      <c r="K40" s="39" t="n">
        <v>346.58</v>
      </c>
      <c r="L40" s="39" t="n">
        <v>267.82</v>
      </c>
      <c r="M40" s="39" t="n">
        <v>272.81</v>
      </c>
      <c r="N40" s="39" t="n">
        <v>372.8</v>
      </c>
      <c r="O40" s="39" t="n">
        <v>326.64</v>
      </c>
      <c r="P40" s="39" t="n">
        <v>338.03</v>
      </c>
      <c r="Q40" s="39" t="n">
        <v>348.46</v>
      </c>
      <c r="R40" s="39" t="n">
        <v>405.85</v>
      </c>
      <c r="W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F40" s="39" t="n"/>
      <c r="AG40" s="39" t="n"/>
      <c r="AH40" s="39" t="n"/>
      <c r="AI40" s="39" t="n"/>
      <c r="AJ40" s="39" t="n"/>
      <c r="AK40" s="39" t="n"/>
    </row>
    <row r="42">
      <c r="B42" s="15" t="inlineStr">
        <is>
          <t>Parâmetros p/ μy</t>
        </is>
      </c>
      <c r="C42" s="15" t="inlineStr">
        <is>
          <t>Média(E(RLT))</t>
        </is>
      </c>
      <c r="D42" s="15" t="n">
        <v>1</v>
      </c>
      <c r="E42" s="15" t="n">
        <v>2</v>
      </c>
      <c r="F42" s="15" t="n">
        <v>3</v>
      </c>
      <c r="G42" s="15" t="n">
        <v>4</v>
      </c>
      <c r="H42" s="15" t="n">
        <v>5</v>
      </c>
      <c r="I42" s="15" t="n">
        <v>6</v>
      </c>
      <c r="J42" s="15" t="n">
        <v>7</v>
      </c>
      <c r="K42" s="15" t="n">
        <v>8</v>
      </c>
      <c r="L42" s="15" t="n">
        <v>9</v>
      </c>
      <c r="M42" s="15" t="n">
        <v>10</v>
      </c>
      <c r="N42" s="15" t="n">
        <v>11</v>
      </c>
      <c r="O42" s="15" t="n">
        <v>12</v>
      </c>
      <c r="P42" s="15" t="n">
        <v>13</v>
      </c>
      <c r="Q42" s="15" t="n">
        <v>14</v>
      </c>
      <c r="R42" s="15" t="n">
        <v>15</v>
      </c>
    </row>
    <row r="43" ht="16.2" customHeight="1">
      <c r="B43" s="15" t="inlineStr">
        <is>
          <t>ND*RLT e S2nd</t>
        </is>
      </c>
      <c r="C43" s="15" t="n">
        <v>1</v>
      </c>
      <c r="D43" s="39" t="n">
        <v>9.449999999999999</v>
      </c>
      <c r="E43" s="39" t="n">
        <v>14.92</v>
      </c>
      <c r="F43" s="39" t="n">
        <v>14.79</v>
      </c>
      <c r="G43" s="39" t="n">
        <v>17.69</v>
      </c>
      <c r="H43" s="39" t="n">
        <v>14.79</v>
      </c>
      <c r="I43" s="39" t="n">
        <v>14.31</v>
      </c>
      <c r="J43" s="39" t="n">
        <v>10.15</v>
      </c>
      <c r="K43" s="39" t="n">
        <v>14.45</v>
      </c>
      <c r="L43" s="39" t="n">
        <v>12.52</v>
      </c>
      <c r="M43" s="39" t="n">
        <v>11.45</v>
      </c>
      <c r="N43" s="39" t="n">
        <v>13.36</v>
      </c>
      <c r="O43" s="39" t="n">
        <v>13.38</v>
      </c>
      <c r="P43" s="39" t="n">
        <v>14.59</v>
      </c>
      <c r="Q43" s="39" t="n">
        <v>14.28</v>
      </c>
      <c r="R43" s="39" t="n">
        <v>16.04</v>
      </c>
      <c r="W43" s="39" t="n"/>
      <c r="X43" s="39" t="n"/>
      <c r="Y43" s="39" t="n"/>
      <c r="Z43" s="39" t="n"/>
      <c r="AA43" s="39" t="n"/>
      <c r="AB43" s="39" t="n"/>
      <c r="AC43" s="39" t="n"/>
      <c r="AD43" s="39" t="n"/>
      <c r="AE43" s="39" t="n"/>
      <c r="AF43" s="39" t="n"/>
      <c r="AG43" s="39" t="n"/>
      <c r="AH43" s="39" t="n"/>
      <c r="AI43" s="39" t="n"/>
      <c r="AJ43" s="39" t="n"/>
      <c r="AK43" s="39" t="n"/>
    </row>
    <row r="44">
      <c r="C44" s="15" t="n">
        <v>2</v>
      </c>
      <c r="D44" s="39" t="n">
        <v>13.11</v>
      </c>
      <c r="E44" s="39" t="n">
        <v>17.64</v>
      </c>
      <c r="F44" s="39" t="n">
        <v>11.65</v>
      </c>
      <c r="G44" s="39" t="n">
        <v>20.06</v>
      </c>
      <c r="H44" s="39" t="n">
        <v>11.73</v>
      </c>
      <c r="I44" s="39" t="n">
        <v>15.92</v>
      </c>
      <c r="J44" s="39" t="n">
        <v>12.08</v>
      </c>
      <c r="K44" s="39" t="n">
        <v>15.93</v>
      </c>
      <c r="L44" s="39" t="n">
        <v>10.8</v>
      </c>
      <c r="M44" s="39" t="n">
        <v>13.12</v>
      </c>
      <c r="N44" s="39" t="n">
        <v>12.44</v>
      </c>
      <c r="O44" s="39" t="n">
        <v>15.71</v>
      </c>
      <c r="P44" s="39" t="n">
        <v>19.48</v>
      </c>
      <c r="Q44" s="39" t="n">
        <v>17.94</v>
      </c>
      <c r="R44" s="39" t="n">
        <v>13.48</v>
      </c>
      <c r="W44" s="39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</row>
    <row r="45">
      <c r="C45" s="15" t="n">
        <v>-40028922</v>
      </c>
      <c r="D45" s="39" t="n">
        <v>-40028922</v>
      </c>
      <c r="E45" s="39" t="n">
        <v>19.27</v>
      </c>
      <c r="F45" s="39" t="n">
        <v>20.64</v>
      </c>
      <c r="G45" s="39" t="n">
        <v>13.97</v>
      </c>
      <c r="H45" s="39" t="n">
        <v>13.78</v>
      </c>
      <c r="I45" s="39" t="n">
        <v>17.6</v>
      </c>
      <c r="J45" s="39" t="n">
        <v>12.66</v>
      </c>
      <c r="K45" s="39" t="n">
        <v>13.15</v>
      </c>
      <c r="L45" s="39" t="n">
        <v>16.36</v>
      </c>
      <c r="M45" s="39" t="n">
        <v>15.94</v>
      </c>
      <c r="N45" s="39" t="n">
        <v>10.35</v>
      </c>
      <c r="O45" s="39" t="n">
        <v>14.02</v>
      </c>
      <c r="P45" s="39" t="n">
        <v>14.06</v>
      </c>
      <c r="Q45" s="39" t="n">
        <v>12.12</v>
      </c>
      <c r="R45" s="39" t="n">
        <v>12.77</v>
      </c>
      <c r="W45" s="39" t="n"/>
      <c r="X45" s="39" t="n"/>
      <c r="Y45" s="39" t="n"/>
      <c r="Z45" s="39" t="n"/>
      <c r="AA45" s="39" t="n"/>
      <c r="AB45" s="39" t="n"/>
      <c r="AC45" s="39" t="n"/>
      <c r="AD45" s="39" t="n"/>
      <c r="AE45" s="39" t="n"/>
      <c r="AF45" s="39" t="n"/>
      <c r="AG45" s="39" t="n"/>
      <c r="AH45" s="39" t="n"/>
      <c r="AI45" s="39" t="n"/>
      <c r="AJ45" s="39" t="n"/>
      <c r="AK45" s="39" t="n"/>
    </row>
    <row r="47">
      <c r="C47" s="15" t="inlineStr">
        <is>
          <t>Cap</t>
        </is>
      </c>
      <c r="D47" s="15" t="n">
        <v>1</v>
      </c>
      <c r="E47" s="15" t="n">
        <v>2</v>
      </c>
      <c r="F47" s="15" t="n">
        <v>3</v>
      </c>
      <c r="G47" s="15" t="n">
        <v>4</v>
      </c>
      <c r="H47" s="15" t="n">
        <v>5</v>
      </c>
      <c r="I47" s="15" t="n">
        <v>6</v>
      </c>
      <c r="J47" s="15" t="n">
        <v>7</v>
      </c>
      <c r="K47" s="15" t="n">
        <v>8</v>
      </c>
      <c r="L47" s="15" t="n">
        <v>9</v>
      </c>
      <c r="M47" s="15" t="n">
        <v>10</v>
      </c>
      <c r="N47" s="15" t="n">
        <v>11</v>
      </c>
      <c r="O47" s="15" t="n">
        <v>12</v>
      </c>
      <c r="P47" s="15" t="n">
        <v>13</v>
      </c>
      <c r="Q47" s="15" t="n">
        <v>14</v>
      </c>
      <c r="R47" s="15" t="n">
        <v>15</v>
      </c>
    </row>
    <row r="48">
      <c r="C48" s="15" t="n">
        <v>1</v>
      </c>
      <c r="D48" s="39" t="n">
        <v>304.6</v>
      </c>
      <c r="E48" s="39" t="n">
        <v>336.22</v>
      </c>
      <c r="F48" s="39" t="n">
        <v>367.37</v>
      </c>
      <c r="G48" s="39" t="n">
        <v>330.6</v>
      </c>
      <c r="H48" s="39" t="n">
        <v>407.16</v>
      </c>
      <c r="I48" s="39" t="n">
        <v>209.81</v>
      </c>
      <c r="J48" s="39" t="n">
        <v>353.15</v>
      </c>
      <c r="K48" s="39" t="n">
        <v>325.44</v>
      </c>
      <c r="L48" s="39" t="n">
        <v>303.38</v>
      </c>
      <c r="M48" s="39" t="n">
        <v>363.91</v>
      </c>
      <c r="N48" s="39" t="n">
        <v>423.84</v>
      </c>
      <c r="O48" s="39" t="n">
        <v>250.7</v>
      </c>
      <c r="P48" s="39" t="n">
        <v>253.28</v>
      </c>
      <c r="Q48" s="39" t="n">
        <v>216.52</v>
      </c>
      <c r="R48" s="39" t="n">
        <v>388.77</v>
      </c>
      <c r="W48" s="39" t="n"/>
      <c r="X48" s="39" t="n"/>
      <c r="Y48" s="39" t="n"/>
      <c r="Z48" s="39" t="n"/>
      <c r="AA48" s="39" t="n"/>
      <c r="AB48" s="39" t="n"/>
      <c r="AC48" s="39" t="n"/>
      <c r="AD48" s="39" t="n"/>
      <c r="AE48" s="39" t="n"/>
      <c r="AF48" s="39" t="n"/>
      <c r="AG48" s="39" t="n"/>
      <c r="AH48" s="39" t="n"/>
      <c r="AI48" s="39" t="n"/>
      <c r="AJ48" s="39" t="n"/>
      <c r="AK48" s="39" t="n"/>
    </row>
    <row r="49">
      <c r="C49" s="15" t="n">
        <v>2</v>
      </c>
      <c r="D49" s="39" t="n">
        <v>288.68</v>
      </c>
      <c r="E49" s="39" t="n">
        <v>254.58</v>
      </c>
      <c r="F49" s="39" t="n">
        <v>333.83</v>
      </c>
      <c r="G49" s="39" t="n">
        <v>569.96</v>
      </c>
      <c r="H49" s="39" t="n">
        <v>363.61</v>
      </c>
      <c r="I49" s="39" t="n">
        <v>359.54</v>
      </c>
      <c r="J49" s="39" t="n">
        <v>304.66</v>
      </c>
      <c r="K49" s="39" t="n">
        <v>312.17</v>
      </c>
      <c r="L49" s="39" t="n">
        <v>379.11</v>
      </c>
      <c r="M49" s="39" t="n">
        <v>233.3</v>
      </c>
      <c r="N49" s="39" t="n">
        <v>387.92</v>
      </c>
      <c r="O49" s="39" t="n">
        <v>330.06</v>
      </c>
      <c r="P49" s="39" t="n">
        <v>266.36</v>
      </c>
      <c r="Q49" s="39" t="n">
        <v>408.27</v>
      </c>
      <c r="R49" s="39" t="n">
        <v>358.07</v>
      </c>
      <c r="W49" s="39" t="n"/>
      <c r="X49" s="39" t="n"/>
      <c r="Y49" s="39" t="n"/>
      <c r="Z49" s="39" t="n"/>
      <c r="AA49" s="39" t="n"/>
      <c r="AB49" s="39" t="n"/>
      <c r="AC49" s="39" t="n"/>
      <c r="AD49" s="39" t="n"/>
      <c r="AE49" s="39" t="n"/>
      <c r="AF49" s="39" t="n"/>
      <c r="AG49" s="39" t="n"/>
      <c r="AH49" s="39" t="n"/>
      <c r="AI49" s="39" t="n"/>
      <c r="AJ49" s="39" t="n"/>
      <c r="AK49" s="39" t="n"/>
    </row>
    <row r="50">
      <c r="C50" s="15" t="n">
        <v>-40028922</v>
      </c>
      <c r="D50" s="39" t="n">
        <v>-40028922</v>
      </c>
      <c r="E50" s="39" t="n">
        <v>359.24</v>
      </c>
      <c r="F50" s="39" t="n">
        <v>403.54</v>
      </c>
      <c r="G50" s="39" t="n">
        <v>415.74</v>
      </c>
      <c r="H50" s="39" t="n">
        <v>368.14</v>
      </c>
      <c r="I50" s="39" t="n">
        <v>306.54</v>
      </c>
      <c r="J50" s="39" t="n">
        <v>220.2</v>
      </c>
      <c r="K50" s="39" t="n">
        <v>408.05</v>
      </c>
      <c r="L50" s="39" t="n">
        <v>398.03</v>
      </c>
      <c r="M50" s="39" t="n">
        <v>305.5</v>
      </c>
      <c r="N50" s="39" t="n">
        <v>241.55</v>
      </c>
      <c r="O50" s="39" t="n">
        <v>315.53</v>
      </c>
      <c r="P50" s="39" t="n">
        <v>436.88</v>
      </c>
      <c r="Q50" s="39" t="n">
        <v>393.14</v>
      </c>
      <c r="R50" s="39" t="n">
        <v>327.17</v>
      </c>
      <c r="W50" s="39" t="n"/>
      <c r="X50" s="39" t="n"/>
      <c r="Y50" s="39" t="n"/>
      <c r="Z50" s="39" t="n"/>
      <c r="AA50" s="39" t="n"/>
      <c r="AB50" s="39" t="n"/>
      <c r="AC50" s="39" t="n"/>
      <c r="AD50" s="39" t="n"/>
      <c r="AE50" s="39" t="n"/>
      <c r="AF50" s="39" t="n"/>
      <c r="AG50" s="39" t="n"/>
      <c r="AH50" s="39" t="n"/>
      <c r="AI50" s="39" t="n"/>
      <c r="AJ50" s="39" t="n"/>
      <c r="AK50" s="39" t="n"/>
    </row>
    <row r="52">
      <c r="B52" s="15" t="inlineStr">
        <is>
          <t>Parâmetros p/ μx</t>
        </is>
      </c>
      <c r="C52" s="15" t="inlineStr">
        <is>
          <t>Var(d-cap)</t>
        </is>
      </c>
      <c r="D52" s="15" t="n">
        <v>1</v>
      </c>
      <c r="E52" s="15" t="n">
        <v>2</v>
      </c>
      <c r="F52" s="15" t="n">
        <v>3</v>
      </c>
      <c r="G52" s="15" t="n">
        <v>4</v>
      </c>
      <c r="H52" s="15" t="n">
        <v>5</v>
      </c>
      <c r="I52" s="15" t="n">
        <v>6</v>
      </c>
      <c r="J52" s="15" t="n">
        <v>7</v>
      </c>
      <c r="K52" s="15" t="n">
        <v>8</v>
      </c>
      <c r="L52" s="15" t="n">
        <v>9</v>
      </c>
      <c r="M52" s="15" t="n">
        <v>10</v>
      </c>
      <c r="N52" s="15" t="n">
        <v>11</v>
      </c>
      <c r="O52" s="15" t="n">
        <v>12</v>
      </c>
      <c r="P52" s="15" t="n">
        <v>13</v>
      </c>
      <c r="Q52" s="15" t="n">
        <v>14</v>
      </c>
      <c r="R52" s="15" t="n">
        <v>15</v>
      </c>
    </row>
    <row r="53" ht="16.2" customHeight="1">
      <c r="B53" s="15" t="inlineStr">
        <is>
          <t>S2nd</t>
        </is>
      </c>
      <c r="C53" s="15" t="n">
        <v>1</v>
      </c>
      <c r="D53" s="79" t="n">
        <v>0</v>
      </c>
      <c r="E53" s="79" t="n">
        <v>0</v>
      </c>
      <c r="F53" s="79" t="n">
        <v>0</v>
      </c>
      <c r="G53" s="79" t="n">
        <v>0</v>
      </c>
      <c r="H53" s="79" t="inlineStr">
        <is>
          <t>495,6908</t>
        </is>
      </c>
      <c r="I53" s="79" t="n">
        <v>191.8181</v>
      </c>
      <c r="J53" s="79" t="n">
        <v>0</v>
      </c>
      <c r="K53" s="79" t="n">
        <v>428.2391</v>
      </c>
      <c r="L53" s="79" t="n">
        <v>341.0413</v>
      </c>
      <c r="M53" s="79" t="n">
        <v>0</v>
      </c>
      <c r="N53" s="79" t="n">
        <v>498.37</v>
      </c>
      <c r="O53" s="79" t="n">
        <v>0</v>
      </c>
      <c r="P53" s="79" t="n">
        <v>217.8175</v>
      </c>
      <c r="Q53" s="79" t="n">
        <v>186.7283</v>
      </c>
      <c r="R53" s="79" t="n">
        <v>592.9769</v>
      </c>
      <c r="W53" s="79" t="n"/>
      <c r="X53" s="79" t="n"/>
      <c r="Y53" s="79" t="n"/>
      <c r="Z53" s="79" t="n"/>
      <c r="AA53" s="79" t="n"/>
      <c r="AB53" s="79" t="n"/>
      <c r="AC53" s="79" t="n"/>
      <c r="AD53" s="79" t="n"/>
      <c r="AE53" s="79" t="n"/>
      <c r="AF53" s="79" t="n"/>
      <c r="AG53" s="79" t="n"/>
      <c r="AH53" s="79" t="n"/>
      <c r="AI53" s="79" t="n"/>
      <c r="AJ53" s="79" t="n"/>
      <c r="AK53" s="79" t="n"/>
    </row>
    <row r="54">
      <c r="C54" s="15" t="n">
        <v>2</v>
      </c>
      <c r="D54" s="79" t="inlineStr">
        <is>
          <t>282,9083</t>
        </is>
      </c>
      <c r="E54" s="79" t="inlineStr">
        <is>
          <t>213,6979</t>
        </is>
      </c>
      <c r="F54" s="79" t="n">
        <v>0</v>
      </c>
      <c r="G54" s="79" t="n">
        <v>0</v>
      </c>
      <c r="H54" s="79" t="inlineStr">
        <is>
          <t>388,8702</t>
        </is>
      </c>
      <c r="I54" s="79" t="n">
        <v>422.6212</v>
      </c>
      <c r="J54" s="79" t="n">
        <v>252.569</v>
      </c>
      <c r="K54" s="79" t="n">
        <v>0</v>
      </c>
      <c r="L54" s="79" t="n">
        <v>0</v>
      </c>
      <c r="M54" s="79" t="n">
        <v>195.9797</v>
      </c>
      <c r="N54" s="79" t="n">
        <v>0</v>
      </c>
      <c r="O54" s="79" t="n">
        <v>362.7987</v>
      </c>
      <c r="P54" s="79" t="n">
        <v>237.9285</v>
      </c>
      <c r="Q54" s="79" t="n">
        <v>507.6638</v>
      </c>
      <c r="R54" s="79" t="n">
        <v>435.1991</v>
      </c>
      <c r="W54" s="79" t="n"/>
      <c r="X54" s="79" t="n"/>
      <c r="Y54" s="79" t="n"/>
      <c r="Z54" s="79" t="n"/>
      <c r="AA54" s="79" t="n"/>
      <c r="AB54" s="79" t="n"/>
      <c r="AC54" s="79" t="n"/>
      <c r="AD54" s="79" t="n"/>
      <c r="AE54" s="79" t="n"/>
      <c r="AF54" s="79" t="n"/>
      <c r="AG54" s="79" t="n"/>
      <c r="AH54" s="79" t="n"/>
      <c r="AI54" s="79" t="n"/>
      <c r="AJ54" s="79" t="n"/>
      <c r="AK54" s="79" t="n"/>
    </row>
    <row r="55">
      <c r="C55" s="15" t="n">
        <v>3</v>
      </c>
      <c r="D55" s="79" t="inlineStr">
        <is>
          <t>467,0644</t>
        </is>
      </c>
      <c r="E55" s="79" t="n">
        <v>0</v>
      </c>
      <c r="F55" s="79" t="n">
        <v>0</v>
      </c>
      <c r="G55" s="79" t="inlineStr">
        <is>
          <t>583,1530</t>
        </is>
      </c>
      <c r="H55" s="79" t="n">
        <v>0</v>
      </c>
      <c r="I55" s="79" t="n">
        <v>466.8862</v>
      </c>
      <c r="J55" s="79" t="n">
        <v>270.8028</v>
      </c>
      <c r="K55" s="79" t="n">
        <v>0</v>
      </c>
      <c r="L55" s="79" t="n">
        <v>0</v>
      </c>
      <c r="M55" s="79" t="n">
        <v>0</v>
      </c>
      <c r="N55" s="79" t="n">
        <v>263.1016</v>
      </c>
      <c r="O55" s="79" t="n">
        <v>275.0038</v>
      </c>
      <c r="P55" s="79" t="n">
        <v>0</v>
      </c>
      <c r="Q55" s="79" t="n">
        <v>0</v>
      </c>
      <c r="R55" s="79" t="n">
        <v>362.3392</v>
      </c>
      <c r="W55" s="79" t="n"/>
      <c r="X55" s="79" t="n"/>
      <c r="Y55" s="79" t="n"/>
      <c r="Z55" s="79" t="n"/>
      <c r="AA55" s="79" t="n"/>
      <c r="AB55" s="79" t="n"/>
      <c r="AC55" s="79" t="n"/>
      <c r="AD55" s="79" t="n"/>
      <c r="AE55" s="79" t="n"/>
      <c r="AF55" s="79" t="n"/>
      <c r="AG55" s="79" t="n"/>
      <c r="AH55" s="79" t="n"/>
      <c r="AI55" s="79" t="n"/>
      <c r="AJ55" s="79" t="n"/>
      <c r="AK55" s="79" t="n"/>
    </row>
    <row r="57" ht="16.2" customHeight="1">
      <c r="B57" s="15" t="inlineStr">
        <is>
          <t>Parâmetros p/ σx</t>
        </is>
      </c>
      <c r="C57" s="15" t="inlineStr">
        <is>
          <t>Desvpad(Var(S2nd))</t>
        </is>
      </c>
      <c r="D57" s="15" t="n">
        <v>1</v>
      </c>
      <c r="E57" s="15" t="n">
        <v>2</v>
      </c>
      <c r="F57" s="15" t="n">
        <v>3</v>
      </c>
      <c r="G57" s="15" t="n">
        <v>4</v>
      </c>
      <c r="H57" s="15" t="n">
        <v>5</v>
      </c>
      <c r="I57" s="15" t="n">
        <v>6</v>
      </c>
      <c r="J57" s="15" t="n">
        <v>7</v>
      </c>
      <c r="K57" s="15" t="n">
        <v>8</v>
      </c>
      <c r="L57" s="15" t="n">
        <v>9</v>
      </c>
      <c r="M57" s="15" t="n">
        <v>10</v>
      </c>
      <c r="N57" s="15" t="n">
        <v>11</v>
      </c>
      <c r="O57" s="15" t="n">
        <v>12</v>
      </c>
      <c r="P57" s="15" t="n">
        <v>13</v>
      </c>
      <c r="Q57" s="15" t="n">
        <v>14</v>
      </c>
      <c r="R57" s="15" t="n">
        <v>15</v>
      </c>
    </row>
    <row r="58" ht="16.2" customHeight="1">
      <c r="B58" s="15" t="inlineStr">
        <is>
          <t>S2nd</t>
        </is>
      </c>
      <c r="C58" s="15" t="n">
        <v>1</v>
      </c>
      <c r="D58" s="79" t="n">
        <v>0</v>
      </c>
      <c r="E58" s="79" t="n">
        <v>0</v>
      </c>
      <c r="F58" s="79" t="n">
        <v>0</v>
      </c>
      <c r="G58" s="79" t="n">
        <v>0</v>
      </c>
      <c r="H58" s="79" t="n">
        <v>277.3852</v>
      </c>
      <c r="I58" s="79" t="n">
        <v>114.4701</v>
      </c>
      <c r="J58" s="79" t="n">
        <v>0</v>
      </c>
      <c r="K58" s="79" t="n">
        <v>251.6818</v>
      </c>
      <c r="L58" s="79" t="n">
        <v>197.052</v>
      </c>
      <c r="M58" s="79" t="n">
        <v>0</v>
      </c>
      <c r="N58" s="79" t="n">
        <v>277.4759</v>
      </c>
      <c r="O58" s="79" t="n">
        <v>0</v>
      </c>
      <c r="P58" s="79" t="n">
        <v>123.9421</v>
      </c>
      <c r="Q58" s="79" t="n">
        <v>109.4126</v>
      </c>
      <c r="R58" s="79" t="n">
        <v>346.4116</v>
      </c>
      <c r="W58" s="79" t="n"/>
      <c r="X58" s="79" t="n"/>
      <c r="Y58" s="79" t="n"/>
      <c r="Z58" s="79" t="n"/>
      <c r="AA58" s="79" t="n"/>
      <c r="AB58" s="79" t="n"/>
      <c r="AC58" s="79" t="n"/>
      <c r="AD58" s="79" t="n"/>
      <c r="AE58" s="79" t="n"/>
      <c r="AF58" s="79" t="n"/>
      <c r="AG58" s="79" t="n"/>
      <c r="AH58" s="79" t="n"/>
      <c r="AI58" s="79" t="n"/>
      <c r="AJ58" s="79" t="n"/>
      <c r="AK58" s="79" t="n"/>
    </row>
    <row r="59">
      <c r="C59" s="15" t="n">
        <v>2</v>
      </c>
      <c r="D59" s="79" t="n">
        <v>160.9752</v>
      </c>
      <c r="E59" s="79" t="n">
        <v>121.0452</v>
      </c>
      <c r="F59" s="79" t="n">
        <v>0</v>
      </c>
      <c r="G59" s="79" t="n">
        <v>0</v>
      </c>
      <c r="H59" s="79" t="n">
        <v>217.2882</v>
      </c>
      <c r="I59" s="79" t="n">
        <v>239.086</v>
      </c>
      <c r="J59" s="79" t="n">
        <v>140.5445</v>
      </c>
      <c r="K59" s="79" t="n">
        <v>0</v>
      </c>
      <c r="L59" s="79" t="n">
        <v>0</v>
      </c>
      <c r="M59" s="79" t="n">
        <v>112.6414</v>
      </c>
      <c r="N59" s="79" t="n">
        <v>0</v>
      </c>
      <c r="O59" s="79" t="n">
        <v>205.8108</v>
      </c>
      <c r="P59" s="79" t="n">
        <v>135.1195</v>
      </c>
      <c r="Q59" s="79" t="n">
        <v>284.6164</v>
      </c>
      <c r="R59" s="79" t="n">
        <v>247.6234</v>
      </c>
      <c r="W59" s="79" t="n"/>
      <c r="X59" s="79" t="n"/>
      <c r="Y59" s="79" t="n"/>
      <c r="Z59" s="79" t="n"/>
      <c r="AA59" s="79" t="n"/>
      <c r="AB59" s="79" t="n"/>
      <c r="AC59" s="79" t="n"/>
      <c r="AD59" s="79" t="n"/>
      <c r="AE59" s="79" t="n"/>
      <c r="AF59" s="79" t="n"/>
      <c r="AG59" s="79" t="n"/>
      <c r="AH59" s="79" t="n"/>
      <c r="AI59" s="79" t="n"/>
      <c r="AJ59" s="79" t="n"/>
      <c r="AK59" s="79" t="n"/>
    </row>
    <row r="60">
      <c r="C60" s="15" t="n">
        <v>3</v>
      </c>
      <c r="D60" s="79" t="n">
        <v>278.6301</v>
      </c>
      <c r="E60" s="79" t="n">
        <v>0</v>
      </c>
      <c r="F60" s="79" t="n">
        <v>0</v>
      </c>
      <c r="G60" s="79" t="n">
        <v>331.4884</v>
      </c>
      <c r="H60" s="79" t="n">
        <v>0</v>
      </c>
      <c r="I60" s="79" t="n">
        <v>286.2747</v>
      </c>
      <c r="J60" s="79" t="n">
        <v>169.9887</v>
      </c>
      <c r="K60" s="79" t="n">
        <v>0</v>
      </c>
      <c r="L60" s="79" t="n">
        <v>0</v>
      </c>
      <c r="M60" s="79" t="n">
        <v>0</v>
      </c>
      <c r="N60" s="79" t="n">
        <v>158.1255</v>
      </c>
      <c r="O60" s="79" t="n">
        <v>153.0895</v>
      </c>
      <c r="P60" s="79" t="n">
        <v>0</v>
      </c>
      <c r="Q60" s="79" t="n">
        <v>0</v>
      </c>
      <c r="R60" s="79" t="n">
        <v>206.0767</v>
      </c>
      <c r="W60" s="79" t="n"/>
      <c r="X60" s="79" t="n"/>
      <c r="Y60" s="79" t="n"/>
      <c r="Z60" s="79" t="n"/>
      <c r="AA60" s="79" t="n"/>
      <c r="AB60" s="79" t="n"/>
      <c r="AC60" s="79" t="n"/>
      <c r="AD60" s="79" t="n"/>
      <c r="AE60" s="79" t="n"/>
      <c r="AF60" s="79" t="n"/>
      <c r="AG60" s="79" t="n"/>
      <c r="AH60" s="79" t="n"/>
      <c r="AI60" s="79" t="n"/>
      <c r="AJ60" s="79" t="n"/>
      <c r="AK60" s="79" t="n"/>
    </row>
    <row r="62">
      <c r="B62" s="15" t="inlineStr">
        <is>
          <t>Parâmetros p/ σy</t>
        </is>
      </c>
      <c r="C62" s="15" t="inlineStr">
        <is>
          <t>DesvPad(Var(E(RLT)))</t>
        </is>
      </c>
      <c r="D62" s="15" t="n">
        <v>1</v>
      </c>
      <c r="E62" s="15" t="n">
        <v>2</v>
      </c>
      <c r="F62" s="15" t="n">
        <v>3</v>
      </c>
      <c r="G62" s="15" t="n">
        <v>4</v>
      </c>
      <c r="H62" s="15" t="n">
        <v>5</v>
      </c>
      <c r="I62" s="15" t="n">
        <v>6</v>
      </c>
      <c r="J62" s="15" t="n">
        <v>7</v>
      </c>
      <c r="K62" s="15" t="n">
        <v>8</v>
      </c>
      <c r="L62" s="15" t="n">
        <v>9</v>
      </c>
      <c r="M62" s="15" t="n">
        <v>10</v>
      </c>
      <c r="N62" s="15" t="n">
        <v>11</v>
      </c>
      <c r="O62" s="15" t="n">
        <v>12</v>
      </c>
      <c r="P62" s="15" t="n">
        <v>13</v>
      </c>
      <c r="Q62" s="15" t="n">
        <v>14</v>
      </c>
      <c r="R62" s="15" t="n">
        <v>15</v>
      </c>
    </row>
    <row r="63" ht="16.2" customHeight="1">
      <c r="B63" s="15" t="inlineStr">
        <is>
          <t>ND*RLT e S2nd</t>
        </is>
      </c>
      <c r="C63" s="15" t="n">
        <v>1</v>
      </c>
      <c r="D63" s="79" t="n">
        <v>0.3449</v>
      </c>
      <c r="E63" s="79" t="n">
        <v>0.5447</v>
      </c>
      <c r="F63" s="79" t="n">
        <v>0.54</v>
      </c>
      <c r="G63" s="79" t="n">
        <v>0.6459</v>
      </c>
      <c r="H63" s="79" t="n">
        <v>0.54</v>
      </c>
      <c r="I63" s="79" t="n">
        <v>0.5224</v>
      </c>
      <c r="J63" s="79" t="n">
        <v>0.3705</v>
      </c>
      <c r="K63" s="79" t="n">
        <v>0.5276</v>
      </c>
      <c r="L63" s="79" t="n">
        <v>0.4571</v>
      </c>
      <c r="M63" s="79" t="n">
        <v>0.418</v>
      </c>
      <c r="N63" s="79" t="n">
        <v>0.4877</v>
      </c>
      <c r="O63" s="79" t="n">
        <v>0.4884</v>
      </c>
      <c r="P63" s="79" t="n">
        <v>0.5327</v>
      </c>
      <c r="Q63" s="79" t="n">
        <v>0.5213</v>
      </c>
      <c r="R63" s="79" t="n">
        <v>0.5856</v>
      </c>
      <c r="W63" s="79" t="n"/>
      <c r="X63" s="79" t="n"/>
      <c r="Y63" s="79" t="n"/>
      <c r="Z63" s="79" t="n"/>
      <c r="AA63" s="79" t="n"/>
      <c r="AB63" s="79" t="n"/>
      <c r="AC63" s="79" t="n"/>
      <c r="AD63" s="79" t="n"/>
      <c r="AE63" s="79" t="n"/>
      <c r="AF63" s="79" t="n"/>
      <c r="AG63" s="79" t="n"/>
      <c r="AH63" s="79" t="n"/>
      <c r="AI63" s="79" t="n"/>
      <c r="AJ63" s="79" t="n"/>
      <c r="AK63" s="79" t="n"/>
    </row>
    <row r="64">
      <c r="C64" s="15" t="n">
        <v>2</v>
      </c>
      <c r="D64" s="79" t="n">
        <v>0.4786</v>
      </c>
      <c r="E64" s="79" t="n">
        <v>0.644</v>
      </c>
      <c r="F64" s="79" t="n">
        <v>0.4253</v>
      </c>
      <c r="G64" s="79" t="n">
        <v>0.7324000000000001</v>
      </c>
      <c r="H64" s="79" t="n">
        <v>0.4282</v>
      </c>
      <c r="I64" s="79" t="n">
        <v>0.5812</v>
      </c>
      <c r="J64" s="79" t="n">
        <v>0.441</v>
      </c>
      <c r="K64" s="79" t="n">
        <v>0.5816</v>
      </c>
      <c r="L64" s="79" t="n">
        <v>0.3943</v>
      </c>
      <c r="M64" s="79" t="n">
        <v>0.479</v>
      </c>
      <c r="N64" s="79" t="n">
        <v>0.4542</v>
      </c>
      <c r="O64" s="79" t="n">
        <v>0.5735</v>
      </c>
      <c r="P64" s="79" t="n">
        <v>0.7112000000000001</v>
      </c>
      <c r="Q64" s="79" t="n">
        <v>0.655</v>
      </c>
      <c r="R64" s="79" t="n">
        <v>0.4921</v>
      </c>
      <c r="W64" s="79" t="n"/>
      <c r="X64" s="79" t="n"/>
      <c r="Y64" s="79" t="n"/>
      <c r="Z64" s="79" t="n"/>
      <c r="AA64" s="79" t="n"/>
      <c r="AB64" s="79" t="n"/>
      <c r="AC64" s="79" t="n"/>
      <c r="AD64" s="79" t="n"/>
      <c r="AE64" s="79" t="n"/>
      <c r="AF64" s="79" t="n"/>
      <c r="AG64" s="79" t="n"/>
      <c r="AH64" s="79" t="n"/>
      <c r="AI64" s="79" t="n"/>
      <c r="AJ64" s="79" t="n"/>
      <c r="AK64" s="79" t="n"/>
    </row>
    <row r="65">
      <c r="C65" s="15" t="n">
        <v>3</v>
      </c>
      <c r="D65" s="79" t="n">
        <v>0.6667</v>
      </c>
      <c r="E65" s="79" t="n">
        <v>0.7036</v>
      </c>
      <c r="F65" s="79" t="n">
        <v>0.7536</v>
      </c>
      <c r="G65" s="79" t="n">
        <v>0.51</v>
      </c>
      <c r="H65" s="79" t="n">
        <v>0.503</v>
      </c>
      <c r="I65" s="79" t="n">
        <v>0.6425999999999999</v>
      </c>
      <c r="J65" s="79" t="n">
        <v>0.4622</v>
      </c>
      <c r="K65" s="79" t="n">
        <v>0.4801</v>
      </c>
      <c r="L65" s="79" t="n">
        <v>0.5973000000000001</v>
      </c>
      <c r="M65" s="79" t="n">
        <v>0.5819</v>
      </c>
      <c r="N65" s="79" t="n">
        <v>0.3778</v>
      </c>
      <c r="O65" s="79" t="n">
        <v>0.5118</v>
      </c>
      <c r="P65" s="79" t="n">
        <v>0.5133</v>
      </c>
      <c r="Q65" s="79" t="n">
        <v>0.4424</v>
      </c>
      <c r="R65" s="79" t="n">
        <v>0.4662</v>
      </c>
      <c r="W65" s="79" t="n"/>
      <c r="X65" s="79" t="n"/>
      <c r="Y65" s="79" t="n"/>
      <c r="Z65" s="79" t="n"/>
      <c r="AA65" s="79" t="n"/>
      <c r="AB65" s="79" t="n"/>
      <c r="AC65" s="79" t="n"/>
      <c r="AD65" s="79" t="n"/>
      <c r="AE65" s="79" t="n"/>
      <c r="AF65" s="79" t="n"/>
      <c r="AG65" s="79" t="n"/>
      <c r="AH65" s="79" t="n"/>
      <c r="AI65" s="79" t="n"/>
      <c r="AJ65" s="79" t="n"/>
      <c r="AK65" s="79" t="n"/>
    </row>
    <row r="67">
      <c r="B67" s="15" t="inlineStr">
        <is>
          <t>Parâmetros p/ μx</t>
        </is>
      </c>
      <c r="C67" s="15" t="inlineStr">
        <is>
          <t>Média(d-Cap)</t>
        </is>
      </c>
      <c r="D67" s="15" t="n">
        <v>1</v>
      </c>
      <c r="E67" s="15" t="n">
        <v>2</v>
      </c>
      <c r="F67" s="15" t="n">
        <v>3</v>
      </c>
      <c r="G67" s="15" t="n">
        <v>4</v>
      </c>
      <c r="H67" s="15" t="n">
        <v>5</v>
      </c>
      <c r="I67" s="15" t="n">
        <v>6</v>
      </c>
      <c r="J67" s="15" t="n">
        <v>7</v>
      </c>
      <c r="K67" s="15" t="n">
        <v>8</v>
      </c>
      <c r="L67" s="15" t="n">
        <v>9</v>
      </c>
      <c r="M67" s="15" t="n">
        <v>10</v>
      </c>
      <c r="N67" s="15" t="n">
        <v>11</v>
      </c>
      <c r="O67" s="15" t="n">
        <v>12</v>
      </c>
      <c r="P67" s="15" t="n">
        <v>13</v>
      </c>
      <c r="Q67" s="15" t="n">
        <v>14</v>
      </c>
      <c r="R67" s="15" t="n">
        <v>15</v>
      </c>
    </row>
    <row r="68">
      <c r="B68" s="15" t="inlineStr">
        <is>
          <t>ND*RLT</t>
        </is>
      </c>
      <c r="C68" s="15" t="n">
        <v>1</v>
      </c>
      <c r="D68" s="85" t="n">
        <v>-73.10000000000002</v>
      </c>
      <c r="E68" s="85" t="n">
        <v>-38.88000000000005</v>
      </c>
      <c r="F68" s="85" t="n">
        <v>-149.55</v>
      </c>
      <c r="G68" s="85" t="n">
        <v>-107.98</v>
      </c>
      <c r="H68" s="85" t="n">
        <v>46.69999999999999</v>
      </c>
      <c r="I68" s="85" t="n">
        <v>106.17</v>
      </c>
      <c r="J68" s="85" t="n">
        <v>-136.97</v>
      </c>
      <c r="K68" s="85" t="n">
        <v>138.53</v>
      </c>
      <c r="L68" s="85" t="n">
        <v>101.27</v>
      </c>
      <c r="M68" s="85" t="n">
        <v>-29.22000000000003</v>
      </c>
      <c r="N68" s="85" t="n">
        <v>16.77000000000004</v>
      </c>
      <c r="O68" s="85" t="n">
        <v>-25.31</v>
      </c>
      <c r="P68" s="85" t="n">
        <v>61.70000000000002</v>
      </c>
      <c r="Q68" s="85" t="n">
        <v>88.71000000000001</v>
      </c>
      <c r="R68" s="85" t="n">
        <v>153.0700000000001</v>
      </c>
      <c r="W68" s="85" t="n"/>
      <c r="X68" s="85" t="n"/>
      <c r="Y68" s="85" t="n"/>
      <c r="Z68" s="85" t="n"/>
      <c r="AA68" s="85" t="n"/>
      <c r="AB68" s="85" t="n"/>
      <c r="AC68" s="85" t="n"/>
      <c r="AD68" s="85" t="n"/>
      <c r="AE68" s="85" t="n"/>
      <c r="AF68" s="85" t="n"/>
      <c r="AG68" s="85" t="n"/>
      <c r="AH68" s="85" t="n"/>
      <c r="AI68" s="85" t="n"/>
      <c r="AJ68" s="85" t="n"/>
      <c r="AK68" s="85" t="n"/>
    </row>
    <row r="69">
      <c r="C69" s="15" t="n">
        <v>2</v>
      </c>
      <c r="D69" s="85" t="n">
        <v>70.26999999999998</v>
      </c>
      <c r="E69" s="85" t="n">
        <v>54.39000000000001</v>
      </c>
      <c r="F69" s="85" t="n">
        <v>-69.21999999999997</v>
      </c>
      <c r="G69" s="85" t="n">
        <v>-226.34</v>
      </c>
      <c r="H69" s="85" t="n">
        <v>35.69</v>
      </c>
      <c r="I69" s="85" t="n">
        <v>73.69999999999999</v>
      </c>
      <c r="J69" s="85" t="n">
        <v>6.159999999999968</v>
      </c>
      <c r="K69" s="85" t="n">
        <v>-78.02000000000001</v>
      </c>
      <c r="L69" s="85" t="n">
        <v>-76.38</v>
      </c>
      <c r="M69" s="85" t="n">
        <v>70.93000000000001</v>
      </c>
      <c r="N69" s="85" t="n">
        <v>-108.97</v>
      </c>
      <c r="O69" s="85" t="n">
        <v>73.87</v>
      </c>
      <c r="P69" s="85" t="n">
        <v>61.50999999999999</v>
      </c>
      <c r="Q69" s="85" t="n">
        <v>54.40000000000003</v>
      </c>
      <c r="R69" s="85" t="n">
        <v>87.11000000000001</v>
      </c>
      <c r="W69" s="85" t="n"/>
      <c r="X69" s="85" t="n"/>
      <c r="Y69" s="85" t="n"/>
      <c r="Z69" s="85" t="n"/>
      <c r="AA69" s="85" t="n"/>
      <c r="AB69" s="85" t="n"/>
      <c r="AC69" s="85" t="n"/>
      <c r="AD69" s="85" t="n"/>
      <c r="AE69" s="85" t="n"/>
      <c r="AF69" s="85" t="n"/>
      <c r="AG69" s="85" t="n"/>
      <c r="AH69" s="85" t="n"/>
      <c r="AI69" s="85" t="n"/>
      <c r="AJ69" s="85" t="n"/>
      <c r="AK69" s="85" t="n"/>
    </row>
    <row r="70">
      <c r="C70" s="15" t="n">
        <v>3</v>
      </c>
      <c r="D70" s="85" t="n">
        <v>165.21</v>
      </c>
      <c r="E70" s="85" t="n">
        <v>-98.88</v>
      </c>
      <c r="F70" s="85" t="n">
        <v>-171.21</v>
      </c>
      <c r="G70" s="85" t="n">
        <v>98.58000000000004</v>
      </c>
      <c r="H70" s="85" t="n">
        <v>-96.50999999999999</v>
      </c>
      <c r="I70" s="85" t="n">
        <v>199.62</v>
      </c>
      <c r="J70" s="85" t="n">
        <v>173.01</v>
      </c>
      <c r="K70" s="85" t="n">
        <v>-61.47000000000003</v>
      </c>
      <c r="L70" s="85" t="n">
        <v>-130.21</v>
      </c>
      <c r="M70" s="85" t="n">
        <v>-32.69</v>
      </c>
      <c r="N70" s="85" t="n">
        <v>131.25</v>
      </c>
      <c r="O70" s="85" t="n">
        <v>11.11000000000001</v>
      </c>
      <c r="P70" s="85" t="n">
        <v>-98.85000000000002</v>
      </c>
      <c r="Q70" s="85" t="n">
        <v>-44.68000000000001</v>
      </c>
      <c r="R70" s="85" t="n">
        <v>78.68000000000001</v>
      </c>
      <c r="W70" s="85" t="n"/>
      <c r="X70" s="85" t="n"/>
      <c r="Y70" s="85" t="n"/>
      <c r="Z70" s="85" t="n"/>
      <c r="AA70" s="85" t="n"/>
      <c r="AB70" s="85" t="n"/>
      <c r="AC70" s="85" t="n"/>
      <c r="AD70" s="85" t="n"/>
      <c r="AE70" s="85" t="n"/>
      <c r="AF70" s="85" t="n"/>
      <c r="AG70" s="85" t="n"/>
      <c r="AH70" s="85" t="n"/>
      <c r="AI70" s="85" t="n"/>
      <c r="AJ70" s="85" t="n"/>
      <c r="AK70" s="85" t="n"/>
    </row>
    <row r="72">
      <c r="B72" s="15" t="inlineStr">
        <is>
          <t>Parâmetros p/ σx</t>
        </is>
      </c>
      <c r="C72" s="15" t="inlineStr">
        <is>
          <t>DesvPad(Var(d-cap))</t>
        </is>
      </c>
      <c r="D72" s="15" t="n">
        <v>1</v>
      </c>
      <c r="E72" s="15" t="n">
        <v>2</v>
      </c>
      <c r="F72" s="15" t="n">
        <v>3</v>
      </c>
      <c r="G72" s="15" t="n">
        <v>4</v>
      </c>
      <c r="H72" s="15" t="n">
        <v>5</v>
      </c>
      <c r="I72" s="15" t="n">
        <v>6</v>
      </c>
      <c r="J72" s="15" t="n">
        <v>7</v>
      </c>
      <c r="K72" s="15" t="n">
        <v>8</v>
      </c>
      <c r="L72" s="15" t="n">
        <v>9</v>
      </c>
      <c r="M72" s="15" t="n">
        <v>10</v>
      </c>
      <c r="N72" s="15" t="n">
        <v>11</v>
      </c>
      <c r="O72" s="15" t="n">
        <v>12</v>
      </c>
      <c r="P72" s="15" t="n">
        <v>13</v>
      </c>
      <c r="Q72" s="15" t="n">
        <v>14</v>
      </c>
      <c r="R72" s="15" t="n">
        <v>15</v>
      </c>
    </row>
    <row r="73">
      <c r="B73" s="15" t="inlineStr">
        <is>
          <t>ND*RLT</t>
        </is>
      </c>
      <c r="C73" s="15" t="n">
        <v>1</v>
      </c>
      <c r="D73" s="85" t="n">
        <v>0</v>
      </c>
      <c r="E73" s="85" t="n">
        <v>0</v>
      </c>
      <c r="F73" s="85" t="n">
        <v>0</v>
      </c>
      <c r="G73" s="85" t="n">
        <v>0</v>
      </c>
      <c r="H73" s="85" t="n">
        <v>22.26411462421086</v>
      </c>
      <c r="I73" s="85" t="n">
        <v>13.84984115432376</v>
      </c>
      <c r="J73" s="85" t="n">
        <v>0</v>
      </c>
      <c r="K73" s="85" t="n">
        <v>20.69393872611012</v>
      </c>
      <c r="L73" s="85" t="n">
        <v>18.46730353895771</v>
      </c>
      <c r="M73" s="85" t="n">
        <v>0</v>
      </c>
      <c r="N73" s="85" t="n">
        <v>22.3242021134015</v>
      </c>
      <c r="O73" s="85" t="n">
        <v>0</v>
      </c>
      <c r="P73" s="85" t="n">
        <v>14.75864153640165</v>
      </c>
      <c r="Q73" s="85" t="n">
        <v>13.66485638417031</v>
      </c>
      <c r="R73" s="85" t="n">
        <v>24.35111701750045</v>
      </c>
      <c r="W73" s="85" t="n"/>
      <c r="X73" s="85" t="n"/>
      <c r="Y73" s="85" t="n"/>
      <c r="Z73" s="85" t="n"/>
      <c r="AA73" s="85" t="n"/>
      <c r="AB73" s="85" t="n"/>
      <c r="AC73" s="85" t="n"/>
      <c r="AD73" s="85" t="n"/>
      <c r="AE73" s="85" t="n"/>
      <c r="AF73" s="85" t="n"/>
      <c r="AG73" s="85" t="n"/>
      <c r="AH73" s="85" t="n"/>
      <c r="AI73" s="85" t="n"/>
      <c r="AJ73" s="85" t="n"/>
      <c r="AK73" s="85" t="n"/>
    </row>
    <row r="74">
      <c r="C74" s="15" t="n">
        <v>2</v>
      </c>
      <c r="D74" s="85" t="n">
        <v>16.81987812084261</v>
      </c>
      <c r="E74" s="85" t="n">
        <v>14.61840962622131</v>
      </c>
      <c r="F74" s="85" t="n">
        <v>0</v>
      </c>
      <c r="G74" s="85" t="n">
        <v>0</v>
      </c>
      <c r="H74" s="85" t="n">
        <v>19.71979208815346</v>
      </c>
      <c r="I74" s="85" t="n">
        <v>20.5577527954784</v>
      </c>
      <c r="J74" s="85" t="n">
        <v>15.89241957664093</v>
      </c>
      <c r="K74" s="85" t="n">
        <v>0</v>
      </c>
      <c r="L74" s="85" t="n">
        <v>0</v>
      </c>
      <c r="M74" s="85" t="n">
        <v>13.99927498122671</v>
      </c>
      <c r="N74" s="85" t="n">
        <v>0</v>
      </c>
      <c r="O74" s="85" t="n">
        <v>19.04727539570949</v>
      </c>
      <c r="P74" s="85" t="n">
        <v>15.42493111816063</v>
      </c>
      <c r="Q74" s="85" t="n">
        <v>22.5313958733142</v>
      </c>
      <c r="R74" s="85" t="n">
        <v>20.86142612574701</v>
      </c>
      <c r="W74" s="85" t="n"/>
      <c r="X74" s="85" t="n"/>
      <c r="Y74" s="85" t="n"/>
      <c r="Z74" s="85" t="n"/>
      <c r="AA74" s="85" t="n"/>
      <c r="AB74" s="85" t="n"/>
      <c r="AC74" s="85" t="n"/>
      <c r="AD74" s="85" t="n"/>
      <c r="AE74" s="85" t="n"/>
      <c r="AF74" s="85" t="n"/>
      <c r="AG74" s="85" t="n"/>
      <c r="AH74" s="85" t="n"/>
      <c r="AI74" s="85" t="n"/>
      <c r="AJ74" s="85" t="n"/>
      <c r="AK74" s="85" t="n"/>
    </row>
    <row r="75">
      <c r="C75" s="15" t="n">
        <v>3</v>
      </c>
      <c r="D75" s="85" t="n">
        <v>21.61167277190732</v>
      </c>
      <c r="E75" s="85" t="n">
        <v>0</v>
      </c>
      <c r="F75" s="85" t="n">
        <v>0</v>
      </c>
      <c r="G75" s="85" t="n">
        <v>24.1485610337345</v>
      </c>
      <c r="H75" s="85" t="n">
        <v>0</v>
      </c>
      <c r="I75" s="85" t="n">
        <v>21.60754960656113</v>
      </c>
      <c r="J75" s="85" t="n">
        <v>16.45608701970186</v>
      </c>
      <c r="K75" s="85" t="n">
        <v>0</v>
      </c>
      <c r="L75" s="85" t="n">
        <v>0</v>
      </c>
      <c r="M75" s="85" t="n">
        <v>0</v>
      </c>
      <c r="N75" s="85" t="n">
        <v>16.22040689995168</v>
      </c>
      <c r="O75" s="85" t="n">
        <v>16.58323852569214</v>
      </c>
      <c r="P75" s="85" t="n">
        <v>0</v>
      </c>
      <c r="Q75" s="85" t="n">
        <v>0</v>
      </c>
      <c r="R75" s="85" t="n">
        <v>19.0352094813795</v>
      </c>
      <c r="W75" s="85" t="n"/>
      <c r="X75" s="85" t="n"/>
      <c r="Y75" s="85" t="n"/>
      <c r="Z75" s="85" t="n"/>
      <c r="AA75" s="85" t="n"/>
      <c r="AB75" s="85" t="n"/>
      <c r="AC75" s="85" t="n"/>
      <c r="AD75" s="85" t="n"/>
      <c r="AE75" s="85" t="n"/>
      <c r="AF75" s="85" t="n"/>
      <c r="AG75" s="85" t="n"/>
      <c r="AH75" s="85" t="n"/>
      <c r="AI75" s="85" t="n"/>
      <c r="AJ75" s="85" t="n"/>
      <c r="AK75" s="85" t="n"/>
    </row>
    <row r="77">
      <c r="C77" s="15" t="inlineStr">
        <is>
          <t>LB</t>
        </is>
      </c>
      <c r="D77" s="15" t="n">
        <v>1</v>
      </c>
      <c r="E77" s="15" t="n">
        <v>2</v>
      </c>
      <c r="F77" s="15" t="n">
        <v>3</v>
      </c>
      <c r="G77" s="15" t="n">
        <v>4</v>
      </c>
      <c r="H77" s="15" t="n">
        <v>5</v>
      </c>
      <c r="I77" s="15" t="n">
        <v>6</v>
      </c>
      <c r="J77" s="15" t="n">
        <v>7</v>
      </c>
      <c r="K77" s="15" t="n">
        <v>8</v>
      </c>
      <c r="L77" s="15" t="n">
        <v>9</v>
      </c>
      <c r="M77" s="15" t="n">
        <v>10</v>
      </c>
      <c r="N77" s="15" t="n">
        <v>11</v>
      </c>
      <c r="O77" s="15" t="n">
        <v>12</v>
      </c>
      <c r="P77" s="15" t="n">
        <v>13</v>
      </c>
      <c r="Q77" s="15" t="n">
        <v>14</v>
      </c>
      <c r="R77" s="15" t="n">
        <v>15</v>
      </c>
    </row>
    <row r="78">
      <c r="C78" s="15" t="n">
        <v>1</v>
      </c>
      <c r="D78" s="85" t="n">
        <v>0</v>
      </c>
      <c r="E78" s="85" t="n">
        <v>0</v>
      </c>
      <c r="F78" s="85" t="n">
        <v>0</v>
      </c>
      <c r="G78" s="85" t="n">
        <v>0</v>
      </c>
      <c r="H78" s="85" t="n">
        <v>15818.30225</v>
      </c>
      <c r="I78" s="85" t="n">
        <v>6132.009322</v>
      </c>
      <c r="J78" s="85" t="n">
        <v>0</v>
      </c>
      <c r="K78" s="85" t="n">
        <v>13708.84898</v>
      </c>
      <c r="L78" s="85" t="n">
        <v>9372.339625000001</v>
      </c>
      <c r="M78" s="85" t="n">
        <v>0</v>
      </c>
      <c r="N78" s="85" t="n">
        <v>14327.464641</v>
      </c>
      <c r="O78" s="85" t="n">
        <v>0</v>
      </c>
      <c r="P78" s="85" t="n">
        <v>6918.396918</v>
      </c>
      <c r="Q78" s="85" t="n">
        <v>5897.562664</v>
      </c>
      <c r="R78" s="85" t="n">
        <v>21002.389586</v>
      </c>
      <c r="W78" s="85" t="n"/>
      <c r="X78" s="85" t="n"/>
      <c r="Y78" s="85" t="n"/>
      <c r="Z78" s="85" t="n"/>
      <c r="AA78" s="85" t="n"/>
      <c r="AB78" s="85" t="n"/>
      <c r="AC78" s="85" t="n"/>
      <c r="AD78" s="85" t="n"/>
      <c r="AE78" s="85" t="n"/>
      <c r="AF78" s="85" t="n"/>
      <c r="AG78" s="85" t="n"/>
      <c r="AH78" s="85" t="n"/>
      <c r="AI78" s="85" t="n"/>
      <c r="AJ78" s="85" t="n"/>
      <c r="AK78" s="85" t="n"/>
    </row>
    <row r="79">
      <c r="C79" s="15" t="n">
        <v>2</v>
      </c>
      <c r="D79" s="85" t="n">
        <v>8074.181162</v>
      </c>
      <c r="E79" s="85" t="n">
        <v>8186.446299</v>
      </c>
      <c r="F79" s="85" t="n">
        <v>0</v>
      </c>
      <c r="G79" s="85" t="n">
        <v>0</v>
      </c>
      <c r="H79" s="85" t="n">
        <v>9834.263471</v>
      </c>
      <c r="I79" s="85" t="n">
        <v>14601.56764</v>
      </c>
      <c r="J79" s="85" t="n">
        <v>6563.431588</v>
      </c>
      <c r="K79" s="85" t="n">
        <v>0</v>
      </c>
      <c r="L79" s="85" t="n">
        <v>0</v>
      </c>
      <c r="M79" s="85" t="n">
        <v>5627.912588</v>
      </c>
      <c r="N79" s="85" t="n">
        <v>0</v>
      </c>
      <c r="O79" s="85" t="n">
        <v>12387.655605</v>
      </c>
      <c r="P79" s="85" t="n">
        <v>10079.393149</v>
      </c>
      <c r="Q79" s="85" t="n">
        <v>19670.322975</v>
      </c>
      <c r="R79" s="85" t="n">
        <v>12770.937933</v>
      </c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  <c r="AK79" s="85" t="n"/>
    </row>
    <row r="80">
      <c r="C80" s="15" t="n">
        <v>3</v>
      </c>
      <c r="D80" s="85" t="n">
        <v>19048.847044</v>
      </c>
      <c r="E80" s="85" t="n">
        <v>0</v>
      </c>
      <c r="F80" s="85" t="n">
        <v>0</v>
      </c>
      <c r="G80" s="85" t="n">
        <v>17725.552026</v>
      </c>
      <c r="H80" s="85" t="n">
        <v>0</v>
      </c>
      <c r="I80" s="85" t="n">
        <v>18633.410754</v>
      </c>
      <c r="J80" s="85" t="n">
        <v>7876.716274</v>
      </c>
      <c r="K80" s="85" t="n">
        <v>0</v>
      </c>
      <c r="L80" s="85" t="n">
        <v>0</v>
      </c>
      <c r="M80" s="85" t="n">
        <v>0</v>
      </c>
      <c r="N80" s="85" t="n">
        <v>6106.984279</v>
      </c>
      <c r="O80" s="85" t="n">
        <v>8295.877818999999</v>
      </c>
      <c r="P80" s="85" t="n">
        <v>0</v>
      </c>
      <c r="Q80" s="85" t="n">
        <v>0</v>
      </c>
      <c r="R80" s="85" t="n">
        <v>10070.459227</v>
      </c>
      <c r="W80" s="85" t="n"/>
      <c r="X80" s="85" t="n"/>
      <c r="Y80" s="85" t="n"/>
      <c r="Z80" s="85" t="n"/>
      <c r="AA80" s="85" t="n"/>
      <c r="AB80" s="85" t="n"/>
      <c r="AC80" s="85" t="n"/>
      <c r="AD80" s="85" t="n"/>
      <c r="AE80" s="85" t="n"/>
      <c r="AF80" s="85" t="n"/>
      <c r="AG80" s="85" t="n"/>
      <c r="AH80" s="85" t="n"/>
      <c r="AI80" s="85" t="n"/>
      <c r="AJ80" s="85" t="n"/>
      <c r="AK80" s="85" t="n"/>
    </row>
    <row r="82">
      <c r="C82" s="15" t="inlineStr">
        <is>
          <t>DesvPad(ND*ELT)</t>
        </is>
      </c>
      <c r="D82" s="15" t="n">
        <v>1</v>
      </c>
      <c r="E82" s="15" t="n">
        <v>2</v>
      </c>
      <c r="F82" s="15" t="n">
        <v>3</v>
      </c>
      <c r="G82" s="15" t="n">
        <v>4</v>
      </c>
      <c r="H82" s="15" t="n">
        <v>5</v>
      </c>
      <c r="I82" s="15" t="n">
        <v>6</v>
      </c>
      <c r="J82" s="15" t="n">
        <v>7</v>
      </c>
      <c r="K82" s="15" t="n">
        <v>8</v>
      </c>
      <c r="L82" s="15" t="n">
        <v>9</v>
      </c>
      <c r="M82" s="15" t="n">
        <v>10</v>
      </c>
      <c r="N82" s="15" t="n">
        <v>11</v>
      </c>
      <c r="O82" s="15" t="n">
        <v>12</v>
      </c>
      <c r="P82" s="15" t="n">
        <v>13</v>
      </c>
      <c r="Q82" s="15" t="n">
        <v>14</v>
      </c>
      <c r="R82" s="15" t="n">
        <v>15</v>
      </c>
    </row>
    <row r="83">
      <c r="C83" s="15" t="n">
        <v>1</v>
      </c>
      <c r="D83" s="85" t="n">
        <v>0</v>
      </c>
      <c r="E83" s="85" t="n">
        <v>0</v>
      </c>
      <c r="F83" s="85" t="n">
        <v>0</v>
      </c>
      <c r="G83" s="85" t="n">
        <v>0</v>
      </c>
      <c r="H83" s="85" t="n">
        <v>89.3519</v>
      </c>
      <c r="I83" s="85" t="n">
        <v>58.127</v>
      </c>
      <c r="J83" s="85" t="n">
        <v>0</v>
      </c>
      <c r="K83" s="85" t="n">
        <v>86.01690000000001</v>
      </c>
      <c r="L83" s="85" t="n">
        <v>70.3036</v>
      </c>
      <c r="M83" s="85" t="n">
        <v>0</v>
      </c>
      <c r="N83" s="85" t="n">
        <v>84.74079999999999</v>
      </c>
      <c r="O83" s="85" t="n">
        <v>0</v>
      </c>
      <c r="P83" s="85" t="n">
        <v>59.7737</v>
      </c>
      <c r="Q83" s="85" t="n">
        <v>56.3029</v>
      </c>
      <c r="R83" s="85" t="n">
        <v>106.0337</v>
      </c>
      <c r="W83" s="85" t="n"/>
      <c r="X83" s="85" t="n"/>
      <c r="Y83" s="85" t="n"/>
      <c r="Z83" s="85" t="n"/>
      <c r="AA83" s="85" t="n"/>
      <c r="AB83" s="85" t="n"/>
      <c r="AC83" s="85" t="n"/>
      <c r="AD83" s="85" t="n"/>
      <c r="AE83" s="85" t="n"/>
      <c r="AF83" s="85" t="n"/>
      <c r="AG83" s="85" t="n"/>
      <c r="AH83" s="85" t="n"/>
      <c r="AI83" s="85" t="n"/>
      <c r="AJ83" s="85" t="n"/>
      <c r="AK83" s="85" t="n"/>
    </row>
    <row r="84">
      <c r="C84" s="15" t="n">
        <v>2</v>
      </c>
      <c r="D84" s="85" t="n">
        <v>223.0756</v>
      </c>
      <c r="E84" s="85" t="n">
        <v>64.8184</v>
      </c>
      <c r="F84" s="85" t="n">
        <v>0</v>
      </c>
      <c r="G84" s="85" t="n">
        <v>0</v>
      </c>
      <c r="H84" s="85" t="n">
        <v>70.3806</v>
      </c>
      <c r="I84" s="85" t="n">
        <v>86.49209999999999</v>
      </c>
      <c r="J84" s="85" t="n">
        <v>57.3334</v>
      </c>
      <c r="K84" s="85" t="n">
        <v>0</v>
      </c>
      <c r="L84" s="85" t="n">
        <v>0</v>
      </c>
      <c r="M84" s="85" t="n">
        <v>54.2832</v>
      </c>
      <c r="N84" s="85" t="n">
        <v>0</v>
      </c>
      <c r="O84" s="85" t="n">
        <v>79.8168</v>
      </c>
      <c r="P84" s="85" t="n">
        <v>72.0508</v>
      </c>
      <c r="Q84" s="85" t="n">
        <v>99.76730000000001</v>
      </c>
      <c r="R84" s="85" t="n">
        <v>81.2089</v>
      </c>
      <c r="W84" s="85" t="n"/>
      <c r="X84" s="85" t="n"/>
      <c r="Y84" s="85" t="n"/>
      <c r="Z84" s="85" t="n"/>
      <c r="AA84" s="85" t="n"/>
      <c r="AB84" s="85" t="n"/>
      <c r="AC84" s="85" t="n"/>
      <c r="AD84" s="85" t="n"/>
      <c r="AE84" s="85" t="n"/>
      <c r="AF84" s="85" t="n"/>
      <c r="AG84" s="85" t="n"/>
      <c r="AH84" s="85" t="n"/>
      <c r="AI84" s="85" t="n"/>
      <c r="AJ84" s="85" t="n"/>
      <c r="AK84" s="85" t="n"/>
    </row>
    <row r="85">
      <c r="C85" s="15" t="n">
        <v>3</v>
      </c>
      <c r="D85" s="85" t="n">
        <v>102.4257</v>
      </c>
      <c r="E85" s="85" t="n">
        <v>0</v>
      </c>
      <c r="F85" s="85" t="n">
        <v>0</v>
      </c>
      <c r="G85" s="85" t="n">
        <v>95.6105</v>
      </c>
      <c r="H85" s="85" t="n">
        <v>0</v>
      </c>
      <c r="I85" s="85" t="n">
        <v>103.1899</v>
      </c>
      <c r="J85" s="85" t="n">
        <v>68.1494</v>
      </c>
      <c r="K85" s="85" t="n">
        <v>0</v>
      </c>
      <c r="L85" s="85" t="n">
        <v>0</v>
      </c>
      <c r="M85" s="85" t="n">
        <v>0</v>
      </c>
      <c r="N85" s="85" t="n">
        <v>58.2861</v>
      </c>
      <c r="O85" s="85" t="n">
        <v>64.4752</v>
      </c>
      <c r="P85" s="85" t="n">
        <v>0</v>
      </c>
      <c r="Q85" s="85" t="n">
        <v>0</v>
      </c>
      <c r="R85" s="85" t="n">
        <v>72.0919</v>
      </c>
      <c r="W85" s="85" t="n"/>
      <c r="X85" s="85" t="n"/>
      <c r="Y85" s="85" t="n"/>
      <c r="Z85" s="85" t="n"/>
      <c r="AA85" s="85" t="n"/>
      <c r="AB85" s="85" t="n"/>
      <c r="AC85" s="85" t="n"/>
      <c r="AD85" s="85" t="n"/>
      <c r="AE85" s="85" t="n"/>
      <c r="AF85" s="85" t="n"/>
      <c r="AG85" s="85" t="n"/>
      <c r="AH85" s="85" t="n"/>
      <c r="AI85" s="85" t="n"/>
      <c r="AJ85" s="85" t="n"/>
      <c r="AK85" s="85" t="n"/>
    </row>
    <row r="87">
      <c r="C87" s="15" t="inlineStr">
        <is>
          <t>DesvPad(Cap)</t>
        </is>
      </c>
      <c r="D87" s="15" t="n">
        <v>1</v>
      </c>
      <c r="E87" s="15" t="n">
        <v>2</v>
      </c>
      <c r="F87" s="15" t="n">
        <v>3</v>
      </c>
      <c r="G87" s="15" t="n">
        <v>4</v>
      </c>
      <c r="H87" s="15" t="n">
        <v>5</v>
      </c>
      <c r="I87" s="15" t="n">
        <v>6</v>
      </c>
      <c r="J87" s="15" t="n">
        <v>7</v>
      </c>
      <c r="K87" s="15" t="n">
        <v>8</v>
      </c>
      <c r="L87" s="15" t="n">
        <v>9</v>
      </c>
      <c r="M87" s="15" t="n">
        <v>10</v>
      </c>
      <c r="N87" s="15" t="n">
        <v>11</v>
      </c>
      <c r="O87" s="15" t="n">
        <v>12</v>
      </c>
      <c r="P87" s="15" t="n">
        <v>13</v>
      </c>
      <c r="Q87" s="15" t="n">
        <v>14</v>
      </c>
      <c r="R87" s="15" t="n">
        <v>15</v>
      </c>
    </row>
    <row r="88">
      <c r="C88" s="15" t="n">
        <v>1</v>
      </c>
      <c r="D88" s="15" t="n">
        <v>60.92</v>
      </c>
      <c r="E88" s="15" t="n">
        <v>67.24399973231813</v>
      </c>
      <c r="F88" s="15" t="n">
        <v>73.47399948281024</v>
      </c>
      <c r="G88" s="15" t="n">
        <v>66.12</v>
      </c>
      <c r="H88" s="15" t="n">
        <v>81.43199985263779</v>
      </c>
      <c r="I88" s="15" t="n">
        <v>41.96199947571612</v>
      </c>
      <c r="J88" s="15" t="n">
        <v>70.63</v>
      </c>
      <c r="K88" s="15" t="n">
        <v>65.08799966199607</v>
      </c>
      <c r="L88" s="15" t="n">
        <v>60.67599937372272</v>
      </c>
      <c r="M88" s="15" t="n">
        <v>72.78199983512407</v>
      </c>
      <c r="N88" s="15" t="n">
        <v>84.76799985843715</v>
      </c>
      <c r="O88" s="15" t="n">
        <v>50.14</v>
      </c>
      <c r="P88" s="15" t="n">
        <v>50.65599964466203</v>
      </c>
      <c r="Q88" s="15" t="n">
        <v>43.30399981525956</v>
      </c>
      <c r="R88" s="15" t="n">
        <v>77.7539998971114</v>
      </c>
    </row>
    <row r="89">
      <c r="C89" s="15" t="n">
        <v>2</v>
      </c>
      <c r="D89" s="15" t="n">
        <v>57.73599916862962</v>
      </c>
      <c r="E89" s="15" t="n">
        <v>50.91599945007463</v>
      </c>
      <c r="F89" s="15" t="n">
        <v>66.76599958062486</v>
      </c>
      <c r="G89" s="15" t="n">
        <v>113.9919997192785</v>
      </c>
      <c r="H89" s="15" t="n">
        <v>72.72199942245813</v>
      </c>
      <c r="I89" s="15" t="n">
        <v>71.90799955498693</v>
      </c>
      <c r="J89" s="15" t="n">
        <v>60.93199980305915</v>
      </c>
      <c r="K89" s="15" t="n">
        <v>62.43399955152641</v>
      </c>
      <c r="L89" s="15" t="n">
        <v>75.82199944607106</v>
      </c>
      <c r="M89" s="15" t="n">
        <v>46.66</v>
      </c>
      <c r="N89" s="15" t="n">
        <v>77.58399963910084</v>
      </c>
      <c r="O89" s="15" t="n">
        <v>66.01199966672726</v>
      </c>
      <c r="P89" s="15" t="n">
        <v>53.27199921159333</v>
      </c>
      <c r="Q89" s="15" t="n">
        <v>81.65399990202562</v>
      </c>
      <c r="R89" s="15" t="n">
        <v>71.61399932974</v>
      </c>
    </row>
    <row r="90">
      <c r="C90" s="15" t="n">
        <v>3</v>
      </c>
      <c r="D90" s="15" t="n">
        <v>65.53399957274087</v>
      </c>
      <c r="E90" s="15" t="n">
        <v>71.84799997216346</v>
      </c>
      <c r="F90" s="15" t="n">
        <v>80.70799960350895</v>
      </c>
      <c r="G90" s="15" t="n">
        <v>83.1479999759465</v>
      </c>
      <c r="H90" s="15" t="n">
        <v>73.62799942956484</v>
      </c>
      <c r="I90" s="15" t="n">
        <v>61.30799947804528</v>
      </c>
      <c r="J90" s="15" t="n">
        <v>44.04</v>
      </c>
      <c r="K90" s="15" t="n">
        <v>81.61</v>
      </c>
      <c r="L90" s="15" t="n">
        <v>79.6059997738864</v>
      </c>
      <c r="M90" s="15" t="n">
        <v>61.1</v>
      </c>
      <c r="N90" s="15" t="n">
        <v>48.31</v>
      </c>
      <c r="O90" s="15" t="n">
        <v>63.10599971476563</v>
      </c>
      <c r="P90" s="15" t="n">
        <v>87.37599956509797</v>
      </c>
      <c r="Q90" s="15" t="n">
        <v>78.62799946583914</v>
      </c>
      <c r="R90" s="15" t="n">
        <v>65.4339995720879</v>
      </c>
    </row>
    <row r="92">
      <c r="C92" s="15" t="inlineStr">
        <is>
          <t>z(RLT)</t>
        </is>
      </c>
      <c r="D92" s="15" t="n">
        <v>1</v>
      </c>
      <c r="E92" s="15" t="n">
        <v>2</v>
      </c>
      <c r="F92" s="15" t="n">
        <v>3</v>
      </c>
      <c r="G92" s="15" t="n">
        <v>4</v>
      </c>
      <c r="H92" s="15" t="n">
        <v>5</v>
      </c>
      <c r="I92" s="15" t="n">
        <v>6</v>
      </c>
      <c r="J92" s="15" t="n">
        <v>7</v>
      </c>
      <c r="K92" s="15" t="n">
        <v>8</v>
      </c>
      <c r="L92" s="15" t="n">
        <v>9</v>
      </c>
      <c r="M92" s="15" t="n">
        <v>10</v>
      </c>
      <c r="N92" s="15" t="n">
        <v>11</v>
      </c>
      <c r="O92" s="15" t="n">
        <v>12</v>
      </c>
      <c r="P92" s="15" t="n">
        <v>13</v>
      </c>
      <c r="Q92" s="15" t="n">
        <v>14</v>
      </c>
      <c r="R92" s="15" t="n">
        <v>15</v>
      </c>
    </row>
    <row r="93">
      <c r="C93" s="15" t="n">
        <v>1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2.846919681388357</v>
      </c>
      <c r="I93" s="15" t="n">
        <v>2.933269938985074</v>
      </c>
      <c r="J93" s="15" t="n">
        <v>0</v>
      </c>
      <c r="K93" s="15" t="n">
        <v>2.912040774193578</v>
      </c>
      <c r="L93" s="15" t="n">
        <v>2.88986104034959</v>
      </c>
      <c r="M93" s="15" t="n">
        <v>0</v>
      </c>
      <c r="N93" s="15" t="n">
        <v>0</v>
      </c>
      <c r="O93" s="15" t="n">
        <v>0</v>
      </c>
      <c r="P93" s="15" t="n">
        <v>2.869398330313633</v>
      </c>
      <c r="Q93" s="15" t="n">
        <v>2.908944102145295</v>
      </c>
      <c r="R93" s="15" t="n">
        <v>2.904196521195185</v>
      </c>
    </row>
    <row r="94">
      <c r="C94" s="15" t="n">
        <v>2</v>
      </c>
      <c r="D94" s="15" t="n">
        <v>2.869504921047543</v>
      </c>
      <c r="E94" s="15" t="n">
        <v>2.86351958203284</v>
      </c>
      <c r="F94" s="15" t="n">
        <v>0</v>
      </c>
      <c r="G94" s="15" t="n">
        <v>0</v>
      </c>
      <c r="H94" s="15" t="n">
        <v>0</v>
      </c>
      <c r="I94" s="15" t="n">
        <v>2.861756853694551</v>
      </c>
      <c r="J94" s="15" t="n">
        <v>0</v>
      </c>
      <c r="K94" s="15" t="n">
        <v>0</v>
      </c>
      <c r="L94" s="15" t="n">
        <v>0</v>
      </c>
      <c r="M94" s="15" t="n">
        <v>2.883031499822742</v>
      </c>
      <c r="N94" s="15" t="n">
        <v>0</v>
      </c>
      <c r="O94" s="15" t="n">
        <v>2.865501936947233</v>
      </c>
      <c r="P94" s="15" t="n">
        <v>2.866889347468778</v>
      </c>
      <c r="Q94" s="15" t="n">
        <v>2.849549660721877</v>
      </c>
      <c r="R94" s="15" t="n">
        <v>2.869340252061225</v>
      </c>
    </row>
    <row r="95">
      <c r="C95" s="15" t="n">
        <v>3</v>
      </c>
      <c r="D95" s="15" t="n">
        <v>2.932171237478112</v>
      </c>
      <c r="E95" s="15" t="n">
        <v>0</v>
      </c>
      <c r="F95" s="15" t="n">
        <v>0</v>
      </c>
      <c r="G95" s="15" t="n">
        <v>2.86786900696482</v>
      </c>
      <c r="H95" s="15" t="n">
        <v>0</v>
      </c>
      <c r="I95" s="15" t="n">
        <v>2.96891254748401</v>
      </c>
      <c r="J95" s="15" t="n">
        <v>3</v>
      </c>
      <c r="K95" s="15" t="n">
        <v>0</v>
      </c>
      <c r="L95" s="15" t="n">
        <v>0</v>
      </c>
      <c r="M95" s="15" t="n">
        <v>0</v>
      </c>
      <c r="N95" s="15" t="n">
        <v>2.942994690746286</v>
      </c>
      <c r="O95" s="15" t="n">
        <v>0</v>
      </c>
      <c r="P95" s="15" t="n">
        <v>0</v>
      </c>
      <c r="Q95" s="15" t="n">
        <v>0</v>
      </c>
      <c r="R95" s="15" t="n">
        <v>2.86881537860544</v>
      </c>
    </row>
    <row r="97" ht="16.2" customHeight="1">
      <c r="C97" s="15" t="inlineStr">
        <is>
          <t>Aleatória S2nd</t>
        </is>
      </c>
      <c r="D97" s="15" t="n">
        <v>1</v>
      </c>
      <c r="E97" s="15" t="n">
        <v>2</v>
      </c>
      <c r="F97" s="15" t="n">
        <v>3</v>
      </c>
      <c r="G97" s="15" t="n">
        <v>4</v>
      </c>
      <c r="H97" s="15" t="n">
        <v>5</v>
      </c>
      <c r="I97" s="15" t="n">
        <v>6</v>
      </c>
      <c r="J97" s="15" t="n">
        <v>7</v>
      </c>
      <c r="K97" s="15" t="n">
        <v>8</v>
      </c>
      <c r="L97" s="15" t="n">
        <v>9</v>
      </c>
      <c r="M97" s="15" t="n">
        <v>10</v>
      </c>
      <c r="N97" s="15" t="n">
        <v>11</v>
      </c>
      <c r="O97" s="15" t="n">
        <v>12</v>
      </c>
      <c r="P97" s="15" t="n">
        <v>13</v>
      </c>
      <c r="Q97" s="15" t="n">
        <v>14</v>
      </c>
      <c r="R97" s="15" t="n">
        <v>15</v>
      </c>
    </row>
    <row r="98">
      <c r="C98" s="15" t="n">
        <v>1</v>
      </c>
      <c r="D98" s="15" t="n">
        <v>0</v>
      </c>
      <c r="E98" s="15" t="n">
        <v>0</v>
      </c>
      <c r="F98" s="15" t="n">
        <v>0</v>
      </c>
      <c r="G98" s="15" t="n">
        <v>0</v>
      </c>
      <c r="H98" s="15" t="n">
        <v>968.83719306204</v>
      </c>
      <c r="I98" s="15" t="n">
        <v>387.07406509277</v>
      </c>
      <c r="J98" s="15" t="n">
        <v>0</v>
      </c>
      <c r="K98" s="15" t="n">
        <v>857.54223466386</v>
      </c>
      <c r="L98" s="15" t="n">
        <v>677.1603252604</v>
      </c>
      <c r="M98" s="15" t="n">
        <v>0</v>
      </c>
      <c r="N98" s="15" t="n">
        <v>971.6711034714301</v>
      </c>
      <c r="O98" s="15" t="n">
        <v>0</v>
      </c>
      <c r="P98" s="15" t="n">
        <v>429.23021258717</v>
      </c>
      <c r="Q98" s="15" t="n">
        <v>373.35749667502</v>
      </c>
      <c r="R98" s="15" t="n">
        <v>1183.86422583732</v>
      </c>
    </row>
    <row r="99">
      <c r="C99" s="15" t="n">
        <v>2</v>
      </c>
      <c r="D99" s="15" t="n">
        <v>557.4897674050401</v>
      </c>
      <c r="E99" s="15" t="n">
        <v>420.16926104404</v>
      </c>
      <c r="F99" s="15" t="n">
        <v>0</v>
      </c>
      <c r="G99" s="15" t="n">
        <v>0</v>
      </c>
      <c r="H99" s="15" t="n">
        <v>759.50687450514</v>
      </c>
      <c r="I99" s="15" t="n">
        <v>830.4392037422</v>
      </c>
      <c r="J99" s="15" t="n">
        <v>492.30105217765</v>
      </c>
      <c r="K99" s="15" t="n">
        <v>0</v>
      </c>
      <c r="L99" s="15" t="n">
        <v>0</v>
      </c>
      <c r="M99" s="15" t="n">
        <v>388.11638256078</v>
      </c>
      <c r="N99" s="15" t="n">
        <v>0</v>
      </c>
      <c r="O99" s="15" t="n">
        <v>713.85794062716</v>
      </c>
      <c r="P99" s="15" t="n">
        <v>468.40692515515</v>
      </c>
      <c r="Q99" s="15" t="n">
        <v>993.14472351828</v>
      </c>
      <c r="R99" s="15" t="n">
        <v>857.5796687821801</v>
      </c>
    </row>
    <row r="100">
      <c r="C100" s="15" t="n">
        <v>3</v>
      </c>
      <c r="D100" s="15" t="n">
        <v>942.3342659247701</v>
      </c>
      <c r="E100" s="15" t="n">
        <v>0</v>
      </c>
      <c r="F100" s="15" t="n">
        <v>0</v>
      </c>
      <c r="G100" s="15" t="n">
        <v>1148.58526099268</v>
      </c>
      <c r="H100" s="15" t="n">
        <v>0</v>
      </c>
      <c r="I100" s="15" t="n">
        <v>955.1957483461899</v>
      </c>
      <c r="J100" s="15" t="n">
        <v>560.75893416399</v>
      </c>
      <c r="K100" s="15" t="n">
        <v>0</v>
      </c>
      <c r="L100" s="15" t="n">
        <v>0</v>
      </c>
      <c r="M100" s="15" t="n">
        <v>0</v>
      </c>
      <c r="N100" s="15" t="n">
        <v>532.82222668135</v>
      </c>
      <c r="O100" s="15" t="n">
        <v>536.13433162415</v>
      </c>
      <c r="P100" s="15" t="n">
        <v>0</v>
      </c>
      <c r="Q100" s="15" t="n">
        <v>0</v>
      </c>
      <c r="R100" s="15" t="n">
        <v>713.85199628159</v>
      </c>
    </row>
    <row r="102">
      <c r="C102" s="15" t="inlineStr">
        <is>
          <t>Radicand</t>
        </is>
      </c>
      <c r="D102" s="15" t="n">
        <v>1</v>
      </c>
      <c r="E102" s="15" t="n">
        <v>2</v>
      </c>
      <c r="F102" s="15" t="n">
        <v>3</v>
      </c>
      <c r="G102" s="15" t="n">
        <v>4</v>
      </c>
      <c r="H102" s="15" t="n">
        <v>5</v>
      </c>
      <c r="I102" s="15" t="n">
        <v>6</v>
      </c>
      <c r="J102" s="15" t="n">
        <v>7</v>
      </c>
      <c r="K102" s="15" t="n">
        <v>8</v>
      </c>
      <c r="L102" s="15" t="n">
        <v>9</v>
      </c>
      <c r="M102" s="15" t="n">
        <v>10</v>
      </c>
      <c r="N102" s="15" t="n">
        <v>11</v>
      </c>
      <c r="O102" s="15" t="n">
        <v>12</v>
      </c>
      <c r="P102" s="15" t="n">
        <v>13</v>
      </c>
      <c r="Q102" s="15" t="n">
        <v>14</v>
      </c>
      <c r="R102" s="15" t="n">
        <v>15</v>
      </c>
    </row>
    <row r="103">
      <c r="C103" s="15" t="n">
        <v>1</v>
      </c>
      <c r="D103" s="15" t="n">
        <v>0</v>
      </c>
      <c r="E103" s="15" t="n">
        <v>0</v>
      </c>
      <c r="F103" s="15" t="n">
        <v>0</v>
      </c>
      <c r="G103" s="15" t="n">
        <v>0</v>
      </c>
      <c r="H103" s="15" t="n">
        <v>227783.5523999957</v>
      </c>
      <c r="I103" s="15" t="n">
        <v>88300.93423680775</v>
      </c>
      <c r="J103" s="15" t="n">
        <v>0</v>
      </c>
      <c r="K103" s="15" t="n">
        <v>197407.4253120013</v>
      </c>
      <c r="L103" s="15" t="n">
        <v>134961.6905999854</v>
      </c>
      <c r="M103" s="15" t="n">
        <v>0</v>
      </c>
      <c r="N103" s="15" t="n">
        <v>0</v>
      </c>
      <c r="O103" s="15" t="n">
        <v>0</v>
      </c>
      <c r="P103" s="15" t="n">
        <v>99624.91561920755</v>
      </c>
      <c r="Q103" s="15" t="n">
        <v>84924.90236160345</v>
      </c>
      <c r="R103" s="15" t="n">
        <v>302434.4100383968</v>
      </c>
    </row>
    <row r="104">
      <c r="C104" s="15" t="n">
        <v>2</v>
      </c>
      <c r="D104" s="15" t="n">
        <v>116268.2087327931</v>
      </c>
      <c r="E104" s="15" t="n">
        <v>117884.8267055959</v>
      </c>
      <c r="F104" s="15" t="n">
        <v>0</v>
      </c>
      <c r="G104" s="15" t="n">
        <v>0</v>
      </c>
      <c r="H104" s="15" t="n">
        <v>0</v>
      </c>
      <c r="I104" s="15" t="n">
        <v>210262.5740159843</v>
      </c>
      <c r="J104" s="15" t="n">
        <v>0</v>
      </c>
      <c r="K104" s="15" t="n">
        <v>0</v>
      </c>
      <c r="L104" s="15" t="n">
        <v>0</v>
      </c>
      <c r="M104" s="15" t="n">
        <v>81041.94126720168</v>
      </c>
      <c r="N104" s="15" t="n">
        <v>0</v>
      </c>
      <c r="O104" s="15" t="n">
        <v>178382.240711993</v>
      </c>
      <c r="P104" s="15" t="n">
        <v>145143.2613469619</v>
      </c>
      <c r="Q104" s="15" t="n">
        <v>283252.650840003</v>
      </c>
      <c r="R104" s="15" t="n">
        <v>183901.5062351953</v>
      </c>
    </row>
    <row r="105">
      <c r="C105" s="15" t="n">
        <v>3</v>
      </c>
      <c r="D105" s="15" t="n">
        <v>274303.3974382158</v>
      </c>
      <c r="E105" s="15" t="n">
        <v>0</v>
      </c>
      <c r="F105" s="15" t="n">
        <v>0</v>
      </c>
      <c r="G105" s="15" t="n">
        <v>255247.9491885692</v>
      </c>
      <c r="H105" s="15" t="n">
        <v>0</v>
      </c>
      <c r="I105" s="15" t="n">
        <v>268321.1148613514</v>
      </c>
      <c r="J105" s="15" t="n">
        <v>113424.7143456101</v>
      </c>
      <c r="K105" s="15" t="n">
        <v>0</v>
      </c>
      <c r="L105" s="15" t="n">
        <v>0</v>
      </c>
      <c r="M105" s="15" t="n">
        <v>0</v>
      </c>
      <c r="N105" s="15" t="n">
        <v>87940.57361758687</v>
      </c>
      <c r="O105" s="15" t="n">
        <v>0</v>
      </c>
      <c r="P105" s="15" t="n">
        <v>0</v>
      </c>
      <c r="Q105" s="15" t="n">
        <v>0</v>
      </c>
      <c r="R105" s="15" t="n">
        <v>145014.6128687896</v>
      </c>
    </row>
    <row r="107">
      <c r="C107" s="15" t="inlineStr">
        <is>
          <t>SQRT</t>
        </is>
      </c>
      <c r="D107" s="15" t="n">
        <v>1</v>
      </c>
      <c r="E107" s="15" t="n">
        <v>2</v>
      </c>
      <c r="F107" s="15" t="n">
        <v>3</v>
      </c>
      <c r="G107" s="15" t="n">
        <v>4</v>
      </c>
      <c r="H107" s="15" t="n">
        <v>5</v>
      </c>
      <c r="I107" s="15" t="n">
        <v>6</v>
      </c>
      <c r="J107" s="15" t="n">
        <v>7</v>
      </c>
      <c r="K107" s="15" t="n">
        <v>8</v>
      </c>
      <c r="L107" s="15" t="n">
        <v>9</v>
      </c>
      <c r="M107" s="15" t="n">
        <v>10</v>
      </c>
      <c r="N107" s="15" t="n">
        <v>11</v>
      </c>
      <c r="O107" s="15" t="n">
        <v>12</v>
      </c>
      <c r="P107" s="15" t="n">
        <v>13</v>
      </c>
      <c r="Q107" s="15" t="n">
        <v>14</v>
      </c>
      <c r="R107" s="15" t="n">
        <v>15</v>
      </c>
    </row>
    <row r="108">
      <c r="C108" s="15" t="n">
        <v>1</v>
      </c>
      <c r="D108" s="15" t="n">
        <v>1</v>
      </c>
      <c r="E108" s="15" t="n">
        <v>1</v>
      </c>
      <c r="F108" s="15" t="n">
        <v>1</v>
      </c>
      <c r="G108" s="15" t="n">
        <v>1</v>
      </c>
      <c r="H108" s="15" t="n">
        <v>478</v>
      </c>
      <c r="I108" s="15" t="n">
        <v>298</v>
      </c>
      <c r="J108" s="15" t="n">
        <v>1</v>
      </c>
      <c r="K108" s="15" t="n">
        <v>445</v>
      </c>
      <c r="L108" s="15" t="n">
        <v>368</v>
      </c>
      <c r="M108" s="15" t="n">
        <v>1</v>
      </c>
      <c r="N108" s="15" t="n">
        <v>1</v>
      </c>
      <c r="O108" s="15" t="n">
        <v>1</v>
      </c>
      <c r="P108" s="15" t="n">
        <v>316</v>
      </c>
      <c r="Q108" s="15" t="n">
        <v>292</v>
      </c>
      <c r="R108" s="15" t="n">
        <v>552</v>
      </c>
    </row>
    <row r="109">
      <c r="C109" s="15" t="n">
        <v>2</v>
      </c>
      <c r="D109" s="15" t="n">
        <v>341</v>
      </c>
      <c r="E109" s="15" t="n">
        <v>344</v>
      </c>
      <c r="F109" s="15" t="n">
        <v>1</v>
      </c>
      <c r="G109" s="15" t="n">
        <v>1</v>
      </c>
      <c r="H109" s="15" t="n">
        <v>1</v>
      </c>
      <c r="I109" s="15" t="n">
        <v>459</v>
      </c>
      <c r="J109" s="15" t="n">
        <v>1</v>
      </c>
      <c r="K109" s="15" t="n">
        <v>1</v>
      </c>
      <c r="L109" s="15" t="n">
        <v>1</v>
      </c>
      <c r="M109" s="15" t="n">
        <v>285</v>
      </c>
      <c r="N109" s="15" t="n">
        <v>1</v>
      </c>
      <c r="O109" s="15" t="n">
        <v>423</v>
      </c>
      <c r="P109" s="15" t="n">
        <v>381</v>
      </c>
      <c r="Q109" s="15" t="n">
        <v>533</v>
      </c>
      <c r="R109" s="15" t="n">
        <v>429</v>
      </c>
    </row>
    <row r="110">
      <c r="C110" s="15" t="n">
        <v>3</v>
      </c>
      <c r="D110" s="15" t="n">
        <v>524</v>
      </c>
      <c r="E110" s="15" t="n">
        <v>1</v>
      </c>
      <c r="F110" s="15" t="n">
        <v>1</v>
      </c>
      <c r="G110" s="15" t="n">
        <v>506</v>
      </c>
      <c r="H110" s="15" t="n">
        <v>1</v>
      </c>
      <c r="I110" s="15" t="n">
        <v>518</v>
      </c>
      <c r="J110" s="15" t="n">
        <v>337</v>
      </c>
      <c r="K110" s="15" t="n">
        <v>1</v>
      </c>
      <c r="L110" s="15" t="n">
        <v>1</v>
      </c>
      <c r="M110" s="15" t="n">
        <v>1</v>
      </c>
      <c r="N110" s="15" t="n">
        <v>297</v>
      </c>
      <c r="O110" s="15" t="n">
        <v>1</v>
      </c>
      <c r="P110" s="15" t="n">
        <v>1</v>
      </c>
      <c r="Q110" s="15" t="n">
        <v>1</v>
      </c>
      <c r="R110" s="15" t="n">
        <v>381</v>
      </c>
    </row>
    <row r="112">
      <c r="C112" s="15" t="inlineStr">
        <is>
          <t>ND*ELT</t>
        </is>
      </c>
      <c r="D112" s="15" t="n">
        <v>1</v>
      </c>
      <c r="E112" s="15" t="n">
        <v>2</v>
      </c>
      <c r="F112" s="15" t="n">
        <v>3</v>
      </c>
      <c r="G112" s="15" t="n">
        <v>4</v>
      </c>
      <c r="H112" s="15" t="n">
        <v>5</v>
      </c>
      <c r="I112" s="15" t="n">
        <v>6</v>
      </c>
      <c r="J112" s="15" t="n">
        <v>7</v>
      </c>
      <c r="K112" s="15" t="n">
        <v>8</v>
      </c>
      <c r="L112" s="15" t="n">
        <v>9</v>
      </c>
      <c r="M112" s="15" t="n">
        <v>10</v>
      </c>
      <c r="N112" s="15" t="n">
        <v>11</v>
      </c>
      <c r="O112" s="15" t="n">
        <v>12</v>
      </c>
      <c r="P112" s="15" t="n">
        <v>13</v>
      </c>
      <c r="Q112" s="15" t="n">
        <v>14</v>
      </c>
      <c r="R112" s="15" t="n">
        <v>15</v>
      </c>
    </row>
    <row r="113">
      <c r="C113" s="15" t="n">
        <v>1</v>
      </c>
      <c r="D113" s="15" t="inlineStr"/>
      <c r="E113" s="15" t="inlineStr"/>
      <c r="F113" s="15" t="inlineStr"/>
      <c r="G113" s="15" t="inlineStr"/>
      <c r="H113" s="15" t="n">
        <v>762.4866205252514</v>
      </c>
      <c r="I113" s="15" t="n">
        <v>1681.981260778034</v>
      </c>
      <c r="J113" s="15" t="inlineStr"/>
      <c r="K113" s="15" t="n">
        <v>2214.594982401977</v>
      </c>
      <c r="L113" s="15" t="n">
        <v>1401.673561645933</v>
      </c>
      <c r="M113" s="15" t="inlineStr"/>
      <c r="N113" s="15" t="n">
        <v>0</v>
      </c>
      <c r="O113" s="15" t="inlineStr"/>
      <c r="P113" s="15" t="n">
        <v>994.5132078767307</v>
      </c>
      <c r="Q113" s="15" t="n">
        <v>1401.301532470519</v>
      </c>
      <c r="R113" s="15" t="n">
        <v>2715.568563629241</v>
      </c>
    </row>
    <row r="114">
      <c r="C114" s="15" t="n">
        <v>2</v>
      </c>
      <c r="D114" s="15" t="n">
        <v>921.2396999999997</v>
      </c>
      <c r="E114" s="15" t="n">
        <v>1059.740558557325</v>
      </c>
      <c r="F114" s="15" t="inlineStr"/>
      <c r="G114" s="15" t="inlineStr"/>
      <c r="H114" s="15" t="n">
        <v>0</v>
      </c>
      <c r="I114" s="15" t="n">
        <v>1295.885752204742</v>
      </c>
      <c r="J114" s="15" t="n">
        <v>0</v>
      </c>
      <c r="K114" s="15" t="inlineStr"/>
      <c r="L114" s="15" t="inlineStr"/>
      <c r="M114" s="15" t="n">
        <v>1028.553950247797</v>
      </c>
      <c r="N114" s="15" t="inlineStr"/>
      <c r="O114" s="15" t="n">
        <v>1281.893099175818</v>
      </c>
      <c r="P114" s="15" t="n">
        <v>1323.629489114339</v>
      </c>
      <c r="Q114" s="15" t="n">
        <v>1077.471153506283</v>
      </c>
      <c r="R114" s="15" t="n">
        <v>1297.242323659499</v>
      </c>
    </row>
    <row r="115">
      <c r="C115" s="15" t="n">
        <v>3</v>
      </c>
      <c r="D115" s="15" t="n">
        <v>3016.7346</v>
      </c>
      <c r="E115" s="15" t="inlineStr"/>
      <c r="F115" s="15" t="inlineStr"/>
      <c r="G115" s="15" t="n">
        <v>1521.347008662595</v>
      </c>
      <c r="H115" s="15" t="inlineStr"/>
      <c r="I115" s="15" t="n">
        <v>3894.151667839786</v>
      </c>
      <c r="J115" s="15" t="n">
        <v>2430.202266</v>
      </c>
      <c r="K115" s="15" t="inlineStr"/>
      <c r="L115" s="15" t="inlineStr"/>
      <c r="M115" s="15" t="inlineStr"/>
      <c r="N115" s="15" t="n">
        <v>1504.369570484018</v>
      </c>
      <c r="O115" s="15" t="n">
        <v>0</v>
      </c>
      <c r="P115" s="15" t="inlineStr"/>
      <c r="Q115" s="15" t="inlineStr"/>
      <c r="R115" s="15" t="n">
        <v>1109.973515244752</v>
      </c>
    </row>
    <row r="117">
      <c r="C117" s="15" t="inlineStr">
        <is>
          <t>Aleatória RLT</t>
        </is>
      </c>
      <c r="D117" s="15" t="n">
        <v>1</v>
      </c>
      <c r="E117" s="15" t="n">
        <v>2</v>
      </c>
      <c r="F117" s="15" t="n">
        <v>3</v>
      </c>
      <c r="G117" s="15" t="n">
        <v>4</v>
      </c>
      <c r="H117" s="15" t="n">
        <v>5</v>
      </c>
      <c r="I117" s="15" t="n">
        <v>6</v>
      </c>
      <c r="J117" s="15" t="n">
        <v>7</v>
      </c>
      <c r="K117" s="15" t="n">
        <v>8</v>
      </c>
      <c r="L117" s="15" t="n">
        <v>9</v>
      </c>
      <c r="M117" s="15" t="n">
        <v>10</v>
      </c>
      <c r="N117" s="15" t="n">
        <v>11</v>
      </c>
      <c r="O117" s="15" t="n">
        <v>12</v>
      </c>
      <c r="P117" s="15" t="n">
        <v>13</v>
      </c>
      <c r="Q117" s="15" t="n">
        <v>14</v>
      </c>
      <c r="R117" s="15" t="n">
        <v>15</v>
      </c>
    </row>
    <row r="118">
      <c r="C118" s="15" t="n">
        <v>1</v>
      </c>
      <c r="D118" s="15" t="n">
        <v>9.449999999999999</v>
      </c>
      <c r="E118" s="15" t="n">
        <v>14.92</v>
      </c>
      <c r="F118" s="15" t="n">
        <v>14.79</v>
      </c>
      <c r="G118" s="15" t="n">
        <v>17.69</v>
      </c>
      <c r="H118" s="15" t="n">
        <v>16.32733662794971</v>
      </c>
      <c r="I118" s="15" t="n">
        <v>15.8423402161258</v>
      </c>
      <c r="J118" s="15" t="n">
        <v>10.15</v>
      </c>
      <c r="K118" s="15" t="n">
        <v>15.98639271246453</v>
      </c>
      <c r="L118" s="15" t="n">
        <v>13.8409554815438</v>
      </c>
      <c r="M118" s="15" t="n">
        <v>11.45</v>
      </c>
      <c r="N118" s="15" t="n">
        <v>13.36</v>
      </c>
      <c r="O118" s="15" t="n">
        <v>13.38</v>
      </c>
      <c r="P118" s="15" t="n">
        <v>16.11852849055807</v>
      </c>
      <c r="Q118" s="15" t="n">
        <v>15.79643256044834</v>
      </c>
      <c r="R118" s="15" t="n">
        <v>17.7406974828119</v>
      </c>
    </row>
    <row r="119">
      <c r="C119" s="15" t="n">
        <v>2</v>
      </c>
      <c r="D119" s="15" t="n">
        <v>14.48334505521335</v>
      </c>
      <c r="E119" s="15" t="n">
        <v>19.48410661082915</v>
      </c>
      <c r="F119" s="15" t="n">
        <v>11.65</v>
      </c>
      <c r="G119" s="15" t="n">
        <v>20.06</v>
      </c>
      <c r="H119" s="15" t="n">
        <v>11.73</v>
      </c>
      <c r="I119" s="15" t="n">
        <v>17.58325308336727</v>
      </c>
      <c r="J119" s="15" t="n">
        <v>12.08</v>
      </c>
      <c r="K119" s="15" t="n">
        <v>15.93</v>
      </c>
      <c r="L119" s="15" t="n">
        <v>10.8</v>
      </c>
      <c r="M119" s="15" t="n">
        <v>14.50097208841509</v>
      </c>
      <c r="N119" s="15" t="n">
        <v>12.44</v>
      </c>
      <c r="O119" s="15" t="n">
        <v>17.35336536083924</v>
      </c>
      <c r="P119" s="15" t="n">
        <v>21.51893170391979</v>
      </c>
      <c r="Q119" s="15" t="n">
        <v>19.80645502777283</v>
      </c>
      <c r="R119" s="15" t="n">
        <v>14.89200233803933</v>
      </c>
    </row>
    <row r="120">
      <c r="C120" s="15" t="n">
        <v>3</v>
      </c>
      <c r="D120" s="15" t="n">
        <v>20.21487856402666</v>
      </c>
      <c r="E120" s="15" t="n">
        <v>19.27</v>
      </c>
      <c r="F120" s="15" t="n">
        <v>20.64</v>
      </c>
      <c r="G120" s="15" t="n">
        <v>15.43261319355206</v>
      </c>
      <c r="H120" s="15" t="n">
        <v>13.78</v>
      </c>
      <c r="I120" s="15" t="n">
        <v>19.50782320301322</v>
      </c>
      <c r="J120" s="15" t="n">
        <v>14.0466</v>
      </c>
      <c r="K120" s="15" t="n">
        <v>13.15</v>
      </c>
      <c r="L120" s="15" t="n">
        <v>16.36</v>
      </c>
      <c r="M120" s="15" t="n">
        <v>15.94</v>
      </c>
      <c r="N120" s="15" t="n">
        <v>11.46186339416395</v>
      </c>
      <c r="O120" s="15" t="n">
        <v>14.02</v>
      </c>
      <c r="P120" s="15" t="n">
        <v>14.06</v>
      </c>
      <c r="Q120" s="15" t="n">
        <v>12.12</v>
      </c>
      <c r="R120" s="15" t="n">
        <v>14.10744172950586</v>
      </c>
    </row>
    <row r="122" ht="23.4" customHeight="1">
      <c r="C122" s="60" t="inlineStr">
        <is>
          <t>FACTORIES</t>
        </is>
      </c>
      <c r="D122" s="15" t="inlineStr">
        <is>
          <t>Objective</t>
        </is>
      </c>
      <c r="E122" s="82" t="n">
        <v>2135426.8991439</v>
      </c>
      <c r="V122" s="60" t="n"/>
      <c r="X122" s="83" t="n"/>
    </row>
    <row r="123">
      <c r="C123" s="15" t="inlineStr">
        <is>
          <t>P(Reorder)</t>
        </is>
      </c>
      <c r="D123" s="15" t="n">
        <v>16</v>
      </c>
      <c r="E123" s="15" t="n">
        <v>17</v>
      </c>
      <c r="F123" s="15" t="n">
        <v>18</v>
      </c>
    </row>
    <row r="124">
      <c r="C124" s="15" t="n">
        <v>4</v>
      </c>
    </row>
    <row r="125">
      <c r="C125" s="15" t="n">
        <v>5</v>
      </c>
    </row>
    <row r="126">
      <c r="C126" s="15" t="n">
        <v>6</v>
      </c>
    </row>
    <row r="128">
      <c r="C128" s="15" t="inlineStr">
        <is>
          <t>Reorder</t>
        </is>
      </c>
      <c r="D128" s="15" t="n">
        <v>16</v>
      </c>
      <c r="E128" s="15" t="n">
        <v>17</v>
      </c>
      <c r="F128" s="15" t="n">
        <v>18</v>
      </c>
    </row>
    <row r="129">
      <c r="C129" s="15" t="n">
        <v>4</v>
      </c>
      <c r="D129" s="15" t="n">
        <v>3531.344849999999</v>
      </c>
      <c r="E129" s="15" t="n">
        <v>2232.46109</v>
      </c>
      <c r="F129" s="15" t="n">
        <v>1600.84916</v>
      </c>
    </row>
    <row r="130">
      <c r="C130" s="15" t="n">
        <v>5</v>
      </c>
      <c r="D130" s="15" t="n">
        <v>0</v>
      </c>
      <c r="E130" s="15" t="n">
        <v>2322.951580000001</v>
      </c>
      <c r="F130" s="15" t="n">
        <v>0</v>
      </c>
    </row>
    <row r="131">
      <c r="C131" s="15" t="n">
        <v>6</v>
      </c>
      <c r="D131" s="15" t="n">
        <v>0</v>
      </c>
      <c r="E131" s="15" t="n">
        <v>2852.15096</v>
      </c>
      <c r="F131" s="15" t="n">
        <v>0</v>
      </c>
    </row>
    <row r="133">
      <c r="C133" s="15" t="inlineStr">
        <is>
          <t>Var(Var(d))</t>
        </is>
      </c>
      <c r="D133" s="15" t="n">
        <v>16</v>
      </c>
      <c r="E133" s="15" t="n">
        <v>17</v>
      </c>
      <c r="F133" s="15" t="n">
        <v>18</v>
      </c>
    </row>
    <row r="134">
      <c r="C134" s="15" t="n">
        <v>4</v>
      </c>
      <c r="D134" s="18" t="n">
        <v>12761864624.3</v>
      </c>
      <c r="E134" s="18" t="n">
        <v>6619843248.96</v>
      </c>
      <c r="F134" s="18" t="n">
        <v>11096912867.13</v>
      </c>
    </row>
    <row r="135">
      <c r="C135" s="15" t="n">
        <v>5</v>
      </c>
      <c r="D135" s="18" t="n">
        <v>2855628028.39</v>
      </c>
      <c r="E135" s="18" t="n">
        <v>4808662807.38</v>
      </c>
      <c r="F135" s="18" t="n">
        <v>10029904535.1</v>
      </c>
    </row>
    <row r="136">
      <c r="C136" s="15" t="n">
        <v>6</v>
      </c>
      <c r="D136" s="18" t="n">
        <v>3570486113.92</v>
      </c>
      <c r="E136" s="18" t="n">
        <v>5294905418.4</v>
      </c>
      <c r="F136" s="18" t="n">
        <v>2842851466.15</v>
      </c>
    </row>
    <row r="138">
      <c r="C138" s="15" t="inlineStr">
        <is>
          <t>Var(Var(Cap))</t>
        </is>
      </c>
      <c r="D138" s="15" t="n">
        <v>16</v>
      </c>
      <c r="E138" s="15" t="n">
        <v>17</v>
      </c>
      <c r="F138" s="15" t="n">
        <v>18</v>
      </c>
    </row>
    <row r="139">
      <c r="C139" s="15" t="n">
        <v>4</v>
      </c>
      <c r="D139" s="18" t="n">
        <v>3707575871.2</v>
      </c>
      <c r="E139" s="18" t="n">
        <v>4230309338.48</v>
      </c>
      <c r="F139" s="18" t="n">
        <v>8056121868.85</v>
      </c>
    </row>
    <row r="140">
      <c r="C140" s="15" t="n">
        <v>5</v>
      </c>
      <c r="D140" s="18" t="n">
        <v>5055865327.1</v>
      </c>
      <c r="E140" s="18" t="n">
        <v>2777119084.09</v>
      </c>
      <c r="F140" s="18" t="n">
        <v>22734853855.04</v>
      </c>
    </row>
    <row r="141">
      <c r="C141" s="15" t="n">
        <v>6</v>
      </c>
      <c r="D141" s="18" t="n">
        <v>8458038056.06</v>
      </c>
      <c r="E141" s="18" t="n">
        <v>1853186316.21</v>
      </c>
      <c r="F141" s="18" t="n">
        <v>26508195540.78</v>
      </c>
    </row>
    <row r="143">
      <c r="C143" s="15" t="inlineStr">
        <is>
          <t>CV</t>
        </is>
      </c>
      <c r="D143" s="15" t="n">
        <v>16</v>
      </c>
      <c r="E143" s="15" t="n">
        <v>17</v>
      </c>
      <c r="F143" s="15" t="n">
        <v>18</v>
      </c>
    </row>
    <row r="144">
      <c r="C144" s="15" t="n">
        <v>4</v>
      </c>
      <c r="D144" s="15" t="n">
        <v>0.2</v>
      </c>
      <c r="E144" s="15" t="n">
        <v>0.2</v>
      </c>
      <c r="F144" s="15" t="n">
        <v>0.2</v>
      </c>
    </row>
    <row r="145">
      <c r="C145" s="15" t="n">
        <v>5</v>
      </c>
      <c r="D145" s="15" t="n">
        <v>0.2</v>
      </c>
      <c r="E145" s="15" t="n">
        <v>0.2</v>
      </c>
      <c r="F145" s="15" t="n">
        <v>0.2</v>
      </c>
    </row>
    <row r="146">
      <c r="C146" s="15" t="n">
        <v>6</v>
      </c>
      <c r="D146" s="15" t="n">
        <v>0.2</v>
      </c>
      <c r="E146" s="15" t="n">
        <v>0.2</v>
      </c>
      <c r="F146" s="15" t="n">
        <v>0.2</v>
      </c>
    </row>
    <row r="148">
      <c r="C148" s="15" t="inlineStr">
        <is>
          <t>Planned Stock</t>
        </is>
      </c>
      <c r="D148" s="15" t="n">
        <v>16</v>
      </c>
      <c r="E148" s="15" t="n">
        <v>17</v>
      </c>
      <c r="F148" s="15" t="n">
        <v>18</v>
      </c>
    </row>
    <row r="149">
      <c r="C149" s="15" t="n">
        <v>4</v>
      </c>
      <c r="D149" s="15" t="n">
        <v>1</v>
      </c>
      <c r="E149" s="15" t="n">
        <v>1</v>
      </c>
      <c r="F149" s="15" t="n">
        <v>1</v>
      </c>
    </row>
    <row r="150">
      <c r="C150" s="15" t="n">
        <v>5</v>
      </c>
      <c r="D150" s="15" t="n">
        <v>1</v>
      </c>
      <c r="E150" s="15" t="n">
        <v>1</v>
      </c>
      <c r="F150" s="15" t="n">
        <v>1</v>
      </c>
    </row>
    <row r="151">
      <c r="C151" s="15" t="n">
        <v>6</v>
      </c>
      <c r="D151" s="15" t="n">
        <v>1</v>
      </c>
      <c r="E151" s="15" t="n">
        <v>1</v>
      </c>
      <c r="F151" s="15" t="n">
        <v>1</v>
      </c>
    </row>
    <row r="153" ht="16.2" customHeight="1">
      <c r="C153" s="15" t="inlineStr">
        <is>
          <t>Variance coeff - z(S2nd)</t>
        </is>
      </c>
      <c r="D153" s="15" t="n">
        <v>16</v>
      </c>
      <c r="E153" s="15" t="n">
        <v>17</v>
      </c>
      <c r="F153" s="15" t="n">
        <v>18</v>
      </c>
    </row>
    <row r="154">
      <c r="C154" s="15" t="n">
        <v>4</v>
      </c>
      <c r="D154" s="84" t="n">
        <v>1.7057377</v>
      </c>
      <c r="E154" s="84" t="n">
        <v>1.7057377</v>
      </c>
      <c r="F154" s="84" t="n">
        <v>1.7057377</v>
      </c>
    </row>
    <row r="155">
      <c r="C155" s="15" t="n">
        <v>5</v>
      </c>
      <c r="D155" s="84" t="n">
        <v>1.7057377</v>
      </c>
      <c r="E155" s="84" t="n">
        <v>1.7057377</v>
      </c>
      <c r="F155" s="84" t="n">
        <v>1.7057377</v>
      </c>
    </row>
    <row r="156">
      <c r="C156" s="15" t="n">
        <v>6</v>
      </c>
      <c r="D156" s="84" t="n">
        <v>1.7057377</v>
      </c>
      <c r="E156" s="84" t="n">
        <v>1.7057377</v>
      </c>
      <c r="F156" s="84" t="n">
        <v>1.7057377</v>
      </c>
    </row>
    <row r="158">
      <c r="C158" s="15" t="inlineStr">
        <is>
          <t>demand</t>
        </is>
      </c>
      <c r="D158" s="15" t="n">
        <v>16</v>
      </c>
      <c r="E158" s="15" t="n">
        <v>17</v>
      </c>
      <c r="F158" s="15" t="n">
        <v>18</v>
      </c>
    </row>
    <row r="159">
      <c r="C159" s="15" t="n">
        <v>4</v>
      </c>
      <c r="D159" s="39" t="n">
        <v>1894.6</v>
      </c>
      <c r="E159" s="39" t="n">
        <v>1607.87</v>
      </c>
      <c r="F159" s="39" t="n">
        <v>1829.53</v>
      </c>
    </row>
    <row r="160">
      <c r="C160" s="15" t="n">
        <v>5</v>
      </c>
      <c r="D160" s="39" t="n">
        <v>1303.06</v>
      </c>
      <c r="E160" s="39" t="n">
        <v>1484.38</v>
      </c>
      <c r="F160" s="39" t="n">
        <v>1783.87</v>
      </c>
    </row>
    <row r="161">
      <c r="C161" s="15" t="n">
        <v>6</v>
      </c>
      <c r="D161" s="39" t="n">
        <v>1377.91</v>
      </c>
      <c r="E161" s="39" t="n">
        <v>1520.56</v>
      </c>
      <c r="F161" s="39" t="n">
        <v>1301.6</v>
      </c>
    </row>
    <row r="163">
      <c r="B163" s="15" t="inlineStr">
        <is>
          <t>Parâmetros p/ μy</t>
        </is>
      </c>
      <c r="C163" s="15" t="inlineStr">
        <is>
          <t>Média(E(RLT))</t>
        </is>
      </c>
      <c r="D163" s="15" t="n">
        <v>16</v>
      </c>
      <c r="E163" s="15" t="n">
        <v>17</v>
      </c>
      <c r="F163" s="15" t="n">
        <v>18</v>
      </c>
    </row>
    <row r="164" ht="16.2" customHeight="1">
      <c r="B164" s="15" t="inlineStr">
        <is>
          <t>ND*RLT e S2nd</t>
        </is>
      </c>
      <c r="C164" s="15" t="n">
        <v>4</v>
      </c>
      <c r="D164" s="39" t="n">
        <v>4.889</v>
      </c>
      <c r="E164" s="39" t="n">
        <v>6.521</v>
      </c>
      <c r="F164" s="39" t="n">
        <v>4.091</v>
      </c>
    </row>
    <row r="165">
      <c r="C165" s="15" t="n">
        <v>5</v>
      </c>
      <c r="D165" s="39" t="n">
        <v>3.548</v>
      </c>
      <c r="E165" s="39" t="n">
        <v>6.734</v>
      </c>
      <c r="F165" s="39" t="n">
        <v>4.237</v>
      </c>
    </row>
    <row r="166">
      <c r="C166" s="15" t="n">
        <v>6</v>
      </c>
      <c r="D166" s="39" t="n">
        <v>4.35</v>
      </c>
      <c r="E166" s="39" t="n">
        <v>5.496</v>
      </c>
      <c r="F166" s="39" t="n">
        <v>4.967</v>
      </c>
    </row>
    <row r="168">
      <c r="C168" s="15" t="inlineStr">
        <is>
          <t>Cap</t>
        </is>
      </c>
      <c r="D168" s="15" t="n">
        <v>16</v>
      </c>
      <c r="E168" s="15" t="n">
        <v>17</v>
      </c>
      <c r="F168" s="15" t="n">
        <v>18</v>
      </c>
    </row>
    <row r="169">
      <c r="C169" s="15" t="n">
        <v>4</v>
      </c>
      <c r="D169" s="39" t="n">
        <v>1390.95</v>
      </c>
      <c r="E169" s="39" t="n">
        <v>1437.58</v>
      </c>
      <c r="F169" s="39" t="n">
        <v>1688.77</v>
      </c>
    </row>
    <row r="170">
      <c r="C170" s="15" t="n">
        <v>5</v>
      </c>
      <c r="D170" s="39" t="n">
        <v>1503.1</v>
      </c>
      <c r="E170" s="39" t="n">
        <v>1294.01</v>
      </c>
      <c r="F170" s="39" t="n">
        <v>2188.83</v>
      </c>
    </row>
    <row r="171">
      <c r="C171" s="15" t="n">
        <v>6</v>
      </c>
      <c r="D171" s="39" t="n">
        <v>1709.45</v>
      </c>
      <c r="E171" s="39" t="n">
        <v>1169.55</v>
      </c>
      <c r="F171" s="39" t="n">
        <v>2274.49</v>
      </c>
    </row>
    <row r="173">
      <c r="B173" s="15" t="inlineStr">
        <is>
          <t>Parâmetros p/ μx</t>
        </is>
      </c>
      <c r="C173" s="15" t="inlineStr">
        <is>
          <t>Var(d-cap)</t>
        </is>
      </c>
      <c r="D173" s="15" t="n">
        <v>16</v>
      </c>
      <c r="E173" s="15" t="n">
        <v>17</v>
      </c>
      <c r="F173" s="15" t="n">
        <v>18</v>
      </c>
    </row>
    <row r="174" ht="16.2" customHeight="1">
      <c r="B174" s="15" t="inlineStr">
        <is>
          <t>S2nd</t>
        </is>
      </c>
      <c r="C174" s="15" t="n">
        <v>4</v>
      </c>
      <c r="D174" s="53" t="inlineStr">
        <is>
          <t>7365,6680</t>
        </is>
      </c>
      <c r="E174" s="53" t="inlineStr">
        <is>
          <t>6202,5095</t>
        </is>
      </c>
      <c r="F174" s="53" t="inlineStr">
        <is>
          <t>8265,4988</t>
        </is>
      </c>
    </row>
    <row r="175">
      <c r="C175" s="15" t="n">
        <v>5</v>
      </c>
      <c r="D175" s="53" t="n">
        <v>0</v>
      </c>
      <c r="E175" s="53" t="inlineStr">
        <is>
          <t>5170,4611</t>
        </is>
      </c>
      <c r="F175" s="53" t="n">
        <v>0</v>
      </c>
    </row>
    <row r="176">
      <c r="C176" s="15" t="n">
        <v>6</v>
      </c>
      <c r="D176" s="53" t="n">
        <v>0</v>
      </c>
      <c r="E176" s="53" t="inlineStr">
        <is>
          <t>4906,5998</t>
        </is>
      </c>
      <c r="F176" s="53" t="n">
        <v>0</v>
      </c>
    </row>
    <row r="178" ht="16.2" customHeight="1">
      <c r="B178" s="15" t="inlineStr">
        <is>
          <t>Parâmetros p/ σx</t>
        </is>
      </c>
      <c r="C178" s="15" t="inlineStr">
        <is>
          <t>Desvpad(Var(S2nd))</t>
        </is>
      </c>
      <c r="D178" s="15" t="n">
        <v>16</v>
      </c>
      <c r="E178" s="15" t="n">
        <v>17</v>
      </c>
      <c r="F178" s="15" t="n">
        <v>18</v>
      </c>
    </row>
    <row r="179" ht="16.2" customHeight="1">
      <c r="B179" s="15" t="inlineStr">
        <is>
          <t>S2nd</t>
        </is>
      </c>
      <c r="C179" s="15" t="n">
        <v>4</v>
      </c>
      <c r="D179" s="53" t="inlineStr">
        <is>
          <t>4277,7774</t>
        </is>
      </c>
      <c r="E179" s="53" t="inlineStr">
        <is>
          <t>3472,1356</t>
        </is>
      </c>
      <c r="F179" s="53" t="inlineStr">
        <is>
          <t>4613,1497</t>
        </is>
      </c>
    </row>
    <row r="180">
      <c r="C180" s="15" t="n">
        <v>5</v>
      </c>
      <c r="D180" s="53" t="n">
        <v>0</v>
      </c>
      <c r="E180" s="53" t="inlineStr">
        <is>
          <t>2903,2134</t>
        </is>
      </c>
      <c r="F180" s="53" t="n">
        <v>0</v>
      </c>
    </row>
    <row r="181">
      <c r="C181" s="15" t="n">
        <v>6</v>
      </c>
      <c r="D181" s="53" t="n">
        <v>0</v>
      </c>
      <c r="E181" s="53" t="inlineStr">
        <is>
          <t>2818,2132</t>
        </is>
      </c>
      <c r="F181" s="53" t="n">
        <v>0</v>
      </c>
    </row>
    <row r="183">
      <c r="B183" s="15" t="inlineStr">
        <is>
          <t>Parâmetros p/ σy</t>
        </is>
      </c>
      <c r="C183" s="15" t="inlineStr">
        <is>
          <t>DesvPad(Var(E(RLT)))</t>
        </is>
      </c>
      <c r="D183" s="15" t="n">
        <v>16</v>
      </c>
      <c r="E183" s="15" t="n">
        <v>17</v>
      </c>
      <c r="F183" s="15" t="n">
        <v>18</v>
      </c>
    </row>
    <row r="184" ht="16.2" customHeight="1">
      <c r="B184" s="15" t="inlineStr">
        <is>
          <t>ND*RLT e S2nd</t>
        </is>
      </c>
      <c r="C184" s="15" t="n">
        <v>4</v>
      </c>
      <c r="D184" s="15" t="n">
        <v>0.1783</v>
      </c>
      <c r="E184" s="15" t="n">
        <v>0.2379</v>
      </c>
      <c r="F184" s="15" t="n">
        <v>0.1493</v>
      </c>
    </row>
    <row r="185">
      <c r="C185" s="15" t="n">
        <v>5</v>
      </c>
      <c r="D185" s="15" t="n">
        <v>0.1292</v>
      </c>
      <c r="E185" s="15" t="n">
        <v>0.2457</v>
      </c>
      <c r="F185" s="15" t="n">
        <v>0.1545</v>
      </c>
    </row>
    <row r="186">
      <c r="C186" s="15" t="n">
        <v>6</v>
      </c>
      <c r="D186" s="15" t="n">
        <v>0.1587</v>
      </c>
      <c r="E186" s="15" t="n">
        <v>0.2004</v>
      </c>
      <c r="F186" s="15" t="n">
        <v>0.1811</v>
      </c>
    </row>
    <row r="188">
      <c r="B188" s="15" t="inlineStr">
        <is>
          <t>Parâmetros p/ μx</t>
        </is>
      </c>
      <c r="C188" s="15" t="inlineStr">
        <is>
          <t>Média(d-Cap)</t>
        </is>
      </c>
      <c r="D188" s="15" t="n">
        <v>16</v>
      </c>
      <c r="E188" s="15" t="n">
        <v>17</v>
      </c>
      <c r="F188" s="15" t="n">
        <v>18</v>
      </c>
    </row>
    <row r="189">
      <c r="B189" s="15" t="inlineStr">
        <is>
          <t>ND*RLT</t>
        </is>
      </c>
      <c r="C189" s="15" t="n">
        <v>4</v>
      </c>
      <c r="D189" s="15" t="n">
        <v>503.6499999999999</v>
      </c>
      <c r="E189" s="15" t="n">
        <v>170.29</v>
      </c>
      <c r="F189" s="15" t="n">
        <v>140.76</v>
      </c>
    </row>
    <row r="190">
      <c r="C190" s="15" t="n">
        <v>5</v>
      </c>
      <c r="D190" s="15" t="n">
        <v>-200.04</v>
      </c>
      <c r="E190" s="15" t="n">
        <v>190.3700000000001</v>
      </c>
      <c r="F190" s="15" t="n">
        <v>-404.96</v>
      </c>
    </row>
    <row r="191">
      <c r="C191" s="15" t="n">
        <v>6</v>
      </c>
      <c r="D191" s="15" t="n">
        <v>-331.54</v>
      </c>
      <c r="E191" s="15" t="n">
        <v>351.01</v>
      </c>
      <c r="F191" s="15" t="n">
        <v>-972.8899999999999</v>
      </c>
    </row>
    <row r="193">
      <c r="B193" s="15" t="inlineStr">
        <is>
          <t>Parâmetros p/ σx</t>
        </is>
      </c>
      <c r="C193" s="15" t="inlineStr">
        <is>
          <t>DesvPad(Var(d-cap))</t>
        </is>
      </c>
      <c r="D193" s="15" t="n">
        <v>16</v>
      </c>
      <c r="E193" s="15" t="n">
        <v>17</v>
      </c>
      <c r="F193" s="15" t="n">
        <v>18</v>
      </c>
    </row>
    <row r="194">
      <c r="B194" s="15" t="inlineStr">
        <is>
          <t>ND*RLT</t>
        </is>
      </c>
      <c r="C194" s="15" t="n">
        <v>4</v>
      </c>
      <c r="D194" s="15" t="n">
        <v>85.82346998344916</v>
      </c>
      <c r="E194" s="15" t="n">
        <v>78.75601246889028</v>
      </c>
      <c r="F194" s="15" t="n">
        <v>90.91478867599044</v>
      </c>
    </row>
    <row r="195">
      <c r="C195" s="15" t="n">
        <v>5</v>
      </c>
      <c r="D195" s="15" t="n">
        <v>0</v>
      </c>
      <c r="E195" s="15" t="n">
        <v>71.90591839341182</v>
      </c>
      <c r="F195" s="15" t="n">
        <v>0</v>
      </c>
    </row>
    <row r="196">
      <c r="C196" s="15" t="n">
        <v>6</v>
      </c>
      <c r="D196" s="15" t="n">
        <v>0</v>
      </c>
      <c r="E196" s="15" t="n">
        <v>70.04712556557907</v>
      </c>
      <c r="F196" s="15" t="n">
        <v>0</v>
      </c>
    </row>
    <row r="198">
      <c r="C198" s="15" t="inlineStr">
        <is>
          <t>LB</t>
        </is>
      </c>
      <c r="D198" s="15" t="n">
        <v>16</v>
      </c>
      <c r="E198" s="15" t="n">
        <v>17</v>
      </c>
      <c r="F198" s="15" t="n">
        <v>18</v>
      </c>
    </row>
    <row r="199">
      <c r="C199" s="15" t="n">
        <v>4</v>
      </c>
      <c r="D199" s="15" t="n">
        <v>79279.530407</v>
      </c>
      <c r="E199" s="15" t="n">
        <v>87272.45713</v>
      </c>
      <c r="F199" s="15" t="n">
        <v>72838.994498</v>
      </c>
    </row>
    <row r="200">
      <c r="C200" s="15" t="n">
        <v>5</v>
      </c>
      <c r="D200" s="15" t="n">
        <v>0</v>
      </c>
      <c r="E200" s="15" t="n">
        <v>75216.29309399999</v>
      </c>
      <c r="F200" s="15" t="n">
        <v>0</v>
      </c>
    </row>
    <row r="201">
      <c r="C201" s="15" t="n">
        <v>6</v>
      </c>
      <c r="D201" s="15" t="n">
        <v>0</v>
      </c>
      <c r="E201" s="15" t="n">
        <v>59044.691188</v>
      </c>
      <c r="F201" s="15" t="n">
        <v>0</v>
      </c>
    </row>
    <row r="203">
      <c r="C203" s="15" t="inlineStr">
        <is>
          <t>DesvPad(ND*ELT)</t>
        </is>
      </c>
      <c r="D203" s="15" t="n">
        <v>16</v>
      </c>
      <c r="E203" s="15" t="n">
        <v>17</v>
      </c>
      <c r="F203" s="15" t="n">
        <v>18</v>
      </c>
    </row>
    <row r="204">
      <c r="C204" s="15" t="n">
        <v>4</v>
      </c>
      <c r="D204" s="15" t="n">
        <v>205.1894</v>
      </c>
      <c r="E204" s="15" t="n">
        <v>209.9278</v>
      </c>
      <c r="F204" s="15" t="n">
        <v>191.3891</v>
      </c>
    </row>
    <row r="205">
      <c r="C205" s="15" t="n">
        <v>5</v>
      </c>
      <c r="D205" s="15" t="n">
        <v>0</v>
      </c>
      <c r="E205" s="15" t="n">
        <v>195.2975</v>
      </c>
      <c r="F205" s="15" t="n">
        <v>0</v>
      </c>
    </row>
    <row r="206">
      <c r="C206" s="15" t="n">
        <v>6</v>
      </c>
      <c r="D206" s="15" t="n">
        <v>0</v>
      </c>
      <c r="E206" s="15" t="n">
        <v>175.744</v>
      </c>
      <c r="F206" s="15" t="n">
        <v>0</v>
      </c>
    </row>
    <row r="208">
      <c r="C208" s="15" t="inlineStr">
        <is>
          <t>DesvPad(Cap)</t>
        </is>
      </c>
      <c r="D208" s="15" t="n">
        <v>16</v>
      </c>
      <c r="E208" s="15" t="n">
        <v>17</v>
      </c>
      <c r="F208" s="15" t="n">
        <v>18</v>
      </c>
    </row>
    <row r="209">
      <c r="C209" s="15" t="n">
        <v>4</v>
      </c>
      <c r="D209" s="15" t="n">
        <v>278.1899890362699</v>
      </c>
      <c r="E209" s="15" t="n">
        <v>287.5159995548074</v>
      </c>
      <c r="F209" s="15" t="n">
        <v>337.7539933146609</v>
      </c>
    </row>
    <row r="210">
      <c r="C210" s="15" t="n">
        <v>5</v>
      </c>
      <c r="D210" s="15" t="n">
        <v>300.6199926817909</v>
      </c>
      <c r="E210" s="15" t="n">
        <v>258.8019899459817</v>
      </c>
      <c r="F210" s="15" t="n">
        <v>437.765999136525</v>
      </c>
    </row>
    <row r="211">
      <c r="C211" s="15" t="n">
        <v>6</v>
      </c>
      <c r="D211" s="15" t="n">
        <v>341.8899969288368</v>
      </c>
      <c r="E211" s="15" t="n">
        <v>233.9099826856477</v>
      </c>
      <c r="F211" s="15" t="n">
        <v>454.8979995559444</v>
      </c>
    </row>
    <row r="213">
      <c r="C213" s="15" t="inlineStr">
        <is>
          <t>z(RLT)</t>
        </is>
      </c>
      <c r="D213" s="15" t="n">
        <v>16</v>
      </c>
      <c r="E213" s="15" t="n">
        <v>17</v>
      </c>
      <c r="F213" s="15" t="n">
        <v>18</v>
      </c>
    </row>
    <row r="214">
      <c r="C214" s="15" t="n">
        <v>4</v>
      </c>
      <c r="D214" s="15" t="n">
        <v>2.90637782520081</v>
      </c>
      <c r="E214" s="15" t="n">
        <v>2.846824034273169</v>
      </c>
      <c r="F214" s="15" t="n">
        <v>2.838481462253519</v>
      </c>
    </row>
    <row r="215">
      <c r="C215" s="15" t="n">
        <v>5</v>
      </c>
      <c r="D215" s="15" t="n">
        <v>3</v>
      </c>
      <c r="E215" s="15" t="n">
        <v>2.837499132869407</v>
      </c>
      <c r="F215" s="15" t="n">
        <v>3</v>
      </c>
    </row>
    <row r="216">
      <c r="C216" s="15" t="n">
        <v>6</v>
      </c>
      <c r="D216" s="15" t="n">
        <v>3</v>
      </c>
      <c r="E216" s="15" t="n">
        <v>2.909702469962284</v>
      </c>
      <c r="F216" s="15" t="n">
        <v>3</v>
      </c>
    </row>
    <row r="218" ht="16.2" customHeight="1">
      <c r="C218" s="15" t="inlineStr">
        <is>
          <t>Aleatória S2nd</t>
        </is>
      </c>
      <c r="D218" s="15" t="n">
        <v>16</v>
      </c>
      <c r="E218" s="15" t="n">
        <v>17</v>
      </c>
      <c r="F218" s="15" t="n">
        <v>18</v>
      </c>
    </row>
    <row r="219">
      <c r="C219" s="15" t="n">
        <v>4</v>
      </c>
      <c r="D219" s="53" t="inlineStr">
        <is>
          <t>=D174+D154*D179</t>
        </is>
      </c>
      <c r="E219" s="53" t="n">
        <v>12125.06209243212</v>
      </c>
      <c r="F219" s="53" t="n">
        <v>16134.32215903369</v>
      </c>
    </row>
    <row r="220">
      <c r="C220" s="15" t="n">
        <v>5</v>
      </c>
      <c r="D220" s="53" t="n">
        <v>0</v>
      </c>
      <c r="E220" s="53" t="n">
        <v>10122.58164752518</v>
      </c>
      <c r="F220" s="53" t="n">
        <v>0</v>
      </c>
    </row>
    <row r="221">
      <c r="C221" s="15" t="n">
        <v>6</v>
      </c>
      <c r="D221" s="53" t="n">
        <v>0</v>
      </c>
      <c r="E221" s="53" t="n">
        <v>9713.732301877641</v>
      </c>
      <c r="F221" s="53" t="n">
        <v>0</v>
      </c>
    </row>
    <row r="223">
      <c r="C223" s="15" t="inlineStr">
        <is>
          <t>Radicand</t>
        </is>
      </c>
      <c r="D223" s="15" t="n">
        <v>16</v>
      </c>
      <c r="E223" s="15" t="n">
        <v>17</v>
      </c>
      <c r="F223" s="15" t="n">
        <v>18</v>
      </c>
    </row>
    <row r="224">
      <c r="C224" s="15" t="n">
        <v>4</v>
      </c>
      <c r="D224" s="15" t="n">
        <v>1141625.237860805</v>
      </c>
      <c r="E224" s="15" t="n">
        <v>1256723.382672</v>
      </c>
      <c r="F224" s="15" t="n">
        <v>1048881.520771194</v>
      </c>
    </row>
    <row r="225">
      <c r="C225" s="15" t="n">
        <v>5</v>
      </c>
      <c r="D225" s="15" t="n">
        <v>0</v>
      </c>
      <c r="E225" s="15" t="n">
        <v>1083114.620553598</v>
      </c>
      <c r="F225" s="15" t="n">
        <v>0</v>
      </c>
    </row>
    <row r="226">
      <c r="C226" s="15" t="n">
        <v>6</v>
      </c>
      <c r="D226" s="15" t="n">
        <v>0</v>
      </c>
      <c r="E226" s="15" t="n">
        <v>850243.5531072021</v>
      </c>
      <c r="F226" s="15" t="n">
        <v>0</v>
      </c>
    </row>
    <row r="228">
      <c r="C228" s="15" t="inlineStr">
        <is>
          <t>SQRT</t>
        </is>
      </c>
      <c r="D228" s="15" t="n">
        <v>16</v>
      </c>
      <c r="E228" s="15" t="n">
        <v>17</v>
      </c>
      <c r="F228" s="15" t="n">
        <v>18</v>
      </c>
    </row>
    <row r="229">
      <c r="C229" s="15" t="n">
        <v>4</v>
      </c>
      <c r="D229" s="15" t="n">
        <v>1069</v>
      </c>
      <c r="E229" s="15" t="n">
        <v>1122</v>
      </c>
      <c r="F229" s="15" t="n">
        <v>1025</v>
      </c>
    </row>
    <row r="230">
      <c r="C230" s="15" t="n">
        <v>5</v>
      </c>
      <c r="D230" s="15" t="n">
        <v>1</v>
      </c>
      <c r="E230" s="15" t="n">
        <v>1041</v>
      </c>
      <c r="F230" s="15" t="n">
        <v>1</v>
      </c>
    </row>
    <row r="231">
      <c r="C231" s="15" t="n">
        <v>6</v>
      </c>
      <c r="D231" s="15" t="n">
        <v>1</v>
      </c>
      <c r="E231" s="15" t="n">
        <v>923</v>
      </c>
      <c r="F231" s="15" t="n">
        <v>1</v>
      </c>
    </row>
    <row r="233">
      <c r="C233" s="15" t="inlineStr">
        <is>
          <t>ND*ELT</t>
        </is>
      </c>
      <c r="D233" s="15" t="n">
        <v>16</v>
      </c>
      <c r="E233" s="15" t="n">
        <v>17</v>
      </c>
      <c r="F233" s="15" t="n">
        <v>18</v>
      </c>
    </row>
    <row r="234">
      <c r="C234" s="15" t="n">
        <v>4</v>
      </c>
      <c r="D234" s="15" t="n">
        <v>2462.344849999999</v>
      </c>
      <c r="E234" s="15" t="n">
        <v>1225.791599657976</v>
      </c>
      <c r="F234" s="15" t="n">
        <v>635.5011763202814</v>
      </c>
    </row>
    <row r="235">
      <c r="C235" s="15" t="n">
        <v>5</v>
      </c>
      <c r="D235" s="15" t="inlineStr"/>
      <c r="E235" s="15" t="n">
        <v>1414.672506196146</v>
      </c>
      <c r="F235" s="15" t="inlineStr"/>
    </row>
    <row r="236">
      <c r="C236" s="15" t="n">
        <v>6</v>
      </c>
      <c r="D236" s="15" t="inlineStr"/>
      <c r="E236" s="15" t="n">
        <v>2133.826426596765</v>
      </c>
      <c r="F236" s="15" t="inlineStr"/>
    </row>
    <row r="238">
      <c r="C238" s="15" t="inlineStr">
        <is>
          <t>Aleatória RLT</t>
        </is>
      </c>
      <c r="D238" s="15" t="n">
        <v>16</v>
      </c>
      <c r="E238" s="15" t="n">
        <v>17</v>
      </c>
      <c r="F238" s="15" t="n">
        <v>18</v>
      </c>
    </row>
    <row r="239">
      <c r="C239" s="15" t="n">
        <v>4</v>
      </c>
      <c r="D239" s="15" t="n">
        <v>5.407207166233304</v>
      </c>
      <c r="E239" s="15" t="n">
        <v>7.198259437753586</v>
      </c>
      <c r="F239" s="15" t="n">
        <v>4.514785282314451</v>
      </c>
    </row>
    <row r="240">
      <c r="C240" s="15" t="n">
        <v>5</v>
      </c>
      <c r="D240" s="15" t="n">
        <v>3.9356</v>
      </c>
      <c r="E240" s="15" t="n">
        <v>7.431173536946013</v>
      </c>
      <c r="F240" s="15" t="n">
        <v>4.7005</v>
      </c>
    </row>
    <row r="241">
      <c r="C241" s="15" t="n">
        <v>6</v>
      </c>
      <c r="D241" s="15" t="n">
        <v>4.826099999999999</v>
      </c>
      <c r="E241" s="15" t="n">
        <v>6.079104374980442</v>
      </c>
      <c r="F241" s="15" t="n">
        <v>5.5103</v>
      </c>
    </row>
    <row r="243" ht="23.4" customHeight="1">
      <c r="C243" s="60" t="inlineStr">
        <is>
          <t>DISTRIBUTORS</t>
        </is>
      </c>
    </row>
    <row r="244">
      <c r="C244" s="15" t="inlineStr">
        <is>
          <t>P(Reorder)</t>
        </is>
      </c>
      <c r="D244" s="15" t="n">
        <v>19</v>
      </c>
      <c r="E244" s="15" t="n">
        <v>20</v>
      </c>
      <c r="F244" s="15" t="n">
        <v>21</v>
      </c>
    </row>
    <row r="245">
      <c r="C245" s="15" t="n">
        <v>7</v>
      </c>
    </row>
    <row r="246">
      <c r="C246" s="15" t="n">
        <v>8</v>
      </c>
    </row>
    <row r="248">
      <c r="C248" s="15" t="inlineStr">
        <is>
          <t>Reorder</t>
        </is>
      </c>
      <c r="D248" s="15" t="n">
        <v>19</v>
      </c>
      <c r="E248" s="15" t="n">
        <v>20</v>
      </c>
      <c r="F248" s="15" t="n">
        <v>21</v>
      </c>
    </row>
    <row r="249">
      <c r="C249" s="15" t="n">
        <v>7</v>
      </c>
    </row>
    <row r="250">
      <c r="C250" s="15" t="n">
        <v>8</v>
      </c>
    </row>
    <row r="252">
      <c r="C252" s="15" t="inlineStr">
        <is>
          <t>Var(Var(d))</t>
        </is>
      </c>
      <c r="D252" s="15" t="n">
        <v>19</v>
      </c>
      <c r="E252" s="15" t="n">
        <v>20</v>
      </c>
      <c r="F252" s="15" t="n">
        <v>21</v>
      </c>
    </row>
    <row r="253">
      <c r="C253" s="15" t="n">
        <v>7</v>
      </c>
    </row>
    <row r="254">
      <c r="C254" s="15" t="n">
        <v>8</v>
      </c>
    </row>
    <row r="256">
      <c r="C256" s="15" t="inlineStr">
        <is>
          <t>Var(Var(Cap))</t>
        </is>
      </c>
      <c r="D256" s="15" t="n">
        <v>19</v>
      </c>
      <c r="E256" s="15" t="n">
        <v>20</v>
      </c>
      <c r="F256" s="15" t="n">
        <v>21</v>
      </c>
    </row>
    <row r="257">
      <c r="C257" s="15" t="n">
        <v>7</v>
      </c>
    </row>
    <row r="258">
      <c r="C258" s="15" t="n">
        <v>8</v>
      </c>
    </row>
    <row r="260">
      <c r="C260" s="15" t="inlineStr">
        <is>
          <t>CV</t>
        </is>
      </c>
      <c r="D260" s="15" t="n">
        <v>19</v>
      </c>
      <c r="E260" s="15" t="n">
        <v>20</v>
      </c>
      <c r="F260" s="15" t="n">
        <v>21</v>
      </c>
    </row>
    <row r="261">
      <c r="C261" s="15" t="n">
        <v>7</v>
      </c>
    </row>
    <row r="262">
      <c r="C262" s="15" t="n">
        <v>8</v>
      </c>
    </row>
    <row r="264">
      <c r="C264" s="15" t="inlineStr">
        <is>
          <t>Planned Stock</t>
        </is>
      </c>
      <c r="D264" s="15" t="n">
        <v>19</v>
      </c>
      <c r="E264" s="15" t="n">
        <v>20</v>
      </c>
      <c r="F264" s="15" t="n">
        <v>21</v>
      </c>
    </row>
    <row r="265">
      <c r="C265" s="15" t="n">
        <v>7</v>
      </c>
    </row>
    <row r="266">
      <c r="C266" s="15" t="n">
        <v>8</v>
      </c>
    </row>
    <row r="268" ht="16.2" customHeight="1">
      <c r="C268" s="15" t="inlineStr">
        <is>
          <t>Variance coeff - z(S2nd)</t>
        </is>
      </c>
      <c r="D268" s="15" t="n">
        <v>19</v>
      </c>
      <c r="E268" s="15" t="n">
        <v>20</v>
      </c>
      <c r="F268" s="15" t="n">
        <v>21</v>
      </c>
    </row>
    <row r="269">
      <c r="C269" s="15" t="n">
        <v>7</v>
      </c>
    </row>
    <row r="270">
      <c r="C270" s="15" t="n">
        <v>8</v>
      </c>
    </row>
    <row r="272">
      <c r="C272" s="15" t="inlineStr">
        <is>
          <t>demand</t>
        </is>
      </c>
      <c r="D272" s="15" t="n">
        <v>19</v>
      </c>
      <c r="E272" s="15" t="n">
        <v>20</v>
      </c>
      <c r="F272" s="15" t="n">
        <v>21</v>
      </c>
    </row>
    <row r="273">
      <c r="C273" s="15" t="n">
        <v>7</v>
      </c>
    </row>
    <row r="274">
      <c r="C274" s="15" t="n">
        <v>8</v>
      </c>
    </row>
    <row r="276">
      <c r="B276" s="15" t="inlineStr">
        <is>
          <t>Parâmetros p/ μy</t>
        </is>
      </c>
      <c r="C276" s="15" t="inlineStr">
        <is>
          <t>Média(E(RLT))</t>
        </is>
      </c>
      <c r="D276" s="15" t="n">
        <v>19</v>
      </c>
      <c r="E276" s="15" t="n">
        <v>20</v>
      </c>
      <c r="F276" s="15" t="n">
        <v>21</v>
      </c>
    </row>
    <row r="277" ht="16.2" customHeight="1">
      <c r="B277" s="15" t="inlineStr">
        <is>
          <t>ND*RLT e S2nd</t>
        </is>
      </c>
      <c r="C277" s="15" t="n">
        <v>7</v>
      </c>
    </row>
    <row r="278">
      <c r="C278" s="15" t="n">
        <v>8</v>
      </c>
    </row>
    <row r="280">
      <c r="C280" s="15" t="inlineStr">
        <is>
          <t>Cap</t>
        </is>
      </c>
      <c r="D280" s="15" t="n">
        <v>19</v>
      </c>
      <c r="E280" s="15" t="n">
        <v>20</v>
      </c>
      <c r="F280" s="15" t="n">
        <v>21</v>
      </c>
    </row>
    <row r="281">
      <c r="C281" s="15" t="n">
        <v>7</v>
      </c>
    </row>
    <row r="282">
      <c r="C282" s="15" t="n">
        <v>8</v>
      </c>
    </row>
    <row r="284">
      <c r="B284" s="15" t="inlineStr">
        <is>
          <t>Parâmetros p/ μx</t>
        </is>
      </c>
      <c r="C284" s="15" t="inlineStr">
        <is>
          <t>Var(d-cap)</t>
        </is>
      </c>
      <c r="D284" s="15" t="n">
        <v>19</v>
      </c>
      <c r="E284" s="15" t="n">
        <v>20</v>
      </c>
      <c r="F284" s="15" t="n">
        <v>21</v>
      </c>
    </row>
    <row r="285" ht="16.2" customHeight="1">
      <c r="B285" s="15" t="inlineStr">
        <is>
          <t>S2nd</t>
        </is>
      </c>
      <c r="C285" s="15" t="n">
        <v>7</v>
      </c>
    </row>
    <row r="286">
      <c r="C286" s="15" t="n">
        <v>8</v>
      </c>
    </row>
    <row r="288">
      <c r="B288" s="15" t="inlineStr">
        <is>
          <t>Parâmetros p/ σx</t>
        </is>
      </c>
      <c r="C288" s="15" t="inlineStr">
        <is>
          <t>Desvpad(Var(S2nd))</t>
        </is>
      </c>
      <c r="D288" s="15" t="n">
        <v>19</v>
      </c>
      <c r="E288" s="15" t="n">
        <v>20</v>
      </c>
      <c r="F288" s="15" t="n">
        <v>21</v>
      </c>
    </row>
    <row r="289" ht="16.2" customHeight="1">
      <c r="B289" s="15" t="inlineStr">
        <is>
          <t>S2nd</t>
        </is>
      </c>
      <c r="C289" s="15" t="n">
        <v>7</v>
      </c>
    </row>
    <row r="290">
      <c r="C290" s="15" t="n">
        <v>8</v>
      </c>
    </row>
    <row r="292">
      <c r="B292" s="15" t="inlineStr">
        <is>
          <t>Parâmetros p/ σy</t>
        </is>
      </c>
      <c r="C292" s="15" t="inlineStr">
        <is>
          <t>DesvPad(Var(E(RLT)))</t>
        </is>
      </c>
      <c r="D292" s="15" t="n">
        <v>19</v>
      </c>
      <c r="E292" s="15" t="n">
        <v>20</v>
      </c>
      <c r="F292" s="15" t="n">
        <v>21</v>
      </c>
    </row>
    <row r="293" ht="16.2" customHeight="1">
      <c r="B293" s="15" t="inlineStr">
        <is>
          <t>ND*RLT e S2nd</t>
        </is>
      </c>
      <c r="C293" s="15" t="n">
        <v>7</v>
      </c>
    </row>
    <row r="294">
      <c r="C294" s="15" t="n">
        <v>8</v>
      </c>
    </row>
    <row r="296">
      <c r="B296" s="15" t="inlineStr">
        <is>
          <t>Parâmetros p/ μx</t>
        </is>
      </c>
      <c r="C296" s="15" t="inlineStr">
        <is>
          <t>Média(d-Cap)</t>
        </is>
      </c>
      <c r="D296" s="15" t="n">
        <v>19</v>
      </c>
      <c r="E296" s="15" t="n">
        <v>20</v>
      </c>
      <c r="F296" s="15" t="n">
        <v>21</v>
      </c>
    </row>
    <row r="297">
      <c r="B297" s="15" t="inlineStr">
        <is>
          <t>ND*RLT</t>
        </is>
      </c>
      <c r="C297" s="15" t="n">
        <v>7</v>
      </c>
    </row>
    <row r="298">
      <c r="C298" s="15" t="n">
        <v>8</v>
      </c>
    </row>
    <row r="300">
      <c r="B300" s="15" t="inlineStr">
        <is>
          <t>Parâmetros p/ σx</t>
        </is>
      </c>
      <c r="C300" s="15" t="inlineStr">
        <is>
          <t>DesvPad(Var(d-cap))</t>
        </is>
      </c>
      <c r="D300" s="15" t="n">
        <v>19</v>
      </c>
      <c r="E300" s="15" t="n">
        <v>20</v>
      </c>
      <c r="F300" s="15" t="n">
        <v>21</v>
      </c>
    </row>
    <row r="301">
      <c r="B301" s="15" t="inlineStr">
        <is>
          <t>ND*RLT</t>
        </is>
      </c>
      <c r="C301" s="15" t="n">
        <v>7</v>
      </c>
    </row>
    <row r="302">
      <c r="C302" s="15" t="n">
        <v>8</v>
      </c>
    </row>
    <row r="304">
      <c r="C304" s="15" t="inlineStr">
        <is>
          <t>LB</t>
        </is>
      </c>
      <c r="D304" s="15" t="n">
        <v>19</v>
      </c>
      <c r="E304" s="15" t="n">
        <v>20</v>
      </c>
      <c r="F304" s="15" t="n">
        <v>21</v>
      </c>
    </row>
    <row r="305">
      <c r="C305" s="15" t="n">
        <v>7</v>
      </c>
    </row>
    <row r="306">
      <c r="C306" s="15" t="n">
        <v>8</v>
      </c>
    </row>
    <row r="308">
      <c r="C308" s="15" t="inlineStr">
        <is>
          <t>DesvPad(ND*ELT)</t>
        </is>
      </c>
      <c r="D308" s="15" t="n">
        <v>19</v>
      </c>
      <c r="E308" s="15" t="n">
        <v>20</v>
      </c>
      <c r="F308" s="15" t="n">
        <v>21</v>
      </c>
    </row>
    <row r="309">
      <c r="C309" s="15" t="n">
        <v>7</v>
      </c>
    </row>
    <row r="310">
      <c r="C310" s="15" t="n">
        <v>8</v>
      </c>
    </row>
    <row r="312">
      <c r="C312" s="15" t="inlineStr">
        <is>
          <t>DesvPad(Cap)</t>
        </is>
      </c>
      <c r="D312" s="15" t="n">
        <v>19</v>
      </c>
      <c r="E312" s="15" t="n">
        <v>20</v>
      </c>
      <c r="F312" s="15" t="n">
        <v>21</v>
      </c>
    </row>
    <row r="313">
      <c r="C313" s="15" t="n">
        <v>7</v>
      </c>
    </row>
    <row r="314">
      <c r="C314" s="15" t="n">
        <v>8</v>
      </c>
    </row>
    <row r="316">
      <c r="C316" s="15" t="inlineStr">
        <is>
          <t>z(RLT)</t>
        </is>
      </c>
      <c r="D316" s="15" t="n">
        <v>19</v>
      </c>
      <c r="E316" s="15" t="n">
        <v>20</v>
      </c>
      <c r="F316" s="15" t="n">
        <v>21</v>
      </c>
    </row>
    <row r="317">
      <c r="C317" s="15" t="n">
        <v>7</v>
      </c>
    </row>
    <row r="318">
      <c r="C318" s="15" t="n">
        <v>8</v>
      </c>
    </row>
    <row r="320" ht="16.2" customHeight="1">
      <c r="C320" s="15" t="inlineStr">
        <is>
          <t>Aleatória S2nd</t>
        </is>
      </c>
      <c r="D320" s="15" t="n">
        <v>19</v>
      </c>
      <c r="E320" s="15" t="n">
        <v>20</v>
      </c>
      <c r="F320" s="15" t="n">
        <v>21</v>
      </c>
    </row>
    <row r="321">
      <c r="C321" s="15" t="n">
        <v>7</v>
      </c>
    </row>
    <row r="322">
      <c r="C322" s="15" t="n">
        <v>8</v>
      </c>
    </row>
    <row r="324">
      <c r="C324" s="15" t="inlineStr">
        <is>
          <t>Radicand</t>
        </is>
      </c>
      <c r="D324" s="15" t="n">
        <v>19</v>
      </c>
      <c r="E324" s="15" t="n">
        <v>20</v>
      </c>
      <c r="F324" s="15" t="n">
        <v>21</v>
      </c>
    </row>
    <row r="325">
      <c r="C325" s="15" t="n">
        <v>7</v>
      </c>
    </row>
    <row r="326">
      <c r="C326" s="15" t="n">
        <v>8</v>
      </c>
    </row>
    <row r="328">
      <c r="C328" s="15" t="inlineStr">
        <is>
          <t>SQRT</t>
        </is>
      </c>
      <c r="D328" s="15" t="n">
        <v>19</v>
      </c>
      <c r="E328" s="15" t="n">
        <v>20</v>
      </c>
      <c r="F328" s="15" t="n">
        <v>21</v>
      </c>
    </row>
    <row r="329">
      <c r="C329" s="15" t="n">
        <v>7</v>
      </c>
    </row>
    <row r="330">
      <c r="C330" s="15" t="n">
        <v>8</v>
      </c>
    </row>
    <row r="332">
      <c r="C332" s="15" t="inlineStr">
        <is>
          <t>ND*ELT</t>
        </is>
      </c>
      <c r="D332" s="15" t="n">
        <v>19</v>
      </c>
      <c r="E332" s="15" t="n">
        <v>20</v>
      </c>
      <c r="F332" s="15" t="n">
        <v>21</v>
      </c>
    </row>
    <row r="333">
      <c r="C333" s="15" t="n">
        <v>7</v>
      </c>
    </row>
    <row r="334">
      <c r="C334" s="15" t="n">
        <v>8</v>
      </c>
    </row>
    <row r="336">
      <c r="C336" s="15" t="inlineStr">
        <is>
          <t>Aleatória RLT</t>
        </is>
      </c>
      <c r="D336" s="15" t="n">
        <v>19</v>
      </c>
      <c r="E336" s="15" t="n">
        <v>20</v>
      </c>
      <c r="F336" s="15" t="n">
        <v>21</v>
      </c>
    </row>
    <row r="337">
      <c r="C337" s="15" t="n">
        <v>7</v>
      </c>
    </row>
    <row r="338">
      <c r="C338" s="15" t="n">
        <v>8</v>
      </c>
    </row>
    <row r="340" ht="23.4" customHeight="1">
      <c r="C340" s="60" t="inlineStr">
        <is>
          <t>RETAILERS</t>
        </is>
      </c>
    </row>
    <row r="341">
      <c r="C341" s="15" t="inlineStr">
        <is>
          <t>P(Reorder)</t>
        </is>
      </c>
      <c r="D341" s="15" t="n">
        <v>22</v>
      </c>
      <c r="E341" s="15" t="n">
        <v>23</v>
      </c>
      <c r="F341" s="15" t="n">
        <v>24</v>
      </c>
    </row>
    <row r="342">
      <c r="C342" s="15" t="n">
        <v>9</v>
      </c>
    </row>
    <row r="343">
      <c r="C343" s="15" t="n">
        <v>10</v>
      </c>
    </row>
    <row r="344">
      <c r="C344" s="15" t="n">
        <v>11</v>
      </c>
    </row>
    <row r="345">
      <c r="C345" s="15" t="n">
        <v>12</v>
      </c>
    </row>
    <row r="346">
      <c r="C346" s="15" t="n">
        <v>13</v>
      </c>
    </row>
    <row r="347">
      <c r="C347" s="15" t="n">
        <v>14</v>
      </c>
    </row>
    <row r="348">
      <c r="C348" s="15" t="n">
        <v>15</v>
      </c>
    </row>
    <row r="349">
      <c r="C349" s="15" t="n">
        <v>16</v>
      </c>
    </row>
    <row r="350">
      <c r="C350" s="15" t="n">
        <v>17</v>
      </c>
    </row>
    <row r="351">
      <c r="C351" s="15" t="n">
        <v>18</v>
      </c>
    </row>
    <row r="352">
      <c r="C352" s="15" t="n">
        <v>19</v>
      </c>
    </row>
    <row r="353">
      <c r="C353" s="15" t="n">
        <v>20</v>
      </c>
    </row>
    <row r="354">
      <c r="C354" s="15" t="n">
        <v>21</v>
      </c>
    </row>
    <row r="355">
      <c r="C355" s="15" t="n">
        <v>22</v>
      </c>
    </row>
    <row r="356">
      <c r="C356" s="15" t="n">
        <v>23</v>
      </c>
    </row>
    <row r="357">
      <c r="C357" s="15" t="n">
        <v>24</v>
      </c>
    </row>
    <row r="358">
      <c r="C358" s="15" t="n">
        <v>25</v>
      </c>
    </row>
    <row r="359">
      <c r="C359" s="15" t="n">
        <v>26</v>
      </c>
    </row>
    <row r="360">
      <c r="C360" s="15" t="n">
        <v>27</v>
      </c>
    </row>
    <row r="361">
      <c r="C361" s="15" t="n">
        <v>28</v>
      </c>
    </row>
    <row r="362">
      <c r="C362" s="15" t="n">
        <v>29</v>
      </c>
    </row>
    <row r="363">
      <c r="C363" s="15" t="n">
        <v>30</v>
      </c>
    </row>
    <row r="364">
      <c r="C364" s="15" t="n">
        <v>31</v>
      </c>
    </row>
    <row r="365">
      <c r="C365" s="15" t="n">
        <v>32</v>
      </c>
    </row>
    <row r="366">
      <c r="C366" s="15" t="n">
        <v>33</v>
      </c>
    </row>
    <row r="367">
      <c r="C367" s="15" t="n">
        <v>34</v>
      </c>
    </row>
    <row r="368">
      <c r="C368" s="15" t="n">
        <v>35</v>
      </c>
    </row>
    <row r="369">
      <c r="C369" s="15" t="n">
        <v>36</v>
      </c>
    </row>
    <row r="370">
      <c r="C370" s="15" t="n">
        <v>37</v>
      </c>
    </row>
    <row r="371">
      <c r="C371" s="15" t="n">
        <v>38</v>
      </c>
    </row>
    <row r="372">
      <c r="C372" s="15" t="n">
        <v>39</v>
      </c>
    </row>
    <row r="373">
      <c r="C373" s="15" t="n">
        <v>40</v>
      </c>
    </row>
    <row r="374">
      <c r="C374" s="15" t="n">
        <v>41</v>
      </c>
    </row>
    <row r="375">
      <c r="C375" s="15" t="n">
        <v>42</v>
      </c>
    </row>
    <row r="376">
      <c r="C376" s="15" t="n">
        <v>43</v>
      </c>
    </row>
    <row r="377">
      <c r="C377" s="15" t="n">
        <v>44</v>
      </c>
    </row>
    <row r="378">
      <c r="C378" s="15" t="n">
        <v>45</v>
      </c>
    </row>
    <row r="379">
      <c r="C379" s="15" t="n">
        <v>46</v>
      </c>
    </row>
    <row r="380">
      <c r="C380" s="15" t="n">
        <v>47</v>
      </c>
    </row>
    <row r="381">
      <c r="C381" s="15" t="n">
        <v>48</v>
      </c>
    </row>
    <row r="382">
      <c r="C382" s="15" t="n">
        <v>49</v>
      </c>
    </row>
    <row r="383">
      <c r="C383" s="15" t="n">
        <v>50</v>
      </c>
    </row>
    <row r="384">
      <c r="C384" s="15" t="n">
        <v>51</v>
      </c>
    </row>
    <row r="385">
      <c r="C385" s="15" t="n">
        <v>52</v>
      </c>
    </row>
    <row r="386">
      <c r="C386" s="15" t="n">
        <v>53</v>
      </c>
    </row>
    <row r="387">
      <c r="C387" s="15" t="n">
        <v>54</v>
      </c>
    </row>
    <row r="388">
      <c r="C388" s="15" t="n">
        <v>55</v>
      </c>
    </row>
    <row r="389">
      <c r="C389" s="15" t="n">
        <v>56</v>
      </c>
    </row>
    <row r="390">
      <c r="C390" s="15" t="n">
        <v>57</v>
      </c>
    </row>
    <row r="391">
      <c r="C391" s="15" t="n">
        <v>58</v>
      </c>
    </row>
    <row r="392">
      <c r="C392" s="15" t="n">
        <v>59</v>
      </c>
    </row>
    <row r="393">
      <c r="C393" s="15" t="n">
        <v>60</v>
      </c>
    </row>
    <row r="394">
      <c r="C394" s="15" t="n">
        <v>61</v>
      </c>
    </row>
    <row r="395">
      <c r="C395" s="15" t="n">
        <v>62</v>
      </c>
    </row>
    <row r="396">
      <c r="C396" s="15" t="n">
        <v>63</v>
      </c>
    </row>
    <row r="397">
      <c r="C397" s="15" t="n">
        <v>64</v>
      </c>
    </row>
    <row r="398">
      <c r="C398" s="15" t="n">
        <v>65</v>
      </c>
    </row>
    <row r="399">
      <c r="C399" s="15" t="n">
        <v>66</v>
      </c>
    </row>
    <row r="400">
      <c r="C400" s="15" t="n">
        <v>67</v>
      </c>
    </row>
    <row r="401">
      <c r="C401" s="15" t="n">
        <v>68</v>
      </c>
    </row>
    <row r="402">
      <c r="C402" s="15" t="n">
        <v>69</v>
      </c>
    </row>
    <row r="403">
      <c r="C403" s="15" t="n">
        <v>70</v>
      </c>
    </row>
    <row r="404">
      <c r="C404" s="15" t="n">
        <v>71</v>
      </c>
    </row>
    <row r="405">
      <c r="C405" s="15" t="n">
        <v>72</v>
      </c>
    </row>
    <row r="406">
      <c r="C406" s="15" t="n">
        <v>73</v>
      </c>
    </row>
    <row r="407">
      <c r="C407" s="15" t="n">
        <v>74</v>
      </c>
    </row>
    <row r="408">
      <c r="C408" s="15" t="n">
        <v>75</v>
      </c>
    </row>
    <row r="409">
      <c r="C409" s="15" t="n">
        <v>76</v>
      </c>
    </row>
    <row r="410">
      <c r="C410" s="15" t="n">
        <v>77</v>
      </c>
    </row>
    <row r="411">
      <c r="C411" s="15" t="n">
        <v>78</v>
      </c>
    </row>
    <row r="412">
      <c r="C412" s="15" t="n">
        <v>79</v>
      </c>
    </row>
    <row r="413">
      <c r="C413" s="15" t="n">
        <v>80</v>
      </c>
    </row>
    <row r="414">
      <c r="C414" s="15" t="n">
        <v>81</v>
      </c>
    </row>
    <row r="415">
      <c r="C415" s="15" t="n">
        <v>82</v>
      </c>
    </row>
    <row r="416">
      <c r="C416" s="15" t="n">
        <v>83</v>
      </c>
    </row>
    <row r="417">
      <c r="C417" s="15" t="n">
        <v>84</v>
      </c>
    </row>
    <row r="418">
      <c r="C418" s="15" t="n">
        <v>85</v>
      </c>
    </row>
    <row r="419">
      <c r="C419" s="15" t="n">
        <v>86</v>
      </c>
    </row>
    <row r="420">
      <c r="C420" s="15" t="n">
        <v>87</v>
      </c>
    </row>
    <row r="421">
      <c r="C421" s="15" t="n">
        <v>88</v>
      </c>
    </row>
    <row r="422">
      <c r="C422" s="15" t="n">
        <v>89</v>
      </c>
    </row>
    <row r="423">
      <c r="C423" s="15" t="n">
        <v>90</v>
      </c>
    </row>
    <row r="424">
      <c r="C424" s="15" t="n">
        <v>91</v>
      </c>
    </row>
    <row r="425">
      <c r="C425" s="15" t="n">
        <v>92</v>
      </c>
    </row>
    <row r="426">
      <c r="C426" s="15" t="n">
        <v>93</v>
      </c>
    </row>
    <row r="427">
      <c r="C427" s="15" t="n">
        <v>94</v>
      </c>
    </row>
    <row r="428">
      <c r="C428" s="15" t="n">
        <v>95</v>
      </c>
    </row>
    <row r="429">
      <c r="C429" s="15" t="n">
        <v>96</v>
      </c>
    </row>
    <row r="430">
      <c r="C430" s="15" t="n">
        <v>97</v>
      </c>
    </row>
    <row r="431">
      <c r="C431" s="15" t="n">
        <v>98</v>
      </c>
    </row>
    <row r="432">
      <c r="C432" s="15" t="n">
        <v>99</v>
      </c>
    </row>
    <row r="433">
      <c r="C433" s="15" t="n">
        <v>100</v>
      </c>
    </row>
    <row r="434">
      <c r="C434" s="15" t="n">
        <v>101</v>
      </c>
    </row>
    <row r="435">
      <c r="C435" s="15" t="n">
        <v>102</v>
      </c>
    </row>
    <row r="436">
      <c r="C436" s="15" t="n">
        <v>103</v>
      </c>
    </row>
    <row r="437">
      <c r="C437" s="15" t="n">
        <v>104</v>
      </c>
    </row>
    <row r="438">
      <c r="C438" s="15" t="n">
        <v>105</v>
      </c>
    </row>
    <row r="439">
      <c r="C439" s="15" t="n">
        <v>106</v>
      </c>
    </row>
    <row r="440">
      <c r="C440" s="15" t="n">
        <v>107</v>
      </c>
    </row>
    <row r="441">
      <c r="C441" s="15" t="n">
        <v>108</v>
      </c>
    </row>
    <row r="442">
      <c r="C442" s="15" t="n">
        <v>109</v>
      </c>
    </row>
    <row r="443">
      <c r="C443" s="15" t="n">
        <v>110</v>
      </c>
    </row>
    <row r="444">
      <c r="C444" s="15" t="n">
        <v>111</v>
      </c>
    </row>
    <row r="445">
      <c r="C445" s="15" t="n">
        <v>112</v>
      </c>
    </row>
    <row r="446">
      <c r="C446" s="15" t="n">
        <v>113</v>
      </c>
    </row>
    <row r="447">
      <c r="C447" s="15" t="n">
        <v>114</v>
      </c>
    </row>
    <row r="448">
      <c r="C448" s="15" t="n">
        <v>115</v>
      </c>
    </row>
    <row r="449">
      <c r="C449" s="15" t="n">
        <v>116</v>
      </c>
    </row>
    <row r="450">
      <c r="C450" s="15" t="n">
        <v>117</v>
      </c>
    </row>
    <row r="451">
      <c r="C451" s="15" t="n">
        <v>118</v>
      </c>
    </row>
    <row r="452">
      <c r="C452" s="15" t="n">
        <v>119</v>
      </c>
    </row>
    <row r="453">
      <c r="C453" s="15" t="n">
        <v>120</v>
      </c>
    </row>
    <row r="454">
      <c r="C454" s="15" t="n">
        <v>121</v>
      </c>
    </row>
    <row r="455">
      <c r="C455" s="15" t="n">
        <v>122</v>
      </c>
    </row>
    <row r="456">
      <c r="C456" s="15" t="n">
        <v>123</v>
      </c>
    </row>
    <row r="457">
      <c r="C457" s="15" t="n">
        <v>124</v>
      </c>
    </row>
    <row r="458">
      <c r="C458" s="15" t="n">
        <v>125</v>
      </c>
    </row>
    <row r="459">
      <c r="C459" s="15" t="n">
        <v>126</v>
      </c>
    </row>
    <row r="460">
      <c r="C460" s="15" t="n">
        <v>127</v>
      </c>
    </row>
    <row r="461">
      <c r="C461" s="15" t="n">
        <v>128</v>
      </c>
    </row>
    <row r="462">
      <c r="C462" s="15" t="n">
        <v>129</v>
      </c>
    </row>
    <row r="463">
      <c r="C463" s="15" t="n">
        <v>130</v>
      </c>
    </row>
    <row r="464">
      <c r="C464" s="15" t="n">
        <v>131</v>
      </c>
    </row>
    <row r="465">
      <c r="C465" s="15" t="n">
        <v>132</v>
      </c>
    </row>
    <row r="466">
      <c r="C466" s="15" t="n">
        <v>133</v>
      </c>
    </row>
    <row r="467">
      <c r="C467" s="15" t="n">
        <v>134</v>
      </c>
    </row>
    <row r="468">
      <c r="C468" s="15" t="n">
        <v>135</v>
      </c>
    </row>
    <row r="469">
      <c r="C469" s="15" t="n">
        <v>136</v>
      </c>
    </row>
    <row r="470">
      <c r="C470" s="15" t="n">
        <v>137</v>
      </c>
    </row>
    <row r="471">
      <c r="C471" s="15" t="n">
        <v>138</v>
      </c>
    </row>
    <row r="472">
      <c r="C472" s="15" t="n">
        <v>139</v>
      </c>
    </row>
    <row r="473">
      <c r="C473" s="15" t="n">
        <v>140</v>
      </c>
    </row>
    <row r="474">
      <c r="C474" s="15" t="n">
        <v>141</v>
      </c>
    </row>
    <row r="475">
      <c r="C475" s="15" t="n">
        <v>142</v>
      </c>
    </row>
    <row r="476">
      <c r="C476" s="15" t="n">
        <v>143</v>
      </c>
    </row>
    <row r="477">
      <c r="C477" s="15" t="n">
        <v>144</v>
      </c>
    </row>
    <row r="478">
      <c r="C478" s="15" t="n">
        <v>145</v>
      </c>
    </row>
    <row r="479">
      <c r="C479" s="15" t="n">
        <v>146</v>
      </c>
    </row>
    <row r="480">
      <c r="C480" s="15" t="n">
        <v>147</v>
      </c>
    </row>
    <row r="481">
      <c r="C481" s="15" t="n">
        <v>148</v>
      </c>
    </row>
    <row r="482">
      <c r="C482" s="15" t="n">
        <v>149</v>
      </c>
    </row>
    <row r="483">
      <c r="C483" s="15" t="n">
        <v>150</v>
      </c>
    </row>
    <row r="484">
      <c r="C484" s="15" t="n">
        <v>151</v>
      </c>
    </row>
    <row r="485">
      <c r="C485" s="15" t="n">
        <v>152</v>
      </c>
    </row>
    <row r="486">
      <c r="C486" s="15" t="n">
        <v>153</v>
      </c>
    </row>
    <row r="487">
      <c r="C487" s="15" t="n">
        <v>154</v>
      </c>
    </row>
    <row r="488">
      <c r="C488" s="15" t="n">
        <v>155</v>
      </c>
    </row>
    <row r="489">
      <c r="C489" s="15" t="n">
        <v>156</v>
      </c>
    </row>
    <row r="490">
      <c r="C490" s="15" t="n">
        <v>157</v>
      </c>
    </row>
    <row r="491">
      <c r="C491" s="15" t="n">
        <v>158</v>
      </c>
    </row>
    <row r="492">
      <c r="C492" s="15" t="n">
        <v>159</v>
      </c>
    </row>
    <row r="493">
      <c r="C493" s="15" t="n">
        <v>160</v>
      </c>
    </row>
    <row r="494">
      <c r="C494" s="15" t="n">
        <v>161</v>
      </c>
    </row>
    <row r="495">
      <c r="C495" s="15" t="n">
        <v>162</v>
      </c>
    </row>
    <row r="496">
      <c r="C496" s="15" t="n">
        <v>163</v>
      </c>
    </row>
    <row r="497">
      <c r="C497" s="15" t="n">
        <v>164</v>
      </c>
    </row>
    <row r="498">
      <c r="C498" s="15" t="n">
        <v>165</v>
      </c>
    </row>
    <row r="499">
      <c r="C499" s="15" t="n">
        <v>166</v>
      </c>
    </row>
    <row r="500">
      <c r="C500" s="15" t="n">
        <v>167</v>
      </c>
    </row>
    <row r="501">
      <c r="C501" s="15" t="n">
        <v>168</v>
      </c>
    </row>
    <row r="502">
      <c r="C502" s="15" t="n">
        <v>169</v>
      </c>
    </row>
    <row r="503">
      <c r="C503" s="15" t="n">
        <v>170</v>
      </c>
    </row>
    <row r="504">
      <c r="C504" s="15" t="n">
        <v>171</v>
      </c>
    </row>
    <row r="505">
      <c r="C505" s="15" t="n">
        <v>172</v>
      </c>
    </row>
    <row r="506">
      <c r="C506" s="15" t="n">
        <v>173</v>
      </c>
    </row>
    <row r="507">
      <c r="C507" s="15" t="n">
        <v>174</v>
      </c>
    </row>
    <row r="508">
      <c r="C508" s="15" t="n">
        <v>175</v>
      </c>
    </row>
    <row r="509">
      <c r="C509" s="15" t="n">
        <v>176</v>
      </c>
    </row>
    <row r="510">
      <c r="C510" s="15" t="n">
        <v>177</v>
      </c>
    </row>
    <row r="511">
      <c r="C511" s="15" t="n">
        <v>178</v>
      </c>
    </row>
    <row r="512">
      <c r="C512" s="15" t="n">
        <v>179</v>
      </c>
    </row>
    <row r="513">
      <c r="C513" s="15" t="n">
        <v>180</v>
      </c>
    </row>
    <row r="514">
      <c r="C514" s="15" t="n">
        <v>181</v>
      </c>
    </row>
    <row r="515">
      <c r="C515" s="15" t="n">
        <v>182</v>
      </c>
    </row>
    <row r="516">
      <c r="C516" s="15" t="n">
        <v>183</v>
      </c>
    </row>
    <row r="517">
      <c r="C517" s="15" t="n">
        <v>184</v>
      </c>
    </row>
    <row r="518">
      <c r="C518" s="15" t="n">
        <v>185</v>
      </c>
    </row>
    <row r="519">
      <c r="C519" s="15" t="n">
        <v>186</v>
      </c>
    </row>
    <row r="520">
      <c r="C520" s="15" t="n">
        <v>187</v>
      </c>
    </row>
    <row r="521">
      <c r="C521" s="15" t="n">
        <v>188</v>
      </c>
    </row>
    <row r="522">
      <c r="C522" s="15" t="n">
        <v>189</v>
      </c>
    </row>
    <row r="523">
      <c r="C523" s="15" t="n">
        <v>190</v>
      </c>
    </row>
    <row r="524">
      <c r="C524" s="15" t="n">
        <v>191</v>
      </c>
    </row>
    <row r="525">
      <c r="C525" s="15" t="n">
        <v>192</v>
      </c>
    </row>
    <row r="526">
      <c r="C526" s="15" t="n">
        <v>193</v>
      </c>
    </row>
    <row r="527">
      <c r="C527" s="15" t="n">
        <v>194</v>
      </c>
    </row>
    <row r="528">
      <c r="C528" s="15" t="n">
        <v>195</v>
      </c>
    </row>
    <row r="529">
      <c r="C529" s="15" t="n">
        <v>196</v>
      </c>
    </row>
    <row r="530">
      <c r="C530" s="15" t="n">
        <v>197</v>
      </c>
    </row>
    <row r="531">
      <c r="C531" s="15" t="n">
        <v>198</v>
      </c>
    </row>
    <row r="533">
      <c r="C533" s="15" t="inlineStr">
        <is>
          <t>Reorder</t>
        </is>
      </c>
      <c r="D533" s="15" t="n">
        <v>22</v>
      </c>
      <c r="E533" s="15" t="n">
        <v>23</v>
      </c>
      <c r="F533" s="15" t="n">
        <v>24</v>
      </c>
    </row>
    <row r="534">
      <c r="C534" s="15" t="n">
        <v>9</v>
      </c>
    </row>
    <row r="535">
      <c r="C535" s="15" t="n">
        <v>10</v>
      </c>
    </row>
    <row r="536">
      <c r="C536" s="15" t="n">
        <v>11</v>
      </c>
    </row>
    <row r="537">
      <c r="C537" s="15" t="n">
        <v>12</v>
      </c>
    </row>
    <row r="538">
      <c r="C538" s="15" t="n">
        <v>13</v>
      </c>
    </row>
    <row r="539">
      <c r="C539" s="15" t="n">
        <v>14</v>
      </c>
    </row>
    <row r="540">
      <c r="C540" s="15" t="n">
        <v>15</v>
      </c>
    </row>
    <row r="541">
      <c r="C541" s="15" t="n">
        <v>16</v>
      </c>
    </row>
    <row r="542">
      <c r="C542" s="15" t="n">
        <v>17</v>
      </c>
    </row>
    <row r="543">
      <c r="C543" s="15" t="n">
        <v>18</v>
      </c>
    </row>
    <row r="544">
      <c r="C544" s="15" t="n">
        <v>19</v>
      </c>
    </row>
    <row r="545">
      <c r="C545" s="15" t="n">
        <v>20</v>
      </c>
    </row>
    <row r="546">
      <c r="C546" s="15" t="n">
        <v>21</v>
      </c>
    </row>
    <row r="547">
      <c r="C547" s="15" t="n">
        <v>22</v>
      </c>
    </row>
    <row r="548">
      <c r="C548" s="15" t="n">
        <v>23</v>
      </c>
    </row>
    <row r="549">
      <c r="C549" s="15" t="n">
        <v>24</v>
      </c>
    </row>
    <row r="550">
      <c r="C550" s="15" t="n">
        <v>25</v>
      </c>
    </row>
    <row r="551">
      <c r="C551" s="15" t="n">
        <v>26</v>
      </c>
    </row>
    <row r="552">
      <c r="C552" s="15" t="n">
        <v>27</v>
      </c>
    </row>
    <row r="553">
      <c r="C553" s="15" t="n">
        <v>28</v>
      </c>
    </row>
    <row r="554">
      <c r="C554" s="15" t="n">
        <v>29</v>
      </c>
    </row>
    <row r="555">
      <c r="C555" s="15" t="n">
        <v>30</v>
      </c>
    </row>
    <row r="556">
      <c r="C556" s="15" t="n">
        <v>31</v>
      </c>
    </row>
    <row r="557">
      <c r="C557" s="15" t="n">
        <v>32</v>
      </c>
    </row>
    <row r="558">
      <c r="C558" s="15" t="n">
        <v>33</v>
      </c>
    </row>
    <row r="559">
      <c r="C559" s="15" t="n">
        <v>34</v>
      </c>
    </row>
    <row r="560">
      <c r="C560" s="15" t="n">
        <v>35</v>
      </c>
    </row>
    <row r="561">
      <c r="C561" s="15" t="n">
        <v>36</v>
      </c>
    </row>
    <row r="562">
      <c r="C562" s="15" t="n">
        <v>37</v>
      </c>
    </row>
    <row r="563">
      <c r="C563" s="15" t="n">
        <v>38</v>
      </c>
    </row>
    <row r="564">
      <c r="C564" s="15" t="n">
        <v>39</v>
      </c>
    </row>
    <row r="565">
      <c r="C565" s="15" t="n">
        <v>40</v>
      </c>
    </row>
    <row r="566">
      <c r="C566" s="15" t="n">
        <v>41</v>
      </c>
    </row>
    <row r="567">
      <c r="C567" s="15" t="n">
        <v>42</v>
      </c>
    </row>
    <row r="568">
      <c r="C568" s="15" t="n">
        <v>43</v>
      </c>
    </row>
    <row r="569">
      <c r="C569" s="15" t="n">
        <v>44</v>
      </c>
    </row>
    <row r="570">
      <c r="C570" s="15" t="n">
        <v>45</v>
      </c>
    </row>
    <row r="571">
      <c r="C571" s="15" t="n">
        <v>46</v>
      </c>
    </row>
    <row r="572">
      <c r="C572" s="15" t="n">
        <v>47</v>
      </c>
    </row>
    <row r="573">
      <c r="C573" s="15" t="n">
        <v>48</v>
      </c>
    </row>
    <row r="574">
      <c r="C574" s="15" t="n">
        <v>49</v>
      </c>
    </row>
    <row r="575">
      <c r="C575" s="15" t="n">
        <v>50</v>
      </c>
    </row>
    <row r="576">
      <c r="C576" s="15" t="n">
        <v>51</v>
      </c>
    </row>
    <row r="577">
      <c r="C577" s="15" t="n">
        <v>52</v>
      </c>
    </row>
    <row r="578">
      <c r="C578" s="15" t="n">
        <v>53</v>
      </c>
    </row>
    <row r="579">
      <c r="C579" s="15" t="n">
        <v>54</v>
      </c>
    </row>
    <row r="580">
      <c r="C580" s="15" t="n">
        <v>55</v>
      </c>
    </row>
    <row r="581">
      <c r="C581" s="15" t="n">
        <v>56</v>
      </c>
    </row>
    <row r="582">
      <c r="C582" s="15" t="n">
        <v>57</v>
      </c>
    </row>
    <row r="583">
      <c r="C583" s="15" t="n">
        <v>58</v>
      </c>
    </row>
    <row r="584">
      <c r="C584" s="15" t="n">
        <v>59</v>
      </c>
    </row>
    <row r="585">
      <c r="C585" s="15" t="n">
        <v>60</v>
      </c>
    </row>
    <row r="586">
      <c r="C586" s="15" t="n">
        <v>61</v>
      </c>
    </row>
    <row r="587">
      <c r="C587" s="15" t="n">
        <v>62</v>
      </c>
    </row>
    <row r="588">
      <c r="C588" s="15" t="n">
        <v>63</v>
      </c>
    </row>
    <row r="589">
      <c r="C589" s="15" t="n">
        <v>64</v>
      </c>
    </row>
    <row r="590">
      <c r="C590" s="15" t="n">
        <v>65</v>
      </c>
    </row>
    <row r="591">
      <c r="C591" s="15" t="n">
        <v>66</v>
      </c>
    </row>
    <row r="592">
      <c r="C592" s="15" t="n">
        <v>67</v>
      </c>
    </row>
    <row r="593">
      <c r="C593" s="15" t="n">
        <v>68</v>
      </c>
    </row>
    <row r="594">
      <c r="C594" s="15" t="n">
        <v>69</v>
      </c>
    </row>
    <row r="595">
      <c r="C595" s="15" t="n">
        <v>70</v>
      </c>
    </row>
    <row r="596">
      <c r="C596" s="15" t="n">
        <v>71</v>
      </c>
    </row>
    <row r="597">
      <c r="C597" s="15" t="n">
        <v>72</v>
      </c>
    </row>
    <row r="598">
      <c r="C598" s="15" t="n">
        <v>73</v>
      </c>
    </row>
    <row r="599">
      <c r="C599" s="15" t="n">
        <v>74</v>
      </c>
    </row>
    <row r="600">
      <c r="C600" s="15" t="n">
        <v>75</v>
      </c>
    </row>
    <row r="601">
      <c r="C601" s="15" t="n">
        <v>76</v>
      </c>
    </row>
    <row r="602">
      <c r="C602" s="15" t="n">
        <v>77</v>
      </c>
    </row>
    <row r="603">
      <c r="C603" s="15" t="n">
        <v>78</v>
      </c>
    </row>
    <row r="604">
      <c r="C604" s="15" t="n">
        <v>79</v>
      </c>
    </row>
    <row r="605">
      <c r="C605" s="15" t="n">
        <v>80</v>
      </c>
    </row>
    <row r="606">
      <c r="C606" s="15" t="n">
        <v>81</v>
      </c>
    </row>
    <row r="607">
      <c r="C607" s="15" t="n">
        <v>82</v>
      </c>
    </row>
    <row r="608">
      <c r="C608" s="15" t="n">
        <v>83</v>
      </c>
    </row>
    <row r="609">
      <c r="C609" s="15" t="n">
        <v>84</v>
      </c>
    </row>
    <row r="610">
      <c r="C610" s="15" t="n">
        <v>85</v>
      </c>
    </row>
    <row r="611">
      <c r="C611" s="15" t="n">
        <v>86</v>
      </c>
    </row>
    <row r="612">
      <c r="C612" s="15" t="n">
        <v>87</v>
      </c>
    </row>
    <row r="613">
      <c r="C613" s="15" t="n">
        <v>88</v>
      </c>
    </row>
    <row r="614">
      <c r="C614" s="15" t="n">
        <v>89</v>
      </c>
    </row>
    <row r="615">
      <c r="C615" s="15" t="n">
        <v>90</v>
      </c>
    </row>
    <row r="616">
      <c r="C616" s="15" t="n">
        <v>91</v>
      </c>
    </row>
    <row r="617">
      <c r="C617" s="15" t="n">
        <v>92</v>
      </c>
    </row>
    <row r="618">
      <c r="C618" s="15" t="n">
        <v>93</v>
      </c>
    </row>
    <row r="619">
      <c r="C619" s="15" t="n">
        <v>94</v>
      </c>
    </row>
    <row r="620">
      <c r="C620" s="15" t="n">
        <v>95</v>
      </c>
    </row>
    <row r="621">
      <c r="C621" s="15" t="n">
        <v>96</v>
      </c>
    </row>
    <row r="622">
      <c r="C622" s="15" t="n">
        <v>97</v>
      </c>
    </row>
    <row r="623">
      <c r="C623" s="15" t="n">
        <v>98</v>
      </c>
    </row>
    <row r="624">
      <c r="C624" s="15" t="n">
        <v>99</v>
      </c>
    </row>
    <row r="625">
      <c r="C625" s="15" t="n">
        <v>100</v>
      </c>
    </row>
    <row r="626">
      <c r="C626" s="15" t="n">
        <v>101</v>
      </c>
    </row>
    <row r="627">
      <c r="C627" s="15" t="n">
        <v>102</v>
      </c>
    </row>
    <row r="628">
      <c r="C628" s="15" t="n">
        <v>103</v>
      </c>
    </row>
    <row r="629">
      <c r="C629" s="15" t="n">
        <v>104</v>
      </c>
    </row>
    <row r="630">
      <c r="C630" s="15" t="n">
        <v>105</v>
      </c>
    </row>
    <row r="631">
      <c r="C631" s="15" t="n">
        <v>106</v>
      </c>
    </row>
    <row r="632">
      <c r="C632" s="15" t="n">
        <v>107</v>
      </c>
    </row>
    <row r="633">
      <c r="C633" s="15" t="n">
        <v>108</v>
      </c>
    </row>
    <row r="634">
      <c r="C634" s="15" t="n">
        <v>109</v>
      </c>
    </row>
    <row r="635">
      <c r="C635" s="15" t="n">
        <v>110</v>
      </c>
    </row>
    <row r="636">
      <c r="C636" s="15" t="n">
        <v>111</v>
      </c>
    </row>
    <row r="637">
      <c r="C637" s="15" t="n">
        <v>112</v>
      </c>
    </row>
    <row r="638">
      <c r="C638" s="15" t="n">
        <v>113</v>
      </c>
    </row>
    <row r="639">
      <c r="C639" s="15" t="n">
        <v>114</v>
      </c>
    </row>
    <row r="640">
      <c r="C640" s="15" t="n">
        <v>115</v>
      </c>
    </row>
    <row r="641">
      <c r="C641" s="15" t="n">
        <v>116</v>
      </c>
    </row>
    <row r="642">
      <c r="C642" s="15" t="n">
        <v>117</v>
      </c>
    </row>
    <row r="643">
      <c r="C643" s="15" t="n">
        <v>118</v>
      </c>
    </row>
    <row r="644">
      <c r="C644" s="15" t="n">
        <v>119</v>
      </c>
    </row>
    <row r="645">
      <c r="C645" s="15" t="n">
        <v>120</v>
      </c>
    </row>
    <row r="646">
      <c r="C646" s="15" t="n">
        <v>121</v>
      </c>
    </row>
    <row r="647">
      <c r="C647" s="15" t="n">
        <v>122</v>
      </c>
    </row>
    <row r="648">
      <c r="C648" s="15" t="n">
        <v>123</v>
      </c>
    </row>
    <row r="649">
      <c r="C649" s="15" t="n">
        <v>124</v>
      </c>
    </row>
    <row r="650">
      <c r="C650" s="15" t="n">
        <v>125</v>
      </c>
    </row>
    <row r="651">
      <c r="C651" s="15" t="n">
        <v>126</v>
      </c>
    </row>
    <row r="652">
      <c r="C652" s="15" t="n">
        <v>127</v>
      </c>
    </row>
    <row r="653">
      <c r="C653" s="15" t="n">
        <v>128</v>
      </c>
    </row>
    <row r="654">
      <c r="C654" s="15" t="n">
        <v>129</v>
      </c>
    </row>
    <row r="655">
      <c r="C655" s="15" t="n">
        <v>130</v>
      </c>
    </row>
    <row r="656">
      <c r="C656" s="15" t="n">
        <v>131</v>
      </c>
    </row>
    <row r="657">
      <c r="C657" s="15" t="n">
        <v>132</v>
      </c>
    </row>
    <row r="658">
      <c r="C658" s="15" t="n">
        <v>133</v>
      </c>
    </row>
    <row r="659">
      <c r="C659" s="15" t="n">
        <v>134</v>
      </c>
    </row>
    <row r="660">
      <c r="C660" s="15" t="n">
        <v>135</v>
      </c>
    </row>
    <row r="661">
      <c r="C661" s="15" t="n">
        <v>136</v>
      </c>
    </row>
    <row r="662">
      <c r="C662" s="15" t="n">
        <v>137</v>
      </c>
    </row>
    <row r="663">
      <c r="C663" s="15" t="n">
        <v>138</v>
      </c>
    </row>
    <row r="664">
      <c r="C664" s="15" t="n">
        <v>139</v>
      </c>
    </row>
    <row r="665">
      <c r="C665" s="15" t="n">
        <v>140</v>
      </c>
    </row>
    <row r="666">
      <c r="C666" s="15" t="n">
        <v>141</v>
      </c>
    </row>
    <row r="667">
      <c r="C667" s="15" t="n">
        <v>142</v>
      </c>
    </row>
    <row r="668">
      <c r="C668" s="15" t="n">
        <v>143</v>
      </c>
    </row>
    <row r="669">
      <c r="C669" s="15" t="n">
        <v>144</v>
      </c>
    </row>
    <row r="670">
      <c r="C670" s="15" t="n">
        <v>145</v>
      </c>
    </row>
    <row r="671">
      <c r="C671" s="15" t="n">
        <v>146</v>
      </c>
    </row>
    <row r="672">
      <c r="C672" s="15" t="n">
        <v>147</v>
      </c>
    </row>
    <row r="673">
      <c r="C673" s="15" t="n">
        <v>148</v>
      </c>
    </row>
    <row r="674">
      <c r="C674" s="15" t="n">
        <v>149</v>
      </c>
    </row>
    <row r="675">
      <c r="C675" s="15" t="n">
        <v>150</v>
      </c>
    </row>
    <row r="676">
      <c r="C676" s="15" t="n">
        <v>151</v>
      </c>
    </row>
    <row r="677">
      <c r="C677" s="15" t="n">
        <v>152</v>
      </c>
    </row>
    <row r="678">
      <c r="C678" s="15" t="n">
        <v>153</v>
      </c>
    </row>
    <row r="679">
      <c r="C679" s="15" t="n">
        <v>154</v>
      </c>
    </row>
    <row r="680">
      <c r="C680" s="15" t="n">
        <v>155</v>
      </c>
    </row>
    <row r="681">
      <c r="C681" s="15" t="n">
        <v>156</v>
      </c>
    </row>
    <row r="682">
      <c r="C682" s="15" t="n">
        <v>157</v>
      </c>
    </row>
    <row r="683">
      <c r="C683" s="15" t="n">
        <v>158</v>
      </c>
    </row>
    <row r="684">
      <c r="C684" s="15" t="n">
        <v>159</v>
      </c>
    </row>
    <row r="685">
      <c r="C685" s="15" t="n">
        <v>160</v>
      </c>
    </row>
    <row r="686">
      <c r="C686" s="15" t="n">
        <v>161</v>
      </c>
    </row>
    <row r="687">
      <c r="C687" s="15" t="n">
        <v>162</v>
      </c>
    </row>
    <row r="688">
      <c r="C688" s="15" t="n">
        <v>163</v>
      </c>
    </row>
    <row r="689">
      <c r="C689" s="15" t="n">
        <v>164</v>
      </c>
    </row>
    <row r="690">
      <c r="C690" s="15" t="n">
        <v>165</v>
      </c>
    </row>
    <row r="691">
      <c r="C691" s="15" t="n">
        <v>166</v>
      </c>
    </row>
    <row r="692">
      <c r="C692" s="15" t="n">
        <v>167</v>
      </c>
    </row>
    <row r="693">
      <c r="C693" s="15" t="n">
        <v>168</v>
      </c>
    </row>
    <row r="694">
      <c r="C694" s="15" t="n">
        <v>169</v>
      </c>
    </row>
    <row r="695">
      <c r="C695" s="15" t="n">
        <v>170</v>
      </c>
    </row>
    <row r="696">
      <c r="C696" s="15" t="n">
        <v>171</v>
      </c>
    </row>
    <row r="697">
      <c r="C697" s="15" t="n">
        <v>172</v>
      </c>
    </row>
    <row r="698">
      <c r="C698" s="15" t="n">
        <v>173</v>
      </c>
    </row>
    <row r="699">
      <c r="C699" s="15" t="n">
        <v>174</v>
      </c>
    </row>
    <row r="700">
      <c r="C700" s="15" t="n">
        <v>175</v>
      </c>
    </row>
    <row r="701">
      <c r="C701" s="15" t="n">
        <v>176</v>
      </c>
    </row>
    <row r="702">
      <c r="C702" s="15" t="n">
        <v>177</v>
      </c>
    </row>
    <row r="703">
      <c r="C703" s="15" t="n">
        <v>178</v>
      </c>
    </row>
    <row r="704">
      <c r="C704" s="15" t="n">
        <v>179</v>
      </c>
    </row>
    <row r="705">
      <c r="C705" s="15" t="n">
        <v>180</v>
      </c>
    </row>
    <row r="706">
      <c r="C706" s="15" t="n">
        <v>181</v>
      </c>
    </row>
    <row r="707">
      <c r="C707" s="15" t="n">
        <v>182</v>
      </c>
    </row>
    <row r="708">
      <c r="C708" s="15" t="n">
        <v>183</v>
      </c>
    </row>
    <row r="709">
      <c r="C709" s="15" t="n">
        <v>184</v>
      </c>
    </row>
    <row r="710">
      <c r="C710" s="15" t="n">
        <v>185</v>
      </c>
    </row>
    <row r="711">
      <c r="C711" s="15" t="n">
        <v>186</v>
      </c>
    </row>
    <row r="712">
      <c r="C712" s="15" t="n">
        <v>187</v>
      </c>
    </row>
    <row r="713">
      <c r="C713" s="15" t="n">
        <v>188</v>
      </c>
    </row>
    <row r="714">
      <c r="C714" s="15" t="n">
        <v>189</v>
      </c>
    </row>
    <row r="715">
      <c r="C715" s="15" t="n">
        <v>190</v>
      </c>
    </row>
    <row r="716">
      <c r="C716" s="15" t="n">
        <v>191</v>
      </c>
    </row>
    <row r="717">
      <c r="C717" s="15" t="n">
        <v>192</v>
      </c>
    </row>
    <row r="718">
      <c r="C718" s="15" t="n">
        <v>193</v>
      </c>
    </row>
    <row r="719">
      <c r="C719" s="15" t="n">
        <v>194</v>
      </c>
    </row>
    <row r="720">
      <c r="C720" s="15" t="n">
        <v>195</v>
      </c>
    </row>
    <row r="721">
      <c r="C721" s="15" t="n">
        <v>196</v>
      </c>
    </row>
    <row r="722">
      <c r="C722" s="15" t="n">
        <v>197</v>
      </c>
    </row>
    <row r="723">
      <c r="C723" s="15" t="n">
        <v>198</v>
      </c>
    </row>
    <row r="725">
      <c r="C725" s="15" t="inlineStr">
        <is>
          <t>Var(Var(d))</t>
        </is>
      </c>
      <c r="D725" s="15" t="n">
        <v>22</v>
      </c>
      <c r="E725" s="15" t="n">
        <v>23</v>
      </c>
      <c r="F725" s="15" t="n">
        <v>24</v>
      </c>
    </row>
    <row r="726">
      <c r="C726" s="15" t="n">
        <v>9</v>
      </c>
    </row>
    <row r="727">
      <c r="C727" s="15" t="n">
        <v>10</v>
      </c>
    </row>
    <row r="728">
      <c r="C728" s="15" t="n">
        <v>11</v>
      </c>
    </row>
    <row r="729">
      <c r="C729" s="15" t="n">
        <v>12</v>
      </c>
    </row>
    <row r="730">
      <c r="C730" s="15" t="n">
        <v>13</v>
      </c>
    </row>
    <row r="731">
      <c r="C731" s="15" t="n">
        <v>14</v>
      </c>
    </row>
    <row r="732">
      <c r="C732" s="15" t="n">
        <v>15</v>
      </c>
    </row>
    <row r="733">
      <c r="C733" s="15" t="n">
        <v>16</v>
      </c>
    </row>
    <row r="734">
      <c r="C734" s="15" t="n">
        <v>17</v>
      </c>
    </row>
    <row r="735">
      <c r="C735" s="15" t="n">
        <v>18</v>
      </c>
    </row>
    <row r="736">
      <c r="C736" s="15" t="n">
        <v>19</v>
      </c>
    </row>
    <row r="737">
      <c r="C737" s="15" t="n">
        <v>20</v>
      </c>
    </row>
    <row r="738">
      <c r="C738" s="15" t="n">
        <v>21</v>
      </c>
    </row>
    <row r="739">
      <c r="C739" s="15" t="n">
        <v>22</v>
      </c>
    </row>
    <row r="740">
      <c r="C740" s="15" t="n">
        <v>23</v>
      </c>
    </row>
    <row r="741">
      <c r="C741" s="15" t="n">
        <v>24</v>
      </c>
    </row>
    <row r="742">
      <c r="C742" s="15" t="n">
        <v>25</v>
      </c>
    </row>
    <row r="743">
      <c r="C743" s="15" t="n">
        <v>26</v>
      </c>
    </row>
    <row r="744">
      <c r="C744" s="15" t="n">
        <v>27</v>
      </c>
    </row>
    <row r="745">
      <c r="C745" s="15" t="n">
        <v>28</v>
      </c>
    </row>
    <row r="746">
      <c r="C746" s="15" t="n">
        <v>29</v>
      </c>
    </row>
    <row r="747">
      <c r="C747" s="15" t="n">
        <v>30</v>
      </c>
    </row>
    <row r="748">
      <c r="C748" s="15" t="n">
        <v>31</v>
      </c>
    </row>
    <row r="749">
      <c r="C749" s="15" t="n">
        <v>32</v>
      </c>
    </row>
    <row r="750">
      <c r="C750" s="15" t="n">
        <v>33</v>
      </c>
    </row>
    <row r="751">
      <c r="C751" s="15" t="n">
        <v>34</v>
      </c>
    </row>
    <row r="752">
      <c r="C752" s="15" t="n">
        <v>35</v>
      </c>
    </row>
    <row r="753">
      <c r="C753" s="15" t="n">
        <v>36</v>
      </c>
    </row>
    <row r="754">
      <c r="C754" s="15" t="n">
        <v>37</v>
      </c>
    </row>
    <row r="755">
      <c r="C755" s="15" t="n">
        <v>38</v>
      </c>
    </row>
    <row r="756">
      <c r="C756" s="15" t="n">
        <v>39</v>
      </c>
    </row>
    <row r="757">
      <c r="C757" s="15" t="n">
        <v>40</v>
      </c>
    </row>
    <row r="758">
      <c r="C758" s="15" t="n">
        <v>41</v>
      </c>
    </row>
    <row r="759">
      <c r="C759" s="15" t="n">
        <v>42</v>
      </c>
    </row>
    <row r="760">
      <c r="C760" s="15" t="n">
        <v>43</v>
      </c>
    </row>
    <row r="761">
      <c r="C761" s="15" t="n">
        <v>44</v>
      </c>
    </row>
    <row r="762">
      <c r="C762" s="15" t="n">
        <v>45</v>
      </c>
    </row>
    <row r="763">
      <c r="C763" s="15" t="n">
        <v>46</v>
      </c>
    </row>
    <row r="764">
      <c r="C764" s="15" t="n">
        <v>47</v>
      </c>
    </row>
    <row r="765">
      <c r="C765" s="15" t="n">
        <v>48</v>
      </c>
    </row>
    <row r="766">
      <c r="C766" s="15" t="n">
        <v>49</v>
      </c>
    </row>
    <row r="767">
      <c r="C767" s="15" t="n">
        <v>50</v>
      </c>
    </row>
    <row r="768">
      <c r="C768" s="15" t="n">
        <v>51</v>
      </c>
    </row>
    <row r="769">
      <c r="C769" s="15" t="n">
        <v>52</v>
      </c>
    </row>
    <row r="770">
      <c r="C770" s="15" t="n">
        <v>53</v>
      </c>
    </row>
    <row r="771">
      <c r="C771" s="15" t="n">
        <v>54</v>
      </c>
    </row>
    <row r="772">
      <c r="C772" s="15" t="n">
        <v>55</v>
      </c>
    </row>
    <row r="773">
      <c r="C773" s="15" t="n">
        <v>56</v>
      </c>
    </row>
    <row r="774">
      <c r="C774" s="15" t="n">
        <v>57</v>
      </c>
    </row>
    <row r="775">
      <c r="C775" s="15" t="n">
        <v>58</v>
      </c>
    </row>
    <row r="776">
      <c r="C776" s="15" t="n">
        <v>59</v>
      </c>
    </row>
    <row r="777">
      <c r="C777" s="15" t="n">
        <v>60</v>
      </c>
    </row>
    <row r="778">
      <c r="C778" s="15" t="n">
        <v>61</v>
      </c>
    </row>
    <row r="779">
      <c r="C779" s="15" t="n">
        <v>62</v>
      </c>
    </row>
    <row r="780">
      <c r="C780" s="15" t="n">
        <v>63</v>
      </c>
    </row>
    <row r="781">
      <c r="C781" s="15" t="n">
        <v>64</v>
      </c>
    </row>
    <row r="782">
      <c r="C782" s="15" t="n">
        <v>65</v>
      </c>
    </row>
    <row r="783">
      <c r="C783" s="15" t="n">
        <v>66</v>
      </c>
    </row>
    <row r="784">
      <c r="C784" s="15" t="n">
        <v>67</v>
      </c>
    </row>
    <row r="785">
      <c r="C785" s="15" t="n">
        <v>68</v>
      </c>
    </row>
    <row r="786">
      <c r="C786" s="15" t="n">
        <v>69</v>
      </c>
    </row>
    <row r="787">
      <c r="C787" s="15" t="n">
        <v>70</v>
      </c>
    </row>
    <row r="788">
      <c r="C788" s="15" t="n">
        <v>71</v>
      </c>
    </row>
    <row r="789">
      <c r="C789" s="15" t="n">
        <v>72</v>
      </c>
    </row>
    <row r="790">
      <c r="C790" s="15" t="n">
        <v>73</v>
      </c>
    </row>
    <row r="791">
      <c r="C791" s="15" t="n">
        <v>74</v>
      </c>
    </row>
    <row r="792">
      <c r="C792" s="15" t="n">
        <v>75</v>
      </c>
    </row>
    <row r="793">
      <c r="C793" s="15" t="n">
        <v>76</v>
      </c>
    </row>
    <row r="794">
      <c r="C794" s="15" t="n">
        <v>77</v>
      </c>
    </row>
    <row r="795">
      <c r="C795" s="15" t="n">
        <v>78</v>
      </c>
    </row>
    <row r="796">
      <c r="C796" s="15" t="n">
        <v>79</v>
      </c>
    </row>
    <row r="797">
      <c r="C797" s="15" t="n">
        <v>80</v>
      </c>
    </row>
    <row r="798">
      <c r="C798" s="15" t="n">
        <v>81</v>
      </c>
    </row>
    <row r="799">
      <c r="C799" s="15" t="n">
        <v>82</v>
      </c>
    </row>
    <row r="800">
      <c r="C800" s="15" t="n">
        <v>83</v>
      </c>
    </row>
    <row r="801">
      <c r="C801" s="15" t="n">
        <v>84</v>
      </c>
    </row>
    <row r="802">
      <c r="C802" s="15" t="n">
        <v>85</v>
      </c>
    </row>
    <row r="803">
      <c r="C803" s="15" t="n">
        <v>86</v>
      </c>
    </row>
    <row r="804">
      <c r="C804" s="15" t="n">
        <v>87</v>
      </c>
    </row>
    <row r="805">
      <c r="C805" s="15" t="n">
        <v>88</v>
      </c>
    </row>
    <row r="806">
      <c r="C806" s="15" t="n">
        <v>89</v>
      </c>
    </row>
    <row r="807">
      <c r="C807" s="15" t="n">
        <v>90</v>
      </c>
    </row>
    <row r="808">
      <c r="C808" s="15" t="n">
        <v>91</v>
      </c>
    </row>
    <row r="809">
      <c r="C809" s="15" t="n">
        <v>92</v>
      </c>
    </row>
    <row r="810">
      <c r="C810" s="15" t="n">
        <v>93</v>
      </c>
    </row>
    <row r="811">
      <c r="C811" s="15" t="n">
        <v>94</v>
      </c>
    </row>
    <row r="812">
      <c r="C812" s="15" t="n">
        <v>95</v>
      </c>
    </row>
    <row r="813">
      <c r="C813" s="15" t="n">
        <v>96</v>
      </c>
    </row>
    <row r="814">
      <c r="C814" s="15" t="n">
        <v>97</v>
      </c>
    </row>
    <row r="815">
      <c r="C815" s="15" t="n">
        <v>98</v>
      </c>
    </row>
    <row r="816">
      <c r="C816" s="15" t="n">
        <v>99</v>
      </c>
    </row>
    <row r="817">
      <c r="C817" s="15" t="n">
        <v>100</v>
      </c>
    </row>
    <row r="818">
      <c r="C818" s="15" t="n">
        <v>101</v>
      </c>
    </row>
    <row r="819">
      <c r="C819" s="15" t="n">
        <v>102</v>
      </c>
    </row>
    <row r="820">
      <c r="C820" s="15" t="n">
        <v>103</v>
      </c>
    </row>
    <row r="821">
      <c r="C821" s="15" t="n">
        <v>104</v>
      </c>
    </row>
    <row r="822">
      <c r="C822" s="15" t="n">
        <v>105</v>
      </c>
    </row>
    <row r="823">
      <c r="C823" s="15" t="n">
        <v>106</v>
      </c>
    </row>
    <row r="824">
      <c r="C824" s="15" t="n">
        <v>107</v>
      </c>
    </row>
    <row r="825">
      <c r="C825" s="15" t="n">
        <v>108</v>
      </c>
    </row>
    <row r="826">
      <c r="C826" s="15" t="n">
        <v>109</v>
      </c>
    </row>
    <row r="827">
      <c r="C827" s="15" t="n">
        <v>110</v>
      </c>
    </row>
    <row r="828">
      <c r="C828" s="15" t="n">
        <v>111</v>
      </c>
    </row>
    <row r="829">
      <c r="C829" s="15" t="n">
        <v>112</v>
      </c>
    </row>
    <row r="830">
      <c r="C830" s="15" t="n">
        <v>113</v>
      </c>
    </row>
    <row r="831">
      <c r="C831" s="15" t="n">
        <v>114</v>
      </c>
    </row>
    <row r="832">
      <c r="C832" s="15" t="n">
        <v>115</v>
      </c>
    </row>
    <row r="833">
      <c r="C833" s="15" t="n">
        <v>116</v>
      </c>
    </row>
    <row r="834">
      <c r="C834" s="15" t="n">
        <v>117</v>
      </c>
    </row>
    <row r="835">
      <c r="C835" s="15" t="n">
        <v>118</v>
      </c>
    </row>
    <row r="836">
      <c r="C836" s="15" t="n">
        <v>119</v>
      </c>
    </row>
    <row r="837">
      <c r="C837" s="15" t="n">
        <v>120</v>
      </c>
    </row>
    <row r="838">
      <c r="C838" s="15" t="n">
        <v>121</v>
      </c>
    </row>
    <row r="839">
      <c r="C839" s="15" t="n">
        <v>122</v>
      </c>
    </row>
    <row r="840">
      <c r="C840" s="15" t="n">
        <v>123</v>
      </c>
    </row>
    <row r="841">
      <c r="C841" s="15" t="n">
        <v>124</v>
      </c>
    </row>
    <row r="842">
      <c r="C842" s="15" t="n">
        <v>125</v>
      </c>
    </row>
    <row r="843">
      <c r="C843" s="15" t="n">
        <v>126</v>
      </c>
    </row>
    <row r="844">
      <c r="C844" s="15" t="n">
        <v>127</v>
      </c>
    </row>
    <row r="845">
      <c r="C845" s="15" t="n">
        <v>128</v>
      </c>
    </row>
    <row r="846">
      <c r="C846" s="15" t="n">
        <v>129</v>
      </c>
    </row>
    <row r="847">
      <c r="C847" s="15" t="n">
        <v>130</v>
      </c>
    </row>
    <row r="848">
      <c r="C848" s="15" t="n">
        <v>131</v>
      </c>
    </row>
    <row r="849">
      <c r="C849" s="15" t="n">
        <v>132</v>
      </c>
    </row>
    <row r="850">
      <c r="C850" s="15" t="n">
        <v>133</v>
      </c>
    </row>
    <row r="851">
      <c r="C851" s="15" t="n">
        <v>134</v>
      </c>
    </row>
    <row r="852">
      <c r="C852" s="15" t="n">
        <v>135</v>
      </c>
    </row>
    <row r="853">
      <c r="C853" s="15" t="n">
        <v>136</v>
      </c>
    </row>
    <row r="854">
      <c r="C854" s="15" t="n">
        <v>137</v>
      </c>
    </row>
    <row r="855">
      <c r="C855" s="15" t="n">
        <v>138</v>
      </c>
    </row>
    <row r="856">
      <c r="C856" s="15" t="n">
        <v>139</v>
      </c>
    </row>
    <row r="857">
      <c r="C857" s="15" t="n">
        <v>140</v>
      </c>
    </row>
    <row r="858">
      <c r="C858" s="15" t="n">
        <v>141</v>
      </c>
    </row>
    <row r="859">
      <c r="C859" s="15" t="n">
        <v>142</v>
      </c>
    </row>
    <row r="860">
      <c r="C860" s="15" t="n">
        <v>143</v>
      </c>
    </row>
    <row r="861">
      <c r="C861" s="15" t="n">
        <v>144</v>
      </c>
    </row>
    <row r="862">
      <c r="C862" s="15" t="n">
        <v>145</v>
      </c>
    </row>
    <row r="863">
      <c r="C863" s="15" t="n">
        <v>146</v>
      </c>
    </row>
    <row r="864">
      <c r="C864" s="15" t="n">
        <v>147</v>
      </c>
    </row>
    <row r="865">
      <c r="C865" s="15" t="n">
        <v>148</v>
      </c>
    </row>
    <row r="866">
      <c r="C866" s="15" t="n">
        <v>149</v>
      </c>
    </row>
    <row r="867">
      <c r="C867" s="15" t="n">
        <v>150</v>
      </c>
    </row>
    <row r="868">
      <c r="C868" s="15" t="n">
        <v>151</v>
      </c>
    </row>
    <row r="869">
      <c r="C869" s="15" t="n">
        <v>152</v>
      </c>
    </row>
    <row r="870">
      <c r="C870" s="15" t="n">
        <v>153</v>
      </c>
    </row>
    <row r="871">
      <c r="C871" s="15" t="n">
        <v>154</v>
      </c>
    </row>
    <row r="872">
      <c r="C872" s="15" t="n">
        <v>155</v>
      </c>
    </row>
    <row r="873">
      <c r="C873" s="15" t="n">
        <v>156</v>
      </c>
    </row>
    <row r="874">
      <c r="C874" s="15" t="n">
        <v>157</v>
      </c>
    </row>
    <row r="875">
      <c r="C875" s="15" t="n">
        <v>158</v>
      </c>
    </row>
    <row r="876">
      <c r="C876" s="15" t="n">
        <v>159</v>
      </c>
    </row>
    <row r="877">
      <c r="C877" s="15" t="n">
        <v>160</v>
      </c>
    </row>
    <row r="878">
      <c r="C878" s="15" t="n">
        <v>161</v>
      </c>
    </row>
    <row r="879">
      <c r="C879" s="15" t="n">
        <v>162</v>
      </c>
    </row>
    <row r="880">
      <c r="C880" s="15" t="n">
        <v>163</v>
      </c>
    </row>
    <row r="881">
      <c r="C881" s="15" t="n">
        <v>164</v>
      </c>
    </row>
    <row r="882">
      <c r="C882" s="15" t="n">
        <v>165</v>
      </c>
    </row>
    <row r="883">
      <c r="C883" s="15" t="n">
        <v>166</v>
      </c>
    </row>
    <row r="884">
      <c r="C884" s="15" t="n">
        <v>167</v>
      </c>
    </row>
    <row r="885">
      <c r="C885" s="15" t="n">
        <v>168</v>
      </c>
    </row>
    <row r="886">
      <c r="C886" s="15" t="n">
        <v>169</v>
      </c>
    </row>
    <row r="887">
      <c r="C887" s="15" t="n">
        <v>170</v>
      </c>
    </row>
    <row r="888">
      <c r="C888" s="15" t="n">
        <v>171</v>
      </c>
    </row>
    <row r="889">
      <c r="C889" s="15" t="n">
        <v>172</v>
      </c>
    </row>
    <row r="890">
      <c r="C890" s="15" t="n">
        <v>173</v>
      </c>
    </row>
    <row r="891">
      <c r="C891" s="15" t="n">
        <v>174</v>
      </c>
    </row>
    <row r="892">
      <c r="C892" s="15" t="n">
        <v>175</v>
      </c>
    </row>
    <row r="893">
      <c r="C893" s="15" t="n">
        <v>176</v>
      </c>
    </row>
    <row r="894">
      <c r="C894" s="15" t="n">
        <v>177</v>
      </c>
    </row>
    <row r="895">
      <c r="C895" s="15" t="n">
        <v>178</v>
      </c>
    </row>
    <row r="896">
      <c r="C896" s="15" t="n">
        <v>179</v>
      </c>
    </row>
    <row r="897">
      <c r="C897" s="15" t="n">
        <v>180</v>
      </c>
    </row>
    <row r="898">
      <c r="C898" s="15" t="n">
        <v>181</v>
      </c>
    </row>
    <row r="899">
      <c r="C899" s="15" t="n">
        <v>182</v>
      </c>
    </row>
    <row r="900">
      <c r="C900" s="15" t="n">
        <v>183</v>
      </c>
    </row>
    <row r="901">
      <c r="C901" s="15" t="n">
        <v>184</v>
      </c>
    </row>
    <row r="902">
      <c r="C902" s="15" t="n">
        <v>185</v>
      </c>
    </row>
    <row r="903">
      <c r="C903" s="15" t="n">
        <v>186</v>
      </c>
    </row>
    <row r="904">
      <c r="C904" s="15" t="n">
        <v>187</v>
      </c>
    </row>
    <row r="905">
      <c r="C905" s="15" t="n">
        <v>188</v>
      </c>
    </row>
    <row r="906">
      <c r="C906" s="15" t="n">
        <v>189</v>
      </c>
    </row>
    <row r="907">
      <c r="C907" s="15" t="n">
        <v>190</v>
      </c>
    </row>
    <row r="908">
      <c r="C908" s="15" t="n">
        <v>191</v>
      </c>
    </row>
    <row r="909">
      <c r="C909" s="15" t="n">
        <v>192</v>
      </c>
    </row>
    <row r="910">
      <c r="C910" s="15" t="n">
        <v>193</v>
      </c>
    </row>
    <row r="911">
      <c r="C911" s="15" t="n">
        <v>194</v>
      </c>
    </row>
    <row r="912">
      <c r="C912" s="15" t="n">
        <v>195</v>
      </c>
    </row>
    <row r="913">
      <c r="C913" s="15" t="n">
        <v>196</v>
      </c>
    </row>
    <row r="914">
      <c r="C914" s="15" t="n">
        <v>197</v>
      </c>
    </row>
    <row r="915">
      <c r="C915" s="15" t="n">
        <v>198</v>
      </c>
    </row>
    <row r="917">
      <c r="C917" s="15" t="inlineStr">
        <is>
          <t>Var(Var(Cap))</t>
        </is>
      </c>
      <c r="D917" s="15" t="n">
        <v>22</v>
      </c>
      <c r="E917" s="15" t="n">
        <v>23</v>
      </c>
      <c r="F917" s="15" t="n">
        <v>24</v>
      </c>
    </row>
    <row r="918">
      <c r="C918" s="15" t="n">
        <v>9</v>
      </c>
    </row>
    <row r="919">
      <c r="C919" s="15" t="n">
        <v>10</v>
      </c>
    </row>
    <row r="920">
      <c r="C920" s="15" t="n">
        <v>11</v>
      </c>
    </row>
    <row r="921">
      <c r="C921" s="15" t="n">
        <v>12</v>
      </c>
    </row>
    <row r="922">
      <c r="C922" s="15" t="n">
        <v>13</v>
      </c>
    </row>
    <row r="923">
      <c r="C923" s="15" t="n">
        <v>14</v>
      </c>
    </row>
    <row r="924">
      <c r="C924" s="15" t="n">
        <v>15</v>
      </c>
    </row>
    <row r="925">
      <c r="C925" s="15" t="n">
        <v>16</v>
      </c>
    </row>
    <row r="926">
      <c r="C926" s="15" t="n">
        <v>17</v>
      </c>
    </row>
    <row r="927">
      <c r="C927" s="15" t="n">
        <v>18</v>
      </c>
    </row>
    <row r="928">
      <c r="C928" s="15" t="n">
        <v>19</v>
      </c>
    </row>
    <row r="929">
      <c r="C929" s="15" t="n">
        <v>20</v>
      </c>
    </row>
    <row r="930">
      <c r="C930" s="15" t="n">
        <v>21</v>
      </c>
    </row>
    <row r="931">
      <c r="C931" s="15" t="n">
        <v>22</v>
      </c>
    </row>
    <row r="932">
      <c r="C932" s="15" t="n">
        <v>23</v>
      </c>
    </row>
    <row r="933">
      <c r="C933" s="15" t="n">
        <v>24</v>
      </c>
    </row>
    <row r="934">
      <c r="C934" s="15" t="n">
        <v>25</v>
      </c>
    </row>
    <row r="935">
      <c r="C935" s="15" t="n">
        <v>26</v>
      </c>
    </row>
    <row r="936">
      <c r="C936" s="15" t="n">
        <v>27</v>
      </c>
    </row>
    <row r="937">
      <c r="C937" s="15" t="n">
        <v>28</v>
      </c>
    </row>
    <row r="938">
      <c r="C938" s="15" t="n">
        <v>29</v>
      </c>
    </row>
    <row r="939">
      <c r="C939" s="15" t="n">
        <v>30</v>
      </c>
    </row>
    <row r="940">
      <c r="C940" s="15" t="n">
        <v>31</v>
      </c>
    </row>
    <row r="941">
      <c r="C941" s="15" t="n">
        <v>32</v>
      </c>
    </row>
    <row r="942">
      <c r="C942" s="15" t="n">
        <v>33</v>
      </c>
    </row>
    <row r="943">
      <c r="C943" s="15" t="n">
        <v>34</v>
      </c>
    </row>
    <row r="944">
      <c r="C944" s="15" t="n">
        <v>35</v>
      </c>
    </row>
    <row r="945">
      <c r="C945" s="15" t="n">
        <v>36</v>
      </c>
    </row>
    <row r="946">
      <c r="C946" s="15" t="n">
        <v>37</v>
      </c>
    </row>
    <row r="947">
      <c r="C947" s="15" t="n">
        <v>38</v>
      </c>
    </row>
    <row r="948">
      <c r="C948" s="15" t="n">
        <v>39</v>
      </c>
    </row>
    <row r="949">
      <c r="C949" s="15" t="n">
        <v>40</v>
      </c>
    </row>
    <row r="950">
      <c r="C950" s="15" t="n">
        <v>41</v>
      </c>
    </row>
    <row r="951">
      <c r="C951" s="15" t="n">
        <v>42</v>
      </c>
    </row>
    <row r="952">
      <c r="C952" s="15" t="n">
        <v>43</v>
      </c>
    </row>
    <row r="953">
      <c r="C953" s="15" t="n">
        <v>44</v>
      </c>
    </row>
    <row r="954">
      <c r="C954" s="15" t="n">
        <v>45</v>
      </c>
    </row>
    <row r="955">
      <c r="C955" s="15" t="n">
        <v>46</v>
      </c>
    </row>
    <row r="956">
      <c r="C956" s="15" t="n">
        <v>47</v>
      </c>
    </row>
    <row r="957">
      <c r="C957" s="15" t="n">
        <v>48</v>
      </c>
    </row>
    <row r="958">
      <c r="C958" s="15" t="n">
        <v>49</v>
      </c>
    </row>
    <row r="959">
      <c r="C959" s="15" t="n">
        <v>50</v>
      </c>
    </row>
    <row r="960">
      <c r="C960" s="15" t="n">
        <v>51</v>
      </c>
    </row>
    <row r="961">
      <c r="C961" s="15" t="n">
        <v>52</v>
      </c>
    </row>
    <row r="962">
      <c r="C962" s="15" t="n">
        <v>53</v>
      </c>
    </row>
    <row r="963">
      <c r="C963" s="15" t="n">
        <v>54</v>
      </c>
    </row>
    <row r="964">
      <c r="C964" s="15" t="n">
        <v>55</v>
      </c>
    </row>
    <row r="965">
      <c r="C965" s="15" t="n">
        <v>56</v>
      </c>
    </row>
    <row r="966">
      <c r="C966" s="15" t="n">
        <v>57</v>
      </c>
    </row>
    <row r="967">
      <c r="C967" s="15" t="n">
        <v>58</v>
      </c>
    </row>
    <row r="968">
      <c r="C968" s="15" t="n">
        <v>59</v>
      </c>
    </row>
    <row r="969">
      <c r="C969" s="15" t="n">
        <v>60</v>
      </c>
    </row>
    <row r="970">
      <c r="C970" s="15" t="n">
        <v>61</v>
      </c>
    </row>
    <row r="971">
      <c r="C971" s="15" t="n">
        <v>62</v>
      </c>
    </row>
    <row r="972">
      <c r="C972" s="15" t="n">
        <v>63</v>
      </c>
    </row>
    <row r="973">
      <c r="C973" s="15" t="n">
        <v>64</v>
      </c>
    </row>
    <row r="974">
      <c r="C974" s="15" t="n">
        <v>65</v>
      </c>
    </row>
    <row r="975">
      <c r="C975" s="15" t="n">
        <v>66</v>
      </c>
    </row>
    <row r="976">
      <c r="C976" s="15" t="n">
        <v>67</v>
      </c>
    </row>
    <row r="977">
      <c r="C977" s="15" t="n">
        <v>68</v>
      </c>
    </row>
    <row r="978">
      <c r="C978" s="15" t="n">
        <v>69</v>
      </c>
    </row>
    <row r="979">
      <c r="C979" s="15" t="n">
        <v>70</v>
      </c>
    </row>
    <row r="980">
      <c r="C980" s="15" t="n">
        <v>71</v>
      </c>
    </row>
    <row r="981">
      <c r="C981" s="15" t="n">
        <v>72</v>
      </c>
    </row>
    <row r="982">
      <c r="C982" s="15" t="n">
        <v>73</v>
      </c>
    </row>
    <row r="983">
      <c r="C983" s="15" t="n">
        <v>74</v>
      </c>
    </row>
    <row r="984">
      <c r="C984" s="15" t="n">
        <v>75</v>
      </c>
    </row>
    <row r="985">
      <c r="C985" s="15" t="n">
        <v>76</v>
      </c>
    </row>
    <row r="986">
      <c r="C986" s="15" t="n">
        <v>77</v>
      </c>
    </row>
    <row r="987">
      <c r="C987" s="15" t="n">
        <v>78</v>
      </c>
    </row>
    <row r="988">
      <c r="C988" s="15" t="n">
        <v>79</v>
      </c>
    </row>
    <row r="989">
      <c r="C989" s="15" t="n">
        <v>80</v>
      </c>
    </row>
    <row r="990">
      <c r="C990" s="15" t="n">
        <v>81</v>
      </c>
    </row>
    <row r="991">
      <c r="C991" s="15" t="n">
        <v>82</v>
      </c>
    </row>
    <row r="992">
      <c r="C992" s="15" t="n">
        <v>83</v>
      </c>
    </row>
    <row r="993">
      <c r="C993" s="15" t="n">
        <v>84</v>
      </c>
    </row>
    <row r="994">
      <c r="C994" s="15" t="n">
        <v>85</v>
      </c>
    </row>
    <row r="995">
      <c r="C995" s="15" t="n">
        <v>86</v>
      </c>
    </row>
    <row r="996">
      <c r="C996" s="15" t="n">
        <v>87</v>
      </c>
    </row>
    <row r="997">
      <c r="C997" s="15" t="n">
        <v>88</v>
      </c>
    </row>
    <row r="998">
      <c r="C998" s="15" t="n">
        <v>89</v>
      </c>
    </row>
    <row r="999">
      <c r="C999" s="15" t="n">
        <v>90</v>
      </c>
    </row>
    <row r="1000">
      <c r="C1000" s="15" t="n">
        <v>91</v>
      </c>
    </row>
    <row r="1001">
      <c r="C1001" s="15" t="n">
        <v>92</v>
      </c>
    </row>
    <row r="1002">
      <c r="C1002" s="15" t="n">
        <v>93</v>
      </c>
    </row>
    <row r="1003">
      <c r="C1003" s="15" t="n">
        <v>94</v>
      </c>
    </row>
    <row r="1004">
      <c r="C1004" s="15" t="n">
        <v>95</v>
      </c>
    </row>
    <row r="1005">
      <c r="C1005" s="15" t="n">
        <v>96</v>
      </c>
    </row>
    <row r="1006">
      <c r="C1006" s="15" t="n">
        <v>97</v>
      </c>
    </row>
    <row r="1007">
      <c r="C1007" s="15" t="n">
        <v>98</v>
      </c>
    </row>
    <row r="1008">
      <c r="C1008" s="15" t="n">
        <v>99</v>
      </c>
    </row>
    <row r="1009">
      <c r="C1009" s="15" t="n">
        <v>100</v>
      </c>
    </row>
    <row r="1010">
      <c r="C1010" s="15" t="n">
        <v>101</v>
      </c>
    </row>
    <row r="1011">
      <c r="C1011" s="15" t="n">
        <v>102</v>
      </c>
    </row>
    <row r="1012">
      <c r="C1012" s="15" t="n">
        <v>103</v>
      </c>
    </row>
    <row r="1013">
      <c r="C1013" s="15" t="n">
        <v>104</v>
      </c>
    </row>
    <row r="1014">
      <c r="C1014" s="15" t="n">
        <v>105</v>
      </c>
    </row>
    <row r="1015">
      <c r="C1015" s="15" t="n">
        <v>106</v>
      </c>
    </row>
    <row r="1016">
      <c r="C1016" s="15" t="n">
        <v>107</v>
      </c>
    </row>
    <row r="1017">
      <c r="C1017" s="15" t="n">
        <v>108</v>
      </c>
    </row>
    <row r="1018">
      <c r="C1018" s="15" t="n">
        <v>109</v>
      </c>
    </row>
    <row r="1019">
      <c r="C1019" s="15" t="n">
        <v>110</v>
      </c>
    </row>
    <row r="1020">
      <c r="C1020" s="15" t="n">
        <v>111</v>
      </c>
    </row>
    <row r="1021">
      <c r="C1021" s="15" t="n">
        <v>112</v>
      </c>
    </row>
    <row r="1022">
      <c r="C1022" s="15" t="n">
        <v>113</v>
      </c>
    </row>
    <row r="1023">
      <c r="C1023" s="15" t="n">
        <v>114</v>
      </c>
    </row>
    <row r="1024">
      <c r="C1024" s="15" t="n">
        <v>115</v>
      </c>
    </row>
    <row r="1025">
      <c r="C1025" s="15" t="n">
        <v>116</v>
      </c>
    </row>
    <row r="1026">
      <c r="C1026" s="15" t="n">
        <v>117</v>
      </c>
    </row>
    <row r="1027">
      <c r="C1027" s="15" t="n">
        <v>118</v>
      </c>
    </row>
    <row r="1028">
      <c r="C1028" s="15" t="n">
        <v>119</v>
      </c>
    </row>
    <row r="1029">
      <c r="C1029" s="15" t="n">
        <v>120</v>
      </c>
    </row>
    <row r="1030">
      <c r="C1030" s="15" t="n">
        <v>121</v>
      </c>
    </row>
    <row r="1031">
      <c r="C1031" s="15" t="n">
        <v>122</v>
      </c>
    </row>
    <row r="1032">
      <c r="C1032" s="15" t="n">
        <v>123</v>
      </c>
    </row>
    <row r="1033">
      <c r="C1033" s="15" t="n">
        <v>124</v>
      </c>
    </row>
    <row r="1034">
      <c r="C1034" s="15" t="n">
        <v>125</v>
      </c>
    </row>
    <row r="1035">
      <c r="C1035" s="15" t="n">
        <v>126</v>
      </c>
    </row>
    <row r="1036">
      <c r="C1036" s="15" t="n">
        <v>127</v>
      </c>
    </row>
    <row r="1037">
      <c r="C1037" s="15" t="n">
        <v>128</v>
      </c>
    </row>
    <row r="1038">
      <c r="C1038" s="15" t="n">
        <v>129</v>
      </c>
    </row>
    <row r="1039">
      <c r="C1039" s="15" t="n">
        <v>130</v>
      </c>
    </row>
    <row r="1040">
      <c r="C1040" s="15" t="n">
        <v>131</v>
      </c>
    </row>
    <row r="1041">
      <c r="C1041" s="15" t="n">
        <v>132</v>
      </c>
    </row>
    <row r="1042">
      <c r="C1042" s="15" t="n">
        <v>133</v>
      </c>
    </row>
    <row r="1043">
      <c r="C1043" s="15" t="n">
        <v>134</v>
      </c>
    </row>
    <row r="1044">
      <c r="C1044" s="15" t="n">
        <v>135</v>
      </c>
    </row>
    <row r="1045">
      <c r="C1045" s="15" t="n">
        <v>136</v>
      </c>
    </row>
    <row r="1046">
      <c r="C1046" s="15" t="n">
        <v>137</v>
      </c>
    </row>
    <row r="1047">
      <c r="C1047" s="15" t="n">
        <v>138</v>
      </c>
    </row>
    <row r="1048">
      <c r="C1048" s="15" t="n">
        <v>139</v>
      </c>
    </row>
    <row r="1049">
      <c r="C1049" s="15" t="n">
        <v>140</v>
      </c>
    </row>
    <row r="1050">
      <c r="C1050" s="15" t="n">
        <v>141</v>
      </c>
    </row>
    <row r="1051">
      <c r="C1051" s="15" t="n">
        <v>142</v>
      </c>
    </row>
    <row r="1052">
      <c r="C1052" s="15" t="n">
        <v>143</v>
      </c>
    </row>
    <row r="1053">
      <c r="C1053" s="15" t="n">
        <v>144</v>
      </c>
    </row>
    <row r="1054">
      <c r="C1054" s="15" t="n">
        <v>145</v>
      </c>
    </row>
    <row r="1055">
      <c r="C1055" s="15" t="n">
        <v>146</v>
      </c>
    </row>
    <row r="1056">
      <c r="C1056" s="15" t="n">
        <v>147</v>
      </c>
    </row>
    <row r="1057">
      <c r="C1057" s="15" t="n">
        <v>148</v>
      </c>
    </row>
    <row r="1058">
      <c r="C1058" s="15" t="n">
        <v>149</v>
      </c>
    </row>
    <row r="1059">
      <c r="C1059" s="15" t="n">
        <v>150</v>
      </c>
    </row>
    <row r="1060">
      <c r="C1060" s="15" t="n">
        <v>151</v>
      </c>
    </row>
    <row r="1061">
      <c r="C1061" s="15" t="n">
        <v>152</v>
      </c>
    </row>
    <row r="1062">
      <c r="C1062" s="15" t="n">
        <v>153</v>
      </c>
    </row>
    <row r="1063">
      <c r="C1063" s="15" t="n">
        <v>154</v>
      </c>
    </row>
    <row r="1064">
      <c r="C1064" s="15" t="n">
        <v>155</v>
      </c>
    </row>
    <row r="1065">
      <c r="C1065" s="15" t="n">
        <v>156</v>
      </c>
    </row>
    <row r="1066">
      <c r="C1066" s="15" t="n">
        <v>157</v>
      </c>
    </row>
    <row r="1067">
      <c r="C1067" s="15" t="n">
        <v>158</v>
      </c>
    </row>
    <row r="1068">
      <c r="C1068" s="15" t="n">
        <v>159</v>
      </c>
    </row>
    <row r="1069">
      <c r="C1069" s="15" t="n">
        <v>160</v>
      </c>
    </row>
    <row r="1070">
      <c r="C1070" s="15" t="n">
        <v>161</v>
      </c>
    </row>
    <row r="1071">
      <c r="C1071" s="15" t="n">
        <v>162</v>
      </c>
    </row>
    <row r="1072">
      <c r="C1072" s="15" t="n">
        <v>163</v>
      </c>
    </row>
    <row r="1073">
      <c r="C1073" s="15" t="n">
        <v>164</v>
      </c>
    </row>
    <row r="1074">
      <c r="C1074" s="15" t="n">
        <v>165</v>
      </c>
    </row>
    <row r="1075">
      <c r="C1075" s="15" t="n">
        <v>166</v>
      </c>
    </row>
    <row r="1076">
      <c r="C1076" s="15" t="n">
        <v>167</v>
      </c>
    </row>
    <row r="1077">
      <c r="C1077" s="15" t="n">
        <v>168</v>
      </c>
    </row>
    <row r="1078">
      <c r="C1078" s="15" t="n">
        <v>169</v>
      </c>
    </row>
    <row r="1079">
      <c r="C1079" s="15" t="n">
        <v>170</v>
      </c>
    </row>
    <row r="1080">
      <c r="C1080" s="15" t="n">
        <v>171</v>
      </c>
    </row>
    <row r="1081">
      <c r="C1081" s="15" t="n">
        <v>172</v>
      </c>
    </row>
    <row r="1082">
      <c r="C1082" s="15" t="n">
        <v>173</v>
      </c>
    </row>
    <row r="1083">
      <c r="C1083" s="15" t="n">
        <v>174</v>
      </c>
    </row>
    <row r="1084">
      <c r="C1084" s="15" t="n">
        <v>175</v>
      </c>
    </row>
    <row r="1085">
      <c r="C1085" s="15" t="n">
        <v>176</v>
      </c>
    </row>
    <row r="1086">
      <c r="C1086" s="15" t="n">
        <v>177</v>
      </c>
    </row>
    <row r="1087">
      <c r="C1087" s="15" t="n">
        <v>178</v>
      </c>
    </row>
    <row r="1088">
      <c r="C1088" s="15" t="n">
        <v>179</v>
      </c>
    </row>
    <row r="1089">
      <c r="C1089" s="15" t="n">
        <v>180</v>
      </c>
    </row>
    <row r="1090">
      <c r="C1090" s="15" t="n">
        <v>181</v>
      </c>
    </row>
    <row r="1091">
      <c r="C1091" s="15" t="n">
        <v>182</v>
      </c>
    </row>
    <row r="1092">
      <c r="C1092" s="15" t="n">
        <v>183</v>
      </c>
    </row>
    <row r="1093">
      <c r="C1093" s="15" t="n">
        <v>184</v>
      </c>
    </row>
    <row r="1094">
      <c r="C1094" s="15" t="n">
        <v>185</v>
      </c>
    </row>
    <row r="1095">
      <c r="C1095" s="15" t="n">
        <v>186</v>
      </c>
    </row>
    <row r="1096">
      <c r="C1096" s="15" t="n">
        <v>187</v>
      </c>
    </row>
    <row r="1097">
      <c r="C1097" s="15" t="n">
        <v>188</v>
      </c>
    </row>
    <row r="1098">
      <c r="C1098" s="15" t="n">
        <v>189</v>
      </c>
    </row>
    <row r="1099">
      <c r="C1099" s="15" t="n">
        <v>190</v>
      </c>
    </row>
    <row r="1100">
      <c r="C1100" s="15" t="n">
        <v>191</v>
      </c>
    </row>
    <row r="1101">
      <c r="C1101" s="15" t="n">
        <v>192</v>
      </c>
    </row>
    <row r="1102">
      <c r="C1102" s="15" t="n">
        <v>193</v>
      </c>
    </row>
    <row r="1103">
      <c r="C1103" s="15" t="n">
        <v>194</v>
      </c>
    </row>
    <row r="1104">
      <c r="C1104" s="15" t="n">
        <v>195</v>
      </c>
    </row>
    <row r="1105">
      <c r="C1105" s="15" t="n">
        <v>196</v>
      </c>
    </row>
    <row r="1106">
      <c r="C1106" s="15" t="n">
        <v>197</v>
      </c>
    </row>
    <row r="1107">
      <c r="C1107" s="15" t="n">
        <v>198</v>
      </c>
    </row>
    <row r="1109">
      <c r="C1109" s="15" t="inlineStr">
        <is>
          <t>CV</t>
        </is>
      </c>
      <c r="D1109" s="15" t="n">
        <v>22</v>
      </c>
      <c r="E1109" s="15" t="n">
        <v>23</v>
      </c>
      <c r="F1109" s="15" t="n">
        <v>24</v>
      </c>
    </row>
    <row r="1110">
      <c r="C1110" s="15" t="n">
        <v>9</v>
      </c>
    </row>
    <row r="1111">
      <c r="C1111" s="15" t="n">
        <v>10</v>
      </c>
    </row>
    <row r="1112">
      <c r="C1112" s="15" t="n">
        <v>11</v>
      </c>
    </row>
    <row r="1113">
      <c r="C1113" s="15" t="n">
        <v>12</v>
      </c>
    </row>
    <row r="1114">
      <c r="C1114" s="15" t="n">
        <v>13</v>
      </c>
    </row>
    <row r="1115">
      <c r="C1115" s="15" t="n">
        <v>14</v>
      </c>
    </row>
    <row r="1116">
      <c r="C1116" s="15" t="n">
        <v>15</v>
      </c>
    </row>
    <row r="1117">
      <c r="C1117" s="15" t="n">
        <v>16</v>
      </c>
    </row>
    <row r="1118">
      <c r="C1118" s="15" t="n">
        <v>17</v>
      </c>
    </row>
    <row r="1119">
      <c r="C1119" s="15" t="n">
        <v>18</v>
      </c>
    </row>
    <row r="1120">
      <c r="C1120" s="15" t="n">
        <v>19</v>
      </c>
    </row>
    <row r="1121">
      <c r="C1121" s="15" t="n">
        <v>20</v>
      </c>
    </row>
    <row r="1122">
      <c r="C1122" s="15" t="n">
        <v>21</v>
      </c>
    </row>
    <row r="1123">
      <c r="C1123" s="15" t="n">
        <v>22</v>
      </c>
    </row>
    <row r="1124">
      <c r="C1124" s="15" t="n">
        <v>23</v>
      </c>
    </row>
    <row r="1125">
      <c r="C1125" s="15" t="n">
        <v>24</v>
      </c>
    </row>
    <row r="1126">
      <c r="C1126" s="15" t="n">
        <v>25</v>
      </c>
    </row>
    <row r="1127">
      <c r="C1127" s="15" t="n">
        <v>26</v>
      </c>
    </row>
    <row r="1128">
      <c r="C1128" s="15" t="n">
        <v>27</v>
      </c>
    </row>
    <row r="1129">
      <c r="C1129" s="15" t="n">
        <v>28</v>
      </c>
    </row>
    <row r="1130">
      <c r="C1130" s="15" t="n">
        <v>29</v>
      </c>
    </row>
    <row r="1131">
      <c r="C1131" s="15" t="n">
        <v>30</v>
      </c>
    </row>
    <row r="1132">
      <c r="C1132" s="15" t="n">
        <v>31</v>
      </c>
    </row>
    <row r="1133">
      <c r="C1133" s="15" t="n">
        <v>32</v>
      </c>
    </row>
    <row r="1134">
      <c r="C1134" s="15" t="n">
        <v>33</v>
      </c>
    </row>
    <row r="1135">
      <c r="C1135" s="15" t="n">
        <v>34</v>
      </c>
    </row>
    <row r="1136">
      <c r="C1136" s="15" t="n">
        <v>35</v>
      </c>
    </row>
    <row r="1137">
      <c r="C1137" s="15" t="n">
        <v>36</v>
      </c>
    </row>
    <row r="1138">
      <c r="C1138" s="15" t="n">
        <v>37</v>
      </c>
    </row>
    <row r="1139">
      <c r="C1139" s="15" t="n">
        <v>38</v>
      </c>
    </row>
    <row r="1140">
      <c r="C1140" s="15" t="n">
        <v>39</v>
      </c>
    </row>
    <row r="1141">
      <c r="C1141" s="15" t="n">
        <v>40</v>
      </c>
    </row>
    <row r="1142">
      <c r="C1142" s="15" t="n">
        <v>41</v>
      </c>
    </row>
    <row r="1143">
      <c r="C1143" s="15" t="n">
        <v>42</v>
      </c>
    </row>
    <row r="1144">
      <c r="C1144" s="15" t="n">
        <v>43</v>
      </c>
    </row>
    <row r="1145">
      <c r="C1145" s="15" t="n">
        <v>44</v>
      </c>
    </row>
    <row r="1146">
      <c r="C1146" s="15" t="n">
        <v>45</v>
      </c>
    </row>
    <row r="1147">
      <c r="C1147" s="15" t="n">
        <v>46</v>
      </c>
    </row>
    <row r="1148">
      <c r="C1148" s="15" t="n">
        <v>47</v>
      </c>
    </row>
    <row r="1149">
      <c r="C1149" s="15" t="n">
        <v>48</v>
      </c>
    </row>
    <row r="1150">
      <c r="C1150" s="15" t="n">
        <v>49</v>
      </c>
    </row>
    <row r="1151">
      <c r="C1151" s="15" t="n">
        <v>50</v>
      </c>
    </row>
    <row r="1152">
      <c r="C1152" s="15" t="n">
        <v>51</v>
      </c>
    </row>
    <row r="1153">
      <c r="C1153" s="15" t="n">
        <v>52</v>
      </c>
    </row>
    <row r="1154">
      <c r="C1154" s="15" t="n">
        <v>53</v>
      </c>
    </row>
    <row r="1155">
      <c r="C1155" s="15" t="n">
        <v>54</v>
      </c>
    </row>
    <row r="1156">
      <c r="C1156" s="15" t="n">
        <v>55</v>
      </c>
    </row>
    <row r="1157">
      <c r="C1157" s="15" t="n">
        <v>56</v>
      </c>
    </row>
    <row r="1158">
      <c r="C1158" s="15" t="n">
        <v>57</v>
      </c>
    </row>
    <row r="1159">
      <c r="C1159" s="15" t="n">
        <v>58</v>
      </c>
    </row>
    <row r="1160">
      <c r="C1160" s="15" t="n">
        <v>59</v>
      </c>
    </row>
    <row r="1161">
      <c r="C1161" s="15" t="n">
        <v>60</v>
      </c>
    </row>
    <row r="1162">
      <c r="C1162" s="15" t="n">
        <v>61</v>
      </c>
    </row>
    <row r="1163">
      <c r="C1163" s="15" t="n">
        <v>62</v>
      </c>
    </row>
    <row r="1164">
      <c r="C1164" s="15" t="n">
        <v>63</v>
      </c>
    </row>
    <row r="1165">
      <c r="C1165" s="15" t="n">
        <v>64</v>
      </c>
    </row>
    <row r="1166">
      <c r="C1166" s="15" t="n">
        <v>65</v>
      </c>
    </row>
    <row r="1167">
      <c r="C1167" s="15" t="n">
        <v>66</v>
      </c>
    </row>
    <row r="1168">
      <c r="C1168" s="15" t="n">
        <v>67</v>
      </c>
    </row>
    <row r="1169">
      <c r="C1169" s="15" t="n">
        <v>68</v>
      </c>
    </row>
    <row r="1170">
      <c r="C1170" s="15" t="n">
        <v>69</v>
      </c>
    </row>
    <row r="1171">
      <c r="C1171" s="15" t="n">
        <v>70</v>
      </c>
    </row>
    <row r="1172">
      <c r="C1172" s="15" t="n">
        <v>71</v>
      </c>
    </row>
    <row r="1173">
      <c r="C1173" s="15" t="n">
        <v>72</v>
      </c>
    </row>
    <row r="1174">
      <c r="C1174" s="15" t="n">
        <v>73</v>
      </c>
    </row>
    <row r="1175">
      <c r="C1175" s="15" t="n">
        <v>74</v>
      </c>
    </row>
    <row r="1176">
      <c r="C1176" s="15" t="n">
        <v>75</v>
      </c>
    </row>
    <row r="1177">
      <c r="C1177" s="15" t="n">
        <v>76</v>
      </c>
    </row>
    <row r="1178">
      <c r="C1178" s="15" t="n">
        <v>77</v>
      </c>
    </row>
    <row r="1179">
      <c r="C1179" s="15" t="n">
        <v>78</v>
      </c>
    </row>
    <row r="1180">
      <c r="C1180" s="15" t="n">
        <v>79</v>
      </c>
    </row>
    <row r="1181">
      <c r="C1181" s="15" t="n">
        <v>80</v>
      </c>
    </row>
    <row r="1182">
      <c r="C1182" s="15" t="n">
        <v>81</v>
      </c>
    </row>
    <row r="1183">
      <c r="C1183" s="15" t="n">
        <v>82</v>
      </c>
    </row>
    <row r="1184">
      <c r="C1184" s="15" t="n">
        <v>83</v>
      </c>
    </row>
    <row r="1185">
      <c r="C1185" s="15" t="n">
        <v>84</v>
      </c>
    </row>
    <row r="1186">
      <c r="C1186" s="15" t="n">
        <v>85</v>
      </c>
    </row>
    <row r="1187">
      <c r="C1187" s="15" t="n">
        <v>86</v>
      </c>
    </row>
    <row r="1188">
      <c r="C1188" s="15" t="n">
        <v>87</v>
      </c>
    </row>
    <row r="1189">
      <c r="C1189" s="15" t="n">
        <v>88</v>
      </c>
    </row>
    <row r="1190">
      <c r="C1190" s="15" t="n">
        <v>89</v>
      </c>
    </row>
    <row r="1191">
      <c r="C1191" s="15" t="n">
        <v>90</v>
      </c>
    </row>
    <row r="1192">
      <c r="C1192" s="15" t="n">
        <v>91</v>
      </c>
    </row>
    <row r="1193">
      <c r="C1193" s="15" t="n">
        <v>92</v>
      </c>
    </row>
    <row r="1194">
      <c r="C1194" s="15" t="n">
        <v>93</v>
      </c>
    </row>
    <row r="1195">
      <c r="C1195" s="15" t="n">
        <v>94</v>
      </c>
    </row>
    <row r="1196">
      <c r="C1196" s="15" t="n">
        <v>95</v>
      </c>
    </row>
    <row r="1197">
      <c r="C1197" s="15" t="n">
        <v>96</v>
      </c>
    </row>
    <row r="1198">
      <c r="C1198" s="15" t="n">
        <v>97</v>
      </c>
    </row>
    <row r="1199">
      <c r="C1199" s="15" t="n">
        <v>98</v>
      </c>
    </row>
    <row r="1200">
      <c r="C1200" s="15" t="n">
        <v>99</v>
      </c>
    </row>
    <row r="1201">
      <c r="C1201" s="15" t="n">
        <v>100</v>
      </c>
    </row>
    <row r="1202">
      <c r="C1202" s="15" t="n">
        <v>101</v>
      </c>
    </row>
    <row r="1203">
      <c r="C1203" s="15" t="n">
        <v>102</v>
      </c>
    </row>
    <row r="1204">
      <c r="C1204" s="15" t="n">
        <v>103</v>
      </c>
    </row>
    <row r="1205">
      <c r="C1205" s="15" t="n">
        <v>104</v>
      </c>
    </row>
    <row r="1206">
      <c r="C1206" s="15" t="n">
        <v>105</v>
      </c>
    </row>
    <row r="1207">
      <c r="C1207" s="15" t="n">
        <v>106</v>
      </c>
    </row>
    <row r="1208">
      <c r="C1208" s="15" t="n">
        <v>107</v>
      </c>
    </row>
    <row r="1209">
      <c r="C1209" s="15" t="n">
        <v>108</v>
      </c>
    </row>
    <row r="1210">
      <c r="C1210" s="15" t="n">
        <v>109</v>
      </c>
    </row>
    <row r="1211">
      <c r="C1211" s="15" t="n">
        <v>110</v>
      </c>
    </row>
    <row r="1212">
      <c r="C1212" s="15" t="n">
        <v>111</v>
      </c>
    </row>
    <row r="1213">
      <c r="C1213" s="15" t="n">
        <v>112</v>
      </c>
    </row>
    <row r="1214">
      <c r="C1214" s="15" t="n">
        <v>113</v>
      </c>
    </row>
    <row r="1215">
      <c r="C1215" s="15" t="n">
        <v>114</v>
      </c>
    </row>
    <row r="1216">
      <c r="C1216" s="15" t="n">
        <v>115</v>
      </c>
    </row>
    <row r="1217">
      <c r="C1217" s="15" t="n">
        <v>116</v>
      </c>
    </row>
    <row r="1218">
      <c r="C1218" s="15" t="n">
        <v>117</v>
      </c>
    </row>
    <row r="1219">
      <c r="C1219" s="15" t="n">
        <v>118</v>
      </c>
    </row>
    <row r="1220">
      <c r="C1220" s="15" t="n">
        <v>119</v>
      </c>
    </row>
    <row r="1221">
      <c r="C1221" s="15" t="n">
        <v>120</v>
      </c>
    </row>
    <row r="1222">
      <c r="C1222" s="15" t="n">
        <v>121</v>
      </c>
    </row>
    <row r="1223">
      <c r="C1223" s="15" t="n">
        <v>122</v>
      </c>
    </row>
    <row r="1224">
      <c r="C1224" s="15" t="n">
        <v>123</v>
      </c>
    </row>
    <row r="1225">
      <c r="C1225" s="15" t="n">
        <v>124</v>
      </c>
    </row>
    <row r="1226">
      <c r="C1226" s="15" t="n">
        <v>125</v>
      </c>
    </row>
    <row r="1227">
      <c r="C1227" s="15" t="n">
        <v>126</v>
      </c>
    </row>
    <row r="1228">
      <c r="C1228" s="15" t="n">
        <v>127</v>
      </c>
    </row>
    <row r="1229">
      <c r="C1229" s="15" t="n">
        <v>128</v>
      </c>
    </row>
    <row r="1230">
      <c r="C1230" s="15" t="n">
        <v>129</v>
      </c>
    </row>
    <row r="1231">
      <c r="C1231" s="15" t="n">
        <v>130</v>
      </c>
    </row>
    <row r="1232">
      <c r="C1232" s="15" t="n">
        <v>131</v>
      </c>
    </row>
    <row r="1233">
      <c r="C1233" s="15" t="n">
        <v>132</v>
      </c>
    </row>
    <row r="1234">
      <c r="C1234" s="15" t="n">
        <v>133</v>
      </c>
    </row>
    <row r="1235">
      <c r="C1235" s="15" t="n">
        <v>134</v>
      </c>
    </row>
    <row r="1236">
      <c r="C1236" s="15" t="n">
        <v>135</v>
      </c>
    </row>
    <row r="1237">
      <c r="C1237" s="15" t="n">
        <v>136</v>
      </c>
    </row>
    <row r="1238">
      <c r="C1238" s="15" t="n">
        <v>137</v>
      </c>
    </row>
    <row r="1239">
      <c r="C1239" s="15" t="n">
        <v>138</v>
      </c>
    </row>
    <row r="1240">
      <c r="C1240" s="15" t="n">
        <v>139</v>
      </c>
    </row>
    <row r="1241">
      <c r="C1241" s="15" t="n">
        <v>140</v>
      </c>
    </row>
    <row r="1242">
      <c r="C1242" s="15" t="n">
        <v>141</v>
      </c>
    </row>
    <row r="1243">
      <c r="C1243" s="15" t="n">
        <v>142</v>
      </c>
    </row>
    <row r="1244">
      <c r="C1244" s="15" t="n">
        <v>143</v>
      </c>
    </row>
    <row r="1245">
      <c r="C1245" s="15" t="n">
        <v>144</v>
      </c>
    </row>
    <row r="1246">
      <c r="C1246" s="15" t="n">
        <v>145</v>
      </c>
    </row>
    <row r="1247">
      <c r="C1247" s="15" t="n">
        <v>146</v>
      </c>
    </row>
    <row r="1248">
      <c r="C1248" s="15" t="n">
        <v>147</v>
      </c>
    </row>
    <row r="1249">
      <c r="C1249" s="15" t="n">
        <v>148</v>
      </c>
    </row>
    <row r="1250">
      <c r="C1250" s="15" t="n">
        <v>149</v>
      </c>
    </row>
    <row r="1251">
      <c r="C1251" s="15" t="n">
        <v>150</v>
      </c>
    </row>
    <row r="1252">
      <c r="C1252" s="15" t="n">
        <v>151</v>
      </c>
    </row>
    <row r="1253">
      <c r="C1253" s="15" t="n">
        <v>152</v>
      </c>
    </row>
    <row r="1254">
      <c r="C1254" s="15" t="n">
        <v>153</v>
      </c>
    </row>
    <row r="1255">
      <c r="C1255" s="15" t="n">
        <v>154</v>
      </c>
    </row>
    <row r="1256">
      <c r="C1256" s="15" t="n">
        <v>155</v>
      </c>
    </row>
    <row r="1257">
      <c r="C1257" s="15" t="n">
        <v>156</v>
      </c>
    </row>
    <row r="1258">
      <c r="C1258" s="15" t="n">
        <v>157</v>
      </c>
    </row>
    <row r="1259">
      <c r="C1259" s="15" t="n">
        <v>158</v>
      </c>
    </row>
    <row r="1260">
      <c r="C1260" s="15" t="n">
        <v>159</v>
      </c>
    </row>
    <row r="1261">
      <c r="C1261" s="15" t="n">
        <v>160</v>
      </c>
    </row>
    <row r="1262">
      <c r="C1262" s="15" t="n">
        <v>161</v>
      </c>
    </row>
    <row r="1263">
      <c r="C1263" s="15" t="n">
        <v>162</v>
      </c>
    </row>
    <row r="1264">
      <c r="C1264" s="15" t="n">
        <v>163</v>
      </c>
    </row>
    <row r="1265">
      <c r="C1265" s="15" t="n">
        <v>164</v>
      </c>
    </row>
    <row r="1266">
      <c r="C1266" s="15" t="n">
        <v>165</v>
      </c>
    </row>
    <row r="1267">
      <c r="C1267" s="15" t="n">
        <v>166</v>
      </c>
    </row>
    <row r="1268">
      <c r="C1268" s="15" t="n">
        <v>167</v>
      </c>
    </row>
    <row r="1269">
      <c r="C1269" s="15" t="n">
        <v>168</v>
      </c>
    </row>
    <row r="1270">
      <c r="C1270" s="15" t="n">
        <v>169</v>
      </c>
    </row>
    <row r="1271">
      <c r="C1271" s="15" t="n">
        <v>170</v>
      </c>
    </row>
    <row r="1272">
      <c r="C1272" s="15" t="n">
        <v>171</v>
      </c>
    </row>
    <row r="1273">
      <c r="C1273" s="15" t="n">
        <v>172</v>
      </c>
    </row>
    <row r="1274">
      <c r="C1274" s="15" t="n">
        <v>173</v>
      </c>
    </row>
    <row r="1275">
      <c r="C1275" s="15" t="n">
        <v>174</v>
      </c>
    </row>
    <row r="1276">
      <c r="C1276" s="15" t="n">
        <v>175</v>
      </c>
    </row>
    <row r="1277">
      <c r="C1277" s="15" t="n">
        <v>176</v>
      </c>
    </row>
    <row r="1278">
      <c r="C1278" s="15" t="n">
        <v>177</v>
      </c>
    </row>
    <row r="1279">
      <c r="C1279" s="15" t="n">
        <v>178</v>
      </c>
    </row>
    <row r="1280">
      <c r="C1280" s="15" t="n">
        <v>179</v>
      </c>
    </row>
    <row r="1281">
      <c r="C1281" s="15" t="n">
        <v>180</v>
      </c>
    </row>
    <row r="1282">
      <c r="C1282" s="15" t="n">
        <v>181</v>
      </c>
    </row>
    <row r="1283">
      <c r="C1283" s="15" t="n">
        <v>182</v>
      </c>
    </row>
    <row r="1284">
      <c r="C1284" s="15" t="n">
        <v>183</v>
      </c>
    </row>
    <row r="1285">
      <c r="C1285" s="15" t="n">
        <v>184</v>
      </c>
    </row>
    <row r="1286">
      <c r="C1286" s="15" t="n">
        <v>185</v>
      </c>
    </row>
    <row r="1287">
      <c r="C1287" s="15" t="n">
        <v>186</v>
      </c>
    </row>
    <row r="1288">
      <c r="C1288" s="15" t="n">
        <v>187</v>
      </c>
    </row>
    <row r="1289">
      <c r="C1289" s="15" t="n">
        <v>188</v>
      </c>
    </row>
    <row r="1290">
      <c r="C1290" s="15" t="n">
        <v>189</v>
      </c>
    </row>
    <row r="1291">
      <c r="C1291" s="15" t="n">
        <v>190</v>
      </c>
    </row>
    <row r="1292">
      <c r="C1292" s="15" t="n">
        <v>191</v>
      </c>
    </row>
    <row r="1293">
      <c r="C1293" s="15" t="n">
        <v>192</v>
      </c>
    </row>
    <row r="1294">
      <c r="C1294" s="15" t="n">
        <v>193</v>
      </c>
    </row>
    <row r="1295">
      <c r="C1295" s="15" t="n">
        <v>194</v>
      </c>
    </row>
    <row r="1296">
      <c r="C1296" s="15" t="n">
        <v>195</v>
      </c>
    </row>
    <row r="1297">
      <c r="C1297" s="15" t="n">
        <v>196</v>
      </c>
    </row>
    <row r="1298">
      <c r="C1298" s="15" t="n">
        <v>197</v>
      </c>
    </row>
    <row r="1299">
      <c r="C1299" s="15" t="n">
        <v>198</v>
      </c>
    </row>
    <row r="1301">
      <c r="C1301" s="15" t="inlineStr">
        <is>
          <t>Planned Stock</t>
        </is>
      </c>
      <c r="D1301" s="15" t="n">
        <v>22</v>
      </c>
      <c r="E1301" s="15" t="n">
        <v>23</v>
      </c>
      <c r="F1301" s="15" t="n">
        <v>24</v>
      </c>
    </row>
    <row r="1302">
      <c r="C1302" s="15" t="n">
        <v>9</v>
      </c>
    </row>
    <row r="1303">
      <c r="C1303" s="15" t="n">
        <v>10</v>
      </c>
    </row>
    <row r="1304">
      <c r="C1304" s="15" t="n">
        <v>11</v>
      </c>
    </row>
    <row r="1305">
      <c r="C1305" s="15" t="n">
        <v>12</v>
      </c>
    </row>
    <row r="1306">
      <c r="C1306" s="15" t="n">
        <v>13</v>
      </c>
    </row>
    <row r="1307">
      <c r="C1307" s="15" t="n">
        <v>14</v>
      </c>
    </row>
    <row r="1308">
      <c r="C1308" s="15" t="n">
        <v>15</v>
      </c>
    </row>
    <row r="1309">
      <c r="C1309" s="15" t="n">
        <v>16</v>
      </c>
    </row>
    <row r="1310">
      <c r="C1310" s="15" t="n">
        <v>17</v>
      </c>
    </row>
    <row r="1311">
      <c r="C1311" s="15" t="n">
        <v>18</v>
      </c>
    </row>
    <row r="1312">
      <c r="C1312" s="15" t="n">
        <v>19</v>
      </c>
    </row>
    <row r="1313">
      <c r="C1313" s="15" t="n">
        <v>20</v>
      </c>
    </row>
    <row r="1314">
      <c r="C1314" s="15" t="n">
        <v>21</v>
      </c>
    </row>
    <row r="1315">
      <c r="C1315" s="15" t="n">
        <v>22</v>
      </c>
    </row>
    <row r="1316">
      <c r="C1316" s="15" t="n">
        <v>23</v>
      </c>
    </row>
    <row r="1317">
      <c r="C1317" s="15" t="n">
        <v>24</v>
      </c>
    </row>
    <row r="1318">
      <c r="C1318" s="15" t="n">
        <v>25</v>
      </c>
    </row>
    <row r="1319">
      <c r="C1319" s="15" t="n">
        <v>26</v>
      </c>
    </row>
    <row r="1320">
      <c r="C1320" s="15" t="n">
        <v>27</v>
      </c>
    </row>
    <row r="1321">
      <c r="C1321" s="15" t="n">
        <v>28</v>
      </c>
    </row>
    <row r="1322">
      <c r="C1322" s="15" t="n">
        <v>29</v>
      </c>
    </row>
    <row r="1323">
      <c r="C1323" s="15" t="n">
        <v>30</v>
      </c>
    </row>
    <row r="1324">
      <c r="C1324" s="15" t="n">
        <v>31</v>
      </c>
    </row>
    <row r="1325">
      <c r="C1325" s="15" t="n">
        <v>32</v>
      </c>
    </row>
    <row r="1326">
      <c r="C1326" s="15" t="n">
        <v>33</v>
      </c>
    </row>
    <row r="1327">
      <c r="C1327" s="15" t="n">
        <v>34</v>
      </c>
    </row>
    <row r="1328">
      <c r="C1328" s="15" t="n">
        <v>35</v>
      </c>
    </row>
    <row r="1329">
      <c r="C1329" s="15" t="n">
        <v>36</v>
      </c>
    </row>
    <row r="1330">
      <c r="C1330" s="15" t="n">
        <v>37</v>
      </c>
    </row>
    <row r="1331">
      <c r="C1331" s="15" t="n">
        <v>38</v>
      </c>
    </row>
    <row r="1332">
      <c r="C1332" s="15" t="n">
        <v>39</v>
      </c>
    </row>
    <row r="1333">
      <c r="C1333" s="15" t="n">
        <v>40</v>
      </c>
    </row>
    <row r="1334">
      <c r="C1334" s="15" t="n">
        <v>41</v>
      </c>
    </row>
    <row r="1335">
      <c r="C1335" s="15" t="n">
        <v>42</v>
      </c>
    </row>
    <row r="1336">
      <c r="C1336" s="15" t="n">
        <v>43</v>
      </c>
    </row>
    <row r="1337">
      <c r="C1337" s="15" t="n">
        <v>44</v>
      </c>
    </row>
    <row r="1338">
      <c r="C1338" s="15" t="n">
        <v>45</v>
      </c>
    </row>
    <row r="1339">
      <c r="C1339" s="15" t="n">
        <v>46</v>
      </c>
    </row>
    <row r="1340">
      <c r="C1340" s="15" t="n">
        <v>47</v>
      </c>
    </row>
    <row r="1341">
      <c r="C1341" s="15" t="n">
        <v>48</v>
      </c>
    </row>
    <row r="1342">
      <c r="C1342" s="15" t="n">
        <v>49</v>
      </c>
    </row>
    <row r="1343">
      <c r="C1343" s="15" t="n">
        <v>50</v>
      </c>
    </row>
    <row r="1344">
      <c r="C1344" s="15" t="n">
        <v>51</v>
      </c>
    </row>
    <row r="1345">
      <c r="C1345" s="15" t="n">
        <v>52</v>
      </c>
    </row>
    <row r="1346">
      <c r="C1346" s="15" t="n">
        <v>53</v>
      </c>
    </row>
    <row r="1347">
      <c r="C1347" s="15" t="n">
        <v>54</v>
      </c>
    </row>
    <row r="1348">
      <c r="C1348" s="15" t="n">
        <v>55</v>
      </c>
    </row>
    <row r="1349">
      <c r="C1349" s="15" t="n">
        <v>56</v>
      </c>
    </row>
    <row r="1350">
      <c r="C1350" s="15" t="n">
        <v>57</v>
      </c>
    </row>
    <row r="1351">
      <c r="C1351" s="15" t="n">
        <v>58</v>
      </c>
    </row>
    <row r="1352">
      <c r="C1352" s="15" t="n">
        <v>59</v>
      </c>
    </row>
    <row r="1353">
      <c r="C1353" s="15" t="n">
        <v>60</v>
      </c>
    </row>
    <row r="1354">
      <c r="C1354" s="15" t="n">
        <v>61</v>
      </c>
    </row>
    <row r="1355">
      <c r="C1355" s="15" t="n">
        <v>62</v>
      </c>
    </row>
    <row r="1356">
      <c r="C1356" s="15" t="n">
        <v>63</v>
      </c>
    </row>
    <row r="1357">
      <c r="C1357" s="15" t="n">
        <v>64</v>
      </c>
    </row>
    <row r="1358">
      <c r="C1358" s="15" t="n">
        <v>65</v>
      </c>
    </row>
    <row r="1359">
      <c r="C1359" s="15" t="n">
        <v>66</v>
      </c>
    </row>
    <row r="1360">
      <c r="C1360" s="15" t="n">
        <v>67</v>
      </c>
    </row>
    <row r="1361">
      <c r="C1361" s="15" t="n">
        <v>68</v>
      </c>
    </row>
    <row r="1362">
      <c r="C1362" s="15" t="n">
        <v>69</v>
      </c>
    </row>
    <row r="1363">
      <c r="C1363" s="15" t="n">
        <v>70</v>
      </c>
    </row>
    <row r="1364">
      <c r="C1364" s="15" t="n">
        <v>71</v>
      </c>
    </row>
    <row r="1365">
      <c r="C1365" s="15" t="n">
        <v>72</v>
      </c>
    </row>
    <row r="1366">
      <c r="C1366" s="15" t="n">
        <v>73</v>
      </c>
    </row>
    <row r="1367">
      <c r="C1367" s="15" t="n">
        <v>74</v>
      </c>
    </row>
    <row r="1368">
      <c r="C1368" s="15" t="n">
        <v>75</v>
      </c>
    </row>
    <row r="1369">
      <c r="C1369" s="15" t="n">
        <v>76</v>
      </c>
    </row>
    <row r="1370">
      <c r="C1370" s="15" t="n">
        <v>77</v>
      </c>
    </row>
    <row r="1371">
      <c r="C1371" s="15" t="n">
        <v>78</v>
      </c>
    </row>
    <row r="1372">
      <c r="C1372" s="15" t="n">
        <v>79</v>
      </c>
    </row>
    <row r="1373">
      <c r="C1373" s="15" t="n">
        <v>80</v>
      </c>
    </row>
    <row r="1374">
      <c r="C1374" s="15" t="n">
        <v>81</v>
      </c>
    </row>
    <row r="1375">
      <c r="C1375" s="15" t="n">
        <v>82</v>
      </c>
    </row>
    <row r="1376">
      <c r="C1376" s="15" t="n">
        <v>83</v>
      </c>
    </row>
    <row r="1377">
      <c r="C1377" s="15" t="n">
        <v>84</v>
      </c>
    </row>
    <row r="1378">
      <c r="C1378" s="15" t="n">
        <v>85</v>
      </c>
    </row>
    <row r="1379">
      <c r="C1379" s="15" t="n">
        <v>86</v>
      </c>
    </row>
    <row r="1380">
      <c r="C1380" s="15" t="n">
        <v>87</v>
      </c>
    </row>
    <row r="1381">
      <c r="C1381" s="15" t="n">
        <v>88</v>
      </c>
    </row>
    <row r="1382">
      <c r="C1382" s="15" t="n">
        <v>89</v>
      </c>
    </row>
    <row r="1383">
      <c r="C1383" s="15" t="n">
        <v>90</v>
      </c>
    </row>
    <row r="1384">
      <c r="C1384" s="15" t="n">
        <v>91</v>
      </c>
    </row>
    <row r="1385">
      <c r="C1385" s="15" t="n">
        <v>92</v>
      </c>
    </row>
    <row r="1386">
      <c r="C1386" s="15" t="n">
        <v>93</v>
      </c>
    </row>
    <row r="1387">
      <c r="C1387" s="15" t="n">
        <v>94</v>
      </c>
    </row>
    <row r="1388">
      <c r="C1388" s="15" t="n">
        <v>95</v>
      </c>
    </row>
    <row r="1389">
      <c r="C1389" s="15" t="n">
        <v>96</v>
      </c>
    </row>
    <row r="1390">
      <c r="C1390" s="15" t="n">
        <v>97</v>
      </c>
    </row>
    <row r="1391">
      <c r="C1391" s="15" t="n">
        <v>98</v>
      </c>
    </row>
    <row r="1392">
      <c r="C1392" s="15" t="n">
        <v>99</v>
      </c>
    </row>
    <row r="1393">
      <c r="C1393" s="15" t="n">
        <v>100</v>
      </c>
    </row>
    <row r="1394">
      <c r="C1394" s="15" t="n">
        <v>101</v>
      </c>
    </row>
    <row r="1395">
      <c r="C1395" s="15" t="n">
        <v>102</v>
      </c>
    </row>
    <row r="1396">
      <c r="C1396" s="15" t="n">
        <v>103</v>
      </c>
    </row>
    <row r="1397">
      <c r="C1397" s="15" t="n">
        <v>104</v>
      </c>
    </row>
    <row r="1398">
      <c r="C1398" s="15" t="n">
        <v>105</v>
      </c>
    </row>
    <row r="1399">
      <c r="C1399" s="15" t="n">
        <v>106</v>
      </c>
    </row>
    <row r="1400">
      <c r="C1400" s="15" t="n">
        <v>107</v>
      </c>
    </row>
    <row r="1401">
      <c r="C1401" s="15" t="n">
        <v>108</v>
      </c>
    </row>
    <row r="1402">
      <c r="C1402" s="15" t="n">
        <v>109</v>
      </c>
    </row>
    <row r="1403">
      <c r="C1403" s="15" t="n">
        <v>110</v>
      </c>
    </row>
    <row r="1404">
      <c r="C1404" s="15" t="n">
        <v>111</v>
      </c>
    </row>
    <row r="1405">
      <c r="C1405" s="15" t="n">
        <v>112</v>
      </c>
    </row>
    <row r="1406">
      <c r="C1406" s="15" t="n">
        <v>113</v>
      </c>
    </row>
    <row r="1407">
      <c r="C1407" s="15" t="n">
        <v>114</v>
      </c>
    </row>
    <row r="1408">
      <c r="C1408" s="15" t="n">
        <v>115</v>
      </c>
    </row>
    <row r="1409">
      <c r="C1409" s="15" t="n">
        <v>116</v>
      </c>
    </row>
    <row r="1410">
      <c r="C1410" s="15" t="n">
        <v>117</v>
      </c>
    </row>
    <row r="1411">
      <c r="C1411" s="15" t="n">
        <v>118</v>
      </c>
    </row>
    <row r="1412">
      <c r="C1412" s="15" t="n">
        <v>119</v>
      </c>
    </row>
    <row r="1413">
      <c r="C1413" s="15" t="n">
        <v>120</v>
      </c>
    </row>
    <row r="1414">
      <c r="C1414" s="15" t="n">
        <v>121</v>
      </c>
    </row>
    <row r="1415">
      <c r="C1415" s="15" t="n">
        <v>122</v>
      </c>
    </row>
    <row r="1416">
      <c r="C1416" s="15" t="n">
        <v>123</v>
      </c>
    </row>
    <row r="1417">
      <c r="C1417" s="15" t="n">
        <v>124</v>
      </c>
    </row>
    <row r="1418">
      <c r="C1418" s="15" t="n">
        <v>125</v>
      </c>
    </row>
    <row r="1419">
      <c r="C1419" s="15" t="n">
        <v>126</v>
      </c>
    </row>
    <row r="1420">
      <c r="C1420" s="15" t="n">
        <v>127</v>
      </c>
    </row>
    <row r="1421">
      <c r="C1421" s="15" t="n">
        <v>128</v>
      </c>
    </row>
    <row r="1422">
      <c r="C1422" s="15" t="n">
        <v>129</v>
      </c>
    </row>
    <row r="1423">
      <c r="C1423" s="15" t="n">
        <v>130</v>
      </c>
    </row>
    <row r="1424">
      <c r="C1424" s="15" t="n">
        <v>131</v>
      </c>
    </row>
    <row r="1425">
      <c r="C1425" s="15" t="n">
        <v>132</v>
      </c>
    </row>
    <row r="1426">
      <c r="C1426" s="15" t="n">
        <v>133</v>
      </c>
    </row>
    <row r="1427">
      <c r="C1427" s="15" t="n">
        <v>134</v>
      </c>
    </row>
    <row r="1428">
      <c r="C1428" s="15" t="n">
        <v>135</v>
      </c>
    </row>
    <row r="1429">
      <c r="C1429" s="15" t="n">
        <v>136</v>
      </c>
    </row>
    <row r="1430">
      <c r="C1430" s="15" t="n">
        <v>137</v>
      </c>
    </row>
    <row r="1431">
      <c r="C1431" s="15" t="n">
        <v>138</v>
      </c>
    </row>
    <row r="1432">
      <c r="C1432" s="15" t="n">
        <v>139</v>
      </c>
    </row>
    <row r="1433">
      <c r="C1433" s="15" t="n">
        <v>140</v>
      </c>
    </row>
    <row r="1434">
      <c r="C1434" s="15" t="n">
        <v>141</v>
      </c>
    </row>
    <row r="1435">
      <c r="C1435" s="15" t="n">
        <v>142</v>
      </c>
    </row>
    <row r="1436">
      <c r="C1436" s="15" t="n">
        <v>143</v>
      </c>
    </row>
    <row r="1437">
      <c r="C1437" s="15" t="n">
        <v>144</v>
      </c>
    </row>
    <row r="1438">
      <c r="C1438" s="15" t="n">
        <v>145</v>
      </c>
    </row>
    <row r="1439">
      <c r="C1439" s="15" t="n">
        <v>146</v>
      </c>
    </row>
    <row r="1440">
      <c r="C1440" s="15" t="n">
        <v>147</v>
      </c>
    </row>
    <row r="1441">
      <c r="C1441" s="15" t="n">
        <v>148</v>
      </c>
    </row>
    <row r="1442">
      <c r="C1442" s="15" t="n">
        <v>149</v>
      </c>
    </row>
    <row r="1443">
      <c r="C1443" s="15" t="n">
        <v>150</v>
      </c>
    </row>
    <row r="1444">
      <c r="C1444" s="15" t="n">
        <v>151</v>
      </c>
    </row>
    <row r="1445">
      <c r="C1445" s="15" t="n">
        <v>152</v>
      </c>
    </row>
    <row r="1446">
      <c r="C1446" s="15" t="n">
        <v>153</v>
      </c>
    </row>
    <row r="1447">
      <c r="C1447" s="15" t="n">
        <v>154</v>
      </c>
    </row>
    <row r="1448">
      <c r="C1448" s="15" t="n">
        <v>155</v>
      </c>
    </row>
    <row r="1449">
      <c r="C1449" s="15" t="n">
        <v>156</v>
      </c>
    </row>
    <row r="1450">
      <c r="C1450" s="15" t="n">
        <v>157</v>
      </c>
    </row>
    <row r="1451">
      <c r="C1451" s="15" t="n">
        <v>158</v>
      </c>
    </row>
    <row r="1452">
      <c r="C1452" s="15" t="n">
        <v>159</v>
      </c>
    </row>
    <row r="1453">
      <c r="C1453" s="15" t="n">
        <v>160</v>
      </c>
    </row>
    <row r="1454">
      <c r="C1454" s="15" t="n">
        <v>161</v>
      </c>
    </row>
    <row r="1455">
      <c r="C1455" s="15" t="n">
        <v>162</v>
      </c>
    </row>
    <row r="1456">
      <c r="C1456" s="15" t="n">
        <v>163</v>
      </c>
    </row>
    <row r="1457">
      <c r="C1457" s="15" t="n">
        <v>164</v>
      </c>
    </row>
    <row r="1458">
      <c r="C1458" s="15" t="n">
        <v>165</v>
      </c>
    </row>
    <row r="1459">
      <c r="C1459" s="15" t="n">
        <v>166</v>
      </c>
    </row>
    <row r="1460">
      <c r="C1460" s="15" t="n">
        <v>167</v>
      </c>
    </row>
    <row r="1461">
      <c r="C1461" s="15" t="n">
        <v>168</v>
      </c>
    </row>
    <row r="1462">
      <c r="C1462" s="15" t="n">
        <v>169</v>
      </c>
    </row>
    <row r="1463">
      <c r="C1463" s="15" t="n">
        <v>170</v>
      </c>
    </row>
    <row r="1464">
      <c r="C1464" s="15" t="n">
        <v>171</v>
      </c>
    </row>
    <row r="1465">
      <c r="C1465" s="15" t="n">
        <v>172</v>
      </c>
    </row>
    <row r="1466">
      <c r="C1466" s="15" t="n">
        <v>173</v>
      </c>
    </row>
    <row r="1467">
      <c r="C1467" s="15" t="n">
        <v>174</v>
      </c>
    </row>
    <row r="1468">
      <c r="C1468" s="15" t="n">
        <v>175</v>
      </c>
    </row>
    <row r="1469">
      <c r="C1469" s="15" t="n">
        <v>176</v>
      </c>
    </row>
    <row r="1470">
      <c r="C1470" s="15" t="n">
        <v>177</v>
      </c>
    </row>
    <row r="1471">
      <c r="C1471" s="15" t="n">
        <v>178</v>
      </c>
    </row>
    <row r="1472">
      <c r="C1472" s="15" t="n">
        <v>179</v>
      </c>
    </row>
    <row r="1473">
      <c r="C1473" s="15" t="n">
        <v>180</v>
      </c>
    </row>
    <row r="1474">
      <c r="C1474" s="15" t="n">
        <v>181</v>
      </c>
    </row>
    <row r="1475">
      <c r="C1475" s="15" t="n">
        <v>182</v>
      </c>
    </row>
    <row r="1476">
      <c r="C1476" s="15" t="n">
        <v>183</v>
      </c>
    </row>
    <row r="1477">
      <c r="C1477" s="15" t="n">
        <v>184</v>
      </c>
    </row>
    <row r="1478">
      <c r="C1478" s="15" t="n">
        <v>185</v>
      </c>
    </row>
    <row r="1479">
      <c r="C1479" s="15" t="n">
        <v>186</v>
      </c>
    </row>
    <row r="1480">
      <c r="C1480" s="15" t="n">
        <v>187</v>
      </c>
    </row>
    <row r="1481">
      <c r="C1481" s="15" t="n">
        <v>188</v>
      </c>
    </row>
    <row r="1482">
      <c r="C1482" s="15" t="n">
        <v>189</v>
      </c>
    </row>
    <row r="1483">
      <c r="C1483" s="15" t="n">
        <v>190</v>
      </c>
    </row>
    <row r="1484">
      <c r="C1484" s="15" t="n">
        <v>191</v>
      </c>
    </row>
    <row r="1485">
      <c r="C1485" s="15" t="n">
        <v>192</v>
      </c>
    </row>
    <row r="1486">
      <c r="C1486" s="15" t="n">
        <v>193</v>
      </c>
    </row>
    <row r="1487">
      <c r="C1487" s="15" t="n">
        <v>194</v>
      </c>
    </row>
    <row r="1488">
      <c r="C1488" s="15" t="n">
        <v>195</v>
      </c>
    </row>
    <row r="1489">
      <c r="C1489" s="15" t="n">
        <v>196</v>
      </c>
    </row>
    <row r="1490">
      <c r="C1490" s="15" t="n">
        <v>197</v>
      </c>
    </row>
    <row r="1491">
      <c r="C1491" s="15" t="n">
        <v>198</v>
      </c>
    </row>
    <row r="1493" ht="16.2" customHeight="1">
      <c r="C1493" s="15" t="inlineStr">
        <is>
          <t>Variance coeff - z(S2nd)</t>
        </is>
      </c>
      <c r="D1493" s="15" t="n">
        <v>22</v>
      </c>
      <c r="E1493" s="15" t="n">
        <v>23</v>
      </c>
      <c r="F1493" s="15" t="n">
        <v>24</v>
      </c>
    </row>
    <row r="1494">
      <c r="C1494" s="15" t="n">
        <v>9</v>
      </c>
    </row>
    <row r="1495">
      <c r="C1495" s="15" t="n">
        <v>10</v>
      </c>
    </row>
    <row r="1496">
      <c r="C1496" s="15" t="n">
        <v>11</v>
      </c>
    </row>
    <row r="1497">
      <c r="C1497" s="15" t="n">
        <v>12</v>
      </c>
    </row>
    <row r="1498">
      <c r="C1498" s="15" t="n">
        <v>13</v>
      </c>
    </row>
    <row r="1499">
      <c r="C1499" s="15" t="n">
        <v>14</v>
      </c>
    </row>
    <row r="1500">
      <c r="C1500" s="15" t="n">
        <v>15</v>
      </c>
    </row>
    <row r="1501">
      <c r="C1501" s="15" t="n">
        <v>16</v>
      </c>
    </row>
    <row r="1502">
      <c r="C1502" s="15" t="n">
        <v>17</v>
      </c>
    </row>
    <row r="1503">
      <c r="C1503" s="15" t="n">
        <v>18</v>
      </c>
    </row>
    <row r="1504">
      <c r="C1504" s="15" t="n">
        <v>19</v>
      </c>
    </row>
    <row r="1505">
      <c r="C1505" s="15" t="n">
        <v>20</v>
      </c>
    </row>
    <row r="1506">
      <c r="C1506" s="15" t="n">
        <v>21</v>
      </c>
    </row>
    <row r="1507">
      <c r="C1507" s="15" t="n">
        <v>22</v>
      </c>
    </row>
    <row r="1508">
      <c r="C1508" s="15" t="n">
        <v>23</v>
      </c>
    </row>
    <row r="1509">
      <c r="C1509" s="15" t="n">
        <v>24</v>
      </c>
    </row>
    <row r="1510">
      <c r="C1510" s="15" t="n">
        <v>25</v>
      </c>
    </row>
    <row r="1511">
      <c r="C1511" s="15" t="n">
        <v>26</v>
      </c>
    </row>
    <row r="1512">
      <c r="C1512" s="15" t="n">
        <v>27</v>
      </c>
    </row>
    <row r="1513">
      <c r="C1513" s="15" t="n">
        <v>28</v>
      </c>
    </row>
    <row r="1514">
      <c r="C1514" s="15" t="n">
        <v>29</v>
      </c>
    </row>
    <row r="1515">
      <c r="C1515" s="15" t="n">
        <v>30</v>
      </c>
    </row>
    <row r="1516">
      <c r="C1516" s="15" t="n">
        <v>31</v>
      </c>
    </row>
    <row r="1517">
      <c r="C1517" s="15" t="n">
        <v>32</v>
      </c>
    </row>
    <row r="1518">
      <c r="C1518" s="15" t="n">
        <v>33</v>
      </c>
    </row>
    <row r="1519">
      <c r="C1519" s="15" t="n">
        <v>34</v>
      </c>
    </row>
    <row r="1520">
      <c r="C1520" s="15" t="n">
        <v>35</v>
      </c>
    </row>
    <row r="1521">
      <c r="C1521" s="15" t="n">
        <v>36</v>
      </c>
    </row>
    <row r="1522">
      <c r="C1522" s="15" t="n">
        <v>37</v>
      </c>
    </row>
    <row r="1523">
      <c r="C1523" s="15" t="n">
        <v>38</v>
      </c>
    </row>
    <row r="1524">
      <c r="C1524" s="15" t="n">
        <v>39</v>
      </c>
    </row>
    <row r="1525">
      <c r="C1525" s="15" t="n">
        <v>40</v>
      </c>
    </row>
    <row r="1526">
      <c r="C1526" s="15" t="n">
        <v>41</v>
      </c>
    </row>
    <row r="1527">
      <c r="C1527" s="15" t="n">
        <v>42</v>
      </c>
    </row>
    <row r="1528">
      <c r="C1528" s="15" t="n">
        <v>43</v>
      </c>
    </row>
    <row r="1529">
      <c r="C1529" s="15" t="n">
        <v>44</v>
      </c>
    </row>
    <row r="1530">
      <c r="C1530" s="15" t="n">
        <v>45</v>
      </c>
    </row>
    <row r="1531">
      <c r="C1531" s="15" t="n">
        <v>46</v>
      </c>
    </row>
    <row r="1532">
      <c r="C1532" s="15" t="n">
        <v>47</v>
      </c>
    </row>
    <row r="1533">
      <c r="C1533" s="15" t="n">
        <v>48</v>
      </c>
    </row>
    <row r="1534">
      <c r="C1534" s="15" t="n">
        <v>49</v>
      </c>
    </row>
    <row r="1535">
      <c r="C1535" s="15" t="n">
        <v>50</v>
      </c>
    </row>
    <row r="1536">
      <c r="C1536" s="15" t="n">
        <v>51</v>
      </c>
    </row>
    <row r="1537">
      <c r="C1537" s="15" t="n">
        <v>52</v>
      </c>
    </row>
    <row r="1538">
      <c r="C1538" s="15" t="n">
        <v>53</v>
      </c>
    </row>
    <row r="1539">
      <c r="C1539" s="15" t="n">
        <v>54</v>
      </c>
    </row>
    <row r="1540">
      <c r="C1540" s="15" t="n">
        <v>55</v>
      </c>
    </row>
    <row r="1541">
      <c r="C1541" s="15" t="n">
        <v>56</v>
      </c>
    </row>
    <row r="1542">
      <c r="C1542" s="15" t="n">
        <v>57</v>
      </c>
    </row>
    <row r="1543">
      <c r="C1543" s="15" t="n">
        <v>58</v>
      </c>
    </row>
    <row r="1544">
      <c r="C1544" s="15" t="n">
        <v>59</v>
      </c>
    </row>
    <row r="1545">
      <c r="C1545" s="15" t="n">
        <v>60</v>
      </c>
    </row>
    <row r="1546">
      <c r="C1546" s="15" t="n">
        <v>61</v>
      </c>
    </row>
    <row r="1547">
      <c r="C1547" s="15" t="n">
        <v>62</v>
      </c>
    </row>
    <row r="1548">
      <c r="C1548" s="15" t="n">
        <v>63</v>
      </c>
    </row>
    <row r="1549">
      <c r="C1549" s="15" t="n">
        <v>64</v>
      </c>
    </row>
    <row r="1550">
      <c r="C1550" s="15" t="n">
        <v>65</v>
      </c>
    </row>
    <row r="1551">
      <c r="C1551" s="15" t="n">
        <v>66</v>
      </c>
    </row>
    <row r="1552">
      <c r="C1552" s="15" t="n">
        <v>67</v>
      </c>
    </row>
    <row r="1553">
      <c r="C1553" s="15" t="n">
        <v>68</v>
      </c>
    </row>
    <row r="1554">
      <c r="C1554" s="15" t="n">
        <v>69</v>
      </c>
    </row>
    <row r="1555">
      <c r="C1555" s="15" t="n">
        <v>70</v>
      </c>
    </row>
    <row r="1556">
      <c r="C1556" s="15" t="n">
        <v>71</v>
      </c>
    </row>
    <row r="1557">
      <c r="C1557" s="15" t="n">
        <v>72</v>
      </c>
    </row>
    <row r="1558">
      <c r="C1558" s="15" t="n">
        <v>73</v>
      </c>
    </row>
    <row r="1559">
      <c r="C1559" s="15" t="n">
        <v>74</v>
      </c>
    </row>
    <row r="1560">
      <c r="C1560" s="15" t="n">
        <v>75</v>
      </c>
    </row>
    <row r="1561">
      <c r="C1561" s="15" t="n">
        <v>76</v>
      </c>
    </row>
    <row r="1562">
      <c r="C1562" s="15" t="n">
        <v>77</v>
      </c>
    </row>
    <row r="1563">
      <c r="C1563" s="15" t="n">
        <v>78</v>
      </c>
    </row>
    <row r="1564">
      <c r="C1564" s="15" t="n">
        <v>79</v>
      </c>
    </row>
    <row r="1565">
      <c r="C1565" s="15" t="n">
        <v>80</v>
      </c>
    </row>
    <row r="1566">
      <c r="C1566" s="15" t="n">
        <v>81</v>
      </c>
    </row>
    <row r="1567">
      <c r="C1567" s="15" t="n">
        <v>82</v>
      </c>
    </row>
    <row r="1568">
      <c r="C1568" s="15" t="n">
        <v>83</v>
      </c>
    </row>
    <row r="1569">
      <c r="C1569" s="15" t="n">
        <v>84</v>
      </c>
    </row>
    <row r="1570">
      <c r="C1570" s="15" t="n">
        <v>85</v>
      </c>
    </row>
    <row r="1571">
      <c r="C1571" s="15" t="n">
        <v>86</v>
      </c>
    </row>
    <row r="1572">
      <c r="C1572" s="15" t="n">
        <v>87</v>
      </c>
    </row>
    <row r="1573">
      <c r="C1573" s="15" t="n">
        <v>88</v>
      </c>
    </row>
    <row r="1574">
      <c r="C1574" s="15" t="n">
        <v>89</v>
      </c>
    </row>
    <row r="1575">
      <c r="C1575" s="15" t="n">
        <v>90</v>
      </c>
    </row>
    <row r="1576">
      <c r="C1576" s="15" t="n">
        <v>91</v>
      </c>
    </row>
    <row r="1577">
      <c r="C1577" s="15" t="n">
        <v>92</v>
      </c>
    </row>
    <row r="1578">
      <c r="C1578" s="15" t="n">
        <v>93</v>
      </c>
    </row>
    <row r="1579">
      <c r="C1579" s="15" t="n">
        <v>94</v>
      </c>
    </row>
    <row r="1580">
      <c r="C1580" s="15" t="n">
        <v>95</v>
      </c>
    </row>
    <row r="1581">
      <c r="C1581" s="15" t="n">
        <v>96</v>
      </c>
    </row>
    <row r="1582">
      <c r="C1582" s="15" t="n">
        <v>97</v>
      </c>
    </row>
    <row r="1583">
      <c r="C1583" s="15" t="n">
        <v>98</v>
      </c>
    </row>
    <row r="1584">
      <c r="C1584" s="15" t="n">
        <v>99</v>
      </c>
    </row>
    <row r="1585">
      <c r="C1585" s="15" t="n">
        <v>100</v>
      </c>
    </row>
    <row r="1586">
      <c r="C1586" s="15" t="n">
        <v>101</v>
      </c>
    </row>
    <row r="1587">
      <c r="C1587" s="15" t="n">
        <v>102</v>
      </c>
    </row>
    <row r="1588">
      <c r="C1588" s="15" t="n">
        <v>103</v>
      </c>
    </row>
    <row r="1589">
      <c r="C1589" s="15" t="n">
        <v>104</v>
      </c>
    </row>
    <row r="1590">
      <c r="C1590" s="15" t="n">
        <v>105</v>
      </c>
    </row>
    <row r="1591">
      <c r="C1591" s="15" t="n">
        <v>106</v>
      </c>
    </row>
    <row r="1592">
      <c r="C1592" s="15" t="n">
        <v>107</v>
      </c>
    </row>
    <row r="1593">
      <c r="C1593" s="15" t="n">
        <v>108</v>
      </c>
    </row>
    <row r="1594">
      <c r="C1594" s="15" t="n">
        <v>109</v>
      </c>
    </row>
    <row r="1595">
      <c r="C1595" s="15" t="n">
        <v>110</v>
      </c>
    </row>
    <row r="1596">
      <c r="C1596" s="15" t="n">
        <v>111</v>
      </c>
    </row>
    <row r="1597">
      <c r="C1597" s="15" t="n">
        <v>112</v>
      </c>
    </row>
    <row r="1598">
      <c r="C1598" s="15" t="n">
        <v>113</v>
      </c>
    </row>
    <row r="1599">
      <c r="C1599" s="15" t="n">
        <v>114</v>
      </c>
    </row>
    <row r="1600">
      <c r="C1600" s="15" t="n">
        <v>115</v>
      </c>
    </row>
    <row r="1601">
      <c r="C1601" s="15" t="n">
        <v>116</v>
      </c>
    </row>
    <row r="1602">
      <c r="C1602" s="15" t="n">
        <v>117</v>
      </c>
    </row>
    <row r="1603">
      <c r="C1603" s="15" t="n">
        <v>118</v>
      </c>
    </row>
    <row r="1604">
      <c r="C1604" s="15" t="n">
        <v>119</v>
      </c>
    </row>
    <row r="1605">
      <c r="C1605" s="15" t="n">
        <v>120</v>
      </c>
    </row>
    <row r="1606">
      <c r="C1606" s="15" t="n">
        <v>121</v>
      </c>
    </row>
    <row r="1607">
      <c r="C1607" s="15" t="n">
        <v>122</v>
      </c>
    </row>
    <row r="1608">
      <c r="C1608" s="15" t="n">
        <v>123</v>
      </c>
    </row>
    <row r="1609">
      <c r="C1609" s="15" t="n">
        <v>124</v>
      </c>
    </row>
    <row r="1610">
      <c r="C1610" s="15" t="n">
        <v>125</v>
      </c>
    </row>
    <row r="1611">
      <c r="C1611" s="15" t="n">
        <v>126</v>
      </c>
    </row>
    <row r="1612">
      <c r="C1612" s="15" t="n">
        <v>127</v>
      </c>
    </row>
    <row r="1613">
      <c r="C1613" s="15" t="n">
        <v>128</v>
      </c>
    </row>
    <row r="1614">
      <c r="C1614" s="15" t="n">
        <v>129</v>
      </c>
    </row>
    <row r="1615">
      <c r="C1615" s="15" t="n">
        <v>130</v>
      </c>
    </row>
    <row r="1616">
      <c r="C1616" s="15" t="n">
        <v>131</v>
      </c>
    </row>
    <row r="1617">
      <c r="C1617" s="15" t="n">
        <v>132</v>
      </c>
    </row>
    <row r="1618">
      <c r="C1618" s="15" t="n">
        <v>133</v>
      </c>
    </row>
    <row r="1619">
      <c r="C1619" s="15" t="n">
        <v>134</v>
      </c>
    </row>
    <row r="1620">
      <c r="C1620" s="15" t="n">
        <v>135</v>
      </c>
    </row>
    <row r="1621">
      <c r="C1621" s="15" t="n">
        <v>136</v>
      </c>
    </row>
    <row r="1622">
      <c r="C1622" s="15" t="n">
        <v>137</v>
      </c>
    </row>
    <row r="1623">
      <c r="C1623" s="15" t="n">
        <v>138</v>
      </c>
    </row>
    <row r="1624">
      <c r="C1624" s="15" t="n">
        <v>139</v>
      </c>
    </row>
    <row r="1625">
      <c r="C1625" s="15" t="n">
        <v>140</v>
      </c>
    </row>
    <row r="1626">
      <c r="C1626" s="15" t="n">
        <v>141</v>
      </c>
    </row>
    <row r="1627">
      <c r="C1627" s="15" t="n">
        <v>142</v>
      </c>
    </row>
    <row r="1628">
      <c r="C1628" s="15" t="n">
        <v>143</v>
      </c>
    </row>
    <row r="1629">
      <c r="C1629" s="15" t="n">
        <v>144</v>
      </c>
    </row>
    <row r="1630">
      <c r="C1630" s="15" t="n">
        <v>145</v>
      </c>
    </row>
    <row r="1631">
      <c r="C1631" s="15" t="n">
        <v>146</v>
      </c>
    </row>
    <row r="1632">
      <c r="C1632" s="15" t="n">
        <v>147</v>
      </c>
    </row>
    <row r="1633">
      <c r="C1633" s="15" t="n">
        <v>148</v>
      </c>
    </row>
    <row r="1634">
      <c r="C1634" s="15" t="n">
        <v>149</v>
      </c>
    </row>
    <row r="1635">
      <c r="C1635" s="15" t="n">
        <v>150</v>
      </c>
    </row>
    <row r="1636">
      <c r="C1636" s="15" t="n">
        <v>151</v>
      </c>
    </row>
    <row r="1637">
      <c r="C1637" s="15" t="n">
        <v>152</v>
      </c>
    </row>
    <row r="1638">
      <c r="C1638" s="15" t="n">
        <v>153</v>
      </c>
    </row>
    <row r="1639">
      <c r="C1639" s="15" t="n">
        <v>154</v>
      </c>
    </row>
    <row r="1640">
      <c r="C1640" s="15" t="n">
        <v>155</v>
      </c>
    </row>
    <row r="1641">
      <c r="C1641" s="15" t="n">
        <v>156</v>
      </c>
    </row>
    <row r="1642">
      <c r="C1642" s="15" t="n">
        <v>157</v>
      </c>
    </row>
    <row r="1643">
      <c r="C1643" s="15" t="n">
        <v>158</v>
      </c>
    </row>
    <row r="1644">
      <c r="C1644" s="15" t="n">
        <v>159</v>
      </c>
    </row>
    <row r="1645">
      <c r="C1645" s="15" t="n">
        <v>160</v>
      </c>
    </row>
    <row r="1646">
      <c r="C1646" s="15" t="n">
        <v>161</v>
      </c>
    </row>
    <row r="1647">
      <c r="C1647" s="15" t="n">
        <v>162</v>
      </c>
    </row>
    <row r="1648">
      <c r="C1648" s="15" t="n">
        <v>163</v>
      </c>
    </row>
    <row r="1649">
      <c r="C1649" s="15" t="n">
        <v>164</v>
      </c>
    </row>
    <row r="1650">
      <c r="C1650" s="15" t="n">
        <v>165</v>
      </c>
    </row>
    <row r="1651">
      <c r="C1651" s="15" t="n">
        <v>166</v>
      </c>
    </row>
    <row r="1652">
      <c r="C1652" s="15" t="n">
        <v>167</v>
      </c>
    </row>
    <row r="1653">
      <c r="C1653" s="15" t="n">
        <v>168</v>
      </c>
    </row>
    <row r="1654">
      <c r="C1654" s="15" t="n">
        <v>169</v>
      </c>
    </row>
    <row r="1655">
      <c r="C1655" s="15" t="n">
        <v>170</v>
      </c>
    </row>
    <row r="1656">
      <c r="C1656" s="15" t="n">
        <v>171</v>
      </c>
    </row>
    <row r="1657">
      <c r="C1657" s="15" t="n">
        <v>172</v>
      </c>
    </row>
    <row r="1658">
      <c r="C1658" s="15" t="n">
        <v>173</v>
      </c>
    </row>
    <row r="1659">
      <c r="C1659" s="15" t="n">
        <v>174</v>
      </c>
    </row>
    <row r="1660">
      <c r="C1660" s="15" t="n">
        <v>175</v>
      </c>
    </row>
    <row r="1661">
      <c r="C1661" s="15" t="n">
        <v>176</v>
      </c>
    </row>
    <row r="1662">
      <c r="C1662" s="15" t="n">
        <v>177</v>
      </c>
    </row>
    <row r="1663">
      <c r="C1663" s="15" t="n">
        <v>178</v>
      </c>
    </row>
    <row r="1664">
      <c r="C1664" s="15" t="n">
        <v>179</v>
      </c>
    </row>
    <row r="1665">
      <c r="C1665" s="15" t="n">
        <v>180</v>
      </c>
    </row>
    <row r="1666">
      <c r="C1666" s="15" t="n">
        <v>181</v>
      </c>
    </row>
    <row r="1667">
      <c r="C1667" s="15" t="n">
        <v>182</v>
      </c>
    </row>
    <row r="1668">
      <c r="C1668" s="15" t="n">
        <v>183</v>
      </c>
    </row>
    <row r="1669">
      <c r="C1669" s="15" t="n">
        <v>184</v>
      </c>
    </row>
    <row r="1670">
      <c r="C1670" s="15" t="n">
        <v>185</v>
      </c>
    </row>
    <row r="1671">
      <c r="C1671" s="15" t="n">
        <v>186</v>
      </c>
    </row>
    <row r="1672">
      <c r="C1672" s="15" t="n">
        <v>187</v>
      </c>
    </row>
    <row r="1673">
      <c r="C1673" s="15" t="n">
        <v>188</v>
      </c>
    </row>
    <row r="1674">
      <c r="C1674" s="15" t="n">
        <v>189</v>
      </c>
    </row>
    <row r="1675">
      <c r="C1675" s="15" t="n">
        <v>190</v>
      </c>
    </row>
    <row r="1676">
      <c r="C1676" s="15" t="n">
        <v>191</v>
      </c>
    </row>
    <row r="1677">
      <c r="C1677" s="15" t="n">
        <v>192</v>
      </c>
    </row>
    <row r="1678">
      <c r="C1678" s="15" t="n">
        <v>193</v>
      </c>
    </row>
    <row r="1679">
      <c r="C1679" s="15" t="n">
        <v>194</v>
      </c>
    </row>
    <row r="1680">
      <c r="C1680" s="15" t="n">
        <v>195</v>
      </c>
    </row>
    <row r="1681">
      <c r="C1681" s="15" t="n">
        <v>196</v>
      </c>
    </row>
    <row r="1682">
      <c r="C1682" s="15" t="n">
        <v>197</v>
      </c>
    </row>
    <row r="1683">
      <c r="C1683" s="15" t="n">
        <v>198</v>
      </c>
    </row>
    <row r="1685">
      <c r="C1685" s="15" t="inlineStr">
        <is>
          <t>demand</t>
        </is>
      </c>
      <c r="D1685" s="15" t="n">
        <v>22</v>
      </c>
      <c r="E1685" s="15" t="n">
        <v>23</v>
      </c>
      <c r="F1685" s="15" t="n">
        <v>24</v>
      </c>
    </row>
    <row r="1686">
      <c r="C1686" s="15" t="n">
        <v>9</v>
      </c>
    </row>
    <row r="1687">
      <c r="C1687" s="15" t="n">
        <v>10</v>
      </c>
    </row>
    <row r="1688">
      <c r="C1688" s="15" t="n">
        <v>11</v>
      </c>
    </row>
    <row r="1689">
      <c r="C1689" s="15" t="n">
        <v>12</v>
      </c>
    </row>
    <row r="1690">
      <c r="C1690" s="15" t="n">
        <v>13</v>
      </c>
    </row>
    <row r="1691">
      <c r="C1691" s="15" t="n">
        <v>14</v>
      </c>
    </row>
    <row r="1692">
      <c r="C1692" s="15" t="n">
        <v>15</v>
      </c>
    </row>
    <row r="1693">
      <c r="C1693" s="15" t="n">
        <v>16</v>
      </c>
    </row>
    <row r="1694">
      <c r="C1694" s="15" t="n">
        <v>17</v>
      </c>
    </row>
    <row r="1695">
      <c r="C1695" s="15" t="n">
        <v>18</v>
      </c>
    </row>
    <row r="1696">
      <c r="C1696" s="15" t="n">
        <v>19</v>
      </c>
    </row>
    <row r="1697">
      <c r="C1697" s="15" t="n">
        <v>20</v>
      </c>
    </row>
    <row r="1698">
      <c r="C1698" s="15" t="n">
        <v>21</v>
      </c>
    </row>
    <row r="1699">
      <c r="C1699" s="15" t="n">
        <v>22</v>
      </c>
    </row>
    <row r="1700">
      <c r="C1700" s="15" t="n">
        <v>23</v>
      </c>
    </row>
    <row r="1701">
      <c r="C1701" s="15" t="n">
        <v>24</v>
      </c>
    </row>
    <row r="1702">
      <c r="C1702" s="15" t="n">
        <v>25</v>
      </c>
    </row>
    <row r="1703">
      <c r="C1703" s="15" t="n">
        <v>26</v>
      </c>
    </row>
    <row r="1704">
      <c r="C1704" s="15" t="n">
        <v>27</v>
      </c>
    </row>
    <row r="1705">
      <c r="C1705" s="15" t="n">
        <v>28</v>
      </c>
    </row>
    <row r="1706">
      <c r="C1706" s="15" t="n">
        <v>29</v>
      </c>
    </row>
    <row r="1707">
      <c r="C1707" s="15" t="n">
        <v>30</v>
      </c>
    </row>
    <row r="1708">
      <c r="C1708" s="15" t="n">
        <v>31</v>
      </c>
    </row>
    <row r="1709">
      <c r="C1709" s="15" t="n">
        <v>32</v>
      </c>
    </row>
    <row r="1710">
      <c r="C1710" s="15" t="n">
        <v>33</v>
      </c>
    </row>
    <row r="1711">
      <c r="C1711" s="15" t="n">
        <v>34</v>
      </c>
    </row>
    <row r="1712">
      <c r="C1712" s="15" t="n">
        <v>35</v>
      </c>
    </row>
    <row r="1713">
      <c r="C1713" s="15" t="n">
        <v>36</v>
      </c>
    </row>
    <row r="1714">
      <c r="C1714" s="15" t="n">
        <v>37</v>
      </c>
    </row>
    <row r="1715">
      <c r="C1715" s="15" t="n">
        <v>38</v>
      </c>
    </row>
    <row r="1716">
      <c r="C1716" s="15" t="n">
        <v>39</v>
      </c>
    </row>
    <row r="1717">
      <c r="C1717" s="15" t="n">
        <v>40</v>
      </c>
    </row>
    <row r="1718">
      <c r="C1718" s="15" t="n">
        <v>41</v>
      </c>
    </row>
    <row r="1719">
      <c r="C1719" s="15" t="n">
        <v>42</v>
      </c>
    </row>
    <row r="1720">
      <c r="C1720" s="15" t="n">
        <v>43</v>
      </c>
    </row>
    <row r="1721">
      <c r="C1721" s="15" t="n">
        <v>44</v>
      </c>
    </row>
    <row r="1722">
      <c r="C1722" s="15" t="n">
        <v>45</v>
      </c>
    </row>
    <row r="1723">
      <c r="C1723" s="15" t="n">
        <v>46</v>
      </c>
    </row>
    <row r="1724">
      <c r="C1724" s="15" t="n">
        <v>47</v>
      </c>
    </row>
    <row r="1725">
      <c r="C1725" s="15" t="n">
        <v>48</v>
      </c>
    </row>
    <row r="1726">
      <c r="C1726" s="15" t="n">
        <v>49</v>
      </c>
    </row>
    <row r="1727">
      <c r="C1727" s="15" t="n">
        <v>50</v>
      </c>
    </row>
    <row r="1728">
      <c r="C1728" s="15" t="n">
        <v>51</v>
      </c>
    </row>
    <row r="1729">
      <c r="C1729" s="15" t="n">
        <v>52</v>
      </c>
    </row>
    <row r="1730">
      <c r="C1730" s="15" t="n">
        <v>53</v>
      </c>
    </row>
    <row r="1731">
      <c r="C1731" s="15" t="n">
        <v>54</v>
      </c>
    </row>
    <row r="1732">
      <c r="C1732" s="15" t="n">
        <v>55</v>
      </c>
    </row>
    <row r="1733">
      <c r="C1733" s="15" t="n">
        <v>56</v>
      </c>
    </row>
    <row r="1734">
      <c r="C1734" s="15" t="n">
        <v>57</v>
      </c>
    </row>
    <row r="1735">
      <c r="C1735" s="15" t="n">
        <v>58</v>
      </c>
    </row>
    <row r="1736">
      <c r="C1736" s="15" t="n">
        <v>59</v>
      </c>
    </row>
    <row r="1737">
      <c r="C1737" s="15" t="n">
        <v>60</v>
      </c>
    </row>
    <row r="1738">
      <c r="C1738" s="15" t="n">
        <v>61</v>
      </c>
    </row>
    <row r="1739">
      <c r="C1739" s="15" t="n">
        <v>62</v>
      </c>
    </row>
    <row r="1740">
      <c r="C1740" s="15" t="n">
        <v>63</v>
      </c>
    </row>
    <row r="1741">
      <c r="C1741" s="15" t="n">
        <v>64</v>
      </c>
    </row>
    <row r="1742">
      <c r="C1742" s="15" t="n">
        <v>65</v>
      </c>
    </row>
    <row r="1743">
      <c r="C1743" s="15" t="n">
        <v>66</v>
      </c>
    </row>
    <row r="1744">
      <c r="C1744" s="15" t="n">
        <v>67</v>
      </c>
    </row>
    <row r="1745">
      <c r="C1745" s="15" t="n">
        <v>68</v>
      </c>
    </row>
    <row r="1746">
      <c r="C1746" s="15" t="n">
        <v>69</v>
      </c>
    </row>
    <row r="1747">
      <c r="C1747" s="15" t="n">
        <v>70</v>
      </c>
    </row>
    <row r="1748">
      <c r="C1748" s="15" t="n">
        <v>71</v>
      </c>
    </row>
    <row r="1749">
      <c r="C1749" s="15" t="n">
        <v>72</v>
      </c>
    </row>
    <row r="1750">
      <c r="C1750" s="15" t="n">
        <v>73</v>
      </c>
    </row>
    <row r="1751">
      <c r="C1751" s="15" t="n">
        <v>74</v>
      </c>
    </row>
    <row r="1752">
      <c r="C1752" s="15" t="n">
        <v>75</v>
      </c>
    </row>
    <row r="1753">
      <c r="C1753" s="15" t="n">
        <v>76</v>
      </c>
    </row>
    <row r="1754">
      <c r="C1754" s="15" t="n">
        <v>77</v>
      </c>
    </row>
    <row r="1755">
      <c r="C1755" s="15" t="n">
        <v>78</v>
      </c>
    </row>
    <row r="1756">
      <c r="C1756" s="15" t="n">
        <v>79</v>
      </c>
    </row>
    <row r="1757">
      <c r="C1757" s="15" t="n">
        <v>80</v>
      </c>
    </row>
    <row r="1758">
      <c r="C1758" s="15" t="n">
        <v>81</v>
      </c>
    </row>
    <row r="1759">
      <c r="C1759" s="15" t="n">
        <v>82</v>
      </c>
    </row>
    <row r="1760">
      <c r="C1760" s="15" t="n">
        <v>83</v>
      </c>
    </row>
    <row r="1761">
      <c r="C1761" s="15" t="n">
        <v>84</v>
      </c>
    </row>
    <row r="1762">
      <c r="C1762" s="15" t="n">
        <v>85</v>
      </c>
    </row>
    <row r="1763">
      <c r="C1763" s="15" t="n">
        <v>86</v>
      </c>
    </row>
    <row r="1764">
      <c r="C1764" s="15" t="n">
        <v>87</v>
      </c>
    </row>
    <row r="1765">
      <c r="C1765" s="15" t="n">
        <v>88</v>
      </c>
    </row>
    <row r="1766">
      <c r="C1766" s="15" t="n">
        <v>89</v>
      </c>
    </row>
    <row r="1767">
      <c r="C1767" s="15" t="n">
        <v>90</v>
      </c>
    </row>
    <row r="1768">
      <c r="C1768" s="15" t="n">
        <v>91</v>
      </c>
    </row>
    <row r="1769">
      <c r="C1769" s="15" t="n">
        <v>92</v>
      </c>
    </row>
    <row r="1770">
      <c r="C1770" s="15" t="n">
        <v>93</v>
      </c>
    </row>
    <row r="1771">
      <c r="C1771" s="15" t="n">
        <v>94</v>
      </c>
    </row>
    <row r="1772">
      <c r="C1772" s="15" t="n">
        <v>95</v>
      </c>
    </row>
    <row r="1773">
      <c r="C1773" s="15" t="n">
        <v>96</v>
      </c>
    </row>
    <row r="1774">
      <c r="C1774" s="15" t="n">
        <v>97</v>
      </c>
    </row>
    <row r="1775">
      <c r="C1775" s="15" t="n">
        <v>98</v>
      </c>
    </row>
    <row r="1776">
      <c r="C1776" s="15" t="n">
        <v>99</v>
      </c>
    </row>
    <row r="1777">
      <c r="C1777" s="15" t="n">
        <v>100</v>
      </c>
    </row>
    <row r="1778">
      <c r="C1778" s="15" t="n">
        <v>101</v>
      </c>
    </row>
    <row r="1779">
      <c r="C1779" s="15" t="n">
        <v>102</v>
      </c>
    </row>
    <row r="1780">
      <c r="C1780" s="15" t="n">
        <v>103</v>
      </c>
    </row>
    <row r="1781">
      <c r="C1781" s="15" t="n">
        <v>104</v>
      </c>
    </row>
    <row r="1782">
      <c r="C1782" s="15" t="n">
        <v>105</v>
      </c>
    </row>
    <row r="1783">
      <c r="C1783" s="15" t="n">
        <v>106</v>
      </c>
    </row>
    <row r="1784">
      <c r="C1784" s="15" t="n">
        <v>107</v>
      </c>
    </row>
    <row r="1785">
      <c r="C1785" s="15" t="n">
        <v>108</v>
      </c>
    </row>
    <row r="1786">
      <c r="C1786" s="15" t="n">
        <v>109</v>
      </c>
    </row>
    <row r="1787">
      <c r="C1787" s="15" t="n">
        <v>110</v>
      </c>
    </row>
    <row r="1788">
      <c r="C1788" s="15" t="n">
        <v>111</v>
      </c>
    </row>
    <row r="1789">
      <c r="C1789" s="15" t="n">
        <v>112</v>
      </c>
    </row>
    <row r="1790">
      <c r="C1790" s="15" t="n">
        <v>113</v>
      </c>
    </row>
    <row r="1791">
      <c r="C1791" s="15" t="n">
        <v>114</v>
      </c>
    </row>
    <row r="1792">
      <c r="C1792" s="15" t="n">
        <v>115</v>
      </c>
    </row>
    <row r="1793">
      <c r="C1793" s="15" t="n">
        <v>116</v>
      </c>
    </row>
    <row r="1794">
      <c r="C1794" s="15" t="n">
        <v>117</v>
      </c>
    </row>
    <row r="1795">
      <c r="C1795" s="15" t="n">
        <v>118</v>
      </c>
    </row>
    <row r="1796">
      <c r="C1796" s="15" t="n">
        <v>119</v>
      </c>
    </row>
    <row r="1797">
      <c r="C1797" s="15" t="n">
        <v>120</v>
      </c>
    </row>
    <row r="1798">
      <c r="C1798" s="15" t="n">
        <v>121</v>
      </c>
    </row>
    <row r="1799">
      <c r="C1799" s="15" t="n">
        <v>122</v>
      </c>
    </row>
    <row r="1800">
      <c r="C1800" s="15" t="n">
        <v>123</v>
      </c>
    </row>
    <row r="1801">
      <c r="C1801" s="15" t="n">
        <v>124</v>
      </c>
    </row>
    <row r="1802">
      <c r="C1802" s="15" t="n">
        <v>125</v>
      </c>
    </row>
    <row r="1803">
      <c r="C1803" s="15" t="n">
        <v>126</v>
      </c>
    </row>
    <row r="1804">
      <c r="C1804" s="15" t="n">
        <v>127</v>
      </c>
    </row>
    <row r="1805">
      <c r="C1805" s="15" t="n">
        <v>128</v>
      </c>
    </row>
    <row r="1806">
      <c r="C1806" s="15" t="n">
        <v>129</v>
      </c>
    </row>
    <row r="1807">
      <c r="C1807" s="15" t="n">
        <v>130</v>
      </c>
    </row>
    <row r="1808">
      <c r="C1808" s="15" t="n">
        <v>131</v>
      </c>
    </row>
    <row r="1809">
      <c r="C1809" s="15" t="n">
        <v>132</v>
      </c>
    </row>
    <row r="1810">
      <c r="C1810" s="15" t="n">
        <v>133</v>
      </c>
    </row>
    <row r="1811">
      <c r="C1811" s="15" t="n">
        <v>134</v>
      </c>
    </row>
    <row r="1812">
      <c r="C1812" s="15" t="n">
        <v>135</v>
      </c>
    </row>
    <row r="1813">
      <c r="C1813" s="15" t="n">
        <v>136</v>
      </c>
    </row>
    <row r="1814">
      <c r="C1814" s="15" t="n">
        <v>137</v>
      </c>
    </row>
    <row r="1815">
      <c r="C1815" s="15" t="n">
        <v>138</v>
      </c>
    </row>
    <row r="1816">
      <c r="C1816" s="15" t="n">
        <v>139</v>
      </c>
    </row>
    <row r="1817">
      <c r="C1817" s="15" t="n">
        <v>140</v>
      </c>
    </row>
    <row r="1818">
      <c r="C1818" s="15" t="n">
        <v>141</v>
      </c>
    </row>
    <row r="1819">
      <c r="C1819" s="15" t="n">
        <v>142</v>
      </c>
    </row>
    <row r="1820">
      <c r="C1820" s="15" t="n">
        <v>143</v>
      </c>
    </row>
    <row r="1821">
      <c r="C1821" s="15" t="n">
        <v>144</v>
      </c>
    </row>
    <row r="1822">
      <c r="C1822" s="15" t="n">
        <v>145</v>
      </c>
    </row>
    <row r="1823">
      <c r="C1823" s="15" t="n">
        <v>146</v>
      </c>
    </row>
    <row r="1824">
      <c r="C1824" s="15" t="n">
        <v>147</v>
      </c>
    </row>
    <row r="1825">
      <c r="C1825" s="15" t="n">
        <v>148</v>
      </c>
    </row>
    <row r="1826">
      <c r="C1826" s="15" t="n">
        <v>149</v>
      </c>
    </row>
    <row r="1827">
      <c r="C1827" s="15" t="n">
        <v>150</v>
      </c>
    </row>
    <row r="1828">
      <c r="C1828" s="15" t="n">
        <v>151</v>
      </c>
    </row>
    <row r="1829">
      <c r="C1829" s="15" t="n">
        <v>152</v>
      </c>
    </row>
    <row r="1830">
      <c r="C1830" s="15" t="n">
        <v>153</v>
      </c>
    </row>
    <row r="1831">
      <c r="C1831" s="15" t="n">
        <v>154</v>
      </c>
    </row>
    <row r="1832">
      <c r="C1832" s="15" t="n">
        <v>155</v>
      </c>
    </row>
    <row r="1833">
      <c r="C1833" s="15" t="n">
        <v>156</v>
      </c>
    </row>
    <row r="1834">
      <c r="C1834" s="15" t="n">
        <v>157</v>
      </c>
    </row>
    <row r="1835">
      <c r="C1835" s="15" t="n">
        <v>158</v>
      </c>
    </row>
    <row r="1836">
      <c r="C1836" s="15" t="n">
        <v>159</v>
      </c>
    </row>
    <row r="1837">
      <c r="C1837" s="15" t="n">
        <v>160</v>
      </c>
    </row>
    <row r="1838">
      <c r="C1838" s="15" t="n">
        <v>161</v>
      </c>
    </row>
    <row r="1839">
      <c r="C1839" s="15" t="n">
        <v>162</v>
      </c>
    </row>
    <row r="1840">
      <c r="C1840" s="15" t="n">
        <v>163</v>
      </c>
    </row>
    <row r="1841">
      <c r="C1841" s="15" t="n">
        <v>164</v>
      </c>
    </row>
    <row r="1842">
      <c r="C1842" s="15" t="n">
        <v>165</v>
      </c>
    </row>
    <row r="1843">
      <c r="C1843" s="15" t="n">
        <v>166</v>
      </c>
    </row>
    <row r="1844">
      <c r="C1844" s="15" t="n">
        <v>167</v>
      </c>
    </row>
    <row r="1845">
      <c r="C1845" s="15" t="n">
        <v>168</v>
      </c>
    </row>
    <row r="1846">
      <c r="C1846" s="15" t="n">
        <v>169</v>
      </c>
    </row>
    <row r="1847">
      <c r="C1847" s="15" t="n">
        <v>170</v>
      </c>
    </row>
    <row r="1848">
      <c r="C1848" s="15" t="n">
        <v>171</v>
      </c>
    </row>
    <row r="1849">
      <c r="C1849" s="15" t="n">
        <v>172</v>
      </c>
    </row>
    <row r="1850">
      <c r="C1850" s="15" t="n">
        <v>173</v>
      </c>
    </row>
    <row r="1851">
      <c r="C1851" s="15" t="n">
        <v>174</v>
      </c>
    </row>
    <row r="1852">
      <c r="C1852" s="15" t="n">
        <v>175</v>
      </c>
    </row>
    <row r="1853">
      <c r="C1853" s="15" t="n">
        <v>176</v>
      </c>
    </row>
    <row r="1854">
      <c r="C1854" s="15" t="n">
        <v>177</v>
      </c>
    </row>
    <row r="1855">
      <c r="C1855" s="15" t="n">
        <v>178</v>
      </c>
    </row>
    <row r="1856">
      <c r="C1856" s="15" t="n">
        <v>179</v>
      </c>
    </row>
    <row r="1857">
      <c r="C1857" s="15" t="n">
        <v>180</v>
      </c>
    </row>
    <row r="1858">
      <c r="C1858" s="15" t="n">
        <v>181</v>
      </c>
    </row>
    <row r="1859">
      <c r="C1859" s="15" t="n">
        <v>182</v>
      </c>
    </row>
    <row r="1860">
      <c r="C1860" s="15" t="n">
        <v>183</v>
      </c>
    </row>
    <row r="1861">
      <c r="C1861" s="15" t="n">
        <v>184</v>
      </c>
    </row>
    <row r="1862">
      <c r="C1862" s="15" t="n">
        <v>185</v>
      </c>
    </row>
    <row r="1863">
      <c r="C1863" s="15" t="n">
        <v>186</v>
      </c>
    </row>
    <row r="1864">
      <c r="C1864" s="15" t="n">
        <v>187</v>
      </c>
    </row>
    <row r="1865">
      <c r="C1865" s="15" t="n">
        <v>188</v>
      </c>
    </row>
    <row r="1866">
      <c r="C1866" s="15" t="n">
        <v>189</v>
      </c>
    </row>
    <row r="1867">
      <c r="C1867" s="15" t="n">
        <v>190</v>
      </c>
    </row>
    <row r="1868">
      <c r="C1868" s="15" t="n">
        <v>191</v>
      </c>
    </row>
    <row r="1869">
      <c r="C1869" s="15" t="n">
        <v>192</v>
      </c>
    </row>
    <row r="1870">
      <c r="C1870" s="15" t="n">
        <v>193</v>
      </c>
    </row>
    <row r="1871">
      <c r="C1871" s="15" t="n">
        <v>194</v>
      </c>
    </row>
    <row r="1872">
      <c r="C1872" s="15" t="n">
        <v>195</v>
      </c>
    </row>
    <row r="1873">
      <c r="C1873" s="15" t="n">
        <v>196</v>
      </c>
    </row>
    <row r="1874">
      <c r="C1874" s="15" t="n">
        <v>197</v>
      </c>
    </row>
    <row r="1875">
      <c r="C1875" s="15" t="n">
        <v>198</v>
      </c>
    </row>
    <row r="1877">
      <c r="B1877" s="15" t="inlineStr">
        <is>
          <t>Parâmetros p/ μy</t>
        </is>
      </c>
      <c r="C1877" s="15" t="inlineStr">
        <is>
          <t>Média(E(RLT))</t>
        </is>
      </c>
      <c r="D1877" s="15" t="n">
        <v>22</v>
      </c>
      <c r="E1877" s="15" t="n">
        <v>23</v>
      </c>
      <c r="F1877" s="15" t="n">
        <v>24</v>
      </c>
    </row>
    <row r="1878" ht="16.2" customHeight="1">
      <c r="B1878" s="15" t="inlineStr">
        <is>
          <t>ND*RLT e S2nd</t>
        </is>
      </c>
      <c r="C1878" s="15" t="n">
        <v>9</v>
      </c>
    </row>
    <row r="1879">
      <c r="C1879" s="15" t="n">
        <v>10</v>
      </c>
    </row>
    <row r="1880">
      <c r="C1880" s="15" t="n">
        <v>11</v>
      </c>
    </row>
    <row r="1881">
      <c r="C1881" s="15" t="n">
        <v>12</v>
      </c>
    </row>
    <row r="1882">
      <c r="C1882" s="15" t="n">
        <v>13</v>
      </c>
    </row>
    <row r="1883">
      <c r="C1883" s="15" t="n">
        <v>14</v>
      </c>
    </row>
    <row r="1884">
      <c r="C1884" s="15" t="n">
        <v>15</v>
      </c>
    </row>
    <row r="1885">
      <c r="C1885" s="15" t="n">
        <v>16</v>
      </c>
    </row>
    <row r="1886">
      <c r="C1886" s="15" t="n">
        <v>17</v>
      </c>
    </row>
    <row r="1887">
      <c r="C1887" s="15" t="n">
        <v>18</v>
      </c>
    </row>
    <row r="1888">
      <c r="C1888" s="15" t="n">
        <v>19</v>
      </c>
    </row>
    <row r="1889">
      <c r="C1889" s="15" t="n">
        <v>20</v>
      </c>
    </row>
    <row r="1890">
      <c r="C1890" s="15" t="n">
        <v>21</v>
      </c>
    </row>
    <row r="1891">
      <c r="C1891" s="15" t="n">
        <v>22</v>
      </c>
    </row>
    <row r="1892">
      <c r="C1892" s="15" t="n">
        <v>23</v>
      </c>
    </row>
    <row r="1893">
      <c r="C1893" s="15" t="n">
        <v>24</v>
      </c>
    </row>
    <row r="1894">
      <c r="C1894" s="15" t="n">
        <v>25</v>
      </c>
    </row>
    <row r="1895">
      <c r="C1895" s="15" t="n">
        <v>26</v>
      </c>
    </row>
    <row r="1896">
      <c r="C1896" s="15" t="n">
        <v>27</v>
      </c>
    </row>
    <row r="1897">
      <c r="C1897" s="15" t="n">
        <v>28</v>
      </c>
    </row>
    <row r="1898">
      <c r="C1898" s="15" t="n">
        <v>29</v>
      </c>
    </row>
    <row r="1899">
      <c r="C1899" s="15" t="n">
        <v>30</v>
      </c>
    </row>
    <row r="1900">
      <c r="C1900" s="15" t="n">
        <v>31</v>
      </c>
    </row>
    <row r="1901">
      <c r="C1901" s="15" t="n">
        <v>32</v>
      </c>
    </row>
    <row r="1902">
      <c r="C1902" s="15" t="n">
        <v>33</v>
      </c>
    </row>
    <row r="1903">
      <c r="C1903" s="15" t="n">
        <v>34</v>
      </c>
    </row>
    <row r="1904">
      <c r="C1904" s="15" t="n">
        <v>35</v>
      </c>
    </row>
    <row r="1905">
      <c r="C1905" s="15" t="n">
        <v>36</v>
      </c>
    </row>
    <row r="1906">
      <c r="C1906" s="15" t="n">
        <v>37</v>
      </c>
    </row>
    <row r="1907">
      <c r="C1907" s="15" t="n">
        <v>38</v>
      </c>
    </row>
    <row r="1908">
      <c r="C1908" s="15" t="n">
        <v>39</v>
      </c>
    </row>
    <row r="1909">
      <c r="C1909" s="15" t="n">
        <v>40</v>
      </c>
    </row>
    <row r="1910">
      <c r="C1910" s="15" t="n">
        <v>41</v>
      </c>
    </row>
    <row r="1911">
      <c r="C1911" s="15" t="n">
        <v>42</v>
      </c>
    </row>
    <row r="1912">
      <c r="C1912" s="15" t="n">
        <v>43</v>
      </c>
    </row>
    <row r="1913">
      <c r="C1913" s="15" t="n">
        <v>44</v>
      </c>
    </row>
    <row r="1914">
      <c r="C1914" s="15" t="n">
        <v>45</v>
      </c>
    </row>
    <row r="1915">
      <c r="C1915" s="15" t="n">
        <v>46</v>
      </c>
    </row>
    <row r="1916">
      <c r="C1916" s="15" t="n">
        <v>47</v>
      </c>
    </row>
    <row r="1917">
      <c r="C1917" s="15" t="n">
        <v>48</v>
      </c>
    </row>
    <row r="1918">
      <c r="C1918" s="15" t="n">
        <v>49</v>
      </c>
    </row>
    <row r="1919">
      <c r="C1919" s="15" t="n">
        <v>50</v>
      </c>
    </row>
    <row r="1920">
      <c r="C1920" s="15" t="n">
        <v>51</v>
      </c>
    </row>
    <row r="1921">
      <c r="C1921" s="15" t="n">
        <v>52</v>
      </c>
    </row>
    <row r="1922">
      <c r="C1922" s="15" t="n">
        <v>53</v>
      </c>
    </row>
    <row r="1923">
      <c r="C1923" s="15" t="n">
        <v>54</v>
      </c>
    </row>
    <row r="1924">
      <c r="C1924" s="15" t="n">
        <v>55</v>
      </c>
    </row>
    <row r="1925">
      <c r="C1925" s="15" t="n">
        <v>56</v>
      </c>
    </row>
    <row r="1926">
      <c r="C1926" s="15" t="n">
        <v>57</v>
      </c>
    </row>
    <row r="1927">
      <c r="C1927" s="15" t="n">
        <v>58</v>
      </c>
    </row>
    <row r="1928">
      <c r="C1928" s="15" t="n">
        <v>59</v>
      </c>
    </row>
    <row r="1929">
      <c r="C1929" s="15" t="n">
        <v>60</v>
      </c>
    </row>
    <row r="1930">
      <c r="C1930" s="15" t="n">
        <v>61</v>
      </c>
    </row>
    <row r="1931">
      <c r="C1931" s="15" t="n">
        <v>62</v>
      </c>
    </row>
    <row r="1932">
      <c r="C1932" s="15" t="n">
        <v>63</v>
      </c>
    </row>
    <row r="1933">
      <c r="C1933" s="15" t="n">
        <v>64</v>
      </c>
    </row>
    <row r="1934">
      <c r="C1934" s="15" t="n">
        <v>65</v>
      </c>
    </row>
    <row r="1935">
      <c r="C1935" s="15" t="n">
        <v>66</v>
      </c>
    </row>
    <row r="1936">
      <c r="C1936" s="15" t="n">
        <v>67</v>
      </c>
    </row>
    <row r="1937">
      <c r="C1937" s="15" t="n">
        <v>68</v>
      </c>
    </row>
    <row r="1938">
      <c r="C1938" s="15" t="n">
        <v>69</v>
      </c>
    </row>
    <row r="1939">
      <c r="C1939" s="15" t="n">
        <v>70</v>
      </c>
    </row>
    <row r="1940">
      <c r="C1940" s="15" t="n">
        <v>71</v>
      </c>
    </row>
    <row r="1941">
      <c r="C1941" s="15" t="n">
        <v>72</v>
      </c>
    </row>
    <row r="1942">
      <c r="C1942" s="15" t="n">
        <v>73</v>
      </c>
    </row>
    <row r="1943">
      <c r="C1943" s="15" t="n">
        <v>74</v>
      </c>
    </row>
    <row r="1944">
      <c r="C1944" s="15" t="n">
        <v>75</v>
      </c>
    </row>
    <row r="1945">
      <c r="C1945" s="15" t="n">
        <v>76</v>
      </c>
    </row>
    <row r="1946">
      <c r="C1946" s="15" t="n">
        <v>77</v>
      </c>
    </row>
    <row r="1947">
      <c r="C1947" s="15" t="n">
        <v>78</v>
      </c>
    </row>
    <row r="1948">
      <c r="C1948" s="15" t="n">
        <v>79</v>
      </c>
    </row>
    <row r="1949">
      <c r="C1949" s="15" t="n">
        <v>80</v>
      </c>
    </row>
    <row r="1950">
      <c r="C1950" s="15" t="n">
        <v>81</v>
      </c>
    </row>
    <row r="1951">
      <c r="C1951" s="15" t="n">
        <v>82</v>
      </c>
    </row>
    <row r="1952">
      <c r="C1952" s="15" t="n">
        <v>83</v>
      </c>
    </row>
    <row r="1953">
      <c r="C1953" s="15" t="n">
        <v>84</v>
      </c>
    </row>
    <row r="1954">
      <c r="C1954" s="15" t="n">
        <v>85</v>
      </c>
    </row>
    <row r="1955">
      <c r="C1955" s="15" t="n">
        <v>86</v>
      </c>
    </row>
    <row r="1956">
      <c r="C1956" s="15" t="n">
        <v>87</v>
      </c>
    </row>
    <row r="1957">
      <c r="C1957" s="15" t="n">
        <v>88</v>
      </c>
    </row>
    <row r="1958">
      <c r="C1958" s="15" t="n">
        <v>89</v>
      </c>
    </row>
    <row r="1959">
      <c r="C1959" s="15" t="n">
        <v>90</v>
      </c>
    </row>
    <row r="1960">
      <c r="C1960" s="15" t="n">
        <v>91</v>
      </c>
    </row>
    <row r="1961">
      <c r="C1961" s="15" t="n">
        <v>92</v>
      </c>
    </row>
    <row r="1962">
      <c r="C1962" s="15" t="n">
        <v>93</v>
      </c>
    </row>
    <row r="1963">
      <c r="C1963" s="15" t="n">
        <v>94</v>
      </c>
    </row>
    <row r="1964">
      <c r="C1964" s="15" t="n">
        <v>95</v>
      </c>
    </row>
    <row r="1965">
      <c r="C1965" s="15" t="n">
        <v>96</v>
      </c>
    </row>
    <row r="1966">
      <c r="C1966" s="15" t="n">
        <v>97</v>
      </c>
    </row>
    <row r="1967">
      <c r="C1967" s="15" t="n">
        <v>98</v>
      </c>
    </row>
    <row r="1968">
      <c r="C1968" s="15" t="n">
        <v>99</v>
      </c>
    </row>
    <row r="1969">
      <c r="C1969" s="15" t="n">
        <v>100</v>
      </c>
    </row>
    <row r="1970">
      <c r="C1970" s="15" t="n">
        <v>101</v>
      </c>
    </row>
    <row r="1971">
      <c r="C1971" s="15" t="n">
        <v>102</v>
      </c>
    </row>
    <row r="1972">
      <c r="C1972" s="15" t="n">
        <v>103</v>
      </c>
    </row>
    <row r="1973">
      <c r="C1973" s="15" t="n">
        <v>104</v>
      </c>
    </row>
    <row r="1974">
      <c r="C1974" s="15" t="n">
        <v>105</v>
      </c>
    </row>
    <row r="1975">
      <c r="C1975" s="15" t="n">
        <v>106</v>
      </c>
    </row>
    <row r="1976">
      <c r="C1976" s="15" t="n">
        <v>107</v>
      </c>
    </row>
    <row r="1977">
      <c r="C1977" s="15" t="n">
        <v>108</v>
      </c>
    </row>
    <row r="1978">
      <c r="C1978" s="15" t="n">
        <v>109</v>
      </c>
    </row>
    <row r="1979">
      <c r="C1979" s="15" t="n">
        <v>110</v>
      </c>
    </row>
    <row r="1980">
      <c r="C1980" s="15" t="n">
        <v>111</v>
      </c>
    </row>
    <row r="1981">
      <c r="C1981" s="15" t="n">
        <v>112</v>
      </c>
    </row>
    <row r="1982">
      <c r="C1982" s="15" t="n">
        <v>113</v>
      </c>
    </row>
    <row r="1983">
      <c r="C1983" s="15" t="n">
        <v>114</v>
      </c>
    </row>
    <row r="1984">
      <c r="C1984" s="15" t="n">
        <v>115</v>
      </c>
    </row>
    <row r="1985">
      <c r="C1985" s="15" t="n">
        <v>116</v>
      </c>
    </row>
    <row r="1986">
      <c r="C1986" s="15" t="n">
        <v>117</v>
      </c>
    </row>
    <row r="1987">
      <c r="C1987" s="15" t="n">
        <v>118</v>
      </c>
    </row>
    <row r="1988">
      <c r="C1988" s="15" t="n">
        <v>119</v>
      </c>
    </row>
    <row r="1989">
      <c r="C1989" s="15" t="n">
        <v>120</v>
      </c>
    </row>
    <row r="1990">
      <c r="C1990" s="15" t="n">
        <v>121</v>
      </c>
    </row>
    <row r="1991">
      <c r="C1991" s="15" t="n">
        <v>122</v>
      </c>
    </row>
    <row r="1992">
      <c r="C1992" s="15" t="n">
        <v>123</v>
      </c>
    </row>
    <row r="1993">
      <c r="C1993" s="15" t="n">
        <v>124</v>
      </c>
    </row>
    <row r="1994">
      <c r="C1994" s="15" t="n">
        <v>125</v>
      </c>
    </row>
    <row r="1995">
      <c r="C1995" s="15" t="n">
        <v>126</v>
      </c>
    </row>
    <row r="1996">
      <c r="C1996" s="15" t="n">
        <v>127</v>
      </c>
    </row>
    <row r="1997">
      <c r="C1997" s="15" t="n">
        <v>128</v>
      </c>
    </row>
    <row r="1998">
      <c r="C1998" s="15" t="n">
        <v>129</v>
      </c>
    </row>
    <row r="1999">
      <c r="C1999" s="15" t="n">
        <v>130</v>
      </c>
    </row>
    <row r="2000">
      <c r="C2000" s="15" t="n">
        <v>131</v>
      </c>
    </row>
    <row r="2001">
      <c r="C2001" s="15" t="n">
        <v>132</v>
      </c>
    </row>
    <row r="2002">
      <c r="C2002" s="15" t="n">
        <v>133</v>
      </c>
    </row>
    <row r="2003">
      <c r="C2003" s="15" t="n">
        <v>134</v>
      </c>
    </row>
    <row r="2004">
      <c r="C2004" s="15" t="n">
        <v>135</v>
      </c>
    </row>
    <row r="2005">
      <c r="C2005" s="15" t="n">
        <v>136</v>
      </c>
    </row>
    <row r="2006">
      <c r="C2006" s="15" t="n">
        <v>137</v>
      </c>
    </row>
    <row r="2007">
      <c r="C2007" s="15" t="n">
        <v>138</v>
      </c>
    </row>
    <row r="2008">
      <c r="C2008" s="15" t="n">
        <v>139</v>
      </c>
    </row>
    <row r="2009">
      <c r="C2009" s="15" t="n">
        <v>140</v>
      </c>
    </row>
    <row r="2010">
      <c r="C2010" s="15" t="n">
        <v>141</v>
      </c>
    </row>
    <row r="2011">
      <c r="C2011" s="15" t="n">
        <v>142</v>
      </c>
    </row>
    <row r="2012">
      <c r="C2012" s="15" t="n">
        <v>143</v>
      </c>
    </row>
    <row r="2013">
      <c r="C2013" s="15" t="n">
        <v>144</v>
      </c>
    </row>
    <row r="2014">
      <c r="C2014" s="15" t="n">
        <v>145</v>
      </c>
    </row>
    <row r="2015">
      <c r="C2015" s="15" t="n">
        <v>146</v>
      </c>
    </row>
    <row r="2016">
      <c r="C2016" s="15" t="n">
        <v>147</v>
      </c>
    </row>
    <row r="2017">
      <c r="C2017" s="15" t="n">
        <v>148</v>
      </c>
    </row>
    <row r="2018">
      <c r="C2018" s="15" t="n">
        <v>149</v>
      </c>
    </row>
    <row r="2019">
      <c r="C2019" s="15" t="n">
        <v>150</v>
      </c>
    </row>
    <row r="2020">
      <c r="C2020" s="15" t="n">
        <v>151</v>
      </c>
    </row>
    <row r="2021">
      <c r="C2021" s="15" t="n">
        <v>152</v>
      </c>
    </row>
    <row r="2022">
      <c r="C2022" s="15" t="n">
        <v>153</v>
      </c>
    </row>
    <row r="2023">
      <c r="C2023" s="15" t="n">
        <v>154</v>
      </c>
    </row>
    <row r="2024">
      <c r="C2024" s="15" t="n">
        <v>155</v>
      </c>
    </row>
    <row r="2025">
      <c r="C2025" s="15" t="n">
        <v>156</v>
      </c>
    </row>
    <row r="2026">
      <c r="C2026" s="15" t="n">
        <v>157</v>
      </c>
    </row>
    <row r="2027">
      <c r="C2027" s="15" t="n">
        <v>158</v>
      </c>
    </row>
    <row r="2028">
      <c r="C2028" s="15" t="n">
        <v>159</v>
      </c>
    </row>
    <row r="2029">
      <c r="C2029" s="15" t="n">
        <v>160</v>
      </c>
    </row>
    <row r="2030">
      <c r="C2030" s="15" t="n">
        <v>161</v>
      </c>
    </row>
    <row r="2031">
      <c r="C2031" s="15" t="n">
        <v>162</v>
      </c>
    </row>
    <row r="2032">
      <c r="C2032" s="15" t="n">
        <v>163</v>
      </c>
    </row>
    <row r="2033">
      <c r="C2033" s="15" t="n">
        <v>164</v>
      </c>
    </row>
    <row r="2034">
      <c r="C2034" s="15" t="n">
        <v>165</v>
      </c>
    </row>
    <row r="2035">
      <c r="C2035" s="15" t="n">
        <v>166</v>
      </c>
    </row>
    <row r="2036">
      <c r="C2036" s="15" t="n">
        <v>167</v>
      </c>
    </row>
    <row r="2037">
      <c r="C2037" s="15" t="n">
        <v>168</v>
      </c>
    </row>
    <row r="2038">
      <c r="C2038" s="15" t="n">
        <v>169</v>
      </c>
    </row>
    <row r="2039">
      <c r="C2039" s="15" t="n">
        <v>170</v>
      </c>
    </row>
    <row r="2040">
      <c r="C2040" s="15" t="n">
        <v>171</v>
      </c>
    </row>
    <row r="2041">
      <c r="C2041" s="15" t="n">
        <v>172</v>
      </c>
    </row>
    <row r="2042">
      <c r="C2042" s="15" t="n">
        <v>173</v>
      </c>
    </row>
    <row r="2043">
      <c r="C2043" s="15" t="n">
        <v>174</v>
      </c>
    </row>
    <row r="2044">
      <c r="C2044" s="15" t="n">
        <v>175</v>
      </c>
    </row>
    <row r="2045">
      <c r="C2045" s="15" t="n">
        <v>176</v>
      </c>
    </row>
    <row r="2046">
      <c r="C2046" s="15" t="n">
        <v>177</v>
      </c>
    </row>
    <row r="2047">
      <c r="C2047" s="15" t="n">
        <v>178</v>
      </c>
    </row>
    <row r="2048">
      <c r="C2048" s="15" t="n">
        <v>179</v>
      </c>
    </row>
    <row r="2049">
      <c r="C2049" s="15" t="n">
        <v>180</v>
      </c>
    </row>
    <row r="2050">
      <c r="C2050" s="15" t="n">
        <v>181</v>
      </c>
    </row>
    <row r="2051">
      <c r="C2051" s="15" t="n">
        <v>182</v>
      </c>
    </row>
    <row r="2052">
      <c r="C2052" s="15" t="n">
        <v>183</v>
      </c>
    </row>
    <row r="2053">
      <c r="C2053" s="15" t="n">
        <v>184</v>
      </c>
    </row>
    <row r="2054">
      <c r="C2054" s="15" t="n">
        <v>185</v>
      </c>
    </row>
    <row r="2055">
      <c r="C2055" s="15" t="n">
        <v>186</v>
      </c>
    </row>
    <row r="2056">
      <c r="C2056" s="15" t="n">
        <v>187</v>
      </c>
    </row>
    <row r="2057">
      <c r="C2057" s="15" t="n">
        <v>188</v>
      </c>
    </row>
    <row r="2058">
      <c r="C2058" s="15" t="n">
        <v>189</v>
      </c>
    </row>
    <row r="2059">
      <c r="C2059" s="15" t="n">
        <v>190</v>
      </c>
    </row>
    <row r="2060">
      <c r="C2060" s="15" t="n">
        <v>191</v>
      </c>
    </row>
    <row r="2061">
      <c r="C2061" s="15" t="n">
        <v>192</v>
      </c>
    </row>
    <row r="2062">
      <c r="C2062" s="15" t="n">
        <v>193</v>
      </c>
    </row>
    <row r="2063">
      <c r="C2063" s="15" t="n">
        <v>194</v>
      </c>
    </row>
    <row r="2064">
      <c r="C2064" s="15" t="n">
        <v>195</v>
      </c>
    </row>
    <row r="2065">
      <c r="C2065" s="15" t="n">
        <v>196</v>
      </c>
    </row>
    <row r="2066">
      <c r="C2066" s="15" t="n">
        <v>197</v>
      </c>
    </row>
    <row r="2067">
      <c r="C2067" s="15" t="n">
        <v>198</v>
      </c>
    </row>
    <row r="2069">
      <c r="C2069" s="15" t="inlineStr">
        <is>
          <t>Cap</t>
        </is>
      </c>
      <c r="D2069" s="15" t="n">
        <v>22</v>
      </c>
      <c r="E2069" s="15" t="n">
        <v>23</v>
      </c>
      <c r="F2069" s="15" t="n">
        <v>24</v>
      </c>
    </row>
    <row r="2070">
      <c r="C2070" s="15" t="n">
        <v>9</v>
      </c>
    </row>
    <row r="2071">
      <c r="C2071" s="15" t="n">
        <v>10</v>
      </c>
    </row>
    <row r="2072">
      <c r="C2072" s="15" t="n">
        <v>11</v>
      </c>
    </row>
    <row r="2073">
      <c r="C2073" s="15" t="n">
        <v>12</v>
      </c>
    </row>
    <row r="2074">
      <c r="C2074" s="15" t="n">
        <v>13</v>
      </c>
    </row>
    <row r="2075">
      <c r="C2075" s="15" t="n">
        <v>14</v>
      </c>
    </row>
    <row r="2076">
      <c r="C2076" s="15" t="n">
        <v>15</v>
      </c>
    </row>
    <row r="2077">
      <c r="C2077" s="15" t="n">
        <v>16</v>
      </c>
    </row>
    <row r="2078">
      <c r="C2078" s="15" t="n">
        <v>17</v>
      </c>
    </row>
    <row r="2079">
      <c r="C2079" s="15" t="n">
        <v>18</v>
      </c>
    </row>
    <row r="2080">
      <c r="C2080" s="15" t="n">
        <v>19</v>
      </c>
    </row>
    <row r="2081">
      <c r="C2081" s="15" t="n">
        <v>20</v>
      </c>
    </row>
    <row r="2082">
      <c r="C2082" s="15" t="n">
        <v>21</v>
      </c>
    </row>
    <row r="2083">
      <c r="C2083" s="15" t="n">
        <v>22</v>
      </c>
    </row>
    <row r="2084">
      <c r="C2084" s="15" t="n">
        <v>23</v>
      </c>
    </row>
    <row r="2085">
      <c r="C2085" s="15" t="n">
        <v>24</v>
      </c>
    </row>
    <row r="2086">
      <c r="C2086" s="15" t="n">
        <v>25</v>
      </c>
    </row>
    <row r="2087">
      <c r="C2087" s="15" t="n">
        <v>26</v>
      </c>
    </row>
    <row r="2088">
      <c r="C2088" s="15" t="n">
        <v>27</v>
      </c>
    </row>
    <row r="2089">
      <c r="C2089" s="15" t="n">
        <v>28</v>
      </c>
    </row>
    <row r="2090">
      <c r="C2090" s="15" t="n">
        <v>29</v>
      </c>
    </row>
    <row r="2091">
      <c r="C2091" s="15" t="n">
        <v>30</v>
      </c>
    </row>
    <row r="2092">
      <c r="C2092" s="15" t="n">
        <v>31</v>
      </c>
    </row>
    <row r="2093">
      <c r="C2093" s="15" t="n">
        <v>32</v>
      </c>
    </row>
    <row r="2094">
      <c r="C2094" s="15" t="n">
        <v>33</v>
      </c>
    </row>
    <row r="2095">
      <c r="C2095" s="15" t="n">
        <v>34</v>
      </c>
    </row>
    <row r="2096">
      <c r="C2096" s="15" t="n">
        <v>35</v>
      </c>
    </row>
    <row r="2097">
      <c r="C2097" s="15" t="n">
        <v>36</v>
      </c>
    </row>
    <row r="2098">
      <c r="C2098" s="15" t="n">
        <v>37</v>
      </c>
    </row>
    <row r="2099">
      <c r="C2099" s="15" t="n">
        <v>38</v>
      </c>
    </row>
    <row r="2100">
      <c r="C2100" s="15" t="n">
        <v>39</v>
      </c>
    </row>
    <row r="2101">
      <c r="C2101" s="15" t="n">
        <v>40</v>
      </c>
    </row>
    <row r="2102">
      <c r="C2102" s="15" t="n">
        <v>41</v>
      </c>
    </row>
    <row r="2103">
      <c r="C2103" s="15" t="n">
        <v>42</v>
      </c>
    </row>
    <row r="2104">
      <c r="C2104" s="15" t="n">
        <v>43</v>
      </c>
    </row>
    <row r="2105">
      <c r="C2105" s="15" t="n">
        <v>44</v>
      </c>
    </row>
    <row r="2106">
      <c r="C2106" s="15" t="n">
        <v>45</v>
      </c>
    </row>
    <row r="2107">
      <c r="C2107" s="15" t="n">
        <v>46</v>
      </c>
    </row>
    <row r="2108">
      <c r="C2108" s="15" t="n">
        <v>47</v>
      </c>
    </row>
    <row r="2109">
      <c r="C2109" s="15" t="n">
        <v>48</v>
      </c>
    </row>
    <row r="2110">
      <c r="C2110" s="15" t="n">
        <v>49</v>
      </c>
    </row>
    <row r="2111">
      <c r="C2111" s="15" t="n">
        <v>50</v>
      </c>
    </row>
    <row r="2112">
      <c r="C2112" s="15" t="n">
        <v>51</v>
      </c>
    </row>
    <row r="2113">
      <c r="C2113" s="15" t="n">
        <v>52</v>
      </c>
    </row>
    <row r="2114">
      <c r="C2114" s="15" t="n">
        <v>53</v>
      </c>
    </row>
    <row r="2115">
      <c r="C2115" s="15" t="n">
        <v>54</v>
      </c>
    </row>
    <row r="2116">
      <c r="C2116" s="15" t="n">
        <v>55</v>
      </c>
    </row>
    <row r="2117">
      <c r="C2117" s="15" t="n">
        <v>56</v>
      </c>
    </row>
    <row r="2118">
      <c r="C2118" s="15" t="n">
        <v>57</v>
      </c>
    </row>
    <row r="2119">
      <c r="C2119" s="15" t="n">
        <v>58</v>
      </c>
    </row>
    <row r="2120">
      <c r="C2120" s="15" t="n">
        <v>59</v>
      </c>
    </row>
    <row r="2121">
      <c r="C2121" s="15" t="n">
        <v>60</v>
      </c>
    </row>
    <row r="2122">
      <c r="C2122" s="15" t="n">
        <v>61</v>
      </c>
    </row>
    <row r="2123">
      <c r="C2123" s="15" t="n">
        <v>62</v>
      </c>
    </row>
    <row r="2124">
      <c r="C2124" s="15" t="n">
        <v>63</v>
      </c>
    </row>
    <row r="2125">
      <c r="C2125" s="15" t="n">
        <v>64</v>
      </c>
    </row>
    <row r="2126">
      <c r="C2126" s="15" t="n">
        <v>65</v>
      </c>
    </row>
    <row r="2127">
      <c r="C2127" s="15" t="n">
        <v>66</v>
      </c>
    </row>
    <row r="2128">
      <c r="C2128" s="15" t="n">
        <v>67</v>
      </c>
    </row>
    <row r="2129">
      <c r="C2129" s="15" t="n">
        <v>68</v>
      </c>
    </row>
    <row r="2130">
      <c r="C2130" s="15" t="n">
        <v>69</v>
      </c>
    </row>
    <row r="2131">
      <c r="C2131" s="15" t="n">
        <v>70</v>
      </c>
    </row>
    <row r="2132">
      <c r="C2132" s="15" t="n">
        <v>71</v>
      </c>
    </row>
    <row r="2133">
      <c r="C2133" s="15" t="n">
        <v>72</v>
      </c>
    </row>
    <row r="2134">
      <c r="C2134" s="15" t="n">
        <v>73</v>
      </c>
    </row>
    <row r="2135">
      <c r="C2135" s="15" t="n">
        <v>74</v>
      </c>
    </row>
    <row r="2136">
      <c r="C2136" s="15" t="n">
        <v>75</v>
      </c>
    </row>
    <row r="2137">
      <c r="C2137" s="15" t="n">
        <v>76</v>
      </c>
    </row>
    <row r="2138">
      <c r="C2138" s="15" t="n">
        <v>77</v>
      </c>
    </row>
    <row r="2139">
      <c r="C2139" s="15" t="n">
        <v>78</v>
      </c>
    </row>
    <row r="2140">
      <c r="C2140" s="15" t="n">
        <v>79</v>
      </c>
    </row>
    <row r="2141">
      <c r="C2141" s="15" t="n">
        <v>80</v>
      </c>
    </row>
    <row r="2142">
      <c r="C2142" s="15" t="n">
        <v>81</v>
      </c>
    </row>
    <row r="2143">
      <c r="C2143" s="15" t="n">
        <v>82</v>
      </c>
    </row>
    <row r="2144">
      <c r="C2144" s="15" t="n">
        <v>83</v>
      </c>
    </row>
    <row r="2145">
      <c r="C2145" s="15" t="n">
        <v>84</v>
      </c>
    </row>
    <row r="2146">
      <c r="C2146" s="15" t="n">
        <v>85</v>
      </c>
    </row>
    <row r="2147">
      <c r="C2147" s="15" t="n">
        <v>86</v>
      </c>
    </row>
    <row r="2148">
      <c r="C2148" s="15" t="n">
        <v>87</v>
      </c>
    </row>
    <row r="2149">
      <c r="C2149" s="15" t="n">
        <v>88</v>
      </c>
    </row>
    <row r="2150">
      <c r="C2150" s="15" t="n">
        <v>89</v>
      </c>
    </row>
    <row r="2151">
      <c r="C2151" s="15" t="n">
        <v>90</v>
      </c>
    </row>
    <row r="2152">
      <c r="C2152" s="15" t="n">
        <v>91</v>
      </c>
    </row>
    <row r="2153">
      <c r="C2153" s="15" t="n">
        <v>92</v>
      </c>
    </row>
    <row r="2154">
      <c r="C2154" s="15" t="n">
        <v>93</v>
      </c>
    </row>
    <row r="2155">
      <c r="C2155" s="15" t="n">
        <v>94</v>
      </c>
    </row>
    <row r="2156">
      <c r="C2156" s="15" t="n">
        <v>95</v>
      </c>
    </row>
    <row r="2157">
      <c r="C2157" s="15" t="n">
        <v>96</v>
      </c>
    </row>
    <row r="2158">
      <c r="C2158" s="15" t="n">
        <v>97</v>
      </c>
    </row>
    <row r="2159">
      <c r="C2159" s="15" t="n">
        <v>98</v>
      </c>
    </row>
    <row r="2160">
      <c r="C2160" s="15" t="n">
        <v>99</v>
      </c>
    </row>
    <row r="2161">
      <c r="C2161" s="15" t="n">
        <v>100</v>
      </c>
    </row>
    <row r="2162">
      <c r="C2162" s="15" t="n">
        <v>101</v>
      </c>
    </row>
    <row r="2163">
      <c r="C2163" s="15" t="n">
        <v>102</v>
      </c>
    </row>
    <row r="2164">
      <c r="C2164" s="15" t="n">
        <v>103</v>
      </c>
    </row>
    <row r="2165">
      <c r="C2165" s="15" t="n">
        <v>104</v>
      </c>
    </row>
    <row r="2166">
      <c r="C2166" s="15" t="n">
        <v>105</v>
      </c>
    </row>
    <row r="2167">
      <c r="C2167" s="15" t="n">
        <v>106</v>
      </c>
    </row>
    <row r="2168">
      <c r="C2168" s="15" t="n">
        <v>107</v>
      </c>
    </row>
    <row r="2169">
      <c r="C2169" s="15" t="n">
        <v>108</v>
      </c>
    </row>
    <row r="2170">
      <c r="C2170" s="15" t="n">
        <v>109</v>
      </c>
    </row>
    <row r="2171">
      <c r="C2171" s="15" t="n">
        <v>110</v>
      </c>
    </row>
    <row r="2172">
      <c r="C2172" s="15" t="n">
        <v>111</v>
      </c>
    </row>
    <row r="2173">
      <c r="C2173" s="15" t="n">
        <v>112</v>
      </c>
    </row>
    <row r="2174">
      <c r="C2174" s="15" t="n">
        <v>113</v>
      </c>
    </row>
    <row r="2175">
      <c r="C2175" s="15" t="n">
        <v>114</v>
      </c>
    </row>
    <row r="2176">
      <c r="C2176" s="15" t="n">
        <v>115</v>
      </c>
    </row>
    <row r="2177">
      <c r="C2177" s="15" t="n">
        <v>116</v>
      </c>
    </row>
    <row r="2178">
      <c r="C2178" s="15" t="n">
        <v>117</v>
      </c>
    </row>
    <row r="2179">
      <c r="C2179" s="15" t="n">
        <v>118</v>
      </c>
    </row>
    <row r="2180">
      <c r="C2180" s="15" t="n">
        <v>119</v>
      </c>
    </row>
    <row r="2181">
      <c r="C2181" s="15" t="n">
        <v>120</v>
      </c>
    </row>
    <row r="2182">
      <c r="C2182" s="15" t="n">
        <v>121</v>
      </c>
    </row>
    <row r="2183">
      <c r="C2183" s="15" t="n">
        <v>122</v>
      </c>
    </row>
    <row r="2184">
      <c r="C2184" s="15" t="n">
        <v>123</v>
      </c>
    </row>
    <row r="2185">
      <c r="C2185" s="15" t="n">
        <v>124</v>
      </c>
    </row>
    <row r="2186">
      <c r="C2186" s="15" t="n">
        <v>125</v>
      </c>
    </row>
    <row r="2187">
      <c r="C2187" s="15" t="n">
        <v>126</v>
      </c>
    </row>
    <row r="2188">
      <c r="C2188" s="15" t="n">
        <v>127</v>
      </c>
    </row>
    <row r="2189">
      <c r="C2189" s="15" t="n">
        <v>128</v>
      </c>
    </row>
    <row r="2190">
      <c r="C2190" s="15" t="n">
        <v>129</v>
      </c>
    </row>
    <row r="2191">
      <c r="C2191" s="15" t="n">
        <v>130</v>
      </c>
    </row>
    <row r="2192">
      <c r="C2192" s="15" t="n">
        <v>131</v>
      </c>
    </row>
    <row r="2193">
      <c r="C2193" s="15" t="n">
        <v>132</v>
      </c>
    </row>
    <row r="2194">
      <c r="C2194" s="15" t="n">
        <v>133</v>
      </c>
    </row>
    <row r="2195">
      <c r="C2195" s="15" t="n">
        <v>134</v>
      </c>
    </row>
    <row r="2196">
      <c r="C2196" s="15" t="n">
        <v>135</v>
      </c>
    </row>
    <row r="2197">
      <c r="C2197" s="15" t="n">
        <v>136</v>
      </c>
    </row>
    <row r="2198">
      <c r="C2198" s="15" t="n">
        <v>137</v>
      </c>
    </row>
    <row r="2199">
      <c r="C2199" s="15" t="n">
        <v>138</v>
      </c>
    </row>
    <row r="2200">
      <c r="C2200" s="15" t="n">
        <v>139</v>
      </c>
    </row>
    <row r="2201">
      <c r="C2201" s="15" t="n">
        <v>140</v>
      </c>
    </row>
    <row r="2202">
      <c r="C2202" s="15" t="n">
        <v>141</v>
      </c>
    </row>
    <row r="2203">
      <c r="C2203" s="15" t="n">
        <v>142</v>
      </c>
    </row>
    <row r="2204">
      <c r="C2204" s="15" t="n">
        <v>143</v>
      </c>
    </row>
    <row r="2205">
      <c r="C2205" s="15" t="n">
        <v>144</v>
      </c>
    </row>
    <row r="2206">
      <c r="C2206" s="15" t="n">
        <v>145</v>
      </c>
    </row>
    <row r="2207">
      <c r="C2207" s="15" t="n">
        <v>146</v>
      </c>
    </row>
    <row r="2208">
      <c r="C2208" s="15" t="n">
        <v>147</v>
      </c>
    </row>
    <row r="2209">
      <c r="C2209" s="15" t="n">
        <v>148</v>
      </c>
    </row>
    <row r="2210">
      <c r="C2210" s="15" t="n">
        <v>149</v>
      </c>
    </row>
    <row r="2211">
      <c r="C2211" s="15" t="n">
        <v>150</v>
      </c>
    </row>
    <row r="2212">
      <c r="C2212" s="15" t="n">
        <v>151</v>
      </c>
    </row>
    <row r="2213">
      <c r="C2213" s="15" t="n">
        <v>152</v>
      </c>
    </row>
    <row r="2214">
      <c r="C2214" s="15" t="n">
        <v>153</v>
      </c>
    </row>
    <row r="2215">
      <c r="C2215" s="15" t="n">
        <v>154</v>
      </c>
    </row>
    <row r="2216">
      <c r="C2216" s="15" t="n">
        <v>155</v>
      </c>
    </row>
    <row r="2217">
      <c r="C2217" s="15" t="n">
        <v>156</v>
      </c>
    </row>
    <row r="2218">
      <c r="C2218" s="15" t="n">
        <v>157</v>
      </c>
    </row>
    <row r="2219">
      <c r="C2219" s="15" t="n">
        <v>158</v>
      </c>
    </row>
    <row r="2220">
      <c r="C2220" s="15" t="n">
        <v>159</v>
      </c>
    </row>
    <row r="2221">
      <c r="C2221" s="15" t="n">
        <v>160</v>
      </c>
    </row>
    <row r="2222">
      <c r="C2222" s="15" t="n">
        <v>161</v>
      </c>
    </row>
    <row r="2223">
      <c r="C2223" s="15" t="n">
        <v>162</v>
      </c>
    </row>
    <row r="2224">
      <c r="C2224" s="15" t="n">
        <v>163</v>
      </c>
    </row>
    <row r="2225">
      <c r="C2225" s="15" t="n">
        <v>164</v>
      </c>
    </row>
    <row r="2226">
      <c r="C2226" s="15" t="n">
        <v>165</v>
      </c>
    </row>
    <row r="2227">
      <c r="C2227" s="15" t="n">
        <v>166</v>
      </c>
    </row>
    <row r="2228">
      <c r="C2228" s="15" t="n">
        <v>167</v>
      </c>
    </row>
    <row r="2229">
      <c r="C2229" s="15" t="n">
        <v>168</v>
      </c>
    </row>
    <row r="2230">
      <c r="C2230" s="15" t="n">
        <v>169</v>
      </c>
    </row>
    <row r="2231">
      <c r="C2231" s="15" t="n">
        <v>170</v>
      </c>
    </row>
    <row r="2232">
      <c r="C2232" s="15" t="n">
        <v>171</v>
      </c>
    </row>
    <row r="2233">
      <c r="C2233" s="15" t="n">
        <v>172</v>
      </c>
    </row>
    <row r="2234">
      <c r="C2234" s="15" t="n">
        <v>173</v>
      </c>
    </row>
    <row r="2235">
      <c r="C2235" s="15" t="n">
        <v>174</v>
      </c>
    </row>
    <row r="2236">
      <c r="C2236" s="15" t="n">
        <v>175</v>
      </c>
    </row>
    <row r="2237">
      <c r="C2237" s="15" t="n">
        <v>176</v>
      </c>
    </row>
    <row r="2238">
      <c r="C2238" s="15" t="n">
        <v>177</v>
      </c>
    </row>
    <row r="2239">
      <c r="C2239" s="15" t="n">
        <v>178</v>
      </c>
    </row>
    <row r="2240">
      <c r="C2240" s="15" t="n">
        <v>179</v>
      </c>
    </row>
    <row r="2241">
      <c r="C2241" s="15" t="n">
        <v>180</v>
      </c>
    </row>
    <row r="2242">
      <c r="C2242" s="15" t="n">
        <v>181</v>
      </c>
    </row>
    <row r="2243">
      <c r="C2243" s="15" t="n">
        <v>182</v>
      </c>
    </row>
    <row r="2244">
      <c r="C2244" s="15" t="n">
        <v>183</v>
      </c>
    </row>
    <row r="2245">
      <c r="C2245" s="15" t="n">
        <v>184</v>
      </c>
    </row>
    <row r="2246">
      <c r="C2246" s="15" t="n">
        <v>185</v>
      </c>
    </row>
    <row r="2247">
      <c r="C2247" s="15" t="n">
        <v>186</v>
      </c>
    </row>
    <row r="2248">
      <c r="C2248" s="15" t="n">
        <v>187</v>
      </c>
    </row>
    <row r="2249">
      <c r="C2249" s="15" t="n">
        <v>188</v>
      </c>
    </row>
    <row r="2250">
      <c r="C2250" s="15" t="n">
        <v>189</v>
      </c>
    </row>
    <row r="2251">
      <c r="C2251" s="15" t="n">
        <v>190</v>
      </c>
    </row>
    <row r="2252">
      <c r="C2252" s="15" t="n">
        <v>191</v>
      </c>
    </row>
    <row r="2253">
      <c r="C2253" s="15" t="n">
        <v>192</v>
      </c>
    </row>
    <row r="2254">
      <c r="C2254" s="15" t="n">
        <v>193</v>
      </c>
    </row>
    <row r="2255">
      <c r="C2255" s="15" t="n">
        <v>194</v>
      </c>
    </row>
    <row r="2256">
      <c r="C2256" s="15" t="n">
        <v>195</v>
      </c>
    </row>
    <row r="2257">
      <c r="C2257" s="15" t="n">
        <v>196</v>
      </c>
    </row>
    <row r="2258">
      <c r="C2258" s="15" t="n">
        <v>197</v>
      </c>
    </row>
    <row r="2259">
      <c r="C2259" s="15" t="n">
        <v>198</v>
      </c>
    </row>
    <row r="2261">
      <c r="B2261" s="15" t="inlineStr">
        <is>
          <t>Parâmetros p/ μx</t>
        </is>
      </c>
      <c r="C2261" s="15" t="inlineStr">
        <is>
          <t>Var(d-cap)</t>
        </is>
      </c>
      <c r="D2261" s="15" t="n">
        <v>22</v>
      </c>
      <c r="E2261" s="15" t="n">
        <v>23</v>
      </c>
      <c r="F2261" s="15" t="n">
        <v>24</v>
      </c>
    </row>
    <row r="2262" ht="16.2" customHeight="1">
      <c r="B2262" s="15" t="inlineStr">
        <is>
          <t>S2nd</t>
        </is>
      </c>
      <c r="C2262" s="15" t="n">
        <v>9</v>
      </c>
    </row>
    <row r="2263">
      <c r="C2263" s="15" t="n">
        <v>10</v>
      </c>
    </row>
    <row r="2264">
      <c r="C2264" s="15" t="n">
        <v>11</v>
      </c>
    </row>
    <row r="2265">
      <c r="C2265" s="15" t="n">
        <v>12</v>
      </c>
    </row>
    <row r="2266">
      <c r="C2266" s="15" t="n">
        <v>13</v>
      </c>
    </row>
    <row r="2267">
      <c r="C2267" s="15" t="n">
        <v>14</v>
      </c>
    </row>
    <row r="2268">
      <c r="C2268" s="15" t="n">
        <v>15</v>
      </c>
    </row>
    <row r="2269">
      <c r="C2269" s="15" t="n">
        <v>16</v>
      </c>
    </row>
    <row r="2270">
      <c r="C2270" s="15" t="n">
        <v>17</v>
      </c>
    </row>
    <row r="2271">
      <c r="C2271" s="15" t="n">
        <v>18</v>
      </c>
    </row>
    <row r="2272">
      <c r="C2272" s="15" t="n">
        <v>19</v>
      </c>
    </row>
    <row r="2273">
      <c r="C2273" s="15" t="n">
        <v>20</v>
      </c>
    </row>
    <row r="2274">
      <c r="C2274" s="15" t="n">
        <v>21</v>
      </c>
    </row>
    <row r="2275">
      <c r="C2275" s="15" t="n">
        <v>22</v>
      </c>
    </row>
    <row r="2276">
      <c r="C2276" s="15" t="n">
        <v>23</v>
      </c>
    </row>
    <row r="2277">
      <c r="C2277" s="15" t="n">
        <v>24</v>
      </c>
    </row>
    <row r="2278">
      <c r="C2278" s="15" t="n">
        <v>25</v>
      </c>
    </row>
    <row r="2279">
      <c r="C2279" s="15" t="n">
        <v>26</v>
      </c>
    </row>
    <row r="2280">
      <c r="C2280" s="15" t="n">
        <v>27</v>
      </c>
    </row>
    <row r="2281">
      <c r="C2281" s="15" t="n">
        <v>28</v>
      </c>
    </row>
    <row r="2282">
      <c r="C2282" s="15" t="n">
        <v>29</v>
      </c>
    </row>
    <row r="2283">
      <c r="C2283" s="15" t="n">
        <v>30</v>
      </c>
    </row>
    <row r="2284">
      <c r="C2284" s="15" t="n">
        <v>31</v>
      </c>
    </row>
    <row r="2285">
      <c r="C2285" s="15" t="n">
        <v>32</v>
      </c>
    </row>
    <row r="2286">
      <c r="C2286" s="15" t="n">
        <v>33</v>
      </c>
    </row>
    <row r="2287">
      <c r="C2287" s="15" t="n">
        <v>34</v>
      </c>
    </row>
    <row r="2288">
      <c r="C2288" s="15" t="n">
        <v>35</v>
      </c>
    </row>
    <row r="2289">
      <c r="C2289" s="15" t="n">
        <v>36</v>
      </c>
    </row>
    <row r="2290">
      <c r="C2290" s="15" t="n">
        <v>37</v>
      </c>
    </row>
    <row r="2291">
      <c r="C2291" s="15" t="n">
        <v>38</v>
      </c>
    </row>
    <row r="2292">
      <c r="C2292" s="15" t="n">
        <v>39</v>
      </c>
    </row>
    <row r="2293">
      <c r="C2293" s="15" t="n">
        <v>40</v>
      </c>
    </row>
    <row r="2294">
      <c r="C2294" s="15" t="n">
        <v>41</v>
      </c>
    </row>
    <row r="2295">
      <c r="C2295" s="15" t="n">
        <v>42</v>
      </c>
    </row>
    <row r="2296">
      <c r="C2296" s="15" t="n">
        <v>43</v>
      </c>
    </row>
    <row r="2297">
      <c r="C2297" s="15" t="n">
        <v>44</v>
      </c>
    </row>
    <row r="2298">
      <c r="C2298" s="15" t="n">
        <v>45</v>
      </c>
    </row>
    <row r="2299">
      <c r="C2299" s="15" t="n">
        <v>46</v>
      </c>
    </row>
    <row r="2300">
      <c r="C2300" s="15" t="n">
        <v>47</v>
      </c>
    </row>
    <row r="2301">
      <c r="C2301" s="15" t="n">
        <v>48</v>
      </c>
    </row>
    <row r="2302">
      <c r="C2302" s="15" t="n">
        <v>49</v>
      </c>
    </row>
    <row r="2303">
      <c r="C2303" s="15" t="n">
        <v>50</v>
      </c>
    </row>
    <row r="2304">
      <c r="C2304" s="15" t="n">
        <v>51</v>
      </c>
    </row>
    <row r="2305">
      <c r="C2305" s="15" t="n">
        <v>52</v>
      </c>
    </row>
    <row r="2306">
      <c r="C2306" s="15" t="n">
        <v>53</v>
      </c>
    </row>
    <row r="2307">
      <c r="C2307" s="15" t="n">
        <v>54</v>
      </c>
    </row>
    <row r="2308">
      <c r="C2308" s="15" t="n">
        <v>55</v>
      </c>
    </row>
    <row r="2309">
      <c r="C2309" s="15" t="n">
        <v>56</v>
      </c>
    </row>
    <row r="2310">
      <c r="C2310" s="15" t="n">
        <v>57</v>
      </c>
    </row>
    <row r="2311">
      <c r="C2311" s="15" t="n">
        <v>58</v>
      </c>
    </row>
    <row r="2312">
      <c r="C2312" s="15" t="n">
        <v>59</v>
      </c>
    </row>
    <row r="2313">
      <c r="C2313" s="15" t="n">
        <v>60</v>
      </c>
    </row>
    <row r="2314">
      <c r="C2314" s="15" t="n">
        <v>61</v>
      </c>
    </row>
    <row r="2315">
      <c r="C2315" s="15" t="n">
        <v>62</v>
      </c>
    </row>
    <row r="2316">
      <c r="C2316" s="15" t="n">
        <v>63</v>
      </c>
    </row>
    <row r="2317">
      <c r="C2317" s="15" t="n">
        <v>64</v>
      </c>
    </row>
    <row r="2318">
      <c r="C2318" s="15" t="n">
        <v>65</v>
      </c>
    </row>
    <row r="2319">
      <c r="C2319" s="15" t="n">
        <v>66</v>
      </c>
    </row>
    <row r="2320">
      <c r="C2320" s="15" t="n">
        <v>67</v>
      </c>
    </row>
    <row r="2321">
      <c r="C2321" s="15" t="n">
        <v>68</v>
      </c>
    </row>
    <row r="2322">
      <c r="C2322" s="15" t="n">
        <v>69</v>
      </c>
    </row>
    <row r="2323">
      <c r="C2323" s="15" t="n">
        <v>70</v>
      </c>
    </row>
    <row r="2324">
      <c r="C2324" s="15" t="n">
        <v>71</v>
      </c>
    </row>
    <row r="2325">
      <c r="C2325" s="15" t="n">
        <v>72</v>
      </c>
    </row>
    <row r="2326">
      <c r="C2326" s="15" t="n">
        <v>73</v>
      </c>
    </row>
    <row r="2327">
      <c r="C2327" s="15" t="n">
        <v>74</v>
      </c>
    </row>
    <row r="2328">
      <c r="C2328" s="15" t="n">
        <v>75</v>
      </c>
    </row>
    <row r="2329">
      <c r="C2329" s="15" t="n">
        <v>76</v>
      </c>
    </row>
    <row r="2330">
      <c r="C2330" s="15" t="n">
        <v>77</v>
      </c>
    </row>
    <row r="2331">
      <c r="C2331" s="15" t="n">
        <v>78</v>
      </c>
    </row>
    <row r="2332">
      <c r="C2332" s="15" t="n">
        <v>79</v>
      </c>
    </row>
    <row r="2333">
      <c r="C2333" s="15" t="n">
        <v>80</v>
      </c>
    </row>
    <row r="2334">
      <c r="C2334" s="15" t="n">
        <v>81</v>
      </c>
    </row>
    <row r="2335">
      <c r="C2335" s="15" t="n">
        <v>82</v>
      </c>
    </row>
    <row r="2336">
      <c r="C2336" s="15" t="n">
        <v>83</v>
      </c>
    </row>
    <row r="2337">
      <c r="C2337" s="15" t="n">
        <v>84</v>
      </c>
    </row>
    <row r="2338">
      <c r="C2338" s="15" t="n">
        <v>85</v>
      </c>
    </row>
    <row r="2339">
      <c r="C2339" s="15" t="n">
        <v>86</v>
      </c>
    </row>
    <row r="2340">
      <c r="C2340" s="15" t="n">
        <v>87</v>
      </c>
    </row>
    <row r="2341">
      <c r="C2341" s="15" t="n">
        <v>88</v>
      </c>
    </row>
    <row r="2342">
      <c r="C2342" s="15" t="n">
        <v>89</v>
      </c>
    </row>
    <row r="2343">
      <c r="C2343" s="15" t="n">
        <v>90</v>
      </c>
    </row>
    <row r="2344">
      <c r="C2344" s="15" t="n">
        <v>91</v>
      </c>
    </row>
    <row r="2345">
      <c r="C2345" s="15" t="n">
        <v>92</v>
      </c>
    </row>
    <row r="2346">
      <c r="C2346" s="15" t="n">
        <v>93</v>
      </c>
    </row>
    <row r="2347">
      <c r="C2347" s="15" t="n">
        <v>94</v>
      </c>
    </row>
    <row r="2348">
      <c r="C2348" s="15" t="n">
        <v>95</v>
      </c>
    </row>
    <row r="2349">
      <c r="C2349" s="15" t="n">
        <v>96</v>
      </c>
    </row>
    <row r="2350">
      <c r="C2350" s="15" t="n">
        <v>97</v>
      </c>
    </row>
    <row r="2351">
      <c r="C2351" s="15" t="n">
        <v>98</v>
      </c>
    </row>
    <row r="2352">
      <c r="C2352" s="15" t="n">
        <v>99</v>
      </c>
    </row>
    <row r="2353">
      <c r="C2353" s="15" t="n">
        <v>100</v>
      </c>
    </row>
    <row r="2354">
      <c r="C2354" s="15" t="n">
        <v>101</v>
      </c>
    </row>
    <row r="2355">
      <c r="C2355" s="15" t="n">
        <v>102</v>
      </c>
    </row>
    <row r="2356">
      <c r="C2356" s="15" t="n">
        <v>103</v>
      </c>
    </row>
    <row r="2357">
      <c r="C2357" s="15" t="n">
        <v>104</v>
      </c>
    </row>
    <row r="2358">
      <c r="C2358" s="15" t="n">
        <v>105</v>
      </c>
    </row>
    <row r="2359">
      <c r="C2359" s="15" t="n">
        <v>106</v>
      </c>
    </row>
    <row r="2360">
      <c r="C2360" s="15" t="n">
        <v>107</v>
      </c>
    </row>
    <row r="2361">
      <c r="C2361" s="15" t="n">
        <v>108</v>
      </c>
    </row>
    <row r="2362">
      <c r="C2362" s="15" t="n">
        <v>109</v>
      </c>
    </row>
    <row r="2363">
      <c r="C2363" s="15" t="n">
        <v>110</v>
      </c>
    </row>
    <row r="2364">
      <c r="C2364" s="15" t="n">
        <v>111</v>
      </c>
    </row>
    <row r="2365">
      <c r="C2365" s="15" t="n">
        <v>112</v>
      </c>
    </row>
    <row r="2366">
      <c r="C2366" s="15" t="n">
        <v>113</v>
      </c>
    </row>
    <row r="2367">
      <c r="C2367" s="15" t="n">
        <v>114</v>
      </c>
    </row>
    <row r="2368">
      <c r="C2368" s="15" t="n">
        <v>115</v>
      </c>
    </row>
    <row r="2369">
      <c r="C2369" s="15" t="n">
        <v>116</v>
      </c>
    </row>
    <row r="2370">
      <c r="C2370" s="15" t="n">
        <v>117</v>
      </c>
    </row>
    <row r="2371">
      <c r="C2371" s="15" t="n">
        <v>118</v>
      </c>
    </row>
    <row r="2372">
      <c r="C2372" s="15" t="n">
        <v>119</v>
      </c>
    </row>
    <row r="2373">
      <c r="C2373" s="15" t="n">
        <v>120</v>
      </c>
    </row>
    <row r="2374">
      <c r="C2374" s="15" t="n">
        <v>121</v>
      </c>
    </row>
    <row r="2375">
      <c r="C2375" s="15" t="n">
        <v>122</v>
      </c>
    </row>
    <row r="2376">
      <c r="C2376" s="15" t="n">
        <v>123</v>
      </c>
    </row>
    <row r="2377">
      <c r="C2377" s="15" t="n">
        <v>124</v>
      </c>
    </row>
    <row r="2378">
      <c r="C2378" s="15" t="n">
        <v>125</v>
      </c>
    </row>
    <row r="2379">
      <c r="C2379" s="15" t="n">
        <v>126</v>
      </c>
    </row>
    <row r="2380">
      <c r="C2380" s="15" t="n">
        <v>127</v>
      </c>
    </row>
    <row r="2381">
      <c r="C2381" s="15" t="n">
        <v>128</v>
      </c>
    </row>
    <row r="2382">
      <c r="C2382" s="15" t="n">
        <v>129</v>
      </c>
    </row>
    <row r="2383">
      <c r="C2383" s="15" t="n">
        <v>130</v>
      </c>
    </row>
    <row r="2384">
      <c r="C2384" s="15" t="n">
        <v>131</v>
      </c>
    </row>
    <row r="2385">
      <c r="C2385" s="15" t="n">
        <v>132</v>
      </c>
    </row>
    <row r="2386">
      <c r="C2386" s="15" t="n">
        <v>133</v>
      </c>
    </row>
    <row r="2387">
      <c r="C2387" s="15" t="n">
        <v>134</v>
      </c>
    </row>
    <row r="2388">
      <c r="C2388" s="15" t="n">
        <v>135</v>
      </c>
    </row>
    <row r="2389">
      <c r="C2389" s="15" t="n">
        <v>136</v>
      </c>
    </row>
    <row r="2390">
      <c r="C2390" s="15" t="n">
        <v>137</v>
      </c>
    </row>
    <row r="2391">
      <c r="C2391" s="15" t="n">
        <v>138</v>
      </c>
    </row>
    <row r="2392">
      <c r="C2392" s="15" t="n">
        <v>139</v>
      </c>
    </row>
    <row r="2393">
      <c r="C2393" s="15" t="n">
        <v>140</v>
      </c>
    </row>
    <row r="2394">
      <c r="C2394" s="15" t="n">
        <v>141</v>
      </c>
    </row>
    <row r="2395">
      <c r="C2395" s="15" t="n">
        <v>142</v>
      </c>
    </row>
    <row r="2396">
      <c r="C2396" s="15" t="n">
        <v>143</v>
      </c>
    </row>
    <row r="2397">
      <c r="C2397" s="15" t="n">
        <v>144</v>
      </c>
    </row>
    <row r="2398">
      <c r="C2398" s="15" t="n">
        <v>145</v>
      </c>
    </row>
    <row r="2399">
      <c r="C2399" s="15" t="n">
        <v>146</v>
      </c>
    </row>
    <row r="2400">
      <c r="C2400" s="15" t="n">
        <v>147</v>
      </c>
    </row>
    <row r="2401">
      <c r="C2401" s="15" t="n">
        <v>148</v>
      </c>
    </row>
    <row r="2402">
      <c r="C2402" s="15" t="n">
        <v>149</v>
      </c>
    </row>
    <row r="2403">
      <c r="C2403" s="15" t="n">
        <v>150</v>
      </c>
    </row>
    <row r="2404">
      <c r="C2404" s="15" t="n">
        <v>151</v>
      </c>
    </row>
    <row r="2405">
      <c r="C2405" s="15" t="n">
        <v>152</v>
      </c>
    </row>
    <row r="2406">
      <c r="C2406" s="15" t="n">
        <v>153</v>
      </c>
    </row>
    <row r="2407">
      <c r="C2407" s="15" t="n">
        <v>154</v>
      </c>
    </row>
    <row r="2408">
      <c r="C2408" s="15" t="n">
        <v>155</v>
      </c>
    </row>
    <row r="2409">
      <c r="C2409" s="15" t="n">
        <v>156</v>
      </c>
    </row>
    <row r="2410">
      <c r="C2410" s="15" t="n">
        <v>157</v>
      </c>
    </row>
    <row r="2411">
      <c r="C2411" s="15" t="n">
        <v>158</v>
      </c>
    </row>
    <row r="2412">
      <c r="C2412" s="15" t="n">
        <v>159</v>
      </c>
    </row>
    <row r="2413">
      <c r="C2413" s="15" t="n">
        <v>160</v>
      </c>
    </row>
    <row r="2414">
      <c r="C2414" s="15" t="n">
        <v>161</v>
      </c>
    </row>
    <row r="2415">
      <c r="C2415" s="15" t="n">
        <v>162</v>
      </c>
    </row>
    <row r="2416">
      <c r="C2416" s="15" t="n">
        <v>163</v>
      </c>
    </row>
    <row r="2417">
      <c r="C2417" s="15" t="n">
        <v>164</v>
      </c>
    </row>
    <row r="2418">
      <c r="C2418" s="15" t="n">
        <v>165</v>
      </c>
    </row>
    <row r="2419">
      <c r="C2419" s="15" t="n">
        <v>166</v>
      </c>
    </row>
    <row r="2420">
      <c r="C2420" s="15" t="n">
        <v>167</v>
      </c>
    </row>
    <row r="2421">
      <c r="C2421" s="15" t="n">
        <v>168</v>
      </c>
    </row>
    <row r="2422">
      <c r="C2422" s="15" t="n">
        <v>169</v>
      </c>
    </row>
    <row r="2423">
      <c r="C2423" s="15" t="n">
        <v>170</v>
      </c>
    </row>
    <row r="2424">
      <c r="C2424" s="15" t="n">
        <v>171</v>
      </c>
    </row>
    <row r="2425">
      <c r="C2425" s="15" t="n">
        <v>172</v>
      </c>
    </row>
    <row r="2426">
      <c r="C2426" s="15" t="n">
        <v>173</v>
      </c>
    </row>
    <row r="2427">
      <c r="C2427" s="15" t="n">
        <v>174</v>
      </c>
    </row>
    <row r="2428">
      <c r="C2428" s="15" t="n">
        <v>175</v>
      </c>
    </row>
    <row r="2429">
      <c r="C2429" s="15" t="n">
        <v>176</v>
      </c>
    </row>
    <row r="2430">
      <c r="C2430" s="15" t="n">
        <v>177</v>
      </c>
    </row>
    <row r="2431">
      <c r="C2431" s="15" t="n">
        <v>178</v>
      </c>
    </row>
    <row r="2432">
      <c r="C2432" s="15" t="n">
        <v>179</v>
      </c>
    </row>
    <row r="2433">
      <c r="C2433" s="15" t="n">
        <v>180</v>
      </c>
    </row>
    <row r="2434">
      <c r="C2434" s="15" t="n">
        <v>181</v>
      </c>
    </row>
    <row r="2435">
      <c r="C2435" s="15" t="n">
        <v>182</v>
      </c>
    </row>
    <row r="2436">
      <c r="C2436" s="15" t="n">
        <v>183</v>
      </c>
    </row>
    <row r="2437">
      <c r="C2437" s="15" t="n">
        <v>184</v>
      </c>
    </row>
    <row r="2438">
      <c r="C2438" s="15" t="n">
        <v>185</v>
      </c>
    </row>
    <row r="2439">
      <c r="C2439" s="15" t="n">
        <v>186</v>
      </c>
    </row>
    <row r="2440">
      <c r="C2440" s="15" t="n">
        <v>187</v>
      </c>
    </row>
    <row r="2441">
      <c r="C2441" s="15" t="n">
        <v>188</v>
      </c>
    </row>
    <row r="2442">
      <c r="C2442" s="15" t="n">
        <v>189</v>
      </c>
    </row>
    <row r="2443">
      <c r="C2443" s="15" t="n">
        <v>190</v>
      </c>
    </row>
    <row r="2444">
      <c r="C2444" s="15" t="n">
        <v>191</v>
      </c>
    </row>
    <row r="2445">
      <c r="C2445" s="15" t="n">
        <v>192</v>
      </c>
    </row>
    <row r="2446">
      <c r="C2446" s="15" t="n">
        <v>193</v>
      </c>
    </row>
    <row r="2447">
      <c r="C2447" s="15" t="n">
        <v>194</v>
      </c>
    </row>
    <row r="2448">
      <c r="C2448" s="15" t="n">
        <v>195</v>
      </c>
    </row>
    <row r="2449">
      <c r="C2449" s="15" t="n">
        <v>196</v>
      </c>
    </row>
    <row r="2450">
      <c r="C2450" s="15" t="n">
        <v>197</v>
      </c>
    </row>
    <row r="2451">
      <c r="C2451" s="15" t="n">
        <v>198</v>
      </c>
    </row>
    <row r="2453">
      <c r="B2453" s="15" t="inlineStr">
        <is>
          <t>Parâmetros p/ σx</t>
        </is>
      </c>
      <c r="C2453" s="15" t="inlineStr">
        <is>
          <t>Desvpad(Var(S2nd))</t>
        </is>
      </c>
      <c r="D2453" s="15" t="n">
        <v>22</v>
      </c>
      <c r="E2453" s="15" t="n">
        <v>23</v>
      </c>
      <c r="F2453" s="15" t="n">
        <v>24</v>
      </c>
    </row>
    <row r="2454" ht="16.2" customHeight="1">
      <c r="B2454" s="15" t="inlineStr">
        <is>
          <t>S2nd</t>
        </is>
      </c>
      <c r="C2454" s="15" t="n">
        <v>9</v>
      </c>
    </row>
    <row r="2455">
      <c r="C2455" s="15" t="n">
        <v>10</v>
      </c>
    </row>
    <row r="2456">
      <c r="C2456" s="15" t="n">
        <v>11</v>
      </c>
    </row>
    <row r="2457">
      <c r="C2457" s="15" t="n">
        <v>12</v>
      </c>
    </row>
    <row r="2458">
      <c r="C2458" s="15" t="n">
        <v>13</v>
      </c>
    </row>
    <row r="2459">
      <c r="C2459" s="15" t="n">
        <v>14</v>
      </c>
    </row>
    <row r="2460">
      <c r="C2460" s="15" t="n">
        <v>15</v>
      </c>
    </row>
    <row r="2461">
      <c r="C2461" s="15" t="n">
        <v>16</v>
      </c>
    </row>
    <row r="2462">
      <c r="C2462" s="15" t="n">
        <v>17</v>
      </c>
    </row>
    <row r="2463">
      <c r="C2463" s="15" t="n">
        <v>18</v>
      </c>
    </row>
    <row r="2464">
      <c r="C2464" s="15" t="n">
        <v>19</v>
      </c>
    </row>
    <row r="2465">
      <c r="C2465" s="15" t="n">
        <v>20</v>
      </c>
    </row>
    <row r="2466">
      <c r="C2466" s="15" t="n">
        <v>21</v>
      </c>
    </row>
    <row r="2467">
      <c r="C2467" s="15" t="n">
        <v>22</v>
      </c>
    </row>
    <row r="2468">
      <c r="C2468" s="15" t="n">
        <v>23</v>
      </c>
    </row>
    <row r="2469">
      <c r="C2469" s="15" t="n">
        <v>24</v>
      </c>
    </row>
    <row r="2470">
      <c r="C2470" s="15" t="n">
        <v>25</v>
      </c>
    </row>
    <row r="2471">
      <c r="C2471" s="15" t="n">
        <v>26</v>
      </c>
    </row>
    <row r="2472">
      <c r="C2472" s="15" t="n">
        <v>27</v>
      </c>
    </row>
    <row r="2473">
      <c r="C2473" s="15" t="n">
        <v>28</v>
      </c>
    </row>
    <row r="2474">
      <c r="C2474" s="15" t="n">
        <v>29</v>
      </c>
    </row>
    <row r="2475">
      <c r="C2475" s="15" t="n">
        <v>30</v>
      </c>
    </row>
    <row r="2476">
      <c r="C2476" s="15" t="n">
        <v>31</v>
      </c>
    </row>
    <row r="2477">
      <c r="C2477" s="15" t="n">
        <v>32</v>
      </c>
    </row>
    <row r="2478">
      <c r="C2478" s="15" t="n">
        <v>33</v>
      </c>
    </row>
    <row r="2479">
      <c r="C2479" s="15" t="n">
        <v>34</v>
      </c>
    </row>
    <row r="2480">
      <c r="C2480" s="15" t="n">
        <v>35</v>
      </c>
    </row>
    <row r="2481">
      <c r="C2481" s="15" t="n">
        <v>36</v>
      </c>
    </row>
    <row r="2482">
      <c r="C2482" s="15" t="n">
        <v>37</v>
      </c>
    </row>
    <row r="2483">
      <c r="C2483" s="15" t="n">
        <v>38</v>
      </c>
    </row>
    <row r="2484">
      <c r="C2484" s="15" t="n">
        <v>39</v>
      </c>
    </row>
    <row r="2485">
      <c r="C2485" s="15" t="n">
        <v>40</v>
      </c>
    </row>
    <row r="2486">
      <c r="C2486" s="15" t="n">
        <v>41</v>
      </c>
    </row>
    <row r="2487">
      <c r="C2487" s="15" t="n">
        <v>42</v>
      </c>
    </row>
    <row r="2488">
      <c r="C2488" s="15" t="n">
        <v>43</v>
      </c>
    </row>
    <row r="2489">
      <c r="C2489" s="15" t="n">
        <v>44</v>
      </c>
    </row>
    <row r="2490">
      <c r="C2490" s="15" t="n">
        <v>45</v>
      </c>
    </row>
    <row r="2491">
      <c r="C2491" s="15" t="n">
        <v>46</v>
      </c>
    </row>
    <row r="2492">
      <c r="C2492" s="15" t="n">
        <v>47</v>
      </c>
    </row>
    <row r="2493">
      <c r="C2493" s="15" t="n">
        <v>48</v>
      </c>
    </row>
    <row r="2494">
      <c r="C2494" s="15" t="n">
        <v>49</v>
      </c>
    </row>
    <row r="2495">
      <c r="C2495" s="15" t="n">
        <v>50</v>
      </c>
    </row>
    <row r="2496">
      <c r="C2496" s="15" t="n">
        <v>51</v>
      </c>
    </row>
    <row r="2497">
      <c r="C2497" s="15" t="n">
        <v>52</v>
      </c>
    </row>
    <row r="2498">
      <c r="C2498" s="15" t="n">
        <v>53</v>
      </c>
    </row>
    <row r="2499">
      <c r="C2499" s="15" t="n">
        <v>54</v>
      </c>
    </row>
    <row r="2500">
      <c r="C2500" s="15" t="n">
        <v>55</v>
      </c>
    </row>
    <row r="2501">
      <c r="C2501" s="15" t="n">
        <v>56</v>
      </c>
    </row>
    <row r="2502">
      <c r="C2502" s="15" t="n">
        <v>57</v>
      </c>
    </row>
    <row r="2503">
      <c r="C2503" s="15" t="n">
        <v>58</v>
      </c>
    </row>
    <row r="2504">
      <c r="C2504" s="15" t="n">
        <v>59</v>
      </c>
    </row>
    <row r="2505">
      <c r="C2505" s="15" t="n">
        <v>60</v>
      </c>
    </row>
    <row r="2506">
      <c r="C2506" s="15" t="n">
        <v>61</v>
      </c>
    </row>
    <row r="2507">
      <c r="C2507" s="15" t="n">
        <v>62</v>
      </c>
    </row>
    <row r="2508">
      <c r="C2508" s="15" t="n">
        <v>63</v>
      </c>
    </row>
    <row r="2509">
      <c r="C2509" s="15" t="n">
        <v>64</v>
      </c>
    </row>
    <row r="2510">
      <c r="C2510" s="15" t="n">
        <v>65</v>
      </c>
    </row>
    <row r="2511">
      <c r="C2511" s="15" t="n">
        <v>66</v>
      </c>
    </row>
    <row r="2512">
      <c r="C2512" s="15" t="n">
        <v>67</v>
      </c>
    </row>
    <row r="2513">
      <c r="C2513" s="15" t="n">
        <v>68</v>
      </c>
    </row>
    <row r="2514">
      <c r="C2514" s="15" t="n">
        <v>69</v>
      </c>
    </row>
    <row r="2515">
      <c r="C2515" s="15" t="n">
        <v>70</v>
      </c>
    </row>
    <row r="2516">
      <c r="C2516" s="15" t="n">
        <v>71</v>
      </c>
    </row>
    <row r="2517">
      <c r="C2517" s="15" t="n">
        <v>72</v>
      </c>
    </row>
    <row r="2518">
      <c r="C2518" s="15" t="n">
        <v>73</v>
      </c>
    </row>
    <row r="2519">
      <c r="C2519" s="15" t="n">
        <v>74</v>
      </c>
    </row>
    <row r="2520">
      <c r="C2520" s="15" t="n">
        <v>75</v>
      </c>
    </row>
    <row r="2521">
      <c r="C2521" s="15" t="n">
        <v>76</v>
      </c>
    </row>
    <row r="2522">
      <c r="C2522" s="15" t="n">
        <v>77</v>
      </c>
    </row>
    <row r="2523">
      <c r="C2523" s="15" t="n">
        <v>78</v>
      </c>
    </row>
    <row r="2524">
      <c r="C2524" s="15" t="n">
        <v>79</v>
      </c>
    </row>
    <row r="2525">
      <c r="C2525" s="15" t="n">
        <v>80</v>
      </c>
    </row>
    <row r="2526">
      <c r="C2526" s="15" t="n">
        <v>81</v>
      </c>
    </row>
    <row r="2527">
      <c r="C2527" s="15" t="n">
        <v>82</v>
      </c>
    </row>
    <row r="2528">
      <c r="C2528" s="15" t="n">
        <v>83</v>
      </c>
    </row>
    <row r="2529">
      <c r="C2529" s="15" t="n">
        <v>84</v>
      </c>
    </row>
    <row r="2530">
      <c r="C2530" s="15" t="n">
        <v>85</v>
      </c>
    </row>
    <row r="2531">
      <c r="C2531" s="15" t="n">
        <v>86</v>
      </c>
    </row>
    <row r="2532">
      <c r="C2532" s="15" t="n">
        <v>87</v>
      </c>
    </row>
    <row r="2533">
      <c r="C2533" s="15" t="n">
        <v>88</v>
      </c>
    </row>
    <row r="2534">
      <c r="C2534" s="15" t="n">
        <v>89</v>
      </c>
    </row>
    <row r="2535">
      <c r="C2535" s="15" t="n">
        <v>90</v>
      </c>
    </row>
    <row r="2536">
      <c r="C2536" s="15" t="n">
        <v>91</v>
      </c>
    </row>
    <row r="2537">
      <c r="C2537" s="15" t="n">
        <v>92</v>
      </c>
    </row>
    <row r="2538">
      <c r="C2538" s="15" t="n">
        <v>93</v>
      </c>
    </row>
    <row r="2539">
      <c r="C2539" s="15" t="n">
        <v>94</v>
      </c>
    </row>
    <row r="2540">
      <c r="C2540" s="15" t="n">
        <v>95</v>
      </c>
    </row>
    <row r="2541">
      <c r="C2541" s="15" t="n">
        <v>96</v>
      </c>
    </row>
    <row r="2542">
      <c r="C2542" s="15" t="n">
        <v>97</v>
      </c>
    </row>
    <row r="2543">
      <c r="C2543" s="15" t="n">
        <v>98</v>
      </c>
    </row>
    <row r="2544">
      <c r="C2544" s="15" t="n">
        <v>99</v>
      </c>
    </row>
    <row r="2545">
      <c r="C2545" s="15" t="n">
        <v>100</v>
      </c>
    </row>
    <row r="2546">
      <c r="C2546" s="15" t="n">
        <v>101</v>
      </c>
    </row>
    <row r="2547">
      <c r="C2547" s="15" t="n">
        <v>102</v>
      </c>
    </row>
    <row r="2548">
      <c r="C2548" s="15" t="n">
        <v>103</v>
      </c>
    </row>
    <row r="2549">
      <c r="C2549" s="15" t="n">
        <v>104</v>
      </c>
    </row>
    <row r="2550">
      <c r="C2550" s="15" t="n">
        <v>105</v>
      </c>
    </row>
    <row r="2551">
      <c r="C2551" s="15" t="n">
        <v>106</v>
      </c>
    </row>
    <row r="2552">
      <c r="C2552" s="15" t="n">
        <v>107</v>
      </c>
    </row>
    <row r="2553">
      <c r="C2553" s="15" t="n">
        <v>108</v>
      </c>
    </row>
    <row r="2554">
      <c r="C2554" s="15" t="n">
        <v>109</v>
      </c>
    </row>
    <row r="2555">
      <c r="C2555" s="15" t="n">
        <v>110</v>
      </c>
    </row>
    <row r="2556">
      <c r="C2556" s="15" t="n">
        <v>111</v>
      </c>
    </row>
    <row r="2557">
      <c r="C2557" s="15" t="n">
        <v>112</v>
      </c>
    </row>
    <row r="2558">
      <c r="C2558" s="15" t="n">
        <v>113</v>
      </c>
    </row>
    <row r="2559">
      <c r="C2559" s="15" t="n">
        <v>114</v>
      </c>
    </row>
    <row r="2560">
      <c r="C2560" s="15" t="n">
        <v>115</v>
      </c>
    </row>
    <row r="2561">
      <c r="C2561" s="15" t="n">
        <v>116</v>
      </c>
    </row>
    <row r="2562">
      <c r="C2562" s="15" t="n">
        <v>117</v>
      </c>
    </row>
    <row r="2563">
      <c r="C2563" s="15" t="n">
        <v>118</v>
      </c>
    </row>
    <row r="2564">
      <c r="C2564" s="15" t="n">
        <v>119</v>
      </c>
    </row>
    <row r="2565">
      <c r="C2565" s="15" t="n">
        <v>120</v>
      </c>
    </row>
    <row r="2566">
      <c r="C2566" s="15" t="n">
        <v>121</v>
      </c>
    </row>
    <row r="2567">
      <c r="C2567" s="15" t="n">
        <v>122</v>
      </c>
    </row>
    <row r="2568">
      <c r="C2568" s="15" t="n">
        <v>123</v>
      </c>
    </row>
    <row r="2569">
      <c r="C2569" s="15" t="n">
        <v>124</v>
      </c>
    </row>
    <row r="2570">
      <c r="C2570" s="15" t="n">
        <v>125</v>
      </c>
    </row>
    <row r="2571">
      <c r="C2571" s="15" t="n">
        <v>126</v>
      </c>
    </row>
    <row r="2572">
      <c r="C2572" s="15" t="n">
        <v>127</v>
      </c>
    </row>
    <row r="2573">
      <c r="C2573" s="15" t="n">
        <v>128</v>
      </c>
    </row>
    <row r="2574">
      <c r="C2574" s="15" t="n">
        <v>129</v>
      </c>
    </row>
    <row r="2575">
      <c r="C2575" s="15" t="n">
        <v>130</v>
      </c>
    </row>
    <row r="2576">
      <c r="C2576" s="15" t="n">
        <v>131</v>
      </c>
    </row>
    <row r="2577">
      <c r="C2577" s="15" t="n">
        <v>132</v>
      </c>
    </row>
    <row r="2578">
      <c r="C2578" s="15" t="n">
        <v>133</v>
      </c>
    </row>
    <row r="2579">
      <c r="C2579" s="15" t="n">
        <v>134</v>
      </c>
    </row>
    <row r="2580">
      <c r="C2580" s="15" t="n">
        <v>135</v>
      </c>
    </row>
    <row r="2581">
      <c r="C2581" s="15" t="n">
        <v>136</v>
      </c>
    </row>
    <row r="2582">
      <c r="C2582" s="15" t="n">
        <v>137</v>
      </c>
    </row>
    <row r="2583">
      <c r="C2583" s="15" t="n">
        <v>138</v>
      </c>
    </row>
    <row r="2584">
      <c r="C2584" s="15" t="n">
        <v>139</v>
      </c>
    </row>
    <row r="2585">
      <c r="C2585" s="15" t="n">
        <v>140</v>
      </c>
    </row>
    <row r="2586">
      <c r="C2586" s="15" t="n">
        <v>141</v>
      </c>
    </row>
    <row r="2587">
      <c r="C2587" s="15" t="n">
        <v>142</v>
      </c>
    </row>
    <row r="2588">
      <c r="C2588" s="15" t="n">
        <v>143</v>
      </c>
    </row>
    <row r="2589">
      <c r="C2589" s="15" t="n">
        <v>144</v>
      </c>
    </row>
    <row r="2590">
      <c r="C2590" s="15" t="n">
        <v>145</v>
      </c>
    </row>
    <row r="2591">
      <c r="C2591" s="15" t="n">
        <v>146</v>
      </c>
    </row>
    <row r="2592">
      <c r="C2592" s="15" t="n">
        <v>147</v>
      </c>
    </row>
    <row r="2593">
      <c r="C2593" s="15" t="n">
        <v>148</v>
      </c>
    </row>
    <row r="2594">
      <c r="C2594" s="15" t="n">
        <v>149</v>
      </c>
    </row>
    <row r="2595">
      <c r="C2595" s="15" t="n">
        <v>150</v>
      </c>
    </row>
    <row r="2596">
      <c r="C2596" s="15" t="n">
        <v>151</v>
      </c>
    </row>
    <row r="2597">
      <c r="C2597" s="15" t="n">
        <v>152</v>
      </c>
    </row>
    <row r="2598">
      <c r="C2598" s="15" t="n">
        <v>153</v>
      </c>
    </row>
    <row r="2599">
      <c r="C2599" s="15" t="n">
        <v>154</v>
      </c>
    </row>
    <row r="2600">
      <c r="C2600" s="15" t="n">
        <v>155</v>
      </c>
    </row>
    <row r="2601">
      <c r="C2601" s="15" t="n">
        <v>156</v>
      </c>
    </row>
    <row r="2602">
      <c r="C2602" s="15" t="n">
        <v>157</v>
      </c>
    </row>
    <row r="2603">
      <c r="C2603" s="15" t="n">
        <v>158</v>
      </c>
    </row>
    <row r="2604">
      <c r="C2604" s="15" t="n">
        <v>159</v>
      </c>
    </row>
    <row r="2605">
      <c r="C2605" s="15" t="n">
        <v>160</v>
      </c>
    </row>
    <row r="2606">
      <c r="C2606" s="15" t="n">
        <v>161</v>
      </c>
    </row>
    <row r="2607">
      <c r="C2607" s="15" t="n">
        <v>162</v>
      </c>
    </row>
    <row r="2608">
      <c r="C2608" s="15" t="n">
        <v>163</v>
      </c>
    </row>
    <row r="2609">
      <c r="C2609" s="15" t="n">
        <v>164</v>
      </c>
    </row>
    <row r="2610">
      <c r="C2610" s="15" t="n">
        <v>165</v>
      </c>
    </row>
    <row r="2611">
      <c r="C2611" s="15" t="n">
        <v>166</v>
      </c>
    </row>
    <row r="2612">
      <c r="C2612" s="15" t="n">
        <v>167</v>
      </c>
    </row>
    <row r="2613">
      <c r="C2613" s="15" t="n">
        <v>168</v>
      </c>
    </row>
    <row r="2614">
      <c r="C2614" s="15" t="n">
        <v>169</v>
      </c>
    </row>
    <row r="2615">
      <c r="C2615" s="15" t="n">
        <v>170</v>
      </c>
    </row>
    <row r="2616">
      <c r="C2616" s="15" t="n">
        <v>171</v>
      </c>
    </row>
    <row r="2617">
      <c r="C2617" s="15" t="n">
        <v>172</v>
      </c>
    </row>
    <row r="2618">
      <c r="C2618" s="15" t="n">
        <v>173</v>
      </c>
    </row>
    <row r="2619">
      <c r="C2619" s="15" t="n">
        <v>174</v>
      </c>
    </row>
    <row r="2620">
      <c r="C2620" s="15" t="n">
        <v>175</v>
      </c>
    </row>
    <row r="2621">
      <c r="C2621" s="15" t="n">
        <v>176</v>
      </c>
    </row>
    <row r="2622">
      <c r="C2622" s="15" t="n">
        <v>177</v>
      </c>
    </row>
    <row r="2623">
      <c r="C2623" s="15" t="n">
        <v>178</v>
      </c>
    </row>
    <row r="2624">
      <c r="C2624" s="15" t="n">
        <v>179</v>
      </c>
    </row>
    <row r="2625">
      <c r="C2625" s="15" t="n">
        <v>180</v>
      </c>
    </row>
    <row r="2626">
      <c r="C2626" s="15" t="n">
        <v>181</v>
      </c>
    </row>
    <row r="2627">
      <c r="C2627" s="15" t="n">
        <v>182</v>
      </c>
    </row>
    <row r="2628">
      <c r="C2628" s="15" t="n">
        <v>183</v>
      </c>
    </row>
    <row r="2629">
      <c r="C2629" s="15" t="n">
        <v>184</v>
      </c>
    </row>
    <row r="2630">
      <c r="C2630" s="15" t="n">
        <v>185</v>
      </c>
    </row>
    <row r="2631">
      <c r="C2631" s="15" t="n">
        <v>186</v>
      </c>
    </row>
    <row r="2632">
      <c r="C2632" s="15" t="n">
        <v>187</v>
      </c>
    </row>
    <row r="2633">
      <c r="C2633" s="15" t="n">
        <v>188</v>
      </c>
    </row>
    <row r="2634">
      <c r="C2634" s="15" t="n">
        <v>189</v>
      </c>
    </row>
    <row r="2635">
      <c r="C2635" s="15" t="n">
        <v>190</v>
      </c>
    </row>
    <row r="2636">
      <c r="C2636" s="15" t="n">
        <v>191</v>
      </c>
    </row>
    <row r="2637">
      <c r="C2637" s="15" t="n">
        <v>192</v>
      </c>
    </row>
    <row r="2638">
      <c r="C2638" s="15" t="n">
        <v>193</v>
      </c>
    </row>
    <row r="2639">
      <c r="C2639" s="15" t="n">
        <v>194</v>
      </c>
    </row>
    <row r="2640">
      <c r="C2640" s="15" t="n">
        <v>195</v>
      </c>
    </row>
    <row r="2641">
      <c r="C2641" s="15" t="n">
        <v>196</v>
      </c>
    </row>
    <row r="2642">
      <c r="C2642" s="15" t="n">
        <v>197</v>
      </c>
    </row>
    <row r="2643">
      <c r="C2643" s="15" t="n">
        <v>198</v>
      </c>
    </row>
    <row r="2645">
      <c r="B2645" s="15" t="inlineStr">
        <is>
          <t>Parâmetros p/ σy</t>
        </is>
      </c>
      <c r="C2645" s="15" t="inlineStr">
        <is>
          <t>DesvPad(Var(E(RLT)))</t>
        </is>
      </c>
      <c r="D2645" s="15" t="n">
        <v>22</v>
      </c>
      <c r="E2645" s="15" t="n">
        <v>23</v>
      </c>
      <c r="F2645" s="15" t="n">
        <v>24</v>
      </c>
    </row>
    <row r="2646" ht="16.2" customHeight="1">
      <c r="B2646" s="15" t="inlineStr">
        <is>
          <t>ND*RLT e S2nd</t>
        </is>
      </c>
      <c r="C2646" s="15" t="n">
        <v>9</v>
      </c>
    </row>
    <row r="2647">
      <c r="C2647" s="15" t="n">
        <v>10</v>
      </c>
    </row>
    <row r="2648">
      <c r="C2648" s="15" t="n">
        <v>11</v>
      </c>
    </row>
    <row r="2649">
      <c r="C2649" s="15" t="n">
        <v>12</v>
      </c>
    </row>
    <row r="2650">
      <c r="C2650" s="15" t="n">
        <v>13</v>
      </c>
    </row>
    <row r="2651">
      <c r="C2651" s="15" t="n">
        <v>14</v>
      </c>
    </row>
    <row r="2652">
      <c r="C2652" s="15" t="n">
        <v>15</v>
      </c>
    </row>
    <row r="2653">
      <c r="C2653" s="15" t="n">
        <v>16</v>
      </c>
    </row>
    <row r="2654">
      <c r="C2654" s="15" t="n">
        <v>17</v>
      </c>
    </row>
    <row r="2655">
      <c r="C2655" s="15" t="n">
        <v>18</v>
      </c>
    </row>
    <row r="2656">
      <c r="C2656" s="15" t="n">
        <v>19</v>
      </c>
    </row>
    <row r="2657">
      <c r="C2657" s="15" t="n">
        <v>20</v>
      </c>
    </row>
    <row r="2658">
      <c r="C2658" s="15" t="n">
        <v>21</v>
      </c>
    </row>
    <row r="2659">
      <c r="C2659" s="15" t="n">
        <v>22</v>
      </c>
    </row>
    <row r="2660">
      <c r="C2660" s="15" t="n">
        <v>23</v>
      </c>
    </row>
    <row r="2661">
      <c r="C2661" s="15" t="n">
        <v>24</v>
      </c>
    </row>
    <row r="2662">
      <c r="C2662" s="15" t="n">
        <v>25</v>
      </c>
    </row>
    <row r="2663">
      <c r="C2663" s="15" t="n">
        <v>26</v>
      </c>
    </row>
    <row r="2664">
      <c r="C2664" s="15" t="n">
        <v>27</v>
      </c>
    </row>
    <row r="2665">
      <c r="C2665" s="15" t="n">
        <v>28</v>
      </c>
    </row>
    <row r="2666">
      <c r="C2666" s="15" t="n">
        <v>29</v>
      </c>
    </row>
    <row r="2667">
      <c r="C2667" s="15" t="n">
        <v>30</v>
      </c>
    </row>
    <row r="2668">
      <c r="C2668" s="15" t="n">
        <v>31</v>
      </c>
    </row>
    <row r="2669">
      <c r="C2669" s="15" t="n">
        <v>32</v>
      </c>
    </row>
    <row r="2670">
      <c r="C2670" s="15" t="n">
        <v>33</v>
      </c>
    </row>
    <row r="2671">
      <c r="C2671" s="15" t="n">
        <v>34</v>
      </c>
    </row>
    <row r="2672">
      <c r="C2672" s="15" t="n">
        <v>35</v>
      </c>
    </row>
    <row r="2673">
      <c r="C2673" s="15" t="n">
        <v>36</v>
      </c>
    </row>
    <row r="2674">
      <c r="C2674" s="15" t="n">
        <v>37</v>
      </c>
    </row>
    <row r="2675">
      <c r="C2675" s="15" t="n">
        <v>38</v>
      </c>
    </row>
    <row r="2676">
      <c r="C2676" s="15" t="n">
        <v>39</v>
      </c>
    </row>
    <row r="2677">
      <c r="C2677" s="15" t="n">
        <v>40</v>
      </c>
    </row>
    <row r="2678">
      <c r="C2678" s="15" t="n">
        <v>41</v>
      </c>
    </row>
    <row r="2679">
      <c r="C2679" s="15" t="n">
        <v>42</v>
      </c>
    </row>
    <row r="2680">
      <c r="C2680" s="15" t="n">
        <v>43</v>
      </c>
    </row>
    <row r="2681">
      <c r="C2681" s="15" t="n">
        <v>44</v>
      </c>
    </row>
    <row r="2682">
      <c r="C2682" s="15" t="n">
        <v>45</v>
      </c>
    </row>
    <row r="2683">
      <c r="C2683" s="15" t="n">
        <v>46</v>
      </c>
    </row>
    <row r="2684">
      <c r="C2684" s="15" t="n">
        <v>47</v>
      </c>
    </row>
    <row r="2685">
      <c r="C2685" s="15" t="n">
        <v>48</v>
      </c>
    </row>
    <row r="2686">
      <c r="C2686" s="15" t="n">
        <v>49</v>
      </c>
    </row>
    <row r="2687">
      <c r="C2687" s="15" t="n">
        <v>50</v>
      </c>
    </row>
    <row r="2688">
      <c r="C2688" s="15" t="n">
        <v>51</v>
      </c>
    </row>
    <row r="2689">
      <c r="C2689" s="15" t="n">
        <v>52</v>
      </c>
    </row>
    <row r="2690">
      <c r="C2690" s="15" t="n">
        <v>53</v>
      </c>
    </row>
    <row r="2691">
      <c r="C2691" s="15" t="n">
        <v>54</v>
      </c>
    </row>
    <row r="2692">
      <c r="C2692" s="15" t="n">
        <v>55</v>
      </c>
    </row>
    <row r="2693">
      <c r="C2693" s="15" t="n">
        <v>56</v>
      </c>
    </row>
    <row r="2694">
      <c r="C2694" s="15" t="n">
        <v>57</v>
      </c>
    </row>
    <row r="2695">
      <c r="C2695" s="15" t="n">
        <v>58</v>
      </c>
    </row>
    <row r="2696">
      <c r="C2696" s="15" t="n">
        <v>59</v>
      </c>
    </row>
    <row r="2697">
      <c r="C2697" s="15" t="n">
        <v>60</v>
      </c>
    </row>
    <row r="2698">
      <c r="C2698" s="15" t="n">
        <v>61</v>
      </c>
    </row>
    <row r="2699">
      <c r="C2699" s="15" t="n">
        <v>62</v>
      </c>
    </row>
    <row r="2700">
      <c r="C2700" s="15" t="n">
        <v>63</v>
      </c>
    </row>
    <row r="2701">
      <c r="C2701" s="15" t="n">
        <v>64</v>
      </c>
    </row>
    <row r="2702">
      <c r="C2702" s="15" t="n">
        <v>65</v>
      </c>
    </row>
    <row r="2703">
      <c r="C2703" s="15" t="n">
        <v>66</v>
      </c>
    </row>
    <row r="2704">
      <c r="C2704" s="15" t="n">
        <v>67</v>
      </c>
    </row>
    <row r="2705">
      <c r="C2705" s="15" t="n">
        <v>68</v>
      </c>
    </row>
    <row r="2706">
      <c r="C2706" s="15" t="n">
        <v>69</v>
      </c>
    </row>
    <row r="2707">
      <c r="C2707" s="15" t="n">
        <v>70</v>
      </c>
    </row>
    <row r="2708">
      <c r="C2708" s="15" t="n">
        <v>71</v>
      </c>
    </row>
    <row r="2709">
      <c r="C2709" s="15" t="n">
        <v>72</v>
      </c>
    </row>
    <row r="2710">
      <c r="C2710" s="15" t="n">
        <v>73</v>
      </c>
    </row>
    <row r="2711">
      <c r="C2711" s="15" t="n">
        <v>74</v>
      </c>
    </row>
    <row r="2712">
      <c r="C2712" s="15" t="n">
        <v>75</v>
      </c>
    </row>
    <row r="2713">
      <c r="C2713" s="15" t="n">
        <v>76</v>
      </c>
    </row>
    <row r="2714">
      <c r="C2714" s="15" t="n">
        <v>77</v>
      </c>
    </row>
    <row r="2715">
      <c r="C2715" s="15" t="n">
        <v>78</v>
      </c>
    </row>
    <row r="2716">
      <c r="C2716" s="15" t="n">
        <v>79</v>
      </c>
    </row>
    <row r="2717">
      <c r="C2717" s="15" t="n">
        <v>80</v>
      </c>
    </row>
    <row r="2718">
      <c r="C2718" s="15" t="n">
        <v>81</v>
      </c>
    </row>
    <row r="2719">
      <c r="C2719" s="15" t="n">
        <v>82</v>
      </c>
    </row>
    <row r="2720">
      <c r="C2720" s="15" t="n">
        <v>83</v>
      </c>
    </row>
    <row r="2721">
      <c r="C2721" s="15" t="n">
        <v>84</v>
      </c>
    </row>
    <row r="2722">
      <c r="C2722" s="15" t="n">
        <v>85</v>
      </c>
    </row>
    <row r="2723">
      <c r="C2723" s="15" t="n">
        <v>86</v>
      </c>
    </row>
    <row r="2724">
      <c r="C2724" s="15" t="n">
        <v>87</v>
      </c>
    </row>
    <row r="2725">
      <c r="C2725" s="15" t="n">
        <v>88</v>
      </c>
    </row>
    <row r="2726">
      <c r="C2726" s="15" t="n">
        <v>89</v>
      </c>
    </row>
    <row r="2727">
      <c r="C2727" s="15" t="n">
        <v>90</v>
      </c>
    </row>
    <row r="2728">
      <c r="C2728" s="15" t="n">
        <v>91</v>
      </c>
    </row>
    <row r="2729">
      <c r="C2729" s="15" t="n">
        <v>92</v>
      </c>
    </row>
    <row r="2730">
      <c r="C2730" s="15" t="n">
        <v>93</v>
      </c>
    </row>
    <row r="2731">
      <c r="C2731" s="15" t="n">
        <v>94</v>
      </c>
    </row>
    <row r="2732">
      <c r="C2732" s="15" t="n">
        <v>95</v>
      </c>
    </row>
    <row r="2733">
      <c r="C2733" s="15" t="n">
        <v>96</v>
      </c>
    </row>
    <row r="2734">
      <c r="C2734" s="15" t="n">
        <v>97</v>
      </c>
    </row>
    <row r="2735">
      <c r="C2735" s="15" t="n">
        <v>98</v>
      </c>
    </row>
    <row r="2736">
      <c r="C2736" s="15" t="n">
        <v>99</v>
      </c>
    </row>
    <row r="2737">
      <c r="C2737" s="15" t="n">
        <v>100</v>
      </c>
    </row>
    <row r="2738">
      <c r="C2738" s="15" t="n">
        <v>101</v>
      </c>
    </row>
    <row r="2739">
      <c r="C2739" s="15" t="n">
        <v>102</v>
      </c>
    </row>
    <row r="2740">
      <c r="C2740" s="15" t="n">
        <v>103</v>
      </c>
    </row>
    <row r="2741">
      <c r="C2741" s="15" t="n">
        <v>104</v>
      </c>
    </row>
    <row r="2742">
      <c r="C2742" s="15" t="n">
        <v>105</v>
      </c>
    </row>
    <row r="2743">
      <c r="C2743" s="15" t="n">
        <v>106</v>
      </c>
    </row>
    <row r="2744">
      <c r="C2744" s="15" t="n">
        <v>107</v>
      </c>
    </row>
    <row r="2745">
      <c r="C2745" s="15" t="n">
        <v>108</v>
      </c>
    </row>
    <row r="2746">
      <c r="C2746" s="15" t="n">
        <v>109</v>
      </c>
    </row>
    <row r="2747">
      <c r="C2747" s="15" t="n">
        <v>110</v>
      </c>
    </row>
    <row r="2748">
      <c r="C2748" s="15" t="n">
        <v>111</v>
      </c>
    </row>
    <row r="2749">
      <c r="C2749" s="15" t="n">
        <v>112</v>
      </c>
    </row>
    <row r="2750">
      <c r="C2750" s="15" t="n">
        <v>113</v>
      </c>
    </row>
    <row r="2751">
      <c r="C2751" s="15" t="n">
        <v>114</v>
      </c>
    </row>
    <row r="2752">
      <c r="C2752" s="15" t="n">
        <v>115</v>
      </c>
    </row>
    <row r="2753">
      <c r="C2753" s="15" t="n">
        <v>116</v>
      </c>
    </row>
    <row r="2754">
      <c r="C2754" s="15" t="n">
        <v>117</v>
      </c>
    </row>
    <row r="2755">
      <c r="C2755" s="15" t="n">
        <v>118</v>
      </c>
    </row>
    <row r="2756">
      <c r="C2756" s="15" t="n">
        <v>119</v>
      </c>
    </row>
    <row r="2757">
      <c r="C2757" s="15" t="n">
        <v>120</v>
      </c>
    </row>
    <row r="2758">
      <c r="C2758" s="15" t="n">
        <v>121</v>
      </c>
    </row>
    <row r="2759">
      <c r="C2759" s="15" t="n">
        <v>122</v>
      </c>
    </row>
    <row r="2760">
      <c r="C2760" s="15" t="n">
        <v>123</v>
      </c>
    </row>
    <row r="2761">
      <c r="C2761" s="15" t="n">
        <v>124</v>
      </c>
    </row>
    <row r="2762">
      <c r="C2762" s="15" t="n">
        <v>125</v>
      </c>
    </row>
    <row r="2763">
      <c r="C2763" s="15" t="n">
        <v>126</v>
      </c>
    </row>
    <row r="2764">
      <c r="C2764" s="15" t="n">
        <v>127</v>
      </c>
    </row>
    <row r="2765">
      <c r="C2765" s="15" t="n">
        <v>128</v>
      </c>
    </row>
    <row r="2766">
      <c r="C2766" s="15" t="n">
        <v>129</v>
      </c>
    </row>
    <row r="2767">
      <c r="C2767" s="15" t="n">
        <v>130</v>
      </c>
    </row>
    <row r="2768">
      <c r="C2768" s="15" t="n">
        <v>131</v>
      </c>
    </row>
    <row r="2769">
      <c r="C2769" s="15" t="n">
        <v>132</v>
      </c>
    </row>
    <row r="2770">
      <c r="C2770" s="15" t="n">
        <v>133</v>
      </c>
    </row>
    <row r="2771">
      <c r="C2771" s="15" t="n">
        <v>134</v>
      </c>
    </row>
    <row r="2772">
      <c r="C2772" s="15" t="n">
        <v>135</v>
      </c>
    </row>
    <row r="2773">
      <c r="C2773" s="15" t="n">
        <v>136</v>
      </c>
    </row>
    <row r="2774">
      <c r="C2774" s="15" t="n">
        <v>137</v>
      </c>
    </row>
    <row r="2775">
      <c r="C2775" s="15" t="n">
        <v>138</v>
      </c>
    </row>
    <row r="2776">
      <c r="C2776" s="15" t="n">
        <v>139</v>
      </c>
    </row>
    <row r="2777">
      <c r="C2777" s="15" t="n">
        <v>140</v>
      </c>
    </row>
    <row r="2778">
      <c r="C2778" s="15" t="n">
        <v>141</v>
      </c>
    </row>
    <row r="2779">
      <c r="C2779" s="15" t="n">
        <v>142</v>
      </c>
    </row>
    <row r="2780">
      <c r="C2780" s="15" t="n">
        <v>143</v>
      </c>
    </row>
    <row r="2781">
      <c r="C2781" s="15" t="n">
        <v>144</v>
      </c>
    </row>
    <row r="2782">
      <c r="C2782" s="15" t="n">
        <v>145</v>
      </c>
    </row>
    <row r="2783">
      <c r="C2783" s="15" t="n">
        <v>146</v>
      </c>
    </row>
    <row r="2784">
      <c r="C2784" s="15" t="n">
        <v>147</v>
      </c>
    </row>
    <row r="2785">
      <c r="C2785" s="15" t="n">
        <v>148</v>
      </c>
    </row>
    <row r="2786">
      <c r="C2786" s="15" t="n">
        <v>149</v>
      </c>
    </row>
    <row r="2787">
      <c r="C2787" s="15" t="n">
        <v>150</v>
      </c>
    </row>
    <row r="2788">
      <c r="C2788" s="15" t="n">
        <v>151</v>
      </c>
    </row>
    <row r="2789">
      <c r="C2789" s="15" t="n">
        <v>152</v>
      </c>
    </row>
    <row r="2790">
      <c r="C2790" s="15" t="n">
        <v>153</v>
      </c>
    </row>
    <row r="2791">
      <c r="C2791" s="15" t="n">
        <v>154</v>
      </c>
    </row>
    <row r="2792">
      <c r="C2792" s="15" t="n">
        <v>155</v>
      </c>
    </row>
    <row r="2793">
      <c r="C2793" s="15" t="n">
        <v>156</v>
      </c>
    </row>
    <row r="2794">
      <c r="C2794" s="15" t="n">
        <v>157</v>
      </c>
    </row>
    <row r="2795">
      <c r="C2795" s="15" t="n">
        <v>158</v>
      </c>
    </row>
    <row r="2796">
      <c r="C2796" s="15" t="n">
        <v>159</v>
      </c>
    </row>
    <row r="2797">
      <c r="C2797" s="15" t="n">
        <v>160</v>
      </c>
    </row>
    <row r="2798">
      <c r="C2798" s="15" t="n">
        <v>161</v>
      </c>
    </row>
    <row r="2799">
      <c r="C2799" s="15" t="n">
        <v>162</v>
      </c>
    </row>
    <row r="2800">
      <c r="C2800" s="15" t="n">
        <v>163</v>
      </c>
    </row>
    <row r="2801">
      <c r="C2801" s="15" t="n">
        <v>164</v>
      </c>
    </row>
    <row r="2802">
      <c r="C2802" s="15" t="n">
        <v>165</v>
      </c>
    </row>
    <row r="2803">
      <c r="C2803" s="15" t="n">
        <v>166</v>
      </c>
    </row>
    <row r="2804">
      <c r="C2804" s="15" t="n">
        <v>167</v>
      </c>
    </row>
    <row r="2805">
      <c r="C2805" s="15" t="n">
        <v>168</v>
      </c>
    </row>
    <row r="2806">
      <c r="C2806" s="15" t="n">
        <v>169</v>
      </c>
    </row>
    <row r="2807">
      <c r="C2807" s="15" t="n">
        <v>170</v>
      </c>
    </row>
    <row r="2808">
      <c r="C2808" s="15" t="n">
        <v>171</v>
      </c>
    </row>
    <row r="2809">
      <c r="C2809" s="15" t="n">
        <v>172</v>
      </c>
    </row>
    <row r="2810">
      <c r="C2810" s="15" t="n">
        <v>173</v>
      </c>
    </row>
    <row r="2811">
      <c r="C2811" s="15" t="n">
        <v>174</v>
      </c>
    </row>
    <row r="2812">
      <c r="C2812" s="15" t="n">
        <v>175</v>
      </c>
    </row>
    <row r="2813">
      <c r="C2813" s="15" t="n">
        <v>176</v>
      </c>
    </row>
    <row r="2814">
      <c r="C2814" s="15" t="n">
        <v>177</v>
      </c>
    </row>
    <row r="2815">
      <c r="C2815" s="15" t="n">
        <v>178</v>
      </c>
    </row>
    <row r="2816">
      <c r="C2816" s="15" t="n">
        <v>179</v>
      </c>
    </row>
    <row r="2817">
      <c r="C2817" s="15" t="n">
        <v>180</v>
      </c>
    </row>
    <row r="2818">
      <c r="C2818" s="15" t="n">
        <v>181</v>
      </c>
    </row>
    <row r="2819">
      <c r="C2819" s="15" t="n">
        <v>182</v>
      </c>
    </row>
    <row r="2820">
      <c r="C2820" s="15" t="n">
        <v>183</v>
      </c>
    </row>
    <row r="2821">
      <c r="C2821" s="15" t="n">
        <v>184</v>
      </c>
    </row>
    <row r="2822">
      <c r="C2822" s="15" t="n">
        <v>185</v>
      </c>
    </row>
    <row r="2823">
      <c r="C2823" s="15" t="n">
        <v>186</v>
      </c>
    </row>
    <row r="2824">
      <c r="C2824" s="15" t="n">
        <v>187</v>
      </c>
    </row>
    <row r="2825">
      <c r="C2825" s="15" t="n">
        <v>188</v>
      </c>
    </row>
    <row r="2826">
      <c r="C2826" s="15" t="n">
        <v>189</v>
      </c>
    </row>
    <row r="2827">
      <c r="C2827" s="15" t="n">
        <v>190</v>
      </c>
    </row>
    <row r="2828">
      <c r="C2828" s="15" t="n">
        <v>191</v>
      </c>
    </row>
    <row r="2829">
      <c r="C2829" s="15" t="n">
        <v>192</v>
      </c>
    </row>
    <row r="2830">
      <c r="C2830" s="15" t="n">
        <v>193</v>
      </c>
    </row>
    <row r="2831">
      <c r="C2831" s="15" t="n">
        <v>194</v>
      </c>
    </row>
    <row r="2832">
      <c r="C2832" s="15" t="n">
        <v>195</v>
      </c>
    </row>
    <row r="2833">
      <c r="C2833" s="15" t="n">
        <v>196</v>
      </c>
    </row>
    <row r="2834">
      <c r="C2834" s="15" t="n">
        <v>197</v>
      </c>
    </row>
    <row r="2835">
      <c r="C2835" s="15" t="n">
        <v>198</v>
      </c>
    </row>
    <row r="2837">
      <c r="B2837" s="15" t="inlineStr">
        <is>
          <t>Parâmetros p/ μx</t>
        </is>
      </c>
      <c r="C2837" s="15" t="inlineStr">
        <is>
          <t>Média(d-Cap)</t>
        </is>
      </c>
      <c r="D2837" s="15" t="n">
        <v>22</v>
      </c>
      <c r="E2837" s="15" t="n">
        <v>23</v>
      </c>
      <c r="F2837" s="15" t="n">
        <v>24</v>
      </c>
    </row>
    <row r="2838">
      <c r="B2838" s="15" t="inlineStr">
        <is>
          <t>ND*RLT</t>
        </is>
      </c>
      <c r="C2838" s="15" t="n">
        <v>9</v>
      </c>
    </row>
    <row r="2839">
      <c r="C2839" s="15" t="n">
        <v>10</v>
      </c>
    </row>
    <row r="2840">
      <c r="C2840" s="15" t="n">
        <v>11</v>
      </c>
    </row>
    <row r="2841">
      <c r="C2841" s="15" t="n">
        <v>12</v>
      </c>
    </row>
    <row r="2842">
      <c r="C2842" s="15" t="n">
        <v>13</v>
      </c>
    </row>
    <row r="2843">
      <c r="C2843" s="15" t="n">
        <v>14</v>
      </c>
    </row>
    <row r="2844">
      <c r="C2844" s="15" t="n">
        <v>15</v>
      </c>
    </row>
    <row r="2845">
      <c r="C2845" s="15" t="n">
        <v>16</v>
      </c>
    </row>
    <row r="2846">
      <c r="C2846" s="15" t="n">
        <v>17</v>
      </c>
    </row>
    <row r="2847">
      <c r="C2847" s="15" t="n">
        <v>18</v>
      </c>
    </row>
    <row r="2848">
      <c r="C2848" s="15" t="n">
        <v>19</v>
      </c>
    </row>
    <row r="2849">
      <c r="C2849" s="15" t="n">
        <v>20</v>
      </c>
    </row>
    <row r="2850">
      <c r="C2850" s="15" t="n">
        <v>21</v>
      </c>
    </row>
    <row r="2851">
      <c r="C2851" s="15" t="n">
        <v>22</v>
      </c>
    </row>
    <row r="2852">
      <c r="C2852" s="15" t="n">
        <v>23</v>
      </c>
    </row>
    <row r="2853">
      <c r="C2853" s="15" t="n">
        <v>24</v>
      </c>
    </row>
    <row r="2854">
      <c r="C2854" s="15" t="n">
        <v>25</v>
      </c>
    </row>
    <row r="2855">
      <c r="C2855" s="15" t="n">
        <v>26</v>
      </c>
    </row>
    <row r="2856">
      <c r="C2856" s="15" t="n">
        <v>27</v>
      </c>
    </row>
    <row r="2857">
      <c r="C2857" s="15" t="n">
        <v>28</v>
      </c>
    </row>
    <row r="2858">
      <c r="C2858" s="15" t="n">
        <v>29</v>
      </c>
    </row>
    <row r="2859">
      <c r="C2859" s="15" t="n">
        <v>30</v>
      </c>
    </row>
    <row r="2860">
      <c r="C2860" s="15" t="n">
        <v>31</v>
      </c>
    </row>
    <row r="2861">
      <c r="C2861" s="15" t="n">
        <v>32</v>
      </c>
    </row>
    <row r="2862">
      <c r="C2862" s="15" t="n">
        <v>33</v>
      </c>
    </row>
    <row r="2863">
      <c r="C2863" s="15" t="n">
        <v>34</v>
      </c>
    </row>
    <row r="2864">
      <c r="C2864" s="15" t="n">
        <v>35</v>
      </c>
    </row>
    <row r="2865">
      <c r="C2865" s="15" t="n">
        <v>36</v>
      </c>
    </row>
    <row r="2866">
      <c r="C2866" s="15" t="n">
        <v>37</v>
      </c>
    </row>
    <row r="2867">
      <c r="C2867" s="15" t="n">
        <v>38</v>
      </c>
    </row>
    <row r="2868">
      <c r="C2868" s="15" t="n">
        <v>39</v>
      </c>
    </row>
    <row r="2869">
      <c r="C2869" s="15" t="n">
        <v>40</v>
      </c>
    </row>
    <row r="2870">
      <c r="C2870" s="15" t="n">
        <v>41</v>
      </c>
    </row>
    <row r="2871">
      <c r="C2871" s="15" t="n">
        <v>42</v>
      </c>
    </row>
    <row r="2872">
      <c r="C2872" s="15" t="n">
        <v>43</v>
      </c>
    </row>
    <row r="2873">
      <c r="C2873" s="15" t="n">
        <v>44</v>
      </c>
    </row>
    <row r="2874">
      <c r="C2874" s="15" t="n">
        <v>45</v>
      </c>
    </row>
    <row r="2875">
      <c r="C2875" s="15" t="n">
        <v>46</v>
      </c>
    </row>
    <row r="2876">
      <c r="C2876" s="15" t="n">
        <v>47</v>
      </c>
    </row>
    <row r="2877">
      <c r="C2877" s="15" t="n">
        <v>48</v>
      </c>
    </row>
    <row r="2878">
      <c r="C2878" s="15" t="n">
        <v>49</v>
      </c>
    </row>
    <row r="2879">
      <c r="C2879" s="15" t="n">
        <v>50</v>
      </c>
    </row>
    <row r="2880">
      <c r="C2880" s="15" t="n">
        <v>51</v>
      </c>
    </row>
    <row r="2881">
      <c r="C2881" s="15" t="n">
        <v>52</v>
      </c>
    </row>
    <row r="2882">
      <c r="C2882" s="15" t="n">
        <v>53</v>
      </c>
    </row>
    <row r="2883">
      <c r="C2883" s="15" t="n">
        <v>54</v>
      </c>
    </row>
    <row r="2884">
      <c r="C2884" s="15" t="n">
        <v>55</v>
      </c>
    </row>
    <row r="2885">
      <c r="C2885" s="15" t="n">
        <v>56</v>
      </c>
    </row>
    <row r="2886">
      <c r="C2886" s="15" t="n">
        <v>57</v>
      </c>
    </row>
    <row r="2887">
      <c r="C2887" s="15" t="n">
        <v>58</v>
      </c>
    </row>
    <row r="2888">
      <c r="C2888" s="15" t="n">
        <v>59</v>
      </c>
    </row>
    <row r="2889">
      <c r="C2889" s="15" t="n">
        <v>60</v>
      </c>
    </row>
    <row r="2890">
      <c r="C2890" s="15" t="n">
        <v>61</v>
      </c>
    </row>
    <row r="2891">
      <c r="C2891" s="15" t="n">
        <v>62</v>
      </c>
    </row>
    <row r="2892">
      <c r="C2892" s="15" t="n">
        <v>63</v>
      </c>
    </row>
    <row r="2893">
      <c r="C2893" s="15" t="n">
        <v>64</v>
      </c>
    </row>
    <row r="2894">
      <c r="C2894" s="15" t="n">
        <v>65</v>
      </c>
    </row>
    <row r="2895">
      <c r="C2895" s="15" t="n">
        <v>66</v>
      </c>
    </row>
    <row r="2896">
      <c r="C2896" s="15" t="n">
        <v>67</v>
      </c>
    </row>
    <row r="2897">
      <c r="C2897" s="15" t="n">
        <v>68</v>
      </c>
    </row>
    <row r="2898">
      <c r="C2898" s="15" t="n">
        <v>69</v>
      </c>
    </row>
    <row r="2899">
      <c r="C2899" s="15" t="n">
        <v>70</v>
      </c>
    </row>
    <row r="2900">
      <c r="C2900" s="15" t="n">
        <v>71</v>
      </c>
    </row>
    <row r="2901">
      <c r="C2901" s="15" t="n">
        <v>72</v>
      </c>
    </row>
    <row r="2902">
      <c r="C2902" s="15" t="n">
        <v>73</v>
      </c>
    </row>
    <row r="2903">
      <c r="C2903" s="15" t="n">
        <v>74</v>
      </c>
    </row>
    <row r="2904">
      <c r="C2904" s="15" t="n">
        <v>75</v>
      </c>
    </row>
    <row r="2905">
      <c r="C2905" s="15" t="n">
        <v>76</v>
      </c>
    </row>
    <row r="2906">
      <c r="C2906" s="15" t="n">
        <v>77</v>
      </c>
    </row>
    <row r="2907">
      <c r="C2907" s="15" t="n">
        <v>78</v>
      </c>
    </row>
    <row r="2908">
      <c r="C2908" s="15" t="n">
        <v>79</v>
      </c>
    </row>
    <row r="2909">
      <c r="C2909" s="15" t="n">
        <v>80</v>
      </c>
    </row>
    <row r="2910">
      <c r="C2910" s="15" t="n">
        <v>81</v>
      </c>
    </row>
    <row r="2911">
      <c r="C2911" s="15" t="n">
        <v>82</v>
      </c>
    </row>
    <row r="2912">
      <c r="C2912" s="15" t="n">
        <v>83</v>
      </c>
    </row>
    <row r="2913">
      <c r="C2913" s="15" t="n">
        <v>84</v>
      </c>
    </row>
    <row r="2914">
      <c r="C2914" s="15" t="n">
        <v>85</v>
      </c>
    </row>
    <row r="2915">
      <c r="C2915" s="15" t="n">
        <v>86</v>
      </c>
    </row>
    <row r="2916">
      <c r="C2916" s="15" t="n">
        <v>87</v>
      </c>
    </row>
    <row r="2917">
      <c r="C2917" s="15" t="n">
        <v>88</v>
      </c>
    </row>
    <row r="2918">
      <c r="C2918" s="15" t="n">
        <v>89</v>
      </c>
    </row>
    <row r="2919">
      <c r="C2919" s="15" t="n">
        <v>90</v>
      </c>
    </row>
    <row r="2920">
      <c r="C2920" s="15" t="n">
        <v>91</v>
      </c>
    </row>
    <row r="2921">
      <c r="C2921" s="15" t="n">
        <v>92</v>
      </c>
    </row>
    <row r="2922">
      <c r="C2922" s="15" t="n">
        <v>93</v>
      </c>
    </row>
    <row r="2923">
      <c r="C2923" s="15" t="n">
        <v>94</v>
      </c>
    </row>
    <row r="2924">
      <c r="C2924" s="15" t="n">
        <v>95</v>
      </c>
    </row>
    <row r="2925">
      <c r="C2925" s="15" t="n">
        <v>96</v>
      </c>
    </row>
    <row r="2926">
      <c r="C2926" s="15" t="n">
        <v>97</v>
      </c>
    </row>
    <row r="2927">
      <c r="C2927" s="15" t="n">
        <v>98</v>
      </c>
    </row>
    <row r="2928">
      <c r="C2928" s="15" t="n">
        <v>99</v>
      </c>
    </row>
    <row r="2929">
      <c r="C2929" s="15" t="n">
        <v>100</v>
      </c>
    </row>
    <row r="2930">
      <c r="C2930" s="15" t="n">
        <v>101</v>
      </c>
    </row>
    <row r="2931">
      <c r="C2931" s="15" t="n">
        <v>102</v>
      </c>
    </row>
    <row r="2932">
      <c r="C2932" s="15" t="n">
        <v>103</v>
      </c>
    </row>
    <row r="2933">
      <c r="C2933" s="15" t="n">
        <v>104</v>
      </c>
    </row>
    <row r="2934">
      <c r="C2934" s="15" t="n">
        <v>105</v>
      </c>
    </row>
    <row r="2935">
      <c r="C2935" s="15" t="n">
        <v>106</v>
      </c>
    </row>
    <row r="2936">
      <c r="C2936" s="15" t="n">
        <v>107</v>
      </c>
    </row>
    <row r="2937">
      <c r="C2937" s="15" t="n">
        <v>108</v>
      </c>
    </row>
    <row r="2938">
      <c r="C2938" s="15" t="n">
        <v>109</v>
      </c>
    </row>
    <row r="2939">
      <c r="C2939" s="15" t="n">
        <v>110</v>
      </c>
    </row>
    <row r="2940">
      <c r="C2940" s="15" t="n">
        <v>111</v>
      </c>
    </row>
    <row r="2941">
      <c r="C2941" s="15" t="n">
        <v>112</v>
      </c>
    </row>
    <row r="2942">
      <c r="C2942" s="15" t="n">
        <v>113</v>
      </c>
    </row>
    <row r="2943">
      <c r="C2943" s="15" t="n">
        <v>114</v>
      </c>
    </row>
    <row r="2944">
      <c r="C2944" s="15" t="n">
        <v>115</v>
      </c>
    </row>
    <row r="2945">
      <c r="C2945" s="15" t="n">
        <v>116</v>
      </c>
    </row>
    <row r="2946">
      <c r="C2946" s="15" t="n">
        <v>117</v>
      </c>
    </row>
    <row r="2947">
      <c r="C2947" s="15" t="n">
        <v>118</v>
      </c>
    </row>
    <row r="2948">
      <c r="C2948" s="15" t="n">
        <v>119</v>
      </c>
    </row>
    <row r="2949">
      <c r="C2949" s="15" t="n">
        <v>120</v>
      </c>
    </row>
    <row r="2950">
      <c r="C2950" s="15" t="n">
        <v>121</v>
      </c>
    </row>
    <row r="2951">
      <c r="C2951" s="15" t="n">
        <v>122</v>
      </c>
    </row>
    <row r="2952">
      <c r="C2952" s="15" t="n">
        <v>123</v>
      </c>
    </row>
    <row r="2953">
      <c r="C2953" s="15" t="n">
        <v>124</v>
      </c>
    </row>
    <row r="2954">
      <c r="C2954" s="15" t="n">
        <v>125</v>
      </c>
    </row>
    <row r="2955">
      <c r="C2955" s="15" t="n">
        <v>126</v>
      </c>
    </row>
    <row r="2956">
      <c r="C2956" s="15" t="n">
        <v>127</v>
      </c>
    </row>
    <row r="2957">
      <c r="C2957" s="15" t="n">
        <v>128</v>
      </c>
    </row>
    <row r="2958">
      <c r="C2958" s="15" t="n">
        <v>129</v>
      </c>
    </row>
    <row r="2959">
      <c r="C2959" s="15" t="n">
        <v>130</v>
      </c>
    </row>
    <row r="2960">
      <c r="C2960" s="15" t="n">
        <v>131</v>
      </c>
    </row>
    <row r="2961">
      <c r="C2961" s="15" t="n">
        <v>132</v>
      </c>
    </row>
    <row r="2962">
      <c r="C2962" s="15" t="n">
        <v>133</v>
      </c>
    </row>
    <row r="2963">
      <c r="C2963" s="15" t="n">
        <v>134</v>
      </c>
    </row>
    <row r="2964">
      <c r="C2964" s="15" t="n">
        <v>135</v>
      </c>
    </row>
    <row r="2965">
      <c r="C2965" s="15" t="n">
        <v>136</v>
      </c>
    </row>
    <row r="2966">
      <c r="C2966" s="15" t="n">
        <v>137</v>
      </c>
    </row>
    <row r="2967">
      <c r="C2967" s="15" t="n">
        <v>138</v>
      </c>
    </row>
    <row r="2968">
      <c r="C2968" s="15" t="n">
        <v>139</v>
      </c>
    </row>
    <row r="2969">
      <c r="C2969" s="15" t="n">
        <v>140</v>
      </c>
    </row>
    <row r="2970">
      <c r="C2970" s="15" t="n">
        <v>141</v>
      </c>
    </row>
    <row r="2971">
      <c r="C2971" s="15" t="n">
        <v>142</v>
      </c>
    </row>
    <row r="2972">
      <c r="C2972" s="15" t="n">
        <v>143</v>
      </c>
    </row>
    <row r="2973">
      <c r="C2973" s="15" t="n">
        <v>144</v>
      </c>
    </row>
    <row r="2974">
      <c r="C2974" s="15" t="n">
        <v>145</v>
      </c>
    </row>
    <row r="2975">
      <c r="C2975" s="15" t="n">
        <v>146</v>
      </c>
    </row>
    <row r="2976">
      <c r="C2976" s="15" t="n">
        <v>147</v>
      </c>
    </row>
    <row r="2977">
      <c r="C2977" s="15" t="n">
        <v>148</v>
      </c>
    </row>
    <row r="2978">
      <c r="C2978" s="15" t="n">
        <v>149</v>
      </c>
    </row>
    <row r="2979">
      <c r="C2979" s="15" t="n">
        <v>150</v>
      </c>
    </row>
    <row r="2980">
      <c r="C2980" s="15" t="n">
        <v>151</v>
      </c>
    </row>
    <row r="2981">
      <c r="C2981" s="15" t="n">
        <v>152</v>
      </c>
    </row>
    <row r="2982">
      <c r="C2982" s="15" t="n">
        <v>153</v>
      </c>
    </row>
    <row r="2983">
      <c r="C2983" s="15" t="n">
        <v>154</v>
      </c>
    </row>
    <row r="2984">
      <c r="C2984" s="15" t="n">
        <v>155</v>
      </c>
    </row>
    <row r="2985">
      <c r="C2985" s="15" t="n">
        <v>156</v>
      </c>
    </row>
    <row r="2986">
      <c r="C2986" s="15" t="n">
        <v>157</v>
      </c>
    </row>
    <row r="2987">
      <c r="C2987" s="15" t="n">
        <v>158</v>
      </c>
    </row>
    <row r="2988">
      <c r="C2988" s="15" t="n">
        <v>159</v>
      </c>
    </row>
    <row r="2989">
      <c r="C2989" s="15" t="n">
        <v>160</v>
      </c>
    </row>
    <row r="2990">
      <c r="C2990" s="15" t="n">
        <v>161</v>
      </c>
    </row>
    <row r="2991">
      <c r="C2991" s="15" t="n">
        <v>162</v>
      </c>
    </row>
    <row r="2992">
      <c r="C2992" s="15" t="n">
        <v>163</v>
      </c>
    </row>
    <row r="2993">
      <c r="C2993" s="15" t="n">
        <v>164</v>
      </c>
    </row>
    <row r="2994">
      <c r="C2994" s="15" t="n">
        <v>165</v>
      </c>
    </row>
    <row r="2995">
      <c r="C2995" s="15" t="n">
        <v>166</v>
      </c>
    </row>
    <row r="2996">
      <c r="C2996" s="15" t="n">
        <v>167</v>
      </c>
    </row>
    <row r="2997">
      <c r="C2997" s="15" t="n">
        <v>168</v>
      </c>
    </row>
    <row r="2998">
      <c r="C2998" s="15" t="n">
        <v>169</v>
      </c>
    </row>
    <row r="2999">
      <c r="C2999" s="15" t="n">
        <v>170</v>
      </c>
    </row>
    <row r="3000">
      <c r="C3000" s="15" t="n">
        <v>171</v>
      </c>
    </row>
    <row r="3001">
      <c r="C3001" s="15" t="n">
        <v>172</v>
      </c>
    </row>
    <row r="3002">
      <c r="C3002" s="15" t="n">
        <v>173</v>
      </c>
    </row>
    <row r="3003">
      <c r="C3003" s="15" t="n">
        <v>174</v>
      </c>
    </row>
    <row r="3004">
      <c r="C3004" s="15" t="n">
        <v>175</v>
      </c>
    </row>
    <row r="3005">
      <c r="C3005" s="15" t="n">
        <v>176</v>
      </c>
    </row>
    <row r="3006">
      <c r="C3006" s="15" t="n">
        <v>177</v>
      </c>
    </row>
    <row r="3007">
      <c r="C3007" s="15" t="n">
        <v>178</v>
      </c>
    </row>
    <row r="3008">
      <c r="C3008" s="15" t="n">
        <v>179</v>
      </c>
    </row>
    <row r="3009">
      <c r="C3009" s="15" t="n">
        <v>180</v>
      </c>
    </row>
    <row r="3010">
      <c r="C3010" s="15" t="n">
        <v>181</v>
      </c>
    </row>
    <row r="3011">
      <c r="C3011" s="15" t="n">
        <v>182</v>
      </c>
    </row>
    <row r="3012">
      <c r="C3012" s="15" t="n">
        <v>183</v>
      </c>
    </row>
    <row r="3013">
      <c r="C3013" s="15" t="n">
        <v>184</v>
      </c>
    </row>
    <row r="3014">
      <c r="C3014" s="15" t="n">
        <v>185</v>
      </c>
    </row>
    <row r="3015">
      <c r="C3015" s="15" t="n">
        <v>186</v>
      </c>
    </row>
    <row r="3016">
      <c r="C3016" s="15" t="n">
        <v>187</v>
      </c>
    </row>
    <row r="3017">
      <c r="C3017" s="15" t="n">
        <v>188</v>
      </c>
    </row>
    <row r="3018">
      <c r="C3018" s="15" t="n">
        <v>189</v>
      </c>
    </row>
    <row r="3019">
      <c r="C3019" s="15" t="n">
        <v>190</v>
      </c>
    </row>
    <row r="3020">
      <c r="C3020" s="15" t="n">
        <v>191</v>
      </c>
    </row>
    <row r="3021">
      <c r="C3021" s="15" t="n">
        <v>192</v>
      </c>
    </row>
    <row r="3022">
      <c r="C3022" s="15" t="n">
        <v>193</v>
      </c>
    </row>
    <row r="3023">
      <c r="C3023" s="15" t="n">
        <v>194</v>
      </c>
    </row>
    <row r="3024">
      <c r="C3024" s="15" t="n">
        <v>195</v>
      </c>
    </row>
    <row r="3025">
      <c r="C3025" s="15" t="n">
        <v>196</v>
      </c>
    </row>
    <row r="3026">
      <c r="C3026" s="15" t="n">
        <v>197</v>
      </c>
    </row>
    <row r="3027">
      <c r="C3027" s="15" t="n">
        <v>198</v>
      </c>
    </row>
    <row r="3029">
      <c r="B3029" s="15" t="inlineStr">
        <is>
          <t>Parâmetros p/ σx</t>
        </is>
      </c>
      <c r="C3029" s="15" t="inlineStr">
        <is>
          <t>DesvPad(Var(d-cap))</t>
        </is>
      </c>
      <c r="D3029" s="15" t="n">
        <v>22</v>
      </c>
      <c r="E3029" s="15" t="n">
        <v>23</v>
      </c>
      <c r="F3029" s="15" t="n">
        <v>24</v>
      </c>
    </row>
    <row r="3030">
      <c r="B3030" s="15" t="inlineStr">
        <is>
          <t>ND*RLT</t>
        </is>
      </c>
      <c r="C3030" s="15" t="n">
        <v>9</v>
      </c>
    </row>
    <row r="3031">
      <c r="C3031" s="15" t="n">
        <v>10</v>
      </c>
    </row>
    <row r="3032">
      <c r="C3032" s="15" t="n">
        <v>11</v>
      </c>
    </row>
    <row r="3033">
      <c r="C3033" s="15" t="n">
        <v>12</v>
      </c>
    </row>
    <row r="3034">
      <c r="C3034" s="15" t="n">
        <v>13</v>
      </c>
    </row>
    <row r="3035">
      <c r="C3035" s="15" t="n">
        <v>14</v>
      </c>
    </row>
    <row r="3036">
      <c r="C3036" s="15" t="n">
        <v>15</v>
      </c>
    </row>
    <row r="3037">
      <c r="C3037" s="15" t="n">
        <v>16</v>
      </c>
    </row>
    <row r="3038">
      <c r="C3038" s="15" t="n">
        <v>17</v>
      </c>
    </row>
    <row r="3039">
      <c r="C3039" s="15" t="n">
        <v>18</v>
      </c>
    </row>
    <row r="3040">
      <c r="C3040" s="15" t="n">
        <v>19</v>
      </c>
    </row>
    <row r="3041">
      <c r="C3041" s="15" t="n">
        <v>20</v>
      </c>
    </row>
    <row r="3042">
      <c r="C3042" s="15" t="n">
        <v>21</v>
      </c>
    </row>
    <row r="3043">
      <c r="C3043" s="15" t="n">
        <v>22</v>
      </c>
    </row>
    <row r="3044">
      <c r="C3044" s="15" t="n">
        <v>23</v>
      </c>
    </row>
    <row r="3045">
      <c r="C3045" s="15" t="n">
        <v>24</v>
      </c>
    </row>
    <row r="3046">
      <c r="C3046" s="15" t="n">
        <v>25</v>
      </c>
    </row>
    <row r="3047">
      <c r="C3047" s="15" t="n">
        <v>26</v>
      </c>
    </row>
    <row r="3048">
      <c r="C3048" s="15" t="n">
        <v>27</v>
      </c>
    </row>
    <row r="3049">
      <c r="C3049" s="15" t="n">
        <v>28</v>
      </c>
    </row>
    <row r="3050">
      <c r="C3050" s="15" t="n">
        <v>29</v>
      </c>
    </row>
    <row r="3051">
      <c r="C3051" s="15" t="n">
        <v>30</v>
      </c>
    </row>
    <row r="3052">
      <c r="C3052" s="15" t="n">
        <v>31</v>
      </c>
    </row>
    <row r="3053">
      <c r="C3053" s="15" t="n">
        <v>32</v>
      </c>
    </row>
    <row r="3054">
      <c r="C3054" s="15" t="n">
        <v>33</v>
      </c>
    </row>
    <row r="3055">
      <c r="C3055" s="15" t="n">
        <v>34</v>
      </c>
    </row>
    <row r="3056">
      <c r="C3056" s="15" t="n">
        <v>35</v>
      </c>
    </row>
    <row r="3057">
      <c r="C3057" s="15" t="n">
        <v>36</v>
      </c>
    </row>
    <row r="3058">
      <c r="C3058" s="15" t="n">
        <v>37</v>
      </c>
    </row>
    <row r="3059">
      <c r="C3059" s="15" t="n">
        <v>38</v>
      </c>
    </row>
    <row r="3060">
      <c r="C3060" s="15" t="n">
        <v>39</v>
      </c>
    </row>
    <row r="3061">
      <c r="C3061" s="15" t="n">
        <v>40</v>
      </c>
    </row>
    <row r="3062">
      <c r="C3062" s="15" t="n">
        <v>41</v>
      </c>
    </row>
    <row r="3063">
      <c r="C3063" s="15" t="n">
        <v>42</v>
      </c>
    </row>
    <row r="3064">
      <c r="C3064" s="15" t="n">
        <v>43</v>
      </c>
    </row>
    <row r="3065">
      <c r="C3065" s="15" t="n">
        <v>44</v>
      </c>
    </row>
    <row r="3066">
      <c r="C3066" s="15" t="n">
        <v>45</v>
      </c>
    </row>
    <row r="3067">
      <c r="C3067" s="15" t="n">
        <v>46</v>
      </c>
    </row>
    <row r="3068">
      <c r="C3068" s="15" t="n">
        <v>47</v>
      </c>
    </row>
    <row r="3069">
      <c r="C3069" s="15" t="n">
        <v>48</v>
      </c>
    </row>
    <row r="3070">
      <c r="C3070" s="15" t="n">
        <v>49</v>
      </c>
    </row>
    <row r="3071">
      <c r="C3071" s="15" t="n">
        <v>50</v>
      </c>
    </row>
    <row r="3072">
      <c r="C3072" s="15" t="n">
        <v>51</v>
      </c>
    </row>
    <row r="3073">
      <c r="C3073" s="15" t="n">
        <v>52</v>
      </c>
    </row>
    <row r="3074">
      <c r="C3074" s="15" t="n">
        <v>53</v>
      </c>
    </row>
    <row r="3075">
      <c r="C3075" s="15" t="n">
        <v>54</v>
      </c>
    </row>
    <row r="3076">
      <c r="C3076" s="15" t="n">
        <v>55</v>
      </c>
    </row>
    <row r="3077">
      <c r="C3077" s="15" t="n">
        <v>56</v>
      </c>
    </row>
    <row r="3078">
      <c r="C3078" s="15" t="n">
        <v>57</v>
      </c>
    </row>
    <row r="3079">
      <c r="C3079" s="15" t="n">
        <v>58</v>
      </c>
    </row>
    <row r="3080">
      <c r="C3080" s="15" t="n">
        <v>59</v>
      </c>
    </row>
    <row r="3081">
      <c r="C3081" s="15" t="n">
        <v>60</v>
      </c>
    </row>
    <row r="3082">
      <c r="C3082" s="15" t="n">
        <v>61</v>
      </c>
    </row>
    <row r="3083">
      <c r="C3083" s="15" t="n">
        <v>62</v>
      </c>
    </row>
    <row r="3084">
      <c r="C3084" s="15" t="n">
        <v>63</v>
      </c>
    </row>
    <row r="3085">
      <c r="C3085" s="15" t="n">
        <v>64</v>
      </c>
    </row>
    <row r="3086">
      <c r="C3086" s="15" t="n">
        <v>65</v>
      </c>
    </row>
    <row r="3087">
      <c r="C3087" s="15" t="n">
        <v>66</v>
      </c>
    </row>
    <row r="3088">
      <c r="C3088" s="15" t="n">
        <v>67</v>
      </c>
    </row>
    <row r="3089">
      <c r="C3089" s="15" t="n">
        <v>68</v>
      </c>
    </row>
    <row r="3090">
      <c r="C3090" s="15" t="n">
        <v>69</v>
      </c>
    </row>
    <row r="3091">
      <c r="C3091" s="15" t="n">
        <v>70</v>
      </c>
    </row>
    <row r="3092">
      <c r="C3092" s="15" t="n">
        <v>71</v>
      </c>
    </row>
    <row r="3093">
      <c r="C3093" s="15" t="n">
        <v>72</v>
      </c>
    </row>
    <row r="3094">
      <c r="C3094" s="15" t="n">
        <v>73</v>
      </c>
    </row>
    <row r="3095">
      <c r="C3095" s="15" t="n">
        <v>74</v>
      </c>
    </row>
    <row r="3096">
      <c r="C3096" s="15" t="n">
        <v>75</v>
      </c>
    </row>
    <row r="3097">
      <c r="C3097" s="15" t="n">
        <v>76</v>
      </c>
    </row>
    <row r="3098">
      <c r="C3098" s="15" t="n">
        <v>77</v>
      </c>
    </row>
    <row r="3099">
      <c r="C3099" s="15" t="n">
        <v>78</v>
      </c>
    </row>
    <row r="3100">
      <c r="C3100" s="15" t="n">
        <v>79</v>
      </c>
    </row>
    <row r="3101">
      <c r="C3101" s="15" t="n">
        <v>80</v>
      </c>
    </row>
    <row r="3102">
      <c r="C3102" s="15" t="n">
        <v>81</v>
      </c>
    </row>
    <row r="3103">
      <c r="C3103" s="15" t="n">
        <v>82</v>
      </c>
    </row>
    <row r="3104">
      <c r="C3104" s="15" t="n">
        <v>83</v>
      </c>
    </row>
    <row r="3105">
      <c r="C3105" s="15" t="n">
        <v>84</v>
      </c>
    </row>
    <row r="3106">
      <c r="C3106" s="15" t="n">
        <v>85</v>
      </c>
    </row>
    <row r="3107">
      <c r="C3107" s="15" t="n">
        <v>86</v>
      </c>
    </row>
    <row r="3108">
      <c r="C3108" s="15" t="n">
        <v>87</v>
      </c>
    </row>
    <row r="3109">
      <c r="C3109" s="15" t="n">
        <v>88</v>
      </c>
    </row>
    <row r="3110">
      <c r="C3110" s="15" t="n">
        <v>89</v>
      </c>
    </row>
    <row r="3111">
      <c r="C3111" s="15" t="n">
        <v>90</v>
      </c>
    </row>
    <row r="3112">
      <c r="C3112" s="15" t="n">
        <v>91</v>
      </c>
    </row>
    <row r="3113">
      <c r="C3113" s="15" t="n">
        <v>92</v>
      </c>
    </row>
    <row r="3114">
      <c r="C3114" s="15" t="n">
        <v>93</v>
      </c>
    </row>
    <row r="3115">
      <c r="C3115" s="15" t="n">
        <v>94</v>
      </c>
    </row>
    <row r="3116">
      <c r="C3116" s="15" t="n">
        <v>95</v>
      </c>
    </row>
    <row r="3117">
      <c r="C3117" s="15" t="n">
        <v>96</v>
      </c>
    </row>
    <row r="3118">
      <c r="C3118" s="15" t="n">
        <v>97</v>
      </c>
    </row>
    <row r="3119">
      <c r="C3119" s="15" t="n">
        <v>98</v>
      </c>
    </row>
    <row r="3120">
      <c r="C3120" s="15" t="n">
        <v>99</v>
      </c>
    </row>
    <row r="3121">
      <c r="C3121" s="15" t="n">
        <v>100</v>
      </c>
    </row>
    <row r="3122">
      <c r="C3122" s="15" t="n">
        <v>101</v>
      </c>
    </row>
    <row r="3123">
      <c r="C3123" s="15" t="n">
        <v>102</v>
      </c>
    </row>
    <row r="3124">
      <c r="C3124" s="15" t="n">
        <v>103</v>
      </c>
    </row>
    <row r="3125">
      <c r="C3125" s="15" t="n">
        <v>104</v>
      </c>
    </row>
    <row r="3126">
      <c r="C3126" s="15" t="n">
        <v>105</v>
      </c>
    </row>
    <row r="3127">
      <c r="C3127" s="15" t="n">
        <v>106</v>
      </c>
    </row>
    <row r="3128">
      <c r="C3128" s="15" t="n">
        <v>107</v>
      </c>
    </row>
    <row r="3129">
      <c r="C3129" s="15" t="n">
        <v>108</v>
      </c>
    </row>
    <row r="3130">
      <c r="C3130" s="15" t="n">
        <v>109</v>
      </c>
    </row>
    <row r="3131">
      <c r="C3131" s="15" t="n">
        <v>110</v>
      </c>
    </row>
    <row r="3132">
      <c r="C3132" s="15" t="n">
        <v>111</v>
      </c>
    </row>
    <row r="3133">
      <c r="C3133" s="15" t="n">
        <v>112</v>
      </c>
    </row>
    <row r="3134">
      <c r="C3134" s="15" t="n">
        <v>113</v>
      </c>
    </row>
    <row r="3135">
      <c r="C3135" s="15" t="n">
        <v>114</v>
      </c>
    </row>
    <row r="3136">
      <c r="C3136" s="15" t="n">
        <v>115</v>
      </c>
    </row>
    <row r="3137">
      <c r="C3137" s="15" t="n">
        <v>116</v>
      </c>
    </row>
    <row r="3138">
      <c r="C3138" s="15" t="n">
        <v>117</v>
      </c>
    </row>
    <row r="3139">
      <c r="C3139" s="15" t="n">
        <v>118</v>
      </c>
    </row>
    <row r="3140">
      <c r="C3140" s="15" t="n">
        <v>119</v>
      </c>
    </row>
    <row r="3141">
      <c r="C3141" s="15" t="n">
        <v>120</v>
      </c>
    </row>
    <row r="3142">
      <c r="C3142" s="15" t="n">
        <v>121</v>
      </c>
    </row>
    <row r="3143">
      <c r="C3143" s="15" t="n">
        <v>122</v>
      </c>
    </row>
    <row r="3144">
      <c r="C3144" s="15" t="n">
        <v>123</v>
      </c>
    </row>
    <row r="3145">
      <c r="C3145" s="15" t="n">
        <v>124</v>
      </c>
    </row>
    <row r="3146">
      <c r="C3146" s="15" t="n">
        <v>125</v>
      </c>
    </row>
    <row r="3147">
      <c r="C3147" s="15" t="n">
        <v>126</v>
      </c>
    </row>
    <row r="3148">
      <c r="C3148" s="15" t="n">
        <v>127</v>
      </c>
    </row>
    <row r="3149">
      <c r="C3149" s="15" t="n">
        <v>128</v>
      </c>
    </row>
    <row r="3150">
      <c r="C3150" s="15" t="n">
        <v>129</v>
      </c>
    </row>
    <row r="3151">
      <c r="C3151" s="15" t="n">
        <v>130</v>
      </c>
    </row>
    <row r="3152">
      <c r="C3152" s="15" t="n">
        <v>131</v>
      </c>
    </row>
    <row r="3153">
      <c r="C3153" s="15" t="n">
        <v>132</v>
      </c>
    </row>
    <row r="3154">
      <c r="C3154" s="15" t="n">
        <v>133</v>
      </c>
    </row>
    <row r="3155">
      <c r="C3155" s="15" t="n">
        <v>134</v>
      </c>
    </row>
    <row r="3156">
      <c r="C3156" s="15" t="n">
        <v>135</v>
      </c>
    </row>
    <row r="3157">
      <c r="C3157" s="15" t="n">
        <v>136</v>
      </c>
    </row>
    <row r="3158">
      <c r="C3158" s="15" t="n">
        <v>137</v>
      </c>
    </row>
    <row r="3159">
      <c r="C3159" s="15" t="n">
        <v>138</v>
      </c>
    </row>
    <row r="3160">
      <c r="C3160" s="15" t="n">
        <v>139</v>
      </c>
    </row>
    <row r="3161">
      <c r="C3161" s="15" t="n">
        <v>140</v>
      </c>
    </row>
    <row r="3162">
      <c r="C3162" s="15" t="n">
        <v>141</v>
      </c>
    </row>
    <row r="3163">
      <c r="C3163" s="15" t="n">
        <v>142</v>
      </c>
    </row>
    <row r="3164">
      <c r="C3164" s="15" t="n">
        <v>143</v>
      </c>
    </row>
    <row r="3165">
      <c r="C3165" s="15" t="n">
        <v>144</v>
      </c>
    </row>
    <row r="3166">
      <c r="C3166" s="15" t="n">
        <v>145</v>
      </c>
    </row>
    <row r="3167">
      <c r="C3167" s="15" t="n">
        <v>146</v>
      </c>
    </row>
    <row r="3168">
      <c r="C3168" s="15" t="n">
        <v>147</v>
      </c>
    </row>
    <row r="3169">
      <c r="C3169" s="15" t="n">
        <v>148</v>
      </c>
    </row>
    <row r="3170">
      <c r="C3170" s="15" t="n">
        <v>149</v>
      </c>
    </row>
    <row r="3171">
      <c r="C3171" s="15" t="n">
        <v>150</v>
      </c>
    </row>
    <row r="3172">
      <c r="C3172" s="15" t="n">
        <v>151</v>
      </c>
    </row>
    <row r="3173">
      <c r="C3173" s="15" t="n">
        <v>152</v>
      </c>
    </row>
    <row r="3174">
      <c r="C3174" s="15" t="n">
        <v>153</v>
      </c>
    </row>
    <row r="3175">
      <c r="C3175" s="15" t="n">
        <v>154</v>
      </c>
    </row>
    <row r="3176">
      <c r="C3176" s="15" t="n">
        <v>155</v>
      </c>
    </row>
    <row r="3177">
      <c r="C3177" s="15" t="n">
        <v>156</v>
      </c>
    </row>
    <row r="3178">
      <c r="C3178" s="15" t="n">
        <v>157</v>
      </c>
    </row>
    <row r="3179">
      <c r="C3179" s="15" t="n">
        <v>158</v>
      </c>
    </row>
    <row r="3180">
      <c r="C3180" s="15" t="n">
        <v>159</v>
      </c>
    </row>
    <row r="3181">
      <c r="C3181" s="15" t="n">
        <v>160</v>
      </c>
    </row>
    <row r="3182">
      <c r="C3182" s="15" t="n">
        <v>161</v>
      </c>
    </row>
    <row r="3183">
      <c r="C3183" s="15" t="n">
        <v>162</v>
      </c>
    </row>
    <row r="3184">
      <c r="C3184" s="15" t="n">
        <v>163</v>
      </c>
    </row>
    <row r="3185">
      <c r="C3185" s="15" t="n">
        <v>164</v>
      </c>
    </row>
    <row r="3186">
      <c r="C3186" s="15" t="n">
        <v>165</v>
      </c>
    </row>
    <row r="3187">
      <c r="C3187" s="15" t="n">
        <v>166</v>
      </c>
    </row>
    <row r="3188">
      <c r="C3188" s="15" t="n">
        <v>167</v>
      </c>
    </row>
    <row r="3189">
      <c r="C3189" s="15" t="n">
        <v>168</v>
      </c>
    </row>
    <row r="3190">
      <c r="C3190" s="15" t="n">
        <v>169</v>
      </c>
    </row>
    <row r="3191">
      <c r="C3191" s="15" t="n">
        <v>170</v>
      </c>
    </row>
    <row r="3192">
      <c r="C3192" s="15" t="n">
        <v>171</v>
      </c>
    </row>
    <row r="3193">
      <c r="C3193" s="15" t="n">
        <v>172</v>
      </c>
    </row>
    <row r="3194">
      <c r="C3194" s="15" t="n">
        <v>173</v>
      </c>
    </row>
    <row r="3195">
      <c r="C3195" s="15" t="n">
        <v>174</v>
      </c>
    </row>
    <row r="3196">
      <c r="C3196" s="15" t="n">
        <v>175</v>
      </c>
    </row>
    <row r="3197">
      <c r="C3197" s="15" t="n">
        <v>176</v>
      </c>
    </row>
    <row r="3198">
      <c r="C3198" s="15" t="n">
        <v>177</v>
      </c>
    </row>
    <row r="3199">
      <c r="C3199" s="15" t="n">
        <v>178</v>
      </c>
    </row>
    <row r="3200">
      <c r="C3200" s="15" t="n">
        <v>179</v>
      </c>
    </row>
    <row r="3201">
      <c r="C3201" s="15" t="n">
        <v>180</v>
      </c>
    </row>
    <row r="3202">
      <c r="C3202" s="15" t="n">
        <v>181</v>
      </c>
    </row>
    <row r="3203">
      <c r="C3203" s="15" t="n">
        <v>182</v>
      </c>
    </row>
    <row r="3204">
      <c r="C3204" s="15" t="n">
        <v>183</v>
      </c>
    </row>
    <row r="3205">
      <c r="C3205" s="15" t="n">
        <v>184</v>
      </c>
    </row>
    <row r="3206">
      <c r="C3206" s="15" t="n">
        <v>185</v>
      </c>
    </row>
    <row r="3207">
      <c r="C3207" s="15" t="n">
        <v>186</v>
      </c>
    </row>
    <row r="3208">
      <c r="C3208" s="15" t="n">
        <v>187</v>
      </c>
    </row>
    <row r="3209">
      <c r="C3209" s="15" t="n">
        <v>188</v>
      </c>
    </row>
    <row r="3210">
      <c r="C3210" s="15" t="n">
        <v>189</v>
      </c>
    </row>
    <row r="3211">
      <c r="C3211" s="15" t="n">
        <v>190</v>
      </c>
    </row>
    <row r="3212">
      <c r="C3212" s="15" t="n">
        <v>191</v>
      </c>
    </row>
    <row r="3213">
      <c r="C3213" s="15" t="n">
        <v>192</v>
      </c>
    </row>
    <row r="3214">
      <c r="C3214" s="15" t="n">
        <v>193</v>
      </c>
    </row>
    <row r="3215">
      <c r="C3215" s="15" t="n">
        <v>194</v>
      </c>
    </row>
    <row r="3216">
      <c r="C3216" s="15" t="n">
        <v>195</v>
      </c>
    </row>
    <row r="3217">
      <c r="C3217" s="15" t="n">
        <v>196</v>
      </c>
    </row>
    <row r="3218">
      <c r="C3218" s="15" t="n">
        <v>197</v>
      </c>
    </row>
    <row r="3219">
      <c r="C3219" s="15" t="n">
        <v>198</v>
      </c>
    </row>
    <row r="3221">
      <c r="C3221" s="15" t="inlineStr">
        <is>
          <t>LB</t>
        </is>
      </c>
      <c r="D3221" s="15" t="n">
        <v>22</v>
      </c>
      <c r="E3221" s="15" t="n">
        <v>23</v>
      </c>
      <c r="F3221" s="15" t="n">
        <v>24</v>
      </c>
    </row>
    <row r="3222">
      <c r="C3222" s="15" t="n">
        <v>9</v>
      </c>
    </row>
    <row r="3223">
      <c r="C3223" s="15" t="n">
        <v>10</v>
      </c>
    </row>
    <row r="3224">
      <c r="C3224" s="15" t="n">
        <v>11</v>
      </c>
    </row>
    <row r="3225">
      <c r="C3225" s="15" t="n">
        <v>12</v>
      </c>
    </row>
    <row r="3226">
      <c r="C3226" s="15" t="n">
        <v>13</v>
      </c>
    </row>
    <row r="3227">
      <c r="C3227" s="15" t="n">
        <v>14</v>
      </c>
    </row>
    <row r="3228">
      <c r="C3228" s="15" t="n">
        <v>15</v>
      </c>
    </row>
    <row r="3229">
      <c r="C3229" s="15" t="n">
        <v>16</v>
      </c>
    </row>
    <row r="3230">
      <c r="C3230" s="15" t="n">
        <v>17</v>
      </c>
    </row>
    <row r="3231">
      <c r="C3231" s="15" t="n">
        <v>18</v>
      </c>
    </row>
    <row r="3232">
      <c r="C3232" s="15" t="n">
        <v>19</v>
      </c>
    </row>
    <row r="3233">
      <c r="C3233" s="15" t="n">
        <v>20</v>
      </c>
    </row>
    <row r="3234">
      <c r="C3234" s="15" t="n">
        <v>21</v>
      </c>
    </row>
    <row r="3235">
      <c r="C3235" s="15" t="n">
        <v>22</v>
      </c>
    </row>
    <row r="3236">
      <c r="C3236" s="15" t="n">
        <v>23</v>
      </c>
    </row>
    <row r="3237">
      <c r="C3237" s="15" t="n">
        <v>24</v>
      </c>
    </row>
    <row r="3238">
      <c r="C3238" s="15" t="n">
        <v>25</v>
      </c>
    </row>
    <row r="3239">
      <c r="C3239" s="15" t="n">
        <v>26</v>
      </c>
    </row>
    <row r="3240">
      <c r="C3240" s="15" t="n">
        <v>27</v>
      </c>
    </row>
    <row r="3241">
      <c r="C3241" s="15" t="n">
        <v>28</v>
      </c>
    </row>
    <row r="3242">
      <c r="C3242" s="15" t="n">
        <v>29</v>
      </c>
    </row>
    <row r="3243">
      <c r="C3243" s="15" t="n">
        <v>30</v>
      </c>
    </row>
    <row r="3244">
      <c r="C3244" s="15" t="n">
        <v>31</v>
      </c>
    </row>
    <row r="3245">
      <c r="C3245" s="15" t="n">
        <v>32</v>
      </c>
    </row>
    <row r="3246">
      <c r="C3246" s="15" t="n">
        <v>33</v>
      </c>
    </row>
    <row r="3247">
      <c r="C3247" s="15" t="n">
        <v>34</v>
      </c>
    </row>
    <row r="3248">
      <c r="C3248" s="15" t="n">
        <v>35</v>
      </c>
    </row>
    <row r="3249">
      <c r="C3249" s="15" t="n">
        <v>36</v>
      </c>
    </row>
    <row r="3250">
      <c r="C3250" s="15" t="n">
        <v>37</v>
      </c>
    </row>
    <row r="3251">
      <c r="C3251" s="15" t="n">
        <v>38</v>
      </c>
    </row>
    <row r="3252">
      <c r="C3252" s="15" t="n">
        <v>39</v>
      </c>
    </row>
    <row r="3253">
      <c r="C3253" s="15" t="n">
        <v>40</v>
      </c>
    </row>
    <row r="3254">
      <c r="C3254" s="15" t="n">
        <v>41</v>
      </c>
    </row>
    <row r="3255">
      <c r="C3255" s="15" t="n">
        <v>42</v>
      </c>
    </row>
    <row r="3256">
      <c r="C3256" s="15" t="n">
        <v>43</v>
      </c>
    </row>
    <row r="3257">
      <c r="C3257" s="15" t="n">
        <v>44</v>
      </c>
    </row>
    <row r="3258">
      <c r="C3258" s="15" t="n">
        <v>45</v>
      </c>
    </row>
    <row r="3259">
      <c r="C3259" s="15" t="n">
        <v>46</v>
      </c>
    </row>
    <row r="3260">
      <c r="C3260" s="15" t="n">
        <v>47</v>
      </c>
    </row>
    <row r="3261">
      <c r="C3261" s="15" t="n">
        <v>48</v>
      </c>
    </row>
    <row r="3262">
      <c r="C3262" s="15" t="n">
        <v>49</v>
      </c>
    </row>
    <row r="3263">
      <c r="C3263" s="15" t="n">
        <v>50</v>
      </c>
    </row>
    <row r="3264">
      <c r="C3264" s="15" t="n">
        <v>51</v>
      </c>
    </row>
    <row r="3265">
      <c r="C3265" s="15" t="n">
        <v>52</v>
      </c>
    </row>
    <row r="3266">
      <c r="C3266" s="15" t="n">
        <v>53</v>
      </c>
    </row>
    <row r="3267">
      <c r="C3267" s="15" t="n">
        <v>54</v>
      </c>
    </row>
    <row r="3268">
      <c r="C3268" s="15" t="n">
        <v>55</v>
      </c>
    </row>
    <row r="3269">
      <c r="C3269" s="15" t="n">
        <v>56</v>
      </c>
    </row>
    <row r="3270">
      <c r="C3270" s="15" t="n">
        <v>57</v>
      </c>
    </row>
    <row r="3271">
      <c r="C3271" s="15" t="n">
        <v>58</v>
      </c>
    </row>
    <row r="3272">
      <c r="C3272" s="15" t="n">
        <v>59</v>
      </c>
    </row>
    <row r="3273">
      <c r="C3273" s="15" t="n">
        <v>60</v>
      </c>
    </row>
    <row r="3274">
      <c r="C3274" s="15" t="n">
        <v>61</v>
      </c>
    </row>
    <row r="3275">
      <c r="C3275" s="15" t="n">
        <v>62</v>
      </c>
    </row>
    <row r="3276">
      <c r="C3276" s="15" t="n">
        <v>63</v>
      </c>
    </row>
    <row r="3277">
      <c r="C3277" s="15" t="n">
        <v>64</v>
      </c>
    </row>
    <row r="3278">
      <c r="C3278" s="15" t="n">
        <v>65</v>
      </c>
    </row>
    <row r="3279">
      <c r="C3279" s="15" t="n">
        <v>66</v>
      </c>
    </row>
    <row r="3280">
      <c r="C3280" s="15" t="n">
        <v>67</v>
      </c>
    </row>
    <row r="3281">
      <c r="C3281" s="15" t="n">
        <v>68</v>
      </c>
    </row>
    <row r="3282">
      <c r="C3282" s="15" t="n">
        <v>69</v>
      </c>
    </row>
    <row r="3283">
      <c r="C3283" s="15" t="n">
        <v>70</v>
      </c>
    </row>
    <row r="3284">
      <c r="C3284" s="15" t="n">
        <v>71</v>
      </c>
    </row>
    <row r="3285">
      <c r="C3285" s="15" t="n">
        <v>72</v>
      </c>
    </row>
    <row r="3286">
      <c r="C3286" s="15" t="n">
        <v>73</v>
      </c>
    </row>
    <row r="3287">
      <c r="C3287" s="15" t="n">
        <v>74</v>
      </c>
    </row>
    <row r="3288">
      <c r="C3288" s="15" t="n">
        <v>75</v>
      </c>
    </row>
    <row r="3289">
      <c r="C3289" s="15" t="n">
        <v>76</v>
      </c>
    </row>
    <row r="3290">
      <c r="C3290" s="15" t="n">
        <v>77</v>
      </c>
    </row>
    <row r="3291">
      <c r="C3291" s="15" t="n">
        <v>78</v>
      </c>
    </row>
    <row r="3292">
      <c r="C3292" s="15" t="n">
        <v>79</v>
      </c>
    </row>
    <row r="3293">
      <c r="C3293" s="15" t="n">
        <v>80</v>
      </c>
    </row>
    <row r="3294">
      <c r="C3294" s="15" t="n">
        <v>81</v>
      </c>
    </row>
    <row r="3295">
      <c r="C3295" s="15" t="n">
        <v>82</v>
      </c>
    </row>
    <row r="3296">
      <c r="C3296" s="15" t="n">
        <v>83</v>
      </c>
    </row>
    <row r="3297">
      <c r="C3297" s="15" t="n">
        <v>84</v>
      </c>
    </row>
    <row r="3298">
      <c r="C3298" s="15" t="n">
        <v>85</v>
      </c>
    </row>
    <row r="3299">
      <c r="C3299" s="15" t="n">
        <v>86</v>
      </c>
    </row>
    <row r="3300">
      <c r="C3300" s="15" t="n">
        <v>87</v>
      </c>
    </row>
    <row r="3301">
      <c r="C3301" s="15" t="n">
        <v>88</v>
      </c>
    </row>
    <row r="3302">
      <c r="C3302" s="15" t="n">
        <v>89</v>
      </c>
    </row>
    <row r="3303">
      <c r="C3303" s="15" t="n">
        <v>90</v>
      </c>
    </row>
    <row r="3304">
      <c r="C3304" s="15" t="n">
        <v>91</v>
      </c>
    </row>
    <row r="3305">
      <c r="C3305" s="15" t="n">
        <v>92</v>
      </c>
    </row>
    <row r="3306">
      <c r="C3306" s="15" t="n">
        <v>93</v>
      </c>
    </row>
    <row r="3307">
      <c r="C3307" s="15" t="n">
        <v>94</v>
      </c>
    </row>
    <row r="3308">
      <c r="C3308" s="15" t="n">
        <v>95</v>
      </c>
    </row>
    <row r="3309">
      <c r="C3309" s="15" t="n">
        <v>96</v>
      </c>
    </row>
    <row r="3310">
      <c r="C3310" s="15" t="n">
        <v>97</v>
      </c>
    </row>
    <row r="3311">
      <c r="C3311" s="15" t="n">
        <v>98</v>
      </c>
    </row>
    <row r="3312">
      <c r="C3312" s="15" t="n">
        <v>99</v>
      </c>
    </row>
    <row r="3313">
      <c r="C3313" s="15" t="n">
        <v>100</v>
      </c>
    </row>
    <row r="3314">
      <c r="C3314" s="15" t="n">
        <v>101</v>
      </c>
    </row>
    <row r="3315">
      <c r="C3315" s="15" t="n">
        <v>102</v>
      </c>
    </row>
    <row r="3316">
      <c r="C3316" s="15" t="n">
        <v>103</v>
      </c>
    </row>
    <row r="3317">
      <c r="C3317" s="15" t="n">
        <v>104</v>
      </c>
    </row>
    <row r="3318">
      <c r="C3318" s="15" t="n">
        <v>105</v>
      </c>
    </row>
    <row r="3319">
      <c r="C3319" s="15" t="n">
        <v>106</v>
      </c>
    </row>
    <row r="3320">
      <c r="C3320" s="15" t="n">
        <v>107</v>
      </c>
    </row>
    <row r="3321">
      <c r="C3321" s="15" t="n">
        <v>108</v>
      </c>
    </row>
    <row r="3322">
      <c r="C3322" s="15" t="n">
        <v>109</v>
      </c>
    </row>
    <row r="3323">
      <c r="C3323" s="15" t="n">
        <v>110</v>
      </c>
    </row>
    <row r="3324">
      <c r="C3324" s="15" t="n">
        <v>111</v>
      </c>
    </row>
    <row r="3325">
      <c r="C3325" s="15" t="n">
        <v>112</v>
      </c>
    </row>
    <row r="3326">
      <c r="C3326" s="15" t="n">
        <v>113</v>
      </c>
    </row>
    <row r="3327">
      <c r="C3327" s="15" t="n">
        <v>114</v>
      </c>
    </row>
    <row r="3328">
      <c r="C3328" s="15" t="n">
        <v>115</v>
      </c>
    </row>
    <row r="3329">
      <c r="C3329" s="15" t="n">
        <v>116</v>
      </c>
    </row>
    <row r="3330">
      <c r="C3330" s="15" t="n">
        <v>117</v>
      </c>
    </row>
    <row r="3331">
      <c r="C3331" s="15" t="n">
        <v>118</v>
      </c>
    </row>
    <row r="3332">
      <c r="C3332" s="15" t="n">
        <v>119</v>
      </c>
    </row>
    <row r="3333">
      <c r="C3333" s="15" t="n">
        <v>120</v>
      </c>
    </row>
    <row r="3334">
      <c r="C3334" s="15" t="n">
        <v>121</v>
      </c>
    </row>
    <row r="3335">
      <c r="C3335" s="15" t="n">
        <v>122</v>
      </c>
    </row>
    <row r="3336">
      <c r="C3336" s="15" t="n">
        <v>123</v>
      </c>
    </row>
    <row r="3337">
      <c r="C3337" s="15" t="n">
        <v>124</v>
      </c>
    </row>
    <row r="3338">
      <c r="C3338" s="15" t="n">
        <v>125</v>
      </c>
    </row>
    <row r="3339">
      <c r="C3339" s="15" t="n">
        <v>126</v>
      </c>
    </row>
    <row r="3340">
      <c r="C3340" s="15" t="n">
        <v>127</v>
      </c>
    </row>
    <row r="3341">
      <c r="C3341" s="15" t="n">
        <v>128</v>
      </c>
    </row>
    <row r="3342">
      <c r="C3342" s="15" t="n">
        <v>129</v>
      </c>
    </row>
    <row r="3343">
      <c r="C3343" s="15" t="n">
        <v>130</v>
      </c>
    </row>
    <row r="3344">
      <c r="C3344" s="15" t="n">
        <v>131</v>
      </c>
    </row>
    <row r="3345">
      <c r="C3345" s="15" t="n">
        <v>132</v>
      </c>
    </row>
    <row r="3346">
      <c r="C3346" s="15" t="n">
        <v>133</v>
      </c>
    </row>
    <row r="3347">
      <c r="C3347" s="15" t="n">
        <v>134</v>
      </c>
    </row>
    <row r="3348">
      <c r="C3348" s="15" t="n">
        <v>135</v>
      </c>
    </row>
    <row r="3349">
      <c r="C3349" s="15" t="n">
        <v>136</v>
      </c>
    </row>
    <row r="3350">
      <c r="C3350" s="15" t="n">
        <v>137</v>
      </c>
    </row>
    <row r="3351">
      <c r="C3351" s="15" t="n">
        <v>138</v>
      </c>
    </row>
    <row r="3352">
      <c r="C3352" s="15" t="n">
        <v>139</v>
      </c>
    </row>
    <row r="3353">
      <c r="C3353" s="15" t="n">
        <v>140</v>
      </c>
    </row>
    <row r="3354">
      <c r="C3354" s="15" t="n">
        <v>141</v>
      </c>
    </row>
    <row r="3355">
      <c r="C3355" s="15" t="n">
        <v>142</v>
      </c>
    </row>
    <row r="3356">
      <c r="C3356" s="15" t="n">
        <v>143</v>
      </c>
    </row>
    <row r="3357">
      <c r="C3357" s="15" t="n">
        <v>144</v>
      </c>
    </row>
    <row r="3358">
      <c r="C3358" s="15" t="n">
        <v>145</v>
      </c>
    </row>
    <row r="3359">
      <c r="C3359" s="15" t="n">
        <v>146</v>
      </c>
    </row>
    <row r="3360">
      <c r="C3360" s="15" t="n">
        <v>147</v>
      </c>
    </row>
    <row r="3361">
      <c r="C3361" s="15" t="n">
        <v>148</v>
      </c>
    </row>
    <row r="3362">
      <c r="C3362" s="15" t="n">
        <v>149</v>
      </c>
    </row>
    <row r="3363">
      <c r="C3363" s="15" t="n">
        <v>150</v>
      </c>
    </row>
    <row r="3364">
      <c r="C3364" s="15" t="n">
        <v>151</v>
      </c>
    </row>
    <row r="3365">
      <c r="C3365" s="15" t="n">
        <v>152</v>
      </c>
    </row>
    <row r="3366">
      <c r="C3366" s="15" t="n">
        <v>153</v>
      </c>
    </row>
    <row r="3367">
      <c r="C3367" s="15" t="n">
        <v>154</v>
      </c>
    </row>
    <row r="3368">
      <c r="C3368" s="15" t="n">
        <v>155</v>
      </c>
    </row>
    <row r="3369">
      <c r="C3369" s="15" t="n">
        <v>156</v>
      </c>
    </row>
    <row r="3370">
      <c r="C3370" s="15" t="n">
        <v>157</v>
      </c>
    </row>
    <row r="3371">
      <c r="C3371" s="15" t="n">
        <v>158</v>
      </c>
    </row>
    <row r="3372">
      <c r="C3372" s="15" t="n">
        <v>159</v>
      </c>
    </row>
    <row r="3373">
      <c r="C3373" s="15" t="n">
        <v>160</v>
      </c>
    </row>
    <row r="3374">
      <c r="C3374" s="15" t="n">
        <v>161</v>
      </c>
    </row>
    <row r="3375">
      <c r="C3375" s="15" t="n">
        <v>162</v>
      </c>
    </row>
    <row r="3376">
      <c r="C3376" s="15" t="n">
        <v>163</v>
      </c>
    </row>
    <row r="3377">
      <c r="C3377" s="15" t="n">
        <v>164</v>
      </c>
    </row>
    <row r="3378">
      <c r="C3378" s="15" t="n">
        <v>165</v>
      </c>
    </row>
    <row r="3379">
      <c r="C3379" s="15" t="n">
        <v>166</v>
      </c>
    </row>
    <row r="3380">
      <c r="C3380" s="15" t="n">
        <v>167</v>
      </c>
    </row>
    <row r="3381">
      <c r="C3381" s="15" t="n">
        <v>168</v>
      </c>
    </row>
    <row r="3382">
      <c r="C3382" s="15" t="n">
        <v>169</v>
      </c>
    </row>
    <row r="3383">
      <c r="C3383" s="15" t="n">
        <v>170</v>
      </c>
    </row>
    <row r="3384">
      <c r="C3384" s="15" t="n">
        <v>171</v>
      </c>
    </row>
    <row r="3385">
      <c r="C3385" s="15" t="n">
        <v>172</v>
      </c>
    </row>
    <row r="3386">
      <c r="C3386" s="15" t="n">
        <v>173</v>
      </c>
    </row>
    <row r="3387">
      <c r="C3387" s="15" t="n">
        <v>174</v>
      </c>
    </row>
    <row r="3388">
      <c r="C3388" s="15" t="n">
        <v>175</v>
      </c>
    </row>
    <row r="3389">
      <c r="C3389" s="15" t="n">
        <v>176</v>
      </c>
    </row>
    <row r="3390">
      <c r="C3390" s="15" t="n">
        <v>177</v>
      </c>
    </row>
    <row r="3391">
      <c r="C3391" s="15" t="n">
        <v>178</v>
      </c>
    </row>
    <row r="3392">
      <c r="C3392" s="15" t="n">
        <v>179</v>
      </c>
    </row>
    <row r="3393">
      <c r="C3393" s="15" t="n">
        <v>180</v>
      </c>
    </row>
    <row r="3394">
      <c r="C3394" s="15" t="n">
        <v>181</v>
      </c>
    </row>
    <row r="3395">
      <c r="C3395" s="15" t="n">
        <v>182</v>
      </c>
    </row>
    <row r="3396">
      <c r="C3396" s="15" t="n">
        <v>183</v>
      </c>
    </row>
    <row r="3397">
      <c r="C3397" s="15" t="n">
        <v>184</v>
      </c>
    </row>
    <row r="3398">
      <c r="C3398" s="15" t="n">
        <v>185</v>
      </c>
    </row>
    <row r="3399">
      <c r="C3399" s="15" t="n">
        <v>186</v>
      </c>
    </row>
    <row r="3400">
      <c r="C3400" s="15" t="n">
        <v>187</v>
      </c>
    </row>
    <row r="3401">
      <c r="C3401" s="15" t="n">
        <v>188</v>
      </c>
    </row>
    <row r="3402">
      <c r="C3402" s="15" t="n">
        <v>189</v>
      </c>
    </row>
    <row r="3403">
      <c r="C3403" s="15" t="n">
        <v>190</v>
      </c>
    </row>
    <row r="3404">
      <c r="C3404" s="15" t="n">
        <v>191</v>
      </c>
    </row>
    <row r="3405">
      <c r="C3405" s="15" t="n">
        <v>192</v>
      </c>
    </row>
    <row r="3406">
      <c r="C3406" s="15" t="n">
        <v>193</v>
      </c>
    </row>
    <row r="3407">
      <c r="C3407" s="15" t="n">
        <v>194</v>
      </c>
    </row>
    <row r="3408">
      <c r="C3408" s="15" t="n">
        <v>195</v>
      </c>
    </row>
    <row r="3409">
      <c r="C3409" s="15" t="n">
        <v>196</v>
      </c>
    </row>
    <row r="3410">
      <c r="C3410" s="15" t="n">
        <v>197</v>
      </c>
    </row>
    <row r="3411">
      <c r="C3411" s="15" t="n">
        <v>198</v>
      </c>
    </row>
    <row r="3413">
      <c r="C3413" s="15" t="inlineStr">
        <is>
          <t>DesvPad(ND*ELT)</t>
        </is>
      </c>
      <c r="D3413" s="15" t="n">
        <v>22</v>
      </c>
      <c r="E3413" s="15" t="n">
        <v>23</v>
      </c>
      <c r="F3413" s="15" t="n">
        <v>24</v>
      </c>
    </row>
    <row r="3414">
      <c r="C3414" s="15" t="n">
        <v>9</v>
      </c>
    </row>
    <row r="3415">
      <c r="C3415" s="15" t="n">
        <v>10</v>
      </c>
    </row>
    <row r="3416">
      <c r="C3416" s="15" t="n">
        <v>11</v>
      </c>
    </row>
    <row r="3417">
      <c r="C3417" s="15" t="n">
        <v>12</v>
      </c>
    </row>
    <row r="3418">
      <c r="C3418" s="15" t="n">
        <v>13</v>
      </c>
    </row>
    <row r="3419">
      <c r="C3419" s="15" t="n">
        <v>14</v>
      </c>
    </row>
    <row r="3420">
      <c r="C3420" s="15" t="n">
        <v>15</v>
      </c>
    </row>
    <row r="3421">
      <c r="C3421" s="15" t="n">
        <v>16</v>
      </c>
    </row>
    <row r="3422">
      <c r="C3422" s="15" t="n">
        <v>17</v>
      </c>
    </row>
    <row r="3423">
      <c r="C3423" s="15" t="n">
        <v>18</v>
      </c>
    </row>
    <row r="3424">
      <c r="C3424" s="15" t="n">
        <v>19</v>
      </c>
    </row>
    <row r="3425">
      <c r="C3425" s="15" t="n">
        <v>20</v>
      </c>
    </row>
    <row r="3426">
      <c r="C3426" s="15" t="n">
        <v>21</v>
      </c>
    </row>
    <row r="3427">
      <c r="C3427" s="15" t="n">
        <v>22</v>
      </c>
    </row>
    <row r="3428">
      <c r="C3428" s="15" t="n">
        <v>23</v>
      </c>
    </row>
    <row r="3429">
      <c r="C3429" s="15" t="n">
        <v>24</v>
      </c>
    </row>
    <row r="3430">
      <c r="C3430" s="15" t="n">
        <v>25</v>
      </c>
    </row>
    <row r="3431">
      <c r="C3431" s="15" t="n">
        <v>26</v>
      </c>
    </row>
    <row r="3432">
      <c r="C3432" s="15" t="n">
        <v>27</v>
      </c>
    </row>
    <row r="3433">
      <c r="C3433" s="15" t="n">
        <v>28</v>
      </c>
    </row>
    <row r="3434">
      <c r="C3434" s="15" t="n">
        <v>29</v>
      </c>
    </row>
    <row r="3435">
      <c r="C3435" s="15" t="n">
        <v>30</v>
      </c>
    </row>
    <row r="3436">
      <c r="C3436" s="15" t="n">
        <v>31</v>
      </c>
    </row>
    <row r="3437">
      <c r="C3437" s="15" t="n">
        <v>32</v>
      </c>
    </row>
    <row r="3438">
      <c r="C3438" s="15" t="n">
        <v>33</v>
      </c>
    </row>
    <row r="3439">
      <c r="C3439" s="15" t="n">
        <v>34</v>
      </c>
    </row>
    <row r="3440">
      <c r="C3440" s="15" t="n">
        <v>35</v>
      </c>
    </row>
    <row r="3441">
      <c r="C3441" s="15" t="n">
        <v>36</v>
      </c>
    </row>
    <row r="3442">
      <c r="C3442" s="15" t="n">
        <v>37</v>
      </c>
    </row>
    <row r="3443">
      <c r="C3443" s="15" t="n">
        <v>38</v>
      </c>
    </row>
    <row r="3444">
      <c r="C3444" s="15" t="n">
        <v>39</v>
      </c>
    </row>
    <row r="3445">
      <c r="C3445" s="15" t="n">
        <v>40</v>
      </c>
    </row>
    <row r="3446">
      <c r="C3446" s="15" t="n">
        <v>41</v>
      </c>
    </row>
    <row r="3447">
      <c r="C3447" s="15" t="n">
        <v>42</v>
      </c>
    </row>
    <row r="3448">
      <c r="C3448" s="15" t="n">
        <v>43</v>
      </c>
    </row>
    <row r="3449">
      <c r="C3449" s="15" t="n">
        <v>44</v>
      </c>
    </row>
    <row r="3450">
      <c r="C3450" s="15" t="n">
        <v>45</v>
      </c>
    </row>
    <row r="3451">
      <c r="C3451" s="15" t="n">
        <v>46</v>
      </c>
    </row>
    <row r="3452">
      <c r="C3452" s="15" t="n">
        <v>47</v>
      </c>
    </row>
    <row r="3453">
      <c r="C3453" s="15" t="n">
        <v>48</v>
      </c>
    </row>
    <row r="3454">
      <c r="C3454" s="15" t="n">
        <v>49</v>
      </c>
    </row>
    <row r="3455">
      <c r="C3455" s="15" t="n">
        <v>50</v>
      </c>
    </row>
    <row r="3456">
      <c r="C3456" s="15" t="n">
        <v>51</v>
      </c>
    </row>
    <row r="3457">
      <c r="C3457" s="15" t="n">
        <v>52</v>
      </c>
    </row>
    <row r="3458">
      <c r="C3458" s="15" t="n">
        <v>53</v>
      </c>
    </row>
    <row r="3459">
      <c r="C3459" s="15" t="n">
        <v>54</v>
      </c>
    </row>
    <row r="3460">
      <c r="C3460" s="15" t="n">
        <v>55</v>
      </c>
    </row>
    <row r="3461">
      <c r="C3461" s="15" t="n">
        <v>56</v>
      </c>
    </row>
    <row r="3462">
      <c r="C3462" s="15" t="n">
        <v>57</v>
      </c>
    </row>
    <row r="3463">
      <c r="C3463" s="15" t="n">
        <v>58</v>
      </c>
    </row>
    <row r="3464">
      <c r="C3464" s="15" t="n">
        <v>59</v>
      </c>
    </row>
    <row r="3465">
      <c r="C3465" s="15" t="n">
        <v>60</v>
      </c>
    </row>
    <row r="3466">
      <c r="C3466" s="15" t="n">
        <v>61</v>
      </c>
    </row>
    <row r="3467">
      <c r="C3467" s="15" t="n">
        <v>62</v>
      </c>
    </row>
    <row r="3468">
      <c r="C3468" s="15" t="n">
        <v>63</v>
      </c>
    </row>
    <row r="3469">
      <c r="C3469" s="15" t="n">
        <v>64</v>
      </c>
    </row>
    <row r="3470">
      <c r="C3470" s="15" t="n">
        <v>65</v>
      </c>
    </row>
    <row r="3471">
      <c r="C3471" s="15" t="n">
        <v>66</v>
      </c>
    </row>
    <row r="3472">
      <c r="C3472" s="15" t="n">
        <v>67</v>
      </c>
    </row>
    <row r="3473">
      <c r="C3473" s="15" t="n">
        <v>68</v>
      </c>
    </row>
    <row r="3474">
      <c r="C3474" s="15" t="n">
        <v>69</v>
      </c>
    </row>
    <row r="3475">
      <c r="C3475" s="15" t="n">
        <v>70</v>
      </c>
    </row>
    <row r="3476">
      <c r="C3476" s="15" t="n">
        <v>71</v>
      </c>
    </row>
    <row r="3477">
      <c r="C3477" s="15" t="n">
        <v>72</v>
      </c>
    </row>
    <row r="3478">
      <c r="C3478" s="15" t="n">
        <v>73</v>
      </c>
    </row>
    <row r="3479">
      <c r="C3479" s="15" t="n">
        <v>74</v>
      </c>
    </row>
    <row r="3480">
      <c r="C3480" s="15" t="n">
        <v>75</v>
      </c>
    </row>
    <row r="3481">
      <c r="C3481" s="15" t="n">
        <v>76</v>
      </c>
    </row>
    <row r="3482">
      <c r="C3482" s="15" t="n">
        <v>77</v>
      </c>
    </row>
    <row r="3483">
      <c r="C3483" s="15" t="n">
        <v>78</v>
      </c>
    </row>
    <row r="3484">
      <c r="C3484" s="15" t="n">
        <v>79</v>
      </c>
    </row>
    <row r="3485">
      <c r="C3485" s="15" t="n">
        <v>80</v>
      </c>
    </row>
    <row r="3486">
      <c r="C3486" s="15" t="n">
        <v>81</v>
      </c>
    </row>
    <row r="3487">
      <c r="C3487" s="15" t="n">
        <v>82</v>
      </c>
    </row>
    <row r="3488">
      <c r="C3488" s="15" t="n">
        <v>83</v>
      </c>
    </row>
    <row r="3489">
      <c r="C3489" s="15" t="n">
        <v>84</v>
      </c>
    </row>
    <row r="3490">
      <c r="C3490" s="15" t="n">
        <v>85</v>
      </c>
    </row>
    <row r="3491">
      <c r="C3491" s="15" t="n">
        <v>86</v>
      </c>
    </row>
    <row r="3492">
      <c r="C3492" s="15" t="n">
        <v>87</v>
      </c>
    </row>
    <row r="3493">
      <c r="C3493" s="15" t="n">
        <v>88</v>
      </c>
    </row>
    <row r="3494">
      <c r="C3494" s="15" t="n">
        <v>89</v>
      </c>
    </row>
    <row r="3495">
      <c r="C3495" s="15" t="n">
        <v>90</v>
      </c>
    </row>
    <row r="3496">
      <c r="C3496" s="15" t="n">
        <v>91</v>
      </c>
    </row>
    <row r="3497">
      <c r="C3497" s="15" t="n">
        <v>92</v>
      </c>
    </row>
    <row r="3498">
      <c r="C3498" s="15" t="n">
        <v>93</v>
      </c>
    </row>
    <row r="3499">
      <c r="C3499" s="15" t="n">
        <v>94</v>
      </c>
    </row>
    <row r="3500">
      <c r="C3500" s="15" t="n">
        <v>95</v>
      </c>
    </row>
    <row r="3501">
      <c r="C3501" s="15" t="n">
        <v>96</v>
      </c>
    </row>
    <row r="3502">
      <c r="C3502" s="15" t="n">
        <v>97</v>
      </c>
    </row>
    <row r="3503">
      <c r="C3503" s="15" t="n">
        <v>98</v>
      </c>
    </row>
    <row r="3504">
      <c r="C3504" s="15" t="n">
        <v>99</v>
      </c>
    </row>
    <row r="3505">
      <c r="C3505" s="15" t="n">
        <v>100</v>
      </c>
    </row>
    <row r="3506">
      <c r="C3506" s="15" t="n">
        <v>101</v>
      </c>
    </row>
    <row r="3507">
      <c r="C3507" s="15" t="n">
        <v>102</v>
      </c>
    </row>
    <row r="3508">
      <c r="C3508" s="15" t="n">
        <v>103</v>
      </c>
    </row>
    <row r="3509">
      <c r="C3509" s="15" t="n">
        <v>104</v>
      </c>
    </row>
    <row r="3510">
      <c r="C3510" s="15" t="n">
        <v>105</v>
      </c>
    </row>
    <row r="3511">
      <c r="C3511" s="15" t="n">
        <v>106</v>
      </c>
    </row>
    <row r="3512">
      <c r="C3512" s="15" t="n">
        <v>107</v>
      </c>
    </row>
    <row r="3513">
      <c r="C3513" s="15" t="n">
        <v>108</v>
      </c>
    </row>
    <row r="3514">
      <c r="C3514" s="15" t="n">
        <v>109</v>
      </c>
    </row>
    <row r="3515">
      <c r="C3515" s="15" t="n">
        <v>110</v>
      </c>
    </row>
    <row r="3516">
      <c r="C3516" s="15" t="n">
        <v>111</v>
      </c>
    </row>
    <row r="3517">
      <c r="C3517" s="15" t="n">
        <v>112</v>
      </c>
    </row>
    <row r="3518">
      <c r="C3518" s="15" t="n">
        <v>113</v>
      </c>
    </row>
    <row r="3519">
      <c r="C3519" s="15" t="n">
        <v>114</v>
      </c>
    </row>
    <row r="3520">
      <c r="C3520" s="15" t="n">
        <v>115</v>
      </c>
    </row>
    <row r="3521">
      <c r="C3521" s="15" t="n">
        <v>116</v>
      </c>
    </row>
    <row r="3522">
      <c r="C3522" s="15" t="n">
        <v>117</v>
      </c>
    </row>
    <row r="3523">
      <c r="C3523" s="15" t="n">
        <v>118</v>
      </c>
    </row>
    <row r="3524">
      <c r="C3524" s="15" t="n">
        <v>119</v>
      </c>
    </row>
    <row r="3525">
      <c r="C3525" s="15" t="n">
        <v>120</v>
      </c>
    </row>
    <row r="3526">
      <c r="C3526" s="15" t="n">
        <v>121</v>
      </c>
    </row>
    <row r="3527">
      <c r="C3527" s="15" t="n">
        <v>122</v>
      </c>
    </row>
    <row r="3528">
      <c r="C3528" s="15" t="n">
        <v>123</v>
      </c>
    </row>
    <row r="3529">
      <c r="C3529" s="15" t="n">
        <v>124</v>
      </c>
    </row>
    <row r="3530">
      <c r="C3530" s="15" t="n">
        <v>125</v>
      </c>
    </row>
    <row r="3531">
      <c r="C3531" s="15" t="n">
        <v>126</v>
      </c>
    </row>
    <row r="3532">
      <c r="C3532" s="15" t="n">
        <v>127</v>
      </c>
    </row>
    <row r="3533">
      <c r="C3533" s="15" t="n">
        <v>128</v>
      </c>
    </row>
    <row r="3534">
      <c r="C3534" s="15" t="n">
        <v>129</v>
      </c>
    </row>
    <row r="3535">
      <c r="C3535" s="15" t="n">
        <v>130</v>
      </c>
    </row>
    <row r="3536">
      <c r="C3536" s="15" t="n">
        <v>131</v>
      </c>
    </row>
    <row r="3537">
      <c r="C3537" s="15" t="n">
        <v>132</v>
      </c>
    </row>
    <row r="3538">
      <c r="C3538" s="15" t="n">
        <v>133</v>
      </c>
    </row>
    <row r="3539">
      <c r="C3539" s="15" t="n">
        <v>134</v>
      </c>
    </row>
    <row r="3540">
      <c r="C3540" s="15" t="n">
        <v>135</v>
      </c>
    </row>
    <row r="3541">
      <c r="C3541" s="15" t="n">
        <v>136</v>
      </c>
    </row>
    <row r="3542">
      <c r="C3542" s="15" t="n">
        <v>137</v>
      </c>
    </row>
    <row r="3543">
      <c r="C3543" s="15" t="n">
        <v>138</v>
      </c>
    </row>
    <row r="3544">
      <c r="C3544" s="15" t="n">
        <v>139</v>
      </c>
    </row>
    <row r="3545">
      <c r="C3545" s="15" t="n">
        <v>140</v>
      </c>
    </row>
    <row r="3546">
      <c r="C3546" s="15" t="n">
        <v>141</v>
      </c>
    </row>
    <row r="3547">
      <c r="C3547" s="15" t="n">
        <v>142</v>
      </c>
    </row>
    <row r="3548">
      <c r="C3548" s="15" t="n">
        <v>143</v>
      </c>
    </row>
    <row r="3549">
      <c r="C3549" s="15" t="n">
        <v>144</v>
      </c>
    </row>
    <row r="3550">
      <c r="C3550" s="15" t="n">
        <v>145</v>
      </c>
    </row>
    <row r="3551">
      <c r="C3551" s="15" t="n">
        <v>146</v>
      </c>
    </row>
    <row r="3552">
      <c r="C3552" s="15" t="n">
        <v>147</v>
      </c>
    </row>
    <row r="3553">
      <c r="C3553" s="15" t="n">
        <v>148</v>
      </c>
    </row>
    <row r="3554">
      <c r="C3554" s="15" t="n">
        <v>149</v>
      </c>
    </row>
    <row r="3555">
      <c r="C3555" s="15" t="n">
        <v>150</v>
      </c>
    </row>
    <row r="3556">
      <c r="C3556" s="15" t="n">
        <v>151</v>
      </c>
    </row>
    <row r="3557">
      <c r="C3557" s="15" t="n">
        <v>152</v>
      </c>
    </row>
    <row r="3558">
      <c r="C3558" s="15" t="n">
        <v>153</v>
      </c>
    </row>
    <row r="3559">
      <c r="C3559" s="15" t="n">
        <v>154</v>
      </c>
    </row>
    <row r="3560">
      <c r="C3560" s="15" t="n">
        <v>155</v>
      </c>
    </row>
    <row r="3561">
      <c r="C3561" s="15" t="n">
        <v>156</v>
      </c>
    </row>
    <row r="3562">
      <c r="C3562" s="15" t="n">
        <v>157</v>
      </c>
    </row>
    <row r="3563">
      <c r="C3563" s="15" t="n">
        <v>158</v>
      </c>
    </row>
    <row r="3564">
      <c r="C3564" s="15" t="n">
        <v>159</v>
      </c>
    </row>
    <row r="3565">
      <c r="C3565" s="15" t="n">
        <v>160</v>
      </c>
    </row>
    <row r="3566">
      <c r="C3566" s="15" t="n">
        <v>161</v>
      </c>
    </row>
    <row r="3567">
      <c r="C3567" s="15" t="n">
        <v>162</v>
      </c>
    </row>
    <row r="3568">
      <c r="C3568" s="15" t="n">
        <v>163</v>
      </c>
    </row>
    <row r="3569">
      <c r="C3569" s="15" t="n">
        <v>164</v>
      </c>
    </row>
    <row r="3570">
      <c r="C3570" s="15" t="n">
        <v>165</v>
      </c>
    </row>
    <row r="3571">
      <c r="C3571" s="15" t="n">
        <v>166</v>
      </c>
    </row>
    <row r="3572">
      <c r="C3572" s="15" t="n">
        <v>167</v>
      </c>
    </row>
    <row r="3573">
      <c r="C3573" s="15" t="n">
        <v>168</v>
      </c>
    </row>
    <row r="3574">
      <c r="C3574" s="15" t="n">
        <v>169</v>
      </c>
    </row>
    <row r="3575">
      <c r="C3575" s="15" t="n">
        <v>170</v>
      </c>
    </row>
    <row r="3576">
      <c r="C3576" s="15" t="n">
        <v>171</v>
      </c>
    </row>
    <row r="3577">
      <c r="C3577" s="15" t="n">
        <v>172</v>
      </c>
    </row>
    <row r="3578">
      <c r="C3578" s="15" t="n">
        <v>173</v>
      </c>
    </row>
    <row r="3579">
      <c r="C3579" s="15" t="n">
        <v>174</v>
      </c>
    </row>
    <row r="3580">
      <c r="C3580" s="15" t="n">
        <v>175</v>
      </c>
    </row>
    <row r="3581">
      <c r="C3581" s="15" t="n">
        <v>176</v>
      </c>
    </row>
    <row r="3582">
      <c r="C3582" s="15" t="n">
        <v>177</v>
      </c>
    </row>
    <row r="3583">
      <c r="C3583" s="15" t="n">
        <v>178</v>
      </c>
    </row>
    <row r="3584">
      <c r="C3584" s="15" t="n">
        <v>179</v>
      </c>
    </row>
    <row r="3585">
      <c r="C3585" s="15" t="n">
        <v>180</v>
      </c>
    </row>
    <row r="3586">
      <c r="C3586" s="15" t="n">
        <v>181</v>
      </c>
    </row>
    <row r="3587">
      <c r="C3587" s="15" t="n">
        <v>182</v>
      </c>
    </row>
    <row r="3588">
      <c r="C3588" s="15" t="n">
        <v>183</v>
      </c>
    </row>
    <row r="3589">
      <c r="C3589" s="15" t="n">
        <v>184</v>
      </c>
    </row>
    <row r="3590">
      <c r="C3590" s="15" t="n">
        <v>185</v>
      </c>
    </row>
    <row r="3591">
      <c r="C3591" s="15" t="n">
        <v>186</v>
      </c>
    </row>
    <row r="3592">
      <c r="C3592" s="15" t="n">
        <v>187</v>
      </c>
    </row>
    <row r="3593">
      <c r="C3593" s="15" t="n">
        <v>188</v>
      </c>
    </row>
    <row r="3594">
      <c r="C3594" s="15" t="n">
        <v>189</v>
      </c>
    </row>
    <row r="3595">
      <c r="C3595" s="15" t="n">
        <v>190</v>
      </c>
    </row>
    <row r="3596">
      <c r="C3596" s="15" t="n">
        <v>191</v>
      </c>
    </row>
    <row r="3597">
      <c r="C3597" s="15" t="n">
        <v>192</v>
      </c>
    </row>
    <row r="3598">
      <c r="C3598" s="15" t="n">
        <v>193</v>
      </c>
    </row>
    <row r="3599">
      <c r="C3599" s="15" t="n">
        <v>194</v>
      </c>
    </row>
    <row r="3600">
      <c r="C3600" s="15" t="n">
        <v>195</v>
      </c>
    </row>
    <row r="3601">
      <c r="C3601" s="15" t="n">
        <v>196</v>
      </c>
    </row>
    <row r="3602">
      <c r="C3602" s="15" t="n">
        <v>197</v>
      </c>
    </row>
    <row r="3603">
      <c r="C3603" s="15" t="n">
        <v>198</v>
      </c>
    </row>
    <row r="3605">
      <c r="C3605" s="15" t="inlineStr">
        <is>
          <t>DesvPad(Cap)</t>
        </is>
      </c>
      <c r="D3605" s="15" t="n">
        <v>22</v>
      </c>
      <c r="E3605" s="15" t="n">
        <v>23</v>
      </c>
      <c r="F3605" s="15" t="n">
        <v>24</v>
      </c>
    </row>
    <row r="3606">
      <c r="C3606" s="15" t="n">
        <v>9</v>
      </c>
    </row>
    <row r="3607">
      <c r="C3607" s="15" t="n">
        <v>10</v>
      </c>
    </row>
    <row r="3608">
      <c r="C3608" s="15" t="n">
        <v>11</v>
      </c>
    </row>
    <row r="3609">
      <c r="C3609" s="15" t="n">
        <v>12</v>
      </c>
    </row>
    <row r="3610">
      <c r="C3610" s="15" t="n">
        <v>13</v>
      </c>
    </row>
    <row r="3611">
      <c r="C3611" s="15" t="n">
        <v>14</v>
      </c>
    </row>
    <row r="3612">
      <c r="C3612" s="15" t="n">
        <v>15</v>
      </c>
    </row>
    <row r="3613">
      <c r="C3613" s="15" t="n">
        <v>16</v>
      </c>
    </row>
    <row r="3614">
      <c r="C3614" s="15" t="n">
        <v>17</v>
      </c>
    </row>
    <row r="3615">
      <c r="C3615" s="15" t="n">
        <v>18</v>
      </c>
    </row>
    <row r="3616">
      <c r="C3616" s="15" t="n">
        <v>19</v>
      </c>
    </row>
    <row r="3617">
      <c r="C3617" s="15" t="n">
        <v>20</v>
      </c>
    </row>
    <row r="3618">
      <c r="C3618" s="15" t="n">
        <v>21</v>
      </c>
    </row>
    <row r="3619">
      <c r="C3619" s="15" t="n">
        <v>22</v>
      </c>
    </row>
    <row r="3620">
      <c r="C3620" s="15" t="n">
        <v>23</v>
      </c>
    </row>
    <row r="3621">
      <c r="C3621" s="15" t="n">
        <v>24</v>
      </c>
    </row>
    <row r="3622">
      <c r="C3622" s="15" t="n">
        <v>25</v>
      </c>
    </row>
    <row r="3623">
      <c r="C3623" s="15" t="n">
        <v>26</v>
      </c>
    </row>
    <row r="3624">
      <c r="C3624" s="15" t="n">
        <v>27</v>
      </c>
    </row>
    <row r="3625">
      <c r="C3625" s="15" t="n">
        <v>28</v>
      </c>
    </row>
    <row r="3626">
      <c r="C3626" s="15" t="n">
        <v>29</v>
      </c>
    </row>
    <row r="3627">
      <c r="C3627" s="15" t="n">
        <v>30</v>
      </c>
    </row>
    <row r="3628">
      <c r="C3628" s="15" t="n">
        <v>31</v>
      </c>
    </row>
    <row r="3629">
      <c r="C3629" s="15" t="n">
        <v>32</v>
      </c>
    </row>
    <row r="3630">
      <c r="C3630" s="15" t="n">
        <v>33</v>
      </c>
    </row>
    <row r="3631">
      <c r="C3631" s="15" t="n">
        <v>34</v>
      </c>
    </row>
    <row r="3632">
      <c r="C3632" s="15" t="n">
        <v>35</v>
      </c>
    </row>
    <row r="3633">
      <c r="C3633" s="15" t="n">
        <v>36</v>
      </c>
    </row>
    <row r="3634">
      <c r="C3634" s="15" t="n">
        <v>37</v>
      </c>
    </row>
    <row r="3635">
      <c r="C3635" s="15" t="n">
        <v>38</v>
      </c>
    </row>
    <row r="3636">
      <c r="C3636" s="15" t="n">
        <v>39</v>
      </c>
    </row>
    <row r="3637">
      <c r="C3637" s="15" t="n">
        <v>40</v>
      </c>
    </row>
    <row r="3638">
      <c r="C3638" s="15" t="n">
        <v>41</v>
      </c>
    </row>
    <row r="3639">
      <c r="C3639" s="15" t="n">
        <v>42</v>
      </c>
    </row>
    <row r="3640">
      <c r="C3640" s="15" t="n">
        <v>43</v>
      </c>
    </row>
    <row r="3641">
      <c r="C3641" s="15" t="n">
        <v>44</v>
      </c>
    </row>
    <row r="3642">
      <c r="C3642" s="15" t="n">
        <v>45</v>
      </c>
    </row>
    <row r="3643">
      <c r="C3643" s="15" t="n">
        <v>46</v>
      </c>
    </row>
    <row r="3644">
      <c r="C3644" s="15" t="n">
        <v>47</v>
      </c>
    </row>
    <row r="3645">
      <c r="C3645" s="15" t="n">
        <v>48</v>
      </c>
    </row>
    <row r="3646">
      <c r="C3646" s="15" t="n">
        <v>49</v>
      </c>
    </row>
    <row r="3647">
      <c r="C3647" s="15" t="n">
        <v>50</v>
      </c>
    </row>
    <row r="3648">
      <c r="C3648" s="15" t="n">
        <v>51</v>
      </c>
    </row>
    <row r="3649">
      <c r="C3649" s="15" t="n">
        <v>52</v>
      </c>
    </row>
    <row r="3650">
      <c r="C3650" s="15" t="n">
        <v>53</v>
      </c>
    </row>
    <row r="3651">
      <c r="C3651" s="15" t="n">
        <v>54</v>
      </c>
    </row>
    <row r="3652">
      <c r="C3652" s="15" t="n">
        <v>55</v>
      </c>
    </row>
    <row r="3653">
      <c r="C3653" s="15" t="n">
        <v>56</v>
      </c>
    </row>
    <row r="3654">
      <c r="C3654" s="15" t="n">
        <v>57</v>
      </c>
    </row>
    <row r="3655">
      <c r="C3655" s="15" t="n">
        <v>58</v>
      </c>
    </row>
    <row r="3656">
      <c r="C3656" s="15" t="n">
        <v>59</v>
      </c>
    </row>
    <row r="3657">
      <c r="C3657" s="15" t="n">
        <v>60</v>
      </c>
    </row>
    <row r="3658">
      <c r="C3658" s="15" t="n">
        <v>61</v>
      </c>
    </row>
    <row r="3659">
      <c r="C3659" s="15" t="n">
        <v>62</v>
      </c>
    </row>
    <row r="3660">
      <c r="C3660" s="15" t="n">
        <v>63</v>
      </c>
    </row>
    <row r="3661">
      <c r="C3661" s="15" t="n">
        <v>64</v>
      </c>
    </row>
    <row r="3662">
      <c r="C3662" s="15" t="n">
        <v>65</v>
      </c>
    </row>
    <row r="3663">
      <c r="C3663" s="15" t="n">
        <v>66</v>
      </c>
    </row>
    <row r="3664">
      <c r="C3664" s="15" t="n">
        <v>67</v>
      </c>
    </row>
    <row r="3665">
      <c r="C3665" s="15" t="n">
        <v>68</v>
      </c>
    </row>
    <row r="3666">
      <c r="C3666" s="15" t="n">
        <v>69</v>
      </c>
    </row>
    <row r="3667">
      <c r="C3667" s="15" t="n">
        <v>70</v>
      </c>
    </row>
    <row r="3668">
      <c r="C3668" s="15" t="n">
        <v>71</v>
      </c>
    </row>
    <row r="3669">
      <c r="C3669" s="15" t="n">
        <v>72</v>
      </c>
    </row>
    <row r="3670">
      <c r="C3670" s="15" t="n">
        <v>73</v>
      </c>
    </row>
    <row r="3671">
      <c r="C3671" s="15" t="n">
        <v>74</v>
      </c>
    </row>
    <row r="3672">
      <c r="C3672" s="15" t="n">
        <v>75</v>
      </c>
    </row>
    <row r="3673">
      <c r="C3673" s="15" t="n">
        <v>76</v>
      </c>
    </row>
    <row r="3674">
      <c r="C3674" s="15" t="n">
        <v>77</v>
      </c>
    </row>
    <row r="3675">
      <c r="C3675" s="15" t="n">
        <v>78</v>
      </c>
    </row>
    <row r="3676">
      <c r="C3676" s="15" t="n">
        <v>79</v>
      </c>
    </row>
    <row r="3677">
      <c r="C3677" s="15" t="n">
        <v>80</v>
      </c>
    </row>
    <row r="3678">
      <c r="C3678" s="15" t="n">
        <v>81</v>
      </c>
    </row>
    <row r="3679">
      <c r="C3679" s="15" t="n">
        <v>82</v>
      </c>
    </row>
    <row r="3680">
      <c r="C3680" s="15" t="n">
        <v>83</v>
      </c>
    </row>
    <row r="3681">
      <c r="C3681" s="15" t="n">
        <v>84</v>
      </c>
    </row>
    <row r="3682">
      <c r="C3682" s="15" t="n">
        <v>85</v>
      </c>
    </row>
    <row r="3683">
      <c r="C3683" s="15" t="n">
        <v>86</v>
      </c>
    </row>
    <row r="3684">
      <c r="C3684" s="15" t="n">
        <v>87</v>
      </c>
    </row>
    <row r="3685">
      <c r="C3685" s="15" t="n">
        <v>88</v>
      </c>
    </row>
    <row r="3686">
      <c r="C3686" s="15" t="n">
        <v>89</v>
      </c>
    </row>
    <row r="3687">
      <c r="C3687" s="15" t="n">
        <v>90</v>
      </c>
    </row>
    <row r="3688">
      <c r="C3688" s="15" t="n">
        <v>91</v>
      </c>
    </row>
    <row r="3689">
      <c r="C3689" s="15" t="n">
        <v>92</v>
      </c>
    </row>
    <row r="3690">
      <c r="C3690" s="15" t="n">
        <v>93</v>
      </c>
    </row>
    <row r="3691">
      <c r="C3691" s="15" t="n">
        <v>94</v>
      </c>
    </row>
    <row r="3692">
      <c r="C3692" s="15" t="n">
        <v>95</v>
      </c>
    </row>
    <row r="3693">
      <c r="C3693" s="15" t="n">
        <v>96</v>
      </c>
    </row>
    <row r="3694">
      <c r="C3694" s="15" t="n">
        <v>97</v>
      </c>
    </row>
    <row r="3695">
      <c r="C3695" s="15" t="n">
        <v>98</v>
      </c>
    </row>
    <row r="3696">
      <c r="C3696" s="15" t="n">
        <v>99</v>
      </c>
    </row>
    <row r="3697">
      <c r="C3697" s="15" t="n">
        <v>100</v>
      </c>
    </row>
    <row r="3698">
      <c r="C3698" s="15" t="n">
        <v>101</v>
      </c>
    </row>
    <row r="3699">
      <c r="C3699" s="15" t="n">
        <v>102</v>
      </c>
    </row>
    <row r="3700">
      <c r="C3700" s="15" t="n">
        <v>103</v>
      </c>
    </row>
    <row r="3701">
      <c r="C3701" s="15" t="n">
        <v>104</v>
      </c>
    </row>
    <row r="3702">
      <c r="C3702" s="15" t="n">
        <v>105</v>
      </c>
    </row>
    <row r="3703">
      <c r="C3703" s="15" t="n">
        <v>106</v>
      </c>
    </row>
    <row r="3704">
      <c r="C3704" s="15" t="n">
        <v>107</v>
      </c>
    </row>
    <row r="3705">
      <c r="C3705" s="15" t="n">
        <v>108</v>
      </c>
    </row>
    <row r="3706">
      <c r="C3706" s="15" t="n">
        <v>109</v>
      </c>
    </row>
    <row r="3707">
      <c r="C3707" s="15" t="n">
        <v>110</v>
      </c>
    </row>
    <row r="3708">
      <c r="C3708" s="15" t="n">
        <v>111</v>
      </c>
    </row>
    <row r="3709">
      <c r="C3709" s="15" t="n">
        <v>112</v>
      </c>
    </row>
    <row r="3710">
      <c r="C3710" s="15" t="n">
        <v>113</v>
      </c>
    </row>
    <row r="3711">
      <c r="C3711" s="15" t="n">
        <v>114</v>
      </c>
    </row>
    <row r="3712">
      <c r="C3712" s="15" t="n">
        <v>115</v>
      </c>
    </row>
    <row r="3713">
      <c r="C3713" s="15" t="n">
        <v>116</v>
      </c>
    </row>
    <row r="3714">
      <c r="C3714" s="15" t="n">
        <v>117</v>
      </c>
    </row>
    <row r="3715">
      <c r="C3715" s="15" t="n">
        <v>118</v>
      </c>
    </row>
    <row r="3716">
      <c r="C3716" s="15" t="n">
        <v>119</v>
      </c>
    </row>
    <row r="3717">
      <c r="C3717" s="15" t="n">
        <v>120</v>
      </c>
    </row>
    <row r="3718">
      <c r="C3718" s="15" t="n">
        <v>121</v>
      </c>
    </row>
    <row r="3719">
      <c r="C3719" s="15" t="n">
        <v>122</v>
      </c>
    </row>
    <row r="3720">
      <c r="C3720" s="15" t="n">
        <v>123</v>
      </c>
    </row>
    <row r="3721">
      <c r="C3721" s="15" t="n">
        <v>124</v>
      </c>
    </row>
    <row r="3722">
      <c r="C3722" s="15" t="n">
        <v>125</v>
      </c>
    </row>
    <row r="3723">
      <c r="C3723" s="15" t="n">
        <v>126</v>
      </c>
    </row>
    <row r="3724">
      <c r="C3724" s="15" t="n">
        <v>127</v>
      </c>
    </row>
    <row r="3725">
      <c r="C3725" s="15" t="n">
        <v>128</v>
      </c>
    </row>
    <row r="3726">
      <c r="C3726" s="15" t="n">
        <v>129</v>
      </c>
    </row>
    <row r="3727">
      <c r="C3727" s="15" t="n">
        <v>130</v>
      </c>
    </row>
    <row r="3728">
      <c r="C3728" s="15" t="n">
        <v>131</v>
      </c>
    </row>
    <row r="3729">
      <c r="C3729" s="15" t="n">
        <v>132</v>
      </c>
    </row>
    <row r="3730">
      <c r="C3730" s="15" t="n">
        <v>133</v>
      </c>
    </row>
    <row r="3731">
      <c r="C3731" s="15" t="n">
        <v>134</v>
      </c>
    </row>
    <row r="3732">
      <c r="C3732" s="15" t="n">
        <v>135</v>
      </c>
    </row>
    <row r="3733">
      <c r="C3733" s="15" t="n">
        <v>136</v>
      </c>
    </row>
    <row r="3734">
      <c r="C3734" s="15" t="n">
        <v>137</v>
      </c>
    </row>
    <row r="3735">
      <c r="C3735" s="15" t="n">
        <v>138</v>
      </c>
    </row>
    <row r="3736">
      <c r="C3736" s="15" t="n">
        <v>139</v>
      </c>
    </row>
    <row r="3737">
      <c r="C3737" s="15" t="n">
        <v>140</v>
      </c>
    </row>
    <row r="3738">
      <c r="C3738" s="15" t="n">
        <v>141</v>
      </c>
    </row>
    <row r="3739">
      <c r="C3739" s="15" t="n">
        <v>142</v>
      </c>
    </row>
    <row r="3740">
      <c r="C3740" s="15" t="n">
        <v>143</v>
      </c>
    </row>
    <row r="3741">
      <c r="C3741" s="15" t="n">
        <v>144</v>
      </c>
    </row>
    <row r="3742">
      <c r="C3742" s="15" t="n">
        <v>145</v>
      </c>
    </row>
    <row r="3743">
      <c r="C3743" s="15" t="n">
        <v>146</v>
      </c>
    </row>
    <row r="3744">
      <c r="C3744" s="15" t="n">
        <v>147</v>
      </c>
    </row>
    <row r="3745">
      <c r="C3745" s="15" t="n">
        <v>148</v>
      </c>
    </row>
    <row r="3746">
      <c r="C3746" s="15" t="n">
        <v>149</v>
      </c>
    </row>
    <row r="3747">
      <c r="C3747" s="15" t="n">
        <v>150</v>
      </c>
    </row>
    <row r="3748">
      <c r="C3748" s="15" t="n">
        <v>151</v>
      </c>
    </row>
    <row r="3749">
      <c r="C3749" s="15" t="n">
        <v>152</v>
      </c>
    </row>
    <row r="3750">
      <c r="C3750" s="15" t="n">
        <v>153</v>
      </c>
    </row>
    <row r="3751">
      <c r="C3751" s="15" t="n">
        <v>154</v>
      </c>
    </row>
    <row r="3752">
      <c r="C3752" s="15" t="n">
        <v>155</v>
      </c>
    </row>
    <row r="3753">
      <c r="C3753" s="15" t="n">
        <v>156</v>
      </c>
    </row>
    <row r="3754">
      <c r="C3754" s="15" t="n">
        <v>157</v>
      </c>
    </row>
    <row r="3755">
      <c r="C3755" s="15" t="n">
        <v>158</v>
      </c>
    </row>
    <row r="3756">
      <c r="C3756" s="15" t="n">
        <v>159</v>
      </c>
    </row>
    <row r="3757">
      <c r="C3757" s="15" t="n">
        <v>160</v>
      </c>
    </row>
    <row r="3758">
      <c r="C3758" s="15" t="n">
        <v>161</v>
      </c>
    </row>
    <row r="3759">
      <c r="C3759" s="15" t="n">
        <v>162</v>
      </c>
    </row>
    <row r="3760">
      <c r="C3760" s="15" t="n">
        <v>163</v>
      </c>
    </row>
    <row r="3761">
      <c r="C3761" s="15" t="n">
        <v>164</v>
      </c>
    </row>
    <row r="3762">
      <c r="C3762" s="15" t="n">
        <v>165</v>
      </c>
    </row>
    <row r="3763">
      <c r="C3763" s="15" t="n">
        <v>166</v>
      </c>
    </row>
    <row r="3764">
      <c r="C3764" s="15" t="n">
        <v>167</v>
      </c>
    </row>
    <row r="3765">
      <c r="C3765" s="15" t="n">
        <v>168</v>
      </c>
    </row>
    <row r="3766">
      <c r="C3766" s="15" t="n">
        <v>169</v>
      </c>
    </row>
    <row r="3767">
      <c r="C3767" s="15" t="n">
        <v>170</v>
      </c>
    </row>
    <row r="3768">
      <c r="C3768" s="15" t="n">
        <v>171</v>
      </c>
    </row>
    <row r="3769">
      <c r="C3769" s="15" t="n">
        <v>172</v>
      </c>
    </row>
    <row r="3770">
      <c r="C3770" s="15" t="n">
        <v>173</v>
      </c>
    </row>
    <row r="3771">
      <c r="C3771" s="15" t="n">
        <v>174</v>
      </c>
    </row>
    <row r="3772">
      <c r="C3772" s="15" t="n">
        <v>175</v>
      </c>
    </row>
    <row r="3773">
      <c r="C3773" s="15" t="n">
        <v>176</v>
      </c>
    </row>
    <row r="3774">
      <c r="C3774" s="15" t="n">
        <v>177</v>
      </c>
    </row>
    <row r="3775">
      <c r="C3775" s="15" t="n">
        <v>178</v>
      </c>
    </row>
    <row r="3776">
      <c r="C3776" s="15" t="n">
        <v>179</v>
      </c>
    </row>
    <row r="3777">
      <c r="C3777" s="15" t="n">
        <v>180</v>
      </c>
    </row>
    <row r="3778">
      <c r="C3778" s="15" t="n">
        <v>181</v>
      </c>
    </row>
    <row r="3779">
      <c r="C3779" s="15" t="n">
        <v>182</v>
      </c>
    </row>
    <row r="3780">
      <c r="C3780" s="15" t="n">
        <v>183</v>
      </c>
    </row>
    <row r="3781">
      <c r="C3781" s="15" t="n">
        <v>184</v>
      </c>
    </row>
    <row r="3782">
      <c r="C3782" s="15" t="n">
        <v>185</v>
      </c>
    </row>
    <row r="3783">
      <c r="C3783" s="15" t="n">
        <v>186</v>
      </c>
    </row>
    <row r="3784">
      <c r="C3784" s="15" t="n">
        <v>187</v>
      </c>
    </row>
    <row r="3785">
      <c r="C3785" s="15" t="n">
        <v>188</v>
      </c>
    </row>
    <row r="3786">
      <c r="C3786" s="15" t="n">
        <v>189</v>
      </c>
    </row>
    <row r="3787">
      <c r="C3787" s="15" t="n">
        <v>190</v>
      </c>
    </row>
    <row r="3788">
      <c r="C3788" s="15" t="n">
        <v>191</v>
      </c>
    </row>
    <row r="3789">
      <c r="C3789" s="15" t="n">
        <v>192</v>
      </c>
    </row>
    <row r="3790">
      <c r="C3790" s="15" t="n">
        <v>193</v>
      </c>
    </row>
    <row r="3791">
      <c r="C3791" s="15" t="n">
        <v>194</v>
      </c>
    </row>
    <row r="3792">
      <c r="C3792" s="15" t="n">
        <v>195</v>
      </c>
    </row>
    <row r="3793">
      <c r="C3793" s="15" t="n">
        <v>196</v>
      </c>
    </row>
    <row r="3794">
      <c r="C3794" s="15" t="n">
        <v>197</v>
      </c>
    </row>
    <row r="3795">
      <c r="C3795" s="15" t="n">
        <v>198</v>
      </c>
    </row>
    <row r="3797">
      <c r="C3797" s="15" t="inlineStr">
        <is>
          <t>z(RLT)</t>
        </is>
      </c>
      <c r="D3797" s="15" t="n">
        <v>22</v>
      </c>
      <c r="E3797" s="15" t="n">
        <v>23</v>
      </c>
      <c r="F3797" s="15" t="n">
        <v>24</v>
      </c>
    </row>
    <row r="3798">
      <c r="C3798" s="15" t="n">
        <v>9</v>
      </c>
    </row>
    <row r="3799">
      <c r="C3799" s="15" t="n">
        <v>10</v>
      </c>
    </row>
    <row r="3800">
      <c r="C3800" s="15" t="n">
        <v>11</v>
      </c>
    </row>
    <row r="3801">
      <c r="C3801" s="15" t="n">
        <v>12</v>
      </c>
    </row>
    <row r="3802">
      <c r="C3802" s="15" t="n">
        <v>13</v>
      </c>
    </row>
    <row r="3803">
      <c r="C3803" s="15" t="n">
        <v>14</v>
      </c>
    </row>
    <row r="3804">
      <c r="C3804" s="15" t="n">
        <v>15</v>
      </c>
    </row>
    <row r="3805">
      <c r="C3805" s="15" t="n">
        <v>16</v>
      </c>
    </row>
    <row r="3806">
      <c r="C3806" s="15" t="n">
        <v>17</v>
      </c>
    </row>
    <row r="3807">
      <c r="C3807" s="15" t="n">
        <v>18</v>
      </c>
    </row>
    <row r="3808">
      <c r="C3808" s="15" t="n">
        <v>19</v>
      </c>
    </row>
    <row r="3809">
      <c r="C3809" s="15" t="n">
        <v>20</v>
      </c>
    </row>
    <row r="3810">
      <c r="C3810" s="15" t="n">
        <v>21</v>
      </c>
    </row>
    <row r="3811">
      <c r="C3811" s="15" t="n">
        <v>22</v>
      </c>
    </row>
    <row r="3812">
      <c r="C3812" s="15" t="n">
        <v>23</v>
      </c>
    </row>
    <row r="3813">
      <c r="C3813" s="15" t="n">
        <v>24</v>
      </c>
    </row>
    <row r="3814">
      <c r="C3814" s="15" t="n">
        <v>25</v>
      </c>
    </row>
    <row r="3815">
      <c r="C3815" s="15" t="n">
        <v>26</v>
      </c>
    </row>
    <row r="3816">
      <c r="C3816" s="15" t="n">
        <v>27</v>
      </c>
    </row>
    <row r="3817">
      <c r="C3817" s="15" t="n">
        <v>28</v>
      </c>
    </row>
    <row r="3818">
      <c r="C3818" s="15" t="n">
        <v>29</v>
      </c>
    </row>
    <row r="3819">
      <c r="C3819" s="15" t="n">
        <v>30</v>
      </c>
    </row>
    <row r="3820">
      <c r="C3820" s="15" t="n">
        <v>31</v>
      </c>
    </row>
    <row r="3821">
      <c r="C3821" s="15" t="n">
        <v>32</v>
      </c>
    </row>
    <row r="3822">
      <c r="C3822" s="15" t="n">
        <v>33</v>
      </c>
    </row>
    <row r="3823">
      <c r="C3823" s="15" t="n">
        <v>34</v>
      </c>
    </row>
    <row r="3824">
      <c r="C3824" s="15" t="n">
        <v>35</v>
      </c>
    </row>
    <row r="3825">
      <c r="C3825" s="15" t="n">
        <v>36</v>
      </c>
    </row>
    <row r="3826">
      <c r="C3826" s="15" t="n">
        <v>37</v>
      </c>
    </row>
    <row r="3827">
      <c r="C3827" s="15" t="n">
        <v>38</v>
      </c>
    </row>
    <row r="3828">
      <c r="C3828" s="15" t="n">
        <v>39</v>
      </c>
    </row>
    <row r="3829">
      <c r="C3829" s="15" t="n">
        <v>40</v>
      </c>
    </row>
    <row r="3830">
      <c r="C3830" s="15" t="n">
        <v>41</v>
      </c>
    </row>
    <row r="3831">
      <c r="C3831" s="15" t="n">
        <v>42</v>
      </c>
    </row>
    <row r="3832">
      <c r="C3832" s="15" t="n">
        <v>43</v>
      </c>
    </row>
    <row r="3833">
      <c r="C3833" s="15" t="n">
        <v>44</v>
      </c>
    </row>
    <row r="3834">
      <c r="C3834" s="15" t="n">
        <v>45</v>
      </c>
    </row>
    <row r="3835">
      <c r="C3835" s="15" t="n">
        <v>46</v>
      </c>
    </row>
    <row r="3836">
      <c r="C3836" s="15" t="n">
        <v>47</v>
      </c>
    </row>
    <row r="3837">
      <c r="C3837" s="15" t="n">
        <v>48</v>
      </c>
    </row>
    <row r="3838">
      <c r="C3838" s="15" t="n">
        <v>49</v>
      </c>
    </row>
    <row r="3839">
      <c r="C3839" s="15" t="n">
        <v>50</v>
      </c>
    </row>
    <row r="3840">
      <c r="C3840" s="15" t="n">
        <v>51</v>
      </c>
    </row>
    <row r="3841">
      <c r="C3841" s="15" t="n">
        <v>52</v>
      </c>
    </row>
    <row r="3842">
      <c r="C3842" s="15" t="n">
        <v>53</v>
      </c>
    </row>
    <row r="3843">
      <c r="C3843" s="15" t="n">
        <v>54</v>
      </c>
    </row>
    <row r="3844">
      <c r="C3844" s="15" t="n">
        <v>55</v>
      </c>
    </row>
    <row r="3845">
      <c r="C3845" s="15" t="n">
        <v>56</v>
      </c>
    </row>
    <row r="3846">
      <c r="C3846" s="15" t="n">
        <v>57</v>
      </c>
    </row>
    <row r="3847">
      <c r="C3847" s="15" t="n">
        <v>58</v>
      </c>
    </row>
    <row r="3848">
      <c r="C3848" s="15" t="n">
        <v>59</v>
      </c>
    </row>
    <row r="3849">
      <c r="C3849" s="15" t="n">
        <v>60</v>
      </c>
    </row>
    <row r="3850">
      <c r="C3850" s="15" t="n">
        <v>61</v>
      </c>
    </row>
    <row r="3851">
      <c r="C3851" s="15" t="n">
        <v>62</v>
      </c>
    </row>
    <row r="3852">
      <c r="C3852" s="15" t="n">
        <v>63</v>
      </c>
    </row>
    <row r="3853">
      <c r="C3853" s="15" t="n">
        <v>64</v>
      </c>
    </row>
    <row r="3854">
      <c r="C3854" s="15" t="n">
        <v>65</v>
      </c>
    </row>
    <row r="3855">
      <c r="C3855" s="15" t="n">
        <v>66</v>
      </c>
    </row>
    <row r="3856">
      <c r="C3856" s="15" t="n">
        <v>67</v>
      </c>
    </row>
    <row r="3857">
      <c r="C3857" s="15" t="n">
        <v>68</v>
      </c>
    </row>
    <row r="3858">
      <c r="C3858" s="15" t="n">
        <v>69</v>
      </c>
    </row>
    <row r="3859">
      <c r="C3859" s="15" t="n">
        <v>70</v>
      </c>
    </row>
    <row r="3860">
      <c r="C3860" s="15" t="n">
        <v>71</v>
      </c>
    </row>
    <row r="3861">
      <c r="C3861" s="15" t="n">
        <v>72</v>
      </c>
    </row>
    <row r="3862">
      <c r="C3862" s="15" t="n">
        <v>73</v>
      </c>
    </row>
    <row r="3863">
      <c r="C3863" s="15" t="n">
        <v>74</v>
      </c>
    </row>
    <row r="3864">
      <c r="C3864" s="15" t="n">
        <v>75</v>
      </c>
    </row>
    <row r="3865">
      <c r="C3865" s="15" t="n">
        <v>76</v>
      </c>
    </row>
    <row r="3866">
      <c r="C3866" s="15" t="n">
        <v>77</v>
      </c>
    </row>
    <row r="3867">
      <c r="C3867" s="15" t="n">
        <v>78</v>
      </c>
    </row>
    <row r="3868">
      <c r="C3868" s="15" t="n">
        <v>79</v>
      </c>
    </row>
    <row r="3869">
      <c r="C3869" s="15" t="n">
        <v>80</v>
      </c>
    </row>
    <row r="3870">
      <c r="C3870" s="15" t="n">
        <v>81</v>
      </c>
    </row>
    <row r="3871">
      <c r="C3871" s="15" t="n">
        <v>82</v>
      </c>
    </row>
    <row r="3872">
      <c r="C3872" s="15" t="n">
        <v>83</v>
      </c>
    </row>
    <row r="3873">
      <c r="C3873" s="15" t="n">
        <v>84</v>
      </c>
    </row>
    <row r="3874">
      <c r="C3874" s="15" t="n">
        <v>85</v>
      </c>
    </row>
    <row r="3875">
      <c r="C3875" s="15" t="n">
        <v>86</v>
      </c>
    </row>
    <row r="3876">
      <c r="C3876" s="15" t="n">
        <v>87</v>
      </c>
    </row>
    <row r="3877">
      <c r="C3877" s="15" t="n">
        <v>88</v>
      </c>
    </row>
    <row r="3878">
      <c r="C3878" s="15" t="n">
        <v>89</v>
      </c>
    </row>
    <row r="3879">
      <c r="C3879" s="15" t="n">
        <v>90</v>
      </c>
    </row>
    <row r="3880">
      <c r="C3880" s="15" t="n">
        <v>91</v>
      </c>
    </row>
    <row r="3881">
      <c r="C3881" s="15" t="n">
        <v>92</v>
      </c>
    </row>
    <row r="3882">
      <c r="C3882" s="15" t="n">
        <v>93</v>
      </c>
    </row>
    <row r="3883">
      <c r="C3883" s="15" t="n">
        <v>94</v>
      </c>
    </row>
    <row r="3884">
      <c r="C3884" s="15" t="n">
        <v>95</v>
      </c>
    </row>
    <row r="3885">
      <c r="C3885" s="15" t="n">
        <v>96</v>
      </c>
    </row>
    <row r="3886">
      <c r="C3886" s="15" t="n">
        <v>97</v>
      </c>
    </row>
    <row r="3887">
      <c r="C3887" s="15" t="n">
        <v>98</v>
      </c>
    </row>
    <row r="3888">
      <c r="C3888" s="15" t="n">
        <v>99</v>
      </c>
    </row>
    <row r="3889">
      <c r="C3889" s="15" t="n">
        <v>100</v>
      </c>
    </row>
    <row r="3890">
      <c r="C3890" s="15" t="n">
        <v>101</v>
      </c>
    </row>
    <row r="3891">
      <c r="C3891" s="15" t="n">
        <v>102</v>
      </c>
    </row>
    <row r="3892">
      <c r="C3892" s="15" t="n">
        <v>103</v>
      </c>
    </row>
    <row r="3893">
      <c r="C3893" s="15" t="n">
        <v>104</v>
      </c>
    </row>
    <row r="3894">
      <c r="C3894" s="15" t="n">
        <v>105</v>
      </c>
    </row>
    <row r="3895">
      <c r="C3895" s="15" t="n">
        <v>106</v>
      </c>
    </row>
    <row r="3896">
      <c r="C3896" s="15" t="n">
        <v>107</v>
      </c>
    </row>
    <row r="3897">
      <c r="C3897" s="15" t="n">
        <v>108</v>
      </c>
    </row>
    <row r="3898">
      <c r="C3898" s="15" t="n">
        <v>109</v>
      </c>
    </row>
    <row r="3899">
      <c r="C3899" s="15" t="n">
        <v>110</v>
      </c>
    </row>
    <row r="3900">
      <c r="C3900" s="15" t="n">
        <v>111</v>
      </c>
    </row>
    <row r="3901">
      <c r="C3901" s="15" t="n">
        <v>112</v>
      </c>
    </row>
    <row r="3902">
      <c r="C3902" s="15" t="n">
        <v>113</v>
      </c>
    </row>
    <row r="3903">
      <c r="C3903" s="15" t="n">
        <v>114</v>
      </c>
    </row>
    <row r="3904">
      <c r="C3904" s="15" t="n">
        <v>115</v>
      </c>
    </row>
    <row r="3905">
      <c r="C3905" s="15" t="n">
        <v>116</v>
      </c>
    </row>
    <row r="3906">
      <c r="C3906" s="15" t="n">
        <v>117</v>
      </c>
    </row>
    <row r="3907">
      <c r="C3907" s="15" t="n">
        <v>118</v>
      </c>
    </row>
    <row r="3908">
      <c r="C3908" s="15" t="n">
        <v>119</v>
      </c>
    </row>
    <row r="3909">
      <c r="C3909" s="15" t="n">
        <v>120</v>
      </c>
    </row>
    <row r="3910">
      <c r="C3910" s="15" t="n">
        <v>121</v>
      </c>
    </row>
    <row r="3911">
      <c r="C3911" s="15" t="n">
        <v>122</v>
      </c>
    </row>
    <row r="3912">
      <c r="C3912" s="15" t="n">
        <v>123</v>
      </c>
    </row>
    <row r="3913">
      <c r="C3913" s="15" t="n">
        <v>124</v>
      </c>
    </row>
    <row r="3914">
      <c r="C3914" s="15" t="n">
        <v>125</v>
      </c>
    </row>
    <row r="3915">
      <c r="C3915" s="15" t="n">
        <v>126</v>
      </c>
    </row>
    <row r="3916">
      <c r="C3916" s="15" t="n">
        <v>127</v>
      </c>
    </row>
    <row r="3917">
      <c r="C3917" s="15" t="n">
        <v>128</v>
      </c>
    </row>
    <row r="3918">
      <c r="C3918" s="15" t="n">
        <v>129</v>
      </c>
    </row>
    <row r="3919">
      <c r="C3919" s="15" t="n">
        <v>130</v>
      </c>
    </row>
    <row r="3920">
      <c r="C3920" s="15" t="n">
        <v>131</v>
      </c>
    </row>
    <row r="3921">
      <c r="C3921" s="15" t="n">
        <v>132</v>
      </c>
    </row>
    <row r="3922">
      <c r="C3922" s="15" t="n">
        <v>133</v>
      </c>
    </row>
    <row r="3923">
      <c r="C3923" s="15" t="n">
        <v>134</v>
      </c>
    </row>
    <row r="3924">
      <c r="C3924" s="15" t="n">
        <v>135</v>
      </c>
    </row>
    <row r="3925">
      <c r="C3925" s="15" t="n">
        <v>136</v>
      </c>
    </row>
    <row r="3926">
      <c r="C3926" s="15" t="n">
        <v>137</v>
      </c>
    </row>
    <row r="3927">
      <c r="C3927" s="15" t="n">
        <v>138</v>
      </c>
    </row>
    <row r="3928">
      <c r="C3928" s="15" t="n">
        <v>139</v>
      </c>
    </row>
    <row r="3929">
      <c r="C3929" s="15" t="n">
        <v>140</v>
      </c>
    </row>
    <row r="3930">
      <c r="C3930" s="15" t="n">
        <v>141</v>
      </c>
    </row>
    <row r="3931">
      <c r="C3931" s="15" t="n">
        <v>142</v>
      </c>
    </row>
    <row r="3932">
      <c r="C3932" s="15" t="n">
        <v>143</v>
      </c>
    </row>
    <row r="3933">
      <c r="C3933" s="15" t="n">
        <v>144</v>
      </c>
    </row>
    <row r="3934">
      <c r="C3934" s="15" t="n">
        <v>145</v>
      </c>
    </row>
    <row r="3935">
      <c r="C3935" s="15" t="n">
        <v>146</v>
      </c>
    </row>
    <row r="3936">
      <c r="C3936" s="15" t="n">
        <v>147</v>
      </c>
    </row>
    <row r="3937">
      <c r="C3937" s="15" t="n">
        <v>148</v>
      </c>
    </row>
    <row r="3938">
      <c r="C3938" s="15" t="n">
        <v>149</v>
      </c>
    </row>
    <row r="3939">
      <c r="C3939" s="15" t="n">
        <v>150</v>
      </c>
    </row>
    <row r="3940">
      <c r="C3940" s="15" t="n">
        <v>151</v>
      </c>
    </row>
    <row r="3941">
      <c r="C3941" s="15" t="n">
        <v>152</v>
      </c>
    </row>
    <row r="3942">
      <c r="C3942" s="15" t="n">
        <v>153</v>
      </c>
    </row>
    <row r="3943">
      <c r="C3943" s="15" t="n">
        <v>154</v>
      </c>
    </row>
    <row r="3944">
      <c r="C3944" s="15" t="n">
        <v>155</v>
      </c>
    </row>
    <row r="3945">
      <c r="C3945" s="15" t="n">
        <v>156</v>
      </c>
    </row>
    <row r="3946">
      <c r="C3946" s="15" t="n">
        <v>157</v>
      </c>
    </row>
    <row r="3947">
      <c r="C3947" s="15" t="n">
        <v>158</v>
      </c>
    </row>
    <row r="3948">
      <c r="C3948" s="15" t="n">
        <v>159</v>
      </c>
    </row>
    <row r="3949">
      <c r="C3949" s="15" t="n">
        <v>160</v>
      </c>
    </row>
    <row r="3950">
      <c r="C3950" s="15" t="n">
        <v>161</v>
      </c>
    </row>
    <row r="3951">
      <c r="C3951" s="15" t="n">
        <v>162</v>
      </c>
    </row>
    <row r="3952">
      <c r="C3952" s="15" t="n">
        <v>163</v>
      </c>
    </row>
    <row r="3953">
      <c r="C3953" s="15" t="n">
        <v>164</v>
      </c>
    </row>
    <row r="3954">
      <c r="C3954" s="15" t="n">
        <v>165</v>
      </c>
    </row>
    <row r="3955">
      <c r="C3955" s="15" t="n">
        <v>166</v>
      </c>
    </row>
    <row r="3956">
      <c r="C3956" s="15" t="n">
        <v>167</v>
      </c>
    </row>
    <row r="3957">
      <c r="C3957" s="15" t="n">
        <v>168</v>
      </c>
    </row>
    <row r="3958">
      <c r="C3958" s="15" t="n">
        <v>169</v>
      </c>
    </row>
    <row r="3959">
      <c r="C3959" s="15" t="n">
        <v>170</v>
      </c>
    </row>
    <row r="3960">
      <c r="C3960" s="15" t="n">
        <v>171</v>
      </c>
    </row>
    <row r="3961">
      <c r="C3961" s="15" t="n">
        <v>172</v>
      </c>
    </row>
    <row r="3962">
      <c r="C3962" s="15" t="n">
        <v>173</v>
      </c>
    </row>
    <row r="3963">
      <c r="C3963" s="15" t="n">
        <v>174</v>
      </c>
    </row>
    <row r="3964">
      <c r="C3964" s="15" t="n">
        <v>175</v>
      </c>
    </row>
    <row r="3965">
      <c r="C3965" s="15" t="n">
        <v>176</v>
      </c>
    </row>
    <row r="3966">
      <c r="C3966" s="15" t="n">
        <v>177</v>
      </c>
    </row>
    <row r="3967">
      <c r="C3967" s="15" t="n">
        <v>178</v>
      </c>
    </row>
    <row r="3968">
      <c r="C3968" s="15" t="n">
        <v>179</v>
      </c>
    </row>
    <row r="3969">
      <c r="C3969" s="15" t="n">
        <v>180</v>
      </c>
    </row>
    <row r="3970">
      <c r="C3970" s="15" t="n">
        <v>181</v>
      </c>
    </row>
    <row r="3971">
      <c r="C3971" s="15" t="n">
        <v>182</v>
      </c>
    </row>
    <row r="3972">
      <c r="C3972" s="15" t="n">
        <v>183</v>
      </c>
    </row>
    <row r="3973">
      <c r="C3973" s="15" t="n">
        <v>184</v>
      </c>
    </row>
    <row r="3974">
      <c r="C3974" s="15" t="n">
        <v>185</v>
      </c>
    </row>
    <row r="3975">
      <c r="C3975" s="15" t="n">
        <v>186</v>
      </c>
    </row>
    <row r="3976">
      <c r="C3976" s="15" t="n">
        <v>187</v>
      </c>
    </row>
    <row r="3977">
      <c r="C3977" s="15" t="n">
        <v>188</v>
      </c>
    </row>
    <row r="3978">
      <c r="C3978" s="15" t="n">
        <v>189</v>
      </c>
    </row>
    <row r="3979">
      <c r="C3979" s="15" t="n">
        <v>190</v>
      </c>
    </row>
    <row r="3980">
      <c r="C3980" s="15" t="n">
        <v>191</v>
      </c>
    </row>
    <row r="3981">
      <c r="C3981" s="15" t="n">
        <v>192</v>
      </c>
    </row>
    <row r="3982">
      <c r="C3982" s="15" t="n">
        <v>193</v>
      </c>
    </row>
    <row r="3983">
      <c r="C3983" s="15" t="n">
        <v>194</v>
      </c>
    </row>
    <row r="3984">
      <c r="C3984" s="15" t="n">
        <v>195</v>
      </c>
    </row>
    <row r="3985">
      <c r="C3985" s="15" t="n">
        <v>196</v>
      </c>
    </row>
    <row r="3986">
      <c r="C3986" s="15" t="n">
        <v>197</v>
      </c>
    </row>
    <row r="3987">
      <c r="C3987" s="15" t="n">
        <v>198</v>
      </c>
    </row>
    <row r="3989" ht="16.2" customHeight="1">
      <c r="C3989" s="15" t="inlineStr">
        <is>
          <t>Aleatória S2nd</t>
        </is>
      </c>
      <c r="D3989" s="15" t="n">
        <v>22</v>
      </c>
      <c r="E3989" s="15" t="n">
        <v>23</v>
      </c>
      <c r="F3989" s="15" t="n">
        <v>24</v>
      </c>
    </row>
    <row r="3990">
      <c r="C3990" s="15" t="n">
        <v>9</v>
      </c>
    </row>
    <row r="3991">
      <c r="C3991" s="15" t="n">
        <v>10</v>
      </c>
    </row>
    <row r="3992">
      <c r="C3992" s="15" t="n">
        <v>11</v>
      </c>
    </row>
    <row r="3993">
      <c r="C3993" s="15" t="n">
        <v>12</v>
      </c>
    </row>
    <row r="3994">
      <c r="C3994" s="15" t="n">
        <v>13</v>
      </c>
    </row>
    <row r="3995">
      <c r="C3995" s="15" t="n">
        <v>14</v>
      </c>
    </row>
    <row r="3996">
      <c r="C3996" s="15" t="n">
        <v>15</v>
      </c>
    </row>
    <row r="3997">
      <c r="C3997" s="15" t="n">
        <v>16</v>
      </c>
    </row>
    <row r="3998">
      <c r="C3998" s="15" t="n">
        <v>17</v>
      </c>
    </row>
    <row r="3999">
      <c r="C3999" s="15" t="n">
        <v>18</v>
      </c>
    </row>
    <row r="4000">
      <c r="C4000" s="15" t="n">
        <v>19</v>
      </c>
    </row>
    <row r="4001">
      <c r="C4001" s="15" t="n">
        <v>20</v>
      </c>
    </row>
    <row r="4002">
      <c r="C4002" s="15" t="n">
        <v>21</v>
      </c>
    </row>
    <row r="4003">
      <c r="C4003" s="15" t="n">
        <v>22</v>
      </c>
    </row>
    <row r="4004">
      <c r="C4004" s="15" t="n">
        <v>23</v>
      </c>
    </row>
    <row r="4005">
      <c r="C4005" s="15" t="n">
        <v>24</v>
      </c>
    </row>
    <row r="4006">
      <c r="C4006" s="15" t="n">
        <v>25</v>
      </c>
    </row>
    <row r="4007">
      <c r="C4007" s="15" t="n">
        <v>26</v>
      </c>
    </row>
    <row r="4008">
      <c r="C4008" s="15" t="n">
        <v>27</v>
      </c>
    </row>
    <row r="4009">
      <c r="C4009" s="15" t="n">
        <v>28</v>
      </c>
    </row>
    <row r="4010">
      <c r="C4010" s="15" t="n">
        <v>29</v>
      </c>
    </row>
    <row r="4011">
      <c r="C4011" s="15" t="n">
        <v>30</v>
      </c>
    </row>
    <row r="4012">
      <c r="C4012" s="15" t="n">
        <v>31</v>
      </c>
    </row>
    <row r="4013">
      <c r="C4013" s="15" t="n">
        <v>32</v>
      </c>
    </row>
    <row r="4014">
      <c r="C4014" s="15" t="n">
        <v>33</v>
      </c>
    </row>
    <row r="4015">
      <c r="C4015" s="15" t="n">
        <v>34</v>
      </c>
    </row>
    <row r="4016">
      <c r="C4016" s="15" t="n">
        <v>35</v>
      </c>
    </row>
    <row r="4017">
      <c r="C4017" s="15" t="n">
        <v>36</v>
      </c>
    </row>
    <row r="4018">
      <c r="C4018" s="15" t="n">
        <v>37</v>
      </c>
    </row>
    <row r="4019">
      <c r="C4019" s="15" t="n">
        <v>38</v>
      </c>
    </row>
    <row r="4020">
      <c r="C4020" s="15" t="n">
        <v>39</v>
      </c>
    </row>
    <row r="4021">
      <c r="C4021" s="15" t="n">
        <v>40</v>
      </c>
    </row>
    <row r="4022">
      <c r="C4022" s="15" t="n">
        <v>41</v>
      </c>
    </row>
    <row r="4023">
      <c r="C4023" s="15" t="n">
        <v>42</v>
      </c>
    </row>
    <row r="4024">
      <c r="C4024" s="15" t="n">
        <v>43</v>
      </c>
    </row>
    <row r="4025">
      <c r="C4025" s="15" t="n">
        <v>44</v>
      </c>
    </row>
    <row r="4026">
      <c r="C4026" s="15" t="n">
        <v>45</v>
      </c>
    </row>
    <row r="4027">
      <c r="C4027" s="15" t="n">
        <v>46</v>
      </c>
    </row>
    <row r="4028">
      <c r="C4028" s="15" t="n">
        <v>47</v>
      </c>
    </row>
    <row r="4029">
      <c r="C4029" s="15" t="n">
        <v>48</v>
      </c>
    </row>
    <row r="4030">
      <c r="C4030" s="15" t="n">
        <v>49</v>
      </c>
    </row>
    <row r="4031">
      <c r="C4031" s="15" t="n">
        <v>50</v>
      </c>
    </row>
    <row r="4032">
      <c r="C4032" s="15" t="n">
        <v>51</v>
      </c>
    </row>
    <row r="4033">
      <c r="C4033" s="15" t="n">
        <v>52</v>
      </c>
    </row>
    <row r="4034">
      <c r="C4034" s="15" t="n">
        <v>53</v>
      </c>
    </row>
    <row r="4035">
      <c r="C4035" s="15" t="n">
        <v>54</v>
      </c>
    </row>
    <row r="4036">
      <c r="C4036" s="15" t="n">
        <v>55</v>
      </c>
    </row>
    <row r="4037">
      <c r="C4037" s="15" t="n">
        <v>56</v>
      </c>
    </row>
    <row r="4038">
      <c r="C4038" s="15" t="n">
        <v>57</v>
      </c>
    </row>
    <row r="4039">
      <c r="C4039" s="15" t="n">
        <v>58</v>
      </c>
    </row>
    <row r="4040">
      <c r="C4040" s="15" t="n">
        <v>59</v>
      </c>
    </row>
    <row r="4041">
      <c r="C4041" s="15" t="n">
        <v>60</v>
      </c>
    </row>
    <row r="4042">
      <c r="C4042" s="15" t="n">
        <v>61</v>
      </c>
    </row>
    <row r="4043">
      <c r="C4043" s="15" t="n">
        <v>62</v>
      </c>
    </row>
    <row r="4044">
      <c r="C4044" s="15" t="n">
        <v>63</v>
      </c>
    </row>
    <row r="4045">
      <c r="C4045" s="15" t="n">
        <v>64</v>
      </c>
    </row>
    <row r="4046">
      <c r="C4046" s="15" t="n">
        <v>65</v>
      </c>
    </row>
    <row r="4047">
      <c r="C4047" s="15" t="n">
        <v>66</v>
      </c>
    </row>
    <row r="4048">
      <c r="C4048" s="15" t="n">
        <v>67</v>
      </c>
    </row>
    <row r="4049">
      <c r="C4049" s="15" t="n">
        <v>68</v>
      </c>
    </row>
    <row r="4050">
      <c r="C4050" s="15" t="n">
        <v>69</v>
      </c>
    </row>
    <row r="4051">
      <c r="C4051" s="15" t="n">
        <v>70</v>
      </c>
    </row>
    <row r="4052">
      <c r="C4052" s="15" t="n">
        <v>71</v>
      </c>
    </row>
    <row r="4053">
      <c r="C4053" s="15" t="n">
        <v>72</v>
      </c>
    </row>
    <row r="4054">
      <c r="C4054" s="15" t="n">
        <v>73</v>
      </c>
    </row>
    <row r="4055">
      <c r="C4055" s="15" t="n">
        <v>74</v>
      </c>
    </row>
    <row r="4056">
      <c r="C4056" s="15" t="n">
        <v>75</v>
      </c>
    </row>
    <row r="4057">
      <c r="C4057" s="15" t="n">
        <v>76</v>
      </c>
    </row>
    <row r="4058">
      <c r="C4058" s="15" t="n">
        <v>77</v>
      </c>
    </row>
    <row r="4059">
      <c r="C4059" s="15" t="n">
        <v>78</v>
      </c>
    </row>
    <row r="4060">
      <c r="C4060" s="15" t="n">
        <v>79</v>
      </c>
    </row>
    <row r="4061">
      <c r="C4061" s="15" t="n">
        <v>80</v>
      </c>
    </row>
    <row r="4062">
      <c r="C4062" s="15" t="n">
        <v>81</v>
      </c>
    </row>
    <row r="4063">
      <c r="C4063" s="15" t="n">
        <v>82</v>
      </c>
    </row>
    <row r="4064">
      <c r="C4064" s="15" t="n">
        <v>83</v>
      </c>
    </row>
    <row r="4065">
      <c r="C4065" s="15" t="n">
        <v>84</v>
      </c>
    </row>
    <row r="4066">
      <c r="C4066" s="15" t="n">
        <v>85</v>
      </c>
    </row>
    <row r="4067">
      <c r="C4067" s="15" t="n">
        <v>86</v>
      </c>
    </row>
    <row r="4068">
      <c r="C4068" s="15" t="n">
        <v>87</v>
      </c>
    </row>
    <row r="4069">
      <c r="C4069" s="15" t="n">
        <v>88</v>
      </c>
    </row>
    <row r="4070">
      <c r="C4070" s="15" t="n">
        <v>89</v>
      </c>
    </row>
    <row r="4071">
      <c r="C4071" s="15" t="n">
        <v>90</v>
      </c>
    </row>
    <row r="4072">
      <c r="C4072" s="15" t="n">
        <v>91</v>
      </c>
    </row>
    <row r="4073">
      <c r="C4073" s="15" t="n">
        <v>92</v>
      </c>
    </row>
    <row r="4074">
      <c r="C4074" s="15" t="n">
        <v>93</v>
      </c>
    </row>
    <row r="4075">
      <c r="C4075" s="15" t="n">
        <v>94</v>
      </c>
    </row>
    <row r="4076">
      <c r="C4076" s="15" t="n">
        <v>95</v>
      </c>
    </row>
    <row r="4077">
      <c r="C4077" s="15" t="n">
        <v>96</v>
      </c>
    </row>
    <row r="4078">
      <c r="C4078" s="15" t="n">
        <v>97</v>
      </c>
    </row>
    <row r="4079">
      <c r="C4079" s="15" t="n">
        <v>98</v>
      </c>
    </row>
    <row r="4080">
      <c r="C4080" s="15" t="n">
        <v>99</v>
      </c>
    </row>
    <row r="4081">
      <c r="C4081" s="15" t="n">
        <v>100</v>
      </c>
    </row>
    <row r="4082">
      <c r="C4082" s="15" t="n">
        <v>101</v>
      </c>
    </row>
    <row r="4083">
      <c r="C4083" s="15" t="n">
        <v>102</v>
      </c>
    </row>
    <row r="4084">
      <c r="C4084" s="15" t="n">
        <v>103</v>
      </c>
    </row>
    <row r="4085">
      <c r="C4085" s="15" t="n">
        <v>104</v>
      </c>
    </row>
    <row r="4086">
      <c r="C4086" s="15" t="n">
        <v>105</v>
      </c>
    </row>
    <row r="4087">
      <c r="C4087" s="15" t="n">
        <v>106</v>
      </c>
    </row>
    <row r="4088">
      <c r="C4088" s="15" t="n">
        <v>107</v>
      </c>
    </row>
    <row r="4089">
      <c r="C4089" s="15" t="n">
        <v>108</v>
      </c>
    </row>
    <row r="4090">
      <c r="C4090" s="15" t="n">
        <v>109</v>
      </c>
    </row>
    <row r="4091">
      <c r="C4091" s="15" t="n">
        <v>110</v>
      </c>
    </row>
    <row r="4092">
      <c r="C4092" s="15" t="n">
        <v>111</v>
      </c>
    </row>
    <row r="4093">
      <c r="C4093" s="15" t="n">
        <v>112</v>
      </c>
    </row>
    <row r="4094">
      <c r="C4094" s="15" t="n">
        <v>113</v>
      </c>
    </row>
    <row r="4095">
      <c r="C4095" s="15" t="n">
        <v>114</v>
      </c>
    </row>
    <row r="4096">
      <c r="C4096" s="15" t="n">
        <v>115</v>
      </c>
    </row>
    <row r="4097">
      <c r="C4097" s="15" t="n">
        <v>116</v>
      </c>
    </row>
    <row r="4098">
      <c r="C4098" s="15" t="n">
        <v>117</v>
      </c>
    </row>
    <row r="4099">
      <c r="C4099" s="15" t="n">
        <v>118</v>
      </c>
    </row>
    <row r="4100">
      <c r="C4100" s="15" t="n">
        <v>119</v>
      </c>
    </row>
    <row r="4101">
      <c r="C4101" s="15" t="n">
        <v>120</v>
      </c>
    </row>
    <row r="4102">
      <c r="C4102" s="15" t="n">
        <v>121</v>
      </c>
    </row>
    <row r="4103">
      <c r="C4103" s="15" t="n">
        <v>122</v>
      </c>
    </row>
    <row r="4104">
      <c r="C4104" s="15" t="n">
        <v>123</v>
      </c>
    </row>
    <row r="4105">
      <c r="C4105" s="15" t="n">
        <v>124</v>
      </c>
    </row>
    <row r="4106">
      <c r="C4106" s="15" t="n">
        <v>125</v>
      </c>
    </row>
    <row r="4107">
      <c r="C4107" s="15" t="n">
        <v>126</v>
      </c>
    </row>
    <row r="4108">
      <c r="C4108" s="15" t="n">
        <v>127</v>
      </c>
    </row>
    <row r="4109">
      <c r="C4109" s="15" t="n">
        <v>128</v>
      </c>
    </row>
    <row r="4110">
      <c r="C4110" s="15" t="n">
        <v>129</v>
      </c>
    </row>
    <row r="4111">
      <c r="C4111" s="15" t="n">
        <v>130</v>
      </c>
    </row>
    <row r="4112">
      <c r="C4112" s="15" t="n">
        <v>131</v>
      </c>
    </row>
    <row r="4113">
      <c r="C4113" s="15" t="n">
        <v>132</v>
      </c>
    </row>
    <row r="4114">
      <c r="C4114" s="15" t="n">
        <v>133</v>
      </c>
    </row>
    <row r="4115">
      <c r="C4115" s="15" t="n">
        <v>134</v>
      </c>
    </row>
    <row r="4116">
      <c r="C4116" s="15" t="n">
        <v>135</v>
      </c>
    </row>
    <row r="4117">
      <c r="C4117" s="15" t="n">
        <v>136</v>
      </c>
    </row>
    <row r="4118">
      <c r="C4118" s="15" t="n">
        <v>137</v>
      </c>
    </row>
    <row r="4119">
      <c r="C4119" s="15" t="n">
        <v>138</v>
      </c>
    </row>
    <row r="4120">
      <c r="C4120" s="15" t="n">
        <v>139</v>
      </c>
    </row>
    <row r="4121">
      <c r="C4121" s="15" t="n">
        <v>140</v>
      </c>
    </row>
    <row r="4122">
      <c r="C4122" s="15" t="n">
        <v>141</v>
      </c>
    </row>
    <row r="4123">
      <c r="C4123" s="15" t="n">
        <v>142</v>
      </c>
    </row>
    <row r="4124">
      <c r="C4124" s="15" t="n">
        <v>143</v>
      </c>
    </row>
    <row r="4125">
      <c r="C4125" s="15" t="n">
        <v>144</v>
      </c>
    </row>
    <row r="4126">
      <c r="C4126" s="15" t="n">
        <v>145</v>
      </c>
    </row>
    <row r="4127">
      <c r="C4127" s="15" t="n">
        <v>146</v>
      </c>
    </row>
    <row r="4128">
      <c r="C4128" s="15" t="n">
        <v>147</v>
      </c>
    </row>
    <row r="4129">
      <c r="C4129" s="15" t="n">
        <v>148</v>
      </c>
    </row>
    <row r="4130">
      <c r="C4130" s="15" t="n">
        <v>149</v>
      </c>
    </row>
    <row r="4131">
      <c r="C4131" s="15" t="n">
        <v>150</v>
      </c>
    </row>
    <row r="4132">
      <c r="C4132" s="15" t="n">
        <v>151</v>
      </c>
    </row>
    <row r="4133">
      <c r="C4133" s="15" t="n">
        <v>152</v>
      </c>
    </row>
    <row r="4134">
      <c r="C4134" s="15" t="n">
        <v>153</v>
      </c>
    </row>
    <row r="4135">
      <c r="C4135" s="15" t="n">
        <v>154</v>
      </c>
    </row>
    <row r="4136">
      <c r="C4136" s="15" t="n">
        <v>155</v>
      </c>
    </row>
    <row r="4137">
      <c r="C4137" s="15" t="n">
        <v>156</v>
      </c>
    </row>
    <row r="4138">
      <c r="C4138" s="15" t="n">
        <v>157</v>
      </c>
    </row>
    <row r="4139">
      <c r="C4139" s="15" t="n">
        <v>158</v>
      </c>
    </row>
    <row r="4140">
      <c r="C4140" s="15" t="n">
        <v>159</v>
      </c>
    </row>
    <row r="4141">
      <c r="C4141" s="15" t="n">
        <v>160</v>
      </c>
    </row>
    <row r="4142">
      <c r="C4142" s="15" t="n">
        <v>161</v>
      </c>
    </row>
    <row r="4143">
      <c r="C4143" s="15" t="n">
        <v>162</v>
      </c>
    </row>
    <row r="4144">
      <c r="C4144" s="15" t="n">
        <v>163</v>
      </c>
    </row>
    <row r="4145">
      <c r="C4145" s="15" t="n">
        <v>164</v>
      </c>
    </row>
    <row r="4146">
      <c r="C4146" s="15" t="n">
        <v>165</v>
      </c>
    </row>
    <row r="4147">
      <c r="C4147" s="15" t="n">
        <v>166</v>
      </c>
    </row>
    <row r="4148">
      <c r="C4148" s="15" t="n">
        <v>167</v>
      </c>
    </row>
    <row r="4149">
      <c r="C4149" s="15" t="n">
        <v>168</v>
      </c>
    </row>
    <row r="4150">
      <c r="C4150" s="15" t="n">
        <v>169</v>
      </c>
    </row>
    <row r="4151">
      <c r="C4151" s="15" t="n">
        <v>170</v>
      </c>
    </row>
    <row r="4152">
      <c r="C4152" s="15" t="n">
        <v>171</v>
      </c>
    </row>
    <row r="4153">
      <c r="C4153" s="15" t="n">
        <v>172</v>
      </c>
    </row>
    <row r="4154">
      <c r="C4154" s="15" t="n">
        <v>173</v>
      </c>
    </row>
    <row r="4155">
      <c r="C4155" s="15" t="n">
        <v>174</v>
      </c>
    </row>
    <row r="4156">
      <c r="C4156" s="15" t="n">
        <v>175</v>
      </c>
    </row>
    <row r="4157">
      <c r="C4157" s="15" t="n">
        <v>176</v>
      </c>
    </row>
    <row r="4158">
      <c r="C4158" s="15" t="n">
        <v>177</v>
      </c>
    </row>
    <row r="4159">
      <c r="C4159" s="15" t="n">
        <v>178</v>
      </c>
    </row>
    <row r="4160">
      <c r="C4160" s="15" t="n">
        <v>179</v>
      </c>
    </row>
    <row r="4161">
      <c r="C4161" s="15" t="n">
        <v>180</v>
      </c>
    </row>
    <row r="4162">
      <c r="C4162" s="15" t="n">
        <v>181</v>
      </c>
    </row>
    <row r="4163">
      <c r="C4163" s="15" t="n">
        <v>182</v>
      </c>
    </row>
    <row r="4164">
      <c r="C4164" s="15" t="n">
        <v>183</v>
      </c>
    </row>
    <row r="4165">
      <c r="C4165" s="15" t="n">
        <v>184</v>
      </c>
    </row>
    <row r="4166">
      <c r="C4166" s="15" t="n">
        <v>185</v>
      </c>
    </row>
    <row r="4167">
      <c r="C4167" s="15" t="n">
        <v>186</v>
      </c>
    </row>
    <row r="4168">
      <c r="C4168" s="15" t="n">
        <v>187</v>
      </c>
    </row>
    <row r="4169">
      <c r="C4169" s="15" t="n">
        <v>188</v>
      </c>
    </row>
    <row r="4170">
      <c r="C4170" s="15" t="n">
        <v>189</v>
      </c>
    </row>
    <row r="4171">
      <c r="C4171" s="15" t="n">
        <v>190</v>
      </c>
    </row>
    <row r="4172">
      <c r="C4172" s="15" t="n">
        <v>191</v>
      </c>
    </row>
    <row r="4173">
      <c r="C4173" s="15" t="n">
        <v>192</v>
      </c>
    </row>
    <row r="4174">
      <c r="C4174" s="15" t="n">
        <v>193</v>
      </c>
    </row>
    <row r="4175">
      <c r="C4175" s="15" t="n">
        <v>194</v>
      </c>
    </row>
    <row r="4176">
      <c r="C4176" s="15" t="n">
        <v>195</v>
      </c>
    </row>
    <row r="4177">
      <c r="C4177" s="15" t="n">
        <v>196</v>
      </c>
    </row>
    <row r="4178">
      <c r="C4178" s="15" t="n">
        <v>197</v>
      </c>
    </row>
    <row r="4179">
      <c r="C4179" s="15" t="n">
        <v>198</v>
      </c>
    </row>
    <row r="4181">
      <c r="C4181" s="15" t="inlineStr">
        <is>
          <t>Radicand</t>
        </is>
      </c>
      <c r="D4181" s="15" t="n">
        <v>22</v>
      </c>
      <c r="E4181" s="15" t="n">
        <v>23</v>
      </c>
      <c r="F4181" s="15" t="n">
        <v>24</v>
      </c>
    </row>
    <row r="4182">
      <c r="C4182" s="15" t="n">
        <v>9</v>
      </c>
    </row>
    <row r="4183">
      <c r="C4183" s="15" t="n">
        <v>10</v>
      </c>
    </row>
    <row r="4184">
      <c r="C4184" s="15" t="n">
        <v>11</v>
      </c>
    </row>
    <row r="4185">
      <c r="C4185" s="15" t="n">
        <v>12</v>
      </c>
    </row>
    <row r="4186">
      <c r="C4186" s="15" t="n">
        <v>13</v>
      </c>
    </row>
    <row r="4187">
      <c r="C4187" s="15" t="n">
        <v>14</v>
      </c>
    </row>
    <row r="4188">
      <c r="C4188" s="15" t="n">
        <v>15</v>
      </c>
    </row>
    <row r="4189">
      <c r="C4189" s="15" t="n">
        <v>16</v>
      </c>
    </row>
    <row r="4190">
      <c r="C4190" s="15" t="n">
        <v>17</v>
      </c>
    </row>
    <row r="4191">
      <c r="C4191" s="15" t="n">
        <v>18</v>
      </c>
    </row>
    <row r="4192">
      <c r="C4192" s="15" t="n">
        <v>19</v>
      </c>
    </row>
    <row r="4193">
      <c r="C4193" s="15" t="n">
        <v>20</v>
      </c>
    </row>
    <row r="4194">
      <c r="C4194" s="15" t="n">
        <v>21</v>
      </c>
    </row>
    <row r="4195">
      <c r="C4195" s="15" t="n">
        <v>22</v>
      </c>
    </row>
    <row r="4196">
      <c r="C4196" s="15" t="n">
        <v>23</v>
      </c>
    </row>
    <row r="4197">
      <c r="C4197" s="15" t="n">
        <v>24</v>
      </c>
    </row>
    <row r="4198">
      <c r="C4198" s="15" t="n">
        <v>25</v>
      </c>
    </row>
    <row r="4199">
      <c r="C4199" s="15" t="n">
        <v>26</v>
      </c>
    </row>
    <row r="4200">
      <c r="C4200" s="15" t="n">
        <v>27</v>
      </c>
    </row>
    <row r="4201">
      <c r="C4201" s="15" t="n">
        <v>28</v>
      </c>
    </row>
    <row r="4202">
      <c r="C4202" s="15" t="n">
        <v>29</v>
      </c>
    </row>
    <row r="4203">
      <c r="C4203" s="15" t="n">
        <v>30</v>
      </c>
    </row>
    <row r="4204">
      <c r="C4204" s="15" t="n">
        <v>31</v>
      </c>
    </row>
    <row r="4205">
      <c r="C4205" s="15" t="n">
        <v>32</v>
      </c>
    </row>
    <row r="4206">
      <c r="C4206" s="15" t="n">
        <v>33</v>
      </c>
    </row>
    <row r="4207">
      <c r="C4207" s="15" t="n">
        <v>34</v>
      </c>
    </row>
    <row r="4208">
      <c r="C4208" s="15" t="n">
        <v>35</v>
      </c>
    </row>
    <row r="4209">
      <c r="C4209" s="15" t="n">
        <v>36</v>
      </c>
    </row>
    <row r="4210">
      <c r="C4210" s="15" t="n">
        <v>37</v>
      </c>
    </row>
    <row r="4211">
      <c r="C4211" s="15" t="n">
        <v>38</v>
      </c>
    </row>
    <row r="4212">
      <c r="C4212" s="15" t="n">
        <v>39</v>
      </c>
    </row>
    <row r="4213">
      <c r="C4213" s="15" t="n">
        <v>40</v>
      </c>
    </row>
    <row r="4214">
      <c r="C4214" s="15" t="n">
        <v>41</v>
      </c>
    </row>
    <row r="4215">
      <c r="C4215" s="15" t="n">
        <v>42</v>
      </c>
    </row>
    <row r="4216">
      <c r="C4216" s="15" t="n">
        <v>43</v>
      </c>
    </row>
    <row r="4217">
      <c r="C4217" s="15" t="n">
        <v>44</v>
      </c>
    </row>
    <row r="4218">
      <c r="C4218" s="15" t="n">
        <v>45</v>
      </c>
    </row>
    <row r="4219">
      <c r="C4219" s="15" t="n">
        <v>46</v>
      </c>
    </row>
    <row r="4220">
      <c r="C4220" s="15" t="n">
        <v>47</v>
      </c>
    </row>
    <row r="4221">
      <c r="C4221" s="15" t="n">
        <v>48</v>
      </c>
    </row>
    <row r="4222">
      <c r="C4222" s="15" t="n">
        <v>49</v>
      </c>
    </row>
    <row r="4223">
      <c r="C4223" s="15" t="n">
        <v>50</v>
      </c>
    </row>
    <row r="4224">
      <c r="C4224" s="15" t="n">
        <v>51</v>
      </c>
    </row>
    <row r="4225">
      <c r="C4225" s="15" t="n">
        <v>52</v>
      </c>
    </row>
    <row r="4226">
      <c r="C4226" s="15" t="n">
        <v>53</v>
      </c>
    </row>
    <row r="4227">
      <c r="C4227" s="15" t="n">
        <v>54</v>
      </c>
    </row>
    <row r="4228">
      <c r="C4228" s="15" t="n">
        <v>55</v>
      </c>
    </row>
    <row r="4229">
      <c r="C4229" s="15" t="n">
        <v>56</v>
      </c>
    </row>
    <row r="4230">
      <c r="C4230" s="15" t="n">
        <v>57</v>
      </c>
    </row>
    <row r="4231">
      <c r="C4231" s="15" t="n">
        <v>58</v>
      </c>
    </row>
    <row r="4232">
      <c r="C4232" s="15" t="n">
        <v>59</v>
      </c>
    </row>
    <row r="4233">
      <c r="C4233" s="15" t="n">
        <v>60</v>
      </c>
    </row>
    <row r="4234">
      <c r="C4234" s="15" t="n">
        <v>61</v>
      </c>
    </row>
    <row r="4235">
      <c r="C4235" s="15" t="n">
        <v>62</v>
      </c>
    </row>
    <row r="4236">
      <c r="C4236" s="15" t="n">
        <v>63</v>
      </c>
    </row>
    <row r="4237">
      <c r="C4237" s="15" t="n">
        <v>64</v>
      </c>
    </row>
    <row r="4238">
      <c r="C4238" s="15" t="n">
        <v>65</v>
      </c>
    </row>
    <row r="4239">
      <c r="C4239" s="15" t="n">
        <v>66</v>
      </c>
    </row>
    <row r="4240">
      <c r="C4240" s="15" t="n">
        <v>67</v>
      </c>
    </row>
    <row r="4241">
      <c r="C4241" s="15" t="n">
        <v>68</v>
      </c>
    </row>
    <row r="4242">
      <c r="C4242" s="15" t="n">
        <v>69</v>
      </c>
    </row>
    <row r="4243">
      <c r="C4243" s="15" t="n">
        <v>70</v>
      </c>
    </row>
    <row r="4244">
      <c r="C4244" s="15" t="n">
        <v>71</v>
      </c>
    </row>
    <row r="4245">
      <c r="C4245" s="15" t="n">
        <v>72</v>
      </c>
    </row>
    <row r="4246">
      <c r="C4246" s="15" t="n">
        <v>73</v>
      </c>
    </row>
    <row r="4247">
      <c r="C4247" s="15" t="n">
        <v>74</v>
      </c>
    </row>
    <row r="4248">
      <c r="C4248" s="15" t="n">
        <v>75</v>
      </c>
    </row>
    <row r="4249">
      <c r="C4249" s="15" t="n">
        <v>76</v>
      </c>
    </row>
    <row r="4250">
      <c r="C4250" s="15" t="n">
        <v>77</v>
      </c>
    </row>
    <row r="4251">
      <c r="C4251" s="15" t="n">
        <v>78</v>
      </c>
    </row>
    <row r="4252">
      <c r="C4252" s="15" t="n">
        <v>79</v>
      </c>
    </row>
    <row r="4253">
      <c r="C4253" s="15" t="n">
        <v>80</v>
      </c>
    </row>
    <row r="4254">
      <c r="C4254" s="15" t="n">
        <v>81</v>
      </c>
    </row>
    <row r="4255">
      <c r="C4255" s="15" t="n">
        <v>82</v>
      </c>
    </row>
    <row r="4256">
      <c r="C4256" s="15" t="n">
        <v>83</v>
      </c>
    </row>
    <row r="4257">
      <c r="C4257" s="15" t="n">
        <v>84</v>
      </c>
    </row>
    <row r="4258">
      <c r="C4258" s="15" t="n">
        <v>85</v>
      </c>
    </row>
    <row r="4259">
      <c r="C4259" s="15" t="n">
        <v>86</v>
      </c>
    </row>
    <row r="4260">
      <c r="C4260" s="15" t="n">
        <v>87</v>
      </c>
    </row>
    <row r="4261">
      <c r="C4261" s="15" t="n">
        <v>88</v>
      </c>
    </row>
    <row r="4262">
      <c r="C4262" s="15" t="n">
        <v>89</v>
      </c>
    </row>
    <row r="4263">
      <c r="C4263" s="15" t="n">
        <v>90</v>
      </c>
    </row>
    <row r="4264">
      <c r="C4264" s="15" t="n">
        <v>91</v>
      </c>
    </row>
    <row r="4265">
      <c r="C4265" s="15" t="n">
        <v>92</v>
      </c>
    </row>
    <row r="4266">
      <c r="C4266" s="15" t="n">
        <v>93</v>
      </c>
    </row>
    <row r="4267">
      <c r="C4267" s="15" t="n">
        <v>94</v>
      </c>
    </row>
    <row r="4268">
      <c r="C4268" s="15" t="n">
        <v>95</v>
      </c>
    </row>
    <row r="4269">
      <c r="C4269" s="15" t="n">
        <v>96</v>
      </c>
    </row>
    <row r="4270">
      <c r="C4270" s="15" t="n">
        <v>97</v>
      </c>
    </row>
    <row r="4271">
      <c r="C4271" s="15" t="n">
        <v>98</v>
      </c>
    </row>
    <row r="4272">
      <c r="C4272" s="15" t="n">
        <v>99</v>
      </c>
    </row>
    <row r="4273">
      <c r="C4273" s="15" t="n">
        <v>100</v>
      </c>
    </row>
    <row r="4274">
      <c r="C4274" s="15" t="n">
        <v>101</v>
      </c>
    </row>
    <row r="4275">
      <c r="C4275" s="15" t="n">
        <v>102</v>
      </c>
    </row>
    <row r="4276">
      <c r="C4276" s="15" t="n">
        <v>103</v>
      </c>
    </row>
    <row r="4277">
      <c r="C4277" s="15" t="n">
        <v>104</v>
      </c>
    </row>
    <row r="4278">
      <c r="C4278" s="15" t="n">
        <v>105</v>
      </c>
    </row>
    <row r="4279">
      <c r="C4279" s="15" t="n">
        <v>106</v>
      </c>
    </row>
    <row r="4280">
      <c r="C4280" s="15" t="n">
        <v>107</v>
      </c>
    </row>
    <row r="4281">
      <c r="C4281" s="15" t="n">
        <v>108</v>
      </c>
    </row>
    <row r="4282">
      <c r="C4282" s="15" t="n">
        <v>109</v>
      </c>
    </row>
    <row r="4283">
      <c r="C4283" s="15" t="n">
        <v>110</v>
      </c>
    </row>
    <row r="4284">
      <c r="C4284" s="15" t="n">
        <v>111</v>
      </c>
    </row>
    <row r="4285">
      <c r="C4285" s="15" t="n">
        <v>112</v>
      </c>
    </row>
    <row r="4286">
      <c r="C4286" s="15" t="n">
        <v>113</v>
      </c>
    </row>
    <row r="4287">
      <c r="C4287" s="15" t="n">
        <v>114</v>
      </c>
    </row>
    <row r="4288">
      <c r="C4288" s="15" t="n">
        <v>115</v>
      </c>
    </row>
    <row r="4289">
      <c r="C4289" s="15" t="n">
        <v>116</v>
      </c>
    </row>
    <row r="4290">
      <c r="C4290" s="15" t="n">
        <v>117</v>
      </c>
    </row>
    <row r="4291">
      <c r="C4291" s="15" t="n">
        <v>118</v>
      </c>
    </row>
    <row r="4292">
      <c r="C4292" s="15" t="n">
        <v>119</v>
      </c>
    </row>
    <row r="4293">
      <c r="C4293" s="15" t="n">
        <v>120</v>
      </c>
    </row>
    <row r="4294">
      <c r="C4294" s="15" t="n">
        <v>121</v>
      </c>
    </row>
    <row r="4295">
      <c r="C4295" s="15" t="n">
        <v>122</v>
      </c>
    </row>
    <row r="4296">
      <c r="C4296" s="15" t="n">
        <v>123</v>
      </c>
    </row>
    <row r="4297">
      <c r="C4297" s="15" t="n">
        <v>124</v>
      </c>
    </row>
    <row r="4298">
      <c r="C4298" s="15" t="n">
        <v>125</v>
      </c>
    </row>
    <row r="4299">
      <c r="C4299" s="15" t="n">
        <v>126</v>
      </c>
    </row>
    <row r="4300">
      <c r="C4300" s="15" t="n">
        <v>127</v>
      </c>
    </row>
    <row r="4301">
      <c r="C4301" s="15" t="n">
        <v>128</v>
      </c>
    </row>
    <row r="4302">
      <c r="C4302" s="15" t="n">
        <v>129</v>
      </c>
    </row>
    <row r="4303">
      <c r="C4303" s="15" t="n">
        <v>130</v>
      </c>
    </row>
    <row r="4304">
      <c r="C4304" s="15" t="n">
        <v>131</v>
      </c>
    </row>
    <row r="4305">
      <c r="C4305" s="15" t="n">
        <v>132</v>
      </c>
    </row>
    <row r="4306">
      <c r="C4306" s="15" t="n">
        <v>133</v>
      </c>
    </row>
    <row r="4307">
      <c r="C4307" s="15" t="n">
        <v>134</v>
      </c>
    </row>
    <row r="4308">
      <c r="C4308" s="15" t="n">
        <v>135</v>
      </c>
    </row>
    <row r="4309">
      <c r="C4309" s="15" t="n">
        <v>136</v>
      </c>
    </row>
    <row r="4310">
      <c r="C4310" s="15" t="n">
        <v>137</v>
      </c>
    </row>
    <row r="4311">
      <c r="C4311" s="15" t="n">
        <v>138</v>
      </c>
    </row>
    <row r="4312">
      <c r="C4312" s="15" t="n">
        <v>139</v>
      </c>
    </row>
    <row r="4313">
      <c r="C4313" s="15" t="n">
        <v>140</v>
      </c>
    </row>
    <row r="4314">
      <c r="C4314" s="15" t="n">
        <v>141</v>
      </c>
    </row>
    <row r="4315">
      <c r="C4315" s="15" t="n">
        <v>142</v>
      </c>
    </row>
    <row r="4316">
      <c r="C4316" s="15" t="n">
        <v>143</v>
      </c>
    </row>
    <row r="4317">
      <c r="C4317" s="15" t="n">
        <v>144</v>
      </c>
    </row>
    <row r="4318">
      <c r="C4318" s="15" t="n">
        <v>145</v>
      </c>
    </row>
    <row r="4319">
      <c r="C4319" s="15" t="n">
        <v>146</v>
      </c>
    </row>
    <row r="4320">
      <c r="C4320" s="15" t="n">
        <v>147</v>
      </c>
    </row>
    <row r="4321">
      <c r="C4321" s="15" t="n">
        <v>148</v>
      </c>
    </row>
    <row r="4322">
      <c r="C4322" s="15" t="n">
        <v>149</v>
      </c>
    </row>
    <row r="4323">
      <c r="C4323" s="15" t="n">
        <v>150</v>
      </c>
    </row>
    <row r="4324">
      <c r="C4324" s="15" t="n">
        <v>151</v>
      </c>
    </row>
    <row r="4325">
      <c r="C4325" s="15" t="n">
        <v>152</v>
      </c>
    </row>
    <row r="4326">
      <c r="C4326" s="15" t="n">
        <v>153</v>
      </c>
    </row>
    <row r="4327">
      <c r="C4327" s="15" t="n">
        <v>154</v>
      </c>
    </row>
    <row r="4328">
      <c r="C4328" s="15" t="n">
        <v>155</v>
      </c>
    </row>
    <row r="4329">
      <c r="C4329" s="15" t="n">
        <v>156</v>
      </c>
    </row>
    <row r="4330">
      <c r="C4330" s="15" t="n">
        <v>157</v>
      </c>
    </row>
    <row r="4331">
      <c r="C4331" s="15" t="n">
        <v>158</v>
      </c>
    </row>
    <row r="4332">
      <c r="C4332" s="15" t="n">
        <v>159</v>
      </c>
    </row>
    <row r="4333">
      <c r="C4333" s="15" t="n">
        <v>160</v>
      </c>
    </row>
    <row r="4334">
      <c r="C4334" s="15" t="n">
        <v>161</v>
      </c>
    </row>
    <row r="4335">
      <c r="C4335" s="15" t="n">
        <v>162</v>
      </c>
    </row>
    <row r="4336">
      <c r="C4336" s="15" t="n">
        <v>163</v>
      </c>
    </row>
    <row r="4337">
      <c r="C4337" s="15" t="n">
        <v>164</v>
      </c>
    </row>
    <row r="4338">
      <c r="C4338" s="15" t="n">
        <v>165</v>
      </c>
    </row>
    <row r="4339">
      <c r="C4339" s="15" t="n">
        <v>166</v>
      </c>
    </row>
    <row r="4340">
      <c r="C4340" s="15" t="n">
        <v>167</v>
      </c>
    </row>
    <row r="4341">
      <c r="C4341" s="15" t="n">
        <v>168</v>
      </c>
    </row>
    <row r="4342">
      <c r="C4342" s="15" t="n">
        <v>169</v>
      </c>
    </row>
    <row r="4343">
      <c r="C4343" s="15" t="n">
        <v>170</v>
      </c>
    </row>
    <row r="4344">
      <c r="C4344" s="15" t="n">
        <v>171</v>
      </c>
    </row>
    <row r="4345">
      <c r="C4345" s="15" t="n">
        <v>172</v>
      </c>
    </row>
    <row r="4346">
      <c r="C4346" s="15" t="n">
        <v>173</v>
      </c>
    </row>
    <row r="4347">
      <c r="C4347" s="15" t="n">
        <v>174</v>
      </c>
    </row>
    <row r="4348">
      <c r="C4348" s="15" t="n">
        <v>175</v>
      </c>
    </row>
    <row r="4349">
      <c r="C4349" s="15" t="n">
        <v>176</v>
      </c>
    </row>
    <row r="4350">
      <c r="C4350" s="15" t="n">
        <v>177</v>
      </c>
    </row>
    <row r="4351">
      <c r="C4351" s="15" t="n">
        <v>178</v>
      </c>
    </row>
    <row r="4352">
      <c r="C4352" s="15" t="n">
        <v>179</v>
      </c>
    </row>
    <row r="4353">
      <c r="C4353" s="15" t="n">
        <v>180</v>
      </c>
    </row>
    <row r="4354">
      <c r="C4354" s="15" t="n">
        <v>181</v>
      </c>
    </row>
    <row r="4355">
      <c r="C4355" s="15" t="n">
        <v>182</v>
      </c>
    </row>
    <row r="4356">
      <c r="C4356" s="15" t="n">
        <v>183</v>
      </c>
    </row>
    <row r="4357">
      <c r="C4357" s="15" t="n">
        <v>184</v>
      </c>
    </row>
    <row r="4358">
      <c r="C4358" s="15" t="n">
        <v>185</v>
      </c>
    </row>
    <row r="4359">
      <c r="C4359" s="15" t="n">
        <v>186</v>
      </c>
    </row>
    <row r="4360">
      <c r="C4360" s="15" t="n">
        <v>187</v>
      </c>
    </row>
    <row r="4361">
      <c r="C4361" s="15" t="n">
        <v>188</v>
      </c>
    </row>
    <row r="4362">
      <c r="C4362" s="15" t="n">
        <v>189</v>
      </c>
    </row>
    <row r="4363">
      <c r="C4363" s="15" t="n">
        <v>190</v>
      </c>
    </row>
    <row r="4364">
      <c r="C4364" s="15" t="n">
        <v>191</v>
      </c>
    </row>
    <row r="4365">
      <c r="C4365" s="15" t="n">
        <v>192</v>
      </c>
    </row>
    <row r="4366">
      <c r="C4366" s="15" t="n">
        <v>193</v>
      </c>
    </row>
    <row r="4367">
      <c r="C4367" s="15" t="n">
        <v>194</v>
      </c>
    </row>
    <row r="4368">
      <c r="C4368" s="15" t="n">
        <v>195</v>
      </c>
    </row>
    <row r="4369">
      <c r="C4369" s="15" t="n">
        <v>196</v>
      </c>
    </row>
    <row r="4370">
      <c r="C4370" s="15" t="n">
        <v>197</v>
      </c>
    </row>
    <row r="4371">
      <c r="C4371" s="15" t="n">
        <v>198</v>
      </c>
    </row>
    <row r="4373">
      <c r="C4373" s="15" t="inlineStr">
        <is>
          <t>SQRT</t>
        </is>
      </c>
      <c r="D4373" s="15" t="n">
        <v>22</v>
      </c>
      <c r="E4373" s="15" t="n">
        <v>23</v>
      </c>
      <c r="F4373" s="15" t="n">
        <v>24</v>
      </c>
    </row>
    <row r="4374">
      <c r="C4374" s="15" t="n">
        <v>9</v>
      </c>
    </row>
    <row r="4375">
      <c r="C4375" s="15" t="n">
        <v>10</v>
      </c>
    </row>
    <row r="4376">
      <c r="C4376" s="15" t="n">
        <v>11</v>
      </c>
    </row>
    <row r="4377">
      <c r="C4377" s="15" t="n">
        <v>12</v>
      </c>
    </row>
    <row r="4378">
      <c r="C4378" s="15" t="n">
        <v>13</v>
      </c>
    </row>
    <row r="4379">
      <c r="C4379" s="15" t="n">
        <v>14</v>
      </c>
    </row>
    <row r="4380">
      <c r="C4380" s="15" t="n">
        <v>15</v>
      </c>
    </row>
    <row r="4381">
      <c r="C4381" s="15" t="n">
        <v>16</v>
      </c>
    </row>
    <row r="4382">
      <c r="C4382" s="15" t="n">
        <v>17</v>
      </c>
    </row>
    <row r="4383">
      <c r="C4383" s="15" t="n">
        <v>18</v>
      </c>
    </row>
    <row r="4384">
      <c r="C4384" s="15" t="n">
        <v>19</v>
      </c>
    </row>
    <row r="4385">
      <c r="C4385" s="15" t="n">
        <v>20</v>
      </c>
    </row>
    <row r="4386">
      <c r="C4386" s="15" t="n">
        <v>21</v>
      </c>
    </row>
    <row r="4387">
      <c r="C4387" s="15" t="n">
        <v>22</v>
      </c>
    </row>
    <row r="4388">
      <c r="C4388" s="15" t="n">
        <v>23</v>
      </c>
    </row>
    <row r="4389">
      <c r="C4389" s="15" t="n">
        <v>24</v>
      </c>
    </row>
    <row r="4390">
      <c r="C4390" s="15" t="n">
        <v>25</v>
      </c>
    </row>
    <row r="4391">
      <c r="C4391" s="15" t="n">
        <v>26</v>
      </c>
    </row>
    <row r="4392">
      <c r="C4392" s="15" t="n">
        <v>27</v>
      </c>
    </row>
    <row r="4393">
      <c r="C4393" s="15" t="n">
        <v>28</v>
      </c>
    </row>
    <row r="4394">
      <c r="C4394" s="15" t="n">
        <v>29</v>
      </c>
    </row>
    <row r="4395">
      <c r="C4395" s="15" t="n">
        <v>30</v>
      </c>
    </row>
    <row r="4396">
      <c r="C4396" s="15" t="n">
        <v>31</v>
      </c>
    </row>
    <row r="4397">
      <c r="C4397" s="15" t="n">
        <v>32</v>
      </c>
    </row>
    <row r="4398">
      <c r="C4398" s="15" t="n">
        <v>33</v>
      </c>
    </row>
    <row r="4399">
      <c r="C4399" s="15" t="n">
        <v>34</v>
      </c>
    </row>
    <row r="4400">
      <c r="C4400" s="15" t="n">
        <v>35</v>
      </c>
    </row>
    <row r="4401">
      <c r="C4401" s="15" t="n">
        <v>36</v>
      </c>
    </row>
    <row r="4402">
      <c r="C4402" s="15" t="n">
        <v>37</v>
      </c>
    </row>
    <row r="4403">
      <c r="C4403" s="15" t="n">
        <v>38</v>
      </c>
    </row>
    <row r="4404">
      <c r="C4404" s="15" t="n">
        <v>39</v>
      </c>
    </row>
    <row r="4405">
      <c r="C4405" s="15" t="n">
        <v>40</v>
      </c>
    </row>
    <row r="4406">
      <c r="C4406" s="15" t="n">
        <v>41</v>
      </c>
    </row>
    <row r="4407">
      <c r="C4407" s="15" t="n">
        <v>42</v>
      </c>
    </row>
    <row r="4408">
      <c r="C4408" s="15" t="n">
        <v>43</v>
      </c>
    </row>
    <row r="4409">
      <c r="C4409" s="15" t="n">
        <v>44</v>
      </c>
    </row>
    <row r="4410">
      <c r="C4410" s="15" t="n">
        <v>45</v>
      </c>
    </row>
    <row r="4411">
      <c r="C4411" s="15" t="n">
        <v>46</v>
      </c>
    </row>
    <row r="4412">
      <c r="C4412" s="15" t="n">
        <v>47</v>
      </c>
    </row>
    <row r="4413">
      <c r="C4413" s="15" t="n">
        <v>48</v>
      </c>
    </row>
    <row r="4414">
      <c r="C4414" s="15" t="n">
        <v>49</v>
      </c>
    </row>
    <row r="4415">
      <c r="C4415" s="15" t="n">
        <v>50</v>
      </c>
    </row>
    <row r="4416">
      <c r="C4416" s="15" t="n">
        <v>51</v>
      </c>
    </row>
    <row r="4417">
      <c r="C4417" s="15" t="n">
        <v>52</v>
      </c>
    </row>
    <row r="4418">
      <c r="C4418" s="15" t="n">
        <v>53</v>
      </c>
    </row>
    <row r="4419">
      <c r="C4419" s="15" t="n">
        <v>54</v>
      </c>
    </row>
    <row r="4420">
      <c r="C4420" s="15" t="n">
        <v>55</v>
      </c>
    </row>
    <row r="4421">
      <c r="C4421" s="15" t="n">
        <v>56</v>
      </c>
    </row>
    <row r="4422">
      <c r="C4422" s="15" t="n">
        <v>57</v>
      </c>
    </row>
    <row r="4423">
      <c r="C4423" s="15" t="n">
        <v>58</v>
      </c>
    </row>
    <row r="4424">
      <c r="C4424" s="15" t="n">
        <v>59</v>
      </c>
    </row>
    <row r="4425">
      <c r="C4425" s="15" t="n">
        <v>60</v>
      </c>
    </row>
    <row r="4426">
      <c r="C4426" s="15" t="n">
        <v>61</v>
      </c>
    </row>
    <row r="4427">
      <c r="C4427" s="15" t="n">
        <v>62</v>
      </c>
    </row>
    <row r="4428">
      <c r="C4428" s="15" t="n">
        <v>63</v>
      </c>
    </row>
    <row r="4429">
      <c r="C4429" s="15" t="n">
        <v>64</v>
      </c>
    </row>
    <row r="4430">
      <c r="C4430" s="15" t="n">
        <v>65</v>
      </c>
    </row>
    <row r="4431">
      <c r="C4431" s="15" t="n">
        <v>66</v>
      </c>
    </row>
    <row r="4432">
      <c r="C4432" s="15" t="n">
        <v>67</v>
      </c>
    </row>
    <row r="4433">
      <c r="C4433" s="15" t="n">
        <v>68</v>
      </c>
    </row>
    <row r="4434">
      <c r="C4434" s="15" t="n">
        <v>69</v>
      </c>
    </row>
    <row r="4435">
      <c r="C4435" s="15" t="n">
        <v>70</v>
      </c>
    </row>
    <row r="4436">
      <c r="C4436" s="15" t="n">
        <v>71</v>
      </c>
    </row>
    <row r="4437">
      <c r="C4437" s="15" t="n">
        <v>72</v>
      </c>
    </row>
    <row r="4438">
      <c r="C4438" s="15" t="n">
        <v>73</v>
      </c>
    </row>
    <row r="4439">
      <c r="C4439" s="15" t="n">
        <v>74</v>
      </c>
    </row>
    <row r="4440">
      <c r="C4440" s="15" t="n">
        <v>75</v>
      </c>
    </row>
    <row r="4441">
      <c r="C4441" s="15" t="n">
        <v>76</v>
      </c>
    </row>
    <row r="4442">
      <c r="C4442" s="15" t="n">
        <v>77</v>
      </c>
    </row>
    <row r="4443">
      <c r="C4443" s="15" t="n">
        <v>78</v>
      </c>
    </row>
    <row r="4444">
      <c r="C4444" s="15" t="n">
        <v>79</v>
      </c>
    </row>
    <row r="4445">
      <c r="C4445" s="15" t="n">
        <v>80</v>
      </c>
    </row>
    <row r="4446">
      <c r="C4446" s="15" t="n">
        <v>81</v>
      </c>
    </row>
    <row r="4447">
      <c r="C4447" s="15" t="n">
        <v>82</v>
      </c>
    </row>
    <row r="4448">
      <c r="C4448" s="15" t="n">
        <v>83</v>
      </c>
    </row>
    <row r="4449">
      <c r="C4449" s="15" t="n">
        <v>84</v>
      </c>
    </row>
    <row r="4450">
      <c r="C4450" s="15" t="n">
        <v>85</v>
      </c>
    </row>
    <row r="4451">
      <c r="C4451" s="15" t="n">
        <v>86</v>
      </c>
    </row>
    <row r="4452">
      <c r="C4452" s="15" t="n">
        <v>87</v>
      </c>
    </row>
    <row r="4453">
      <c r="C4453" s="15" t="n">
        <v>88</v>
      </c>
    </row>
    <row r="4454">
      <c r="C4454" s="15" t="n">
        <v>89</v>
      </c>
    </row>
    <row r="4455">
      <c r="C4455" s="15" t="n">
        <v>90</v>
      </c>
    </row>
    <row r="4456">
      <c r="C4456" s="15" t="n">
        <v>91</v>
      </c>
    </row>
    <row r="4457">
      <c r="C4457" s="15" t="n">
        <v>92</v>
      </c>
    </row>
    <row r="4458">
      <c r="C4458" s="15" t="n">
        <v>93</v>
      </c>
    </row>
    <row r="4459">
      <c r="C4459" s="15" t="n">
        <v>94</v>
      </c>
    </row>
    <row r="4460">
      <c r="C4460" s="15" t="n">
        <v>95</v>
      </c>
    </row>
    <row r="4461">
      <c r="C4461" s="15" t="n">
        <v>96</v>
      </c>
    </row>
    <row r="4462">
      <c r="C4462" s="15" t="n">
        <v>97</v>
      </c>
    </row>
    <row r="4463">
      <c r="C4463" s="15" t="n">
        <v>98</v>
      </c>
    </row>
    <row r="4464">
      <c r="C4464" s="15" t="n">
        <v>99</v>
      </c>
    </row>
    <row r="4465">
      <c r="C4465" s="15" t="n">
        <v>100</v>
      </c>
    </row>
    <row r="4466">
      <c r="C4466" s="15" t="n">
        <v>101</v>
      </c>
    </row>
    <row r="4467">
      <c r="C4467" s="15" t="n">
        <v>102</v>
      </c>
    </row>
    <row r="4468">
      <c r="C4468" s="15" t="n">
        <v>103</v>
      </c>
    </row>
    <row r="4469">
      <c r="C4469" s="15" t="n">
        <v>104</v>
      </c>
    </row>
    <row r="4470">
      <c r="C4470" s="15" t="n">
        <v>105</v>
      </c>
    </row>
    <row r="4471">
      <c r="C4471" s="15" t="n">
        <v>106</v>
      </c>
    </row>
    <row r="4472">
      <c r="C4472" s="15" t="n">
        <v>107</v>
      </c>
    </row>
    <row r="4473">
      <c r="C4473" s="15" t="n">
        <v>108</v>
      </c>
    </row>
    <row r="4474">
      <c r="C4474" s="15" t="n">
        <v>109</v>
      </c>
    </row>
    <row r="4475">
      <c r="C4475" s="15" t="n">
        <v>110</v>
      </c>
    </row>
    <row r="4476">
      <c r="C4476" s="15" t="n">
        <v>111</v>
      </c>
    </row>
    <row r="4477">
      <c r="C4477" s="15" t="n">
        <v>112</v>
      </c>
    </row>
    <row r="4478">
      <c r="C4478" s="15" t="n">
        <v>113</v>
      </c>
    </row>
    <row r="4479">
      <c r="C4479" s="15" t="n">
        <v>114</v>
      </c>
    </row>
    <row r="4480">
      <c r="C4480" s="15" t="n">
        <v>115</v>
      </c>
    </row>
    <row r="4481">
      <c r="C4481" s="15" t="n">
        <v>116</v>
      </c>
    </row>
    <row r="4482">
      <c r="C4482" s="15" t="n">
        <v>117</v>
      </c>
    </row>
    <row r="4483">
      <c r="C4483" s="15" t="n">
        <v>118</v>
      </c>
    </row>
    <row r="4484">
      <c r="C4484" s="15" t="n">
        <v>119</v>
      </c>
    </row>
    <row r="4485">
      <c r="C4485" s="15" t="n">
        <v>120</v>
      </c>
    </row>
    <row r="4486">
      <c r="C4486" s="15" t="n">
        <v>121</v>
      </c>
    </row>
    <row r="4487">
      <c r="C4487" s="15" t="n">
        <v>122</v>
      </c>
    </row>
    <row r="4488">
      <c r="C4488" s="15" t="n">
        <v>123</v>
      </c>
    </row>
    <row r="4489">
      <c r="C4489" s="15" t="n">
        <v>124</v>
      </c>
    </row>
    <row r="4490">
      <c r="C4490" s="15" t="n">
        <v>125</v>
      </c>
    </row>
    <row r="4491">
      <c r="C4491" s="15" t="n">
        <v>126</v>
      </c>
    </row>
    <row r="4492">
      <c r="C4492" s="15" t="n">
        <v>127</v>
      </c>
    </row>
    <row r="4493">
      <c r="C4493" s="15" t="n">
        <v>128</v>
      </c>
    </row>
    <row r="4494">
      <c r="C4494" s="15" t="n">
        <v>129</v>
      </c>
    </row>
    <row r="4495">
      <c r="C4495" s="15" t="n">
        <v>130</v>
      </c>
    </row>
    <row r="4496">
      <c r="C4496" s="15" t="n">
        <v>131</v>
      </c>
    </row>
    <row r="4497">
      <c r="C4497" s="15" t="n">
        <v>132</v>
      </c>
    </row>
    <row r="4498">
      <c r="C4498" s="15" t="n">
        <v>133</v>
      </c>
    </row>
    <row r="4499">
      <c r="C4499" s="15" t="n">
        <v>134</v>
      </c>
    </row>
    <row r="4500">
      <c r="C4500" s="15" t="n">
        <v>135</v>
      </c>
    </row>
    <row r="4501">
      <c r="C4501" s="15" t="n">
        <v>136</v>
      </c>
    </row>
    <row r="4502">
      <c r="C4502" s="15" t="n">
        <v>137</v>
      </c>
    </row>
    <row r="4503">
      <c r="C4503" s="15" t="n">
        <v>138</v>
      </c>
    </row>
    <row r="4504">
      <c r="C4504" s="15" t="n">
        <v>139</v>
      </c>
    </row>
    <row r="4505">
      <c r="C4505" s="15" t="n">
        <v>140</v>
      </c>
    </row>
    <row r="4506">
      <c r="C4506" s="15" t="n">
        <v>141</v>
      </c>
    </row>
    <row r="4507">
      <c r="C4507" s="15" t="n">
        <v>142</v>
      </c>
    </row>
    <row r="4508">
      <c r="C4508" s="15" t="n">
        <v>143</v>
      </c>
    </row>
    <row r="4509">
      <c r="C4509" s="15" t="n">
        <v>144</v>
      </c>
    </row>
    <row r="4510">
      <c r="C4510" s="15" t="n">
        <v>145</v>
      </c>
    </row>
    <row r="4511">
      <c r="C4511" s="15" t="n">
        <v>146</v>
      </c>
    </row>
    <row r="4512">
      <c r="C4512" s="15" t="n">
        <v>147</v>
      </c>
    </row>
    <row r="4513">
      <c r="C4513" s="15" t="n">
        <v>148</v>
      </c>
    </row>
    <row r="4514">
      <c r="C4514" s="15" t="n">
        <v>149</v>
      </c>
    </row>
    <row r="4515">
      <c r="C4515" s="15" t="n">
        <v>150</v>
      </c>
    </row>
    <row r="4516">
      <c r="C4516" s="15" t="n">
        <v>151</v>
      </c>
    </row>
    <row r="4517">
      <c r="C4517" s="15" t="n">
        <v>152</v>
      </c>
    </row>
    <row r="4518">
      <c r="C4518" s="15" t="n">
        <v>153</v>
      </c>
    </row>
    <row r="4519">
      <c r="C4519" s="15" t="n">
        <v>154</v>
      </c>
    </row>
    <row r="4520">
      <c r="C4520" s="15" t="n">
        <v>155</v>
      </c>
    </row>
    <row r="4521">
      <c r="C4521" s="15" t="n">
        <v>156</v>
      </c>
    </row>
    <row r="4522">
      <c r="C4522" s="15" t="n">
        <v>157</v>
      </c>
    </row>
    <row r="4523">
      <c r="C4523" s="15" t="n">
        <v>158</v>
      </c>
    </row>
    <row r="4524">
      <c r="C4524" s="15" t="n">
        <v>159</v>
      </c>
    </row>
    <row r="4525">
      <c r="C4525" s="15" t="n">
        <v>160</v>
      </c>
    </row>
    <row r="4526">
      <c r="C4526" s="15" t="n">
        <v>161</v>
      </c>
    </row>
    <row r="4527">
      <c r="C4527" s="15" t="n">
        <v>162</v>
      </c>
    </row>
    <row r="4528">
      <c r="C4528" s="15" t="n">
        <v>163</v>
      </c>
    </row>
    <row r="4529">
      <c r="C4529" s="15" t="n">
        <v>164</v>
      </c>
    </row>
    <row r="4530">
      <c r="C4530" s="15" t="n">
        <v>165</v>
      </c>
    </row>
    <row r="4531">
      <c r="C4531" s="15" t="n">
        <v>166</v>
      </c>
    </row>
    <row r="4532">
      <c r="C4532" s="15" t="n">
        <v>167</v>
      </c>
    </row>
    <row r="4533">
      <c r="C4533" s="15" t="n">
        <v>168</v>
      </c>
    </row>
    <row r="4534">
      <c r="C4534" s="15" t="n">
        <v>169</v>
      </c>
    </row>
    <row r="4535">
      <c r="C4535" s="15" t="n">
        <v>170</v>
      </c>
    </row>
    <row r="4536">
      <c r="C4536" s="15" t="n">
        <v>171</v>
      </c>
    </row>
    <row r="4537">
      <c r="C4537" s="15" t="n">
        <v>172</v>
      </c>
    </row>
    <row r="4538">
      <c r="C4538" s="15" t="n">
        <v>173</v>
      </c>
    </row>
    <row r="4539">
      <c r="C4539" s="15" t="n">
        <v>174</v>
      </c>
    </row>
    <row r="4540">
      <c r="C4540" s="15" t="n">
        <v>175</v>
      </c>
    </row>
    <row r="4541">
      <c r="C4541" s="15" t="n">
        <v>176</v>
      </c>
    </row>
    <row r="4542">
      <c r="C4542" s="15" t="n">
        <v>177</v>
      </c>
    </row>
    <row r="4543">
      <c r="C4543" s="15" t="n">
        <v>178</v>
      </c>
    </row>
    <row r="4544">
      <c r="C4544" s="15" t="n">
        <v>179</v>
      </c>
    </row>
    <row r="4545">
      <c r="C4545" s="15" t="n">
        <v>180</v>
      </c>
    </row>
    <row r="4546">
      <c r="C4546" s="15" t="n">
        <v>181</v>
      </c>
    </row>
    <row r="4547">
      <c r="C4547" s="15" t="n">
        <v>182</v>
      </c>
    </row>
    <row r="4548">
      <c r="C4548" s="15" t="n">
        <v>183</v>
      </c>
    </row>
    <row r="4549">
      <c r="C4549" s="15" t="n">
        <v>184</v>
      </c>
    </row>
    <row r="4550">
      <c r="C4550" s="15" t="n">
        <v>185</v>
      </c>
    </row>
    <row r="4551">
      <c r="C4551" s="15" t="n">
        <v>186</v>
      </c>
    </row>
    <row r="4552">
      <c r="C4552" s="15" t="n">
        <v>187</v>
      </c>
    </row>
    <row r="4553">
      <c r="C4553" s="15" t="n">
        <v>188</v>
      </c>
    </row>
    <row r="4554">
      <c r="C4554" s="15" t="n">
        <v>189</v>
      </c>
    </row>
    <row r="4555">
      <c r="C4555" s="15" t="n">
        <v>190</v>
      </c>
    </row>
    <row r="4556">
      <c r="C4556" s="15" t="n">
        <v>191</v>
      </c>
    </row>
    <row r="4557">
      <c r="C4557" s="15" t="n">
        <v>192</v>
      </c>
    </row>
    <row r="4558">
      <c r="C4558" s="15" t="n">
        <v>193</v>
      </c>
    </row>
    <row r="4559">
      <c r="C4559" s="15" t="n">
        <v>194</v>
      </c>
    </row>
    <row r="4560">
      <c r="C4560" s="15" t="n">
        <v>195</v>
      </c>
    </row>
    <row r="4561">
      <c r="C4561" s="15" t="n">
        <v>196</v>
      </c>
    </row>
    <row r="4562">
      <c r="C4562" s="15" t="n">
        <v>197</v>
      </c>
    </row>
    <row r="4563">
      <c r="C4563" s="15" t="n">
        <v>198</v>
      </c>
    </row>
    <row r="4565">
      <c r="C4565" s="15" t="inlineStr">
        <is>
          <t>ND*ELT</t>
        </is>
      </c>
      <c r="D4565" s="15" t="n">
        <v>22</v>
      </c>
      <c r="E4565" s="15" t="n">
        <v>23</v>
      </c>
      <c r="F4565" s="15" t="n">
        <v>24</v>
      </c>
    </row>
    <row r="4566">
      <c r="C4566" s="15" t="n">
        <v>9</v>
      </c>
    </row>
    <row r="4567">
      <c r="C4567" s="15" t="n">
        <v>10</v>
      </c>
    </row>
    <row r="4568">
      <c r="C4568" s="15" t="n">
        <v>11</v>
      </c>
    </row>
    <row r="4569">
      <c r="C4569" s="15" t="n">
        <v>12</v>
      </c>
    </row>
    <row r="4570">
      <c r="C4570" s="15" t="n">
        <v>13</v>
      </c>
    </row>
    <row r="4571">
      <c r="C4571" s="15" t="n">
        <v>14</v>
      </c>
    </row>
    <row r="4572">
      <c r="C4572" s="15" t="n">
        <v>15</v>
      </c>
    </row>
    <row r="4573">
      <c r="C4573" s="15" t="n">
        <v>16</v>
      </c>
    </row>
    <row r="4574">
      <c r="C4574" s="15" t="n">
        <v>17</v>
      </c>
    </row>
    <row r="4575">
      <c r="C4575" s="15" t="n">
        <v>18</v>
      </c>
    </row>
    <row r="4576">
      <c r="C4576" s="15" t="n">
        <v>19</v>
      </c>
    </row>
    <row r="4577">
      <c r="C4577" s="15" t="n">
        <v>20</v>
      </c>
    </row>
    <row r="4578">
      <c r="C4578" s="15" t="n">
        <v>21</v>
      </c>
    </row>
    <row r="4579">
      <c r="C4579" s="15" t="n">
        <v>22</v>
      </c>
    </row>
    <row r="4580">
      <c r="C4580" s="15" t="n">
        <v>23</v>
      </c>
    </row>
    <row r="4581">
      <c r="C4581" s="15" t="n">
        <v>24</v>
      </c>
    </row>
    <row r="4582">
      <c r="C4582" s="15" t="n">
        <v>25</v>
      </c>
    </row>
    <row r="4583">
      <c r="C4583" s="15" t="n">
        <v>26</v>
      </c>
    </row>
    <row r="4584">
      <c r="C4584" s="15" t="n">
        <v>27</v>
      </c>
    </row>
    <row r="4585">
      <c r="C4585" s="15" t="n">
        <v>28</v>
      </c>
    </row>
    <row r="4586">
      <c r="C4586" s="15" t="n">
        <v>29</v>
      </c>
    </row>
    <row r="4587">
      <c r="C4587" s="15" t="n">
        <v>30</v>
      </c>
    </row>
    <row r="4588">
      <c r="C4588" s="15" t="n">
        <v>31</v>
      </c>
    </row>
    <row r="4589">
      <c r="C4589" s="15" t="n">
        <v>32</v>
      </c>
    </row>
    <row r="4590">
      <c r="C4590" s="15" t="n">
        <v>33</v>
      </c>
    </row>
    <row r="4591">
      <c r="C4591" s="15" t="n">
        <v>34</v>
      </c>
    </row>
    <row r="4592">
      <c r="C4592" s="15" t="n">
        <v>35</v>
      </c>
    </row>
    <row r="4593">
      <c r="C4593" s="15" t="n">
        <v>36</v>
      </c>
    </row>
    <row r="4594">
      <c r="C4594" s="15" t="n">
        <v>37</v>
      </c>
    </row>
    <row r="4595">
      <c r="C4595" s="15" t="n">
        <v>38</v>
      </c>
    </row>
    <row r="4596">
      <c r="C4596" s="15" t="n">
        <v>39</v>
      </c>
    </row>
    <row r="4597">
      <c r="C4597" s="15" t="n">
        <v>40</v>
      </c>
    </row>
    <row r="4598">
      <c r="C4598" s="15" t="n">
        <v>41</v>
      </c>
    </row>
    <row r="4599">
      <c r="C4599" s="15" t="n">
        <v>42</v>
      </c>
    </row>
    <row r="4600">
      <c r="C4600" s="15" t="n">
        <v>43</v>
      </c>
    </row>
    <row r="4601">
      <c r="C4601" s="15" t="n">
        <v>44</v>
      </c>
    </row>
    <row r="4602">
      <c r="C4602" s="15" t="n">
        <v>45</v>
      </c>
    </row>
    <row r="4603">
      <c r="C4603" s="15" t="n">
        <v>46</v>
      </c>
    </row>
    <row r="4604">
      <c r="C4604" s="15" t="n">
        <v>47</v>
      </c>
    </row>
    <row r="4605">
      <c r="C4605" s="15" t="n">
        <v>48</v>
      </c>
    </row>
    <row r="4606">
      <c r="C4606" s="15" t="n">
        <v>49</v>
      </c>
    </row>
    <row r="4607">
      <c r="C4607" s="15" t="n">
        <v>50</v>
      </c>
    </row>
    <row r="4608">
      <c r="C4608" s="15" t="n">
        <v>51</v>
      </c>
    </row>
    <row r="4609">
      <c r="C4609" s="15" t="n">
        <v>52</v>
      </c>
    </row>
    <row r="4610">
      <c r="C4610" s="15" t="n">
        <v>53</v>
      </c>
    </row>
    <row r="4611">
      <c r="C4611" s="15" t="n">
        <v>54</v>
      </c>
    </row>
    <row r="4612">
      <c r="C4612" s="15" t="n">
        <v>55</v>
      </c>
    </row>
    <row r="4613">
      <c r="C4613" s="15" t="n">
        <v>56</v>
      </c>
    </row>
    <row r="4614">
      <c r="C4614" s="15" t="n">
        <v>57</v>
      </c>
    </row>
    <row r="4615">
      <c r="C4615" s="15" t="n">
        <v>58</v>
      </c>
    </row>
    <row r="4616">
      <c r="C4616" s="15" t="n">
        <v>59</v>
      </c>
    </row>
    <row r="4617">
      <c r="C4617" s="15" t="n">
        <v>60</v>
      </c>
    </row>
    <row r="4618">
      <c r="C4618" s="15" t="n">
        <v>61</v>
      </c>
    </row>
    <row r="4619">
      <c r="C4619" s="15" t="n">
        <v>62</v>
      </c>
    </row>
    <row r="4620">
      <c r="C4620" s="15" t="n">
        <v>63</v>
      </c>
    </row>
    <row r="4621">
      <c r="C4621" s="15" t="n">
        <v>64</v>
      </c>
    </row>
    <row r="4622">
      <c r="C4622" s="15" t="n">
        <v>65</v>
      </c>
    </row>
    <row r="4623">
      <c r="C4623" s="15" t="n">
        <v>66</v>
      </c>
    </row>
    <row r="4624">
      <c r="C4624" s="15" t="n">
        <v>67</v>
      </c>
    </row>
    <row r="4625">
      <c r="C4625" s="15" t="n">
        <v>68</v>
      </c>
    </row>
    <row r="4626">
      <c r="C4626" s="15" t="n">
        <v>69</v>
      </c>
    </row>
    <row r="4627">
      <c r="C4627" s="15" t="n">
        <v>70</v>
      </c>
    </row>
    <row r="4628">
      <c r="C4628" s="15" t="n">
        <v>71</v>
      </c>
    </row>
    <row r="4629">
      <c r="C4629" s="15" t="n">
        <v>72</v>
      </c>
    </row>
    <row r="4630">
      <c r="C4630" s="15" t="n">
        <v>73</v>
      </c>
    </row>
    <row r="4631">
      <c r="C4631" s="15" t="n">
        <v>74</v>
      </c>
    </row>
    <row r="4632">
      <c r="C4632" s="15" t="n">
        <v>75</v>
      </c>
    </row>
    <row r="4633">
      <c r="C4633" s="15" t="n">
        <v>76</v>
      </c>
    </row>
    <row r="4634">
      <c r="C4634" s="15" t="n">
        <v>77</v>
      </c>
    </row>
    <row r="4635">
      <c r="C4635" s="15" t="n">
        <v>78</v>
      </c>
    </row>
    <row r="4636">
      <c r="C4636" s="15" t="n">
        <v>79</v>
      </c>
    </row>
    <row r="4637">
      <c r="C4637" s="15" t="n">
        <v>80</v>
      </c>
    </row>
    <row r="4638">
      <c r="C4638" s="15" t="n">
        <v>81</v>
      </c>
    </row>
    <row r="4639">
      <c r="C4639" s="15" t="n">
        <v>82</v>
      </c>
    </row>
    <row r="4640">
      <c r="C4640" s="15" t="n">
        <v>83</v>
      </c>
    </row>
    <row r="4641">
      <c r="C4641" s="15" t="n">
        <v>84</v>
      </c>
    </row>
    <row r="4642">
      <c r="C4642" s="15" t="n">
        <v>85</v>
      </c>
    </row>
    <row r="4643">
      <c r="C4643" s="15" t="n">
        <v>86</v>
      </c>
    </row>
    <row r="4644">
      <c r="C4644" s="15" t="n">
        <v>87</v>
      </c>
    </row>
    <row r="4645">
      <c r="C4645" s="15" t="n">
        <v>88</v>
      </c>
    </row>
    <row r="4646">
      <c r="C4646" s="15" t="n">
        <v>89</v>
      </c>
    </row>
    <row r="4647">
      <c r="C4647" s="15" t="n">
        <v>90</v>
      </c>
    </row>
    <row r="4648">
      <c r="C4648" s="15" t="n">
        <v>91</v>
      </c>
    </row>
    <row r="4649">
      <c r="C4649" s="15" t="n">
        <v>92</v>
      </c>
    </row>
    <row r="4650">
      <c r="C4650" s="15" t="n">
        <v>93</v>
      </c>
    </row>
    <row r="4651">
      <c r="C4651" s="15" t="n">
        <v>94</v>
      </c>
    </row>
    <row r="4652">
      <c r="C4652" s="15" t="n">
        <v>95</v>
      </c>
    </row>
    <row r="4653">
      <c r="C4653" s="15" t="n">
        <v>96</v>
      </c>
    </row>
    <row r="4654">
      <c r="C4654" s="15" t="n">
        <v>97</v>
      </c>
    </row>
    <row r="4655">
      <c r="C4655" s="15" t="n">
        <v>98</v>
      </c>
    </row>
    <row r="4656">
      <c r="C4656" s="15" t="n">
        <v>99</v>
      </c>
    </row>
    <row r="4657">
      <c r="C4657" s="15" t="n">
        <v>100</v>
      </c>
    </row>
    <row r="4658">
      <c r="C4658" s="15" t="n">
        <v>101</v>
      </c>
    </row>
    <row r="4659">
      <c r="C4659" s="15" t="n">
        <v>102</v>
      </c>
    </row>
    <row r="4660">
      <c r="C4660" s="15" t="n">
        <v>103</v>
      </c>
    </row>
    <row r="4661">
      <c r="C4661" s="15" t="n">
        <v>104</v>
      </c>
    </row>
    <row r="4662">
      <c r="C4662" s="15" t="n">
        <v>105</v>
      </c>
    </row>
    <row r="4663">
      <c r="C4663" s="15" t="n">
        <v>106</v>
      </c>
    </row>
    <row r="4664">
      <c r="C4664" s="15" t="n">
        <v>107</v>
      </c>
    </row>
    <row r="4665">
      <c r="C4665" s="15" t="n">
        <v>108</v>
      </c>
    </row>
    <row r="4666">
      <c r="C4666" s="15" t="n">
        <v>109</v>
      </c>
    </row>
    <row r="4667">
      <c r="C4667" s="15" t="n">
        <v>110</v>
      </c>
    </row>
    <row r="4668">
      <c r="C4668" s="15" t="n">
        <v>111</v>
      </c>
    </row>
    <row r="4669">
      <c r="C4669" s="15" t="n">
        <v>112</v>
      </c>
    </row>
    <row r="4670">
      <c r="C4670" s="15" t="n">
        <v>113</v>
      </c>
    </row>
    <row r="4671">
      <c r="C4671" s="15" t="n">
        <v>114</v>
      </c>
    </row>
    <row r="4672">
      <c r="C4672" s="15" t="n">
        <v>115</v>
      </c>
    </row>
    <row r="4673">
      <c r="C4673" s="15" t="n">
        <v>116</v>
      </c>
    </row>
    <row r="4674">
      <c r="C4674" s="15" t="n">
        <v>117</v>
      </c>
    </row>
    <row r="4675">
      <c r="C4675" s="15" t="n">
        <v>118</v>
      </c>
    </row>
    <row r="4676">
      <c r="C4676" s="15" t="n">
        <v>119</v>
      </c>
    </row>
    <row r="4677">
      <c r="C4677" s="15" t="n">
        <v>120</v>
      </c>
    </row>
    <row r="4678">
      <c r="C4678" s="15" t="n">
        <v>121</v>
      </c>
    </row>
    <row r="4679">
      <c r="C4679" s="15" t="n">
        <v>122</v>
      </c>
    </row>
    <row r="4680">
      <c r="C4680" s="15" t="n">
        <v>123</v>
      </c>
    </row>
    <row r="4681">
      <c r="C4681" s="15" t="n">
        <v>124</v>
      </c>
    </row>
    <row r="4682">
      <c r="C4682" s="15" t="n">
        <v>125</v>
      </c>
    </row>
    <row r="4683">
      <c r="C4683" s="15" t="n">
        <v>126</v>
      </c>
    </row>
    <row r="4684">
      <c r="C4684" s="15" t="n">
        <v>127</v>
      </c>
    </row>
    <row r="4685">
      <c r="C4685" s="15" t="n">
        <v>128</v>
      </c>
    </row>
    <row r="4686">
      <c r="C4686" s="15" t="n">
        <v>129</v>
      </c>
    </row>
    <row r="4687">
      <c r="C4687" s="15" t="n">
        <v>130</v>
      </c>
    </row>
    <row r="4688">
      <c r="C4688" s="15" t="n">
        <v>131</v>
      </c>
    </row>
    <row r="4689">
      <c r="C4689" s="15" t="n">
        <v>132</v>
      </c>
    </row>
    <row r="4690">
      <c r="C4690" s="15" t="n">
        <v>133</v>
      </c>
    </row>
    <row r="4691">
      <c r="C4691" s="15" t="n">
        <v>134</v>
      </c>
    </row>
    <row r="4692">
      <c r="C4692" s="15" t="n">
        <v>135</v>
      </c>
    </row>
    <row r="4693">
      <c r="C4693" s="15" t="n">
        <v>136</v>
      </c>
    </row>
    <row r="4694">
      <c r="C4694" s="15" t="n">
        <v>137</v>
      </c>
    </row>
    <row r="4695">
      <c r="C4695" s="15" t="n">
        <v>138</v>
      </c>
    </row>
    <row r="4696">
      <c r="C4696" s="15" t="n">
        <v>139</v>
      </c>
    </row>
    <row r="4697">
      <c r="C4697" s="15" t="n">
        <v>140</v>
      </c>
    </row>
    <row r="4698">
      <c r="C4698" s="15" t="n">
        <v>141</v>
      </c>
    </row>
    <row r="4699">
      <c r="C4699" s="15" t="n">
        <v>142</v>
      </c>
    </row>
    <row r="4700">
      <c r="C4700" s="15" t="n">
        <v>143</v>
      </c>
    </row>
    <row r="4701">
      <c r="C4701" s="15" t="n">
        <v>144</v>
      </c>
    </row>
    <row r="4702">
      <c r="C4702" s="15" t="n">
        <v>145</v>
      </c>
    </row>
    <row r="4703">
      <c r="C4703" s="15" t="n">
        <v>146</v>
      </c>
    </row>
    <row r="4704">
      <c r="C4704" s="15" t="n">
        <v>147</v>
      </c>
    </row>
    <row r="4705">
      <c r="C4705" s="15" t="n">
        <v>148</v>
      </c>
    </row>
    <row r="4706">
      <c r="C4706" s="15" t="n">
        <v>149</v>
      </c>
    </row>
    <row r="4707">
      <c r="C4707" s="15" t="n">
        <v>150</v>
      </c>
    </row>
    <row r="4708">
      <c r="C4708" s="15" t="n">
        <v>151</v>
      </c>
    </row>
    <row r="4709">
      <c r="C4709" s="15" t="n">
        <v>152</v>
      </c>
    </row>
    <row r="4710">
      <c r="C4710" s="15" t="n">
        <v>153</v>
      </c>
    </row>
    <row r="4711">
      <c r="C4711" s="15" t="n">
        <v>154</v>
      </c>
    </row>
    <row r="4712">
      <c r="C4712" s="15" t="n">
        <v>155</v>
      </c>
    </row>
    <row r="4713">
      <c r="C4713" s="15" t="n">
        <v>156</v>
      </c>
    </row>
    <row r="4714">
      <c r="C4714" s="15" t="n">
        <v>157</v>
      </c>
    </row>
    <row r="4715">
      <c r="C4715" s="15" t="n">
        <v>158</v>
      </c>
    </row>
    <row r="4716">
      <c r="C4716" s="15" t="n">
        <v>159</v>
      </c>
    </row>
    <row r="4717">
      <c r="C4717" s="15" t="n">
        <v>160</v>
      </c>
    </row>
    <row r="4718">
      <c r="C4718" s="15" t="n">
        <v>161</v>
      </c>
    </row>
    <row r="4719">
      <c r="C4719" s="15" t="n">
        <v>162</v>
      </c>
    </row>
    <row r="4720">
      <c r="C4720" s="15" t="n">
        <v>163</v>
      </c>
    </row>
    <row r="4721">
      <c r="C4721" s="15" t="n">
        <v>164</v>
      </c>
    </row>
    <row r="4722">
      <c r="C4722" s="15" t="n">
        <v>165</v>
      </c>
    </row>
    <row r="4723">
      <c r="C4723" s="15" t="n">
        <v>166</v>
      </c>
    </row>
    <row r="4724">
      <c r="C4724" s="15" t="n">
        <v>167</v>
      </c>
    </row>
    <row r="4725">
      <c r="C4725" s="15" t="n">
        <v>168</v>
      </c>
    </row>
    <row r="4726">
      <c r="C4726" s="15" t="n">
        <v>169</v>
      </c>
    </row>
    <row r="4727">
      <c r="C4727" s="15" t="n">
        <v>170</v>
      </c>
    </row>
    <row r="4728">
      <c r="C4728" s="15" t="n">
        <v>171</v>
      </c>
    </row>
    <row r="4729">
      <c r="C4729" s="15" t="n">
        <v>172</v>
      </c>
    </row>
    <row r="4730">
      <c r="C4730" s="15" t="n">
        <v>173</v>
      </c>
    </row>
    <row r="4731">
      <c r="C4731" s="15" t="n">
        <v>174</v>
      </c>
    </row>
    <row r="4732">
      <c r="C4732" s="15" t="n">
        <v>175</v>
      </c>
    </row>
    <row r="4733">
      <c r="C4733" s="15" t="n">
        <v>176</v>
      </c>
    </row>
    <row r="4734">
      <c r="C4734" s="15" t="n">
        <v>177</v>
      </c>
    </row>
    <row r="4735">
      <c r="C4735" s="15" t="n">
        <v>178</v>
      </c>
    </row>
    <row r="4736">
      <c r="C4736" s="15" t="n">
        <v>179</v>
      </c>
    </row>
    <row r="4737">
      <c r="C4737" s="15" t="n">
        <v>180</v>
      </c>
    </row>
    <row r="4738">
      <c r="C4738" s="15" t="n">
        <v>181</v>
      </c>
    </row>
    <row r="4739">
      <c r="C4739" s="15" t="n">
        <v>182</v>
      </c>
    </row>
    <row r="4740">
      <c r="C4740" s="15" t="n">
        <v>183</v>
      </c>
    </row>
    <row r="4741">
      <c r="C4741" s="15" t="n">
        <v>184</v>
      </c>
    </row>
    <row r="4742">
      <c r="C4742" s="15" t="n">
        <v>185</v>
      </c>
    </row>
    <row r="4743">
      <c r="C4743" s="15" t="n">
        <v>186</v>
      </c>
    </row>
    <row r="4744">
      <c r="C4744" s="15" t="n">
        <v>187</v>
      </c>
    </row>
    <row r="4745">
      <c r="C4745" s="15" t="n">
        <v>188</v>
      </c>
    </row>
    <row r="4746">
      <c r="C4746" s="15" t="n">
        <v>189</v>
      </c>
    </row>
    <row r="4747">
      <c r="C4747" s="15" t="n">
        <v>190</v>
      </c>
    </row>
    <row r="4748">
      <c r="C4748" s="15" t="n">
        <v>191</v>
      </c>
    </row>
    <row r="4749">
      <c r="C4749" s="15" t="n">
        <v>192</v>
      </c>
    </row>
    <row r="4750">
      <c r="C4750" s="15" t="n">
        <v>193</v>
      </c>
    </row>
    <row r="4751">
      <c r="C4751" s="15" t="n">
        <v>194</v>
      </c>
    </row>
    <row r="4752">
      <c r="C4752" s="15" t="n">
        <v>195</v>
      </c>
    </row>
    <row r="4753">
      <c r="C4753" s="15" t="n">
        <v>196</v>
      </c>
    </row>
    <row r="4754">
      <c r="C4754" s="15" t="n">
        <v>197</v>
      </c>
    </row>
    <row r="4755">
      <c r="C4755" s="15" t="n">
        <v>198</v>
      </c>
    </row>
    <row r="4757">
      <c r="C4757" s="15" t="inlineStr">
        <is>
          <t>Aleatória RLT</t>
        </is>
      </c>
      <c r="D4757" s="15" t="n">
        <v>22</v>
      </c>
      <c r="E4757" s="15" t="n">
        <v>23</v>
      </c>
      <c r="F4757" s="15" t="n">
        <v>24</v>
      </c>
    </row>
    <row r="4758">
      <c r="C4758" s="15" t="n">
        <v>9</v>
      </c>
    </row>
    <row r="4759">
      <c r="C4759" s="15" t="n">
        <v>10</v>
      </c>
    </row>
    <row r="4760">
      <c r="C4760" s="15" t="n">
        <v>11</v>
      </c>
    </row>
    <row r="4761">
      <c r="C4761" s="15" t="n">
        <v>12</v>
      </c>
    </row>
    <row r="4762">
      <c r="C4762" s="15" t="n">
        <v>13</v>
      </c>
    </row>
    <row r="4763">
      <c r="C4763" s="15" t="n">
        <v>14</v>
      </c>
    </row>
    <row r="4764">
      <c r="C4764" s="15" t="n">
        <v>15</v>
      </c>
    </row>
    <row r="4765">
      <c r="C4765" s="15" t="n">
        <v>16</v>
      </c>
    </row>
    <row r="4766">
      <c r="C4766" s="15" t="n">
        <v>17</v>
      </c>
    </row>
    <row r="4767">
      <c r="C4767" s="15" t="n">
        <v>18</v>
      </c>
    </row>
    <row r="4768">
      <c r="C4768" s="15" t="n">
        <v>19</v>
      </c>
    </row>
    <row r="4769">
      <c r="C4769" s="15" t="n">
        <v>20</v>
      </c>
    </row>
    <row r="4770">
      <c r="C4770" s="15" t="n">
        <v>21</v>
      </c>
    </row>
    <row r="4771">
      <c r="C4771" s="15" t="n">
        <v>22</v>
      </c>
    </row>
    <row r="4772">
      <c r="C4772" s="15" t="n">
        <v>23</v>
      </c>
    </row>
    <row r="4773">
      <c r="C4773" s="15" t="n">
        <v>24</v>
      </c>
    </row>
    <row r="4774">
      <c r="C4774" s="15" t="n">
        <v>25</v>
      </c>
    </row>
    <row r="4775">
      <c r="C4775" s="15" t="n">
        <v>26</v>
      </c>
    </row>
    <row r="4776">
      <c r="C4776" s="15" t="n">
        <v>27</v>
      </c>
    </row>
    <row r="4777">
      <c r="C4777" s="15" t="n">
        <v>28</v>
      </c>
    </row>
    <row r="4778">
      <c r="C4778" s="15" t="n">
        <v>29</v>
      </c>
    </row>
    <row r="4779">
      <c r="C4779" s="15" t="n">
        <v>30</v>
      </c>
    </row>
    <row r="4780">
      <c r="C4780" s="15" t="n">
        <v>31</v>
      </c>
    </row>
    <row r="4781">
      <c r="C4781" s="15" t="n">
        <v>32</v>
      </c>
    </row>
    <row r="4782">
      <c r="C4782" s="15" t="n">
        <v>33</v>
      </c>
    </row>
    <row r="4783">
      <c r="C4783" s="15" t="n">
        <v>34</v>
      </c>
    </row>
    <row r="4784">
      <c r="C4784" s="15" t="n">
        <v>35</v>
      </c>
    </row>
    <row r="4785">
      <c r="C4785" s="15" t="n">
        <v>36</v>
      </c>
    </row>
    <row r="4786">
      <c r="C4786" s="15" t="n">
        <v>37</v>
      </c>
    </row>
    <row r="4787">
      <c r="C4787" s="15" t="n">
        <v>38</v>
      </c>
    </row>
    <row r="4788">
      <c r="C4788" s="15" t="n">
        <v>39</v>
      </c>
    </row>
    <row r="4789">
      <c r="C4789" s="15" t="n">
        <v>40</v>
      </c>
    </row>
    <row r="4790">
      <c r="C4790" s="15" t="n">
        <v>41</v>
      </c>
    </row>
    <row r="4791">
      <c r="C4791" s="15" t="n">
        <v>42</v>
      </c>
    </row>
    <row r="4792">
      <c r="C4792" s="15" t="n">
        <v>43</v>
      </c>
    </row>
    <row r="4793">
      <c r="C4793" s="15" t="n">
        <v>44</v>
      </c>
    </row>
    <row r="4794">
      <c r="C4794" s="15" t="n">
        <v>45</v>
      </c>
    </row>
    <row r="4795">
      <c r="C4795" s="15" t="n">
        <v>46</v>
      </c>
    </row>
    <row r="4796">
      <c r="C4796" s="15" t="n">
        <v>47</v>
      </c>
    </row>
    <row r="4797">
      <c r="C4797" s="15" t="n">
        <v>48</v>
      </c>
    </row>
    <row r="4798">
      <c r="C4798" s="15" t="n">
        <v>49</v>
      </c>
    </row>
    <row r="4799">
      <c r="C4799" s="15" t="n">
        <v>50</v>
      </c>
    </row>
    <row r="4800">
      <c r="C4800" s="15" t="n">
        <v>51</v>
      </c>
    </row>
    <row r="4801">
      <c r="C4801" s="15" t="n">
        <v>52</v>
      </c>
    </row>
    <row r="4802">
      <c r="C4802" s="15" t="n">
        <v>53</v>
      </c>
    </row>
    <row r="4803">
      <c r="C4803" s="15" t="n">
        <v>54</v>
      </c>
    </row>
    <row r="4804">
      <c r="C4804" s="15" t="n">
        <v>55</v>
      </c>
    </row>
    <row r="4805">
      <c r="C4805" s="15" t="n">
        <v>56</v>
      </c>
    </row>
    <row r="4806">
      <c r="C4806" s="15" t="n">
        <v>57</v>
      </c>
    </row>
    <row r="4807">
      <c r="C4807" s="15" t="n">
        <v>58</v>
      </c>
    </row>
    <row r="4808">
      <c r="C4808" s="15" t="n">
        <v>59</v>
      </c>
    </row>
    <row r="4809">
      <c r="C4809" s="15" t="n">
        <v>60</v>
      </c>
    </row>
    <row r="4810">
      <c r="C4810" s="15" t="n">
        <v>61</v>
      </c>
    </row>
    <row r="4811">
      <c r="C4811" s="15" t="n">
        <v>62</v>
      </c>
    </row>
    <row r="4812">
      <c r="C4812" s="15" t="n">
        <v>63</v>
      </c>
    </row>
    <row r="4813">
      <c r="C4813" s="15" t="n">
        <v>64</v>
      </c>
    </row>
    <row r="4814">
      <c r="C4814" s="15" t="n">
        <v>65</v>
      </c>
    </row>
    <row r="4815">
      <c r="C4815" s="15" t="n">
        <v>66</v>
      </c>
    </row>
    <row r="4816">
      <c r="C4816" s="15" t="n">
        <v>67</v>
      </c>
    </row>
    <row r="4817">
      <c r="C4817" s="15" t="n">
        <v>68</v>
      </c>
    </row>
    <row r="4818">
      <c r="C4818" s="15" t="n">
        <v>69</v>
      </c>
    </row>
    <row r="4819">
      <c r="C4819" s="15" t="n">
        <v>70</v>
      </c>
    </row>
    <row r="4820">
      <c r="C4820" s="15" t="n">
        <v>71</v>
      </c>
    </row>
    <row r="4821">
      <c r="C4821" s="15" t="n">
        <v>72</v>
      </c>
    </row>
    <row r="4822">
      <c r="C4822" s="15" t="n">
        <v>73</v>
      </c>
    </row>
    <row r="4823">
      <c r="C4823" s="15" t="n">
        <v>74</v>
      </c>
    </row>
    <row r="4824">
      <c r="C4824" s="15" t="n">
        <v>75</v>
      </c>
    </row>
    <row r="4825">
      <c r="C4825" s="15" t="n">
        <v>76</v>
      </c>
    </row>
    <row r="4826">
      <c r="C4826" s="15" t="n">
        <v>77</v>
      </c>
    </row>
    <row r="4827">
      <c r="C4827" s="15" t="n">
        <v>78</v>
      </c>
    </row>
    <row r="4828">
      <c r="C4828" s="15" t="n">
        <v>79</v>
      </c>
    </row>
    <row r="4829">
      <c r="C4829" s="15" t="n">
        <v>80</v>
      </c>
    </row>
    <row r="4830">
      <c r="C4830" s="15" t="n">
        <v>81</v>
      </c>
    </row>
    <row r="4831">
      <c r="C4831" s="15" t="n">
        <v>82</v>
      </c>
    </row>
    <row r="4832">
      <c r="C4832" s="15" t="n">
        <v>83</v>
      </c>
    </row>
    <row r="4833">
      <c r="C4833" s="15" t="n">
        <v>84</v>
      </c>
    </row>
    <row r="4834">
      <c r="C4834" s="15" t="n">
        <v>85</v>
      </c>
    </row>
    <row r="4835">
      <c r="C4835" s="15" t="n">
        <v>86</v>
      </c>
    </row>
    <row r="4836">
      <c r="C4836" s="15" t="n">
        <v>87</v>
      </c>
    </row>
    <row r="4837">
      <c r="C4837" s="15" t="n">
        <v>88</v>
      </c>
    </row>
    <row r="4838">
      <c r="C4838" s="15" t="n">
        <v>89</v>
      </c>
    </row>
    <row r="4839">
      <c r="C4839" s="15" t="n">
        <v>90</v>
      </c>
    </row>
    <row r="4840">
      <c r="C4840" s="15" t="n">
        <v>91</v>
      </c>
    </row>
    <row r="4841">
      <c r="C4841" s="15" t="n">
        <v>92</v>
      </c>
    </row>
    <row r="4842">
      <c r="C4842" s="15" t="n">
        <v>93</v>
      </c>
    </row>
    <row r="4843">
      <c r="C4843" s="15" t="n">
        <v>94</v>
      </c>
    </row>
    <row r="4844">
      <c r="C4844" s="15" t="n">
        <v>95</v>
      </c>
    </row>
    <row r="4845">
      <c r="C4845" s="15" t="n">
        <v>96</v>
      </c>
    </row>
    <row r="4846">
      <c r="C4846" s="15" t="n">
        <v>97</v>
      </c>
    </row>
    <row r="4847">
      <c r="C4847" s="15" t="n">
        <v>98</v>
      </c>
    </row>
    <row r="4848">
      <c r="C4848" s="15" t="n">
        <v>99</v>
      </c>
    </row>
    <row r="4849">
      <c r="C4849" s="15" t="n">
        <v>100</v>
      </c>
    </row>
    <row r="4850">
      <c r="C4850" s="15" t="n">
        <v>101</v>
      </c>
    </row>
    <row r="4851">
      <c r="C4851" s="15" t="n">
        <v>102</v>
      </c>
    </row>
    <row r="4852">
      <c r="C4852" s="15" t="n">
        <v>103</v>
      </c>
    </row>
    <row r="4853">
      <c r="C4853" s="15" t="n">
        <v>104</v>
      </c>
    </row>
    <row r="4854">
      <c r="C4854" s="15" t="n">
        <v>105</v>
      </c>
    </row>
    <row r="4855">
      <c r="C4855" s="15" t="n">
        <v>106</v>
      </c>
    </row>
    <row r="4856">
      <c r="C4856" s="15" t="n">
        <v>107</v>
      </c>
    </row>
    <row r="4857">
      <c r="C4857" s="15" t="n">
        <v>108</v>
      </c>
    </row>
    <row r="4858">
      <c r="C4858" s="15" t="n">
        <v>109</v>
      </c>
    </row>
    <row r="4859">
      <c r="C4859" s="15" t="n">
        <v>110</v>
      </c>
    </row>
    <row r="4860">
      <c r="C4860" s="15" t="n">
        <v>111</v>
      </c>
    </row>
    <row r="4861">
      <c r="C4861" s="15" t="n">
        <v>112</v>
      </c>
    </row>
    <row r="4862">
      <c r="C4862" s="15" t="n">
        <v>113</v>
      </c>
    </row>
    <row r="4863">
      <c r="C4863" s="15" t="n">
        <v>114</v>
      </c>
    </row>
    <row r="4864">
      <c r="C4864" s="15" t="n">
        <v>115</v>
      </c>
    </row>
    <row r="4865">
      <c r="C4865" s="15" t="n">
        <v>116</v>
      </c>
    </row>
    <row r="4866">
      <c r="C4866" s="15" t="n">
        <v>117</v>
      </c>
    </row>
    <row r="4867">
      <c r="C4867" s="15" t="n">
        <v>118</v>
      </c>
    </row>
    <row r="4868">
      <c r="C4868" s="15" t="n">
        <v>119</v>
      </c>
    </row>
    <row r="4869">
      <c r="C4869" s="15" t="n">
        <v>120</v>
      </c>
    </row>
    <row r="4870">
      <c r="C4870" s="15" t="n">
        <v>121</v>
      </c>
    </row>
    <row r="4871">
      <c r="C4871" s="15" t="n">
        <v>122</v>
      </c>
    </row>
    <row r="4872">
      <c r="C4872" s="15" t="n">
        <v>123</v>
      </c>
    </row>
    <row r="4873">
      <c r="C4873" s="15" t="n">
        <v>124</v>
      </c>
    </row>
    <row r="4874">
      <c r="C4874" s="15" t="n">
        <v>125</v>
      </c>
    </row>
    <row r="4875">
      <c r="C4875" s="15" t="n">
        <v>126</v>
      </c>
    </row>
    <row r="4876">
      <c r="C4876" s="15" t="n">
        <v>127</v>
      </c>
    </row>
    <row r="4877">
      <c r="C4877" s="15" t="n">
        <v>128</v>
      </c>
    </row>
    <row r="4878">
      <c r="C4878" s="15" t="n">
        <v>129</v>
      </c>
    </row>
    <row r="4879">
      <c r="C4879" s="15" t="n">
        <v>130</v>
      </c>
    </row>
    <row r="4880">
      <c r="C4880" s="15" t="n">
        <v>131</v>
      </c>
    </row>
    <row r="4881">
      <c r="C4881" s="15" t="n">
        <v>132</v>
      </c>
    </row>
    <row r="4882">
      <c r="C4882" s="15" t="n">
        <v>133</v>
      </c>
    </row>
    <row r="4883">
      <c r="C4883" s="15" t="n">
        <v>134</v>
      </c>
    </row>
    <row r="4884">
      <c r="C4884" s="15" t="n">
        <v>135</v>
      </c>
    </row>
    <row r="4885">
      <c r="C4885" s="15" t="n">
        <v>136</v>
      </c>
    </row>
    <row r="4886">
      <c r="C4886" s="15" t="n">
        <v>137</v>
      </c>
    </row>
    <row r="4887">
      <c r="C4887" s="15" t="n">
        <v>138</v>
      </c>
    </row>
    <row r="4888">
      <c r="C4888" s="15" t="n">
        <v>139</v>
      </c>
    </row>
    <row r="4889">
      <c r="C4889" s="15" t="n">
        <v>140</v>
      </c>
    </row>
    <row r="4890">
      <c r="C4890" s="15" t="n">
        <v>141</v>
      </c>
    </row>
    <row r="4891">
      <c r="C4891" s="15" t="n">
        <v>142</v>
      </c>
    </row>
    <row r="4892">
      <c r="C4892" s="15" t="n">
        <v>143</v>
      </c>
    </row>
    <row r="4893">
      <c r="C4893" s="15" t="n">
        <v>144</v>
      </c>
    </row>
    <row r="4894">
      <c r="C4894" s="15" t="n">
        <v>145</v>
      </c>
    </row>
    <row r="4895">
      <c r="C4895" s="15" t="n">
        <v>146</v>
      </c>
    </row>
    <row r="4896">
      <c r="C4896" s="15" t="n">
        <v>147</v>
      </c>
    </row>
    <row r="4897">
      <c r="C4897" s="15" t="n">
        <v>148</v>
      </c>
    </row>
    <row r="4898">
      <c r="C4898" s="15" t="n">
        <v>149</v>
      </c>
    </row>
    <row r="4899">
      <c r="C4899" s="15" t="n">
        <v>150</v>
      </c>
    </row>
    <row r="4900">
      <c r="C4900" s="15" t="n">
        <v>151</v>
      </c>
    </row>
    <row r="4901">
      <c r="C4901" s="15" t="n">
        <v>152</v>
      </c>
    </row>
    <row r="4902">
      <c r="C4902" s="15" t="n">
        <v>153</v>
      </c>
    </row>
    <row r="4903">
      <c r="C4903" s="15" t="n">
        <v>154</v>
      </c>
    </row>
    <row r="4904">
      <c r="C4904" s="15" t="n">
        <v>155</v>
      </c>
    </row>
    <row r="4905">
      <c r="C4905" s="15" t="n">
        <v>156</v>
      </c>
    </row>
    <row r="4906">
      <c r="C4906" s="15" t="n">
        <v>157</v>
      </c>
    </row>
    <row r="4907">
      <c r="C4907" s="15" t="n">
        <v>158</v>
      </c>
    </row>
    <row r="4908">
      <c r="C4908" s="15" t="n">
        <v>159</v>
      </c>
    </row>
    <row r="4909">
      <c r="C4909" s="15" t="n">
        <v>160</v>
      </c>
    </row>
    <row r="4910">
      <c r="C4910" s="15" t="n">
        <v>161</v>
      </c>
    </row>
    <row r="4911">
      <c r="C4911" s="15" t="n">
        <v>162</v>
      </c>
    </row>
    <row r="4912">
      <c r="C4912" s="15" t="n">
        <v>163</v>
      </c>
    </row>
    <row r="4913">
      <c r="C4913" s="15" t="n">
        <v>164</v>
      </c>
    </row>
    <row r="4914">
      <c r="C4914" s="15" t="n">
        <v>165</v>
      </c>
    </row>
    <row r="4915">
      <c r="C4915" s="15" t="n">
        <v>166</v>
      </c>
    </row>
    <row r="4916">
      <c r="C4916" s="15" t="n">
        <v>167</v>
      </c>
    </row>
    <row r="4917">
      <c r="C4917" s="15" t="n">
        <v>168</v>
      </c>
    </row>
    <row r="4918">
      <c r="C4918" s="15" t="n">
        <v>169</v>
      </c>
    </row>
    <row r="4919">
      <c r="C4919" s="15" t="n">
        <v>170</v>
      </c>
    </row>
    <row r="4920">
      <c r="C4920" s="15" t="n">
        <v>171</v>
      </c>
    </row>
    <row r="4921">
      <c r="C4921" s="15" t="n">
        <v>172</v>
      </c>
    </row>
    <row r="4922">
      <c r="C4922" s="15" t="n">
        <v>173</v>
      </c>
    </row>
    <row r="4923">
      <c r="C4923" s="15" t="n">
        <v>174</v>
      </c>
    </row>
    <row r="4924">
      <c r="C4924" s="15" t="n">
        <v>175</v>
      </c>
    </row>
    <row r="4925">
      <c r="C4925" s="15" t="n">
        <v>176</v>
      </c>
    </row>
    <row r="4926">
      <c r="C4926" s="15" t="n">
        <v>177</v>
      </c>
    </row>
    <row r="4927">
      <c r="C4927" s="15" t="n">
        <v>178</v>
      </c>
    </row>
    <row r="4928">
      <c r="C4928" s="15" t="n">
        <v>179</v>
      </c>
    </row>
    <row r="4929">
      <c r="C4929" s="15" t="n">
        <v>180</v>
      </c>
    </row>
    <row r="4930">
      <c r="C4930" s="15" t="n">
        <v>181</v>
      </c>
    </row>
    <row r="4931">
      <c r="C4931" s="15" t="n">
        <v>182</v>
      </c>
    </row>
    <row r="4932">
      <c r="C4932" s="15" t="n">
        <v>183</v>
      </c>
    </row>
    <row r="4933">
      <c r="C4933" s="15" t="n">
        <v>184</v>
      </c>
    </row>
    <row r="4934">
      <c r="C4934" s="15" t="n">
        <v>185</v>
      </c>
    </row>
    <row r="4935">
      <c r="C4935" s="15" t="n">
        <v>186</v>
      </c>
    </row>
    <row r="4936">
      <c r="C4936" s="15" t="n">
        <v>187</v>
      </c>
    </row>
    <row r="4937">
      <c r="C4937" s="15" t="n">
        <v>188</v>
      </c>
    </row>
    <row r="4938">
      <c r="C4938" s="15" t="n">
        <v>189</v>
      </c>
    </row>
    <row r="4939">
      <c r="C4939" s="15" t="n">
        <v>190</v>
      </c>
    </row>
    <row r="4940">
      <c r="C4940" s="15" t="n">
        <v>191</v>
      </c>
    </row>
    <row r="4941">
      <c r="C4941" s="15" t="n">
        <v>192</v>
      </c>
    </row>
    <row r="4942">
      <c r="C4942" s="15" t="n">
        <v>193</v>
      </c>
    </row>
    <row r="4943">
      <c r="C4943" s="15" t="n">
        <v>194</v>
      </c>
    </row>
    <row r="4944">
      <c r="C4944" s="15" t="n">
        <v>195</v>
      </c>
    </row>
    <row r="4945">
      <c r="C4945" s="15" t="n">
        <v>196</v>
      </c>
    </row>
    <row r="4946">
      <c r="C4946" s="15" t="n">
        <v>197</v>
      </c>
    </row>
    <row r="4947">
      <c r="C4947" s="15" t="n">
        <v>198</v>
      </c>
    </row>
  </sheetData>
  <conditionalFormatting sqref="D68:R70">
    <cfRule type="cellIs" priority="6" operator="equal" dxfId="9">
      <formula>1</formula>
    </cfRule>
  </conditionalFormatting>
  <conditionalFormatting sqref="D73:R75">
    <cfRule type="cellIs" priority="5" operator="equal" dxfId="9">
      <formula>1</formula>
    </cfRule>
  </conditionalFormatting>
  <conditionalFormatting sqref="D78:R80">
    <cfRule type="cellIs" priority="8" operator="equal" dxfId="9">
      <formula>1</formula>
    </cfRule>
  </conditionalFormatting>
  <conditionalFormatting sqref="D83:R85">
    <cfRule type="cellIs" priority="7" operator="equal" dxfId="9">
      <formula>1</formula>
    </cfRule>
  </conditionalFormatting>
  <conditionalFormatting sqref="W68:AK70">
    <cfRule type="cellIs" priority="2" operator="equal" dxfId="9">
      <formula>1</formula>
    </cfRule>
  </conditionalFormatting>
  <conditionalFormatting sqref="W73:AK75">
    <cfRule type="cellIs" priority="1" operator="equal" dxfId="9">
      <formula>1</formula>
    </cfRule>
  </conditionalFormatting>
  <conditionalFormatting sqref="W78:AK80">
    <cfRule type="cellIs" priority="4" operator="equal" dxfId="9">
      <formula>1</formula>
    </cfRule>
  </conditionalFormatting>
  <conditionalFormatting sqref="W83:AK85">
    <cfRule type="cellIs" priority="3" operator="equal" dxfId="9">
      <formula>1</formula>
    </cfRule>
  </conditionalFormatting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R105"/>
  <sheetViews>
    <sheetView zoomScale="90" zoomScaleNormal="90" workbookViewId="0">
      <selection activeCell="G33" sqref="G33"/>
    </sheetView>
  </sheetViews>
  <sheetFormatPr baseColWidth="8" defaultRowHeight="14.4"/>
  <cols>
    <col width="3.21875" customWidth="1" style="15" min="1" max="1"/>
    <col width="25.33203125" customWidth="1" style="15" min="2" max="2"/>
    <col width="25.77734375" bestFit="1" customWidth="1" style="15" min="3" max="3"/>
    <col width="12.77734375" customWidth="1" style="15" min="4" max="4"/>
    <col width="12.6640625" customWidth="1" style="15" min="5" max="18"/>
    <col width="8.88671875" customWidth="1" style="15" min="19" max="16384"/>
  </cols>
  <sheetData>
    <row r="1" ht="23.4" customHeight="1">
      <c r="C1" s="60" t="inlineStr">
        <is>
          <t>SUPPLIERS</t>
        </is>
      </c>
    </row>
    <row r="2">
      <c r="C2" s="15" t="inlineStr">
        <is>
          <t>demand</t>
        </is>
      </c>
      <c r="D2" s="15" t="n">
        <v>1</v>
      </c>
      <c r="E2" s="15" t="n">
        <v>2</v>
      </c>
      <c r="F2" s="15" t="n">
        <v>3</v>
      </c>
      <c r="G2" s="15" t="n">
        <v>4</v>
      </c>
      <c r="H2" s="15" t="n">
        <v>5</v>
      </c>
      <c r="I2" s="15" t="n">
        <v>6</v>
      </c>
      <c r="J2" s="15" t="n">
        <v>7</v>
      </c>
      <c r="K2" s="15" t="n">
        <v>8</v>
      </c>
      <c r="L2" s="15" t="n">
        <v>9</v>
      </c>
      <c r="M2" s="15" t="n">
        <v>10</v>
      </c>
      <c r="N2" s="15" t="n">
        <v>11</v>
      </c>
      <c r="O2" s="15" t="n">
        <v>12</v>
      </c>
      <c r="P2" s="15" t="n">
        <v>13</v>
      </c>
      <c r="Q2" s="15" t="n">
        <v>14</v>
      </c>
      <c r="R2" s="15" t="n">
        <v>15</v>
      </c>
    </row>
    <row r="3">
      <c r="C3" s="15" t="n">
        <v>1</v>
      </c>
      <c r="D3" s="39">
        <f>Demand!AU5</f>
        <v/>
      </c>
      <c r="E3" s="39">
        <f>Demand!AV5</f>
        <v/>
      </c>
      <c r="F3" s="39">
        <f>Demand!AW5</f>
        <v/>
      </c>
      <c r="G3" s="39">
        <f>Demand!AX5</f>
        <v/>
      </c>
      <c r="H3" s="55">
        <f>Demand!AY5</f>
        <v/>
      </c>
      <c r="I3" s="55">
        <f>Demand!AZ5</f>
        <v/>
      </c>
      <c r="J3" s="39">
        <f>Demand!BA5</f>
        <v/>
      </c>
      <c r="K3" s="55">
        <f>Demand!BB5</f>
        <v/>
      </c>
      <c r="L3" s="55">
        <f>Demand!BC5</f>
        <v/>
      </c>
      <c r="M3" s="39">
        <f>Demand!BD5</f>
        <v/>
      </c>
      <c r="N3" s="55">
        <f>Demand!BE5</f>
        <v/>
      </c>
      <c r="O3" s="39">
        <f>Demand!BF5</f>
        <v/>
      </c>
      <c r="P3" s="55">
        <f>Demand!BG5</f>
        <v/>
      </c>
      <c r="Q3" s="55">
        <f>Demand!BH5</f>
        <v/>
      </c>
      <c r="R3" s="55">
        <f>Demand!BI5</f>
        <v/>
      </c>
    </row>
    <row r="4">
      <c r="B4" s="39" t="n"/>
      <c r="C4" s="15" t="n">
        <v>2</v>
      </c>
      <c r="D4" s="55">
        <f>Demand!AU6</f>
        <v/>
      </c>
      <c r="E4" s="55">
        <f>Demand!AV6</f>
        <v/>
      </c>
      <c r="F4" s="39">
        <f>Demand!AW6</f>
        <v/>
      </c>
      <c r="G4" s="39">
        <f>Demand!AX6</f>
        <v/>
      </c>
      <c r="H4" s="55">
        <f>Demand!AY6</f>
        <v/>
      </c>
      <c r="I4" s="55">
        <f>Demand!AZ6</f>
        <v/>
      </c>
      <c r="J4" s="55">
        <f>Demand!BA6</f>
        <v/>
      </c>
      <c r="K4" s="39">
        <f>Demand!BB6</f>
        <v/>
      </c>
      <c r="L4" s="39">
        <f>Demand!BC6</f>
        <v/>
      </c>
      <c r="M4" s="55">
        <f>Demand!BD6</f>
        <v/>
      </c>
      <c r="N4" s="39">
        <f>Demand!BE6</f>
        <v/>
      </c>
      <c r="O4" s="55">
        <f>Demand!BF6</f>
        <v/>
      </c>
      <c r="P4" s="55">
        <f>Demand!BG6</f>
        <v/>
      </c>
      <c r="Q4" s="55">
        <f>Demand!BH6</f>
        <v/>
      </c>
      <c r="R4" s="55">
        <f>Demand!BI6</f>
        <v/>
      </c>
    </row>
    <row r="5">
      <c r="C5" s="15" t="n">
        <v>3</v>
      </c>
      <c r="D5" s="55">
        <f>Demand!AU7</f>
        <v/>
      </c>
      <c r="E5" s="39">
        <f>Demand!AV7</f>
        <v/>
      </c>
      <c r="F5" s="39">
        <f>Demand!AW7</f>
        <v/>
      </c>
      <c r="G5" s="55">
        <f>Demand!AX7</f>
        <v/>
      </c>
      <c r="H5" s="39">
        <f>Demand!AY7</f>
        <v/>
      </c>
      <c r="I5" s="55">
        <f>Demand!AZ7</f>
        <v/>
      </c>
      <c r="J5" s="55">
        <f>Demand!BA7</f>
        <v/>
      </c>
      <c r="K5" s="39">
        <f>Demand!BB7</f>
        <v/>
      </c>
      <c r="L5" s="39">
        <f>Demand!BC7</f>
        <v/>
      </c>
      <c r="M5" s="39">
        <f>Demand!BD7</f>
        <v/>
      </c>
      <c r="N5" s="55">
        <f>Demand!BE7</f>
        <v/>
      </c>
      <c r="O5" s="55">
        <f>Demand!BF7</f>
        <v/>
      </c>
      <c r="P5" s="39">
        <f>Demand!BG7</f>
        <v/>
      </c>
      <c r="Q5" s="39">
        <f>Demand!BH7</f>
        <v/>
      </c>
      <c r="R5" s="55">
        <f>Demand!BI7</f>
        <v/>
      </c>
    </row>
    <row r="7">
      <c r="B7" s="15" t="inlineStr">
        <is>
          <t>Parâmetro p/ μy</t>
        </is>
      </c>
      <c r="C7" s="15" t="inlineStr">
        <is>
          <t>Média(E(RLT))</t>
        </is>
      </c>
      <c r="D7" s="15" t="n">
        <v>1</v>
      </c>
      <c r="E7" s="15" t="n">
        <v>2</v>
      </c>
      <c r="F7" s="15" t="n">
        <v>3</v>
      </c>
      <c r="G7" s="15" t="n">
        <v>4</v>
      </c>
      <c r="H7" s="15" t="n">
        <v>5</v>
      </c>
      <c r="I7" s="15" t="n">
        <v>6</v>
      </c>
      <c r="J7" s="15" t="n">
        <v>7</v>
      </c>
      <c r="K7" s="15" t="n">
        <v>8</v>
      </c>
      <c r="L7" s="15" t="n">
        <v>9</v>
      </c>
      <c r="M7" s="15" t="n">
        <v>10</v>
      </c>
      <c r="N7" s="15" t="n">
        <v>11</v>
      </c>
      <c r="O7" s="15" t="n">
        <v>12</v>
      </c>
      <c r="P7" s="15" t="n">
        <v>13</v>
      </c>
      <c r="Q7" s="15" t="n">
        <v>14</v>
      </c>
      <c r="R7" s="15" t="n">
        <v>15</v>
      </c>
    </row>
    <row r="8">
      <c r="B8" s="15" t="inlineStr">
        <is>
          <t>LB e DesvPad(ND*RLT)</t>
        </is>
      </c>
      <c r="C8" s="15" t="n">
        <v>1</v>
      </c>
      <c r="D8" s="39">
        <f>Suppliers!I22</f>
        <v/>
      </c>
      <c r="E8" s="39">
        <f>Suppliers!J22</f>
        <v/>
      </c>
      <c r="F8" s="39">
        <f>Suppliers!K22</f>
        <v/>
      </c>
      <c r="G8" s="39">
        <f>Suppliers!L22</f>
        <v/>
      </c>
      <c r="H8" s="55">
        <f>Suppliers!M22</f>
        <v/>
      </c>
      <c r="I8" s="55">
        <f>Suppliers!N22</f>
        <v/>
      </c>
      <c r="J8" s="39">
        <f>Suppliers!O22</f>
        <v/>
      </c>
      <c r="K8" s="55">
        <f>Suppliers!P22</f>
        <v/>
      </c>
      <c r="L8" s="55">
        <f>Suppliers!Q22</f>
        <v/>
      </c>
      <c r="M8" s="39">
        <f>Suppliers!R22</f>
        <v/>
      </c>
      <c r="N8" s="55">
        <f>Suppliers!S22</f>
        <v/>
      </c>
      <c r="O8" s="39">
        <f>Suppliers!T22</f>
        <v/>
      </c>
      <c r="P8" s="55">
        <f>Suppliers!U22</f>
        <v/>
      </c>
      <c r="Q8" s="55">
        <f>Suppliers!V22</f>
        <v/>
      </c>
      <c r="R8" s="55">
        <f>Suppliers!W22</f>
        <v/>
      </c>
    </row>
    <row r="9">
      <c r="B9" s="15" t="inlineStr">
        <is>
          <t>LB e DesvPad(ND*RLT)</t>
        </is>
      </c>
      <c r="C9" s="15" t="n">
        <v>2</v>
      </c>
      <c r="D9" s="55">
        <f>Suppliers!I23</f>
        <v/>
      </c>
      <c r="E9" s="55">
        <f>Suppliers!J23</f>
        <v/>
      </c>
      <c r="F9" s="39">
        <f>Suppliers!K23</f>
        <v/>
      </c>
      <c r="G9" s="39">
        <f>Suppliers!L23</f>
        <v/>
      </c>
      <c r="H9" s="55">
        <f>Suppliers!M23</f>
        <v/>
      </c>
      <c r="I9" s="55">
        <f>Suppliers!N23</f>
        <v/>
      </c>
      <c r="J9" s="55">
        <f>Suppliers!O23</f>
        <v/>
      </c>
      <c r="K9" s="39">
        <f>Suppliers!P23</f>
        <v/>
      </c>
      <c r="L9" s="39">
        <f>Suppliers!Q23</f>
        <v/>
      </c>
      <c r="M9" s="55">
        <f>Suppliers!R23</f>
        <v/>
      </c>
      <c r="N9" s="39">
        <f>Suppliers!S23</f>
        <v/>
      </c>
      <c r="O9" s="55">
        <f>Suppliers!T23</f>
        <v/>
      </c>
      <c r="P9" s="55">
        <f>Suppliers!U23</f>
        <v/>
      </c>
      <c r="Q9" s="55">
        <f>Suppliers!V23</f>
        <v/>
      </c>
      <c r="R9" s="55">
        <f>Suppliers!W23</f>
        <v/>
      </c>
    </row>
    <row r="10">
      <c r="B10" s="15" t="inlineStr">
        <is>
          <t>LB e DesvPad(ND*RLT)</t>
        </is>
      </c>
      <c r="C10" s="15" t="n">
        <v>3</v>
      </c>
      <c r="D10" s="55">
        <f>Suppliers!I24</f>
        <v/>
      </c>
      <c r="E10" s="39">
        <f>Suppliers!J24</f>
        <v/>
      </c>
      <c r="F10" s="39">
        <f>Suppliers!K24</f>
        <v/>
      </c>
      <c r="G10" s="55">
        <f>Suppliers!L24</f>
        <v/>
      </c>
      <c r="H10" s="39">
        <f>Suppliers!M24</f>
        <v/>
      </c>
      <c r="I10" s="55">
        <f>Suppliers!N24</f>
        <v/>
      </c>
      <c r="J10" s="55">
        <f>Suppliers!O24</f>
        <v/>
      </c>
      <c r="K10" s="39">
        <f>Suppliers!P24</f>
        <v/>
      </c>
      <c r="L10" s="39">
        <f>Suppliers!Q24</f>
        <v/>
      </c>
      <c r="M10" s="39">
        <f>Suppliers!R24</f>
        <v/>
      </c>
      <c r="N10" s="55">
        <f>Suppliers!S24</f>
        <v/>
      </c>
      <c r="O10" s="55">
        <f>Suppliers!T24</f>
        <v/>
      </c>
      <c r="P10" s="39">
        <f>Suppliers!U24</f>
        <v/>
      </c>
      <c r="Q10" s="39">
        <f>Suppliers!V24</f>
        <v/>
      </c>
      <c r="R10" s="55">
        <f>Suppliers!W24</f>
        <v/>
      </c>
    </row>
    <row r="12">
      <c r="C12" s="15" t="inlineStr">
        <is>
          <t>Cap</t>
        </is>
      </c>
      <c r="D12" s="15" t="n">
        <v>1</v>
      </c>
      <c r="E12" s="15" t="n">
        <v>2</v>
      </c>
      <c r="F12" s="15" t="n">
        <v>3</v>
      </c>
      <c r="G12" s="15" t="n">
        <v>4</v>
      </c>
      <c r="H12" s="15" t="n">
        <v>5</v>
      </c>
      <c r="I12" s="15" t="n">
        <v>6</v>
      </c>
      <c r="J12" s="15" t="n">
        <v>7</v>
      </c>
      <c r="K12" s="15" t="n">
        <v>8</v>
      </c>
      <c r="L12" s="15" t="n">
        <v>9</v>
      </c>
      <c r="M12" s="15" t="n">
        <v>10</v>
      </c>
      <c r="N12" s="15" t="n">
        <v>11</v>
      </c>
      <c r="O12" s="15" t="n">
        <v>12</v>
      </c>
      <c r="P12" s="15" t="n">
        <v>13</v>
      </c>
      <c r="Q12" s="15" t="n">
        <v>14</v>
      </c>
      <c r="R12" s="15" t="n">
        <v>15</v>
      </c>
    </row>
    <row r="13">
      <c r="C13" s="15" t="n">
        <v>1</v>
      </c>
      <c r="D13" s="39">
        <f>Suppliers_Cap!D14</f>
        <v/>
      </c>
      <c r="E13" s="39">
        <f>Suppliers_Cap!E14</f>
        <v/>
      </c>
      <c r="F13" s="39">
        <f>Suppliers_Cap!F14</f>
        <v/>
      </c>
      <c r="G13" s="39">
        <f>Suppliers_Cap!G14</f>
        <v/>
      </c>
      <c r="H13" s="55">
        <f>Suppliers_Cap!H14</f>
        <v/>
      </c>
      <c r="I13" s="55">
        <f>Suppliers_Cap!I14</f>
        <v/>
      </c>
      <c r="J13" s="39">
        <f>Suppliers_Cap!J14</f>
        <v/>
      </c>
      <c r="K13" s="55">
        <f>Suppliers_Cap!K14</f>
        <v/>
      </c>
      <c r="L13" s="55">
        <f>Suppliers_Cap!L14</f>
        <v/>
      </c>
      <c r="M13" s="39">
        <f>Suppliers_Cap!M14</f>
        <v/>
      </c>
      <c r="N13" s="55">
        <f>Suppliers_Cap!N14</f>
        <v/>
      </c>
      <c r="O13" s="39">
        <f>Suppliers_Cap!O14</f>
        <v/>
      </c>
      <c r="P13" s="55">
        <f>Suppliers_Cap!P14</f>
        <v/>
      </c>
      <c r="Q13" s="55">
        <f>Suppliers_Cap!Q14</f>
        <v/>
      </c>
      <c r="R13" s="55">
        <f>Suppliers_Cap!R14</f>
        <v/>
      </c>
    </row>
    <row r="14">
      <c r="C14" s="15" t="n">
        <v>2</v>
      </c>
      <c r="D14" s="55">
        <f>Suppliers_Cap!D15</f>
        <v/>
      </c>
      <c r="E14" s="55">
        <f>Suppliers_Cap!E15</f>
        <v/>
      </c>
      <c r="F14" s="39">
        <f>Suppliers_Cap!F15</f>
        <v/>
      </c>
      <c r="G14" s="39">
        <f>Suppliers_Cap!G15</f>
        <v/>
      </c>
      <c r="H14" s="55">
        <f>Suppliers_Cap!H15</f>
        <v/>
      </c>
      <c r="I14" s="55">
        <f>Suppliers_Cap!I15</f>
        <v/>
      </c>
      <c r="J14" s="55">
        <f>Suppliers_Cap!J15</f>
        <v/>
      </c>
      <c r="K14" s="39">
        <f>Suppliers_Cap!K15</f>
        <v/>
      </c>
      <c r="L14" s="39">
        <f>Suppliers_Cap!L15</f>
        <v/>
      </c>
      <c r="M14" s="55">
        <f>Suppliers_Cap!M15</f>
        <v/>
      </c>
      <c r="N14" s="39">
        <f>Suppliers_Cap!N15</f>
        <v/>
      </c>
      <c r="O14" s="55">
        <f>Suppliers_Cap!O15</f>
        <v/>
      </c>
      <c r="P14" s="55">
        <f>Suppliers_Cap!P15</f>
        <v/>
      </c>
      <c r="Q14" s="55">
        <f>Suppliers_Cap!Q15</f>
        <v/>
      </c>
      <c r="R14" s="55">
        <f>Suppliers_Cap!R15</f>
        <v/>
      </c>
    </row>
    <row r="15">
      <c r="C15" s="15" t="n">
        <v>3</v>
      </c>
      <c r="D15" s="55">
        <f>Suppliers_Cap!D16</f>
        <v/>
      </c>
      <c r="E15" s="39">
        <f>Suppliers_Cap!E16</f>
        <v/>
      </c>
      <c r="F15" s="39">
        <f>Suppliers_Cap!F16</f>
        <v/>
      </c>
      <c r="G15" s="55">
        <f>Suppliers_Cap!G16</f>
        <v/>
      </c>
      <c r="H15" s="39">
        <f>Suppliers_Cap!H16</f>
        <v/>
      </c>
      <c r="I15" s="55">
        <f>Suppliers_Cap!I16</f>
        <v/>
      </c>
      <c r="J15" s="55">
        <f>Suppliers_Cap!J16</f>
        <v/>
      </c>
      <c r="K15" s="39">
        <f>Suppliers_Cap!K16</f>
        <v/>
      </c>
      <c r="L15" s="39">
        <f>Suppliers_Cap!L16</f>
        <v/>
      </c>
      <c r="M15" s="39">
        <f>Suppliers_Cap!M16</f>
        <v/>
      </c>
      <c r="N15" s="55">
        <f>Suppliers_Cap!N16</f>
        <v/>
      </c>
      <c r="O15" s="55">
        <f>Suppliers_Cap!O16</f>
        <v/>
      </c>
      <c r="P15" s="39">
        <f>Suppliers_Cap!P16</f>
        <v/>
      </c>
      <c r="Q15" s="39">
        <f>Suppliers_Cap!Q16</f>
        <v/>
      </c>
      <c r="R15" s="55">
        <f>Suppliers_Cap!R16</f>
        <v/>
      </c>
    </row>
    <row r="17">
      <c r="B17" s="15" t="inlineStr">
        <is>
          <t>Parâmetro p/ μx</t>
        </is>
      </c>
      <c r="C17" s="15" t="inlineStr">
        <is>
          <t>Var(d-cap)</t>
        </is>
      </c>
      <c r="D17" s="15" t="n">
        <v>1</v>
      </c>
      <c r="E17" s="15" t="n">
        <v>2</v>
      </c>
      <c r="F17" s="15" t="n">
        <v>3</v>
      </c>
      <c r="G17" s="15" t="n">
        <v>4</v>
      </c>
      <c r="H17" s="15" t="n">
        <v>5</v>
      </c>
      <c r="I17" s="15" t="n">
        <v>6</v>
      </c>
      <c r="J17" s="15" t="n">
        <v>7</v>
      </c>
      <c r="K17" s="15" t="n">
        <v>8</v>
      </c>
      <c r="L17" s="15" t="n">
        <v>9</v>
      </c>
      <c r="M17" s="15" t="n">
        <v>10</v>
      </c>
      <c r="N17" s="15" t="n">
        <v>11</v>
      </c>
      <c r="O17" s="15" t="n">
        <v>12</v>
      </c>
      <c r="P17" s="15" t="n">
        <v>13</v>
      </c>
      <c r="Q17" s="15" t="n">
        <v>14</v>
      </c>
      <c r="R17" s="15" t="n">
        <v>15</v>
      </c>
    </row>
    <row r="18">
      <c r="B18" s="15" t="inlineStr">
        <is>
          <t>LB</t>
        </is>
      </c>
      <c r="C18" s="15" t="n">
        <v>1</v>
      </c>
      <c r="D18" s="79">
        <f>Suppliers!I17^2</f>
        <v/>
      </c>
      <c r="E18" s="79">
        <f>Suppliers!J17^2</f>
        <v/>
      </c>
      <c r="F18" s="79">
        <f>Suppliers!K17^2</f>
        <v/>
      </c>
      <c r="G18" s="79">
        <f>Suppliers!L17^2</f>
        <v/>
      </c>
      <c r="H18" s="80">
        <f>Suppliers!M17^2</f>
        <v/>
      </c>
      <c r="I18" s="80">
        <f>Suppliers!N17^2</f>
        <v/>
      </c>
      <c r="J18" s="79">
        <f>Suppliers!O17^2</f>
        <v/>
      </c>
      <c r="K18" s="80">
        <f>Suppliers!P17^2</f>
        <v/>
      </c>
      <c r="L18" s="80">
        <f>Suppliers!Q17^2</f>
        <v/>
      </c>
      <c r="M18" s="79">
        <f>Suppliers!R17^2</f>
        <v/>
      </c>
      <c r="N18" s="80">
        <f>Suppliers!S17^2</f>
        <v/>
      </c>
      <c r="O18" s="79">
        <f>Suppliers!T17^2</f>
        <v/>
      </c>
      <c r="P18" s="80">
        <f>Suppliers!U17^2</f>
        <v/>
      </c>
      <c r="Q18" s="80">
        <f>Suppliers!V17^2</f>
        <v/>
      </c>
      <c r="R18" s="80">
        <f>Suppliers!W17^2</f>
        <v/>
      </c>
    </row>
    <row r="19">
      <c r="B19" s="15" t="inlineStr">
        <is>
          <t>LB</t>
        </is>
      </c>
      <c r="C19" s="15" t="n">
        <v>2</v>
      </c>
      <c r="D19" s="80">
        <f>Suppliers!I18^2</f>
        <v/>
      </c>
      <c r="E19" s="80">
        <f>Suppliers!J18^2</f>
        <v/>
      </c>
      <c r="F19" s="79">
        <f>Suppliers!K18^2</f>
        <v/>
      </c>
      <c r="G19" s="79">
        <f>Suppliers!L18^2</f>
        <v/>
      </c>
      <c r="H19" s="80">
        <f>Suppliers!M18^2</f>
        <v/>
      </c>
      <c r="I19" s="80">
        <f>Suppliers!N18^2</f>
        <v/>
      </c>
      <c r="J19" s="80">
        <f>Suppliers!O18^2</f>
        <v/>
      </c>
      <c r="K19" s="79">
        <f>Suppliers!P18^2</f>
        <v/>
      </c>
      <c r="L19" s="79">
        <f>Suppliers!Q18^2</f>
        <v/>
      </c>
      <c r="M19" s="80">
        <f>Suppliers!R18^2</f>
        <v/>
      </c>
      <c r="N19" s="79">
        <f>Suppliers!S18^2</f>
        <v/>
      </c>
      <c r="O19" s="80">
        <f>Suppliers!T18^2</f>
        <v/>
      </c>
      <c r="P19" s="80">
        <f>Suppliers!U18^2</f>
        <v/>
      </c>
      <c r="Q19" s="80">
        <f>Suppliers!V18^2</f>
        <v/>
      </c>
      <c r="R19" s="80">
        <f>Suppliers!W18^2</f>
        <v/>
      </c>
    </row>
    <row r="20">
      <c r="B20" s="15" t="inlineStr">
        <is>
          <t>LB</t>
        </is>
      </c>
      <c r="C20" s="15" t="n">
        <v>3</v>
      </c>
      <c r="D20" s="80">
        <f>Suppliers!I19^2</f>
        <v/>
      </c>
      <c r="E20" s="79">
        <f>Suppliers!J19^2</f>
        <v/>
      </c>
      <c r="F20" s="79">
        <f>Suppliers!K19^2</f>
        <v/>
      </c>
      <c r="G20" s="80">
        <f>Suppliers!L19^2</f>
        <v/>
      </c>
      <c r="H20" s="79">
        <f>Suppliers!M19^2</f>
        <v/>
      </c>
      <c r="I20" s="80">
        <f>Suppliers!N19^2</f>
        <v/>
      </c>
      <c r="J20" s="80">
        <f>Suppliers!O19^2</f>
        <v/>
      </c>
      <c r="K20" s="79">
        <f>Suppliers!P19^2</f>
        <v/>
      </c>
      <c r="L20" s="79">
        <f>Suppliers!Q19^2</f>
        <v/>
      </c>
      <c r="M20" s="79">
        <f>Suppliers!R19^2</f>
        <v/>
      </c>
      <c r="N20" s="80">
        <f>Suppliers!S19^2</f>
        <v/>
      </c>
      <c r="O20" s="80">
        <f>Suppliers!T19^2</f>
        <v/>
      </c>
      <c r="P20" s="79">
        <f>Suppliers!U19^2</f>
        <v/>
      </c>
      <c r="Q20" s="79">
        <f>Suppliers!V19^2</f>
        <v/>
      </c>
      <c r="R20" s="80">
        <f>Suppliers!W19^2</f>
        <v/>
      </c>
    </row>
    <row r="22" ht="16.2" customHeight="1">
      <c r="B22" s="15" t="inlineStr">
        <is>
          <t>Parâmetro p/ σx</t>
        </is>
      </c>
      <c r="C22" s="15" t="inlineStr">
        <is>
          <t>Desvpad(Var(S2nd))</t>
        </is>
      </c>
      <c r="D22" s="15" t="n">
        <v>1</v>
      </c>
      <c r="E22" s="15" t="n">
        <v>2</v>
      </c>
      <c r="F22" s="15" t="n">
        <v>3</v>
      </c>
      <c r="G22" s="15" t="n">
        <v>4</v>
      </c>
      <c r="H22" s="15" t="n">
        <v>5</v>
      </c>
      <c r="I22" s="15" t="n">
        <v>6</v>
      </c>
      <c r="J22" s="15" t="n">
        <v>7</v>
      </c>
      <c r="K22" s="15" t="n">
        <v>8</v>
      </c>
      <c r="L22" s="15" t="n">
        <v>9</v>
      </c>
      <c r="M22" s="15" t="n">
        <v>10</v>
      </c>
      <c r="N22" s="15" t="n">
        <v>11</v>
      </c>
      <c r="O22" s="15" t="n">
        <v>12</v>
      </c>
      <c r="P22" s="15" t="n">
        <v>13</v>
      </c>
      <c r="Q22" s="15" t="n">
        <v>14</v>
      </c>
      <c r="R22" s="15" t="n">
        <v>15</v>
      </c>
    </row>
    <row r="23">
      <c r="B23" s="15" t="inlineStr">
        <is>
          <t>LB</t>
        </is>
      </c>
      <c r="C23" s="15" t="n">
        <v>1</v>
      </c>
      <c r="D23" s="79">
        <f>Supp_Fourth_central_moment_5var!D35</f>
        <v/>
      </c>
      <c r="E23" s="79">
        <f>Supp_Fourth_central_moment_5var!E35</f>
        <v/>
      </c>
      <c r="F23" s="79">
        <f>Supp_Fourth_central_moment_5var!F35</f>
        <v/>
      </c>
      <c r="G23" s="79">
        <f>Supp_Fourth_central_moment_5var!G35</f>
        <v/>
      </c>
      <c r="H23" s="80">
        <f>Supp_Fourth_central_moment_5var!H35</f>
        <v/>
      </c>
      <c r="I23" s="80">
        <f>Supp_Fourth_central_moment_5var!I35</f>
        <v/>
      </c>
      <c r="J23" s="79">
        <f>Supp_Fourth_central_moment_5var!J35</f>
        <v/>
      </c>
      <c r="K23" s="80">
        <f>Supp_Fourth_central_moment_5var!K35</f>
        <v/>
      </c>
      <c r="L23" s="80">
        <f>Supp_Fourth_central_moment_5var!L35</f>
        <v/>
      </c>
      <c r="M23" s="79">
        <f>Supp_Fourth_central_moment_5var!M35</f>
        <v/>
      </c>
      <c r="N23" s="80">
        <f>Supp_Fourth_central_moment_5var!N35</f>
        <v/>
      </c>
      <c r="O23" s="79">
        <f>Supp_Fourth_central_moment_5var!O35</f>
        <v/>
      </c>
      <c r="P23" s="80">
        <f>Supp_Fourth_central_moment_5var!P35</f>
        <v/>
      </c>
      <c r="Q23" s="80">
        <f>Supp_Fourth_central_moment_5var!Q35</f>
        <v/>
      </c>
      <c r="R23" s="80">
        <f>Supp_Fourth_central_moment_5var!R35</f>
        <v/>
      </c>
    </row>
    <row r="24">
      <c r="B24" s="15" t="inlineStr">
        <is>
          <t>LB</t>
        </is>
      </c>
      <c r="C24" s="15" t="n">
        <v>2</v>
      </c>
      <c r="D24" s="80">
        <f>Supp_Fourth_central_moment_5var!D36</f>
        <v/>
      </c>
      <c r="E24" s="80">
        <f>Supp_Fourth_central_moment_5var!E36</f>
        <v/>
      </c>
      <c r="F24" s="79">
        <f>Supp_Fourth_central_moment_5var!F36</f>
        <v/>
      </c>
      <c r="G24" s="79">
        <f>Supp_Fourth_central_moment_5var!G36</f>
        <v/>
      </c>
      <c r="H24" s="80">
        <f>Supp_Fourth_central_moment_5var!H36</f>
        <v/>
      </c>
      <c r="I24" s="80">
        <f>Supp_Fourth_central_moment_5var!I36</f>
        <v/>
      </c>
      <c r="J24" s="80">
        <f>Supp_Fourth_central_moment_5var!J36</f>
        <v/>
      </c>
      <c r="K24" s="79">
        <f>Supp_Fourth_central_moment_5var!K36</f>
        <v/>
      </c>
      <c r="L24" s="79">
        <f>Supp_Fourth_central_moment_5var!L36</f>
        <v/>
      </c>
      <c r="M24" s="80">
        <f>Supp_Fourth_central_moment_5var!M36</f>
        <v/>
      </c>
      <c r="N24" s="79">
        <f>Supp_Fourth_central_moment_5var!N36</f>
        <v/>
      </c>
      <c r="O24" s="80">
        <f>Supp_Fourth_central_moment_5var!O36</f>
        <v/>
      </c>
      <c r="P24" s="80">
        <f>Supp_Fourth_central_moment_5var!P36</f>
        <v/>
      </c>
      <c r="Q24" s="80">
        <f>Supp_Fourth_central_moment_5var!Q36</f>
        <v/>
      </c>
      <c r="R24" s="80">
        <f>Supp_Fourth_central_moment_5var!R36</f>
        <v/>
      </c>
    </row>
    <row r="25">
      <c r="B25" s="15" t="inlineStr">
        <is>
          <t>LB</t>
        </is>
      </c>
      <c r="C25" s="15" t="n">
        <v>3</v>
      </c>
      <c r="D25" s="80">
        <f>Supp_Fourth_central_moment_5var!D37</f>
        <v/>
      </c>
      <c r="E25" s="79">
        <f>Supp_Fourth_central_moment_5var!E37</f>
        <v/>
      </c>
      <c r="F25" s="79">
        <f>Supp_Fourth_central_moment_5var!F37</f>
        <v/>
      </c>
      <c r="G25" s="80">
        <f>Supp_Fourth_central_moment_5var!G37</f>
        <v/>
      </c>
      <c r="H25" s="79">
        <f>Supp_Fourth_central_moment_5var!H37</f>
        <v/>
      </c>
      <c r="I25" s="80">
        <f>Supp_Fourth_central_moment_5var!I37</f>
        <v/>
      </c>
      <c r="J25" s="80">
        <f>Supp_Fourth_central_moment_5var!J37</f>
        <v/>
      </c>
      <c r="K25" s="79">
        <f>Supp_Fourth_central_moment_5var!K37</f>
        <v/>
      </c>
      <c r="L25" s="79">
        <f>Supp_Fourth_central_moment_5var!L37</f>
        <v/>
      </c>
      <c r="M25" s="79">
        <f>Supp_Fourth_central_moment_5var!M37</f>
        <v/>
      </c>
      <c r="N25" s="80">
        <f>Supp_Fourth_central_moment_5var!N37</f>
        <v/>
      </c>
      <c r="O25" s="80">
        <f>Supp_Fourth_central_moment_5var!O37</f>
        <v/>
      </c>
      <c r="P25" s="79">
        <f>Supp_Fourth_central_moment_5var!P37</f>
        <v/>
      </c>
      <c r="Q25" s="79">
        <f>Supp_Fourth_central_moment_5var!Q37</f>
        <v/>
      </c>
      <c r="R25" s="80">
        <f>Supp_Fourth_central_moment_5var!R37</f>
        <v/>
      </c>
    </row>
    <row r="27">
      <c r="B27" s="15" t="inlineStr">
        <is>
          <t>Parâmetro p/ σy</t>
        </is>
      </c>
      <c r="C27" s="15" t="inlineStr">
        <is>
          <t>DesvPad(Var(E(RLT)))</t>
        </is>
      </c>
      <c r="D27" s="15" t="n">
        <v>1</v>
      </c>
      <c r="E27" s="15" t="n">
        <v>2</v>
      </c>
      <c r="F27" s="15" t="n">
        <v>3</v>
      </c>
      <c r="G27" s="15" t="n">
        <v>4</v>
      </c>
      <c r="H27" s="15" t="n">
        <v>5</v>
      </c>
      <c r="I27" s="15" t="n">
        <v>6</v>
      </c>
      <c r="J27" s="15" t="n">
        <v>7</v>
      </c>
      <c r="K27" s="15" t="n">
        <v>8</v>
      </c>
      <c r="L27" s="15" t="n">
        <v>9</v>
      </c>
      <c r="M27" s="15" t="n">
        <v>10</v>
      </c>
      <c r="N27" s="15" t="n">
        <v>11</v>
      </c>
      <c r="O27" s="15" t="n">
        <v>12</v>
      </c>
      <c r="P27" s="15" t="n">
        <v>13</v>
      </c>
      <c r="Q27" s="15" t="n">
        <v>14</v>
      </c>
      <c r="R27" s="15" t="n">
        <v>15</v>
      </c>
    </row>
    <row r="28">
      <c r="B28" s="15" t="inlineStr">
        <is>
          <t>LB e DesvPad(ND*RLT)</t>
        </is>
      </c>
      <c r="C28" s="15" t="n">
        <v>1</v>
      </c>
      <c r="D28" s="79">
        <f>Suppliers!I27</f>
        <v/>
      </c>
      <c r="E28" s="79">
        <f>Suppliers!J27</f>
        <v/>
      </c>
      <c r="F28" s="79">
        <f>Suppliers!K27</f>
        <v/>
      </c>
      <c r="G28" s="79">
        <f>Suppliers!L27</f>
        <v/>
      </c>
      <c r="H28" s="80">
        <f>Suppliers!M27</f>
        <v/>
      </c>
      <c r="I28" s="80">
        <f>Suppliers!N27</f>
        <v/>
      </c>
      <c r="J28" s="79">
        <f>Suppliers!O27</f>
        <v/>
      </c>
      <c r="K28" s="80">
        <f>Suppliers!P27</f>
        <v/>
      </c>
      <c r="L28" s="80">
        <f>Suppliers!Q27</f>
        <v/>
      </c>
      <c r="M28" s="79">
        <f>Suppliers!R27</f>
        <v/>
      </c>
      <c r="N28" s="80">
        <f>Suppliers!S27</f>
        <v/>
      </c>
      <c r="O28" s="79">
        <f>Suppliers!T27</f>
        <v/>
      </c>
      <c r="P28" s="80">
        <f>Suppliers!U27</f>
        <v/>
      </c>
      <c r="Q28" s="80">
        <f>Suppliers!V27</f>
        <v/>
      </c>
      <c r="R28" s="80">
        <f>Suppliers!W27</f>
        <v/>
      </c>
    </row>
    <row r="29">
      <c r="B29" s="15" t="inlineStr">
        <is>
          <t>LB e DesvPad(ND*RLT)</t>
        </is>
      </c>
      <c r="C29" s="15" t="n">
        <v>2</v>
      </c>
      <c r="D29" s="80">
        <f>Suppliers!I28</f>
        <v/>
      </c>
      <c r="E29" s="80">
        <f>Suppliers!J28</f>
        <v/>
      </c>
      <c r="F29" s="79">
        <f>Suppliers!K28</f>
        <v/>
      </c>
      <c r="G29" s="79">
        <f>Suppliers!L28</f>
        <v/>
      </c>
      <c r="H29" s="80">
        <f>Suppliers!M28</f>
        <v/>
      </c>
      <c r="I29" s="80">
        <f>Suppliers!N28</f>
        <v/>
      </c>
      <c r="J29" s="80">
        <f>Suppliers!O28</f>
        <v/>
      </c>
      <c r="K29" s="79">
        <f>Suppliers!P28</f>
        <v/>
      </c>
      <c r="L29" s="79">
        <f>Suppliers!Q28</f>
        <v/>
      </c>
      <c r="M29" s="80">
        <f>Suppliers!R28</f>
        <v/>
      </c>
      <c r="N29" s="79">
        <f>Suppliers!S28</f>
        <v/>
      </c>
      <c r="O29" s="80">
        <f>Suppliers!T28</f>
        <v/>
      </c>
      <c r="P29" s="80">
        <f>Suppliers!U28</f>
        <v/>
      </c>
      <c r="Q29" s="80">
        <f>Suppliers!V28</f>
        <v/>
      </c>
      <c r="R29" s="80">
        <f>Suppliers!W28</f>
        <v/>
      </c>
    </row>
    <row r="30">
      <c r="B30" s="15" t="inlineStr">
        <is>
          <t>LB e DesvPad(ND*RLT)</t>
        </is>
      </c>
      <c r="C30" s="15" t="n">
        <v>3</v>
      </c>
      <c r="D30" s="80">
        <f>Suppliers!I29</f>
        <v/>
      </c>
      <c r="E30" s="79">
        <f>Suppliers!J29</f>
        <v/>
      </c>
      <c r="F30" s="79">
        <f>Suppliers!K29</f>
        <v/>
      </c>
      <c r="G30" s="80">
        <f>Suppliers!L29</f>
        <v/>
      </c>
      <c r="H30" s="79">
        <f>Suppliers!M29</f>
        <v/>
      </c>
      <c r="I30" s="80">
        <f>Suppliers!N29</f>
        <v/>
      </c>
      <c r="J30" s="80">
        <f>Suppliers!O29</f>
        <v/>
      </c>
      <c r="K30" s="79">
        <f>Suppliers!P29</f>
        <v/>
      </c>
      <c r="L30" s="79">
        <f>Suppliers!Q29</f>
        <v/>
      </c>
      <c r="M30" s="79">
        <f>Suppliers!R29</f>
        <v/>
      </c>
      <c r="N30" s="80">
        <f>Suppliers!S29</f>
        <v/>
      </c>
      <c r="O30" s="80">
        <f>Suppliers!T29</f>
        <v/>
      </c>
      <c r="P30" s="79">
        <f>Suppliers!U29</f>
        <v/>
      </c>
      <c r="Q30" s="79">
        <f>Suppliers!V29</f>
        <v/>
      </c>
      <c r="R30" s="80">
        <f>Suppliers!W29</f>
        <v/>
      </c>
    </row>
    <row r="32">
      <c r="B32" s="15" t="inlineStr">
        <is>
          <t>Parâmetro p/ μx</t>
        </is>
      </c>
      <c r="C32" s="15" t="inlineStr">
        <is>
          <t>Média(d-Cap)</t>
        </is>
      </c>
      <c r="D32" s="15" t="n">
        <v>1</v>
      </c>
      <c r="E32" s="15" t="n">
        <v>2</v>
      </c>
      <c r="F32" s="15" t="n">
        <v>3</v>
      </c>
      <c r="G32" s="15" t="n">
        <v>4</v>
      </c>
      <c r="H32" s="15" t="n">
        <v>5</v>
      </c>
      <c r="I32" s="15" t="n">
        <v>6</v>
      </c>
      <c r="J32" s="15" t="n">
        <v>7</v>
      </c>
      <c r="K32" s="15" t="n">
        <v>8</v>
      </c>
      <c r="L32" s="15" t="n">
        <v>9</v>
      </c>
      <c r="M32" s="15" t="n">
        <v>10</v>
      </c>
      <c r="N32" s="15" t="n">
        <v>11</v>
      </c>
      <c r="O32" s="15" t="n">
        <v>12</v>
      </c>
      <c r="P32" s="15" t="n">
        <v>13</v>
      </c>
      <c r="Q32" s="15" t="n">
        <v>14</v>
      </c>
      <c r="R32" s="15" t="n">
        <v>15</v>
      </c>
    </row>
    <row r="33">
      <c r="B33" s="15" t="inlineStr">
        <is>
          <t>DesvPad(ND*RLT)</t>
        </is>
      </c>
      <c r="C33" s="15" t="n">
        <v>1</v>
      </c>
      <c r="D33" s="81">
        <f>D3-D13</f>
        <v/>
      </c>
      <c r="E33" s="81">
        <f>E3-E13</f>
        <v/>
      </c>
      <c r="F33" s="81">
        <f>F3-F13</f>
        <v/>
      </c>
      <c r="G33" s="81">
        <f>G3-G13</f>
        <v/>
      </c>
      <c r="H33" s="81">
        <f>H3-H13</f>
        <v/>
      </c>
      <c r="I33" s="81">
        <f>I3-I13</f>
        <v/>
      </c>
      <c r="J33" s="81">
        <f>J3-J13</f>
        <v/>
      </c>
      <c r="K33" s="81">
        <f>K3-K13</f>
        <v/>
      </c>
      <c r="L33" s="81">
        <f>L3-L13</f>
        <v/>
      </c>
      <c r="M33" s="81">
        <f>M3-M13</f>
        <v/>
      </c>
      <c r="N33" s="81">
        <f>N3-N13</f>
        <v/>
      </c>
      <c r="O33" s="81">
        <f>O3-O13</f>
        <v/>
      </c>
      <c r="P33" s="81">
        <f>P3-P13</f>
        <v/>
      </c>
      <c r="Q33" s="81">
        <f>Q3-Q13</f>
        <v/>
      </c>
      <c r="R33" s="81">
        <f>R3-R13</f>
        <v/>
      </c>
    </row>
    <row r="34">
      <c r="B34" s="15" t="inlineStr">
        <is>
          <t>DesvPad(ND*RLT)</t>
        </is>
      </c>
      <c r="C34" s="15" t="n">
        <v>2</v>
      </c>
      <c r="D34" s="81">
        <f>D4-D14</f>
        <v/>
      </c>
      <c r="E34" s="81">
        <f>E4-E14</f>
        <v/>
      </c>
      <c r="F34" s="81">
        <f>F4-F14</f>
        <v/>
      </c>
      <c r="G34" s="81">
        <f>G4-G14</f>
        <v/>
      </c>
      <c r="H34" s="81">
        <f>H4-H14</f>
        <v/>
      </c>
      <c r="I34" s="81">
        <f>I4-I14</f>
        <v/>
      </c>
      <c r="J34" s="81">
        <f>J4-J14</f>
        <v/>
      </c>
      <c r="K34" s="81">
        <f>K4-K14</f>
        <v/>
      </c>
      <c r="L34" s="81">
        <f>L4-L14</f>
        <v/>
      </c>
      <c r="M34" s="81">
        <f>M4-M14</f>
        <v/>
      </c>
      <c r="N34" s="81">
        <f>N4-N14</f>
        <v/>
      </c>
      <c r="O34" s="81">
        <f>O4-O14</f>
        <v/>
      </c>
      <c r="P34" s="81">
        <f>P4-P14</f>
        <v/>
      </c>
      <c r="Q34" s="81">
        <f>Q4-Q14</f>
        <v/>
      </c>
      <c r="R34" s="81">
        <f>R4-R14</f>
        <v/>
      </c>
    </row>
    <row r="35">
      <c r="B35" s="15" t="inlineStr">
        <is>
          <t>DesvPad(ND*RLT)</t>
        </is>
      </c>
      <c r="C35" s="15" t="n">
        <v>3</v>
      </c>
      <c r="D35" s="81">
        <f>D5-D15</f>
        <v/>
      </c>
      <c r="E35" s="81">
        <f>E5-E15</f>
        <v/>
      </c>
      <c r="F35" s="81">
        <f>F5-F15</f>
        <v/>
      </c>
      <c r="G35" s="81">
        <f>G5-G15</f>
        <v/>
      </c>
      <c r="H35" s="81">
        <f>H5-H15</f>
        <v/>
      </c>
      <c r="I35" s="81">
        <f>I5-I15</f>
        <v/>
      </c>
      <c r="J35" s="81">
        <f>J5-J15</f>
        <v/>
      </c>
      <c r="K35" s="81">
        <f>K5-K15</f>
        <v/>
      </c>
      <c r="L35" s="81">
        <f>L5-L15</f>
        <v/>
      </c>
      <c r="M35" s="81">
        <f>M5-M15</f>
        <v/>
      </c>
      <c r="N35" s="81">
        <f>N5-N15</f>
        <v/>
      </c>
      <c r="O35" s="81">
        <f>O5-O15</f>
        <v/>
      </c>
      <c r="P35" s="81">
        <f>P5-P15</f>
        <v/>
      </c>
      <c r="Q35" s="81">
        <f>Q5-Q15</f>
        <v/>
      </c>
      <c r="R35" s="81">
        <f>R5-R15</f>
        <v/>
      </c>
    </row>
    <row r="37">
      <c r="B37" s="15" t="inlineStr">
        <is>
          <t>Parâmetro p/ σx</t>
        </is>
      </c>
      <c r="C37" s="15" t="inlineStr">
        <is>
          <t>DesvPad(Var(d-cap))</t>
        </is>
      </c>
      <c r="D37" s="15" t="n">
        <v>1</v>
      </c>
      <c r="E37" s="15" t="n">
        <v>2</v>
      </c>
      <c r="F37" s="15" t="n">
        <v>3</v>
      </c>
      <c r="G37" s="15" t="n">
        <v>4</v>
      </c>
      <c r="H37" s="15" t="n">
        <v>5</v>
      </c>
      <c r="I37" s="15" t="n">
        <v>6</v>
      </c>
      <c r="J37" s="15" t="n">
        <v>7</v>
      </c>
      <c r="K37" s="15" t="n">
        <v>8</v>
      </c>
      <c r="L37" s="15" t="n">
        <v>9</v>
      </c>
      <c r="M37" s="15" t="n">
        <v>10</v>
      </c>
      <c r="N37" s="15" t="n">
        <v>11</v>
      </c>
      <c r="O37" s="15" t="n">
        <v>12</v>
      </c>
      <c r="P37" s="15" t="n">
        <v>13</v>
      </c>
      <c r="Q37" s="15" t="n">
        <v>14</v>
      </c>
      <c r="R37" s="15" t="n">
        <v>15</v>
      </c>
    </row>
    <row r="38">
      <c r="B38" s="15" t="inlineStr">
        <is>
          <t>DesvPad(ND*RLT)</t>
        </is>
      </c>
      <c r="C38" s="15" t="n">
        <v>1</v>
      </c>
      <c r="D38" s="81">
        <f>Suppliers!I17</f>
        <v/>
      </c>
      <c r="E38" s="81">
        <f>Suppliers!J17</f>
        <v/>
      </c>
      <c r="F38" s="81">
        <f>Suppliers!K17</f>
        <v/>
      </c>
      <c r="G38" s="81">
        <f>Suppliers!L17</f>
        <v/>
      </c>
      <c r="H38" s="81">
        <f>Suppliers!M17</f>
        <v/>
      </c>
      <c r="I38" s="81">
        <f>Suppliers!N17</f>
        <v/>
      </c>
      <c r="J38" s="81">
        <f>Suppliers!O17</f>
        <v/>
      </c>
      <c r="K38" s="81">
        <f>Suppliers!P17</f>
        <v/>
      </c>
      <c r="L38" s="81">
        <f>Suppliers!Q17</f>
        <v/>
      </c>
      <c r="M38" s="81">
        <f>Suppliers!R17</f>
        <v/>
      </c>
      <c r="N38" s="81">
        <f>Suppliers!S17</f>
        <v/>
      </c>
      <c r="O38" s="81">
        <f>Suppliers!T17</f>
        <v/>
      </c>
      <c r="P38" s="81">
        <f>Suppliers!U17</f>
        <v/>
      </c>
      <c r="Q38" s="81">
        <f>Suppliers!V17</f>
        <v/>
      </c>
      <c r="R38" s="81">
        <f>Suppliers!W17</f>
        <v/>
      </c>
    </row>
    <row r="39">
      <c r="B39" s="15" t="inlineStr">
        <is>
          <t>DesvPad(ND*RLT)</t>
        </is>
      </c>
      <c r="C39" s="15" t="n">
        <v>2</v>
      </c>
      <c r="D39" s="81">
        <f>Suppliers!I18</f>
        <v/>
      </c>
      <c r="E39" s="81">
        <f>Suppliers!J18</f>
        <v/>
      </c>
      <c r="F39" s="81">
        <f>Suppliers!K18</f>
        <v/>
      </c>
      <c r="G39" s="81">
        <f>Suppliers!L18</f>
        <v/>
      </c>
      <c r="H39" s="81">
        <f>Suppliers!M18</f>
        <v/>
      </c>
      <c r="I39" s="81">
        <f>Suppliers!N18</f>
        <v/>
      </c>
      <c r="J39" s="81">
        <f>Suppliers!O18</f>
        <v/>
      </c>
      <c r="K39" s="81">
        <f>Suppliers!P18</f>
        <v/>
      </c>
      <c r="L39" s="81">
        <f>Suppliers!Q18</f>
        <v/>
      </c>
      <c r="M39" s="81">
        <f>Suppliers!R18</f>
        <v/>
      </c>
      <c r="N39" s="81">
        <f>Suppliers!S18</f>
        <v/>
      </c>
      <c r="O39" s="81">
        <f>Suppliers!T18</f>
        <v/>
      </c>
      <c r="P39" s="81">
        <f>Suppliers!U18</f>
        <v/>
      </c>
      <c r="Q39" s="81">
        <f>Suppliers!V18</f>
        <v/>
      </c>
      <c r="R39" s="81">
        <f>Suppliers!W18</f>
        <v/>
      </c>
    </row>
    <row r="40">
      <c r="B40" s="15" t="inlineStr">
        <is>
          <t>DesvPad(ND*RLT)</t>
        </is>
      </c>
      <c r="C40" s="15" t="n">
        <v>3</v>
      </c>
      <c r="D40" s="81">
        <f>Suppliers!I19</f>
        <v/>
      </c>
      <c r="E40" s="81">
        <f>Suppliers!J19</f>
        <v/>
      </c>
      <c r="F40" s="81">
        <f>Suppliers!K19</f>
        <v/>
      </c>
      <c r="G40" s="81">
        <f>Suppliers!L19</f>
        <v/>
      </c>
      <c r="H40" s="81">
        <f>Suppliers!M19</f>
        <v/>
      </c>
      <c r="I40" s="81">
        <f>Suppliers!N19</f>
        <v/>
      </c>
      <c r="J40" s="81">
        <f>Suppliers!O19</f>
        <v/>
      </c>
      <c r="K40" s="81">
        <f>Suppliers!P19</f>
        <v/>
      </c>
      <c r="L40" s="81">
        <f>Suppliers!Q19</f>
        <v/>
      </c>
      <c r="M40" s="81">
        <f>Suppliers!R19</f>
        <v/>
      </c>
      <c r="N40" s="81">
        <f>Suppliers!S19</f>
        <v/>
      </c>
      <c r="O40" s="81">
        <f>Suppliers!T19</f>
        <v/>
      </c>
      <c r="P40" s="81">
        <f>Suppliers!U19</f>
        <v/>
      </c>
      <c r="Q40" s="81">
        <f>Suppliers!V19</f>
        <v/>
      </c>
      <c r="R40" s="81">
        <f>Suppliers!W19</f>
        <v/>
      </c>
    </row>
    <row r="42">
      <c r="C42" s="15" t="inlineStr">
        <is>
          <t>Prob1</t>
        </is>
      </c>
      <c r="D42" s="51" t="n">
        <v>0.98</v>
      </c>
    </row>
    <row r="43">
      <c r="D43" s="51" t="n"/>
    </row>
    <row r="44">
      <c r="C44" s="15" t="inlineStr">
        <is>
          <t>LB</t>
        </is>
      </c>
      <c r="D44" s="15" t="n">
        <v>1</v>
      </c>
      <c r="E44" s="15" t="n">
        <v>2</v>
      </c>
      <c r="F44" s="15" t="n">
        <v>3</v>
      </c>
      <c r="G44" s="15" t="n">
        <v>4</v>
      </c>
      <c r="H44" s="15" t="n">
        <v>5</v>
      </c>
      <c r="I44" s="15" t="n">
        <v>6</v>
      </c>
      <c r="J44" s="15" t="n">
        <v>7</v>
      </c>
      <c r="K44" s="15" t="n">
        <v>8</v>
      </c>
      <c r="L44" s="15" t="n">
        <v>9</v>
      </c>
      <c r="M44" s="15" t="n">
        <v>10</v>
      </c>
      <c r="N44" s="15" t="n">
        <v>11</v>
      </c>
      <c r="O44" s="15" t="n">
        <v>12</v>
      </c>
      <c r="P44" s="15" t="n">
        <v>13</v>
      </c>
      <c r="Q44" s="15" t="n">
        <v>14</v>
      </c>
      <c r="R44" s="15" t="n">
        <v>15</v>
      </c>
    </row>
    <row r="45">
      <c r="C45" s="15" t="n">
        <v>1</v>
      </c>
      <c r="D45" s="81" t="n">
        <v>0</v>
      </c>
      <c r="E45" s="81" t="n">
        <v>0</v>
      </c>
      <c r="F45" s="81" t="n">
        <v>0</v>
      </c>
      <c r="G45" s="81" t="n">
        <v>0</v>
      </c>
      <c r="H45" s="81" t="n">
        <v>15818.30225</v>
      </c>
      <c r="I45" s="81" t="n">
        <v>6132.009322</v>
      </c>
      <c r="J45" s="81" t="n">
        <v>0</v>
      </c>
      <c r="K45" s="81" t="n">
        <v>13708.84898</v>
      </c>
      <c r="L45" s="81" t="n">
        <v>9372.339625000001</v>
      </c>
      <c r="M45" s="81" t="n">
        <v>0</v>
      </c>
      <c r="N45" s="81" t="n">
        <v>14327.464641</v>
      </c>
      <c r="O45" s="81" t="n">
        <v>0</v>
      </c>
      <c r="P45" s="81" t="n">
        <v>6918.396918</v>
      </c>
      <c r="Q45" s="81" t="n">
        <v>5897.562664</v>
      </c>
      <c r="R45" s="81" t="n">
        <v>21002.389586</v>
      </c>
    </row>
    <row r="46">
      <c r="C46" s="15" t="n">
        <v>2</v>
      </c>
      <c r="D46" s="81" t="n">
        <v>8074.181162</v>
      </c>
      <c r="E46" s="81" t="n">
        <v>8186.446299</v>
      </c>
      <c r="F46" s="81" t="n">
        <v>0</v>
      </c>
      <c r="G46" s="81" t="n">
        <v>0</v>
      </c>
      <c r="H46" s="81" t="n">
        <v>9834.263471</v>
      </c>
      <c r="I46" s="81" t="n">
        <v>14601.56764</v>
      </c>
      <c r="J46" s="81" t="n">
        <v>6563.431588</v>
      </c>
      <c r="K46" s="81" t="n">
        <v>0</v>
      </c>
      <c r="L46" s="81" t="n">
        <v>0</v>
      </c>
      <c r="M46" s="81" t="n">
        <v>5627.912588</v>
      </c>
      <c r="N46" s="81" t="n">
        <v>0</v>
      </c>
      <c r="O46" s="81" t="n">
        <v>12387.655605</v>
      </c>
      <c r="P46" s="81" t="n">
        <v>10079.393149</v>
      </c>
      <c r="Q46" s="81" t="n">
        <v>19670.322975</v>
      </c>
      <c r="R46" s="81" t="n">
        <v>12770.937933</v>
      </c>
    </row>
    <row r="47">
      <c r="C47" s="15" t="n">
        <v>3</v>
      </c>
      <c r="D47" s="81" t="n">
        <v>19048.847044</v>
      </c>
      <c r="E47" s="81" t="n">
        <v>0</v>
      </c>
      <c r="F47" s="81" t="n">
        <v>0</v>
      </c>
      <c r="G47" s="81" t="n">
        <v>17725.552026</v>
      </c>
      <c r="H47" s="81" t="n">
        <v>0</v>
      </c>
      <c r="I47" s="81" t="n">
        <v>18633.410754</v>
      </c>
      <c r="J47" s="81" t="n">
        <v>7876.716274</v>
      </c>
      <c r="K47" s="81" t="n">
        <v>0</v>
      </c>
      <c r="L47" s="81" t="n">
        <v>0</v>
      </c>
      <c r="M47" s="81" t="n">
        <v>0</v>
      </c>
      <c r="N47" s="81" t="n">
        <v>6106.984279</v>
      </c>
      <c r="O47" s="81" t="n">
        <v>8295.877818999999</v>
      </c>
      <c r="P47" s="81" t="n">
        <v>0</v>
      </c>
      <c r="Q47" s="81" t="n">
        <v>0</v>
      </c>
      <c r="R47" s="81" t="n">
        <v>10070.459227</v>
      </c>
    </row>
    <row r="49">
      <c r="C49" s="15" t="inlineStr">
        <is>
          <t>DesvPad(ND*ELT)</t>
        </is>
      </c>
      <c r="D49" s="15" t="n">
        <v>1</v>
      </c>
      <c r="E49" s="15" t="n">
        <v>2</v>
      </c>
      <c r="F49" s="15" t="n">
        <v>3</v>
      </c>
      <c r="G49" s="15" t="n">
        <v>4</v>
      </c>
      <c r="H49" s="15" t="n">
        <v>5</v>
      </c>
      <c r="I49" s="15" t="n">
        <v>6</v>
      </c>
      <c r="J49" s="15" t="n">
        <v>7</v>
      </c>
      <c r="K49" s="15" t="n">
        <v>8</v>
      </c>
      <c r="L49" s="15" t="n">
        <v>9</v>
      </c>
      <c r="M49" s="15" t="n">
        <v>10</v>
      </c>
      <c r="N49" s="15" t="n">
        <v>11</v>
      </c>
      <c r="O49" s="15" t="n">
        <v>12</v>
      </c>
      <c r="P49" s="15" t="n">
        <v>13</v>
      </c>
      <c r="Q49" s="15" t="n">
        <v>14</v>
      </c>
      <c r="R49" s="15" t="n">
        <v>15</v>
      </c>
    </row>
    <row r="50">
      <c r="C50" s="15" t="n">
        <v>1</v>
      </c>
      <c r="D50" s="81" t="n">
        <v>0</v>
      </c>
      <c r="E50" s="81" t="n">
        <v>0</v>
      </c>
      <c r="F50" s="81" t="n">
        <v>0</v>
      </c>
      <c r="G50" s="81" t="n">
        <v>0</v>
      </c>
      <c r="H50" s="81" t="n">
        <v>89.3519</v>
      </c>
      <c r="I50" s="81" t="n">
        <v>58.127</v>
      </c>
      <c r="J50" s="81" t="n">
        <v>0</v>
      </c>
      <c r="K50" s="81" t="n">
        <v>86.01690000000001</v>
      </c>
      <c r="L50" s="81" t="n">
        <v>70.3036</v>
      </c>
      <c r="M50" s="81" t="n">
        <v>0</v>
      </c>
      <c r="N50" s="81" t="n">
        <v>84.74079999999999</v>
      </c>
      <c r="O50" s="81" t="n">
        <v>0</v>
      </c>
      <c r="P50" s="81" t="n">
        <v>59.7737</v>
      </c>
      <c r="Q50" s="81" t="n">
        <v>56.3029</v>
      </c>
      <c r="R50" s="81" t="n">
        <v>106.0337</v>
      </c>
    </row>
    <row r="51">
      <c r="C51" s="15" t="n">
        <v>2</v>
      </c>
      <c r="D51" s="81" t="n">
        <v>223.0756</v>
      </c>
      <c r="E51" s="81" t="n">
        <v>64.8184</v>
      </c>
      <c r="F51" s="81" t="n">
        <v>0</v>
      </c>
      <c r="G51" s="81" t="n">
        <v>0</v>
      </c>
      <c r="H51" s="81" t="n">
        <v>70.3806</v>
      </c>
      <c r="I51" s="81" t="n">
        <v>86.49209999999999</v>
      </c>
      <c r="J51" s="81" t="n">
        <v>57.3334</v>
      </c>
      <c r="K51" s="81" t="n">
        <v>0</v>
      </c>
      <c r="L51" s="81" t="n">
        <v>0</v>
      </c>
      <c r="M51" s="81" t="n">
        <v>54.2832</v>
      </c>
      <c r="N51" s="81" t="n">
        <v>0</v>
      </c>
      <c r="O51" s="81" t="n">
        <v>79.8168</v>
      </c>
      <c r="P51" s="81" t="n">
        <v>72.0508</v>
      </c>
      <c r="Q51" s="81" t="n">
        <v>99.76730000000001</v>
      </c>
      <c r="R51" s="81" t="n">
        <v>81.2089</v>
      </c>
    </row>
    <row r="52">
      <c r="C52" s="15" t="n">
        <v>3</v>
      </c>
      <c r="D52" s="81" t="n">
        <v>102.4257</v>
      </c>
      <c r="E52" s="81" t="n">
        <v>0</v>
      </c>
      <c r="F52" s="81" t="n">
        <v>0</v>
      </c>
      <c r="G52" s="81" t="n">
        <v>95.6105</v>
      </c>
      <c r="H52" s="81" t="n">
        <v>0</v>
      </c>
      <c r="I52" s="81" t="n">
        <v>103.1899</v>
      </c>
      <c r="J52" s="81" t="n">
        <v>68.1494</v>
      </c>
      <c r="K52" s="81" t="n">
        <v>0</v>
      </c>
      <c r="L52" s="81" t="n">
        <v>0</v>
      </c>
      <c r="M52" s="81" t="n">
        <v>0</v>
      </c>
      <c r="N52" s="81" t="n">
        <v>58.2861</v>
      </c>
      <c r="O52" s="81" t="n">
        <v>64.4752</v>
      </c>
      <c r="P52" s="81" t="n">
        <v>0</v>
      </c>
      <c r="Q52" s="81" t="n">
        <v>0</v>
      </c>
      <c r="R52" s="81" t="n">
        <v>72.0919</v>
      </c>
    </row>
    <row r="54" ht="23.4" customHeight="1">
      <c r="C54" s="60" t="inlineStr">
        <is>
          <t>FACTORIES</t>
        </is>
      </c>
    </row>
    <row r="55">
      <c r="C55" s="15" t="inlineStr">
        <is>
          <t>demand</t>
        </is>
      </c>
      <c r="D55" s="15" t="n">
        <v>16</v>
      </c>
      <c r="E55" s="15" t="n">
        <v>17</v>
      </c>
      <c r="F55" s="15" t="n">
        <v>18</v>
      </c>
    </row>
    <row r="56">
      <c r="C56" s="15" t="n">
        <v>4</v>
      </c>
      <c r="D56" s="39">
        <f>Demand!AU11</f>
        <v/>
      </c>
      <c r="E56" s="39">
        <f>Demand!AV11</f>
        <v/>
      </c>
      <c r="F56" s="39">
        <f>Demand!AW11</f>
        <v/>
      </c>
    </row>
    <row r="57">
      <c r="B57" s="39" t="n"/>
      <c r="C57" s="15" t="n">
        <v>5</v>
      </c>
      <c r="D57" s="39">
        <f>Demand!AU12</f>
        <v/>
      </c>
      <c r="E57" s="39">
        <f>Demand!AV12</f>
        <v/>
      </c>
      <c r="F57" s="39">
        <f>Demand!AW12</f>
        <v/>
      </c>
    </row>
    <row r="58">
      <c r="C58" s="15" t="n">
        <v>6</v>
      </c>
      <c r="D58" s="39">
        <f>Demand!AU13</f>
        <v/>
      </c>
      <c r="E58" s="39">
        <f>Demand!AV13</f>
        <v/>
      </c>
      <c r="F58" s="39">
        <f>Demand!AW13</f>
        <v/>
      </c>
    </row>
    <row r="60">
      <c r="B60" s="15" t="inlineStr">
        <is>
          <t>Parâmetro p/ μy</t>
        </is>
      </c>
      <c r="C60" s="15" t="inlineStr">
        <is>
          <t>Média(E(RLT))</t>
        </is>
      </c>
      <c r="D60" s="15" t="n">
        <v>16</v>
      </c>
      <c r="E60" s="15" t="n">
        <v>17</v>
      </c>
      <c r="F60" s="15" t="n">
        <v>18</v>
      </c>
    </row>
    <row r="61">
      <c r="B61" s="15" t="inlineStr">
        <is>
          <t>LB e DesvPad(ND*RLT)</t>
        </is>
      </c>
      <c r="C61" s="15" t="n">
        <v>4</v>
      </c>
      <c r="D61" s="39">
        <f>Factories!I22</f>
        <v/>
      </c>
      <c r="E61" s="39">
        <f>Factories!J22</f>
        <v/>
      </c>
      <c r="F61" s="39">
        <f>Factories!K22</f>
        <v/>
      </c>
    </row>
    <row r="62">
      <c r="B62" s="15" t="inlineStr">
        <is>
          <t>LB e DesvPad(ND*RLT)</t>
        </is>
      </c>
      <c r="C62" s="15" t="n">
        <v>5</v>
      </c>
      <c r="D62" s="39">
        <f>Factories!I23</f>
        <v/>
      </c>
      <c r="E62" s="39">
        <f>Factories!J23</f>
        <v/>
      </c>
      <c r="F62" s="39">
        <f>Factories!K23</f>
        <v/>
      </c>
    </row>
    <row r="63">
      <c r="B63" s="15" t="inlineStr">
        <is>
          <t>LB e DesvPad(ND*RLT)</t>
        </is>
      </c>
      <c r="C63" s="15" t="n">
        <v>6</v>
      </c>
      <c r="D63" s="39">
        <f>Factories!I24</f>
        <v/>
      </c>
      <c r="E63" s="39">
        <f>Factories!J24</f>
        <v/>
      </c>
      <c r="F63" s="39">
        <f>Factories!K24</f>
        <v/>
      </c>
    </row>
    <row r="65">
      <c r="C65" s="15" t="inlineStr">
        <is>
          <t>Cap</t>
        </is>
      </c>
      <c r="D65" s="15" t="n">
        <v>16</v>
      </c>
      <c r="E65" s="15" t="n">
        <v>17</v>
      </c>
      <c r="F65" s="15" t="n">
        <v>18</v>
      </c>
    </row>
    <row r="66">
      <c r="C66" s="15" t="n">
        <v>4</v>
      </c>
      <c r="D66" s="39">
        <f>Factories_Cap!D14</f>
        <v/>
      </c>
      <c r="E66" s="39">
        <f>Factories_Cap!E14</f>
        <v/>
      </c>
      <c r="F66" s="39">
        <f>Factories_Cap!F14</f>
        <v/>
      </c>
    </row>
    <row r="67">
      <c r="C67" s="15" t="n">
        <v>5</v>
      </c>
      <c r="D67" s="39">
        <f>Factories_Cap!D15</f>
        <v/>
      </c>
      <c r="E67" s="39">
        <f>Factories_Cap!E15</f>
        <v/>
      </c>
      <c r="F67" s="39">
        <f>Factories_Cap!F15</f>
        <v/>
      </c>
    </row>
    <row r="68">
      <c r="C68" s="15" t="n">
        <v>6</v>
      </c>
      <c r="D68" s="39">
        <f>Factories_Cap!D16</f>
        <v/>
      </c>
      <c r="E68" s="39">
        <f>Factories_Cap!E16</f>
        <v/>
      </c>
      <c r="F68" s="39">
        <f>Factories_Cap!F16</f>
        <v/>
      </c>
    </row>
    <row r="70">
      <c r="B70" s="15" t="inlineStr">
        <is>
          <t>Parâmetro p/ μx</t>
        </is>
      </c>
      <c r="C70" s="15" t="inlineStr">
        <is>
          <t>Var(d-cap)</t>
        </is>
      </c>
      <c r="D70" s="15" t="n">
        <v>16</v>
      </c>
      <c r="E70" s="15" t="n">
        <v>17</v>
      </c>
      <c r="F70" s="15" t="n">
        <v>18</v>
      </c>
    </row>
    <row r="71">
      <c r="B71" s="15" t="inlineStr">
        <is>
          <t>LB</t>
        </is>
      </c>
      <c r="C71" s="15" t="n">
        <v>4</v>
      </c>
      <c r="D71" s="80">
        <f>Factories!I17^2</f>
        <v/>
      </c>
      <c r="E71" s="80">
        <f>Factories!J17^2</f>
        <v/>
      </c>
      <c r="F71" s="80">
        <f>Factories!K17^2</f>
        <v/>
      </c>
    </row>
    <row r="72">
      <c r="B72" s="15" t="inlineStr">
        <is>
          <t>LB</t>
        </is>
      </c>
      <c r="C72" s="15" t="n">
        <v>5</v>
      </c>
      <c r="D72" s="79">
        <f>Factories!I18^2</f>
        <v/>
      </c>
      <c r="E72" s="80">
        <f>Factories!J18^2</f>
        <v/>
      </c>
      <c r="F72" s="79">
        <f>Factories!K18^2</f>
        <v/>
      </c>
    </row>
    <row r="73">
      <c r="B73" s="15" t="inlineStr">
        <is>
          <t>LB</t>
        </is>
      </c>
      <c r="C73" s="15" t="n">
        <v>6</v>
      </c>
      <c r="D73" s="79">
        <f>Factories!I19^2</f>
        <v/>
      </c>
      <c r="E73" s="80">
        <f>Factories!J19^2</f>
        <v/>
      </c>
      <c r="F73" s="79">
        <f>Factories!K19^2</f>
        <v/>
      </c>
    </row>
    <row r="75" ht="16.2" customHeight="1">
      <c r="B75" s="15" t="inlineStr">
        <is>
          <t>Parâmetro p/ σx</t>
        </is>
      </c>
      <c r="C75" s="15" t="inlineStr">
        <is>
          <t>Desvpad(Var(S2nd))</t>
        </is>
      </c>
      <c r="D75" s="15" t="n">
        <v>16</v>
      </c>
      <c r="E75" s="15" t="n">
        <v>17</v>
      </c>
      <c r="F75" s="15" t="n">
        <v>18</v>
      </c>
    </row>
    <row r="76">
      <c r="B76" s="15" t="inlineStr">
        <is>
          <t>LB</t>
        </is>
      </c>
      <c r="C76" s="15" t="n">
        <v>4</v>
      </c>
      <c r="D76" s="80">
        <f>Fac_Fourth_central_moment_5var!D35</f>
        <v/>
      </c>
      <c r="E76" s="80">
        <f>Fac_Fourth_central_moment_5var!E35</f>
        <v/>
      </c>
      <c r="F76" s="80">
        <f>Fac_Fourth_central_moment_5var!F35</f>
        <v/>
      </c>
    </row>
    <row r="77">
      <c r="B77" s="15" t="inlineStr">
        <is>
          <t>LB</t>
        </is>
      </c>
      <c r="C77" s="15" t="n">
        <v>5</v>
      </c>
      <c r="D77" s="79">
        <f>Fac_Fourth_central_moment_5var!D36</f>
        <v/>
      </c>
      <c r="E77" s="80">
        <f>Fac_Fourth_central_moment_5var!E36</f>
        <v/>
      </c>
      <c r="F77" s="79">
        <f>Fac_Fourth_central_moment_5var!F36</f>
        <v/>
      </c>
    </row>
    <row r="78">
      <c r="B78" s="15" t="inlineStr">
        <is>
          <t>LB</t>
        </is>
      </c>
      <c r="C78" s="15" t="n">
        <v>6</v>
      </c>
      <c r="D78" s="79">
        <f>Fac_Fourth_central_moment_5var!D37</f>
        <v/>
      </c>
      <c r="E78" s="80">
        <f>Fac_Fourth_central_moment_5var!E37</f>
        <v/>
      </c>
      <c r="F78" s="79">
        <f>Fac_Fourth_central_moment_5var!F37</f>
        <v/>
      </c>
    </row>
    <row r="80">
      <c r="B80" s="15" t="inlineStr">
        <is>
          <t>Parâmetro p/ σy</t>
        </is>
      </c>
      <c r="C80" s="15" t="inlineStr">
        <is>
          <t>DesvPadVar(E(RLT))</t>
        </is>
      </c>
      <c r="D80" s="15" t="n">
        <v>16</v>
      </c>
      <c r="E80" s="15" t="n">
        <v>17</v>
      </c>
      <c r="F80" s="15" t="n">
        <v>18</v>
      </c>
    </row>
    <row r="81">
      <c r="B81" s="15" t="inlineStr">
        <is>
          <t>LB e DesvPad(ND*RLT)</t>
        </is>
      </c>
      <c r="C81" s="15" t="n">
        <v>4</v>
      </c>
      <c r="D81" s="79">
        <f>Factories!I27</f>
        <v/>
      </c>
      <c r="E81" s="79">
        <f>Factories!J27</f>
        <v/>
      </c>
      <c r="F81" s="79">
        <f>Factories!K27</f>
        <v/>
      </c>
    </row>
    <row r="82">
      <c r="B82" s="15" t="inlineStr">
        <is>
          <t>LB e DesvPad(ND*RLT)</t>
        </is>
      </c>
      <c r="C82" s="15" t="n">
        <v>5</v>
      </c>
      <c r="D82" s="79">
        <f>Factories!I28</f>
        <v/>
      </c>
      <c r="E82" s="79">
        <f>Factories!J28</f>
        <v/>
      </c>
      <c r="F82" s="79">
        <f>Factories!K28</f>
        <v/>
      </c>
    </row>
    <row r="83">
      <c r="B83" s="15" t="inlineStr">
        <is>
          <t>LB e DesvPad(ND*RLT)</t>
        </is>
      </c>
      <c r="C83" s="15" t="n">
        <v>6</v>
      </c>
      <c r="D83" s="79">
        <f>Factories!I29</f>
        <v/>
      </c>
      <c r="E83" s="79">
        <f>Factories!J29</f>
        <v/>
      </c>
      <c r="F83" s="79">
        <f>Factories!K29</f>
        <v/>
      </c>
    </row>
    <row r="85">
      <c r="B85" s="15" t="inlineStr">
        <is>
          <t>Parâmetro p/ μx</t>
        </is>
      </c>
      <c r="C85" s="15" t="inlineStr">
        <is>
          <t>Média(d-Cap)</t>
        </is>
      </c>
      <c r="D85" s="15" t="n">
        <v>16</v>
      </c>
      <c r="E85" s="15" t="n">
        <v>17</v>
      </c>
      <c r="F85" s="15" t="n">
        <v>18</v>
      </c>
    </row>
    <row r="86">
      <c r="B86" s="15" t="inlineStr">
        <is>
          <t>DesvPad(ND*RLT)</t>
        </is>
      </c>
      <c r="C86" s="15" t="n">
        <v>4</v>
      </c>
      <c r="D86" s="81">
        <f>D56-D66</f>
        <v/>
      </c>
      <c r="E86" s="81">
        <f>E56-E66</f>
        <v/>
      </c>
      <c r="F86" s="81">
        <f>F56-F66</f>
        <v/>
      </c>
    </row>
    <row r="87">
      <c r="B87" s="15" t="inlineStr">
        <is>
          <t>DesvPad(ND*RLT)</t>
        </is>
      </c>
      <c r="C87" s="15" t="n">
        <v>5</v>
      </c>
      <c r="D87" s="81">
        <f>D57-D67</f>
        <v/>
      </c>
      <c r="E87" s="81">
        <f>E57-E67</f>
        <v/>
      </c>
      <c r="F87" s="81">
        <f>F57-F67</f>
        <v/>
      </c>
    </row>
    <row r="88">
      <c r="B88" s="15" t="inlineStr">
        <is>
          <t>DesvPad(ND*RLT)</t>
        </is>
      </c>
      <c r="C88" s="15" t="n">
        <v>6</v>
      </c>
      <c r="D88" s="81">
        <f>D58-D68</f>
        <v/>
      </c>
      <c r="E88" s="81">
        <f>E58-E68</f>
        <v/>
      </c>
      <c r="F88" s="81">
        <f>F58-F68</f>
        <v/>
      </c>
    </row>
    <row r="90">
      <c r="B90" s="15" t="inlineStr">
        <is>
          <t>Parâmetro p/ σx</t>
        </is>
      </c>
      <c r="C90" s="15" t="inlineStr">
        <is>
          <t>DesvPad(Var(d-cap))</t>
        </is>
      </c>
      <c r="D90" s="15" t="n">
        <v>16</v>
      </c>
      <c r="E90" s="15" t="n">
        <v>17</v>
      </c>
      <c r="F90" s="15" t="n">
        <v>18</v>
      </c>
    </row>
    <row r="91">
      <c r="B91" s="15" t="inlineStr">
        <is>
          <t>DesvPad(ND*RLT)</t>
        </is>
      </c>
      <c r="C91" s="15" t="n">
        <v>4</v>
      </c>
      <c r="D91" s="81">
        <f>Factories!I17</f>
        <v/>
      </c>
      <c r="E91" s="81">
        <f>Factories!J17</f>
        <v/>
      </c>
      <c r="F91" s="81">
        <f>Factories!K17</f>
        <v/>
      </c>
    </row>
    <row r="92">
      <c r="B92" s="15" t="inlineStr">
        <is>
          <t>DesvPad(ND*RLT)</t>
        </is>
      </c>
      <c r="C92" s="15" t="n">
        <v>5</v>
      </c>
      <c r="D92" s="81">
        <f>Factories!I18</f>
        <v/>
      </c>
      <c r="E92" s="81">
        <f>Factories!J18</f>
        <v/>
      </c>
      <c r="F92" s="81">
        <f>Factories!K18</f>
        <v/>
      </c>
    </row>
    <row r="93">
      <c r="B93" s="15" t="inlineStr">
        <is>
          <t>DesvPad(ND*RLT)</t>
        </is>
      </c>
      <c r="C93" s="15" t="n">
        <v>6</v>
      </c>
      <c r="D93" s="81">
        <f>Factories!I19</f>
        <v/>
      </c>
      <c r="E93" s="81">
        <f>Factories!J19</f>
        <v/>
      </c>
      <c r="F93" s="81">
        <f>Factories!K19</f>
        <v/>
      </c>
    </row>
    <row r="95">
      <c r="C95" s="15" t="inlineStr">
        <is>
          <t>Prob1</t>
        </is>
      </c>
      <c r="D95" s="51" t="n">
        <v>0.98</v>
      </c>
    </row>
    <row r="96">
      <c r="E96" s="51" t="n"/>
      <c r="F96" s="51" t="n"/>
    </row>
    <row r="97">
      <c r="C97" s="15" t="inlineStr">
        <is>
          <t>LB</t>
        </is>
      </c>
      <c r="D97" s="15" t="n">
        <v>16</v>
      </c>
      <c r="E97" s="15" t="n">
        <v>17</v>
      </c>
      <c r="F97" s="15" t="n">
        <v>18</v>
      </c>
    </row>
    <row r="98">
      <c r="C98" s="15" t="n">
        <v>4</v>
      </c>
      <c r="D98" s="81" t="n">
        <v>79279.530407</v>
      </c>
      <c r="E98" s="81" t="n">
        <v>87272.45713</v>
      </c>
      <c r="F98" s="81" t="n">
        <v>72838.994498</v>
      </c>
    </row>
    <row r="99">
      <c r="C99" s="15" t="n">
        <v>5</v>
      </c>
      <c r="D99" s="81" t="n"/>
      <c r="E99" s="81" t="n">
        <v>75216.29309399999</v>
      </c>
      <c r="F99" s="81" t="n"/>
    </row>
    <row r="100">
      <c r="C100" s="15" t="n">
        <v>6</v>
      </c>
      <c r="D100" s="81" t="n"/>
      <c r="E100" s="81" t="n">
        <v>59044.691188</v>
      </c>
      <c r="F100" s="81" t="n"/>
    </row>
    <row r="102">
      <c r="C102" s="15" t="inlineStr">
        <is>
          <t>DesvPad(ND*ELT)</t>
        </is>
      </c>
      <c r="D102" s="15" t="n">
        <v>16</v>
      </c>
      <c r="E102" s="15" t="n">
        <v>17</v>
      </c>
      <c r="F102" s="15" t="n">
        <v>18</v>
      </c>
    </row>
    <row r="103">
      <c r="C103" s="15" t="n">
        <v>4</v>
      </c>
      <c r="D103" s="81" t="n">
        <v>205.1894</v>
      </c>
      <c r="E103" s="81" t="n">
        <v>209.9278</v>
      </c>
      <c r="F103" s="81" t="n">
        <v>191.3891</v>
      </c>
    </row>
    <row r="104">
      <c r="C104" s="15" t="n">
        <v>5</v>
      </c>
      <c r="D104" s="81" t="n">
        <v>0</v>
      </c>
      <c r="E104" s="81" t="n">
        <v>195.2975</v>
      </c>
      <c r="F104" s="81" t="n">
        <v>0</v>
      </c>
    </row>
    <row r="105">
      <c r="C105" s="15" t="n">
        <v>6</v>
      </c>
      <c r="D105" s="81" t="n">
        <v>0</v>
      </c>
      <c r="E105" s="81" t="n">
        <v>175.744</v>
      </c>
      <c r="F105" s="81" t="n">
        <v>0</v>
      </c>
    </row>
  </sheetData>
  <conditionalFormatting sqref="D86:F88">
    <cfRule type="cellIs" priority="2" operator="equal" dxfId="9">
      <formula>1</formula>
    </cfRule>
  </conditionalFormatting>
  <conditionalFormatting sqref="D91:F93">
    <cfRule type="cellIs" priority="1" operator="equal" dxfId="9">
      <formula>1</formula>
    </cfRule>
  </conditionalFormatting>
  <conditionalFormatting sqref="D98:F100">
    <cfRule type="cellIs" priority="26" operator="equal" dxfId="9">
      <formula>1</formula>
    </cfRule>
  </conditionalFormatting>
  <conditionalFormatting sqref="D103:F105">
    <cfRule type="cellIs" priority="15" operator="equal" dxfId="9">
      <formula>1</formula>
    </cfRule>
  </conditionalFormatting>
  <conditionalFormatting sqref="D33:R35">
    <cfRule type="cellIs" priority="4" operator="equal" dxfId="9">
      <formula>1</formula>
    </cfRule>
  </conditionalFormatting>
  <conditionalFormatting sqref="D38:R40">
    <cfRule type="cellIs" priority="3" operator="equal" dxfId="9">
      <formula>1</formula>
    </cfRule>
  </conditionalFormatting>
  <conditionalFormatting sqref="D45:R47">
    <cfRule type="cellIs" priority="11" operator="equal" dxfId="9">
      <formula>1</formula>
    </cfRule>
  </conditionalFormatting>
  <conditionalFormatting sqref="D50:R52">
    <cfRule type="cellIs" priority="8" operator="equal" dxfId="9">
      <formula>1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7"/>
  <sheetViews>
    <sheetView zoomScale="90" zoomScaleNormal="90" workbookViewId="0">
      <selection activeCell="D3" sqref="D3"/>
    </sheetView>
  </sheetViews>
  <sheetFormatPr baseColWidth="8" defaultRowHeight="14.4"/>
  <cols>
    <col width="11" customWidth="1" style="15" min="1" max="1"/>
    <col width="17.109375" customWidth="1" style="15" min="2" max="2"/>
    <col width="18.44140625" bestFit="1" customWidth="1" style="15" min="3" max="3"/>
    <col width="12" bestFit="1" customWidth="1" style="15" min="4" max="18"/>
    <col width="8.88671875" customWidth="1" style="15" min="19" max="16384"/>
  </cols>
  <sheetData>
    <row r="1" ht="23.4" customHeight="1">
      <c r="C1" s="60" t="inlineStr">
        <is>
          <t>SUPPLIERS</t>
        </is>
      </c>
    </row>
    <row r="2">
      <c r="B2" s="15" t="inlineStr">
        <is>
          <t>Parâmetros p/</t>
        </is>
      </c>
      <c r="C2" s="15" t="inlineStr">
        <is>
          <t>demand</t>
        </is>
      </c>
      <c r="D2" s="15" t="n">
        <v>1</v>
      </c>
      <c r="E2" s="15" t="n">
        <v>2</v>
      </c>
      <c r="F2" s="15" t="n">
        <v>3</v>
      </c>
      <c r="G2" s="15" t="n">
        <v>4</v>
      </c>
      <c r="H2" s="15" t="n">
        <v>5</v>
      </c>
      <c r="I2" s="15" t="n">
        <v>6</v>
      </c>
      <c r="J2" s="15" t="n">
        <v>7</v>
      </c>
      <c r="K2" s="15" t="n">
        <v>8</v>
      </c>
      <c r="L2" s="15" t="n">
        <v>9</v>
      </c>
      <c r="M2" s="15" t="n">
        <v>10</v>
      </c>
      <c r="N2" s="15" t="n">
        <v>11</v>
      </c>
      <c r="O2" s="15" t="n">
        <v>12</v>
      </c>
      <c r="P2" s="15" t="n">
        <v>13</v>
      </c>
      <c r="Q2" s="15" t="n">
        <v>14</v>
      </c>
      <c r="R2" s="15" t="n">
        <v>15</v>
      </c>
    </row>
    <row r="3">
      <c r="B3" s="15" t="inlineStr">
        <is>
          <t>Prob(D*ELT)</t>
        </is>
      </c>
      <c r="C3" s="15" t="n">
        <v>1</v>
      </c>
      <c r="D3" s="39">
        <f>Demand!AU5</f>
        <v/>
      </c>
      <c r="E3" s="39">
        <f>Demand!AV5</f>
        <v/>
      </c>
      <c r="F3" s="39">
        <f>Demand!AW5</f>
        <v/>
      </c>
      <c r="G3" s="39">
        <f>Demand!AX5</f>
        <v/>
      </c>
      <c r="H3" s="55">
        <f>Demand!AY5</f>
        <v/>
      </c>
      <c r="I3" s="55">
        <f>Demand!AZ5</f>
        <v/>
      </c>
      <c r="J3" s="39">
        <f>Demand!BA5</f>
        <v/>
      </c>
      <c r="K3" s="55">
        <f>Demand!BB5</f>
        <v/>
      </c>
      <c r="L3" s="55">
        <f>Demand!BC5</f>
        <v/>
      </c>
      <c r="M3" s="39">
        <f>Demand!BD5</f>
        <v/>
      </c>
      <c r="N3" s="55">
        <f>Demand!BE5</f>
        <v/>
      </c>
      <c r="O3" s="39">
        <f>Demand!BF5</f>
        <v/>
      </c>
      <c r="P3" s="55">
        <f>Demand!BG5</f>
        <v/>
      </c>
      <c r="Q3" s="55">
        <f>Demand!BH5</f>
        <v/>
      </c>
      <c r="R3" s="55">
        <f>Demand!BI5</f>
        <v/>
      </c>
    </row>
    <row r="4">
      <c r="B4" s="15" t="inlineStr">
        <is>
          <t>Prob(D*ELT)</t>
        </is>
      </c>
      <c r="C4" s="15" t="n">
        <v>2</v>
      </c>
      <c r="D4" s="55">
        <f>Demand!AU6</f>
        <v/>
      </c>
      <c r="E4" s="55">
        <f>Demand!AV6</f>
        <v/>
      </c>
      <c r="F4" s="39">
        <f>Demand!AW6</f>
        <v/>
      </c>
      <c r="G4" s="39">
        <f>Demand!AX6</f>
        <v/>
      </c>
      <c r="H4" s="55">
        <f>Demand!AY6</f>
        <v/>
      </c>
      <c r="I4" s="55">
        <f>Demand!AZ6</f>
        <v/>
      </c>
      <c r="J4" s="55">
        <f>Demand!BA6</f>
        <v/>
      </c>
      <c r="K4" s="39">
        <f>Demand!BB6</f>
        <v/>
      </c>
      <c r="L4" s="39">
        <f>Demand!BC6</f>
        <v/>
      </c>
      <c r="M4" s="55">
        <f>Demand!BD6</f>
        <v/>
      </c>
      <c r="N4" s="39">
        <f>Demand!BE6</f>
        <v/>
      </c>
      <c r="O4" s="55">
        <f>Demand!BF6</f>
        <v/>
      </c>
      <c r="P4" s="55">
        <f>Demand!BG6</f>
        <v/>
      </c>
      <c r="Q4" s="55">
        <f>Demand!BH6</f>
        <v/>
      </c>
      <c r="R4" s="55">
        <f>Demand!BI6</f>
        <v/>
      </c>
    </row>
    <row r="5">
      <c r="B5" s="15" t="inlineStr">
        <is>
          <t>Prob(D*ELT)</t>
        </is>
      </c>
      <c r="C5" s="15" t="n">
        <v>3</v>
      </c>
      <c r="D5" s="55">
        <f>Demand!AU7</f>
        <v/>
      </c>
      <c r="E5" s="39">
        <f>Demand!AV7</f>
        <v/>
      </c>
      <c r="F5" s="39">
        <f>Demand!AW7</f>
        <v/>
      </c>
      <c r="G5" s="55">
        <f>Demand!AX7</f>
        <v/>
      </c>
      <c r="H5" s="39">
        <f>Demand!AY7</f>
        <v/>
      </c>
      <c r="I5" s="55">
        <f>Demand!AZ7</f>
        <v/>
      </c>
      <c r="J5" s="55">
        <f>Demand!BA7</f>
        <v/>
      </c>
      <c r="K5" s="39">
        <f>Demand!BB7</f>
        <v/>
      </c>
      <c r="L5" s="39">
        <f>Demand!BC7</f>
        <v/>
      </c>
      <c r="M5" s="39">
        <f>Demand!BD7</f>
        <v/>
      </c>
      <c r="N5" s="55">
        <f>Demand!BE7</f>
        <v/>
      </c>
      <c r="O5" s="55">
        <f>Demand!BF7</f>
        <v/>
      </c>
      <c r="P5" s="39">
        <f>Demand!BG7</f>
        <v/>
      </c>
      <c r="Q5" s="39">
        <f>Demand!BH7</f>
        <v/>
      </c>
      <c r="R5" s="55">
        <f>Demand!BI7</f>
        <v/>
      </c>
    </row>
    <row r="6">
      <c r="A6" s="15" t="inlineStr">
        <is>
          <t>CV</t>
        </is>
      </c>
    </row>
    <row r="7">
      <c r="A7" s="15" t="n">
        <v>0.2</v>
      </c>
      <c r="B7" s="15" t="inlineStr">
        <is>
          <t>Parâmetros</t>
        </is>
      </c>
      <c r="C7" s="15" t="inlineStr">
        <is>
          <t>DesvPad(demand)</t>
        </is>
      </c>
      <c r="D7" s="15" t="n">
        <v>1</v>
      </c>
      <c r="E7" s="15" t="n">
        <v>2</v>
      </c>
      <c r="F7" s="15" t="n">
        <v>3</v>
      </c>
      <c r="G7" s="15" t="n">
        <v>4</v>
      </c>
      <c r="H7" s="15" t="n">
        <v>5</v>
      </c>
      <c r="I7" s="15" t="n">
        <v>6</v>
      </c>
      <c r="J7" s="15" t="n">
        <v>7</v>
      </c>
      <c r="K7" s="15" t="n">
        <v>8</v>
      </c>
      <c r="L7" s="15" t="n">
        <v>9</v>
      </c>
      <c r="M7" s="15" t="n">
        <v>10</v>
      </c>
      <c r="N7" s="15" t="n">
        <v>11</v>
      </c>
      <c r="O7" s="15" t="n">
        <v>12</v>
      </c>
      <c r="P7" s="15" t="n">
        <v>13</v>
      </c>
      <c r="Q7" s="15" t="n">
        <v>14</v>
      </c>
      <c r="R7" s="15" t="n">
        <v>15</v>
      </c>
    </row>
    <row r="8">
      <c r="B8" s="15" t="inlineStr">
        <is>
          <t>Prob(D*ELT)</t>
        </is>
      </c>
      <c r="C8" s="15" t="n">
        <v>1</v>
      </c>
      <c r="D8" s="15">
        <f>D3*0.2</f>
        <v/>
      </c>
      <c r="E8" s="15">
        <f>E3*0.2</f>
        <v/>
      </c>
      <c r="F8" s="15">
        <f>F3*0.2</f>
        <v/>
      </c>
      <c r="G8" s="15">
        <f>G3*0.2</f>
        <v/>
      </c>
      <c r="H8" s="15">
        <f>H3*0.2</f>
        <v/>
      </c>
      <c r="I8" s="15">
        <f>I3*0.2</f>
        <v/>
      </c>
      <c r="J8" s="15">
        <f>J3*0.2</f>
        <v/>
      </c>
      <c r="K8" s="15">
        <f>K3*0.2</f>
        <v/>
      </c>
      <c r="L8" s="15">
        <f>L3*0.2</f>
        <v/>
      </c>
      <c r="M8" s="15">
        <f>M3*0.2</f>
        <v/>
      </c>
      <c r="N8" s="15">
        <f>N3*0.2</f>
        <v/>
      </c>
      <c r="O8" s="15">
        <f>O3*0.2</f>
        <v/>
      </c>
      <c r="P8" s="15">
        <f>P3*0.2</f>
        <v/>
      </c>
      <c r="Q8" s="15">
        <f>Q3*0.2</f>
        <v/>
      </c>
      <c r="R8" s="15">
        <f>R3*0.2</f>
        <v/>
      </c>
    </row>
    <row r="9">
      <c r="B9" s="15" t="inlineStr">
        <is>
          <t>Prob(D*ELT)</t>
        </is>
      </c>
      <c r="C9" s="15" t="n">
        <v>2</v>
      </c>
      <c r="D9" s="15">
        <f>D4*0.2</f>
        <v/>
      </c>
      <c r="E9" s="15">
        <f>E4*0.2</f>
        <v/>
      </c>
      <c r="F9" s="15">
        <f>F4*0.2</f>
        <v/>
      </c>
      <c r="G9" s="15">
        <f>G4*0.2</f>
        <v/>
      </c>
      <c r="H9" s="15">
        <f>H4*0.2</f>
        <v/>
      </c>
      <c r="I9" s="15">
        <f>I4*0.2</f>
        <v/>
      </c>
      <c r="J9" s="15">
        <f>J4*0.2</f>
        <v/>
      </c>
      <c r="K9" s="15">
        <f>K4*0.2</f>
        <v/>
      </c>
      <c r="L9" s="15">
        <f>L4*0.2</f>
        <v/>
      </c>
      <c r="M9" s="15">
        <f>M4*0.2</f>
        <v/>
      </c>
      <c r="N9" s="15">
        <f>N4*0.2</f>
        <v/>
      </c>
      <c r="O9" s="15">
        <f>O4*0.2</f>
        <v/>
      </c>
      <c r="P9" s="15">
        <f>P4*0.2</f>
        <v/>
      </c>
      <c r="Q9" s="15">
        <f>Q4*0.2</f>
        <v/>
      </c>
      <c r="R9" s="15">
        <f>R4*0.2</f>
        <v/>
      </c>
    </row>
    <row r="10">
      <c r="B10" s="15" t="inlineStr">
        <is>
          <t>Prob(D*ELT)</t>
        </is>
      </c>
      <c r="C10" s="15" t="n">
        <v>3</v>
      </c>
      <c r="D10" s="15">
        <f>D5*0.2</f>
        <v/>
      </c>
      <c r="E10" s="15">
        <f>E5*0.2</f>
        <v/>
      </c>
      <c r="F10" s="15">
        <f>F5*0.2</f>
        <v/>
      </c>
      <c r="G10" s="15">
        <f>G5*0.2</f>
        <v/>
      </c>
      <c r="H10" s="15">
        <f>H5*0.2</f>
        <v/>
      </c>
      <c r="I10" s="15">
        <f>I5*0.2</f>
        <v/>
      </c>
      <c r="J10" s="15">
        <f>J5*0.2</f>
        <v/>
      </c>
      <c r="K10" s="15">
        <f>K5*0.2</f>
        <v/>
      </c>
      <c r="L10" s="15">
        <f>L5*0.2</f>
        <v/>
      </c>
      <c r="M10" s="15">
        <f>M5*0.2</f>
        <v/>
      </c>
      <c r="N10" s="15">
        <f>N5*0.2</f>
        <v/>
      </c>
      <c r="O10" s="15">
        <f>O5*0.2</f>
        <v/>
      </c>
      <c r="P10" s="15">
        <f>P5*0.2</f>
        <v/>
      </c>
      <c r="Q10" s="15">
        <f>Q5*0.2</f>
        <v/>
      </c>
      <c r="R10" s="15">
        <f>R5*0.2</f>
        <v/>
      </c>
    </row>
    <row r="12">
      <c r="B12" s="15" t="inlineStr">
        <is>
          <t>Parâmetros</t>
        </is>
      </c>
      <c r="C12" s="15" t="inlineStr">
        <is>
          <t>Média(E(RLT))</t>
        </is>
      </c>
      <c r="D12" s="15" t="n">
        <v>1</v>
      </c>
      <c r="E12" s="15" t="n">
        <v>2</v>
      </c>
      <c r="F12" s="15" t="n">
        <v>3</v>
      </c>
      <c r="G12" s="15" t="n">
        <v>4</v>
      </c>
      <c r="H12" s="15" t="n">
        <v>5</v>
      </c>
      <c r="I12" s="15" t="n">
        <v>6</v>
      </c>
      <c r="J12" s="15" t="n">
        <v>7</v>
      </c>
      <c r="K12" s="15" t="n">
        <v>8</v>
      </c>
      <c r="L12" s="15" t="n">
        <v>9</v>
      </c>
      <c r="M12" s="15" t="n">
        <v>10</v>
      </c>
      <c r="N12" s="15" t="n">
        <v>11</v>
      </c>
      <c r="O12" s="15" t="n">
        <v>12</v>
      </c>
      <c r="P12" s="15" t="n">
        <v>13</v>
      </c>
      <c r="Q12" s="15" t="n">
        <v>14</v>
      </c>
      <c r="R12" s="15" t="n">
        <v>15</v>
      </c>
    </row>
    <row r="13">
      <c r="B13" s="15" t="inlineStr">
        <is>
          <t>Prob(D*ELT)</t>
        </is>
      </c>
      <c r="C13" s="15" t="n">
        <v>1</v>
      </c>
      <c r="D13" s="39">
        <f>Suppliers!I22</f>
        <v/>
      </c>
      <c r="E13" s="39">
        <f>Suppliers!J22</f>
        <v/>
      </c>
      <c r="F13" s="39">
        <f>Suppliers!K22</f>
        <v/>
      </c>
      <c r="G13" s="39">
        <f>Suppliers!L22</f>
        <v/>
      </c>
      <c r="H13" s="55">
        <f>Suppliers!M22</f>
        <v/>
      </c>
      <c r="I13" s="55">
        <f>Suppliers!N22</f>
        <v/>
      </c>
      <c r="J13" s="39">
        <f>Suppliers!O22</f>
        <v/>
      </c>
      <c r="K13" s="55">
        <f>Suppliers!P22</f>
        <v/>
      </c>
      <c r="L13" s="55">
        <f>Suppliers!Q22</f>
        <v/>
      </c>
      <c r="M13" s="39">
        <f>Suppliers!R22</f>
        <v/>
      </c>
      <c r="N13" s="55">
        <f>Suppliers!S22</f>
        <v/>
      </c>
      <c r="O13" s="39">
        <f>Suppliers!T22</f>
        <v/>
      </c>
      <c r="P13" s="55">
        <f>Suppliers!U22</f>
        <v/>
      </c>
      <c r="Q13" s="55">
        <f>Suppliers!V22</f>
        <v/>
      </c>
      <c r="R13" s="55">
        <f>Suppliers!W22</f>
        <v/>
      </c>
    </row>
    <row r="14">
      <c r="B14" s="15" t="inlineStr">
        <is>
          <t>Prob(D*ELT)</t>
        </is>
      </c>
      <c r="C14" s="15" t="n">
        <v>2</v>
      </c>
      <c r="D14" s="55">
        <f>Suppliers!I23</f>
        <v/>
      </c>
      <c r="E14" s="55">
        <f>Suppliers!J23</f>
        <v/>
      </c>
      <c r="F14" s="39">
        <f>Suppliers!K23</f>
        <v/>
      </c>
      <c r="G14" s="39">
        <f>Suppliers!L23</f>
        <v/>
      </c>
      <c r="H14" s="55">
        <f>Suppliers!M23</f>
        <v/>
      </c>
      <c r="I14" s="55">
        <f>Suppliers!N23</f>
        <v/>
      </c>
      <c r="J14" s="55">
        <f>Suppliers!O23</f>
        <v/>
      </c>
      <c r="K14" s="39">
        <f>Suppliers!P23</f>
        <v/>
      </c>
      <c r="L14" s="39">
        <f>Suppliers!Q23</f>
        <v/>
      </c>
      <c r="M14" s="55">
        <f>Suppliers!R23</f>
        <v/>
      </c>
      <c r="N14" s="39">
        <f>Suppliers!S23</f>
        <v/>
      </c>
      <c r="O14" s="55">
        <f>Suppliers!T23</f>
        <v/>
      </c>
      <c r="P14" s="55">
        <f>Suppliers!U23</f>
        <v/>
      </c>
      <c r="Q14" s="55">
        <f>Suppliers!V23</f>
        <v/>
      </c>
      <c r="R14" s="55">
        <f>Suppliers!W23</f>
        <v/>
      </c>
    </row>
    <row r="15">
      <c r="B15" s="15" t="inlineStr">
        <is>
          <t>Prob(D*ELT)</t>
        </is>
      </c>
      <c r="C15" s="15" t="n">
        <v>3</v>
      </c>
      <c r="D15" s="55">
        <f>Suppliers!I24</f>
        <v/>
      </c>
      <c r="E15" s="39">
        <f>Suppliers!J24</f>
        <v/>
      </c>
      <c r="F15" s="39">
        <f>Suppliers!K24</f>
        <v/>
      </c>
      <c r="G15" s="55">
        <f>Suppliers!L24</f>
        <v/>
      </c>
      <c r="H15" s="39">
        <f>Suppliers!M24</f>
        <v/>
      </c>
      <c r="I15" s="55">
        <f>Suppliers!N24</f>
        <v/>
      </c>
      <c r="J15" s="55">
        <f>Suppliers!O24</f>
        <v/>
      </c>
      <c r="K15" s="39">
        <f>Suppliers!P24</f>
        <v/>
      </c>
      <c r="L15" s="39">
        <f>Suppliers!Q24</f>
        <v/>
      </c>
      <c r="M15" s="39">
        <f>Suppliers!R24</f>
        <v/>
      </c>
      <c r="N15" s="55">
        <f>Suppliers!S24</f>
        <v/>
      </c>
      <c r="O15" s="55">
        <f>Suppliers!T24</f>
        <v/>
      </c>
      <c r="P15" s="39">
        <f>Suppliers!U24</f>
        <v/>
      </c>
      <c r="Q15" s="39">
        <f>Suppliers!V24</f>
        <v/>
      </c>
      <c r="R15" s="55">
        <f>Suppliers!W24</f>
        <v/>
      </c>
    </row>
    <row r="17">
      <c r="A17" s="15" t="inlineStr">
        <is>
          <t>CV</t>
        </is>
      </c>
      <c r="B17" s="15" t="inlineStr">
        <is>
          <t>Parâmetros</t>
        </is>
      </c>
      <c r="C17" s="15" t="inlineStr">
        <is>
          <t>DesvPad(E(RLT))</t>
        </is>
      </c>
      <c r="D17" s="15" t="n">
        <v>1</v>
      </c>
      <c r="E17" s="15" t="n">
        <v>2</v>
      </c>
      <c r="F17" s="15" t="n">
        <v>3</v>
      </c>
      <c r="G17" s="15" t="n">
        <v>4</v>
      </c>
      <c r="H17" s="15" t="n">
        <v>5</v>
      </c>
      <c r="I17" s="15" t="n">
        <v>6</v>
      </c>
      <c r="J17" s="15" t="n">
        <v>7</v>
      </c>
      <c r="K17" s="15" t="n">
        <v>8</v>
      </c>
      <c r="L17" s="15" t="n">
        <v>9</v>
      </c>
      <c r="M17" s="15" t="n">
        <v>10</v>
      </c>
      <c r="N17" s="15" t="n">
        <v>11</v>
      </c>
      <c r="O17" s="15" t="n">
        <v>12</v>
      </c>
      <c r="P17" s="15" t="n">
        <v>13</v>
      </c>
      <c r="Q17" s="15" t="n">
        <v>14</v>
      </c>
      <c r="R17" s="15" t="n">
        <v>15</v>
      </c>
    </row>
    <row r="18">
      <c r="A18" s="15" t="n">
        <v>0.2</v>
      </c>
      <c r="B18" s="15" t="inlineStr">
        <is>
          <t>Prob(D*ELT)</t>
        </is>
      </c>
      <c r="C18" s="15" t="n">
        <v>1</v>
      </c>
      <c r="D18" s="15">
        <f>D13*0.2</f>
        <v/>
      </c>
      <c r="E18" s="15">
        <f>E13*0.2</f>
        <v/>
      </c>
      <c r="F18" s="15">
        <f>F13*0.2</f>
        <v/>
      </c>
      <c r="G18" s="15">
        <f>G13*0.2</f>
        <v/>
      </c>
      <c r="H18" s="15">
        <f>H13*0.2</f>
        <v/>
      </c>
      <c r="I18" s="15">
        <f>I13*0.2</f>
        <v/>
      </c>
      <c r="J18" s="15">
        <f>J13*0.2</f>
        <v/>
      </c>
      <c r="K18" s="15">
        <f>K13*0.2</f>
        <v/>
      </c>
      <c r="L18" s="15">
        <f>L13*0.2</f>
        <v/>
      </c>
      <c r="M18" s="15">
        <f>M13*0.2</f>
        <v/>
      </c>
      <c r="N18" s="15">
        <f>N13*0.2</f>
        <v/>
      </c>
      <c r="O18" s="15">
        <f>O13*0.2</f>
        <v/>
      </c>
      <c r="P18" s="15">
        <f>P13*0.2</f>
        <v/>
      </c>
      <c r="Q18" s="15">
        <f>Q13*0.2</f>
        <v/>
      </c>
      <c r="R18" s="15">
        <f>R13*0.2</f>
        <v/>
      </c>
    </row>
    <row r="19">
      <c r="B19" s="15" t="inlineStr">
        <is>
          <t>Prob(D*ELT)</t>
        </is>
      </c>
      <c r="C19" s="15" t="n">
        <v>2</v>
      </c>
      <c r="D19" s="15">
        <f>D14*0.2</f>
        <v/>
      </c>
      <c r="E19" s="15">
        <f>E14*0.2</f>
        <v/>
      </c>
      <c r="F19" s="15">
        <f>F14*0.2</f>
        <v/>
      </c>
      <c r="G19" s="15">
        <f>G14*0.2</f>
        <v/>
      </c>
      <c r="H19" s="15">
        <f>H14*0.2</f>
        <v/>
      </c>
      <c r="I19" s="15">
        <f>I14*0.2</f>
        <v/>
      </c>
      <c r="J19" s="15">
        <f>J14*0.2</f>
        <v/>
      </c>
      <c r="K19" s="15">
        <f>K14*0.2</f>
        <v/>
      </c>
      <c r="L19" s="15">
        <f>L14*0.2</f>
        <v/>
      </c>
      <c r="M19" s="15">
        <f>M14*0.2</f>
        <v/>
      </c>
      <c r="N19" s="15">
        <f>N14*0.2</f>
        <v/>
      </c>
      <c r="O19" s="15">
        <f>O14*0.2</f>
        <v/>
      </c>
      <c r="P19" s="15">
        <f>P14*0.2</f>
        <v/>
      </c>
      <c r="Q19" s="15">
        <f>Q14*0.2</f>
        <v/>
      </c>
      <c r="R19" s="15">
        <f>R14*0.2</f>
        <v/>
      </c>
    </row>
    <row r="20">
      <c r="B20" s="15" t="inlineStr">
        <is>
          <t>Prob(D*ELT)</t>
        </is>
      </c>
      <c r="C20" s="15" t="n">
        <v>3</v>
      </c>
      <c r="D20" s="15">
        <f>D15*0.2</f>
        <v/>
      </c>
      <c r="E20" s="15">
        <f>E15*0.2</f>
        <v/>
      </c>
      <c r="F20" s="15">
        <f>F15*0.2</f>
        <v/>
      </c>
      <c r="G20" s="15">
        <f>G15*0.2</f>
        <v/>
      </c>
      <c r="H20" s="15">
        <f>H15*0.2</f>
        <v/>
      </c>
      <c r="I20" s="15">
        <f>I15*0.2</f>
        <v/>
      </c>
      <c r="J20" s="15">
        <f>J15*0.2</f>
        <v/>
      </c>
      <c r="K20" s="15">
        <f>K15*0.2</f>
        <v/>
      </c>
      <c r="L20" s="15">
        <f>L15*0.2</f>
        <v/>
      </c>
      <c r="M20" s="15">
        <f>M15*0.2</f>
        <v/>
      </c>
      <c r="N20" s="15">
        <f>N15*0.2</f>
        <v/>
      </c>
      <c r="O20" s="15">
        <f>O15*0.2</f>
        <v/>
      </c>
      <c r="P20" s="15">
        <f>P15*0.2</f>
        <v/>
      </c>
      <c r="Q20" s="15">
        <f>Q15*0.2</f>
        <v/>
      </c>
      <c r="R20" s="15">
        <f>R15*0.2</f>
        <v/>
      </c>
    </row>
    <row r="23">
      <c r="C23" s="15" t="inlineStr">
        <is>
          <t>z</t>
        </is>
      </c>
      <c r="D23" s="15" t="n">
        <v>2.06</v>
      </c>
    </row>
    <row r="25">
      <c r="C25" s="15" t="inlineStr">
        <is>
          <t>DesvPad</t>
        </is>
      </c>
      <c r="D25" s="15" t="n">
        <v>1</v>
      </c>
      <c r="E25" s="15" t="n">
        <v>2</v>
      </c>
      <c r="F25" s="15" t="n">
        <v>3</v>
      </c>
      <c r="G25" s="15" t="n">
        <v>4</v>
      </c>
      <c r="H25" s="15" t="n">
        <v>5</v>
      </c>
      <c r="I25" s="15" t="n">
        <v>6</v>
      </c>
      <c r="J25" s="15" t="n">
        <v>7</v>
      </c>
      <c r="K25" s="15" t="n">
        <v>8</v>
      </c>
      <c r="L25" s="15" t="n">
        <v>9</v>
      </c>
      <c r="M25" s="15" t="n">
        <v>10</v>
      </c>
      <c r="N25" s="15" t="n">
        <v>11</v>
      </c>
      <c r="O25" s="15" t="n">
        <v>12</v>
      </c>
      <c r="P25" s="15" t="n">
        <v>13</v>
      </c>
      <c r="Q25" s="15" t="n">
        <v>14</v>
      </c>
      <c r="R25" s="15" t="n">
        <v>15</v>
      </c>
    </row>
    <row r="26">
      <c r="C26" s="15" t="n">
        <v>1</v>
      </c>
      <c r="D26" s="15">
        <f>(D13*(D8^2)+(D3^2)*(D18^2))^0.5</f>
        <v/>
      </c>
      <c r="E26" s="15">
        <f>(E13*(E8^2)+(E3^2)*(E18^2))^0.5</f>
        <v/>
      </c>
      <c r="F26" s="15">
        <f>(F13*(F8^2)+(F3^2)*(F18^2))^0.5</f>
        <v/>
      </c>
      <c r="G26" s="15">
        <f>(G13*(G8^2)+(G3^2)*(G18^2))^0.5</f>
        <v/>
      </c>
      <c r="H26" s="15">
        <f>(H13*(H8^2)+(H3^2)*(H18^2))^0.5</f>
        <v/>
      </c>
      <c r="I26" s="15">
        <f>(I13*(I8^2)+(I3^2)*(I18^2))^0.5</f>
        <v/>
      </c>
      <c r="J26" s="15">
        <f>(J13*(J8^2)+(J3^2)*(J18^2))^0.5</f>
        <v/>
      </c>
      <c r="K26" s="15">
        <f>(K13*(K8^2)+(K3^2)*(K18^2))^0.5</f>
        <v/>
      </c>
      <c r="L26" s="15">
        <f>(L13*(L8^2)+(L3^2)*(L18^2))^0.5</f>
        <v/>
      </c>
      <c r="M26" s="15">
        <f>(M13*(M8^2)+(M3^2)*(M18^2))^0.5</f>
        <v/>
      </c>
      <c r="N26" s="15">
        <f>(N13*(N8^2)+(N3^2)*(N18^2))^0.5</f>
        <v/>
      </c>
      <c r="O26" s="15">
        <f>(O13*(O8^2)+(O3^2)*(O18^2))^0.5</f>
        <v/>
      </c>
      <c r="P26" s="15">
        <f>(P13*(P8^2)+(P3^2)*(P18^2))^0.5</f>
        <v/>
      </c>
      <c r="Q26" s="15">
        <f>(Q13*(Q8^2)+(Q3^2)*(Q18^2))^0.5</f>
        <v/>
      </c>
      <c r="R26" s="15">
        <f>(R13*(R8^2)+(R3^2)*(R18^2))^0.5</f>
        <v/>
      </c>
    </row>
    <row r="27">
      <c r="C27" s="15" t="n">
        <v>2</v>
      </c>
      <c r="D27" s="15">
        <f>(D14*(D9^2)+(D4^2)*(D19^2))^0.5</f>
        <v/>
      </c>
      <c r="E27" s="15">
        <f>(E14*(E9^2)+(E4^2)*(E19^2))^0.5</f>
        <v/>
      </c>
      <c r="F27" s="15">
        <f>(F14*(F9^2)+(F4^2)*(F19^2))^0.5</f>
        <v/>
      </c>
      <c r="G27" s="15">
        <f>(G14*(G9^2)+(G4^2)*(G19^2))^0.5</f>
        <v/>
      </c>
      <c r="H27" s="15">
        <f>(H14*(H9^2)+(H4^2)*(H19^2))^0.5</f>
        <v/>
      </c>
      <c r="I27" s="15">
        <f>(I14*(I9^2)+(I4^2)*(I19^2))^0.5</f>
        <v/>
      </c>
      <c r="J27" s="15">
        <f>(J14*(J9^2)+(J4^2)*(J19^2))^0.5</f>
        <v/>
      </c>
      <c r="K27" s="15">
        <f>(K14*(K9^2)+(K4^2)*(K19^2))^0.5</f>
        <v/>
      </c>
      <c r="L27" s="15">
        <f>(L14*(L9^2)+(L4^2)*(L19^2))^0.5</f>
        <v/>
      </c>
      <c r="M27" s="15">
        <f>(M14*(M9^2)+(M4^2)*(M19^2))^0.5</f>
        <v/>
      </c>
      <c r="N27" s="15">
        <f>(N14*(N9^2)+(N4^2)*(N19^2))^0.5</f>
        <v/>
      </c>
      <c r="O27" s="15">
        <f>(O14*(O9^2)+(O4^2)*(O19^2))^0.5</f>
        <v/>
      </c>
      <c r="P27" s="15">
        <f>(P14*(P9^2)+(P4^2)*(P19^2))^0.5</f>
        <v/>
      </c>
      <c r="Q27" s="15">
        <f>(Q14*(Q9^2)+(Q4^2)*(Q19^2))^0.5</f>
        <v/>
      </c>
      <c r="R27" s="15">
        <f>(R14*(R9^2)+(R4^2)*(R19^2))^0.5</f>
        <v/>
      </c>
    </row>
    <row r="28">
      <c r="C28" s="15" t="n">
        <v>3</v>
      </c>
      <c r="D28" s="15">
        <f>(D15*(D10^2)+(D5^2)*(D20^2))^0.5</f>
        <v/>
      </c>
      <c r="E28" s="15">
        <f>(E15*(E10^2)+(E5^2)*(E20^2))^0.5</f>
        <v/>
      </c>
      <c r="F28" s="15">
        <f>(F15*(F10^2)+(F5^2)*(F20^2))^0.5</f>
        <v/>
      </c>
      <c r="G28" s="15">
        <f>(G15*(G10^2)+(G5^2)*(G20^2))^0.5</f>
        <v/>
      </c>
      <c r="H28" s="15">
        <f>(H15*(H10^2)+(H5^2)*(H20^2))^0.5</f>
        <v/>
      </c>
      <c r="I28" s="15">
        <f>(I15*(I10^2)+(I5^2)*(I20^2))^0.5</f>
        <v/>
      </c>
      <c r="J28" s="15">
        <f>(J15*(J10^2)+(J5^2)*(J20^2))^0.5</f>
        <v/>
      </c>
      <c r="K28" s="15">
        <f>(K15*(K10^2)+(K5^2)*(K20^2))^0.5</f>
        <v/>
      </c>
      <c r="L28" s="15">
        <f>(L15*(L10^2)+(L5^2)*(L20^2))^0.5</f>
        <v/>
      </c>
      <c r="M28" s="15">
        <f>(M15*(M10^2)+(M5^2)*(M20^2))^0.5</f>
        <v/>
      </c>
      <c r="N28" s="15">
        <f>(N15*(N10^2)+(N5^2)*(N20^2))^0.5</f>
        <v/>
      </c>
      <c r="O28" s="15">
        <f>(O15*(O10^2)+(O5^2)*(O20^2))^0.5</f>
        <v/>
      </c>
      <c r="P28" s="15">
        <f>(P15*(P10^2)+(P5^2)*(P20^2))^0.5</f>
        <v/>
      </c>
      <c r="Q28" s="15">
        <f>(Q15*(Q10^2)+(Q5^2)*(Q20^2))^0.5</f>
        <v/>
      </c>
      <c r="R28" s="15">
        <f>(R15*(R10^2)+(R5^2)*(R20^2))^0.5</f>
        <v/>
      </c>
    </row>
    <row r="30">
      <c r="C30" s="15" t="inlineStr">
        <is>
          <t>Média(Demand*ELT)</t>
        </is>
      </c>
      <c r="D30" s="15" t="n">
        <v>1</v>
      </c>
      <c r="E30" s="15" t="n">
        <v>2</v>
      </c>
      <c r="F30" s="15" t="n">
        <v>3</v>
      </c>
      <c r="G30" s="15" t="n">
        <v>4</v>
      </c>
      <c r="H30" s="15" t="n">
        <v>5</v>
      </c>
      <c r="I30" s="15" t="n">
        <v>6</v>
      </c>
      <c r="J30" s="15" t="n">
        <v>7</v>
      </c>
      <c r="K30" s="15" t="n">
        <v>8</v>
      </c>
      <c r="L30" s="15" t="n">
        <v>9</v>
      </c>
      <c r="M30" s="15" t="n">
        <v>10</v>
      </c>
      <c r="N30" s="15" t="n">
        <v>11</v>
      </c>
      <c r="O30" s="15" t="n">
        <v>12</v>
      </c>
      <c r="P30" s="15" t="n">
        <v>13</v>
      </c>
      <c r="Q30" s="15" t="n">
        <v>14</v>
      </c>
      <c r="R30" s="15" t="n">
        <v>15</v>
      </c>
    </row>
    <row r="31">
      <c r="C31" s="15" t="n">
        <v>1</v>
      </c>
      <c r="D31" s="15">
        <f>D3*D13</f>
        <v/>
      </c>
      <c r="E31" s="15">
        <f>E3*E13</f>
        <v/>
      </c>
      <c r="F31" s="15">
        <f>F3*F13</f>
        <v/>
      </c>
      <c r="G31" s="15">
        <f>G3*G13</f>
        <v/>
      </c>
      <c r="H31" s="15">
        <f>H3*H13</f>
        <v/>
      </c>
      <c r="I31" s="15">
        <f>I3*I13</f>
        <v/>
      </c>
      <c r="J31" s="15">
        <f>J3*J13</f>
        <v/>
      </c>
      <c r="K31" s="15">
        <f>K3*K13</f>
        <v/>
      </c>
      <c r="L31" s="15">
        <f>L3*L13</f>
        <v/>
      </c>
      <c r="M31" s="15">
        <f>M3*M13</f>
        <v/>
      </c>
      <c r="N31" s="15">
        <f>N3*N13</f>
        <v/>
      </c>
      <c r="O31" s="15">
        <f>O3*O13</f>
        <v/>
      </c>
      <c r="P31" s="15">
        <f>P3*P13</f>
        <v/>
      </c>
      <c r="Q31" s="15">
        <f>Q3*Q13</f>
        <v/>
      </c>
      <c r="R31" s="15">
        <f>R3*R13</f>
        <v/>
      </c>
    </row>
    <row r="32">
      <c r="C32" s="15" t="n">
        <v>2</v>
      </c>
      <c r="D32" s="15">
        <f>D4*D14</f>
        <v/>
      </c>
      <c r="E32" s="15">
        <f>E4*E14</f>
        <v/>
      </c>
      <c r="F32" s="15">
        <f>F4*F14</f>
        <v/>
      </c>
      <c r="G32" s="15">
        <f>G4*G14</f>
        <v/>
      </c>
      <c r="H32" s="15">
        <f>H4*H14</f>
        <v/>
      </c>
      <c r="I32" s="15">
        <f>I4*I14</f>
        <v/>
      </c>
      <c r="J32" s="15">
        <f>J4*J14</f>
        <v/>
      </c>
      <c r="K32" s="15">
        <f>K4*K14</f>
        <v/>
      </c>
      <c r="L32" s="15">
        <f>L4*L14</f>
        <v/>
      </c>
      <c r="M32" s="15">
        <f>M4*M14</f>
        <v/>
      </c>
      <c r="N32" s="15">
        <f>N4*N14</f>
        <v/>
      </c>
      <c r="O32" s="15">
        <f>O4*O14</f>
        <v/>
      </c>
      <c r="P32" s="15">
        <f>P4*P14</f>
        <v/>
      </c>
      <c r="Q32" s="15">
        <f>Q4*Q14</f>
        <v/>
      </c>
      <c r="R32" s="15">
        <f>R4*R14</f>
        <v/>
      </c>
    </row>
    <row r="33">
      <c r="C33" s="15" t="n">
        <v>3</v>
      </c>
      <c r="D33" s="15">
        <f>D5*D15</f>
        <v/>
      </c>
      <c r="E33" s="15">
        <f>E5*E15</f>
        <v/>
      </c>
      <c r="F33" s="15">
        <f>F5*F15</f>
        <v/>
      </c>
      <c r="G33" s="15">
        <f>G5*G15</f>
        <v/>
      </c>
      <c r="H33" s="15">
        <f>H5*H15</f>
        <v/>
      </c>
      <c r="I33" s="15">
        <f>I5*I15</f>
        <v/>
      </c>
      <c r="J33" s="15">
        <f>J5*J15</f>
        <v/>
      </c>
      <c r="K33" s="15">
        <f>K5*K15</f>
        <v/>
      </c>
      <c r="L33" s="15">
        <f>L5*L15</f>
        <v/>
      </c>
      <c r="M33" s="15">
        <f>M5*M15</f>
        <v/>
      </c>
      <c r="N33" s="15">
        <f>N5*N15</f>
        <v/>
      </c>
      <c r="O33" s="15">
        <f>O5*O15</f>
        <v/>
      </c>
      <c r="P33" s="15">
        <f>P5*P15</f>
        <v/>
      </c>
      <c r="Q33" s="15">
        <f>Q5*Q15</f>
        <v/>
      </c>
      <c r="R33" s="15">
        <f>R5*R15</f>
        <v/>
      </c>
    </row>
    <row r="35">
      <c r="B35" s="15" t="inlineStr">
        <is>
          <t>Parâmetro p/ c</t>
        </is>
      </c>
      <c r="C35" s="15" t="inlineStr">
        <is>
          <t>Reposição</t>
        </is>
      </c>
      <c r="D35" s="15" t="n">
        <v>1</v>
      </c>
      <c r="E35" s="15" t="n">
        <v>2</v>
      </c>
      <c r="F35" s="15" t="n">
        <v>3</v>
      </c>
      <c r="G35" s="15" t="n">
        <v>4</v>
      </c>
      <c r="H35" s="15" t="n">
        <v>5</v>
      </c>
      <c r="I35" s="15" t="n">
        <v>6</v>
      </c>
      <c r="J35" s="15" t="n">
        <v>7</v>
      </c>
      <c r="K35" s="15" t="n">
        <v>8</v>
      </c>
      <c r="L35" s="15" t="n">
        <v>9</v>
      </c>
      <c r="M35" s="15" t="n">
        <v>10</v>
      </c>
      <c r="N35" s="15" t="n">
        <v>11</v>
      </c>
      <c r="O35" s="15" t="n">
        <v>12</v>
      </c>
      <c r="P35" s="15" t="n">
        <v>13</v>
      </c>
      <c r="Q35" s="15" t="n">
        <v>14</v>
      </c>
      <c r="R35" s="15" t="n">
        <v>15</v>
      </c>
    </row>
    <row r="36">
      <c r="B36" s="15" t="inlineStr">
        <is>
          <t>Prob(D*ELT)</t>
        </is>
      </c>
      <c r="C36" s="15" t="n">
        <v>1</v>
      </c>
      <c r="D36" s="81">
        <f>D31+$D$23*D26</f>
        <v/>
      </c>
      <c r="E36" s="81">
        <f>E31+$D$23*E26</f>
        <v/>
      </c>
      <c r="F36" s="81">
        <f>F31+$D$23*F26</f>
        <v/>
      </c>
      <c r="G36" s="81">
        <f>G31+$D$23*G26</f>
        <v/>
      </c>
      <c r="H36" s="81">
        <f>H31+$D$23*H26</f>
        <v/>
      </c>
      <c r="I36" s="81">
        <f>I31+$D$23*I26</f>
        <v/>
      </c>
      <c r="J36" s="81">
        <f>J31+$D$23*J26</f>
        <v/>
      </c>
      <c r="K36" s="81">
        <f>K31+$D$23*K26</f>
        <v/>
      </c>
      <c r="L36" s="81">
        <f>L31+$D$23*L26</f>
        <v/>
      </c>
      <c r="M36" s="81">
        <f>M31+$D$23*M26</f>
        <v/>
      </c>
      <c r="N36" s="81">
        <f>N31+$D$23*N26</f>
        <v/>
      </c>
      <c r="O36" s="81">
        <f>O31+$D$23*O26</f>
        <v/>
      </c>
      <c r="P36" s="81">
        <f>P31+$D$23*P26</f>
        <v/>
      </c>
      <c r="Q36" s="81">
        <f>Q31+$D$23*Q26</f>
        <v/>
      </c>
      <c r="R36" s="81">
        <f>R31+$D$23*R26</f>
        <v/>
      </c>
    </row>
    <row r="37">
      <c r="B37" s="15" t="inlineStr">
        <is>
          <t>Prob(D*ELT)</t>
        </is>
      </c>
      <c r="C37" s="15" t="n">
        <v>2</v>
      </c>
      <c r="D37" s="81">
        <f>D32+$D$23*D27</f>
        <v/>
      </c>
      <c r="E37" s="81">
        <f>E32+$D$23*E27</f>
        <v/>
      </c>
      <c r="F37" s="81">
        <f>F32+$D$23*F27</f>
        <v/>
      </c>
      <c r="G37" s="81">
        <f>G32+$D$23*G27</f>
        <v/>
      </c>
      <c r="H37" s="81">
        <f>H32+$D$23*H27</f>
        <v/>
      </c>
      <c r="I37" s="81">
        <f>I32+$D$23*I27</f>
        <v/>
      </c>
      <c r="J37" s="81">
        <f>J32+$D$23*J27</f>
        <v/>
      </c>
      <c r="K37" s="81">
        <f>K32+$D$23*K27</f>
        <v/>
      </c>
      <c r="L37" s="81">
        <f>L32+$D$23*L27</f>
        <v/>
      </c>
      <c r="M37" s="81">
        <f>M32+$D$23*M27</f>
        <v/>
      </c>
      <c r="N37" s="81">
        <f>N32+$D$23*N27</f>
        <v/>
      </c>
      <c r="O37" s="81">
        <f>O32+$D$23*O27</f>
        <v/>
      </c>
      <c r="P37" s="81">
        <f>P32+$D$23*P27</f>
        <v/>
      </c>
      <c r="Q37" s="81">
        <f>Q32+$D$23*Q27</f>
        <v/>
      </c>
      <c r="R37" s="81">
        <f>R32+$D$23*R27</f>
        <v/>
      </c>
    </row>
    <row r="38">
      <c r="B38" s="15" t="inlineStr">
        <is>
          <t>Prob(D*ELT)</t>
        </is>
      </c>
      <c r="C38" s="15" t="n">
        <v>3</v>
      </c>
      <c r="D38" s="81">
        <f>D33+$D$23*D28</f>
        <v/>
      </c>
      <c r="E38" s="81">
        <f>E33+$D$23*E28</f>
        <v/>
      </c>
      <c r="F38" s="81">
        <f>F33+$D$23*F28</f>
        <v/>
      </c>
      <c r="G38" s="81">
        <f>G33+$D$23*G28</f>
        <v/>
      </c>
      <c r="H38" s="81">
        <f>H33+$D$23*H28</f>
        <v/>
      </c>
      <c r="I38" s="81">
        <f>I33+$D$23*I28</f>
        <v/>
      </c>
      <c r="J38" s="81">
        <f>J33+$D$23*J28</f>
        <v/>
      </c>
      <c r="K38" s="81">
        <f>K33+$D$23*K28</f>
        <v/>
      </c>
      <c r="L38" s="81">
        <f>L33+$D$23*L28</f>
        <v/>
      </c>
      <c r="M38" s="81">
        <f>M33+$D$23*M28</f>
        <v/>
      </c>
      <c r="N38" s="81">
        <f>N33+$D$23*N28</f>
        <v/>
      </c>
      <c r="O38" s="81">
        <f>O33+$D$23*O28</f>
        <v/>
      </c>
      <c r="P38" s="81">
        <f>P33+$D$23*P28</f>
        <v/>
      </c>
      <c r="Q38" s="81">
        <f>Q33+$D$23*Q28</f>
        <v/>
      </c>
      <c r="R38" s="81">
        <f>R33+$D$23*R28</f>
        <v/>
      </c>
    </row>
    <row r="40">
      <c r="C40" s="15" t="inlineStr">
        <is>
          <t>P(Reposição)</t>
        </is>
      </c>
      <c r="D40" s="15" t="n">
        <v>1</v>
      </c>
      <c r="E40" s="15" t="n">
        <v>2</v>
      </c>
      <c r="F40" s="15" t="n">
        <v>3</v>
      </c>
      <c r="G40" s="15" t="n">
        <v>4</v>
      </c>
      <c r="H40" s="15" t="n">
        <v>5</v>
      </c>
      <c r="I40" s="15" t="n">
        <v>6</v>
      </c>
      <c r="J40" s="15" t="n">
        <v>7</v>
      </c>
      <c r="K40" s="15" t="n">
        <v>8</v>
      </c>
      <c r="L40" s="15" t="n">
        <v>9</v>
      </c>
      <c r="M40" s="15" t="n">
        <v>10</v>
      </c>
      <c r="N40" s="15" t="n">
        <v>11</v>
      </c>
      <c r="O40" s="15" t="n">
        <v>12</v>
      </c>
      <c r="P40" s="15" t="n">
        <v>13</v>
      </c>
      <c r="Q40" s="15" t="n">
        <v>14</v>
      </c>
      <c r="R40" s="15" t="n">
        <v>15</v>
      </c>
    </row>
    <row r="41">
      <c r="C41" s="15" t="n">
        <v>1</v>
      </c>
    </row>
    <row r="42">
      <c r="C42" s="15" t="n">
        <v>2</v>
      </c>
    </row>
    <row r="43">
      <c r="C43" s="15" t="n">
        <v>3</v>
      </c>
    </row>
    <row r="45" ht="23.4" customHeight="1">
      <c r="C45" s="60" t="inlineStr">
        <is>
          <t>Factories</t>
        </is>
      </c>
    </row>
    <row r="46">
      <c r="B46" s="15" t="inlineStr">
        <is>
          <t>Parâmetros p/</t>
        </is>
      </c>
      <c r="C46" s="15" t="inlineStr">
        <is>
          <t>demand</t>
        </is>
      </c>
      <c r="D46" s="15" t="n">
        <v>16</v>
      </c>
      <c r="E46" s="15" t="n">
        <v>17</v>
      </c>
      <c r="F46" s="15" t="n">
        <v>18</v>
      </c>
    </row>
    <row r="47">
      <c r="B47" s="15" t="inlineStr">
        <is>
          <t>Prob(D*ELT)</t>
        </is>
      </c>
      <c r="C47" s="15" t="n">
        <v>4</v>
      </c>
      <c r="D47" s="39">
        <f>Demand!AU11</f>
        <v/>
      </c>
      <c r="E47" s="39">
        <f>Demand!AV11</f>
        <v/>
      </c>
      <c r="F47" s="39">
        <f>Demand!AW11</f>
        <v/>
      </c>
    </row>
    <row r="48">
      <c r="B48" s="15" t="inlineStr">
        <is>
          <t>Prob(D*ELT)</t>
        </is>
      </c>
      <c r="C48" s="15" t="n">
        <v>5</v>
      </c>
      <c r="D48" s="39">
        <f>Demand!AU12</f>
        <v/>
      </c>
      <c r="E48" s="39">
        <f>Demand!AV12</f>
        <v/>
      </c>
      <c r="F48" s="39">
        <f>Demand!AW12</f>
        <v/>
      </c>
    </row>
    <row r="49">
      <c r="B49" s="15" t="inlineStr">
        <is>
          <t>Prob(D*ELT)</t>
        </is>
      </c>
      <c r="C49" s="15" t="n">
        <v>6</v>
      </c>
      <c r="D49" s="39">
        <f>Demand!AU13</f>
        <v/>
      </c>
      <c r="E49" s="39">
        <f>Demand!AV13</f>
        <v/>
      </c>
      <c r="F49" s="39">
        <f>Demand!AW13</f>
        <v/>
      </c>
    </row>
    <row r="51">
      <c r="B51" s="15" t="inlineStr">
        <is>
          <t>Parâmetros</t>
        </is>
      </c>
      <c r="C51" s="15" t="inlineStr">
        <is>
          <t>DesvPad(demand)</t>
        </is>
      </c>
      <c r="D51" s="15" t="n">
        <v>16</v>
      </c>
      <c r="E51" s="15" t="n">
        <v>17</v>
      </c>
      <c r="F51" s="15" t="n">
        <v>18</v>
      </c>
    </row>
    <row r="52">
      <c r="B52" s="15" t="inlineStr">
        <is>
          <t>Prob(D*ELT)</t>
        </is>
      </c>
      <c r="C52" s="15" t="n">
        <v>4</v>
      </c>
      <c r="D52" s="15">
        <f>D47*0.2</f>
        <v/>
      </c>
      <c r="E52" s="15">
        <f>E47*0.2</f>
        <v/>
      </c>
      <c r="F52" s="15">
        <f>F47*0.2</f>
        <v/>
      </c>
    </row>
    <row r="53">
      <c r="B53" s="15" t="inlineStr">
        <is>
          <t>Prob(D*ELT)</t>
        </is>
      </c>
      <c r="C53" s="15" t="n">
        <v>5</v>
      </c>
      <c r="D53" s="15">
        <f>D48*0.2</f>
        <v/>
      </c>
      <c r="E53" s="15">
        <f>E48*0.2</f>
        <v/>
      </c>
      <c r="F53" s="15">
        <f>F48*0.2</f>
        <v/>
      </c>
    </row>
    <row r="54">
      <c r="B54" s="15" t="inlineStr">
        <is>
          <t>Prob(D*ELT)</t>
        </is>
      </c>
      <c r="C54" s="15" t="n">
        <v>6</v>
      </c>
      <c r="D54" s="15">
        <f>D49*0.2</f>
        <v/>
      </c>
      <c r="E54" s="15">
        <f>E49*0.2</f>
        <v/>
      </c>
      <c r="F54" s="15">
        <f>F49*0.2</f>
        <v/>
      </c>
    </row>
    <row r="56">
      <c r="B56" s="15" t="inlineStr">
        <is>
          <t>Parâmetros</t>
        </is>
      </c>
      <c r="C56" s="15" t="inlineStr">
        <is>
          <t>Média(E(RLT))</t>
        </is>
      </c>
      <c r="D56" s="15" t="n">
        <v>16</v>
      </c>
      <c r="E56" s="15" t="n">
        <v>17</v>
      </c>
      <c r="F56" s="15" t="n">
        <v>18</v>
      </c>
    </row>
    <row r="57">
      <c r="B57" s="15" t="inlineStr">
        <is>
          <t>Prob(D*ELT)</t>
        </is>
      </c>
      <c r="C57" s="15" t="n">
        <v>4</v>
      </c>
      <c r="D57" s="39">
        <f>Factories!I22</f>
        <v/>
      </c>
      <c r="E57" s="39">
        <f>Factories!J22</f>
        <v/>
      </c>
      <c r="F57" s="39">
        <f>Factories!K22</f>
        <v/>
      </c>
    </row>
    <row r="58">
      <c r="B58" s="15" t="inlineStr">
        <is>
          <t>Prob(D*ELT)</t>
        </is>
      </c>
      <c r="C58" s="15" t="n">
        <v>5</v>
      </c>
      <c r="D58" s="39">
        <f>Factories!I23</f>
        <v/>
      </c>
      <c r="E58" s="39">
        <f>Factories!J23</f>
        <v/>
      </c>
      <c r="F58" s="39">
        <f>Factories!K23</f>
        <v/>
      </c>
    </row>
    <row r="59">
      <c r="B59" s="15" t="inlineStr">
        <is>
          <t>Prob(D*ELT)</t>
        </is>
      </c>
      <c r="C59" s="15" t="n">
        <v>6</v>
      </c>
      <c r="D59" s="39">
        <f>Factories!I24</f>
        <v/>
      </c>
      <c r="E59" s="39">
        <f>Factories!J24</f>
        <v/>
      </c>
      <c r="F59" s="39">
        <f>Factories!K24</f>
        <v/>
      </c>
    </row>
    <row r="61">
      <c r="B61" s="15" t="inlineStr">
        <is>
          <t>Parâmetros</t>
        </is>
      </c>
      <c r="C61" s="15" t="inlineStr">
        <is>
          <t>DesvPad(E(RLT))</t>
        </is>
      </c>
      <c r="D61" s="15" t="n">
        <v>16</v>
      </c>
      <c r="E61" s="15" t="n">
        <v>17</v>
      </c>
      <c r="F61" s="15" t="n">
        <v>18</v>
      </c>
    </row>
    <row r="62">
      <c r="B62" s="15" t="inlineStr">
        <is>
          <t>Prob(D*ELT)</t>
        </is>
      </c>
      <c r="C62" s="15" t="n">
        <v>4</v>
      </c>
      <c r="D62" s="15">
        <f>D57*0.2</f>
        <v/>
      </c>
      <c r="E62" s="15">
        <f>E57*0.2</f>
        <v/>
      </c>
      <c r="F62" s="15">
        <f>F57*0.2</f>
        <v/>
      </c>
    </row>
    <row r="63">
      <c r="B63" s="15" t="inlineStr">
        <is>
          <t>Prob(D*ELT)</t>
        </is>
      </c>
      <c r="C63" s="15" t="n">
        <v>5</v>
      </c>
      <c r="D63" s="15">
        <f>D58*0.2</f>
        <v/>
      </c>
      <c r="E63" s="15">
        <f>E58*0.2</f>
        <v/>
      </c>
      <c r="F63" s="15">
        <f>F58*0.2</f>
        <v/>
      </c>
    </row>
    <row r="64">
      <c r="B64" s="15" t="inlineStr">
        <is>
          <t>Prob(D*ELT)</t>
        </is>
      </c>
      <c r="C64" s="15" t="n">
        <v>6</v>
      </c>
      <c r="D64" s="15">
        <f>D59*0.2</f>
        <v/>
      </c>
      <c r="E64" s="15">
        <f>E59*0.2</f>
        <v/>
      </c>
      <c r="F64" s="15">
        <f>F59*0.2</f>
        <v/>
      </c>
    </row>
    <row r="67">
      <c r="C67" s="15" t="inlineStr">
        <is>
          <t>z</t>
        </is>
      </c>
      <c r="D67" s="15" t="n">
        <v>2.06</v>
      </c>
    </row>
    <row r="69">
      <c r="C69" s="15" t="inlineStr">
        <is>
          <t>DesvPad</t>
        </is>
      </c>
      <c r="D69" s="15" t="n">
        <v>16</v>
      </c>
      <c r="E69" s="15" t="n">
        <v>17</v>
      </c>
      <c r="F69" s="15" t="n">
        <v>18</v>
      </c>
    </row>
    <row r="70">
      <c r="C70" s="15" t="n">
        <v>4</v>
      </c>
      <c r="D70" s="15">
        <f>(D57*(D52^2)+(D47^2)*(D62^2))^0.5</f>
        <v/>
      </c>
      <c r="E70" s="15">
        <f>(E57*(E52^2)+(E47^2)*(E62^2))^0.5</f>
        <v/>
      </c>
      <c r="F70" s="15">
        <f>(F57*(F52^2)+(F47^2)*(F62^2))^0.5</f>
        <v/>
      </c>
    </row>
    <row r="71">
      <c r="C71" s="15" t="n">
        <v>5</v>
      </c>
      <c r="D71" s="15">
        <f>(D58*(D53^2)+(D48^2)*(D63^2))^0.5</f>
        <v/>
      </c>
      <c r="E71" s="15">
        <f>(E58*(E53^2)+(E48^2)*(E63^2))^0.5</f>
        <v/>
      </c>
      <c r="F71" s="15">
        <f>(F58*(F53^2)+(F48^2)*(F63^2))^0.5</f>
        <v/>
      </c>
    </row>
    <row r="72">
      <c r="C72" s="15" t="n">
        <v>6</v>
      </c>
      <c r="D72" s="15">
        <f>(D59*(D54^2)+(D49^2)*(D64^2))^0.5</f>
        <v/>
      </c>
      <c r="E72" s="15">
        <f>(E59*(E54^2)+(E49^2)*(E64^2))^0.5</f>
        <v/>
      </c>
      <c r="F72" s="15">
        <f>(F59*(F54^2)+(F49^2)*(F64^2))^0.5</f>
        <v/>
      </c>
    </row>
    <row r="74">
      <c r="C74" s="15" t="inlineStr">
        <is>
          <t>Média(Demand*ELT)</t>
        </is>
      </c>
      <c r="D74" s="15" t="n">
        <v>16</v>
      </c>
      <c r="E74" s="15" t="n">
        <v>17</v>
      </c>
      <c r="F74" s="15" t="n">
        <v>18</v>
      </c>
    </row>
    <row r="75">
      <c r="C75" s="15" t="n">
        <v>4</v>
      </c>
      <c r="D75" s="15">
        <f>D47*D57</f>
        <v/>
      </c>
      <c r="E75" s="15">
        <f>E47*E57</f>
        <v/>
      </c>
      <c r="F75" s="15">
        <f>F47*F57</f>
        <v/>
      </c>
    </row>
    <row r="76">
      <c r="C76" s="15" t="n">
        <v>5</v>
      </c>
      <c r="D76" s="15">
        <f>D48*D58</f>
        <v/>
      </c>
      <c r="E76" s="15">
        <f>E48*E58</f>
        <v/>
      </c>
      <c r="F76" s="15">
        <f>F48*F58</f>
        <v/>
      </c>
    </row>
    <row r="77">
      <c r="C77" s="15" t="n">
        <v>6</v>
      </c>
      <c r="D77" s="15">
        <f>D49*D59</f>
        <v/>
      </c>
      <c r="E77" s="15">
        <f>E49*E59</f>
        <v/>
      </c>
      <c r="F77" s="15">
        <f>F49*F59</f>
        <v/>
      </c>
    </row>
    <row r="79">
      <c r="B79" s="15" t="inlineStr">
        <is>
          <t>Parâmetro p/ c</t>
        </is>
      </c>
      <c r="C79" s="15" t="inlineStr">
        <is>
          <t>Reposição</t>
        </is>
      </c>
      <c r="D79" s="15" t="n">
        <v>16</v>
      </c>
      <c r="E79" s="15" t="n">
        <v>17</v>
      </c>
      <c r="F79" s="15" t="n">
        <v>18</v>
      </c>
    </row>
    <row r="80">
      <c r="B80" s="15" t="inlineStr">
        <is>
          <t>Prob(D*ELT)</t>
        </is>
      </c>
      <c r="C80" s="15" t="n">
        <v>4</v>
      </c>
      <c r="D80" s="81">
        <f>D75+$D$67*D70</f>
        <v/>
      </c>
      <c r="E80" s="81">
        <f>E75+$D$67*E70</f>
        <v/>
      </c>
      <c r="F80" s="81">
        <f>F75+$D$67*F70</f>
        <v/>
      </c>
    </row>
    <row r="81">
      <c r="B81" s="15" t="inlineStr">
        <is>
          <t>Prob(D*ELT)</t>
        </is>
      </c>
      <c r="C81" s="15" t="n">
        <v>5</v>
      </c>
      <c r="D81" s="81">
        <f>D76+$D$67*D71</f>
        <v/>
      </c>
      <c r="E81" s="81">
        <f>E76+$D$67*E71</f>
        <v/>
      </c>
      <c r="F81" s="81">
        <f>F76+$D$67*F71</f>
        <v/>
      </c>
    </row>
    <row r="82">
      <c r="B82" s="15" t="inlineStr">
        <is>
          <t>Prob(D*ELT)</t>
        </is>
      </c>
      <c r="C82" s="15" t="n">
        <v>6</v>
      </c>
      <c r="D82" s="81">
        <f>D77+$D$67*D72</f>
        <v/>
      </c>
      <c r="E82" s="81">
        <f>E77+$D$67*E72</f>
        <v/>
      </c>
      <c r="F82" s="81">
        <f>F77+$D$67*F72</f>
        <v/>
      </c>
    </row>
    <row r="84">
      <c r="C84" s="15" t="inlineStr">
        <is>
          <t>P(Reposição)</t>
        </is>
      </c>
      <c r="D84" s="15" t="n">
        <v>16</v>
      </c>
      <c r="E84" s="15" t="n">
        <v>17</v>
      </c>
      <c r="F84" s="15" t="n">
        <v>18</v>
      </c>
    </row>
    <row r="85">
      <c r="C85" s="15" t="n">
        <v>4</v>
      </c>
    </row>
    <row r="86">
      <c r="C86" s="15" t="n">
        <v>5</v>
      </c>
    </row>
    <row r="87">
      <c r="C87" s="15" t="n">
        <v>6</v>
      </c>
    </row>
  </sheetData>
  <conditionalFormatting sqref="D80:F82">
    <cfRule type="cellIs" priority="1" operator="equal" dxfId="9">
      <formula>1</formula>
    </cfRule>
  </conditionalFormatting>
  <conditionalFormatting sqref="D36:R38">
    <cfRule type="cellIs" priority="4" operator="equal" dxfId="9">
      <formula>1</formula>
    </cfRule>
  </conditionalFormatting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J5564"/>
  <sheetViews>
    <sheetView tabSelected="1" zoomScale="90" zoomScaleNormal="90" workbookViewId="0">
      <selection activeCell="B1" sqref="B1"/>
    </sheetView>
  </sheetViews>
  <sheetFormatPr baseColWidth="8" defaultRowHeight="14.4"/>
  <cols>
    <col width="5.109375" customWidth="1" style="15" min="1" max="1"/>
    <col width="22.21875" bestFit="1" customWidth="1" style="15" min="2" max="2"/>
    <col width="21.6640625" bestFit="1" customWidth="1" style="15" min="3" max="3"/>
    <col width="17.33203125" bestFit="1" customWidth="1" style="15" min="4" max="4"/>
    <col width="16" bestFit="1" customWidth="1" style="15" min="5" max="5"/>
    <col width="17.109375" bestFit="1" customWidth="1" style="15" min="6" max="6"/>
    <col width="13.21875" bestFit="1" customWidth="1" style="15" min="7" max="7"/>
    <col width="13.6640625" bestFit="1" customWidth="1" style="15" min="8" max="18"/>
    <col width="17.88671875" customWidth="1" style="15" min="19" max="19"/>
    <col width="15.6640625" bestFit="1" customWidth="1" style="39" min="20" max="21"/>
    <col width="20.44140625" bestFit="1" customWidth="1" style="15" min="22" max="22"/>
    <col width="10.109375" customWidth="1" style="15" min="23" max="23"/>
    <col width="8.88671875" customWidth="1" style="15" min="24" max="24"/>
    <col width="8.88671875" customWidth="1" style="15" min="25" max="25"/>
    <col width="15.77734375" bestFit="1" customWidth="1" style="15" min="26" max="26"/>
    <col width="21.21875" bestFit="1" customWidth="1" style="15" min="27" max="27"/>
    <col width="13.21875" bestFit="1" customWidth="1" style="15" min="28" max="28"/>
    <col width="12.88671875" bestFit="1" customWidth="1" style="15" min="29" max="30"/>
    <col width="13.21875" bestFit="1" customWidth="1" style="15" min="31" max="39"/>
    <col width="12.88671875" bestFit="1" customWidth="1" style="15" min="40" max="42"/>
    <col width="8.88671875" customWidth="1" style="15" min="43" max="43"/>
    <col width="10.6640625" bestFit="1" customWidth="1" style="15" min="44" max="44"/>
    <col width="12.88671875" bestFit="1" customWidth="1" style="15" min="45" max="47"/>
    <col width="15.77734375" bestFit="1" customWidth="1" style="15" min="48" max="48"/>
    <col width="21.21875" bestFit="1" customWidth="1" style="15" min="49" max="49"/>
    <col width="12.88671875" bestFit="1" customWidth="1" style="15" min="50" max="64"/>
    <col width="8.88671875" customWidth="1" style="15" min="65" max="69"/>
    <col width="15.77734375" bestFit="1" customWidth="1" style="15" min="70" max="70"/>
    <col width="21.21875" bestFit="1" customWidth="1" style="15" min="71" max="71"/>
    <col width="12.88671875" bestFit="1" customWidth="1" style="15" min="72" max="72"/>
    <col width="13.21875" bestFit="1" customWidth="1" style="15" min="73" max="73"/>
    <col width="12.88671875" bestFit="1" customWidth="1" style="15" min="74" max="79"/>
    <col width="13.21875" bestFit="1" customWidth="1" style="15" min="80" max="81"/>
    <col width="12.88671875" bestFit="1" customWidth="1" style="15" min="82" max="83"/>
    <col width="13.21875" bestFit="1" customWidth="1" style="15" min="84" max="84"/>
    <col width="12.88671875" bestFit="1" customWidth="1" style="15" min="85" max="86"/>
    <col width="8.88671875" customWidth="1" style="15" min="87" max="91"/>
    <col width="15.77734375" bestFit="1" customWidth="1" style="15" min="92" max="92"/>
    <col width="21.21875" bestFit="1" customWidth="1" style="15" min="93" max="93"/>
    <col width="12.88671875" bestFit="1" customWidth="1" style="15" min="94" max="108"/>
    <col width="8.88671875" customWidth="1" style="15" min="109" max="113"/>
    <col width="15.77734375" bestFit="1" customWidth="1" style="15" min="114" max="114"/>
    <col width="21.21875" bestFit="1" customWidth="1" style="15" min="115" max="115"/>
    <col width="12.88671875" bestFit="1" customWidth="1" style="15" min="116" max="130"/>
    <col width="8.88671875" customWidth="1" style="15" min="131" max="135"/>
    <col width="15.77734375" bestFit="1" customWidth="1" style="15" min="136" max="136"/>
    <col width="21.21875" bestFit="1" customWidth="1" style="15" min="137" max="137"/>
    <col width="12.88671875" bestFit="1" customWidth="1" style="15" min="138" max="138"/>
    <col width="13.21875" bestFit="1" customWidth="1" style="15" min="139" max="139"/>
    <col width="12.88671875" bestFit="1" customWidth="1" style="15" min="140" max="145"/>
    <col width="13.21875" bestFit="1" customWidth="1" style="15" min="146" max="147"/>
    <col width="12.88671875" bestFit="1" customWidth="1" style="15" min="148" max="149"/>
    <col width="13.21875" bestFit="1" customWidth="1" style="15" min="150" max="150"/>
    <col width="12.88671875" bestFit="1" customWidth="1" style="15" min="151" max="152"/>
    <col width="8.88671875" customWidth="1" style="15" min="153" max="157"/>
    <col width="15.77734375" bestFit="1" customWidth="1" style="15" min="158" max="158"/>
    <col width="21.21875" bestFit="1" customWidth="1" style="15" min="159" max="159"/>
    <col width="12.88671875" bestFit="1" customWidth="1" style="15" min="160" max="174"/>
    <col width="8.88671875" customWidth="1" style="15" min="175" max="179"/>
    <col width="15.77734375" bestFit="1" customWidth="1" style="15" min="180" max="180"/>
    <col width="21.21875" bestFit="1" customWidth="1" style="15" min="181" max="181"/>
    <col width="12.88671875" bestFit="1" customWidth="1" style="15" min="182" max="196"/>
    <col width="8.88671875" customWidth="1" style="15" min="197" max="201"/>
    <col width="15.77734375" bestFit="1" customWidth="1" style="15" min="202" max="202"/>
    <col width="21.21875" bestFit="1" customWidth="1" style="15" min="203" max="203"/>
    <col width="12.88671875" bestFit="1" customWidth="1" style="15" min="204" max="204"/>
    <col width="13.21875" bestFit="1" customWidth="1" style="15" min="205" max="205"/>
    <col width="12.88671875" bestFit="1" customWidth="1" style="15" min="206" max="211"/>
    <col width="13.21875" bestFit="1" customWidth="1" style="15" min="212" max="213"/>
    <col width="12.88671875" bestFit="1" customWidth="1" style="15" min="214" max="215"/>
    <col width="13.21875" bestFit="1" customWidth="1" style="15" min="216" max="216"/>
    <col width="12.88671875" bestFit="1" customWidth="1" style="15" min="217" max="218"/>
    <col width="8.88671875" customWidth="1" style="15" min="219" max="16384"/>
  </cols>
  <sheetData>
    <row r="1" ht="36.6" customHeight="1">
      <c r="B1" s="60" t="inlineStr">
        <is>
          <t>SUPPLIERS</t>
        </is>
      </c>
      <c r="C1" s="78" t="inlineStr">
        <is>
          <t>Planilha mãe</t>
        </is>
      </c>
      <c r="D1" s="77" t="n"/>
      <c r="E1" s="77" t="n"/>
      <c r="F1" s="77" t="n"/>
      <c r="G1" s="77" t="n"/>
      <c r="H1" s="77" t="n"/>
      <c r="I1" s="77" t="n"/>
      <c r="J1" s="77" t="n"/>
      <c r="K1" s="77" t="n"/>
      <c r="L1" s="77" t="n"/>
      <c r="M1" s="77" t="n"/>
      <c r="N1" s="77" t="n"/>
      <c r="O1" s="77" t="n"/>
      <c r="P1" s="77" t="n"/>
      <c r="Q1" s="77" t="n"/>
      <c r="R1" s="77" t="n"/>
      <c r="V1" s="71">
        <f>SUM(V13:V135)</f>
        <v/>
      </c>
      <c r="W1" s="76" t="n"/>
      <c r="X1" s="76" t="n"/>
      <c r="Y1" s="77" t="n">
        <v>1</v>
      </c>
      <c r="Z1" s="83" t="inlineStr">
        <is>
          <t>SUPPLIERS</t>
        </is>
      </c>
      <c r="AU1" s="77" t="n">
        <v>2</v>
      </c>
      <c r="AV1" s="15" t="inlineStr">
        <is>
          <t>SUPPLIERS</t>
        </is>
      </c>
      <c r="BQ1" s="77" t="n">
        <v>3</v>
      </c>
      <c r="BR1" s="15" t="inlineStr">
        <is>
          <t>SUPPLIERS</t>
        </is>
      </c>
      <c r="CM1" s="77" t="n">
        <v>4</v>
      </c>
      <c r="CN1" s="15" t="inlineStr">
        <is>
          <t>SUPPLIERS</t>
        </is>
      </c>
      <c r="DI1" s="77" t="n">
        <v>5</v>
      </c>
      <c r="DJ1" s="15" t="inlineStr">
        <is>
          <t>SUPPLIERS</t>
        </is>
      </c>
      <c r="EE1" s="77" t="n">
        <v>6</v>
      </c>
      <c r="EF1" s="15" t="inlineStr">
        <is>
          <t>SUPPLIERS</t>
        </is>
      </c>
      <c r="FA1" s="77" t="n">
        <v>7</v>
      </c>
      <c r="FB1" s="15" t="inlineStr">
        <is>
          <t>SUPPLIERS</t>
        </is>
      </c>
      <c r="FW1" s="77" t="n">
        <v>8</v>
      </c>
      <c r="FX1" s="15" t="inlineStr">
        <is>
          <t>SUPPLIERS</t>
        </is>
      </c>
      <c r="GS1" s="77" t="n">
        <v>9</v>
      </c>
      <c r="GT1" s="15" t="inlineStr">
        <is>
          <t>SUPPLIERS</t>
        </is>
      </c>
    </row>
    <row r="2">
      <c r="B2" s="15" t="inlineStr">
        <is>
          <t>Objective</t>
        </is>
      </c>
      <c r="C2" s="15" t="inlineStr">
        <is>
          <t>P(Reorder)</t>
        </is>
      </c>
      <c r="D2" s="15" t="n">
        <v>1</v>
      </c>
      <c r="E2" s="15" t="n">
        <v>2</v>
      </c>
      <c r="F2" s="15" t="n">
        <v>3</v>
      </c>
      <c r="G2" s="15" t="n">
        <v>4</v>
      </c>
      <c r="H2" s="15" t="n">
        <v>5</v>
      </c>
      <c r="I2" s="15" t="n">
        <v>6</v>
      </c>
      <c r="J2" s="15" t="n">
        <v>7</v>
      </c>
      <c r="K2" s="15" t="n">
        <v>8</v>
      </c>
      <c r="L2" s="15" t="n">
        <v>9</v>
      </c>
      <c r="M2" s="15" t="n">
        <v>10</v>
      </c>
      <c r="N2" s="15" t="n">
        <v>11</v>
      </c>
      <c r="O2" s="15" t="n">
        <v>12</v>
      </c>
      <c r="P2" s="15" t="n">
        <v>13</v>
      </c>
      <c r="Q2" s="15" t="n">
        <v>14</v>
      </c>
      <c r="R2" s="15" t="n">
        <v>15</v>
      </c>
      <c r="S2" s="15" t="inlineStr">
        <is>
          <t>Objective</t>
        </is>
      </c>
      <c r="Z2" s="15" t="inlineStr">
        <is>
          <t>Objective</t>
        </is>
      </c>
      <c r="AA2" s="15" t="inlineStr">
        <is>
          <t>P(Reorder)</t>
        </is>
      </c>
      <c r="AB2" s="15" t="n">
        <v>1</v>
      </c>
      <c r="AC2" s="15" t="n">
        <v>2</v>
      </c>
      <c r="AD2" s="15" t="n">
        <v>3</v>
      </c>
      <c r="AE2" s="15" t="n">
        <v>4</v>
      </c>
      <c r="AF2" s="15" t="n">
        <v>5</v>
      </c>
      <c r="AG2" s="15" t="n">
        <v>6</v>
      </c>
      <c r="AH2" s="15" t="n">
        <v>7</v>
      </c>
      <c r="AI2" s="15" t="n">
        <v>8</v>
      </c>
      <c r="AJ2" s="15" t="n">
        <v>9</v>
      </c>
      <c r="AK2" s="15" t="n">
        <v>10</v>
      </c>
      <c r="AL2" s="15" t="n">
        <v>11</v>
      </c>
      <c r="AM2" s="15" t="n">
        <v>12</v>
      </c>
      <c r="AN2" s="15" t="n">
        <v>13</v>
      </c>
      <c r="AO2" s="15" t="n">
        <v>14</v>
      </c>
      <c r="AP2" s="15" t="n">
        <v>15</v>
      </c>
      <c r="AV2" s="15" t="inlineStr">
        <is>
          <t>Objective</t>
        </is>
      </c>
      <c r="AW2" s="15" t="inlineStr">
        <is>
          <t>P(Reorder)</t>
        </is>
      </c>
      <c r="AX2" s="15" t="n">
        <v>1</v>
      </c>
      <c r="AY2" s="15" t="n">
        <v>2</v>
      </c>
      <c r="AZ2" s="15" t="n">
        <v>3</v>
      </c>
      <c r="BA2" s="15" t="n">
        <v>4</v>
      </c>
      <c r="BB2" s="15" t="n">
        <v>5</v>
      </c>
      <c r="BC2" s="15" t="n">
        <v>6</v>
      </c>
      <c r="BD2" s="15" t="n">
        <v>7</v>
      </c>
      <c r="BE2" s="15" t="n">
        <v>8</v>
      </c>
      <c r="BF2" s="15" t="n">
        <v>9</v>
      </c>
      <c r="BG2" s="15" t="n">
        <v>10</v>
      </c>
      <c r="BH2" s="15" t="n">
        <v>11</v>
      </c>
      <c r="BI2" s="15" t="n">
        <v>12</v>
      </c>
      <c r="BJ2" s="15" t="n">
        <v>13</v>
      </c>
      <c r="BK2" s="15" t="n">
        <v>14</v>
      </c>
      <c r="BL2" s="15" t="n">
        <v>15</v>
      </c>
      <c r="BR2" s="15" t="inlineStr">
        <is>
          <t>Objective</t>
        </is>
      </c>
      <c r="BS2" s="15" t="inlineStr">
        <is>
          <t>P(Reorder)</t>
        </is>
      </c>
      <c r="BT2" s="15" t="n">
        <v>1</v>
      </c>
      <c r="BU2" s="15" t="n">
        <v>2</v>
      </c>
      <c r="BV2" s="15" t="n">
        <v>3</v>
      </c>
      <c r="BW2" s="15" t="n">
        <v>4</v>
      </c>
      <c r="BX2" s="15" t="n">
        <v>5</v>
      </c>
      <c r="BY2" s="15" t="n">
        <v>6</v>
      </c>
      <c r="BZ2" s="15" t="n">
        <v>7</v>
      </c>
      <c r="CA2" s="15" t="n">
        <v>8</v>
      </c>
      <c r="CB2" s="15" t="n">
        <v>9</v>
      </c>
      <c r="CC2" s="15" t="n">
        <v>10</v>
      </c>
      <c r="CD2" s="15" t="n">
        <v>11</v>
      </c>
      <c r="CE2" s="15" t="n">
        <v>12</v>
      </c>
      <c r="CF2" s="15" t="n">
        <v>13</v>
      </c>
      <c r="CG2" s="15" t="n">
        <v>14</v>
      </c>
      <c r="CH2" s="15" t="n">
        <v>15</v>
      </c>
      <c r="CN2" s="15" t="inlineStr">
        <is>
          <t>Objective</t>
        </is>
      </c>
      <c r="CO2" s="15" t="inlineStr">
        <is>
          <t>P(Reorder)</t>
        </is>
      </c>
      <c r="CP2" s="15" t="n">
        <v>1</v>
      </c>
      <c r="CQ2" s="15" t="n">
        <v>2</v>
      </c>
      <c r="CR2" s="15" t="n">
        <v>3</v>
      </c>
      <c r="CS2" s="15" t="n">
        <v>4</v>
      </c>
      <c r="CT2" s="15" t="n">
        <v>5</v>
      </c>
      <c r="CU2" s="15" t="n">
        <v>6</v>
      </c>
      <c r="CV2" s="15" t="n">
        <v>7</v>
      </c>
      <c r="CW2" s="15" t="n">
        <v>8</v>
      </c>
      <c r="CX2" s="15" t="n">
        <v>9</v>
      </c>
      <c r="CY2" s="15" t="n">
        <v>10</v>
      </c>
      <c r="CZ2" s="15" t="n">
        <v>11</v>
      </c>
      <c r="DA2" s="15" t="n">
        <v>12</v>
      </c>
      <c r="DB2" s="15" t="n">
        <v>13</v>
      </c>
      <c r="DC2" s="15" t="n">
        <v>14</v>
      </c>
      <c r="DD2" s="15" t="n">
        <v>15</v>
      </c>
      <c r="DJ2" s="15" t="inlineStr">
        <is>
          <t>Objective</t>
        </is>
      </c>
      <c r="DK2" s="15" t="inlineStr">
        <is>
          <t>P(Reorder)</t>
        </is>
      </c>
      <c r="DL2" s="15" t="n">
        <v>1</v>
      </c>
      <c r="DM2" s="15" t="n">
        <v>2</v>
      </c>
      <c r="DN2" s="15" t="n">
        <v>3</v>
      </c>
      <c r="DO2" s="15" t="n">
        <v>4</v>
      </c>
      <c r="DP2" s="15" t="n">
        <v>5</v>
      </c>
      <c r="DQ2" s="15" t="n">
        <v>6</v>
      </c>
      <c r="DR2" s="15" t="n">
        <v>7</v>
      </c>
      <c r="DS2" s="15" t="n">
        <v>8</v>
      </c>
      <c r="DT2" s="15" t="n">
        <v>9</v>
      </c>
      <c r="DU2" s="15" t="n">
        <v>10</v>
      </c>
      <c r="DV2" s="15" t="n">
        <v>11</v>
      </c>
      <c r="DW2" s="15" t="n">
        <v>12</v>
      </c>
      <c r="DX2" s="15" t="n">
        <v>13</v>
      </c>
      <c r="DY2" s="15" t="n">
        <v>14</v>
      </c>
      <c r="DZ2" s="15" t="n">
        <v>15</v>
      </c>
      <c r="EF2" s="15" t="inlineStr">
        <is>
          <t>Objective</t>
        </is>
      </c>
      <c r="EG2" s="15" t="inlineStr">
        <is>
          <t>P(Reorder)</t>
        </is>
      </c>
      <c r="EH2" s="15" t="n">
        <v>1</v>
      </c>
      <c r="EI2" s="15" t="n">
        <v>2</v>
      </c>
      <c r="EJ2" s="15" t="n">
        <v>3</v>
      </c>
      <c r="EK2" s="15" t="n">
        <v>4</v>
      </c>
      <c r="EL2" s="15" t="n">
        <v>5</v>
      </c>
      <c r="EM2" s="15" t="n">
        <v>6</v>
      </c>
      <c r="EN2" s="15" t="n">
        <v>7</v>
      </c>
      <c r="EO2" s="15" t="n">
        <v>8</v>
      </c>
      <c r="EP2" s="15" t="n">
        <v>9</v>
      </c>
      <c r="EQ2" s="15" t="n">
        <v>10</v>
      </c>
      <c r="ER2" s="15" t="n">
        <v>11</v>
      </c>
      <c r="ES2" s="15" t="n">
        <v>12</v>
      </c>
      <c r="ET2" s="15" t="n">
        <v>13</v>
      </c>
      <c r="EU2" s="15" t="n">
        <v>14</v>
      </c>
      <c r="EV2" s="15" t="n">
        <v>15</v>
      </c>
      <c r="FB2" s="15" t="inlineStr">
        <is>
          <t>Objective</t>
        </is>
      </c>
      <c r="FC2" s="15" t="inlineStr">
        <is>
          <t>P(Reorder)</t>
        </is>
      </c>
      <c r="FD2" s="15" t="n">
        <v>1</v>
      </c>
      <c r="FE2" s="15" t="n">
        <v>2</v>
      </c>
      <c r="FF2" s="15" t="n">
        <v>3</v>
      </c>
      <c r="FG2" s="15" t="n">
        <v>4</v>
      </c>
      <c r="FH2" s="15" t="n">
        <v>5</v>
      </c>
      <c r="FI2" s="15" t="n">
        <v>6</v>
      </c>
      <c r="FJ2" s="15" t="n">
        <v>7</v>
      </c>
      <c r="FK2" s="15" t="n">
        <v>8</v>
      </c>
      <c r="FL2" s="15" t="n">
        <v>9</v>
      </c>
      <c r="FM2" s="15" t="n">
        <v>10</v>
      </c>
      <c r="FN2" s="15" t="n">
        <v>11</v>
      </c>
      <c r="FO2" s="15" t="n">
        <v>12</v>
      </c>
      <c r="FP2" s="15" t="n">
        <v>13</v>
      </c>
      <c r="FQ2" s="15" t="n">
        <v>14</v>
      </c>
      <c r="FR2" s="15" t="n">
        <v>15</v>
      </c>
      <c r="FX2" s="15" t="inlineStr">
        <is>
          <t>Objective</t>
        </is>
      </c>
      <c r="FY2" s="15" t="inlineStr">
        <is>
          <t>P(Reorder)</t>
        </is>
      </c>
      <c r="FZ2" s="15" t="n">
        <v>1</v>
      </c>
      <c r="GA2" s="15" t="n">
        <v>2</v>
      </c>
      <c r="GB2" s="15" t="n">
        <v>3</v>
      </c>
      <c r="GC2" s="15" t="n">
        <v>4</v>
      </c>
      <c r="GD2" s="15" t="n">
        <v>5</v>
      </c>
      <c r="GE2" s="15" t="n">
        <v>6</v>
      </c>
      <c r="GF2" s="15" t="n">
        <v>7</v>
      </c>
      <c r="GG2" s="15" t="n">
        <v>8</v>
      </c>
      <c r="GH2" s="15" t="n">
        <v>9</v>
      </c>
      <c r="GI2" s="15" t="n">
        <v>10</v>
      </c>
      <c r="GJ2" s="15" t="n">
        <v>11</v>
      </c>
      <c r="GK2" s="15" t="n">
        <v>12</v>
      </c>
      <c r="GL2" s="15" t="n">
        <v>13</v>
      </c>
      <c r="GM2" s="15" t="n">
        <v>14</v>
      </c>
      <c r="GN2" s="15" t="n">
        <v>15</v>
      </c>
      <c r="GT2" s="15" t="inlineStr">
        <is>
          <t>Objective</t>
        </is>
      </c>
      <c r="GU2" s="15" t="inlineStr">
        <is>
          <t>P(Reorder)</t>
        </is>
      </c>
      <c r="GV2" s="15" t="n">
        <v>1</v>
      </c>
      <c r="GW2" s="15" t="n">
        <v>2</v>
      </c>
      <c r="GX2" s="15" t="n">
        <v>3</v>
      </c>
      <c r="GY2" s="15" t="n">
        <v>4</v>
      </c>
      <c r="GZ2" s="15" t="n">
        <v>5</v>
      </c>
      <c r="HA2" s="15" t="n">
        <v>6</v>
      </c>
      <c r="HB2" s="15" t="n">
        <v>7</v>
      </c>
      <c r="HC2" s="15" t="n">
        <v>8</v>
      </c>
      <c r="HD2" s="15" t="n">
        <v>9</v>
      </c>
      <c r="HE2" s="15" t="n">
        <v>10</v>
      </c>
      <c r="HF2" s="15" t="n">
        <v>11</v>
      </c>
      <c r="HG2" s="15" t="n">
        <v>12</v>
      </c>
      <c r="HH2" s="15" t="n">
        <v>13</v>
      </c>
      <c r="HI2" s="15" t="n">
        <v>14</v>
      </c>
      <c r="HJ2" s="15" t="n">
        <v>15</v>
      </c>
    </row>
    <row r="3">
      <c r="B3" s="82">
        <f>Optimal_solutionw</f>
        <v/>
      </c>
      <c r="C3" s="15" t="n">
        <v>1</v>
      </c>
      <c r="S3" s="82" t="n">
        <v>5778156.305992452</v>
      </c>
      <c r="Z3" s="82" t="n">
        <v>5778156.305992452</v>
      </c>
      <c r="AA3" s="15" t="n">
        <v>1</v>
      </c>
      <c r="AV3" s="82" t="n">
        <v>5653943.160059506</v>
      </c>
      <c r="AW3" s="15" t="n">
        <v>1</v>
      </c>
      <c r="BR3" s="82" t="n">
        <v>5710823.418275873</v>
      </c>
      <c r="BS3" s="15" t="n">
        <v>1</v>
      </c>
      <c r="CN3" s="82" t="n">
        <v>5778123.855992453</v>
      </c>
      <c r="CO3" s="15" t="n">
        <v>1</v>
      </c>
      <c r="DJ3" s="82" t="n">
        <v>5653943.160059506</v>
      </c>
      <c r="DK3" s="15" t="n">
        <v>1</v>
      </c>
      <c r="EF3" s="82" t="n">
        <v>5710823.418275873</v>
      </c>
      <c r="EG3" s="15" t="n">
        <v>1</v>
      </c>
      <c r="FB3" s="82" t="n">
        <v>5778123.855992453</v>
      </c>
      <c r="FC3" s="15" t="n">
        <v>1</v>
      </c>
      <c r="FX3" s="82" t="n">
        <v>5653943.160059506</v>
      </c>
      <c r="FY3" s="15" t="n">
        <v>1</v>
      </c>
      <c r="GT3" s="82" t="n">
        <v>5710823.418275873</v>
      </c>
      <c r="GU3" s="15" t="n">
        <v>1</v>
      </c>
    </row>
    <row r="4">
      <c r="C4" s="15" t="n">
        <v>2</v>
      </c>
      <c r="S4" s="39" t="inlineStr">
        <is>
          <t>DIFERENÇA</t>
        </is>
      </c>
      <c r="AA4" s="15" t="n">
        <v>2</v>
      </c>
      <c r="AW4" s="15" t="n">
        <v>2</v>
      </c>
      <c r="BS4" s="15" t="n">
        <v>2</v>
      </c>
      <c r="CO4" s="15" t="n">
        <v>2</v>
      </c>
      <c r="DK4" s="15" t="n">
        <v>2</v>
      </c>
      <c r="EG4" s="15" t="n">
        <v>2</v>
      </c>
      <c r="FC4" s="15" t="n">
        <v>2</v>
      </c>
      <c r="FY4" s="15" t="n">
        <v>2</v>
      </c>
      <c r="GU4" s="15" t="n">
        <v>2</v>
      </c>
    </row>
    <row r="5">
      <c r="C5" s="15" t="n">
        <v>3</v>
      </c>
      <c r="S5" s="86">
        <f>B3-S3</f>
        <v/>
      </c>
      <c r="AA5" s="15" t="n">
        <v>3</v>
      </c>
      <c r="AW5" s="15" t="n">
        <v>3</v>
      </c>
      <c r="BS5" s="15" t="n">
        <v>3</v>
      </c>
      <c r="CO5" s="15" t="n">
        <v>3</v>
      </c>
      <c r="DK5" s="15" t="n">
        <v>3</v>
      </c>
      <c r="EG5" s="15" t="n">
        <v>3</v>
      </c>
      <c r="FC5" s="15" t="n">
        <v>3</v>
      </c>
      <c r="FY5" s="15" t="n">
        <v>3</v>
      </c>
      <c r="GU5" s="15" t="n">
        <v>3</v>
      </c>
    </row>
    <row r="7">
      <c r="B7" s="15" t="inlineStr">
        <is>
          <t>NOVA</t>
        </is>
      </c>
      <c r="C7" s="15" t="inlineStr">
        <is>
          <t>P(Estado da arte)</t>
        </is>
      </c>
      <c r="D7" s="15" t="n">
        <v>1</v>
      </c>
      <c r="E7" s="15" t="n">
        <v>2</v>
      </c>
      <c r="F7" s="15" t="n">
        <v>3</v>
      </c>
      <c r="G7" s="15" t="n">
        <v>4</v>
      </c>
      <c r="H7" s="15" t="n">
        <v>5</v>
      </c>
      <c r="I7" s="15" t="n">
        <v>6</v>
      </c>
      <c r="J7" s="15" t="n">
        <v>7</v>
      </c>
      <c r="K7" s="15" t="n">
        <v>8</v>
      </c>
      <c r="L7" s="15" t="n">
        <v>9</v>
      </c>
      <c r="M7" s="15" t="n">
        <v>10</v>
      </c>
      <c r="N7" s="15" t="n">
        <v>11</v>
      </c>
      <c r="O7" s="15" t="n">
        <v>12</v>
      </c>
      <c r="P7" s="15" t="n">
        <v>13</v>
      </c>
      <c r="Q7" s="15" t="n">
        <v>14</v>
      </c>
      <c r="R7" s="15" t="n">
        <v>15</v>
      </c>
      <c r="AA7" s="15" t="inlineStr">
        <is>
          <t>P(Estado da arte)</t>
        </is>
      </c>
      <c r="AB7" s="15" t="n">
        <v>1</v>
      </c>
      <c r="AC7" s="15" t="n">
        <v>2</v>
      </c>
      <c r="AD7" s="15" t="n">
        <v>3</v>
      </c>
      <c r="AE7" s="15" t="n">
        <v>4</v>
      </c>
      <c r="AF7" s="15" t="n">
        <v>5</v>
      </c>
      <c r="AG7" s="15" t="n">
        <v>6</v>
      </c>
      <c r="AH7" s="15" t="n">
        <v>7</v>
      </c>
      <c r="AI7" s="15" t="n">
        <v>8</v>
      </c>
      <c r="AJ7" s="15" t="n">
        <v>9</v>
      </c>
      <c r="AK7" s="15" t="n">
        <v>10</v>
      </c>
      <c r="AL7" s="15" t="n">
        <v>11</v>
      </c>
      <c r="AM7" s="15" t="n">
        <v>12</v>
      </c>
      <c r="AN7" s="15" t="n">
        <v>13</v>
      </c>
      <c r="AO7" s="15" t="n">
        <v>14</v>
      </c>
      <c r="AP7" s="15" t="n">
        <v>15</v>
      </c>
      <c r="AW7" s="15" t="inlineStr">
        <is>
          <t>P(Estado da arte)</t>
        </is>
      </c>
      <c r="AX7" s="15" t="n">
        <v>1</v>
      </c>
      <c r="AY7" s="15" t="n">
        <v>2</v>
      </c>
      <c r="AZ7" s="15" t="n">
        <v>3</v>
      </c>
      <c r="BA7" s="15" t="n">
        <v>4</v>
      </c>
      <c r="BB7" s="15" t="n">
        <v>5</v>
      </c>
      <c r="BC7" s="15" t="n">
        <v>6</v>
      </c>
      <c r="BD7" s="15" t="n">
        <v>7</v>
      </c>
      <c r="BE7" s="15" t="n">
        <v>8</v>
      </c>
      <c r="BF7" s="15" t="n">
        <v>9</v>
      </c>
      <c r="BG7" s="15" t="n">
        <v>10</v>
      </c>
      <c r="BH7" s="15" t="n">
        <v>11</v>
      </c>
      <c r="BI7" s="15" t="n">
        <v>12</v>
      </c>
      <c r="BJ7" s="15" t="n">
        <v>13</v>
      </c>
      <c r="BK7" s="15" t="n">
        <v>14</v>
      </c>
      <c r="BL7" s="15" t="n">
        <v>15</v>
      </c>
      <c r="BS7" s="15" t="inlineStr">
        <is>
          <t>P(Estado da arte)</t>
        </is>
      </c>
      <c r="BT7" s="15" t="n">
        <v>1</v>
      </c>
      <c r="BU7" s="15" t="n">
        <v>2</v>
      </c>
      <c r="BV7" s="15" t="n">
        <v>3</v>
      </c>
      <c r="BW7" s="15" t="n">
        <v>4</v>
      </c>
      <c r="BX7" s="15" t="n">
        <v>5</v>
      </c>
      <c r="BY7" s="15" t="n">
        <v>6</v>
      </c>
      <c r="BZ7" s="15" t="n">
        <v>7</v>
      </c>
      <c r="CA7" s="15" t="n">
        <v>8</v>
      </c>
      <c r="CB7" s="15" t="n">
        <v>9</v>
      </c>
      <c r="CC7" s="15" t="n">
        <v>10</v>
      </c>
      <c r="CD7" s="15" t="n">
        <v>11</v>
      </c>
      <c r="CE7" s="15" t="n">
        <v>12</v>
      </c>
      <c r="CF7" s="15" t="n">
        <v>13</v>
      </c>
      <c r="CG7" s="15" t="n">
        <v>14</v>
      </c>
      <c r="CH7" s="15" t="n">
        <v>15</v>
      </c>
      <c r="CO7" s="15" t="inlineStr">
        <is>
          <t>P(Estado da arte)</t>
        </is>
      </c>
      <c r="CP7" s="15" t="n">
        <v>1</v>
      </c>
      <c r="CQ7" s="15" t="n">
        <v>2</v>
      </c>
      <c r="CR7" s="15" t="n">
        <v>3</v>
      </c>
      <c r="CS7" s="15" t="n">
        <v>4</v>
      </c>
      <c r="CT7" s="15" t="n">
        <v>5</v>
      </c>
      <c r="CU7" s="15" t="n">
        <v>6</v>
      </c>
      <c r="CV7" s="15" t="n">
        <v>7</v>
      </c>
      <c r="CW7" s="15" t="n">
        <v>8</v>
      </c>
      <c r="CX7" s="15" t="n">
        <v>9</v>
      </c>
      <c r="CY7" s="15" t="n">
        <v>10</v>
      </c>
      <c r="CZ7" s="15" t="n">
        <v>11</v>
      </c>
      <c r="DA7" s="15" t="n">
        <v>12</v>
      </c>
      <c r="DB7" s="15" t="n">
        <v>13</v>
      </c>
      <c r="DC7" s="15" t="n">
        <v>14</v>
      </c>
      <c r="DD7" s="15" t="n">
        <v>15</v>
      </c>
      <c r="DK7" s="15" t="inlineStr">
        <is>
          <t>P(Estado da arte)</t>
        </is>
      </c>
      <c r="DL7" s="15" t="n">
        <v>1</v>
      </c>
      <c r="DM7" s="15" t="n">
        <v>2</v>
      </c>
      <c r="DN7" s="15" t="n">
        <v>3</v>
      </c>
      <c r="DO7" s="15" t="n">
        <v>4</v>
      </c>
      <c r="DP7" s="15" t="n">
        <v>5</v>
      </c>
      <c r="DQ7" s="15" t="n">
        <v>6</v>
      </c>
      <c r="DR7" s="15" t="n">
        <v>7</v>
      </c>
      <c r="DS7" s="15" t="n">
        <v>8</v>
      </c>
      <c r="DT7" s="15" t="n">
        <v>9</v>
      </c>
      <c r="DU7" s="15" t="n">
        <v>10</v>
      </c>
      <c r="DV7" s="15" t="n">
        <v>11</v>
      </c>
      <c r="DW7" s="15" t="n">
        <v>12</v>
      </c>
      <c r="DX7" s="15" t="n">
        <v>13</v>
      </c>
      <c r="DY7" s="15" t="n">
        <v>14</v>
      </c>
      <c r="DZ7" s="15" t="n">
        <v>15</v>
      </c>
      <c r="EG7" s="15" t="inlineStr">
        <is>
          <t>P(Estado da arte)</t>
        </is>
      </c>
      <c r="EH7" s="15" t="n">
        <v>1</v>
      </c>
      <c r="EI7" s="15" t="n">
        <v>2</v>
      </c>
      <c r="EJ7" s="15" t="n">
        <v>3</v>
      </c>
      <c r="EK7" s="15" t="n">
        <v>4</v>
      </c>
      <c r="EL7" s="15" t="n">
        <v>5</v>
      </c>
      <c r="EM7" s="15" t="n">
        <v>6</v>
      </c>
      <c r="EN7" s="15" t="n">
        <v>7</v>
      </c>
      <c r="EO7" s="15" t="n">
        <v>8</v>
      </c>
      <c r="EP7" s="15" t="n">
        <v>9</v>
      </c>
      <c r="EQ7" s="15" t="n">
        <v>10</v>
      </c>
      <c r="ER7" s="15" t="n">
        <v>11</v>
      </c>
      <c r="ES7" s="15" t="n">
        <v>12</v>
      </c>
      <c r="ET7" s="15" t="n">
        <v>13</v>
      </c>
      <c r="EU7" s="15" t="n">
        <v>14</v>
      </c>
      <c r="EV7" s="15" t="n">
        <v>15</v>
      </c>
      <c r="FC7" s="15" t="inlineStr">
        <is>
          <t>P(Estado da arte)</t>
        </is>
      </c>
      <c r="FD7" s="15" t="n">
        <v>1</v>
      </c>
      <c r="FE7" s="15" t="n">
        <v>2</v>
      </c>
      <c r="FF7" s="15" t="n">
        <v>3</v>
      </c>
      <c r="FG7" s="15" t="n">
        <v>4</v>
      </c>
      <c r="FH7" s="15" t="n">
        <v>5</v>
      </c>
      <c r="FI7" s="15" t="n">
        <v>6</v>
      </c>
      <c r="FJ7" s="15" t="n">
        <v>7</v>
      </c>
      <c r="FK7" s="15" t="n">
        <v>8</v>
      </c>
      <c r="FL7" s="15" t="n">
        <v>9</v>
      </c>
      <c r="FM7" s="15" t="n">
        <v>10</v>
      </c>
      <c r="FN7" s="15" t="n">
        <v>11</v>
      </c>
      <c r="FO7" s="15" t="n">
        <v>12</v>
      </c>
      <c r="FP7" s="15" t="n">
        <v>13</v>
      </c>
      <c r="FQ7" s="15" t="n">
        <v>14</v>
      </c>
      <c r="FR7" s="15" t="n">
        <v>15</v>
      </c>
      <c r="FY7" s="15" t="inlineStr">
        <is>
          <t>P(Estado da arte)</t>
        </is>
      </c>
      <c r="FZ7" s="15" t="n">
        <v>1</v>
      </c>
      <c r="GA7" s="15" t="n">
        <v>2</v>
      </c>
      <c r="GB7" s="15" t="n">
        <v>3</v>
      </c>
      <c r="GC7" s="15" t="n">
        <v>4</v>
      </c>
      <c r="GD7" s="15" t="n">
        <v>5</v>
      </c>
      <c r="GE7" s="15" t="n">
        <v>6</v>
      </c>
      <c r="GF7" s="15" t="n">
        <v>7</v>
      </c>
      <c r="GG7" s="15" t="n">
        <v>8</v>
      </c>
      <c r="GH7" s="15" t="n">
        <v>9</v>
      </c>
      <c r="GI7" s="15" t="n">
        <v>10</v>
      </c>
      <c r="GJ7" s="15" t="n">
        <v>11</v>
      </c>
      <c r="GK7" s="15" t="n">
        <v>12</v>
      </c>
      <c r="GL7" s="15" t="n">
        <v>13</v>
      </c>
      <c r="GM7" s="15" t="n">
        <v>14</v>
      </c>
      <c r="GN7" s="15" t="n">
        <v>15</v>
      </c>
      <c r="GU7" s="15" t="inlineStr">
        <is>
          <t>P(Estado da arte)</t>
        </is>
      </c>
      <c r="GV7" s="15" t="n">
        <v>1</v>
      </c>
      <c r="GW7" s="15" t="n">
        <v>2</v>
      </c>
      <c r="GX7" s="15" t="n">
        <v>3</v>
      </c>
      <c r="GY7" s="15" t="n">
        <v>4</v>
      </c>
      <c r="GZ7" s="15" t="n">
        <v>5</v>
      </c>
      <c r="HA7" s="15" t="n">
        <v>6</v>
      </c>
      <c r="HB7" s="15" t="n">
        <v>7</v>
      </c>
      <c r="HC7" s="15" t="n">
        <v>8</v>
      </c>
      <c r="HD7" s="15" t="n">
        <v>9</v>
      </c>
      <c r="HE7" s="15" t="n">
        <v>10</v>
      </c>
      <c r="HF7" s="15" t="n">
        <v>11</v>
      </c>
      <c r="HG7" s="15" t="n">
        <v>12</v>
      </c>
      <c r="HH7" s="15" t="n">
        <v>13</v>
      </c>
      <c r="HI7" s="15" t="n">
        <v>14</v>
      </c>
      <c r="HJ7" s="15" t="n">
        <v>15</v>
      </c>
    </row>
    <row r="8">
      <c r="C8" s="15" t="n">
        <v>1</v>
      </c>
      <c r="D8" s="15">
        <f>'Estado da arte'!D41</f>
        <v/>
      </c>
      <c r="E8" s="15">
        <f>'Estado da arte'!E41</f>
        <v/>
      </c>
      <c r="F8" s="15">
        <f>'Estado da arte'!F41</f>
        <v/>
      </c>
      <c r="G8" s="15">
        <f>'Estado da arte'!G41</f>
        <v/>
      </c>
      <c r="H8" s="15">
        <f>'Estado da arte'!H41</f>
        <v/>
      </c>
      <c r="I8" s="15">
        <f>'Estado da arte'!I41</f>
        <v/>
      </c>
      <c r="J8" s="15">
        <f>'Estado da arte'!J41</f>
        <v/>
      </c>
      <c r="K8" s="15">
        <f>'Estado da arte'!K41</f>
        <v/>
      </c>
      <c r="L8" s="15">
        <f>'Estado da arte'!L41</f>
        <v/>
      </c>
      <c r="M8" s="15">
        <f>'Estado da arte'!M41</f>
        <v/>
      </c>
      <c r="N8" s="15">
        <f>'Estado da arte'!N41</f>
        <v/>
      </c>
      <c r="O8" s="15">
        <f>'Estado da arte'!O41</f>
        <v/>
      </c>
      <c r="P8" s="15">
        <f>'Estado da arte'!P41</f>
        <v/>
      </c>
      <c r="Q8" s="15">
        <f>'Estado da arte'!Q41</f>
        <v/>
      </c>
      <c r="R8" s="15">
        <f>'Estado da arte'!R41</f>
        <v/>
      </c>
      <c r="AA8" s="15" t="n">
        <v>1</v>
      </c>
      <c r="AB8" s="15" t="n">
        <v>0</v>
      </c>
      <c r="AC8" s="15" t="n">
        <v>0</v>
      </c>
      <c r="AD8" s="15" t="n">
        <v>0</v>
      </c>
      <c r="AE8" s="15" t="n">
        <v>0</v>
      </c>
      <c r="AF8" s="15" t="n">
        <v>0</v>
      </c>
      <c r="AG8" s="15" t="n">
        <v>0</v>
      </c>
      <c r="AH8" s="15" t="n">
        <v>0</v>
      </c>
      <c r="AI8" s="15" t="n">
        <v>0</v>
      </c>
      <c r="AJ8" s="15" t="n">
        <v>0</v>
      </c>
      <c r="AK8" s="15" t="n">
        <v>0</v>
      </c>
      <c r="AL8" s="15" t="n">
        <v>0</v>
      </c>
      <c r="AM8" s="15" t="n">
        <v>0</v>
      </c>
      <c r="AN8" s="15" t="n">
        <v>0</v>
      </c>
      <c r="AO8" s="15" t="n">
        <v>0</v>
      </c>
      <c r="AP8" s="15" t="n">
        <v>0</v>
      </c>
      <c r="AW8" s="15" t="n">
        <v>1</v>
      </c>
      <c r="AX8" s="15" t="n">
        <v>0</v>
      </c>
      <c r="AY8" s="15" t="n">
        <v>0</v>
      </c>
      <c r="AZ8" s="15" t="n">
        <v>0</v>
      </c>
      <c r="BA8" s="15" t="n">
        <v>0</v>
      </c>
      <c r="BB8" s="15" t="n">
        <v>0</v>
      </c>
      <c r="BC8" s="15" t="n">
        <v>0</v>
      </c>
      <c r="BD8" s="15" t="n">
        <v>0</v>
      </c>
      <c r="BE8" s="15" t="n">
        <v>0</v>
      </c>
      <c r="BF8" s="15" t="n">
        <v>0</v>
      </c>
      <c r="BG8" s="15" t="n">
        <v>0</v>
      </c>
      <c r="BH8" s="15" t="n">
        <v>0</v>
      </c>
      <c r="BI8" s="15" t="n">
        <v>0</v>
      </c>
      <c r="BJ8" s="15" t="n">
        <v>0</v>
      </c>
      <c r="BK8" s="15" t="n">
        <v>0</v>
      </c>
      <c r="BL8" s="15" t="n">
        <v>0</v>
      </c>
      <c r="BS8" s="15" t="n">
        <v>1</v>
      </c>
      <c r="BT8" s="15" t="n">
        <v>0</v>
      </c>
      <c r="BU8" s="15" t="n">
        <v>0</v>
      </c>
      <c r="BV8" s="15" t="n">
        <v>0</v>
      </c>
      <c r="BW8" s="15" t="n">
        <v>0</v>
      </c>
      <c r="BX8" s="15" t="n">
        <v>0</v>
      </c>
      <c r="BY8" s="15" t="n">
        <v>0</v>
      </c>
      <c r="BZ8" s="15" t="n">
        <v>0</v>
      </c>
      <c r="CA8" s="15" t="n">
        <v>0</v>
      </c>
      <c r="CB8" s="15" t="n">
        <v>0</v>
      </c>
      <c r="CC8" s="15" t="n">
        <v>0</v>
      </c>
      <c r="CD8" s="15" t="n">
        <v>0</v>
      </c>
      <c r="CE8" s="15" t="n">
        <v>0</v>
      </c>
      <c r="CF8" s="15" t="n">
        <v>0</v>
      </c>
      <c r="CG8" s="15" t="n">
        <v>0</v>
      </c>
      <c r="CH8" s="15" t="n">
        <v>0</v>
      </c>
      <c r="CO8" s="15" t="n">
        <v>1</v>
      </c>
      <c r="CP8" s="15" t="n">
        <v>0</v>
      </c>
      <c r="CQ8" s="15" t="n">
        <v>0</v>
      </c>
      <c r="CR8" s="15" t="n">
        <v>0</v>
      </c>
      <c r="CS8" s="15" t="n">
        <v>0</v>
      </c>
      <c r="CT8" s="15" t="n">
        <v>0</v>
      </c>
      <c r="CU8" s="15" t="n">
        <v>0</v>
      </c>
      <c r="CV8" s="15" t="n">
        <v>0</v>
      </c>
      <c r="CW8" s="15" t="n">
        <v>0</v>
      </c>
      <c r="CX8" s="15" t="n">
        <v>0</v>
      </c>
      <c r="CY8" s="15" t="n">
        <v>0</v>
      </c>
      <c r="CZ8" s="15" t="n">
        <v>0</v>
      </c>
      <c r="DA8" s="15" t="n">
        <v>0</v>
      </c>
      <c r="DB8" s="15" t="n">
        <v>0</v>
      </c>
      <c r="DC8" s="15" t="n">
        <v>0</v>
      </c>
      <c r="DD8" s="15" t="n">
        <v>0</v>
      </c>
      <c r="DK8" s="15" t="n">
        <v>1</v>
      </c>
      <c r="DL8" s="15" t="n">
        <v>0</v>
      </c>
      <c r="DM8" s="15" t="n">
        <v>0</v>
      </c>
      <c r="DN8" s="15" t="n">
        <v>0</v>
      </c>
      <c r="DO8" s="15" t="n">
        <v>0</v>
      </c>
      <c r="DP8" s="15" t="n">
        <v>0</v>
      </c>
      <c r="DQ8" s="15" t="n">
        <v>0</v>
      </c>
      <c r="DR8" s="15" t="n">
        <v>0</v>
      </c>
      <c r="DS8" s="15" t="n">
        <v>0</v>
      </c>
      <c r="DT8" s="15" t="n">
        <v>0</v>
      </c>
      <c r="DU8" s="15" t="n">
        <v>0</v>
      </c>
      <c r="DV8" s="15" t="n">
        <v>0</v>
      </c>
      <c r="DW8" s="15" t="n">
        <v>0</v>
      </c>
      <c r="DX8" s="15" t="n">
        <v>0</v>
      </c>
      <c r="DY8" s="15" t="n">
        <v>0</v>
      </c>
      <c r="DZ8" s="15" t="n">
        <v>0</v>
      </c>
      <c r="EG8" s="15" t="n">
        <v>1</v>
      </c>
      <c r="EH8" s="15" t="n">
        <v>0</v>
      </c>
      <c r="EI8" s="15" t="n">
        <v>0</v>
      </c>
      <c r="EJ8" s="15" t="n">
        <v>0</v>
      </c>
      <c r="EK8" s="15" t="n">
        <v>0</v>
      </c>
      <c r="EL8" s="15" t="n">
        <v>0</v>
      </c>
      <c r="EM8" s="15" t="n">
        <v>0</v>
      </c>
      <c r="EN8" s="15" t="n">
        <v>0</v>
      </c>
      <c r="EO8" s="15" t="n">
        <v>0</v>
      </c>
      <c r="EP8" s="15" t="n">
        <v>0</v>
      </c>
      <c r="EQ8" s="15" t="n">
        <v>0</v>
      </c>
      <c r="ER8" s="15" t="n">
        <v>0</v>
      </c>
      <c r="ES8" s="15" t="n">
        <v>0</v>
      </c>
      <c r="ET8" s="15" t="n">
        <v>0</v>
      </c>
      <c r="EU8" s="15" t="n">
        <v>0</v>
      </c>
      <c r="EV8" s="15" t="n">
        <v>0</v>
      </c>
      <c r="FC8" s="15" t="n">
        <v>1</v>
      </c>
      <c r="FD8" s="15" t="n">
        <v>0</v>
      </c>
      <c r="FE8" s="15" t="n">
        <v>0</v>
      </c>
      <c r="FF8" s="15" t="n">
        <v>0</v>
      </c>
      <c r="FG8" s="15" t="n">
        <v>0</v>
      </c>
      <c r="FH8" s="15" t="n">
        <v>0</v>
      </c>
      <c r="FI8" s="15" t="n">
        <v>0</v>
      </c>
      <c r="FJ8" s="15" t="n">
        <v>0</v>
      </c>
      <c r="FK8" s="15" t="n">
        <v>0</v>
      </c>
      <c r="FL8" s="15" t="n">
        <v>0</v>
      </c>
      <c r="FM8" s="15" t="n">
        <v>0</v>
      </c>
      <c r="FN8" s="15" t="n">
        <v>0</v>
      </c>
      <c r="FO8" s="15" t="n">
        <v>0</v>
      </c>
      <c r="FP8" s="15" t="n">
        <v>0</v>
      </c>
      <c r="FQ8" s="15" t="n">
        <v>0</v>
      </c>
      <c r="FR8" s="15" t="n">
        <v>0</v>
      </c>
      <c r="FY8" s="15" t="n">
        <v>1</v>
      </c>
      <c r="FZ8" s="15" t="n">
        <v>0</v>
      </c>
      <c r="GA8" s="15" t="n">
        <v>0</v>
      </c>
      <c r="GB8" s="15" t="n">
        <v>0</v>
      </c>
      <c r="GC8" s="15" t="n">
        <v>0</v>
      </c>
      <c r="GD8" s="15" t="n">
        <v>0</v>
      </c>
      <c r="GE8" s="15" t="n">
        <v>0</v>
      </c>
      <c r="GF8" s="15" t="n">
        <v>0</v>
      </c>
      <c r="GG8" s="15" t="n">
        <v>0</v>
      </c>
      <c r="GH8" s="15" t="n">
        <v>0</v>
      </c>
      <c r="GI8" s="15" t="n">
        <v>0</v>
      </c>
      <c r="GJ8" s="15" t="n">
        <v>0</v>
      </c>
      <c r="GK8" s="15" t="n">
        <v>0</v>
      </c>
      <c r="GL8" s="15" t="n">
        <v>0</v>
      </c>
      <c r="GM8" s="15" t="n">
        <v>0</v>
      </c>
      <c r="GN8" s="15" t="n">
        <v>0</v>
      </c>
      <c r="GU8" s="15" t="n">
        <v>1</v>
      </c>
      <c r="GV8" s="15" t="n">
        <v>0</v>
      </c>
      <c r="GW8" s="15" t="n">
        <v>0</v>
      </c>
      <c r="GX8" s="15" t="n">
        <v>0</v>
      </c>
      <c r="GY8" s="15" t="n">
        <v>0</v>
      </c>
      <c r="GZ8" s="15" t="n">
        <v>0</v>
      </c>
      <c r="HA8" s="15" t="n">
        <v>0</v>
      </c>
      <c r="HB8" s="15" t="n">
        <v>0</v>
      </c>
      <c r="HC8" s="15" t="n">
        <v>0</v>
      </c>
      <c r="HD8" s="15" t="n">
        <v>0</v>
      </c>
      <c r="HE8" s="15" t="n">
        <v>0</v>
      </c>
      <c r="HF8" s="15" t="n">
        <v>0</v>
      </c>
      <c r="HG8" s="15" t="n">
        <v>0</v>
      </c>
      <c r="HH8" s="15" t="n">
        <v>0</v>
      </c>
      <c r="HI8" s="15" t="n">
        <v>0</v>
      </c>
      <c r="HJ8" s="15" t="n">
        <v>0</v>
      </c>
    </row>
    <row r="9">
      <c r="C9" s="15" t="n">
        <v>2</v>
      </c>
      <c r="D9" s="15">
        <f>'Estado da arte'!D42</f>
        <v/>
      </c>
      <c r="E9" s="15">
        <f>'Estado da arte'!E42</f>
        <v/>
      </c>
      <c r="F9" s="15">
        <f>'Estado da arte'!F42</f>
        <v/>
      </c>
      <c r="G9" s="15">
        <f>'Estado da arte'!G42</f>
        <v/>
      </c>
      <c r="H9" s="15">
        <f>'Estado da arte'!H42</f>
        <v/>
      </c>
      <c r="I9" s="15">
        <f>'Estado da arte'!I42</f>
        <v/>
      </c>
      <c r="J9" s="15">
        <f>'Estado da arte'!J42</f>
        <v/>
      </c>
      <c r="K9" s="15">
        <f>'Estado da arte'!K42</f>
        <v/>
      </c>
      <c r="L9" s="15">
        <f>'Estado da arte'!L42</f>
        <v/>
      </c>
      <c r="M9" s="15">
        <f>'Estado da arte'!M42</f>
        <v/>
      </c>
      <c r="N9" s="15">
        <f>'Estado da arte'!N42</f>
        <v/>
      </c>
      <c r="O9" s="15">
        <f>'Estado da arte'!O42</f>
        <v/>
      </c>
      <c r="P9" s="15">
        <f>'Estado da arte'!P42</f>
        <v/>
      </c>
      <c r="Q9" s="15">
        <f>'Estado da arte'!Q42</f>
        <v/>
      </c>
      <c r="R9" s="15">
        <f>'Estado da arte'!R42</f>
        <v/>
      </c>
      <c r="AA9" s="15" t="n">
        <v>2</v>
      </c>
      <c r="AB9" s="15" t="n">
        <v>0</v>
      </c>
      <c r="AC9" s="15" t="n">
        <v>0</v>
      </c>
      <c r="AD9" s="15" t="n">
        <v>0</v>
      </c>
      <c r="AE9" s="15" t="n">
        <v>0</v>
      </c>
      <c r="AF9" s="15" t="n">
        <v>0</v>
      </c>
      <c r="AG9" s="15" t="n">
        <v>0</v>
      </c>
      <c r="AH9" s="15" t="n">
        <v>0</v>
      </c>
      <c r="AI9" s="15" t="n">
        <v>0</v>
      </c>
      <c r="AJ9" s="15" t="n">
        <v>0</v>
      </c>
      <c r="AK9" s="15" t="n">
        <v>0</v>
      </c>
      <c r="AL9" s="15" t="n">
        <v>0</v>
      </c>
      <c r="AM9" s="15" t="n">
        <v>0</v>
      </c>
      <c r="AN9" s="15" t="n">
        <v>0</v>
      </c>
      <c r="AO9" s="15" t="n">
        <v>0</v>
      </c>
      <c r="AP9" s="15" t="n">
        <v>0</v>
      </c>
      <c r="AW9" s="15" t="n">
        <v>2</v>
      </c>
      <c r="AX9" s="15" t="n">
        <v>0</v>
      </c>
      <c r="AY9" s="15" t="n">
        <v>0</v>
      </c>
      <c r="AZ9" s="15" t="n">
        <v>0</v>
      </c>
      <c r="BA9" s="15" t="n">
        <v>0</v>
      </c>
      <c r="BB9" s="15" t="n">
        <v>0</v>
      </c>
      <c r="BC9" s="15" t="n">
        <v>0</v>
      </c>
      <c r="BD9" s="15" t="n">
        <v>0</v>
      </c>
      <c r="BE9" s="15" t="n">
        <v>0</v>
      </c>
      <c r="BF9" s="15" t="n">
        <v>0</v>
      </c>
      <c r="BG9" s="15" t="n">
        <v>0</v>
      </c>
      <c r="BH9" s="15" t="n">
        <v>0</v>
      </c>
      <c r="BI9" s="15" t="n">
        <v>0</v>
      </c>
      <c r="BJ9" s="15" t="n">
        <v>0</v>
      </c>
      <c r="BK9" s="15" t="n">
        <v>0</v>
      </c>
      <c r="BL9" s="15" t="n">
        <v>0</v>
      </c>
      <c r="BS9" s="15" t="n">
        <v>2</v>
      </c>
      <c r="BT9" s="15" t="n">
        <v>0</v>
      </c>
      <c r="BU9" s="15" t="n">
        <v>0</v>
      </c>
      <c r="BV9" s="15" t="n">
        <v>0</v>
      </c>
      <c r="BW9" s="15" t="n">
        <v>0</v>
      </c>
      <c r="BX9" s="15" t="n">
        <v>0</v>
      </c>
      <c r="BY9" s="15" t="n">
        <v>0</v>
      </c>
      <c r="BZ9" s="15" t="n">
        <v>0</v>
      </c>
      <c r="CA9" s="15" t="n">
        <v>0</v>
      </c>
      <c r="CB9" s="15" t="n">
        <v>0</v>
      </c>
      <c r="CC9" s="15" t="n">
        <v>0</v>
      </c>
      <c r="CD9" s="15" t="n">
        <v>0</v>
      </c>
      <c r="CE9" s="15" t="n">
        <v>0</v>
      </c>
      <c r="CF9" s="15" t="n">
        <v>0</v>
      </c>
      <c r="CG9" s="15" t="n">
        <v>0</v>
      </c>
      <c r="CH9" s="15" t="n">
        <v>0</v>
      </c>
      <c r="CO9" s="15" t="n">
        <v>2</v>
      </c>
      <c r="CP9" s="15" t="n">
        <v>0</v>
      </c>
      <c r="CQ9" s="15" t="n">
        <v>0</v>
      </c>
      <c r="CR9" s="15" t="n">
        <v>0</v>
      </c>
      <c r="CS9" s="15" t="n">
        <v>0</v>
      </c>
      <c r="CT9" s="15" t="n">
        <v>0</v>
      </c>
      <c r="CU9" s="15" t="n">
        <v>0</v>
      </c>
      <c r="CV9" s="15" t="n">
        <v>0</v>
      </c>
      <c r="CW9" s="15" t="n">
        <v>0</v>
      </c>
      <c r="CX9" s="15" t="n">
        <v>0</v>
      </c>
      <c r="CY9" s="15" t="n">
        <v>0</v>
      </c>
      <c r="CZ9" s="15" t="n">
        <v>0</v>
      </c>
      <c r="DA9" s="15" t="n">
        <v>0</v>
      </c>
      <c r="DB9" s="15" t="n">
        <v>0</v>
      </c>
      <c r="DC9" s="15" t="n">
        <v>0</v>
      </c>
      <c r="DD9" s="15" t="n">
        <v>0</v>
      </c>
      <c r="DK9" s="15" t="n">
        <v>2</v>
      </c>
      <c r="DL9" s="15" t="n">
        <v>0</v>
      </c>
      <c r="DM9" s="15" t="n">
        <v>0</v>
      </c>
      <c r="DN9" s="15" t="n">
        <v>0</v>
      </c>
      <c r="DO9" s="15" t="n">
        <v>0</v>
      </c>
      <c r="DP9" s="15" t="n">
        <v>0</v>
      </c>
      <c r="DQ9" s="15" t="n">
        <v>0</v>
      </c>
      <c r="DR9" s="15" t="n">
        <v>0</v>
      </c>
      <c r="DS9" s="15" t="n">
        <v>0</v>
      </c>
      <c r="DT9" s="15" t="n">
        <v>0</v>
      </c>
      <c r="DU9" s="15" t="n">
        <v>0</v>
      </c>
      <c r="DV9" s="15" t="n">
        <v>0</v>
      </c>
      <c r="DW9" s="15" t="n">
        <v>0</v>
      </c>
      <c r="DX9" s="15" t="n">
        <v>0</v>
      </c>
      <c r="DY9" s="15" t="n">
        <v>0</v>
      </c>
      <c r="DZ9" s="15" t="n">
        <v>0</v>
      </c>
      <c r="EG9" s="15" t="n">
        <v>2</v>
      </c>
      <c r="EH9" s="15" t="n">
        <v>0</v>
      </c>
      <c r="EI9" s="15" t="n">
        <v>0</v>
      </c>
      <c r="EJ9" s="15" t="n">
        <v>0</v>
      </c>
      <c r="EK9" s="15" t="n">
        <v>0</v>
      </c>
      <c r="EL9" s="15" t="n">
        <v>0</v>
      </c>
      <c r="EM9" s="15" t="n">
        <v>0</v>
      </c>
      <c r="EN9" s="15" t="n">
        <v>0</v>
      </c>
      <c r="EO9" s="15" t="n">
        <v>0</v>
      </c>
      <c r="EP9" s="15" t="n">
        <v>0</v>
      </c>
      <c r="EQ9" s="15" t="n">
        <v>0</v>
      </c>
      <c r="ER9" s="15" t="n">
        <v>0</v>
      </c>
      <c r="ES9" s="15" t="n">
        <v>0</v>
      </c>
      <c r="ET9" s="15" t="n">
        <v>0</v>
      </c>
      <c r="EU9" s="15" t="n">
        <v>0</v>
      </c>
      <c r="EV9" s="15" t="n">
        <v>0</v>
      </c>
      <c r="FC9" s="15" t="n">
        <v>2</v>
      </c>
      <c r="FD9" s="15" t="n">
        <v>0</v>
      </c>
      <c r="FE9" s="15" t="n">
        <v>0</v>
      </c>
      <c r="FF9" s="15" t="n">
        <v>0</v>
      </c>
      <c r="FG9" s="15" t="n">
        <v>0</v>
      </c>
      <c r="FH9" s="15" t="n">
        <v>0</v>
      </c>
      <c r="FI9" s="15" t="n">
        <v>0</v>
      </c>
      <c r="FJ9" s="15" t="n">
        <v>0</v>
      </c>
      <c r="FK9" s="15" t="n">
        <v>0</v>
      </c>
      <c r="FL9" s="15" t="n">
        <v>0</v>
      </c>
      <c r="FM9" s="15" t="n">
        <v>0</v>
      </c>
      <c r="FN9" s="15" t="n">
        <v>0</v>
      </c>
      <c r="FO9" s="15" t="n">
        <v>0</v>
      </c>
      <c r="FP9" s="15" t="n">
        <v>0</v>
      </c>
      <c r="FQ9" s="15" t="n">
        <v>0</v>
      </c>
      <c r="FR9" s="15" t="n">
        <v>0</v>
      </c>
      <c r="FY9" s="15" t="n">
        <v>2</v>
      </c>
      <c r="FZ9" s="15" t="n">
        <v>0</v>
      </c>
      <c r="GA9" s="15" t="n">
        <v>0</v>
      </c>
      <c r="GB9" s="15" t="n">
        <v>0</v>
      </c>
      <c r="GC9" s="15" t="n">
        <v>0</v>
      </c>
      <c r="GD9" s="15" t="n">
        <v>0</v>
      </c>
      <c r="GE9" s="15" t="n">
        <v>0</v>
      </c>
      <c r="GF9" s="15" t="n">
        <v>0</v>
      </c>
      <c r="GG9" s="15" t="n">
        <v>0</v>
      </c>
      <c r="GH9" s="15" t="n">
        <v>0</v>
      </c>
      <c r="GI9" s="15" t="n">
        <v>0</v>
      </c>
      <c r="GJ9" s="15" t="n">
        <v>0</v>
      </c>
      <c r="GK9" s="15" t="n">
        <v>0</v>
      </c>
      <c r="GL9" s="15" t="n">
        <v>0</v>
      </c>
      <c r="GM9" s="15" t="n">
        <v>0</v>
      </c>
      <c r="GN9" s="15" t="n">
        <v>0</v>
      </c>
      <c r="GU9" s="15" t="n">
        <v>2</v>
      </c>
      <c r="GV9" s="15" t="n">
        <v>0</v>
      </c>
      <c r="GW9" s="15" t="n">
        <v>0</v>
      </c>
      <c r="GX9" s="15" t="n">
        <v>0</v>
      </c>
      <c r="GY9" s="15" t="n">
        <v>0</v>
      </c>
      <c r="GZ9" s="15" t="n">
        <v>0</v>
      </c>
      <c r="HA9" s="15" t="n">
        <v>0</v>
      </c>
      <c r="HB9" s="15" t="n">
        <v>0</v>
      </c>
      <c r="HC9" s="15" t="n">
        <v>0</v>
      </c>
      <c r="HD9" s="15" t="n">
        <v>0</v>
      </c>
      <c r="HE9" s="15" t="n">
        <v>0</v>
      </c>
      <c r="HF9" s="15" t="n">
        <v>0</v>
      </c>
      <c r="HG9" s="15" t="n">
        <v>0</v>
      </c>
      <c r="HH9" s="15" t="n">
        <v>0</v>
      </c>
      <c r="HI9" s="15" t="n">
        <v>0</v>
      </c>
      <c r="HJ9" s="15" t="n">
        <v>0</v>
      </c>
    </row>
    <row r="10">
      <c r="C10" s="15" t="n">
        <v>3</v>
      </c>
      <c r="D10" s="15">
        <f>'Estado da arte'!D43</f>
        <v/>
      </c>
      <c r="E10" s="15">
        <f>'Estado da arte'!E43</f>
        <v/>
      </c>
      <c r="F10" s="15">
        <f>'Estado da arte'!F43</f>
        <v/>
      </c>
      <c r="G10" s="15">
        <f>'Estado da arte'!G43</f>
        <v/>
      </c>
      <c r="H10" s="15">
        <f>'Estado da arte'!H43</f>
        <v/>
      </c>
      <c r="I10" s="15">
        <f>'Estado da arte'!I43</f>
        <v/>
      </c>
      <c r="J10" s="15">
        <f>'Estado da arte'!J43</f>
        <v/>
      </c>
      <c r="K10" s="15">
        <f>'Estado da arte'!K43</f>
        <v/>
      </c>
      <c r="L10" s="15">
        <f>'Estado da arte'!L43</f>
        <v/>
      </c>
      <c r="M10" s="15">
        <f>'Estado da arte'!M43</f>
        <v/>
      </c>
      <c r="N10" s="15">
        <f>'Estado da arte'!N43</f>
        <v/>
      </c>
      <c r="O10" s="15">
        <f>'Estado da arte'!O43</f>
        <v/>
      </c>
      <c r="P10" s="15">
        <f>'Estado da arte'!P43</f>
        <v/>
      </c>
      <c r="Q10" s="15">
        <f>'Estado da arte'!Q43</f>
        <v/>
      </c>
      <c r="R10" s="15">
        <f>'Estado da arte'!R43</f>
        <v/>
      </c>
      <c r="AA10" s="15" t="n">
        <v>3</v>
      </c>
      <c r="AB10" s="15" t="n">
        <v>0</v>
      </c>
      <c r="AC10" s="15" t="n">
        <v>0</v>
      </c>
      <c r="AD10" s="15" t="n">
        <v>0</v>
      </c>
      <c r="AE10" s="15" t="n">
        <v>0</v>
      </c>
      <c r="AF10" s="15" t="n">
        <v>0</v>
      </c>
      <c r="AG10" s="15" t="n">
        <v>0</v>
      </c>
      <c r="AH10" s="15" t="n">
        <v>0</v>
      </c>
      <c r="AI10" s="15" t="n">
        <v>0</v>
      </c>
      <c r="AJ10" s="15" t="n">
        <v>0</v>
      </c>
      <c r="AK10" s="15" t="n">
        <v>0</v>
      </c>
      <c r="AL10" s="15" t="n">
        <v>0</v>
      </c>
      <c r="AM10" s="15" t="n">
        <v>0</v>
      </c>
      <c r="AN10" s="15" t="n">
        <v>0</v>
      </c>
      <c r="AO10" s="15" t="n">
        <v>0</v>
      </c>
      <c r="AP10" s="15" t="n">
        <v>0</v>
      </c>
      <c r="AW10" s="15" t="n">
        <v>3</v>
      </c>
      <c r="AX10" s="15" t="n">
        <v>0</v>
      </c>
      <c r="AY10" s="15" t="n">
        <v>0</v>
      </c>
      <c r="AZ10" s="15" t="n">
        <v>0</v>
      </c>
      <c r="BA10" s="15" t="n">
        <v>0</v>
      </c>
      <c r="BB10" s="15" t="n">
        <v>0</v>
      </c>
      <c r="BC10" s="15" t="n">
        <v>0</v>
      </c>
      <c r="BD10" s="15" t="n">
        <v>0</v>
      </c>
      <c r="BE10" s="15" t="n">
        <v>0</v>
      </c>
      <c r="BF10" s="15" t="n">
        <v>0</v>
      </c>
      <c r="BG10" s="15" t="n">
        <v>0</v>
      </c>
      <c r="BH10" s="15" t="n">
        <v>0</v>
      </c>
      <c r="BI10" s="15" t="n">
        <v>0</v>
      </c>
      <c r="BJ10" s="15" t="n">
        <v>0</v>
      </c>
      <c r="BK10" s="15" t="n">
        <v>0</v>
      </c>
      <c r="BL10" s="15" t="n">
        <v>0</v>
      </c>
      <c r="BS10" s="15" t="n">
        <v>3</v>
      </c>
      <c r="BT10" s="15" t="n">
        <v>0</v>
      </c>
      <c r="BU10" s="15" t="n">
        <v>0</v>
      </c>
      <c r="BV10" s="15" t="n">
        <v>0</v>
      </c>
      <c r="BW10" s="15" t="n">
        <v>0</v>
      </c>
      <c r="BX10" s="15" t="n">
        <v>0</v>
      </c>
      <c r="BY10" s="15" t="n">
        <v>0</v>
      </c>
      <c r="BZ10" s="15" t="n">
        <v>0</v>
      </c>
      <c r="CA10" s="15" t="n">
        <v>0</v>
      </c>
      <c r="CB10" s="15" t="n">
        <v>0</v>
      </c>
      <c r="CC10" s="15" t="n">
        <v>0</v>
      </c>
      <c r="CD10" s="15" t="n">
        <v>0</v>
      </c>
      <c r="CE10" s="15" t="n">
        <v>0</v>
      </c>
      <c r="CF10" s="15" t="n">
        <v>0</v>
      </c>
      <c r="CG10" s="15" t="n">
        <v>0</v>
      </c>
      <c r="CH10" s="15" t="n">
        <v>0</v>
      </c>
      <c r="CO10" s="15" t="n">
        <v>3</v>
      </c>
      <c r="CP10" s="15" t="n">
        <v>0</v>
      </c>
      <c r="CQ10" s="15" t="n">
        <v>0</v>
      </c>
      <c r="CR10" s="15" t="n">
        <v>0</v>
      </c>
      <c r="CS10" s="15" t="n">
        <v>0</v>
      </c>
      <c r="CT10" s="15" t="n">
        <v>0</v>
      </c>
      <c r="CU10" s="15" t="n">
        <v>0</v>
      </c>
      <c r="CV10" s="15" t="n">
        <v>0</v>
      </c>
      <c r="CW10" s="15" t="n">
        <v>0</v>
      </c>
      <c r="CX10" s="15" t="n">
        <v>0</v>
      </c>
      <c r="CY10" s="15" t="n">
        <v>0</v>
      </c>
      <c r="CZ10" s="15" t="n">
        <v>0</v>
      </c>
      <c r="DA10" s="15" t="n">
        <v>0</v>
      </c>
      <c r="DB10" s="15" t="n">
        <v>0</v>
      </c>
      <c r="DC10" s="15" t="n">
        <v>0</v>
      </c>
      <c r="DD10" s="15" t="n">
        <v>0</v>
      </c>
      <c r="DK10" s="15" t="n">
        <v>3</v>
      </c>
      <c r="DL10" s="15" t="n">
        <v>0</v>
      </c>
      <c r="DM10" s="15" t="n">
        <v>0</v>
      </c>
      <c r="DN10" s="15" t="n">
        <v>0</v>
      </c>
      <c r="DO10" s="15" t="n">
        <v>0</v>
      </c>
      <c r="DP10" s="15" t="n">
        <v>0</v>
      </c>
      <c r="DQ10" s="15" t="n">
        <v>0</v>
      </c>
      <c r="DR10" s="15" t="n">
        <v>0</v>
      </c>
      <c r="DS10" s="15" t="n">
        <v>0</v>
      </c>
      <c r="DT10" s="15" t="n">
        <v>0</v>
      </c>
      <c r="DU10" s="15" t="n">
        <v>0</v>
      </c>
      <c r="DV10" s="15" t="n">
        <v>0</v>
      </c>
      <c r="DW10" s="15" t="n">
        <v>0</v>
      </c>
      <c r="DX10" s="15" t="n">
        <v>0</v>
      </c>
      <c r="DY10" s="15" t="n">
        <v>0</v>
      </c>
      <c r="DZ10" s="15" t="n">
        <v>0</v>
      </c>
      <c r="EG10" s="15" t="n">
        <v>3</v>
      </c>
      <c r="EH10" s="15" t="n">
        <v>0</v>
      </c>
      <c r="EI10" s="15" t="n">
        <v>0</v>
      </c>
      <c r="EJ10" s="15" t="n">
        <v>0</v>
      </c>
      <c r="EK10" s="15" t="n">
        <v>0</v>
      </c>
      <c r="EL10" s="15" t="n">
        <v>0</v>
      </c>
      <c r="EM10" s="15" t="n">
        <v>0</v>
      </c>
      <c r="EN10" s="15" t="n">
        <v>0</v>
      </c>
      <c r="EO10" s="15" t="n">
        <v>0</v>
      </c>
      <c r="EP10" s="15" t="n">
        <v>0</v>
      </c>
      <c r="EQ10" s="15" t="n">
        <v>0</v>
      </c>
      <c r="ER10" s="15" t="n">
        <v>0</v>
      </c>
      <c r="ES10" s="15" t="n">
        <v>0</v>
      </c>
      <c r="ET10" s="15" t="n">
        <v>0</v>
      </c>
      <c r="EU10" s="15" t="n">
        <v>0</v>
      </c>
      <c r="EV10" s="15" t="n">
        <v>0</v>
      </c>
      <c r="FC10" s="15" t="n">
        <v>3</v>
      </c>
      <c r="FD10" s="15" t="n">
        <v>0</v>
      </c>
      <c r="FE10" s="15" t="n">
        <v>0</v>
      </c>
      <c r="FF10" s="15" t="n">
        <v>0</v>
      </c>
      <c r="FG10" s="15" t="n">
        <v>0</v>
      </c>
      <c r="FH10" s="15" t="n">
        <v>0</v>
      </c>
      <c r="FI10" s="15" t="n">
        <v>0</v>
      </c>
      <c r="FJ10" s="15" t="n">
        <v>0</v>
      </c>
      <c r="FK10" s="15" t="n">
        <v>0</v>
      </c>
      <c r="FL10" s="15" t="n">
        <v>0</v>
      </c>
      <c r="FM10" s="15" t="n">
        <v>0</v>
      </c>
      <c r="FN10" s="15" t="n">
        <v>0</v>
      </c>
      <c r="FO10" s="15" t="n">
        <v>0</v>
      </c>
      <c r="FP10" s="15" t="n">
        <v>0</v>
      </c>
      <c r="FQ10" s="15" t="n">
        <v>0</v>
      </c>
      <c r="FR10" s="15" t="n">
        <v>0</v>
      </c>
      <c r="FY10" s="15" t="n">
        <v>3</v>
      </c>
      <c r="FZ10" s="15" t="n">
        <v>0</v>
      </c>
      <c r="GA10" s="15" t="n">
        <v>0</v>
      </c>
      <c r="GB10" s="15" t="n">
        <v>0</v>
      </c>
      <c r="GC10" s="15" t="n">
        <v>0</v>
      </c>
      <c r="GD10" s="15" t="n">
        <v>0</v>
      </c>
      <c r="GE10" s="15" t="n">
        <v>0</v>
      </c>
      <c r="GF10" s="15" t="n">
        <v>0</v>
      </c>
      <c r="GG10" s="15" t="n">
        <v>0</v>
      </c>
      <c r="GH10" s="15" t="n">
        <v>0</v>
      </c>
      <c r="GI10" s="15" t="n">
        <v>0</v>
      </c>
      <c r="GJ10" s="15" t="n">
        <v>0</v>
      </c>
      <c r="GK10" s="15" t="n">
        <v>0</v>
      </c>
      <c r="GL10" s="15" t="n">
        <v>0</v>
      </c>
      <c r="GM10" s="15" t="n">
        <v>0</v>
      </c>
      <c r="GN10" s="15" t="n">
        <v>0</v>
      </c>
      <c r="GU10" s="15" t="n">
        <v>3</v>
      </c>
      <c r="GV10" s="15" t="n">
        <v>0</v>
      </c>
      <c r="GW10" s="15" t="n">
        <v>0</v>
      </c>
      <c r="GX10" s="15" t="n">
        <v>0</v>
      </c>
      <c r="GY10" s="15" t="n">
        <v>0</v>
      </c>
      <c r="GZ10" s="15" t="n">
        <v>0</v>
      </c>
      <c r="HA10" s="15" t="n">
        <v>0</v>
      </c>
      <c r="HB10" s="15" t="n">
        <v>0</v>
      </c>
      <c r="HC10" s="15" t="n">
        <v>0</v>
      </c>
      <c r="HD10" s="15" t="n">
        <v>0</v>
      </c>
      <c r="HE10" s="15" t="n">
        <v>0</v>
      </c>
      <c r="HF10" s="15" t="n">
        <v>0</v>
      </c>
      <c r="HG10" s="15" t="n">
        <v>0</v>
      </c>
      <c r="HH10" s="15" t="n">
        <v>0</v>
      </c>
      <c r="HI10" s="15" t="n">
        <v>0</v>
      </c>
      <c r="HJ10" s="15" t="n">
        <v>0</v>
      </c>
    </row>
    <row r="12">
      <c r="C12" s="15" t="inlineStr">
        <is>
          <t>Reorder</t>
        </is>
      </c>
      <c r="D12" s="15" t="n">
        <v>1</v>
      </c>
      <c r="E12" s="15" t="n">
        <v>2</v>
      </c>
      <c r="F12" s="15" t="n">
        <v>3</v>
      </c>
      <c r="G12" s="15" t="n">
        <v>4</v>
      </c>
      <c r="H12" s="15" t="n">
        <v>5</v>
      </c>
      <c r="I12" s="15" t="n">
        <v>6</v>
      </c>
      <c r="J12" s="15" t="n">
        <v>7</v>
      </c>
      <c r="K12" s="15" t="n">
        <v>8</v>
      </c>
      <c r="L12" s="15" t="n">
        <v>9</v>
      </c>
      <c r="M12" s="15" t="n">
        <v>10</v>
      </c>
      <c r="N12" s="15" t="n">
        <v>11</v>
      </c>
      <c r="O12" s="15" t="n">
        <v>12</v>
      </c>
      <c r="P12" s="15" t="n">
        <v>13</v>
      </c>
      <c r="Q12" s="15" t="n">
        <v>14</v>
      </c>
      <c r="R12" s="15" t="n">
        <v>15</v>
      </c>
      <c r="AA12" s="15" t="inlineStr">
        <is>
          <t>Reorder</t>
        </is>
      </c>
      <c r="AB12" s="15" t="n">
        <v>1</v>
      </c>
      <c r="AC12" s="15" t="n">
        <v>2</v>
      </c>
      <c r="AD12" s="15" t="n">
        <v>3</v>
      </c>
      <c r="AE12" s="15" t="n">
        <v>4</v>
      </c>
      <c r="AF12" s="15" t="n">
        <v>5</v>
      </c>
      <c r="AG12" s="15" t="n">
        <v>6</v>
      </c>
      <c r="AH12" s="15" t="n">
        <v>7</v>
      </c>
      <c r="AI12" s="15" t="n">
        <v>8</v>
      </c>
      <c r="AJ12" s="15" t="n">
        <v>9</v>
      </c>
      <c r="AK12" s="15" t="n">
        <v>10</v>
      </c>
      <c r="AL12" s="15" t="n">
        <v>11</v>
      </c>
      <c r="AM12" s="15" t="n">
        <v>12</v>
      </c>
      <c r="AN12" s="15" t="n">
        <v>13</v>
      </c>
      <c r="AO12" s="15" t="n">
        <v>14</v>
      </c>
      <c r="AP12" s="15" t="n">
        <v>15</v>
      </c>
      <c r="AW12" s="15" t="inlineStr">
        <is>
          <t>Reorder</t>
        </is>
      </c>
      <c r="AX12" s="15" t="n">
        <v>1</v>
      </c>
      <c r="AY12" s="15" t="n">
        <v>2</v>
      </c>
      <c r="AZ12" s="15" t="n">
        <v>3</v>
      </c>
      <c r="BA12" s="15" t="n">
        <v>4</v>
      </c>
      <c r="BB12" s="15" t="n">
        <v>5</v>
      </c>
      <c r="BC12" s="15" t="n">
        <v>6</v>
      </c>
      <c r="BD12" s="15" t="n">
        <v>7</v>
      </c>
      <c r="BE12" s="15" t="n">
        <v>8</v>
      </c>
      <c r="BF12" s="15" t="n">
        <v>9</v>
      </c>
      <c r="BG12" s="15" t="n">
        <v>10</v>
      </c>
      <c r="BH12" s="15" t="n">
        <v>11</v>
      </c>
      <c r="BI12" s="15" t="n">
        <v>12</v>
      </c>
      <c r="BJ12" s="15" t="n">
        <v>13</v>
      </c>
      <c r="BK12" s="15" t="n">
        <v>14</v>
      </c>
      <c r="BL12" s="15" t="n">
        <v>15</v>
      </c>
      <c r="BS12" s="15" t="inlineStr">
        <is>
          <t>Reorder</t>
        </is>
      </c>
      <c r="BT12" s="15" t="n">
        <v>1</v>
      </c>
      <c r="BU12" s="15" t="n">
        <v>2</v>
      </c>
      <c r="BV12" s="15" t="n">
        <v>3</v>
      </c>
      <c r="BW12" s="15" t="n">
        <v>4</v>
      </c>
      <c r="BX12" s="15" t="n">
        <v>5</v>
      </c>
      <c r="BY12" s="15" t="n">
        <v>6</v>
      </c>
      <c r="BZ12" s="15" t="n">
        <v>7</v>
      </c>
      <c r="CA12" s="15" t="n">
        <v>8</v>
      </c>
      <c r="CB12" s="15" t="n">
        <v>9</v>
      </c>
      <c r="CC12" s="15" t="n">
        <v>10</v>
      </c>
      <c r="CD12" s="15" t="n">
        <v>11</v>
      </c>
      <c r="CE12" s="15" t="n">
        <v>12</v>
      </c>
      <c r="CF12" s="15" t="n">
        <v>13</v>
      </c>
      <c r="CG12" s="15" t="n">
        <v>14</v>
      </c>
      <c r="CH12" s="15" t="n">
        <v>15</v>
      </c>
      <c r="CO12" s="15" t="inlineStr">
        <is>
          <t>Reorder</t>
        </is>
      </c>
      <c r="CP12" s="15" t="n">
        <v>1</v>
      </c>
      <c r="CQ12" s="15" t="n">
        <v>2</v>
      </c>
      <c r="CR12" s="15" t="n">
        <v>3</v>
      </c>
      <c r="CS12" s="15" t="n">
        <v>4</v>
      </c>
      <c r="CT12" s="15" t="n">
        <v>5</v>
      </c>
      <c r="CU12" s="15" t="n">
        <v>6</v>
      </c>
      <c r="CV12" s="15" t="n">
        <v>7</v>
      </c>
      <c r="CW12" s="15" t="n">
        <v>8</v>
      </c>
      <c r="CX12" s="15" t="n">
        <v>9</v>
      </c>
      <c r="CY12" s="15" t="n">
        <v>10</v>
      </c>
      <c r="CZ12" s="15" t="n">
        <v>11</v>
      </c>
      <c r="DA12" s="15" t="n">
        <v>12</v>
      </c>
      <c r="DB12" s="15" t="n">
        <v>13</v>
      </c>
      <c r="DC12" s="15" t="n">
        <v>14</v>
      </c>
      <c r="DD12" s="15" t="n">
        <v>15</v>
      </c>
      <c r="DK12" s="15" t="inlineStr">
        <is>
          <t>Reorder</t>
        </is>
      </c>
      <c r="DL12" s="15" t="n">
        <v>1</v>
      </c>
      <c r="DM12" s="15" t="n">
        <v>2</v>
      </c>
      <c r="DN12" s="15" t="n">
        <v>3</v>
      </c>
      <c r="DO12" s="15" t="n">
        <v>4</v>
      </c>
      <c r="DP12" s="15" t="n">
        <v>5</v>
      </c>
      <c r="DQ12" s="15" t="n">
        <v>6</v>
      </c>
      <c r="DR12" s="15" t="n">
        <v>7</v>
      </c>
      <c r="DS12" s="15" t="n">
        <v>8</v>
      </c>
      <c r="DT12" s="15" t="n">
        <v>9</v>
      </c>
      <c r="DU12" s="15" t="n">
        <v>10</v>
      </c>
      <c r="DV12" s="15" t="n">
        <v>11</v>
      </c>
      <c r="DW12" s="15" t="n">
        <v>12</v>
      </c>
      <c r="DX12" s="15" t="n">
        <v>13</v>
      </c>
      <c r="DY12" s="15" t="n">
        <v>14</v>
      </c>
      <c r="DZ12" s="15" t="n">
        <v>15</v>
      </c>
      <c r="EG12" s="15" t="inlineStr">
        <is>
          <t>Reorder</t>
        </is>
      </c>
      <c r="EH12" s="15" t="n">
        <v>1</v>
      </c>
      <c r="EI12" s="15" t="n">
        <v>2</v>
      </c>
      <c r="EJ12" s="15" t="n">
        <v>3</v>
      </c>
      <c r="EK12" s="15" t="n">
        <v>4</v>
      </c>
      <c r="EL12" s="15" t="n">
        <v>5</v>
      </c>
      <c r="EM12" s="15" t="n">
        <v>6</v>
      </c>
      <c r="EN12" s="15" t="n">
        <v>7</v>
      </c>
      <c r="EO12" s="15" t="n">
        <v>8</v>
      </c>
      <c r="EP12" s="15" t="n">
        <v>9</v>
      </c>
      <c r="EQ12" s="15" t="n">
        <v>10</v>
      </c>
      <c r="ER12" s="15" t="n">
        <v>11</v>
      </c>
      <c r="ES12" s="15" t="n">
        <v>12</v>
      </c>
      <c r="ET12" s="15" t="n">
        <v>13</v>
      </c>
      <c r="EU12" s="15" t="n">
        <v>14</v>
      </c>
      <c r="EV12" s="15" t="n">
        <v>15</v>
      </c>
      <c r="FC12" s="15" t="inlineStr">
        <is>
          <t>Reorder</t>
        </is>
      </c>
      <c r="FD12" s="15" t="n">
        <v>1</v>
      </c>
      <c r="FE12" s="15" t="n">
        <v>2</v>
      </c>
      <c r="FF12" s="15" t="n">
        <v>3</v>
      </c>
      <c r="FG12" s="15" t="n">
        <v>4</v>
      </c>
      <c r="FH12" s="15" t="n">
        <v>5</v>
      </c>
      <c r="FI12" s="15" t="n">
        <v>6</v>
      </c>
      <c r="FJ12" s="15" t="n">
        <v>7</v>
      </c>
      <c r="FK12" s="15" t="n">
        <v>8</v>
      </c>
      <c r="FL12" s="15" t="n">
        <v>9</v>
      </c>
      <c r="FM12" s="15" t="n">
        <v>10</v>
      </c>
      <c r="FN12" s="15" t="n">
        <v>11</v>
      </c>
      <c r="FO12" s="15" t="n">
        <v>12</v>
      </c>
      <c r="FP12" s="15" t="n">
        <v>13</v>
      </c>
      <c r="FQ12" s="15" t="n">
        <v>14</v>
      </c>
      <c r="FR12" s="15" t="n">
        <v>15</v>
      </c>
      <c r="FY12" s="15" t="inlineStr">
        <is>
          <t>Reorder</t>
        </is>
      </c>
      <c r="FZ12" s="15" t="n">
        <v>1</v>
      </c>
      <c r="GA12" s="15" t="n">
        <v>2</v>
      </c>
      <c r="GB12" s="15" t="n">
        <v>3</v>
      </c>
      <c r="GC12" s="15" t="n">
        <v>4</v>
      </c>
      <c r="GD12" s="15" t="n">
        <v>5</v>
      </c>
      <c r="GE12" s="15" t="n">
        <v>6</v>
      </c>
      <c r="GF12" s="15" t="n">
        <v>7</v>
      </c>
      <c r="GG12" s="15" t="n">
        <v>8</v>
      </c>
      <c r="GH12" s="15" t="n">
        <v>9</v>
      </c>
      <c r="GI12" s="15" t="n">
        <v>10</v>
      </c>
      <c r="GJ12" s="15" t="n">
        <v>11</v>
      </c>
      <c r="GK12" s="15" t="n">
        <v>12</v>
      </c>
      <c r="GL12" s="15" t="n">
        <v>13</v>
      </c>
      <c r="GM12" s="15" t="n">
        <v>14</v>
      </c>
      <c r="GN12" s="15" t="n">
        <v>15</v>
      </c>
      <c r="GU12" s="15" t="inlineStr">
        <is>
          <t>Reorder</t>
        </is>
      </c>
      <c r="GV12" s="15" t="n">
        <v>1</v>
      </c>
      <c r="GW12" s="15" t="n">
        <v>2</v>
      </c>
      <c r="GX12" s="15" t="n">
        <v>3</v>
      </c>
      <c r="GY12" s="15" t="n">
        <v>4</v>
      </c>
      <c r="GZ12" s="15" t="n">
        <v>5</v>
      </c>
      <c r="HA12" s="15" t="n">
        <v>6</v>
      </c>
      <c r="HB12" s="15" t="n">
        <v>7</v>
      </c>
      <c r="HC12" s="15" t="n">
        <v>8</v>
      </c>
      <c r="HD12" s="15" t="n">
        <v>9</v>
      </c>
      <c r="HE12" s="15" t="n">
        <v>10</v>
      </c>
      <c r="HF12" s="15" t="n">
        <v>11</v>
      </c>
      <c r="HG12" s="15" t="n">
        <v>12</v>
      </c>
      <c r="HH12" s="15" t="n">
        <v>13</v>
      </c>
      <c r="HI12" s="15" t="n">
        <v>14</v>
      </c>
      <c r="HJ12" s="15" t="n">
        <v>15</v>
      </c>
    </row>
    <row r="13">
      <c r="C13" s="15" t="n">
        <v>1</v>
      </c>
      <c r="D13" s="79">
        <f>Suppliers_stock_balance!D212</f>
        <v/>
      </c>
      <c r="E13" s="79">
        <f>Suppliers_stock_balance!E212</f>
        <v/>
      </c>
      <c r="F13" s="79">
        <f>Suppliers_stock_balance!F212</f>
        <v/>
      </c>
      <c r="G13" s="79">
        <f>Suppliers_stock_balance!G212</f>
        <v/>
      </c>
      <c r="H13" s="79">
        <f>Suppliers_stock_balance!H212</f>
        <v/>
      </c>
      <c r="I13" s="79">
        <f>Suppliers_stock_balance!I212</f>
        <v/>
      </c>
      <c r="J13" s="79">
        <f>Suppliers_stock_balance!J212</f>
        <v/>
      </c>
      <c r="K13" s="79">
        <f>Suppliers_stock_balance!K212</f>
        <v/>
      </c>
      <c r="L13" s="79">
        <f>Suppliers_stock_balance!L212</f>
        <v/>
      </c>
      <c r="M13" s="79">
        <f>Suppliers_stock_balance!M212</f>
        <v/>
      </c>
      <c r="N13" s="79">
        <f>Suppliers_stock_balance!N212</f>
        <v/>
      </c>
      <c r="O13" s="79">
        <f>Suppliers_stock_balance!O212</f>
        <v/>
      </c>
      <c r="P13" s="79">
        <f>Suppliers_stock_balance!P212</f>
        <v/>
      </c>
      <c r="Q13" s="79">
        <f>Suppliers_stock_balance!Q212</f>
        <v/>
      </c>
      <c r="R13" s="79">
        <f>Suppliers_stock_balance!R212</f>
        <v/>
      </c>
      <c r="T13" s="39">
        <f>SUM(D13:R15)</f>
        <v/>
      </c>
      <c r="U13" s="39" t="n">
        <v>39562.0423</v>
      </c>
      <c r="V13" s="39">
        <f>T13-U13</f>
        <v/>
      </c>
      <c r="W13" s="39" t="n"/>
      <c r="X13" s="39" t="n"/>
      <c r="AA13" s="15" t="n">
        <v>1</v>
      </c>
      <c r="AB13" s="15" t="n">
        <v>0</v>
      </c>
      <c r="AC13" s="15" t="n">
        <v>0</v>
      </c>
      <c r="AD13" s="15" t="n">
        <v>0</v>
      </c>
      <c r="AE13" s="15" t="n">
        <v>0</v>
      </c>
      <c r="AF13" s="15" t="n">
        <v>1168.693</v>
      </c>
      <c r="AG13" s="15" t="n">
        <v>1817.2927</v>
      </c>
      <c r="AH13" s="15" t="n">
        <v>0</v>
      </c>
      <c r="AI13" s="15" t="n">
        <v>2446.7585</v>
      </c>
      <c r="AJ13" s="15" t="n">
        <v>1635.9004</v>
      </c>
      <c r="AK13" s="15" t="n">
        <v>0</v>
      </c>
      <c r="AL13" s="15" t="n">
        <v>0</v>
      </c>
      <c r="AM13" s="15" t="n">
        <v>0</v>
      </c>
      <c r="AN13" s="15" t="n">
        <v>1216.203</v>
      </c>
      <c r="AO13" s="15" t="n">
        <v>1558.7788</v>
      </c>
      <c r="AP13" s="15" t="n">
        <v>3006.242800000001</v>
      </c>
      <c r="AW13" s="15" t="n">
        <v>1</v>
      </c>
      <c r="AX13" s="15" t="n">
        <v>0</v>
      </c>
      <c r="AY13" s="15" t="n">
        <v>0</v>
      </c>
      <c r="AZ13" s="15" t="n">
        <v>0</v>
      </c>
      <c r="BA13" s="15" t="n">
        <v>0</v>
      </c>
      <c r="BB13" s="15" t="n">
        <v>1168.693</v>
      </c>
      <c r="BC13" s="15" t="n">
        <v>1817.2927</v>
      </c>
      <c r="BD13" s="15" t="n">
        <v>0</v>
      </c>
      <c r="BE13" s="15" t="n">
        <v>2446.7585</v>
      </c>
      <c r="BF13" s="15" t="n">
        <v>1635.9004</v>
      </c>
      <c r="BG13" s="15" t="n">
        <v>0</v>
      </c>
      <c r="BH13" s="15" t="n">
        <v>0</v>
      </c>
      <c r="BI13" s="15" t="n">
        <v>0</v>
      </c>
      <c r="BJ13" s="15" t="n">
        <v>1216.203</v>
      </c>
      <c r="BK13" s="15" t="n">
        <v>1558.7788</v>
      </c>
      <c r="BL13" s="15" t="n">
        <v>3005.242800000001</v>
      </c>
      <c r="BS13" s="15" t="n">
        <v>1</v>
      </c>
      <c r="BT13" s="15" t="n">
        <v>0</v>
      </c>
      <c r="BU13" s="15" t="n">
        <v>0</v>
      </c>
      <c r="BV13" s="15" t="n">
        <v>0</v>
      </c>
      <c r="BW13" s="15" t="n">
        <v>0</v>
      </c>
      <c r="BX13" s="15" t="n">
        <v>1222.693</v>
      </c>
      <c r="BY13" s="15" t="n">
        <v>1852.2927</v>
      </c>
      <c r="BZ13" s="15" t="n">
        <v>0</v>
      </c>
      <c r="CA13" s="15" t="n">
        <v>2498.7585</v>
      </c>
      <c r="CB13" s="15" t="n">
        <v>1677.9004</v>
      </c>
      <c r="CC13" s="15" t="n">
        <v>0</v>
      </c>
      <c r="CD13" s="15" t="n">
        <v>0</v>
      </c>
      <c r="CE13" s="15" t="n">
        <v>0</v>
      </c>
      <c r="CF13" s="15" t="n">
        <v>1252.203</v>
      </c>
      <c r="CG13" s="15" t="n">
        <v>1592.7788</v>
      </c>
      <c r="CH13" s="15" t="n">
        <v>3070.242800000001</v>
      </c>
      <c r="CO13" s="15" t="n">
        <v>1</v>
      </c>
      <c r="CP13" s="15" t="n">
        <v>0</v>
      </c>
      <c r="CQ13" s="15" t="n">
        <v>0</v>
      </c>
      <c r="CR13" s="15" t="n">
        <v>0</v>
      </c>
      <c r="CS13" s="15" t="n">
        <v>0</v>
      </c>
      <c r="CT13" s="15" t="n">
        <v>1168.693</v>
      </c>
      <c r="CU13" s="15" t="n">
        <v>1817.2927</v>
      </c>
      <c r="CV13" s="15" t="n">
        <v>0</v>
      </c>
      <c r="CW13" s="15" t="n">
        <v>2446.7585</v>
      </c>
      <c r="CX13" s="15" t="n">
        <v>1635.9004</v>
      </c>
      <c r="CY13" s="15" t="n">
        <v>0</v>
      </c>
      <c r="CZ13" s="15" t="n">
        <v>0</v>
      </c>
      <c r="DA13" s="15" t="n">
        <v>0</v>
      </c>
      <c r="DB13" s="15" t="n">
        <v>1216.203</v>
      </c>
      <c r="DC13" s="15" t="n">
        <v>1558.7788</v>
      </c>
      <c r="DD13" s="15" t="n">
        <v>3005.242800000001</v>
      </c>
      <c r="DK13" s="15" t="n">
        <v>1</v>
      </c>
      <c r="DL13" s="15" t="n">
        <v>0</v>
      </c>
      <c r="DM13" s="15" t="n">
        <v>0</v>
      </c>
      <c r="DN13" s="15" t="n">
        <v>0</v>
      </c>
      <c r="DO13" s="15" t="n">
        <v>0</v>
      </c>
      <c r="DP13" s="15" t="n">
        <v>1168.693</v>
      </c>
      <c r="DQ13" s="15" t="n">
        <v>1817.2927</v>
      </c>
      <c r="DR13" s="15" t="n">
        <v>0</v>
      </c>
      <c r="DS13" s="15" t="n">
        <v>2446.7585</v>
      </c>
      <c r="DT13" s="15" t="n">
        <v>1635.9004</v>
      </c>
      <c r="DU13" s="15" t="n">
        <v>0</v>
      </c>
      <c r="DV13" s="15" t="n">
        <v>0</v>
      </c>
      <c r="DW13" s="15" t="n">
        <v>0</v>
      </c>
      <c r="DX13" s="15" t="n">
        <v>1216.203</v>
      </c>
      <c r="DY13" s="15" t="n">
        <v>1558.7788</v>
      </c>
      <c r="DZ13" s="15" t="n">
        <v>3005.242800000001</v>
      </c>
      <c r="EG13" s="15" t="n">
        <v>1</v>
      </c>
      <c r="EH13" s="15" t="n">
        <v>0</v>
      </c>
      <c r="EI13" s="15" t="n">
        <v>0</v>
      </c>
      <c r="EJ13" s="15" t="n">
        <v>0</v>
      </c>
      <c r="EK13" s="15" t="n">
        <v>0</v>
      </c>
      <c r="EL13" s="15" t="n">
        <v>1222.693</v>
      </c>
      <c r="EM13" s="15" t="n">
        <v>1852.2927</v>
      </c>
      <c r="EN13" s="15" t="n">
        <v>0</v>
      </c>
      <c r="EO13" s="15" t="n">
        <v>2498.7585</v>
      </c>
      <c r="EP13" s="15" t="n">
        <v>1677.9004</v>
      </c>
      <c r="EQ13" s="15" t="n">
        <v>0</v>
      </c>
      <c r="ER13" s="15" t="n">
        <v>0</v>
      </c>
      <c r="ES13" s="15" t="n">
        <v>0</v>
      </c>
      <c r="ET13" s="15" t="n">
        <v>1252.203</v>
      </c>
      <c r="EU13" s="15" t="n">
        <v>1592.7788</v>
      </c>
      <c r="EV13" s="15" t="n">
        <v>3070.242800000001</v>
      </c>
      <c r="FC13" s="15" t="n">
        <v>1</v>
      </c>
      <c r="FD13" s="15" t="n">
        <v>0</v>
      </c>
      <c r="FE13" s="15" t="n">
        <v>0</v>
      </c>
      <c r="FF13" s="15" t="n">
        <v>0</v>
      </c>
      <c r="FG13" s="15" t="n">
        <v>0</v>
      </c>
      <c r="FH13" s="15" t="n">
        <v>1168.693</v>
      </c>
      <c r="FI13" s="15" t="n">
        <v>1817.2927</v>
      </c>
      <c r="FJ13" s="15" t="n">
        <v>0</v>
      </c>
      <c r="FK13" s="15" t="n">
        <v>2446.7585</v>
      </c>
      <c r="FL13" s="15" t="n">
        <v>1635.9004</v>
      </c>
      <c r="FM13" s="15" t="n">
        <v>0</v>
      </c>
      <c r="FN13" s="15" t="n">
        <v>0</v>
      </c>
      <c r="FO13" s="15" t="n">
        <v>0</v>
      </c>
      <c r="FP13" s="15" t="n">
        <v>1216.203</v>
      </c>
      <c r="FQ13" s="15" t="n">
        <v>1558.7788</v>
      </c>
      <c r="FR13" s="15" t="n">
        <v>3005.242800000001</v>
      </c>
      <c r="FY13" s="15" t="n">
        <v>1</v>
      </c>
      <c r="FZ13" s="15" t="n">
        <v>0</v>
      </c>
      <c r="GA13" s="15" t="n">
        <v>0</v>
      </c>
      <c r="GB13" s="15" t="n">
        <v>0</v>
      </c>
      <c r="GC13" s="15" t="n">
        <v>0</v>
      </c>
      <c r="GD13" s="15" t="n">
        <v>1168.693</v>
      </c>
      <c r="GE13" s="15" t="n">
        <v>1817.2927</v>
      </c>
      <c r="GF13" s="15" t="n">
        <v>0</v>
      </c>
      <c r="GG13" s="15" t="n">
        <v>2446.7585</v>
      </c>
      <c r="GH13" s="15" t="n">
        <v>1635.9004</v>
      </c>
      <c r="GI13" s="15" t="n">
        <v>0</v>
      </c>
      <c r="GJ13" s="15" t="n">
        <v>0</v>
      </c>
      <c r="GK13" s="15" t="n">
        <v>0</v>
      </c>
      <c r="GL13" s="15" t="n">
        <v>1216.203</v>
      </c>
      <c r="GM13" s="15" t="n">
        <v>1558.7788</v>
      </c>
      <c r="GN13" s="15" t="n">
        <v>3005.242800000001</v>
      </c>
      <c r="GU13" s="15" t="n">
        <v>1</v>
      </c>
      <c r="GV13" s="15" t="n">
        <v>0</v>
      </c>
      <c r="GW13" s="15" t="n">
        <v>0</v>
      </c>
      <c r="GX13" s="15" t="n">
        <v>0</v>
      </c>
      <c r="GY13" s="15" t="n">
        <v>0</v>
      </c>
      <c r="GZ13" s="15" t="n">
        <v>1222.693</v>
      </c>
      <c r="HA13" s="15" t="n">
        <v>1852.2927</v>
      </c>
      <c r="HB13" s="15" t="n">
        <v>0</v>
      </c>
      <c r="HC13" s="15" t="n">
        <v>2498.7585</v>
      </c>
      <c r="HD13" s="15" t="n">
        <v>1677.9004</v>
      </c>
      <c r="HE13" s="15" t="n">
        <v>0</v>
      </c>
      <c r="HF13" s="15" t="n">
        <v>0</v>
      </c>
      <c r="HG13" s="15" t="n">
        <v>0</v>
      </c>
      <c r="HH13" s="15" t="n">
        <v>1252.203</v>
      </c>
      <c r="HI13" s="15" t="n">
        <v>1592.7788</v>
      </c>
      <c r="HJ13" s="15" t="n">
        <v>3070.242800000001</v>
      </c>
    </row>
    <row r="14">
      <c r="C14" s="15" t="n">
        <v>2</v>
      </c>
      <c r="D14" s="79">
        <f>Suppliers_stock_balance!D213</f>
        <v/>
      </c>
      <c r="E14" s="79">
        <f>Suppliers_stock_balance!E213</f>
        <v/>
      </c>
      <c r="F14" s="79">
        <f>Suppliers_stock_balance!F213</f>
        <v/>
      </c>
      <c r="G14" s="79">
        <f>Suppliers_stock_balance!G213</f>
        <v/>
      </c>
      <c r="H14" s="79">
        <f>Suppliers_stock_balance!H213</f>
        <v/>
      </c>
      <c r="I14" s="79">
        <f>Suppliers_stock_balance!I213</f>
        <v/>
      </c>
      <c r="J14" s="79">
        <f>Suppliers_stock_balance!J213</f>
        <v/>
      </c>
      <c r="K14" s="79">
        <f>Suppliers_stock_balance!K213</f>
        <v/>
      </c>
      <c r="L14" s="79">
        <f>Suppliers_stock_balance!L213</f>
        <v/>
      </c>
      <c r="M14" s="79">
        <f>Suppliers_stock_balance!M213</f>
        <v/>
      </c>
      <c r="N14" s="79">
        <f>Suppliers_stock_balance!N213</f>
        <v/>
      </c>
      <c r="O14" s="79">
        <f>Suppliers_stock_balance!O213</f>
        <v/>
      </c>
      <c r="P14" s="79">
        <f>Suppliers_stock_balance!P213</f>
        <v/>
      </c>
      <c r="Q14" s="79">
        <f>Suppliers_stock_balance!Q213</f>
        <v/>
      </c>
      <c r="R14" s="79">
        <f>Suppliers_stock_balance!R213</f>
        <v/>
      </c>
      <c r="AA14" s="15" t="n">
        <v>2</v>
      </c>
      <c r="AB14" s="15" t="n">
        <v>1262.2397</v>
      </c>
      <c r="AC14" s="15" t="n">
        <v>1303.4396</v>
      </c>
      <c r="AD14" s="15" t="n">
        <v>0</v>
      </c>
      <c r="AE14" s="15" t="n">
        <v>0</v>
      </c>
      <c r="AF14" s="15" t="n">
        <v>0</v>
      </c>
      <c r="AG14" s="15" t="n">
        <v>1632.304</v>
      </c>
      <c r="AH14" s="15" t="n">
        <v>0</v>
      </c>
      <c r="AI14" s="15" t="n">
        <v>0</v>
      </c>
      <c r="AJ14" s="15" t="n">
        <v>0</v>
      </c>
      <c r="AK14" s="15" t="n">
        <v>1215.6016</v>
      </c>
      <c r="AL14" s="15" t="n">
        <v>0</v>
      </c>
      <c r="AM14" s="15" t="n">
        <v>1583.4977</v>
      </c>
      <c r="AN14" s="15" t="n">
        <v>1579.2148</v>
      </c>
      <c r="AO14" s="15" t="n">
        <v>1508.936000000001</v>
      </c>
      <c r="AP14" s="15" t="n">
        <v>1603.2428</v>
      </c>
      <c r="AW14" s="15" t="n">
        <v>2</v>
      </c>
      <c r="AX14" s="15" t="n">
        <v>1262.2397</v>
      </c>
      <c r="AY14" s="15" t="n">
        <v>1303.4396</v>
      </c>
      <c r="AZ14" s="15" t="n">
        <v>0</v>
      </c>
      <c r="BA14" s="15" t="n">
        <v>0</v>
      </c>
      <c r="BB14" s="15" t="n">
        <v>0</v>
      </c>
      <c r="BC14" s="15" t="n">
        <v>1632.304</v>
      </c>
      <c r="BD14" s="15" t="n">
        <v>0</v>
      </c>
      <c r="BE14" s="15" t="n">
        <v>0</v>
      </c>
      <c r="BF14" s="15" t="n">
        <v>0</v>
      </c>
      <c r="BG14" s="15" t="n">
        <v>1215.6016</v>
      </c>
      <c r="BH14" s="15" t="n">
        <v>0</v>
      </c>
      <c r="BI14" s="15" t="n">
        <v>1583.4977</v>
      </c>
      <c r="BJ14" s="15" t="n">
        <v>1579.2148</v>
      </c>
      <c r="BK14" s="15" t="n">
        <v>1508.936000000001</v>
      </c>
      <c r="BL14" s="15" t="n">
        <v>1603.2428</v>
      </c>
      <c r="BS14" s="15" t="n">
        <v>2</v>
      </c>
      <c r="BT14" s="15" t="n">
        <v>1302.2397</v>
      </c>
      <c r="BU14" s="15" t="n">
        <v>1342.4396</v>
      </c>
      <c r="BV14" s="15" t="n">
        <v>0</v>
      </c>
      <c r="BW14" s="15" t="n">
        <v>0</v>
      </c>
      <c r="BX14" s="15" t="n">
        <v>0</v>
      </c>
      <c r="BY14" s="15" t="n">
        <v>1685.304</v>
      </c>
      <c r="BZ14" s="15" t="n">
        <v>0</v>
      </c>
      <c r="CA14" s="15" t="n">
        <v>0</v>
      </c>
      <c r="CB14" s="15" t="n">
        <v>0</v>
      </c>
      <c r="CC14" s="15" t="n">
        <v>1248.6016</v>
      </c>
      <c r="CD14" s="15" t="n">
        <v>0</v>
      </c>
      <c r="CE14" s="15" t="n">
        <v>1631.4977</v>
      </c>
      <c r="CF14" s="15" t="n">
        <v>1623.2148</v>
      </c>
      <c r="CG14" s="15" t="n">
        <v>1569.936000000001</v>
      </c>
      <c r="CH14" s="15" t="n">
        <v>1653.2428</v>
      </c>
      <c r="CO14" s="15" t="n">
        <v>2</v>
      </c>
      <c r="CP14" s="15" t="n">
        <v>1262.2397</v>
      </c>
      <c r="CQ14" s="15" t="n">
        <v>1303.4396</v>
      </c>
      <c r="CR14" s="15" t="n">
        <v>0</v>
      </c>
      <c r="CS14" s="15" t="n">
        <v>0</v>
      </c>
      <c r="CT14" s="15" t="n">
        <v>0</v>
      </c>
      <c r="CU14" s="15" t="n">
        <v>1632.304</v>
      </c>
      <c r="CV14" s="15" t="n">
        <v>0</v>
      </c>
      <c r="CW14" s="15" t="n">
        <v>0</v>
      </c>
      <c r="CX14" s="15" t="n">
        <v>0</v>
      </c>
      <c r="CY14" s="15" t="n">
        <v>1215.6016</v>
      </c>
      <c r="CZ14" s="15" t="n">
        <v>0</v>
      </c>
      <c r="DA14" s="15" t="n">
        <v>1583.4977</v>
      </c>
      <c r="DB14" s="15" t="n">
        <v>1579.2148</v>
      </c>
      <c r="DC14" s="15" t="n">
        <v>1508.936000000001</v>
      </c>
      <c r="DD14" s="15" t="n">
        <v>1603.2428</v>
      </c>
      <c r="DK14" s="15" t="n">
        <v>2</v>
      </c>
      <c r="DL14" s="15" t="n">
        <v>1262.2397</v>
      </c>
      <c r="DM14" s="15" t="n">
        <v>1303.4396</v>
      </c>
      <c r="DN14" s="15" t="n">
        <v>0</v>
      </c>
      <c r="DO14" s="15" t="n">
        <v>0</v>
      </c>
      <c r="DP14" s="15" t="n">
        <v>0</v>
      </c>
      <c r="DQ14" s="15" t="n">
        <v>1632.304</v>
      </c>
      <c r="DR14" s="15" t="n">
        <v>0</v>
      </c>
      <c r="DS14" s="15" t="n">
        <v>0</v>
      </c>
      <c r="DT14" s="15" t="n">
        <v>0</v>
      </c>
      <c r="DU14" s="15" t="n">
        <v>1215.6016</v>
      </c>
      <c r="DV14" s="15" t="n">
        <v>0</v>
      </c>
      <c r="DW14" s="15" t="n">
        <v>1583.4977</v>
      </c>
      <c r="DX14" s="15" t="n">
        <v>1579.2148</v>
      </c>
      <c r="DY14" s="15" t="n">
        <v>1508.936000000001</v>
      </c>
      <c r="DZ14" s="15" t="n">
        <v>1603.2428</v>
      </c>
      <c r="EG14" s="15" t="n">
        <v>2</v>
      </c>
      <c r="EH14" s="15" t="n">
        <v>1302.2397</v>
      </c>
      <c r="EI14" s="15" t="n">
        <v>1342.4396</v>
      </c>
      <c r="EJ14" s="15" t="n">
        <v>0</v>
      </c>
      <c r="EK14" s="15" t="n">
        <v>0</v>
      </c>
      <c r="EL14" s="15" t="n">
        <v>0</v>
      </c>
      <c r="EM14" s="15" t="n">
        <v>1685.304</v>
      </c>
      <c r="EN14" s="15" t="n">
        <v>0</v>
      </c>
      <c r="EO14" s="15" t="n">
        <v>0</v>
      </c>
      <c r="EP14" s="15" t="n">
        <v>0</v>
      </c>
      <c r="EQ14" s="15" t="n">
        <v>1248.6016</v>
      </c>
      <c r="ER14" s="15" t="n">
        <v>0</v>
      </c>
      <c r="ES14" s="15" t="n">
        <v>1631.4977</v>
      </c>
      <c r="ET14" s="15" t="n">
        <v>1623.2148</v>
      </c>
      <c r="EU14" s="15" t="n">
        <v>1569.936000000001</v>
      </c>
      <c r="EV14" s="15" t="n">
        <v>1653.2428</v>
      </c>
      <c r="FC14" s="15" t="n">
        <v>2</v>
      </c>
      <c r="FD14" s="15" t="n">
        <v>1262.2397</v>
      </c>
      <c r="FE14" s="15" t="n">
        <v>1303.4396</v>
      </c>
      <c r="FF14" s="15" t="n">
        <v>0</v>
      </c>
      <c r="FG14" s="15" t="n">
        <v>0</v>
      </c>
      <c r="FH14" s="15" t="n">
        <v>0</v>
      </c>
      <c r="FI14" s="15" t="n">
        <v>1632.304</v>
      </c>
      <c r="FJ14" s="15" t="n">
        <v>0</v>
      </c>
      <c r="FK14" s="15" t="n">
        <v>0</v>
      </c>
      <c r="FL14" s="15" t="n">
        <v>0</v>
      </c>
      <c r="FM14" s="15" t="n">
        <v>1215.6016</v>
      </c>
      <c r="FN14" s="15" t="n">
        <v>0</v>
      </c>
      <c r="FO14" s="15" t="n">
        <v>1583.4977</v>
      </c>
      <c r="FP14" s="15" t="n">
        <v>1579.2148</v>
      </c>
      <c r="FQ14" s="15" t="n">
        <v>1508.936000000001</v>
      </c>
      <c r="FR14" s="15" t="n">
        <v>1603.2428</v>
      </c>
      <c r="FY14" s="15" t="n">
        <v>2</v>
      </c>
      <c r="FZ14" s="15" t="n">
        <v>1262.2397</v>
      </c>
      <c r="GA14" s="15" t="n">
        <v>1303.4396</v>
      </c>
      <c r="GB14" s="15" t="n">
        <v>0</v>
      </c>
      <c r="GC14" s="15" t="n">
        <v>0</v>
      </c>
      <c r="GD14" s="15" t="n">
        <v>0</v>
      </c>
      <c r="GE14" s="15" t="n">
        <v>1632.304</v>
      </c>
      <c r="GF14" s="15" t="n">
        <v>0</v>
      </c>
      <c r="GG14" s="15" t="n">
        <v>0</v>
      </c>
      <c r="GH14" s="15" t="n">
        <v>0</v>
      </c>
      <c r="GI14" s="15" t="n">
        <v>1215.6016</v>
      </c>
      <c r="GJ14" s="15" t="n">
        <v>0</v>
      </c>
      <c r="GK14" s="15" t="n">
        <v>1583.4977</v>
      </c>
      <c r="GL14" s="15" t="n">
        <v>1579.2148</v>
      </c>
      <c r="GM14" s="15" t="n">
        <v>1508.936000000001</v>
      </c>
      <c r="GN14" s="15" t="n">
        <v>1603.2428</v>
      </c>
      <c r="GU14" s="15" t="n">
        <v>2</v>
      </c>
      <c r="GV14" s="15" t="n">
        <v>1302.2397</v>
      </c>
      <c r="GW14" s="15" t="n">
        <v>1342.4396</v>
      </c>
      <c r="GX14" s="15" t="n">
        <v>0</v>
      </c>
      <c r="GY14" s="15" t="n">
        <v>0</v>
      </c>
      <c r="GZ14" s="15" t="n">
        <v>0</v>
      </c>
      <c r="HA14" s="15" t="n">
        <v>1685.304</v>
      </c>
      <c r="HB14" s="15" t="n">
        <v>0</v>
      </c>
      <c r="HC14" s="15" t="n">
        <v>0</v>
      </c>
      <c r="HD14" s="15" t="n">
        <v>0</v>
      </c>
      <c r="HE14" s="15" t="n">
        <v>1248.6016</v>
      </c>
      <c r="HF14" s="15" t="n">
        <v>0</v>
      </c>
      <c r="HG14" s="15" t="n">
        <v>1631.4977</v>
      </c>
      <c r="HH14" s="15" t="n">
        <v>1623.2148</v>
      </c>
      <c r="HI14" s="15" t="n">
        <v>1569.936000000001</v>
      </c>
      <c r="HJ14" s="15" t="n">
        <v>1653.2428</v>
      </c>
    </row>
    <row r="15">
      <c r="C15" s="15" t="n">
        <v>3</v>
      </c>
      <c r="D15" s="79">
        <f>Suppliers_stock_balance!D214</f>
        <v/>
      </c>
      <c r="E15" s="79">
        <f>Suppliers_stock_balance!E214</f>
        <v/>
      </c>
      <c r="F15" s="79">
        <f>Suppliers_stock_balance!F214</f>
        <v/>
      </c>
      <c r="G15" s="79">
        <f>Suppliers_stock_balance!G214</f>
        <v/>
      </c>
      <c r="H15" s="79">
        <f>Suppliers_stock_balance!H214</f>
        <v/>
      </c>
      <c r="I15" s="79">
        <f>Suppliers_stock_balance!I214</f>
        <v/>
      </c>
      <c r="J15" s="79">
        <f>Suppliers_stock_balance!J214</f>
        <v/>
      </c>
      <c r="K15" s="79">
        <f>Suppliers_stock_balance!K214</f>
        <v/>
      </c>
      <c r="L15" s="79">
        <f>Suppliers_stock_balance!L214</f>
        <v/>
      </c>
      <c r="M15" s="79">
        <f>Suppliers_stock_balance!M214</f>
        <v/>
      </c>
      <c r="N15" s="79">
        <f>Suppliers_stock_balance!N214</f>
        <v/>
      </c>
      <c r="O15" s="79">
        <f>Suppliers_stock_balance!O214</f>
        <v/>
      </c>
      <c r="P15" s="79">
        <f>Suppliers_stock_balance!P214</f>
        <v/>
      </c>
      <c r="Q15" s="79">
        <f>Suppliers_stock_balance!Q214</f>
        <v/>
      </c>
      <c r="R15" s="79">
        <f>Suppliers_stock_balance!R214</f>
        <v/>
      </c>
      <c r="AA15" s="15" t="n">
        <v>3</v>
      </c>
      <c r="AB15" s="15" t="n">
        <v>3540.7346</v>
      </c>
      <c r="AC15" s="15" t="n">
        <v>0</v>
      </c>
      <c r="AD15" s="15" t="n">
        <v>0</v>
      </c>
      <c r="AE15" s="15" t="n">
        <v>1883.162600000001</v>
      </c>
      <c r="AF15" s="15" t="n">
        <v>0</v>
      </c>
      <c r="AG15" s="15" t="n">
        <v>4031.312</v>
      </c>
      <c r="AH15" s="15" t="n">
        <v>2527.3066</v>
      </c>
      <c r="AI15" s="15" t="n">
        <v>0</v>
      </c>
      <c r="AJ15" s="15" t="n">
        <v>0</v>
      </c>
      <c r="AK15" s="15" t="n">
        <v>0</v>
      </c>
      <c r="AL15" s="15" t="n">
        <v>1655.4375</v>
      </c>
      <c r="AM15" s="15" t="n">
        <v>0</v>
      </c>
      <c r="AN15" s="15" t="n">
        <v>0</v>
      </c>
      <c r="AO15" s="15" t="n">
        <v>0</v>
      </c>
      <c r="AP15" s="15" t="n">
        <v>1385.7436</v>
      </c>
      <c r="AW15" s="15" t="n">
        <v>3</v>
      </c>
      <c r="AX15" s="15" t="n">
        <v>3540.7346</v>
      </c>
      <c r="AY15" s="15" t="n">
        <v>0</v>
      </c>
      <c r="AZ15" s="15" t="n">
        <v>0</v>
      </c>
      <c r="BA15" s="15" t="n">
        <v>1883.162600000001</v>
      </c>
      <c r="BB15" s="15" t="n">
        <v>0</v>
      </c>
      <c r="BC15" s="15" t="n">
        <v>4031.312</v>
      </c>
      <c r="BD15" s="15" t="n">
        <v>2527.3066</v>
      </c>
      <c r="BE15" s="15" t="n">
        <v>0</v>
      </c>
      <c r="BF15" s="15" t="n">
        <v>0</v>
      </c>
      <c r="BG15" s="15" t="n">
        <v>0</v>
      </c>
      <c r="BH15" s="15" t="n">
        <v>1655.4375</v>
      </c>
      <c r="BI15" s="15" t="n">
        <v>0</v>
      </c>
      <c r="BJ15" s="15" t="n">
        <v>0</v>
      </c>
      <c r="BK15" s="15" t="n">
        <v>0</v>
      </c>
      <c r="BL15" s="15" t="n">
        <v>1385.7436</v>
      </c>
      <c r="BS15" s="15" t="n">
        <v>3</v>
      </c>
      <c r="BT15" s="15" t="n">
        <v>3602.7346</v>
      </c>
      <c r="BU15" s="15" t="n">
        <v>0</v>
      </c>
      <c r="BV15" s="15" t="n">
        <v>0</v>
      </c>
      <c r="BW15" s="15" t="n">
        <v>1941.162600000001</v>
      </c>
      <c r="BX15" s="15" t="n">
        <v>0</v>
      </c>
      <c r="BY15" s="15" t="n">
        <v>4093.312</v>
      </c>
      <c r="BZ15" s="15" t="n">
        <v>2568.3066</v>
      </c>
      <c r="CA15" s="15" t="n">
        <v>0</v>
      </c>
      <c r="CB15" s="15" t="n">
        <v>0</v>
      </c>
      <c r="CC15" s="15" t="n">
        <v>0</v>
      </c>
      <c r="CD15" s="15" t="n">
        <v>1690.4375</v>
      </c>
      <c r="CE15" s="15" t="n">
        <v>0</v>
      </c>
      <c r="CF15" s="15" t="n">
        <v>0</v>
      </c>
      <c r="CG15" s="15" t="n">
        <v>0</v>
      </c>
      <c r="CH15" s="15" t="n">
        <v>1429.7436</v>
      </c>
      <c r="CO15" s="15" t="n">
        <v>3</v>
      </c>
      <c r="CP15" s="15" t="n">
        <v>3540.7346</v>
      </c>
      <c r="CQ15" s="15" t="n">
        <v>0</v>
      </c>
      <c r="CR15" s="15" t="n">
        <v>0</v>
      </c>
      <c r="CS15" s="15" t="n">
        <v>1883.162600000001</v>
      </c>
      <c r="CT15" s="15" t="n">
        <v>0</v>
      </c>
      <c r="CU15" s="15" t="n">
        <v>4031.312</v>
      </c>
      <c r="CV15" s="15" t="n">
        <v>2527.3066</v>
      </c>
      <c r="CW15" s="15" t="n">
        <v>0</v>
      </c>
      <c r="CX15" s="15" t="n">
        <v>0</v>
      </c>
      <c r="CY15" s="15" t="n">
        <v>0</v>
      </c>
      <c r="CZ15" s="15" t="n">
        <v>1655.4375</v>
      </c>
      <c r="DA15" s="15" t="n">
        <v>0</v>
      </c>
      <c r="DB15" s="15" t="n">
        <v>0</v>
      </c>
      <c r="DC15" s="15" t="n">
        <v>0</v>
      </c>
      <c r="DD15" s="15" t="n">
        <v>1385.7436</v>
      </c>
      <c r="DK15" s="15" t="n">
        <v>3</v>
      </c>
      <c r="DL15" s="15" t="n">
        <v>3540.7346</v>
      </c>
      <c r="DM15" s="15" t="n">
        <v>0</v>
      </c>
      <c r="DN15" s="15" t="n">
        <v>0</v>
      </c>
      <c r="DO15" s="15" t="n">
        <v>1883.162600000001</v>
      </c>
      <c r="DP15" s="15" t="n">
        <v>0</v>
      </c>
      <c r="DQ15" s="15" t="n">
        <v>4031.312</v>
      </c>
      <c r="DR15" s="15" t="n">
        <v>2527.3066</v>
      </c>
      <c r="DS15" s="15" t="n">
        <v>0</v>
      </c>
      <c r="DT15" s="15" t="n">
        <v>0</v>
      </c>
      <c r="DU15" s="15" t="n">
        <v>0</v>
      </c>
      <c r="DV15" s="15" t="n">
        <v>1655.4375</v>
      </c>
      <c r="DW15" s="15" t="n">
        <v>0</v>
      </c>
      <c r="DX15" s="15" t="n">
        <v>0</v>
      </c>
      <c r="DY15" s="15" t="n">
        <v>0</v>
      </c>
      <c r="DZ15" s="15" t="n">
        <v>1385.7436</v>
      </c>
      <c r="EG15" s="15" t="n">
        <v>3</v>
      </c>
      <c r="EH15" s="15" t="n">
        <v>3602.7346</v>
      </c>
      <c r="EI15" s="15" t="n">
        <v>0</v>
      </c>
      <c r="EJ15" s="15" t="n">
        <v>0</v>
      </c>
      <c r="EK15" s="15" t="n">
        <v>1941.162600000001</v>
      </c>
      <c r="EL15" s="15" t="n">
        <v>0</v>
      </c>
      <c r="EM15" s="15" t="n">
        <v>4093.312</v>
      </c>
      <c r="EN15" s="15" t="n">
        <v>2568.3066</v>
      </c>
      <c r="EO15" s="15" t="n">
        <v>0</v>
      </c>
      <c r="EP15" s="15" t="n">
        <v>0</v>
      </c>
      <c r="EQ15" s="15" t="n">
        <v>0</v>
      </c>
      <c r="ER15" s="15" t="n">
        <v>1690.4375</v>
      </c>
      <c r="ES15" s="15" t="n">
        <v>0</v>
      </c>
      <c r="ET15" s="15" t="n">
        <v>0</v>
      </c>
      <c r="EU15" s="15" t="n">
        <v>0</v>
      </c>
      <c r="EV15" s="15" t="n">
        <v>1429.7436</v>
      </c>
      <c r="FC15" s="15" t="n">
        <v>3</v>
      </c>
      <c r="FD15" s="15" t="n">
        <v>3540.7346</v>
      </c>
      <c r="FE15" s="15" t="n">
        <v>0</v>
      </c>
      <c r="FF15" s="15" t="n">
        <v>0</v>
      </c>
      <c r="FG15" s="15" t="n">
        <v>1883.162600000001</v>
      </c>
      <c r="FH15" s="15" t="n">
        <v>0</v>
      </c>
      <c r="FI15" s="15" t="n">
        <v>4031.312</v>
      </c>
      <c r="FJ15" s="15" t="n">
        <v>2527.3066</v>
      </c>
      <c r="FK15" s="15" t="n">
        <v>0</v>
      </c>
      <c r="FL15" s="15" t="n">
        <v>0</v>
      </c>
      <c r="FM15" s="15" t="n">
        <v>0</v>
      </c>
      <c r="FN15" s="15" t="n">
        <v>1655.4375</v>
      </c>
      <c r="FO15" s="15" t="n">
        <v>0</v>
      </c>
      <c r="FP15" s="15" t="n">
        <v>0</v>
      </c>
      <c r="FQ15" s="15" t="n">
        <v>0</v>
      </c>
      <c r="FR15" s="15" t="n">
        <v>1385.7436</v>
      </c>
      <c r="FY15" s="15" t="n">
        <v>3</v>
      </c>
      <c r="FZ15" s="15" t="n">
        <v>3540.7346</v>
      </c>
      <c r="GA15" s="15" t="n">
        <v>0</v>
      </c>
      <c r="GB15" s="15" t="n">
        <v>0</v>
      </c>
      <c r="GC15" s="15" t="n">
        <v>1883.162600000001</v>
      </c>
      <c r="GD15" s="15" t="n">
        <v>0</v>
      </c>
      <c r="GE15" s="15" t="n">
        <v>4031.312</v>
      </c>
      <c r="GF15" s="15" t="n">
        <v>2527.3066</v>
      </c>
      <c r="GG15" s="15" t="n">
        <v>0</v>
      </c>
      <c r="GH15" s="15" t="n">
        <v>0</v>
      </c>
      <c r="GI15" s="15" t="n">
        <v>0</v>
      </c>
      <c r="GJ15" s="15" t="n">
        <v>1655.4375</v>
      </c>
      <c r="GK15" s="15" t="n">
        <v>0</v>
      </c>
      <c r="GL15" s="15" t="n">
        <v>0</v>
      </c>
      <c r="GM15" s="15" t="n">
        <v>0</v>
      </c>
      <c r="GN15" s="15" t="n">
        <v>1385.7436</v>
      </c>
      <c r="GU15" s="15" t="n">
        <v>3</v>
      </c>
      <c r="GV15" s="15" t="n">
        <v>3602.7346</v>
      </c>
      <c r="GW15" s="15" t="n">
        <v>0</v>
      </c>
      <c r="GX15" s="15" t="n">
        <v>0</v>
      </c>
      <c r="GY15" s="15" t="n">
        <v>1941.162600000001</v>
      </c>
      <c r="GZ15" s="15" t="n">
        <v>0</v>
      </c>
      <c r="HA15" s="15" t="n">
        <v>4093.312</v>
      </c>
      <c r="HB15" s="15" t="n">
        <v>2568.3066</v>
      </c>
      <c r="HC15" s="15" t="n">
        <v>0</v>
      </c>
      <c r="HD15" s="15" t="n">
        <v>0</v>
      </c>
      <c r="HE15" s="15" t="n">
        <v>0</v>
      </c>
      <c r="HF15" s="15" t="n">
        <v>1690.4375</v>
      </c>
      <c r="HG15" s="15" t="n">
        <v>0</v>
      </c>
      <c r="HH15" s="15" t="n">
        <v>0</v>
      </c>
      <c r="HI15" s="15" t="n">
        <v>0</v>
      </c>
      <c r="HJ15" s="15" t="n">
        <v>1429.7436</v>
      </c>
    </row>
    <row r="17">
      <c r="C17" s="15" t="inlineStr">
        <is>
          <t>Var(Var(d))</t>
        </is>
      </c>
      <c r="D17" s="15" t="n">
        <v>1</v>
      </c>
      <c r="E17" s="15" t="n">
        <v>2</v>
      </c>
      <c r="F17" s="15" t="n">
        <v>3</v>
      </c>
      <c r="G17" s="15" t="n">
        <v>4</v>
      </c>
      <c r="H17" s="15" t="n">
        <v>5</v>
      </c>
      <c r="I17" s="15" t="n">
        <v>6</v>
      </c>
      <c r="J17" s="15" t="n">
        <v>7</v>
      </c>
      <c r="K17" s="15" t="n">
        <v>8</v>
      </c>
      <c r="L17" s="15" t="n">
        <v>9</v>
      </c>
      <c r="M17" s="15" t="n">
        <v>10</v>
      </c>
      <c r="N17" s="15" t="n">
        <v>11</v>
      </c>
      <c r="O17" s="15" t="n">
        <v>12</v>
      </c>
      <c r="P17" s="15" t="n">
        <v>13</v>
      </c>
      <c r="Q17" s="15" t="n">
        <v>14</v>
      </c>
      <c r="R17" s="15" t="n">
        <v>15</v>
      </c>
      <c r="AA17" s="15" t="inlineStr">
        <is>
          <t>Var(Var(d))</t>
        </is>
      </c>
      <c r="AB17" s="15" t="n">
        <v>1</v>
      </c>
      <c r="AC17" s="15" t="n">
        <v>2</v>
      </c>
      <c r="AD17" s="15" t="n">
        <v>3</v>
      </c>
      <c r="AE17" s="15" t="n">
        <v>4</v>
      </c>
      <c r="AF17" s="15" t="n">
        <v>5</v>
      </c>
      <c r="AG17" s="15" t="n">
        <v>6</v>
      </c>
      <c r="AH17" s="15" t="n">
        <v>7</v>
      </c>
      <c r="AI17" s="15" t="n">
        <v>8</v>
      </c>
      <c r="AJ17" s="15" t="n">
        <v>9</v>
      </c>
      <c r="AK17" s="15" t="n">
        <v>10</v>
      </c>
      <c r="AL17" s="15" t="n">
        <v>11</v>
      </c>
      <c r="AM17" s="15" t="n">
        <v>12</v>
      </c>
      <c r="AN17" s="15" t="n">
        <v>13</v>
      </c>
      <c r="AO17" s="15" t="n">
        <v>14</v>
      </c>
      <c r="AP17" s="15" t="n">
        <v>15</v>
      </c>
      <c r="AW17" s="15" t="inlineStr">
        <is>
          <t>Var(Var(d))</t>
        </is>
      </c>
      <c r="AX17" s="15" t="n">
        <v>1</v>
      </c>
      <c r="AY17" s="15" t="n">
        <v>2</v>
      </c>
      <c r="AZ17" s="15" t="n">
        <v>3</v>
      </c>
      <c r="BA17" s="15" t="n">
        <v>4</v>
      </c>
      <c r="BB17" s="15" t="n">
        <v>5</v>
      </c>
      <c r="BC17" s="15" t="n">
        <v>6</v>
      </c>
      <c r="BD17" s="15" t="n">
        <v>7</v>
      </c>
      <c r="BE17" s="15" t="n">
        <v>8</v>
      </c>
      <c r="BF17" s="15" t="n">
        <v>9</v>
      </c>
      <c r="BG17" s="15" t="n">
        <v>10</v>
      </c>
      <c r="BH17" s="15" t="n">
        <v>11</v>
      </c>
      <c r="BI17" s="15" t="n">
        <v>12</v>
      </c>
      <c r="BJ17" s="15" t="n">
        <v>13</v>
      </c>
      <c r="BK17" s="15" t="n">
        <v>14</v>
      </c>
      <c r="BL17" s="15" t="n">
        <v>15</v>
      </c>
      <c r="BS17" s="15" t="inlineStr">
        <is>
          <t>Var(Var(d))</t>
        </is>
      </c>
      <c r="BT17" s="15" t="n">
        <v>1</v>
      </c>
      <c r="BU17" s="15" t="n">
        <v>2</v>
      </c>
      <c r="BV17" s="15" t="n">
        <v>3</v>
      </c>
      <c r="BW17" s="15" t="n">
        <v>4</v>
      </c>
      <c r="BX17" s="15" t="n">
        <v>5</v>
      </c>
      <c r="BY17" s="15" t="n">
        <v>6</v>
      </c>
      <c r="BZ17" s="15" t="n">
        <v>7</v>
      </c>
      <c r="CA17" s="15" t="n">
        <v>8</v>
      </c>
      <c r="CB17" s="15" t="n">
        <v>9</v>
      </c>
      <c r="CC17" s="15" t="n">
        <v>10</v>
      </c>
      <c r="CD17" s="15" t="n">
        <v>11</v>
      </c>
      <c r="CE17" s="15" t="n">
        <v>12</v>
      </c>
      <c r="CF17" s="15" t="n">
        <v>13</v>
      </c>
      <c r="CG17" s="15" t="n">
        <v>14</v>
      </c>
      <c r="CH17" s="15" t="n">
        <v>15</v>
      </c>
      <c r="CO17" s="15" t="inlineStr">
        <is>
          <t>Var(Var(d))</t>
        </is>
      </c>
      <c r="CP17" s="15" t="n">
        <v>1</v>
      </c>
      <c r="CQ17" s="15" t="n">
        <v>2</v>
      </c>
      <c r="CR17" s="15" t="n">
        <v>3</v>
      </c>
      <c r="CS17" s="15" t="n">
        <v>4</v>
      </c>
      <c r="CT17" s="15" t="n">
        <v>5</v>
      </c>
      <c r="CU17" s="15" t="n">
        <v>6</v>
      </c>
      <c r="CV17" s="15" t="n">
        <v>7</v>
      </c>
      <c r="CW17" s="15" t="n">
        <v>8</v>
      </c>
      <c r="CX17" s="15" t="n">
        <v>9</v>
      </c>
      <c r="CY17" s="15" t="n">
        <v>10</v>
      </c>
      <c r="CZ17" s="15" t="n">
        <v>11</v>
      </c>
      <c r="DA17" s="15" t="n">
        <v>12</v>
      </c>
      <c r="DB17" s="15" t="n">
        <v>13</v>
      </c>
      <c r="DC17" s="15" t="n">
        <v>14</v>
      </c>
      <c r="DD17" s="15" t="n">
        <v>15</v>
      </c>
      <c r="DK17" s="15" t="inlineStr">
        <is>
          <t>Var(Var(d))</t>
        </is>
      </c>
      <c r="DL17" s="15" t="n">
        <v>1</v>
      </c>
      <c r="DM17" s="15" t="n">
        <v>2</v>
      </c>
      <c r="DN17" s="15" t="n">
        <v>3</v>
      </c>
      <c r="DO17" s="15" t="n">
        <v>4</v>
      </c>
      <c r="DP17" s="15" t="n">
        <v>5</v>
      </c>
      <c r="DQ17" s="15" t="n">
        <v>6</v>
      </c>
      <c r="DR17" s="15" t="n">
        <v>7</v>
      </c>
      <c r="DS17" s="15" t="n">
        <v>8</v>
      </c>
      <c r="DT17" s="15" t="n">
        <v>9</v>
      </c>
      <c r="DU17" s="15" t="n">
        <v>10</v>
      </c>
      <c r="DV17" s="15" t="n">
        <v>11</v>
      </c>
      <c r="DW17" s="15" t="n">
        <v>12</v>
      </c>
      <c r="DX17" s="15" t="n">
        <v>13</v>
      </c>
      <c r="DY17" s="15" t="n">
        <v>14</v>
      </c>
      <c r="DZ17" s="15" t="n">
        <v>15</v>
      </c>
      <c r="EG17" s="15" t="inlineStr">
        <is>
          <t>Var(Var(d))</t>
        </is>
      </c>
      <c r="EH17" s="15" t="n">
        <v>1</v>
      </c>
      <c r="EI17" s="15" t="n">
        <v>2</v>
      </c>
      <c r="EJ17" s="15" t="n">
        <v>3</v>
      </c>
      <c r="EK17" s="15" t="n">
        <v>4</v>
      </c>
      <c r="EL17" s="15" t="n">
        <v>5</v>
      </c>
      <c r="EM17" s="15" t="n">
        <v>6</v>
      </c>
      <c r="EN17" s="15" t="n">
        <v>7</v>
      </c>
      <c r="EO17" s="15" t="n">
        <v>8</v>
      </c>
      <c r="EP17" s="15" t="n">
        <v>9</v>
      </c>
      <c r="EQ17" s="15" t="n">
        <v>10</v>
      </c>
      <c r="ER17" s="15" t="n">
        <v>11</v>
      </c>
      <c r="ES17" s="15" t="n">
        <v>12</v>
      </c>
      <c r="ET17" s="15" t="n">
        <v>13</v>
      </c>
      <c r="EU17" s="15" t="n">
        <v>14</v>
      </c>
      <c r="EV17" s="15" t="n">
        <v>15</v>
      </c>
      <c r="FC17" s="15" t="inlineStr">
        <is>
          <t>Var(Var(d))</t>
        </is>
      </c>
      <c r="FD17" s="15" t="n">
        <v>1</v>
      </c>
      <c r="FE17" s="15" t="n">
        <v>2</v>
      </c>
      <c r="FF17" s="15" t="n">
        <v>3</v>
      </c>
      <c r="FG17" s="15" t="n">
        <v>4</v>
      </c>
      <c r="FH17" s="15" t="n">
        <v>5</v>
      </c>
      <c r="FI17" s="15" t="n">
        <v>6</v>
      </c>
      <c r="FJ17" s="15" t="n">
        <v>7</v>
      </c>
      <c r="FK17" s="15" t="n">
        <v>8</v>
      </c>
      <c r="FL17" s="15" t="n">
        <v>9</v>
      </c>
      <c r="FM17" s="15" t="n">
        <v>10</v>
      </c>
      <c r="FN17" s="15" t="n">
        <v>11</v>
      </c>
      <c r="FO17" s="15" t="n">
        <v>12</v>
      </c>
      <c r="FP17" s="15" t="n">
        <v>13</v>
      </c>
      <c r="FQ17" s="15" t="n">
        <v>14</v>
      </c>
      <c r="FR17" s="15" t="n">
        <v>15</v>
      </c>
      <c r="FY17" s="15" t="inlineStr">
        <is>
          <t>Var(Var(d))</t>
        </is>
      </c>
      <c r="FZ17" s="15" t="n">
        <v>1</v>
      </c>
      <c r="GA17" s="15" t="n">
        <v>2</v>
      </c>
      <c r="GB17" s="15" t="n">
        <v>3</v>
      </c>
      <c r="GC17" s="15" t="n">
        <v>4</v>
      </c>
      <c r="GD17" s="15" t="n">
        <v>5</v>
      </c>
      <c r="GE17" s="15" t="n">
        <v>6</v>
      </c>
      <c r="GF17" s="15" t="n">
        <v>7</v>
      </c>
      <c r="GG17" s="15" t="n">
        <v>8</v>
      </c>
      <c r="GH17" s="15" t="n">
        <v>9</v>
      </c>
      <c r="GI17" s="15" t="n">
        <v>10</v>
      </c>
      <c r="GJ17" s="15" t="n">
        <v>11</v>
      </c>
      <c r="GK17" s="15" t="n">
        <v>12</v>
      </c>
      <c r="GL17" s="15" t="n">
        <v>13</v>
      </c>
      <c r="GM17" s="15" t="n">
        <v>14</v>
      </c>
      <c r="GN17" s="15" t="n">
        <v>15</v>
      </c>
      <c r="GU17" s="15" t="inlineStr">
        <is>
          <t>Var(Var(d))</t>
        </is>
      </c>
      <c r="GV17" s="15" t="n">
        <v>1</v>
      </c>
      <c r="GW17" s="15" t="n">
        <v>2</v>
      </c>
      <c r="GX17" s="15" t="n">
        <v>3</v>
      </c>
      <c r="GY17" s="15" t="n">
        <v>4</v>
      </c>
      <c r="GZ17" s="15" t="n">
        <v>5</v>
      </c>
      <c r="HA17" s="15" t="n">
        <v>6</v>
      </c>
      <c r="HB17" s="15" t="n">
        <v>7</v>
      </c>
      <c r="HC17" s="15" t="n">
        <v>8</v>
      </c>
      <c r="HD17" s="15" t="n">
        <v>9</v>
      </c>
      <c r="HE17" s="15" t="n">
        <v>10</v>
      </c>
      <c r="HF17" s="15" t="n">
        <v>11</v>
      </c>
      <c r="HG17" s="15" t="n">
        <v>12</v>
      </c>
      <c r="HH17" s="15" t="n">
        <v>13</v>
      </c>
      <c r="HI17" s="15" t="n">
        <v>14</v>
      </c>
      <c r="HJ17" s="15" t="n">
        <v>15</v>
      </c>
    </row>
    <row r="18">
      <c r="C18" s="15" t="n">
        <v>1</v>
      </c>
      <c r="D18" s="18">
        <f>Supp_Fourth_central_moment_5var!D18</f>
        <v/>
      </c>
      <c r="E18" s="18">
        <f>Supp_Fourth_central_moment_5var!E18</f>
        <v/>
      </c>
      <c r="F18" s="18">
        <f>Supp_Fourth_central_moment_5var!F18</f>
        <v/>
      </c>
      <c r="G18" s="18">
        <f>Supp_Fourth_central_moment_5var!G18</f>
        <v/>
      </c>
      <c r="H18" s="18">
        <f>Supp_Fourth_central_moment_5var!H18</f>
        <v/>
      </c>
      <c r="I18" s="18">
        <f>Supp_Fourth_central_moment_5var!I18</f>
        <v/>
      </c>
      <c r="J18" s="18">
        <f>Supp_Fourth_central_moment_5var!J18</f>
        <v/>
      </c>
      <c r="K18" s="18">
        <f>Supp_Fourth_central_moment_5var!K18</f>
        <v/>
      </c>
      <c r="L18" s="18">
        <f>Supp_Fourth_central_moment_5var!L18</f>
        <v/>
      </c>
      <c r="M18" s="18">
        <f>Supp_Fourth_central_moment_5var!M18</f>
        <v/>
      </c>
      <c r="N18" s="18">
        <f>Supp_Fourth_central_moment_5var!N18</f>
        <v/>
      </c>
      <c r="O18" s="18">
        <f>Supp_Fourth_central_moment_5var!O18</f>
        <v/>
      </c>
      <c r="P18" s="18">
        <f>Supp_Fourth_central_moment_5var!P18</f>
        <v/>
      </c>
      <c r="Q18" s="18">
        <f>Supp_Fourth_central_moment_5var!Q18</f>
        <v/>
      </c>
      <c r="R18" s="18">
        <f>Supp_Fourth_central_moment_5var!R18</f>
        <v/>
      </c>
      <c r="T18" s="39">
        <f>SUM(D18:R20)</f>
        <v/>
      </c>
      <c r="U18" s="39" t="n">
        <v>898105641.8518001</v>
      </c>
      <c r="V18" s="39">
        <f>T18-U18</f>
        <v/>
      </c>
      <c r="W18" s="39" t="n"/>
      <c r="X18" s="39" t="n"/>
      <c r="Y18" s="18" t="n"/>
      <c r="Z18" s="18" t="n"/>
      <c r="AA18" s="18" t="n">
        <v>1</v>
      </c>
      <c r="AB18" s="18" t="n">
        <v>2844775.648</v>
      </c>
      <c r="AC18" s="18" t="n">
        <v>7742075.1523</v>
      </c>
      <c r="AD18" s="18" t="n">
        <v>2229641.3556</v>
      </c>
      <c r="AE18" s="18" t="n">
        <v>2432768.1457</v>
      </c>
      <c r="AF18" s="18" t="n">
        <v>42027317.0752</v>
      </c>
      <c r="AG18" s="18" t="n">
        <v>9873756.569</v>
      </c>
      <c r="AH18" s="18" t="n">
        <v>2163246.6789</v>
      </c>
      <c r="AI18" s="18" t="n">
        <v>45899043.7506</v>
      </c>
      <c r="AJ18" s="18" t="n">
        <v>26555973.0442</v>
      </c>
      <c r="AK18" s="18" t="n">
        <v>12428393.0037</v>
      </c>
      <c r="AL18" s="18" t="n">
        <v>37330295.6253</v>
      </c>
      <c r="AM18" s="18" t="n">
        <v>2556127.8876</v>
      </c>
      <c r="AN18" s="15" t="n">
        <v>9749356.5012</v>
      </c>
      <c r="AO18" s="15" t="n">
        <v>8597118.3073</v>
      </c>
      <c r="AP18" s="15" t="n">
        <v>85374522.7282</v>
      </c>
      <c r="AW18" s="15" t="n">
        <v>1</v>
      </c>
      <c r="AX18" s="15" t="n">
        <v>2844775.648</v>
      </c>
      <c r="AY18" s="15" t="n">
        <v>7742075.1523</v>
      </c>
      <c r="AZ18" s="15" t="n">
        <v>2229641.3556</v>
      </c>
      <c r="BA18" s="15" t="n">
        <v>2432768.1457</v>
      </c>
      <c r="BB18" s="15" t="n">
        <v>42027317.0752</v>
      </c>
      <c r="BC18" s="15" t="n">
        <v>9873756.569</v>
      </c>
      <c r="BD18" s="15" t="n">
        <v>2163246.6789</v>
      </c>
      <c r="BE18" s="15" t="n">
        <v>45899043.7506</v>
      </c>
      <c r="BF18" s="15" t="n">
        <v>26555973.0442</v>
      </c>
      <c r="BG18" s="15" t="n">
        <v>12428393.0037</v>
      </c>
      <c r="BH18" s="15" t="n">
        <v>37330295.6253</v>
      </c>
      <c r="BI18" s="15" t="n">
        <v>2556127.8876</v>
      </c>
      <c r="BJ18" s="15" t="n">
        <v>9749356.5012</v>
      </c>
      <c r="BK18" s="15" t="n">
        <v>8597118.3073</v>
      </c>
      <c r="BL18" s="15" t="n">
        <v>85374522.7282</v>
      </c>
      <c r="BS18" s="15" t="n">
        <v>1</v>
      </c>
      <c r="BT18" s="15" t="n">
        <v>2844775.648</v>
      </c>
      <c r="BU18" s="15" t="n">
        <v>7742075.1523</v>
      </c>
      <c r="BV18" s="15" t="n">
        <v>2229641.3556</v>
      </c>
      <c r="BW18" s="15" t="n">
        <v>2432768.1457</v>
      </c>
      <c r="BX18" s="15" t="n">
        <v>42027317.0752</v>
      </c>
      <c r="BY18" s="15" t="n">
        <v>9873756.569</v>
      </c>
      <c r="BZ18" s="15" t="n">
        <v>2163246.6789</v>
      </c>
      <c r="CA18" s="15" t="n">
        <v>45899043.7506</v>
      </c>
      <c r="CB18" s="15" t="n">
        <v>26555973.0442</v>
      </c>
      <c r="CC18" s="15" t="n">
        <v>12428393.0037</v>
      </c>
      <c r="CD18" s="15" t="n">
        <v>37330295.6253</v>
      </c>
      <c r="CE18" s="15" t="n">
        <v>2556127.8876</v>
      </c>
      <c r="CF18" s="15" t="n">
        <v>9749356.5012</v>
      </c>
      <c r="CG18" s="15" t="n">
        <v>8597118.3073</v>
      </c>
      <c r="CH18" s="15" t="n">
        <v>85374522.7282</v>
      </c>
      <c r="CO18" s="15" t="n">
        <v>1</v>
      </c>
      <c r="CP18" s="15" t="n">
        <v>2844775.648</v>
      </c>
      <c r="CQ18" s="15" t="n">
        <v>7742075.1523</v>
      </c>
      <c r="CR18" s="15" t="n">
        <v>2229641.3556</v>
      </c>
      <c r="CS18" s="15" t="n">
        <v>2432768.1457</v>
      </c>
      <c r="CT18" s="15" t="n">
        <v>42027317.0752</v>
      </c>
      <c r="CU18" s="15" t="n">
        <v>9873756.569</v>
      </c>
      <c r="CV18" s="15" t="n">
        <v>2163246.6789</v>
      </c>
      <c r="CW18" s="15" t="n">
        <v>45899043.7506</v>
      </c>
      <c r="CX18" s="15" t="n">
        <v>26555973.0442</v>
      </c>
      <c r="CY18" s="15" t="n">
        <v>12428393.0037</v>
      </c>
      <c r="CZ18" s="15" t="n">
        <v>37330295.6253</v>
      </c>
      <c r="DA18" s="15" t="n">
        <v>2556127.8876</v>
      </c>
      <c r="DB18" s="15" t="n">
        <v>9749356.5012</v>
      </c>
      <c r="DC18" s="15" t="n">
        <v>8597118.3073</v>
      </c>
      <c r="DD18" s="15" t="n">
        <v>85374522.7282</v>
      </c>
      <c r="DK18" s="15" t="n">
        <v>1</v>
      </c>
      <c r="DL18" s="15" t="n">
        <v>2844775.648</v>
      </c>
      <c r="DM18" s="15" t="n">
        <v>7742075.1523</v>
      </c>
      <c r="DN18" s="15" t="n">
        <v>2229641.3556</v>
      </c>
      <c r="DO18" s="15" t="n">
        <v>2432768.1457</v>
      </c>
      <c r="DP18" s="15" t="n">
        <v>42027317.0752</v>
      </c>
      <c r="DQ18" s="15" t="n">
        <v>9873756.569</v>
      </c>
      <c r="DR18" s="15" t="n">
        <v>2163246.6789</v>
      </c>
      <c r="DS18" s="15" t="n">
        <v>45899043.7506</v>
      </c>
      <c r="DT18" s="15" t="n">
        <v>26555973.0442</v>
      </c>
      <c r="DU18" s="15" t="n">
        <v>12428393.0037</v>
      </c>
      <c r="DV18" s="15" t="n">
        <v>37330295.6253</v>
      </c>
      <c r="DW18" s="15" t="n">
        <v>2556127.8876</v>
      </c>
      <c r="DX18" s="15" t="n">
        <v>9749356.5012</v>
      </c>
      <c r="DY18" s="15" t="n">
        <v>8597118.3073</v>
      </c>
      <c r="DZ18" s="15" t="n">
        <v>85374522.7282</v>
      </c>
      <c r="EG18" s="15" t="n">
        <v>1</v>
      </c>
      <c r="EH18" s="15" t="n">
        <v>2844775.648</v>
      </c>
      <c r="EI18" s="15" t="n">
        <v>7742075.1523</v>
      </c>
      <c r="EJ18" s="15" t="n">
        <v>2229641.3556</v>
      </c>
      <c r="EK18" s="15" t="n">
        <v>2432768.1457</v>
      </c>
      <c r="EL18" s="15" t="n">
        <v>42027317.0752</v>
      </c>
      <c r="EM18" s="15" t="n">
        <v>9873756.569</v>
      </c>
      <c r="EN18" s="15" t="n">
        <v>2163246.6789</v>
      </c>
      <c r="EO18" s="15" t="n">
        <v>45899043.7506</v>
      </c>
      <c r="EP18" s="15" t="n">
        <v>26555973.0442</v>
      </c>
      <c r="EQ18" s="15" t="n">
        <v>12428393.0037</v>
      </c>
      <c r="ER18" s="15" t="n">
        <v>37330295.6253</v>
      </c>
      <c r="ES18" s="15" t="n">
        <v>2556127.8876</v>
      </c>
      <c r="ET18" s="15" t="n">
        <v>9749356.5012</v>
      </c>
      <c r="EU18" s="15" t="n">
        <v>8597118.3073</v>
      </c>
      <c r="EV18" s="15" t="n">
        <v>85374522.7282</v>
      </c>
      <c r="FC18" s="15" t="n">
        <v>1</v>
      </c>
      <c r="FD18" s="15" t="n">
        <v>2844775.648</v>
      </c>
      <c r="FE18" s="15" t="n">
        <v>7742075.1523</v>
      </c>
      <c r="FF18" s="15" t="n">
        <v>2229641.3556</v>
      </c>
      <c r="FG18" s="15" t="n">
        <v>2432768.1457</v>
      </c>
      <c r="FH18" s="15" t="n">
        <v>42027317.0752</v>
      </c>
      <c r="FI18" s="15" t="n">
        <v>9873756.569</v>
      </c>
      <c r="FJ18" s="15" t="n">
        <v>2163246.6789</v>
      </c>
      <c r="FK18" s="15" t="n">
        <v>45899043.7506</v>
      </c>
      <c r="FL18" s="15" t="n">
        <v>26555973.0442</v>
      </c>
      <c r="FM18" s="15" t="n">
        <v>12428393.0037</v>
      </c>
      <c r="FN18" s="15" t="n">
        <v>37330295.6253</v>
      </c>
      <c r="FO18" s="15" t="n">
        <v>2556127.8876</v>
      </c>
      <c r="FP18" s="15" t="n">
        <v>9749356.5012</v>
      </c>
      <c r="FQ18" s="15" t="n">
        <v>8597118.3073</v>
      </c>
      <c r="FR18" s="15" t="n">
        <v>85374522.7282</v>
      </c>
      <c r="FY18" s="15" t="n">
        <v>1</v>
      </c>
      <c r="FZ18" s="15" t="n">
        <v>2844775.648</v>
      </c>
      <c r="GA18" s="15" t="n">
        <v>7742075.1523</v>
      </c>
      <c r="GB18" s="15" t="n">
        <v>2229641.3556</v>
      </c>
      <c r="GC18" s="15" t="n">
        <v>2432768.1457</v>
      </c>
      <c r="GD18" s="15" t="n">
        <v>42027317.0752</v>
      </c>
      <c r="GE18" s="15" t="n">
        <v>9873756.569</v>
      </c>
      <c r="GF18" s="15" t="n">
        <v>2163246.6789</v>
      </c>
      <c r="GG18" s="15" t="n">
        <v>45899043.7506</v>
      </c>
      <c r="GH18" s="15" t="n">
        <v>26555973.0442</v>
      </c>
      <c r="GI18" s="15" t="n">
        <v>12428393.0037</v>
      </c>
      <c r="GJ18" s="15" t="n">
        <v>37330295.6253</v>
      </c>
      <c r="GK18" s="15" t="n">
        <v>2556127.8876</v>
      </c>
      <c r="GL18" s="15" t="n">
        <v>9749356.5012</v>
      </c>
      <c r="GM18" s="15" t="n">
        <v>8597118.3073</v>
      </c>
      <c r="GN18" s="15" t="n">
        <v>85374522.7282</v>
      </c>
      <c r="GU18" s="15" t="n">
        <v>1</v>
      </c>
      <c r="GV18" s="15" t="n">
        <v>2844775.648</v>
      </c>
      <c r="GW18" s="15" t="n">
        <v>7742075.1523</v>
      </c>
      <c r="GX18" s="15" t="n">
        <v>2229641.3556</v>
      </c>
      <c r="GY18" s="15" t="n">
        <v>2432768.1457</v>
      </c>
      <c r="GZ18" s="15" t="n">
        <v>42027317.0752</v>
      </c>
      <c r="HA18" s="15" t="n">
        <v>9873756.569</v>
      </c>
      <c r="HB18" s="15" t="n">
        <v>2163246.6789</v>
      </c>
      <c r="HC18" s="15" t="n">
        <v>45899043.7506</v>
      </c>
      <c r="HD18" s="15" t="n">
        <v>26555973.0442</v>
      </c>
      <c r="HE18" s="15" t="n">
        <v>12428393.0037</v>
      </c>
      <c r="HF18" s="15" t="n">
        <v>37330295.6253</v>
      </c>
      <c r="HG18" s="15" t="n">
        <v>2556127.8876</v>
      </c>
      <c r="HH18" s="15" t="n">
        <v>9749356.5012</v>
      </c>
      <c r="HI18" s="15" t="n">
        <v>8597118.3073</v>
      </c>
      <c r="HJ18" s="15" t="n">
        <v>85374522.7282</v>
      </c>
    </row>
    <row r="19">
      <c r="C19" s="15" t="n">
        <v>2</v>
      </c>
      <c r="D19" s="18">
        <f>Supp_Fourth_central_moment_5var!D19</f>
        <v/>
      </c>
      <c r="E19" s="18">
        <f>Supp_Fourth_central_moment_5var!E19</f>
        <v/>
      </c>
      <c r="F19" s="18">
        <f>Supp_Fourth_central_moment_5var!F19</f>
        <v/>
      </c>
      <c r="G19" s="18">
        <f>Supp_Fourth_central_moment_5var!G19</f>
        <v/>
      </c>
      <c r="H19" s="18">
        <f>Supp_Fourth_central_moment_5var!H19</f>
        <v/>
      </c>
      <c r="I19" s="18">
        <f>Supp_Fourth_central_moment_5var!I19</f>
        <v/>
      </c>
      <c r="J19" s="18">
        <f>Supp_Fourth_central_moment_5var!J19</f>
        <v/>
      </c>
      <c r="K19" s="18">
        <f>Supp_Fourth_central_moment_5var!K19</f>
        <v/>
      </c>
      <c r="L19" s="18">
        <f>Supp_Fourth_central_moment_5var!L19</f>
        <v/>
      </c>
      <c r="M19" s="18">
        <f>Supp_Fourth_central_moment_5var!M19</f>
        <v/>
      </c>
      <c r="N19" s="18">
        <f>Supp_Fourth_central_moment_5var!N19</f>
        <v/>
      </c>
      <c r="O19" s="18">
        <f>Supp_Fourth_central_moment_5var!O19</f>
        <v/>
      </c>
      <c r="P19" s="18">
        <f>Supp_Fourth_central_moment_5var!P19</f>
        <v/>
      </c>
      <c r="Q19" s="18">
        <f>Supp_Fourth_central_moment_5var!Q19</f>
        <v/>
      </c>
      <c r="R19" s="18">
        <f>Supp_Fourth_central_moment_5var!R19</f>
        <v/>
      </c>
      <c r="Y19" s="18" t="n"/>
      <c r="Z19" s="18" t="n"/>
      <c r="AA19" s="18" t="n">
        <v>2</v>
      </c>
      <c r="AB19" s="18" t="n">
        <v>16442955.1007</v>
      </c>
      <c r="AC19" s="18" t="n">
        <v>9026290.018999999</v>
      </c>
      <c r="AD19" s="18" t="n">
        <v>4855892.0704</v>
      </c>
      <c r="AE19" s="18" t="n">
        <v>13808857.8907</v>
      </c>
      <c r="AF19" s="18" t="n">
        <v>25179162.5195</v>
      </c>
      <c r="AG19" s="18" t="n">
        <v>34894600.3279</v>
      </c>
      <c r="AH19" s="18" t="n">
        <v>9244423.716600001</v>
      </c>
      <c r="AI19" s="18" t="n">
        <v>2977286.9148</v>
      </c>
      <c r="AJ19" s="18" t="n">
        <v>8318899.5452</v>
      </c>
      <c r="AK19" s="18" t="n">
        <v>8485006.634199999</v>
      </c>
      <c r="AL19" s="18" t="n">
        <v>5997213.4071</v>
      </c>
      <c r="AM19" s="18" t="n">
        <v>26367470.3085</v>
      </c>
      <c r="AN19" s="15" t="n">
        <v>11445921.093</v>
      </c>
      <c r="AO19" s="15" t="n">
        <v>45386782.4361</v>
      </c>
      <c r="AP19" s="15" t="n">
        <v>38903315.0531</v>
      </c>
      <c r="AW19" s="15" t="n">
        <v>2</v>
      </c>
      <c r="AX19" s="15" t="n">
        <v>16442955.1007</v>
      </c>
      <c r="AY19" s="15" t="n">
        <v>9026290.018999999</v>
      </c>
      <c r="AZ19" s="15" t="n">
        <v>4855892.0704</v>
      </c>
      <c r="BA19" s="15" t="n">
        <v>13808857.8907</v>
      </c>
      <c r="BB19" s="15" t="n">
        <v>25179162.5195</v>
      </c>
      <c r="BC19" s="15" t="n">
        <v>34894600.3279</v>
      </c>
      <c r="BD19" s="15" t="n">
        <v>9244423.716600001</v>
      </c>
      <c r="BE19" s="15" t="n">
        <v>2977286.9148</v>
      </c>
      <c r="BF19" s="15" t="n">
        <v>8318899.5452</v>
      </c>
      <c r="BG19" s="15" t="n">
        <v>8485006.634199999</v>
      </c>
      <c r="BH19" s="15" t="n">
        <v>5997213.4071</v>
      </c>
      <c r="BI19" s="15" t="n">
        <v>26367470.3085</v>
      </c>
      <c r="BJ19" s="15" t="n">
        <v>11445921.093</v>
      </c>
      <c r="BK19" s="15" t="n">
        <v>45386782.4361</v>
      </c>
      <c r="BL19" s="15" t="n">
        <v>38903315.0531</v>
      </c>
      <c r="BS19" s="15" t="n">
        <v>2</v>
      </c>
      <c r="BT19" s="15" t="n">
        <v>16442955.1007</v>
      </c>
      <c r="BU19" s="15" t="n">
        <v>9026290.018999999</v>
      </c>
      <c r="BV19" s="15" t="n">
        <v>4855892.0704</v>
      </c>
      <c r="BW19" s="15" t="n">
        <v>13808857.8907</v>
      </c>
      <c r="BX19" s="15" t="n">
        <v>25179162.5195</v>
      </c>
      <c r="BY19" s="15" t="n">
        <v>34894600.3279</v>
      </c>
      <c r="BZ19" s="15" t="n">
        <v>9244423.716600001</v>
      </c>
      <c r="CA19" s="15" t="n">
        <v>2977286.9148</v>
      </c>
      <c r="CB19" s="15" t="n">
        <v>8318899.5452</v>
      </c>
      <c r="CC19" s="15" t="n">
        <v>8485006.634199999</v>
      </c>
      <c r="CD19" s="15" t="n">
        <v>5997213.4071</v>
      </c>
      <c r="CE19" s="15" t="n">
        <v>26367470.3085</v>
      </c>
      <c r="CF19" s="15" t="n">
        <v>11445921.093</v>
      </c>
      <c r="CG19" s="15" t="n">
        <v>45386782.4361</v>
      </c>
      <c r="CH19" s="15" t="n">
        <v>38903315.0531</v>
      </c>
      <c r="CO19" s="15" t="n">
        <v>2</v>
      </c>
      <c r="CP19" s="15" t="n">
        <v>16442955.1007</v>
      </c>
      <c r="CQ19" s="15" t="n">
        <v>9026290.018999999</v>
      </c>
      <c r="CR19" s="15" t="n">
        <v>4855892.0704</v>
      </c>
      <c r="CS19" s="15" t="n">
        <v>13808857.8907</v>
      </c>
      <c r="CT19" s="15" t="n">
        <v>25179162.5195</v>
      </c>
      <c r="CU19" s="15" t="n">
        <v>34894600.3279</v>
      </c>
      <c r="CV19" s="15" t="n">
        <v>9244423.716600001</v>
      </c>
      <c r="CW19" s="15" t="n">
        <v>2977286.9148</v>
      </c>
      <c r="CX19" s="15" t="n">
        <v>8318899.5452</v>
      </c>
      <c r="CY19" s="15" t="n">
        <v>8485006.634199999</v>
      </c>
      <c r="CZ19" s="15" t="n">
        <v>5997213.4071</v>
      </c>
      <c r="DA19" s="15" t="n">
        <v>26367470.3085</v>
      </c>
      <c r="DB19" s="15" t="n">
        <v>11445921.093</v>
      </c>
      <c r="DC19" s="15" t="n">
        <v>45386782.4361</v>
      </c>
      <c r="DD19" s="15" t="n">
        <v>38903315.0531</v>
      </c>
      <c r="DK19" s="15" t="n">
        <v>2</v>
      </c>
      <c r="DL19" s="15" t="n">
        <v>16442955.1007</v>
      </c>
      <c r="DM19" s="15" t="n">
        <v>9026290.018999999</v>
      </c>
      <c r="DN19" s="15" t="n">
        <v>4855892.0704</v>
      </c>
      <c r="DO19" s="15" t="n">
        <v>13808857.8907</v>
      </c>
      <c r="DP19" s="15" t="n">
        <v>25179162.5195</v>
      </c>
      <c r="DQ19" s="15" t="n">
        <v>34894600.3279</v>
      </c>
      <c r="DR19" s="15" t="n">
        <v>9244423.716600001</v>
      </c>
      <c r="DS19" s="15" t="n">
        <v>2977286.9148</v>
      </c>
      <c r="DT19" s="15" t="n">
        <v>8318899.5452</v>
      </c>
      <c r="DU19" s="15" t="n">
        <v>8485006.634199999</v>
      </c>
      <c r="DV19" s="15" t="n">
        <v>5997213.4071</v>
      </c>
      <c r="DW19" s="15" t="n">
        <v>26367470.3085</v>
      </c>
      <c r="DX19" s="15" t="n">
        <v>11445921.093</v>
      </c>
      <c r="DY19" s="15" t="n">
        <v>45386782.4361</v>
      </c>
      <c r="DZ19" s="15" t="n">
        <v>38903315.0531</v>
      </c>
      <c r="EG19" s="15" t="n">
        <v>2</v>
      </c>
      <c r="EH19" s="15" t="n">
        <v>16442955.1007</v>
      </c>
      <c r="EI19" s="15" t="n">
        <v>9026290.018999999</v>
      </c>
      <c r="EJ19" s="15" t="n">
        <v>4855892.0704</v>
      </c>
      <c r="EK19" s="15" t="n">
        <v>13808857.8907</v>
      </c>
      <c r="EL19" s="15" t="n">
        <v>25179162.5195</v>
      </c>
      <c r="EM19" s="15" t="n">
        <v>34894600.3279</v>
      </c>
      <c r="EN19" s="15" t="n">
        <v>9244423.716600001</v>
      </c>
      <c r="EO19" s="15" t="n">
        <v>2977286.9148</v>
      </c>
      <c r="EP19" s="15" t="n">
        <v>8318899.5452</v>
      </c>
      <c r="EQ19" s="15" t="n">
        <v>8485006.634199999</v>
      </c>
      <c r="ER19" s="15" t="n">
        <v>5997213.4071</v>
      </c>
      <c r="ES19" s="15" t="n">
        <v>26367470.3085</v>
      </c>
      <c r="ET19" s="15" t="n">
        <v>11445921.093</v>
      </c>
      <c r="EU19" s="15" t="n">
        <v>45386782.4361</v>
      </c>
      <c r="EV19" s="15" t="n">
        <v>38903315.0531</v>
      </c>
      <c r="FC19" s="15" t="n">
        <v>2</v>
      </c>
      <c r="FD19" s="15" t="n">
        <v>16442955.1007</v>
      </c>
      <c r="FE19" s="15" t="n">
        <v>9026290.018999999</v>
      </c>
      <c r="FF19" s="15" t="n">
        <v>4855892.0704</v>
      </c>
      <c r="FG19" s="15" t="n">
        <v>13808857.8907</v>
      </c>
      <c r="FH19" s="15" t="n">
        <v>25179162.5195</v>
      </c>
      <c r="FI19" s="15" t="n">
        <v>34894600.3279</v>
      </c>
      <c r="FJ19" s="15" t="n">
        <v>9244423.716600001</v>
      </c>
      <c r="FK19" s="15" t="n">
        <v>2977286.9148</v>
      </c>
      <c r="FL19" s="15" t="n">
        <v>8318899.5452</v>
      </c>
      <c r="FM19" s="15" t="n">
        <v>8485006.634199999</v>
      </c>
      <c r="FN19" s="15" t="n">
        <v>5997213.4071</v>
      </c>
      <c r="FO19" s="15" t="n">
        <v>26367470.3085</v>
      </c>
      <c r="FP19" s="15" t="n">
        <v>11445921.093</v>
      </c>
      <c r="FQ19" s="15" t="n">
        <v>45386782.4361</v>
      </c>
      <c r="FR19" s="15" t="n">
        <v>38903315.0531</v>
      </c>
      <c r="FY19" s="15" t="n">
        <v>2</v>
      </c>
      <c r="FZ19" s="15" t="n">
        <v>16442955.1007</v>
      </c>
      <c r="GA19" s="15" t="n">
        <v>9026290.018999999</v>
      </c>
      <c r="GB19" s="15" t="n">
        <v>4855892.0704</v>
      </c>
      <c r="GC19" s="15" t="n">
        <v>13808857.8907</v>
      </c>
      <c r="GD19" s="15" t="n">
        <v>25179162.5195</v>
      </c>
      <c r="GE19" s="15" t="n">
        <v>34894600.3279</v>
      </c>
      <c r="GF19" s="15" t="n">
        <v>9244423.716600001</v>
      </c>
      <c r="GG19" s="15" t="n">
        <v>2977286.9148</v>
      </c>
      <c r="GH19" s="15" t="n">
        <v>8318899.5452</v>
      </c>
      <c r="GI19" s="15" t="n">
        <v>8485006.634199999</v>
      </c>
      <c r="GJ19" s="15" t="n">
        <v>5997213.4071</v>
      </c>
      <c r="GK19" s="15" t="n">
        <v>26367470.3085</v>
      </c>
      <c r="GL19" s="15" t="n">
        <v>11445921.093</v>
      </c>
      <c r="GM19" s="15" t="n">
        <v>45386782.4361</v>
      </c>
      <c r="GN19" s="15" t="n">
        <v>38903315.0531</v>
      </c>
      <c r="GU19" s="15" t="n">
        <v>2</v>
      </c>
      <c r="GV19" s="15" t="n">
        <v>16442955.1007</v>
      </c>
      <c r="GW19" s="15" t="n">
        <v>9026290.018999999</v>
      </c>
      <c r="GX19" s="15" t="n">
        <v>4855892.0704</v>
      </c>
      <c r="GY19" s="15" t="n">
        <v>13808857.8907</v>
      </c>
      <c r="GZ19" s="15" t="n">
        <v>25179162.5195</v>
      </c>
      <c r="HA19" s="15" t="n">
        <v>34894600.3279</v>
      </c>
      <c r="HB19" s="15" t="n">
        <v>9244423.716600001</v>
      </c>
      <c r="HC19" s="15" t="n">
        <v>2977286.9148</v>
      </c>
      <c r="HD19" s="15" t="n">
        <v>8318899.5452</v>
      </c>
      <c r="HE19" s="15" t="n">
        <v>8485006.634199999</v>
      </c>
      <c r="HF19" s="15" t="n">
        <v>5997213.4071</v>
      </c>
      <c r="HG19" s="15" t="n">
        <v>26367470.3085</v>
      </c>
      <c r="HH19" s="15" t="n">
        <v>11445921.093</v>
      </c>
      <c r="HI19" s="15" t="n">
        <v>45386782.4361</v>
      </c>
      <c r="HJ19" s="15" t="n">
        <v>38903315.0531</v>
      </c>
    </row>
    <row r="20">
      <c r="C20" s="15" t="n">
        <v>3</v>
      </c>
      <c r="D20" s="18">
        <f>Supp_Fourth_central_moment_5var!D20</f>
        <v/>
      </c>
      <c r="E20" s="18">
        <f>Supp_Fourth_central_moment_5var!E20</f>
        <v/>
      </c>
      <c r="F20" s="18">
        <f>Supp_Fourth_central_moment_5var!F20</f>
        <v/>
      </c>
      <c r="G20" s="18">
        <f>Supp_Fourth_central_moment_5var!G20</f>
        <v/>
      </c>
      <c r="H20" s="18">
        <f>Supp_Fourth_central_moment_5var!H20</f>
        <v/>
      </c>
      <c r="I20" s="18">
        <f>Supp_Fourth_central_moment_5var!I20</f>
        <v/>
      </c>
      <c r="J20" s="18">
        <f>Supp_Fourth_central_moment_5var!J20</f>
        <v/>
      </c>
      <c r="K20" s="18">
        <f>Supp_Fourth_central_moment_5var!K20</f>
        <v/>
      </c>
      <c r="L20" s="18">
        <f>Supp_Fourth_central_moment_5var!L20</f>
        <v/>
      </c>
      <c r="M20" s="18">
        <f>Supp_Fourth_central_moment_5var!M20</f>
        <v/>
      </c>
      <c r="N20" s="18">
        <f>Supp_Fourth_central_moment_5var!N20</f>
        <v/>
      </c>
      <c r="O20" s="18">
        <f>Supp_Fourth_central_moment_5var!O20</f>
        <v/>
      </c>
      <c r="P20" s="18">
        <f>Supp_Fourth_central_moment_5var!P20</f>
        <v/>
      </c>
      <c r="Q20" s="18">
        <f>Supp_Fourth_central_moment_5var!Q20</f>
        <v/>
      </c>
      <c r="R20" s="18">
        <f>Supp_Fourth_central_moment_5var!R20</f>
        <v/>
      </c>
      <c r="Y20" s="18" t="n"/>
      <c r="Z20" s="18" t="n"/>
      <c r="AA20" s="18" t="n">
        <v>3</v>
      </c>
      <c r="AB20" s="18" t="n">
        <v>58453270.6789</v>
      </c>
      <c r="AC20" s="18" t="n">
        <v>4551358.7051</v>
      </c>
      <c r="AD20" s="18" t="n">
        <v>2885793.0782</v>
      </c>
      <c r="AE20" s="18" t="n">
        <v>69307093.0121</v>
      </c>
      <c r="AF20" s="18" t="n">
        <v>5392062.9329</v>
      </c>
      <c r="AG20" s="18" t="n">
        <v>65012269.0505</v>
      </c>
      <c r="AH20" s="18" t="n">
        <v>23677849.0662</v>
      </c>
      <c r="AI20" s="18" t="n">
        <v>14290848.6459</v>
      </c>
      <c r="AJ20" s="18" t="n">
        <v>5095842.9392</v>
      </c>
      <c r="AK20" s="18" t="n">
        <v>5486370.9688</v>
      </c>
      <c r="AL20" s="18" t="n">
        <v>19131439.7747</v>
      </c>
      <c r="AM20" s="18" t="n">
        <v>11275128.2575</v>
      </c>
      <c r="AN20" s="15" t="n">
        <v>12931979.725</v>
      </c>
      <c r="AO20" s="15" t="n">
        <v>14603459.7477</v>
      </c>
      <c r="AP20" s="15" t="n">
        <v>26872386.7595</v>
      </c>
      <c r="AW20" s="15" t="n">
        <v>3</v>
      </c>
      <c r="AX20" s="15" t="n">
        <v>58453270.6789</v>
      </c>
      <c r="AY20" s="15" t="n">
        <v>4551358.7051</v>
      </c>
      <c r="AZ20" s="15" t="n">
        <v>2885793.0782</v>
      </c>
      <c r="BA20" s="15" t="n">
        <v>69307093.0121</v>
      </c>
      <c r="BB20" s="15" t="n">
        <v>5392062.9329</v>
      </c>
      <c r="BC20" s="15" t="n">
        <v>65012269.0505</v>
      </c>
      <c r="BD20" s="15" t="n">
        <v>23677849.0662</v>
      </c>
      <c r="BE20" s="15" t="n">
        <v>14290848.6459</v>
      </c>
      <c r="BF20" s="15" t="n">
        <v>5095842.9392</v>
      </c>
      <c r="BG20" s="15" t="n">
        <v>5486370.9688</v>
      </c>
      <c r="BH20" s="15" t="n">
        <v>19131439.7747</v>
      </c>
      <c r="BI20" s="15" t="n">
        <v>11275128.2575</v>
      </c>
      <c r="BJ20" s="15" t="n">
        <v>12931979.725</v>
      </c>
      <c r="BK20" s="15" t="n">
        <v>14603459.7477</v>
      </c>
      <c r="BL20" s="15" t="n">
        <v>26872386.7595</v>
      </c>
      <c r="BS20" s="15" t="n">
        <v>3</v>
      </c>
      <c r="BT20" s="15" t="n">
        <v>58453270.6789</v>
      </c>
      <c r="BU20" s="15" t="n">
        <v>4551358.7051</v>
      </c>
      <c r="BV20" s="15" t="n">
        <v>2885793.0782</v>
      </c>
      <c r="BW20" s="15" t="n">
        <v>69307093.0121</v>
      </c>
      <c r="BX20" s="15" t="n">
        <v>5392062.9329</v>
      </c>
      <c r="BY20" s="15" t="n">
        <v>65012269.0505</v>
      </c>
      <c r="BZ20" s="15" t="n">
        <v>23677849.0662</v>
      </c>
      <c r="CA20" s="15" t="n">
        <v>14290848.6459</v>
      </c>
      <c r="CB20" s="15" t="n">
        <v>5095842.9392</v>
      </c>
      <c r="CC20" s="15" t="n">
        <v>5486370.9688</v>
      </c>
      <c r="CD20" s="15" t="n">
        <v>19131439.7747</v>
      </c>
      <c r="CE20" s="15" t="n">
        <v>11275128.2575</v>
      </c>
      <c r="CF20" s="15" t="n">
        <v>12931979.725</v>
      </c>
      <c r="CG20" s="15" t="n">
        <v>14603459.7477</v>
      </c>
      <c r="CH20" s="15" t="n">
        <v>26872386.7595</v>
      </c>
      <c r="CO20" s="15" t="n">
        <v>3</v>
      </c>
      <c r="CP20" s="15" t="n">
        <v>58453270.6789</v>
      </c>
      <c r="CQ20" s="15" t="n">
        <v>4551358.7051</v>
      </c>
      <c r="CR20" s="15" t="n">
        <v>2885793.0782</v>
      </c>
      <c r="CS20" s="15" t="n">
        <v>69307093.0121</v>
      </c>
      <c r="CT20" s="15" t="n">
        <v>5392062.9329</v>
      </c>
      <c r="CU20" s="15" t="n">
        <v>65012269.0505</v>
      </c>
      <c r="CV20" s="15" t="n">
        <v>23677849.0662</v>
      </c>
      <c r="CW20" s="15" t="n">
        <v>14290848.6459</v>
      </c>
      <c r="CX20" s="15" t="n">
        <v>5095842.9392</v>
      </c>
      <c r="CY20" s="15" t="n">
        <v>5486370.9688</v>
      </c>
      <c r="CZ20" s="15" t="n">
        <v>19131439.7747</v>
      </c>
      <c r="DA20" s="15" t="n">
        <v>11275128.2575</v>
      </c>
      <c r="DB20" s="15" t="n">
        <v>12931979.725</v>
      </c>
      <c r="DC20" s="15" t="n">
        <v>14603459.7477</v>
      </c>
      <c r="DD20" s="15" t="n">
        <v>26872386.7595</v>
      </c>
      <c r="DK20" s="15" t="n">
        <v>3</v>
      </c>
      <c r="DL20" s="15" t="n">
        <v>58453270.6789</v>
      </c>
      <c r="DM20" s="15" t="n">
        <v>4551358.7051</v>
      </c>
      <c r="DN20" s="15" t="n">
        <v>2885793.0782</v>
      </c>
      <c r="DO20" s="15" t="n">
        <v>69307093.0121</v>
      </c>
      <c r="DP20" s="15" t="n">
        <v>5392062.9329</v>
      </c>
      <c r="DQ20" s="15" t="n">
        <v>65012269.0505</v>
      </c>
      <c r="DR20" s="15" t="n">
        <v>23677849.0662</v>
      </c>
      <c r="DS20" s="15" t="n">
        <v>14290848.6459</v>
      </c>
      <c r="DT20" s="15" t="n">
        <v>5095842.9392</v>
      </c>
      <c r="DU20" s="15" t="n">
        <v>5486370.9688</v>
      </c>
      <c r="DV20" s="15" t="n">
        <v>19131439.7747</v>
      </c>
      <c r="DW20" s="15" t="n">
        <v>11275128.2575</v>
      </c>
      <c r="DX20" s="15" t="n">
        <v>12931979.725</v>
      </c>
      <c r="DY20" s="15" t="n">
        <v>14603459.7477</v>
      </c>
      <c r="DZ20" s="15" t="n">
        <v>26872386.7595</v>
      </c>
      <c r="EG20" s="15" t="n">
        <v>3</v>
      </c>
      <c r="EH20" s="15" t="n">
        <v>58453270.6789</v>
      </c>
      <c r="EI20" s="15" t="n">
        <v>4551358.7051</v>
      </c>
      <c r="EJ20" s="15" t="n">
        <v>2885793.0782</v>
      </c>
      <c r="EK20" s="15" t="n">
        <v>69307093.0121</v>
      </c>
      <c r="EL20" s="15" t="n">
        <v>5392062.9329</v>
      </c>
      <c r="EM20" s="15" t="n">
        <v>65012269.0505</v>
      </c>
      <c r="EN20" s="15" t="n">
        <v>23677849.0662</v>
      </c>
      <c r="EO20" s="15" t="n">
        <v>14290848.6459</v>
      </c>
      <c r="EP20" s="15" t="n">
        <v>5095842.9392</v>
      </c>
      <c r="EQ20" s="15" t="n">
        <v>5486370.9688</v>
      </c>
      <c r="ER20" s="15" t="n">
        <v>19131439.7747</v>
      </c>
      <c r="ES20" s="15" t="n">
        <v>11275128.2575</v>
      </c>
      <c r="ET20" s="15" t="n">
        <v>12931979.725</v>
      </c>
      <c r="EU20" s="15" t="n">
        <v>14603459.7477</v>
      </c>
      <c r="EV20" s="15" t="n">
        <v>26872386.7595</v>
      </c>
      <c r="FC20" s="15" t="n">
        <v>3</v>
      </c>
      <c r="FD20" s="15" t="n">
        <v>58453270.6789</v>
      </c>
      <c r="FE20" s="15" t="n">
        <v>4551358.7051</v>
      </c>
      <c r="FF20" s="15" t="n">
        <v>2885793.0782</v>
      </c>
      <c r="FG20" s="15" t="n">
        <v>69307093.0121</v>
      </c>
      <c r="FH20" s="15" t="n">
        <v>5392062.9329</v>
      </c>
      <c r="FI20" s="15" t="n">
        <v>65012269.0505</v>
      </c>
      <c r="FJ20" s="15" t="n">
        <v>23677849.0662</v>
      </c>
      <c r="FK20" s="15" t="n">
        <v>14290848.6459</v>
      </c>
      <c r="FL20" s="15" t="n">
        <v>5095842.9392</v>
      </c>
      <c r="FM20" s="15" t="n">
        <v>5486370.9688</v>
      </c>
      <c r="FN20" s="15" t="n">
        <v>19131439.7747</v>
      </c>
      <c r="FO20" s="15" t="n">
        <v>11275128.2575</v>
      </c>
      <c r="FP20" s="15" t="n">
        <v>12931979.725</v>
      </c>
      <c r="FQ20" s="15" t="n">
        <v>14603459.7477</v>
      </c>
      <c r="FR20" s="15" t="n">
        <v>26872386.7595</v>
      </c>
      <c r="FY20" s="15" t="n">
        <v>3</v>
      </c>
      <c r="FZ20" s="15" t="n">
        <v>58453270.6789</v>
      </c>
      <c r="GA20" s="15" t="n">
        <v>4551358.7051</v>
      </c>
      <c r="GB20" s="15" t="n">
        <v>2885793.0782</v>
      </c>
      <c r="GC20" s="15" t="n">
        <v>69307093.0121</v>
      </c>
      <c r="GD20" s="15" t="n">
        <v>5392062.9329</v>
      </c>
      <c r="GE20" s="15" t="n">
        <v>65012269.0505</v>
      </c>
      <c r="GF20" s="15" t="n">
        <v>23677849.0662</v>
      </c>
      <c r="GG20" s="15" t="n">
        <v>14290848.6459</v>
      </c>
      <c r="GH20" s="15" t="n">
        <v>5095842.9392</v>
      </c>
      <c r="GI20" s="15" t="n">
        <v>5486370.9688</v>
      </c>
      <c r="GJ20" s="15" t="n">
        <v>19131439.7747</v>
      </c>
      <c r="GK20" s="15" t="n">
        <v>11275128.2575</v>
      </c>
      <c r="GL20" s="15" t="n">
        <v>12931979.725</v>
      </c>
      <c r="GM20" s="15" t="n">
        <v>14603459.7477</v>
      </c>
      <c r="GN20" s="15" t="n">
        <v>26872386.7595</v>
      </c>
      <c r="GU20" s="15" t="n">
        <v>3</v>
      </c>
      <c r="GV20" s="15" t="n">
        <v>58453270.6789</v>
      </c>
      <c r="GW20" s="15" t="n">
        <v>4551358.7051</v>
      </c>
      <c r="GX20" s="15" t="n">
        <v>2885793.0782</v>
      </c>
      <c r="GY20" s="15" t="n">
        <v>69307093.0121</v>
      </c>
      <c r="GZ20" s="15" t="n">
        <v>5392062.9329</v>
      </c>
      <c r="HA20" s="15" t="n">
        <v>65012269.0505</v>
      </c>
      <c r="HB20" s="15" t="n">
        <v>23677849.0662</v>
      </c>
      <c r="HC20" s="15" t="n">
        <v>14290848.6459</v>
      </c>
      <c r="HD20" s="15" t="n">
        <v>5095842.9392</v>
      </c>
      <c r="HE20" s="15" t="n">
        <v>5486370.9688</v>
      </c>
      <c r="HF20" s="15" t="n">
        <v>19131439.7747</v>
      </c>
      <c r="HG20" s="15" t="n">
        <v>11275128.2575</v>
      </c>
      <c r="HH20" s="15" t="n">
        <v>12931979.725</v>
      </c>
      <c r="HI20" s="15" t="n">
        <v>14603459.7477</v>
      </c>
      <c r="HJ20" s="15" t="n">
        <v>26872386.7595</v>
      </c>
    </row>
    <row r="22">
      <c r="C22" s="15" t="inlineStr">
        <is>
          <t>Var(Var(Cap))</t>
        </is>
      </c>
      <c r="D22" s="15" t="n">
        <v>1</v>
      </c>
      <c r="E22" s="15" t="n">
        <v>2</v>
      </c>
      <c r="F22" s="15" t="n">
        <v>3</v>
      </c>
      <c r="G22" s="15" t="n">
        <v>4</v>
      </c>
      <c r="H22" s="15" t="n">
        <v>5</v>
      </c>
      <c r="I22" s="15" t="n">
        <v>6</v>
      </c>
      <c r="J22" s="15" t="n">
        <v>7</v>
      </c>
      <c r="K22" s="15" t="n">
        <v>8</v>
      </c>
      <c r="L22" s="15" t="n">
        <v>9</v>
      </c>
      <c r="M22" s="15" t="n">
        <v>10</v>
      </c>
      <c r="N22" s="15" t="n">
        <v>11</v>
      </c>
      <c r="O22" s="15" t="n">
        <v>12</v>
      </c>
      <c r="P22" s="15" t="n">
        <v>13</v>
      </c>
      <c r="Q22" s="15" t="n">
        <v>14</v>
      </c>
      <c r="R22" s="15" t="n">
        <v>15</v>
      </c>
      <c r="AA22" s="15" t="inlineStr">
        <is>
          <t>Var(Var(Cap))</t>
        </is>
      </c>
      <c r="AB22" s="15" t="n">
        <v>1</v>
      </c>
      <c r="AC22" s="15" t="n">
        <v>2</v>
      </c>
      <c r="AD22" s="15" t="n">
        <v>3</v>
      </c>
      <c r="AE22" s="15" t="n">
        <v>4</v>
      </c>
      <c r="AF22" s="15" t="n">
        <v>5</v>
      </c>
      <c r="AG22" s="15" t="n">
        <v>6</v>
      </c>
      <c r="AH22" s="15" t="n">
        <v>7</v>
      </c>
      <c r="AI22" s="15" t="n">
        <v>8</v>
      </c>
      <c r="AJ22" s="15" t="n">
        <v>9</v>
      </c>
      <c r="AK22" s="15" t="n">
        <v>10</v>
      </c>
      <c r="AL22" s="15" t="n">
        <v>11</v>
      </c>
      <c r="AM22" s="15" t="n">
        <v>12</v>
      </c>
      <c r="AN22" s="15" t="n">
        <v>13</v>
      </c>
      <c r="AO22" s="15" t="n">
        <v>14</v>
      </c>
      <c r="AP22" s="15" t="n">
        <v>15</v>
      </c>
      <c r="AW22" s="15" t="inlineStr">
        <is>
          <t>Var(Var(Cap))</t>
        </is>
      </c>
      <c r="AX22" s="15" t="n">
        <v>1</v>
      </c>
      <c r="AY22" s="15" t="n">
        <v>2</v>
      </c>
      <c r="AZ22" s="15" t="n">
        <v>3</v>
      </c>
      <c r="BA22" s="15" t="n">
        <v>4</v>
      </c>
      <c r="BB22" s="15" t="n">
        <v>5</v>
      </c>
      <c r="BC22" s="15" t="n">
        <v>6</v>
      </c>
      <c r="BD22" s="15" t="n">
        <v>7</v>
      </c>
      <c r="BE22" s="15" t="n">
        <v>8</v>
      </c>
      <c r="BF22" s="15" t="n">
        <v>9</v>
      </c>
      <c r="BG22" s="15" t="n">
        <v>10</v>
      </c>
      <c r="BH22" s="15" t="n">
        <v>11</v>
      </c>
      <c r="BI22" s="15" t="n">
        <v>12</v>
      </c>
      <c r="BJ22" s="15" t="n">
        <v>13</v>
      </c>
      <c r="BK22" s="15" t="n">
        <v>14</v>
      </c>
      <c r="BL22" s="15" t="n">
        <v>15</v>
      </c>
      <c r="BS22" s="15" t="inlineStr">
        <is>
          <t>Var(Var(Cap))</t>
        </is>
      </c>
      <c r="BT22" s="15" t="n">
        <v>1</v>
      </c>
      <c r="BU22" s="15" t="n">
        <v>2</v>
      </c>
      <c r="BV22" s="15" t="n">
        <v>3</v>
      </c>
      <c r="BW22" s="15" t="n">
        <v>4</v>
      </c>
      <c r="BX22" s="15" t="n">
        <v>5</v>
      </c>
      <c r="BY22" s="15" t="n">
        <v>6</v>
      </c>
      <c r="BZ22" s="15" t="n">
        <v>7</v>
      </c>
      <c r="CA22" s="15" t="n">
        <v>8</v>
      </c>
      <c r="CB22" s="15" t="n">
        <v>9</v>
      </c>
      <c r="CC22" s="15" t="n">
        <v>10</v>
      </c>
      <c r="CD22" s="15" t="n">
        <v>11</v>
      </c>
      <c r="CE22" s="15" t="n">
        <v>12</v>
      </c>
      <c r="CF22" s="15" t="n">
        <v>13</v>
      </c>
      <c r="CG22" s="15" t="n">
        <v>14</v>
      </c>
      <c r="CH22" s="15" t="n">
        <v>15</v>
      </c>
      <c r="CO22" s="15" t="inlineStr">
        <is>
          <t>Var(Var(Cap))</t>
        </is>
      </c>
      <c r="CP22" s="15" t="n">
        <v>1</v>
      </c>
      <c r="CQ22" s="15" t="n">
        <v>2</v>
      </c>
      <c r="CR22" s="15" t="n">
        <v>3</v>
      </c>
      <c r="CS22" s="15" t="n">
        <v>4</v>
      </c>
      <c r="CT22" s="15" t="n">
        <v>5</v>
      </c>
      <c r="CU22" s="15" t="n">
        <v>6</v>
      </c>
      <c r="CV22" s="15" t="n">
        <v>7</v>
      </c>
      <c r="CW22" s="15" t="n">
        <v>8</v>
      </c>
      <c r="CX22" s="15" t="n">
        <v>9</v>
      </c>
      <c r="CY22" s="15" t="n">
        <v>10</v>
      </c>
      <c r="CZ22" s="15" t="n">
        <v>11</v>
      </c>
      <c r="DA22" s="15" t="n">
        <v>12</v>
      </c>
      <c r="DB22" s="15" t="n">
        <v>13</v>
      </c>
      <c r="DC22" s="15" t="n">
        <v>14</v>
      </c>
      <c r="DD22" s="15" t="n">
        <v>15</v>
      </c>
      <c r="DK22" s="15" t="inlineStr">
        <is>
          <t>Var(Var(Cap))</t>
        </is>
      </c>
      <c r="DL22" s="15" t="n">
        <v>1</v>
      </c>
      <c r="DM22" s="15" t="n">
        <v>2</v>
      </c>
      <c r="DN22" s="15" t="n">
        <v>3</v>
      </c>
      <c r="DO22" s="15" t="n">
        <v>4</v>
      </c>
      <c r="DP22" s="15" t="n">
        <v>5</v>
      </c>
      <c r="DQ22" s="15" t="n">
        <v>6</v>
      </c>
      <c r="DR22" s="15" t="n">
        <v>7</v>
      </c>
      <c r="DS22" s="15" t="n">
        <v>8</v>
      </c>
      <c r="DT22" s="15" t="n">
        <v>9</v>
      </c>
      <c r="DU22" s="15" t="n">
        <v>10</v>
      </c>
      <c r="DV22" s="15" t="n">
        <v>11</v>
      </c>
      <c r="DW22" s="15" t="n">
        <v>12</v>
      </c>
      <c r="DX22" s="15" t="n">
        <v>13</v>
      </c>
      <c r="DY22" s="15" t="n">
        <v>14</v>
      </c>
      <c r="DZ22" s="15" t="n">
        <v>15</v>
      </c>
      <c r="EG22" s="15" t="inlineStr">
        <is>
          <t>Var(Var(Cap))</t>
        </is>
      </c>
      <c r="EH22" s="15" t="n">
        <v>1</v>
      </c>
      <c r="EI22" s="15" t="n">
        <v>2</v>
      </c>
      <c r="EJ22" s="15" t="n">
        <v>3</v>
      </c>
      <c r="EK22" s="15" t="n">
        <v>4</v>
      </c>
      <c r="EL22" s="15" t="n">
        <v>5</v>
      </c>
      <c r="EM22" s="15" t="n">
        <v>6</v>
      </c>
      <c r="EN22" s="15" t="n">
        <v>7</v>
      </c>
      <c r="EO22" s="15" t="n">
        <v>8</v>
      </c>
      <c r="EP22" s="15" t="n">
        <v>9</v>
      </c>
      <c r="EQ22" s="15" t="n">
        <v>10</v>
      </c>
      <c r="ER22" s="15" t="n">
        <v>11</v>
      </c>
      <c r="ES22" s="15" t="n">
        <v>12</v>
      </c>
      <c r="ET22" s="15" t="n">
        <v>13</v>
      </c>
      <c r="EU22" s="15" t="n">
        <v>14</v>
      </c>
      <c r="EV22" s="15" t="n">
        <v>15</v>
      </c>
      <c r="FC22" s="15" t="inlineStr">
        <is>
          <t>Var(Var(Cap))</t>
        </is>
      </c>
      <c r="FD22" s="15" t="n">
        <v>1</v>
      </c>
      <c r="FE22" s="15" t="n">
        <v>2</v>
      </c>
      <c r="FF22" s="15" t="n">
        <v>3</v>
      </c>
      <c r="FG22" s="15" t="n">
        <v>4</v>
      </c>
      <c r="FH22" s="15" t="n">
        <v>5</v>
      </c>
      <c r="FI22" s="15" t="n">
        <v>6</v>
      </c>
      <c r="FJ22" s="15" t="n">
        <v>7</v>
      </c>
      <c r="FK22" s="15" t="n">
        <v>8</v>
      </c>
      <c r="FL22" s="15" t="n">
        <v>9</v>
      </c>
      <c r="FM22" s="15" t="n">
        <v>10</v>
      </c>
      <c r="FN22" s="15" t="n">
        <v>11</v>
      </c>
      <c r="FO22" s="15" t="n">
        <v>12</v>
      </c>
      <c r="FP22" s="15" t="n">
        <v>13</v>
      </c>
      <c r="FQ22" s="15" t="n">
        <v>14</v>
      </c>
      <c r="FR22" s="15" t="n">
        <v>15</v>
      </c>
      <c r="FY22" s="15" t="inlineStr">
        <is>
          <t>Var(Var(Cap))</t>
        </is>
      </c>
      <c r="FZ22" s="15" t="n">
        <v>1</v>
      </c>
      <c r="GA22" s="15" t="n">
        <v>2</v>
      </c>
      <c r="GB22" s="15" t="n">
        <v>3</v>
      </c>
      <c r="GC22" s="15" t="n">
        <v>4</v>
      </c>
      <c r="GD22" s="15" t="n">
        <v>5</v>
      </c>
      <c r="GE22" s="15" t="n">
        <v>6</v>
      </c>
      <c r="GF22" s="15" t="n">
        <v>7</v>
      </c>
      <c r="GG22" s="15" t="n">
        <v>8</v>
      </c>
      <c r="GH22" s="15" t="n">
        <v>9</v>
      </c>
      <c r="GI22" s="15" t="n">
        <v>10</v>
      </c>
      <c r="GJ22" s="15" t="n">
        <v>11</v>
      </c>
      <c r="GK22" s="15" t="n">
        <v>12</v>
      </c>
      <c r="GL22" s="15" t="n">
        <v>13</v>
      </c>
      <c r="GM22" s="15" t="n">
        <v>14</v>
      </c>
      <c r="GN22" s="15" t="n">
        <v>15</v>
      </c>
      <c r="GU22" s="15" t="inlineStr">
        <is>
          <t>Var(Var(Cap))</t>
        </is>
      </c>
      <c r="GV22" s="15" t="n">
        <v>1</v>
      </c>
      <c r="GW22" s="15" t="n">
        <v>2</v>
      </c>
      <c r="GX22" s="15" t="n">
        <v>3</v>
      </c>
      <c r="GY22" s="15" t="n">
        <v>4</v>
      </c>
      <c r="GZ22" s="15" t="n">
        <v>5</v>
      </c>
      <c r="HA22" s="15" t="n">
        <v>6</v>
      </c>
      <c r="HB22" s="15" t="n">
        <v>7</v>
      </c>
      <c r="HC22" s="15" t="n">
        <v>8</v>
      </c>
      <c r="HD22" s="15" t="n">
        <v>9</v>
      </c>
      <c r="HE22" s="15" t="n">
        <v>10</v>
      </c>
      <c r="HF22" s="15" t="n">
        <v>11</v>
      </c>
      <c r="HG22" s="15" t="n">
        <v>12</v>
      </c>
      <c r="HH22" s="15" t="n">
        <v>13</v>
      </c>
      <c r="HI22" s="15" t="n">
        <v>14</v>
      </c>
      <c r="HJ22" s="15" t="n">
        <v>15</v>
      </c>
    </row>
    <row r="23">
      <c r="C23" s="15" t="n">
        <v>1</v>
      </c>
      <c r="D23" s="15">
        <f>Supp_Fourth_central_moment_5var!D24</f>
        <v/>
      </c>
      <c r="E23" s="15">
        <f>Supp_Fourth_central_moment_5var!E24</f>
        <v/>
      </c>
      <c r="F23" s="15">
        <f>Supp_Fourth_central_moment_5var!F24</f>
        <v/>
      </c>
      <c r="G23" s="15">
        <f>Supp_Fourth_central_moment_5var!G24</f>
        <v/>
      </c>
      <c r="H23" s="15">
        <f>Supp_Fourth_central_moment_5var!H24</f>
        <v/>
      </c>
      <c r="I23" s="15">
        <f>Supp_Fourth_central_moment_5var!I24</f>
        <v/>
      </c>
      <c r="J23" s="15">
        <f>Supp_Fourth_central_moment_5var!J24</f>
        <v/>
      </c>
      <c r="K23" s="15">
        <f>Supp_Fourth_central_moment_5var!K24</f>
        <v/>
      </c>
      <c r="L23" s="15">
        <f>Supp_Fourth_central_moment_5var!L24</f>
        <v/>
      </c>
      <c r="M23" s="15">
        <f>Supp_Fourth_central_moment_5var!M24</f>
        <v/>
      </c>
      <c r="N23" s="15">
        <f>Supp_Fourth_central_moment_5var!N24</f>
        <v/>
      </c>
      <c r="O23" s="15">
        <f>Supp_Fourth_central_moment_5var!O24</f>
        <v/>
      </c>
      <c r="P23" s="15">
        <f>Supp_Fourth_central_moment_5var!P24</f>
        <v/>
      </c>
      <c r="Q23" s="15">
        <f>Supp_Fourth_central_moment_5var!Q24</f>
        <v/>
      </c>
      <c r="R23" s="15">
        <f>Supp_Fourth_central_moment_5var!R24</f>
        <v/>
      </c>
      <c r="T23" s="39">
        <f>SUM(D23:R25)</f>
        <v/>
      </c>
      <c r="U23" s="39" t="n">
        <v>741529419.4325998</v>
      </c>
      <c r="V23" s="39">
        <f>T23-U23</f>
        <v/>
      </c>
      <c r="W23" s="39" t="n"/>
      <c r="X23" s="39" t="n"/>
      <c r="AA23" s="15" t="n">
        <v>1</v>
      </c>
      <c r="AB23" s="15" t="n">
        <v>8526359.4256</v>
      </c>
      <c r="AC23" s="15" t="n">
        <v>12657216.4963</v>
      </c>
      <c r="AD23" s="15" t="n">
        <v>18040924.1686</v>
      </c>
      <c r="AE23" s="15" t="n">
        <v>11831925.792</v>
      </c>
      <c r="AF23" s="15" t="n">
        <v>27221024.0877</v>
      </c>
      <c r="AG23" s="15" t="n">
        <v>1919326.0314</v>
      </c>
      <c r="AH23" s="15" t="n">
        <v>15405680.3523</v>
      </c>
      <c r="AI23" s="15" t="n">
        <v>11110350.4044</v>
      </c>
      <c r="AJ23" s="15" t="n">
        <v>8390576.6722</v>
      </c>
      <c r="AK23" s="15" t="n">
        <v>17370807.0288</v>
      </c>
      <c r="AL23" s="15" t="n">
        <v>31963313.994</v>
      </c>
      <c r="AM23" s="15" t="n">
        <v>3912563.2923</v>
      </c>
      <c r="AN23" s="15" t="n">
        <v>4076126.1669</v>
      </c>
      <c r="AO23" s="15" t="n">
        <v>2176888.106</v>
      </c>
      <c r="AP23" s="15" t="n">
        <v>22626376.855</v>
      </c>
      <c r="AW23" s="15" t="n">
        <v>1</v>
      </c>
      <c r="AX23" s="15" t="n">
        <v>8526359.4256</v>
      </c>
      <c r="AY23" s="15" t="n">
        <v>12657216.4963</v>
      </c>
      <c r="AZ23" s="15" t="n">
        <v>18040924.1686</v>
      </c>
      <c r="BA23" s="15" t="n">
        <v>11831925.792</v>
      </c>
      <c r="BB23" s="15" t="n">
        <v>27221024.0877</v>
      </c>
      <c r="BC23" s="15" t="n">
        <v>1919326.0314</v>
      </c>
      <c r="BD23" s="15" t="n">
        <v>15405680.3523</v>
      </c>
      <c r="BE23" s="15" t="n">
        <v>11110350.4044</v>
      </c>
      <c r="BF23" s="15" t="n">
        <v>8390576.6722</v>
      </c>
      <c r="BG23" s="15" t="n">
        <v>17370807.0288</v>
      </c>
      <c r="BH23" s="15" t="n">
        <v>31963313.994</v>
      </c>
      <c r="BI23" s="15" t="n">
        <v>3912563.2923</v>
      </c>
      <c r="BJ23" s="15" t="n">
        <v>4076126.1669</v>
      </c>
      <c r="BK23" s="15" t="n">
        <v>2176888.106</v>
      </c>
      <c r="BL23" s="15" t="n">
        <v>22626376.855</v>
      </c>
      <c r="BS23" s="15" t="n">
        <v>1</v>
      </c>
      <c r="BT23" s="15" t="n">
        <v>8526359.4256</v>
      </c>
      <c r="BU23" s="15" t="n">
        <v>12657216.4963</v>
      </c>
      <c r="BV23" s="15" t="n">
        <v>18040924.1686</v>
      </c>
      <c r="BW23" s="15" t="n">
        <v>11831925.792</v>
      </c>
      <c r="BX23" s="15" t="n">
        <v>27221024.0877</v>
      </c>
      <c r="BY23" s="15" t="n">
        <v>1919326.0314</v>
      </c>
      <c r="BZ23" s="15" t="n">
        <v>15405680.3523</v>
      </c>
      <c r="CA23" s="15" t="n">
        <v>11110350.4044</v>
      </c>
      <c r="CB23" s="15" t="n">
        <v>8390576.6722</v>
      </c>
      <c r="CC23" s="15" t="n">
        <v>17370807.0288</v>
      </c>
      <c r="CD23" s="15" t="n">
        <v>31963313.994</v>
      </c>
      <c r="CE23" s="15" t="n">
        <v>3912563.2923</v>
      </c>
      <c r="CF23" s="15" t="n">
        <v>4076126.1669</v>
      </c>
      <c r="CG23" s="15" t="n">
        <v>2176888.106</v>
      </c>
      <c r="CH23" s="15" t="n">
        <v>22626376.855</v>
      </c>
      <c r="CO23" s="15" t="n">
        <v>1</v>
      </c>
      <c r="CP23" s="15" t="n">
        <v>8526359.4256</v>
      </c>
      <c r="CQ23" s="15" t="n">
        <v>12657216.4963</v>
      </c>
      <c r="CR23" s="15" t="n">
        <v>18040924.1686</v>
      </c>
      <c r="CS23" s="15" t="n">
        <v>11831925.792</v>
      </c>
      <c r="CT23" s="15" t="n">
        <v>27221024.0877</v>
      </c>
      <c r="CU23" s="15" t="n">
        <v>1919326.0314</v>
      </c>
      <c r="CV23" s="15" t="n">
        <v>15405680.3523</v>
      </c>
      <c r="CW23" s="15" t="n">
        <v>11110350.4044</v>
      </c>
      <c r="CX23" s="15" t="n">
        <v>8390576.6722</v>
      </c>
      <c r="CY23" s="15" t="n">
        <v>17370807.0288</v>
      </c>
      <c r="CZ23" s="15" t="n">
        <v>31963313.994</v>
      </c>
      <c r="DA23" s="15" t="n">
        <v>3912563.2923</v>
      </c>
      <c r="DB23" s="15" t="n">
        <v>4076126.1669</v>
      </c>
      <c r="DC23" s="15" t="n">
        <v>2176888.106</v>
      </c>
      <c r="DD23" s="15" t="n">
        <v>22626376.855</v>
      </c>
      <c r="DK23" s="15" t="n">
        <v>1</v>
      </c>
      <c r="DL23" s="15" t="n">
        <v>8526359.4256</v>
      </c>
      <c r="DM23" s="15" t="n">
        <v>12657216.4963</v>
      </c>
      <c r="DN23" s="15" t="n">
        <v>18040924.1686</v>
      </c>
      <c r="DO23" s="15" t="n">
        <v>11831925.792</v>
      </c>
      <c r="DP23" s="15" t="n">
        <v>27221024.0877</v>
      </c>
      <c r="DQ23" s="15" t="n">
        <v>1919326.0314</v>
      </c>
      <c r="DR23" s="15" t="n">
        <v>15405680.3523</v>
      </c>
      <c r="DS23" s="15" t="n">
        <v>11110350.4044</v>
      </c>
      <c r="DT23" s="15" t="n">
        <v>8390576.6722</v>
      </c>
      <c r="DU23" s="15" t="n">
        <v>17370807.0288</v>
      </c>
      <c r="DV23" s="15" t="n">
        <v>31963313.994</v>
      </c>
      <c r="DW23" s="15" t="n">
        <v>3912563.2923</v>
      </c>
      <c r="DX23" s="15" t="n">
        <v>4076126.1669</v>
      </c>
      <c r="DY23" s="15" t="n">
        <v>2176888.106</v>
      </c>
      <c r="DZ23" s="15" t="n">
        <v>22626376.855</v>
      </c>
      <c r="EG23" s="15" t="n">
        <v>1</v>
      </c>
      <c r="EH23" s="15" t="n">
        <v>8526359.4256</v>
      </c>
      <c r="EI23" s="15" t="n">
        <v>12657216.4963</v>
      </c>
      <c r="EJ23" s="15" t="n">
        <v>18040924.1686</v>
      </c>
      <c r="EK23" s="15" t="n">
        <v>11831925.792</v>
      </c>
      <c r="EL23" s="15" t="n">
        <v>27221024.0877</v>
      </c>
      <c r="EM23" s="15" t="n">
        <v>1919326.0314</v>
      </c>
      <c r="EN23" s="15" t="n">
        <v>15405680.3523</v>
      </c>
      <c r="EO23" s="15" t="n">
        <v>11110350.4044</v>
      </c>
      <c r="EP23" s="15" t="n">
        <v>8390576.6722</v>
      </c>
      <c r="EQ23" s="15" t="n">
        <v>17370807.0288</v>
      </c>
      <c r="ER23" s="15" t="n">
        <v>31963313.994</v>
      </c>
      <c r="ES23" s="15" t="n">
        <v>3912563.2923</v>
      </c>
      <c r="ET23" s="15" t="n">
        <v>4076126.1669</v>
      </c>
      <c r="EU23" s="15" t="n">
        <v>2176888.106</v>
      </c>
      <c r="EV23" s="15" t="n">
        <v>22626376.855</v>
      </c>
      <c r="FC23" s="15" t="n">
        <v>1</v>
      </c>
      <c r="FD23" s="15" t="n">
        <v>8526359.4256</v>
      </c>
      <c r="FE23" s="15" t="n">
        <v>12657216.4963</v>
      </c>
      <c r="FF23" s="15" t="n">
        <v>18040924.1686</v>
      </c>
      <c r="FG23" s="15" t="n">
        <v>11831925.792</v>
      </c>
      <c r="FH23" s="15" t="n">
        <v>27221024.0877</v>
      </c>
      <c r="FI23" s="15" t="n">
        <v>1919326.0314</v>
      </c>
      <c r="FJ23" s="15" t="n">
        <v>15405680.3523</v>
      </c>
      <c r="FK23" s="15" t="n">
        <v>11110350.4044</v>
      </c>
      <c r="FL23" s="15" t="n">
        <v>8390576.6722</v>
      </c>
      <c r="FM23" s="15" t="n">
        <v>17370807.0288</v>
      </c>
      <c r="FN23" s="15" t="n">
        <v>31963313.994</v>
      </c>
      <c r="FO23" s="15" t="n">
        <v>3912563.2923</v>
      </c>
      <c r="FP23" s="15" t="n">
        <v>4076126.1669</v>
      </c>
      <c r="FQ23" s="15" t="n">
        <v>2176888.106</v>
      </c>
      <c r="FR23" s="15" t="n">
        <v>22626376.855</v>
      </c>
      <c r="FY23" s="15" t="n">
        <v>1</v>
      </c>
      <c r="FZ23" s="15" t="n">
        <v>8526359.4256</v>
      </c>
      <c r="GA23" s="15" t="n">
        <v>12657216.4963</v>
      </c>
      <c r="GB23" s="15" t="n">
        <v>18040924.1686</v>
      </c>
      <c r="GC23" s="15" t="n">
        <v>11831925.792</v>
      </c>
      <c r="GD23" s="15" t="n">
        <v>27221024.0877</v>
      </c>
      <c r="GE23" s="15" t="n">
        <v>1919326.0314</v>
      </c>
      <c r="GF23" s="15" t="n">
        <v>15405680.3523</v>
      </c>
      <c r="GG23" s="15" t="n">
        <v>11110350.4044</v>
      </c>
      <c r="GH23" s="15" t="n">
        <v>8390576.6722</v>
      </c>
      <c r="GI23" s="15" t="n">
        <v>17370807.0288</v>
      </c>
      <c r="GJ23" s="15" t="n">
        <v>31963313.994</v>
      </c>
      <c r="GK23" s="15" t="n">
        <v>3912563.2923</v>
      </c>
      <c r="GL23" s="15" t="n">
        <v>4076126.1669</v>
      </c>
      <c r="GM23" s="15" t="n">
        <v>2176888.106</v>
      </c>
      <c r="GN23" s="15" t="n">
        <v>22626376.855</v>
      </c>
      <c r="GU23" s="15" t="n">
        <v>1</v>
      </c>
      <c r="GV23" s="15" t="n">
        <v>8526359.4256</v>
      </c>
      <c r="GW23" s="15" t="n">
        <v>12657216.4963</v>
      </c>
      <c r="GX23" s="15" t="n">
        <v>18040924.1686</v>
      </c>
      <c r="GY23" s="15" t="n">
        <v>11831925.792</v>
      </c>
      <c r="GZ23" s="15" t="n">
        <v>27221024.0877</v>
      </c>
      <c r="HA23" s="15" t="n">
        <v>1919326.0314</v>
      </c>
      <c r="HB23" s="15" t="n">
        <v>15405680.3523</v>
      </c>
      <c r="HC23" s="15" t="n">
        <v>11110350.4044</v>
      </c>
      <c r="HD23" s="15" t="n">
        <v>8390576.6722</v>
      </c>
      <c r="HE23" s="15" t="n">
        <v>17370807.0288</v>
      </c>
      <c r="HF23" s="15" t="n">
        <v>31963313.994</v>
      </c>
      <c r="HG23" s="15" t="n">
        <v>3912563.2923</v>
      </c>
      <c r="HH23" s="15" t="n">
        <v>4076126.1669</v>
      </c>
      <c r="HI23" s="15" t="n">
        <v>2176888.106</v>
      </c>
      <c r="HJ23" s="15" t="n">
        <v>22626376.855</v>
      </c>
    </row>
    <row r="24">
      <c r="C24" s="15" t="n">
        <v>2</v>
      </c>
      <c r="D24" s="15">
        <f>Supp_Fourth_central_moment_5var!D25</f>
        <v/>
      </c>
      <c r="E24" s="15">
        <f>Supp_Fourth_central_moment_5var!E25</f>
        <v/>
      </c>
      <c r="F24" s="15">
        <f>Supp_Fourth_central_moment_5var!F25</f>
        <v/>
      </c>
      <c r="G24" s="15">
        <f>Supp_Fourth_central_moment_5var!G25</f>
        <v/>
      </c>
      <c r="H24" s="15">
        <f>Supp_Fourth_central_moment_5var!H25</f>
        <v/>
      </c>
      <c r="I24" s="15">
        <f>Supp_Fourth_central_moment_5var!I25</f>
        <v/>
      </c>
      <c r="J24" s="15">
        <f>Supp_Fourth_central_moment_5var!J25</f>
        <v/>
      </c>
      <c r="K24" s="15">
        <f>Supp_Fourth_central_moment_5var!K25</f>
        <v/>
      </c>
      <c r="L24" s="15">
        <f>Supp_Fourth_central_moment_5var!L25</f>
        <v/>
      </c>
      <c r="M24" s="15">
        <f>Supp_Fourth_central_moment_5var!M25</f>
        <v/>
      </c>
      <c r="N24" s="15">
        <f>Supp_Fourth_central_moment_5var!N25</f>
        <v/>
      </c>
      <c r="O24" s="15">
        <f>Supp_Fourth_central_moment_5var!O25</f>
        <v/>
      </c>
      <c r="P24" s="15">
        <f>Supp_Fourth_central_moment_5var!P25</f>
        <v/>
      </c>
      <c r="Q24" s="15">
        <f>Supp_Fourth_central_moment_5var!Q25</f>
        <v/>
      </c>
      <c r="R24" s="15">
        <f>Supp_Fourth_central_moment_5var!R25</f>
        <v/>
      </c>
      <c r="AA24" s="15" t="n">
        <v>2</v>
      </c>
      <c r="AB24" s="15" t="n">
        <v>6878770.2088</v>
      </c>
      <c r="AC24" s="15" t="n">
        <v>4160458.0758</v>
      </c>
      <c r="AD24" s="15" t="n">
        <v>12301143.338</v>
      </c>
      <c r="AE24" s="15" t="n">
        <v>104525329.9498</v>
      </c>
      <c r="AF24" s="15" t="n">
        <v>17313596.8686</v>
      </c>
      <c r="AG24" s="15" t="n">
        <v>16551329.5468</v>
      </c>
      <c r="AH24" s="15" t="n">
        <v>8533079.377599999</v>
      </c>
      <c r="AI24" s="15" t="n">
        <v>9406080.371200001</v>
      </c>
      <c r="AJ24" s="15" t="n">
        <v>20459969.802</v>
      </c>
      <c r="AK24" s="15" t="n">
        <v>2934289.7421</v>
      </c>
      <c r="AL24" s="15" t="n">
        <v>22429144.8969</v>
      </c>
      <c r="AM24" s="15" t="n">
        <v>11754809.9738</v>
      </c>
      <c r="AN24" s="15" t="n">
        <v>4985629.9363</v>
      </c>
      <c r="AO24" s="15" t="n">
        <v>27519080.163</v>
      </c>
      <c r="AP24" s="15" t="n">
        <v>16282300.6255</v>
      </c>
      <c r="AW24" s="15" t="n">
        <v>2</v>
      </c>
      <c r="AX24" s="15" t="n">
        <v>6878770.2088</v>
      </c>
      <c r="AY24" s="15" t="n">
        <v>4160458.0758</v>
      </c>
      <c r="AZ24" s="15" t="n">
        <v>12301143.338</v>
      </c>
      <c r="BA24" s="15" t="n">
        <v>104525329.9498</v>
      </c>
      <c r="BB24" s="15" t="n">
        <v>17313596.8686</v>
      </c>
      <c r="BC24" s="15" t="n">
        <v>16551329.5468</v>
      </c>
      <c r="BD24" s="15" t="n">
        <v>8533079.377599999</v>
      </c>
      <c r="BE24" s="15" t="n">
        <v>9406080.371200001</v>
      </c>
      <c r="BF24" s="15" t="n">
        <v>20459969.802</v>
      </c>
      <c r="BG24" s="15" t="n">
        <v>2934289.7421</v>
      </c>
      <c r="BH24" s="15" t="n">
        <v>22429144.8969</v>
      </c>
      <c r="BI24" s="15" t="n">
        <v>11754809.9738</v>
      </c>
      <c r="BJ24" s="15" t="n">
        <v>4985629.9363</v>
      </c>
      <c r="BK24" s="15" t="n">
        <v>27519080.163</v>
      </c>
      <c r="BL24" s="15" t="n">
        <v>16282300.6255</v>
      </c>
      <c r="BS24" s="15" t="n">
        <v>2</v>
      </c>
      <c r="BT24" s="15" t="n">
        <v>6878770.2088</v>
      </c>
      <c r="BU24" s="15" t="n">
        <v>4160458.0758</v>
      </c>
      <c r="BV24" s="15" t="n">
        <v>12301143.338</v>
      </c>
      <c r="BW24" s="15" t="n">
        <v>104525329.9498</v>
      </c>
      <c r="BX24" s="15" t="n">
        <v>17313596.8686</v>
      </c>
      <c r="BY24" s="15" t="n">
        <v>16551329.5468</v>
      </c>
      <c r="BZ24" s="15" t="n">
        <v>8533079.377599999</v>
      </c>
      <c r="CA24" s="15" t="n">
        <v>9406080.371200001</v>
      </c>
      <c r="CB24" s="15" t="n">
        <v>20459969.802</v>
      </c>
      <c r="CC24" s="15" t="n">
        <v>2934289.7421</v>
      </c>
      <c r="CD24" s="15" t="n">
        <v>22429144.8969</v>
      </c>
      <c r="CE24" s="15" t="n">
        <v>11754809.9738</v>
      </c>
      <c r="CF24" s="15" t="n">
        <v>4985629.9363</v>
      </c>
      <c r="CG24" s="15" t="n">
        <v>27519080.163</v>
      </c>
      <c r="CH24" s="15" t="n">
        <v>16282300.6255</v>
      </c>
      <c r="CO24" s="15" t="n">
        <v>2</v>
      </c>
      <c r="CP24" s="15" t="n">
        <v>6878770.2088</v>
      </c>
      <c r="CQ24" s="15" t="n">
        <v>4160458.0758</v>
      </c>
      <c r="CR24" s="15" t="n">
        <v>12301143.338</v>
      </c>
      <c r="CS24" s="15" t="n">
        <v>104525329.9498</v>
      </c>
      <c r="CT24" s="15" t="n">
        <v>17313596.8686</v>
      </c>
      <c r="CU24" s="15" t="n">
        <v>16551329.5468</v>
      </c>
      <c r="CV24" s="15" t="n">
        <v>8533079.377599999</v>
      </c>
      <c r="CW24" s="15" t="n">
        <v>9406080.371200001</v>
      </c>
      <c r="CX24" s="15" t="n">
        <v>20459969.802</v>
      </c>
      <c r="CY24" s="15" t="n">
        <v>2934289.7421</v>
      </c>
      <c r="CZ24" s="15" t="n">
        <v>22429144.8969</v>
      </c>
      <c r="DA24" s="15" t="n">
        <v>11754809.9738</v>
      </c>
      <c r="DB24" s="15" t="n">
        <v>4985629.9363</v>
      </c>
      <c r="DC24" s="15" t="n">
        <v>27519080.163</v>
      </c>
      <c r="DD24" s="15" t="n">
        <v>16282300.6255</v>
      </c>
      <c r="DK24" s="15" t="n">
        <v>2</v>
      </c>
      <c r="DL24" s="15" t="n">
        <v>6878770.2088</v>
      </c>
      <c r="DM24" s="15" t="n">
        <v>4160458.0758</v>
      </c>
      <c r="DN24" s="15" t="n">
        <v>12301143.338</v>
      </c>
      <c r="DO24" s="15" t="n">
        <v>104525329.9498</v>
      </c>
      <c r="DP24" s="15" t="n">
        <v>17313596.8686</v>
      </c>
      <c r="DQ24" s="15" t="n">
        <v>16551329.5468</v>
      </c>
      <c r="DR24" s="15" t="n">
        <v>8533079.377599999</v>
      </c>
      <c r="DS24" s="15" t="n">
        <v>9406080.371200001</v>
      </c>
      <c r="DT24" s="15" t="n">
        <v>20459969.802</v>
      </c>
      <c r="DU24" s="15" t="n">
        <v>2934289.7421</v>
      </c>
      <c r="DV24" s="15" t="n">
        <v>22429144.8969</v>
      </c>
      <c r="DW24" s="15" t="n">
        <v>11754809.9738</v>
      </c>
      <c r="DX24" s="15" t="n">
        <v>4985629.9363</v>
      </c>
      <c r="DY24" s="15" t="n">
        <v>27519080.163</v>
      </c>
      <c r="DZ24" s="15" t="n">
        <v>16282300.6255</v>
      </c>
      <c r="EG24" s="15" t="n">
        <v>2</v>
      </c>
      <c r="EH24" s="15" t="n">
        <v>6878770.2088</v>
      </c>
      <c r="EI24" s="15" t="n">
        <v>4160458.0758</v>
      </c>
      <c r="EJ24" s="15" t="n">
        <v>12301143.338</v>
      </c>
      <c r="EK24" s="15" t="n">
        <v>104525329.9498</v>
      </c>
      <c r="EL24" s="15" t="n">
        <v>17313596.8686</v>
      </c>
      <c r="EM24" s="15" t="n">
        <v>16551329.5468</v>
      </c>
      <c r="EN24" s="15" t="n">
        <v>8533079.377599999</v>
      </c>
      <c r="EO24" s="15" t="n">
        <v>9406080.371200001</v>
      </c>
      <c r="EP24" s="15" t="n">
        <v>20459969.802</v>
      </c>
      <c r="EQ24" s="15" t="n">
        <v>2934289.7421</v>
      </c>
      <c r="ER24" s="15" t="n">
        <v>22429144.8969</v>
      </c>
      <c r="ES24" s="15" t="n">
        <v>11754809.9738</v>
      </c>
      <c r="ET24" s="15" t="n">
        <v>4985629.9363</v>
      </c>
      <c r="EU24" s="15" t="n">
        <v>27519080.163</v>
      </c>
      <c r="EV24" s="15" t="n">
        <v>16282300.6255</v>
      </c>
      <c r="FC24" s="15" t="n">
        <v>2</v>
      </c>
      <c r="FD24" s="15" t="n">
        <v>6878770.2088</v>
      </c>
      <c r="FE24" s="15" t="n">
        <v>4160458.0758</v>
      </c>
      <c r="FF24" s="15" t="n">
        <v>12301143.338</v>
      </c>
      <c r="FG24" s="15" t="n">
        <v>104525329.9498</v>
      </c>
      <c r="FH24" s="15" t="n">
        <v>17313596.8686</v>
      </c>
      <c r="FI24" s="15" t="n">
        <v>16551329.5468</v>
      </c>
      <c r="FJ24" s="15" t="n">
        <v>8533079.377599999</v>
      </c>
      <c r="FK24" s="15" t="n">
        <v>9406080.371200001</v>
      </c>
      <c r="FL24" s="15" t="n">
        <v>20459969.802</v>
      </c>
      <c r="FM24" s="15" t="n">
        <v>2934289.7421</v>
      </c>
      <c r="FN24" s="15" t="n">
        <v>22429144.8969</v>
      </c>
      <c r="FO24" s="15" t="n">
        <v>11754809.9738</v>
      </c>
      <c r="FP24" s="15" t="n">
        <v>4985629.9363</v>
      </c>
      <c r="FQ24" s="15" t="n">
        <v>27519080.163</v>
      </c>
      <c r="FR24" s="15" t="n">
        <v>16282300.6255</v>
      </c>
      <c r="FY24" s="15" t="n">
        <v>2</v>
      </c>
      <c r="FZ24" s="15" t="n">
        <v>6878770.2088</v>
      </c>
      <c r="GA24" s="15" t="n">
        <v>4160458.0758</v>
      </c>
      <c r="GB24" s="15" t="n">
        <v>12301143.338</v>
      </c>
      <c r="GC24" s="15" t="n">
        <v>104525329.9498</v>
      </c>
      <c r="GD24" s="15" t="n">
        <v>17313596.8686</v>
      </c>
      <c r="GE24" s="15" t="n">
        <v>16551329.5468</v>
      </c>
      <c r="GF24" s="15" t="n">
        <v>8533079.377599999</v>
      </c>
      <c r="GG24" s="15" t="n">
        <v>9406080.371200001</v>
      </c>
      <c r="GH24" s="15" t="n">
        <v>20459969.802</v>
      </c>
      <c r="GI24" s="15" t="n">
        <v>2934289.7421</v>
      </c>
      <c r="GJ24" s="15" t="n">
        <v>22429144.8969</v>
      </c>
      <c r="GK24" s="15" t="n">
        <v>11754809.9738</v>
      </c>
      <c r="GL24" s="15" t="n">
        <v>4985629.9363</v>
      </c>
      <c r="GM24" s="15" t="n">
        <v>27519080.163</v>
      </c>
      <c r="GN24" s="15" t="n">
        <v>16282300.6255</v>
      </c>
      <c r="GU24" s="15" t="n">
        <v>2</v>
      </c>
      <c r="GV24" s="15" t="n">
        <v>6878770.2088</v>
      </c>
      <c r="GW24" s="15" t="n">
        <v>4160458.0758</v>
      </c>
      <c r="GX24" s="15" t="n">
        <v>12301143.338</v>
      </c>
      <c r="GY24" s="15" t="n">
        <v>104525329.9498</v>
      </c>
      <c r="GZ24" s="15" t="n">
        <v>17313596.8686</v>
      </c>
      <c r="HA24" s="15" t="n">
        <v>16551329.5468</v>
      </c>
      <c r="HB24" s="15" t="n">
        <v>8533079.377599999</v>
      </c>
      <c r="HC24" s="15" t="n">
        <v>9406080.371200001</v>
      </c>
      <c r="HD24" s="15" t="n">
        <v>20459969.802</v>
      </c>
      <c r="HE24" s="15" t="n">
        <v>2934289.7421</v>
      </c>
      <c r="HF24" s="15" t="n">
        <v>22429144.8969</v>
      </c>
      <c r="HG24" s="15" t="n">
        <v>11754809.9738</v>
      </c>
      <c r="HH24" s="15" t="n">
        <v>4985629.9363</v>
      </c>
      <c r="HI24" s="15" t="n">
        <v>27519080.163</v>
      </c>
      <c r="HJ24" s="15" t="n">
        <v>16282300.6255</v>
      </c>
    </row>
    <row r="25">
      <c r="C25" s="15" t="n">
        <v>3</v>
      </c>
      <c r="D25" s="15">
        <f>Supp_Fourth_central_moment_5var!D26</f>
        <v/>
      </c>
      <c r="E25" s="15">
        <f>Supp_Fourth_central_moment_5var!E26</f>
        <v/>
      </c>
      <c r="F25" s="15">
        <f>Supp_Fourth_central_moment_5var!F26</f>
        <v/>
      </c>
      <c r="G25" s="15">
        <f>Supp_Fourth_central_moment_5var!G26</f>
        <v/>
      </c>
      <c r="H25" s="15">
        <f>Supp_Fourth_central_moment_5var!H26</f>
        <v/>
      </c>
      <c r="I25" s="15">
        <f>Supp_Fourth_central_moment_5var!I26</f>
        <v/>
      </c>
      <c r="J25" s="15">
        <f>Supp_Fourth_central_moment_5var!J26</f>
        <v/>
      </c>
      <c r="K25" s="15">
        <f>Supp_Fourth_central_moment_5var!K26</f>
        <v/>
      </c>
      <c r="L25" s="15">
        <f>Supp_Fourth_central_moment_5var!L26</f>
        <v/>
      </c>
      <c r="M25" s="15">
        <f>Supp_Fourth_central_moment_5var!M26</f>
        <v/>
      </c>
      <c r="N25" s="15">
        <f>Supp_Fourth_central_moment_5var!N26</f>
        <v/>
      </c>
      <c r="O25" s="15">
        <f>Supp_Fourth_central_moment_5var!O26</f>
        <v/>
      </c>
      <c r="P25" s="15">
        <f>Supp_Fourth_central_moment_5var!P26</f>
        <v/>
      </c>
      <c r="Q25" s="15">
        <f>Supp_Fourth_central_moment_5var!Q26</f>
        <v/>
      </c>
      <c r="R25" s="15">
        <f>Supp_Fourth_central_moment_5var!R26</f>
        <v/>
      </c>
      <c r="AA25" s="15" t="n">
        <v>3</v>
      </c>
      <c r="AB25" s="15" t="n">
        <v>11418018.7927</v>
      </c>
      <c r="AC25" s="15" t="n">
        <v>16496157.3465</v>
      </c>
      <c r="AD25" s="15" t="n">
        <v>26265785.3228</v>
      </c>
      <c r="AE25" s="15" t="n">
        <v>29589068.0461</v>
      </c>
      <c r="AF25" s="15" t="n">
        <v>18192653.9497</v>
      </c>
      <c r="AG25" s="15" t="n">
        <v>8745660.9702</v>
      </c>
      <c r="AH25" s="15" t="n">
        <v>2328698.6894</v>
      </c>
      <c r="AI25" s="15" t="n">
        <v>27459812.5959</v>
      </c>
      <c r="AJ25" s="15" t="n">
        <v>24860351.3216</v>
      </c>
      <c r="AK25" s="15" t="n">
        <v>8627578.0834</v>
      </c>
      <c r="AL25" s="15" t="n">
        <v>3371880.7543</v>
      </c>
      <c r="AM25" s="15" t="n">
        <v>9817630.033399999</v>
      </c>
      <c r="AN25" s="15" t="n">
        <v>36082173.1028</v>
      </c>
      <c r="AO25" s="15" t="n">
        <v>23660992.7099</v>
      </c>
      <c r="AP25" s="15" t="n">
        <v>11348485.9642</v>
      </c>
      <c r="AW25" s="15" t="n">
        <v>3</v>
      </c>
      <c r="AX25" s="15" t="n">
        <v>11418018.7927</v>
      </c>
      <c r="AY25" s="15" t="n">
        <v>16496157.3465</v>
      </c>
      <c r="AZ25" s="15" t="n">
        <v>26265785.3228</v>
      </c>
      <c r="BA25" s="15" t="n">
        <v>29589068.0461</v>
      </c>
      <c r="BB25" s="15" t="n">
        <v>18192653.9497</v>
      </c>
      <c r="BC25" s="15" t="n">
        <v>8745660.9702</v>
      </c>
      <c r="BD25" s="15" t="n">
        <v>2328698.6894</v>
      </c>
      <c r="BE25" s="15" t="n">
        <v>27459812.5959</v>
      </c>
      <c r="BF25" s="15" t="n">
        <v>24860351.3216</v>
      </c>
      <c r="BG25" s="15" t="n">
        <v>8627578.0834</v>
      </c>
      <c r="BH25" s="15" t="n">
        <v>3371880.7543</v>
      </c>
      <c r="BI25" s="15" t="n">
        <v>9817630.033399999</v>
      </c>
      <c r="BJ25" s="15" t="n">
        <v>36082173.1028</v>
      </c>
      <c r="BK25" s="15" t="n">
        <v>23660992.7099</v>
      </c>
      <c r="BL25" s="15" t="n">
        <v>11348485.9642</v>
      </c>
      <c r="BS25" s="15" t="n">
        <v>3</v>
      </c>
      <c r="BT25" s="15" t="n">
        <v>11418018.7927</v>
      </c>
      <c r="BU25" s="15" t="n">
        <v>16496157.3465</v>
      </c>
      <c r="BV25" s="15" t="n">
        <v>26265785.3228</v>
      </c>
      <c r="BW25" s="15" t="n">
        <v>29589068.0461</v>
      </c>
      <c r="BX25" s="15" t="n">
        <v>18192653.9497</v>
      </c>
      <c r="BY25" s="15" t="n">
        <v>8745660.9702</v>
      </c>
      <c r="BZ25" s="15" t="n">
        <v>2328698.6894</v>
      </c>
      <c r="CA25" s="15" t="n">
        <v>27459812.5959</v>
      </c>
      <c r="CB25" s="15" t="n">
        <v>24860351.3216</v>
      </c>
      <c r="CC25" s="15" t="n">
        <v>8627578.0834</v>
      </c>
      <c r="CD25" s="15" t="n">
        <v>3371880.7543</v>
      </c>
      <c r="CE25" s="15" t="n">
        <v>9817630.033399999</v>
      </c>
      <c r="CF25" s="15" t="n">
        <v>36082173.1028</v>
      </c>
      <c r="CG25" s="15" t="n">
        <v>23660992.7099</v>
      </c>
      <c r="CH25" s="15" t="n">
        <v>11348485.9642</v>
      </c>
      <c r="CO25" s="15" t="n">
        <v>3</v>
      </c>
      <c r="CP25" s="15" t="n">
        <v>11418018.7927</v>
      </c>
      <c r="CQ25" s="15" t="n">
        <v>16496157.3465</v>
      </c>
      <c r="CR25" s="15" t="n">
        <v>26265785.3228</v>
      </c>
      <c r="CS25" s="15" t="n">
        <v>29589068.0461</v>
      </c>
      <c r="CT25" s="15" t="n">
        <v>18192653.9497</v>
      </c>
      <c r="CU25" s="15" t="n">
        <v>8745660.9702</v>
      </c>
      <c r="CV25" s="15" t="n">
        <v>2328698.6894</v>
      </c>
      <c r="CW25" s="15" t="n">
        <v>27459812.5959</v>
      </c>
      <c r="CX25" s="15" t="n">
        <v>24860351.3216</v>
      </c>
      <c r="CY25" s="15" t="n">
        <v>8627578.0834</v>
      </c>
      <c r="CZ25" s="15" t="n">
        <v>3371880.7543</v>
      </c>
      <c r="DA25" s="15" t="n">
        <v>9817630.033399999</v>
      </c>
      <c r="DB25" s="15" t="n">
        <v>36082173.1028</v>
      </c>
      <c r="DC25" s="15" t="n">
        <v>23660992.7099</v>
      </c>
      <c r="DD25" s="15" t="n">
        <v>11348485.9642</v>
      </c>
      <c r="DK25" s="15" t="n">
        <v>3</v>
      </c>
      <c r="DL25" s="15" t="n">
        <v>11418018.7927</v>
      </c>
      <c r="DM25" s="15" t="n">
        <v>16496157.3465</v>
      </c>
      <c r="DN25" s="15" t="n">
        <v>26265785.3228</v>
      </c>
      <c r="DO25" s="15" t="n">
        <v>29589068.0461</v>
      </c>
      <c r="DP25" s="15" t="n">
        <v>18192653.9497</v>
      </c>
      <c r="DQ25" s="15" t="n">
        <v>8745660.9702</v>
      </c>
      <c r="DR25" s="15" t="n">
        <v>2328698.6894</v>
      </c>
      <c r="DS25" s="15" t="n">
        <v>27459812.5959</v>
      </c>
      <c r="DT25" s="15" t="n">
        <v>24860351.3216</v>
      </c>
      <c r="DU25" s="15" t="n">
        <v>8627578.0834</v>
      </c>
      <c r="DV25" s="15" t="n">
        <v>3371880.7543</v>
      </c>
      <c r="DW25" s="15" t="n">
        <v>9817630.033399999</v>
      </c>
      <c r="DX25" s="15" t="n">
        <v>36082173.1028</v>
      </c>
      <c r="DY25" s="15" t="n">
        <v>23660992.7099</v>
      </c>
      <c r="DZ25" s="15" t="n">
        <v>11348485.9642</v>
      </c>
      <c r="EG25" s="15" t="n">
        <v>3</v>
      </c>
      <c r="EH25" s="15" t="n">
        <v>11418018.7927</v>
      </c>
      <c r="EI25" s="15" t="n">
        <v>16496157.3465</v>
      </c>
      <c r="EJ25" s="15" t="n">
        <v>26265785.3228</v>
      </c>
      <c r="EK25" s="15" t="n">
        <v>29589068.0461</v>
      </c>
      <c r="EL25" s="15" t="n">
        <v>18192653.9497</v>
      </c>
      <c r="EM25" s="15" t="n">
        <v>8745660.9702</v>
      </c>
      <c r="EN25" s="15" t="n">
        <v>2328698.6894</v>
      </c>
      <c r="EO25" s="15" t="n">
        <v>27459812.5959</v>
      </c>
      <c r="EP25" s="15" t="n">
        <v>24860351.3216</v>
      </c>
      <c r="EQ25" s="15" t="n">
        <v>8627578.0834</v>
      </c>
      <c r="ER25" s="15" t="n">
        <v>3371880.7543</v>
      </c>
      <c r="ES25" s="15" t="n">
        <v>9817630.033399999</v>
      </c>
      <c r="ET25" s="15" t="n">
        <v>36082173.1028</v>
      </c>
      <c r="EU25" s="15" t="n">
        <v>23660992.7099</v>
      </c>
      <c r="EV25" s="15" t="n">
        <v>11348485.9642</v>
      </c>
      <c r="FC25" s="15" t="n">
        <v>3</v>
      </c>
      <c r="FD25" s="15" t="n">
        <v>11418018.7927</v>
      </c>
      <c r="FE25" s="15" t="n">
        <v>16496157.3465</v>
      </c>
      <c r="FF25" s="15" t="n">
        <v>26265785.3228</v>
      </c>
      <c r="FG25" s="15" t="n">
        <v>29589068.0461</v>
      </c>
      <c r="FH25" s="15" t="n">
        <v>18192653.9497</v>
      </c>
      <c r="FI25" s="15" t="n">
        <v>8745660.9702</v>
      </c>
      <c r="FJ25" s="15" t="n">
        <v>2328698.6894</v>
      </c>
      <c r="FK25" s="15" t="n">
        <v>27459812.5959</v>
      </c>
      <c r="FL25" s="15" t="n">
        <v>24860351.3216</v>
      </c>
      <c r="FM25" s="15" t="n">
        <v>8627578.0834</v>
      </c>
      <c r="FN25" s="15" t="n">
        <v>3371880.7543</v>
      </c>
      <c r="FO25" s="15" t="n">
        <v>9817630.033399999</v>
      </c>
      <c r="FP25" s="15" t="n">
        <v>36082173.1028</v>
      </c>
      <c r="FQ25" s="15" t="n">
        <v>23660992.7099</v>
      </c>
      <c r="FR25" s="15" t="n">
        <v>11348485.9642</v>
      </c>
      <c r="FY25" s="15" t="n">
        <v>3</v>
      </c>
      <c r="FZ25" s="15" t="n">
        <v>11418018.7927</v>
      </c>
      <c r="GA25" s="15" t="n">
        <v>16496157.3465</v>
      </c>
      <c r="GB25" s="15" t="n">
        <v>26265785.3228</v>
      </c>
      <c r="GC25" s="15" t="n">
        <v>29589068.0461</v>
      </c>
      <c r="GD25" s="15" t="n">
        <v>18192653.9497</v>
      </c>
      <c r="GE25" s="15" t="n">
        <v>8745660.9702</v>
      </c>
      <c r="GF25" s="15" t="n">
        <v>2328698.6894</v>
      </c>
      <c r="GG25" s="15" t="n">
        <v>27459812.5959</v>
      </c>
      <c r="GH25" s="15" t="n">
        <v>24860351.3216</v>
      </c>
      <c r="GI25" s="15" t="n">
        <v>8627578.0834</v>
      </c>
      <c r="GJ25" s="15" t="n">
        <v>3371880.7543</v>
      </c>
      <c r="GK25" s="15" t="n">
        <v>9817630.033399999</v>
      </c>
      <c r="GL25" s="15" t="n">
        <v>36082173.1028</v>
      </c>
      <c r="GM25" s="15" t="n">
        <v>23660992.7099</v>
      </c>
      <c r="GN25" s="15" t="n">
        <v>11348485.9642</v>
      </c>
      <c r="GU25" s="15" t="n">
        <v>3</v>
      </c>
      <c r="GV25" s="15" t="n">
        <v>11418018.7927</v>
      </c>
      <c r="GW25" s="15" t="n">
        <v>16496157.3465</v>
      </c>
      <c r="GX25" s="15" t="n">
        <v>26265785.3228</v>
      </c>
      <c r="GY25" s="15" t="n">
        <v>29589068.0461</v>
      </c>
      <c r="GZ25" s="15" t="n">
        <v>18192653.9497</v>
      </c>
      <c r="HA25" s="15" t="n">
        <v>8745660.9702</v>
      </c>
      <c r="HB25" s="15" t="n">
        <v>2328698.6894</v>
      </c>
      <c r="HC25" s="15" t="n">
        <v>27459812.5959</v>
      </c>
      <c r="HD25" s="15" t="n">
        <v>24860351.3216</v>
      </c>
      <c r="HE25" s="15" t="n">
        <v>8627578.0834</v>
      </c>
      <c r="HF25" s="15" t="n">
        <v>3371880.7543</v>
      </c>
      <c r="HG25" s="15" t="n">
        <v>9817630.033399999</v>
      </c>
      <c r="HH25" s="15" t="n">
        <v>36082173.1028</v>
      </c>
      <c r="HI25" s="15" t="n">
        <v>23660992.7099</v>
      </c>
      <c r="HJ25" s="15" t="n">
        <v>11348485.9642</v>
      </c>
    </row>
    <row r="27">
      <c r="B27" s="69" t="n">
        <v>0.2</v>
      </c>
      <c r="C27" s="15" t="inlineStr">
        <is>
          <t>CV</t>
        </is>
      </c>
      <c r="D27" s="15" t="n">
        <v>1</v>
      </c>
      <c r="E27" s="15" t="n">
        <v>2</v>
      </c>
      <c r="F27" s="15" t="n">
        <v>3</v>
      </c>
      <c r="G27" s="15" t="n">
        <v>4</v>
      </c>
      <c r="H27" s="15" t="n">
        <v>5</v>
      </c>
      <c r="I27" s="15" t="n">
        <v>6</v>
      </c>
      <c r="J27" s="15" t="n">
        <v>7</v>
      </c>
      <c r="K27" s="15" t="n">
        <v>8</v>
      </c>
      <c r="L27" s="15" t="n">
        <v>9</v>
      </c>
      <c r="M27" s="15" t="n">
        <v>10</v>
      </c>
      <c r="N27" s="15" t="n">
        <v>11</v>
      </c>
      <c r="O27" s="15" t="n">
        <v>12</v>
      </c>
      <c r="P27" s="15" t="n">
        <v>13</v>
      </c>
      <c r="Q27" s="15" t="n">
        <v>14</v>
      </c>
      <c r="R27" s="15" t="n">
        <v>15</v>
      </c>
      <c r="Z27" s="15" t="n">
        <v>0.2</v>
      </c>
      <c r="AA27" s="15" t="inlineStr">
        <is>
          <t>CV</t>
        </is>
      </c>
      <c r="AB27" s="15" t="n">
        <v>1</v>
      </c>
      <c r="AC27" s="15" t="n">
        <v>2</v>
      </c>
      <c r="AD27" s="15" t="n">
        <v>3</v>
      </c>
      <c r="AE27" s="15" t="n">
        <v>4</v>
      </c>
      <c r="AF27" s="15" t="n">
        <v>5</v>
      </c>
      <c r="AG27" s="15" t="n">
        <v>6</v>
      </c>
      <c r="AH27" s="15" t="n">
        <v>7</v>
      </c>
      <c r="AI27" s="15" t="n">
        <v>8</v>
      </c>
      <c r="AJ27" s="15" t="n">
        <v>9</v>
      </c>
      <c r="AK27" s="15" t="n">
        <v>10</v>
      </c>
      <c r="AL27" s="15" t="n">
        <v>11</v>
      </c>
      <c r="AM27" s="15" t="n">
        <v>12</v>
      </c>
      <c r="AN27" s="15" t="n">
        <v>13</v>
      </c>
      <c r="AO27" s="15" t="n">
        <v>14</v>
      </c>
      <c r="AP27" s="15" t="n">
        <v>15</v>
      </c>
      <c r="AV27" s="15" t="n">
        <v>0.2</v>
      </c>
      <c r="AW27" s="15" t="inlineStr">
        <is>
          <t>CV</t>
        </is>
      </c>
      <c r="AX27" s="15" t="n">
        <v>1</v>
      </c>
      <c r="AY27" s="15" t="n">
        <v>2</v>
      </c>
      <c r="AZ27" s="15" t="n">
        <v>3</v>
      </c>
      <c r="BA27" s="15" t="n">
        <v>4</v>
      </c>
      <c r="BB27" s="15" t="n">
        <v>5</v>
      </c>
      <c r="BC27" s="15" t="n">
        <v>6</v>
      </c>
      <c r="BD27" s="15" t="n">
        <v>7</v>
      </c>
      <c r="BE27" s="15" t="n">
        <v>8</v>
      </c>
      <c r="BF27" s="15" t="n">
        <v>9</v>
      </c>
      <c r="BG27" s="15" t="n">
        <v>10</v>
      </c>
      <c r="BH27" s="15" t="n">
        <v>11</v>
      </c>
      <c r="BI27" s="15" t="n">
        <v>12</v>
      </c>
      <c r="BJ27" s="15" t="n">
        <v>13</v>
      </c>
      <c r="BK27" s="15" t="n">
        <v>14</v>
      </c>
      <c r="BL27" s="15" t="n">
        <v>15</v>
      </c>
      <c r="BR27" s="15" t="n">
        <v>0.2</v>
      </c>
      <c r="BS27" s="15" t="inlineStr">
        <is>
          <t>CV</t>
        </is>
      </c>
      <c r="BT27" s="15" t="n">
        <v>1</v>
      </c>
      <c r="BU27" s="15" t="n">
        <v>2</v>
      </c>
      <c r="BV27" s="15" t="n">
        <v>3</v>
      </c>
      <c r="BW27" s="15" t="n">
        <v>4</v>
      </c>
      <c r="BX27" s="15" t="n">
        <v>5</v>
      </c>
      <c r="BY27" s="15" t="n">
        <v>6</v>
      </c>
      <c r="BZ27" s="15" t="n">
        <v>7</v>
      </c>
      <c r="CA27" s="15" t="n">
        <v>8</v>
      </c>
      <c r="CB27" s="15" t="n">
        <v>9</v>
      </c>
      <c r="CC27" s="15" t="n">
        <v>10</v>
      </c>
      <c r="CD27" s="15" t="n">
        <v>11</v>
      </c>
      <c r="CE27" s="15" t="n">
        <v>12</v>
      </c>
      <c r="CF27" s="15" t="n">
        <v>13</v>
      </c>
      <c r="CG27" s="15" t="n">
        <v>14</v>
      </c>
      <c r="CH27" s="15" t="n">
        <v>15</v>
      </c>
      <c r="CN27" s="15" t="n">
        <v>0.2</v>
      </c>
      <c r="CO27" s="15" t="inlineStr">
        <is>
          <t>CV</t>
        </is>
      </c>
      <c r="CP27" s="15" t="n">
        <v>1</v>
      </c>
      <c r="CQ27" s="15" t="n">
        <v>2</v>
      </c>
      <c r="CR27" s="15" t="n">
        <v>3</v>
      </c>
      <c r="CS27" s="15" t="n">
        <v>4</v>
      </c>
      <c r="CT27" s="15" t="n">
        <v>5</v>
      </c>
      <c r="CU27" s="15" t="n">
        <v>6</v>
      </c>
      <c r="CV27" s="15" t="n">
        <v>7</v>
      </c>
      <c r="CW27" s="15" t="n">
        <v>8</v>
      </c>
      <c r="CX27" s="15" t="n">
        <v>9</v>
      </c>
      <c r="CY27" s="15" t="n">
        <v>10</v>
      </c>
      <c r="CZ27" s="15" t="n">
        <v>11</v>
      </c>
      <c r="DA27" s="15" t="n">
        <v>12</v>
      </c>
      <c r="DB27" s="15" t="n">
        <v>13</v>
      </c>
      <c r="DC27" s="15" t="n">
        <v>14</v>
      </c>
      <c r="DD27" s="15" t="n">
        <v>15</v>
      </c>
      <c r="DJ27" s="15" t="n">
        <v>0.2</v>
      </c>
      <c r="DK27" s="15" t="inlineStr">
        <is>
          <t>CV</t>
        </is>
      </c>
      <c r="DL27" s="15" t="n">
        <v>1</v>
      </c>
      <c r="DM27" s="15" t="n">
        <v>2</v>
      </c>
      <c r="DN27" s="15" t="n">
        <v>3</v>
      </c>
      <c r="DO27" s="15" t="n">
        <v>4</v>
      </c>
      <c r="DP27" s="15" t="n">
        <v>5</v>
      </c>
      <c r="DQ27" s="15" t="n">
        <v>6</v>
      </c>
      <c r="DR27" s="15" t="n">
        <v>7</v>
      </c>
      <c r="DS27" s="15" t="n">
        <v>8</v>
      </c>
      <c r="DT27" s="15" t="n">
        <v>9</v>
      </c>
      <c r="DU27" s="15" t="n">
        <v>10</v>
      </c>
      <c r="DV27" s="15" t="n">
        <v>11</v>
      </c>
      <c r="DW27" s="15" t="n">
        <v>12</v>
      </c>
      <c r="DX27" s="15" t="n">
        <v>13</v>
      </c>
      <c r="DY27" s="15" t="n">
        <v>14</v>
      </c>
      <c r="DZ27" s="15" t="n">
        <v>15</v>
      </c>
      <c r="EF27" s="15" t="n">
        <v>0.2</v>
      </c>
      <c r="EG27" s="15" t="inlineStr">
        <is>
          <t>CV</t>
        </is>
      </c>
      <c r="EH27" s="15" t="n">
        <v>1</v>
      </c>
      <c r="EI27" s="15" t="n">
        <v>2</v>
      </c>
      <c r="EJ27" s="15" t="n">
        <v>3</v>
      </c>
      <c r="EK27" s="15" t="n">
        <v>4</v>
      </c>
      <c r="EL27" s="15" t="n">
        <v>5</v>
      </c>
      <c r="EM27" s="15" t="n">
        <v>6</v>
      </c>
      <c r="EN27" s="15" t="n">
        <v>7</v>
      </c>
      <c r="EO27" s="15" t="n">
        <v>8</v>
      </c>
      <c r="EP27" s="15" t="n">
        <v>9</v>
      </c>
      <c r="EQ27" s="15" t="n">
        <v>10</v>
      </c>
      <c r="ER27" s="15" t="n">
        <v>11</v>
      </c>
      <c r="ES27" s="15" t="n">
        <v>12</v>
      </c>
      <c r="ET27" s="15" t="n">
        <v>13</v>
      </c>
      <c r="EU27" s="15" t="n">
        <v>14</v>
      </c>
      <c r="EV27" s="15" t="n">
        <v>15</v>
      </c>
      <c r="FB27" s="15" t="n">
        <v>0.2</v>
      </c>
      <c r="FC27" s="15" t="inlineStr">
        <is>
          <t>CV</t>
        </is>
      </c>
      <c r="FD27" s="15" t="n">
        <v>1</v>
      </c>
      <c r="FE27" s="15" t="n">
        <v>2</v>
      </c>
      <c r="FF27" s="15" t="n">
        <v>3</v>
      </c>
      <c r="FG27" s="15" t="n">
        <v>4</v>
      </c>
      <c r="FH27" s="15" t="n">
        <v>5</v>
      </c>
      <c r="FI27" s="15" t="n">
        <v>6</v>
      </c>
      <c r="FJ27" s="15" t="n">
        <v>7</v>
      </c>
      <c r="FK27" s="15" t="n">
        <v>8</v>
      </c>
      <c r="FL27" s="15" t="n">
        <v>9</v>
      </c>
      <c r="FM27" s="15" t="n">
        <v>10</v>
      </c>
      <c r="FN27" s="15" t="n">
        <v>11</v>
      </c>
      <c r="FO27" s="15" t="n">
        <v>12</v>
      </c>
      <c r="FP27" s="15" t="n">
        <v>13</v>
      </c>
      <c r="FQ27" s="15" t="n">
        <v>14</v>
      </c>
      <c r="FR27" s="15" t="n">
        <v>15</v>
      </c>
      <c r="FX27" s="15" t="n">
        <v>0.2</v>
      </c>
      <c r="FY27" s="15" t="inlineStr">
        <is>
          <t>CV</t>
        </is>
      </c>
      <c r="FZ27" s="15" t="n">
        <v>1</v>
      </c>
      <c r="GA27" s="15" t="n">
        <v>2</v>
      </c>
      <c r="GB27" s="15" t="n">
        <v>3</v>
      </c>
      <c r="GC27" s="15" t="n">
        <v>4</v>
      </c>
      <c r="GD27" s="15" t="n">
        <v>5</v>
      </c>
      <c r="GE27" s="15" t="n">
        <v>6</v>
      </c>
      <c r="GF27" s="15" t="n">
        <v>7</v>
      </c>
      <c r="GG27" s="15" t="n">
        <v>8</v>
      </c>
      <c r="GH27" s="15" t="n">
        <v>9</v>
      </c>
      <c r="GI27" s="15" t="n">
        <v>10</v>
      </c>
      <c r="GJ27" s="15" t="n">
        <v>11</v>
      </c>
      <c r="GK27" s="15" t="n">
        <v>12</v>
      </c>
      <c r="GL27" s="15" t="n">
        <v>13</v>
      </c>
      <c r="GM27" s="15" t="n">
        <v>14</v>
      </c>
      <c r="GN27" s="15" t="n">
        <v>15</v>
      </c>
      <c r="GT27" s="15" t="n">
        <v>0.2</v>
      </c>
      <c r="GU27" s="15" t="inlineStr">
        <is>
          <t>CV</t>
        </is>
      </c>
      <c r="GV27" s="15" t="n">
        <v>1</v>
      </c>
      <c r="GW27" s="15" t="n">
        <v>2</v>
      </c>
      <c r="GX27" s="15" t="n">
        <v>3</v>
      </c>
      <c r="GY27" s="15" t="n">
        <v>4</v>
      </c>
      <c r="GZ27" s="15" t="n">
        <v>5</v>
      </c>
      <c r="HA27" s="15" t="n">
        <v>6</v>
      </c>
      <c r="HB27" s="15" t="n">
        <v>7</v>
      </c>
      <c r="HC27" s="15" t="n">
        <v>8</v>
      </c>
      <c r="HD27" s="15" t="n">
        <v>9</v>
      </c>
      <c r="HE27" s="15" t="n">
        <v>10</v>
      </c>
      <c r="HF27" s="15" t="n">
        <v>11</v>
      </c>
      <c r="HG27" s="15" t="n">
        <v>12</v>
      </c>
      <c r="HH27" s="15" t="n">
        <v>13</v>
      </c>
      <c r="HI27" s="15" t="n">
        <v>14</v>
      </c>
      <c r="HJ27" s="15" t="n">
        <v>15</v>
      </c>
    </row>
    <row r="28">
      <c r="B28" s="70" t="n">
        <v>0.2</v>
      </c>
      <c r="C28" s="15" t="n">
        <v>1</v>
      </c>
      <c r="D28" s="70">
        <f>$B$27</f>
        <v/>
      </c>
      <c r="E28" s="70">
        <f>$B$27</f>
        <v/>
      </c>
      <c r="F28" s="70">
        <f>$B$27</f>
        <v/>
      </c>
      <c r="G28" s="70">
        <f>$B$27</f>
        <v/>
      </c>
      <c r="H28" s="70">
        <f>$B$27</f>
        <v/>
      </c>
      <c r="I28" s="70">
        <f>$B$27</f>
        <v/>
      </c>
      <c r="J28" s="70">
        <f>$B$27</f>
        <v/>
      </c>
      <c r="K28" s="70">
        <f>$B$27</f>
        <v/>
      </c>
      <c r="L28" s="70">
        <f>$B$27</f>
        <v/>
      </c>
      <c r="M28" s="70">
        <f>$B$27</f>
        <v/>
      </c>
      <c r="N28" s="70">
        <f>$B$27</f>
        <v/>
      </c>
      <c r="O28" s="70">
        <f>$B$27</f>
        <v/>
      </c>
      <c r="P28" s="70">
        <f>$B$27</f>
        <v/>
      </c>
      <c r="Q28" s="70">
        <f>$B$27</f>
        <v/>
      </c>
      <c r="R28" s="70">
        <f>$B$27</f>
        <v/>
      </c>
      <c r="T28" s="39">
        <f>SUM(D28:R30)</f>
        <v/>
      </c>
      <c r="U28" s="39" t="n">
        <v>9</v>
      </c>
      <c r="V28" s="39">
        <f>T28-U28</f>
        <v/>
      </c>
      <c r="W28" s="39" t="n"/>
      <c r="X28" s="39" t="n"/>
      <c r="Z28" s="15" t="n">
        <v>0.2</v>
      </c>
      <c r="AA28" s="15" t="n">
        <v>1</v>
      </c>
      <c r="AB28" s="15" t="n">
        <v>0.2</v>
      </c>
      <c r="AC28" s="15" t="n">
        <v>0.2</v>
      </c>
      <c r="AD28" s="15" t="n">
        <v>0.2</v>
      </c>
      <c r="AE28" s="15" t="n">
        <v>0.2</v>
      </c>
      <c r="AF28" s="15" t="n">
        <v>0.2</v>
      </c>
      <c r="AG28" s="15" t="n">
        <v>0.2</v>
      </c>
      <c r="AH28" s="15" t="n">
        <v>0.2</v>
      </c>
      <c r="AI28" s="15" t="n">
        <v>0.2</v>
      </c>
      <c r="AJ28" s="15" t="n">
        <v>0.2</v>
      </c>
      <c r="AK28" s="15" t="n">
        <v>0.2</v>
      </c>
      <c r="AL28" s="15" t="n">
        <v>0.2</v>
      </c>
      <c r="AM28" s="15" t="n">
        <v>0.2</v>
      </c>
      <c r="AN28" s="15" t="n">
        <v>0.2</v>
      </c>
      <c r="AO28" s="15" t="n">
        <v>0.2</v>
      </c>
      <c r="AP28" s="15" t="n">
        <v>0.2</v>
      </c>
      <c r="AV28" s="15" t="n">
        <v>0.2</v>
      </c>
      <c r="AW28" s="15" t="n">
        <v>1</v>
      </c>
      <c r="AX28" s="15" t="n">
        <v>0.2</v>
      </c>
      <c r="AY28" s="15" t="n">
        <v>0.2</v>
      </c>
      <c r="AZ28" s="15" t="n">
        <v>0.2</v>
      </c>
      <c r="BA28" s="15" t="n">
        <v>0.2</v>
      </c>
      <c r="BB28" s="15" t="n">
        <v>0.2</v>
      </c>
      <c r="BC28" s="15" t="n">
        <v>0.2</v>
      </c>
      <c r="BD28" s="15" t="n">
        <v>0.2</v>
      </c>
      <c r="BE28" s="15" t="n">
        <v>0.2</v>
      </c>
      <c r="BF28" s="15" t="n">
        <v>0.2</v>
      </c>
      <c r="BG28" s="15" t="n">
        <v>0.2</v>
      </c>
      <c r="BH28" s="15" t="n">
        <v>0.2</v>
      </c>
      <c r="BI28" s="15" t="n">
        <v>0.2</v>
      </c>
      <c r="BJ28" s="15" t="n">
        <v>0.2</v>
      </c>
      <c r="BK28" s="15" t="n">
        <v>0.2</v>
      </c>
      <c r="BL28" s="15" t="n">
        <v>0.2</v>
      </c>
      <c r="BR28" s="15" t="n">
        <v>0.2</v>
      </c>
      <c r="BS28" s="15" t="n">
        <v>1</v>
      </c>
      <c r="BT28" s="15" t="n">
        <v>0.2</v>
      </c>
      <c r="BU28" s="15" t="n">
        <v>0.2</v>
      </c>
      <c r="BV28" s="15" t="n">
        <v>0.2</v>
      </c>
      <c r="BW28" s="15" t="n">
        <v>0.2</v>
      </c>
      <c r="BX28" s="15" t="n">
        <v>0.2</v>
      </c>
      <c r="BY28" s="15" t="n">
        <v>0.2</v>
      </c>
      <c r="BZ28" s="15" t="n">
        <v>0.2</v>
      </c>
      <c r="CA28" s="15" t="n">
        <v>0.2</v>
      </c>
      <c r="CB28" s="15" t="n">
        <v>0.2</v>
      </c>
      <c r="CC28" s="15" t="n">
        <v>0.2</v>
      </c>
      <c r="CD28" s="15" t="n">
        <v>0.2</v>
      </c>
      <c r="CE28" s="15" t="n">
        <v>0.2</v>
      </c>
      <c r="CF28" s="15" t="n">
        <v>0.2</v>
      </c>
      <c r="CG28" s="15" t="n">
        <v>0.2</v>
      </c>
      <c r="CH28" s="15" t="n">
        <v>0.2</v>
      </c>
      <c r="CN28" s="15" t="n">
        <v>0.2</v>
      </c>
      <c r="CO28" s="15" t="n">
        <v>1</v>
      </c>
      <c r="CP28" s="15" t="n">
        <v>0.2</v>
      </c>
      <c r="CQ28" s="15" t="n">
        <v>0.2</v>
      </c>
      <c r="CR28" s="15" t="n">
        <v>0.2</v>
      </c>
      <c r="CS28" s="15" t="n">
        <v>0.2</v>
      </c>
      <c r="CT28" s="15" t="n">
        <v>0.2</v>
      </c>
      <c r="CU28" s="15" t="n">
        <v>0.2</v>
      </c>
      <c r="CV28" s="15" t="n">
        <v>0.2</v>
      </c>
      <c r="CW28" s="15" t="n">
        <v>0.2</v>
      </c>
      <c r="CX28" s="15" t="n">
        <v>0.2</v>
      </c>
      <c r="CY28" s="15" t="n">
        <v>0.2</v>
      </c>
      <c r="CZ28" s="15" t="n">
        <v>0.2</v>
      </c>
      <c r="DA28" s="15" t="n">
        <v>0.2</v>
      </c>
      <c r="DB28" s="15" t="n">
        <v>0.2</v>
      </c>
      <c r="DC28" s="15" t="n">
        <v>0.2</v>
      </c>
      <c r="DD28" s="15" t="n">
        <v>0.2</v>
      </c>
      <c r="DJ28" s="15" t="n">
        <v>0.2</v>
      </c>
      <c r="DK28" s="15" t="n">
        <v>1</v>
      </c>
      <c r="DL28" s="15" t="n">
        <v>0.2</v>
      </c>
      <c r="DM28" s="15" t="n">
        <v>0.2</v>
      </c>
      <c r="DN28" s="15" t="n">
        <v>0.2</v>
      </c>
      <c r="DO28" s="15" t="n">
        <v>0.2</v>
      </c>
      <c r="DP28" s="15" t="n">
        <v>0.2</v>
      </c>
      <c r="DQ28" s="15" t="n">
        <v>0.2</v>
      </c>
      <c r="DR28" s="15" t="n">
        <v>0.2</v>
      </c>
      <c r="DS28" s="15" t="n">
        <v>0.2</v>
      </c>
      <c r="DT28" s="15" t="n">
        <v>0.2</v>
      </c>
      <c r="DU28" s="15" t="n">
        <v>0.2</v>
      </c>
      <c r="DV28" s="15" t="n">
        <v>0.2</v>
      </c>
      <c r="DW28" s="15" t="n">
        <v>0.2</v>
      </c>
      <c r="DX28" s="15" t="n">
        <v>0.2</v>
      </c>
      <c r="DY28" s="15" t="n">
        <v>0.2</v>
      </c>
      <c r="DZ28" s="15" t="n">
        <v>0.2</v>
      </c>
      <c r="EF28" s="15" t="n">
        <v>0.2</v>
      </c>
      <c r="EG28" s="15" t="n">
        <v>1</v>
      </c>
      <c r="EH28" s="15" t="n">
        <v>0.2</v>
      </c>
      <c r="EI28" s="15" t="n">
        <v>0.2</v>
      </c>
      <c r="EJ28" s="15" t="n">
        <v>0.2</v>
      </c>
      <c r="EK28" s="15" t="n">
        <v>0.2</v>
      </c>
      <c r="EL28" s="15" t="n">
        <v>0.2</v>
      </c>
      <c r="EM28" s="15" t="n">
        <v>0.2</v>
      </c>
      <c r="EN28" s="15" t="n">
        <v>0.2</v>
      </c>
      <c r="EO28" s="15" t="n">
        <v>0.2</v>
      </c>
      <c r="EP28" s="15" t="n">
        <v>0.2</v>
      </c>
      <c r="EQ28" s="15" t="n">
        <v>0.2</v>
      </c>
      <c r="ER28" s="15" t="n">
        <v>0.2</v>
      </c>
      <c r="ES28" s="15" t="n">
        <v>0.2</v>
      </c>
      <c r="ET28" s="15" t="n">
        <v>0.2</v>
      </c>
      <c r="EU28" s="15" t="n">
        <v>0.2</v>
      </c>
      <c r="EV28" s="15" t="n">
        <v>0.2</v>
      </c>
      <c r="FB28" s="15" t="n">
        <v>0.2</v>
      </c>
      <c r="FC28" s="15" t="n">
        <v>1</v>
      </c>
      <c r="FD28" s="15" t="n">
        <v>0.2</v>
      </c>
      <c r="FE28" s="15" t="n">
        <v>0.2</v>
      </c>
      <c r="FF28" s="15" t="n">
        <v>0.2</v>
      </c>
      <c r="FG28" s="15" t="n">
        <v>0.2</v>
      </c>
      <c r="FH28" s="15" t="n">
        <v>0.2</v>
      </c>
      <c r="FI28" s="15" t="n">
        <v>0.2</v>
      </c>
      <c r="FJ28" s="15" t="n">
        <v>0.2</v>
      </c>
      <c r="FK28" s="15" t="n">
        <v>0.2</v>
      </c>
      <c r="FL28" s="15" t="n">
        <v>0.2</v>
      </c>
      <c r="FM28" s="15" t="n">
        <v>0.2</v>
      </c>
      <c r="FN28" s="15" t="n">
        <v>0.2</v>
      </c>
      <c r="FO28" s="15" t="n">
        <v>0.2</v>
      </c>
      <c r="FP28" s="15" t="n">
        <v>0.2</v>
      </c>
      <c r="FQ28" s="15" t="n">
        <v>0.2</v>
      </c>
      <c r="FR28" s="15" t="n">
        <v>0.2</v>
      </c>
      <c r="FX28" s="15" t="n">
        <v>0.2</v>
      </c>
      <c r="FY28" s="15" t="n">
        <v>1</v>
      </c>
      <c r="FZ28" s="15" t="n">
        <v>0.2</v>
      </c>
      <c r="GA28" s="15" t="n">
        <v>0.2</v>
      </c>
      <c r="GB28" s="15" t="n">
        <v>0.2</v>
      </c>
      <c r="GC28" s="15" t="n">
        <v>0.2</v>
      </c>
      <c r="GD28" s="15" t="n">
        <v>0.2</v>
      </c>
      <c r="GE28" s="15" t="n">
        <v>0.2</v>
      </c>
      <c r="GF28" s="15" t="n">
        <v>0.2</v>
      </c>
      <c r="GG28" s="15" t="n">
        <v>0.2</v>
      </c>
      <c r="GH28" s="15" t="n">
        <v>0.2</v>
      </c>
      <c r="GI28" s="15" t="n">
        <v>0.2</v>
      </c>
      <c r="GJ28" s="15" t="n">
        <v>0.2</v>
      </c>
      <c r="GK28" s="15" t="n">
        <v>0.2</v>
      </c>
      <c r="GL28" s="15" t="n">
        <v>0.2</v>
      </c>
      <c r="GM28" s="15" t="n">
        <v>0.2</v>
      </c>
      <c r="GN28" s="15" t="n">
        <v>0.2</v>
      </c>
      <c r="GT28" s="15" t="n">
        <v>0.2</v>
      </c>
      <c r="GU28" s="15" t="n">
        <v>1</v>
      </c>
      <c r="GV28" s="15" t="n">
        <v>0.2</v>
      </c>
      <c r="GW28" s="15" t="n">
        <v>0.2</v>
      </c>
      <c r="GX28" s="15" t="n">
        <v>0.2</v>
      </c>
      <c r="GY28" s="15" t="n">
        <v>0.2</v>
      </c>
      <c r="GZ28" s="15" t="n">
        <v>0.2</v>
      </c>
      <c r="HA28" s="15" t="n">
        <v>0.2</v>
      </c>
      <c r="HB28" s="15" t="n">
        <v>0.2</v>
      </c>
      <c r="HC28" s="15" t="n">
        <v>0.2</v>
      </c>
      <c r="HD28" s="15" t="n">
        <v>0.2</v>
      </c>
      <c r="HE28" s="15" t="n">
        <v>0.2</v>
      </c>
      <c r="HF28" s="15" t="n">
        <v>0.2</v>
      </c>
      <c r="HG28" s="15" t="n">
        <v>0.2</v>
      </c>
      <c r="HH28" s="15" t="n">
        <v>0.2</v>
      </c>
      <c r="HI28" s="15" t="n">
        <v>0.2</v>
      </c>
      <c r="HJ28" s="15" t="n">
        <v>0.2</v>
      </c>
    </row>
    <row r="29">
      <c r="B29" s="70" t="n">
        <v>0.6</v>
      </c>
      <c r="C29" s="15" t="n">
        <v>2</v>
      </c>
      <c r="D29" s="70">
        <f>$B$27</f>
        <v/>
      </c>
      <c r="E29" s="70">
        <f>$B$27</f>
        <v/>
      </c>
      <c r="F29" s="70">
        <f>$B$27</f>
        <v/>
      </c>
      <c r="G29" s="70">
        <f>$B$27</f>
        <v/>
      </c>
      <c r="H29" s="70">
        <f>$B$27</f>
        <v/>
      </c>
      <c r="I29" s="70">
        <f>$B$27</f>
        <v/>
      </c>
      <c r="J29" s="70">
        <f>$B$27</f>
        <v/>
      </c>
      <c r="K29" s="70">
        <f>$B$27</f>
        <v/>
      </c>
      <c r="L29" s="70">
        <f>$B$27</f>
        <v/>
      </c>
      <c r="M29" s="70">
        <f>$B$27</f>
        <v/>
      </c>
      <c r="N29" s="70">
        <f>$B$27</f>
        <v/>
      </c>
      <c r="O29" s="70">
        <f>$B$27</f>
        <v/>
      </c>
      <c r="P29" s="70">
        <f>$B$27</f>
        <v/>
      </c>
      <c r="Q29" s="70">
        <f>$B$27</f>
        <v/>
      </c>
      <c r="R29" s="70">
        <f>$B$27</f>
        <v/>
      </c>
      <c r="Z29" s="15" t="n">
        <v>0.6</v>
      </c>
      <c r="AA29" s="15" t="n">
        <v>2</v>
      </c>
      <c r="AB29" s="15" t="n">
        <v>0.2</v>
      </c>
      <c r="AC29" s="15" t="n">
        <v>0.2</v>
      </c>
      <c r="AD29" s="15" t="n">
        <v>0.2</v>
      </c>
      <c r="AE29" s="15" t="n">
        <v>0.2</v>
      </c>
      <c r="AF29" s="15" t="n">
        <v>0.2</v>
      </c>
      <c r="AG29" s="15" t="n">
        <v>0.2</v>
      </c>
      <c r="AH29" s="15" t="n">
        <v>0.2</v>
      </c>
      <c r="AI29" s="15" t="n">
        <v>0.2</v>
      </c>
      <c r="AJ29" s="15" t="n">
        <v>0.2</v>
      </c>
      <c r="AK29" s="15" t="n">
        <v>0.2</v>
      </c>
      <c r="AL29" s="15" t="n">
        <v>0.2</v>
      </c>
      <c r="AM29" s="15" t="n">
        <v>0.2</v>
      </c>
      <c r="AN29" s="15" t="n">
        <v>0.2</v>
      </c>
      <c r="AO29" s="15" t="n">
        <v>0.2</v>
      </c>
      <c r="AP29" s="15" t="n">
        <v>0.2</v>
      </c>
      <c r="AV29" s="15" t="n">
        <v>0.6</v>
      </c>
      <c r="AW29" s="15" t="n">
        <v>2</v>
      </c>
      <c r="AX29" s="15" t="n">
        <v>0.2</v>
      </c>
      <c r="AY29" s="15" t="n">
        <v>0.2</v>
      </c>
      <c r="AZ29" s="15" t="n">
        <v>0.2</v>
      </c>
      <c r="BA29" s="15" t="n">
        <v>0.2</v>
      </c>
      <c r="BB29" s="15" t="n">
        <v>0.2</v>
      </c>
      <c r="BC29" s="15" t="n">
        <v>0.2</v>
      </c>
      <c r="BD29" s="15" t="n">
        <v>0.2</v>
      </c>
      <c r="BE29" s="15" t="n">
        <v>0.2</v>
      </c>
      <c r="BF29" s="15" t="n">
        <v>0.2</v>
      </c>
      <c r="BG29" s="15" t="n">
        <v>0.2</v>
      </c>
      <c r="BH29" s="15" t="n">
        <v>0.2</v>
      </c>
      <c r="BI29" s="15" t="n">
        <v>0.2</v>
      </c>
      <c r="BJ29" s="15" t="n">
        <v>0.2</v>
      </c>
      <c r="BK29" s="15" t="n">
        <v>0.2</v>
      </c>
      <c r="BL29" s="15" t="n">
        <v>0.2</v>
      </c>
      <c r="BR29" s="15" t="n">
        <v>0.6</v>
      </c>
      <c r="BS29" s="15" t="n">
        <v>2</v>
      </c>
      <c r="BT29" s="15" t="n">
        <v>0.2</v>
      </c>
      <c r="BU29" s="15" t="n">
        <v>0.2</v>
      </c>
      <c r="BV29" s="15" t="n">
        <v>0.2</v>
      </c>
      <c r="BW29" s="15" t="n">
        <v>0.2</v>
      </c>
      <c r="BX29" s="15" t="n">
        <v>0.2</v>
      </c>
      <c r="BY29" s="15" t="n">
        <v>0.2</v>
      </c>
      <c r="BZ29" s="15" t="n">
        <v>0.2</v>
      </c>
      <c r="CA29" s="15" t="n">
        <v>0.2</v>
      </c>
      <c r="CB29" s="15" t="n">
        <v>0.2</v>
      </c>
      <c r="CC29" s="15" t="n">
        <v>0.2</v>
      </c>
      <c r="CD29" s="15" t="n">
        <v>0.2</v>
      </c>
      <c r="CE29" s="15" t="n">
        <v>0.2</v>
      </c>
      <c r="CF29" s="15" t="n">
        <v>0.2</v>
      </c>
      <c r="CG29" s="15" t="n">
        <v>0.2</v>
      </c>
      <c r="CH29" s="15" t="n">
        <v>0.2</v>
      </c>
      <c r="CN29" s="15" t="n">
        <v>0.6</v>
      </c>
      <c r="CO29" s="15" t="n">
        <v>2</v>
      </c>
      <c r="CP29" s="15" t="n">
        <v>0.2</v>
      </c>
      <c r="CQ29" s="15" t="n">
        <v>0.2</v>
      </c>
      <c r="CR29" s="15" t="n">
        <v>0.2</v>
      </c>
      <c r="CS29" s="15" t="n">
        <v>0.2</v>
      </c>
      <c r="CT29" s="15" t="n">
        <v>0.2</v>
      </c>
      <c r="CU29" s="15" t="n">
        <v>0.2</v>
      </c>
      <c r="CV29" s="15" t="n">
        <v>0.2</v>
      </c>
      <c r="CW29" s="15" t="n">
        <v>0.2</v>
      </c>
      <c r="CX29" s="15" t="n">
        <v>0.2</v>
      </c>
      <c r="CY29" s="15" t="n">
        <v>0.2</v>
      </c>
      <c r="CZ29" s="15" t="n">
        <v>0.2</v>
      </c>
      <c r="DA29" s="15" t="n">
        <v>0.2</v>
      </c>
      <c r="DB29" s="15" t="n">
        <v>0.2</v>
      </c>
      <c r="DC29" s="15" t="n">
        <v>0.2</v>
      </c>
      <c r="DD29" s="15" t="n">
        <v>0.2</v>
      </c>
      <c r="DJ29" s="15" t="n">
        <v>0.6</v>
      </c>
      <c r="DK29" s="15" t="n">
        <v>2</v>
      </c>
      <c r="DL29" s="15" t="n">
        <v>0.2</v>
      </c>
      <c r="DM29" s="15" t="n">
        <v>0.2</v>
      </c>
      <c r="DN29" s="15" t="n">
        <v>0.2</v>
      </c>
      <c r="DO29" s="15" t="n">
        <v>0.2</v>
      </c>
      <c r="DP29" s="15" t="n">
        <v>0.2</v>
      </c>
      <c r="DQ29" s="15" t="n">
        <v>0.2</v>
      </c>
      <c r="DR29" s="15" t="n">
        <v>0.2</v>
      </c>
      <c r="DS29" s="15" t="n">
        <v>0.2</v>
      </c>
      <c r="DT29" s="15" t="n">
        <v>0.2</v>
      </c>
      <c r="DU29" s="15" t="n">
        <v>0.2</v>
      </c>
      <c r="DV29" s="15" t="n">
        <v>0.2</v>
      </c>
      <c r="DW29" s="15" t="n">
        <v>0.2</v>
      </c>
      <c r="DX29" s="15" t="n">
        <v>0.2</v>
      </c>
      <c r="DY29" s="15" t="n">
        <v>0.2</v>
      </c>
      <c r="DZ29" s="15" t="n">
        <v>0.2</v>
      </c>
      <c r="EF29" s="15" t="n">
        <v>0.6</v>
      </c>
      <c r="EG29" s="15" t="n">
        <v>2</v>
      </c>
      <c r="EH29" s="15" t="n">
        <v>0.2</v>
      </c>
      <c r="EI29" s="15" t="n">
        <v>0.2</v>
      </c>
      <c r="EJ29" s="15" t="n">
        <v>0.2</v>
      </c>
      <c r="EK29" s="15" t="n">
        <v>0.2</v>
      </c>
      <c r="EL29" s="15" t="n">
        <v>0.2</v>
      </c>
      <c r="EM29" s="15" t="n">
        <v>0.2</v>
      </c>
      <c r="EN29" s="15" t="n">
        <v>0.2</v>
      </c>
      <c r="EO29" s="15" t="n">
        <v>0.2</v>
      </c>
      <c r="EP29" s="15" t="n">
        <v>0.2</v>
      </c>
      <c r="EQ29" s="15" t="n">
        <v>0.2</v>
      </c>
      <c r="ER29" s="15" t="n">
        <v>0.2</v>
      </c>
      <c r="ES29" s="15" t="n">
        <v>0.2</v>
      </c>
      <c r="ET29" s="15" t="n">
        <v>0.2</v>
      </c>
      <c r="EU29" s="15" t="n">
        <v>0.2</v>
      </c>
      <c r="EV29" s="15" t="n">
        <v>0.2</v>
      </c>
      <c r="FB29" s="15" t="n">
        <v>0.6</v>
      </c>
      <c r="FC29" s="15" t="n">
        <v>2</v>
      </c>
      <c r="FD29" s="15" t="n">
        <v>0.2</v>
      </c>
      <c r="FE29" s="15" t="n">
        <v>0.2</v>
      </c>
      <c r="FF29" s="15" t="n">
        <v>0.2</v>
      </c>
      <c r="FG29" s="15" t="n">
        <v>0.2</v>
      </c>
      <c r="FH29" s="15" t="n">
        <v>0.2</v>
      </c>
      <c r="FI29" s="15" t="n">
        <v>0.2</v>
      </c>
      <c r="FJ29" s="15" t="n">
        <v>0.2</v>
      </c>
      <c r="FK29" s="15" t="n">
        <v>0.2</v>
      </c>
      <c r="FL29" s="15" t="n">
        <v>0.2</v>
      </c>
      <c r="FM29" s="15" t="n">
        <v>0.2</v>
      </c>
      <c r="FN29" s="15" t="n">
        <v>0.2</v>
      </c>
      <c r="FO29" s="15" t="n">
        <v>0.2</v>
      </c>
      <c r="FP29" s="15" t="n">
        <v>0.2</v>
      </c>
      <c r="FQ29" s="15" t="n">
        <v>0.2</v>
      </c>
      <c r="FR29" s="15" t="n">
        <v>0.2</v>
      </c>
      <c r="FX29" s="15" t="n">
        <v>0.6</v>
      </c>
      <c r="FY29" s="15" t="n">
        <v>2</v>
      </c>
      <c r="FZ29" s="15" t="n">
        <v>0.2</v>
      </c>
      <c r="GA29" s="15" t="n">
        <v>0.2</v>
      </c>
      <c r="GB29" s="15" t="n">
        <v>0.2</v>
      </c>
      <c r="GC29" s="15" t="n">
        <v>0.2</v>
      </c>
      <c r="GD29" s="15" t="n">
        <v>0.2</v>
      </c>
      <c r="GE29" s="15" t="n">
        <v>0.2</v>
      </c>
      <c r="GF29" s="15" t="n">
        <v>0.2</v>
      </c>
      <c r="GG29" s="15" t="n">
        <v>0.2</v>
      </c>
      <c r="GH29" s="15" t="n">
        <v>0.2</v>
      </c>
      <c r="GI29" s="15" t="n">
        <v>0.2</v>
      </c>
      <c r="GJ29" s="15" t="n">
        <v>0.2</v>
      </c>
      <c r="GK29" s="15" t="n">
        <v>0.2</v>
      </c>
      <c r="GL29" s="15" t="n">
        <v>0.2</v>
      </c>
      <c r="GM29" s="15" t="n">
        <v>0.2</v>
      </c>
      <c r="GN29" s="15" t="n">
        <v>0.2</v>
      </c>
      <c r="GT29" s="15" t="n">
        <v>0.6</v>
      </c>
      <c r="GU29" s="15" t="n">
        <v>2</v>
      </c>
      <c r="GV29" s="15" t="n">
        <v>0.2</v>
      </c>
      <c r="GW29" s="15" t="n">
        <v>0.2</v>
      </c>
      <c r="GX29" s="15" t="n">
        <v>0.2</v>
      </c>
      <c r="GY29" s="15" t="n">
        <v>0.2</v>
      </c>
      <c r="GZ29" s="15" t="n">
        <v>0.2</v>
      </c>
      <c r="HA29" s="15" t="n">
        <v>0.2</v>
      </c>
      <c r="HB29" s="15" t="n">
        <v>0.2</v>
      </c>
      <c r="HC29" s="15" t="n">
        <v>0.2</v>
      </c>
      <c r="HD29" s="15" t="n">
        <v>0.2</v>
      </c>
      <c r="HE29" s="15" t="n">
        <v>0.2</v>
      </c>
      <c r="HF29" s="15" t="n">
        <v>0.2</v>
      </c>
      <c r="HG29" s="15" t="n">
        <v>0.2</v>
      </c>
      <c r="HH29" s="15" t="n">
        <v>0.2</v>
      </c>
      <c r="HI29" s="15" t="n">
        <v>0.2</v>
      </c>
      <c r="HJ29" s="15" t="n">
        <v>0.2</v>
      </c>
    </row>
    <row r="30">
      <c r="B30" s="70" t="n">
        <v>1</v>
      </c>
      <c r="C30" s="15" t="n">
        <v>3</v>
      </c>
      <c r="D30" s="70">
        <f>$B$27</f>
        <v/>
      </c>
      <c r="E30" s="70">
        <f>$B$27</f>
        <v/>
      </c>
      <c r="F30" s="70">
        <f>$B$27</f>
        <v/>
      </c>
      <c r="G30" s="70">
        <f>$B$27</f>
        <v/>
      </c>
      <c r="H30" s="70">
        <f>$B$27</f>
        <v/>
      </c>
      <c r="I30" s="70">
        <f>$B$27</f>
        <v/>
      </c>
      <c r="J30" s="70">
        <f>$B$27</f>
        <v/>
      </c>
      <c r="K30" s="70">
        <f>$B$27</f>
        <v/>
      </c>
      <c r="L30" s="70">
        <f>$B$27</f>
        <v/>
      </c>
      <c r="M30" s="70">
        <f>$B$27</f>
        <v/>
      </c>
      <c r="N30" s="70">
        <f>$B$27</f>
        <v/>
      </c>
      <c r="O30" s="70">
        <f>$B$27</f>
        <v/>
      </c>
      <c r="P30" s="70">
        <f>$B$27</f>
        <v/>
      </c>
      <c r="Q30" s="70">
        <f>$B$27</f>
        <v/>
      </c>
      <c r="R30" s="70">
        <f>$B$27</f>
        <v/>
      </c>
      <c r="Z30" s="15" t="n">
        <v>1</v>
      </c>
      <c r="AA30" s="15" t="n">
        <v>3</v>
      </c>
      <c r="AB30" s="15" t="n">
        <v>0.2</v>
      </c>
      <c r="AC30" s="15" t="n">
        <v>0.2</v>
      </c>
      <c r="AD30" s="15" t="n">
        <v>0.2</v>
      </c>
      <c r="AE30" s="15" t="n">
        <v>0.2</v>
      </c>
      <c r="AF30" s="15" t="n">
        <v>0.2</v>
      </c>
      <c r="AG30" s="15" t="n">
        <v>0.2</v>
      </c>
      <c r="AH30" s="15" t="n">
        <v>0.2</v>
      </c>
      <c r="AI30" s="15" t="n">
        <v>0.2</v>
      </c>
      <c r="AJ30" s="15" t="n">
        <v>0.2</v>
      </c>
      <c r="AK30" s="15" t="n">
        <v>0.2</v>
      </c>
      <c r="AL30" s="15" t="n">
        <v>0.2</v>
      </c>
      <c r="AM30" s="15" t="n">
        <v>0.2</v>
      </c>
      <c r="AN30" s="15" t="n">
        <v>0.2</v>
      </c>
      <c r="AO30" s="15" t="n">
        <v>0.2</v>
      </c>
      <c r="AP30" s="15" t="n">
        <v>0.2</v>
      </c>
      <c r="AV30" s="15" t="n">
        <v>1</v>
      </c>
      <c r="AW30" s="15" t="n">
        <v>3</v>
      </c>
      <c r="AX30" s="15" t="n">
        <v>0.2</v>
      </c>
      <c r="AY30" s="15" t="n">
        <v>0.2</v>
      </c>
      <c r="AZ30" s="15" t="n">
        <v>0.2</v>
      </c>
      <c r="BA30" s="15" t="n">
        <v>0.2</v>
      </c>
      <c r="BB30" s="15" t="n">
        <v>0.2</v>
      </c>
      <c r="BC30" s="15" t="n">
        <v>0.2</v>
      </c>
      <c r="BD30" s="15" t="n">
        <v>0.2</v>
      </c>
      <c r="BE30" s="15" t="n">
        <v>0.2</v>
      </c>
      <c r="BF30" s="15" t="n">
        <v>0.2</v>
      </c>
      <c r="BG30" s="15" t="n">
        <v>0.2</v>
      </c>
      <c r="BH30" s="15" t="n">
        <v>0.2</v>
      </c>
      <c r="BI30" s="15" t="n">
        <v>0.2</v>
      </c>
      <c r="BJ30" s="15" t="n">
        <v>0.2</v>
      </c>
      <c r="BK30" s="15" t="n">
        <v>0.2</v>
      </c>
      <c r="BL30" s="15" t="n">
        <v>0.2</v>
      </c>
      <c r="BR30" s="15" t="n">
        <v>1</v>
      </c>
      <c r="BS30" s="15" t="n">
        <v>3</v>
      </c>
      <c r="BT30" s="15" t="n">
        <v>0.2</v>
      </c>
      <c r="BU30" s="15" t="n">
        <v>0.2</v>
      </c>
      <c r="BV30" s="15" t="n">
        <v>0.2</v>
      </c>
      <c r="BW30" s="15" t="n">
        <v>0.2</v>
      </c>
      <c r="BX30" s="15" t="n">
        <v>0.2</v>
      </c>
      <c r="BY30" s="15" t="n">
        <v>0.2</v>
      </c>
      <c r="BZ30" s="15" t="n">
        <v>0.2</v>
      </c>
      <c r="CA30" s="15" t="n">
        <v>0.2</v>
      </c>
      <c r="CB30" s="15" t="n">
        <v>0.2</v>
      </c>
      <c r="CC30" s="15" t="n">
        <v>0.2</v>
      </c>
      <c r="CD30" s="15" t="n">
        <v>0.2</v>
      </c>
      <c r="CE30" s="15" t="n">
        <v>0.2</v>
      </c>
      <c r="CF30" s="15" t="n">
        <v>0.2</v>
      </c>
      <c r="CG30" s="15" t="n">
        <v>0.2</v>
      </c>
      <c r="CH30" s="15" t="n">
        <v>0.2</v>
      </c>
      <c r="CN30" s="15" t="n">
        <v>1</v>
      </c>
      <c r="CO30" s="15" t="n">
        <v>3</v>
      </c>
      <c r="CP30" s="15" t="n">
        <v>0.2</v>
      </c>
      <c r="CQ30" s="15" t="n">
        <v>0.2</v>
      </c>
      <c r="CR30" s="15" t="n">
        <v>0.2</v>
      </c>
      <c r="CS30" s="15" t="n">
        <v>0.2</v>
      </c>
      <c r="CT30" s="15" t="n">
        <v>0.2</v>
      </c>
      <c r="CU30" s="15" t="n">
        <v>0.2</v>
      </c>
      <c r="CV30" s="15" t="n">
        <v>0.2</v>
      </c>
      <c r="CW30" s="15" t="n">
        <v>0.2</v>
      </c>
      <c r="CX30" s="15" t="n">
        <v>0.2</v>
      </c>
      <c r="CY30" s="15" t="n">
        <v>0.2</v>
      </c>
      <c r="CZ30" s="15" t="n">
        <v>0.2</v>
      </c>
      <c r="DA30" s="15" t="n">
        <v>0.2</v>
      </c>
      <c r="DB30" s="15" t="n">
        <v>0.2</v>
      </c>
      <c r="DC30" s="15" t="n">
        <v>0.2</v>
      </c>
      <c r="DD30" s="15" t="n">
        <v>0.2</v>
      </c>
      <c r="DJ30" s="15" t="n">
        <v>1</v>
      </c>
      <c r="DK30" s="15" t="n">
        <v>3</v>
      </c>
      <c r="DL30" s="15" t="n">
        <v>0.2</v>
      </c>
      <c r="DM30" s="15" t="n">
        <v>0.2</v>
      </c>
      <c r="DN30" s="15" t="n">
        <v>0.2</v>
      </c>
      <c r="DO30" s="15" t="n">
        <v>0.2</v>
      </c>
      <c r="DP30" s="15" t="n">
        <v>0.2</v>
      </c>
      <c r="DQ30" s="15" t="n">
        <v>0.2</v>
      </c>
      <c r="DR30" s="15" t="n">
        <v>0.2</v>
      </c>
      <c r="DS30" s="15" t="n">
        <v>0.2</v>
      </c>
      <c r="DT30" s="15" t="n">
        <v>0.2</v>
      </c>
      <c r="DU30" s="15" t="n">
        <v>0.2</v>
      </c>
      <c r="DV30" s="15" t="n">
        <v>0.2</v>
      </c>
      <c r="DW30" s="15" t="n">
        <v>0.2</v>
      </c>
      <c r="DX30" s="15" t="n">
        <v>0.2</v>
      </c>
      <c r="DY30" s="15" t="n">
        <v>0.2</v>
      </c>
      <c r="DZ30" s="15" t="n">
        <v>0.2</v>
      </c>
      <c r="EF30" s="15" t="n">
        <v>1</v>
      </c>
      <c r="EG30" s="15" t="n">
        <v>3</v>
      </c>
      <c r="EH30" s="15" t="n">
        <v>0.2</v>
      </c>
      <c r="EI30" s="15" t="n">
        <v>0.2</v>
      </c>
      <c r="EJ30" s="15" t="n">
        <v>0.2</v>
      </c>
      <c r="EK30" s="15" t="n">
        <v>0.2</v>
      </c>
      <c r="EL30" s="15" t="n">
        <v>0.2</v>
      </c>
      <c r="EM30" s="15" t="n">
        <v>0.2</v>
      </c>
      <c r="EN30" s="15" t="n">
        <v>0.2</v>
      </c>
      <c r="EO30" s="15" t="n">
        <v>0.2</v>
      </c>
      <c r="EP30" s="15" t="n">
        <v>0.2</v>
      </c>
      <c r="EQ30" s="15" t="n">
        <v>0.2</v>
      </c>
      <c r="ER30" s="15" t="n">
        <v>0.2</v>
      </c>
      <c r="ES30" s="15" t="n">
        <v>0.2</v>
      </c>
      <c r="ET30" s="15" t="n">
        <v>0.2</v>
      </c>
      <c r="EU30" s="15" t="n">
        <v>0.2</v>
      </c>
      <c r="EV30" s="15" t="n">
        <v>0.2</v>
      </c>
      <c r="FB30" s="15" t="n">
        <v>1</v>
      </c>
      <c r="FC30" s="15" t="n">
        <v>3</v>
      </c>
      <c r="FD30" s="15" t="n">
        <v>0.2</v>
      </c>
      <c r="FE30" s="15" t="n">
        <v>0.2</v>
      </c>
      <c r="FF30" s="15" t="n">
        <v>0.2</v>
      </c>
      <c r="FG30" s="15" t="n">
        <v>0.2</v>
      </c>
      <c r="FH30" s="15" t="n">
        <v>0.2</v>
      </c>
      <c r="FI30" s="15" t="n">
        <v>0.2</v>
      </c>
      <c r="FJ30" s="15" t="n">
        <v>0.2</v>
      </c>
      <c r="FK30" s="15" t="n">
        <v>0.2</v>
      </c>
      <c r="FL30" s="15" t="n">
        <v>0.2</v>
      </c>
      <c r="FM30" s="15" t="n">
        <v>0.2</v>
      </c>
      <c r="FN30" s="15" t="n">
        <v>0.2</v>
      </c>
      <c r="FO30" s="15" t="n">
        <v>0.2</v>
      </c>
      <c r="FP30" s="15" t="n">
        <v>0.2</v>
      </c>
      <c r="FQ30" s="15" t="n">
        <v>0.2</v>
      </c>
      <c r="FR30" s="15" t="n">
        <v>0.2</v>
      </c>
      <c r="FX30" s="15" t="n">
        <v>1</v>
      </c>
      <c r="FY30" s="15" t="n">
        <v>3</v>
      </c>
      <c r="FZ30" s="15" t="n">
        <v>0.2</v>
      </c>
      <c r="GA30" s="15" t="n">
        <v>0.2</v>
      </c>
      <c r="GB30" s="15" t="n">
        <v>0.2</v>
      </c>
      <c r="GC30" s="15" t="n">
        <v>0.2</v>
      </c>
      <c r="GD30" s="15" t="n">
        <v>0.2</v>
      </c>
      <c r="GE30" s="15" t="n">
        <v>0.2</v>
      </c>
      <c r="GF30" s="15" t="n">
        <v>0.2</v>
      </c>
      <c r="GG30" s="15" t="n">
        <v>0.2</v>
      </c>
      <c r="GH30" s="15" t="n">
        <v>0.2</v>
      </c>
      <c r="GI30" s="15" t="n">
        <v>0.2</v>
      </c>
      <c r="GJ30" s="15" t="n">
        <v>0.2</v>
      </c>
      <c r="GK30" s="15" t="n">
        <v>0.2</v>
      </c>
      <c r="GL30" s="15" t="n">
        <v>0.2</v>
      </c>
      <c r="GM30" s="15" t="n">
        <v>0.2</v>
      </c>
      <c r="GN30" s="15" t="n">
        <v>0.2</v>
      </c>
      <c r="GT30" s="15" t="n">
        <v>1</v>
      </c>
      <c r="GU30" s="15" t="n">
        <v>3</v>
      </c>
      <c r="GV30" s="15" t="n">
        <v>0.2</v>
      </c>
      <c r="GW30" s="15" t="n">
        <v>0.2</v>
      </c>
      <c r="GX30" s="15" t="n">
        <v>0.2</v>
      </c>
      <c r="GY30" s="15" t="n">
        <v>0.2</v>
      </c>
      <c r="GZ30" s="15" t="n">
        <v>0.2</v>
      </c>
      <c r="HA30" s="15" t="n">
        <v>0.2</v>
      </c>
      <c r="HB30" s="15" t="n">
        <v>0.2</v>
      </c>
      <c r="HC30" s="15" t="n">
        <v>0.2</v>
      </c>
      <c r="HD30" s="15" t="n">
        <v>0.2</v>
      </c>
      <c r="HE30" s="15" t="n">
        <v>0.2</v>
      </c>
      <c r="HF30" s="15" t="n">
        <v>0.2</v>
      </c>
      <c r="HG30" s="15" t="n">
        <v>0.2</v>
      </c>
      <c r="HH30" s="15" t="n">
        <v>0.2</v>
      </c>
      <c r="HI30" s="15" t="n">
        <v>0.2</v>
      </c>
      <c r="HJ30" s="15" t="n">
        <v>0.2</v>
      </c>
    </row>
    <row r="32">
      <c r="B32" s="69" t="n">
        <v>1</v>
      </c>
      <c r="C32" s="15" t="inlineStr">
        <is>
          <t>Planned Stock</t>
        </is>
      </c>
      <c r="D32" s="15" t="n">
        <v>1</v>
      </c>
      <c r="E32" s="15" t="n">
        <v>2</v>
      </c>
      <c r="F32" s="15" t="n">
        <v>3</v>
      </c>
      <c r="G32" s="15" t="n">
        <v>4</v>
      </c>
      <c r="H32" s="15" t="n">
        <v>5</v>
      </c>
      <c r="I32" s="15" t="n">
        <v>6</v>
      </c>
      <c r="J32" s="15" t="n">
        <v>7</v>
      </c>
      <c r="K32" s="15" t="n">
        <v>8</v>
      </c>
      <c r="L32" s="15" t="n">
        <v>9</v>
      </c>
      <c r="M32" s="15" t="n">
        <v>10</v>
      </c>
      <c r="N32" s="15" t="n">
        <v>11</v>
      </c>
      <c r="O32" s="15" t="n">
        <v>12</v>
      </c>
      <c r="P32" s="15" t="n">
        <v>13</v>
      </c>
      <c r="Q32" s="15" t="n">
        <v>14</v>
      </c>
      <c r="R32" s="15" t="n">
        <v>15</v>
      </c>
      <c r="Z32" s="15" t="n">
        <v>1</v>
      </c>
      <c r="AA32" s="15" t="inlineStr">
        <is>
          <t>Planned Stock</t>
        </is>
      </c>
      <c r="AB32" s="15" t="n">
        <v>1</v>
      </c>
      <c r="AC32" s="15" t="n">
        <v>2</v>
      </c>
      <c r="AD32" s="15" t="n">
        <v>3</v>
      </c>
      <c r="AE32" s="15" t="n">
        <v>4</v>
      </c>
      <c r="AF32" s="15" t="n">
        <v>5</v>
      </c>
      <c r="AG32" s="15" t="n">
        <v>6</v>
      </c>
      <c r="AH32" s="15" t="n">
        <v>7</v>
      </c>
      <c r="AI32" s="15" t="n">
        <v>8</v>
      </c>
      <c r="AJ32" s="15" t="n">
        <v>9</v>
      </c>
      <c r="AK32" s="15" t="n">
        <v>10</v>
      </c>
      <c r="AL32" s="15" t="n">
        <v>11</v>
      </c>
      <c r="AM32" s="15" t="n">
        <v>12</v>
      </c>
      <c r="AN32" s="15" t="n">
        <v>13</v>
      </c>
      <c r="AO32" s="15" t="n">
        <v>14</v>
      </c>
      <c r="AP32" s="15" t="n">
        <v>15</v>
      </c>
      <c r="AV32" s="15" t="n">
        <v>1</v>
      </c>
      <c r="AW32" s="15" t="inlineStr">
        <is>
          <t>Planned Stock</t>
        </is>
      </c>
      <c r="AX32" s="15" t="n">
        <v>1</v>
      </c>
      <c r="AY32" s="15" t="n">
        <v>2</v>
      </c>
      <c r="AZ32" s="15" t="n">
        <v>3</v>
      </c>
      <c r="BA32" s="15" t="n">
        <v>4</v>
      </c>
      <c r="BB32" s="15" t="n">
        <v>5</v>
      </c>
      <c r="BC32" s="15" t="n">
        <v>6</v>
      </c>
      <c r="BD32" s="15" t="n">
        <v>7</v>
      </c>
      <c r="BE32" s="15" t="n">
        <v>8</v>
      </c>
      <c r="BF32" s="15" t="n">
        <v>9</v>
      </c>
      <c r="BG32" s="15" t="n">
        <v>10</v>
      </c>
      <c r="BH32" s="15" t="n">
        <v>11</v>
      </c>
      <c r="BI32" s="15" t="n">
        <v>12</v>
      </c>
      <c r="BJ32" s="15" t="n">
        <v>13</v>
      </c>
      <c r="BK32" s="15" t="n">
        <v>14</v>
      </c>
      <c r="BL32" s="15" t="n">
        <v>15</v>
      </c>
      <c r="BR32" s="15" t="n">
        <v>1</v>
      </c>
      <c r="BS32" s="15" t="inlineStr">
        <is>
          <t>Planned Stock</t>
        </is>
      </c>
      <c r="BT32" s="15" t="n">
        <v>1</v>
      </c>
      <c r="BU32" s="15" t="n">
        <v>2</v>
      </c>
      <c r="BV32" s="15" t="n">
        <v>3</v>
      </c>
      <c r="BW32" s="15" t="n">
        <v>4</v>
      </c>
      <c r="BX32" s="15" t="n">
        <v>5</v>
      </c>
      <c r="BY32" s="15" t="n">
        <v>6</v>
      </c>
      <c r="BZ32" s="15" t="n">
        <v>7</v>
      </c>
      <c r="CA32" s="15" t="n">
        <v>8</v>
      </c>
      <c r="CB32" s="15" t="n">
        <v>9</v>
      </c>
      <c r="CC32" s="15" t="n">
        <v>10</v>
      </c>
      <c r="CD32" s="15" t="n">
        <v>11</v>
      </c>
      <c r="CE32" s="15" t="n">
        <v>12</v>
      </c>
      <c r="CF32" s="15" t="n">
        <v>13</v>
      </c>
      <c r="CG32" s="15" t="n">
        <v>14</v>
      </c>
      <c r="CH32" s="15" t="n">
        <v>15</v>
      </c>
      <c r="CN32" s="15" t="n">
        <v>0.7</v>
      </c>
      <c r="CO32" s="15" t="inlineStr">
        <is>
          <t>Planned Stock</t>
        </is>
      </c>
      <c r="CP32" s="15" t="n">
        <v>1</v>
      </c>
      <c r="CQ32" s="15" t="n">
        <v>2</v>
      </c>
      <c r="CR32" s="15" t="n">
        <v>3</v>
      </c>
      <c r="CS32" s="15" t="n">
        <v>4</v>
      </c>
      <c r="CT32" s="15" t="n">
        <v>5</v>
      </c>
      <c r="CU32" s="15" t="n">
        <v>6</v>
      </c>
      <c r="CV32" s="15" t="n">
        <v>7</v>
      </c>
      <c r="CW32" s="15" t="n">
        <v>8</v>
      </c>
      <c r="CX32" s="15" t="n">
        <v>9</v>
      </c>
      <c r="CY32" s="15" t="n">
        <v>10</v>
      </c>
      <c r="CZ32" s="15" t="n">
        <v>11</v>
      </c>
      <c r="DA32" s="15" t="n">
        <v>12</v>
      </c>
      <c r="DB32" s="15" t="n">
        <v>13</v>
      </c>
      <c r="DC32" s="15" t="n">
        <v>14</v>
      </c>
      <c r="DD32" s="15" t="n">
        <v>15</v>
      </c>
      <c r="DJ32" s="15" t="n">
        <v>0.7</v>
      </c>
      <c r="DK32" s="15" t="inlineStr">
        <is>
          <t>Planned Stock</t>
        </is>
      </c>
      <c r="DL32" s="15" t="n">
        <v>1</v>
      </c>
      <c r="DM32" s="15" t="n">
        <v>2</v>
      </c>
      <c r="DN32" s="15" t="n">
        <v>3</v>
      </c>
      <c r="DO32" s="15" t="n">
        <v>4</v>
      </c>
      <c r="DP32" s="15" t="n">
        <v>5</v>
      </c>
      <c r="DQ32" s="15" t="n">
        <v>6</v>
      </c>
      <c r="DR32" s="15" t="n">
        <v>7</v>
      </c>
      <c r="DS32" s="15" t="n">
        <v>8</v>
      </c>
      <c r="DT32" s="15" t="n">
        <v>9</v>
      </c>
      <c r="DU32" s="15" t="n">
        <v>10</v>
      </c>
      <c r="DV32" s="15" t="n">
        <v>11</v>
      </c>
      <c r="DW32" s="15" t="n">
        <v>12</v>
      </c>
      <c r="DX32" s="15" t="n">
        <v>13</v>
      </c>
      <c r="DY32" s="15" t="n">
        <v>14</v>
      </c>
      <c r="DZ32" s="15" t="n">
        <v>15</v>
      </c>
      <c r="EF32" s="15" t="n">
        <v>0.7</v>
      </c>
      <c r="EG32" s="15" t="inlineStr">
        <is>
          <t>Planned Stock</t>
        </is>
      </c>
      <c r="EH32" s="15" t="n">
        <v>1</v>
      </c>
      <c r="EI32" s="15" t="n">
        <v>2</v>
      </c>
      <c r="EJ32" s="15" t="n">
        <v>3</v>
      </c>
      <c r="EK32" s="15" t="n">
        <v>4</v>
      </c>
      <c r="EL32" s="15" t="n">
        <v>5</v>
      </c>
      <c r="EM32" s="15" t="n">
        <v>6</v>
      </c>
      <c r="EN32" s="15" t="n">
        <v>7</v>
      </c>
      <c r="EO32" s="15" t="n">
        <v>8</v>
      </c>
      <c r="EP32" s="15" t="n">
        <v>9</v>
      </c>
      <c r="EQ32" s="15" t="n">
        <v>10</v>
      </c>
      <c r="ER32" s="15" t="n">
        <v>11</v>
      </c>
      <c r="ES32" s="15" t="n">
        <v>12</v>
      </c>
      <c r="ET32" s="15" t="n">
        <v>13</v>
      </c>
      <c r="EU32" s="15" t="n">
        <v>14</v>
      </c>
      <c r="EV32" s="15" t="n">
        <v>15</v>
      </c>
      <c r="FB32" s="15" t="n">
        <v>0.4</v>
      </c>
      <c r="FC32" s="15" t="inlineStr">
        <is>
          <t>Planned Stock</t>
        </is>
      </c>
      <c r="FD32" s="15" t="n">
        <v>1</v>
      </c>
      <c r="FE32" s="15" t="n">
        <v>2</v>
      </c>
      <c r="FF32" s="15" t="n">
        <v>3</v>
      </c>
      <c r="FG32" s="15" t="n">
        <v>4</v>
      </c>
      <c r="FH32" s="15" t="n">
        <v>5</v>
      </c>
      <c r="FI32" s="15" t="n">
        <v>6</v>
      </c>
      <c r="FJ32" s="15" t="n">
        <v>7</v>
      </c>
      <c r="FK32" s="15" t="n">
        <v>8</v>
      </c>
      <c r="FL32" s="15" t="n">
        <v>9</v>
      </c>
      <c r="FM32" s="15" t="n">
        <v>10</v>
      </c>
      <c r="FN32" s="15" t="n">
        <v>11</v>
      </c>
      <c r="FO32" s="15" t="n">
        <v>12</v>
      </c>
      <c r="FP32" s="15" t="n">
        <v>13</v>
      </c>
      <c r="FQ32" s="15" t="n">
        <v>14</v>
      </c>
      <c r="FR32" s="15" t="n">
        <v>15</v>
      </c>
      <c r="FX32" s="15" t="n">
        <v>0.4</v>
      </c>
      <c r="FY32" s="15" t="inlineStr">
        <is>
          <t>Planned Stock</t>
        </is>
      </c>
      <c r="FZ32" s="15" t="n">
        <v>1</v>
      </c>
      <c r="GA32" s="15" t="n">
        <v>2</v>
      </c>
      <c r="GB32" s="15" t="n">
        <v>3</v>
      </c>
      <c r="GC32" s="15" t="n">
        <v>4</v>
      </c>
      <c r="GD32" s="15" t="n">
        <v>5</v>
      </c>
      <c r="GE32" s="15" t="n">
        <v>6</v>
      </c>
      <c r="GF32" s="15" t="n">
        <v>7</v>
      </c>
      <c r="GG32" s="15" t="n">
        <v>8</v>
      </c>
      <c r="GH32" s="15" t="n">
        <v>9</v>
      </c>
      <c r="GI32" s="15" t="n">
        <v>10</v>
      </c>
      <c r="GJ32" s="15" t="n">
        <v>11</v>
      </c>
      <c r="GK32" s="15" t="n">
        <v>12</v>
      </c>
      <c r="GL32" s="15" t="n">
        <v>13</v>
      </c>
      <c r="GM32" s="15" t="n">
        <v>14</v>
      </c>
      <c r="GN32" s="15" t="n">
        <v>15</v>
      </c>
      <c r="GT32" s="15" t="n">
        <v>0.4</v>
      </c>
      <c r="GU32" s="15" t="inlineStr">
        <is>
          <t>Planned Stock</t>
        </is>
      </c>
      <c r="GV32" s="15" t="n">
        <v>1</v>
      </c>
      <c r="GW32" s="15" t="n">
        <v>2</v>
      </c>
      <c r="GX32" s="15" t="n">
        <v>3</v>
      </c>
      <c r="GY32" s="15" t="n">
        <v>4</v>
      </c>
      <c r="GZ32" s="15" t="n">
        <v>5</v>
      </c>
      <c r="HA32" s="15" t="n">
        <v>6</v>
      </c>
      <c r="HB32" s="15" t="n">
        <v>7</v>
      </c>
      <c r="HC32" s="15" t="n">
        <v>8</v>
      </c>
      <c r="HD32" s="15" t="n">
        <v>9</v>
      </c>
      <c r="HE32" s="15" t="n">
        <v>10</v>
      </c>
      <c r="HF32" s="15" t="n">
        <v>11</v>
      </c>
      <c r="HG32" s="15" t="n">
        <v>12</v>
      </c>
      <c r="HH32" s="15" t="n">
        <v>13</v>
      </c>
      <c r="HI32" s="15" t="n">
        <v>14</v>
      </c>
      <c r="HJ32" s="15" t="n">
        <v>15</v>
      </c>
    </row>
    <row r="33">
      <c r="B33" s="70" t="n">
        <v>1</v>
      </c>
      <c r="C33" s="15" t="n">
        <v>1</v>
      </c>
      <c r="D33" s="70">
        <f>$B$32</f>
        <v/>
      </c>
      <c r="E33" s="70">
        <f>$B$32</f>
        <v/>
      </c>
      <c r="F33" s="70">
        <f>$B$32</f>
        <v/>
      </c>
      <c r="G33" s="70">
        <f>$B$32</f>
        <v/>
      </c>
      <c r="H33" s="70">
        <f>$B$32</f>
        <v/>
      </c>
      <c r="I33" s="70">
        <f>$B$32</f>
        <v/>
      </c>
      <c r="J33" s="70">
        <f>$B$32</f>
        <v/>
      </c>
      <c r="K33" s="70">
        <f>$B$32</f>
        <v/>
      </c>
      <c r="L33" s="70">
        <f>$B$32</f>
        <v/>
      </c>
      <c r="M33" s="70">
        <f>$B$32</f>
        <v/>
      </c>
      <c r="N33" s="70">
        <f>$B$32</f>
        <v/>
      </c>
      <c r="O33" s="70">
        <f>$B$32</f>
        <v/>
      </c>
      <c r="P33" s="70">
        <f>$B$32</f>
        <v/>
      </c>
      <c r="Q33" s="70">
        <f>$B$32</f>
        <v/>
      </c>
      <c r="R33" s="70">
        <f>$B$32</f>
        <v/>
      </c>
      <c r="T33" s="39">
        <f>SUM(D33:R35)</f>
        <v/>
      </c>
      <c r="U33" s="39" t="n">
        <v>45</v>
      </c>
      <c r="V33" s="39">
        <f>T33-U33</f>
        <v/>
      </c>
      <c r="W33" s="39" t="n"/>
      <c r="X33" s="39" t="n"/>
      <c r="Z33" s="15" t="n">
        <v>1</v>
      </c>
      <c r="AA33" s="15" t="n">
        <v>1</v>
      </c>
      <c r="AB33" s="15" t="n">
        <v>1</v>
      </c>
      <c r="AC33" s="15" t="n">
        <v>1</v>
      </c>
      <c r="AD33" s="15" t="n">
        <v>1</v>
      </c>
      <c r="AE33" s="15" t="n">
        <v>1</v>
      </c>
      <c r="AF33" s="15" t="n">
        <v>1</v>
      </c>
      <c r="AG33" s="15" t="n">
        <v>1</v>
      </c>
      <c r="AH33" s="15" t="n">
        <v>1</v>
      </c>
      <c r="AI33" s="15" t="n">
        <v>1</v>
      </c>
      <c r="AJ33" s="15" t="n">
        <v>1</v>
      </c>
      <c r="AK33" s="15" t="n">
        <v>1</v>
      </c>
      <c r="AL33" s="15" t="n">
        <v>1</v>
      </c>
      <c r="AM33" s="15" t="n">
        <v>1</v>
      </c>
      <c r="AN33" s="15" t="n">
        <v>1</v>
      </c>
      <c r="AO33" s="15" t="n">
        <v>1</v>
      </c>
      <c r="AP33" s="15" t="n">
        <v>1</v>
      </c>
      <c r="AV33" s="15" t="n">
        <v>1</v>
      </c>
      <c r="AW33" s="15" t="n">
        <v>1</v>
      </c>
      <c r="AX33" s="15" t="n">
        <v>1</v>
      </c>
      <c r="AY33" s="15" t="n">
        <v>1</v>
      </c>
      <c r="AZ33" s="15" t="n">
        <v>1</v>
      </c>
      <c r="BA33" s="15" t="n">
        <v>1</v>
      </c>
      <c r="BB33" s="15" t="n">
        <v>1</v>
      </c>
      <c r="BC33" s="15" t="n">
        <v>1</v>
      </c>
      <c r="BD33" s="15" t="n">
        <v>1</v>
      </c>
      <c r="BE33" s="15" t="n">
        <v>1</v>
      </c>
      <c r="BF33" s="15" t="n">
        <v>1</v>
      </c>
      <c r="BG33" s="15" t="n">
        <v>1</v>
      </c>
      <c r="BH33" s="15" t="n">
        <v>1</v>
      </c>
      <c r="BI33" s="15" t="n">
        <v>1</v>
      </c>
      <c r="BJ33" s="15" t="n">
        <v>1</v>
      </c>
      <c r="BK33" s="15" t="n">
        <v>1</v>
      </c>
      <c r="BL33" s="15" t="n">
        <v>1</v>
      </c>
      <c r="BR33" s="15" t="n">
        <v>1</v>
      </c>
      <c r="BS33" s="15" t="n">
        <v>1</v>
      </c>
      <c r="BT33" s="15" t="n">
        <v>1</v>
      </c>
      <c r="BU33" s="15" t="n">
        <v>1</v>
      </c>
      <c r="BV33" s="15" t="n">
        <v>1</v>
      </c>
      <c r="BW33" s="15" t="n">
        <v>1</v>
      </c>
      <c r="BX33" s="15" t="n">
        <v>1</v>
      </c>
      <c r="BY33" s="15" t="n">
        <v>1</v>
      </c>
      <c r="BZ33" s="15" t="n">
        <v>1</v>
      </c>
      <c r="CA33" s="15" t="n">
        <v>1</v>
      </c>
      <c r="CB33" s="15" t="n">
        <v>1</v>
      </c>
      <c r="CC33" s="15" t="n">
        <v>1</v>
      </c>
      <c r="CD33" s="15" t="n">
        <v>1</v>
      </c>
      <c r="CE33" s="15" t="n">
        <v>1</v>
      </c>
      <c r="CF33" s="15" t="n">
        <v>1</v>
      </c>
      <c r="CG33" s="15" t="n">
        <v>1</v>
      </c>
      <c r="CH33" s="15" t="n">
        <v>1</v>
      </c>
      <c r="CN33" s="15" t="n">
        <v>1</v>
      </c>
      <c r="CO33" s="15" t="n">
        <v>1</v>
      </c>
      <c r="CP33" s="15" t="n">
        <v>0.7</v>
      </c>
      <c r="CQ33" s="15" t="n">
        <v>0.7</v>
      </c>
      <c r="CR33" s="15" t="n">
        <v>0.7</v>
      </c>
      <c r="CS33" s="15" t="n">
        <v>0.7</v>
      </c>
      <c r="CT33" s="15" t="n">
        <v>0.7</v>
      </c>
      <c r="CU33" s="15" t="n">
        <v>0.7</v>
      </c>
      <c r="CV33" s="15" t="n">
        <v>0.7</v>
      </c>
      <c r="CW33" s="15" t="n">
        <v>0.7</v>
      </c>
      <c r="CX33" s="15" t="n">
        <v>0.7</v>
      </c>
      <c r="CY33" s="15" t="n">
        <v>0.7</v>
      </c>
      <c r="CZ33" s="15" t="n">
        <v>0.7</v>
      </c>
      <c r="DA33" s="15" t="n">
        <v>0.7</v>
      </c>
      <c r="DB33" s="15" t="n">
        <v>0.7</v>
      </c>
      <c r="DC33" s="15" t="n">
        <v>0.7</v>
      </c>
      <c r="DD33" s="15" t="n">
        <v>0.7</v>
      </c>
      <c r="DJ33" s="15" t="n">
        <v>1</v>
      </c>
      <c r="DK33" s="15" t="n">
        <v>1</v>
      </c>
      <c r="DL33" s="15" t="n">
        <v>0.7</v>
      </c>
      <c r="DM33" s="15" t="n">
        <v>0.7</v>
      </c>
      <c r="DN33" s="15" t="n">
        <v>0.7</v>
      </c>
      <c r="DO33" s="15" t="n">
        <v>0.7</v>
      </c>
      <c r="DP33" s="15" t="n">
        <v>0.7</v>
      </c>
      <c r="DQ33" s="15" t="n">
        <v>0.7</v>
      </c>
      <c r="DR33" s="15" t="n">
        <v>0.7</v>
      </c>
      <c r="DS33" s="15" t="n">
        <v>0.7</v>
      </c>
      <c r="DT33" s="15" t="n">
        <v>0.7</v>
      </c>
      <c r="DU33" s="15" t="n">
        <v>0.7</v>
      </c>
      <c r="DV33" s="15" t="n">
        <v>0.7</v>
      </c>
      <c r="DW33" s="15" t="n">
        <v>0.7</v>
      </c>
      <c r="DX33" s="15" t="n">
        <v>0.7</v>
      </c>
      <c r="DY33" s="15" t="n">
        <v>0.7</v>
      </c>
      <c r="DZ33" s="15" t="n">
        <v>0.7</v>
      </c>
      <c r="EF33" s="15" t="n">
        <v>1</v>
      </c>
      <c r="EG33" s="15" t="n">
        <v>1</v>
      </c>
      <c r="EH33" s="15" t="n">
        <v>0.7</v>
      </c>
      <c r="EI33" s="15" t="n">
        <v>0.7</v>
      </c>
      <c r="EJ33" s="15" t="n">
        <v>0.7</v>
      </c>
      <c r="EK33" s="15" t="n">
        <v>0.7</v>
      </c>
      <c r="EL33" s="15" t="n">
        <v>0.7</v>
      </c>
      <c r="EM33" s="15" t="n">
        <v>0.7</v>
      </c>
      <c r="EN33" s="15" t="n">
        <v>0.7</v>
      </c>
      <c r="EO33" s="15" t="n">
        <v>0.7</v>
      </c>
      <c r="EP33" s="15" t="n">
        <v>0.7</v>
      </c>
      <c r="EQ33" s="15" t="n">
        <v>0.7</v>
      </c>
      <c r="ER33" s="15" t="n">
        <v>0.7</v>
      </c>
      <c r="ES33" s="15" t="n">
        <v>0.7</v>
      </c>
      <c r="ET33" s="15" t="n">
        <v>0.7</v>
      </c>
      <c r="EU33" s="15" t="n">
        <v>0.7</v>
      </c>
      <c r="EV33" s="15" t="n">
        <v>0.7</v>
      </c>
      <c r="FB33" s="15" t="n">
        <v>1</v>
      </c>
      <c r="FC33" s="15" t="n">
        <v>1</v>
      </c>
      <c r="FD33" s="15" t="n">
        <v>0.4</v>
      </c>
      <c r="FE33" s="15" t="n">
        <v>0.4</v>
      </c>
      <c r="FF33" s="15" t="n">
        <v>0.4</v>
      </c>
      <c r="FG33" s="15" t="n">
        <v>0.4</v>
      </c>
      <c r="FH33" s="15" t="n">
        <v>0.4</v>
      </c>
      <c r="FI33" s="15" t="n">
        <v>0.4</v>
      </c>
      <c r="FJ33" s="15" t="n">
        <v>0.4</v>
      </c>
      <c r="FK33" s="15" t="n">
        <v>0.4</v>
      </c>
      <c r="FL33" s="15" t="n">
        <v>0.4</v>
      </c>
      <c r="FM33" s="15" t="n">
        <v>0.4</v>
      </c>
      <c r="FN33" s="15" t="n">
        <v>0.4</v>
      </c>
      <c r="FO33" s="15" t="n">
        <v>0.4</v>
      </c>
      <c r="FP33" s="15" t="n">
        <v>0.4</v>
      </c>
      <c r="FQ33" s="15" t="n">
        <v>0.4</v>
      </c>
      <c r="FR33" s="15" t="n">
        <v>0.4</v>
      </c>
      <c r="FX33" s="15" t="n">
        <v>1</v>
      </c>
      <c r="FY33" s="15" t="n">
        <v>1</v>
      </c>
      <c r="FZ33" s="15" t="n">
        <v>0.4</v>
      </c>
      <c r="GA33" s="15" t="n">
        <v>0.4</v>
      </c>
      <c r="GB33" s="15" t="n">
        <v>0.4</v>
      </c>
      <c r="GC33" s="15" t="n">
        <v>0.4</v>
      </c>
      <c r="GD33" s="15" t="n">
        <v>0.4</v>
      </c>
      <c r="GE33" s="15" t="n">
        <v>0.4</v>
      </c>
      <c r="GF33" s="15" t="n">
        <v>0.4</v>
      </c>
      <c r="GG33" s="15" t="n">
        <v>0.4</v>
      </c>
      <c r="GH33" s="15" t="n">
        <v>0.4</v>
      </c>
      <c r="GI33" s="15" t="n">
        <v>0.4</v>
      </c>
      <c r="GJ33" s="15" t="n">
        <v>0.4</v>
      </c>
      <c r="GK33" s="15" t="n">
        <v>0.4</v>
      </c>
      <c r="GL33" s="15" t="n">
        <v>0.4</v>
      </c>
      <c r="GM33" s="15" t="n">
        <v>0.4</v>
      </c>
      <c r="GN33" s="15" t="n">
        <v>0.4</v>
      </c>
      <c r="GT33" s="15" t="n">
        <v>1</v>
      </c>
      <c r="GU33" s="15" t="n">
        <v>1</v>
      </c>
      <c r="GV33" s="15" t="n">
        <v>0.4</v>
      </c>
      <c r="GW33" s="15" t="n">
        <v>0.4</v>
      </c>
      <c r="GX33" s="15" t="n">
        <v>0.4</v>
      </c>
      <c r="GY33" s="15" t="n">
        <v>0.4</v>
      </c>
      <c r="GZ33" s="15" t="n">
        <v>0.4</v>
      </c>
      <c r="HA33" s="15" t="n">
        <v>0.4</v>
      </c>
      <c r="HB33" s="15" t="n">
        <v>0.4</v>
      </c>
      <c r="HC33" s="15" t="n">
        <v>0.4</v>
      </c>
      <c r="HD33" s="15" t="n">
        <v>0.4</v>
      </c>
      <c r="HE33" s="15" t="n">
        <v>0.4</v>
      </c>
      <c r="HF33" s="15" t="n">
        <v>0.4</v>
      </c>
      <c r="HG33" s="15" t="n">
        <v>0.4</v>
      </c>
      <c r="HH33" s="15" t="n">
        <v>0.4</v>
      </c>
      <c r="HI33" s="15" t="n">
        <v>0.4</v>
      </c>
      <c r="HJ33" s="15" t="n">
        <v>0.4</v>
      </c>
    </row>
    <row r="34">
      <c r="B34" s="70" t="n">
        <v>0.7</v>
      </c>
      <c r="C34" s="15" t="n">
        <v>2</v>
      </c>
      <c r="D34" s="70">
        <f>$B$32</f>
        <v/>
      </c>
      <c r="E34" s="70">
        <f>$B$32</f>
        <v/>
      </c>
      <c r="F34" s="70">
        <f>$B$32</f>
        <v/>
      </c>
      <c r="G34" s="70">
        <f>$B$32</f>
        <v/>
      </c>
      <c r="H34" s="70">
        <f>$B$32</f>
        <v/>
      </c>
      <c r="I34" s="70">
        <f>$B$32</f>
        <v/>
      </c>
      <c r="J34" s="70">
        <f>$B$32</f>
        <v/>
      </c>
      <c r="K34" s="70">
        <f>$B$32</f>
        <v/>
      </c>
      <c r="L34" s="70">
        <f>$B$32</f>
        <v/>
      </c>
      <c r="M34" s="70">
        <f>$B$32</f>
        <v/>
      </c>
      <c r="N34" s="70">
        <f>$B$32</f>
        <v/>
      </c>
      <c r="O34" s="70">
        <f>$B$32</f>
        <v/>
      </c>
      <c r="P34" s="70">
        <f>$B$32</f>
        <v/>
      </c>
      <c r="Q34" s="70">
        <f>$B$32</f>
        <v/>
      </c>
      <c r="R34" s="70">
        <f>$B$32</f>
        <v/>
      </c>
      <c r="Z34" s="15" t="n">
        <v>0.7</v>
      </c>
      <c r="AA34" s="15" t="n">
        <v>2</v>
      </c>
      <c r="AB34" s="15" t="n">
        <v>1</v>
      </c>
      <c r="AC34" s="15" t="n">
        <v>1</v>
      </c>
      <c r="AD34" s="15" t="n">
        <v>1</v>
      </c>
      <c r="AE34" s="15" t="n">
        <v>1</v>
      </c>
      <c r="AF34" s="15" t="n">
        <v>1</v>
      </c>
      <c r="AG34" s="15" t="n">
        <v>1</v>
      </c>
      <c r="AH34" s="15" t="n">
        <v>1</v>
      </c>
      <c r="AI34" s="15" t="n">
        <v>1</v>
      </c>
      <c r="AJ34" s="15" t="n">
        <v>1</v>
      </c>
      <c r="AK34" s="15" t="n">
        <v>1</v>
      </c>
      <c r="AL34" s="15" t="n">
        <v>1</v>
      </c>
      <c r="AM34" s="15" t="n">
        <v>1</v>
      </c>
      <c r="AN34" s="15" t="n">
        <v>1</v>
      </c>
      <c r="AO34" s="15" t="n">
        <v>1</v>
      </c>
      <c r="AP34" s="15" t="n">
        <v>1</v>
      </c>
      <c r="AV34" s="15" t="n">
        <v>0.7</v>
      </c>
      <c r="AW34" s="15" t="n">
        <v>2</v>
      </c>
      <c r="AX34" s="15" t="n">
        <v>1</v>
      </c>
      <c r="AY34" s="15" t="n">
        <v>1</v>
      </c>
      <c r="AZ34" s="15" t="n">
        <v>1</v>
      </c>
      <c r="BA34" s="15" t="n">
        <v>1</v>
      </c>
      <c r="BB34" s="15" t="n">
        <v>1</v>
      </c>
      <c r="BC34" s="15" t="n">
        <v>1</v>
      </c>
      <c r="BD34" s="15" t="n">
        <v>1</v>
      </c>
      <c r="BE34" s="15" t="n">
        <v>1</v>
      </c>
      <c r="BF34" s="15" t="n">
        <v>1</v>
      </c>
      <c r="BG34" s="15" t="n">
        <v>1</v>
      </c>
      <c r="BH34" s="15" t="n">
        <v>1</v>
      </c>
      <c r="BI34" s="15" t="n">
        <v>1</v>
      </c>
      <c r="BJ34" s="15" t="n">
        <v>1</v>
      </c>
      <c r="BK34" s="15" t="n">
        <v>1</v>
      </c>
      <c r="BL34" s="15" t="n">
        <v>1</v>
      </c>
      <c r="BR34" s="15" t="n">
        <v>0.7</v>
      </c>
      <c r="BS34" s="15" t="n">
        <v>2</v>
      </c>
      <c r="BT34" s="15" t="n">
        <v>1</v>
      </c>
      <c r="BU34" s="15" t="n">
        <v>1</v>
      </c>
      <c r="BV34" s="15" t="n">
        <v>1</v>
      </c>
      <c r="BW34" s="15" t="n">
        <v>1</v>
      </c>
      <c r="BX34" s="15" t="n">
        <v>1</v>
      </c>
      <c r="BY34" s="15" t="n">
        <v>1</v>
      </c>
      <c r="BZ34" s="15" t="n">
        <v>1</v>
      </c>
      <c r="CA34" s="15" t="n">
        <v>1</v>
      </c>
      <c r="CB34" s="15" t="n">
        <v>1</v>
      </c>
      <c r="CC34" s="15" t="n">
        <v>1</v>
      </c>
      <c r="CD34" s="15" t="n">
        <v>1</v>
      </c>
      <c r="CE34" s="15" t="n">
        <v>1</v>
      </c>
      <c r="CF34" s="15" t="n">
        <v>1</v>
      </c>
      <c r="CG34" s="15" t="n">
        <v>1</v>
      </c>
      <c r="CH34" s="15" t="n">
        <v>1</v>
      </c>
      <c r="CN34" s="15" t="n">
        <v>0.7</v>
      </c>
      <c r="CO34" s="15" t="n">
        <v>2</v>
      </c>
      <c r="CP34" s="15" t="n">
        <v>0.7</v>
      </c>
      <c r="CQ34" s="15" t="n">
        <v>0.7</v>
      </c>
      <c r="CR34" s="15" t="n">
        <v>0.7</v>
      </c>
      <c r="CS34" s="15" t="n">
        <v>0.7</v>
      </c>
      <c r="CT34" s="15" t="n">
        <v>0.7</v>
      </c>
      <c r="CU34" s="15" t="n">
        <v>0.7</v>
      </c>
      <c r="CV34" s="15" t="n">
        <v>0.7</v>
      </c>
      <c r="CW34" s="15" t="n">
        <v>0.7</v>
      </c>
      <c r="CX34" s="15" t="n">
        <v>0.7</v>
      </c>
      <c r="CY34" s="15" t="n">
        <v>0.7</v>
      </c>
      <c r="CZ34" s="15" t="n">
        <v>0.7</v>
      </c>
      <c r="DA34" s="15" t="n">
        <v>0.7</v>
      </c>
      <c r="DB34" s="15" t="n">
        <v>0.7</v>
      </c>
      <c r="DC34" s="15" t="n">
        <v>0.7</v>
      </c>
      <c r="DD34" s="15" t="n">
        <v>0.7</v>
      </c>
      <c r="DJ34" s="15" t="n">
        <v>0.7</v>
      </c>
      <c r="DK34" s="15" t="n">
        <v>2</v>
      </c>
      <c r="DL34" s="15" t="n">
        <v>0.7</v>
      </c>
      <c r="DM34" s="15" t="n">
        <v>0.7</v>
      </c>
      <c r="DN34" s="15" t="n">
        <v>0.7</v>
      </c>
      <c r="DO34" s="15" t="n">
        <v>0.7</v>
      </c>
      <c r="DP34" s="15" t="n">
        <v>0.7</v>
      </c>
      <c r="DQ34" s="15" t="n">
        <v>0.7</v>
      </c>
      <c r="DR34" s="15" t="n">
        <v>0.7</v>
      </c>
      <c r="DS34" s="15" t="n">
        <v>0.7</v>
      </c>
      <c r="DT34" s="15" t="n">
        <v>0.7</v>
      </c>
      <c r="DU34" s="15" t="n">
        <v>0.7</v>
      </c>
      <c r="DV34" s="15" t="n">
        <v>0.7</v>
      </c>
      <c r="DW34" s="15" t="n">
        <v>0.7</v>
      </c>
      <c r="DX34" s="15" t="n">
        <v>0.7</v>
      </c>
      <c r="DY34" s="15" t="n">
        <v>0.7</v>
      </c>
      <c r="DZ34" s="15" t="n">
        <v>0.7</v>
      </c>
      <c r="EF34" s="15" t="n">
        <v>0.7</v>
      </c>
      <c r="EG34" s="15" t="n">
        <v>2</v>
      </c>
      <c r="EH34" s="15" t="n">
        <v>0.7</v>
      </c>
      <c r="EI34" s="15" t="n">
        <v>0.7</v>
      </c>
      <c r="EJ34" s="15" t="n">
        <v>0.7</v>
      </c>
      <c r="EK34" s="15" t="n">
        <v>0.7</v>
      </c>
      <c r="EL34" s="15" t="n">
        <v>0.7</v>
      </c>
      <c r="EM34" s="15" t="n">
        <v>0.7</v>
      </c>
      <c r="EN34" s="15" t="n">
        <v>0.7</v>
      </c>
      <c r="EO34" s="15" t="n">
        <v>0.7</v>
      </c>
      <c r="EP34" s="15" t="n">
        <v>0.7</v>
      </c>
      <c r="EQ34" s="15" t="n">
        <v>0.7</v>
      </c>
      <c r="ER34" s="15" t="n">
        <v>0.7</v>
      </c>
      <c r="ES34" s="15" t="n">
        <v>0.7</v>
      </c>
      <c r="ET34" s="15" t="n">
        <v>0.7</v>
      </c>
      <c r="EU34" s="15" t="n">
        <v>0.7</v>
      </c>
      <c r="EV34" s="15" t="n">
        <v>0.7</v>
      </c>
      <c r="FB34" s="15" t="n">
        <v>0.7</v>
      </c>
      <c r="FC34" s="15" t="n">
        <v>2</v>
      </c>
      <c r="FD34" s="15" t="n">
        <v>0.4</v>
      </c>
      <c r="FE34" s="15" t="n">
        <v>0.4</v>
      </c>
      <c r="FF34" s="15" t="n">
        <v>0.4</v>
      </c>
      <c r="FG34" s="15" t="n">
        <v>0.4</v>
      </c>
      <c r="FH34" s="15" t="n">
        <v>0.4</v>
      </c>
      <c r="FI34" s="15" t="n">
        <v>0.4</v>
      </c>
      <c r="FJ34" s="15" t="n">
        <v>0.4</v>
      </c>
      <c r="FK34" s="15" t="n">
        <v>0.4</v>
      </c>
      <c r="FL34" s="15" t="n">
        <v>0.4</v>
      </c>
      <c r="FM34" s="15" t="n">
        <v>0.4</v>
      </c>
      <c r="FN34" s="15" t="n">
        <v>0.4</v>
      </c>
      <c r="FO34" s="15" t="n">
        <v>0.4</v>
      </c>
      <c r="FP34" s="15" t="n">
        <v>0.4</v>
      </c>
      <c r="FQ34" s="15" t="n">
        <v>0.4</v>
      </c>
      <c r="FR34" s="15" t="n">
        <v>0.4</v>
      </c>
      <c r="FX34" s="15" t="n">
        <v>0.7</v>
      </c>
      <c r="FY34" s="15" t="n">
        <v>2</v>
      </c>
      <c r="FZ34" s="15" t="n">
        <v>0.4</v>
      </c>
      <c r="GA34" s="15" t="n">
        <v>0.4</v>
      </c>
      <c r="GB34" s="15" t="n">
        <v>0.4</v>
      </c>
      <c r="GC34" s="15" t="n">
        <v>0.4</v>
      </c>
      <c r="GD34" s="15" t="n">
        <v>0.4</v>
      </c>
      <c r="GE34" s="15" t="n">
        <v>0.4</v>
      </c>
      <c r="GF34" s="15" t="n">
        <v>0.4</v>
      </c>
      <c r="GG34" s="15" t="n">
        <v>0.4</v>
      </c>
      <c r="GH34" s="15" t="n">
        <v>0.4</v>
      </c>
      <c r="GI34" s="15" t="n">
        <v>0.4</v>
      </c>
      <c r="GJ34" s="15" t="n">
        <v>0.4</v>
      </c>
      <c r="GK34" s="15" t="n">
        <v>0.4</v>
      </c>
      <c r="GL34" s="15" t="n">
        <v>0.4</v>
      </c>
      <c r="GM34" s="15" t="n">
        <v>0.4</v>
      </c>
      <c r="GN34" s="15" t="n">
        <v>0.4</v>
      </c>
      <c r="GT34" s="15" t="n">
        <v>0.7</v>
      </c>
      <c r="GU34" s="15" t="n">
        <v>2</v>
      </c>
      <c r="GV34" s="15" t="n">
        <v>0.4</v>
      </c>
      <c r="GW34" s="15" t="n">
        <v>0.4</v>
      </c>
      <c r="GX34" s="15" t="n">
        <v>0.4</v>
      </c>
      <c r="GY34" s="15" t="n">
        <v>0.4</v>
      </c>
      <c r="GZ34" s="15" t="n">
        <v>0.4</v>
      </c>
      <c r="HA34" s="15" t="n">
        <v>0.4</v>
      </c>
      <c r="HB34" s="15" t="n">
        <v>0.4</v>
      </c>
      <c r="HC34" s="15" t="n">
        <v>0.4</v>
      </c>
      <c r="HD34" s="15" t="n">
        <v>0.4</v>
      </c>
      <c r="HE34" s="15" t="n">
        <v>0.4</v>
      </c>
      <c r="HF34" s="15" t="n">
        <v>0.4</v>
      </c>
      <c r="HG34" s="15" t="n">
        <v>0.4</v>
      </c>
      <c r="HH34" s="15" t="n">
        <v>0.4</v>
      </c>
      <c r="HI34" s="15" t="n">
        <v>0.4</v>
      </c>
      <c r="HJ34" s="15" t="n">
        <v>0.4</v>
      </c>
    </row>
    <row r="35">
      <c r="B35" s="70" t="n">
        <v>0.4</v>
      </c>
      <c r="C35" s="15" t="n">
        <v>3</v>
      </c>
      <c r="D35" s="70">
        <f>$B$32</f>
        <v/>
      </c>
      <c r="E35" s="70">
        <f>$B$32</f>
        <v/>
      </c>
      <c r="F35" s="70">
        <f>$B$32</f>
        <v/>
      </c>
      <c r="G35" s="70">
        <f>$B$32</f>
        <v/>
      </c>
      <c r="H35" s="70">
        <f>$B$32</f>
        <v/>
      </c>
      <c r="I35" s="70">
        <f>$B$32</f>
        <v/>
      </c>
      <c r="J35" s="70">
        <f>$B$32</f>
        <v/>
      </c>
      <c r="K35" s="70">
        <f>$B$32</f>
        <v/>
      </c>
      <c r="L35" s="70">
        <f>$B$32</f>
        <v/>
      </c>
      <c r="M35" s="70">
        <f>$B$32</f>
        <v/>
      </c>
      <c r="N35" s="70">
        <f>$B$32</f>
        <v/>
      </c>
      <c r="O35" s="70">
        <f>$B$32</f>
        <v/>
      </c>
      <c r="P35" s="70">
        <f>$B$32</f>
        <v/>
      </c>
      <c r="Q35" s="70">
        <f>$B$32</f>
        <v/>
      </c>
      <c r="R35" s="70">
        <f>$B$32</f>
        <v/>
      </c>
      <c r="Z35" s="15" t="n">
        <v>0.4</v>
      </c>
      <c r="AA35" s="15" t="n">
        <v>3</v>
      </c>
      <c r="AB35" s="15" t="n">
        <v>1</v>
      </c>
      <c r="AC35" s="15" t="n">
        <v>1</v>
      </c>
      <c r="AD35" s="15" t="n">
        <v>1</v>
      </c>
      <c r="AE35" s="15" t="n">
        <v>1</v>
      </c>
      <c r="AF35" s="15" t="n">
        <v>1</v>
      </c>
      <c r="AG35" s="15" t="n">
        <v>1</v>
      </c>
      <c r="AH35" s="15" t="n">
        <v>1</v>
      </c>
      <c r="AI35" s="15" t="n">
        <v>1</v>
      </c>
      <c r="AJ35" s="15" t="n">
        <v>1</v>
      </c>
      <c r="AK35" s="15" t="n">
        <v>1</v>
      </c>
      <c r="AL35" s="15" t="n">
        <v>1</v>
      </c>
      <c r="AM35" s="15" t="n">
        <v>1</v>
      </c>
      <c r="AN35" s="15" t="n">
        <v>1</v>
      </c>
      <c r="AO35" s="15" t="n">
        <v>1</v>
      </c>
      <c r="AP35" s="15" t="n">
        <v>1</v>
      </c>
      <c r="AV35" s="15" t="n">
        <v>0.4</v>
      </c>
      <c r="AW35" s="15" t="n">
        <v>3</v>
      </c>
      <c r="AX35" s="15" t="n">
        <v>1</v>
      </c>
      <c r="AY35" s="15" t="n">
        <v>1</v>
      </c>
      <c r="AZ35" s="15" t="n">
        <v>1</v>
      </c>
      <c r="BA35" s="15" t="n">
        <v>1</v>
      </c>
      <c r="BB35" s="15" t="n">
        <v>1</v>
      </c>
      <c r="BC35" s="15" t="n">
        <v>1</v>
      </c>
      <c r="BD35" s="15" t="n">
        <v>1</v>
      </c>
      <c r="BE35" s="15" t="n">
        <v>1</v>
      </c>
      <c r="BF35" s="15" t="n">
        <v>1</v>
      </c>
      <c r="BG35" s="15" t="n">
        <v>1</v>
      </c>
      <c r="BH35" s="15" t="n">
        <v>1</v>
      </c>
      <c r="BI35" s="15" t="n">
        <v>1</v>
      </c>
      <c r="BJ35" s="15" t="n">
        <v>1</v>
      </c>
      <c r="BK35" s="15" t="n">
        <v>1</v>
      </c>
      <c r="BL35" s="15" t="n">
        <v>1</v>
      </c>
      <c r="BR35" s="15" t="n">
        <v>0.4</v>
      </c>
      <c r="BS35" s="15" t="n">
        <v>3</v>
      </c>
      <c r="BT35" s="15" t="n">
        <v>1</v>
      </c>
      <c r="BU35" s="15" t="n">
        <v>1</v>
      </c>
      <c r="BV35" s="15" t="n">
        <v>1</v>
      </c>
      <c r="BW35" s="15" t="n">
        <v>1</v>
      </c>
      <c r="BX35" s="15" t="n">
        <v>1</v>
      </c>
      <c r="BY35" s="15" t="n">
        <v>1</v>
      </c>
      <c r="BZ35" s="15" t="n">
        <v>1</v>
      </c>
      <c r="CA35" s="15" t="n">
        <v>1</v>
      </c>
      <c r="CB35" s="15" t="n">
        <v>1</v>
      </c>
      <c r="CC35" s="15" t="n">
        <v>1</v>
      </c>
      <c r="CD35" s="15" t="n">
        <v>1</v>
      </c>
      <c r="CE35" s="15" t="n">
        <v>1</v>
      </c>
      <c r="CF35" s="15" t="n">
        <v>1</v>
      </c>
      <c r="CG35" s="15" t="n">
        <v>1</v>
      </c>
      <c r="CH35" s="15" t="n">
        <v>1</v>
      </c>
      <c r="CN35" s="15" t="n">
        <v>0.4</v>
      </c>
      <c r="CO35" s="15" t="n">
        <v>3</v>
      </c>
      <c r="CP35" s="15" t="n">
        <v>0.7</v>
      </c>
      <c r="CQ35" s="15" t="n">
        <v>0.7</v>
      </c>
      <c r="CR35" s="15" t="n">
        <v>0.7</v>
      </c>
      <c r="CS35" s="15" t="n">
        <v>0.7</v>
      </c>
      <c r="CT35" s="15" t="n">
        <v>0.7</v>
      </c>
      <c r="CU35" s="15" t="n">
        <v>0.7</v>
      </c>
      <c r="CV35" s="15" t="n">
        <v>0.7</v>
      </c>
      <c r="CW35" s="15" t="n">
        <v>0.7</v>
      </c>
      <c r="CX35" s="15" t="n">
        <v>0.7</v>
      </c>
      <c r="CY35" s="15" t="n">
        <v>0.7</v>
      </c>
      <c r="CZ35" s="15" t="n">
        <v>0.7</v>
      </c>
      <c r="DA35" s="15" t="n">
        <v>0.7</v>
      </c>
      <c r="DB35" s="15" t="n">
        <v>0.7</v>
      </c>
      <c r="DC35" s="15" t="n">
        <v>0.7</v>
      </c>
      <c r="DD35" s="15" t="n">
        <v>0.7</v>
      </c>
      <c r="DJ35" s="15" t="n">
        <v>0.4</v>
      </c>
      <c r="DK35" s="15" t="n">
        <v>3</v>
      </c>
      <c r="DL35" s="15" t="n">
        <v>0.7</v>
      </c>
      <c r="DM35" s="15" t="n">
        <v>0.7</v>
      </c>
      <c r="DN35" s="15" t="n">
        <v>0.7</v>
      </c>
      <c r="DO35" s="15" t="n">
        <v>0.7</v>
      </c>
      <c r="DP35" s="15" t="n">
        <v>0.7</v>
      </c>
      <c r="DQ35" s="15" t="n">
        <v>0.7</v>
      </c>
      <c r="DR35" s="15" t="n">
        <v>0.7</v>
      </c>
      <c r="DS35" s="15" t="n">
        <v>0.7</v>
      </c>
      <c r="DT35" s="15" t="n">
        <v>0.7</v>
      </c>
      <c r="DU35" s="15" t="n">
        <v>0.7</v>
      </c>
      <c r="DV35" s="15" t="n">
        <v>0.7</v>
      </c>
      <c r="DW35" s="15" t="n">
        <v>0.7</v>
      </c>
      <c r="DX35" s="15" t="n">
        <v>0.7</v>
      </c>
      <c r="DY35" s="15" t="n">
        <v>0.7</v>
      </c>
      <c r="DZ35" s="15" t="n">
        <v>0.7</v>
      </c>
      <c r="EF35" s="15" t="n">
        <v>0.4</v>
      </c>
      <c r="EG35" s="15" t="n">
        <v>3</v>
      </c>
      <c r="EH35" s="15" t="n">
        <v>0.7</v>
      </c>
      <c r="EI35" s="15" t="n">
        <v>0.7</v>
      </c>
      <c r="EJ35" s="15" t="n">
        <v>0.7</v>
      </c>
      <c r="EK35" s="15" t="n">
        <v>0.7</v>
      </c>
      <c r="EL35" s="15" t="n">
        <v>0.7</v>
      </c>
      <c r="EM35" s="15" t="n">
        <v>0.7</v>
      </c>
      <c r="EN35" s="15" t="n">
        <v>0.7</v>
      </c>
      <c r="EO35" s="15" t="n">
        <v>0.7</v>
      </c>
      <c r="EP35" s="15" t="n">
        <v>0.7</v>
      </c>
      <c r="EQ35" s="15" t="n">
        <v>0.7</v>
      </c>
      <c r="ER35" s="15" t="n">
        <v>0.7</v>
      </c>
      <c r="ES35" s="15" t="n">
        <v>0.7</v>
      </c>
      <c r="ET35" s="15" t="n">
        <v>0.7</v>
      </c>
      <c r="EU35" s="15" t="n">
        <v>0.7</v>
      </c>
      <c r="EV35" s="15" t="n">
        <v>0.7</v>
      </c>
      <c r="FB35" s="15" t="n">
        <v>0.4</v>
      </c>
      <c r="FC35" s="15" t="n">
        <v>3</v>
      </c>
      <c r="FD35" s="15" t="n">
        <v>0.4</v>
      </c>
      <c r="FE35" s="15" t="n">
        <v>0.4</v>
      </c>
      <c r="FF35" s="15" t="n">
        <v>0.4</v>
      </c>
      <c r="FG35" s="15" t="n">
        <v>0.4</v>
      </c>
      <c r="FH35" s="15" t="n">
        <v>0.4</v>
      </c>
      <c r="FI35" s="15" t="n">
        <v>0.4</v>
      </c>
      <c r="FJ35" s="15" t="n">
        <v>0.4</v>
      </c>
      <c r="FK35" s="15" t="n">
        <v>0.4</v>
      </c>
      <c r="FL35" s="15" t="n">
        <v>0.4</v>
      </c>
      <c r="FM35" s="15" t="n">
        <v>0.4</v>
      </c>
      <c r="FN35" s="15" t="n">
        <v>0.4</v>
      </c>
      <c r="FO35" s="15" t="n">
        <v>0.4</v>
      </c>
      <c r="FP35" s="15" t="n">
        <v>0.4</v>
      </c>
      <c r="FQ35" s="15" t="n">
        <v>0.4</v>
      </c>
      <c r="FR35" s="15" t="n">
        <v>0.4</v>
      </c>
      <c r="FX35" s="15" t="n">
        <v>0.4</v>
      </c>
      <c r="FY35" s="15" t="n">
        <v>3</v>
      </c>
      <c r="FZ35" s="15" t="n">
        <v>0.4</v>
      </c>
      <c r="GA35" s="15" t="n">
        <v>0.4</v>
      </c>
      <c r="GB35" s="15" t="n">
        <v>0.4</v>
      </c>
      <c r="GC35" s="15" t="n">
        <v>0.4</v>
      </c>
      <c r="GD35" s="15" t="n">
        <v>0.4</v>
      </c>
      <c r="GE35" s="15" t="n">
        <v>0.4</v>
      </c>
      <c r="GF35" s="15" t="n">
        <v>0.4</v>
      </c>
      <c r="GG35" s="15" t="n">
        <v>0.4</v>
      </c>
      <c r="GH35" s="15" t="n">
        <v>0.4</v>
      </c>
      <c r="GI35" s="15" t="n">
        <v>0.4</v>
      </c>
      <c r="GJ35" s="15" t="n">
        <v>0.4</v>
      </c>
      <c r="GK35" s="15" t="n">
        <v>0.4</v>
      </c>
      <c r="GL35" s="15" t="n">
        <v>0.4</v>
      </c>
      <c r="GM35" s="15" t="n">
        <v>0.4</v>
      </c>
      <c r="GN35" s="15" t="n">
        <v>0.4</v>
      </c>
      <c r="GT35" s="15" t="n">
        <v>0.4</v>
      </c>
      <c r="GU35" s="15" t="n">
        <v>3</v>
      </c>
      <c r="GV35" s="15" t="n">
        <v>0.4</v>
      </c>
      <c r="GW35" s="15" t="n">
        <v>0.4</v>
      </c>
      <c r="GX35" s="15" t="n">
        <v>0.4</v>
      </c>
      <c r="GY35" s="15" t="n">
        <v>0.4</v>
      </c>
      <c r="GZ35" s="15" t="n">
        <v>0.4</v>
      </c>
      <c r="HA35" s="15" t="n">
        <v>0.4</v>
      </c>
      <c r="HB35" s="15" t="n">
        <v>0.4</v>
      </c>
      <c r="HC35" s="15" t="n">
        <v>0.4</v>
      </c>
      <c r="HD35" s="15" t="n">
        <v>0.4</v>
      </c>
      <c r="HE35" s="15" t="n">
        <v>0.4</v>
      </c>
      <c r="HF35" s="15" t="n">
        <v>0.4</v>
      </c>
      <c r="HG35" s="15" t="n">
        <v>0.4</v>
      </c>
      <c r="HH35" s="15" t="n">
        <v>0.4</v>
      </c>
      <c r="HI35" s="15" t="n">
        <v>0.4</v>
      </c>
      <c r="HJ35" s="15" t="n">
        <v>0.4</v>
      </c>
    </row>
    <row r="37" ht="16.2" customHeight="1">
      <c r="B37" s="68" t="n">
        <v>1.7057377</v>
      </c>
      <c r="C37" s="15" t="inlineStr">
        <is>
          <t>Variance coeff - z(S2nd)</t>
        </is>
      </c>
      <c r="D37" s="15" t="n">
        <v>1</v>
      </c>
      <c r="E37" s="15" t="n">
        <v>2</v>
      </c>
      <c r="F37" s="15" t="n">
        <v>3</v>
      </c>
      <c r="G37" s="15" t="n">
        <v>4</v>
      </c>
      <c r="H37" s="15" t="n">
        <v>5</v>
      </c>
      <c r="I37" s="15" t="n">
        <v>6</v>
      </c>
      <c r="J37" s="15" t="n">
        <v>7</v>
      </c>
      <c r="K37" s="15" t="n">
        <v>8</v>
      </c>
      <c r="L37" s="15" t="n">
        <v>9</v>
      </c>
      <c r="M37" s="15" t="n">
        <v>10</v>
      </c>
      <c r="N37" s="15" t="n">
        <v>11</v>
      </c>
      <c r="O37" s="15" t="n">
        <v>12</v>
      </c>
      <c r="P37" s="15" t="n">
        <v>13</v>
      </c>
      <c r="Q37" s="15" t="n">
        <v>14</v>
      </c>
      <c r="R37" s="15" t="n">
        <v>15</v>
      </c>
      <c r="Z37" s="15" t="n">
        <v>1.7057377</v>
      </c>
      <c r="AA37" s="15" t="inlineStr">
        <is>
          <t>Variance coeff - z(S2nd)</t>
        </is>
      </c>
      <c r="AB37" s="15" t="n">
        <v>1</v>
      </c>
      <c r="AC37" s="15" t="n">
        <v>2</v>
      </c>
      <c r="AD37" s="15" t="n">
        <v>3</v>
      </c>
      <c r="AE37" s="15" t="n">
        <v>4</v>
      </c>
      <c r="AF37" s="15" t="n">
        <v>5</v>
      </c>
      <c r="AG37" s="15" t="n">
        <v>6</v>
      </c>
      <c r="AH37" s="15" t="n">
        <v>7</v>
      </c>
      <c r="AI37" s="15" t="n">
        <v>8</v>
      </c>
      <c r="AJ37" s="15" t="n">
        <v>9</v>
      </c>
      <c r="AK37" s="15" t="n">
        <v>10</v>
      </c>
      <c r="AL37" s="15" t="n">
        <v>11</v>
      </c>
      <c r="AM37" s="15" t="n">
        <v>12</v>
      </c>
      <c r="AN37" s="15" t="n">
        <v>13</v>
      </c>
      <c r="AO37" s="15" t="n">
        <v>14</v>
      </c>
      <c r="AP37" s="15" t="n">
        <v>15</v>
      </c>
      <c r="AV37" s="15" t="n">
        <v>2.001</v>
      </c>
      <c r="AW37" s="15" t="inlineStr">
        <is>
          <t>Variance coeff - z(S2nd)</t>
        </is>
      </c>
      <c r="AX37" s="15" t="n">
        <v>1</v>
      </c>
      <c r="AY37" s="15" t="n">
        <v>2</v>
      </c>
      <c r="AZ37" s="15" t="n">
        <v>3</v>
      </c>
      <c r="BA37" s="15" t="n">
        <v>4</v>
      </c>
      <c r="BB37" s="15" t="n">
        <v>5</v>
      </c>
      <c r="BC37" s="15" t="n">
        <v>6</v>
      </c>
      <c r="BD37" s="15" t="n">
        <v>7</v>
      </c>
      <c r="BE37" s="15" t="n">
        <v>8</v>
      </c>
      <c r="BF37" s="15" t="n">
        <v>9</v>
      </c>
      <c r="BG37" s="15" t="n">
        <v>10</v>
      </c>
      <c r="BH37" s="15" t="n">
        <v>11</v>
      </c>
      <c r="BI37" s="15" t="n">
        <v>12</v>
      </c>
      <c r="BJ37" s="15" t="n">
        <v>13</v>
      </c>
      <c r="BK37" s="15" t="n">
        <v>14</v>
      </c>
      <c r="BL37" s="15" t="n">
        <v>15</v>
      </c>
      <c r="BR37" s="15" t="n">
        <v>3</v>
      </c>
      <c r="BS37" s="15" t="inlineStr">
        <is>
          <t>Variance coeff - z(S2nd)</t>
        </is>
      </c>
      <c r="BT37" s="15" t="n">
        <v>1</v>
      </c>
      <c r="BU37" s="15" t="n">
        <v>2</v>
      </c>
      <c r="BV37" s="15" t="n">
        <v>3</v>
      </c>
      <c r="BW37" s="15" t="n">
        <v>4</v>
      </c>
      <c r="BX37" s="15" t="n">
        <v>5</v>
      </c>
      <c r="BY37" s="15" t="n">
        <v>6</v>
      </c>
      <c r="BZ37" s="15" t="n">
        <v>7</v>
      </c>
      <c r="CA37" s="15" t="n">
        <v>8</v>
      </c>
      <c r="CB37" s="15" t="n">
        <v>9</v>
      </c>
      <c r="CC37" s="15" t="n">
        <v>10</v>
      </c>
      <c r="CD37" s="15" t="n">
        <v>11</v>
      </c>
      <c r="CE37" s="15" t="n">
        <v>12</v>
      </c>
      <c r="CF37" s="15" t="n">
        <v>13</v>
      </c>
      <c r="CG37" s="15" t="n">
        <v>14</v>
      </c>
      <c r="CH37" s="15" t="n">
        <v>15</v>
      </c>
      <c r="CN37" s="15" t="n">
        <v>1.7057377</v>
      </c>
      <c r="CO37" s="15" t="inlineStr">
        <is>
          <t>Variance coeff - z(S2nd)</t>
        </is>
      </c>
      <c r="CP37" s="15" t="n">
        <v>1</v>
      </c>
      <c r="CQ37" s="15" t="n">
        <v>2</v>
      </c>
      <c r="CR37" s="15" t="n">
        <v>3</v>
      </c>
      <c r="CS37" s="15" t="n">
        <v>4</v>
      </c>
      <c r="CT37" s="15" t="n">
        <v>5</v>
      </c>
      <c r="CU37" s="15" t="n">
        <v>6</v>
      </c>
      <c r="CV37" s="15" t="n">
        <v>7</v>
      </c>
      <c r="CW37" s="15" t="n">
        <v>8</v>
      </c>
      <c r="CX37" s="15" t="n">
        <v>9</v>
      </c>
      <c r="CY37" s="15" t="n">
        <v>10</v>
      </c>
      <c r="CZ37" s="15" t="n">
        <v>11</v>
      </c>
      <c r="DA37" s="15" t="n">
        <v>12</v>
      </c>
      <c r="DB37" s="15" t="n">
        <v>13</v>
      </c>
      <c r="DC37" s="15" t="n">
        <v>14</v>
      </c>
      <c r="DD37" s="15" t="n">
        <v>15</v>
      </c>
      <c r="DJ37" s="15" t="n">
        <v>2.001</v>
      </c>
      <c r="DK37" s="15" t="inlineStr">
        <is>
          <t>Variance coeff - z(S2nd)</t>
        </is>
      </c>
      <c r="DL37" s="15" t="n">
        <v>1</v>
      </c>
      <c r="DM37" s="15" t="n">
        <v>2</v>
      </c>
      <c r="DN37" s="15" t="n">
        <v>3</v>
      </c>
      <c r="DO37" s="15" t="n">
        <v>4</v>
      </c>
      <c r="DP37" s="15" t="n">
        <v>5</v>
      </c>
      <c r="DQ37" s="15" t="n">
        <v>6</v>
      </c>
      <c r="DR37" s="15" t="n">
        <v>7</v>
      </c>
      <c r="DS37" s="15" t="n">
        <v>8</v>
      </c>
      <c r="DT37" s="15" t="n">
        <v>9</v>
      </c>
      <c r="DU37" s="15" t="n">
        <v>10</v>
      </c>
      <c r="DV37" s="15" t="n">
        <v>11</v>
      </c>
      <c r="DW37" s="15" t="n">
        <v>12</v>
      </c>
      <c r="DX37" s="15" t="n">
        <v>13</v>
      </c>
      <c r="DY37" s="15" t="n">
        <v>14</v>
      </c>
      <c r="DZ37" s="15" t="n">
        <v>15</v>
      </c>
      <c r="EF37" s="15" t="n">
        <v>3</v>
      </c>
      <c r="EG37" s="15" t="inlineStr">
        <is>
          <t>Variance coeff - z(S2nd)</t>
        </is>
      </c>
      <c r="EH37" s="15" t="n">
        <v>1</v>
      </c>
      <c r="EI37" s="15" t="n">
        <v>2</v>
      </c>
      <c r="EJ37" s="15" t="n">
        <v>3</v>
      </c>
      <c r="EK37" s="15" t="n">
        <v>4</v>
      </c>
      <c r="EL37" s="15" t="n">
        <v>5</v>
      </c>
      <c r="EM37" s="15" t="n">
        <v>6</v>
      </c>
      <c r="EN37" s="15" t="n">
        <v>7</v>
      </c>
      <c r="EO37" s="15" t="n">
        <v>8</v>
      </c>
      <c r="EP37" s="15" t="n">
        <v>9</v>
      </c>
      <c r="EQ37" s="15" t="n">
        <v>10</v>
      </c>
      <c r="ER37" s="15" t="n">
        <v>11</v>
      </c>
      <c r="ES37" s="15" t="n">
        <v>12</v>
      </c>
      <c r="ET37" s="15" t="n">
        <v>13</v>
      </c>
      <c r="EU37" s="15" t="n">
        <v>14</v>
      </c>
      <c r="EV37" s="15" t="n">
        <v>15</v>
      </c>
      <c r="FB37" s="15" t="n">
        <v>1.7057377</v>
      </c>
      <c r="FC37" s="15" t="inlineStr">
        <is>
          <t>Variance coeff - z(S2nd)</t>
        </is>
      </c>
      <c r="FD37" s="15" t="n">
        <v>1</v>
      </c>
      <c r="FE37" s="15" t="n">
        <v>2</v>
      </c>
      <c r="FF37" s="15" t="n">
        <v>3</v>
      </c>
      <c r="FG37" s="15" t="n">
        <v>4</v>
      </c>
      <c r="FH37" s="15" t="n">
        <v>5</v>
      </c>
      <c r="FI37" s="15" t="n">
        <v>6</v>
      </c>
      <c r="FJ37" s="15" t="n">
        <v>7</v>
      </c>
      <c r="FK37" s="15" t="n">
        <v>8</v>
      </c>
      <c r="FL37" s="15" t="n">
        <v>9</v>
      </c>
      <c r="FM37" s="15" t="n">
        <v>10</v>
      </c>
      <c r="FN37" s="15" t="n">
        <v>11</v>
      </c>
      <c r="FO37" s="15" t="n">
        <v>12</v>
      </c>
      <c r="FP37" s="15" t="n">
        <v>13</v>
      </c>
      <c r="FQ37" s="15" t="n">
        <v>14</v>
      </c>
      <c r="FR37" s="15" t="n">
        <v>15</v>
      </c>
      <c r="FX37" s="15" t="n">
        <v>2.001</v>
      </c>
      <c r="FY37" s="15" t="inlineStr">
        <is>
          <t>Variance coeff - z(S2nd)</t>
        </is>
      </c>
      <c r="FZ37" s="15" t="n">
        <v>1</v>
      </c>
      <c r="GA37" s="15" t="n">
        <v>2</v>
      </c>
      <c r="GB37" s="15" t="n">
        <v>3</v>
      </c>
      <c r="GC37" s="15" t="n">
        <v>4</v>
      </c>
      <c r="GD37" s="15" t="n">
        <v>5</v>
      </c>
      <c r="GE37" s="15" t="n">
        <v>6</v>
      </c>
      <c r="GF37" s="15" t="n">
        <v>7</v>
      </c>
      <c r="GG37" s="15" t="n">
        <v>8</v>
      </c>
      <c r="GH37" s="15" t="n">
        <v>9</v>
      </c>
      <c r="GI37" s="15" t="n">
        <v>10</v>
      </c>
      <c r="GJ37" s="15" t="n">
        <v>11</v>
      </c>
      <c r="GK37" s="15" t="n">
        <v>12</v>
      </c>
      <c r="GL37" s="15" t="n">
        <v>13</v>
      </c>
      <c r="GM37" s="15" t="n">
        <v>14</v>
      </c>
      <c r="GN37" s="15" t="n">
        <v>15</v>
      </c>
      <c r="GT37" s="15" t="n">
        <v>3</v>
      </c>
      <c r="GU37" s="15" t="inlineStr">
        <is>
          <t>Variance coeff - z(S2nd)</t>
        </is>
      </c>
      <c r="GV37" s="15" t="n">
        <v>1</v>
      </c>
      <c r="GW37" s="15" t="n">
        <v>2</v>
      </c>
      <c r="GX37" s="15" t="n">
        <v>3</v>
      </c>
      <c r="GY37" s="15" t="n">
        <v>4</v>
      </c>
      <c r="GZ37" s="15" t="n">
        <v>5</v>
      </c>
      <c r="HA37" s="15" t="n">
        <v>6</v>
      </c>
      <c r="HB37" s="15" t="n">
        <v>7</v>
      </c>
      <c r="HC37" s="15" t="n">
        <v>8</v>
      </c>
      <c r="HD37" s="15" t="n">
        <v>9</v>
      </c>
      <c r="HE37" s="15" t="n">
        <v>10</v>
      </c>
      <c r="HF37" s="15" t="n">
        <v>11</v>
      </c>
      <c r="HG37" s="15" t="n">
        <v>12</v>
      </c>
      <c r="HH37" s="15" t="n">
        <v>13</v>
      </c>
      <c r="HI37" s="15" t="n">
        <v>14</v>
      </c>
      <c r="HJ37" s="15" t="n">
        <v>15</v>
      </c>
    </row>
    <row r="38">
      <c r="B38" s="67" t="n">
        <v>1.7057377</v>
      </c>
      <c r="C38" s="15" t="n">
        <v>1</v>
      </c>
      <c r="D38" s="67">
        <f>$B$37</f>
        <v/>
      </c>
      <c r="E38" s="67">
        <f>$B$37</f>
        <v/>
      </c>
      <c r="F38" s="67">
        <f>$B$37</f>
        <v/>
      </c>
      <c r="G38" s="67">
        <f>$B$37</f>
        <v/>
      </c>
      <c r="H38" s="67">
        <f>$B$37</f>
        <v/>
      </c>
      <c r="I38" s="67">
        <f>$B$37</f>
        <v/>
      </c>
      <c r="J38" s="67">
        <f>$B$37</f>
        <v/>
      </c>
      <c r="K38" s="67">
        <f>$B$37</f>
        <v/>
      </c>
      <c r="L38" s="67">
        <f>$B$37</f>
        <v/>
      </c>
      <c r="M38" s="67">
        <f>$B$37</f>
        <v/>
      </c>
      <c r="N38" s="67">
        <f>$B$37</f>
        <v/>
      </c>
      <c r="O38" s="67">
        <f>$B$37</f>
        <v/>
      </c>
      <c r="P38" s="67">
        <f>$B$37</f>
        <v/>
      </c>
      <c r="Q38" s="67">
        <f>$B$37</f>
        <v/>
      </c>
      <c r="R38" s="67">
        <f>$B$37</f>
        <v/>
      </c>
      <c r="T38" s="39">
        <f>SUM(D38:R40)</f>
        <v/>
      </c>
      <c r="U38" s="39" t="n">
        <v>76.7581965</v>
      </c>
      <c r="V38" s="39">
        <f>T38-U38</f>
        <v/>
      </c>
      <c r="W38" s="39" t="n"/>
      <c r="X38" s="39" t="n"/>
      <c r="Y38" s="84" t="n"/>
      <c r="Z38" s="84" t="n">
        <v>1.7057377</v>
      </c>
      <c r="AA38" s="84" t="n">
        <v>1</v>
      </c>
      <c r="AB38" s="84" t="n">
        <v>1.7057377</v>
      </c>
      <c r="AC38" s="84" t="n">
        <v>1.7057377</v>
      </c>
      <c r="AD38" s="84" t="n">
        <v>1.7057377</v>
      </c>
      <c r="AE38" s="84" t="n">
        <v>1.7057377</v>
      </c>
      <c r="AF38" s="84" t="n">
        <v>1.7057377</v>
      </c>
      <c r="AG38" s="84" t="n">
        <v>1.7057377</v>
      </c>
      <c r="AH38" s="84" t="n">
        <v>1.7057377</v>
      </c>
      <c r="AI38" s="84" t="n">
        <v>1.7057377</v>
      </c>
      <c r="AJ38" s="84" t="n">
        <v>1.7057377</v>
      </c>
      <c r="AK38" s="84" t="n">
        <v>1.7057377</v>
      </c>
      <c r="AL38" s="84" t="n">
        <v>1.7057377</v>
      </c>
      <c r="AM38" s="84" t="n">
        <v>1.7057377</v>
      </c>
      <c r="AN38" s="15" t="n">
        <v>1.7057377</v>
      </c>
      <c r="AO38" s="15" t="n">
        <v>1.7057377</v>
      </c>
      <c r="AP38" s="15" t="n">
        <v>1.7057377</v>
      </c>
      <c r="AV38" s="15" t="n">
        <v>1.7057377</v>
      </c>
      <c r="AW38" s="15" t="n">
        <v>1</v>
      </c>
      <c r="AX38" s="15" t="n">
        <v>2.001</v>
      </c>
      <c r="AY38" s="15" t="n">
        <v>2.001</v>
      </c>
      <c r="AZ38" s="15" t="n">
        <v>2.001</v>
      </c>
      <c r="BA38" s="15" t="n">
        <v>2.001</v>
      </c>
      <c r="BB38" s="15" t="n">
        <v>2.001</v>
      </c>
      <c r="BC38" s="15" t="n">
        <v>2.001</v>
      </c>
      <c r="BD38" s="15" t="n">
        <v>2.001</v>
      </c>
      <c r="BE38" s="15" t="n">
        <v>2.001</v>
      </c>
      <c r="BF38" s="15" t="n">
        <v>2.001</v>
      </c>
      <c r="BG38" s="15" t="n">
        <v>2.001</v>
      </c>
      <c r="BH38" s="15" t="n">
        <v>2.001</v>
      </c>
      <c r="BI38" s="15" t="n">
        <v>2.001</v>
      </c>
      <c r="BJ38" s="15" t="n">
        <v>2.001</v>
      </c>
      <c r="BK38" s="15" t="n">
        <v>2.001</v>
      </c>
      <c r="BL38" s="15" t="n">
        <v>2.001</v>
      </c>
      <c r="BR38" s="15" t="n">
        <v>1.7057377</v>
      </c>
      <c r="BS38" s="15" t="n">
        <v>1</v>
      </c>
      <c r="BT38" s="15" t="n">
        <v>3</v>
      </c>
      <c r="BU38" s="15" t="n">
        <v>3</v>
      </c>
      <c r="BV38" s="15" t="n">
        <v>3</v>
      </c>
      <c r="BW38" s="15" t="n">
        <v>3</v>
      </c>
      <c r="BX38" s="15" t="n">
        <v>3</v>
      </c>
      <c r="BY38" s="15" t="n">
        <v>3</v>
      </c>
      <c r="BZ38" s="15" t="n">
        <v>3</v>
      </c>
      <c r="CA38" s="15" t="n">
        <v>3</v>
      </c>
      <c r="CB38" s="15" t="n">
        <v>3</v>
      </c>
      <c r="CC38" s="15" t="n">
        <v>3</v>
      </c>
      <c r="CD38" s="15" t="n">
        <v>3</v>
      </c>
      <c r="CE38" s="15" t="n">
        <v>3</v>
      </c>
      <c r="CF38" s="15" t="n">
        <v>3</v>
      </c>
      <c r="CG38" s="15" t="n">
        <v>3</v>
      </c>
      <c r="CH38" s="15" t="n">
        <v>3</v>
      </c>
      <c r="CN38" s="15" t="n">
        <v>1.7057377</v>
      </c>
      <c r="CO38" s="15" t="n">
        <v>1</v>
      </c>
      <c r="CP38" s="15" t="n">
        <v>1.7057377</v>
      </c>
      <c r="CQ38" s="15" t="n">
        <v>1.7057377</v>
      </c>
      <c r="CR38" s="15" t="n">
        <v>1.7057377</v>
      </c>
      <c r="CS38" s="15" t="n">
        <v>1.7057377</v>
      </c>
      <c r="CT38" s="15" t="n">
        <v>1.7057377</v>
      </c>
      <c r="CU38" s="15" t="n">
        <v>1.7057377</v>
      </c>
      <c r="CV38" s="15" t="n">
        <v>1.7057377</v>
      </c>
      <c r="CW38" s="15" t="n">
        <v>1.7057377</v>
      </c>
      <c r="CX38" s="15" t="n">
        <v>1.7057377</v>
      </c>
      <c r="CY38" s="15" t="n">
        <v>1.7057377</v>
      </c>
      <c r="CZ38" s="15" t="n">
        <v>1.7057377</v>
      </c>
      <c r="DA38" s="15" t="n">
        <v>1.7057377</v>
      </c>
      <c r="DB38" s="15" t="n">
        <v>1.7057377</v>
      </c>
      <c r="DC38" s="15" t="n">
        <v>1.7057377</v>
      </c>
      <c r="DD38" s="15" t="n">
        <v>1.7057377</v>
      </c>
      <c r="DJ38" s="15" t="n">
        <v>1.7057377</v>
      </c>
      <c r="DK38" s="15" t="n">
        <v>1</v>
      </c>
      <c r="DL38" s="15" t="n">
        <v>2.001</v>
      </c>
      <c r="DM38" s="15" t="n">
        <v>2.001</v>
      </c>
      <c r="DN38" s="15" t="n">
        <v>2.001</v>
      </c>
      <c r="DO38" s="15" t="n">
        <v>2.001</v>
      </c>
      <c r="DP38" s="15" t="n">
        <v>2.001</v>
      </c>
      <c r="DQ38" s="15" t="n">
        <v>2.001</v>
      </c>
      <c r="DR38" s="15" t="n">
        <v>2.001</v>
      </c>
      <c r="DS38" s="15" t="n">
        <v>2.001</v>
      </c>
      <c r="DT38" s="15" t="n">
        <v>2.001</v>
      </c>
      <c r="DU38" s="15" t="n">
        <v>2.001</v>
      </c>
      <c r="DV38" s="15" t="n">
        <v>2.001</v>
      </c>
      <c r="DW38" s="15" t="n">
        <v>2.001</v>
      </c>
      <c r="DX38" s="15" t="n">
        <v>2.001</v>
      </c>
      <c r="DY38" s="15" t="n">
        <v>2.001</v>
      </c>
      <c r="DZ38" s="15" t="n">
        <v>2.001</v>
      </c>
      <c r="EF38" s="15" t="n">
        <v>1.7057377</v>
      </c>
      <c r="EG38" s="15" t="n">
        <v>1</v>
      </c>
      <c r="EH38" s="15" t="n">
        <v>3</v>
      </c>
      <c r="EI38" s="15" t="n">
        <v>3</v>
      </c>
      <c r="EJ38" s="15" t="n">
        <v>3</v>
      </c>
      <c r="EK38" s="15" t="n">
        <v>3</v>
      </c>
      <c r="EL38" s="15" t="n">
        <v>3</v>
      </c>
      <c r="EM38" s="15" t="n">
        <v>3</v>
      </c>
      <c r="EN38" s="15" t="n">
        <v>3</v>
      </c>
      <c r="EO38" s="15" t="n">
        <v>3</v>
      </c>
      <c r="EP38" s="15" t="n">
        <v>3</v>
      </c>
      <c r="EQ38" s="15" t="n">
        <v>3</v>
      </c>
      <c r="ER38" s="15" t="n">
        <v>3</v>
      </c>
      <c r="ES38" s="15" t="n">
        <v>3</v>
      </c>
      <c r="ET38" s="15" t="n">
        <v>3</v>
      </c>
      <c r="EU38" s="15" t="n">
        <v>3</v>
      </c>
      <c r="EV38" s="15" t="n">
        <v>3</v>
      </c>
      <c r="FB38" s="15" t="n">
        <v>1.7057377</v>
      </c>
      <c r="FC38" s="15" t="n">
        <v>1</v>
      </c>
      <c r="FD38" s="15" t="n">
        <v>1.7057377</v>
      </c>
      <c r="FE38" s="15" t="n">
        <v>1.7057377</v>
      </c>
      <c r="FF38" s="15" t="n">
        <v>1.7057377</v>
      </c>
      <c r="FG38" s="15" t="n">
        <v>1.7057377</v>
      </c>
      <c r="FH38" s="15" t="n">
        <v>1.7057377</v>
      </c>
      <c r="FI38" s="15" t="n">
        <v>1.7057377</v>
      </c>
      <c r="FJ38" s="15" t="n">
        <v>1.7057377</v>
      </c>
      <c r="FK38" s="15" t="n">
        <v>1.7057377</v>
      </c>
      <c r="FL38" s="15" t="n">
        <v>1.7057377</v>
      </c>
      <c r="FM38" s="15" t="n">
        <v>1.7057377</v>
      </c>
      <c r="FN38" s="15" t="n">
        <v>1.7057377</v>
      </c>
      <c r="FO38" s="15" t="n">
        <v>1.7057377</v>
      </c>
      <c r="FP38" s="15" t="n">
        <v>1.7057377</v>
      </c>
      <c r="FQ38" s="15" t="n">
        <v>1.7057377</v>
      </c>
      <c r="FR38" s="15" t="n">
        <v>1.7057377</v>
      </c>
      <c r="FX38" s="15" t="n">
        <v>1.7057377</v>
      </c>
      <c r="FY38" s="15" t="n">
        <v>1</v>
      </c>
      <c r="FZ38" s="15" t="n">
        <v>2.001</v>
      </c>
      <c r="GA38" s="15" t="n">
        <v>2.001</v>
      </c>
      <c r="GB38" s="15" t="n">
        <v>2.001</v>
      </c>
      <c r="GC38" s="15" t="n">
        <v>2.001</v>
      </c>
      <c r="GD38" s="15" t="n">
        <v>2.001</v>
      </c>
      <c r="GE38" s="15" t="n">
        <v>2.001</v>
      </c>
      <c r="GF38" s="15" t="n">
        <v>2.001</v>
      </c>
      <c r="GG38" s="15" t="n">
        <v>2.001</v>
      </c>
      <c r="GH38" s="15" t="n">
        <v>2.001</v>
      </c>
      <c r="GI38" s="15" t="n">
        <v>2.001</v>
      </c>
      <c r="GJ38" s="15" t="n">
        <v>2.001</v>
      </c>
      <c r="GK38" s="15" t="n">
        <v>2.001</v>
      </c>
      <c r="GL38" s="15" t="n">
        <v>2.001</v>
      </c>
      <c r="GM38" s="15" t="n">
        <v>2.001</v>
      </c>
      <c r="GN38" s="15" t="n">
        <v>2.001</v>
      </c>
      <c r="GT38" s="15" t="n">
        <v>1.7057377</v>
      </c>
      <c r="GU38" s="15" t="n">
        <v>1</v>
      </c>
      <c r="GV38" s="15" t="n">
        <v>3</v>
      </c>
      <c r="GW38" s="15" t="n">
        <v>3</v>
      </c>
      <c r="GX38" s="15" t="n">
        <v>3</v>
      </c>
      <c r="GY38" s="15" t="n">
        <v>3</v>
      </c>
      <c r="GZ38" s="15" t="n">
        <v>3</v>
      </c>
      <c r="HA38" s="15" t="n">
        <v>3</v>
      </c>
      <c r="HB38" s="15" t="n">
        <v>3</v>
      </c>
      <c r="HC38" s="15" t="n">
        <v>3</v>
      </c>
      <c r="HD38" s="15" t="n">
        <v>3</v>
      </c>
      <c r="HE38" s="15" t="n">
        <v>3</v>
      </c>
      <c r="HF38" s="15" t="n">
        <v>3</v>
      </c>
      <c r="HG38" s="15" t="n">
        <v>3</v>
      </c>
      <c r="HH38" s="15" t="n">
        <v>3</v>
      </c>
      <c r="HI38" s="15" t="n">
        <v>3</v>
      </c>
      <c r="HJ38" s="15" t="n">
        <v>3</v>
      </c>
    </row>
    <row r="39">
      <c r="B39" s="67" t="n">
        <v>2.001</v>
      </c>
      <c r="C39" s="15" t="n">
        <v>2</v>
      </c>
      <c r="D39" s="67">
        <f>$B$37</f>
        <v/>
      </c>
      <c r="E39" s="67">
        <f>$B$37</f>
        <v/>
      </c>
      <c r="F39" s="67">
        <f>$B$37</f>
        <v/>
      </c>
      <c r="G39" s="67">
        <f>$B$37</f>
        <v/>
      </c>
      <c r="H39" s="67">
        <f>$B$37</f>
        <v/>
      </c>
      <c r="I39" s="67">
        <f>$B$37</f>
        <v/>
      </c>
      <c r="J39" s="67">
        <f>$B$37</f>
        <v/>
      </c>
      <c r="K39" s="67">
        <f>$B$37</f>
        <v/>
      </c>
      <c r="L39" s="67">
        <f>$B$37</f>
        <v/>
      </c>
      <c r="M39" s="67">
        <f>$B$37</f>
        <v/>
      </c>
      <c r="N39" s="67">
        <f>$B$37</f>
        <v/>
      </c>
      <c r="O39" s="67">
        <f>$B$37</f>
        <v/>
      </c>
      <c r="P39" s="67">
        <f>$B$37</f>
        <v/>
      </c>
      <c r="Q39" s="67">
        <f>$B$37</f>
        <v/>
      </c>
      <c r="R39" s="67">
        <f>$B$37</f>
        <v/>
      </c>
      <c r="Y39" s="84" t="n"/>
      <c r="Z39" s="84" t="n">
        <v>2.001</v>
      </c>
      <c r="AA39" s="84" t="n">
        <v>2</v>
      </c>
      <c r="AB39" s="84" t="n">
        <v>1.7057377</v>
      </c>
      <c r="AC39" s="84" t="n">
        <v>1.7057377</v>
      </c>
      <c r="AD39" s="84" t="n">
        <v>1.7057377</v>
      </c>
      <c r="AE39" s="84" t="n">
        <v>1.7057377</v>
      </c>
      <c r="AF39" s="84" t="n">
        <v>1.7057377</v>
      </c>
      <c r="AG39" s="84" t="n">
        <v>1.7057377</v>
      </c>
      <c r="AH39" s="84" t="n">
        <v>1.7057377</v>
      </c>
      <c r="AI39" s="84" t="n">
        <v>1.7057377</v>
      </c>
      <c r="AJ39" s="84" t="n">
        <v>1.7057377</v>
      </c>
      <c r="AK39" s="84" t="n">
        <v>1.7057377</v>
      </c>
      <c r="AL39" s="84" t="n">
        <v>1.7057377</v>
      </c>
      <c r="AM39" s="84" t="n">
        <v>1.7057377</v>
      </c>
      <c r="AN39" s="15" t="n">
        <v>1.7057377</v>
      </c>
      <c r="AO39" s="15" t="n">
        <v>1.7057377</v>
      </c>
      <c r="AP39" s="15" t="n">
        <v>1.7057377</v>
      </c>
      <c r="AV39" s="15" t="n">
        <v>2.001</v>
      </c>
      <c r="AW39" s="15" t="n">
        <v>2</v>
      </c>
      <c r="AX39" s="15" t="n">
        <v>2.001</v>
      </c>
      <c r="AY39" s="15" t="n">
        <v>2.001</v>
      </c>
      <c r="AZ39" s="15" t="n">
        <v>2.001</v>
      </c>
      <c r="BA39" s="15" t="n">
        <v>2.001</v>
      </c>
      <c r="BB39" s="15" t="n">
        <v>2.001</v>
      </c>
      <c r="BC39" s="15" t="n">
        <v>2.001</v>
      </c>
      <c r="BD39" s="15" t="n">
        <v>2.001</v>
      </c>
      <c r="BE39" s="15" t="n">
        <v>2.001</v>
      </c>
      <c r="BF39" s="15" t="n">
        <v>2.001</v>
      </c>
      <c r="BG39" s="15" t="n">
        <v>2.001</v>
      </c>
      <c r="BH39" s="15" t="n">
        <v>2.001</v>
      </c>
      <c r="BI39" s="15" t="n">
        <v>2.001</v>
      </c>
      <c r="BJ39" s="15" t="n">
        <v>2.001</v>
      </c>
      <c r="BK39" s="15" t="n">
        <v>2.001</v>
      </c>
      <c r="BL39" s="15" t="n">
        <v>2.001</v>
      </c>
      <c r="BR39" s="15" t="n">
        <v>2.001</v>
      </c>
      <c r="BS39" s="15" t="n">
        <v>2</v>
      </c>
      <c r="BT39" s="15" t="n">
        <v>3</v>
      </c>
      <c r="BU39" s="15" t="n">
        <v>3</v>
      </c>
      <c r="BV39" s="15" t="n">
        <v>3</v>
      </c>
      <c r="BW39" s="15" t="n">
        <v>3</v>
      </c>
      <c r="BX39" s="15" t="n">
        <v>3</v>
      </c>
      <c r="BY39" s="15" t="n">
        <v>3</v>
      </c>
      <c r="BZ39" s="15" t="n">
        <v>3</v>
      </c>
      <c r="CA39" s="15" t="n">
        <v>3</v>
      </c>
      <c r="CB39" s="15" t="n">
        <v>3</v>
      </c>
      <c r="CC39" s="15" t="n">
        <v>3</v>
      </c>
      <c r="CD39" s="15" t="n">
        <v>3</v>
      </c>
      <c r="CE39" s="15" t="n">
        <v>3</v>
      </c>
      <c r="CF39" s="15" t="n">
        <v>3</v>
      </c>
      <c r="CG39" s="15" t="n">
        <v>3</v>
      </c>
      <c r="CH39" s="15" t="n">
        <v>3</v>
      </c>
      <c r="CN39" s="15" t="n">
        <v>2.001</v>
      </c>
      <c r="CO39" s="15" t="n">
        <v>2</v>
      </c>
      <c r="CP39" s="15" t="n">
        <v>1.7057377</v>
      </c>
      <c r="CQ39" s="15" t="n">
        <v>1.7057377</v>
      </c>
      <c r="CR39" s="15" t="n">
        <v>1.7057377</v>
      </c>
      <c r="CS39" s="15" t="n">
        <v>1.7057377</v>
      </c>
      <c r="CT39" s="15" t="n">
        <v>1.7057377</v>
      </c>
      <c r="CU39" s="15" t="n">
        <v>1.7057377</v>
      </c>
      <c r="CV39" s="15" t="n">
        <v>1.7057377</v>
      </c>
      <c r="CW39" s="15" t="n">
        <v>1.7057377</v>
      </c>
      <c r="CX39" s="15" t="n">
        <v>1.7057377</v>
      </c>
      <c r="CY39" s="15" t="n">
        <v>1.7057377</v>
      </c>
      <c r="CZ39" s="15" t="n">
        <v>1.7057377</v>
      </c>
      <c r="DA39" s="15" t="n">
        <v>1.7057377</v>
      </c>
      <c r="DB39" s="15" t="n">
        <v>1.7057377</v>
      </c>
      <c r="DC39" s="15" t="n">
        <v>1.7057377</v>
      </c>
      <c r="DD39" s="15" t="n">
        <v>1.7057377</v>
      </c>
      <c r="DJ39" s="15" t="n">
        <v>2.001</v>
      </c>
      <c r="DK39" s="15" t="n">
        <v>2</v>
      </c>
      <c r="DL39" s="15" t="n">
        <v>2.001</v>
      </c>
      <c r="DM39" s="15" t="n">
        <v>2.001</v>
      </c>
      <c r="DN39" s="15" t="n">
        <v>2.001</v>
      </c>
      <c r="DO39" s="15" t="n">
        <v>2.001</v>
      </c>
      <c r="DP39" s="15" t="n">
        <v>2.001</v>
      </c>
      <c r="DQ39" s="15" t="n">
        <v>2.001</v>
      </c>
      <c r="DR39" s="15" t="n">
        <v>2.001</v>
      </c>
      <c r="DS39" s="15" t="n">
        <v>2.001</v>
      </c>
      <c r="DT39" s="15" t="n">
        <v>2.001</v>
      </c>
      <c r="DU39" s="15" t="n">
        <v>2.001</v>
      </c>
      <c r="DV39" s="15" t="n">
        <v>2.001</v>
      </c>
      <c r="DW39" s="15" t="n">
        <v>2.001</v>
      </c>
      <c r="DX39" s="15" t="n">
        <v>2.001</v>
      </c>
      <c r="DY39" s="15" t="n">
        <v>2.001</v>
      </c>
      <c r="DZ39" s="15" t="n">
        <v>2.001</v>
      </c>
      <c r="EF39" s="15" t="n">
        <v>2.001</v>
      </c>
      <c r="EG39" s="15" t="n">
        <v>2</v>
      </c>
      <c r="EH39" s="15" t="n">
        <v>3</v>
      </c>
      <c r="EI39" s="15" t="n">
        <v>3</v>
      </c>
      <c r="EJ39" s="15" t="n">
        <v>3</v>
      </c>
      <c r="EK39" s="15" t="n">
        <v>3</v>
      </c>
      <c r="EL39" s="15" t="n">
        <v>3</v>
      </c>
      <c r="EM39" s="15" t="n">
        <v>3</v>
      </c>
      <c r="EN39" s="15" t="n">
        <v>3</v>
      </c>
      <c r="EO39" s="15" t="n">
        <v>3</v>
      </c>
      <c r="EP39" s="15" t="n">
        <v>3</v>
      </c>
      <c r="EQ39" s="15" t="n">
        <v>3</v>
      </c>
      <c r="ER39" s="15" t="n">
        <v>3</v>
      </c>
      <c r="ES39" s="15" t="n">
        <v>3</v>
      </c>
      <c r="ET39" s="15" t="n">
        <v>3</v>
      </c>
      <c r="EU39" s="15" t="n">
        <v>3</v>
      </c>
      <c r="EV39" s="15" t="n">
        <v>3</v>
      </c>
      <c r="FB39" s="15" t="n">
        <v>2.001</v>
      </c>
      <c r="FC39" s="15" t="n">
        <v>2</v>
      </c>
      <c r="FD39" s="15" t="n">
        <v>1.7057377</v>
      </c>
      <c r="FE39" s="15" t="n">
        <v>1.7057377</v>
      </c>
      <c r="FF39" s="15" t="n">
        <v>1.7057377</v>
      </c>
      <c r="FG39" s="15" t="n">
        <v>1.7057377</v>
      </c>
      <c r="FH39" s="15" t="n">
        <v>1.7057377</v>
      </c>
      <c r="FI39" s="15" t="n">
        <v>1.7057377</v>
      </c>
      <c r="FJ39" s="15" t="n">
        <v>1.7057377</v>
      </c>
      <c r="FK39" s="15" t="n">
        <v>1.7057377</v>
      </c>
      <c r="FL39" s="15" t="n">
        <v>1.7057377</v>
      </c>
      <c r="FM39" s="15" t="n">
        <v>1.7057377</v>
      </c>
      <c r="FN39" s="15" t="n">
        <v>1.7057377</v>
      </c>
      <c r="FO39" s="15" t="n">
        <v>1.7057377</v>
      </c>
      <c r="FP39" s="15" t="n">
        <v>1.7057377</v>
      </c>
      <c r="FQ39" s="15" t="n">
        <v>1.7057377</v>
      </c>
      <c r="FR39" s="15" t="n">
        <v>1.7057377</v>
      </c>
      <c r="FX39" s="15" t="n">
        <v>2.001</v>
      </c>
      <c r="FY39" s="15" t="n">
        <v>2</v>
      </c>
      <c r="FZ39" s="15" t="n">
        <v>2.001</v>
      </c>
      <c r="GA39" s="15" t="n">
        <v>2.001</v>
      </c>
      <c r="GB39" s="15" t="n">
        <v>2.001</v>
      </c>
      <c r="GC39" s="15" t="n">
        <v>2.001</v>
      </c>
      <c r="GD39" s="15" t="n">
        <v>2.001</v>
      </c>
      <c r="GE39" s="15" t="n">
        <v>2.001</v>
      </c>
      <c r="GF39" s="15" t="n">
        <v>2.001</v>
      </c>
      <c r="GG39" s="15" t="n">
        <v>2.001</v>
      </c>
      <c r="GH39" s="15" t="n">
        <v>2.001</v>
      </c>
      <c r="GI39" s="15" t="n">
        <v>2.001</v>
      </c>
      <c r="GJ39" s="15" t="n">
        <v>2.001</v>
      </c>
      <c r="GK39" s="15" t="n">
        <v>2.001</v>
      </c>
      <c r="GL39" s="15" t="n">
        <v>2.001</v>
      </c>
      <c r="GM39" s="15" t="n">
        <v>2.001</v>
      </c>
      <c r="GN39" s="15" t="n">
        <v>2.001</v>
      </c>
      <c r="GT39" s="15" t="n">
        <v>2.001</v>
      </c>
      <c r="GU39" s="15" t="n">
        <v>2</v>
      </c>
      <c r="GV39" s="15" t="n">
        <v>3</v>
      </c>
      <c r="GW39" s="15" t="n">
        <v>3</v>
      </c>
      <c r="GX39" s="15" t="n">
        <v>3</v>
      </c>
      <c r="GY39" s="15" t="n">
        <v>3</v>
      </c>
      <c r="GZ39" s="15" t="n">
        <v>3</v>
      </c>
      <c r="HA39" s="15" t="n">
        <v>3</v>
      </c>
      <c r="HB39" s="15" t="n">
        <v>3</v>
      </c>
      <c r="HC39" s="15" t="n">
        <v>3</v>
      </c>
      <c r="HD39" s="15" t="n">
        <v>3</v>
      </c>
      <c r="HE39" s="15" t="n">
        <v>3</v>
      </c>
      <c r="HF39" s="15" t="n">
        <v>3</v>
      </c>
      <c r="HG39" s="15" t="n">
        <v>3</v>
      </c>
      <c r="HH39" s="15" t="n">
        <v>3</v>
      </c>
      <c r="HI39" s="15" t="n">
        <v>3</v>
      </c>
      <c r="HJ39" s="15" t="n">
        <v>3</v>
      </c>
    </row>
    <row r="40">
      <c r="B40" s="67" t="n">
        <v>3</v>
      </c>
      <c r="C40" s="15" t="n">
        <v>3</v>
      </c>
      <c r="D40" s="67">
        <f>$B$37</f>
        <v/>
      </c>
      <c r="E40" s="67">
        <f>$B$37</f>
        <v/>
      </c>
      <c r="F40" s="67">
        <f>$B$37</f>
        <v/>
      </c>
      <c r="G40" s="67">
        <f>$B$37</f>
        <v/>
      </c>
      <c r="H40" s="67">
        <f>$B$37</f>
        <v/>
      </c>
      <c r="I40" s="67">
        <f>$B$37</f>
        <v/>
      </c>
      <c r="J40" s="67">
        <f>$B$37</f>
        <v/>
      </c>
      <c r="K40" s="67">
        <f>$B$37</f>
        <v/>
      </c>
      <c r="L40" s="67">
        <f>$B$37</f>
        <v/>
      </c>
      <c r="M40" s="67">
        <f>$B$37</f>
        <v/>
      </c>
      <c r="N40" s="67">
        <f>$B$37</f>
        <v/>
      </c>
      <c r="O40" s="67">
        <f>$B$37</f>
        <v/>
      </c>
      <c r="P40" s="67">
        <f>$B$37</f>
        <v/>
      </c>
      <c r="Q40" s="67">
        <f>$B$37</f>
        <v/>
      </c>
      <c r="R40" s="67">
        <f>$B$37</f>
        <v/>
      </c>
      <c r="Y40" s="84" t="n"/>
      <c r="Z40" s="84" t="n">
        <v>3</v>
      </c>
      <c r="AA40" s="84" t="n">
        <v>3</v>
      </c>
      <c r="AB40" s="84" t="n">
        <v>1.7057377</v>
      </c>
      <c r="AC40" s="84" t="n">
        <v>1.7057377</v>
      </c>
      <c r="AD40" s="84" t="n">
        <v>1.7057377</v>
      </c>
      <c r="AE40" s="84" t="n">
        <v>1.7057377</v>
      </c>
      <c r="AF40" s="84" t="n">
        <v>1.7057377</v>
      </c>
      <c r="AG40" s="84" t="n">
        <v>1.7057377</v>
      </c>
      <c r="AH40" s="84" t="n">
        <v>1.7057377</v>
      </c>
      <c r="AI40" s="84" t="n">
        <v>1.7057377</v>
      </c>
      <c r="AJ40" s="84" t="n">
        <v>1.7057377</v>
      </c>
      <c r="AK40" s="84" t="n">
        <v>1.7057377</v>
      </c>
      <c r="AL40" s="84" t="n">
        <v>1.7057377</v>
      </c>
      <c r="AM40" s="84" t="n">
        <v>1.7057377</v>
      </c>
      <c r="AN40" s="15" t="n">
        <v>1.7057377</v>
      </c>
      <c r="AO40" s="15" t="n">
        <v>1.7057377</v>
      </c>
      <c r="AP40" s="15" t="n">
        <v>1.7057377</v>
      </c>
      <c r="AV40" s="15" t="n">
        <v>3</v>
      </c>
      <c r="AW40" s="15" t="n">
        <v>3</v>
      </c>
      <c r="AX40" s="15" t="n">
        <v>2.001</v>
      </c>
      <c r="AY40" s="15" t="n">
        <v>2.001</v>
      </c>
      <c r="AZ40" s="15" t="n">
        <v>2.001</v>
      </c>
      <c r="BA40" s="15" t="n">
        <v>2.001</v>
      </c>
      <c r="BB40" s="15" t="n">
        <v>2.001</v>
      </c>
      <c r="BC40" s="15" t="n">
        <v>2.001</v>
      </c>
      <c r="BD40" s="15" t="n">
        <v>2.001</v>
      </c>
      <c r="BE40" s="15" t="n">
        <v>2.001</v>
      </c>
      <c r="BF40" s="15" t="n">
        <v>2.001</v>
      </c>
      <c r="BG40" s="15" t="n">
        <v>2.001</v>
      </c>
      <c r="BH40" s="15" t="n">
        <v>2.001</v>
      </c>
      <c r="BI40" s="15" t="n">
        <v>2.001</v>
      </c>
      <c r="BJ40" s="15" t="n">
        <v>2.001</v>
      </c>
      <c r="BK40" s="15" t="n">
        <v>2.001</v>
      </c>
      <c r="BL40" s="15" t="n">
        <v>2.001</v>
      </c>
      <c r="BR40" s="15" t="n">
        <v>3</v>
      </c>
      <c r="BS40" s="15" t="n">
        <v>3</v>
      </c>
      <c r="BT40" s="15" t="n">
        <v>3</v>
      </c>
      <c r="BU40" s="15" t="n">
        <v>3</v>
      </c>
      <c r="BV40" s="15" t="n">
        <v>3</v>
      </c>
      <c r="BW40" s="15" t="n">
        <v>3</v>
      </c>
      <c r="BX40" s="15" t="n">
        <v>3</v>
      </c>
      <c r="BY40" s="15" t="n">
        <v>3</v>
      </c>
      <c r="BZ40" s="15" t="n">
        <v>3</v>
      </c>
      <c r="CA40" s="15" t="n">
        <v>3</v>
      </c>
      <c r="CB40" s="15" t="n">
        <v>3</v>
      </c>
      <c r="CC40" s="15" t="n">
        <v>3</v>
      </c>
      <c r="CD40" s="15" t="n">
        <v>3</v>
      </c>
      <c r="CE40" s="15" t="n">
        <v>3</v>
      </c>
      <c r="CF40" s="15" t="n">
        <v>3</v>
      </c>
      <c r="CG40" s="15" t="n">
        <v>3</v>
      </c>
      <c r="CH40" s="15" t="n">
        <v>3</v>
      </c>
      <c r="CN40" s="15" t="n">
        <v>3</v>
      </c>
      <c r="CO40" s="15" t="n">
        <v>3</v>
      </c>
      <c r="CP40" s="15" t="n">
        <v>1.7057377</v>
      </c>
      <c r="CQ40" s="15" t="n">
        <v>1.7057377</v>
      </c>
      <c r="CR40" s="15" t="n">
        <v>1.7057377</v>
      </c>
      <c r="CS40" s="15" t="n">
        <v>1.7057377</v>
      </c>
      <c r="CT40" s="15" t="n">
        <v>1.7057377</v>
      </c>
      <c r="CU40" s="15" t="n">
        <v>1.7057377</v>
      </c>
      <c r="CV40" s="15" t="n">
        <v>1.7057377</v>
      </c>
      <c r="CW40" s="15" t="n">
        <v>1.7057377</v>
      </c>
      <c r="CX40" s="15" t="n">
        <v>1.7057377</v>
      </c>
      <c r="CY40" s="15" t="n">
        <v>1.7057377</v>
      </c>
      <c r="CZ40" s="15" t="n">
        <v>1.7057377</v>
      </c>
      <c r="DA40" s="15" t="n">
        <v>1.7057377</v>
      </c>
      <c r="DB40" s="15" t="n">
        <v>1.7057377</v>
      </c>
      <c r="DC40" s="15" t="n">
        <v>1.7057377</v>
      </c>
      <c r="DD40" s="15" t="n">
        <v>1.7057377</v>
      </c>
      <c r="DJ40" s="15" t="n">
        <v>3</v>
      </c>
      <c r="DK40" s="15" t="n">
        <v>3</v>
      </c>
      <c r="DL40" s="15" t="n">
        <v>2.001</v>
      </c>
      <c r="DM40" s="15" t="n">
        <v>2.001</v>
      </c>
      <c r="DN40" s="15" t="n">
        <v>2.001</v>
      </c>
      <c r="DO40" s="15" t="n">
        <v>2.001</v>
      </c>
      <c r="DP40" s="15" t="n">
        <v>2.001</v>
      </c>
      <c r="DQ40" s="15" t="n">
        <v>2.001</v>
      </c>
      <c r="DR40" s="15" t="n">
        <v>2.001</v>
      </c>
      <c r="DS40" s="15" t="n">
        <v>2.001</v>
      </c>
      <c r="DT40" s="15" t="n">
        <v>2.001</v>
      </c>
      <c r="DU40" s="15" t="n">
        <v>2.001</v>
      </c>
      <c r="DV40" s="15" t="n">
        <v>2.001</v>
      </c>
      <c r="DW40" s="15" t="n">
        <v>2.001</v>
      </c>
      <c r="DX40" s="15" t="n">
        <v>2.001</v>
      </c>
      <c r="DY40" s="15" t="n">
        <v>2.001</v>
      </c>
      <c r="DZ40" s="15" t="n">
        <v>2.001</v>
      </c>
      <c r="EF40" s="15" t="n">
        <v>3</v>
      </c>
      <c r="EG40" s="15" t="n">
        <v>3</v>
      </c>
      <c r="EH40" s="15" t="n">
        <v>3</v>
      </c>
      <c r="EI40" s="15" t="n">
        <v>3</v>
      </c>
      <c r="EJ40" s="15" t="n">
        <v>3</v>
      </c>
      <c r="EK40" s="15" t="n">
        <v>3</v>
      </c>
      <c r="EL40" s="15" t="n">
        <v>3</v>
      </c>
      <c r="EM40" s="15" t="n">
        <v>3</v>
      </c>
      <c r="EN40" s="15" t="n">
        <v>3</v>
      </c>
      <c r="EO40" s="15" t="n">
        <v>3</v>
      </c>
      <c r="EP40" s="15" t="n">
        <v>3</v>
      </c>
      <c r="EQ40" s="15" t="n">
        <v>3</v>
      </c>
      <c r="ER40" s="15" t="n">
        <v>3</v>
      </c>
      <c r="ES40" s="15" t="n">
        <v>3</v>
      </c>
      <c r="ET40" s="15" t="n">
        <v>3</v>
      </c>
      <c r="EU40" s="15" t="n">
        <v>3</v>
      </c>
      <c r="EV40" s="15" t="n">
        <v>3</v>
      </c>
      <c r="FB40" s="15" t="n">
        <v>3</v>
      </c>
      <c r="FC40" s="15" t="n">
        <v>3</v>
      </c>
      <c r="FD40" s="15" t="n">
        <v>1.7057377</v>
      </c>
      <c r="FE40" s="15" t="n">
        <v>1.7057377</v>
      </c>
      <c r="FF40" s="15" t="n">
        <v>1.7057377</v>
      </c>
      <c r="FG40" s="15" t="n">
        <v>1.7057377</v>
      </c>
      <c r="FH40" s="15" t="n">
        <v>1.7057377</v>
      </c>
      <c r="FI40" s="15" t="n">
        <v>1.7057377</v>
      </c>
      <c r="FJ40" s="15" t="n">
        <v>1.7057377</v>
      </c>
      <c r="FK40" s="15" t="n">
        <v>1.7057377</v>
      </c>
      <c r="FL40" s="15" t="n">
        <v>1.7057377</v>
      </c>
      <c r="FM40" s="15" t="n">
        <v>1.7057377</v>
      </c>
      <c r="FN40" s="15" t="n">
        <v>1.7057377</v>
      </c>
      <c r="FO40" s="15" t="n">
        <v>1.7057377</v>
      </c>
      <c r="FP40" s="15" t="n">
        <v>1.7057377</v>
      </c>
      <c r="FQ40" s="15" t="n">
        <v>1.7057377</v>
      </c>
      <c r="FR40" s="15" t="n">
        <v>1.7057377</v>
      </c>
      <c r="FX40" s="15" t="n">
        <v>3</v>
      </c>
      <c r="FY40" s="15" t="n">
        <v>3</v>
      </c>
      <c r="FZ40" s="15" t="n">
        <v>2.001</v>
      </c>
      <c r="GA40" s="15" t="n">
        <v>2.001</v>
      </c>
      <c r="GB40" s="15" t="n">
        <v>2.001</v>
      </c>
      <c r="GC40" s="15" t="n">
        <v>2.001</v>
      </c>
      <c r="GD40" s="15" t="n">
        <v>2.001</v>
      </c>
      <c r="GE40" s="15" t="n">
        <v>2.001</v>
      </c>
      <c r="GF40" s="15" t="n">
        <v>2.001</v>
      </c>
      <c r="GG40" s="15" t="n">
        <v>2.001</v>
      </c>
      <c r="GH40" s="15" t="n">
        <v>2.001</v>
      </c>
      <c r="GI40" s="15" t="n">
        <v>2.001</v>
      </c>
      <c r="GJ40" s="15" t="n">
        <v>2.001</v>
      </c>
      <c r="GK40" s="15" t="n">
        <v>2.001</v>
      </c>
      <c r="GL40" s="15" t="n">
        <v>2.001</v>
      </c>
      <c r="GM40" s="15" t="n">
        <v>2.001</v>
      </c>
      <c r="GN40" s="15" t="n">
        <v>2.001</v>
      </c>
      <c r="GT40" s="15" t="n">
        <v>3</v>
      </c>
      <c r="GU40" s="15" t="n">
        <v>3</v>
      </c>
      <c r="GV40" s="15" t="n">
        <v>3</v>
      </c>
      <c r="GW40" s="15" t="n">
        <v>3</v>
      </c>
      <c r="GX40" s="15" t="n">
        <v>3</v>
      </c>
      <c r="GY40" s="15" t="n">
        <v>3</v>
      </c>
      <c r="GZ40" s="15" t="n">
        <v>3</v>
      </c>
      <c r="HA40" s="15" t="n">
        <v>3</v>
      </c>
      <c r="HB40" s="15" t="n">
        <v>3</v>
      </c>
      <c r="HC40" s="15" t="n">
        <v>3</v>
      </c>
      <c r="HD40" s="15" t="n">
        <v>3</v>
      </c>
      <c r="HE40" s="15" t="n">
        <v>3</v>
      </c>
      <c r="HF40" s="15" t="n">
        <v>3</v>
      </c>
      <c r="HG40" s="15" t="n">
        <v>3</v>
      </c>
      <c r="HH40" s="15" t="n">
        <v>3</v>
      </c>
      <c r="HI40" s="15" t="n">
        <v>3</v>
      </c>
      <c r="HJ40" s="15" t="n">
        <v>3</v>
      </c>
    </row>
    <row r="42">
      <c r="C42" s="15" t="inlineStr">
        <is>
          <t>demand</t>
        </is>
      </c>
      <c r="D42" s="15" t="n">
        <v>1</v>
      </c>
      <c r="E42" s="15" t="n">
        <v>2</v>
      </c>
      <c r="F42" s="15" t="n">
        <v>3</v>
      </c>
      <c r="G42" s="15" t="n">
        <v>4</v>
      </c>
      <c r="H42" s="15" t="n">
        <v>5</v>
      </c>
      <c r="I42" s="15" t="n">
        <v>6</v>
      </c>
      <c r="J42" s="15" t="n">
        <v>7</v>
      </c>
      <c r="K42" s="15" t="n">
        <v>8</v>
      </c>
      <c r="L42" s="15" t="n">
        <v>9</v>
      </c>
      <c r="M42" s="15" t="n">
        <v>10</v>
      </c>
      <c r="N42" s="15" t="n">
        <v>11</v>
      </c>
      <c r="O42" s="15" t="n">
        <v>12</v>
      </c>
      <c r="P42" s="15" t="n">
        <v>13</v>
      </c>
      <c r="Q42" s="15" t="n">
        <v>14</v>
      </c>
      <c r="R42" s="15" t="n">
        <v>15</v>
      </c>
      <c r="AA42" s="15" t="inlineStr">
        <is>
          <t>demand</t>
        </is>
      </c>
      <c r="AB42" s="15" t="n">
        <v>1</v>
      </c>
      <c r="AC42" s="15" t="n">
        <v>2</v>
      </c>
      <c r="AD42" s="15" t="n">
        <v>3</v>
      </c>
      <c r="AE42" s="15" t="n">
        <v>4</v>
      </c>
      <c r="AF42" s="15" t="n">
        <v>5</v>
      </c>
      <c r="AG42" s="15" t="n">
        <v>6</v>
      </c>
      <c r="AH42" s="15" t="n">
        <v>7</v>
      </c>
      <c r="AI42" s="15" t="n">
        <v>8</v>
      </c>
      <c r="AJ42" s="15" t="n">
        <v>9</v>
      </c>
      <c r="AK42" s="15" t="n">
        <v>10</v>
      </c>
      <c r="AL42" s="15" t="n">
        <v>11</v>
      </c>
      <c r="AM42" s="15" t="n">
        <v>12</v>
      </c>
      <c r="AN42" s="15" t="n">
        <v>13</v>
      </c>
      <c r="AO42" s="15" t="n">
        <v>14</v>
      </c>
      <c r="AP42" s="15" t="n">
        <v>15</v>
      </c>
      <c r="AW42" s="15" t="inlineStr">
        <is>
          <t>demand</t>
        </is>
      </c>
      <c r="AX42" s="15" t="n">
        <v>1</v>
      </c>
      <c r="AY42" s="15" t="n">
        <v>2</v>
      </c>
      <c r="AZ42" s="15" t="n">
        <v>3</v>
      </c>
      <c r="BA42" s="15" t="n">
        <v>4</v>
      </c>
      <c r="BB42" s="15" t="n">
        <v>5</v>
      </c>
      <c r="BC42" s="15" t="n">
        <v>6</v>
      </c>
      <c r="BD42" s="15" t="n">
        <v>7</v>
      </c>
      <c r="BE42" s="15" t="n">
        <v>8</v>
      </c>
      <c r="BF42" s="15" t="n">
        <v>9</v>
      </c>
      <c r="BG42" s="15" t="n">
        <v>10</v>
      </c>
      <c r="BH42" s="15" t="n">
        <v>11</v>
      </c>
      <c r="BI42" s="15" t="n">
        <v>12</v>
      </c>
      <c r="BJ42" s="15" t="n">
        <v>13</v>
      </c>
      <c r="BK42" s="15" t="n">
        <v>14</v>
      </c>
      <c r="BL42" s="15" t="n">
        <v>15</v>
      </c>
      <c r="BS42" s="15" t="inlineStr">
        <is>
          <t>demand</t>
        </is>
      </c>
      <c r="BT42" s="15" t="n">
        <v>1</v>
      </c>
      <c r="BU42" s="15" t="n">
        <v>2</v>
      </c>
      <c r="BV42" s="15" t="n">
        <v>3</v>
      </c>
      <c r="BW42" s="15" t="n">
        <v>4</v>
      </c>
      <c r="BX42" s="15" t="n">
        <v>5</v>
      </c>
      <c r="BY42" s="15" t="n">
        <v>6</v>
      </c>
      <c r="BZ42" s="15" t="n">
        <v>7</v>
      </c>
      <c r="CA42" s="15" t="n">
        <v>8</v>
      </c>
      <c r="CB42" s="15" t="n">
        <v>9</v>
      </c>
      <c r="CC42" s="15" t="n">
        <v>10</v>
      </c>
      <c r="CD42" s="15" t="n">
        <v>11</v>
      </c>
      <c r="CE42" s="15" t="n">
        <v>12</v>
      </c>
      <c r="CF42" s="15" t="n">
        <v>13</v>
      </c>
      <c r="CG42" s="15" t="n">
        <v>14</v>
      </c>
      <c r="CH42" s="15" t="n">
        <v>15</v>
      </c>
      <c r="CO42" s="15" t="inlineStr">
        <is>
          <t>demand</t>
        </is>
      </c>
      <c r="CP42" s="15" t="n">
        <v>1</v>
      </c>
      <c r="CQ42" s="15" t="n">
        <v>2</v>
      </c>
      <c r="CR42" s="15" t="n">
        <v>3</v>
      </c>
      <c r="CS42" s="15" t="n">
        <v>4</v>
      </c>
      <c r="CT42" s="15" t="n">
        <v>5</v>
      </c>
      <c r="CU42" s="15" t="n">
        <v>6</v>
      </c>
      <c r="CV42" s="15" t="n">
        <v>7</v>
      </c>
      <c r="CW42" s="15" t="n">
        <v>8</v>
      </c>
      <c r="CX42" s="15" t="n">
        <v>9</v>
      </c>
      <c r="CY42" s="15" t="n">
        <v>10</v>
      </c>
      <c r="CZ42" s="15" t="n">
        <v>11</v>
      </c>
      <c r="DA42" s="15" t="n">
        <v>12</v>
      </c>
      <c r="DB42" s="15" t="n">
        <v>13</v>
      </c>
      <c r="DC42" s="15" t="n">
        <v>14</v>
      </c>
      <c r="DD42" s="15" t="n">
        <v>15</v>
      </c>
      <c r="DK42" s="15" t="inlineStr">
        <is>
          <t>demand</t>
        </is>
      </c>
      <c r="DL42" s="15" t="n">
        <v>1</v>
      </c>
      <c r="DM42" s="15" t="n">
        <v>2</v>
      </c>
      <c r="DN42" s="15" t="n">
        <v>3</v>
      </c>
      <c r="DO42" s="15" t="n">
        <v>4</v>
      </c>
      <c r="DP42" s="15" t="n">
        <v>5</v>
      </c>
      <c r="DQ42" s="15" t="n">
        <v>6</v>
      </c>
      <c r="DR42" s="15" t="n">
        <v>7</v>
      </c>
      <c r="DS42" s="15" t="n">
        <v>8</v>
      </c>
      <c r="DT42" s="15" t="n">
        <v>9</v>
      </c>
      <c r="DU42" s="15" t="n">
        <v>10</v>
      </c>
      <c r="DV42" s="15" t="n">
        <v>11</v>
      </c>
      <c r="DW42" s="15" t="n">
        <v>12</v>
      </c>
      <c r="DX42" s="15" t="n">
        <v>13</v>
      </c>
      <c r="DY42" s="15" t="n">
        <v>14</v>
      </c>
      <c r="DZ42" s="15" t="n">
        <v>15</v>
      </c>
      <c r="EG42" s="15" t="inlineStr">
        <is>
          <t>demand</t>
        </is>
      </c>
      <c r="EH42" s="15" t="n">
        <v>1</v>
      </c>
      <c r="EI42" s="15" t="n">
        <v>2</v>
      </c>
      <c r="EJ42" s="15" t="n">
        <v>3</v>
      </c>
      <c r="EK42" s="15" t="n">
        <v>4</v>
      </c>
      <c r="EL42" s="15" t="n">
        <v>5</v>
      </c>
      <c r="EM42" s="15" t="n">
        <v>6</v>
      </c>
      <c r="EN42" s="15" t="n">
        <v>7</v>
      </c>
      <c r="EO42" s="15" t="n">
        <v>8</v>
      </c>
      <c r="EP42" s="15" t="n">
        <v>9</v>
      </c>
      <c r="EQ42" s="15" t="n">
        <v>10</v>
      </c>
      <c r="ER42" s="15" t="n">
        <v>11</v>
      </c>
      <c r="ES42" s="15" t="n">
        <v>12</v>
      </c>
      <c r="ET42" s="15" t="n">
        <v>13</v>
      </c>
      <c r="EU42" s="15" t="n">
        <v>14</v>
      </c>
      <c r="EV42" s="15" t="n">
        <v>15</v>
      </c>
      <c r="FC42" s="15" t="inlineStr">
        <is>
          <t>demand</t>
        </is>
      </c>
      <c r="FD42" s="15" t="n">
        <v>1</v>
      </c>
      <c r="FE42" s="15" t="n">
        <v>2</v>
      </c>
      <c r="FF42" s="15" t="n">
        <v>3</v>
      </c>
      <c r="FG42" s="15" t="n">
        <v>4</v>
      </c>
      <c r="FH42" s="15" t="n">
        <v>5</v>
      </c>
      <c r="FI42" s="15" t="n">
        <v>6</v>
      </c>
      <c r="FJ42" s="15" t="n">
        <v>7</v>
      </c>
      <c r="FK42" s="15" t="n">
        <v>8</v>
      </c>
      <c r="FL42" s="15" t="n">
        <v>9</v>
      </c>
      <c r="FM42" s="15" t="n">
        <v>10</v>
      </c>
      <c r="FN42" s="15" t="n">
        <v>11</v>
      </c>
      <c r="FO42" s="15" t="n">
        <v>12</v>
      </c>
      <c r="FP42" s="15" t="n">
        <v>13</v>
      </c>
      <c r="FQ42" s="15" t="n">
        <v>14</v>
      </c>
      <c r="FR42" s="15" t="n">
        <v>15</v>
      </c>
      <c r="FY42" s="15" t="inlineStr">
        <is>
          <t>demand</t>
        </is>
      </c>
      <c r="FZ42" s="15" t="n">
        <v>1</v>
      </c>
      <c r="GA42" s="15" t="n">
        <v>2</v>
      </c>
      <c r="GB42" s="15" t="n">
        <v>3</v>
      </c>
      <c r="GC42" s="15" t="n">
        <v>4</v>
      </c>
      <c r="GD42" s="15" t="n">
        <v>5</v>
      </c>
      <c r="GE42" s="15" t="n">
        <v>6</v>
      </c>
      <c r="GF42" s="15" t="n">
        <v>7</v>
      </c>
      <c r="GG42" s="15" t="n">
        <v>8</v>
      </c>
      <c r="GH42" s="15" t="n">
        <v>9</v>
      </c>
      <c r="GI42" s="15" t="n">
        <v>10</v>
      </c>
      <c r="GJ42" s="15" t="n">
        <v>11</v>
      </c>
      <c r="GK42" s="15" t="n">
        <v>12</v>
      </c>
      <c r="GL42" s="15" t="n">
        <v>13</v>
      </c>
      <c r="GM42" s="15" t="n">
        <v>14</v>
      </c>
      <c r="GN42" s="15" t="n">
        <v>15</v>
      </c>
      <c r="GU42" s="15" t="inlineStr">
        <is>
          <t>demand</t>
        </is>
      </c>
      <c r="GV42" s="15" t="n">
        <v>1</v>
      </c>
      <c r="GW42" s="15" t="n">
        <v>2</v>
      </c>
      <c r="GX42" s="15" t="n">
        <v>3</v>
      </c>
      <c r="GY42" s="15" t="n">
        <v>4</v>
      </c>
      <c r="GZ42" s="15" t="n">
        <v>5</v>
      </c>
      <c r="HA42" s="15" t="n">
        <v>6</v>
      </c>
      <c r="HB42" s="15" t="n">
        <v>7</v>
      </c>
      <c r="HC42" s="15" t="n">
        <v>8</v>
      </c>
      <c r="HD42" s="15" t="n">
        <v>9</v>
      </c>
      <c r="HE42" s="15" t="n">
        <v>10</v>
      </c>
      <c r="HF42" s="15" t="n">
        <v>11</v>
      </c>
      <c r="HG42" s="15" t="n">
        <v>12</v>
      </c>
      <c r="HH42" s="15" t="n">
        <v>13</v>
      </c>
      <c r="HI42" s="15" t="n">
        <v>14</v>
      </c>
      <c r="HJ42" s="15" t="n">
        <v>15</v>
      </c>
    </row>
    <row r="43">
      <c r="C43" s="15" t="n">
        <v>1</v>
      </c>
      <c r="D43" s="39">
        <f>Matlab_Data!D3</f>
        <v/>
      </c>
      <c r="E43" s="39">
        <f>Matlab_Data!E3</f>
        <v/>
      </c>
      <c r="F43" s="39">
        <f>Matlab_Data!F3</f>
        <v/>
      </c>
      <c r="G43" s="39">
        <f>Matlab_Data!G3</f>
        <v/>
      </c>
      <c r="H43" s="39">
        <f>Matlab_Data!H3</f>
        <v/>
      </c>
      <c r="I43" s="39">
        <f>Matlab_Data!I3</f>
        <v/>
      </c>
      <c r="J43" s="39">
        <f>Matlab_Data!J3</f>
        <v/>
      </c>
      <c r="K43" s="39">
        <f>Matlab_Data!K3</f>
        <v/>
      </c>
      <c r="L43" s="39">
        <f>Matlab_Data!L3</f>
        <v/>
      </c>
      <c r="M43" s="39">
        <f>Matlab_Data!M3</f>
        <v/>
      </c>
      <c r="N43" s="39">
        <f>Matlab_Data!N3</f>
        <v/>
      </c>
      <c r="O43" s="39">
        <f>Matlab_Data!O3</f>
        <v/>
      </c>
      <c r="P43" s="39">
        <f>Matlab_Data!P3</f>
        <v/>
      </c>
      <c r="Q43" s="39">
        <f>Matlab_Data!Q3</f>
        <v/>
      </c>
      <c r="R43" s="39">
        <f>Matlab_Data!R3</f>
        <v/>
      </c>
      <c r="T43" s="39">
        <f>SUM(D43:R45)</f>
        <v/>
      </c>
      <c r="U43" s="39" t="n">
        <v>15515.76</v>
      </c>
      <c r="V43" s="39">
        <f>T43-U43</f>
        <v/>
      </c>
      <c r="W43" s="39" t="n"/>
      <c r="X43" s="39" t="n"/>
      <c r="Y43" s="39" t="n"/>
      <c r="Z43" s="39" t="n"/>
      <c r="AA43" s="39" t="n">
        <v>1</v>
      </c>
      <c r="AB43" s="39" t="n">
        <v>231.5</v>
      </c>
      <c r="AC43" s="39" t="n">
        <v>297.34</v>
      </c>
      <c r="AD43" s="39" t="n">
        <v>217.82</v>
      </c>
      <c r="AE43" s="39" t="n">
        <v>222.62</v>
      </c>
      <c r="AF43" s="39" t="n">
        <v>453.86</v>
      </c>
      <c r="AG43" s="39" t="n">
        <v>315.98</v>
      </c>
      <c r="AH43" s="39" t="n">
        <v>216.18</v>
      </c>
      <c r="AI43" s="39" t="n">
        <v>463.97</v>
      </c>
      <c r="AJ43" s="39" t="n">
        <v>404.65</v>
      </c>
      <c r="AK43" s="39" t="n">
        <v>334.69</v>
      </c>
      <c r="AL43" s="39" t="n">
        <v>440.61</v>
      </c>
      <c r="AM43" s="39" t="n">
        <v>225.39</v>
      </c>
      <c r="AN43" s="15" t="n">
        <v>314.98</v>
      </c>
      <c r="AO43" s="15" t="n">
        <v>305.23</v>
      </c>
      <c r="AP43" s="15" t="n">
        <v>541.84</v>
      </c>
      <c r="AW43" s="15" t="n">
        <v>1</v>
      </c>
      <c r="AX43" s="15" t="n">
        <v>231.5</v>
      </c>
      <c r="AY43" s="15" t="n">
        <v>297.34</v>
      </c>
      <c r="AZ43" s="15" t="n">
        <v>217.82</v>
      </c>
      <c r="BA43" s="15" t="n">
        <v>222.62</v>
      </c>
      <c r="BB43" s="15" t="n">
        <v>453.86</v>
      </c>
      <c r="BC43" s="15" t="n">
        <v>315.98</v>
      </c>
      <c r="BD43" s="15" t="n">
        <v>216.18</v>
      </c>
      <c r="BE43" s="15" t="n">
        <v>463.97</v>
      </c>
      <c r="BF43" s="15" t="n">
        <v>404.65</v>
      </c>
      <c r="BG43" s="15" t="n">
        <v>334.69</v>
      </c>
      <c r="BH43" s="15" t="n">
        <v>440.61</v>
      </c>
      <c r="BI43" s="15" t="n">
        <v>225.39</v>
      </c>
      <c r="BJ43" s="15" t="n">
        <v>314.98</v>
      </c>
      <c r="BK43" s="15" t="n">
        <v>305.23</v>
      </c>
      <c r="BL43" s="15" t="n">
        <v>541.84</v>
      </c>
      <c r="BS43" s="15" t="n">
        <v>1</v>
      </c>
      <c r="BT43" s="15" t="n">
        <v>231.5</v>
      </c>
      <c r="BU43" s="15" t="n">
        <v>297.34</v>
      </c>
      <c r="BV43" s="15" t="n">
        <v>217.82</v>
      </c>
      <c r="BW43" s="15" t="n">
        <v>222.62</v>
      </c>
      <c r="BX43" s="15" t="n">
        <v>453.86</v>
      </c>
      <c r="BY43" s="15" t="n">
        <v>315.98</v>
      </c>
      <c r="BZ43" s="15" t="n">
        <v>216.18</v>
      </c>
      <c r="CA43" s="15" t="n">
        <v>463.97</v>
      </c>
      <c r="CB43" s="15" t="n">
        <v>404.65</v>
      </c>
      <c r="CC43" s="15" t="n">
        <v>334.69</v>
      </c>
      <c r="CD43" s="15" t="n">
        <v>440.61</v>
      </c>
      <c r="CE43" s="15" t="n">
        <v>225.39</v>
      </c>
      <c r="CF43" s="15" t="n">
        <v>314.98</v>
      </c>
      <c r="CG43" s="15" t="n">
        <v>305.23</v>
      </c>
      <c r="CH43" s="15" t="n">
        <v>541.84</v>
      </c>
      <c r="CO43" s="15" t="n">
        <v>1</v>
      </c>
      <c r="CP43" s="15" t="n">
        <v>231.5</v>
      </c>
      <c r="CQ43" s="15" t="n">
        <v>297.34</v>
      </c>
      <c r="CR43" s="15" t="n">
        <v>217.82</v>
      </c>
      <c r="CS43" s="15" t="n">
        <v>222.62</v>
      </c>
      <c r="CT43" s="15" t="n">
        <v>453.86</v>
      </c>
      <c r="CU43" s="15" t="n">
        <v>315.98</v>
      </c>
      <c r="CV43" s="15" t="n">
        <v>216.18</v>
      </c>
      <c r="CW43" s="15" t="n">
        <v>463.97</v>
      </c>
      <c r="CX43" s="15" t="n">
        <v>404.65</v>
      </c>
      <c r="CY43" s="15" t="n">
        <v>334.69</v>
      </c>
      <c r="CZ43" s="15" t="n">
        <v>440.61</v>
      </c>
      <c r="DA43" s="15" t="n">
        <v>225.39</v>
      </c>
      <c r="DB43" s="15" t="n">
        <v>314.98</v>
      </c>
      <c r="DC43" s="15" t="n">
        <v>305.23</v>
      </c>
      <c r="DD43" s="15" t="n">
        <v>541.84</v>
      </c>
      <c r="DK43" s="15" t="n">
        <v>1</v>
      </c>
      <c r="DL43" s="15" t="n">
        <v>231.5</v>
      </c>
      <c r="DM43" s="15" t="n">
        <v>297.34</v>
      </c>
      <c r="DN43" s="15" t="n">
        <v>217.82</v>
      </c>
      <c r="DO43" s="15" t="n">
        <v>222.62</v>
      </c>
      <c r="DP43" s="15" t="n">
        <v>453.86</v>
      </c>
      <c r="DQ43" s="15" t="n">
        <v>315.98</v>
      </c>
      <c r="DR43" s="15" t="n">
        <v>216.18</v>
      </c>
      <c r="DS43" s="15" t="n">
        <v>463.97</v>
      </c>
      <c r="DT43" s="15" t="n">
        <v>404.65</v>
      </c>
      <c r="DU43" s="15" t="n">
        <v>334.69</v>
      </c>
      <c r="DV43" s="15" t="n">
        <v>440.61</v>
      </c>
      <c r="DW43" s="15" t="n">
        <v>225.39</v>
      </c>
      <c r="DX43" s="15" t="n">
        <v>314.98</v>
      </c>
      <c r="DY43" s="15" t="n">
        <v>305.23</v>
      </c>
      <c r="DZ43" s="15" t="n">
        <v>541.84</v>
      </c>
      <c r="EG43" s="15" t="n">
        <v>1</v>
      </c>
      <c r="EH43" s="15" t="n">
        <v>231.5</v>
      </c>
      <c r="EI43" s="15" t="n">
        <v>297.34</v>
      </c>
      <c r="EJ43" s="15" t="n">
        <v>217.82</v>
      </c>
      <c r="EK43" s="15" t="n">
        <v>222.62</v>
      </c>
      <c r="EL43" s="15" t="n">
        <v>453.86</v>
      </c>
      <c r="EM43" s="15" t="n">
        <v>315.98</v>
      </c>
      <c r="EN43" s="15" t="n">
        <v>216.18</v>
      </c>
      <c r="EO43" s="15" t="n">
        <v>463.97</v>
      </c>
      <c r="EP43" s="15" t="n">
        <v>404.65</v>
      </c>
      <c r="EQ43" s="15" t="n">
        <v>334.69</v>
      </c>
      <c r="ER43" s="15" t="n">
        <v>440.61</v>
      </c>
      <c r="ES43" s="15" t="n">
        <v>225.39</v>
      </c>
      <c r="ET43" s="15" t="n">
        <v>314.98</v>
      </c>
      <c r="EU43" s="15" t="n">
        <v>305.23</v>
      </c>
      <c r="EV43" s="15" t="n">
        <v>541.84</v>
      </c>
      <c r="FC43" s="15" t="n">
        <v>1</v>
      </c>
      <c r="FD43" s="15" t="n">
        <v>231.5</v>
      </c>
      <c r="FE43" s="15" t="n">
        <v>297.34</v>
      </c>
      <c r="FF43" s="15" t="n">
        <v>217.82</v>
      </c>
      <c r="FG43" s="15" t="n">
        <v>222.62</v>
      </c>
      <c r="FH43" s="15" t="n">
        <v>453.86</v>
      </c>
      <c r="FI43" s="15" t="n">
        <v>315.98</v>
      </c>
      <c r="FJ43" s="15" t="n">
        <v>216.18</v>
      </c>
      <c r="FK43" s="15" t="n">
        <v>463.97</v>
      </c>
      <c r="FL43" s="15" t="n">
        <v>404.65</v>
      </c>
      <c r="FM43" s="15" t="n">
        <v>334.69</v>
      </c>
      <c r="FN43" s="15" t="n">
        <v>440.61</v>
      </c>
      <c r="FO43" s="15" t="n">
        <v>225.39</v>
      </c>
      <c r="FP43" s="15" t="n">
        <v>314.98</v>
      </c>
      <c r="FQ43" s="15" t="n">
        <v>305.23</v>
      </c>
      <c r="FR43" s="15" t="n">
        <v>541.84</v>
      </c>
      <c r="FY43" s="15" t="n">
        <v>1</v>
      </c>
      <c r="FZ43" s="15" t="n">
        <v>231.5</v>
      </c>
      <c r="GA43" s="15" t="n">
        <v>297.34</v>
      </c>
      <c r="GB43" s="15" t="n">
        <v>217.82</v>
      </c>
      <c r="GC43" s="15" t="n">
        <v>222.62</v>
      </c>
      <c r="GD43" s="15" t="n">
        <v>453.86</v>
      </c>
      <c r="GE43" s="15" t="n">
        <v>315.98</v>
      </c>
      <c r="GF43" s="15" t="n">
        <v>216.18</v>
      </c>
      <c r="GG43" s="15" t="n">
        <v>463.97</v>
      </c>
      <c r="GH43" s="15" t="n">
        <v>404.65</v>
      </c>
      <c r="GI43" s="15" t="n">
        <v>334.69</v>
      </c>
      <c r="GJ43" s="15" t="n">
        <v>440.61</v>
      </c>
      <c r="GK43" s="15" t="n">
        <v>225.39</v>
      </c>
      <c r="GL43" s="15" t="n">
        <v>314.98</v>
      </c>
      <c r="GM43" s="15" t="n">
        <v>305.23</v>
      </c>
      <c r="GN43" s="15" t="n">
        <v>541.84</v>
      </c>
      <c r="GU43" s="15" t="n">
        <v>1</v>
      </c>
      <c r="GV43" s="15" t="n">
        <v>231.5</v>
      </c>
      <c r="GW43" s="15" t="n">
        <v>297.34</v>
      </c>
      <c r="GX43" s="15" t="n">
        <v>217.82</v>
      </c>
      <c r="GY43" s="15" t="n">
        <v>222.62</v>
      </c>
      <c r="GZ43" s="15" t="n">
        <v>453.86</v>
      </c>
      <c r="HA43" s="15" t="n">
        <v>315.98</v>
      </c>
      <c r="HB43" s="15" t="n">
        <v>216.18</v>
      </c>
      <c r="HC43" s="15" t="n">
        <v>463.97</v>
      </c>
      <c r="HD43" s="15" t="n">
        <v>404.65</v>
      </c>
      <c r="HE43" s="15" t="n">
        <v>334.69</v>
      </c>
      <c r="HF43" s="15" t="n">
        <v>440.61</v>
      </c>
      <c r="HG43" s="15" t="n">
        <v>225.39</v>
      </c>
      <c r="HH43" s="15" t="n">
        <v>314.98</v>
      </c>
      <c r="HI43" s="15" t="n">
        <v>305.23</v>
      </c>
      <c r="HJ43" s="15" t="n">
        <v>541.84</v>
      </c>
    </row>
    <row r="44">
      <c r="C44" s="15" t="n">
        <v>2</v>
      </c>
      <c r="D44" s="39">
        <f>Matlab_Data!D4</f>
        <v/>
      </c>
      <c r="E44" s="39">
        <f>Matlab_Data!E4</f>
        <v/>
      </c>
      <c r="F44" s="39">
        <f>Matlab_Data!F4</f>
        <v/>
      </c>
      <c r="G44" s="39">
        <f>Matlab_Data!G4</f>
        <v/>
      </c>
      <c r="H44" s="39">
        <f>Matlab_Data!H4</f>
        <v/>
      </c>
      <c r="I44" s="39">
        <f>Matlab_Data!I4</f>
        <v/>
      </c>
      <c r="J44" s="39">
        <f>Matlab_Data!J4</f>
        <v/>
      </c>
      <c r="K44" s="39">
        <f>Matlab_Data!K4</f>
        <v/>
      </c>
      <c r="L44" s="39">
        <f>Matlab_Data!L4</f>
        <v/>
      </c>
      <c r="M44" s="39">
        <f>Matlab_Data!M4</f>
        <v/>
      </c>
      <c r="N44" s="39">
        <f>Matlab_Data!N4</f>
        <v/>
      </c>
      <c r="O44" s="39">
        <f>Matlab_Data!O4</f>
        <v/>
      </c>
      <c r="P44" s="39">
        <f>Matlab_Data!P4</f>
        <v/>
      </c>
      <c r="Q44" s="39">
        <f>Matlab_Data!Q4</f>
        <v/>
      </c>
      <c r="R44" s="39">
        <f>Matlab_Data!R4</f>
        <v/>
      </c>
      <c r="Y44" s="39" t="n"/>
      <c r="Z44" s="39" t="n"/>
      <c r="AA44" s="39" t="n">
        <v>2</v>
      </c>
      <c r="AB44" s="39" t="n">
        <v>358.95</v>
      </c>
      <c r="AC44" s="39" t="n">
        <v>308.97</v>
      </c>
      <c r="AD44" s="39" t="n">
        <v>264.61</v>
      </c>
      <c r="AE44" s="39" t="n">
        <v>343.62</v>
      </c>
      <c r="AF44" s="39" t="n">
        <v>399.3</v>
      </c>
      <c r="AG44" s="39" t="n">
        <v>433.24</v>
      </c>
      <c r="AH44" s="39" t="n">
        <v>310.82</v>
      </c>
      <c r="AI44" s="39" t="n">
        <v>234.15</v>
      </c>
      <c r="AJ44" s="39" t="n">
        <v>302.73</v>
      </c>
      <c r="AK44" s="39" t="n">
        <v>304.23</v>
      </c>
      <c r="AL44" s="39" t="n">
        <v>278.95</v>
      </c>
      <c r="AM44" s="39" t="n">
        <v>403.93</v>
      </c>
      <c r="AN44" s="15" t="n">
        <v>327.87</v>
      </c>
      <c r="AO44" s="15" t="n">
        <v>462.67</v>
      </c>
      <c r="AP44" s="15" t="n">
        <v>445.18</v>
      </c>
      <c r="AW44" s="15" t="n">
        <v>2</v>
      </c>
      <c r="AX44" s="15" t="n">
        <v>358.95</v>
      </c>
      <c r="AY44" s="15" t="n">
        <v>308.97</v>
      </c>
      <c r="AZ44" s="15" t="n">
        <v>264.61</v>
      </c>
      <c r="BA44" s="15" t="n">
        <v>343.62</v>
      </c>
      <c r="BB44" s="15" t="n">
        <v>399.3</v>
      </c>
      <c r="BC44" s="15" t="n">
        <v>433.24</v>
      </c>
      <c r="BD44" s="15" t="n">
        <v>310.82</v>
      </c>
      <c r="BE44" s="15" t="n">
        <v>234.15</v>
      </c>
      <c r="BF44" s="15" t="n">
        <v>302.73</v>
      </c>
      <c r="BG44" s="15" t="n">
        <v>304.23</v>
      </c>
      <c r="BH44" s="15" t="n">
        <v>278.95</v>
      </c>
      <c r="BI44" s="15" t="n">
        <v>403.93</v>
      </c>
      <c r="BJ44" s="15" t="n">
        <v>327.87</v>
      </c>
      <c r="BK44" s="15" t="n">
        <v>462.67</v>
      </c>
      <c r="BL44" s="15" t="n">
        <v>445.18</v>
      </c>
      <c r="BS44" s="15" t="n">
        <v>2</v>
      </c>
      <c r="BT44" s="15" t="n">
        <v>358.95</v>
      </c>
      <c r="BU44" s="15" t="n">
        <v>308.97</v>
      </c>
      <c r="BV44" s="15" t="n">
        <v>264.61</v>
      </c>
      <c r="BW44" s="15" t="n">
        <v>343.62</v>
      </c>
      <c r="BX44" s="15" t="n">
        <v>399.3</v>
      </c>
      <c r="BY44" s="15" t="n">
        <v>433.24</v>
      </c>
      <c r="BZ44" s="15" t="n">
        <v>310.82</v>
      </c>
      <c r="CA44" s="15" t="n">
        <v>234.15</v>
      </c>
      <c r="CB44" s="15" t="n">
        <v>302.73</v>
      </c>
      <c r="CC44" s="15" t="n">
        <v>304.23</v>
      </c>
      <c r="CD44" s="15" t="n">
        <v>278.95</v>
      </c>
      <c r="CE44" s="15" t="n">
        <v>403.93</v>
      </c>
      <c r="CF44" s="15" t="n">
        <v>327.87</v>
      </c>
      <c r="CG44" s="15" t="n">
        <v>462.67</v>
      </c>
      <c r="CH44" s="15" t="n">
        <v>445.18</v>
      </c>
      <c r="CO44" s="15" t="n">
        <v>2</v>
      </c>
      <c r="CP44" s="15" t="n">
        <v>358.95</v>
      </c>
      <c r="CQ44" s="15" t="n">
        <v>308.97</v>
      </c>
      <c r="CR44" s="15" t="n">
        <v>264.61</v>
      </c>
      <c r="CS44" s="15" t="n">
        <v>343.62</v>
      </c>
      <c r="CT44" s="15" t="n">
        <v>399.3</v>
      </c>
      <c r="CU44" s="15" t="n">
        <v>433.24</v>
      </c>
      <c r="CV44" s="15" t="n">
        <v>310.82</v>
      </c>
      <c r="CW44" s="15" t="n">
        <v>234.15</v>
      </c>
      <c r="CX44" s="15" t="n">
        <v>302.73</v>
      </c>
      <c r="CY44" s="15" t="n">
        <v>304.23</v>
      </c>
      <c r="CZ44" s="15" t="n">
        <v>278.95</v>
      </c>
      <c r="DA44" s="15" t="n">
        <v>403.93</v>
      </c>
      <c r="DB44" s="15" t="n">
        <v>327.87</v>
      </c>
      <c r="DC44" s="15" t="n">
        <v>462.67</v>
      </c>
      <c r="DD44" s="15" t="n">
        <v>445.18</v>
      </c>
      <c r="DK44" s="15" t="n">
        <v>2</v>
      </c>
      <c r="DL44" s="15" t="n">
        <v>358.95</v>
      </c>
      <c r="DM44" s="15" t="n">
        <v>308.97</v>
      </c>
      <c r="DN44" s="15" t="n">
        <v>264.61</v>
      </c>
      <c r="DO44" s="15" t="n">
        <v>343.62</v>
      </c>
      <c r="DP44" s="15" t="n">
        <v>399.3</v>
      </c>
      <c r="DQ44" s="15" t="n">
        <v>433.24</v>
      </c>
      <c r="DR44" s="15" t="n">
        <v>310.82</v>
      </c>
      <c r="DS44" s="15" t="n">
        <v>234.15</v>
      </c>
      <c r="DT44" s="15" t="n">
        <v>302.73</v>
      </c>
      <c r="DU44" s="15" t="n">
        <v>304.23</v>
      </c>
      <c r="DV44" s="15" t="n">
        <v>278.95</v>
      </c>
      <c r="DW44" s="15" t="n">
        <v>403.93</v>
      </c>
      <c r="DX44" s="15" t="n">
        <v>327.87</v>
      </c>
      <c r="DY44" s="15" t="n">
        <v>462.67</v>
      </c>
      <c r="DZ44" s="15" t="n">
        <v>445.18</v>
      </c>
      <c r="EG44" s="15" t="n">
        <v>2</v>
      </c>
      <c r="EH44" s="15" t="n">
        <v>358.95</v>
      </c>
      <c r="EI44" s="15" t="n">
        <v>308.97</v>
      </c>
      <c r="EJ44" s="15" t="n">
        <v>264.61</v>
      </c>
      <c r="EK44" s="15" t="n">
        <v>343.62</v>
      </c>
      <c r="EL44" s="15" t="n">
        <v>399.3</v>
      </c>
      <c r="EM44" s="15" t="n">
        <v>433.24</v>
      </c>
      <c r="EN44" s="15" t="n">
        <v>310.82</v>
      </c>
      <c r="EO44" s="15" t="n">
        <v>234.15</v>
      </c>
      <c r="EP44" s="15" t="n">
        <v>302.73</v>
      </c>
      <c r="EQ44" s="15" t="n">
        <v>304.23</v>
      </c>
      <c r="ER44" s="15" t="n">
        <v>278.95</v>
      </c>
      <c r="ES44" s="15" t="n">
        <v>403.93</v>
      </c>
      <c r="ET44" s="15" t="n">
        <v>327.87</v>
      </c>
      <c r="EU44" s="15" t="n">
        <v>462.67</v>
      </c>
      <c r="EV44" s="15" t="n">
        <v>445.18</v>
      </c>
      <c r="FC44" s="15" t="n">
        <v>2</v>
      </c>
      <c r="FD44" s="15" t="n">
        <v>358.95</v>
      </c>
      <c r="FE44" s="15" t="n">
        <v>308.97</v>
      </c>
      <c r="FF44" s="15" t="n">
        <v>264.61</v>
      </c>
      <c r="FG44" s="15" t="n">
        <v>343.62</v>
      </c>
      <c r="FH44" s="15" t="n">
        <v>399.3</v>
      </c>
      <c r="FI44" s="15" t="n">
        <v>433.24</v>
      </c>
      <c r="FJ44" s="15" t="n">
        <v>310.82</v>
      </c>
      <c r="FK44" s="15" t="n">
        <v>234.15</v>
      </c>
      <c r="FL44" s="15" t="n">
        <v>302.73</v>
      </c>
      <c r="FM44" s="15" t="n">
        <v>304.23</v>
      </c>
      <c r="FN44" s="15" t="n">
        <v>278.95</v>
      </c>
      <c r="FO44" s="15" t="n">
        <v>403.93</v>
      </c>
      <c r="FP44" s="15" t="n">
        <v>327.87</v>
      </c>
      <c r="FQ44" s="15" t="n">
        <v>462.67</v>
      </c>
      <c r="FR44" s="15" t="n">
        <v>445.18</v>
      </c>
      <c r="FY44" s="15" t="n">
        <v>2</v>
      </c>
      <c r="FZ44" s="15" t="n">
        <v>358.95</v>
      </c>
      <c r="GA44" s="15" t="n">
        <v>308.97</v>
      </c>
      <c r="GB44" s="15" t="n">
        <v>264.61</v>
      </c>
      <c r="GC44" s="15" t="n">
        <v>343.62</v>
      </c>
      <c r="GD44" s="15" t="n">
        <v>399.3</v>
      </c>
      <c r="GE44" s="15" t="n">
        <v>433.24</v>
      </c>
      <c r="GF44" s="15" t="n">
        <v>310.82</v>
      </c>
      <c r="GG44" s="15" t="n">
        <v>234.15</v>
      </c>
      <c r="GH44" s="15" t="n">
        <v>302.73</v>
      </c>
      <c r="GI44" s="15" t="n">
        <v>304.23</v>
      </c>
      <c r="GJ44" s="15" t="n">
        <v>278.95</v>
      </c>
      <c r="GK44" s="15" t="n">
        <v>403.93</v>
      </c>
      <c r="GL44" s="15" t="n">
        <v>327.87</v>
      </c>
      <c r="GM44" s="15" t="n">
        <v>462.67</v>
      </c>
      <c r="GN44" s="15" t="n">
        <v>445.18</v>
      </c>
      <c r="GU44" s="15" t="n">
        <v>2</v>
      </c>
      <c r="GV44" s="15" t="n">
        <v>358.95</v>
      </c>
      <c r="GW44" s="15" t="n">
        <v>308.97</v>
      </c>
      <c r="GX44" s="15" t="n">
        <v>264.61</v>
      </c>
      <c r="GY44" s="15" t="n">
        <v>343.62</v>
      </c>
      <c r="GZ44" s="15" t="n">
        <v>399.3</v>
      </c>
      <c r="HA44" s="15" t="n">
        <v>433.24</v>
      </c>
      <c r="HB44" s="15" t="n">
        <v>310.82</v>
      </c>
      <c r="HC44" s="15" t="n">
        <v>234.15</v>
      </c>
      <c r="HD44" s="15" t="n">
        <v>302.73</v>
      </c>
      <c r="HE44" s="15" t="n">
        <v>304.23</v>
      </c>
      <c r="HF44" s="15" t="n">
        <v>278.95</v>
      </c>
      <c r="HG44" s="15" t="n">
        <v>403.93</v>
      </c>
      <c r="HH44" s="15" t="n">
        <v>327.87</v>
      </c>
      <c r="HI44" s="15" t="n">
        <v>462.67</v>
      </c>
      <c r="HJ44" s="15" t="n">
        <v>445.18</v>
      </c>
    </row>
    <row r="45">
      <c r="C45" s="15" t="n">
        <v>3</v>
      </c>
      <c r="D45" s="39">
        <f>Matlab_Data!D5</f>
        <v/>
      </c>
      <c r="E45" s="39">
        <f>Matlab_Data!E5</f>
        <v/>
      </c>
      <c r="F45" s="39" t="n">
        <v>-40028922</v>
      </c>
      <c r="G45" s="39">
        <f>Matlab_Data!G5</f>
        <v/>
      </c>
      <c r="H45" s="39">
        <f>Matlab_Data!H5</f>
        <v/>
      </c>
      <c r="I45" s="39">
        <f>Matlab_Data!I5</f>
        <v/>
      </c>
      <c r="J45" s="39">
        <f>Matlab_Data!J5</f>
        <v/>
      </c>
      <c r="K45" s="39">
        <f>Matlab_Data!K5</f>
        <v/>
      </c>
      <c r="L45" s="39">
        <f>Matlab_Data!L5</f>
        <v/>
      </c>
      <c r="M45" s="39">
        <f>Matlab_Data!M5</f>
        <v/>
      </c>
      <c r="N45" s="39">
        <f>Matlab_Data!N5</f>
        <v/>
      </c>
      <c r="O45" s="39">
        <f>Matlab_Data!O5</f>
        <v/>
      </c>
      <c r="P45" s="39">
        <f>Matlab_Data!P5</f>
        <v/>
      </c>
      <c r="Q45" s="39">
        <f>Matlab_Data!Q5</f>
        <v/>
      </c>
      <c r="R45" s="39">
        <f>Matlab_Data!R5</f>
        <v/>
      </c>
      <c r="Y45" s="39" t="n"/>
      <c r="Z45" s="39" t="n"/>
      <c r="AA45" s="39" t="n">
        <v>3</v>
      </c>
      <c r="AB45" s="39" t="n">
        <v>492.88</v>
      </c>
      <c r="AC45" s="39" t="n">
        <v>260.36</v>
      </c>
      <c r="AD45" s="39" t="n">
        <v>232.33</v>
      </c>
      <c r="AE45" s="39" t="n">
        <v>514.3200000000001</v>
      </c>
      <c r="AF45" s="39" t="n">
        <v>271.63</v>
      </c>
      <c r="AG45" s="39" t="n">
        <v>506.16</v>
      </c>
      <c r="AH45" s="39" t="n">
        <v>393.21</v>
      </c>
      <c r="AI45" s="39" t="n">
        <v>346.58</v>
      </c>
      <c r="AJ45" s="39" t="n">
        <v>267.82</v>
      </c>
      <c r="AK45" s="39" t="n">
        <v>272.81</v>
      </c>
      <c r="AL45" s="39" t="n">
        <v>372.8</v>
      </c>
      <c r="AM45" s="39" t="n">
        <v>326.64</v>
      </c>
      <c r="AN45" s="15" t="n">
        <v>338.03</v>
      </c>
      <c r="AO45" s="15" t="n">
        <v>348.46</v>
      </c>
      <c r="AP45" s="15" t="n">
        <v>405.85</v>
      </c>
      <c r="AW45" s="15" t="n">
        <v>3</v>
      </c>
      <c r="AX45" s="15" t="n">
        <v>492.88</v>
      </c>
      <c r="AY45" s="15" t="n">
        <v>260.36</v>
      </c>
      <c r="AZ45" s="15" t="n">
        <v>232.33</v>
      </c>
      <c r="BA45" s="15" t="n">
        <v>514.3200000000001</v>
      </c>
      <c r="BB45" s="15" t="n">
        <v>271.63</v>
      </c>
      <c r="BC45" s="15" t="n">
        <v>506.16</v>
      </c>
      <c r="BD45" s="15" t="n">
        <v>393.21</v>
      </c>
      <c r="BE45" s="15" t="n">
        <v>346.58</v>
      </c>
      <c r="BF45" s="15" t="n">
        <v>267.82</v>
      </c>
      <c r="BG45" s="15" t="n">
        <v>272.81</v>
      </c>
      <c r="BH45" s="15" t="n">
        <v>372.8</v>
      </c>
      <c r="BI45" s="15" t="n">
        <v>326.64</v>
      </c>
      <c r="BJ45" s="15" t="n">
        <v>338.03</v>
      </c>
      <c r="BK45" s="15" t="n">
        <v>348.46</v>
      </c>
      <c r="BL45" s="15" t="n">
        <v>405.85</v>
      </c>
      <c r="BS45" s="15" t="n">
        <v>3</v>
      </c>
      <c r="BT45" s="15" t="n">
        <v>492.88</v>
      </c>
      <c r="BU45" s="15" t="n">
        <v>260.36</v>
      </c>
      <c r="BV45" s="15" t="n">
        <v>232.33</v>
      </c>
      <c r="BW45" s="15" t="n">
        <v>514.3200000000001</v>
      </c>
      <c r="BX45" s="15" t="n">
        <v>271.63</v>
      </c>
      <c r="BY45" s="15" t="n">
        <v>506.16</v>
      </c>
      <c r="BZ45" s="15" t="n">
        <v>393.21</v>
      </c>
      <c r="CA45" s="15" t="n">
        <v>346.58</v>
      </c>
      <c r="CB45" s="15" t="n">
        <v>267.82</v>
      </c>
      <c r="CC45" s="15" t="n">
        <v>272.81</v>
      </c>
      <c r="CD45" s="15" t="n">
        <v>372.8</v>
      </c>
      <c r="CE45" s="15" t="n">
        <v>326.64</v>
      </c>
      <c r="CF45" s="15" t="n">
        <v>338.03</v>
      </c>
      <c r="CG45" s="15" t="n">
        <v>348.46</v>
      </c>
      <c r="CH45" s="15" t="n">
        <v>405.85</v>
      </c>
      <c r="CO45" s="15" t="n">
        <v>3</v>
      </c>
      <c r="CP45" s="15" t="n">
        <v>492.88</v>
      </c>
      <c r="CQ45" s="15" t="n">
        <v>260.36</v>
      </c>
      <c r="CR45" s="15" t="n">
        <v>232.33</v>
      </c>
      <c r="CS45" s="15" t="n">
        <v>514.3200000000001</v>
      </c>
      <c r="CT45" s="15" t="n">
        <v>271.63</v>
      </c>
      <c r="CU45" s="15" t="n">
        <v>506.16</v>
      </c>
      <c r="CV45" s="15" t="n">
        <v>393.21</v>
      </c>
      <c r="CW45" s="15" t="n">
        <v>346.58</v>
      </c>
      <c r="CX45" s="15" t="n">
        <v>267.82</v>
      </c>
      <c r="CY45" s="15" t="n">
        <v>272.81</v>
      </c>
      <c r="CZ45" s="15" t="n">
        <v>372.8</v>
      </c>
      <c r="DA45" s="15" t="n">
        <v>326.64</v>
      </c>
      <c r="DB45" s="15" t="n">
        <v>338.03</v>
      </c>
      <c r="DC45" s="15" t="n">
        <v>348.46</v>
      </c>
      <c r="DD45" s="15" t="n">
        <v>405.85</v>
      </c>
      <c r="DK45" s="15" t="n">
        <v>3</v>
      </c>
      <c r="DL45" s="15" t="n">
        <v>492.88</v>
      </c>
      <c r="DM45" s="15" t="n">
        <v>260.36</v>
      </c>
      <c r="DN45" s="15" t="n">
        <v>232.33</v>
      </c>
      <c r="DO45" s="15" t="n">
        <v>514.3200000000001</v>
      </c>
      <c r="DP45" s="15" t="n">
        <v>271.63</v>
      </c>
      <c r="DQ45" s="15" t="n">
        <v>506.16</v>
      </c>
      <c r="DR45" s="15" t="n">
        <v>393.21</v>
      </c>
      <c r="DS45" s="15" t="n">
        <v>346.58</v>
      </c>
      <c r="DT45" s="15" t="n">
        <v>267.82</v>
      </c>
      <c r="DU45" s="15" t="n">
        <v>272.81</v>
      </c>
      <c r="DV45" s="15" t="n">
        <v>372.8</v>
      </c>
      <c r="DW45" s="15" t="n">
        <v>326.64</v>
      </c>
      <c r="DX45" s="15" t="n">
        <v>338.03</v>
      </c>
      <c r="DY45" s="15" t="n">
        <v>348.46</v>
      </c>
      <c r="DZ45" s="15" t="n">
        <v>405.85</v>
      </c>
      <c r="EG45" s="15" t="n">
        <v>3</v>
      </c>
      <c r="EH45" s="15" t="n">
        <v>492.88</v>
      </c>
      <c r="EI45" s="15" t="n">
        <v>260.36</v>
      </c>
      <c r="EJ45" s="15" t="n">
        <v>232.33</v>
      </c>
      <c r="EK45" s="15" t="n">
        <v>514.3200000000001</v>
      </c>
      <c r="EL45" s="15" t="n">
        <v>271.63</v>
      </c>
      <c r="EM45" s="15" t="n">
        <v>506.16</v>
      </c>
      <c r="EN45" s="15" t="n">
        <v>393.21</v>
      </c>
      <c r="EO45" s="15" t="n">
        <v>346.58</v>
      </c>
      <c r="EP45" s="15" t="n">
        <v>267.82</v>
      </c>
      <c r="EQ45" s="15" t="n">
        <v>272.81</v>
      </c>
      <c r="ER45" s="15" t="n">
        <v>372.8</v>
      </c>
      <c r="ES45" s="15" t="n">
        <v>326.64</v>
      </c>
      <c r="ET45" s="15" t="n">
        <v>338.03</v>
      </c>
      <c r="EU45" s="15" t="n">
        <v>348.46</v>
      </c>
      <c r="EV45" s="15" t="n">
        <v>405.85</v>
      </c>
      <c r="FC45" s="15" t="n">
        <v>3</v>
      </c>
      <c r="FD45" s="15" t="n">
        <v>492.88</v>
      </c>
      <c r="FE45" s="15" t="n">
        <v>260.36</v>
      </c>
      <c r="FF45" s="15" t="n">
        <v>232.33</v>
      </c>
      <c r="FG45" s="15" t="n">
        <v>514.3200000000001</v>
      </c>
      <c r="FH45" s="15" t="n">
        <v>271.63</v>
      </c>
      <c r="FI45" s="15" t="n">
        <v>506.16</v>
      </c>
      <c r="FJ45" s="15" t="n">
        <v>393.21</v>
      </c>
      <c r="FK45" s="15" t="n">
        <v>346.58</v>
      </c>
      <c r="FL45" s="15" t="n">
        <v>267.82</v>
      </c>
      <c r="FM45" s="15" t="n">
        <v>272.81</v>
      </c>
      <c r="FN45" s="15" t="n">
        <v>372.8</v>
      </c>
      <c r="FO45" s="15" t="n">
        <v>326.64</v>
      </c>
      <c r="FP45" s="15" t="n">
        <v>338.03</v>
      </c>
      <c r="FQ45" s="15" t="n">
        <v>348.46</v>
      </c>
      <c r="FR45" s="15" t="n">
        <v>405.85</v>
      </c>
      <c r="FY45" s="15" t="n">
        <v>3</v>
      </c>
      <c r="FZ45" s="15" t="n">
        <v>492.88</v>
      </c>
      <c r="GA45" s="15" t="n">
        <v>260.36</v>
      </c>
      <c r="GB45" s="15" t="n">
        <v>232.33</v>
      </c>
      <c r="GC45" s="15" t="n">
        <v>514.3200000000001</v>
      </c>
      <c r="GD45" s="15" t="n">
        <v>271.63</v>
      </c>
      <c r="GE45" s="15" t="n">
        <v>506.16</v>
      </c>
      <c r="GF45" s="15" t="n">
        <v>393.21</v>
      </c>
      <c r="GG45" s="15" t="n">
        <v>346.58</v>
      </c>
      <c r="GH45" s="15" t="n">
        <v>267.82</v>
      </c>
      <c r="GI45" s="15" t="n">
        <v>272.81</v>
      </c>
      <c r="GJ45" s="15" t="n">
        <v>372.8</v>
      </c>
      <c r="GK45" s="15" t="n">
        <v>326.64</v>
      </c>
      <c r="GL45" s="15" t="n">
        <v>338.03</v>
      </c>
      <c r="GM45" s="15" t="n">
        <v>348.46</v>
      </c>
      <c r="GN45" s="15" t="n">
        <v>405.85</v>
      </c>
      <c r="GU45" s="15" t="n">
        <v>3</v>
      </c>
      <c r="GV45" s="15" t="n">
        <v>492.88</v>
      </c>
      <c r="GW45" s="15" t="n">
        <v>260.36</v>
      </c>
      <c r="GX45" s="15" t="n">
        <v>232.33</v>
      </c>
      <c r="GY45" s="15" t="n">
        <v>514.3200000000001</v>
      </c>
      <c r="GZ45" s="15" t="n">
        <v>271.63</v>
      </c>
      <c r="HA45" s="15" t="n">
        <v>506.16</v>
      </c>
      <c r="HB45" s="15" t="n">
        <v>393.21</v>
      </c>
      <c r="HC45" s="15" t="n">
        <v>346.58</v>
      </c>
      <c r="HD45" s="15" t="n">
        <v>267.82</v>
      </c>
      <c r="HE45" s="15" t="n">
        <v>272.81</v>
      </c>
      <c r="HF45" s="15" t="n">
        <v>372.8</v>
      </c>
      <c r="HG45" s="15" t="n">
        <v>326.64</v>
      </c>
      <c r="HH45" s="15" t="n">
        <v>338.03</v>
      </c>
      <c r="HI45" s="15" t="n">
        <v>348.46</v>
      </c>
      <c r="HJ45" s="15" t="n">
        <v>405.85</v>
      </c>
    </row>
    <row r="47">
      <c r="B47" s="15" t="inlineStr">
        <is>
          <t>Parâmetros p/ μy</t>
        </is>
      </c>
      <c r="C47" s="15" t="inlineStr">
        <is>
          <t>Média(E(RLT))</t>
        </is>
      </c>
      <c r="D47" s="15" t="n">
        <v>1</v>
      </c>
      <c r="E47" s="15" t="n">
        <v>2</v>
      </c>
      <c r="F47" s="15" t="n">
        <v>3</v>
      </c>
      <c r="G47" s="15" t="n">
        <v>4</v>
      </c>
      <c r="H47" s="15" t="n">
        <v>5</v>
      </c>
      <c r="I47" s="15" t="n">
        <v>6</v>
      </c>
      <c r="J47" s="15" t="n">
        <v>7</v>
      </c>
      <c r="K47" s="15" t="n">
        <v>8</v>
      </c>
      <c r="L47" s="15" t="n">
        <v>9</v>
      </c>
      <c r="M47" s="15" t="n">
        <v>10</v>
      </c>
      <c r="N47" s="15" t="n">
        <v>11</v>
      </c>
      <c r="O47" s="15" t="n">
        <v>12</v>
      </c>
      <c r="P47" s="15" t="n">
        <v>13</v>
      </c>
      <c r="Q47" s="15" t="n">
        <v>14</v>
      </c>
      <c r="R47" s="15" t="n">
        <v>15</v>
      </c>
      <c r="Z47" s="15" t="inlineStr">
        <is>
          <t>Parâmetros p/ μy</t>
        </is>
      </c>
      <c r="AA47" s="15" t="inlineStr">
        <is>
          <t>Média(E(RLT))</t>
        </is>
      </c>
      <c r="AB47" s="15" t="n">
        <v>1</v>
      </c>
      <c r="AC47" s="15" t="n">
        <v>2</v>
      </c>
      <c r="AD47" s="15" t="n">
        <v>3</v>
      </c>
      <c r="AE47" s="15" t="n">
        <v>4</v>
      </c>
      <c r="AF47" s="15" t="n">
        <v>5</v>
      </c>
      <c r="AG47" s="15" t="n">
        <v>6</v>
      </c>
      <c r="AH47" s="15" t="n">
        <v>7</v>
      </c>
      <c r="AI47" s="15" t="n">
        <v>8</v>
      </c>
      <c r="AJ47" s="15" t="n">
        <v>9</v>
      </c>
      <c r="AK47" s="15" t="n">
        <v>10</v>
      </c>
      <c r="AL47" s="15" t="n">
        <v>11</v>
      </c>
      <c r="AM47" s="15" t="n">
        <v>12</v>
      </c>
      <c r="AN47" s="15" t="n">
        <v>13</v>
      </c>
      <c r="AO47" s="15" t="n">
        <v>14</v>
      </c>
      <c r="AP47" s="15" t="n">
        <v>15</v>
      </c>
      <c r="AV47" s="15" t="inlineStr">
        <is>
          <t>Parâmetros p/ μy</t>
        </is>
      </c>
      <c r="AW47" s="15" t="inlineStr">
        <is>
          <t>Média(E(RLT))</t>
        </is>
      </c>
      <c r="AX47" s="15" t="n">
        <v>1</v>
      </c>
      <c r="AY47" s="15" t="n">
        <v>2</v>
      </c>
      <c r="AZ47" s="15" t="n">
        <v>3</v>
      </c>
      <c r="BA47" s="15" t="n">
        <v>4</v>
      </c>
      <c r="BB47" s="15" t="n">
        <v>5</v>
      </c>
      <c r="BC47" s="15" t="n">
        <v>6</v>
      </c>
      <c r="BD47" s="15" t="n">
        <v>7</v>
      </c>
      <c r="BE47" s="15" t="n">
        <v>8</v>
      </c>
      <c r="BF47" s="15" t="n">
        <v>9</v>
      </c>
      <c r="BG47" s="15" t="n">
        <v>10</v>
      </c>
      <c r="BH47" s="15" t="n">
        <v>11</v>
      </c>
      <c r="BI47" s="15" t="n">
        <v>12</v>
      </c>
      <c r="BJ47" s="15" t="n">
        <v>13</v>
      </c>
      <c r="BK47" s="15" t="n">
        <v>14</v>
      </c>
      <c r="BL47" s="15" t="n">
        <v>15</v>
      </c>
      <c r="BR47" s="15" t="inlineStr">
        <is>
          <t>Parâmetros p/ μy</t>
        </is>
      </c>
      <c r="BS47" s="15" t="inlineStr">
        <is>
          <t>Média(E(RLT))</t>
        </is>
      </c>
      <c r="BT47" s="15" t="n">
        <v>1</v>
      </c>
      <c r="BU47" s="15" t="n">
        <v>2</v>
      </c>
      <c r="BV47" s="15" t="n">
        <v>3</v>
      </c>
      <c r="BW47" s="15" t="n">
        <v>4</v>
      </c>
      <c r="BX47" s="15" t="n">
        <v>5</v>
      </c>
      <c r="BY47" s="15" t="n">
        <v>6</v>
      </c>
      <c r="BZ47" s="15" t="n">
        <v>7</v>
      </c>
      <c r="CA47" s="15" t="n">
        <v>8</v>
      </c>
      <c r="CB47" s="15" t="n">
        <v>9</v>
      </c>
      <c r="CC47" s="15" t="n">
        <v>10</v>
      </c>
      <c r="CD47" s="15" t="n">
        <v>11</v>
      </c>
      <c r="CE47" s="15" t="n">
        <v>12</v>
      </c>
      <c r="CF47" s="15" t="n">
        <v>13</v>
      </c>
      <c r="CG47" s="15" t="n">
        <v>14</v>
      </c>
      <c r="CH47" s="15" t="n">
        <v>15</v>
      </c>
      <c r="CN47" s="15" t="inlineStr">
        <is>
          <t>Parâmetros p/ μy</t>
        </is>
      </c>
      <c r="CO47" s="15" t="inlineStr">
        <is>
          <t>Média(E(RLT))</t>
        </is>
      </c>
      <c r="CP47" s="15" t="n">
        <v>1</v>
      </c>
      <c r="CQ47" s="15" t="n">
        <v>2</v>
      </c>
      <c r="CR47" s="15" t="n">
        <v>3</v>
      </c>
      <c r="CS47" s="15" t="n">
        <v>4</v>
      </c>
      <c r="CT47" s="15" t="n">
        <v>5</v>
      </c>
      <c r="CU47" s="15" t="n">
        <v>6</v>
      </c>
      <c r="CV47" s="15" t="n">
        <v>7</v>
      </c>
      <c r="CW47" s="15" t="n">
        <v>8</v>
      </c>
      <c r="CX47" s="15" t="n">
        <v>9</v>
      </c>
      <c r="CY47" s="15" t="n">
        <v>10</v>
      </c>
      <c r="CZ47" s="15" t="n">
        <v>11</v>
      </c>
      <c r="DA47" s="15" t="n">
        <v>12</v>
      </c>
      <c r="DB47" s="15" t="n">
        <v>13</v>
      </c>
      <c r="DC47" s="15" t="n">
        <v>14</v>
      </c>
      <c r="DD47" s="15" t="n">
        <v>15</v>
      </c>
      <c r="DJ47" s="15" t="inlineStr">
        <is>
          <t>Parâmetros p/ μy</t>
        </is>
      </c>
      <c r="DK47" s="15" t="inlineStr">
        <is>
          <t>Média(E(RLT))</t>
        </is>
      </c>
      <c r="DL47" s="15" t="n">
        <v>1</v>
      </c>
      <c r="DM47" s="15" t="n">
        <v>2</v>
      </c>
      <c r="DN47" s="15" t="n">
        <v>3</v>
      </c>
      <c r="DO47" s="15" t="n">
        <v>4</v>
      </c>
      <c r="DP47" s="15" t="n">
        <v>5</v>
      </c>
      <c r="DQ47" s="15" t="n">
        <v>6</v>
      </c>
      <c r="DR47" s="15" t="n">
        <v>7</v>
      </c>
      <c r="DS47" s="15" t="n">
        <v>8</v>
      </c>
      <c r="DT47" s="15" t="n">
        <v>9</v>
      </c>
      <c r="DU47" s="15" t="n">
        <v>10</v>
      </c>
      <c r="DV47" s="15" t="n">
        <v>11</v>
      </c>
      <c r="DW47" s="15" t="n">
        <v>12</v>
      </c>
      <c r="DX47" s="15" t="n">
        <v>13</v>
      </c>
      <c r="DY47" s="15" t="n">
        <v>14</v>
      </c>
      <c r="DZ47" s="15" t="n">
        <v>15</v>
      </c>
      <c r="EF47" s="15" t="inlineStr">
        <is>
          <t>Parâmetros p/ μy</t>
        </is>
      </c>
      <c r="EG47" s="15" t="inlineStr">
        <is>
          <t>Média(E(RLT))</t>
        </is>
      </c>
      <c r="EH47" s="15" t="n">
        <v>1</v>
      </c>
      <c r="EI47" s="15" t="n">
        <v>2</v>
      </c>
      <c r="EJ47" s="15" t="n">
        <v>3</v>
      </c>
      <c r="EK47" s="15" t="n">
        <v>4</v>
      </c>
      <c r="EL47" s="15" t="n">
        <v>5</v>
      </c>
      <c r="EM47" s="15" t="n">
        <v>6</v>
      </c>
      <c r="EN47" s="15" t="n">
        <v>7</v>
      </c>
      <c r="EO47" s="15" t="n">
        <v>8</v>
      </c>
      <c r="EP47" s="15" t="n">
        <v>9</v>
      </c>
      <c r="EQ47" s="15" t="n">
        <v>10</v>
      </c>
      <c r="ER47" s="15" t="n">
        <v>11</v>
      </c>
      <c r="ES47" s="15" t="n">
        <v>12</v>
      </c>
      <c r="ET47" s="15" t="n">
        <v>13</v>
      </c>
      <c r="EU47" s="15" t="n">
        <v>14</v>
      </c>
      <c r="EV47" s="15" t="n">
        <v>15</v>
      </c>
      <c r="FB47" s="15" t="inlineStr">
        <is>
          <t>Parâmetros p/ μy</t>
        </is>
      </c>
      <c r="FC47" s="15" t="inlineStr">
        <is>
          <t>Média(E(RLT))</t>
        </is>
      </c>
      <c r="FD47" s="15" t="n">
        <v>1</v>
      </c>
      <c r="FE47" s="15" t="n">
        <v>2</v>
      </c>
      <c r="FF47" s="15" t="n">
        <v>3</v>
      </c>
      <c r="FG47" s="15" t="n">
        <v>4</v>
      </c>
      <c r="FH47" s="15" t="n">
        <v>5</v>
      </c>
      <c r="FI47" s="15" t="n">
        <v>6</v>
      </c>
      <c r="FJ47" s="15" t="n">
        <v>7</v>
      </c>
      <c r="FK47" s="15" t="n">
        <v>8</v>
      </c>
      <c r="FL47" s="15" t="n">
        <v>9</v>
      </c>
      <c r="FM47" s="15" t="n">
        <v>10</v>
      </c>
      <c r="FN47" s="15" t="n">
        <v>11</v>
      </c>
      <c r="FO47" s="15" t="n">
        <v>12</v>
      </c>
      <c r="FP47" s="15" t="n">
        <v>13</v>
      </c>
      <c r="FQ47" s="15" t="n">
        <v>14</v>
      </c>
      <c r="FR47" s="15" t="n">
        <v>15</v>
      </c>
      <c r="FX47" s="15" t="inlineStr">
        <is>
          <t>Parâmetros p/ μy</t>
        </is>
      </c>
      <c r="FY47" s="15" t="inlineStr">
        <is>
          <t>Média(E(RLT))</t>
        </is>
      </c>
      <c r="FZ47" s="15" t="n">
        <v>1</v>
      </c>
      <c r="GA47" s="15" t="n">
        <v>2</v>
      </c>
      <c r="GB47" s="15" t="n">
        <v>3</v>
      </c>
      <c r="GC47" s="15" t="n">
        <v>4</v>
      </c>
      <c r="GD47" s="15" t="n">
        <v>5</v>
      </c>
      <c r="GE47" s="15" t="n">
        <v>6</v>
      </c>
      <c r="GF47" s="15" t="n">
        <v>7</v>
      </c>
      <c r="GG47" s="15" t="n">
        <v>8</v>
      </c>
      <c r="GH47" s="15" t="n">
        <v>9</v>
      </c>
      <c r="GI47" s="15" t="n">
        <v>10</v>
      </c>
      <c r="GJ47" s="15" t="n">
        <v>11</v>
      </c>
      <c r="GK47" s="15" t="n">
        <v>12</v>
      </c>
      <c r="GL47" s="15" t="n">
        <v>13</v>
      </c>
      <c r="GM47" s="15" t="n">
        <v>14</v>
      </c>
      <c r="GN47" s="15" t="n">
        <v>15</v>
      </c>
      <c r="GT47" s="15" t="inlineStr">
        <is>
          <t>Parâmetros p/ μy</t>
        </is>
      </c>
      <c r="GU47" s="15" t="inlineStr">
        <is>
          <t>Média(E(RLT))</t>
        </is>
      </c>
      <c r="GV47" s="15" t="n">
        <v>1</v>
      </c>
      <c r="GW47" s="15" t="n">
        <v>2</v>
      </c>
      <c r="GX47" s="15" t="n">
        <v>3</v>
      </c>
      <c r="GY47" s="15" t="n">
        <v>4</v>
      </c>
      <c r="GZ47" s="15" t="n">
        <v>5</v>
      </c>
      <c r="HA47" s="15" t="n">
        <v>6</v>
      </c>
      <c r="HB47" s="15" t="n">
        <v>7</v>
      </c>
      <c r="HC47" s="15" t="n">
        <v>8</v>
      </c>
      <c r="HD47" s="15" t="n">
        <v>9</v>
      </c>
      <c r="HE47" s="15" t="n">
        <v>10</v>
      </c>
      <c r="HF47" s="15" t="n">
        <v>11</v>
      </c>
      <c r="HG47" s="15" t="n">
        <v>12</v>
      </c>
      <c r="HH47" s="15" t="n">
        <v>13</v>
      </c>
      <c r="HI47" s="15" t="n">
        <v>14</v>
      </c>
      <c r="HJ47" s="15" t="n">
        <v>15</v>
      </c>
    </row>
    <row r="48" ht="16.2" customHeight="1">
      <c r="B48" s="15" t="inlineStr">
        <is>
          <t>ND*RLT e S2nd</t>
        </is>
      </c>
      <c r="C48" s="15" t="n">
        <v>1</v>
      </c>
      <c r="D48" s="39">
        <f>Matlab_Data!D8</f>
        <v/>
      </c>
      <c r="E48" s="39">
        <f>Matlab_Data!E8</f>
        <v/>
      </c>
      <c r="F48" s="39">
        <f>Matlab_Data!F8</f>
        <v/>
      </c>
      <c r="G48" s="39">
        <f>Matlab_Data!G8</f>
        <v/>
      </c>
      <c r="H48" s="39">
        <f>Matlab_Data!H8</f>
        <v/>
      </c>
      <c r="I48" s="39">
        <f>Matlab_Data!I8</f>
        <v/>
      </c>
      <c r="J48" s="39">
        <f>Matlab_Data!J8</f>
        <v/>
      </c>
      <c r="K48" s="39">
        <f>Matlab_Data!K8</f>
        <v/>
      </c>
      <c r="L48" s="39">
        <f>Matlab_Data!L8</f>
        <v/>
      </c>
      <c r="M48" s="39">
        <f>Matlab_Data!M8</f>
        <v/>
      </c>
      <c r="N48" s="39">
        <f>Matlab_Data!N8</f>
        <v/>
      </c>
      <c r="O48" s="39">
        <f>Matlab_Data!O8</f>
        <v/>
      </c>
      <c r="P48" s="39">
        <f>Matlab_Data!P8</f>
        <v/>
      </c>
      <c r="Q48" s="39">
        <f>Matlab_Data!Q8</f>
        <v/>
      </c>
      <c r="R48" s="39">
        <f>Matlab_Data!R8</f>
        <v/>
      </c>
      <c r="T48" s="39">
        <f>SUM(D48:R50)</f>
        <v/>
      </c>
      <c r="U48" s="39" t="n">
        <v>652.2099999999999</v>
      </c>
      <c r="V48" s="39">
        <f>T48-U48</f>
        <v/>
      </c>
      <c r="W48" s="39" t="n"/>
      <c r="X48" s="39" t="n"/>
      <c r="Y48" s="39" t="n"/>
      <c r="Z48" s="39" t="inlineStr">
        <is>
          <t>ND*RLT e S2nd</t>
        </is>
      </c>
      <c r="AA48" s="39" t="n">
        <v>1</v>
      </c>
      <c r="AB48" s="39" t="n">
        <v>9.449999999999999</v>
      </c>
      <c r="AC48" s="39" t="n">
        <v>14.92</v>
      </c>
      <c r="AD48" s="39" t="n">
        <v>14.79</v>
      </c>
      <c r="AE48" s="39" t="n">
        <v>17.69</v>
      </c>
      <c r="AF48" s="39" t="n">
        <v>14.79</v>
      </c>
      <c r="AG48" s="39" t="n">
        <v>14.31</v>
      </c>
      <c r="AH48" s="39" t="n">
        <v>10.15</v>
      </c>
      <c r="AI48" s="39" t="n">
        <v>14.45</v>
      </c>
      <c r="AJ48" s="39" t="n">
        <v>12.52</v>
      </c>
      <c r="AK48" s="39" t="n">
        <v>11.45</v>
      </c>
      <c r="AL48" s="39" t="n">
        <v>13.36</v>
      </c>
      <c r="AM48" s="39" t="n">
        <v>13.38</v>
      </c>
      <c r="AN48" s="15" t="n">
        <v>14.59</v>
      </c>
      <c r="AO48" s="15" t="n">
        <v>14.28</v>
      </c>
      <c r="AP48" s="15" t="n">
        <v>16.04</v>
      </c>
      <c r="AV48" s="15" t="inlineStr">
        <is>
          <t>ND*RLT e S2nd</t>
        </is>
      </c>
      <c r="AW48" s="15" t="n">
        <v>1</v>
      </c>
      <c r="AX48" s="15" t="n">
        <v>9.449999999999999</v>
      </c>
      <c r="AY48" s="15" t="n">
        <v>14.92</v>
      </c>
      <c r="AZ48" s="15" t="n">
        <v>14.79</v>
      </c>
      <c r="BA48" s="15" t="n">
        <v>17.69</v>
      </c>
      <c r="BB48" s="15" t="n">
        <v>14.79</v>
      </c>
      <c r="BC48" s="15" t="n">
        <v>14.31</v>
      </c>
      <c r="BD48" s="15" t="n">
        <v>10.15</v>
      </c>
      <c r="BE48" s="15" t="n">
        <v>14.45</v>
      </c>
      <c r="BF48" s="15" t="n">
        <v>12.52</v>
      </c>
      <c r="BG48" s="15" t="n">
        <v>11.45</v>
      </c>
      <c r="BH48" s="15" t="n">
        <v>13.36</v>
      </c>
      <c r="BI48" s="15" t="n">
        <v>13.38</v>
      </c>
      <c r="BJ48" s="15" t="n">
        <v>14.59</v>
      </c>
      <c r="BK48" s="15" t="n">
        <v>14.28</v>
      </c>
      <c r="BL48" s="15" t="n">
        <v>16.04</v>
      </c>
      <c r="BR48" s="15" t="inlineStr">
        <is>
          <t>ND*RLT e S2nd</t>
        </is>
      </c>
      <c r="BS48" s="15" t="n">
        <v>1</v>
      </c>
      <c r="BT48" s="15" t="n">
        <v>9.449999999999999</v>
      </c>
      <c r="BU48" s="15" t="n">
        <v>14.92</v>
      </c>
      <c r="BV48" s="15" t="n">
        <v>14.79</v>
      </c>
      <c r="BW48" s="15" t="n">
        <v>17.69</v>
      </c>
      <c r="BX48" s="15" t="n">
        <v>14.79</v>
      </c>
      <c r="BY48" s="15" t="n">
        <v>14.31</v>
      </c>
      <c r="BZ48" s="15" t="n">
        <v>10.15</v>
      </c>
      <c r="CA48" s="15" t="n">
        <v>14.45</v>
      </c>
      <c r="CB48" s="15" t="n">
        <v>12.52</v>
      </c>
      <c r="CC48" s="15" t="n">
        <v>11.45</v>
      </c>
      <c r="CD48" s="15" t="n">
        <v>13.36</v>
      </c>
      <c r="CE48" s="15" t="n">
        <v>13.38</v>
      </c>
      <c r="CF48" s="15" t="n">
        <v>14.59</v>
      </c>
      <c r="CG48" s="15" t="n">
        <v>14.28</v>
      </c>
      <c r="CH48" s="15" t="n">
        <v>16.04</v>
      </c>
      <c r="CN48" s="15" t="inlineStr">
        <is>
          <t>ND*RLT e S2nd</t>
        </is>
      </c>
      <c r="CO48" s="15" t="n">
        <v>1</v>
      </c>
      <c r="CP48" s="15" t="n">
        <v>9.449999999999999</v>
      </c>
      <c r="CQ48" s="15" t="n">
        <v>14.92</v>
      </c>
      <c r="CR48" s="15" t="n">
        <v>14.79</v>
      </c>
      <c r="CS48" s="15" t="n">
        <v>17.69</v>
      </c>
      <c r="CT48" s="15" t="n">
        <v>14.79</v>
      </c>
      <c r="CU48" s="15" t="n">
        <v>14.31</v>
      </c>
      <c r="CV48" s="15" t="n">
        <v>10.15</v>
      </c>
      <c r="CW48" s="15" t="n">
        <v>14.45</v>
      </c>
      <c r="CX48" s="15" t="n">
        <v>12.52</v>
      </c>
      <c r="CY48" s="15" t="n">
        <v>11.45</v>
      </c>
      <c r="CZ48" s="15" t="n">
        <v>13.36</v>
      </c>
      <c r="DA48" s="15" t="n">
        <v>13.38</v>
      </c>
      <c r="DB48" s="15" t="n">
        <v>14.59</v>
      </c>
      <c r="DC48" s="15" t="n">
        <v>14.28</v>
      </c>
      <c r="DD48" s="15" t="n">
        <v>16.04</v>
      </c>
      <c r="DJ48" s="15" t="inlineStr">
        <is>
          <t>ND*RLT e S2nd</t>
        </is>
      </c>
      <c r="DK48" s="15" t="n">
        <v>1</v>
      </c>
      <c r="DL48" s="15" t="n">
        <v>9.449999999999999</v>
      </c>
      <c r="DM48" s="15" t="n">
        <v>14.92</v>
      </c>
      <c r="DN48" s="15" t="n">
        <v>14.79</v>
      </c>
      <c r="DO48" s="15" t="n">
        <v>17.69</v>
      </c>
      <c r="DP48" s="15" t="n">
        <v>14.79</v>
      </c>
      <c r="DQ48" s="15" t="n">
        <v>14.31</v>
      </c>
      <c r="DR48" s="15" t="n">
        <v>10.15</v>
      </c>
      <c r="DS48" s="15" t="n">
        <v>14.45</v>
      </c>
      <c r="DT48" s="15" t="n">
        <v>12.52</v>
      </c>
      <c r="DU48" s="15" t="n">
        <v>11.45</v>
      </c>
      <c r="DV48" s="15" t="n">
        <v>13.36</v>
      </c>
      <c r="DW48" s="15" t="n">
        <v>13.38</v>
      </c>
      <c r="DX48" s="15" t="n">
        <v>14.59</v>
      </c>
      <c r="DY48" s="15" t="n">
        <v>14.28</v>
      </c>
      <c r="DZ48" s="15" t="n">
        <v>16.04</v>
      </c>
      <c r="EF48" s="15" t="inlineStr">
        <is>
          <t>ND*RLT e S2nd</t>
        </is>
      </c>
      <c r="EG48" s="15" t="n">
        <v>1</v>
      </c>
      <c r="EH48" s="15" t="n">
        <v>9.449999999999999</v>
      </c>
      <c r="EI48" s="15" t="n">
        <v>14.92</v>
      </c>
      <c r="EJ48" s="15" t="n">
        <v>14.79</v>
      </c>
      <c r="EK48" s="15" t="n">
        <v>17.69</v>
      </c>
      <c r="EL48" s="15" t="n">
        <v>14.79</v>
      </c>
      <c r="EM48" s="15" t="n">
        <v>14.31</v>
      </c>
      <c r="EN48" s="15" t="n">
        <v>10.15</v>
      </c>
      <c r="EO48" s="15" t="n">
        <v>14.45</v>
      </c>
      <c r="EP48" s="15" t="n">
        <v>12.52</v>
      </c>
      <c r="EQ48" s="15" t="n">
        <v>11.45</v>
      </c>
      <c r="ER48" s="15" t="n">
        <v>13.36</v>
      </c>
      <c r="ES48" s="15" t="n">
        <v>13.38</v>
      </c>
      <c r="ET48" s="15" t="n">
        <v>14.59</v>
      </c>
      <c r="EU48" s="15" t="n">
        <v>14.28</v>
      </c>
      <c r="EV48" s="15" t="n">
        <v>16.04</v>
      </c>
      <c r="FB48" s="15" t="inlineStr">
        <is>
          <t>ND*RLT e S2nd</t>
        </is>
      </c>
      <c r="FC48" s="15" t="n">
        <v>1</v>
      </c>
      <c r="FD48" s="15" t="n">
        <v>9.449999999999999</v>
      </c>
      <c r="FE48" s="15" t="n">
        <v>14.92</v>
      </c>
      <c r="FF48" s="15" t="n">
        <v>14.79</v>
      </c>
      <c r="FG48" s="15" t="n">
        <v>17.69</v>
      </c>
      <c r="FH48" s="15" t="n">
        <v>14.79</v>
      </c>
      <c r="FI48" s="15" t="n">
        <v>14.31</v>
      </c>
      <c r="FJ48" s="15" t="n">
        <v>10.15</v>
      </c>
      <c r="FK48" s="15" t="n">
        <v>14.45</v>
      </c>
      <c r="FL48" s="15" t="n">
        <v>12.52</v>
      </c>
      <c r="FM48" s="15" t="n">
        <v>11.45</v>
      </c>
      <c r="FN48" s="15" t="n">
        <v>13.36</v>
      </c>
      <c r="FO48" s="15" t="n">
        <v>13.38</v>
      </c>
      <c r="FP48" s="15" t="n">
        <v>14.59</v>
      </c>
      <c r="FQ48" s="15" t="n">
        <v>14.28</v>
      </c>
      <c r="FR48" s="15" t="n">
        <v>16.04</v>
      </c>
      <c r="FX48" s="15" t="inlineStr">
        <is>
          <t>ND*RLT e S2nd</t>
        </is>
      </c>
      <c r="FY48" s="15" t="n">
        <v>1</v>
      </c>
      <c r="FZ48" s="15" t="n">
        <v>9.449999999999999</v>
      </c>
      <c r="GA48" s="15" t="n">
        <v>14.92</v>
      </c>
      <c r="GB48" s="15" t="n">
        <v>14.79</v>
      </c>
      <c r="GC48" s="15" t="n">
        <v>17.69</v>
      </c>
      <c r="GD48" s="15" t="n">
        <v>14.79</v>
      </c>
      <c r="GE48" s="15" t="n">
        <v>14.31</v>
      </c>
      <c r="GF48" s="15" t="n">
        <v>10.15</v>
      </c>
      <c r="GG48" s="15" t="n">
        <v>14.45</v>
      </c>
      <c r="GH48" s="15" t="n">
        <v>12.52</v>
      </c>
      <c r="GI48" s="15" t="n">
        <v>11.45</v>
      </c>
      <c r="GJ48" s="15" t="n">
        <v>13.36</v>
      </c>
      <c r="GK48" s="15" t="n">
        <v>13.38</v>
      </c>
      <c r="GL48" s="15" t="n">
        <v>14.59</v>
      </c>
      <c r="GM48" s="15" t="n">
        <v>14.28</v>
      </c>
      <c r="GN48" s="15" t="n">
        <v>16.04</v>
      </c>
      <c r="GT48" s="15" t="inlineStr">
        <is>
          <t>ND*RLT e S2nd</t>
        </is>
      </c>
      <c r="GU48" s="15" t="n">
        <v>1</v>
      </c>
      <c r="GV48" s="15" t="n">
        <v>9.449999999999999</v>
      </c>
      <c r="GW48" s="15" t="n">
        <v>14.92</v>
      </c>
      <c r="GX48" s="15" t="n">
        <v>14.79</v>
      </c>
      <c r="GY48" s="15" t="n">
        <v>17.69</v>
      </c>
      <c r="GZ48" s="15" t="n">
        <v>14.79</v>
      </c>
      <c r="HA48" s="15" t="n">
        <v>14.31</v>
      </c>
      <c r="HB48" s="15" t="n">
        <v>10.15</v>
      </c>
      <c r="HC48" s="15" t="n">
        <v>14.45</v>
      </c>
      <c r="HD48" s="15" t="n">
        <v>12.52</v>
      </c>
      <c r="HE48" s="15" t="n">
        <v>11.45</v>
      </c>
      <c r="HF48" s="15" t="n">
        <v>13.36</v>
      </c>
      <c r="HG48" s="15" t="n">
        <v>13.38</v>
      </c>
      <c r="HH48" s="15" t="n">
        <v>14.59</v>
      </c>
      <c r="HI48" s="15" t="n">
        <v>14.28</v>
      </c>
      <c r="HJ48" s="15" t="n">
        <v>16.04</v>
      </c>
    </row>
    <row r="49">
      <c r="C49" s="15" t="n">
        <v>2</v>
      </c>
      <c r="D49" s="39">
        <f>Matlab_Data!D9</f>
        <v/>
      </c>
      <c r="E49" s="39">
        <f>Matlab_Data!E9</f>
        <v/>
      </c>
      <c r="F49" s="39">
        <f>Matlab_Data!F9</f>
        <v/>
      </c>
      <c r="G49" s="39">
        <f>Matlab_Data!G9</f>
        <v/>
      </c>
      <c r="H49" s="39">
        <f>Matlab_Data!H9</f>
        <v/>
      </c>
      <c r="I49" s="39">
        <f>Matlab_Data!I9</f>
        <v/>
      </c>
      <c r="J49" s="39">
        <f>Matlab_Data!J9</f>
        <v/>
      </c>
      <c r="K49" s="39">
        <f>Matlab_Data!K9</f>
        <v/>
      </c>
      <c r="L49" s="39">
        <f>Matlab_Data!L9</f>
        <v/>
      </c>
      <c r="M49" s="39">
        <f>Matlab_Data!M9</f>
        <v/>
      </c>
      <c r="N49" s="39">
        <f>Matlab_Data!N9</f>
        <v/>
      </c>
      <c r="O49" s="39">
        <f>Matlab_Data!O9</f>
        <v/>
      </c>
      <c r="P49" s="39">
        <f>Matlab_Data!P9</f>
        <v/>
      </c>
      <c r="Q49" s="39">
        <f>Matlab_Data!Q9</f>
        <v/>
      </c>
      <c r="R49" s="39">
        <f>Matlab_Data!R9</f>
        <v/>
      </c>
      <c r="Y49" s="39" t="n"/>
      <c r="Z49" s="39" t="n"/>
      <c r="AA49" s="39" t="n">
        <v>2</v>
      </c>
      <c r="AB49" s="39" t="n">
        <v>13.11</v>
      </c>
      <c r="AC49" s="39" t="n">
        <v>17.64</v>
      </c>
      <c r="AD49" s="39" t="n">
        <v>11.65</v>
      </c>
      <c r="AE49" s="39" t="n">
        <v>20.06</v>
      </c>
      <c r="AF49" s="39" t="n">
        <v>11.73</v>
      </c>
      <c r="AG49" s="39" t="n">
        <v>15.92</v>
      </c>
      <c r="AH49" s="39" t="n">
        <v>12.08</v>
      </c>
      <c r="AI49" s="39" t="n">
        <v>15.93</v>
      </c>
      <c r="AJ49" s="39" t="n">
        <v>10.8</v>
      </c>
      <c r="AK49" s="39" t="n">
        <v>13.12</v>
      </c>
      <c r="AL49" s="39" t="n">
        <v>12.44</v>
      </c>
      <c r="AM49" s="39" t="n">
        <v>15.71</v>
      </c>
      <c r="AN49" s="15" t="n">
        <v>19.48</v>
      </c>
      <c r="AO49" s="15" t="n">
        <v>17.94</v>
      </c>
      <c r="AP49" s="15" t="n">
        <v>13.48</v>
      </c>
      <c r="AW49" s="15" t="n">
        <v>2</v>
      </c>
      <c r="AX49" s="15" t="n">
        <v>13.11</v>
      </c>
      <c r="AY49" s="15" t="n">
        <v>17.64</v>
      </c>
      <c r="AZ49" s="15" t="n">
        <v>11.65</v>
      </c>
      <c r="BA49" s="15" t="n">
        <v>20.06</v>
      </c>
      <c r="BB49" s="15" t="n">
        <v>11.73</v>
      </c>
      <c r="BC49" s="15" t="n">
        <v>15.92</v>
      </c>
      <c r="BD49" s="15" t="n">
        <v>12.08</v>
      </c>
      <c r="BE49" s="15" t="n">
        <v>15.93</v>
      </c>
      <c r="BF49" s="15" t="n">
        <v>10.8</v>
      </c>
      <c r="BG49" s="15" t="n">
        <v>13.12</v>
      </c>
      <c r="BH49" s="15" t="n">
        <v>12.44</v>
      </c>
      <c r="BI49" s="15" t="n">
        <v>15.71</v>
      </c>
      <c r="BJ49" s="15" t="n">
        <v>19.48</v>
      </c>
      <c r="BK49" s="15" t="n">
        <v>17.94</v>
      </c>
      <c r="BL49" s="15" t="n">
        <v>13.48</v>
      </c>
      <c r="BS49" s="15" t="n">
        <v>2</v>
      </c>
      <c r="BT49" s="15" t="n">
        <v>13.11</v>
      </c>
      <c r="BU49" s="15" t="n">
        <v>17.64</v>
      </c>
      <c r="BV49" s="15" t="n">
        <v>11.65</v>
      </c>
      <c r="BW49" s="15" t="n">
        <v>20.06</v>
      </c>
      <c r="BX49" s="15" t="n">
        <v>11.73</v>
      </c>
      <c r="BY49" s="15" t="n">
        <v>15.92</v>
      </c>
      <c r="BZ49" s="15" t="n">
        <v>12.08</v>
      </c>
      <c r="CA49" s="15" t="n">
        <v>15.93</v>
      </c>
      <c r="CB49" s="15" t="n">
        <v>10.8</v>
      </c>
      <c r="CC49" s="15" t="n">
        <v>13.12</v>
      </c>
      <c r="CD49" s="15" t="n">
        <v>12.44</v>
      </c>
      <c r="CE49" s="15" t="n">
        <v>15.71</v>
      </c>
      <c r="CF49" s="15" t="n">
        <v>19.48</v>
      </c>
      <c r="CG49" s="15" t="n">
        <v>17.94</v>
      </c>
      <c r="CH49" s="15" t="n">
        <v>13.48</v>
      </c>
      <c r="CO49" s="15" t="n">
        <v>2</v>
      </c>
      <c r="CP49" s="15" t="n">
        <v>13.11</v>
      </c>
      <c r="CQ49" s="15" t="n">
        <v>17.64</v>
      </c>
      <c r="CR49" s="15" t="n">
        <v>11.65</v>
      </c>
      <c r="CS49" s="15" t="n">
        <v>20.06</v>
      </c>
      <c r="CT49" s="15" t="n">
        <v>11.73</v>
      </c>
      <c r="CU49" s="15" t="n">
        <v>15.92</v>
      </c>
      <c r="CV49" s="15" t="n">
        <v>12.08</v>
      </c>
      <c r="CW49" s="15" t="n">
        <v>15.93</v>
      </c>
      <c r="CX49" s="15" t="n">
        <v>10.8</v>
      </c>
      <c r="CY49" s="15" t="n">
        <v>13.12</v>
      </c>
      <c r="CZ49" s="15" t="n">
        <v>12.44</v>
      </c>
      <c r="DA49" s="15" t="n">
        <v>15.71</v>
      </c>
      <c r="DB49" s="15" t="n">
        <v>19.48</v>
      </c>
      <c r="DC49" s="15" t="n">
        <v>17.94</v>
      </c>
      <c r="DD49" s="15" t="n">
        <v>13.48</v>
      </c>
      <c r="DK49" s="15" t="n">
        <v>2</v>
      </c>
      <c r="DL49" s="15" t="n">
        <v>13.11</v>
      </c>
      <c r="DM49" s="15" t="n">
        <v>17.64</v>
      </c>
      <c r="DN49" s="15" t="n">
        <v>11.65</v>
      </c>
      <c r="DO49" s="15" t="n">
        <v>20.06</v>
      </c>
      <c r="DP49" s="15" t="n">
        <v>11.73</v>
      </c>
      <c r="DQ49" s="15" t="n">
        <v>15.92</v>
      </c>
      <c r="DR49" s="15" t="n">
        <v>12.08</v>
      </c>
      <c r="DS49" s="15" t="n">
        <v>15.93</v>
      </c>
      <c r="DT49" s="15" t="n">
        <v>10.8</v>
      </c>
      <c r="DU49" s="15" t="n">
        <v>13.12</v>
      </c>
      <c r="DV49" s="15" t="n">
        <v>12.44</v>
      </c>
      <c r="DW49" s="15" t="n">
        <v>15.71</v>
      </c>
      <c r="DX49" s="15" t="n">
        <v>19.48</v>
      </c>
      <c r="DY49" s="15" t="n">
        <v>17.94</v>
      </c>
      <c r="DZ49" s="15" t="n">
        <v>13.48</v>
      </c>
      <c r="EG49" s="15" t="n">
        <v>2</v>
      </c>
      <c r="EH49" s="15" t="n">
        <v>13.11</v>
      </c>
      <c r="EI49" s="15" t="n">
        <v>17.64</v>
      </c>
      <c r="EJ49" s="15" t="n">
        <v>11.65</v>
      </c>
      <c r="EK49" s="15" t="n">
        <v>20.06</v>
      </c>
      <c r="EL49" s="15" t="n">
        <v>11.73</v>
      </c>
      <c r="EM49" s="15" t="n">
        <v>15.92</v>
      </c>
      <c r="EN49" s="15" t="n">
        <v>12.08</v>
      </c>
      <c r="EO49" s="15" t="n">
        <v>15.93</v>
      </c>
      <c r="EP49" s="15" t="n">
        <v>10.8</v>
      </c>
      <c r="EQ49" s="15" t="n">
        <v>13.12</v>
      </c>
      <c r="ER49" s="15" t="n">
        <v>12.44</v>
      </c>
      <c r="ES49" s="15" t="n">
        <v>15.71</v>
      </c>
      <c r="ET49" s="15" t="n">
        <v>19.48</v>
      </c>
      <c r="EU49" s="15" t="n">
        <v>17.94</v>
      </c>
      <c r="EV49" s="15" t="n">
        <v>13.48</v>
      </c>
      <c r="FC49" s="15" t="n">
        <v>2</v>
      </c>
      <c r="FD49" s="15" t="n">
        <v>13.11</v>
      </c>
      <c r="FE49" s="15" t="n">
        <v>17.64</v>
      </c>
      <c r="FF49" s="15" t="n">
        <v>11.65</v>
      </c>
      <c r="FG49" s="15" t="n">
        <v>20.06</v>
      </c>
      <c r="FH49" s="15" t="n">
        <v>11.73</v>
      </c>
      <c r="FI49" s="15" t="n">
        <v>15.92</v>
      </c>
      <c r="FJ49" s="15" t="n">
        <v>12.08</v>
      </c>
      <c r="FK49" s="15" t="n">
        <v>15.93</v>
      </c>
      <c r="FL49" s="15" t="n">
        <v>10.8</v>
      </c>
      <c r="FM49" s="15" t="n">
        <v>13.12</v>
      </c>
      <c r="FN49" s="15" t="n">
        <v>12.44</v>
      </c>
      <c r="FO49" s="15" t="n">
        <v>15.71</v>
      </c>
      <c r="FP49" s="15" t="n">
        <v>19.48</v>
      </c>
      <c r="FQ49" s="15" t="n">
        <v>17.94</v>
      </c>
      <c r="FR49" s="15" t="n">
        <v>13.48</v>
      </c>
      <c r="FY49" s="15" t="n">
        <v>2</v>
      </c>
      <c r="FZ49" s="15" t="n">
        <v>13.11</v>
      </c>
      <c r="GA49" s="15" t="n">
        <v>17.64</v>
      </c>
      <c r="GB49" s="15" t="n">
        <v>11.65</v>
      </c>
      <c r="GC49" s="15" t="n">
        <v>20.06</v>
      </c>
      <c r="GD49" s="15" t="n">
        <v>11.73</v>
      </c>
      <c r="GE49" s="15" t="n">
        <v>15.92</v>
      </c>
      <c r="GF49" s="15" t="n">
        <v>12.08</v>
      </c>
      <c r="GG49" s="15" t="n">
        <v>15.93</v>
      </c>
      <c r="GH49" s="15" t="n">
        <v>10.8</v>
      </c>
      <c r="GI49" s="15" t="n">
        <v>13.12</v>
      </c>
      <c r="GJ49" s="15" t="n">
        <v>12.44</v>
      </c>
      <c r="GK49" s="15" t="n">
        <v>15.71</v>
      </c>
      <c r="GL49" s="15" t="n">
        <v>19.48</v>
      </c>
      <c r="GM49" s="15" t="n">
        <v>17.94</v>
      </c>
      <c r="GN49" s="15" t="n">
        <v>13.48</v>
      </c>
      <c r="GU49" s="15" t="n">
        <v>2</v>
      </c>
      <c r="GV49" s="15" t="n">
        <v>13.11</v>
      </c>
      <c r="GW49" s="15" t="n">
        <v>17.64</v>
      </c>
      <c r="GX49" s="15" t="n">
        <v>11.65</v>
      </c>
      <c r="GY49" s="15" t="n">
        <v>20.06</v>
      </c>
      <c r="GZ49" s="15" t="n">
        <v>11.73</v>
      </c>
      <c r="HA49" s="15" t="n">
        <v>15.92</v>
      </c>
      <c r="HB49" s="15" t="n">
        <v>12.08</v>
      </c>
      <c r="HC49" s="15" t="n">
        <v>15.93</v>
      </c>
      <c r="HD49" s="15" t="n">
        <v>10.8</v>
      </c>
      <c r="HE49" s="15" t="n">
        <v>13.12</v>
      </c>
      <c r="HF49" s="15" t="n">
        <v>12.44</v>
      </c>
      <c r="HG49" s="15" t="n">
        <v>15.71</v>
      </c>
      <c r="HH49" s="15" t="n">
        <v>19.48</v>
      </c>
      <c r="HI49" s="15" t="n">
        <v>17.94</v>
      </c>
      <c r="HJ49" s="15" t="n">
        <v>13.48</v>
      </c>
    </row>
    <row r="50">
      <c r="C50" s="15" t="n">
        <v>3</v>
      </c>
      <c r="D50" s="39">
        <f>Matlab_Data!D10</f>
        <v/>
      </c>
      <c r="E50" s="39">
        <f>Matlab_Data!E10</f>
        <v/>
      </c>
      <c r="F50" s="39">
        <f>Matlab_Data!F10</f>
        <v/>
      </c>
      <c r="G50" s="39">
        <f>Matlab_Data!G10</f>
        <v/>
      </c>
      <c r="H50" s="39">
        <f>Matlab_Data!H10</f>
        <v/>
      </c>
      <c r="I50" s="39">
        <f>Matlab_Data!I10</f>
        <v/>
      </c>
      <c r="J50" s="39">
        <f>Matlab_Data!J10</f>
        <v/>
      </c>
      <c r="K50" s="39">
        <f>Matlab_Data!K10</f>
        <v/>
      </c>
      <c r="L50" s="39">
        <f>Matlab_Data!L10</f>
        <v/>
      </c>
      <c r="M50" s="39">
        <f>Matlab_Data!M10</f>
        <v/>
      </c>
      <c r="N50" s="39">
        <f>Matlab_Data!N10</f>
        <v/>
      </c>
      <c r="O50" s="39">
        <f>Matlab_Data!O10</f>
        <v/>
      </c>
      <c r="P50" s="39">
        <f>Matlab_Data!P10</f>
        <v/>
      </c>
      <c r="Q50" s="39">
        <f>Matlab_Data!Q10</f>
        <v/>
      </c>
      <c r="R50" s="39">
        <f>Matlab_Data!R10</f>
        <v/>
      </c>
      <c r="Y50" s="39" t="n"/>
      <c r="Z50" s="39" t="n"/>
      <c r="AA50" s="39" t="n">
        <v>3</v>
      </c>
      <c r="AB50" s="39" t="n">
        <v>18.26</v>
      </c>
      <c r="AC50" s="39" t="n">
        <v>19.27</v>
      </c>
      <c r="AD50" s="39" t="n">
        <v>20.64</v>
      </c>
      <c r="AE50" s="39" t="n">
        <v>13.97</v>
      </c>
      <c r="AF50" s="39" t="n">
        <v>13.78</v>
      </c>
      <c r="AG50" s="39" t="n">
        <v>17.6</v>
      </c>
      <c r="AH50" s="39" t="n">
        <v>12.66</v>
      </c>
      <c r="AI50" s="39" t="n">
        <v>13.15</v>
      </c>
      <c r="AJ50" s="39" t="n">
        <v>16.36</v>
      </c>
      <c r="AK50" s="39" t="n">
        <v>15.94</v>
      </c>
      <c r="AL50" s="39" t="n">
        <v>10.35</v>
      </c>
      <c r="AM50" s="39" t="n">
        <v>14.02</v>
      </c>
      <c r="AN50" s="15" t="n">
        <v>14.06</v>
      </c>
      <c r="AO50" s="15" t="n">
        <v>12.12</v>
      </c>
      <c r="AP50" s="15" t="n">
        <v>12.77</v>
      </c>
      <c r="AW50" s="15" t="n">
        <v>3</v>
      </c>
      <c r="AX50" s="15" t="n">
        <v>18.26</v>
      </c>
      <c r="AY50" s="15" t="n">
        <v>19.27</v>
      </c>
      <c r="AZ50" s="15" t="n">
        <v>20.64</v>
      </c>
      <c r="BA50" s="15" t="n">
        <v>13.97</v>
      </c>
      <c r="BB50" s="15" t="n">
        <v>13.78</v>
      </c>
      <c r="BC50" s="15" t="n">
        <v>17.6</v>
      </c>
      <c r="BD50" s="15" t="n">
        <v>12.66</v>
      </c>
      <c r="BE50" s="15" t="n">
        <v>13.15</v>
      </c>
      <c r="BF50" s="15" t="n">
        <v>16.36</v>
      </c>
      <c r="BG50" s="15" t="n">
        <v>15.94</v>
      </c>
      <c r="BH50" s="15" t="n">
        <v>10.35</v>
      </c>
      <c r="BI50" s="15" t="n">
        <v>14.02</v>
      </c>
      <c r="BJ50" s="15" t="n">
        <v>14.06</v>
      </c>
      <c r="BK50" s="15" t="n">
        <v>12.12</v>
      </c>
      <c r="BL50" s="15" t="n">
        <v>12.77</v>
      </c>
      <c r="BS50" s="15" t="n">
        <v>3</v>
      </c>
      <c r="BT50" s="15" t="n">
        <v>18.26</v>
      </c>
      <c r="BU50" s="15" t="n">
        <v>19.27</v>
      </c>
      <c r="BV50" s="15" t="n">
        <v>20.64</v>
      </c>
      <c r="BW50" s="15" t="n">
        <v>13.97</v>
      </c>
      <c r="BX50" s="15" t="n">
        <v>13.78</v>
      </c>
      <c r="BY50" s="15" t="n">
        <v>17.6</v>
      </c>
      <c r="BZ50" s="15" t="n">
        <v>12.66</v>
      </c>
      <c r="CA50" s="15" t="n">
        <v>13.15</v>
      </c>
      <c r="CB50" s="15" t="n">
        <v>16.36</v>
      </c>
      <c r="CC50" s="15" t="n">
        <v>15.94</v>
      </c>
      <c r="CD50" s="15" t="n">
        <v>10.35</v>
      </c>
      <c r="CE50" s="15" t="n">
        <v>14.02</v>
      </c>
      <c r="CF50" s="15" t="n">
        <v>14.06</v>
      </c>
      <c r="CG50" s="15" t="n">
        <v>12.12</v>
      </c>
      <c r="CH50" s="15" t="n">
        <v>12.77</v>
      </c>
      <c r="CO50" s="15" t="n">
        <v>3</v>
      </c>
      <c r="CP50" s="15" t="n">
        <v>18.26</v>
      </c>
      <c r="CQ50" s="15" t="n">
        <v>19.27</v>
      </c>
      <c r="CR50" s="15" t="n">
        <v>20.64</v>
      </c>
      <c r="CS50" s="15" t="n">
        <v>13.97</v>
      </c>
      <c r="CT50" s="15" t="n">
        <v>13.78</v>
      </c>
      <c r="CU50" s="15" t="n">
        <v>17.6</v>
      </c>
      <c r="CV50" s="15" t="n">
        <v>12.66</v>
      </c>
      <c r="CW50" s="15" t="n">
        <v>13.15</v>
      </c>
      <c r="CX50" s="15" t="n">
        <v>16.36</v>
      </c>
      <c r="CY50" s="15" t="n">
        <v>15.94</v>
      </c>
      <c r="CZ50" s="15" t="n">
        <v>10.35</v>
      </c>
      <c r="DA50" s="15" t="n">
        <v>14.02</v>
      </c>
      <c r="DB50" s="15" t="n">
        <v>14.06</v>
      </c>
      <c r="DC50" s="15" t="n">
        <v>12.12</v>
      </c>
      <c r="DD50" s="15" t="n">
        <v>12.77</v>
      </c>
      <c r="DK50" s="15" t="n">
        <v>3</v>
      </c>
      <c r="DL50" s="15" t="n">
        <v>18.26</v>
      </c>
      <c r="DM50" s="15" t="n">
        <v>19.27</v>
      </c>
      <c r="DN50" s="15" t="n">
        <v>20.64</v>
      </c>
      <c r="DO50" s="15" t="n">
        <v>13.97</v>
      </c>
      <c r="DP50" s="15" t="n">
        <v>13.78</v>
      </c>
      <c r="DQ50" s="15" t="n">
        <v>17.6</v>
      </c>
      <c r="DR50" s="15" t="n">
        <v>12.66</v>
      </c>
      <c r="DS50" s="15" t="n">
        <v>13.15</v>
      </c>
      <c r="DT50" s="15" t="n">
        <v>16.36</v>
      </c>
      <c r="DU50" s="15" t="n">
        <v>15.94</v>
      </c>
      <c r="DV50" s="15" t="n">
        <v>10.35</v>
      </c>
      <c r="DW50" s="15" t="n">
        <v>14.02</v>
      </c>
      <c r="DX50" s="15" t="n">
        <v>14.06</v>
      </c>
      <c r="DY50" s="15" t="n">
        <v>12.12</v>
      </c>
      <c r="DZ50" s="15" t="n">
        <v>12.77</v>
      </c>
      <c r="EG50" s="15" t="n">
        <v>3</v>
      </c>
      <c r="EH50" s="15" t="n">
        <v>18.26</v>
      </c>
      <c r="EI50" s="15" t="n">
        <v>19.27</v>
      </c>
      <c r="EJ50" s="15" t="n">
        <v>20.64</v>
      </c>
      <c r="EK50" s="15" t="n">
        <v>13.97</v>
      </c>
      <c r="EL50" s="15" t="n">
        <v>13.78</v>
      </c>
      <c r="EM50" s="15" t="n">
        <v>17.6</v>
      </c>
      <c r="EN50" s="15" t="n">
        <v>12.66</v>
      </c>
      <c r="EO50" s="15" t="n">
        <v>13.15</v>
      </c>
      <c r="EP50" s="15" t="n">
        <v>16.36</v>
      </c>
      <c r="EQ50" s="15" t="n">
        <v>15.94</v>
      </c>
      <c r="ER50" s="15" t="n">
        <v>10.35</v>
      </c>
      <c r="ES50" s="15" t="n">
        <v>14.02</v>
      </c>
      <c r="ET50" s="15" t="n">
        <v>14.06</v>
      </c>
      <c r="EU50" s="15" t="n">
        <v>12.12</v>
      </c>
      <c r="EV50" s="15" t="n">
        <v>12.77</v>
      </c>
      <c r="FC50" s="15" t="n">
        <v>3</v>
      </c>
      <c r="FD50" s="15" t="n">
        <v>18.26</v>
      </c>
      <c r="FE50" s="15" t="n">
        <v>19.27</v>
      </c>
      <c r="FF50" s="15" t="n">
        <v>20.64</v>
      </c>
      <c r="FG50" s="15" t="n">
        <v>13.97</v>
      </c>
      <c r="FH50" s="15" t="n">
        <v>13.78</v>
      </c>
      <c r="FI50" s="15" t="n">
        <v>17.6</v>
      </c>
      <c r="FJ50" s="15" t="n">
        <v>12.66</v>
      </c>
      <c r="FK50" s="15" t="n">
        <v>13.15</v>
      </c>
      <c r="FL50" s="15" t="n">
        <v>16.36</v>
      </c>
      <c r="FM50" s="15" t="n">
        <v>15.94</v>
      </c>
      <c r="FN50" s="15" t="n">
        <v>10.35</v>
      </c>
      <c r="FO50" s="15" t="n">
        <v>14.02</v>
      </c>
      <c r="FP50" s="15" t="n">
        <v>14.06</v>
      </c>
      <c r="FQ50" s="15" t="n">
        <v>12.12</v>
      </c>
      <c r="FR50" s="15" t="n">
        <v>12.77</v>
      </c>
      <c r="FY50" s="15" t="n">
        <v>3</v>
      </c>
      <c r="FZ50" s="15" t="n">
        <v>18.26</v>
      </c>
      <c r="GA50" s="15" t="n">
        <v>19.27</v>
      </c>
      <c r="GB50" s="15" t="n">
        <v>20.64</v>
      </c>
      <c r="GC50" s="15" t="n">
        <v>13.97</v>
      </c>
      <c r="GD50" s="15" t="n">
        <v>13.78</v>
      </c>
      <c r="GE50" s="15" t="n">
        <v>17.6</v>
      </c>
      <c r="GF50" s="15" t="n">
        <v>12.66</v>
      </c>
      <c r="GG50" s="15" t="n">
        <v>13.15</v>
      </c>
      <c r="GH50" s="15" t="n">
        <v>16.36</v>
      </c>
      <c r="GI50" s="15" t="n">
        <v>15.94</v>
      </c>
      <c r="GJ50" s="15" t="n">
        <v>10.35</v>
      </c>
      <c r="GK50" s="15" t="n">
        <v>14.02</v>
      </c>
      <c r="GL50" s="15" t="n">
        <v>14.06</v>
      </c>
      <c r="GM50" s="15" t="n">
        <v>12.12</v>
      </c>
      <c r="GN50" s="15" t="n">
        <v>12.77</v>
      </c>
      <c r="GU50" s="15" t="n">
        <v>3</v>
      </c>
      <c r="GV50" s="15" t="n">
        <v>18.26</v>
      </c>
      <c r="GW50" s="15" t="n">
        <v>19.27</v>
      </c>
      <c r="GX50" s="15" t="n">
        <v>20.64</v>
      </c>
      <c r="GY50" s="15" t="n">
        <v>13.97</v>
      </c>
      <c r="GZ50" s="15" t="n">
        <v>13.78</v>
      </c>
      <c r="HA50" s="15" t="n">
        <v>17.6</v>
      </c>
      <c r="HB50" s="15" t="n">
        <v>12.66</v>
      </c>
      <c r="HC50" s="15" t="n">
        <v>13.15</v>
      </c>
      <c r="HD50" s="15" t="n">
        <v>16.36</v>
      </c>
      <c r="HE50" s="15" t="n">
        <v>15.94</v>
      </c>
      <c r="HF50" s="15" t="n">
        <v>10.35</v>
      </c>
      <c r="HG50" s="15" t="n">
        <v>14.02</v>
      </c>
      <c r="HH50" s="15" t="n">
        <v>14.06</v>
      </c>
      <c r="HI50" s="15" t="n">
        <v>12.12</v>
      </c>
      <c r="HJ50" s="15" t="n">
        <v>12.77</v>
      </c>
    </row>
    <row r="52">
      <c r="C52" s="15" t="inlineStr">
        <is>
          <t>Cap</t>
        </is>
      </c>
      <c r="D52" s="15" t="n">
        <v>1</v>
      </c>
      <c r="E52" s="15" t="n">
        <v>2</v>
      </c>
      <c r="F52" s="15" t="n">
        <v>3</v>
      </c>
      <c r="G52" s="15" t="n">
        <v>4</v>
      </c>
      <c r="H52" s="15" t="n">
        <v>5</v>
      </c>
      <c r="I52" s="15" t="n">
        <v>6</v>
      </c>
      <c r="J52" s="15" t="n">
        <v>7</v>
      </c>
      <c r="K52" s="15" t="n">
        <v>8</v>
      </c>
      <c r="L52" s="15" t="n">
        <v>9</v>
      </c>
      <c r="M52" s="15" t="n">
        <v>10</v>
      </c>
      <c r="N52" s="15" t="n">
        <v>11</v>
      </c>
      <c r="O52" s="15" t="n">
        <v>12</v>
      </c>
      <c r="P52" s="15" t="n">
        <v>13</v>
      </c>
      <c r="Q52" s="15" t="n">
        <v>14</v>
      </c>
      <c r="R52" s="15" t="n">
        <v>15</v>
      </c>
      <c r="AA52" s="15" t="inlineStr">
        <is>
          <t>Cap</t>
        </is>
      </c>
      <c r="AB52" s="15" t="n">
        <v>1</v>
      </c>
      <c r="AC52" s="15" t="n">
        <v>2</v>
      </c>
      <c r="AD52" s="15" t="n">
        <v>3</v>
      </c>
      <c r="AE52" s="15" t="n">
        <v>4</v>
      </c>
      <c r="AF52" s="15" t="n">
        <v>5</v>
      </c>
      <c r="AG52" s="15" t="n">
        <v>6</v>
      </c>
      <c r="AH52" s="15" t="n">
        <v>7</v>
      </c>
      <c r="AI52" s="15" t="n">
        <v>8</v>
      </c>
      <c r="AJ52" s="15" t="n">
        <v>9</v>
      </c>
      <c r="AK52" s="15" t="n">
        <v>10</v>
      </c>
      <c r="AL52" s="15" t="n">
        <v>11</v>
      </c>
      <c r="AM52" s="15" t="n">
        <v>12</v>
      </c>
      <c r="AN52" s="15" t="n">
        <v>13</v>
      </c>
      <c r="AO52" s="15" t="n">
        <v>14</v>
      </c>
      <c r="AP52" s="15" t="n">
        <v>15</v>
      </c>
      <c r="AW52" s="15" t="inlineStr">
        <is>
          <t>Cap</t>
        </is>
      </c>
      <c r="AX52" s="15" t="n">
        <v>1</v>
      </c>
      <c r="AY52" s="15" t="n">
        <v>2</v>
      </c>
      <c r="AZ52" s="15" t="n">
        <v>3</v>
      </c>
      <c r="BA52" s="15" t="n">
        <v>4</v>
      </c>
      <c r="BB52" s="15" t="n">
        <v>5</v>
      </c>
      <c r="BC52" s="15" t="n">
        <v>6</v>
      </c>
      <c r="BD52" s="15" t="n">
        <v>7</v>
      </c>
      <c r="BE52" s="15" t="n">
        <v>8</v>
      </c>
      <c r="BF52" s="15" t="n">
        <v>9</v>
      </c>
      <c r="BG52" s="15" t="n">
        <v>10</v>
      </c>
      <c r="BH52" s="15" t="n">
        <v>11</v>
      </c>
      <c r="BI52" s="15" t="n">
        <v>12</v>
      </c>
      <c r="BJ52" s="15" t="n">
        <v>13</v>
      </c>
      <c r="BK52" s="15" t="n">
        <v>14</v>
      </c>
      <c r="BL52" s="15" t="n">
        <v>15</v>
      </c>
      <c r="BS52" s="15" t="inlineStr">
        <is>
          <t>Cap</t>
        </is>
      </c>
      <c r="BT52" s="15" t="n">
        <v>1</v>
      </c>
      <c r="BU52" s="15" t="n">
        <v>2</v>
      </c>
      <c r="BV52" s="15" t="n">
        <v>3</v>
      </c>
      <c r="BW52" s="15" t="n">
        <v>4</v>
      </c>
      <c r="BX52" s="15" t="n">
        <v>5</v>
      </c>
      <c r="BY52" s="15" t="n">
        <v>6</v>
      </c>
      <c r="BZ52" s="15" t="n">
        <v>7</v>
      </c>
      <c r="CA52" s="15" t="n">
        <v>8</v>
      </c>
      <c r="CB52" s="15" t="n">
        <v>9</v>
      </c>
      <c r="CC52" s="15" t="n">
        <v>10</v>
      </c>
      <c r="CD52" s="15" t="n">
        <v>11</v>
      </c>
      <c r="CE52" s="15" t="n">
        <v>12</v>
      </c>
      <c r="CF52" s="15" t="n">
        <v>13</v>
      </c>
      <c r="CG52" s="15" t="n">
        <v>14</v>
      </c>
      <c r="CH52" s="15" t="n">
        <v>15</v>
      </c>
      <c r="CO52" s="15" t="inlineStr">
        <is>
          <t>Cap</t>
        </is>
      </c>
      <c r="CP52" s="15" t="n">
        <v>1</v>
      </c>
      <c r="CQ52" s="15" t="n">
        <v>2</v>
      </c>
      <c r="CR52" s="15" t="n">
        <v>3</v>
      </c>
      <c r="CS52" s="15" t="n">
        <v>4</v>
      </c>
      <c r="CT52" s="15" t="n">
        <v>5</v>
      </c>
      <c r="CU52" s="15" t="n">
        <v>6</v>
      </c>
      <c r="CV52" s="15" t="n">
        <v>7</v>
      </c>
      <c r="CW52" s="15" t="n">
        <v>8</v>
      </c>
      <c r="CX52" s="15" t="n">
        <v>9</v>
      </c>
      <c r="CY52" s="15" t="n">
        <v>10</v>
      </c>
      <c r="CZ52" s="15" t="n">
        <v>11</v>
      </c>
      <c r="DA52" s="15" t="n">
        <v>12</v>
      </c>
      <c r="DB52" s="15" t="n">
        <v>13</v>
      </c>
      <c r="DC52" s="15" t="n">
        <v>14</v>
      </c>
      <c r="DD52" s="15" t="n">
        <v>15</v>
      </c>
      <c r="DK52" s="15" t="inlineStr">
        <is>
          <t>Cap</t>
        </is>
      </c>
      <c r="DL52" s="15" t="n">
        <v>1</v>
      </c>
      <c r="DM52" s="15" t="n">
        <v>2</v>
      </c>
      <c r="DN52" s="15" t="n">
        <v>3</v>
      </c>
      <c r="DO52" s="15" t="n">
        <v>4</v>
      </c>
      <c r="DP52" s="15" t="n">
        <v>5</v>
      </c>
      <c r="DQ52" s="15" t="n">
        <v>6</v>
      </c>
      <c r="DR52" s="15" t="n">
        <v>7</v>
      </c>
      <c r="DS52" s="15" t="n">
        <v>8</v>
      </c>
      <c r="DT52" s="15" t="n">
        <v>9</v>
      </c>
      <c r="DU52" s="15" t="n">
        <v>10</v>
      </c>
      <c r="DV52" s="15" t="n">
        <v>11</v>
      </c>
      <c r="DW52" s="15" t="n">
        <v>12</v>
      </c>
      <c r="DX52" s="15" t="n">
        <v>13</v>
      </c>
      <c r="DY52" s="15" t="n">
        <v>14</v>
      </c>
      <c r="DZ52" s="15" t="n">
        <v>15</v>
      </c>
      <c r="EG52" s="15" t="inlineStr">
        <is>
          <t>Cap</t>
        </is>
      </c>
      <c r="EH52" s="15" t="n">
        <v>1</v>
      </c>
      <c r="EI52" s="15" t="n">
        <v>2</v>
      </c>
      <c r="EJ52" s="15" t="n">
        <v>3</v>
      </c>
      <c r="EK52" s="15" t="n">
        <v>4</v>
      </c>
      <c r="EL52" s="15" t="n">
        <v>5</v>
      </c>
      <c r="EM52" s="15" t="n">
        <v>6</v>
      </c>
      <c r="EN52" s="15" t="n">
        <v>7</v>
      </c>
      <c r="EO52" s="15" t="n">
        <v>8</v>
      </c>
      <c r="EP52" s="15" t="n">
        <v>9</v>
      </c>
      <c r="EQ52" s="15" t="n">
        <v>10</v>
      </c>
      <c r="ER52" s="15" t="n">
        <v>11</v>
      </c>
      <c r="ES52" s="15" t="n">
        <v>12</v>
      </c>
      <c r="ET52" s="15" t="n">
        <v>13</v>
      </c>
      <c r="EU52" s="15" t="n">
        <v>14</v>
      </c>
      <c r="EV52" s="15" t="n">
        <v>15</v>
      </c>
      <c r="FC52" s="15" t="inlineStr">
        <is>
          <t>Cap</t>
        </is>
      </c>
      <c r="FD52" s="15" t="n">
        <v>1</v>
      </c>
      <c r="FE52" s="15" t="n">
        <v>2</v>
      </c>
      <c r="FF52" s="15" t="n">
        <v>3</v>
      </c>
      <c r="FG52" s="15" t="n">
        <v>4</v>
      </c>
      <c r="FH52" s="15" t="n">
        <v>5</v>
      </c>
      <c r="FI52" s="15" t="n">
        <v>6</v>
      </c>
      <c r="FJ52" s="15" t="n">
        <v>7</v>
      </c>
      <c r="FK52" s="15" t="n">
        <v>8</v>
      </c>
      <c r="FL52" s="15" t="n">
        <v>9</v>
      </c>
      <c r="FM52" s="15" t="n">
        <v>10</v>
      </c>
      <c r="FN52" s="15" t="n">
        <v>11</v>
      </c>
      <c r="FO52" s="15" t="n">
        <v>12</v>
      </c>
      <c r="FP52" s="15" t="n">
        <v>13</v>
      </c>
      <c r="FQ52" s="15" t="n">
        <v>14</v>
      </c>
      <c r="FR52" s="15" t="n">
        <v>15</v>
      </c>
      <c r="FY52" s="15" t="inlineStr">
        <is>
          <t>Cap</t>
        </is>
      </c>
      <c r="FZ52" s="15" t="n">
        <v>1</v>
      </c>
      <c r="GA52" s="15" t="n">
        <v>2</v>
      </c>
      <c r="GB52" s="15" t="n">
        <v>3</v>
      </c>
      <c r="GC52" s="15" t="n">
        <v>4</v>
      </c>
      <c r="GD52" s="15" t="n">
        <v>5</v>
      </c>
      <c r="GE52" s="15" t="n">
        <v>6</v>
      </c>
      <c r="GF52" s="15" t="n">
        <v>7</v>
      </c>
      <c r="GG52" s="15" t="n">
        <v>8</v>
      </c>
      <c r="GH52" s="15" t="n">
        <v>9</v>
      </c>
      <c r="GI52" s="15" t="n">
        <v>10</v>
      </c>
      <c r="GJ52" s="15" t="n">
        <v>11</v>
      </c>
      <c r="GK52" s="15" t="n">
        <v>12</v>
      </c>
      <c r="GL52" s="15" t="n">
        <v>13</v>
      </c>
      <c r="GM52" s="15" t="n">
        <v>14</v>
      </c>
      <c r="GN52" s="15" t="n">
        <v>15</v>
      </c>
      <c r="GU52" s="15" t="inlineStr">
        <is>
          <t>Cap</t>
        </is>
      </c>
      <c r="GV52" s="15" t="n">
        <v>1</v>
      </c>
      <c r="GW52" s="15" t="n">
        <v>2</v>
      </c>
      <c r="GX52" s="15" t="n">
        <v>3</v>
      </c>
      <c r="GY52" s="15" t="n">
        <v>4</v>
      </c>
      <c r="GZ52" s="15" t="n">
        <v>5</v>
      </c>
      <c r="HA52" s="15" t="n">
        <v>6</v>
      </c>
      <c r="HB52" s="15" t="n">
        <v>7</v>
      </c>
      <c r="HC52" s="15" t="n">
        <v>8</v>
      </c>
      <c r="HD52" s="15" t="n">
        <v>9</v>
      </c>
      <c r="HE52" s="15" t="n">
        <v>10</v>
      </c>
      <c r="HF52" s="15" t="n">
        <v>11</v>
      </c>
      <c r="HG52" s="15" t="n">
        <v>12</v>
      </c>
      <c r="HH52" s="15" t="n">
        <v>13</v>
      </c>
      <c r="HI52" s="15" t="n">
        <v>14</v>
      </c>
      <c r="HJ52" s="15" t="n">
        <v>15</v>
      </c>
    </row>
    <row r="53">
      <c r="C53" s="15" t="n">
        <v>1</v>
      </c>
      <c r="D53" s="39">
        <f>Matlab_Data!D13</f>
        <v/>
      </c>
      <c r="E53" s="39">
        <f>Matlab_Data!E13</f>
        <v/>
      </c>
      <c r="F53" s="39">
        <f>Matlab_Data!F13</f>
        <v/>
      </c>
      <c r="G53" s="39">
        <f>Matlab_Data!G13</f>
        <v/>
      </c>
      <c r="H53" s="39">
        <f>Matlab_Data!H13</f>
        <v/>
      </c>
      <c r="I53" s="39">
        <f>Matlab_Data!I13</f>
        <v/>
      </c>
      <c r="J53" s="39">
        <f>Matlab_Data!J13</f>
        <v/>
      </c>
      <c r="K53" s="39">
        <f>Matlab_Data!K13</f>
        <v/>
      </c>
      <c r="L53" s="39">
        <f>Matlab_Data!L13</f>
        <v/>
      </c>
      <c r="M53" s="39">
        <f>Matlab_Data!M13</f>
        <v/>
      </c>
      <c r="N53" s="39">
        <f>Matlab_Data!N13</f>
        <v/>
      </c>
      <c r="O53" s="39">
        <f>Matlab_Data!O13</f>
        <v/>
      </c>
      <c r="P53" s="39">
        <f>Matlab_Data!P13</f>
        <v/>
      </c>
      <c r="Q53" s="39">
        <f>Matlab_Data!Q13</f>
        <v/>
      </c>
      <c r="R53" s="39">
        <f>Matlab_Data!R13</f>
        <v/>
      </c>
      <c r="T53" s="39">
        <f>SUM(D53:R55)</f>
        <v/>
      </c>
      <c r="U53" s="39" t="n">
        <v>15211.79</v>
      </c>
      <c r="V53" s="39">
        <f>T53-U53</f>
        <v/>
      </c>
      <c r="W53" s="39" t="n"/>
      <c r="X53" s="39" t="n"/>
      <c r="Y53" s="39" t="n"/>
      <c r="Z53" s="39" t="n"/>
      <c r="AA53" s="39" t="n">
        <v>1</v>
      </c>
      <c r="AB53" s="39" t="n">
        <v>304.6</v>
      </c>
      <c r="AC53" s="39" t="n">
        <v>336.22</v>
      </c>
      <c r="AD53" s="39" t="n">
        <v>367.37</v>
      </c>
      <c r="AE53" s="39" t="n">
        <v>330.6</v>
      </c>
      <c r="AF53" s="39" t="n">
        <v>407.16</v>
      </c>
      <c r="AG53" s="39" t="n">
        <v>209.81</v>
      </c>
      <c r="AH53" s="39" t="n">
        <v>353.15</v>
      </c>
      <c r="AI53" s="39" t="n">
        <v>325.44</v>
      </c>
      <c r="AJ53" s="39" t="n">
        <v>303.38</v>
      </c>
      <c r="AK53" s="39" t="n">
        <v>363.91</v>
      </c>
      <c r="AL53" s="39" t="n">
        <v>423.84</v>
      </c>
      <c r="AM53" s="39" t="n">
        <v>250.7</v>
      </c>
      <c r="AN53" s="15" t="n">
        <v>253.28</v>
      </c>
      <c r="AO53" s="15" t="n">
        <v>216.52</v>
      </c>
      <c r="AP53" s="15" t="n">
        <v>388.77</v>
      </c>
      <c r="AW53" s="15" t="n">
        <v>1</v>
      </c>
      <c r="AX53" s="15" t="n">
        <v>304.6</v>
      </c>
      <c r="AY53" s="15" t="n">
        <v>336.22</v>
      </c>
      <c r="AZ53" s="15" t="n">
        <v>367.37</v>
      </c>
      <c r="BA53" s="15" t="n">
        <v>330.6</v>
      </c>
      <c r="BB53" s="15" t="n">
        <v>407.16</v>
      </c>
      <c r="BC53" s="15" t="n">
        <v>209.81</v>
      </c>
      <c r="BD53" s="15" t="n">
        <v>353.15</v>
      </c>
      <c r="BE53" s="15" t="n">
        <v>325.44</v>
      </c>
      <c r="BF53" s="15" t="n">
        <v>303.38</v>
      </c>
      <c r="BG53" s="15" t="n">
        <v>363.91</v>
      </c>
      <c r="BH53" s="15" t="n">
        <v>423.84</v>
      </c>
      <c r="BI53" s="15" t="n">
        <v>250.7</v>
      </c>
      <c r="BJ53" s="15" t="n">
        <v>253.28</v>
      </c>
      <c r="BK53" s="15" t="n">
        <v>216.52</v>
      </c>
      <c r="BL53" s="15" t="n">
        <v>388.77</v>
      </c>
      <c r="BS53" s="15" t="n">
        <v>1</v>
      </c>
      <c r="BT53" s="15" t="n">
        <v>304.6</v>
      </c>
      <c r="BU53" s="15" t="n">
        <v>336.22</v>
      </c>
      <c r="BV53" s="15" t="n">
        <v>367.37</v>
      </c>
      <c r="BW53" s="15" t="n">
        <v>330.6</v>
      </c>
      <c r="BX53" s="15" t="n">
        <v>407.16</v>
      </c>
      <c r="BY53" s="15" t="n">
        <v>209.81</v>
      </c>
      <c r="BZ53" s="15" t="n">
        <v>353.15</v>
      </c>
      <c r="CA53" s="15" t="n">
        <v>325.44</v>
      </c>
      <c r="CB53" s="15" t="n">
        <v>303.38</v>
      </c>
      <c r="CC53" s="15" t="n">
        <v>363.91</v>
      </c>
      <c r="CD53" s="15" t="n">
        <v>423.84</v>
      </c>
      <c r="CE53" s="15" t="n">
        <v>250.7</v>
      </c>
      <c r="CF53" s="15" t="n">
        <v>253.28</v>
      </c>
      <c r="CG53" s="15" t="n">
        <v>216.52</v>
      </c>
      <c r="CH53" s="15" t="n">
        <v>388.77</v>
      </c>
      <c r="CO53" s="15" t="n">
        <v>1</v>
      </c>
      <c r="CP53" s="15" t="n">
        <v>304.6</v>
      </c>
      <c r="CQ53" s="15" t="n">
        <v>336.22</v>
      </c>
      <c r="CR53" s="15" t="n">
        <v>367.37</v>
      </c>
      <c r="CS53" s="15" t="n">
        <v>330.6</v>
      </c>
      <c r="CT53" s="15" t="n">
        <v>407.16</v>
      </c>
      <c r="CU53" s="15" t="n">
        <v>209.81</v>
      </c>
      <c r="CV53" s="15" t="n">
        <v>353.15</v>
      </c>
      <c r="CW53" s="15" t="n">
        <v>325.44</v>
      </c>
      <c r="CX53" s="15" t="n">
        <v>303.38</v>
      </c>
      <c r="CY53" s="15" t="n">
        <v>363.91</v>
      </c>
      <c r="CZ53" s="15" t="n">
        <v>423.84</v>
      </c>
      <c r="DA53" s="15" t="n">
        <v>250.7</v>
      </c>
      <c r="DB53" s="15" t="n">
        <v>253.28</v>
      </c>
      <c r="DC53" s="15" t="n">
        <v>216.52</v>
      </c>
      <c r="DD53" s="15" t="n">
        <v>388.77</v>
      </c>
      <c r="DK53" s="15" t="n">
        <v>1</v>
      </c>
      <c r="DL53" s="15" t="n">
        <v>304.6</v>
      </c>
      <c r="DM53" s="15" t="n">
        <v>336.22</v>
      </c>
      <c r="DN53" s="15" t="n">
        <v>367.37</v>
      </c>
      <c r="DO53" s="15" t="n">
        <v>330.6</v>
      </c>
      <c r="DP53" s="15" t="n">
        <v>407.16</v>
      </c>
      <c r="DQ53" s="15" t="n">
        <v>209.81</v>
      </c>
      <c r="DR53" s="15" t="n">
        <v>353.15</v>
      </c>
      <c r="DS53" s="15" t="n">
        <v>325.44</v>
      </c>
      <c r="DT53" s="15" t="n">
        <v>303.38</v>
      </c>
      <c r="DU53" s="15" t="n">
        <v>363.91</v>
      </c>
      <c r="DV53" s="15" t="n">
        <v>423.84</v>
      </c>
      <c r="DW53" s="15" t="n">
        <v>250.7</v>
      </c>
      <c r="DX53" s="15" t="n">
        <v>253.28</v>
      </c>
      <c r="DY53" s="15" t="n">
        <v>216.52</v>
      </c>
      <c r="DZ53" s="15" t="n">
        <v>388.77</v>
      </c>
      <c r="EG53" s="15" t="n">
        <v>1</v>
      </c>
      <c r="EH53" s="15" t="n">
        <v>304.6</v>
      </c>
      <c r="EI53" s="15" t="n">
        <v>336.22</v>
      </c>
      <c r="EJ53" s="15" t="n">
        <v>367.37</v>
      </c>
      <c r="EK53" s="15" t="n">
        <v>330.6</v>
      </c>
      <c r="EL53" s="15" t="n">
        <v>407.16</v>
      </c>
      <c r="EM53" s="15" t="n">
        <v>209.81</v>
      </c>
      <c r="EN53" s="15" t="n">
        <v>353.15</v>
      </c>
      <c r="EO53" s="15" t="n">
        <v>325.44</v>
      </c>
      <c r="EP53" s="15" t="n">
        <v>303.38</v>
      </c>
      <c r="EQ53" s="15" t="n">
        <v>363.91</v>
      </c>
      <c r="ER53" s="15" t="n">
        <v>423.84</v>
      </c>
      <c r="ES53" s="15" t="n">
        <v>250.7</v>
      </c>
      <c r="ET53" s="15" t="n">
        <v>253.28</v>
      </c>
      <c r="EU53" s="15" t="n">
        <v>216.52</v>
      </c>
      <c r="EV53" s="15" t="n">
        <v>388.77</v>
      </c>
      <c r="FC53" s="15" t="n">
        <v>1</v>
      </c>
      <c r="FD53" s="15" t="n">
        <v>304.6</v>
      </c>
      <c r="FE53" s="15" t="n">
        <v>336.22</v>
      </c>
      <c r="FF53" s="15" t="n">
        <v>367.37</v>
      </c>
      <c r="FG53" s="15" t="n">
        <v>330.6</v>
      </c>
      <c r="FH53" s="15" t="n">
        <v>407.16</v>
      </c>
      <c r="FI53" s="15" t="n">
        <v>209.81</v>
      </c>
      <c r="FJ53" s="15" t="n">
        <v>353.15</v>
      </c>
      <c r="FK53" s="15" t="n">
        <v>325.44</v>
      </c>
      <c r="FL53" s="15" t="n">
        <v>303.38</v>
      </c>
      <c r="FM53" s="15" t="n">
        <v>363.91</v>
      </c>
      <c r="FN53" s="15" t="n">
        <v>423.84</v>
      </c>
      <c r="FO53" s="15" t="n">
        <v>250.7</v>
      </c>
      <c r="FP53" s="15" t="n">
        <v>253.28</v>
      </c>
      <c r="FQ53" s="15" t="n">
        <v>216.52</v>
      </c>
      <c r="FR53" s="15" t="n">
        <v>388.77</v>
      </c>
      <c r="FY53" s="15" t="n">
        <v>1</v>
      </c>
      <c r="FZ53" s="15" t="n">
        <v>304.6</v>
      </c>
      <c r="GA53" s="15" t="n">
        <v>336.22</v>
      </c>
      <c r="GB53" s="15" t="n">
        <v>367.37</v>
      </c>
      <c r="GC53" s="15" t="n">
        <v>330.6</v>
      </c>
      <c r="GD53" s="15" t="n">
        <v>407.16</v>
      </c>
      <c r="GE53" s="15" t="n">
        <v>209.81</v>
      </c>
      <c r="GF53" s="15" t="n">
        <v>353.15</v>
      </c>
      <c r="GG53" s="15" t="n">
        <v>325.44</v>
      </c>
      <c r="GH53" s="15" t="n">
        <v>303.38</v>
      </c>
      <c r="GI53" s="15" t="n">
        <v>363.91</v>
      </c>
      <c r="GJ53" s="15" t="n">
        <v>423.84</v>
      </c>
      <c r="GK53" s="15" t="n">
        <v>250.7</v>
      </c>
      <c r="GL53" s="15" t="n">
        <v>253.28</v>
      </c>
      <c r="GM53" s="15" t="n">
        <v>216.52</v>
      </c>
      <c r="GN53" s="15" t="n">
        <v>388.77</v>
      </c>
      <c r="GU53" s="15" t="n">
        <v>1</v>
      </c>
      <c r="GV53" s="15" t="n">
        <v>304.6</v>
      </c>
      <c r="GW53" s="15" t="n">
        <v>336.22</v>
      </c>
      <c r="GX53" s="15" t="n">
        <v>367.37</v>
      </c>
      <c r="GY53" s="15" t="n">
        <v>330.6</v>
      </c>
      <c r="GZ53" s="15" t="n">
        <v>407.16</v>
      </c>
      <c r="HA53" s="15" t="n">
        <v>209.81</v>
      </c>
      <c r="HB53" s="15" t="n">
        <v>353.15</v>
      </c>
      <c r="HC53" s="15" t="n">
        <v>325.44</v>
      </c>
      <c r="HD53" s="15" t="n">
        <v>303.38</v>
      </c>
      <c r="HE53" s="15" t="n">
        <v>363.91</v>
      </c>
      <c r="HF53" s="15" t="n">
        <v>423.84</v>
      </c>
      <c r="HG53" s="15" t="n">
        <v>250.7</v>
      </c>
      <c r="HH53" s="15" t="n">
        <v>253.28</v>
      </c>
      <c r="HI53" s="15" t="n">
        <v>216.52</v>
      </c>
      <c r="HJ53" s="15" t="n">
        <v>388.77</v>
      </c>
    </row>
    <row r="54">
      <c r="C54" s="15" t="n">
        <v>2</v>
      </c>
      <c r="D54" s="39">
        <f>Matlab_Data!D14</f>
        <v/>
      </c>
      <c r="E54" s="39">
        <f>Matlab_Data!E14</f>
        <v/>
      </c>
      <c r="F54" s="39">
        <f>Matlab_Data!F14</f>
        <v/>
      </c>
      <c r="G54" s="39">
        <f>Matlab_Data!G14</f>
        <v/>
      </c>
      <c r="H54" s="39">
        <f>Matlab_Data!H14</f>
        <v/>
      </c>
      <c r="I54" s="39">
        <f>Matlab_Data!I14</f>
        <v/>
      </c>
      <c r="J54" s="39">
        <f>Matlab_Data!J14</f>
        <v/>
      </c>
      <c r="K54" s="39">
        <f>Matlab_Data!K14</f>
        <v/>
      </c>
      <c r="L54" s="39">
        <f>Matlab_Data!L14</f>
        <v/>
      </c>
      <c r="M54" s="39">
        <f>Matlab_Data!M14</f>
        <v/>
      </c>
      <c r="N54" s="39">
        <f>Matlab_Data!N14</f>
        <v/>
      </c>
      <c r="O54" s="39">
        <f>Matlab_Data!O14</f>
        <v/>
      </c>
      <c r="P54" s="39">
        <f>Matlab_Data!P14</f>
        <v/>
      </c>
      <c r="Q54" s="39">
        <f>Matlab_Data!Q14</f>
        <v/>
      </c>
      <c r="R54" s="39">
        <f>Matlab_Data!R14</f>
        <v/>
      </c>
      <c r="Y54" s="39" t="n"/>
      <c r="Z54" s="39" t="n"/>
      <c r="AA54" s="39" t="n">
        <v>2</v>
      </c>
      <c r="AB54" s="39" t="n">
        <v>288.68</v>
      </c>
      <c r="AC54" s="39" t="n">
        <v>254.58</v>
      </c>
      <c r="AD54" s="39" t="n">
        <v>333.83</v>
      </c>
      <c r="AE54" s="39" t="n">
        <v>569.96</v>
      </c>
      <c r="AF54" s="39" t="n">
        <v>363.61</v>
      </c>
      <c r="AG54" s="39" t="n">
        <v>359.54</v>
      </c>
      <c r="AH54" s="39" t="n">
        <v>304.66</v>
      </c>
      <c r="AI54" s="39" t="n">
        <v>312.17</v>
      </c>
      <c r="AJ54" s="39" t="n">
        <v>379.11</v>
      </c>
      <c r="AK54" s="39" t="n">
        <v>233.3</v>
      </c>
      <c r="AL54" s="39" t="n">
        <v>387.92</v>
      </c>
      <c r="AM54" s="39" t="n">
        <v>330.06</v>
      </c>
      <c r="AN54" s="15" t="n">
        <v>266.36</v>
      </c>
      <c r="AO54" s="15" t="n">
        <v>408.27</v>
      </c>
      <c r="AP54" s="15" t="n">
        <v>358.07</v>
      </c>
      <c r="AW54" s="15" t="n">
        <v>2</v>
      </c>
      <c r="AX54" s="15" t="n">
        <v>288.68</v>
      </c>
      <c r="AY54" s="15" t="n">
        <v>254.58</v>
      </c>
      <c r="AZ54" s="15" t="n">
        <v>333.83</v>
      </c>
      <c r="BA54" s="15" t="n">
        <v>569.96</v>
      </c>
      <c r="BB54" s="15" t="n">
        <v>363.61</v>
      </c>
      <c r="BC54" s="15" t="n">
        <v>359.54</v>
      </c>
      <c r="BD54" s="15" t="n">
        <v>304.66</v>
      </c>
      <c r="BE54" s="15" t="n">
        <v>312.17</v>
      </c>
      <c r="BF54" s="15" t="n">
        <v>379.11</v>
      </c>
      <c r="BG54" s="15" t="n">
        <v>233.3</v>
      </c>
      <c r="BH54" s="15" t="n">
        <v>387.92</v>
      </c>
      <c r="BI54" s="15" t="n">
        <v>330.06</v>
      </c>
      <c r="BJ54" s="15" t="n">
        <v>266.36</v>
      </c>
      <c r="BK54" s="15" t="n">
        <v>408.27</v>
      </c>
      <c r="BL54" s="15" t="n">
        <v>358.07</v>
      </c>
      <c r="BS54" s="15" t="n">
        <v>2</v>
      </c>
      <c r="BT54" s="15" t="n">
        <v>288.68</v>
      </c>
      <c r="BU54" s="15" t="n">
        <v>254.58</v>
      </c>
      <c r="BV54" s="15" t="n">
        <v>333.83</v>
      </c>
      <c r="BW54" s="15" t="n">
        <v>569.96</v>
      </c>
      <c r="BX54" s="15" t="n">
        <v>363.61</v>
      </c>
      <c r="BY54" s="15" t="n">
        <v>359.54</v>
      </c>
      <c r="BZ54" s="15" t="n">
        <v>304.66</v>
      </c>
      <c r="CA54" s="15" t="n">
        <v>312.17</v>
      </c>
      <c r="CB54" s="15" t="n">
        <v>379.11</v>
      </c>
      <c r="CC54" s="15" t="n">
        <v>233.3</v>
      </c>
      <c r="CD54" s="15" t="n">
        <v>387.92</v>
      </c>
      <c r="CE54" s="15" t="n">
        <v>330.06</v>
      </c>
      <c r="CF54" s="15" t="n">
        <v>266.36</v>
      </c>
      <c r="CG54" s="15" t="n">
        <v>408.27</v>
      </c>
      <c r="CH54" s="15" t="n">
        <v>358.07</v>
      </c>
      <c r="CO54" s="15" t="n">
        <v>2</v>
      </c>
      <c r="CP54" s="15" t="n">
        <v>288.68</v>
      </c>
      <c r="CQ54" s="15" t="n">
        <v>254.58</v>
      </c>
      <c r="CR54" s="15" t="n">
        <v>333.83</v>
      </c>
      <c r="CS54" s="15" t="n">
        <v>569.96</v>
      </c>
      <c r="CT54" s="15" t="n">
        <v>363.61</v>
      </c>
      <c r="CU54" s="15" t="n">
        <v>359.54</v>
      </c>
      <c r="CV54" s="15" t="n">
        <v>304.66</v>
      </c>
      <c r="CW54" s="15" t="n">
        <v>312.17</v>
      </c>
      <c r="CX54" s="15" t="n">
        <v>379.11</v>
      </c>
      <c r="CY54" s="15" t="n">
        <v>233.3</v>
      </c>
      <c r="CZ54" s="15" t="n">
        <v>387.92</v>
      </c>
      <c r="DA54" s="15" t="n">
        <v>330.06</v>
      </c>
      <c r="DB54" s="15" t="n">
        <v>266.36</v>
      </c>
      <c r="DC54" s="15" t="n">
        <v>408.27</v>
      </c>
      <c r="DD54" s="15" t="n">
        <v>358.07</v>
      </c>
      <c r="DK54" s="15" t="n">
        <v>2</v>
      </c>
      <c r="DL54" s="15" t="n">
        <v>288.68</v>
      </c>
      <c r="DM54" s="15" t="n">
        <v>254.58</v>
      </c>
      <c r="DN54" s="15" t="n">
        <v>333.83</v>
      </c>
      <c r="DO54" s="15" t="n">
        <v>569.96</v>
      </c>
      <c r="DP54" s="15" t="n">
        <v>363.61</v>
      </c>
      <c r="DQ54" s="15" t="n">
        <v>359.54</v>
      </c>
      <c r="DR54" s="15" t="n">
        <v>304.66</v>
      </c>
      <c r="DS54" s="15" t="n">
        <v>312.17</v>
      </c>
      <c r="DT54" s="15" t="n">
        <v>379.11</v>
      </c>
      <c r="DU54" s="15" t="n">
        <v>233.3</v>
      </c>
      <c r="DV54" s="15" t="n">
        <v>387.92</v>
      </c>
      <c r="DW54" s="15" t="n">
        <v>330.06</v>
      </c>
      <c r="DX54" s="15" t="n">
        <v>266.36</v>
      </c>
      <c r="DY54" s="15" t="n">
        <v>408.27</v>
      </c>
      <c r="DZ54" s="15" t="n">
        <v>358.07</v>
      </c>
      <c r="EG54" s="15" t="n">
        <v>2</v>
      </c>
      <c r="EH54" s="15" t="n">
        <v>288.68</v>
      </c>
      <c r="EI54" s="15" t="n">
        <v>254.58</v>
      </c>
      <c r="EJ54" s="15" t="n">
        <v>333.83</v>
      </c>
      <c r="EK54" s="15" t="n">
        <v>569.96</v>
      </c>
      <c r="EL54" s="15" t="n">
        <v>363.61</v>
      </c>
      <c r="EM54" s="15" t="n">
        <v>359.54</v>
      </c>
      <c r="EN54" s="15" t="n">
        <v>304.66</v>
      </c>
      <c r="EO54" s="15" t="n">
        <v>312.17</v>
      </c>
      <c r="EP54" s="15" t="n">
        <v>379.11</v>
      </c>
      <c r="EQ54" s="15" t="n">
        <v>233.3</v>
      </c>
      <c r="ER54" s="15" t="n">
        <v>387.92</v>
      </c>
      <c r="ES54" s="15" t="n">
        <v>330.06</v>
      </c>
      <c r="ET54" s="15" t="n">
        <v>266.36</v>
      </c>
      <c r="EU54" s="15" t="n">
        <v>408.27</v>
      </c>
      <c r="EV54" s="15" t="n">
        <v>358.07</v>
      </c>
      <c r="FC54" s="15" t="n">
        <v>2</v>
      </c>
      <c r="FD54" s="15" t="n">
        <v>288.68</v>
      </c>
      <c r="FE54" s="15" t="n">
        <v>254.58</v>
      </c>
      <c r="FF54" s="15" t="n">
        <v>333.83</v>
      </c>
      <c r="FG54" s="15" t="n">
        <v>569.96</v>
      </c>
      <c r="FH54" s="15" t="n">
        <v>363.61</v>
      </c>
      <c r="FI54" s="15" t="n">
        <v>359.54</v>
      </c>
      <c r="FJ54" s="15" t="n">
        <v>304.66</v>
      </c>
      <c r="FK54" s="15" t="n">
        <v>312.17</v>
      </c>
      <c r="FL54" s="15" t="n">
        <v>379.11</v>
      </c>
      <c r="FM54" s="15" t="n">
        <v>233.3</v>
      </c>
      <c r="FN54" s="15" t="n">
        <v>387.92</v>
      </c>
      <c r="FO54" s="15" t="n">
        <v>330.06</v>
      </c>
      <c r="FP54" s="15" t="n">
        <v>266.36</v>
      </c>
      <c r="FQ54" s="15" t="n">
        <v>408.27</v>
      </c>
      <c r="FR54" s="15" t="n">
        <v>358.07</v>
      </c>
      <c r="FY54" s="15" t="n">
        <v>2</v>
      </c>
      <c r="FZ54" s="15" t="n">
        <v>288.68</v>
      </c>
      <c r="GA54" s="15" t="n">
        <v>254.58</v>
      </c>
      <c r="GB54" s="15" t="n">
        <v>333.83</v>
      </c>
      <c r="GC54" s="15" t="n">
        <v>569.96</v>
      </c>
      <c r="GD54" s="15" t="n">
        <v>363.61</v>
      </c>
      <c r="GE54" s="15" t="n">
        <v>359.54</v>
      </c>
      <c r="GF54" s="15" t="n">
        <v>304.66</v>
      </c>
      <c r="GG54" s="15" t="n">
        <v>312.17</v>
      </c>
      <c r="GH54" s="15" t="n">
        <v>379.11</v>
      </c>
      <c r="GI54" s="15" t="n">
        <v>233.3</v>
      </c>
      <c r="GJ54" s="15" t="n">
        <v>387.92</v>
      </c>
      <c r="GK54" s="15" t="n">
        <v>330.06</v>
      </c>
      <c r="GL54" s="15" t="n">
        <v>266.36</v>
      </c>
      <c r="GM54" s="15" t="n">
        <v>408.27</v>
      </c>
      <c r="GN54" s="15" t="n">
        <v>358.07</v>
      </c>
      <c r="GU54" s="15" t="n">
        <v>2</v>
      </c>
      <c r="GV54" s="15" t="n">
        <v>288.68</v>
      </c>
      <c r="GW54" s="15" t="n">
        <v>254.58</v>
      </c>
      <c r="GX54" s="15" t="n">
        <v>333.83</v>
      </c>
      <c r="GY54" s="15" t="n">
        <v>569.96</v>
      </c>
      <c r="GZ54" s="15" t="n">
        <v>363.61</v>
      </c>
      <c r="HA54" s="15" t="n">
        <v>359.54</v>
      </c>
      <c r="HB54" s="15" t="n">
        <v>304.66</v>
      </c>
      <c r="HC54" s="15" t="n">
        <v>312.17</v>
      </c>
      <c r="HD54" s="15" t="n">
        <v>379.11</v>
      </c>
      <c r="HE54" s="15" t="n">
        <v>233.3</v>
      </c>
      <c r="HF54" s="15" t="n">
        <v>387.92</v>
      </c>
      <c r="HG54" s="15" t="n">
        <v>330.06</v>
      </c>
      <c r="HH54" s="15" t="n">
        <v>266.36</v>
      </c>
      <c r="HI54" s="15" t="n">
        <v>408.27</v>
      </c>
      <c r="HJ54" s="15" t="n">
        <v>358.07</v>
      </c>
    </row>
    <row r="55">
      <c r="C55" s="15" t="n">
        <v>3</v>
      </c>
      <c r="D55" s="39">
        <f>Matlab_Data!D15</f>
        <v/>
      </c>
      <c r="E55" s="39">
        <f>Matlab_Data!E15</f>
        <v/>
      </c>
      <c r="F55" s="39">
        <f>Matlab_Data!F15</f>
        <v/>
      </c>
      <c r="G55" s="39">
        <f>Matlab_Data!G15</f>
        <v/>
      </c>
      <c r="H55" s="39">
        <f>Matlab_Data!H15</f>
        <v/>
      </c>
      <c r="I55" s="39">
        <f>Matlab_Data!I15</f>
        <v/>
      </c>
      <c r="J55" s="39">
        <f>Matlab_Data!J15</f>
        <v/>
      </c>
      <c r="K55" s="39">
        <f>Matlab_Data!K15</f>
        <v/>
      </c>
      <c r="L55" s="39">
        <f>Matlab_Data!L15</f>
        <v/>
      </c>
      <c r="M55" s="39">
        <f>Matlab_Data!M15</f>
        <v/>
      </c>
      <c r="N55" s="39">
        <f>Matlab_Data!N15</f>
        <v/>
      </c>
      <c r="O55" s="39">
        <f>Matlab_Data!O15</f>
        <v/>
      </c>
      <c r="P55" s="39">
        <f>Matlab_Data!P15</f>
        <v/>
      </c>
      <c r="Q55" s="39">
        <f>Matlab_Data!Q15</f>
        <v/>
      </c>
      <c r="R55" s="39">
        <f>Matlab_Data!R15</f>
        <v/>
      </c>
      <c r="Y55" s="39" t="n"/>
      <c r="Z55" s="39" t="n"/>
      <c r="AA55" s="39" t="n">
        <v>3</v>
      </c>
      <c r="AB55" s="39" t="n">
        <v>327.67</v>
      </c>
      <c r="AC55" s="39" t="n">
        <v>359.24</v>
      </c>
      <c r="AD55" s="39" t="n">
        <v>403.54</v>
      </c>
      <c r="AE55" s="39" t="n">
        <v>415.74</v>
      </c>
      <c r="AF55" s="39" t="n">
        <v>368.14</v>
      </c>
      <c r="AG55" s="39" t="n">
        <v>306.54</v>
      </c>
      <c r="AH55" s="39" t="n">
        <v>220.2</v>
      </c>
      <c r="AI55" s="39" t="n">
        <v>408.05</v>
      </c>
      <c r="AJ55" s="39" t="n">
        <v>398.03</v>
      </c>
      <c r="AK55" s="39" t="n">
        <v>305.5</v>
      </c>
      <c r="AL55" s="39" t="n">
        <v>241.55</v>
      </c>
      <c r="AM55" s="39" t="n">
        <v>315.53</v>
      </c>
      <c r="AN55" s="15" t="n">
        <v>436.88</v>
      </c>
      <c r="AO55" s="15" t="n">
        <v>393.14</v>
      </c>
      <c r="AP55" s="15" t="n">
        <v>327.17</v>
      </c>
      <c r="AW55" s="15" t="n">
        <v>3</v>
      </c>
      <c r="AX55" s="15" t="n">
        <v>327.67</v>
      </c>
      <c r="AY55" s="15" t="n">
        <v>359.24</v>
      </c>
      <c r="AZ55" s="15" t="n">
        <v>403.54</v>
      </c>
      <c r="BA55" s="15" t="n">
        <v>415.74</v>
      </c>
      <c r="BB55" s="15" t="n">
        <v>368.14</v>
      </c>
      <c r="BC55" s="15" t="n">
        <v>306.54</v>
      </c>
      <c r="BD55" s="15" t="n">
        <v>220.2</v>
      </c>
      <c r="BE55" s="15" t="n">
        <v>408.05</v>
      </c>
      <c r="BF55" s="15" t="n">
        <v>398.03</v>
      </c>
      <c r="BG55" s="15" t="n">
        <v>305.5</v>
      </c>
      <c r="BH55" s="15" t="n">
        <v>241.55</v>
      </c>
      <c r="BI55" s="15" t="n">
        <v>315.53</v>
      </c>
      <c r="BJ55" s="15" t="n">
        <v>436.88</v>
      </c>
      <c r="BK55" s="15" t="n">
        <v>393.14</v>
      </c>
      <c r="BL55" s="15" t="n">
        <v>327.17</v>
      </c>
      <c r="BS55" s="15" t="n">
        <v>3</v>
      </c>
      <c r="BT55" s="15" t="n">
        <v>327.67</v>
      </c>
      <c r="BU55" s="15" t="n">
        <v>359.24</v>
      </c>
      <c r="BV55" s="15" t="n">
        <v>403.54</v>
      </c>
      <c r="BW55" s="15" t="n">
        <v>415.74</v>
      </c>
      <c r="BX55" s="15" t="n">
        <v>368.14</v>
      </c>
      <c r="BY55" s="15" t="n">
        <v>306.54</v>
      </c>
      <c r="BZ55" s="15" t="n">
        <v>220.2</v>
      </c>
      <c r="CA55" s="15" t="n">
        <v>408.05</v>
      </c>
      <c r="CB55" s="15" t="n">
        <v>398.03</v>
      </c>
      <c r="CC55" s="15" t="n">
        <v>305.5</v>
      </c>
      <c r="CD55" s="15" t="n">
        <v>241.55</v>
      </c>
      <c r="CE55" s="15" t="n">
        <v>315.53</v>
      </c>
      <c r="CF55" s="15" t="n">
        <v>436.88</v>
      </c>
      <c r="CG55" s="15" t="n">
        <v>393.14</v>
      </c>
      <c r="CH55" s="15" t="n">
        <v>327.17</v>
      </c>
      <c r="CO55" s="15" t="n">
        <v>3</v>
      </c>
      <c r="CP55" s="15" t="n">
        <v>327.67</v>
      </c>
      <c r="CQ55" s="15" t="n">
        <v>359.24</v>
      </c>
      <c r="CR55" s="15" t="n">
        <v>403.54</v>
      </c>
      <c r="CS55" s="15" t="n">
        <v>415.74</v>
      </c>
      <c r="CT55" s="15" t="n">
        <v>368.14</v>
      </c>
      <c r="CU55" s="15" t="n">
        <v>306.54</v>
      </c>
      <c r="CV55" s="15" t="n">
        <v>220.2</v>
      </c>
      <c r="CW55" s="15" t="n">
        <v>408.05</v>
      </c>
      <c r="CX55" s="15" t="n">
        <v>398.03</v>
      </c>
      <c r="CY55" s="15" t="n">
        <v>305.5</v>
      </c>
      <c r="CZ55" s="15" t="n">
        <v>241.55</v>
      </c>
      <c r="DA55" s="15" t="n">
        <v>315.53</v>
      </c>
      <c r="DB55" s="15" t="n">
        <v>436.88</v>
      </c>
      <c r="DC55" s="15" t="n">
        <v>393.14</v>
      </c>
      <c r="DD55" s="15" t="n">
        <v>327.17</v>
      </c>
      <c r="DK55" s="15" t="n">
        <v>3</v>
      </c>
      <c r="DL55" s="15" t="n">
        <v>327.67</v>
      </c>
      <c r="DM55" s="15" t="n">
        <v>359.24</v>
      </c>
      <c r="DN55" s="15" t="n">
        <v>403.54</v>
      </c>
      <c r="DO55" s="15" t="n">
        <v>415.74</v>
      </c>
      <c r="DP55" s="15" t="n">
        <v>368.14</v>
      </c>
      <c r="DQ55" s="15" t="n">
        <v>306.54</v>
      </c>
      <c r="DR55" s="15" t="n">
        <v>220.2</v>
      </c>
      <c r="DS55" s="15" t="n">
        <v>408.05</v>
      </c>
      <c r="DT55" s="15" t="n">
        <v>398.03</v>
      </c>
      <c r="DU55" s="15" t="n">
        <v>305.5</v>
      </c>
      <c r="DV55" s="15" t="n">
        <v>241.55</v>
      </c>
      <c r="DW55" s="15" t="n">
        <v>315.53</v>
      </c>
      <c r="DX55" s="15" t="n">
        <v>436.88</v>
      </c>
      <c r="DY55" s="15" t="n">
        <v>393.14</v>
      </c>
      <c r="DZ55" s="15" t="n">
        <v>327.17</v>
      </c>
      <c r="EG55" s="15" t="n">
        <v>3</v>
      </c>
      <c r="EH55" s="15" t="n">
        <v>327.67</v>
      </c>
      <c r="EI55" s="15" t="n">
        <v>359.24</v>
      </c>
      <c r="EJ55" s="15" t="n">
        <v>403.54</v>
      </c>
      <c r="EK55" s="15" t="n">
        <v>415.74</v>
      </c>
      <c r="EL55" s="15" t="n">
        <v>368.14</v>
      </c>
      <c r="EM55" s="15" t="n">
        <v>306.54</v>
      </c>
      <c r="EN55" s="15" t="n">
        <v>220.2</v>
      </c>
      <c r="EO55" s="15" t="n">
        <v>408.05</v>
      </c>
      <c r="EP55" s="15" t="n">
        <v>398.03</v>
      </c>
      <c r="EQ55" s="15" t="n">
        <v>305.5</v>
      </c>
      <c r="ER55" s="15" t="n">
        <v>241.55</v>
      </c>
      <c r="ES55" s="15" t="n">
        <v>315.53</v>
      </c>
      <c r="ET55" s="15" t="n">
        <v>436.88</v>
      </c>
      <c r="EU55" s="15" t="n">
        <v>393.14</v>
      </c>
      <c r="EV55" s="15" t="n">
        <v>327.17</v>
      </c>
      <c r="FC55" s="15" t="n">
        <v>3</v>
      </c>
      <c r="FD55" s="15" t="n">
        <v>327.67</v>
      </c>
      <c r="FE55" s="15" t="n">
        <v>359.24</v>
      </c>
      <c r="FF55" s="15" t="n">
        <v>403.54</v>
      </c>
      <c r="FG55" s="15" t="n">
        <v>415.74</v>
      </c>
      <c r="FH55" s="15" t="n">
        <v>368.14</v>
      </c>
      <c r="FI55" s="15" t="n">
        <v>306.54</v>
      </c>
      <c r="FJ55" s="15" t="n">
        <v>220.2</v>
      </c>
      <c r="FK55" s="15" t="n">
        <v>408.05</v>
      </c>
      <c r="FL55" s="15" t="n">
        <v>398.03</v>
      </c>
      <c r="FM55" s="15" t="n">
        <v>305.5</v>
      </c>
      <c r="FN55" s="15" t="n">
        <v>241.55</v>
      </c>
      <c r="FO55" s="15" t="n">
        <v>315.53</v>
      </c>
      <c r="FP55" s="15" t="n">
        <v>436.88</v>
      </c>
      <c r="FQ55" s="15" t="n">
        <v>393.14</v>
      </c>
      <c r="FR55" s="15" t="n">
        <v>327.17</v>
      </c>
      <c r="FY55" s="15" t="n">
        <v>3</v>
      </c>
      <c r="FZ55" s="15" t="n">
        <v>327.67</v>
      </c>
      <c r="GA55" s="15" t="n">
        <v>359.24</v>
      </c>
      <c r="GB55" s="15" t="n">
        <v>403.54</v>
      </c>
      <c r="GC55" s="15" t="n">
        <v>415.74</v>
      </c>
      <c r="GD55" s="15" t="n">
        <v>368.14</v>
      </c>
      <c r="GE55" s="15" t="n">
        <v>306.54</v>
      </c>
      <c r="GF55" s="15" t="n">
        <v>220.2</v>
      </c>
      <c r="GG55" s="15" t="n">
        <v>408.05</v>
      </c>
      <c r="GH55" s="15" t="n">
        <v>398.03</v>
      </c>
      <c r="GI55" s="15" t="n">
        <v>305.5</v>
      </c>
      <c r="GJ55" s="15" t="n">
        <v>241.55</v>
      </c>
      <c r="GK55" s="15" t="n">
        <v>315.53</v>
      </c>
      <c r="GL55" s="15" t="n">
        <v>436.88</v>
      </c>
      <c r="GM55" s="15" t="n">
        <v>393.14</v>
      </c>
      <c r="GN55" s="15" t="n">
        <v>327.17</v>
      </c>
      <c r="GU55" s="15" t="n">
        <v>3</v>
      </c>
      <c r="GV55" s="15" t="n">
        <v>327.67</v>
      </c>
      <c r="GW55" s="15" t="n">
        <v>359.24</v>
      </c>
      <c r="GX55" s="15" t="n">
        <v>403.54</v>
      </c>
      <c r="GY55" s="15" t="n">
        <v>415.74</v>
      </c>
      <c r="GZ55" s="15" t="n">
        <v>368.14</v>
      </c>
      <c r="HA55" s="15" t="n">
        <v>306.54</v>
      </c>
      <c r="HB55" s="15" t="n">
        <v>220.2</v>
      </c>
      <c r="HC55" s="15" t="n">
        <v>408.05</v>
      </c>
      <c r="HD55" s="15" t="n">
        <v>398.03</v>
      </c>
      <c r="HE55" s="15" t="n">
        <v>305.5</v>
      </c>
      <c r="HF55" s="15" t="n">
        <v>241.55</v>
      </c>
      <c r="HG55" s="15" t="n">
        <v>315.53</v>
      </c>
      <c r="HH55" s="15" t="n">
        <v>436.88</v>
      </c>
      <c r="HI55" s="15" t="n">
        <v>393.14</v>
      </c>
      <c r="HJ55" s="15" t="n">
        <v>327.17</v>
      </c>
    </row>
    <row r="57">
      <c r="B57" s="15" t="inlineStr">
        <is>
          <t>Parâmetros p/ μx</t>
        </is>
      </c>
      <c r="C57" s="15" t="inlineStr">
        <is>
          <t>Var(d-cap)</t>
        </is>
      </c>
      <c r="D57" s="15" t="n">
        <v>1</v>
      </c>
      <c r="E57" s="15" t="n">
        <v>2</v>
      </c>
      <c r="F57" s="15" t="n">
        <v>3</v>
      </c>
      <c r="G57" s="15" t="n">
        <v>4</v>
      </c>
      <c r="H57" s="15" t="n">
        <v>5</v>
      </c>
      <c r="I57" s="15" t="n">
        <v>6</v>
      </c>
      <c r="J57" s="15" t="n">
        <v>7</v>
      </c>
      <c r="K57" s="15" t="n">
        <v>8</v>
      </c>
      <c r="L57" s="15" t="n">
        <v>9</v>
      </c>
      <c r="M57" s="15" t="n">
        <v>10</v>
      </c>
      <c r="N57" s="15" t="n">
        <v>11</v>
      </c>
      <c r="O57" s="15" t="n">
        <v>12</v>
      </c>
      <c r="P57" s="15" t="n">
        <v>13</v>
      </c>
      <c r="Q57" s="15" t="n">
        <v>14</v>
      </c>
      <c r="R57" s="15" t="n">
        <v>15</v>
      </c>
      <c r="Z57" s="15" t="inlineStr">
        <is>
          <t>Parâmetros p/ μx</t>
        </is>
      </c>
      <c r="AA57" s="15" t="inlineStr">
        <is>
          <t>Var(d-cap)</t>
        </is>
      </c>
      <c r="AB57" s="15" t="n">
        <v>1</v>
      </c>
      <c r="AC57" s="15" t="n">
        <v>2</v>
      </c>
      <c r="AD57" s="15" t="n">
        <v>3</v>
      </c>
      <c r="AE57" s="15" t="n">
        <v>4</v>
      </c>
      <c r="AF57" s="15" t="n">
        <v>5</v>
      </c>
      <c r="AG57" s="15" t="n">
        <v>6</v>
      </c>
      <c r="AH57" s="15" t="n">
        <v>7</v>
      </c>
      <c r="AI57" s="15" t="n">
        <v>8</v>
      </c>
      <c r="AJ57" s="15" t="n">
        <v>9</v>
      </c>
      <c r="AK57" s="15" t="n">
        <v>10</v>
      </c>
      <c r="AL57" s="15" t="n">
        <v>11</v>
      </c>
      <c r="AM57" s="15" t="n">
        <v>12</v>
      </c>
      <c r="AN57" s="15" t="n">
        <v>13</v>
      </c>
      <c r="AO57" s="15" t="n">
        <v>14</v>
      </c>
      <c r="AP57" s="15" t="n">
        <v>15</v>
      </c>
      <c r="AV57" s="15" t="inlineStr">
        <is>
          <t>Parâmetros p/ μx</t>
        </is>
      </c>
      <c r="AW57" s="15" t="inlineStr">
        <is>
          <t>Var(d-cap)</t>
        </is>
      </c>
      <c r="AX57" s="15" t="n">
        <v>1</v>
      </c>
      <c r="AY57" s="15" t="n">
        <v>2</v>
      </c>
      <c r="AZ57" s="15" t="n">
        <v>3</v>
      </c>
      <c r="BA57" s="15" t="n">
        <v>4</v>
      </c>
      <c r="BB57" s="15" t="n">
        <v>5</v>
      </c>
      <c r="BC57" s="15" t="n">
        <v>6</v>
      </c>
      <c r="BD57" s="15" t="n">
        <v>7</v>
      </c>
      <c r="BE57" s="15" t="n">
        <v>8</v>
      </c>
      <c r="BF57" s="15" t="n">
        <v>9</v>
      </c>
      <c r="BG57" s="15" t="n">
        <v>10</v>
      </c>
      <c r="BH57" s="15" t="n">
        <v>11</v>
      </c>
      <c r="BI57" s="15" t="n">
        <v>12</v>
      </c>
      <c r="BJ57" s="15" t="n">
        <v>13</v>
      </c>
      <c r="BK57" s="15" t="n">
        <v>14</v>
      </c>
      <c r="BL57" s="15" t="n">
        <v>15</v>
      </c>
      <c r="BR57" s="15" t="inlineStr">
        <is>
          <t>Parâmetros p/ μx</t>
        </is>
      </c>
      <c r="BS57" s="15" t="inlineStr">
        <is>
          <t>Var(d-cap)</t>
        </is>
      </c>
      <c r="BT57" s="15" t="n">
        <v>1</v>
      </c>
      <c r="BU57" s="15" t="n">
        <v>2</v>
      </c>
      <c r="BV57" s="15" t="n">
        <v>3</v>
      </c>
      <c r="BW57" s="15" t="n">
        <v>4</v>
      </c>
      <c r="BX57" s="15" t="n">
        <v>5</v>
      </c>
      <c r="BY57" s="15" t="n">
        <v>6</v>
      </c>
      <c r="BZ57" s="15" t="n">
        <v>7</v>
      </c>
      <c r="CA57" s="15" t="n">
        <v>8</v>
      </c>
      <c r="CB57" s="15" t="n">
        <v>9</v>
      </c>
      <c r="CC57" s="15" t="n">
        <v>10</v>
      </c>
      <c r="CD57" s="15" t="n">
        <v>11</v>
      </c>
      <c r="CE57" s="15" t="n">
        <v>12</v>
      </c>
      <c r="CF57" s="15" t="n">
        <v>13</v>
      </c>
      <c r="CG57" s="15" t="n">
        <v>14</v>
      </c>
      <c r="CH57" s="15" t="n">
        <v>15</v>
      </c>
      <c r="CN57" s="15" t="inlineStr">
        <is>
          <t>Parâmetros p/ μx</t>
        </is>
      </c>
      <c r="CO57" s="15" t="inlineStr">
        <is>
          <t>Var(d-cap)</t>
        </is>
      </c>
      <c r="CP57" s="15" t="n">
        <v>1</v>
      </c>
      <c r="CQ57" s="15" t="n">
        <v>2</v>
      </c>
      <c r="CR57" s="15" t="n">
        <v>3</v>
      </c>
      <c r="CS57" s="15" t="n">
        <v>4</v>
      </c>
      <c r="CT57" s="15" t="n">
        <v>5</v>
      </c>
      <c r="CU57" s="15" t="n">
        <v>6</v>
      </c>
      <c r="CV57" s="15" t="n">
        <v>7</v>
      </c>
      <c r="CW57" s="15" t="n">
        <v>8</v>
      </c>
      <c r="CX57" s="15" t="n">
        <v>9</v>
      </c>
      <c r="CY57" s="15" t="n">
        <v>10</v>
      </c>
      <c r="CZ57" s="15" t="n">
        <v>11</v>
      </c>
      <c r="DA57" s="15" t="n">
        <v>12</v>
      </c>
      <c r="DB57" s="15" t="n">
        <v>13</v>
      </c>
      <c r="DC57" s="15" t="n">
        <v>14</v>
      </c>
      <c r="DD57" s="15" t="n">
        <v>15</v>
      </c>
      <c r="DJ57" s="15" t="inlineStr">
        <is>
          <t>Parâmetros p/ μx</t>
        </is>
      </c>
      <c r="DK57" s="15" t="inlineStr">
        <is>
          <t>Var(d-cap)</t>
        </is>
      </c>
      <c r="DL57" s="15" t="n">
        <v>1</v>
      </c>
      <c r="DM57" s="15" t="n">
        <v>2</v>
      </c>
      <c r="DN57" s="15" t="n">
        <v>3</v>
      </c>
      <c r="DO57" s="15" t="n">
        <v>4</v>
      </c>
      <c r="DP57" s="15" t="n">
        <v>5</v>
      </c>
      <c r="DQ57" s="15" t="n">
        <v>6</v>
      </c>
      <c r="DR57" s="15" t="n">
        <v>7</v>
      </c>
      <c r="DS57" s="15" t="n">
        <v>8</v>
      </c>
      <c r="DT57" s="15" t="n">
        <v>9</v>
      </c>
      <c r="DU57" s="15" t="n">
        <v>10</v>
      </c>
      <c r="DV57" s="15" t="n">
        <v>11</v>
      </c>
      <c r="DW57" s="15" t="n">
        <v>12</v>
      </c>
      <c r="DX57" s="15" t="n">
        <v>13</v>
      </c>
      <c r="DY57" s="15" t="n">
        <v>14</v>
      </c>
      <c r="DZ57" s="15" t="n">
        <v>15</v>
      </c>
      <c r="EF57" s="15" t="inlineStr">
        <is>
          <t>Parâmetros p/ μx</t>
        </is>
      </c>
      <c r="EG57" s="15" t="inlineStr">
        <is>
          <t>Var(d-cap)</t>
        </is>
      </c>
      <c r="EH57" s="15" t="n">
        <v>1</v>
      </c>
      <c r="EI57" s="15" t="n">
        <v>2</v>
      </c>
      <c r="EJ57" s="15" t="n">
        <v>3</v>
      </c>
      <c r="EK57" s="15" t="n">
        <v>4</v>
      </c>
      <c r="EL57" s="15" t="n">
        <v>5</v>
      </c>
      <c r="EM57" s="15" t="n">
        <v>6</v>
      </c>
      <c r="EN57" s="15" t="n">
        <v>7</v>
      </c>
      <c r="EO57" s="15" t="n">
        <v>8</v>
      </c>
      <c r="EP57" s="15" t="n">
        <v>9</v>
      </c>
      <c r="EQ57" s="15" t="n">
        <v>10</v>
      </c>
      <c r="ER57" s="15" t="n">
        <v>11</v>
      </c>
      <c r="ES57" s="15" t="n">
        <v>12</v>
      </c>
      <c r="ET57" s="15" t="n">
        <v>13</v>
      </c>
      <c r="EU57" s="15" t="n">
        <v>14</v>
      </c>
      <c r="EV57" s="15" t="n">
        <v>15</v>
      </c>
      <c r="FB57" s="15" t="inlineStr">
        <is>
          <t>Parâmetros p/ μx</t>
        </is>
      </c>
      <c r="FC57" s="15" t="inlineStr">
        <is>
          <t>Var(d-cap)</t>
        </is>
      </c>
      <c r="FD57" s="15" t="n">
        <v>1</v>
      </c>
      <c r="FE57" s="15" t="n">
        <v>2</v>
      </c>
      <c r="FF57" s="15" t="n">
        <v>3</v>
      </c>
      <c r="FG57" s="15" t="n">
        <v>4</v>
      </c>
      <c r="FH57" s="15" t="n">
        <v>5</v>
      </c>
      <c r="FI57" s="15" t="n">
        <v>6</v>
      </c>
      <c r="FJ57" s="15" t="n">
        <v>7</v>
      </c>
      <c r="FK57" s="15" t="n">
        <v>8</v>
      </c>
      <c r="FL57" s="15" t="n">
        <v>9</v>
      </c>
      <c r="FM57" s="15" t="n">
        <v>10</v>
      </c>
      <c r="FN57" s="15" t="n">
        <v>11</v>
      </c>
      <c r="FO57" s="15" t="n">
        <v>12</v>
      </c>
      <c r="FP57" s="15" t="n">
        <v>13</v>
      </c>
      <c r="FQ57" s="15" t="n">
        <v>14</v>
      </c>
      <c r="FR57" s="15" t="n">
        <v>15</v>
      </c>
      <c r="FX57" s="15" t="inlineStr">
        <is>
          <t>Parâmetros p/ μx</t>
        </is>
      </c>
      <c r="FY57" s="15" t="inlineStr">
        <is>
          <t>Var(d-cap)</t>
        </is>
      </c>
      <c r="FZ57" s="15" t="n">
        <v>1</v>
      </c>
      <c r="GA57" s="15" t="n">
        <v>2</v>
      </c>
      <c r="GB57" s="15" t="n">
        <v>3</v>
      </c>
      <c r="GC57" s="15" t="n">
        <v>4</v>
      </c>
      <c r="GD57" s="15" t="n">
        <v>5</v>
      </c>
      <c r="GE57" s="15" t="n">
        <v>6</v>
      </c>
      <c r="GF57" s="15" t="n">
        <v>7</v>
      </c>
      <c r="GG57" s="15" t="n">
        <v>8</v>
      </c>
      <c r="GH57" s="15" t="n">
        <v>9</v>
      </c>
      <c r="GI57" s="15" t="n">
        <v>10</v>
      </c>
      <c r="GJ57" s="15" t="n">
        <v>11</v>
      </c>
      <c r="GK57" s="15" t="n">
        <v>12</v>
      </c>
      <c r="GL57" s="15" t="n">
        <v>13</v>
      </c>
      <c r="GM57" s="15" t="n">
        <v>14</v>
      </c>
      <c r="GN57" s="15" t="n">
        <v>15</v>
      </c>
      <c r="GT57" s="15" t="inlineStr">
        <is>
          <t>Parâmetros p/ μx</t>
        </is>
      </c>
      <c r="GU57" s="15" t="inlineStr">
        <is>
          <t>Var(d-cap)</t>
        </is>
      </c>
      <c r="GV57" s="15" t="n">
        <v>1</v>
      </c>
      <c r="GW57" s="15" t="n">
        <v>2</v>
      </c>
      <c r="GX57" s="15" t="n">
        <v>3</v>
      </c>
      <c r="GY57" s="15" t="n">
        <v>4</v>
      </c>
      <c r="GZ57" s="15" t="n">
        <v>5</v>
      </c>
      <c r="HA57" s="15" t="n">
        <v>6</v>
      </c>
      <c r="HB57" s="15" t="n">
        <v>7</v>
      </c>
      <c r="HC57" s="15" t="n">
        <v>8</v>
      </c>
      <c r="HD57" s="15" t="n">
        <v>9</v>
      </c>
      <c r="HE57" s="15" t="n">
        <v>10</v>
      </c>
      <c r="HF57" s="15" t="n">
        <v>11</v>
      </c>
      <c r="HG57" s="15" t="n">
        <v>12</v>
      </c>
      <c r="HH57" s="15" t="n">
        <v>13</v>
      </c>
      <c r="HI57" s="15" t="n">
        <v>14</v>
      </c>
      <c r="HJ57" s="15" t="n">
        <v>15</v>
      </c>
    </row>
    <row r="58" ht="16.2" customHeight="1">
      <c r="B58" s="15" t="inlineStr">
        <is>
          <t>S2nd</t>
        </is>
      </c>
      <c r="C58" s="15" t="n">
        <v>1</v>
      </c>
      <c r="D58" s="79">
        <f>Matlab_Data!D18</f>
        <v/>
      </c>
      <c r="E58" s="79">
        <f>Matlab_Data!E18</f>
        <v/>
      </c>
      <c r="F58" s="79">
        <f>Matlab_Data!F18</f>
        <v/>
      </c>
      <c r="G58" s="79">
        <f>Matlab_Data!G18</f>
        <v/>
      </c>
      <c r="H58" s="79">
        <f>Matlab_Data!H18</f>
        <v/>
      </c>
      <c r="I58" s="79">
        <f>Matlab_Data!I18</f>
        <v/>
      </c>
      <c r="J58" s="79">
        <f>Matlab_Data!J18</f>
        <v/>
      </c>
      <c r="K58" s="79">
        <f>Matlab_Data!K18</f>
        <v/>
      </c>
      <c r="L58" s="79">
        <f>Matlab_Data!L18</f>
        <v/>
      </c>
      <c r="M58" s="79">
        <f>Matlab_Data!M18</f>
        <v/>
      </c>
      <c r="N58" s="79">
        <f>Matlab_Data!N18</f>
        <v/>
      </c>
      <c r="O58" s="79">
        <f>Matlab_Data!O18</f>
        <v/>
      </c>
      <c r="P58" s="79">
        <f>Matlab_Data!P18</f>
        <v/>
      </c>
      <c r="Q58" s="79">
        <f>Matlab_Data!Q18</f>
        <v/>
      </c>
      <c r="R58" s="79">
        <f>Matlab_Data!R18</f>
        <v/>
      </c>
      <c r="T58" s="39">
        <f>SUM(D58:R60)</f>
        <v/>
      </c>
      <c r="U58" s="39" t="n">
        <v>14737.52505769</v>
      </c>
      <c r="V58" s="39">
        <f>T58-U58</f>
        <v/>
      </c>
      <c r="W58" s="39" t="n"/>
      <c r="X58" s="39" t="n"/>
      <c r="Y58" s="79" t="n"/>
      <c r="Z58" s="79" t="inlineStr">
        <is>
          <t>S2nd</t>
        </is>
      </c>
      <c r="AA58" s="79" t="n">
        <v>1</v>
      </c>
      <c r="AB58" s="79" t="n">
        <v>195.14972416</v>
      </c>
      <c r="AC58" s="79" t="n">
        <v>268.599321</v>
      </c>
      <c r="AD58" s="79" t="n">
        <v>243.19778704</v>
      </c>
      <c r="AE58" s="79" t="n">
        <v>211.789809</v>
      </c>
      <c r="AF58" s="79" t="n">
        <v>495.67679044</v>
      </c>
      <c r="AG58" s="79" t="n">
        <v>191.80865025</v>
      </c>
      <c r="AH58" s="79" t="n">
        <v>228.58718481</v>
      </c>
      <c r="AI58" s="79" t="n">
        <v>428.22921969</v>
      </c>
      <c r="AJ58" s="79" t="n">
        <v>341.02639561</v>
      </c>
      <c r="AK58" s="79" t="n">
        <v>325.91803024</v>
      </c>
      <c r="AL58" s="79" t="n">
        <v>498.35651121</v>
      </c>
      <c r="AM58" s="79" t="n">
        <v>151.52871409</v>
      </c>
      <c r="AN58" s="15" t="n">
        <v>217.80741889</v>
      </c>
      <c r="AO58" s="15" t="n">
        <v>186.71856025</v>
      </c>
      <c r="AP58" s="15" t="n">
        <v>592.9663308099999</v>
      </c>
      <c r="AV58" s="15" t="inlineStr">
        <is>
          <t>S2nd</t>
        </is>
      </c>
      <c r="AW58" s="15" t="n">
        <v>1</v>
      </c>
      <c r="AX58" s="15" t="n">
        <v>195.14972416</v>
      </c>
      <c r="AY58" s="15" t="n">
        <v>268.599321</v>
      </c>
      <c r="AZ58" s="15" t="n">
        <v>243.19778704</v>
      </c>
      <c r="BA58" s="15" t="n">
        <v>211.789809</v>
      </c>
      <c r="BB58" s="15" t="n">
        <v>495.67679044</v>
      </c>
      <c r="BC58" s="15" t="n">
        <v>191.80865025</v>
      </c>
      <c r="BD58" s="15" t="n">
        <v>228.58718481</v>
      </c>
      <c r="BE58" s="15" t="n">
        <v>428.22921969</v>
      </c>
      <c r="BF58" s="15" t="n">
        <v>341.02639561</v>
      </c>
      <c r="BG58" s="15" t="n">
        <v>325.91803024</v>
      </c>
      <c r="BH58" s="15" t="n">
        <v>498.35651121</v>
      </c>
      <c r="BI58" s="15" t="n">
        <v>151.52871409</v>
      </c>
      <c r="BJ58" s="15" t="n">
        <v>217.80741889</v>
      </c>
      <c r="BK58" s="15" t="n">
        <v>186.71856025</v>
      </c>
      <c r="BL58" s="15" t="n">
        <v>592.9663308099999</v>
      </c>
      <c r="BR58" s="15" t="inlineStr">
        <is>
          <t>S2nd</t>
        </is>
      </c>
      <c r="BS58" s="15" t="n">
        <v>1</v>
      </c>
      <c r="BT58" s="15" t="n">
        <v>195.14972416</v>
      </c>
      <c r="BU58" s="15" t="n">
        <v>268.599321</v>
      </c>
      <c r="BV58" s="15" t="n">
        <v>243.19778704</v>
      </c>
      <c r="BW58" s="15" t="n">
        <v>211.789809</v>
      </c>
      <c r="BX58" s="15" t="n">
        <v>495.67679044</v>
      </c>
      <c r="BY58" s="15" t="n">
        <v>191.80865025</v>
      </c>
      <c r="BZ58" s="15" t="n">
        <v>228.58718481</v>
      </c>
      <c r="CA58" s="15" t="n">
        <v>428.22921969</v>
      </c>
      <c r="CB58" s="15" t="n">
        <v>341.02639561</v>
      </c>
      <c r="CC58" s="15" t="n">
        <v>325.91803024</v>
      </c>
      <c r="CD58" s="15" t="n">
        <v>498.35651121</v>
      </c>
      <c r="CE58" s="15" t="n">
        <v>151.52871409</v>
      </c>
      <c r="CF58" s="15" t="n">
        <v>217.80741889</v>
      </c>
      <c r="CG58" s="15" t="n">
        <v>186.71856025</v>
      </c>
      <c r="CH58" s="15" t="n">
        <v>592.9663308099999</v>
      </c>
      <c r="CN58" s="15" t="inlineStr">
        <is>
          <t>S2nd</t>
        </is>
      </c>
      <c r="CO58" s="15" t="n">
        <v>1</v>
      </c>
      <c r="CP58" s="15" t="n">
        <v>195.14972416</v>
      </c>
      <c r="CQ58" s="15" t="n">
        <v>268.599321</v>
      </c>
      <c r="CR58" s="15" t="n">
        <v>243.19778704</v>
      </c>
      <c r="CS58" s="15" t="n">
        <v>211.789809</v>
      </c>
      <c r="CT58" s="15" t="n">
        <v>495.67679044</v>
      </c>
      <c r="CU58" s="15" t="n">
        <v>191.80865025</v>
      </c>
      <c r="CV58" s="15" t="n">
        <v>228.58718481</v>
      </c>
      <c r="CW58" s="15" t="n">
        <v>428.22921969</v>
      </c>
      <c r="CX58" s="15" t="n">
        <v>341.02639561</v>
      </c>
      <c r="CY58" s="15" t="n">
        <v>325.91803024</v>
      </c>
      <c r="CZ58" s="15" t="n">
        <v>498.35651121</v>
      </c>
      <c r="DA58" s="15" t="n">
        <v>151.52871409</v>
      </c>
      <c r="DB58" s="15" t="n">
        <v>217.80741889</v>
      </c>
      <c r="DC58" s="15" t="n">
        <v>186.71856025</v>
      </c>
      <c r="DD58" s="15" t="n">
        <v>592.9663308099999</v>
      </c>
      <c r="DJ58" s="15" t="inlineStr">
        <is>
          <t>S2nd</t>
        </is>
      </c>
      <c r="DK58" s="15" t="n">
        <v>1</v>
      </c>
      <c r="DL58" s="15" t="n">
        <v>195.14972416</v>
      </c>
      <c r="DM58" s="15" t="n">
        <v>268.599321</v>
      </c>
      <c r="DN58" s="15" t="n">
        <v>243.19778704</v>
      </c>
      <c r="DO58" s="15" t="n">
        <v>211.789809</v>
      </c>
      <c r="DP58" s="15" t="n">
        <v>495.67679044</v>
      </c>
      <c r="DQ58" s="15" t="n">
        <v>191.80865025</v>
      </c>
      <c r="DR58" s="15" t="n">
        <v>228.58718481</v>
      </c>
      <c r="DS58" s="15" t="n">
        <v>428.22921969</v>
      </c>
      <c r="DT58" s="15" t="n">
        <v>341.02639561</v>
      </c>
      <c r="DU58" s="15" t="n">
        <v>325.91803024</v>
      </c>
      <c r="DV58" s="15" t="n">
        <v>498.35651121</v>
      </c>
      <c r="DW58" s="15" t="n">
        <v>151.52871409</v>
      </c>
      <c r="DX58" s="15" t="n">
        <v>217.80741889</v>
      </c>
      <c r="DY58" s="15" t="n">
        <v>186.71856025</v>
      </c>
      <c r="DZ58" s="15" t="n">
        <v>592.9663308099999</v>
      </c>
      <c r="EF58" s="15" t="inlineStr">
        <is>
          <t>S2nd</t>
        </is>
      </c>
      <c r="EG58" s="15" t="n">
        <v>1</v>
      </c>
      <c r="EH58" s="15" t="n">
        <v>195.14972416</v>
      </c>
      <c r="EI58" s="15" t="n">
        <v>268.599321</v>
      </c>
      <c r="EJ58" s="15" t="n">
        <v>243.19778704</v>
      </c>
      <c r="EK58" s="15" t="n">
        <v>211.789809</v>
      </c>
      <c r="EL58" s="15" t="n">
        <v>495.67679044</v>
      </c>
      <c r="EM58" s="15" t="n">
        <v>191.80865025</v>
      </c>
      <c r="EN58" s="15" t="n">
        <v>228.58718481</v>
      </c>
      <c r="EO58" s="15" t="n">
        <v>428.22921969</v>
      </c>
      <c r="EP58" s="15" t="n">
        <v>341.02639561</v>
      </c>
      <c r="EQ58" s="15" t="n">
        <v>325.91803024</v>
      </c>
      <c r="ER58" s="15" t="n">
        <v>498.35651121</v>
      </c>
      <c r="ES58" s="15" t="n">
        <v>151.52871409</v>
      </c>
      <c r="ET58" s="15" t="n">
        <v>217.80741889</v>
      </c>
      <c r="EU58" s="15" t="n">
        <v>186.71856025</v>
      </c>
      <c r="EV58" s="15" t="n">
        <v>592.9663308099999</v>
      </c>
      <c r="FB58" s="15" t="inlineStr">
        <is>
          <t>S2nd</t>
        </is>
      </c>
      <c r="FC58" s="15" t="n">
        <v>1</v>
      </c>
      <c r="FD58" s="15" t="n">
        <v>195.14972416</v>
      </c>
      <c r="FE58" s="15" t="n">
        <v>268.599321</v>
      </c>
      <c r="FF58" s="15" t="n">
        <v>243.19778704</v>
      </c>
      <c r="FG58" s="15" t="n">
        <v>211.789809</v>
      </c>
      <c r="FH58" s="15" t="n">
        <v>495.67679044</v>
      </c>
      <c r="FI58" s="15" t="n">
        <v>191.80865025</v>
      </c>
      <c r="FJ58" s="15" t="n">
        <v>228.58718481</v>
      </c>
      <c r="FK58" s="15" t="n">
        <v>428.22921969</v>
      </c>
      <c r="FL58" s="15" t="n">
        <v>341.02639561</v>
      </c>
      <c r="FM58" s="15" t="n">
        <v>325.91803024</v>
      </c>
      <c r="FN58" s="15" t="n">
        <v>498.35651121</v>
      </c>
      <c r="FO58" s="15" t="n">
        <v>151.52871409</v>
      </c>
      <c r="FP58" s="15" t="n">
        <v>217.80741889</v>
      </c>
      <c r="FQ58" s="15" t="n">
        <v>186.71856025</v>
      </c>
      <c r="FR58" s="15" t="n">
        <v>592.9663308099999</v>
      </c>
      <c r="FX58" s="15" t="inlineStr">
        <is>
          <t>S2nd</t>
        </is>
      </c>
      <c r="FY58" s="15" t="n">
        <v>1</v>
      </c>
      <c r="FZ58" s="15" t="n">
        <v>195.14972416</v>
      </c>
      <c r="GA58" s="15" t="n">
        <v>268.599321</v>
      </c>
      <c r="GB58" s="15" t="n">
        <v>243.19778704</v>
      </c>
      <c r="GC58" s="15" t="n">
        <v>211.789809</v>
      </c>
      <c r="GD58" s="15" t="n">
        <v>495.67679044</v>
      </c>
      <c r="GE58" s="15" t="n">
        <v>191.80865025</v>
      </c>
      <c r="GF58" s="15" t="n">
        <v>228.58718481</v>
      </c>
      <c r="GG58" s="15" t="n">
        <v>428.22921969</v>
      </c>
      <c r="GH58" s="15" t="n">
        <v>341.02639561</v>
      </c>
      <c r="GI58" s="15" t="n">
        <v>325.91803024</v>
      </c>
      <c r="GJ58" s="15" t="n">
        <v>498.35651121</v>
      </c>
      <c r="GK58" s="15" t="n">
        <v>151.52871409</v>
      </c>
      <c r="GL58" s="15" t="n">
        <v>217.80741889</v>
      </c>
      <c r="GM58" s="15" t="n">
        <v>186.71856025</v>
      </c>
      <c r="GN58" s="15" t="n">
        <v>592.9663308099999</v>
      </c>
      <c r="GT58" s="15" t="inlineStr">
        <is>
          <t>S2nd</t>
        </is>
      </c>
      <c r="GU58" s="15" t="n">
        <v>1</v>
      </c>
      <c r="GV58" s="15" t="n">
        <v>195.14972416</v>
      </c>
      <c r="GW58" s="15" t="n">
        <v>268.599321</v>
      </c>
      <c r="GX58" s="15" t="n">
        <v>243.19778704</v>
      </c>
      <c r="GY58" s="15" t="n">
        <v>211.789809</v>
      </c>
      <c r="GZ58" s="15" t="n">
        <v>495.67679044</v>
      </c>
      <c r="HA58" s="15" t="n">
        <v>191.80865025</v>
      </c>
      <c r="HB58" s="15" t="n">
        <v>228.58718481</v>
      </c>
      <c r="HC58" s="15" t="n">
        <v>428.22921969</v>
      </c>
      <c r="HD58" s="15" t="n">
        <v>341.02639561</v>
      </c>
      <c r="HE58" s="15" t="n">
        <v>325.91803024</v>
      </c>
      <c r="HF58" s="15" t="n">
        <v>498.35651121</v>
      </c>
      <c r="HG58" s="15" t="n">
        <v>151.52871409</v>
      </c>
      <c r="HH58" s="15" t="n">
        <v>217.80741889</v>
      </c>
      <c r="HI58" s="15" t="n">
        <v>186.71856025</v>
      </c>
      <c r="HJ58" s="15" t="n">
        <v>592.9663308099999</v>
      </c>
    </row>
    <row r="59">
      <c r="C59" s="15" t="n">
        <v>2</v>
      </c>
      <c r="D59" s="79">
        <f>Matlab_Data!D19</f>
        <v/>
      </c>
      <c r="E59" s="79">
        <f>Matlab_Data!E19</f>
        <v/>
      </c>
      <c r="F59" s="79">
        <f>Matlab_Data!F19</f>
        <v/>
      </c>
      <c r="G59" s="79">
        <f>Matlab_Data!G19</f>
        <v/>
      </c>
      <c r="H59" s="79">
        <f>Matlab_Data!H19</f>
        <v/>
      </c>
      <c r="I59" s="79">
        <f>Matlab_Data!I19</f>
        <v/>
      </c>
      <c r="J59" s="79">
        <f>Matlab_Data!J19</f>
        <v/>
      </c>
      <c r="K59" s="79">
        <f>Matlab_Data!K19</f>
        <v/>
      </c>
      <c r="L59" s="79">
        <f>Matlab_Data!L19</f>
        <v/>
      </c>
      <c r="M59" s="79">
        <f>Matlab_Data!M19</f>
        <v/>
      </c>
      <c r="N59" s="79">
        <f>Matlab_Data!N19</f>
        <v/>
      </c>
      <c r="O59" s="79">
        <f>Matlab_Data!O19</f>
        <v/>
      </c>
      <c r="P59" s="79">
        <f>Matlab_Data!P19</f>
        <v/>
      </c>
      <c r="Q59" s="79">
        <f>Matlab_Data!Q19</f>
        <v/>
      </c>
      <c r="R59" s="79">
        <f>Matlab_Data!R19</f>
        <v/>
      </c>
      <c r="Y59" s="79" t="n"/>
      <c r="Z59" s="79" t="n"/>
      <c r="AA59" s="79" t="n">
        <v>2</v>
      </c>
      <c r="AB59" s="79" t="n">
        <v>282.89894416</v>
      </c>
      <c r="AC59" s="79" t="n">
        <v>213.68884761</v>
      </c>
      <c r="AD59" s="79" t="n">
        <v>241.926916</v>
      </c>
      <c r="AE59" s="79" t="n">
        <v>590.5580419600001</v>
      </c>
      <c r="AF59" s="79" t="n">
        <v>388.85868025</v>
      </c>
      <c r="AG59" s="79" t="n">
        <v>422.60669476</v>
      </c>
      <c r="AH59" s="79" t="n">
        <v>252.55884241</v>
      </c>
      <c r="AI59" s="79" t="n">
        <v>203.02830144</v>
      </c>
      <c r="AJ59" s="79" t="n">
        <v>313.81768201</v>
      </c>
      <c r="AK59" s="79" t="n">
        <v>195.96920121</v>
      </c>
      <c r="AL59" s="79" t="n">
        <v>304.38734089</v>
      </c>
      <c r="AM59" s="79" t="n">
        <v>362.788209</v>
      </c>
      <c r="AN59" s="15" t="n">
        <v>237.91828516</v>
      </c>
      <c r="AO59" s="15" t="n">
        <v>507.6459609999999</v>
      </c>
      <c r="AP59" s="15" t="n">
        <v>435.18966544</v>
      </c>
      <c r="AW59" s="15" t="n">
        <v>2</v>
      </c>
      <c r="AX59" s="15" t="n">
        <v>282.89894416</v>
      </c>
      <c r="AY59" s="15" t="n">
        <v>213.68884761</v>
      </c>
      <c r="AZ59" s="15" t="n">
        <v>241.926916</v>
      </c>
      <c r="BA59" s="15" t="n">
        <v>590.5580419600001</v>
      </c>
      <c r="BB59" s="15" t="n">
        <v>388.85868025</v>
      </c>
      <c r="BC59" s="15" t="n">
        <v>422.60669476</v>
      </c>
      <c r="BD59" s="15" t="n">
        <v>252.55884241</v>
      </c>
      <c r="BE59" s="15" t="n">
        <v>203.02830144</v>
      </c>
      <c r="BF59" s="15" t="n">
        <v>313.81768201</v>
      </c>
      <c r="BG59" s="15" t="n">
        <v>195.96920121</v>
      </c>
      <c r="BH59" s="15" t="n">
        <v>304.38734089</v>
      </c>
      <c r="BI59" s="15" t="n">
        <v>362.788209</v>
      </c>
      <c r="BJ59" s="15" t="n">
        <v>237.91828516</v>
      </c>
      <c r="BK59" s="15" t="n">
        <v>507.6459609999999</v>
      </c>
      <c r="BL59" s="15" t="n">
        <v>435.18966544</v>
      </c>
      <c r="BS59" s="15" t="n">
        <v>2</v>
      </c>
      <c r="BT59" s="15" t="n">
        <v>282.89894416</v>
      </c>
      <c r="BU59" s="15" t="n">
        <v>213.68884761</v>
      </c>
      <c r="BV59" s="15" t="n">
        <v>241.926916</v>
      </c>
      <c r="BW59" s="15" t="n">
        <v>590.5580419600001</v>
      </c>
      <c r="BX59" s="15" t="n">
        <v>388.85868025</v>
      </c>
      <c r="BY59" s="15" t="n">
        <v>422.60669476</v>
      </c>
      <c r="BZ59" s="15" t="n">
        <v>252.55884241</v>
      </c>
      <c r="CA59" s="15" t="n">
        <v>203.02830144</v>
      </c>
      <c r="CB59" s="15" t="n">
        <v>313.81768201</v>
      </c>
      <c r="CC59" s="15" t="n">
        <v>195.96920121</v>
      </c>
      <c r="CD59" s="15" t="n">
        <v>304.38734089</v>
      </c>
      <c r="CE59" s="15" t="n">
        <v>362.788209</v>
      </c>
      <c r="CF59" s="15" t="n">
        <v>237.91828516</v>
      </c>
      <c r="CG59" s="15" t="n">
        <v>507.6459609999999</v>
      </c>
      <c r="CH59" s="15" t="n">
        <v>435.18966544</v>
      </c>
      <c r="CO59" s="15" t="n">
        <v>2</v>
      </c>
      <c r="CP59" s="15" t="n">
        <v>282.89894416</v>
      </c>
      <c r="CQ59" s="15" t="n">
        <v>213.68884761</v>
      </c>
      <c r="CR59" s="15" t="n">
        <v>241.926916</v>
      </c>
      <c r="CS59" s="15" t="n">
        <v>590.5580419600001</v>
      </c>
      <c r="CT59" s="15" t="n">
        <v>388.85868025</v>
      </c>
      <c r="CU59" s="15" t="n">
        <v>422.60669476</v>
      </c>
      <c r="CV59" s="15" t="n">
        <v>252.55884241</v>
      </c>
      <c r="CW59" s="15" t="n">
        <v>203.02830144</v>
      </c>
      <c r="CX59" s="15" t="n">
        <v>313.81768201</v>
      </c>
      <c r="CY59" s="15" t="n">
        <v>195.96920121</v>
      </c>
      <c r="CZ59" s="15" t="n">
        <v>304.38734089</v>
      </c>
      <c r="DA59" s="15" t="n">
        <v>362.788209</v>
      </c>
      <c r="DB59" s="15" t="n">
        <v>237.91828516</v>
      </c>
      <c r="DC59" s="15" t="n">
        <v>507.6459609999999</v>
      </c>
      <c r="DD59" s="15" t="n">
        <v>435.18966544</v>
      </c>
      <c r="DK59" s="15" t="n">
        <v>2</v>
      </c>
      <c r="DL59" s="15" t="n">
        <v>282.89894416</v>
      </c>
      <c r="DM59" s="15" t="n">
        <v>213.68884761</v>
      </c>
      <c r="DN59" s="15" t="n">
        <v>241.926916</v>
      </c>
      <c r="DO59" s="15" t="n">
        <v>590.5580419600001</v>
      </c>
      <c r="DP59" s="15" t="n">
        <v>388.85868025</v>
      </c>
      <c r="DQ59" s="15" t="n">
        <v>422.60669476</v>
      </c>
      <c r="DR59" s="15" t="n">
        <v>252.55884241</v>
      </c>
      <c r="DS59" s="15" t="n">
        <v>203.02830144</v>
      </c>
      <c r="DT59" s="15" t="n">
        <v>313.81768201</v>
      </c>
      <c r="DU59" s="15" t="n">
        <v>195.96920121</v>
      </c>
      <c r="DV59" s="15" t="n">
        <v>304.38734089</v>
      </c>
      <c r="DW59" s="15" t="n">
        <v>362.788209</v>
      </c>
      <c r="DX59" s="15" t="n">
        <v>237.91828516</v>
      </c>
      <c r="DY59" s="15" t="n">
        <v>507.6459609999999</v>
      </c>
      <c r="DZ59" s="15" t="n">
        <v>435.18966544</v>
      </c>
      <c r="EG59" s="15" t="n">
        <v>2</v>
      </c>
      <c r="EH59" s="15" t="n">
        <v>282.89894416</v>
      </c>
      <c r="EI59" s="15" t="n">
        <v>213.68884761</v>
      </c>
      <c r="EJ59" s="15" t="n">
        <v>241.926916</v>
      </c>
      <c r="EK59" s="15" t="n">
        <v>590.5580419600001</v>
      </c>
      <c r="EL59" s="15" t="n">
        <v>388.85868025</v>
      </c>
      <c r="EM59" s="15" t="n">
        <v>422.60669476</v>
      </c>
      <c r="EN59" s="15" t="n">
        <v>252.55884241</v>
      </c>
      <c r="EO59" s="15" t="n">
        <v>203.02830144</v>
      </c>
      <c r="EP59" s="15" t="n">
        <v>313.81768201</v>
      </c>
      <c r="EQ59" s="15" t="n">
        <v>195.96920121</v>
      </c>
      <c r="ER59" s="15" t="n">
        <v>304.38734089</v>
      </c>
      <c r="ES59" s="15" t="n">
        <v>362.788209</v>
      </c>
      <c r="ET59" s="15" t="n">
        <v>237.91828516</v>
      </c>
      <c r="EU59" s="15" t="n">
        <v>507.6459609999999</v>
      </c>
      <c r="EV59" s="15" t="n">
        <v>435.18966544</v>
      </c>
      <c r="FC59" s="15" t="n">
        <v>2</v>
      </c>
      <c r="FD59" s="15" t="n">
        <v>282.89894416</v>
      </c>
      <c r="FE59" s="15" t="n">
        <v>213.68884761</v>
      </c>
      <c r="FF59" s="15" t="n">
        <v>241.926916</v>
      </c>
      <c r="FG59" s="15" t="n">
        <v>590.5580419600001</v>
      </c>
      <c r="FH59" s="15" t="n">
        <v>388.85868025</v>
      </c>
      <c r="FI59" s="15" t="n">
        <v>422.60669476</v>
      </c>
      <c r="FJ59" s="15" t="n">
        <v>252.55884241</v>
      </c>
      <c r="FK59" s="15" t="n">
        <v>203.02830144</v>
      </c>
      <c r="FL59" s="15" t="n">
        <v>313.81768201</v>
      </c>
      <c r="FM59" s="15" t="n">
        <v>195.96920121</v>
      </c>
      <c r="FN59" s="15" t="n">
        <v>304.38734089</v>
      </c>
      <c r="FO59" s="15" t="n">
        <v>362.788209</v>
      </c>
      <c r="FP59" s="15" t="n">
        <v>237.91828516</v>
      </c>
      <c r="FQ59" s="15" t="n">
        <v>507.6459609999999</v>
      </c>
      <c r="FR59" s="15" t="n">
        <v>435.18966544</v>
      </c>
      <c r="FY59" s="15" t="n">
        <v>2</v>
      </c>
      <c r="FZ59" s="15" t="n">
        <v>282.89894416</v>
      </c>
      <c r="GA59" s="15" t="n">
        <v>213.68884761</v>
      </c>
      <c r="GB59" s="15" t="n">
        <v>241.926916</v>
      </c>
      <c r="GC59" s="15" t="n">
        <v>590.5580419600001</v>
      </c>
      <c r="GD59" s="15" t="n">
        <v>388.85868025</v>
      </c>
      <c r="GE59" s="15" t="n">
        <v>422.60669476</v>
      </c>
      <c r="GF59" s="15" t="n">
        <v>252.55884241</v>
      </c>
      <c r="GG59" s="15" t="n">
        <v>203.02830144</v>
      </c>
      <c r="GH59" s="15" t="n">
        <v>313.81768201</v>
      </c>
      <c r="GI59" s="15" t="n">
        <v>195.96920121</v>
      </c>
      <c r="GJ59" s="15" t="n">
        <v>304.38734089</v>
      </c>
      <c r="GK59" s="15" t="n">
        <v>362.788209</v>
      </c>
      <c r="GL59" s="15" t="n">
        <v>237.91828516</v>
      </c>
      <c r="GM59" s="15" t="n">
        <v>507.6459609999999</v>
      </c>
      <c r="GN59" s="15" t="n">
        <v>435.18966544</v>
      </c>
      <c r="GU59" s="15" t="n">
        <v>2</v>
      </c>
      <c r="GV59" s="15" t="n">
        <v>282.89894416</v>
      </c>
      <c r="GW59" s="15" t="n">
        <v>213.68884761</v>
      </c>
      <c r="GX59" s="15" t="n">
        <v>241.926916</v>
      </c>
      <c r="GY59" s="15" t="n">
        <v>590.5580419600001</v>
      </c>
      <c r="GZ59" s="15" t="n">
        <v>388.85868025</v>
      </c>
      <c r="HA59" s="15" t="n">
        <v>422.60669476</v>
      </c>
      <c r="HB59" s="15" t="n">
        <v>252.55884241</v>
      </c>
      <c r="HC59" s="15" t="n">
        <v>203.02830144</v>
      </c>
      <c r="HD59" s="15" t="n">
        <v>313.81768201</v>
      </c>
      <c r="HE59" s="15" t="n">
        <v>195.96920121</v>
      </c>
      <c r="HF59" s="15" t="n">
        <v>304.38734089</v>
      </c>
      <c r="HG59" s="15" t="n">
        <v>362.788209</v>
      </c>
      <c r="HH59" s="15" t="n">
        <v>237.91828516</v>
      </c>
      <c r="HI59" s="15" t="n">
        <v>507.6459609999999</v>
      </c>
      <c r="HJ59" s="15" t="n">
        <v>435.18966544</v>
      </c>
    </row>
    <row r="60">
      <c r="C60" s="15" t="n">
        <v>3</v>
      </c>
      <c r="D60" s="79">
        <f>Matlab_Data!D20</f>
        <v/>
      </c>
      <c r="E60" s="79">
        <f>Matlab_Data!E20</f>
        <v/>
      </c>
      <c r="F60" s="79">
        <f>Matlab_Data!F20</f>
        <v/>
      </c>
      <c r="G60" s="79">
        <f>Matlab_Data!G20</f>
        <v/>
      </c>
      <c r="H60" s="79">
        <f>Matlab_Data!H20</f>
        <v/>
      </c>
      <c r="I60" s="79">
        <f>Matlab_Data!I20</f>
        <v/>
      </c>
      <c r="J60" s="79">
        <f>Matlab_Data!J20</f>
        <v/>
      </c>
      <c r="K60" s="79">
        <f>Matlab_Data!K20</f>
        <v/>
      </c>
      <c r="L60" s="79">
        <f>Matlab_Data!L20</f>
        <v/>
      </c>
      <c r="M60" s="79">
        <f>Matlab_Data!M20</f>
        <v/>
      </c>
      <c r="N60" s="79">
        <f>Matlab_Data!N20</f>
        <v/>
      </c>
      <c r="O60" s="79">
        <f>Matlab_Data!O20</f>
        <v/>
      </c>
      <c r="P60" s="79">
        <f>Matlab_Data!P20</f>
        <v/>
      </c>
      <c r="Q60" s="79">
        <f>Matlab_Data!Q20</f>
        <v/>
      </c>
      <c r="R60" s="79">
        <f>Matlab_Data!R20</f>
        <v/>
      </c>
      <c r="Y60" s="79" t="n"/>
      <c r="Z60" s="79" t="n"/>
      <c r="AA60" s="79" t="n">
        <v>3</v>
      </c>
      <c r="AB60" s="79" t="n">
        <v>467.04828769</v>
      </c>
      <c r="AC60" s="79" t="n">
        <v>262.44972009</v>
      </c>
      <c r="AD60" s="79" t="n">
        <v>289.0782052900001</v>
      </c>
      <c r="AE60" s="79" t="n">
        <v>583.14522256</v>
      </c>
      <c r="AF60" s="79" t="n">
        <v>279.06704809</v>
      </c>
      <c r="AG60" s="79" t="n">
        <v>466.86677041</v>
      </c>
      <c r="AH60" s="79" t="n">
        <v>270.799936</v>
      </c>
      <c r="AI60" s="79" t="n">
        <v>382.14776196</v>
      </c>
      <c r="AJ60" s="79" t="n">
        <v>306.8593027599999</v>
      </c>
      <c r="AK60" s="79" t="n">
        <v>223.66997136</v>
      </c>
      <c r="AL60" s="79" t="n">
        <v>263.0884</v>
      </c>
      <c r="AM60" s="79" t="n">
        <v>274.9892558399999</v>
      </c>
      <c r="AN60" s="15" t="n">
        <v>406.8289000000001</v>
      </c>
      <c r="AO60" s="15" t="n">
        <v>367.95679684</v>
      </c>
      <c r="AP60" s="15" t="n">
        <v>362.32741801</v>
      </c>
      <c r="AW60" s="15" t="n">
        <v>3</v>
      </c>
      <c r="AX60" s="15" t="n">
        <v>467.04828769</v>
      </c>
      <c r="AY60" s="15" t="n">
        <v>262.44972009</v>
      </c>
      <c r="AZ60" s="15" t="n">
        <v>289.0782052900001</v>
      </c>
      <c r="BA60" s="15" t="n">
        <v>583.14522256</v>
      </c>
      <c r="BB60" s="15" t="n">
        <v>279.06704809</v>
      </c>
      <c r="BC60" s="15" t="n">
        <v>466.86677041</v>
      </c>
      <c r="BD60" s="15" t="n">
        <v>270.799936</v>
      </c>
      <c r="BE60" s="15" t="n">
        <v>382.14776196</v>
      </c>
      <c r="BF60" s="15" t="n">
        <v>306.8593027599999</v>
      </c>
      <c r="BG60" s="15" t="n">
        <v>223.66997136</v>
      </c>
      <c r="BH60" s="15" t="n">
        <v>263.0884</v>
      </c>
      <c r="BI60" s="15" t="n">
        <v>274.9892558399999</v>
      </c>
      <c r="BJ60" s="15" t="n">
        <v>406.8289000000001</v>
      </c>
      <c r="BK60" s="15" t="n">
        <v>367.95679684</v>
      </c>
      <c r="BL60" s="15" t="n">
        <v>362.32741801</v>
      </c>
      <c r="BS60" s="15" t="n">
        <v>3</v>
      </c>
      <c r="BT60" s="15" t="n">
        <v>467.04828769</v>
      </c>
      <c r="BU60" s="15" t="n">
        <v>262.44972009</v>
      </c>
      <c r="BV60" s="15" t="n">
        <v>289.0782052900001</v>
      </c>
      <c r="BW60" s="15" t="n">
        <v>583.14522256</v>
      </c>
      <c r="BX60" s="15" t="n">
        <v>279.06704809</v>
      </c>
      <c r="BY60" s="15" t="n">
        <v>466.86677041</v>
      </c>
      <c r="BZ60" s="15" t="n">
        <v>270.799936</v>
      </c>
      <c r="CA60" s="15" t="n">
        <v>382.14776196</v>
      </c>
      <c r="CB60" s="15" t="n">
        <v>306.8593027599999</v>
      </c>
      <c r="CC60" s="15" t="n">
        <v>223.66997136</v>
      </c>
      <c r="CD60" s="15" t="n">
        <v>263.0884</v>
      </c>
      <c r="CE60" s="15" t="n">
        <v>274.9892558399999</v>
      </c>
      <c r="CF60" s="15" t="n">
        <v>406.8289000000001</v>
      </c>
      <c r="CG60" s="15" t="n">
        <v>367.95679684</v>
      </c>
      <c r="CH60" s="15" t="n">
        <v>362.32741801</v>
      </c>
      <c r="CO60" s="15" t="n">
        <v>3</v>
      </c>
      <c r="CP60" s="15" t="n">
        <v>467.04828769</v>
      </c>
      <c r="CQ60" s="15" t="n">
        <v>262.44972009</v>
      </c>
      <c r="CR60" s="15" t="n">
        <v>289.0782052900001</v>
      </c>
      <c r="CS60" s="15" t="n">
        <v>583.14522256</v>
      </c>
      <c r="CT60" s="15" t="n">
        <v>279.06704809</v>
      </c>
      <c r="CU60" s="15" t="n">
        <v>466.86677041</v>
      </c>
      <c r="CV60" s="15" t="n">
        <v>270.799936</v>
      </c>
      <c r="CW60" s="15" t="n">
        <v>382.14776196</v>
      </c>
      <c r="CX60" s="15" t="n">
        <v>306.8593027599999</v>
      </c>
      <c r="CY60" s="15" t="n">
        <v>223.66997136</v>
      </c>
      <c r="CZ60" s="15" t="n">
        <v>263.0884</v>
      </c>
      <c r="DA60" s="15" t="n">
        <v>274.9892558399999</v>
      </c>
      <c r="DB60" s="15" t="n">
        <v>406.8289000000001</v>
      </c>
      <c r="DC60" s="15" t="n">
        <v>367.95679684</v>
      </c>
      <c r="DD60" s="15" t="n">
        <v>362.32741801</v>
      </c>
      <c r="DK60" s="15" t="n">
        <v>3</v>
      </c>
      <c r="DL60" s="15" t="n">
        <v>467.04828769</v>
      </c>
      <c r="DM60" s="15" t="n">
        <v>262.44972009</v>
      </c>
      <c r="DN60" s="15" t="n">
        <v>289.0782052900001</v>
      </c>
      <c r="DO60" s="15" t="n">
        <v>583.14522256</v>
      </c>
      <c r="DP60" s="15" t="n">
        <v>279.06704809</v>
      </c>
      <c r="DQ60" s="15" t="n">
        <v>466.86677041</v>
      </c>
      <c r="DR60" s="15" t="n">
        <v>270.799936</v>
      </c>
      <c r="DS60" s="15" t="n">
        <v>382.14776196</v>
      </c>
      <c r="DT60" s="15" t="n">
        <v>306.8593027599999</v>
      </c>
      <c r="DU60" s="15" t="n">
        <v>223.66997136</v>
      </c>
      <c r="DV60" s="15" t="n">
        <v>263.0884</v>
      </c>
      <c r="DW60" s="15" t="n">
        <v>274.9892558399999</v>
      </c>
      <c r="DX60" s="15" t="n">
        <v>406.8289000000001</v>
      </c>
      <c r="DY60" s="15" t="n">
        <v>367.95679684</v>
      </c>
      <c r="DZ60" s="15" t="n">
        <v>362.32741801</v>
      </c>
      <c r="EG60" s="15" t="n">
        <v>3</v>
      </c>
      <c r="EH60" s="15" t="n">
        <v>467.04828769</v>
      </c>
      <c r="EI60" s="15" t="n">
        <v>262.44972009</v>
      </c>
      <c r="EJ60" s="15" t="n">
        <v>289.0782052900001</v>
      </c>
      <c r="EK60" s="15" t="n">
        <v>583.14522256</v>
      </c>
      <c r="EL60" s="15" t="n">
        <v>279.06704809</v>
      </c>
      <c r="EM60" s="15" t="n">
        <v>466.86677041</v>
      </c>
      <c r="EN60" s="15" t="n">
        <v>270.799936</v>
      </c>
      <c r="EO60" s="15" t="n">
        <v>382.14776196</v>
      </c>
      <c r="EP60" s="15" t="n">
        <v>306.8593027599999</v>
      </c>
      <c r="EQ60" s="15" t="n">
        <v>223.66997136</v>
      </c>
      <c r="ER60" s="15" t="n">
        <v>263.0884</v>
      </c>
      <c r="ES60" s="15" t="n">
        <v>274.9892558399999</v>
      </c>
      <c r="ET60" s="15" t="n">
        <v>406.8289000000001</v>
      </c>
      <c r="EU60" s="15" t="n">
        <v>367.95679684</v>
      </c>
      <c r="EV60" s="15" t="n">
        <v>362.32741801</v>
      </c>
      <c r="FC60" s="15" t="n">
        <v>3</v>
      </c>
      <c r="FD60" s="15" t="n">
        <v>467.04828769</v>
      </c>
      <c r="FE60" s="15" t="n">
        <v>262.44972009</v>
      </c>
      <c r="FF60" s="15" t="n">
        <v>289.0782052900001</v>
      </c>
      <c r="FG60" s="15" t="n">
        <v>583.14522256</v>
      </c>
      <c r="FH60" s="15" t="n">
        <v>279.06704809</v>
      </c>
      <c r="FI60" s="15" t="n">
        <v>466.86677041</v>
      </c>
      <c r="FJ60" s="15" t="n">
        <v>270.799936</v>
      </c>
      <c r="FK60" s="15" t="n">
        <v>382.14776196</v>
      </c>
      <c r="FL60" s="15" t="n">
        <v>306.8593027599999</v>
      </c>
      <c r="FM60" s="15" t="n">
        <v>223.66997136</v>
      </c>
      <c r="FN60" s="15" t="n">
        <v>263.0884</v>
      </c>
      <c r="FO60" s="15" t="n">
        <v>274.9892558399999</v>
      </c>
      <c r="FP60" s="15" t="n">
        <v>406.8289000000001</v>
      </c>
      <c r="FQ60" s="15" t="n">
        <v>367.95679684</v>
      </c>
      <c r="FR60" s="15" t="n">
        <v>362.32741801</v>
      </c>
      <c r="FY60" s="15" t="n">
        <v>3</v>
      </c>
      <c r="FZ60" s="15" t="n">
        <v>467.04828769</v>
      </c>
      <c r="GA60" s="15" t="n">
        <v>262.44972009</v>
      </c>
      <c r="GB60" s="15" t="n">
        <v>289.0782052900001</v>
      </c>
      <c r="GC60" s="15" t="n">
        <v>583.14522256</v>
      </c>
      <c r="GD60" s="15" t="n">
        <v>279.06704809</v>
      </c>
      <c r="GE60" s="15" t="n">
        <v>466.86677041</v>
      </c>
      <c r="GF60" s="15" t="n">
        <v>270.799936</v>
      </c>
      <c r="GG60" s="15" t="n">
        <v>382.14776196</v>
      </c>
      <c r="GH60" s="15" t="n">
        <v>306.8593027599999</v>
      </c>
      <c r="GI60" s="15" t="n">
        <v>223.66997136</v>
      </c>
      <c r="GJ60" s="15" t="n">
        <v>263.0884</v>
      </c>
      <c r="GK60" s="15" t="n">
        <v>274.9892558399999</v>
      </c>
      <c r="GL60" s="15" t="n">
        <v>406.8289000000001</v>
      </c>
      <c r="GM60" s="15" t="n">
        <v>367.95679684</v>
      </c>
      <c r="GN60" s="15" t="n">
        <v>362.32741801</v>
      </c>
      <c r="GU60" s="15" t="n">
        <v>3</v>
      </c>
      <c r="GV60" s="15" t="n">
        <v>467.04828769</v>
      </c>
      <c r="GW60" s="15" t="n">
        <v>262.44972009</v>
      </c>
      <c r="GX60" s="15" t="n">
        <v>289.0782052900001</v>
      </c>
      <c r="GY60" s="15" t="n">
        <v>583.14522256</v>
      </c>
      <c r="GZ60" s="15" t="n">
        <v>279.06704809</v>
      </c>
      <c r="HA60" s="15" t="n">
        <v>466.86677041</v>
      </c>
      <c r="HB60" s="15" t="n">
        <v>270.799936</v>
      </c>
      <c r="HC60" s="15" t="n">
        <v>382.14776196</v>
      </c>
      <c r="HD60" s="15" t="n">
        <v>306.8593027599999</v>
      </c>
      <c r="HE60" s="15" t="n">
        <v>223.66997136</v>
      </c>
      <c r="HF60" s="15" t="n">
        <v>263.0884</v>
      </c>
      <c r="HG60" s="15" t="n">
        <v>274.9892558399999</v>
      </c>
      <c r="HH60" s="15" t="n">
        <v>406.8289000000001</v>
      </c>
      <c r="HI60" s="15" t="n">
        <v>367.95679684</v>
      </c>
      <c r="HJ60" s="15" t="n">
        <v>362.32741801</v>
      </c>
    </row>
    <row r="62" ht="16.2" customHeight="1">
      <c r="B62" s="15" t="inlineStr">
        <is>
          <t>Parâmetros p/ σx</t>
        </is>
      </c>
      <c r="C62" s="15" t="inlineStr">
        <is>
          <t>Desvpad(Var(S2nd))</t>
        </is>
      </c>
      <c r="D62" s="15" t="n">
        <v>1</v>
      </c>
      <c r="E62" s="15" t="n">
        <v>2</v>
      </c>
      <c r="F62" s="15" t="n">
        <v>3</v>
      </c>
      <c r="G62" s="15" t="n">
        <v>4</v>
      </c>
      <c r="H62" s="15" t="n">
        <v>5</v>
      </c>
      <c r="I62" s="15" t="n">
        <v>6</v>
      </c>
      <c r="J62" s="15" t="n">
        <v>7</v>
      </c>
      <c r="K62" s="15" t="n">
        <v>8</v>
      </c>
      <c r="L62" s="15" t="n">
        <v>9</v>
      </c>
      <c r="M62" s="15" t="n">
        <v>10</v>
      </c>
      <c r="N62" s="15" t="n">
        <v>11</v>
      </c>
      <c r="O62" s="15" t="n">
        <v>12</v>
      </c>
      <c r="P62" s="15" t="n">
        <v>13</v>
      </c>
      <c r="Q62" s="15" t="n">
        <v>14</v>
      </c>
      <c r="R62" s="15" t="n">
        <v>15</v>
      </c>
      <c r="Z62" s="15" t="inlineStr">
        <is>
          <t>Parâmetros p/ σx</t>
        </is>
      </c>
      <c r="AA62" s="15" t="inlineStr">
        <is>
          <t>Desvpad(Var(S2nd))</t>
        </is>
      </c>
      <c r="AB62" s="15" t="n">
        <v>1</v>
      </c>
      <c r="AC62" s="15" t="n">
        <v>2</v>
      </c>
      <c r="AD62" s="15" t="n">
        <v>3</v>
      </c>
      <c r="AE62" s="15" t="n">
        <v>4</v>
      </c>
      <c r="AF62" s="15" t="n">
        <v>5</v>
      </c>
      <c r="AG62" s="15" t="n">
        <v>6</v>
      </c>
      <c r="AH62" s="15" t="n">
        <v>7</v>
      </c>
      <c r="AI62" s="15" t="n">
        <v>8</v>
      </c>
      <c r="AJ62" s="15" t="n">
        <v>9</v>
      </c>
      <c r="AK62" s="15" t="n">
        <v>10</v>
      </c>
      <c r="AL62" s="15" t="n">
        <v>11</v>
      </c>
      <c r="AM62" s="15" t="n">
        <v>12</v>
      </c>
      <c r="AN62" s="15" t="n">
        <v>13</v>
      </c>
      <c r="AO62" s="15" t="n">
        <v>14</v>
      </c>
      <c r="AP62" s="15" t="n">
        <v>15</v>
      </c>
      <c r="AV62" s="15" t="inlineStr">
        <is>
          <t>Parâmetros p/ σx</t>
        </is>
      </c>
      <c r="AW62" s="15" t="inlineStr">
        <is>
          <t>Desvpad(Var(S2nd))</t>
        </is>
      </c>
      <c r="AX62" s="15" t="n">
        <v>1</v>
      </c>
      <c r="AY62" s="15" t="n">
        <v>2</v>
      </c>
      <c r="AZ62" s="15" t="n">
        <v>3</v>
      </c>
      <c r="BA62" s="15" t="n">
        <v>4</v>
      </c>
      <c r="BB62" s="15" t="n">
        <v>5</v>
      </c>
      <c r="BC62" s="15" t="n">
        <v>6</v>
      </c>
      <c r="BD62" s="15" t="n">
        <v>7</v>
      </c>
      <c r="BE62" s="15" t="n">
        <v>8</v>
      </c>
      <c r="BF62" s="15" t="n">
        <v>9</v>
      </c>
      <c r="BG62" s="15" t="n">
        <v>10</v>
      </c>
      <c r="BH62" s="15" t="n">
        <v>11</v>
      </c>
      <c r="BI62" s="15" t="n">
        <v>12</v>
      </c>
      <c r="BJ62" s="15" t="n">
        <v>13</v>
      </c>
      <c r="BK62" s="15" t="n">
        <v>14</v>
      </c>
      <c r="BL62" s="15" t="n">
        <v>15</v>
      </c>
      <c r="BR62" s="15" t="inlineStr">
        <is>
          <t>Parâmetros p/ σx</t>
        </is>
      </c>
      <c r="BS62" s="15" t="inlineStr">
        <is>
          <t>Desvpad(Var(S2nd))</t>
        </is>
      </c>
      <c r="BT62" s="15" t="n">
        <v>1</v>
      </c>
      <c r="BU62" s="15" t="n">
        <v>2</v>
      </c>
      <c r="BV62" s="15" t="n">
        <v>3</v>
      </c>
      <c r="BW62" s="15" t="n">
        <v>4</v>
      </c>
      <c r="BX62" s="15" t="n">
        <v>5</v>
      </c>
      <c r="BY62" s="15" t="n">
        <v>6</v>
      </c>
      <c r="BZ62" s="15" t="n">
        <v>7</v>
      </c>
      <c r="CA62" s="15" t="n">
        <v>8</v>
      </c>
      <c r="CB62" s="15" t="n">
        <v>9</v>
      </c>
      <c r="CC62" s="15" t="n">
        <v>10</v>
      </c>
      <c r="CD62" s="15" t="n">
        <v>11</v>
      </c>
      <c r="CE62" s="15" t="n">
        <v>12</v>
      </c>
      <c r="CF62" s="15" t="n">
        <v>13</v>
      </c>
      <c r="CG62" s="15" t="n">
        <v>14</v>
      </c>
      <c r="CH62" s="15" t="n">
        <v>15</v>
      </c>
      <c r="CN62" s="15" t="inlineStr">
        <is>
          <t>Parâmetros p/ σx</t>
        </is>
      </c>
      <c r="CO62" s="15" t="inlineStr">
        <is>
          <t>Desvpad(Var(S2nd))</t>
        </is>
      </c>
      <c r="CP62" s="15" t="n">
        <v>1</v>
      </c>
      <c r="CQ62" s="15" t="n">
        <v>2</v>
      </c>
      <c r="CR62" s="15" t="n">
        <v>3</v>
      </c>
      <c r="CS62" s="15" t="n">
        <v>4</v>
      </c>
      <c r="CT62" s="15" t="n">
        <v>5</v>
      </c>
      <c r="CU62" s="15" t="n">
        <v>6</v>
      </c>
      <c r="CV62" s="15" t="n">
        <v>7</v>
      </c>
      <c r="CW62" s="15" t="n">
        <v>8</v>
      </c>
      <c r="CX62" s="15" t="n">
        <v>9</v>
      </c>
      <c r="CY62" s="15" t="n">
        <v>10</v>
      </c>
      <c r="CZ62" s="15" t="n">
        <v>11</v>
      </c>
      <c r="DA62" s="15" t="n">
        <v>12</v>
      </c>
      <c r="DB62" s="15" t="n">
        <v>13</v>
      </c>
      <c r="DC62" s="15" t="n">
        <v>14</v>
      </c>
      <c r="DD62" s="15" t="n">
        <v>15</v>
      </c>
      <c r="DJ62" s="15" t="inlineStr">
        <is>
          <t>Parâmetros p/ σx</t>
        </is>
      </c>
      <c r="DK62" s="15" t="inlineStr">
        <is>
          <t>Desvpad(Var(S2nd))</t>
        </is>
      </c>
      <c r="DL62" s="15" t="n">
        <v>1</v>
      </c>
      <c r="DM62" s="15" t="n">
        <v>2</v>
      </c>
      <c r="DN62" s="15" t="n">
        <v>3</v>
      </c>
      <c r="DO62" s="15" t="n">
        <v>4</v>
      </c>
      <c r="DP62" s="15" t="n">
        <v>5</v>
      </c>
      <c r="DQ62" s="15" t="n">
        <v>6</v>
      </c>
      <c r="DR62" s="15" t="n">
        <v>7</v>
      </c>
      <c r="DS62" s="15" t="n">
        <v>8</v>
      </c>
      <c r="DT62" s="15" t="n">
        <v>9</v>
      </c>
      <c r="DU62" s="15" t="n">
        <v>10</v>
      </c>
      <c r="DV62" s="15" t="n">
        <v>11</v>
      </c>
      <c r="DW62" s="15" t="n">
        <v>12</v>
      </c>
      <c r="DX62" s="15" t="n">
        <v>13</v>
      </c>
      <c r="DY62" s="15" t="n">
        <v>14</v>
      </c>
      <c r="DZ62" s="15" t="n">
        <v>15</v>
      </c>
      <c r="EF62" s="15" t="inlineStr">
        <is>
          <t>Parâmetros p/ σx</t>
        </is>
      </c>
      <c r="EG62" s="15" t="inlineStr">
        <is>
          <t>Desvpad(Var(S2nd))</t>
        </is>
      </c>
      <c r="EH62" s="15" t="n">
        <v>1</v>
      </c>
      <c r="EI62" s="15" t="n">
        <v>2</v>
      </c>
      <c r="EJ62" s="15" t="n">
        <v>3</v>
      </c>
      <c r="EK62" s="15" t="n">
        <v>4</v>
      </c>
      <c r="EL62" s="15" t="n">
        <v>5</v>
      </c>
      <c r="EM62" s="15" t="n">
        <v>6</v>
      </c>
      <c r="EN62" s="15" t="n">
        <v>7</v>
      </c>
      <c r="EO62" s="15" t="n">
        <v>8</v>
      </c>
      <c r="EP62" s="15" t="n">
        <v>9</v>
      </c>
      <c r="EQ62" s="15" t="n">
        <v>10</v>
      </c>
      <c r="ER62" s="15" t="n">
        <v>11</v>
      </c>
      <c r="ES62" s="15" t="n">
        <v>12</v>
      </c>
      <c r="ET62" s="15" t="n">
        <v>13</v>
      </c>
      <c r="EU62" s="15" t="n">
        <v>14</v>
      </c>
      <c r="EV62" s="15" t="n">
        <v>15</v>
      </c>
      <c r="FB62" s="15" t="inlineStr">
        <is>
          <t>Parâmetros p/ σx</t>
        </is>
      </c>
      <c r="FC62" s="15" t="inlineStr">
        <is>
          <t>Desvpad(Var(S2nd))</t>
        </is>
      </c>
      <c r="FD62" s="15" t="n">
        <v>1</v>
      </c>
      <c r="FE62" s="15" t="n">
        <v>2</v>
      </c>
      <c r="FF62" s="15" t="n">
        <v>3</v>
      </c>
      <c r="FG62" s="15" t="n">
        <v>4</v>
      </c>
      <c r="FH62" s="15" t="n">
        <v>5</v>
      </c>
      <c r="FI62" s="15" t="n">
        <v>6</v>
      </c>
      <c r="FJ62" s="15" t="n">
        <v>7</v>
      </c>
      <c r="FK62" s="15" t="n">
        <v>8</v>
      </c>
      <c r="FL62" s="15" t="n">
        <v>9</v>
      </c>
      <c r="FM62" s="15" t="n">
        <v>10</v>
      </c>
      <c r="FN62" s="15" t="n">
        <v>11</v>
      </c>
      <c r="FO62" s="15" t="n">
        <v>12</v>
      </c>
      <c r="FP62" s="15" t="n">
        <v>13</v>
      </c>
      <c r="FQ62" s="15" t="n">
        <v>14</v>
      </c>
      <c r="FR62" s="15" t="n">
        <v>15</v>
      </c>
      <c r="FX62" s="15" t="inlineStr">
        <is>
          <t>Parâmetros p/ σx</t>
        </is>
      </c>
      <c r="FY62" s="15" t="inlineStr">
        <is>
          <t>Desvpad(Var(S2nd))</t>
        </is>
      </c>
      <c r="FZ62" s="15" t="n">
        <v>1</v>
      </c>
      <c r="GA62" s="15" t="n">
        <v>2</v>
      </c>
      <c r="GB62" s="15" t="n">
        <v>3</v>
      </c>
      <c r="GC62" s="15" t="n">
        <v>4</v>
      </c>
      <c r="GD62" s="15" t="n">
        <v>5</v>
      </c>
      <c r="GE62" s="15" t="n">
        <v>6</v>
      </c>
      <c r="GF62" s="15" t="n">
        <v>7</v>
      </c>
      <c r="GG62" s="15" t="n">
        <v>8</v>
      </c>
      <c r="GH62" s="15" t="n">
        <v>9</v>
      </c>
      <c r="GI62" s="15" t="n">
        <v>10</v>
      </c>
      <c r="GJ62" s="15" t="n">
        <v>11</v>
      </c>
      <c r="GK62" s="15" t="n">
        <v>12</v>
      </c>
      <c r="GL62" s="15" t="n">
        <v>13</v>
      </c>
      <c r="GM62" s="15" t="n">
        <v>14</v>
      </c>
      <c r="GN62" s="15" t="n">
        <v>15</v>
      </c>
      <c r="GT62" s="15" t="inlineStr">
        <is>
          <t>Parâmetros p/ σx</t>
        </is>
      </c>
      <c r="GU62" s="15" t="inlineStr">
        <is>
          <t>Desvpad(Var(S2nd))</t>
        </is>
      </c>
      <c r="GV62" s="15" t="n">
        <v>1</v>
      </c>
      <c r="GW62" s="15" t="n">
        <v>2</v>
      </c>
      <c r="GX62" s="15" t="n">
        <v>3</v>
      </c>
      <c r="GY62" s="15" t="n">
        <v>4</v>
      </c>
      <c r="GZ62" s="15" t="n">
        <v>5</v>
      </c>
      <c r="HA62" s="15" t="n">
        <v>6</v>
      </c>
      <c r="HB62" s="15" t="n">
        <v>7</v>
      </c>
      <c r="HC62" s="15" t="n">
        <v>8</v>
      </c>
      <c r="HD62" s="15" t="n">
        <v>9</v>
      </c>
      <c r="HE62" s="15" t="n">
        <v>10</v>
      </c>
      <c r="HF62" s="15" t="n">
        <v>11</v>
      </c>
      <c r="HG62" s="15" t="n">
        <v>12</v>
      </c>
      <c r="HH62" s="15" t="n">
        <v>13</v>
      </c>
      <c r="HI62" s="15" t="n">
        <v>14</v>
      </c>
      <c r="HJ62" s="15" t="n">
        <v>15</v>
      </c>
    </row>
    <row r="63" ht="16.2" customHeight="1">
      <c r="B63" s="15" t="inlineStr">
        <is>
          <t>S2nd</t>
        </is>
      </c>
      <c r="C63" s="15" t="n">
        <v>1</v>
      </c>
      <c r="D63" s="79">
        <f>Matlab_Data!D23</f>
        <v/>
      </c>
      <c r="E63" s="79">
        <f>Matlab_Data!E23</f>
        <v/>
      </c>
      <c r="F63" s="79">
        <f>Matlab_Data!F23</f>
        <v/>
      </c>
      <c r="G63" s="79">
        <f>Matlab_Data!G23</f>
        <v/>
      </c>
      <c r="H63" s="79">
        <f>Matlab_Data!H23</f>
        <v/>
      </c>
      <c r="I63" s="79">
        <f>Matlab_Data!I23</f>
        <v/>
      </c>
      <c r="J63" s="79">
        <f>Matlab_Data!J23</f>
        <v/>
      </c>
      <c r="K63" s="79">
        <f>Matlab_Data!K23</f>
        <v/>
      </c>
      <c r="L63" s="79">
        <f>Matlab_Data!L23</f>
        <v/>
      </c>
      <c r="M63" s="79">
        <f>Matlab_Data!M23</f>
        <v/>
      </c>
      <c r="N63" s="79">
        <f>Matlab_Data!N23</f>
        <v/>
      </c>
      <c r="O63" s="79">
        <f>Matlab_Data!O23</f>
        <v/>
      </c>
      <c r="P63" s="79">
        <f>Matlab_Data!P23</f>
        <v/>
      </c>
      <c r="Q63" s="79">
        <f>Matlab_Data!Q23</f>
        <v/>
      </c>
      <c r="R63" s="79">
        <f>Matlab_Data!R23</f>
        <v/>
      </c>
      <c r="T63" s="39">
        <f>SUM(D63:R65)</f>
        <v/>
      </c>
      <c r="U63" s="39" t="n">
        <v>8523.549400000002</v>
      </c>
      <c r="V63" s="39">
        <f>T63-U63</f>
        <v/>
      </c>
      <c r="W63" s="39" t="n"/>
      <c r="X63" s="39" t="n"/>
      <c r="Y63" s="79" t="n"/>
      <c r="Z63" s="79" t="inlineStr">
        <is>
          <t>S2nd</t>
        </is>
      </c>
      <c r="AA63" s="79" t="n">
        <v>1</v>
      </c>
      <c r="AB63" s="79" t="n">
        <v>112.4037</v>
      </c>
      <c r="AC63" s="79" t="n">
        <v>150.5519</v>
      </c>
      <c r="AD63" s="79" t="n">
        <v>150.0761</v>
      </c>
      <c r="AE63" s="79" t="n">
        <v>125.8954</v>
      </c>
      <c r="AF63" s="79" t="n">
        <v>277.3852</v>
      </c>
      <c r="AG63" s="79" t="n">
        <v>114.4701</v>
      </c>
      <c r="AH63" s="79" t="n">
        <v>139.7176</v>
      </c>
      <c r="AI63" s="79" t="n">
        <v>251.6818</v>
      </c>
      <c r="AJ63" s="79" t="n">
        <v>197.052</v>
      </c>
      <c r="AK63" s="79" t="n">
        <v>181.9621</v>
      </c>
      <c r="AL63" s="79" t="n">
        <v>277.4759</v>
      </c>
      <c r="AM63" s="79" t="n">
        <v>84.7787</v>
      </c>
      <c r="AN63" s="15" t="n">
        <v>123.9421</v>
      </c>
      <c r="AO63" s="15" t="n">
        <v>109.4126</v>
      </c>
      <c r="AP63" s="15" t="n">
        <v>346.4116</v>
      </c>
      <c r="AV63" s="15" t="inlineStr">
        <is>
          <t>S2nd</t>
        </is>
      </c>
      <c r="AW63" s="15" t="n">
        <v>1</v>
      </c>
      <c r="AX63" s="15" t="n">
        <v>112.4037</v>
      </c>
      <c r="AY63" s="15" t="n">
        <v>150.5519</v>
      </c>
      <c r="AZ63" s="15" t="n">
        <v>150.0761</v>
      </c>
      <c r="BA63" s="15" t="n">
        <v>125.8954</v>
      </c>
      <c r="BB63" s="15" t="n">
        <v>277.3852</v>
      </c>
      <c r="BC63" s="15" t="n">
        <v>114.4701</v>
      </c>
      <c r="BD63" s="15" t="n">
        <v>139.7176</v>
      </c>
      <c r="BE63" s="15" t="n">
        <v>251.6818</v>
      </c>
      <c r="BF63" s="15" t="n">
        <v>197.052</v>
      </c>
      <c r="BG63" s="15" t="n">
        <v>181.9621</v>
      </c>
      <c r="BH63" s="15" t="n">
        <v>277.4759</v>
      </c>
      <c r="BI63" s="15" t="n">
        <v>84.7787</v>
      </c>
      <c r="BJ63" s="15" t="n">
        <v>123.9421</v>
      </c>
      <c r="BK63" s="15" t="n">
        <v>109.4126</v>
      </c>
      <c r="BL63" s="15" t="n">
        <v>346.4116</v>
      </c>
      <c r="BR63" s="15" t="inlineStr">
        <is>
          <t>S2nd</t>
        </is>
      </c>
      <c r="BS63" s="15" t="n">
        <v>1</v>
      </c>
      <c r="BT63" s="15" t="n">
        <v>112.4037</v>
      </c>
      <c r="BU63" s="15" t="n">
        <v>150.5519</v>
      </c>
      <c r="BV63" s="15" t="n">
        <v>150.0761</v>
      </c>
      <c r="BW63" s="15" t="n">
        <v>125.8954</v>
      </c>
      <c r="BX63" s="15" t="n">
        <v>277.3852</v>
      </c>
      <c r="BY63" s="15" t="n">
        <v>114.4701</v>
      </c>
      <c r="BZ63" s="15" t="n">
        <v>139.7176</v>
      </c>
      <c r="CA63" s="15" t="n">
        <v>251.6818</v>
      </c>
      <c r="CB63" s="15" t="n">
        <v>197.052</v>
      </c>
      <c r="CC63" s="15" t="n">
        <v>181.9621</v>
      </c>
      <c r="CD63" s="15" t="n">
        <v>277.4759</v>
      </c>
      <c r="CE63" s="15" t="n">
        <v>84.7787</v>
      </c>
      <c r="CF63" s="15" t="n">
        <v>123.9421</v>
      </c>
      <c r="CG63" s="15" t="n">
        <v>109.4126</v>
      </c>
      <c r="CH63" s="15" t="n">
        <v>346.4116</v>
      </c>
      <c r="CN63" s="15" t="inlineStr">
        <is>
          <t>S2nd</t>
        </is>
      </c>
      <c r="CO63" s="15" t="n">
        <v>1</v>
      </c>
      <c r="CP63" s="15" t="n">
        <v>112.4037</v>
      </c>
      <c r="CQ63" s="15" t="n">
        <v>150.5519</v>
      </c>
      <c r="CR63" s="15" t="n">
        <v>150.0761</v>
      </c>
      <c r="CS63" s="15" t="n">
        <v>125.8954</v>
      </c>
      <c r="CT63" s="15" t="n">
        <v>277.3852</v>
      </c>
      <c r="CU63" s="15" t="n">
        <v>114.4701</v>
      </c>
      <c r="CV63" s="15" t="n">
        <v>139.7176</v>
      </c>
      <c r="CW63" s="15" t="n">
        <v>251.6818</v>
      </c>
      <c r="CX63" s="15" t="n">
        <v>197.052</v>
      </c>
      <c r="CY63" s="15" t="n">
        <v>181.9621</v>
      </c>
      <c r="CZ63" s="15" t="n">
        <v>277.4759</v>
      </c>
      <c r="DA63" s="15" t="n">
        <v>84.7787</v>
      </c>
      <c r="DB63" s="15" t="n">
        <v>123.9421</v>
      </c>
      <c r="DC63" s="15" t="n">
        <v>109.4126</v>
      </c>
      <c r="DD63" s="15" t="n">
        <v>346.4116</v>
      </c>
      <c r="DJ63" s="15" t="inlineStr">
        <is>
          <t>S2nd</t>
        </is>
      </c>
      <c r="DK63" s="15" t="n">
        <v>1</v>
      </c>
      <c r="DL63" s="15" t="n">
        <v>112.4037</v>
      </c>
      <c r="DM63" s="15" t="n">
        <v>150.5519</v>
      </c>
      <c r="DN63" s="15" t="n">
        <v>150.0761</v>
      </c>
      <c r="DO63" s="15" t="n">
        <v>125.8954</v>
      </c>
      <c r="DP63" s="15" t="n">
        <v>277.3852</v>
      </c>
      <c r="DQ63" s="15" t="n">
        <v>114.4701</v>
      </c>
      <c r="DR63" s="15" t="n">
        <v>139.7176</v>
      </c>
      <c r="DS63" s="15" t="n">
        <v>251.6818</v>
      </c>
      <c r="DT63" s="15" t="n">
        <v>197.052</v>
      </c>
      <c r="DU63" s="15" t="n">
        <v>181.9621</v>
      </c>
      <c r="DV63" s="15" t="n">
        <v>277.4759</v>
      </c>
      <c r="DW63" s="15" t="n">
        <v>84.7787</v>
      </c>
      <c r="DX63" s="15" t="n">
        <v>123.9421</v>
      </c>
      <c r="DY63" s="15" t="n">
        <v>109.4126</v>
      </c>
      <c r="DZ63" s="15" t="n">
        <v>346.4116</v>
      </c>
      <c r="EF63" s="15" t="inlineStr">
        <is>
          <t>S2nd</t>
        </is>
      </c>
      <c r="EG63" s="15" t="n">
        <v>1</v>
      </c>
      <c r="EH63" s="15" t="n">
        <v>112.4037</v>
      </c>
      <c r="EI63" s="15" t="n">
        <v>150.5519</v>
      </c>
      <c r="EJ63" s="15" t="n">
        <v>150.0761</v>
      </c>
      <c r="EK63" s="15" t="n">
        <v>125.8954</v>
      </c>
      <c r="EL63" s="15" t="n">
        <v>277.3852</v>
      </c>
      <c r="EM63" s="15" t="n">
        <v>114.4701</v>
      </c>
      <c r="EN63" s="15" t="n">
        <v>139.7176</v>
      </c>
      <c r="EO63" s="15" t="n">
        <v>251.6818</v>
      </c>
      <c r="EP63" s="15" t="n">
        <v>197.052</v>
      </c>
      <c r="EQ63" s="15" t="n">
        <v>181.9621</v>
      </c>
      <c r="ER63" s="15" t="n">
        <v>277.4759</v>
      </c>
      <c r="ES63" s="15" t="n">
        <v>84.7787</v>
      </c>
      <c r="ET63" s="15" t="n">
        <v>123.9421</v>
      </c>
      <c r="EU63" s="15" t="n">
        <v>109.4126</v>
      </c>
      <c r="EV63" s="15" t="n">
        <v>346.4116</v>
      </c>
      <c r="FB63" s="15" t="inlineStr">
        <is>
          <t>S2nd</t>
        </is>
      </c>
      <c r="FC63" s="15" t="n">
        <v>1</v>
      </c>
      <c r="FD63" s="15" t="n">
        <v>112.4037</v>
      </c>
      <c r="FE63" s="15" t="n">
        <v>150.5519</v>
      </c>
      <c r="FF63" s="15" t="n">
        <v>150.0761</v>
      </c>
      <c r="FG63" s="15" t="n">
        <v>125.8954</v>
      </c>
      <c r="FH63" s="15" t="n">
        <v>277.3852</v>
      </c>
      <c r="FI63" s="15" t="n">
        <v>114.4701</v>
      </c>
      <c r="FJ63" s="15" t="n">
        <v>139.7176</v>
      </c>
      <c r="FK63" s="15" t="n">
        <v>251.6818</v>
      </c>
      <c r="FL63" s="15" t="n">
        <v>197.052</v>
      </c>
      <c r="FM63" s="15" t="n">
        <v>181.9621</v>
      </c>
      <c r="FN63" s="15" t="n">
        <v>277.4759</v>
      </c>
      <c r="FO63" s="15" t="n">
        <v>84.7787</v>
      </c>
      <c r="FP63" s="15" t="n">
        <v>123.9421</v>
      </c>
      <c r="FQ63" s="15" t="n">
        <v>109.4126</v>
      </c>
      <c r="FR63" s="15" t="n">
        <v>346.4116</v>
      </c>
      <c r="FX63" s="15" t="inlineStr">
        <is>
          <t>S2nd</t>
        </is>
      </c>
      <c r="FY63" s="15" t="n">
        <v>1</v>
      </c>
      <c r="FZ63" s="15" t="n">
        <v>112.4037</v>
      </c>
      <c r="GA63" s="15" t="n">
        <v>150.5519</v>
      </c>
      <c r="GB63" s="15" t="n">
        <v>150.0761</v>
      </c>
      <c r="GC63" s="15" t="n">
        <v>125.8954</v>
      </c>
      <c r="GD63" s="15" t="n">
        <v>277.3852</v>
      </c>
      <c r="GE63" s="15" t="n">
        <v>114.4701</v>
      </c>
      <c r="GF63" s="15" t="n">
        <v>139.7176</v>
      </c>
      <c r="GG63" s="15" t="n">
        <v>251.6818</v>
      </c>
      <c r="GH63" s="15" t="n">
        <v>197.052</v>
      </c>
      <c r="GI63" s="15" t="n">
        <v>181.9621</v>
      </c>
      <c r="GJ63" s="15" t="n">
        <v>277.4759</v>
      </c>
      <c r="GK63" s="15" t="n">
        <v>84.7787</v>
      </c>
      <c r="GL63" s="15" t="n">
        <v>123.9421</v>
      </c>
      <c r="GM63" s="15" t="n">
        <v>109.4126</v>
      </c>
      <c r="GN63" s="15" t="n">
        <v>346.4116</v>
      </c>
      <c r="GT63" s="15" t="inlineStr">
        <is>
          <t>S2nd</t>
        </is>
      </c>
      <c r="GU63" s="15" t="n">
        <v>1</v>
      </c>
      <c r="GV63" s="15" t="n">
        <v>112.4037</v>
      </c>
      <c r="GW63" s="15" t="n">
        <v>150.5519</v>
      </c>
      <c r="GX63" s="15" t="n">
        <v>150.0761</v>
      </c>
      <c r="GY63" s="15" t="n">
        <v>125.8954</v>
      </c>
      <c r="GZ63" s="15" t="n">
        <v>277.3852</v>
      </c>
      <c r="HA63" s="15" t="n">
        <v>114.4701</v>
      </c>
      <c r="HB63" s="15" t="n">
        <v>139.7176</v>
      </c>
      <c r="HC63" s="15" t="n">
        <v>251.6818</v>
      </c>
      <c r="HD63" s="15" t="n">
        <v>197.052</v>
      </c>
      <c r="HE63" s="15" t="n">
        <v>181.9621</v>
      </c>
      <c r="HF63" s="15" t="n">
        <v>277.4759</v>
      </c>
      <c r="HG63" s="15" t="n">
        <v>84.7787</v>
      </c>
      <c r="HH63" s="15" t="n">
        <v>123.9421</v>
      </c>
      <c r="HI63" s="15" t="n">
        <v>109.4126</v>
      </c>
      <c r="HJ63" s="15" t="n">
        <v>346.4116</v>
      </c>
    </row>
    <row r="64">
      <c r="C64" s="15" t="n">
        <v>2</v>
      </c>
      <c r="D64" s="79">
        <f>Matlab_Data!D24</f>
        <v/>
      </c>
      <c r="E64" s="79">
        <f>Matlab_Data!E24</f>
        <v/>
      </c>
      <c r="F64" s="79">
        <f>Matlab_Data!F24</f>
        <v/>
      </c>
      <c r="G64" s="79">
        <f>Matlab_Data!G24</f>
        <v/>
      </c>
      <c r="H64" s="79">
        <f>Matlab_Data!H24</f>
        <v/>
      </c>
      <c r="I64" s="79">
        <f>Matlab_Data!I24</f>
        <v/>
      </c>
      <c r="J64" s="79">
        <f>Matlab_Data!J24</f>
        <v/>
      </c>
      <c r="K64" s="79">
        <f>Matlab_Data!K24</f>
        <v/>
      </c>
      <c r="L64" s="79">
        <f>Matlab_Data!L24</f>
        <v/>
      </c>
      <c r="M64" s="79">
        <f>Matlab_Data!M24</f>
        <v/>
      </c>
      <c r="N64" s="79">
        <f>Matlab_Data!N24</f>
        <v/>
      </c>
      <c r="O64" s="79">
        <f>Matlab_Data!O24</f>
        <v/>
      </c>
      <c r="P64" s="79">
        <f>Matlab_Data!P24</f>
        <v/>
      </c>
      <c r="Q64" s="79">
        <f>Matlab_Data!Q24</f>
        <v/>
      </c>
      <c r="R64" s="79">
        <f>Matlab_Data!R24</f>
        <v/>
      </c>
      <c r="Y64" s="79" t="n"/>
      <c r="Z64" s="79" t="n"/>
      <c r="AA64" s="79" t="n">
        <v>2</v>
      </c>
      <c r="AB64" s="79" t="n">
        <v>160.9752</v>
      </c>
      <c r="AC64" s="79" t="n">
        <v>121.0452</v>
      </c>
      <c r="AD64" s="79" t="n">
        <v>138.0701</v>
      </c>
      <c r="AE64" s="79" t="n">
        <v>362.605</v>
      </c>
      <c r="AF64" s="79" t="n">
        <v>217.2882</v>
      </c>
      <c r="AG64" s="79" t="n">
        <v>239.086</v>
      </c>
      <c r="AH64" s="79" t="n">
        <v>140.5445</v>
      </c>
      <c r="AI64" s="79" t="n">
        <v>117.3</v>
      </c>
      <c r="AJ64" s="79" t="n">
        <v>178.8198</v>
      </c>
      <c r="AK64" s="79" t="n">
        <v>112.6414</v>
      </c>
      <c r="AL64" s="79" t="n">
        <v>177.7212</v>
      </c>
      <c r="AM64" s="79" t="n">
        <v>205.8108</v>
      </c>
      <c r="AN64" s="15" t="n">
        <v>135.1194</v>
      </c>
      <c r="AO64" s="15" t="n">
        <v>284.6164</v>
      </c>
      <c r="AP64" s="15" t="n">
        <v>247.6234</v>
      </c>
      <c r="AW64" s="15" t="n">
        <v>2</v>
      </c>
      <c r="AX64" s="15" t="n">
        <v>160.9752</v>
      </c>
      <c r="AY64" s="15" t="n">
        <v>121.0452</v>
      </c>
      <c r="AZ64" s="15" t="n">
        <v>138.0701</v>
      </c>
      <c r="BA64" s="15" t="n">
        <v>362.605</v>
      </c>
      <c r="BB64" s="15" t="n">
        <v>217.2882</v>
      </c>
      <c r="BC64" s="15" t="n">
        <v>239.086</v>
      </c>
      <c r="BD64" s="15" t="n">
        <v>140.5445</v>
      </c>
      <c r="BE64" s="15" t="n">
        <v>117.3</v>
      </c>
      <c r="BF64" s="15" t="n">
        <v>178.8198</v>
      </c>
      <c r="BG64" s="15" t="n">
        <v>112.6414</v>
      </c>
      <c r="BH64" s="15" t="n">
        <v>177.7212</v>
      </c>
      <c r="BI64" s="15" t="n">
        <v>205.8108</v>
      </c>
      <c r="BJ64" s="15" t="n">
        <v>135.1194</v>
      </c>
      <c r="BK64" s="15" t="n">
        <v>284.6164</v>
      </c>
      <c r="BL64" s="15" t="n">
        <v>247.6234</v>
      </c>
      <c r="BS64" s="15" t="n">
        <v>2</v>
      </c>
      <c r="BT64" s="15" t="n">
        <v>160.9752</v>
      </c>
      <c r="BU64" s="15" t="n">
        <v>121.0452</v>
      </c>
      <c r="BV64" s="15" t="n">
        <v>138.0701</v>
      </c>
      <c r="BW64" s="15" t="n">
        <v>362.605</v>
      </c>
      <c r="BX64" s="15" t="n">
        <v>217.2882</v>
      </c>
      <c r="BY64" s="15" t="n">
        <v>239.086</v>
      </c>
      <c r="BZ64" s="15" t="n">
        <v>140.5445</v>
      </c>
      <c r="CA64" s="15" t="n">
        <v>117.3</v>
      </c>
      <c r="CB64" s="15" t="n">
        <v>178.8198</v>
      </c>
      <c r="CC64" s="15" t="n">
        <v>112.6414</v>
      </c>
      <c r="CD64" s="15" t="n">
        <v>177.7212</v>
      </c>
      <c r="CE64" s="15" t="n">
        <v>205.8108</v>
      </c>
      <c r="CF64" s="15" t="n">
        <v>135.1194</v>
      </c>
      <c r="CG64" s="15" t="n">
        <v>284.6164</v>
      </c>
      <c r="CH64" s="15" t="n">
        <v>247.6234</v>
      </c>
      <c r="CO64" s="15" t="n">
        <v>2</v>
      </c>
      <c r="CP64" s="15" t="n">
        <v>160.9752</v>
      </c>
      <c r="CQ64" s="15" t="n">
        <v>121.0452</v>
      </c>
      <c r="CR64" s="15" t="n">
        <v>138.0701</v>
      </c>
      <c r="CS64" s="15" t="n">
        <v>362.605</v>
      </c>
      <c r="CT64" s="15" t="n">
        <v>217.2882</v>
      </c>
      <c r="CU64" s="15" t="n">
        <v>239.086</v>
      </c>
      <c r="CV64" s="15" t="n">
        <v>140.5445</v>
      </c>
      <c r="CW64" s="15" t="n">
        <v>117.3</v>
      </c>
      <c r="CX64" s="15" t="n">
        <v>178.8198</v>
      </c>
      <c r="CY64" s="15" t="n">
        <v>112.6414</v>
      </c>
      <c r="CZ64" s="15" t="n">
        <v>177.7212</v>
      </c>
      <c r="DA64" s="15" t="n">
        <v>205.8108</v>
      </c>
      <c r="DB64" s="15" t="n">
        <v>135.1194</v>
      </c>
      <c r="DC64" s="15" t="n">
        <v>284.6164</v>
      </c>
      <c r="DD64" s="15" t="n">
        <v>247.6234</v>
      </c>
      <c r="DK64" s="15" t="n">
        <v>2</v>
      </c>
      <c r="DL64" s="15" t="n">
        <v>160.9752</v>
      </c>
      <c r="DM64" s="15" t="n">
        <v>121.0452</v>
      </c>
      <c r="DN64" s="15" t="n">
        <v>138.0701</v>
      </c>
      <c r="DO64" s="15" t="n">
        <v>362.605</v>
      </c>
      <c r="DP64" s="15" t="n">
        <v>217.2882</v>
      </c>
      <c r="DQ64" s="15" t="n">
        <v>239.086</v>
      </c>
      <c r="DR64" s="15" t="n">
        <v>140.5445</v>
      </c>
      <c r="DS64" s="15" t="n">
        <v>117.3</v>
      </c>
      <c r="DT64" s="15" t="n">
        <v>178.8198</v>
      </c>
      <c r="DU64" s="15" t="n">
        <v>112.6414</v>
      </c>
      <c r="DV64" s="15" t="n">
        <v>177.7212</v>
      </c>
      <c r="DW64" s="15" t="n">
        <v>205.8108</v>
      </c>
      <c r="DX64" s="15" t="n">
        <v>135.1194</v>
      </c>
      <c r="DY64" s="15" t="n">
        <v>284.6164</v>
      </c>
      <c r="DZ64" s="15" t="n">
        <v>247.6234</v>
      </c>
      <c r="EG64" s="15" t="n">
        <v>2</v>
      </c>
      <c r="EH64" s="15" t="n">
        <v>160.9752</v>
      </c>
      <c r="EI64" s="15" t="n">
        <v>121.0452</v>
      </c>
      <c r="EJ64" s="15" t="n">
        <v>138.0701</v>
      </c>
      <c r="EK64" s="15" t="n">
        <v>362.605</v>
      </c>
      <c r="EL64" s="15" t="n">
        <v>217.2882</v>
      </c>
      <c r="EM64" s="15" t="n">
        <v>239.086</v>
      </c>
      <c r="EN64" s="15" t="n">
        <v>140.5445</v>
      </c>
      <c r="EO64" s="15" t="n">
        <v>117.3</v>
      </c>
      <c r="EP64" s="15" t="n">
        <v>178.8198</v>
      </c>
      <c r="EQ64" s="15" t="n">
        <v>112.6414</v>
      </c>
      <c r="ER64" s="15" t="n">
        <v>177.7212</v>
      </c>
      <c r="ES64" s="15" t="n">
        <v>205.8108</v>
      </c>
      <c r="ET64" s="15" t="n">
        <v>135.1194</v>
      </c>
      <c r="EU64" s="15" t="n">
        <v>284.6164</v>
      </c>
      <c r="EV64" s="15" t="n">
        <v>247.6234</v>
      </c>
      <c r="FC64" s="15" t="n">
        <v>2</v>
      </c>
      <c r="FD64" s="15" t="n">
        <v>160.9752</v>
      </c>
      <c r="FE64" s="15" t="n">
        <v>121.0452</v>
      </c>
      <c r="FF64" s="15" t="n">
        <v>138.0701</v>
      </c>
      <c r="FG64" s="15" t="n">
        <v>362.605</v>
      </c>
      <c r="FH64" s="15" t="n">
        <v>217.2882</v>
      </c>
      <c r="FI64" s="15" t="n">
        <v>239.086</v>
      </c>
      <c r="FJ64" s="15" t="n">
        <v>140.5445</v>
      </c>
      <c r="FK64" s="15" t="n">
        <v>117.3</v>
      </c>
      <c r="FL64" s="15" t="n">
        <v>178.8198</v>
      </c>
      <c r="FM64" s="15" t="n">
        <v>112.6414</v>
      </c>
      <c r="FN64" s="15" t="n">
        <v>177.7212</v>
      </c>
      <c r="FO64" s="15" t="n">
        <v>205.8108</v>
      </c>
      <c r="FP64" s="15" t="n">
        <v>135.1194</v>
      </c>
      <c r="FQ64" s="15" t="n">
        <v>284.6164</v>
      </c>
      <c r="FR64" s="15" t="n">
        <v>247.6234</v>
      </c>
      <c r="FY64" s="15" t="n">
        <v>2</v>
      </c>
      <c r="FZ64" s="15" t="n">
        <v>160.9752</v>
      </c>
      <c r="GA64" s="15" t="n">
        <v>121.0452</v>
      </c>
      <c r="GB64" s="15" t="n">
        <v>138.0701</v>
      </c>
      <c r="GC64" s="15" t="n">
        <v>362.605</v>
      </c>
      <c r="GD64" s="15" t="n">
        <v>217.2882</v>
      </c>
      <c r="GE64" s="15" t="n">
        <v>239.086</v>
      </c>
      <c r="GF64" s="15" t="n">
        <v>140.5445</v>
      </c>
      <c r="GG64" s="15" t="n">
        <v>117.3</v>
      </c>
      <c r="GH64" s="15" t="n">
        <v>178.8198</v>
      </c>
      <c r="GI64" s="15" t="n">
        <v>112.6414</v>
      </c>
      <c r="GJ64" s="15" t="n">
        <v>177.7212</v>
      </c>
      <c r="GK64" s="15" t="n">
        <v>205.8108</v>
      </c>
      <c r="GL64" s="15" t="n">
        <v>135.1194</v>
      </c>
      <c r="GM64" s="15" t="n">
        <v>284.6164</v>
      </c>
      <c r="GN64" s="15" t="n">
        <v>247.6234</v>
      </c>
      <c r="GU64" s="15" t="n">
        <v>2</v>
      </c>
      <c r="GV64" s="15" t="n">
        <v>160.9752</v>
      </c>
      <c r="GW64" s="15" t="n">
        <v>121.0452</v>
      </c>
      <c r="GX64" s="15" t="n">
        <v>138.0701</v>
      </c>
      <c r="GY64" s="15" t="n">
        <v>362.605</v>
      </c>
      <c r="GZ64" s="15" t="n">
        <v>217.2882</v>
      </c>
      <c r="HA64" s="15" t="n">
        <v>239.086</v>
      </c>
      <c r="HB64" s="15" t="n">
        <v>140.5445</v>
      </c>
      <c r="HC64" s="15" t="n">
        <v>117.3</v>
      </c>
      <c r="HD64" s="15" t="n">
        <v>178.8198</v>
      </c>
      <c r="HE64" s="15" t="n">
        <v>112.6414</v>
      </c>
      <c r="HF64" s="15" t="n">
        <v>177.7212</v>
      </c>
      <c r="HG64" s="15" t="n">
        <v>205.8108</v>
      </c>
      <c r="HH64" s="15" t="n">
        <v>135.1194</v>
      </c>
      <c r="HI64" s="15" t="n">
        <v>284.6164</v>
      </c>
      <c r="HJ64" s="15" t="n">
        <v>247.6234</v>
      </c>
    </row>
    <row r="65">
      <c r="C65" s="15" t="n">
        <v>3</v>
      </c>
      <c r="D65" s="79">
        <f>Matlab_Data!D25</f>
        <v/>
      </c>
      <c r="E65" s="79">
        <f>Matlab_Data!E25</f>
        <v/>
      </c>
      <c r="F65" s="79">
        <f>Matlab_Data!F25</f>
        <v/>
      </c>
      <c r="G65" s="79">
        <f>Matlab_Data!G25</f>
        <v/>
      </c>
      <c r="H65" s="79">
        <f>Matlab_Data!H25</f>
        <v/>
      </c>
      <c r="I65" s="79">
        <f>Matlab_Data!I25</f>
        <v/>
      </c>
      <c r="J65" s="79">
        <f>Matlab_Data!J25</f>
        <v/>
      </c>
      <c r="K65" s="79">
        <f>Matlab_Data!K25</f>
        <v/>
      </c>
      <c r="L65" s="79">
        <f>Matlab_Data!L25</f>
        <v/>
      </c>
      <c r="M65" s="79">
        <f>Matlab_Data!M25</f>
        <v/>
      </c>
      <c r="N65" s="79">
        <f>Matlab_Data!N25</f>
        <v/>
      </c>
      <c r="O65" s="79">
        <f>Matlab_Data!O25</f>
        <v/>
      </c>
      <c r="P65" s="79">
        <f>Matlab_Data!P25</f>
        <v/>
      </c>
      <c r="Q65" s="79">
        <f>Matlab_Data!Q25</f>
        <v/>
      </c>
      <c r="R65" s="79">
        <f>Matlab_Data!R25</f>
        <v/>
      </c>
      <c r="Y65" s="79" t="n"/>
      <c r="Z65" s="79" t="n"/>
      <c r="AA65" s="79" t="n">
        <v>3</v>
      </c>
      <c r="AB65" s="79" t="n">
        <v>278.6301</v>
      </c>
      <c r="AC65" s="79" t="n">
        <v>152.9252</v>
      </c>
      <c r="AD65" s="79" t="n">
        <v>179.974</v>
      </c>
      <c r="AE65" s="79" t="n">
        <v>331.4884</v>
      </c>
      <c r="AF65" s="79" t="n">
        <v>161.8803</v>
      </c>
      <c r="AG65" s="79" t="n">
        <v>286.2747</v>
      </c>
      <c r="AH65" s="79" t="n">
        <v>169.9887</v>
      </c>
      <c r="AI65" s="79" t="n">
        <v>215.3825</v>
      </c>
      <c r="AJ65" s="79" t="n">
        <v>182.4408</v>
      </c>
      <c r="AK65" s="79" t="n">
        <v>125.2284</v>
      </c>
      <c r="AL65" s="79" t="n">
        <v>158.1255</v>
      </c>
      <c r="AM65" s="79" t="n">
        <v>153.0895</v>
      </c>
      <c r="AN65" s="15" t="n">
        <v>233.367</v>
      </c>
      <c r="AO65" s="15" t="n">
        <v>206.1942</v>
      </c>
      <c r="AP65" s="15" t="n">
        <v>206.0767</v>
      </c>
      <c r="AW65" s="15" t="n">
        <v>3</v>
      </c>
      <c r="AX65" s="15" t="n">
        <v>278.6301</v>
      </c>
      <c r="AY65" s="15" t="n">
        <v>152.9252</v>
      </c>
      <c r="AZ65" s="15" t="n">
        <v>179.974</v>
      </c>
      <c r="BA65" s="15" t="n">
        <v>331.4884</v>
      </c>
      <c r="BB65" s="15" t="n">
        <v>161.8803</v>
      </c>
      <c r="BC65" s="15" t="n">
        <v>286.2747</v>
      </c>
      <c r="BD65" s="15" t="n">
        <v>169.9887</v>
      </c>
      <c r="BE65" s="15" t="n">
        <v>215.3825</v>
      </c>
      <c r="BF65" s="15" t="n">
        <v>182.4408</v>
      </c>
      <c r="BG65" s="15" t="n">
        <v>125.2284</v>
      </c>
      <c r="BH65" s="15" t="n">
        <v>158.1255</v>
      </c>
      <c r="BI65" s="15" t="n">
        <v>153.0895</v>
      </c>
      <c r="BJ65" s="15" t="n">
        <v>233.367</v>
      </c>
      <c r="BK65" s="15" t="n">
        <v>206.1942</v>
      </c>
      <c r="BL65" s="15" t="n">
        <v>206.0767</v>
      </c>
      <c r="BS65" s="15" t="n">
        <v>3</v>
      </c>
      <c r="BT65" s="15" t="n">
        <v>278.6301</v>
      </c>
      <c r="BU65" s="15" t="n">
        <v>152.9252</v>
      </c>
      <c r="BV65" s="15" t="n">
        <v>179.974</v>
      </c>
      <c r="BW65" s="15" t="n">
        <v>331.4884</v>
      </c>
      <c r="BX65" s="15" t="n">
        <v>161.8803</v>
      </c>
      <c r="BY65" s="15" t="n">
        <v>286.2747</v>
      </c>
      <c r="BZ65" s="15" t="n">
        <v>169.9887</v>
      </c>
      <c r="CA65" s="15" t="n">
        <v>215.3825</v>
      </c>
      <c r="CB65" s="15" t="n">
        <v>182.4408</v>
      </c>
      <c r="CC65" s="15" t="n">
        <v>125.2284</v>
      </c>
      <c r="CD65" s="15" t="n">
        <v>158.1255</v>
      </c>
      <c r="CE65" s="15" t="n">
        <v>153.0895</v>
      </c>
      <c r="CF65" s="15" t="n">
        <v>233.367</v>
      </c>
      <c r="CG65" s="15" t="n">
        <v>206.1942</v>
      </c>
      <c r="CH65" s="15" t="n">
        <v>206.0767</v>
      </c>
      <c r="CO65" s="15" t="n">
        <v>3</v>
      </c>
      <c r="CP65" s="15" t="n">
        <v>278.6301</v>
      </c>
      <c r="CQ65" s="15" t="n">
        <v>152.9252</v>
      </c>
      <c r="CR65" s="15" t="n">
        <v>179.974</v>
      </c>
      <c r="CS65" s="15" t="n">
        <v>331.4884</v>
      </c>
      <c r="CT65" s="15" t="n">
        <v>161.8803</v>
      </c>
      <c r="CU65" s="15" t="n">
        <v>286.2747</v>
      </c>
      <c r="CV65" s="15" t="n">
        <v>169.9887</v>
      </c>
      <c r="CW65" s="15" t="n">
        <v>215.3825</v>
      </c>
      <c r="CX65" s="15" t="n">
        <v>182.4408</v>
      </c>
      <c r="CY65" s="15" t="n">
        <v>125.2284</v>
      </c>
      <c r="CZ65" s="15" t="n">
        <v>158.1255</v>
      </c>
      <c r="DA65" s="15" t="n">
        <v>153.0895</v>
      </c>
      <c r="DB65" s="15" t="n">
        <v>233.367</v>
      </c>
      <c r="DC65" s="15" t="n">
        <v>206.1942</v>
      </c>
      <c r="DD65" s="15" t="n">
        <v>206.0767</v>
      </c>
      <c r="DK65" s="15" t="n">
        <v>3</v>
      </c>
      <c r="DL65" s="15" t="n">
        <v>278.6301</v>
      </c>
      <c r="DM65" s="15" t="n">
        <v>152.9252</v>
      </c>
      <c r="DN65" s="15" t="n">
        <v>179.974</v>
      </c>
      <c r="DO65" s="15" t="n">
        <v>331.4884</v>
      </c>
      <c r="DP65" s="15" t="n">
        <v>161.8803</v>
      </c>
      <c r="DQ65" s="15" t="n">
        <v>286.2747</v>
      </c>
      <c r="DR65" s="15" t="n">
        <v>169.9887</v>
      </c>
      <c r="DS65" s="15" t="n">
        <v>215.3825</v>
      </c>
      <c r="DT65" s="15" t="n">
        <v>182.4408</v>
      </c>
      <c r="DU65" s="15" t="n">
        <v>125.2284</v>
      </c>
      <c r="DV65" s="15" t="n">
        <v>158.1255</v>
      </c>
      <c r="DW65" s="15" t="n">
        <v>153.0895</v>
      </c>
      <c r="DX65" s="15" t="n">
        <v>233.367</v>
      </c>
      <c r="DY65" s="15" t="n">
        <v>206.1942</v>
      </c>
      <c r="DZ65" s="15" t="n">
        <v>206.0767</v>
      </c>
      <c r="EG65" s="15" t="n">
        <v>3</v>
      </c>
      <c r="EH65" s="15" t="n">
        <v>278.6301</v>
      </c>
      <c r="EI65" s="15" t="n">
        <v>152.9252</v>
      </c>
      <c r="EJ65" s="15" t="n">
        <v>179.974</v>
      </c>
      <c r="EK65" s="15" t="n">
        <v>331.4884</v>
      </c>
      <c r="EL65" s="15" t="n">
        <v>161.8803</v>
      </c>
      <c r="EM65" s="15" t="n">
        <v>286.2747</v>
      </c>
      <c r="EN65" s="15" t="n">
        <v>169.9887</v>
      </c>
      <c r="EO65" s="15" t="n">
        <v>215.3825</v>
      </c>
      <c r="EP65" s="15" t="n">
        <v>182.4408</v>
      </c>
      <c r="EQ65" s="15" t="n">
        <v>125.2284</v>
      </c>
      <c r="ER65" s="15" t="n">
        <v>158.1255</v>
      </c>
      <c r="ES65" s="15" t="n">
        <v>153.0895</v>
      </c>
      <c r="ET65" s="15" t="n">
        <v>233.367</v>
      </c>
      <c r="EU65" s="15" t="n">
        <v>206.1942</v>
      </c>
      <c r="EV65" s="15" t="n">
        <v>206.0767</v>
      </c>
      <c r="FC65" s="15" t="n">
        <v>3</v>
      </c>
      <c r="FD65" s="15" t="n">
        <v>278.6301</v>
      </c>
      <c r="FE65" s="15" t="n">
        <v>152.9252</v>
      </c>
      <c r="FF65" s="15" t="n">
        <v>179.974</v>
      </c>
      <c r="FG65" s="15" t="n">
        <v>331.4884</v>
      </c>
      <c r="FH65" s="15" t="n">
        <v>161.8803</v>
      </c>
      <c r="FI65" s="15" t="n">
        <v>286.2747</v>
      </c>
      <c r="FJ65" s="15" t="n">
        <v>169.9887</v>
      </c>
      <c r="FK65" s="15" t="n">
        <v>215.3825</v>
      </c>
      <c r="FL65" s="15" t="n">
        <v>182.4408</v>
      </c>
      <c r="FM65" s="15" t="n">
        <v>125.2284</v>
      </c>
      <c r="FN65" s="15" t="n">
        <v>158.1255</v>
      </c>
      <c r="FO65" s="15" t="n">
        <v>153.0895</v>
      </c>
      <c r="FP65" s="15" t="n">
        <v>233.367</v>
      </c>
      <c r="FQ65" s="15" t="n">
        <v>206.1942</v>
      </c>
      <c r="FR65" s="15" t="n">
        <v>206.0767</v>
      </c>
      <c r="FY65" s="15" t="n">
        <v>3</v>
      </c>
      <c r="FZ65" s="15" t="n">
        <v>278.6301</v>
      </c>
      <c r="GA65" s="15" t="n">
        <v>152.9252</v>
      </c>
      <c r="GB65" s="15" t="n">
        <v>179.974</v>
      </c>
      <c r="GC65" s="15" t="n">
        <v>331.4884</v>
      </c>
      <c r="GD65" s="15" t="n">
        <v>161.8803</v>
      </c>
      <c r="GE65" s="15" t="n">
        <v>286.2747</v>
      </c>
      <c r="GF65" s="15" t="n">
        <v>169.9887</v>
      </c>
      <c r="GG65" s="15" t="n">
        <v>215.3825</v>
      </c>
      <c r="GH65" s="15" t="n">
        <v>182.4408</v>
      </c>
      <c r="GI65" s="15" t="n">
        <v>125.2284</v>
      </c>
      <c r="GJ65" s="15" t="n">
        <v>158.1255</v>
      </c>
      <c r="GK65" s="15" t="n">
        <v>153.0895</v>
      </c>
      <c r="GL65" s="15" t="n">
        <v>233.367</v>
      </c>
      <c r="GM65" s="15" t="n">
        <v>206.1942</v>
      </c>
      <c r="GN65" s="15" t="n">
        <v>206.0767</v>
      </c>
      <c r="GU65" s="15" t="n">
        <v>3</v>
      </c>
      <c r="GV65" s="15" t="n">
        <v>278.6301</v>
      </c>
      <c r="GW65" s="15" t="n">
        <v>152.9252</v>
      </c>
      <c r="GX65" s="15" t="n">
        <v>179.974</v>
      </c>
      <c r="GY65" s="15" t="n">
        <v>331.4884</v>
      </c>
      <c r="GZ65" s="15" t="n">
        <v>161.8803</v>
      </c>
      <c r="HA65" s="15" t="n">
        <v>286.2747</v>
      </c>
      <c r="HB65" s="15" t="n">
        <v>169.9887</v>
      </c>
      <c r="HC65" s="15" t="n">
        <v>215.3825</v>
      </c>
      <c r="HD65" s="15" t="n">
        <v>182.4408</v>
      </c>
      <c r="HE65" s="15" t="n">
        <v>125.2284</v>
      </c>
      <c r="HF65" s="15" t="n">
        <v>158.1255</v>
      </c>
      <c r="HG65" s="15" t="n">
        <v>153.0895</v>
      </c>
      <c r="HH65" s="15" t="n">
        <v>233.367</v>
      </c>
      <c r="HI65" s="15" t="n">
        <v>206.1942</v>
      </c>
      <c r="HJ65" s="15" t="n">
        <v>206.0767</v>
      </c>
    </row>
    <row r="67">
      <c r="B67" s="15" t="inlineStr">
        <is>
          <t>Parâmetros p/ σy</t>
        </is>
      </c>
      <c r="C67" s="15" t="inlineStr">
        <is>
          <t>DesvPad(Var(E(RLT)))</t>
        </is>
      </c>
      <c r="D67" s="15" t="n">
        <v>1</v>
      </c>
      <c r="E67" s="15" t="n">
        <v>2</v>
      </c>
      <c r="F67" s="15" t="n">
        <v>3</v>
      </c>
      <c r="G67" s="15" t="n">
        <v>4</v>
      </c>
      <c r="H67" s="15" t="n">
        <v>5</v>
      </c>
      <c r="I67" s="15" t="n">
        <v>6</v>
      </c>
      <c r="J67" s="15" t="n">
        <v>7</v>
      </c>
      <c r="K67" s="15" t="n">
        <v>8</v>
      </c>
      <c r="L67" s="15" t="n">
        <v>9</v>
      </c>
      <c r="M67" s="15" t="n">
        <v>10</v>
      </c>
      <c r="N67" s="15" t="n">
        <v>11</v>
      </c>
      <c r="O67" s="15" t="n">
        <v>12</v>
      </c>
      <c r="P67" s="15" t="n">
        <v>13</v>
      </c>
      <c r="Q67" s="15" t="n">
        <v>14</v>
      </c>
      <c r="R67" s="15" t="n">
        <v>15</v>
      </c>
      <c r="Z67" s="15" t="inlineStr">
        <is>
          <t>Parâmetros p/ σy</t>
        </is>
      </c>
      <c r="AA67" s="15" t="inlineStr">
        <is>
          <t>DesvPad(Var(E(RLT)))</t>
        </is>
      </c>
      <c r="AB67" s="15" t="n">
        <v>1</v>
      </c>
      <c r="AC67" s="15" t="n">
        <v>2</v>
      </c>
      <c r="AD67" s="15" t="n">
        <v>3</v>
      </c>
      <c r="AE67" s="15" t="n">
        <v>4</v>
      </c>
      <c r="AF67" s="15" t="n">
        <v>5</v>
      </c>
      <c r="AG67" s="15" t="n">
        <v>6</v>
      </c>
      <c r="AH67" s="15" t="n">
        <v>7</v>
      </c>
      <c r="AI67" s="15" t="n">
        <v>8</v>
      </c>
      <c r="AJ67" s="15" t="n">
        <v>9</v>
      </c>
      <c r="AK67" s="15" t="n">
        <v>10</v>
      </c>
      <c r="AL67" s="15" t="n">
        <v>11</v>
      </c>
      <c r="AM67" s="15" t="n">
        <v>12</v>
      </c>
      <c r="AN67" s="15" t="n">
        <v>13</v>
      </c>
      <c r="AO67" s="15" t="n">
        <v>14</v>
      </c>
      <c r="AP67" s="15" t="n">
        <v>15</v>
      </c>
      <c r="AV67" s="15" t="inlineStr">
        <is>
          <t>Parâmetros p/ σy</t>
        </is>
      </c>
      <c r="AW67" s="15" t="inlineStr">
        <is>
          <t>DesvPad(Var(E(RLT)))</t>
        </is>
      </c>
      <c r="AX67" s="15" t="n">
        <v>1</v>
      </c>
      <c r="AY67" s="15" t="n">
        <v>2</v>
      </c>
      <c r="AZ67" s="15" t="n">
        <v>3</v>
      </c>
      <c r="BA67" s="15" t="n">
        <v>4</v>
      </c>
      <c r="BB67" s="15" t="n">
        <v>5</v>
      </c>
      <c r="BC67" s="15" t="n">
        <v>6</v>
      </c>
      <c r="BD67" s="15" t="n">
        <v>7</v>
      </c>
      <c r="BE67" s="15" t="n">
        <v>8</v>
      </c>
      <c r="BF67" s="15" t="n">
        <v>9</v>
      </c>
      <c r="BG67" s="15" t="n">
        <v>10</v>
      </c>
      <c r="BH67" s="15" t="n">
        <v>11</v>
      </c>
      <c r="BI67" s="15" t="n">
        <v>12</v>
      </c>
      <c r="BJ67" s="15" t="n">
        <v>13</v>
      </c>
      <c r="BK67" s="15" t="n">
        <v>14</v>
      </c>
      <c r="BL67" s="15" t="n">
        <v>15</v>
      </c>
      <c r="BR67" s="15" t="inlineStr">
        <is>
          <t>Parâmetros p/ σy</t>
        </is>
      </c>
      <c r="BS67" s="15" t="inlineStr">
        <is>
          <t>DesvPad(Var(E(RLT)))</t>
        </is>
      </c>
      <c r="BT67" s="15" t="n">
        <v>1</v>
      </c>
      <c r="BU67" s="15" t="n">
        <v>2</v>
      </c>
      <c r="BV67" s="15" t="n">
        <v>3</v>
      </c>
      <c r="BW67" s="15" t="n">
        <v>4</v>
      </c>
      <c r="BX67" s="15" t="n">
        <v>5</v>
      </c>
      <c r="BY67" s="15" t="n">
        <v>6</v>
      </c>
      <c r="BZ67" s="15" t="n">
        <v>7</v>
      </c>
      <c r="CA67" s="15" t="n">
        <v>8</v>
      </c>
      <c r="CB67" s="15" t="n">
        <v>9</v>
      </c>
      <c r="CC67" s="15" t="n">
        <v>10</v>
      </c>
      <c r="CD67" s="15" t="n">
        <v>11</v>
      </c>
      <c r="CE67" s="15" t="n">
        <v>12</v>
      </c>
      <c r="CF67" s="15" t="n">
        <v>13</v>
      </c>
      <c r="CG67" s="15" t="n">
        <v>14</v>
      </c>
      <c r="CH67" s="15" t="n">
        <v>15</v>
      </c>
      <c r="CN67" s="15" t="inlineStr">
        <is>
          <t>Parâmetros p/ σy</t>
        </is>
      </c>
      <c r="CO67" s="15" t="inlineStr">
        <is>
          <t>DesvPad(Var(E(RLT)))</t>
        </is>
      </c>
      <c r="CP67" s="15" t="n">
        <v>1</v>
      </c>
      <c r="CQ67" s="15" t="n">
        <v>2</v>
      </c>
      <c r="CR67" s="15" t="n">
        <v>3</v>
      </c>
      <c r="CS67" s="15" t="n">
        <v>4</v>
      </c>
      <c r="CT67" s="15" t="n">
        <v>5</v>
      </c>
      <c r="CU67" s="15" t="n">
        <v>6</v>
      </c>
      <c r="CV67" s="15" t="n">
        <v>7</v>
      </c>
      <c r="CW67" s="15" t="n">
        <v>8</v>
      </c>
      <c r="CX67" s="15" t="n">
        <v>9</v>
      </c>
      <c r="CY67" s="15" t="n">
        <v>10</v>
      </c>
      <c r="CZ67" s="15" t="n">
        <v>11</v>
      </c>
      <c r="DA67" s="15" t="n">
        <v>12</v>
      </c>
      <c r="DB67" s="15" t="n">
        <v>13</v>
      </c>
      <c r="DC67" s="15" t="n">
        <v>14</v>
      </c>
      <c r="DD67" s="15" t="n">
        <v>15</v>
      </c>
      <c r="DJ67" s="15" t="inlineStr">
        <is>
          <t>Parâmetros p/ σy</t>
        </is>
      </c>
      <c r="DK67" s="15" t="inlineStr">
        <is>
          <t>DesvPad(Var(E(RLT)))</t>
        </is>
      </c>
      <c r="DL67" s="15" t="n">
        <v>1</v>
      </c>
      <c r="DM67" s="15" t="n">
        <v>2</v>
      </c>
      <c r="DN67" s="15" t="n">
        <v>3</v>
      </c>
      <c r="DO67" s="15" t="n">
        <v>4</v>
      </c>
      <c r="DP67" s="15" t="n">
        <v>5</v>
      </c>
      <c r="DQ67" s="15" t="n">
        <v>6</v>
      </c>
      <c r="DR67" s="15" t="n">
        <v>7</v>
      </c>
      <c r="DS67" s="15" t="n">
        <v>8</v>
      </c>
      <c r="DT67" s="15" t="n">
        <v>9</v>
      </c>
      <c r="DU67" s="15" t="n">
        <v>10</v>
      </c>
      <c r="DV67" s="15" t="n">
        <v>11</v>
      </c>
      <c r="DW67" s="15" t="n">
        <v>12</v>
      </c>
      <c r="DX67" s="15" t="n">
        <v>13</v>
      </c>
      <c r="DY67" s="15" t="n">
        <v>14</v>
      </c>
      <c r="DZ67" s="15" t="n">
        <v>15</v>
      </c>
      <c r="EF67" s="15" t="inlineStr">
        <is>
          <t>Parâmetros p/ σy</t>
        </is>
      </c>
      <c r="EG67" s="15" t="inlineStr">
        <is>
          <t>DesvPad(Var(E(RLT)))</t>
        </is>
      </c>
      <c r="EH67" s="15" t="n">
        <v>1</v>
      </c>
      <c r="EI67" s="15" t="n">
        <v>2</v>
      </c>
      <c r="EJ67" s="15" t="n">
        <v>3</v>
      </c>
      <c r="EK67" s="15" t="n">
        <v>4</v>
      </c>
      <c r="EL67" s="15" t="n">
        <v>5</v>
      </c>
      <c r="EM67" s="15" t="n">
        <v>6</v>
      </c>
      <c r="EN67" s="15" t="n">
        <v>7</v>
      </c>
      <c r="EO67" s="15" t="n">
        <v>8</v>
      </c>
      <c r="EP67" s="15" t="n">
        <v>9</v>
      </c>
      <c r="EQ67" s="15" t="n">
        <v>10</v>
      </c>
      <c r="ER67" s="15" t="n">
        <v>11</v>
      </c>
      <c r="ES67" s="15" t="n">
        <v>12</v>
      </c>
      <c r="ET67" s="15" t="n">
        <v>13</v>
      </c>
      <c r="EU67" s="15" t="n">
        <v>14</v>
      </c>
      <c r="EV67" s="15" t="n">
        <v>15</v>
      </c>
      <c r="FB67" s="15" t="inlineStr">
        <is>
          <t>Parâmetros p/ σy</t>
        </is>
      </c>
      <c r="FC67" s="15" t="inlineStr">
        <is>
          <t>DesvPad(Var(E(RLT)))</t>
        </is>
      </c>
      <c r="FD67" s="15" t="n">
        <v>1</v>
      </c>
      <c r="FE67" s="15" t="n">
        <v>2</v>
      </c>
      <c r="FF67" s="15" t="n">
        <v>3</v>
      </c>
      <c r="FG67" s="15" t="n">
        <v>4</v>
      </c>
      <c r="FH67" s="15" t="n">
        <v>5</v>
      </c>
      <c r="FI67" s="15" t="n">
        <v>6</v>
      </c>
      <c r="FJ67" s="15" t="n">
        <v>7</v>
      </c>
      <c r="FK67" s="15" t="n">
        <v>8</v>
      </c>
      <c r="FL67" s="15" t="n">
        <v>9</v>
      </c>
      <c r="FM67" s="15" t="n">
        <v>10</v>
      </c>
      <c r="FN67" s="15" t="n">
        <v>11</v>
      </c>
      <c r="FO67" s="15" t="n">
        <v>12</v>
      </c>
      <c r="FP67" s="15" t="n">
        <v>13</v>
      </c>
      <c r="FQ67" s="15" t="n">
        <v>14</v>
      </c>
      <c r="FR67" s="15" t="n">
        <v>15</v>
      </c>
      <c r="FX67" s="15" t="inlineStr">
        <is>
          <t>Parâmetros p/ σy</t>
        </is>
      </c>
      <c r="FY67" s="15" t="inlineStr">
        <is>
          <t>DesvPad(Var(E(RLT)))</t>
        </is>
      </c>
      <c r="FZ67" s="15" t="n">
        <v>1</v>
      </c>
      <c r="GA67" s="15" t="n">
        <v>2</v>
      </c>
      <c r="GB67" s="15" t="n">
        <v>3</v>
      </c>
      <c r="GC67" s="15" t="n">
        <v>4</v>
      </c>
      <c r="GD67" s="15" t="n">
        <v>5</v>
      </c>
      <c r="GE67" s="15" t="n">
        <v>6</v>
      </c>
      <c r="GF67" s="15" t="n">
        <v>7</v>
      </c>
      <c r="GG67" s="15" t="n">
        <v>8</v>
      </c>
      <c r="GH67" s="15" t="n">
        <v>9</v>
      </c>
      <c r="GI67" s="15" t="n">
        <v>10</v>
      </c>
      <c r="GJ67" s="15" t="n">
        <v>11</v>
      </c>
      <c r="GK67" s="15" t="n">
        <v>12</v>
      </c>
      <c r="GL67" s="15" t="n">
        <v>13</v>
      </c>
      <c r="GM67" s="15" t="n">
        <v>14</v>
      </c>
      <c r="GN67" s="15" t="n">
        <v>15</v>
      </c>
      <c r="GT67" s="15" t="inlineStr">
        <is>
          <t>Parâmetros p/ σy</t>
        </is>
      </c>
      <c r="GU67" s="15" t="inlineStr">
        <is>
          <t>DesvPad(Var(E(RLT)))</t>
        </is>
      </c>
      <c r="GV67" s="15" t="n">
        <v>1</v>
      </c>
      <c r="GW67" s="15" t="n">
        <v>2</v>
      </c>
      <c r="GX67" s="15" t="n">
        <v>3</v>
      </c>
      <c r="GY67" s="15" t="n">
        <v>4</v>
      </c>
      <c r="GZ67" s="15" t="n">
        <v>5</v>
      </c>
      <c r="HA67" s="15" t="n">
        <v>6</v>
      </c>
      <c r="HB67" s="15" t="n">
        <v>7</v>
      </c>
      <c r="HC67" s="15" t="n">
        <v>8</v>
      </c>
      <c r="HD67" s="15" t="n">
        <v>9</v>
      </c>
      <c r="HE67" s="15" t="n">
        <v>10</v>
      </c>
      <c r="HF67" s="15" t="n">
        <v>11</v>
      </c>
      <c r="HG67" s="15" t="n">
        <v>12</v>
      </c>
      <c r="HH67" s="15" t="n">
        <v>13</v>
      </c>
      <c r="HI67" s="15" t="n">
        <v>14</v>
      </c>
      <c r="HJ67" s="15" t="n">
        <v>15</v>
      </c>
    </row>
    <row r="68" ht="16.2" customHeight="1">
      <c r="B68" s="15" t="inlineStr">
        <is>
          <t>ND*RLT e S2nd</t>
        </is>
      </c>
      <c r="C68" s="15" t="n">
        <v>1</v>
      </c>
      <c r="D68" s="79">
        <f>Matlab_Data!D28</f>
        <v/>
      </c>
      <c r="E68" s="79">
        <f>Matlab_Data!E28</f>
        <v/>
      </c>
      <c r="F68" s="79">
        <f>Matlab_Data!F28</f>
        <v/>
      </c>
      <c r="G68" s="79">
        <f>Matlab_Data!G28</f>
        <v/>
      </c>
      <c r="H68" s="79">
        <f>Matlab_Data!H28</f>
        <v/>
      </c>
      <c r="I68" s="79">
        <f>Matlab_Data!I28</f>
        <v/>
      </c>
      <c r="J68" s="79">
        <f>Matlab_Data!J28</f>
        <v/>
      </c>
      <c r="K68" s="79">
        <f>Matlab_Data!K28</f>
        <v/>
      </c>
      <c r="L68" s="79">
        <f>Matlab_Data!L28</f>
        <v/>
      </c>
      <c r="M68" s="79">
        <f>Matlab_Data!M28</f>
        <v/>
      </c>
      <c r="N68" s="79">
        <f>Matlab_Data!N28</f>
        <v/>
      </c>
      <c r="O68" s="79">
        <f>Matlab_Data!O28</f>
        <v/>
      </c>
      <c r="P68" s="79">
        <f>Matlab_Data!P28</f>
        <v/>
      </c>
      <c r="Q68" s="79">
        <f>Matlab_Data!Q28</f>
        <v/>
      </c>
      <c r="R68" s="79">
        <f>Matlab_Data!R28</f>
        <v/>
      </c>
      <c r="T68" s="39">
        <f>SUM(D68:R70)</f>
        <v/>
      </c>
      <c r="U68" s="39" t="n">
        <v>23.81090000000001</v>
      </c>
      <c r="V68" s="39">
        <f>T68-U68</f>
        <v/>
      </c>
      <c r="W68" s="39" t="n"/>
      <c r="X68" s="39" t="n"/>
      <c r="Y68" s="79" t="n"/>
      <c r="Z68" s="79" t="inlineStr">
        <is>
          <t>ND*RLT e S2nd</t>
        </is>
      </c>
      <c r="AA68" s="79" t="n">
        <v>1</v>
      </c>
      <c r="AB68" s="79" t="n">
        <v>0.3449</v>
      </c>
      <c r="AC68" s="79" t="n">
        <v>0.5447</v>
      </c>
      <c r="AD68" s="79" t="n">
        <v>0.54</v>
      </c>
      <c r="AE68" s="79" t="n">
        <v>0.6459</v>
      </c>
      <c r="AF68" s="79" t="n">
        <v>0.54</v>
      </c>
      <c r="AG68" s="79" t="n">
        <v>0.5224</v>
      </c>
      <c r="AH68" s="79" t="n">
        <v>0.3705</v>
      </c>
      <c r="AI68" s="79" t="n">
        <v>0.5276</v>
      </c>
      <c r="AJ68" s="79" t="n">
        <v>0.4571</v>
      </c>
      <c r="AK68" s="79" t="n">
        <v>0.418</v>
      </c>
      <c r="AL68" s="79" t="n">
        <v>0.4877</v>
      </c>
      <c r="AM68" s="79" t="n">
        <v>0.4884</v>
      </c>
      <c r="AN68" s="15" t="n">
        <v>0.5327</v>
      </c>
      <c r="AO68" s="15" t="n">
        <v>0.5213</v>
      </c>
      <c r="AP68" s="15" t="n">
        <v>0.5856</v>
      </c>
      <c r="AV68" s="15" t="inlineStr">
        <is>
          <t>ND*RLT e S2nd</t>
        </is>
      </c>
      <c r="AW68" s="15" t="n">
        <v>1</v>
      </c>
      <c r="AX68" s="15" t="n">
        <v>0.3449</v>
      </c>
      <c r="AY68" s="15" t="n">
        <v>0.5447</v>
      </c>
      <c r="AZ68" s="15" t="n">
        <v>0.54</v>
      </c>
      <c r="BA68" s="15" t="n">
        <v>0.6459</v>
      </c>
      <c r="BB68" s="15" t="n">
        <v>0.54</v>
      </c>
      <c r="BC68" s="15" t="n">
        <v>0.5224</v>
      </c>
      <c r="BD68" s="15" t="n">
        <v>0.3705</v>
      </c>
      <c r="BE68" s="15" t="n">
        <v>0.5276</v>
      </c>
      <c r="BF68" s="15" t="n">
        <v>0.4571</v>
      </c>
      <c r="BG68" s="15" t="n">
        <v>0.418</v>
      </c>
      <c r="BH68" s="15" t="n">
        <v>0.4877</v>
      </c>
      <c r="BI68" s="15" t="n">
        <v>0.4884</v>
      </c>
      <c r="BJ68" s="15" t="n">
        <v>0.5327</v>
      </c>
      <c r="BK68" s="15" t="n">
        <v>0.5213</v>
      </c>
      <c r="BL68" s="15" t="n">
        <v>0.5856</v>
      </c>
      <c r="BR68" s="15" t="inlineStr">
        <is>
          <t>ND*RLT e S2nd</t>
        </is>
      </c>
      <c r="BS68" s="15" t="n">
        <v>1</v>
      </c>
      <c r="BT68" s="15" t="n">
        <v>0.3449</v>
      </c>
      <c r="BU68" s="15" t="n">
        <v>0.5447</v>
      </c>
      <c r="BV68" s="15" t="n">
        <v>0.54</v>
      </c>
      <c r="BW68" s="15" t="n">
        <v>0.6459</v>
      </c>
      <c r="BX68" s="15" t="n">
        <v>0.54</v>
      </c>
      <c r="BY68" s="15" t="n">
        <v>0.5224</v>
      </c>
      <c r="BZ68" s="15" t="n">
        <v>0.3705</v>
      </c>
      <c r="CA68" s="15" t="n">
        <v>0.5276</v>
      </c>
      <c r="CB68" s="15" t="n">
        <v>0.4571</v>
      </c>
      <c r="CC68" s="15" t="n">
        <v>0.418</v>
      </c>
      <c r="CD68" s="15" t="n">
        <v>0.4877</v>
      </c>
      <c r="CE68" s="15" t="n">
        <v>0.4884</v>
      </c>
      <c r="CF68" s="15" t="n">
        <v>0.5327</v>
      </c>
      <c r="CG68" s="15" t="n">
        <v>0.5213</v>
      </c>
      <c r="CH68" s="15" t="n">
        <v>0.5856</v>
      </c>
      <c r="CN68" s="15" t="inlineStr">
        <is>
          <t>ND*RLT e S2nd</t>
        </is>
      </c>
      <c r="CO68" s="15" t="n">
        <v>1</v>
      </c>
      <c r="CP68" s="15" t="n">
        <v>0.3449</v>
      </c>
      <c r="CQ68" s="15" t="n">
        <v>0.5447</v>
      </c>
      <c r="CR68" s="15" t="n">
        <v>0.54</v>
      </c>
      <c r="CS68" s="15" t="n">
        <v>0.6459</v>
      </c>
      <c r="CT68" s="15" t="n">
        <v>0.54</v>
      </c>
      <c r="CU68" s="15" t="n">
        <v>0.5224</v>
      </c>
      <c r="CV68" s="15" t="n">
        <v>0.3705</v>
      </c>
      <c r="CW68" s="15" t="n">
        <v>0.5276</v>
      </c>
      <c r="CX68" s="15" t="n">
        <v>0.4571</v>
      </c>
      <c r="CY68" s="15" t="n">
        <v>0.418</v>
      </c>
      <c r="CZ68" s="15" t="n">
        <v>0.4877</v>
      </c>
      <c r="DA68" s="15" t="n">
        <v>0.4884</v>
      </c>
      <c r="DB68" s="15" t="n">
        <v>0.5327</v>
      </c>
      <c r="DC68" s="15" t="n">
        <v>0.5213</v>
      </c>
      <c r="DD68" s="15" t="n">
        <v>0.5856</v>
      </c>
      <c r="DJ68" s="15" t="inlineStr">
        <is>
          <t>ND*RLT e S2nd</t>
        </is>
      </c>
      <c r="DK68" s="15" t="n">
        <v>1</v>
      </c>
      <c r="DL68" s="15" t="n">
        <v>0.3449</v>
      </c>
      <c r="DM68" s="15" t="n">
        <v>0.5447</v>
      </c>
      <c r="DN68" s="15" t="n">
        <v>0.54</v>
      </c>
      <c r="DO68" s="15" t="n">
        <v>0.6459</v>
      </c>
      <c r="DP68" s="15" t="n">
        <v>0.54</v>
      </c>
      <c r="DQ68" s="15" t="n">
        <v>0.5224</v>
      </c>
      <c r="DR68" s="15" t="n">
        <v>0.3705</v>
      </c>
      <c r="DS68" s="15" t="n">
        <v>0.5276</v>
      </c>
      <c r="DT68" s="15" t="n">
        <v>0.4571</v>
      </c>
      <c r="DU68" s="15" t="n">
        <v>0.418</v>
      </c>
      <c r="DV68" s="15" t="n">
        <v>0.4877</v>
      </c>
      <c r="DW68" s="15" t="n">
        <v>0.4884</v>
      </c>
      <c r="DX68" s="15" t="n">
        <v>0.5327</v>
      </c>
      <c r="DY68" s="15" t="n">
        <v>0.5213</v>
      </c>
      <c r="DZ68" s="15" t="n">
        <v>0.5856</v>
      </c>
      <c r="EF68" s="15" t="inlineStr">
        <is>
          <t>ND*RLT e S2nd</t>
        </is>
      </c>
      <c r="EG68" s="15" t="n">
        <v>1</v>
      </c>
      <c r="EH68" s="15" t="n">
        <v>0.3449</v>
      </c>
      <c r="EI68" s="15" t="n">
        <v>0.5447</v>
      </c>
      <c r="EJ68" s="15" t="n">
        <v>0.54</v>
      </c>
      <c r="EK68" s="15" t="n">
        <v>0.6459</v>
      </c>
      <c r="EL68" s="15" t="n">
        <v>0.54</v>
      </c>
      <c r="EM68" s="15" t="n">
        <v>0.5224</v>
      </c>
      <c r="EN68" s="15" t="n">
        <v>0.3705</v>
      </c>
      <c r="EO68" s="15" t="n">
        <v>0.5276</v>
      </c>
      <c r="EP68" s="15" t="n">
        <v>0.4571</v>
      </c>
      <c r="EQ68" s="15" t="n">
        <v>0.418</v>
      </c>
      <c r="ER68" s="15" t="n">
        <v>0.4877</v>
      </c>
      <c r="ES68" s="15" t="n">
        <v>0.4884</v>
      </c>
      <c r="ET68" s="15" t="n">
        <v>0.5327</v>
      </c>
      <c r="EU68" s="15" t="n">
        <v>0.5213</v>
      </c>
      <c r="EV68" s="15" t="n">
        <v>0.5856</v>
      </c>
      <c r="FB68" s="15" t="inlineStr">
        <is>
          <t>ND*RLT e S2nd</t>
        </is>
      </c>
      <c r="FC68" s="15" t="n">
        <v>1</v>
      </c>
      <c r="FD68" s="15" t="n">
        <v>0.3449</v>
      </c>
      <c r="FE68" s="15" t="n">
        <v>0.5447</v>
      </c>
      <c r="FF68" s="15" t="n">
        <v>0.54</v>
      </c>
      <c r="FG68" s="15" t="n">
        <v>0.6459</v>
      </c>
      <c r="FH68" s="15" t="n">
        <v>0.54</v>
      </c>
      <c r="FI68" s="15" t="n">
        <v>0.5224</v>
      </c>
      <c r="FJ68" s="15" t="n">
        <v>0.3705</v>
      </c>
      <c r="FK68" s="15" t="n">
        <v>0.5276</v>
      </c>
      <c r="FL68" s="15" t="n">
        <v>0.4571</v>
      </c>
      <c r="FM68" s="15" t="n">
        <v>0.418</v>
      </c>
      <c r="FN68" s="15" t="n">
        <v>0.4877</v>
      </c>
      <c r="FO68" s="15" t="n">
        <v>0.4884</v>
      </c>
      <c r="FP68" s="15" t="n">
        <v>0.5327</v>
      </c>
      <c r="FQ68" s="15" t="n">
        <v>0.5213</v>
      </c>
      <c r="FR68" s="15" t="n">
        <v>0.5856</v>
      </c>
      <c r="FX68" s="15" t="inlineStr">
        <is>
          <t>ND*RLT e S2nd</t>
        </is>
      </c>
      <c r="FY68" s="15" t="n">
        <v>1</v>
      </c>
      <c r="FZ68" s="15" t="n">
        <v>0.3449</v>
      </c>
      <c r="GA68" s="15" t="n">
        <v>0.5447</v>
      </c>
      <c r="GB68" s="15" t="n">
        <v>0.54</v>
      </c>
      <c r="GC68" s="15" t="n">
        <v>0.6459</v>
      </c>
      <c r="GD68" s="15" t="n">
        <v>0.54</v>
      </c>
      <c r="GE68" s="15" t="n">
        <v>0.5224</v>
      </c>
      <c r="GF68" s="15" t="n">
        <v>0.3705</v>
      </c>
      <c r="GG68" s="15" t="n">
        <v>0.5276</v>
      </c>
      <c r="GH68" s="15" t="n">
        <v>0.4571</v>
      </c>
      <c r="GI68" s="15" t="n">
        <v>0.418</v>
      </c>
      <c r="GJ68" s="15" t="n">
        <v>0.4877</v>
      </c>
      <c r="GK68" s="15" t="n">
        <v>0.4884</v>
      </c>
      <c r="GL68" s="15" t="n">
        <v>0.5327</v>
      </c>
      <c r="GM68" s="15" t="n">
        <v>0.5213</v>
      </c>
      <c r="GN68" s="15" t="n">
        <v>0.5856</v>
      </c>
      <c r="GT68" s="15" t="inlineStr">
        <is>
          <t>ND*RLT e S2nd</t>
        </is>
      </c>
      <c r="GU68" s="15" t="n">
        <v>1</v>
      </c>
      <c r="GV68" s="15" t="n">
        <v>0.3449</v>
      </c>
      <c r="GW68" s="15" t="n">
        <v>0.5447</v>
      </c>
      <c r="GX68" s="15" t="n">
        <v>0.54</v>
      </c>
      <c r="GY68" s="15" t="n">
        <v>0.6459</v>
      </c>
      <c r="GZ68" s="15" t="n">
        <v>0.54</v>
      </c>
      <c r="HA68" s="15" t="n">
        <v>0.5224</v>
      </c>
      <c r="HB68" s="15" t="n">
        <v>0.3705</v>
      </c>
      <c r="HC68" s="15" t="n">
        <v>0.5276</v>
      </c>
      <c r="HD68" s="15" t="n">
        <v>0.4571</v>
      </c>
      <c r="HE68" s="15" t="n">
        <v>0.418</v>
      </c>
      <c r="HF68" s="15" t="n">
        <v>0.4877</v>
      </c>
      <c r="HG68" s="15" t="n">
        <v>0.4884</v>
      </c>
      <c r="HH68" s="15" t="n">
        <v>0.5327</v>
      </c>
      <c r="HI68" s="15" t="n">
        <v>0.5213</v>
      </c>
      <c r="HJ68" s="15" t="n">
        <v>0.5856</v>
      </c>
    </row>
    <row r="69">
      <c r="C69" s="15" t="n">
        <v>2</v>
      </c>
      <c r="D69" s="79">
        <f>Matlab_Data!D29</f>
        <v/>
      </c>
      <c r="E69" s="79">
        <f>Matlab_Data!E29</f>
        <v/>
      </c>
      <c r="F69" s="79">
        <f>Matlab_Data!F29</f>
        <v/>
      </c>
      <c r="G69" s="79">
        <f>Matlab_Data!G29</f>
        <v/>
      </c>
      <c r="H69" s="79">
        <f>Matlab_Data!H29</f>
        <v/>
      </c>
      <c r="I69" s="79">
        <f>Matlab_Data!I29</f>
        <v/>
      </c>
      <c r="J69" s="79">
        <f>Matlab_Data!J29</f>
        <v/>
      </c>
      <c r="K69" s="79">
        <f>Matlab_Data!K29</f>
        <v/>
      </c>
      <c r="L69" s="79">
        <f>Matlab_Data!L29</f>
        <v/>
      </c>
      <c r="M69" s="79">
        <f>Matlab_Data!M29</f>
        <v/>
      </c>
      <c r="N69" s="79">
        <f>Matlab_Data!N29</f>
        <v/>
      </c>
      <c r="O69" s="79">
        <f>Matlab_Data!O29</f>
        <v/>
      </c>
      <c r="P69" s="79">
        <f>Matlab_Data!P29</f>
        <v/>
      </c>
      <c r="Q69" s="79">
        <f>Matlab_Data!Q29</f>
        <v/>
      </c>
      <c r="R69" s="79">
        <f>Matlab_Data!R29</f>
        <v/>
      </c>
      <c r="Y69" s="79" t="n"/>
      <c r="Z69" s="79" t="n"/>
      <c r="AA69" s="79" t="n">
        <v>2</v>
      </c>
      <c r="AB69" s="79" t="n">
        <v>0.4786</v>
      </c>
      <c r="AC69" s="79" t="n">
        <v>0.644</v>
      </c>
      <c r="AD69" s="79" t="n">
        <v>0.4253</v>
      </c>
      <c r="AE69" s="79" t="n">
        <v>0.7324000000000001</v>
      </c>
      <c r="AF69" s="79" t="n">
        <v>0.4282</v>
      </c>
      <c r="AG69" s="79" t="n">
        <v>0.5812</v>
      </c>
      <c r="AH69" s="79" t="n">
        <v>0.441</v>
      </c>
      <c r="AI69" s="79" t="n">
        <v>0.5816</v>
      </c>
      <c r="AJ69" s="79" t="n">
        <v>0.3943</v>
      </c>
      <c r="AK69" s="79" t="n">
        <v>0.479</v>
      </c>
      <c r="AL69" s="79" t="n">
        <v>0.4542</v>
      </c>
      <c r="AM69" s="79" t="n">
        <v>0.5735</v>
      </c>
      <c r="AN69" s="15" t="n">
        <v>0.7112000000000001</v>
      </c>
      <c r="AO69" s="15" t="n">
        <v>0.655</v>
      </c>
      <c r="AP69" s="15" t="n">
        <v>0.4921</v>
      </c>
      <c r="AW69" s="15" t="n">
        <v>2</v>
      </c>
      <c r="AX69" s="15" t="n">
        <v>0.4786</v>
      </c>
      <c r="AY69" s="15" t="n">
        <v>0.644</v>
      </c>
      <c r="AZ69" s="15" t="n">
        <v>0.4253</v>
      </c>
      <c r="BA69" s="15" t="n">
        <v>0.7324000000000001</v>
      </c>
      <c r="BB69" s="15" t="n">
        <v>0.4282</v>
      </c>
      <c r="BC69" s="15" t="n">
        <v>0.5812</v>
      </c>
      <c r="BD69" s="15" t="n">
        <v>0.441</v>
      </c>
      <c r="BE69" s="15" t="n">
        <v>0.5816</v>
      </c>
      <c r="BF69" s="15" t="n">
        <v>0.3943</v>
      </c>
      <c r="BG69" s="15" t="n">
        <v>0.479</v>
      </c>
      <c r="BH69" s="15" t="n">
        <v>0.4542</v>
      </c>
      <c r="BI69" s="15" t="n">
        <v>0.5735</v>
      </c>
      <c r="BJ69" s="15" t="n">
        <v>0.7112000000000001</v>
      </c>
      <c r="BK69" s="15" t="n">
        <v>0.655</v>
      </c>
      <c r="BL69" s="15" t="n">
        <v>0.4921</v>
      </c>
      <c r="BS69" s="15" t="n">
        <v>2</v>
      </c>
      <c r="BT69" s="15" t="n">
        <v>0.4786</v>
      </c>
      <c r="BU69" s="15" t="n">
        <v>0.644</v>
      </c>
      <c r="BV69" s="15" t="n">
        <v>0.4253</v>
      </c>
      <c r="BW69" s="15" t="n">
        <v>0.7324000000000001</v>
      </c>
      <c r="BX69" s="15" t="n">
        <v>0.4282</v>
      </c>
      <c r="BY69" s="15" t="n">
        <v>0.5812</v>
      </c>
      <c r="BZ69" s="15" t="n">
        <v>0.441</v>
      </c>
      <c r="CA69" s="15" t="n">
        <v>0.5816</v>
      </c>
      <c r="CB69" s="15" t="n">
        <v>0.3943</v>
      </c>
      <c r="CC69" s="15" t="n">
        <v>0.479</v>
      </c>
      <c r="CD69" s="15" t="n">
        <v>0.4542</v>
      </c>
      <c r="CE69" s="15" t="n">
        <v>0.5735</v>
      </c>
      <c r="CF69" s="15" t="n">
        <v>0.7112000000000001</v>
      </c>
      <c r="CG69" s="15" t="n">
        <v>0.655</v>
      </c>
      <c r="CH69" s="15" t="n">
        <v>0.4921</v>
      </c>
      <c r="CO69" s="15" t="n">
        <v>2</v>
      </c>
      <c r="CP69" s="15" t="n">
        <v>0.4786</v>
      </c>
      <c r="CQ69" s="15" t="n">
        <v>0.644</v>
      </c>
      <c r="CR69" s="15" t="n">
        <v>0.4253</v>
      </c>
      <c r="CS69" s="15" t="n">
        <v>0.7324000000000001</v>
      </c>
      <c r="CT69" s="15" t="n">
        <v>0.4282</v>
      </c>
      <c r="CU69" s="15" t="n">
        <v>0.5812</v>
      </c>
      <c r="CV69" s="15" t="n">
        <v>0.441</v>
      </c>
      <c r="CW69" s="15" t="n">
        <v>0.5816</v>
      </c>
      <c r="CX69" s="15" t="n">
        <v>0.3943</v>
      </c>
      <c r="CY69" s="15" t="n">
        <v>0.479</v>
      </c>
      <c r="CZ69" s="15" t="n">
        <v>0.4542</v>
      </c>
      <c r="DA69" s="15" t="n">
        <v>0.5735</v>
      </c>
      <c r="DB69" s="15" t="n">
        <v>0.7112000000000001</v>
      </c>
      <c r="DC69" s="15" t="n">
        <v>0.655</v>
      </c>
      <c r="DD69" s="15" t="n">
        <v>0.4921</v>
      </c>
      <c r="DK69" s="15" t="n">
        <v>2</v>
      </c>
      <c r="DL69" s="15" t="n">
        <v>0.4786</v>
      </c>
      <c r="DM69" s="15" t="n">
        <v>0.644</v>
      </c>
      <c r="DN69" s="15" t="n">
        <v>0.4253</v>
      </c>
      <c r="DO69" s="15" t="n">
        <v>0.7324000000000001</v>
      </c>
      <c r="DP69" s="15" t="n">
        <v>0.4282</v>
      </c>
      <c r="DQ69" s="15" t="n">
        <v>0.5812</v>
      </c>
      <c r="DR69" s="15" t="n">
        <v>0.441</v>
      </c>
      <c r="DS69" s="15" t="n">
        <v>0.5816</v>
      </c>
      <c r="DT69" s="15" t="n">
        <v>0.3943</v>
      </c>
      <c r="DU69" s="15" t="n">
        <v>0.479</v>
      </c>
      <c r="DV69" s="15" t="n">
        <v>0.4542</v>
      </c>
      <c r="DW69" s="15" t="n">
        <v>0.5735</v>
      </c>
      <c r="DX69" s="15" t="n">
        <v>0.7112000000000001</v>
      </c>
      <c r="DY69" s="15" t="n">
        <v>0.655</v>
      </c>
      <c r="DZ69" s="15" t="n">
        <v>0.4921</v>
      </c>
      <c r="EG69" s="15" t="n">
        <v>2</v>
      </c>
      <c r="EH69" s="15" t="n">
        <v>0.4786</v>
      </c>
      <c r="EI69" s="15" t="n">
        <v>0.644</v>
      </c>
      <c r="EJ69" s="15" t="n">
        <v>0.4253</v>
      </c>
      <c r="EK69" s="15" t="n">
        <v>0.7324000000000001</v>
      </c>
      <c r="EL69" s="15" t="n">
        <v>0.4282</v>
      </c>
      <c r="EM69" s="15" t="n">
        <v>0.5812</v>
      </c>
      <c r="EN69" s="15" t="n">
        <v>0.441</v>
      </c>
      <c r="EO69" s="15" t="n">
        <v>0.5816</v>
      </c>
      <c r="EP69" s="15" t="n">
        <v>0.3943</v>
      </c>
      <c r="EQ69" s="15" t="n">
        <v>0.479</v>
      </c>
      <c r="ER69" s="15" t="n">
        <v>0.4542</v>
      </c>
      <c r="ES69" s="15" t="n">
        <v>0.5735</v>
      </c>
      <c r="ET69" s="15" t="n">
        <v>0.7112000000000001</v>
      </c>
      <c r="EU69" s="15" t="n">
        <v>0.655</v>
      </c>
      <c r="EV69" s="15" t="n">
        <v>0.4921</v>
      </c>
      <c r="FC69" s="15" t="n">
        <v>2</v>
      </c>
      <c r="FD69" s="15" t="n">
        <v>0.4786</v>
      </c>
      <c r="FE69" s="15" t="n">
        <v>0.644</v>
      </c>
      <c r="FF69" s="15" t="n">
        <v>0.4253</v>
      </c>
      <c r="FG69" s="15" t="n">
        <v>0.7324000000000001</v>
      </c>
      <c r="FH69" s="15" t="n">
        <v>0.4282</v>
      </c>
      <c r="FI69" s="15" t="n">
        <v>0.5812</v>
      </c>
      <c r="FJ69" s="15" t="n">
        <v>0.441</v>
      </c>
      <c r="FK69" s="15" t="n">
        <v>0.5816</v>
      </c>
      <c r="FL69" s="15" t="n">
        <v>0.3943</v>
      </c>
      <c r="FM69" s="15" t="n">
        <v>0.479</v>
      </c>
      <c r="FN69" s="15" t="n">
        <v>0.4542</v>
      </c>
      <c r="FO69" s="15" t="n">
        <v>0.5735</v>
      </c>
      <c r="FP69" s="15" t="n">
        <v>0.7112000000000001</v>
      </c>
      <c r="FQ69" s="15" t="n">
        <v>0.655</v>
      </c>
      <c r="FR69" s="15" t="n">
        <v>0.4921</v>
      </c>
      <c r="FY69" s="15" t="n">
        <v>2</v>
      </c>
      <c r="FZ69" s="15" t="n">
        <v>0.4786</v>
      </c>
      <c r="GA69" s="15" t="n">
        <v>0.644</v>
      </c>
      <c r="GB69" s="15" t="n">
        <v>0.4253</v>
      </c>
      <c r="GC69" s="15" t="n">
        <v>0.7324000000000001</v>
      </c>
      <c r="GD69" s="15" t="n">
        <v>0.4282</v>
      </c>
      <c r="GE69" s="15" t="n">
        <v>0.5812</v>
      </c>
      <c r="GF69" s="15" t="n">
        <v>0.441</v>
      </c>
      <c r="GG69" s="15" t="n">
        <v>0.5816</v>
      </c>
      <c r="GH69" s="15" t="n">
        <v>0.3943</v>
      </c>
      <c r="GI69" s="15" t="n">
        <v>0.479</v>
      </c>
      <c r="GJ69" s="15" t="n">
        <v>0.4542</v>
      </c>
      <c r="GK69" s="15" t="n">
        <v>0.5735</v>
      </c>
      <c r="GL69" s="15" t="n">
        <v>0.7112000000000001</v>
      </c>
      <c r="GM69" s="15" t="n">
        <v>0.655</v>
      </c>
      <c r="GN69" s="15" t="n">
        <v>0.4921</v>
      </c>
      <c r="GU69" s="15" t="n">
        <v>2</v>
      </c>
      <c r="GV69" s="15" t="n">
        <v>0.4786</v>
      </c>
      <c r="GW69" s="15" t="n">
        <v>0.644</v>
      </c>
      <c r="GX69" s="15" t="n">
        <v>0.4253</v>
      </c>
      <c r="GY69" s="15" t="n">
        <v>0.7324000000000001</v>
      </c>
      <c r="GZ69" s="15" t="n">
        <v>0.4282</v>
      </c>
      <c r="HA69" s="15" t="n">
        <v>0.5812</v>
      </c>
      <c r="HB69" s="15" t="n">
        <v>0.441</v>
      </c>
      <c r="HC69" s="15" t="n">
        <v>0.5816</v>
      </c>
      <c r="HD69" s="15" t="n">
        <v>0.3943</v>
      </c>
      <c r="HE69" s="15" t="n">
        <v>0.479</v>
      </c>
      <c r="HF69" s="15" t="n">
        <v>0.4542</v>
      </c>
      <c r="HG69" s="15" t="n">
        <v>0.5735</v>
      </c>
      <c r="HH69" s="15" t="n">
        <v>0.7112000000000001</v>
      </c>
      <c r="HI69" s="15" t="n">
        <v>0.655</v>
      </c>
      <c r="HJ69" s="15" t="n">
        <v>0.4921</v>
      </c>
    </row>
    <row r="70">
      <c r="C70" s="15" t="n">
        <v>3</v>
      </c>
      <c r="D70" s="79">
        <f>Matlab_Data!D30</f>
        <v/>
      </c>
      <c r="E70" s="79">
        <f>Matlab_Data!E30</f>
        <v/>
      </c>
      <c r="F70" s="79">
        <f>Matlab_Data!F30</f>
        <v/>
      </c>
      <c r="G70" s="79">
        <f>Matlab_Data!G30</f>
        <v/>
      </c>
      <c r="H70" s="79">
        <f>Matlab_Data!H30</f>
        <v/>
      </c>
      <c r="I70" s="79">
        <f>Matlab_Data!I30</f>
        <v/>
      </c>
      <c r="J70" s="79">
        <f>Matlab_Data!J30</f>
        <v/>
      </c>
      <c r="K70" s="79">
        <f>Matlab_Data!K30</f>
        <v/>
      </c>
      <c r="L70" s="79">
        <f>Matlab_Data!L30</f>
        <v/>
      </c>
      <c r="M70" s="79">
        <f>Matlab_Data!M30</f>
        <v/>
      </c>
      <c r="N70" s="79">
        <f>Matlab_Data!N30</f>
        <v/>
      </c>
      <c r="O70" s="79">
        <f>Matlab_Data!O30</f>
        <v/>
      </c>
      <c r="P70" s="79">
        <f>Matlab_Data!P30</f>
        <v/>
      </c>
      <c r="Q70" s="79">
        <f>Matlab_Data!Q30</f>
        <v/>
      </c>
      <c r="R70" s="79">
        <f>Matlab_Data!R30</f>
        <v/>
      </c>
      <c r="Y70" s="79" t="n"/>
      <c r="Z70" s="79" t="n"/>
      <c r="AA70" s="79" t="n">
        <v>3</v>
      </c>
      <c r="AB70" s="79" t="n">
        <v>0.6667</v>
      </c>
      <c r="AC70" s="79" t="n">
        <v>0.7036</v>
      </c>
      <c r="AD70" s="79" t="n">
        <v>0.7536</v>
      </c>
      <c r="AE70" s="79" t="n">
        <v>0.51</v>
      </c>
      <c r="AF70" s="79" t="n">
        <v>0.503</v>
      </c>
      <c r="AG70" s="79" t="n">
        <v>0.6425999999999999</v>
      </c>
      <c r="AH70" s="79" t="n">
        <v>0.4622</v>
      </c>
      <c r="AI70" s="79" t="n">
        <v>0.4801</v>
      </c>
      <c r="AJ70" s="79" t="n">
        <v>0.5973000000000001</v>
      </c>
      <c r="AK70" s="79" t="n">
        <v>0.5819</v>
      </c>
      <c r="AL70" s="79" t="n">
        <v>0.3778</v>
      </c>
      <c r="AM70" s="79" t="n">
        <v>0.5118</v>
      </c>
      <c r="AN70" s="15" t="n">
        <v>0.5133</v>
      </c>
      <c r="AO70" s="15" t="n">
        <v>0.4424</v>
      </c>
      <c r="AP70" s="15" t="n">
        <v>0.4662</v>
      </c>
      <c r="AW70" s="15" t="n">
        <v>3</v>
      </c>
      <c r="AX70" s="15" t="n">
        <v>0.6667</v>
      </c>
      <c r="AY70" s="15" t="n">
        <v>0.7036</v>
      </c>
      <c r="AZ70" s="15" t="n">
        <v>0.7536</v>
      </c>
      <c r="BA70" s="15" t="n">
        <v>0.51</v>
      </c>
      <c r="BB70" s="15" t="n">
        <v>0.503</v>
      </c>
      <c r="BC70" s="15" t="n">
        <v>0.6425999999999999</v>
      </c>
      <c r="BD70" s="15" t="n">
        <v>0.4622</v>
      </c>
      <c r="BE70" s="15" t="n">
        <v>0.4801</v>
      </c>
      <c r="BF70" s="15" t="n">
        <v>0.5973000000000001</v>
      </c>
      <c r="BG70" s="15" t="n">
        <v>0.5819</v>
      </c>
      <c r="BH70" s="15" t="n">
        <v>0.3778</v>
      </c>
      <c r="BI70" s="15" t="n">
        <v>0.5118</v>
      </c>
      <c r="BJ70" s="15" t="n">
        <v>0.5133</v>
      </c>
      <c r="BK70" s="15" t="n">
        <v>0.4424</v>
      </c>
      <c r="BL70" s="15" t="n">
        <v>0.4662</v>
      </c>
      <c r="BS70" s="15" t="n">
        <v>3</v>
      </c>
      <c r="BT70" s="15" t="n">
        <v>0.6667</v>
      </c>
      <c r="BU70" s="15" t="n">
        <v>0.7036</v>
      </c>
      <c r="BV70" s="15" t="n">
        <v>0.7536</v>
      </c>
      <c r="BW70" s="15" t="n">
        <v>0.51</v>
      </c>
      <c r="BX70" s="15" t="n">
        <v>0.503</v>
      </c>
      <c r="BY70" s="15" t="n">
        <v>0.6425999999999999</v>
      </c>
      <c r="BZ70" s="15" t="n">
        <v>0.4622</v>
      </c>
      <c r="CA70" s="15" t="n">
        <v>0.4801</v>
      </c>
      <c r="CB70" s="15" t="n">
        <v>0.5973000000000001</v>
      </c>
      <c r="CC70" s="15" t="n">
        <v>0.5819</v>
      </c>
      <c r="CD70" s="15" t="n">
        <v>0.3778</v>
      </c>
      <c r="CE70" s="15" t="n">
        <v>0.5118</v>
      </c>
      <c r="CF70" s="15" t="n">
        <v>0.5133</v>
      </c>
      <c r="CG70" s="15" t="n">
        <v>0.4424</v>
      </c>
      <c r="CH70" s="15" t="n">
        <v>0.4662</v>
      </c>
      <c r="CO70" s="15" t="n">
        <v>3</v>
      </c>
      <c r="CP70" s="15" t="n">
        <v>0.6667</v>
      </c>
      <c r="CQ70" s="15" t="n">
        <v>0.7036</v>
      </c>
      <c r="CR70" s="15" t="n">
        <v>0.7536</v>
      </c>
      <c r="CS70" s="15" t="n">
        <v>0.51</v>
      </c>
      <c r="CT70" s="15" t="n">
        <v>0.503</v>
      </c>
      <c r="CU70" s="15" t="n">
        <v>0.6425999999999999</v>
      </c>
      <c r="CV70" s="15" t="n">
        <v>0.4622</v>
      </c>
      <c r="CW70" s="15" t="n">
        <v>0.4801</v>
      </c>
      <c r="CX70" s="15" t="n">
        <v>0.5973000000000001</v>
      </c>
      <c r="CY70" s="15" t="n">
        <v>0.5819</v>
      </c>
      <c r="CZ70" s="15" t="n">
        <v>0.3778</v>
      </c>
      <c r="DA70" s="15" t="n">
        <v>0.5118</v>
      </c>
      <c r="DB70" s="15" t="n">
        <v>0.5133</v>
      </c>
      <c r="DC70" s="15" t="n">
        <v>0.4424</v>
      </c>
      <c r="DD70" s="15" t="n">
        <v>0.4662</v>
      </c>
      <c r="DK70" s="15" t="n">
        <v>3</v>
      </c>
      <c r="DL70" s="15" t="n">
        <v>0.6667</v>
      </c>
      <c r="DM70" s="15" t="n">
        <v>0.7036</v>
      </c>
      <c r="DN70" s="15" t="n">
        <v>0.7536</v>
      </c>
      <c r="DO70" s="15" t="n">
        <v>0.51</v>
      </c>
      <c r="DP70" s="15" t="n">
        <v>0.503</v>
      </c>
      <c r="DQ70" s="15" t="n">
        <v>0.6425999999999999</v>
      </c>
      <c r="DR70" s="15" t="n">
        <v>0.4622</v>
      </c>
      <c r="DS70" s="15" t="n">
        <v>0.4801</v>
      </c>
      <c r="DT70" s="15" t="n">
        <v>0.5973000000000001</v>
      </c>
      <c r="DU70" s="15" t="n">
        <v>0.5819</v>
      </c>
      <c r="DV70" s="15" t="n">
        <v>0.3778</v>
      </c>
      <c r="DW70" s="15" t="n">
        <v>0.5118</v>
      </c>
      <c r="DX70" s="15" t="n">
        <v>0.5133</v>
      </c>
      <c r="DY70" s="15" t="n">
        <v>0.4424</v>
      </c>
      <c r="DZ70" s="15" t="n">
        <v>0.4662</v>
      </c>
      <c r="EG70" s="15" t="n">
        <v>3</v>
      </c>
      <c r="EH70" s="15" t="n">
        <v>0.6667</v>
      </c>
      <c r="EI70" s="15" t="n">
        <v>0.7036</v>
      </c>
      <c r="EJ70" s="15" t="n">
        <v>0.7536</v>
      </c>
      <c r="EK70" s="15" t="n">
        <v>0.51</v>
      </c>
      <c r="EL70" s="15" t="n">
        <v>0.503</v>
      </c>
      <c r="EM70" s="15" t="n">
        <v>0.6425999999999999</v>
      </c>
      <c r="EN70" s="15" t="n">
        <v>0.4622</v>
      </c>
      <c r="EO70" s="15" t="n">
        <v>0.4801</v>
      </c>
      <c r="EP70" s="15" t="n">
        <v>0.5973000000000001</v>
      </c>
      <c r="EQ70" s="15" t="n">
        <v>0.5819</v>
      </c>
      <c r="ER70" s="15" t="n">
        <v>0.3778</v>
      </c>
      <c r="ES70" s="15" t="n">
        <v>0.5118</v>
      </c>
      <c r="ET70" s="15" t="n">
        <v>0.5133</v>
      </c>
      <c r="EU70" s="15" t="n">
        <v>0.4424</v>
      </c>
      <c r="EV70" s="15" t="n">
        <v>0.4662</v>
      </c>
      <c r="FC70" s="15" t="n">
        <v>3</v>
      </c>
      <c r="FD70" s="15" t="n">
        <v>0.6667</v>
      </c>
      <c r="FE70" s="15" t="n">
        <v>0.7036</v>
      </c>
      <c r="FF70" s="15" t="n">
        <v>0.7536</v>
      </c>
      <c r="FG70" s="15" t="n">
        <v>0.51</v>
      </c>
      <c r="FH70" s="15" t="n">
        <v>0.503</v>
      </c>
      <c r="FI70" s="15" t="n">
        <v>0.6425999999999999</v>
      </c>
      <c r="FJ70" s="15" t="n">
        <v>0.4622</v>
      </c>
      <c r="FK70" s="15" t="n">
        <v>0.4801</v>
      </c>
      <c r="FL70" s="15" t="n">
        <v>0.5973000000000001</v>
      </c>
      <c r="FM70" s="15" t="n">
        <v>0.5819</v>
      </c>
      <c r="FN70" s="15" t="n">
        <v>0.3778</v>
      </c>
      <c r="FO70" s="15" t="n">
        <v>0.5118</v>
      </c>
      <c r="FP70" s="15" t="n">
        <v>0.5133</v>
      </c>
      <c r="FQ70" s="15" t="n">
        <v>0.4424</v>
      </c>
      <c r="FR70" s="15" t="n">
        <v>0.4662</v>
      </c>
      <c r="FY70" s="15" t="n">
        <v>3</v>
      </c>
      <c r="FZ70" s="15" t="n">
        <v>0.6667</v>
      </c>
      <c r="GA70" s="15" t="n">
        <v>0.7036</v>
      </c>
      <c r="GB70" s="15" t="n">
        <v>0.7536</v>
      </c>
      <c r="GC70" s="15" t="n">
        <v>0.51</v>
      </c>
      <c r="GD70" s="15" t="n">
        <v>0.503</v>
      </c>
      <c r="GE70" s="15" t="n">
        <v>0.6425999999999999</v>
      </c>
      <c r="GF70" s="15" t="n">
        <v>0.4622</v>
      </c>
      <c r="GG70" s="15" t="n">
        <v>0.4801</v>
      </c>
      <c r="GH70" s="15" t="n">
        <v>0.5973000000000001</v>
      </c>
      <c r="GI70" s="15" t="n">
        <v>0.5819</v>
      </c>
      <c r="GJ70" s="15" t="n">
        <v>0.3778</v>
      </c>
      <c r="GK70" s="15" t="n">
        <v>0.5118</v>
      </c>
      <c r="GL70" s="15" t="n">
        <v>0.5133</v>
      </c>
      <c r="GM70" s="15" t="n">
        <v>0.4424</v>
      </c>
      <c r="GN70" s="15" t="n">
        <v>0.4662</v>
      </c>
      <c r="GU70" s="15" t="n">
        <v>3</v>
      </c>
      <c r="GV70" s="15" t="n">
        <v>0.6667</v>
      </c>
      <c r="GW70" s="15" t="n">
        <v>0.7036</v>
      </c>
      <c r="GX70" s="15" t="n">
        <v>0.7536</v>
      </c>
      <c r="GY70" s="15" t="n">
        <v>0.51</v>
      </c>
      <c r="GZ70" s="15" t="n">
        <v>0.503</v>
      </c>
      <c r="HA70" s="15" t="n">
        <v>0.6425999999999999</v>
      </c>
      <c r="HB70" s="15" t="n">
        <v>0.4622</v>
      </c>
      <c r="HC70" s="15" t="n">
        <v>0.4801</v>
      </c>
      <c r="HD70" s="15" t="n">
        <v>0.5973000000000001</v>
      </c>
      <c r="HE70" s="15" t="n">
        <v>0.5819</v>
      </c>
      <c r="HF70" s="15" t="n">
        <v>0.3778</v>
      </c>
      <c r="HG70" s="15" t="n">
        <v>0.5118</v>
      </c>
      <c r="HH70" s="15" t="n">
        <v>0.5133</v>
      </c>
      <c r="HI70" s="15" t="n">
        <v>0.4424</v>
      </c>
      <c r="HJ70" s="15" t="n">
        <v>0.4662</v>
      </c>
    </row>
    <row r="72">
      <c r="B72" s="15" t="inlineStr">
        <is>
          <t>Parâmetros p/ μx</t>
        </is>
      </c>
      <c r="C72" s="15" t="inlineStr">
        <is>
          <t>Média(d-Cap)</t>
        </is>
      </c>
      <c r="D72" s="15" t="n">
        <v>1</v>
      </c>
      <c r="E72" s="15" t="n">
        <v>2</v>
      </c>
      <c r="F72" s="15" t="n">
        <v>3</v>
      </c>
      <c r="G72" s="15" t="n">
        <v>4</v>
      </c>
      <c r="H72" s="15" t="n">
        <v>5</v>
      </c>
      <c r="I72" s="15" t="n">
        <v>6</v>
      </c>
      <c r="J72" s="15" t="n">
        <v>7</v>
      </c>
      <c r="K72" s="15" t="n">
        <v>8</v>
      </c>
      <c r="L72" s="15" t="n">
        <v>9</v>
      </c>
      <c r="M72" s="15" t="n">
        <v>10</v>
      </c>
      <c r="N72" s="15" t="n">
        <v>11</v>
      </c>
      <c r="O72" s="15" t="n">
        <v>12</v>
      </c>
      <c r="P72" s="15" t="n">
        <v>13</v>
      </c>
      <c r="Q72" s="15" t="n">
        <v>14</v>
      </c>
      <c r="R72" s="15" t="n">
        <v>15</v>
      </c>
      <c r="Z72" s="15" t="inlineStr">
        <is>
          <t>Parâmetros p/ μx</t>
        </is>
      </c>
      <c r="AA72" s="15" t="inlineStr">
        <is>
          <t>Média(d-Cap)</t>
        </is>
      </c>
      <c r="AB72" s="15" t="n">
        <v>1</v>
      </c>
      <c r="AC72" s="15" t="n">
        <v>2</v>
      </c>
      <c r="AD72" s="15" t="n">
        <v>3</v>
      </c>
      <c r="AE72" s="15" t="n">
        <v>4</v>
      </c>
      <c r="AF72" s="15" t="n">
        <v>5</v>
      </c>
      <c r="AG72" s="15" t="n">
        <v>6</v>
      </c>
      <c r="AH72" s="15" t="n">
        <v>7</v>
      </c>
      <c r="AI72" s="15" t="n">
        <v>8</v>
      </c>
      <c r="AJ72" s="15" t="n">
        <v>9</v>
      </c>
      <c r="AK72" s="15" t="n">
        <v>10</v>
      </c>
      <c r="AL72" s="15" t="n">
        <v>11</v>
      </c>
      <c r="AM72" s="15" t="n">
        <v>12</v>
      </c>
      <c r="AN72" s="15" t="n">
        <v>13</v>
      </c>
      <c r="AO72" s="15" t="n">
        <v>14</v>
      </c>
      <c r="AP72" s="15" t="n">
        <v>15</v>
      </c>
      <c r="AV72" s="15" t="inlineStr">
        <is>
          <t>Parâmetros p/ μx</t>
        </is>
      </c>
      <c r="AW72" s="15" t="inlineStr">
        <is>
          <t>Média(d-Cap)</t>
        </is>
      </c>
      <c r="AX72" s="15" t="n">
        <v>1</v>
      </c>
      <c r="AY72" s="15" t="n">
        <v>2</v>
      </c>
      <c r="AZ72" s="15" t="n">
        <v>3</v>
      </c>
      <c r="BA72" s="15" t="n">
        <v>4</v>
      </c>
      <c r="BB72" s="15" t="n">
        <v>5</v>
      </c>
      <c r="BC72" s="15" t="n">
        <v>6</v>
      </c>
      <c r="BD72" s="15" t="n">
        <v>7</v>
      </c>
      <c r="BE72" s="15" t="n">
        <v>8</v>
      </c>
      <c r="BF72" s="15" t="n">
        <v>9</v>
      </c>
      <c r="BG72" s="15" t="n">
        <v>10</v>
      </c>
      <c r="BH72" s="15" t="n">
        <v>11</v>
      </c>
      <c r="BI72" s="15" t="n">
        <v>12</v>
      </c>
      <c r="BJ72" s="15" t="n">
        <v>13</v>
      </c>
      <c r="BK72" s="15" t="n">
        <v>14</v>
      </c>
      <c r="BL72" s="15" t="n">
        <v>15</v>
      </c>
      <c r="BR72" s="15" t="inlineStr">
        <is>
          <t>Parâmetros p/ μx</t>
        </is>
      </c>
      <c r="BS72" s="15" t="inlineStr">
        <is>
          <t>Média(d-Cap)</t>
        </is>
      </c>
      <c r="BT72" s="15" t="n">
        <v>1</v>
      </c>
      <c r="BU72" s="15" t="n">
        <v>2</v>
      </c>
      <c r="BV72" s="15" t="n">
        <v>3</v>
      </c>
      <c r="BW72" s="15" t="n">
        <v>4</v>
      </c>
      <c r="BX72" s="15" t="n">
        <v>5</v>
      </c>
      <c r="BY72" s="15" t="n">
        <v>6</v>
      </c>
      <c r="BZ72" s="15" t="n">
        <v>7</v>
      </c>
      <c r="CA72" s="15" t="n">
        <v>8</v>
      </c>
      <c r="CB72" s="15" t="n">
        <v>9</v>
      </c>
      <c r="CC72" s="15" t="n">
        <v>10</v>
      </c>
      <c r="CD72" s="15" t="n">
        <v>11</v>
      </c>
      <c r="CE72" s="15" t="n">
        <v>12</v>
      </c>
      <c r="CF72" s="15" t="n">
        <v>13</v>
      </c>
      <c r="CG72" s="15" t="n">
        <v>14</v>
      </c>
      <c r="CH72" s="15" t="n">
        <v>15</v>
      </c>
      <c r="CN72" s="15" t="inlineStr">
        <is>
          <t>Parâmetros p/ μx</t>
        </is>
      </c>
      <c r="CO72" s="15" t="inlineStr">
        <is>
          <t>Média(d-Cap)</t>
        </is>
      </c>
      <c r="CP72" s="15" t="n">
        <v>1</v>
      </c>
      <c r="CQ72" s="15" t="n">
        <v>2</v>
      </c>
      <c r="CR72" s="15" t="n">
        <v>3</v>
      </c>
      <c r="CS72" s="15" t="n">
        <v>4</v>
      </c>
      <c r="CT72" s="15" t="n">
        <v>5</v>
      </c>
      <c r="CU72" s="15" t="n">
        <v>6</v>
      </c>
      <c r="CV72" s="15" t="n">
        <v>7</v>
      </c>
      <c r="CW72" s="15" t="n">
        <v>8</v>
      </c>
      <c r="CX72" s="15" t="n">
        <v>9</v>
      </c>
      <c r="CY72" s="15" t="n">
        <v>10</v>
      </c>
      <c r="CZ72" s="15" t="n">
        <v>11</v>
      </c>
      <c r="DA72" s="15" t="n">
        <v>12</v>
      </c>
      <c r="DB72" s="15" t="n">
        <v>13</v>
      </c>
      <c r="DC72" s="15" t="n">
        <v>14</v>
      </c>
      <c r="DD72" s="15" t="n">
        <v>15</v>
      </c>
      <c r="DJ72" s="15" t="inlineStr">
        <is>
          <t>Parâmetros p/ μx</t>
        </is>
      </c>
      <c r="DK72" s="15" t="inlineStr">
        <is>
          <t>Média(d-Cap)</t>
        </is>
      </c>
      <c r="DL72" s="15" t="n">
        <v>1</v>
      </c>
      <c r="DM72" s="15" t="n">
        <v>2</v>
      </c>
      <c r="DN72" s="15" t="n">
        <v>3</v>
      </c>
      <c r="DO72" s="15" t="n">
        <v>4</v>
      </c>
      <c r="DP72" s="15" t="n">
        <v>5</v>
      </c>
      <c r="DQ72" s="15" t="n">
        <v>6</v>
      </c>
      <c r="DR72" s="15" t="n">
        <v>7</v>
      </c>
      <c r="DS72" s="15" t="n">
        <v>8</v>
      </c>
      <c r="DT72" s="15" t="n">
        <v>9</v>
      </c>
      <c r="DU72" s="15" t="n">
        <v>10</v>
      </c>
      <c r="DV72" s="15" t="n">
        <v>11</v>
      </c>
      <c r="DW72" s="15" t="n">
        <v>12</v>
      </c>
      <c r="DX72" s="15" t="n">
        <v>13</v>
      </c>
      <c r="DY72" s="15" t="n">
        <v>14</v>
      </c>
      <c r="DZ72" s="15" t="n">
        <v>15</v>
      </c>
      <c r="EF72" s="15" t="inlineStr">
        <is>
          <t>Parâmetros p/ μx</t>
        </is>
      </c>
      <c r="EG72" s="15" t="inlineStr">
        <is>
          <t>Média(d-Cap)</t>
        </is>
      </c>
      <c r="EH72" s="15" t="n">
        <v>1</v>
      </c>
      <c r="EI72" s="15" t="n">
        <v>2</v>
      </c>
      <c r="EJ72" s="15" t="n">
        <v>3</v>
      </c>
      <c r="EK72" s="15" t="n">
        <v>4</v>
      </c>
      <c r="EL72" s="15" t="n">
        <v>5</v>
      </c>
      <c r="EM72" s="15" t="n">
        <v>6</v>
      </c>
      <c r="EN72" s="15" t="n">
        <v>7</v>
      </c>
      <c r="EO72" s="15" t="n">
        <v>8</v>
      </c>
      <c r="EP72" s="15" t="n">
        <v>9</v>
      </c>
      <c r="EQ72" s="15" t="n">
        <v>10</v>
      </c>
      <c r="ER72" s="15" t="n">
        <v>11</v>
      </c>
      <c r="ES72" s="15" t="n">
        <v>12</v>
      </c>
      <c r="ET72" s="15" t="n">
        <v>13</v>
      </c>
      <c r="EU72" s="15" t="n">
        <v>14</v>
      </c>
      <c r="EV72" s="15" t="n">
        <v>15</v>
      </c>
      <c r="FB72" s="15" t="inlineStr">
        <is>
          <t>Parâmetros p/ μx</t>
        </is>
      </c>
      <c r="FC72" s="15" t="inlineStr">
        <is>
          <t>Média(d-Cap)</t>
        </is>
      </c>
      <c r="FD72" s="15" t="n">
        <v>1</v>
      </c>
      <c r="FE72" s="15" t="n">
        <v>2</v>
      </c>
      <c r="FF72" s="15" t="n">
        <v>3</v>
      </c>
      <c r="FG72" s="15" t="n">
        <v>4</v>
      </c>
      <c r="FH72" s="15" t="n">
        <v>5</v>
      </c>
      <c r="FI72" s="15" t="n">
        <v>6</v>
      </c>
      <c r="FJ72" s="15" t="n">
        <v>7</v>
      </c>
      <c r="FK72" s="15" t="n">
        <v>8</v>
      </c>
      <c r="FL72" s="15" t="n">
        <v>9</v>
      </c>
      <c r="FM72" s="15" t="n">
        <v>10</v>
      </c>
      <c r="FN72" s="15" t="n">
        <v>11</v>
      </c>
      <c r="FO72" s="15" t="n">
        <v>12</v>
      </c>
      <c r="FP72" s="15" t="n">
        <v>13</v>
      </c>
      <c r="FQ72" s="15" t="n">
        <v>14</v>
      </c>
      <c r="FR72" s="15" t="n">
        <v>15</v>
      </c>
      <c r="FX72" s="15" t="inlineStr">
        <is>
          <t>Parâmetros p/ μx</t>
        </is>
      </c>
      <c r="FY72" s="15" t="inlineStr">
        <is>
          <t>Média(d-Cap)</t>
        </is>
      </c>
      <c r="FZ72" s="15" t="n">
        <v>1</v>
      </c>
      <c r="GA72" s="15" t="n">
        <v>2</v>
      </c>
      <c r="GB72" s="15" t="n">
        <v>3</v>
      </c>
      <c r="GC72" s="15" t="n">
        <v>4</v>
      </c>
      <c r="GD72" s="15" t="n">
        <v>5</v>
      </c>
      <c r="GE72" s="15" t="n">
        <v>6</v>
      </c>
      <c r="GF72" s="15" t="n">
        <v>7</v>
      </c>
      <c r="GG72" s="15" t="n">
        <v>8</v>
      </c>
      <c r="GH72" s="15" t="n">
        <v>9</v>
      </c>
      <c r="GI72" s="15" t="n">
        <v>10</v>
      </c>
      <c r="GJ72" s="15" t="n">
        <v>11</v>
      </c>
      <c r="GK72" s="15" t="n">
        <v>12</v>
      </c>
      <c r="GL72" s="15" t="n">
        <v>13</v>
      </c>
      <c r="GM72" s="15" t="n">
        <v>14</v>
      </c>
      <c r="GN72" s="15" t="n">
        <v>15</v>
      </c>
      <c r="GT72" s="15" t="inlineStr">
        <is>
          <t>Parâmetros p/ μx</t>
        </is>
      </c>
      <c r="GU72" s="15" t="inlineStr">
        <is>
          <t>Média(d-Cap)</t>
        </is>
      </c>
      <c r="GV72" s="15" t="n">
        <v>1</v>
      </c>
      <c r="GW72" s="15" t="n">
        <v>2</v>
      </c>
      <c r="GX72" s="15" t="n">
        <v>3</v>
      </c>
      <c r="GY72" s="15" t="n">
        <v>4</v>
      </c>
      <c r="GZ72" s="15" t="n">
        <v>5</v>
      </c>
      <c r="HA72" s="15" t="n">
        <v>6</v>
      </c>
      <c r="HB72" s="15" t="n">
        <v>7</v>
      </c>
      <c r="HC72" s="15" t="n">
        <v>8</v>
      </c>
      <c r="HD72" s="15" t="n">
        <v>9</v>
      </c>
      <c r="HE72" s="15" t="n">
        <v>10</v>
      </c>
      <c r="HF72" s="15" t="n">
        <v>11</v>
      </c>
      <c r="HG72" s="15" t="n">
        <v>12</v>
      </c>
      <c r="HH72" s="15" t="n">
        <v>13</v>
      </c>
      <c r="HI72" s="15" t="n">
        <v>14</v>
      </c>
      <c r="HJ72" s="15" t="n">
        <v>15</v>
      </c>
    </row>
    <row r="73">
      <c r="B73" s="15" t="inlineStr">
        <is>
          <t>ND*RLT</t>
        </is>
      </c>
      <c r="C73" s="15" t="n">
        <v>1</v>
      </c>
      <c r="D73" s="85">
        <f>Matlab_Data!D33</f>
        <v/>
      </c>
      <c r="E73" s="85">
        <f>Matlab_Data!E33</f>
        <v/>
      </c>
      <c r="F73" s="85">
        <f>Matlab_Data!F33</f>
        <v/>
      </c>
      <c r="G73" s="85">
        <f>Matlab_Data!G33</f>
        <v/>
      </c>
      <c r="H73" s="85">
        <f>Matlab_Data!H33</f>
        <v/>
      </c>
      <c r="I73" s="85">
        <f>Matlab_Data!I33</f>
        <v/>
      </c>
      <c r="J73" s="85">
        <f>Matlab_Data!J33</f>
        <v/>
      </c>
      <c r="K73" s="85">
        <f>Matlab_Data!K33</f>
        <v/>
      </c>
      <c r="L73" s="85">
        <f>Matlab_Data!L33</f>
        <v/>
      </c>
      <c r="M73" s="85">
        <f>Matlab_Data!M33</f>
        <v/>
      </c>
      <c r="N73" s="85">
        <f>Matlab_Data!N33</f>
        <v/>
      </c>
      <c r="O73" s="85">
        <f>Matlab_Data!O33</f>
        <v/>
      </c>
      <c r="P73" s="85">
        <f>Matlab_Data!P33</f>
        <v/>
      </c>
      <c r="Q73" s="85">
        <f>Matlab_Data!Q33</f>
        <v/>
      </c>
      <c r="R73" s="85">
        <f>Matlab_Data!R33</f>
        <v/>
      </c>
      <c r="T73" s="39">
        <f>SUM(D73:R75)</f>
        <v/>
      </c>
      <c r="U73" s="39" t="n">
        <v>303.97</v>
      </c>
      <c r="V73" s="39">
        <f>T73-U73</f>
        <v/>
      </c>
      <c r="W73" s="39" t="n"/>
      <c r="X73" s="39" t="n"/>
      <c r="Y73" s="85" t="n"/>
      <c r="Z73" s="85" t="inlineStr">
        <is>
          <t>ND*RLT</t>
        </is>
      </c>
      <c r="AA73" s="85" t="n">
        <v>1</v>
      </c>
      <c r="AB73" s="85" t="n">
        <v>-73.10000000000002</v>
      </c>
      <c r="AC73" s="85" t="n">
        <v>-38.88000000000005</v>
      </c>
      <c r="AD73" s="85" t="n">
        <v>-149.55</v>
      </c>
      <c r="AE73" s="85" t="n">
        <v>-107.98</v>
      </c>
      <c r="AF73" s="85" t="n">
        <v>46.69999999999999</v>
      </c>
      <c r="AG73" s="85" t="n">
        <v>106.17</v>
      </c>
      <c r="AH73" s="85" t="n">
        <v>-136.97</v>
      </c>
      <c r="AI73" s="85" t="n">
        <v>138.53</v>
      </c>
      <c r="AJ73" s="85" t="n">
        <v>101.27</v>
      </c>
      <c r="AK73" s="85" t="n">
        <v>-29.22000000000003</v>
      </c>
      <c r="AL73" s="85" t="n">
        <v>16.77000000000004</v>
      </c>
      <c r="AM73" s="85" t="n">
        <v>-25.31</v>
      </c>
      <c r="AN73" s="15" t="n">
        <v>61.70000000000002</v>
      </c>
      <c r="AO73" s="15" t="n">
        <v>88.71000000000001</v>
      </c>
      <c r="AP73" s="15" t="n">
        <v>153.0700000000001</v>
      </c>
      <c r="AV73" s="15" t="inlineStr">
        <is>
          <t>ND*RLT</t>
        </is>
      </c>
      <c r="AW73" s="15" t="n">
        <v>1</v>
      </c>
      <c r="AX73" s="15" t="n">
        <v>-73.10000000000002</v>
      </c>
      <c r="AY73" s="15" t="n">
        <v>-38.88000000000005</v>
      </c>
      <c r="AZ73" s="15" t="n">
        <v>-149.55</v>
      </c>
      <c r="BA73" s="15" t="n">
        <v>-107.98</v>
      </c>
      <c r="BB73" s="15" t="n">
        <v>46.69999999999999</v>
      </c>
      <c r="BC73" s="15" t="n">
        <v>106.17</v>
      </c>
      <c r="BD73" s="15" t="n">
        <v>-136.97</v>
      </c>
      <c r="BE73" s="15" t="n">
        <v>138.53</v>
      </c>
      <c r="BF73" s="15" t="n">
        <v>101.27</v>
      </c>
      <c r="BG73" s="15" t="n">
        <v>-29.22000000000003</v>
      </c>
      <c r="BH73" s="15" t="n">
        <v>16.77000000000004</v>
      </c>
      <c r="BI73" s="15" t="n">
        <v>-25.31</v>
      </c>
      <c r="BJ73" s="15" t="n">
        <v>61.70000000000002</v>
      </c>
      <c r="BK73" s="15" t="n">
        <v>88.71000000000001</v>
      </c>
      <c r="BL73" s="15" t="n">
        <v>153.0700000000001</v>
      </c>
      <c r="BR73" s="15" t="inlineStr">
        <is>
          <t>ND*RLT</t>
        </is>
      </c>
      <c r="BS73" s="15" t="n">
        <v>1</v>
      </c>
      <c r="BT73" s="15" t="n">
        <v>-73.10000000000002</v>
      </c>
      <c r="BU73" s="15" t="n">
        <v>-38.88000000000005</v>
      </c>
      <c r="BV73" s="15" t="n">
        <v>-149.55</v>
      </c>
      <c r="BW73" s="15" t="n">
        <v>-107.98</v>
      </c>
      <c r="BX73" s="15" t="n">
        <v>46.69999999999999</v>
      </c>
      <c r="BY73" s="15" t="n">
        <v>106.17</v>
      </c>
      <c r="BZ73" s="15" t="n">
        <v>-136.97</v>
      </c>
      <c r="CA73" s="15" t="n">
        <v>138.53</v>
      </c>
      <c r="CB73" s="15" t="n">
        <v>101.27</v>
      </c>
      <c r="CC73" s="15" t="n">
        <v>-29.22000000000003</v>
      </c>
      <c r="CD73" s="15" t="n">
        <v>16.77000000000004</v>
      </c>
      <c r="CE73" s="15" t="n">
        <v>-25.31</v>
      </c>
      <c r="CF73" s="15" t="n">
        <v>61.70000000000002</v>
      </c>
      <c r="CG73" s="15" t="n">
        <v>88.71000000000001</v>
      </c>
      <c r="CH73" s="15" t="n">
        <v>153.0700000000001</v>
      </c>
      <c r="CN73" s="15" t="inlineStr">
        <is>
          <t>ND*RLT</t>
        </is>
      </c>
      <c r="CO73" s="15" t="n">
        <v>1</v>
      </c>
      <c r="CP73" s="15" t="n">
        <v>-73.10000000000002</v>
      </c>
      <c r="CQ73" s="15" t="n">
        <v>-38.88000000000005</v>
      </c>
      <c r="CR73" s="15" t="n">
        <v>-149.55</v>
      </c>
      <c r="CS73" s="15" t="n">
        <v>-107.98</v>
      </c>
      <c r="CT73" s="15" t="n">
        <v>46.69999999999999</v>
      </c>
      <c r="CU73" s="15" t="n">
        <v>106.17</v>
      </c>
      <c r="CV73" s="15" t="n">
        <v>-136.97</v>
      </c>
      <c r="CW73" s="15" t="n">
        <v>138.53</v>
      </c>
      <c r="CX73" s="15" t="n">
        <v>101.27</v>
      </c>
      <c r="CY73" s="15" t="n">
        <v>-29.22000000000003</v>
      </c>
      <c r="CZ73" s="15" t="n">
        <v>16.77000000000004</v>
      </c>
      <c r="DA73" s="15" t="n">
        <v>-25.31</v>
      </c>
      <c r="DB73" s="15" t="n">
        <v>61.70000000000002</v>
      </c>
      <c r="DC73" s="15" t="n">
        <v>88.71000000000001</v>
      </c>
      <c r="DD73" s="15" t="n">
        <v>153.0700000000001</v>
      </c>
      <c r="DJ73" s="15" t="inlineStr">
        <is>
          <t>ND*RLT</t>
        </is>
      </c>
      <c r="DK73" s="15" t="n">
        <v>1</v>
      </c>
      <c r="DL73" s="15" t="n">
        <v>-73.10000000000002</v>
      </c>
      <c r="DM73" s="15" t="n">
        <v>-38.88000000000005</v>
      </c>
      <c r="DN73" s="15" t="n">
        <v>-149.55</v>
      </c>
      <c r="DO73" s="15" t="n">
        <v>-107.98</v>
      </c>
      <c r="DP73" s="15" t="n">
        <v>46.69999999999999</v>
      </c>
      <c r="DQ73" s="15" t="n">
        <v>106.17</v>
      </c>
      <c r="DR73" s="15" t="n">
        <v>-136.97</v>
      </c>
      <c r="DS73" s="15" t="n">
        <v>138.53</v>
      </c>
      <c r="DT73" s="15" t="n">
        <v>101.27</v>
      </c>
      <c r="DU73" s="15" t="n">
        <v>-29.22000000000003</v>
      </c>
      <c r="DV73" s="15" t="n">
        <v>16.77000000000004</v>
      </c>
      <c r="DW73" s="15" t="n">
        <v>-25.31</v>
      </c>
      <c r="DX73" s="15" t="n">
        <v>61.70000000000002</v>
      </c>
      <c r="DY73" s="15" t="n">
        <v>88.71000000000001</v>
      </c>
      <c r="DZ73" s="15" t="n">
        <v>153.0700000000001</v>
      </c>
      <c r="EF73" s="15" t="inlineStr">
        <is>
          <t>ND*RLT</t>
        </is>
      </c>
      <c r="EG73" s="15" t="n">
        <v>1</v>
      </c>
      <c r="EH73" s="15" t="n">
        <v>-73.10000000000002</v>
      </c>
      <c r="EI73" s="15" t="n">
        <v>-38.88000000000005</v>
      </c>
      <c r="EJ73" s="15" t="n">
        <v>-149.55</v>
      </c>
      <c r="EK73" s="15" t="n">
        <v>-107.98</v>
      </c>
      <c r="EL73" s="15" t="n">
        <v>46.69999999999999</v>
      </c>
      <c r="EM73" s="15" t="n">
        <v>106.17</v>
      </c>
      <c r="EN73" s="15" t="n">
        <v>-136.97</v>
      </c>
      <c r="EO73" s="15" t="n">
        <v>138.53</v>
      </c>
      <c r="EP73" s="15" t="n">
        <v>101.27</v>
      </c>
      <c r="EQ73" s="15" t="n">
        <v>-29.22000000000003</v>
      </c>
      <c r="ER73" s="15" t="n">
        <v>16.77000000000004</v>
      </c>
      <c r="ES73" s="15" t="n">
        <v>-25.31</v>
      </c>
      <c r="ET73" s="15" t="n">
        <v>61.70000000000002</v>
      </c>
      <c r="EU73" s="15" t="n">
        <v>88.71000000000001</v>
      </c>
      <c r="EV73" s="15" t="n">
        <v>153.0700000000001</v>
      </c>
      <c r="FB73" s="15" t="inlineStr">
        <is>
          <t>ND*RLT</t>
        </is>
      </c>
      <c r="FC73" s="15" t="n">
        <v>1</v>
      </c>
      <c r="FD73" s="15" t="n">
        <v>-73.10000000000002</v>
      </c>
      <c r="FE73" s="15" t="n">
        <v>-38.88000000000005</v>
      </c>
      <c r="FF73" s="15" t="n">
        <v>-149.55</v>
      </c>
      <c r="FG73" s="15" t="n">
        <v>-107.98</v>
      </c>
      <c r="FH73" s="15" t="n">
        <v>46.69999999999999</v>
      </c>
      <c r="FI73" s="15" t="n">
        <v>106.17</v>
      </c>
      <c r="FJ73" s="15" t="n">
        <v>-136.97</v>
      </c>
      <c r="FK73" s="15" t="n">
        <v>138.53</v>
      </c>
      <c r="FL73" s="15" t="n">
        <v>101.27</v>
      </c>
      <c r="FM73" s="15" t="n">
        <v>-29.22000000000003</v>
      </c>
      <c r="FN73" s="15" t="n">
        <v>16.77000000000004</v>
      </c>
      <c r="FO73" s="15" t="n">
        <v>-25.31</v>
      </c>
      <c r="FP73" s="15" t="n">
        <v>61.70000000000002</v>
      </c>
      <c r="FQ73" s="15" t="n">
        <v>88.71000000000001</v>
      </c>
      <c r="FR73" s="15" t="n">
        <v>153.0700000000001</v>
      </c>
      <c r="FX73" s="15" t="inlineStr">
        <is>
          <t>ND*RLT</t>
        </is>
      </c>
      <c r="FY73" s="15" t="n">
        <v>1</v>
      </c>
      <c r="FZ73" s="15" t="n">
        <v>-73.10000000000002</v>
      </c>
      <c r="GA73" s="15" t="n">
        <v>-38.88000000000005</v>
      </c>
      <c r="GB73" s="15" t="n">
        <v>-149.55</v>
      </c>
      <c r="GC73" s="15" t="n">
        <v>-107.98</v>
      </c>
      <c r="GD73" s="15" t="n">
        <v>46.69999999999999</v>
      </c>
      <c r="GE73" s="15" t="n">
        <v>106.17</v>
      </c>
      <c r="GF73" s="15" t="n">
        <v>-136.97</v>
      </c>
      <c r="GG73" s="15" t="n">
        <v>138.53</v>
      </c>
      <c r="GH73" s="15" t="n">
        <v>101.27</v>
      </c>
      <c r="GI73" s="15" t="n">
        <v>-29.22000000000003</v>
      </c>
      <c r="GJ73" s="15" t="n">
        <v>16.77000000000004</v>
      </c>
      <c r="GK73" s="15" t="n">
        <v>-25.31</v>
      </c>
      <c r="GL73" s="15" t="n">
        <v>61.70000000000002</v>
      </c>
      <c r="GM73" s="15" t="n">
        <v>88.71000000000001</v>
      </c>
      <c r="GN73" s="15" t="n">
        <v>153.0700000000001</v>
      </c>
      <c r="GT73" s="15" t="inlineStr">
        <is>
          <t>ND*RLT</t>
        </is>
      </c>
      <c r="GU73" s="15" t="n">
        <v>1</v>
      </c>
      <c r="GV73" s="15" t="n">
        <v>-73.10000000000002</v>
      </c>
      <c r="GW73" s="15" t="n">
        <v>-38.88000000000005</v>
      </c>
      <c r="GX73" s="15" t="n">
        <v>-149.55</v>
      </c>
      <c r="GY73" s="15" t="n">
        <v>-107.98</v>
      </c>
      <c r="GZ73" s="15" t="n">
        <v>46.69999999999999</v>
      </c>
      <c r="HA73" s="15" t="n">
        <v>106.17</v>
      </c>
      <c r="HB73" s="15" t="n">
        <v>-136.97</v>
      </c>
      <c r="HC73" s="15" t="n">
        <v>138.53</v>
      </c>
      <c r="HD73" s="15" t="n">
        <v>101.27</v>
      </c>
      <c r="HE73" s="15" t="n">
        <v>-29.22000000000003</v>
      </c>
      <c r="HF73" s="15" t="n">
        <v>16.77000000000004</v>
      </c>
      <c r="HG73" s="15" t="n">
        <v>-25.31</v>
      </c>
      <c r="HH73" s="15" t="n">
        <v>61.70000000000002</v>
      </c>
      <c r="HI73" s="15" t="n">
        <v>88.71000000000001</v>
      </c>
      <c r="HJ73" s="15" t="n">
        <v>153.0700000000001</v>
      </c>
    </row>
    <row r="74">
      <c r="C74" s="15" t="n">
        <v>2</v>
      </c>
      <c r="D74" s="85">
        <f>Matlab_Data!D34</f>
        <v/>
      </c>
      <c r="E74" s="85">
        <f>Matlab_Data!E34</f>
        <v/>
      </c>
      <c r="F74" s="85">
        <f>Matlab_Data!F34</f>
        <v/>
      </c>
      <c r="G74" s="85">
        <f>Matlab_Data!G34</f>
        <v/>
      </c>
      <c r="H74" s="85">
        <f>Matlab_Data!H34</f>
        <v/>
      </c>
      <c r="I74" s="85">
        <f>Matlab_Data!I34</f>
        <v/>
      </c>
      <c r="J74" s="85">
        <f>Matlab_Data!J34</f>
        <v/>
      </c>
      <c r="K74" s="85">
        <f>Matlab_Data!K34</f>
        <v/>
      </c>
      <c r="L74" s="85">
        <f>Matlab_Data!L34</f>
        <v/>
      </c>
      <c r="M74" s="85">
        <f>Matlab_Data!M34</f>
        <v/>
      </c>
      <c r="N74" s="85">
        <f>Matlab_Data!N34</f>
        <v/>
      </c>
      <c r="O74" s="85">
        <f>Matlab_Data!O34</f>
        <v/>
      </c>
      <c r="P74" s="85">
        <f>Matlab_Data!P34</f>
        <v/>
      </c>
      <c r="Q74" s="85">
        <f>Matlab_Data!Q34</f>
        <v/>
      </c>
      <c r="R74" s="85">
        <f>Matlab_Data!R34</f>
        <v/>
      </c>
      <c r="Y74" s="85" t="n"/>
      <c r="Z74" s="85" t="n"/>
      <c r="AA74" s="85" t="n">
        <v>2</v>
      </c>
      <c r="AB74" s="85" t="n">
        <v>70.26999999999998</v>
      </c>
      <c r="AC74" s="85" t="n">
        <v>54.39000000000001</v>
      </c>
      <c r="AD74" s="85" t="n">
        <v>-69.21999999999997</v>
      </c>
      <c r="AE74" s="85" t="n">
        <v>-226.34</v>
      </c>
      <c r="AF74" s="85" t="n">
        <v>35.69</v>
      </c>
      <c r="AG74" s="85" t="n">
        <v>73.69999999999999</v>
      </c>
      <c r="AH74" s="85" t="n">
        <v>6.159999999999968</v>
      </c>
      <c r="AI74" s="85" t="n">
        <v>-78.02000000000001</v>
      </c>
      <c r="AJ74" s="85" t="n">
        <v>-76.38</v>
      </c>
      <c r="AK74" s="85" t="n">
        <v>70.93000000000001</v>
      </c>
      <c r="AL74" s="85" t="n">
        <v>-108.97</v>
      </c>
      <c r="AM74" s="85" t="n">
        <v>73.87</v>
      </c>
      <c r="AN74" s="15" t="n">
        <v>61.50999999999999</v>
      </c>
      <c r="AO74" s="15" t="n">
        <v>54.40000000000003</v>
      </c>
      <c r="AP74" s="15" t="n">
        <v>87.11000000000001</v>
      </c>
      <c r="AW74" s="15" t="n">
        <v>2</v>
      </c>
      <c r="AX74" s="15" t="n">
        <v>70.26999999999998</v>
      </c>
      <c r="AY74" s="15" t="n">
        <v>54.39000000000001</v>
      </c>
      <c r="AZ74" s="15" t="n">
        <v>-69.21999999999997</v>
      </c>
      <c r="BA74" s="15" t="n">
        <v>-226.34</v>
      </c>
      <c r="BB74" s="15" t="n">
        <v>35.69</v>
      </c>
      <c r="BC74" s="15" t="n">
        <v>73.69999999999999</v>
      </c>
      <c r="BD74" s="15" t="n">
        <v>6.159999999999968</v>
      </c>
      <c r="BE74" s="15" t="n">
        <v>-78.02000000000001</v>
      </c>
      <c r="BF74" s="15" t="n">
        <v>-76.38</v>
      </c>
      <c r="BG74" s="15" t="n">
        <v>70.93000000000001</v>
      </c>
      <c r="BH74" s="15" t="n">
        <v>-108.97</v>
      </c>
      <c r="BI74" s="15" t="n">
        <v>73.87</v>
      </c>
      <c r="BJ74" s="15" t="n">
        <v>61.50999999999999</v>
      </c>
      <c r="BK74" s="15" t="n">
        <v>54.40000000000003</v>
      </c>
      <c r="BL74" s="15" t="n">
        <v>87.11000000000001</v>
      </c>
      <c r="BS74" s="15" t="n">
        <v>2</v>
      </c>
      <c r="BT74" s="15" t="n">
        <v>70.26999999999998</v>
      </c>
      <c r="BU74" s="15" t="n">
        <v>54.39000000000001</v>
      </c>
      <c r="BV74" s="15" t="n">
        <v>-69.21999999999997</v>
      </c>
      <c r="BW74" s="15" t="n">
        <v>-226.34</v>
      </c>
      <c r="BX74" s="15" t="n">
        <v>35.69</v>
      </c>
      <c r="BY74" s="15" t="n">
        <v>73.69999999999999</v>
      </c>
      <c r="BZ74" s="15" t="n">
        <v>6.159999999999968</v>
      </c>
      <c r="CA74" s="15" t="n">
        <v>-78.02000000000001</v>
      </c>
      <c r="CB74" s="15" t="n">
        <v>-76.38</v>
      </c>
      <c r="CC74" s="15" t="n">
        <v>70.93000000000001</v>
      </c>
      <c r="CD74" s="15" t="n">
        <v>-108.97</v>
      </c>
      <c r="CE74" s="15" t="n">
        <v>73.87</v>
      </c>
      <c r="CF74" s="15" t="n">
        <v>61.50999999999999</v>
      </c>
      <c r="CG74" s="15" t="n">
        <v>54.40000000000003</v>
      </c>
      <c r="CH74" s="15" t="n">
        <v>87.11000000000001</v>
      </c>
      <c r="CO74" s="15" t="n">
        <v>2</v>
      </c>
      <c r="CP74" s="15" t="n">
        <v>70.26999999999998</v>
      </c>
      <c r="CQ74" s="15" t="n">
        <v>54.39000000000001</v>
      </c>
      <c r="CR74" s="15" t="n">
        <v>-69.21999999999997</v>
      </c>
      <c r="CS74" s="15" t="n">
        <v>-226.34</v>
      </c>
      <c r="CT74" s="15" t="n">
        <v>35.69</v>
      </c>
      <c r="CU74" s="15" t="n">
        <v>73.69999999999999</v>
      </c>
      <c r="CV74" s="15" t="n">
        <v>6.159999999999968</v>
      </c>
      <c r="CW74" s="15" t="n">
        <v>-78.02000000000001</v>
      </c>
      <c r="CX74" s="15" t="n">
        <v>-76.38</v>
      </c>
      <c r="CY74" s="15" t="n">
        <v>70.93000000000001</v>
      </c>
      <c r="CZ74" s="15" t="n">
        <v>-108.97</v>
      </c>
      <c r="DA74" s="15" t="n">
        <v>73.87</v>
      </c>
      <c r="DB74" s="15" t="n">
        <v>61.50999999999999</v>
      </c>
      <c r="DC74" s="15" t="n">
        <v>54.40000000000003</v>
      </c>
      <c r="DD74" s="15" t="n">
        <v>87.11000000000001</v>
      </c>
      <c r="DK74" s="15" t="n">
        <v>2</v>
      </c>
      <c r="DL74" s="15" t="n">
        <v>70.26999999999998</v>
      </c>
      <c r="DM74" s="15" t="n">
        <v>54.39000000000001</v>
      </c>
      <c r="DN74" s="15" t="n">
        <v>-69.21999999999997</v>
      </c>
      <c r="DO74" s="15" t="n">
        <v>-226.34</v>
      </c>
      <c r="DP74" s="15" t="n">
        <v>35.69</v>
      </c>
      <c r="DQ74" s="15" t="n">
        <v>73.69999999999999</v>
      </c>
      <c r="DR74" s="15" t="n">
        <v>6.159999999999968</v>
      </c>
      <c r="DS74" s="15" t="n">
        <v>-78.02000000000001</v>
      </c>
      <c r="DT74" s="15" t="n">
        <v>-76.38</v>
      </c>
      <c r="DU74" s="15" t="n">
        <v>70.93000000000001</v>
      </c>
      <c r="DV74" s="15" t="n">
        <v>-108.97</v>
      </c>
      <c r="DW74" s="15" t="n">
        <v>73.87</v>
      </c>
      <c r="DX74" s="15" t="n">
        <v>61.50999999999999</v>
      </c>
      <c r="DY74" s="15" t="n">
        <v>54.40000000000003</v>
      </c>
      <c r="DZ74" s="15" t="n">
        <v>87.11000000000001</v>
      </c>
      <c r="EG74" s="15" t="n">
        <v>2</v>
      </c>
      <c r="EH74" s="15" t="n">
        <v>70.26999999999998</v>
      </c>
      <c r="EI74" s="15" t="n">
        <v>54.39000000000001</v>
      </c>
      <c r="EJ74" s="15" t="n">
        <v>-69.21999999999997</v>
      </c>
      <c r="EK74" s="15" t="n">
        <v>-226.34</v>
      </c>
      <c r="EL74" s="15" t="n">
        <v>35.69</v>
      </c>
      <c r="EM74" s="15" t="n">
        <v>73.69999999999999</v>
      </c>
      <c r="EN74" s="15" t="n">
        <v>6.159999999999968</v>
      </c>
      <c r="EO74" s="15" t="n">
        <v>-78.02000000000001</v>
      </c>
      <c r="EP74" s="15" t="n">
        <v>-76.38</v>
      </c>
      <c r="EQ74" s="15" t="n">
        <v>70.93000000000001</v>
      </c>
      <c r="ER74" s="15" t="n">
        <v>-108.97</v>
      </c>
      <c r="ES74" s="15" t="n">
        <v>73.87</v>
      </c>
      <c r="ET74" s="15" t="n">
        <v>61.50999999999999</v>
      </c>
      <c r="EU74" s="15" t="n">
        <v>54.40000000000003</v>
      </c>
      <c r="EV74" s="15" t="n">
        <v>87.11000000000001</v>
      </c>
      <c r="FC74" s="15" t="n">
        <v>2</v>
      </c>
      <c r="FD74" s="15" t="n">
        <v>70.26999999999998</v>
      </c>
      <c r="FE74" s="15" t="n">
        <v>54.39000000000001</v>
      </c>
      <c r="FF74" s="15" t="n">
        <v>-69.21999999999997</v>
      </c>
      <c r="FG74" s="15" t="n">
        <v>-226.34</v>
      </c>
      <c r="FH74" s="15" t="n">
        <v>35.69</v>
      </c>
      <c r="FI74" s="15" t="n">
        <v>73.69999999999999</v>
      </c>
      <c r="FJ74" s="15" t="n">
        <v>6.159999999999968</v>
      </c>
      <c r="FK74" s="15" t="n">
        <v>-78.02000000000001</v>
      </c>
      <c r="FL74" s="15" t="n">
        <v>-76.38</v>
      </c>
      <c r="FM74" s="15" t="n">
        <v>70.93000000000001</v>
      </c>
      <c r="FN74" s="15" t="n">
        <v>-108.97</v>
      </c>
      <c r="FO74" s="15" t="n">
        <v>73.87</v>
      </c>
      <c r="FP74" s="15" t="n">
        <v>61.50999999999999</v>
      </c>
      <c r="FQ74" s="15" t="n">
        <v>54.40000000000003</v>
      </c>
      <c r="FR74" s="15" t="n">
        <v>87.11000000000001</v>
      </c>
      <c r="FY74" s="15" t="n">
        <v>2</v>
      </c>
      <c r="FZ74" s="15" t="n">
        <v>70.26999999999998</v>
      </c>
      <c r="GA74" s="15" t="n">
        <v>54.39000000000001</v>
      </c>
      <c r="GB74" s="15" t="n">
        <v>-69.21999999999997</v>
      </c>
      <c r="GC74" s="15" t="n">
        <v>-226.34</v>
      </c>
      <c r="GD74" s="15" t="n">
        <v>35.69</v>
      </c>
      <c r="GE74" s="15" t="n">
        <v>73.69999999999999</v>
      </c>
      <c r="GF74" s="15" t="n">
        <v>6.159999999999968</v>
      </c>
      <c r="GG74" s="15" t="n">
        <v>-78.02000000000001</v>
      </c>
      <c r="GH74" s="15" t="n">
        <v>-76.38</v>
      </c>
      <c r="GI74" s="15" t="n">
        <v>70.93000000000001</v>
      </c>
      <c r="GJ74" s="15" t="n">
        <v>-108.97</v>
      </c>
      <c r="GK74" s="15" t="n">
        <v>73.87</v>
      </c>
      <c r="GL74" s="15" t="n">
        <v>61.50999999999999</v>
      </c>
      <c r="GM74" s="15" t="n">
        <v>54.40000000000003</v>
      </c>
      <c r="GN74" s="15" t="n">
        <v>87.11000000000001</v>
      </c>
      <c r="GU74" s="15" t="n">
        <v>2</v>
      </c>
      <c r="GV74" s="15" t="n">
        <v>70.26999999999998</v>
      </c>
      <c r="GW74" s="15" t="n">
        <v>54.39000000000001</v>
      </c>
      <c r="GX74" s="15" t="n">
        <v>-69.21999999999997</v>
      </c>
      <c r="GY74" s="15" t="n">
        <v>-226.34</v>
      </c>
      <c r="GZ74" s="15" t="n">
        <v>35.69</v>
      </c>
      <c r="HA74" s="15" t="n">
        <v>73.69999999999999</v>
      </c>
      <c r="HB74" s="15" t="n">
        <v>6.159999999999968</v>
      </c>
      <c r="HC74" s="15" t="n">
        <v>-78.02000000000001</v>
      </c>
      <c r="HD74" s="15" t="n">
        <v>-76.38</v>
      </c>
      <c r="HE74" s="15" t="n">
        <v>70.93000000000001</v>
      </c>
      <c r="HF74" s="15" t="n">
        <v>-108.97</v>
      </c>
      <c r="HG74" s="15" t="n">
        <v>73.87</v>
      </c>
      <c r="HH74" s="15" t="n">
        <v>61.50999999999999</v>
      </c>
      <c r="HI74" s="15" t="n">
        <v>54.40000000000003</v>
      </c>
      <c r="HJ74" s="15" t="n">
        <v>87.11000000000001</v>
      </c>
    </row>
    <row r="75">
      <c r="C75" s="15" t="n">
        <v>3</v>
      </c>
      <c r="D75" s="85">
        <f>Matlab_Data!D35</f>
        <v/>
      </c>
      <c r="E75" s="85">
        <f>Matlab_Data!E35</f>
        <v/>
      </c>
      <c r="F75" s="85">
        <f>Matlab_Data!F35</f>
        <v/>
      </c>
      <c r="G75" s="85">
        <f>Matlab_Data!G35</f>
        <v/>
      </c>
      <c r="H75" s="85">
        <f>Matlab_Data!H35</f>
        <v/>
      </c>
      <c r="I75" s="85">
        <f>Matlab_Data!I35</f>
        <v/>
      </c>
      <c r="J75" s="85">
        <f>Matlab_Data!J35</f>
        <v/>
      </c>
      <c r="K75" s="85">
        <f>Matlab_Data!K35</f>
        <v/>
      </c>
      <c r="L75" s="85">
        <f>Matlab_Data!L35</f>
        <v/>
      </c>
      <c r="M75" s="85">
        <f>Matlab_Data!M35</f>
        <v/>
      </c>
      <c r="N75" s="85">
        <f>Matlab_Data!N35</f>
        <v/>
      </c>
      <c r="O75" s="85">
        <f>Matlab_Data!O35</f>
        <v/>
      </c>
      <c r="P75" s="85">
        <f>Matlab_Data!P35</f>
        <v/>
      </c>
      <c r="Q75" s="85">
        <f>Matlab_Data!Q35</f>
        <v/>
      </c>
      <c r="R75" s="85">
        <f>Matlab_Data!R35</f>
        <v/>
      </c>
      <c r="Y75" s="85" t="n"/>
      <c r="Z75" s="85" t="n"/>
      <c r="AA75" s="85" t="n">
        <v>3</v>
      </c>
      <c r="AB75" s="85" t="n">
        <v>165.21</v>
      </c>
      <c r="AC75" s="85" t="n">
        <v>-98.88</v>
      </c>
      <c r="AD75" s="85" t="n">
        <v>-171.21</v>
      </c>
      <c r="AE75" s="85" t="n">
        <v>98.58000000000004</v>
      </c>
      <c r="AF75" s="85" t="n">
        <v>-96.50999999999999</v>
      </c>
      <c r="AG75" s="85" t="n">
        <v>199.62</v>
      </c>
      <c r="AH75" s="85" t="n">
        <v>173.01</v>
      </c>
      <c r="AI75" s="85" t="n">
        <v>-61.47000000000003</v>
      </c>
      <c r="AJ75" s="85" t="n">
        <v>-130.21</v>
      </c>
      <c r="AK75" s="85" t="n">
        <v>-32.69</v>
      </c>
      <c r="AL75" s="85" t="n">
        <v>131.25</v>
      </c>
      <c r="AM75" s="85" t="n">
        <v>11.11000000000001</v>
      </c>
      <c r="AN75" s="15" t="n">
        <v>-98.85000000000002</v>
      </c>
      <c r="AO75" s="15" t="n">
        <v>-44.68000000000001</v>
      </c>
      <c r="AP75" s="15" t="n">
        <v>78.68000000000001</v>
      </c>
      <c r="AW75" s="15" t="n">
        <v>3</v>
      </c>
      <c r="AX75" s="15" t="n">
        <v>165.21</v>
      </c>
      <c r="AY75" s="15" t="n">
        <v>-98.88</v>
      </c>
      <c r="AZ75" s="15" t="n">
        <v>-171.21</v>
      </c>
      <c r="BA75" s="15" t="n">
        <v>98.58000000000004</v>
      </c>
      <c r="BB75" s="15" t="n">
        <v>-96.50999999999999</v>
      </c>
      <c r="BC75" s="15" t="n">
        <v>199.62</v>
      </c>
      <c r="BD75" s="15" t="n">
        <v>173.01</v>
      </c>
      <c r="BE75" s="15" t="n">
        <v>-61.47000000000003</v>
      </c>
      <c r="BF75" s="15" t="n">
        <v>-130.21</v>
      </c>
      <c r="BG75" s="15" t="n">
        <v>-32.69</v>
      </c>
      <c r="BH75" s="15" t="n">
        <v>131.25</v>
      </c>
      <c r="BI75" s="15" t="n">
        <v>11.11000000000001</v>
      </c>
      <c r="BJ75" s="15" t="n">
        <v>-98.85000000000002</v>
      </c>
      <c r="BK75" s="15" t="n">
        <v>-44.68000000000001</v>
      </c>
      <c r="BL75" s="15" t="n">
        <v>78.68000000000001</v>
      </c>
      <c r="BS75" s="15" t="n">
        <v>3</v>
      </c>
      <c r="BT75" s="15" t="n">
        <v>165.21</v>
      </c>
      <c r="BU75" s="15" t="n">
        <v>-98.88</v>
      </c>
      <c r="BV75" s="15" t="n">
        <v>-171.21</v>
      </c>
      <c r="BW75" s="15" t="n">
        <v>98.58000000000004</v>
      </c>
      <c r="BX75" s="15" t="n">
        <v>-96.50999999999999</v>
      </c>
      <c r="BY75" s="15" t="n">
        <v>199.62</v>
      </c>
      <c r="BZ75" s="15" t="n">
        <v>173.01</v>
      </c>
      <c r="CA75" s="15" t="n">
        <v>-61.47000000000003</v>
      </c>
      <c r="CB75" s="15" t="n">
        <v>-130.21</v>
      </c>
      <c r="CC75" s="15" t="n">
        <v>-32.69</v>
      </c>
      <c r="CD75" s="15" t="n">
        <v>131.25</v>
      </c>
      <c r="CE75" s="15" t="n">
        <v>11.11000000000001</v>
      </c>
      <c r="CF75" s="15" t="n">
        <v>-98.85000000000002</v>
      </c>
      <c r="CG75" s="15" t="n">
        <v>-44.68000000000001</v>
      </c>
      <c r="CH75" s="15" t="n">
        <v>78.68000000000001</v>
      </c>
      <c r="CO75" s="15" t="n">
        <v>3</v>
      </c>
      <c r="CP75" s="15" t="n">
        <v>165.21</v>
      </c>
      <c r="CQ75" s="15" t="n">
        <v>-98.88</v>
      </c>
      <c r="CR75" s="15" t="n">
        <v>-171.21</v>
      </c>
      <c r="CS75" s="15" t="n">
        <v>98.58000000000004</v>
      </c>
      <c r="CT75" s="15" t="n">
        <v>-96.50999999999999</v>
      </c>
      <c r="CU75" s="15" t="n">
        <v>199.62</v>
      </c>
      <c r="CV75" s="15" t="n">
        <v>173.01</v>
      </c>
      <c r="CW75" s="15" t="n">
        <v>-61.47000000000003</v>
      </c>
      <c r="CX75" s="15" t="n">
        <v>-130.21</v>
      </c>
      <c r="CY75" s="15" t="n">
        <v>-32.69</v>
      </c>
      <c r="CZ75" s="15" t="n">
        <v>131.25</v>
      </c>
      <c r="DA75" s="15" t="n">
        <v>11.11000000000001</v>
      </c>
      <c r="DB75" s="15" t="n">
        <v>-98.85000000000002</v>
      </c>
      <c r="DC75" s="15" t="n">
        <v>-44.68000000000001</v>
      </c>
      <c r="DD75" s="15" t="n">
        <v>78.68000000000001</v>
      </c>
      <c r="DK75" s="15" t="n">
        <v>3</v>
      </c>
      <c r="DL75" s="15" t="n">
        <v>165.21</v>
      </c>
      <c r="DM75" s="15" t="n">
        <v>-98.88</v>
      </c>
      <c r="DN75" s="15" t="n">
        <v>-171.21</v>
      </c>
      <c r="DO75" s="15" t="n">
        <v>98.58000000000004</v>
      </c>
      <c r="DP75" s="15" t="n">
        <v>-96.50999999999999</v>
      </c>
      <c r="DQ75" s="15" t="n">
        <v>199.62</v>
      </c>
      <c r="DR75" s="15" t="n">
        <v>173.01</v>
      </c>
      <c r="DS75" s="15" t="n">
        <v>-61.47000000000003</v>
      </c>
      <c r="DT75" s="15" t="n">
        <v>-130.21</v>
      </c>
      <c r="DU75" s="15" t="n">
        <v>-32.69</v>
      </c>
      <c r="DV75" s="15" t="n">
        <v>131.25</v>
      </c>
      <c r="DW75" s="15" t="n">
        <v>11.11000000000001</v>
      </c>
      <c r="DX75" s="15" t="n">
        <v>-98.85000000000002</v>
      </c>
      <c r="DY75" s="15" t="n">
        <v>-44.68000000000001</v>
      </c>
      <c r="DZ75" s="15" t="n">
        <v>78.68000000000001</v>
      </c>
      <c r="EG75" s="15" t="n">
        <v>3</v>
      </c>
      <c r="EH75" s="15" t="n">
        <v>165.21</v>
      </c>
      <c r="EI75" s="15" t="n">
        <v>-98.88</v>
      </c>
      <c r="EJ75" s="15" t="n">
        <v>-171.21</v>
      </c>
      <c r="EK75" s="15" t="n">
        <v>98.58000000000004</v>
      </c>
      <c r="EL75" s="15" t="n">
        <v>-96.50999999999999</v>
      </c>
      <c r="EM75" s="15" t="n">
        <v>199.62</v>
      </c>
      <c r="EN75" s="15" t="n">
        <v>173.01</v>
      </c>
      <c r="EO75" s="15" t="n">
        <v>-61.47000000000003</v>
      </c>
      <c r="EP75" s="15" t="n">
        <v>-130.21</v>
      </c>
      <c r="EQ75" s="15" t="n">
        <v>-32.69</v>
      </c>
      <c r="ER75" s="15" t="n">
        <v>131.25</v>
      </c>
      <c r="ES75" s="15" t="n">
        <v>11.11000000000001</v>
      </c>
      <c r="ET75" s="15" t="n">
        <v>-98.85000000000002</v>
      </c>
      <c r="EU75" s="15" t="n">
        <v>-44.68000000000001</v>
      </c>
      <c r="EV75" s="15" t="n">
        <v>78.68000000000001</v>
      </c>
      <c r="FC75" s="15" t="n">
        <v>3</v>
      </c>
      <c r="FD75" s="15" t="n">
        <v>165.21</v>
      </c>
      <c r="FE75" s="15" t="n">
        <v>-98.88</v>
      </c>
      <c r="FF75" s="15" t="n">
        <v>-171.21</v>
      </c>
      <c r="FG75" s="15" t="n">
        <v>98.58000000000004</v>
      </c>
      <c r="FH75" s="15" t="n">
        <v>-96.50999999999999</v>
      </c>
      <c r="FI75" s="15" t="n">
        <v>199.62</v>
      </c>
      <c r="FJ75" s="15" t="n">
        <v>173.01</v>
      </c>
      <c r="FK75" s="15" t="n">
        <v>-61.47000000000003</v>
      </c>
      <c r="FL75" s="15" t="n">
        <v>-130.21</v>
      </c>
      <c r="FM75" s="15" t="n">
        <v>-32.69</v>
      </c>
      <c r="FN75" s="15" t="n">
        <v>131.25</v>
      </c>
      <c r="FO75" s="15" t="n">
        <v>11.11000000000001</v>
      </c>
      <c r="FP75" s="15" t="n">
        <v>-98.85000000000002</v>
      </c>
      <c r="FQ75" s="15" t="n">
        <v>-44.68000000000001</v>
      </c>
      <c r="FR75" s="15" t="n">
        <v>78.68000000000001</v>
      </c>
      <c r="FY75" s="15" t="n">
        <v>3</v>
      </c>
      <c r="FZ75" s="15" t="n">
        <v>165.21</v>
      </c>
      <c r="GA75" s="15" t="n">
        <v>-98.88</v>
      </c>
      <c r="GB75" s="15" t="n">
        <v>-171.21</v>
      </c>
      <c r="GC75" s="15" t="n">
        <v>98.58000000000004</v>
      </c>
      <c r="GD75" s="15" t="n">
        <v>-96.50999999999999</v>
      </c>
      <c r="GE75" s="15" t="n">
        <v>199.62</v>
      </c>
      <c r="GF75" s="15" t="n">
        <v>173.01</v>
      </c>
      <c r="GG75" s="15" t="n">
        <v>-61.47000000000003</v>
      </c>
      <c r="GH75" s="15" t="n">
        <v>-130.21</v>
      </c>
      <c r="GI75" s="15" t="n">
        <v>-32.69</v>
      </c>
      <c r="GJ75" s="15" t="n">
        <v>131.25</v>
      </c>
      <c r="GK75" s="15" t="n">
        <v>11.11000000000001</v>
      </c>
      <c r="GL75" s="15" t="n">
        <v>-98.85000000000002</v>
      </c>
      <c r="GM75" s="15" t="n">
        <v>-44.68000000000001</v>
      </c>
      <c r="GN75" s="15" t="n">
        <v>78.68000000000001</v>
      </c>
      <c r="GU75" s="15" t="n">
        <v>3</v>
      </c>
      <c r="GV75" s="15" t="n">
        <v>165.21</v>
      </c>
      <c r="GW75" s="15" t="n">
        <v>-98.88</v>
      </c>
      <c r="GX75" s="15" t="n">
        <v>-171.21</v>
      </c>
      <c r="GY75" s="15" t="n">
        <v>98.58000000000004</v>
      </c>
      <c r="GZ75" s="15" t="n">
        <v>-96.50999999999999</v>
      </c>
      <c r="HA75" s="15" t="n">
        <v>199.62</v>
      </c>
      <c r="HB75" s="15" t="n">
        <v>173.01</v>
      </c>
      <c r="HC75" s="15" t="n">
        <v>-61.47000000000003</v>
      </c>
      <c r="HD75" s="15" t="n">
        <v>-130.21</v>
      </c>
      <c r="HE75" s="15" t="n">
        <v>-32.69</v>
      </c>
      <c r="HF75" s="15" t="n">
        <v>131.25</v>
      </c>
      <c r="HG75" s="15" t="n">
        <v>11.11000000000001</v>
      </c>
      <c r="HH75" s="15" t="n">
        <v>-98.85000000000002</v>
      </c>
      <c r="HI75" s="15" t="n">
        <v>-44.68000000000001</v>
      </c>
      <c r="HJ75" s="15" t="n">
        <v>78.68000000000001</v>
      </c>
    </row>
    <row r="77">
      <c r="B77" s="15" t="inlineStr">
        <is>
          <t>Parâmetros p/ σx</t>
        </is>
      </c>
      <c r="C77" s="15" t="inlineStr">
        <is>
          <t>DesvPad(Var(d-cap))</t>
        </is>
      </c>
      <c r="D77" s="15" t="n">
        <v>1</v>
      </c>
      <c r="E77" s="15" t="n">
        <v>2</v>
      </c>
      <c r="F77" s="15" t="n">
        <v>3</v>
      </c>
      <c r="G77" s="15" t="n">
        <v>4</v>
      </c>
      <c r="H77" s="15" t="n">
        <v>5</v>
      </c>
      <c r="I77" s="15" t="n">
        <v>6</v>
      </c>
      <c r="J77" s="15" t="n">
        <v>7</v>
      </c>
      <c r="K77" s="15" t="n">
        <v>8</v>
      </c>
      <c r="L77" s="15" t="n">
        <v>9</v>
      </c>
      <c r="M77" s="15" t="n">
        <v>10</v>
      </c>
      <c r="N77" s="15" t="n">
        <v>11</v>
      </c>
      <c r="O77" s="15" t="n">
        <v>12</v>
      </c>
      <c r="P77" s="15" t="n">
        <v>13</v>
      </c>
      <c r="Q77" s="15" t="n">
        <v>14</v>
      </c>
      <c r="R77" s="15" t="n">
        <v>15</v>
      </c>
      <c r="Z77" s="15" t="inlineStr">
        <is>
          <t>Parâmetros p/ σx</t>
        </is>
      </c>
      <c r="AA77" s="15" t="inlineStr">
        <is>
          <t>DesvPad(Var(d-cap))</t>
        </is>
      </c>
      <c r="AB77" s="15" t="n">
        <v>1</v>
      </c>
      <c r="AC77" s="15" t="n">
        <v>2</v>
      </c>
      <c r="AD77" s="15" t="n">
        <v>3</v>
      </c>
      <c r="AE77" s="15" t="n">
        <v>4</v>
      </c>
      <c r="AF77" s="15" t="n">
        <v>5</v>
      </c>
      <c r="AG77" s="15" t="n">
        <v>6</v>
      </c>
      <c r="AH77" s="15" t="n">
        <v>7</v>
      </c>
      <c r="AI77" s="15" t="n">
        <v>8</v>
      </c>
      <c r="AJ77" s="15" t="n">
        <v>9</v>
      </c>
      <c r="AK77" s="15" t="n">
        <v>10</v>
      </c>
      <c r="AL77" s="15" t="n">
        <v>11</v>
      </c>
      <c r="AM77" s="15" t="n">
        <v>12</v>
      </c>
      <c r="AN77" s="15" t="n">
        <v>13</v>
      </c>
      <c r="AO77" s="15" t="n">
        <v>14</v>
      </c>
      <c r="AP77" s="15" t="n">
        <v>15</v>
      </c>
      <c r="AV77" s="15" t="inlineStr">
        <is>
          <t>Parâmetros p/ σx</t>
        </is>
      </c>
      <c r="AW77" s="15" t="inlineStr">
        <is>
          <t>DesvPad(Var(d-cap))</t>
        </is>
      </c>
      <c r="AX77" s="15" t="n">
        <v>1</v>
      </c>
      <c r="AY77" s="15" t="n">
        <v>2</v>
      </c>
      <c r="AZ77" s="15" t="n">
        <v>3</v>
      </c>
      <c r="BA77" s="15" t="n">
        <v>4</v>
      </c>
      <c r="BB77" s="15" t="n">
        <v>5</v>
      </c>
      <c r="BC77" s="15" t="n">
        <v>6</v>
      </c>
      <c r="BD77" s="15" t="n">
        <v>7</v>
      </c>
      <c r="BE77" s="15" t="n">
        <v>8</v>
      </c>
      <c r="BF77" s="15" t="n">
        <v>9</v>
      </c>
      <c r="BG77" s="15" t="n">
        <v>10</v>
      </c>
      <c r="BH77" s="15" t="n">
        <v>11</v>
      </c>
      <c r="BI77" s="15" t="n">
        <v>12</v>
      </c>
      <c r="BJ77" s="15" t="n">
        <v>13</v>
      </c>
      <c r="BK77" s="15" t="n">
        <v>14</v>
      </c>
      <c r="BL77" s="15" t="n">
        <v>15</v>
      </c>
      <c r="BR77" s="15" t="inlineStr">
        <is>
          <t>Parâmetros p/ σx</t>
        </is>
      </c>
      <c r="BS77" s="15" t="inlineStr">
        <is>
          <t>DesvPad(Var(d-cap))</t>
        </is>
      </c>
      <c r="BT77" s="15" t="n">
        <v>1</v>
      </c>
      <c r="BU77" s="15" t="n">
        <v>2</v>
      </c>
      <c r="BV77" s="15" t="n">
        <v>3</v>
      </c>
      <c r="BW77" s="15" t="n">
        <v>4</v>
      </c>
      <c r="BX77" s="15" t="n">
        <v>5</v>
      </c>
      <c r="BY77" s="15" t="n">
        <v>6</v>
      </c>
      <c r="BZ77" s="15" t="n">
        <v>7</v>
      </c>
      <c r="CA77" s="15" t="n">
        <v>8</v>
      </c>
      <c r="CB77" s="15" t="n">
        <v>9</v>
      </c>
      <c r="CC77" s="15" t="n">
        <v>10</v>
      </c>
      <c r="CD77" s="15" t="n">
        <v>11</v>
      </c>
      <c r="CE77" s="15" t="n">
        <v>12</v>
      </c>
      <c r="CF77" s="15" t="n">
        <v>13</v>
      </c>
      <c r="CG77" s="15" t="n">
        <v>14</v>
      </c>
      <c r="CH77" s="15" t="n">
        <v>15</v>
      </c>
      <c r="CN77" s="15" t="inlineStr">
        <is>
          <t>Parâmetros p/ σx</t>
        </is>
      </c>
      <c r="CO77" s="15" t="inlineStr">
        <is>
          <t>DesvPad(Var(d-cap))</t>
        </is>
      </c>
      <c r="CP77" s="15" t="n">
        <v>1</v>
      </c>
      <c r="CQ77" s="15" t="n">
        <v>2</v>
      </c>
      <c r="CR77" s="15" t="n">
        <v>3</v>
      </c>
      <c r="CS77" s="15" t="n">
        <v>4</v>
      </c>
      <c r="CT77" s="15" t="n">
        <v>5</v>
      </c>
      <c r="CU77" s="15" t="n">
        <v>6</v>
      </c>
      <c r="CV77" s="15" t="n">
        <v>7</v>
      </c>
      <c r="CW77" s="15" t="n">
        <v>8</v>
      </c>
      <c r="CX77" s="15" t="n">
        <v>9</v>
      </c>
      <c r="CY77" s="15" t="n">
        <v>10</v>
      </c>
      <c r="CZ77" s="15" t="n">
        <v>11</v>
      </c>
      <c r="DA77" s="15" t="n">
        <v>12</v>
      </c>
      <c r="DB77" s="15" t="n">
        <v>13</v>
      </c>
      <c r="DC77" s="15" t="n">
        <v>14</v>
      </c>
      <c r="DD77" s="15" t="n">
        <v>15</v>
      </c>
      <c r="DJ77" s="15" t="inlineStr">
        <is>
          <t>Parâmetros p/ σx</t>
        </is>
      </c>
      <c r="DK77" s="15" t="inlineStr">
        <is>
          <t>DesvPad(Var(d-cap))</t>
        </is>
      </c>
      <c r="DL77" s="15" t="n">
        <v>1</v>
      </c>
      <c r="DM77" s="15" t="n">
        <v>2</v>
      </c>
      <c r="DN77" s="15" t="n">
        <v>3</v>
      </c>
      <c r="DO77" s="15" t="n">
        <v>4</v>
      </c>
      <c r="DP77" s="15" t="n">
        <v>5</v>
      </c>
      <c r="DQ77" s="15" t="n">
        <v>6</v>
      </c>
      <c r="DR77" s="15" t="n">
        <v>7</v>
      </c>
      <c r="DS77" s="15" t="n">
        <v>8</v>
      </c>
      <c r="DT77" s="15" t="n">
        <v>9</v>
      </c>
      <c r="DU77" s="15" t="n">
        <v>10</v>
      </c>
      <c r="DV77" s="15" t="n">
        <v>11</v>
      </c>
      <c r="DW77" s="15" t="n">
        <v>12</v>
      </c>
      <c r="DX77" s="15" t="n">
        <v>13</v>
      </c>
      <c r="DY77" s="15" t="n">
        <v>14</v>
      </c>
      <c r="DZ77" s="15" t="n">
        <v>15</v>
      </c>
      <c r="EF77" s="15" t="inlineStr">
        <is>
          <t>Parâmetros p/ σx</t>
        </is>
      </c>
      <c r="EG77" s="15" t="inlineStr">
        <is>
          <t>DesvPad(Var(d-cap))</t>
        </is>
      </c>
      <c r="EH77" s="15" t="n">
        <v>1</v>
      </c>
      <c r="EI77" s="15" t="n">
        <v>2</v>
      </c>
      <c r="EJ77" s="15" t="n">
        <v>3</v>
      </c>
      <c r="EK77" s="15" t="n">
        <v>4</v>
      </c>
      <c r="EL77" s="15" t="n">
        <v>5</v>
      </c>
      <c r="EM77" s="15" t="n">
        <v>6</v>
      </c>
      <c r="EN77" s="15" t="n">
        <v>7</v>
      </c>
      <c r="EO77" s="15" t="n">
        <v>8</v>
      </c>
      <c r="EP77" s="15" t="n">
        <v>9</v>
      </c>
      <c r="EQ77" s="15" t="n">
        <v>10</v>
      </c>
      <c r="ER77" s="15" t="n">
        <v>11</v>
      </c>
      <c r="ES77" s="15" t="n">
        <v>12</v>
      </c>
      <c r="ET77" s="15" t="n">
        <v>13</v>
      </c>
      <c r="EU77" s="15" t="n">
        <v>14</v>
      </c>
      <c r="EV77" s="15" t="n">
        <v>15</v>
      </c>
      <c r="FB77" s="15" t="inlineStr">
        <is>
          <t>Parâmetros p/ σx</t>
        </is>
      </c>
      <c r="FC77" s="15" t="inlineStr">
        <is>
          <t>DesvPad(Var(d-cap))</t>
        </is>
      </c>
      <c r="FD77" s="15" t="n">
        <v>1</v>
      </c>
      <c r="FE77" s="15" t="n">
        <v>2</v>
      </c>
      <c r="FF77" s="15" t="n">
        <v>3</v>
      </c>
      <c r="FG77" s="15" t="n">
        <v>4</v>
      </c>
      <c r="FH77" s="15" t="n">
        <v>5</v>
      </c>
      <c r="FI77" s="15" t="n">
        <v>6</v>
      </c>
      <c r="FJ77" s="15" t="n">
        <v>7</v>
      </c>
      <c r="FK77" s="15" t="n">
        <v>8</v>
      </c>
      <c r="FL77" s="15" t="n">
        <v>9</v>
      </c>
      <c r="FM77" s="15" t="n">
        <v>10</v>
      </c>
      <c r="FN77" s="15" t="n">
        <v>11</v>
      </c>
      <c r="FO77" s="15" t="n">
        <v>12</v>
      </c>
      <c r="FP77" s="15" t="n">
        <v>13</v>
      </c>
      <c r="FQ77" s="15" t="n">
        <v>14</v>
      </c>
      <c r="FR77" s="15" t="n">
        <v>15</v>
      </c>
      <c r="FX77" s="15" t="inlineStr">
        <is>
          <t>Parâmetros p/ σx</t>
        </is>
      </c>
      <c r="FY77" s="15" t="inlineStr">
        <is>
          <t>DesvPad(Var(d-cap))</t>
        </is>
      </c>
      <c r="FZ77" s="15" t="n">
        <v>1</v>
      </c>
      <c r="GA77" s="15" t="n">
        <v>2</v>
      </c>
      <c r="GB77" s="15" t="n">
        <v>3</v>
      </c>
      <c r="GC77" s="15" t="n">
        <v>4</v>
      </c>
      <c r="GD77" s="15" t="n">
        <v>5</v>
      </c>
      <c r="GE77" s="15" t="n">
        <v>6</v>
      </c>
      <c r="GF77" s="15" t="n">
        <v>7</v>
      </c>
      <c r="GG77" s="15" t="n">
        <v>8</v>
      </c>
      <c r="GH77" s="15" t="n">
        <v>9</v>
      </c>
      <c r="GI77" s="15" t="n">
        <v>10</v>
      </c>
      <c r="GJ77" s="15" t="n">
        <v>11</v>
      </c>
      <c r="GK77" s="15" t="n">
        <v>12</v>
      </c>
      <c r="GL77" s="15" t="n">
        <v>13</v>
      </c>
      <c r="GM77" s="15" t="n">
        <v>14</v>
      </c>
      <c r="GN77" s="15" t="n">
        <v>15</v>
      </c>
      <c r="GT77" s="15" t="inlineStr">
        <is>
          <t>Parâmetros p/ σx</t>
        </is>
      </c>
      <c r="GU77" s="15" t="inlineStr">
        <is>
          <t>DesvPad(Var(d-cap))</t>
        </is>
      </c>
      <c r="GV77" s="15" t="n">
        <v>1</v>
      </c>
      <c r="GW77" s="15" t="n">
        <v>2</v>
      </c>
      <c r="GX77" s="15" t="n">
        <v>3</v>
      </c>
      <c r="GY77" s="15" t="n">
        <v>4</v>
      </c>
      <c r="GZ77" s="15" t="n">
        <v>5</v>
      </c>
      <c r="HA77" s="15" t="n">
        <v>6</v>
      </c>
      <c r="HB77" s="15" t="n">
        <v>7</v>
      </c>
      <c r="HC77" s="15" t="n">
        <v>8</v>
      </c>
      <c r="HD77" s="15" t="n">
        <v>9</v>
      </c>
      <c r="HE77" s="15" t="n">
        <v>10</v>
      </c>
      <c r="HF77" s="15" t="n">
        <v>11</v>
      </c>
      <c r="HG77" s="15" t="n">
        <v>12</v>
      </c>
      <c r="HH77" s="15" t="n">
        <v>13</v>
      </c>
      <c r="HI77" s="15" t="n">
        <v>14</v>
      </c>
      <c r="HJ77" s="15" t="n">
        <v>15</v>
      </c>
    </row>
    <row r="78">
      <c r="B78" s="15" t="inlineStr">
        <is>
          <t>ND*RLT</t>
        </is>
      </c>
      <c r="C78" s="15" t="n">
        <v>1</v>
      </c>
      <c r="D78" s="85">
        <f>Matlab_Data!D38</f>
        <v/>
      </c>
      <c r="E78" s="85">
        <f>Matlab_Data!E38</f>
        <v/>
      </c>
      <c r="F78" s="85">
        <f>Matlab_Data!F38</f>
        <v/>
      </c>
      <c r="G78" s="85">
        <f>Matlab_Data!G38</f>
        <v/>
      </c>
      <c r="H78" s="85">
        <f>Matlab_Data!H38</f>
        <v/>
      </c>
      <c r="I78" s="85">
        <f>Matlab_Data!I38</f>
        <v/>
      </c>
      <c r="J78" s="85">
        <f>Matlab_Data!J38</f>
        <v/>
      </c>
      <c r="K78" s="85">
        <f>Matlab_Data!K38</f>
        <v/>
      </c>
      <c r="L78" s="85">
        <f>Matlab_Data!L38</f>
        <v/>
      </c>
      <c r="M78" s="85">
        <f>Matlab_Data!M38</f>
        <v/>
      </c>
      <c r="N78" s="85">
        <f>Matlab_Data!N38</f>
        <v/>
      </c>
      <c r="O78" s="85">
        <f>Matlab_Data!O38</f>
        <v/>
      </c>
      <c r="P78" s="85">
        <f>Matlab_Data!P38</f>
        <v/>
      </c>
      <c r="Q78" s="85">
        <f>Matlab_Data!Q38</f>
        <v/>
      </c>
      <c r="R78" s="85">
        <f>Matlab_Data!R38</f>
        <v/>
      </c>
      <c r="T78" s="39">
        <f>SUM(D78:R80)</f>
        <v/>
      </c>
      <c r="U78" s="39" t="n">
        <v>802.0373</v>
      </c>
      <c r="V78" s="39">
        <f>T78-U78</f>
        <v/>
      </c>
      <c r="W78" s="39" t="n"/>
      <c r="X78" s="39" t="n"/>
      <c r="Y78" s="85" t="n"/>
      <c r="Z78" s="85" t="inlineStr">
        <is>
          <t>ND*RLT</t>
        </is>
      </c>
      <c r="AA78" s="85" t="n">
        <v>1</v>
      </c>
      <c r="AB78" s="85" t="n">
        <v>13.9696</v>
      </c>
      <c r="AC78" s="85" t="n">
        <v>16.389</v>
      </c>
      <c r="AD78" s="85" t="n">
        <v>15.5948</v>
      </c>
      <c r="AE78" s="85" t="n">
        <v>14.553</v>
      </c>
      <c r="AF78" s="85" t="n">
        <v>22.2638</v>
      </c>
      <c r="AG78" s="85" t="n">
        <v>13.8495</v>
      </c>
      <c r="AH78" s="85" t="n">
        <v>15.1191</v>
      </c>
      <c r="AI78" s="85" t="n">
        <v>20.6937</v>
      </c>
      <c r="AJ78" s="85" t="n">
        <v>18.4669</v>
      </c>
      <c r="AK78" s="85" t="n">
        <v>18.0532</v>
      </c>
      <c r="AL78" s="85" t="n">
        <v>22.3239</v>
      </c>
      <c r="AM78" s="85" t="n">
        <v>12.3097</v>
      </c>
      <c r="AN78" s="15" t="n">
        <v>14.7583</v>
      </c>
      <c r="AO78" s="15" t="n">
        <v>13.6645</v>
      </c>
      <c r="AP78" s="15" t="n">
        <v>24.3509</v>
      </c>
      <c r="AV78" s="15" t="inlineStr">
        <is>
          <t>ND*RLT</t>
        </is>
      </c>
      <c r="AW78" s="15" t="n">
        <v>1</v>
      </c>
      <c r="AX78" s="15" t="n">
        <v>13.9696</v>
      </c>
      <c r="AY78" s="15" t="n">
        <v>16.389</v>
      </c>
      <c r="AZ78" s="15" t="n">
        <v>15.5948</v>
      </c>
      <c r="BA78" s="15" t="n">
        <v>14.553</v>
      </c>
      <c r="BB78" s="15" t="n">
        <v>22.2638</v>
      </c>
      <c r="BC78" s="15" t="n">
        <v>13.8495</v>
      </c>
      <c r="BD78" s="15" t="n">
        <v>15.1191</v>
      </c>
      <c r="BE78" s="15" t="n">
        <v>20.6937</v>
      </c>
      <c r="BF78" s="15" t="n">
        <v>18.4669</v>
      </c>
      <c r="BG78" s="15" t="n">
        <v>18.0532</v>
      </c>
      <c r="BH78" s="15" t="n">
        <v>22.3239</v>
      </c>
      <c r="BI78" s="15" t="n">
        <v>12.3097</v>
      </c>
      <c r="BJ78" s="15" t="n">
        <v>14.7583</v>
      </c>
      <c r="BK78" s="15" t="n">
        <v>13.6645</v>
      </c>
      <c r="BL78" s="15" t="n">
        <v>24.3509</v>
      </c>
      <c r="BR78" s="15" t="inlineStr">
        <is>
          <t>ND*RLT</t>
        </is>
      </c>
      <c r="BS78" s="15" t="n">
        <v>1</v>
      </c>
      <c r="BT78" s="15" t="n">
        <v>13.9696</v>
      </c>
      <c r="BU78" s="15" t="n">
        <v>16.389</v>
      </c>
      <c r="BV78" s="15" t="n">
        <v>15.5948</v>
      </c>
      <c r="BW78" s="15" t="n">
        <v>14.553</v>
      </c>
      <c r="BX78" s="15" t="n">
        <v>22.2638</v>
      </c>
      <c r="BY78" s="15" t="n">
        <v>13.8495</v>
      </c>
      <c r="BZ78" s="15" t="n">
        <v>15.1191</v>
      </c>
      <c r="CA78" s="15" t="n">
        <v>20.6937</v>
      </c>
      <c r="CB78" s="15" t="n">
        <v>18.4669</v>
      </c>
      <c r="CC78" s="15" t="n">
        <v>18.0532</v>
      </c>
      <c r="CD78" s="15" t="n">
        <v>22.3239</v>
      </c>
      <c r="CE78" s="15" t="n">
        <v>12.3097</v>
      </c>
      <c r="CF78" s="15" t="n">
        <v>14.7583</v>
      </c>
      <c r="CG78" s="15" t="n">
        <v>13.6645</v>
      </c>
      <c r="CH78" s="15" t="n">
        <v>24.3509</v>
      </c>
      <c r="CN78" s="15" t="inlineStr">
        <is>
          <t>ND*RLT</t>
        </is>
      </c>
      <c r="CO78" s="15" t="n">
        <v>1</v>
      </c>
      <c r="CP78" s="15" t="n">
        <v>13.9696</v>
      </c>
      <c r="CQ78" s="15" t="n">
        <v>16.389</v>
      </c>
      <c r="CR78" s="15" t="n">
        <v>15.5948</v>
      </c>
      <c r="CS78" s="15" t="n">
        <v>14.553</v>
      </c>
      <c r="CT78" s="15" t="n">
        <v>22.2638</v>
      </c>
      <c r="CU78" s="15" t="n">
        <v>13.8495</v>
      </c>
      <c r="CV78" s="15" t="n">
        <v>15.1191</v>
      </c>
      <c r="CW78" s="15" t="n">
        <v>20.6937</v>
      </c>
      <c r="CX78" s="15" t="n">
        <v>18.4669</v>
      </c>
      <c r="CY78" s="15" t="n">
        <v>18.0532</v>
      </c>
      <c r="CZ78" s="15" t="n">
        <v>22.3239</v>
      </c>
      <c r="DA78" s="15" t="n">
        <v>12.3097</v>
      </c>
      <c r="DB78" s="15" t="n">
        <v>14.7583</v>
      </c>
      <c r="DC78" s="15" t="n">
        <v>13.6645</v>
      </c>
      <c r="DD78" s="15" t="n">
        <v>24.3509</v>
      </c>
      <c r="DJ78" s="15" t="inlineStr">
        <is>
          <t>ND*RLT</t>
        </is>
      </c>
      <c r="DK78" s="15" t="n">
        <v>1</v>
      </c>
      <c r="DL78" s="15" t="n">
        <v>13.9696</v>
      </c>
      <c r="DM78" s="15" t="n">
        <v>16.389</v>
      </c>
      <c r="DN78" s="15" t="n">
        <v>15.5948</v>
      </c>
      <c r="DO78" s="15" t="n">
        <v>14.553</v>
      </c>
      <c r="DP78" s="15" t="n">
        <v>22.2638</v>
      </c>
      <c r="DQ78" s="15" t="n">
        <v>13.8495</v>
      </c>
      <c r="DR78" s="15" t="n">
        <v>15.1191</v>
      </c>
      <c r="DS78" s="15" t="n">
        <v>20.6937</v>
      </c>
      <c r="DT78" s="15" t="n">
        <v>18.4669</v>
      </c>
      <c r="DU78" s="15" t="n">
        <v>18.0532</v>
      </c>
      <c r="DV78" s="15" t="n">
        <v>22.3239</v>
      </c>
      <c r="DW78" s="15" t="n">
        <v>12.3097</v>
      </c>
      <c r="DX78" s="15" t="n">
        <v>14.7583</v>
      </c>
      <c r="DY78" s="15" t="n">
        <v>13.6645</v>
      </c>
      <c r="DZ78" s="15" t="n">
        <v>24.3509</v>
      </c>
      <c r="EF78" s="15" t="inlineStr">
        <is>
          <t>ND*RLT</t>
        </is>
      </c>
      <c r="EG78" s="15" t="n">
        <v>1</v>
      </c>
      <c r="EH78" s="15" t="n">
        <v>13.9696</v>
      </c>
      <c r="EI78" s="15" t="n">
        <v>16.389</v>
      </c>
      <c r="EJ78" s="15" t="n">
        <v>15.5948</v>
      </c>
      <c r="EK78" s="15" t="n">
        <v>14.553</v>
      </c>
      <c r="EL78" s="15" t="n">
        <v>22.2638</v>
      </c>
      <c r="EM78" s="15" t="n">
        <v>13.8495</v>
      </c>
      <c r="EN78" s="15" t="n">
        <v>15.1191</v>
      </c>
      <c r="EO78" s="15" t="n">
        <v>20.6937</v>
      </c>
      <c r="EP78" s="15" t="n">
        <v>18.4669</v>
      </c>
      <c r="EQ78" s="15" t="n">
        <v>18.0532</v>
      </c>
      <c r="ER78" s="15" t="n">
        <v>22.3239</v>
      </c>
      <c r="ES78" s="15" t="n">
        <v>12.3097</v>
      </c>
      <c r="ET78" s="15" t="n">
        <v>14.7583</v>
      </c>
      <c r="EU78" s="15" t="n">
        <v>13.6645</v>
      </c>
      <c r="EV78" s="15" t="n">
        <v>24.3509</v>
      </c>
      <c r="FB78" s="15" t="inlineStr">
        <is>
          <t>ND*RLT</t>
        </is>
      </c>
      <c r="FC78" s="15" t="n">
        <v>1</v>
      </c>
      <c r="FD78" s="15" t="n">
        <v>13.9696</v>
      </c>
      <c r="FE78" s="15" t="n">
        <v>16.389</v>
      </c>
      <c r="FF78" s="15" t="n">
        <v>15.5948</v>
      </c>
      <c r="FG78" s="15" t="n">
        <v>14.553</v>
      </c>
      <c r="FH78" s="15" t="n">
        <v>22.2638</v>
      </c>
      <c r="FI78" s="15" t="n">
        <v>13.8495</v>
      </c>
      <c r="FJ78" s="15" t="n">
        <v>15.1191</v>
      </c>
      <c r="FK78" s="15" t="n">
        <v>20.6937</v>
      </c>
      <c r="FL78" s="15" t="n">
        <v>18.4669</v>
      </c>
      <c r="FM78" s="15" t="n">
        <v>18.0532</v>
      </c>
      <c r="FN78" s="15" t="n">
        <v>22.3239</v>
      </c>
      <c r="FO78" s="15" t="n">
        <v>12.3097</v>
      </c>
      <c r="FP78" s="15" t="n">
        <v>14.7583</v>
      </c>
      <c r="FQ78" s="15" t="n">
        <v>13.6645</v>
      </c>
      <c r="FR78" s="15" t="n">
        <v>24.3509</v>
      </c>
      <c r="FX78" s="15" t="inlineStr">
        <is>
          <t>ND*RLT</t>
        </is>
      </c>
      <c r="FY78" s="15" t="n">
        <v>1</v>
      </c>
      <c r="FZ78" s="15" t="n">
        <v>13.9696</v>
      </c>
      <c r="GA78" s="15" t="n">
        <v>16.389</v>
      </c>
      <c r="GB78" s="15" t="n">
        <v>15.5948</v>
      </c>
      <c r="GC78" s="15" t="n">
        <v>14.553</v>
      </c>
      <c r="GD78" s="15" t="n">
        <v>22.2638</v>
      </c>
      <c r="GE78" s="15" t="n">
        <v>13.8495</v>
      </c>
      <c r="GF78" s="15" t="n">
        <v>15.1191</v>
      </c>
      <c r="GG78" s="15" t="n">
        <v>20.6937</v>
      </c>
      <c r="GH78" s="15" t="n">
        <v>18.4669</v>
      </c>
      <c r="GI78" s="15" t="n">
        <v>18.0532</v>
      </c>
      <c r="GJ78" s="15" t="n">
        <v>22.3239</v>
      </c>
      <c r="GK78" s="15" t="n">
        <v>12.3097</v>
      </c>
      <c r="GL78" s="15" t="n">
        <v>14.7583</v>
      </c>
      <c r="GM78" s="15" t="n">
        <v>13.6645</v>
      </c>
      <c r="GN78" s="15" t="n">
        <v>24.3509</v>
      </c>
      <c r="GT78" s="15" t="inlineStr">
        <is>
          <t>ND*RLT</t>
        </is>
      </c>
      <c r="GU78" s="15" t="n">
        <v>1</v>
      </c>
      <c r="GV78" s="15" t="n">
        <v>13.9696</v>
      </c>
      <c r="GW78" s="15" t="n">
        <v>16.389</v>
      </c>
      <c r="GX78" s="15" t="n">
        <v>15.5948</v>
      </c>
      <c r="GY78" s="15" t="n">
        <v>14.553</v>
      </c>
      <c r="GZ78" s="15" t="n">
        <v>22.2638</v>
      </c>
      <c r="HA78" s="15" t="n">
        <v>13.8495</v>
      </c>
      <c r="HB78" s="15" t="n">
        <v>15.1191</v>
      </c>
      <c r="HC78" s="15" t="n">
        <v>20.6937</v>
      </c>
      <c r="HD78" s="15" t="n">
        <v>18.4669</v>
      </c>
      <c r="HE78" s="15" t="n">
        <v>18.0532</v>
      </c>
      <c r="HF78" s="15" t="n">
        <v>22.3239</v>
      </c>
      <c r="HG78" s="15" t="n">
        <v>12.3097</v>
      </c>
      <c r="HH78" s="15" t="n">
        <v>14.7583</v>
      </c>
      <c r="HI78" s="15" t="n">
        <v>13.6645</v>
      </c>
      <c r="HJ78" s="15" t="n">
        <v>24.3509</v>
      </c>
    </row>
    <row r="79">
      <c r="C79" s="15" t="n">
        <v>2</v>
      </c>
      <c r="D79" s="85">
        <f>Matlab_Data!D39</f>
        <v/>
      </c>
      <c r="E79" s="85">
        <f>Matlab_Data!E39</f>
        <v/>
      </c>
      <c r="F79" s="85">
        <f>Matlab_Data!F39</f>
        <v/>
      </c>
      <c r="G79" s="85">
        <f>Matlab_Data!G39</f>
        <v/>
      </c>
      <c r="H79" s="85">
        <f>Matlab_Data!H39</f>
        <v/>
      </c>
      <c r="I79" s="85">
        <f>Matlab_Data!I39</f>
        <v/>
      </c>
      <c r="J79" s="85">
        <f>Matlab_Data!J39</f>
        <v/>
      </c>
      <c r="K79" s="85">
        <f>Matlab_Data!K39</f>
        <v/>
      </c>
      <c r="L79" s="85">
        <f>Matlab_Data!L39</f>
        <v/>
      </c>
      <c r="M79" s="85">
        <f>Matlab_Data!M39</f>
        <v/>
      </c>
      <c r="N79" s="85">
        <f>Matlab_Data!N39</f>
        <v/>
      </c>
      <c r="O79" s="85">
        <f>Matlab_Data!O39</f>
        <v/>
      </c>
      <c r="P79" s="85">
        <f>Matlab_Data!P39</f>
        <v/>
      </c>
      <c r="Q79" s="85">
        <f>Matlab_Data!Q39</f>
        <v/>
      </c>
      <c r="R79" s="85">
        <f>Matlab_Data!R39</f>
        <v/>
      </c>
      <c r="Y79" s="85" t="n"/>
      <c r="Z79" s="85" t="n"/>
      <c r="AA79" s="85" t="n">
        <v>2</v>
      </c>
      <c r="AB79" s="85" t="n">
        <v>16.8196</v>
      </c>
      <c r="AC79" s="85" t="n">
        <v>14.6181</v>
      </c>
      <c r="AD79" s="85" t="n">
        <v>15.554</v>
      </c>
      <c r="AE79" s="85" t="n">
        <v>24.3014</v>
      </c>
      <c r="AF79" s="85" t="n">
        <v>19.7195</v>
      </c>
      <c r="AG79" s="85" t="n">
        <v>20.5574</v>
      </c>
      <c r="AH79" s="85" t="n">
        <v>15.8921</v>
      </c>
      <c r="AI79" s="85" t="n">
        <v>14.2488</v>
      </c>
      <c r="AJ79" s="85" t="n">
        <v>17.7149</v>
      </c>
      <c r="AK79" s="85" t="n">
        <v>13.9989</v>
      </c>
      <c r="AL79" s="85" t="n">
        <v>17.4467</v>
      </c>
      <c r="AM79" s="85" t="n">
        <v>19.047</v>
      </c>
      <c r="AN79" s="15" t="n">
        <v>15.4246</v>
      </c>
      <c r="AO79" s="15" t="n">
        <v>22.531</v>
      </c>
      <c r="AP79" s="15" t="n">
        <v>20.8612</v>
      </c>
      <c r="AW79" s="15" t="n">
        <v>2</v>
      </c>
      <c r="AX79" s="15" t="n">
        <v>16.8196</v>
      </c>
      <c r="AY79" s="15" t="n">
        <v>14.6181</v>
      </c>
      <c r="AZ79" s="15" t="n">
        <v>15.554</v>
      </c>
      <c r="BA79" s="15" t="n">
        <v>24.3014</v>
      </c>
      <c r="BB79" s="15" t="n">
        <v>19.7195</v>
      </c>
      <c r="BC79" s="15" t="n">
        <v>20.5574</v>
      </c>
      <c r="BD79" s="15" t="n">
        <v>15.8921</v>
      </c>
      <c r="BE79" s="15" t="n">
        <v>14.2488</v>
      </c>
      <c r="BF79" s="15" t="n">
        <v>17.7149</v>
      </c>
      <c r="BG79" s="15" t="n">
        <v>13.9989</v>
      </c>
      <c r="BH79" s="15" t="n">
        <v>17.4467</v>
      </c>
      <c r="BI79" s="15" t="n">
        <v>19.047</v>
      </c>
      <c r="BJ79" s="15" t="n">
        <v>15.4246</v>
      </c>
      <c r="BK79" s="15" t="n">
        <v>22.531</v>
      </c>
      <c r="BL79" s="15" t="n">
        <v>20.8612</v>
      </c>
      <c r="BS79" s="15" t="n">
        <v>2</v>
      </c>
      <c r="BT79" s="15" t="n">
        <v>16.8196</v>
      </c>
      <c r="BU79" s="15" t="n">
        <v>14.6181</v>
      </c>
      <c r="BV79" s="15" t="n">
        <v>15.554</v>
      </c>
      <c r="BW79" s="15" t="n">
        <v>24.3014</v>
      </c>
      <c r="BX79" s="15" t="n">
        <v>19.7195</v>
      </c>
      <c r="BY79" s="15" t="n">
        <v>20.5574</v>
      </c>
      <c r="BZ79" s="15" t="n">
        <v>15.8921</v>
      </c>
      <c r="CA79" s="15" t="n">
        <v>14.2488</v>
      </c>
      <c r="CB79" s="15" t="n">
        <v>17.7149</v>
      </c>
      <c r="CC79" s="15" t="n">
        <v>13.9989</v>
      </c>
      <c r="CD79" s="15" t="n">
        <v>17.4467</v>
      </c>
      <c r="CE79" s="15" t="n">
        <v>19.047</v>
      </c>
      <c r="CF79" s="15" t="n">
        <v>15.4246</v>
      </c>
      <c r="CG79" s="15" t="n">
        <v>22.531</v>
      </c>
      <c r="CH79" s="15" t="n">
        <v>20.8612</v>
      </c>
      <c r="CO79" s="15" t="n">
        <v>2</v>
      </c>
      <c r="CP79" s="15" t="n">
        <v>16.8196</v>
      </c>
      <c r="CQ79" s="15" t="n">
        <v>14.6181</v>
      </c>
      <c r="CR79" s="15" t="n">
        <v>15.554</v>
      </c>
      <c r="CS79" s="15" t="n">
        <v>24.3014</v>
      </c>
      <c r="CT79" s="15" t="n">
        <v>19.7195</v>
      </c>
      <c r="CU79" s="15" t="n">
        <v>20.5574</v>
      </c>
      <c r="CV79" s="15" t="n">
        <v>15.8921</v>
      </c>
      <c r="CW79" s="15" t="n">
        <v>14.2488</v>
      </c>
      <c r="CX79" s="15" t="n">
        <v>17.7149</v>
      </c>
      <c r="CY79" s="15" t="n">
        <v>13.9989</v>
      </c>
      <c r="CZ79" s="15" t="n">
        <v>17.4467</v>
      </c>
      <c r="DA79" s="15" t="n">
        <v>19.047</v>
      </c>
      <c r="DB79" s="15" t="n">
        <v>15.4246</v>
      </c>
      <c r="DC79" s="15" t="n">
        <v>22.531</v>
      </c>
      <c r="DD79" s="15" t="n">
        <v>20.8612</v>
      </c>
      <c r="DK79" s="15" t="n">
        <v>2</v>
      </c>
      <c r="DL79" s="15" t="n">
        <v>16.8196</v>
      </c>
      <c r="DM79" s="15" t="n">
        <v>14.6181</v>
      </c>
      <c r="DN79" s="15" t="n">
        <v>15.554</v>
      </c>
      <c r="DO79" s="15" t="n">
        <v>24.3014</v>
      </c>
      <c r="DP79" s="15" t="n">
        <v>19.7195</v>
      </c>
      <c r="DQ79" s="15" t="n">
        <v>20.5574</v>
      </c>
      <c r="DR79" s="15" t="n">
        <v>15.8921</v>
      </c>
      <c r="DS79" s="15" t="n">
        <v>14.2488</v>
      </c>
      <c r="DT79" s="15" t="n">
        <v>17.7149</v>
      </c>
      <c r="DU79" s="15" t="n">
        <v>13.9989</v>
      </c>
      <c r="DV79" s="15" t="n">
        <v>17.4467</v>
      </c>
      <c r="DW79" s="15" t="n">
        <v>19.047</v>
      </c>
      <c r="DX79" s="15" t="n">
        <v>15.4246</v>
      </c>
      <c r="DY79" s="15" t="n">
        <v>22.531</v>
      </c>
      <c r="DZ79" s="15" t="n">
        <v>20.8612</v>
      </c>
      <c r="EG79" s="15" t="n">
        <v>2</v>
      </c>
      <c r="EH79" s="15" t="n">
        <v>16.8196</v>
      </c>
      <c r="EI79" s="15" t="n">
        <v>14.6181</v>
      </c>
      <c r="EJ79" s="15" t="n">
        <v>15.554</v>
      </c>
      <c r="EK79" s="15" t="n">
        <v>24.3014</v>
      </c>
      <c r="EL79" s="15" t="n">
        <v>19.7195</v>
      </c>
      <c r="EM79" s="15" t="n">
        <v>20.5574</v>
      </c>
      <c r="EN79" s="15" t="n">
        <v>15.8921</v>
      </c>
      <c r="EO79" s="15" t="n">
        <v>14.2488</v>
      </c>
      <c r="EP79" s="15" t="n">
        <v>17.7149</v>
      </c>
      <c r="EQ79" s="15" t="n">
        <v>13.9989</v>
      </c>
      <c r="ER79" s="15" t="n">
        <v>17.4467</v>
      </c>
      <c r="ES79" s="15" t="n">
        <v>19.047</v>
      </c>
      <c r="ET79" s="15" t="n">
        <v>15.4246</v>
      </c>
      <c r="EU79" s="15" t="n">
        <v>22.531</v>
      </c>
      <c r="EV79" s="15" t="n">
        <v>20.8612</v>
      </c>
      <c r="FC79" s="15" t="n">
        <v>2</v>
      </c>
      <c r="FD79" s="15" t="n">
        <v>16.8196</v>
      </c>
      <c r="FE79" s="15" t="n">
        <v>14.6181</v>
      </c>
      <c r="FF79" s="15" t="n">
        <v>15.554</v>
      </c>
      <c r="FG79" s="15" t="n">
        <v>24.3014</v>
      </c>
      <c r="FH79" s="15" t="n">
        <v>19.7195</v>
      </c>
      <c r="FI79" s="15" t="n">
        <v>20.5574</v>
      </c>
      <c r="FJ79" s="15" t="n">
        <v>15.8921</v>
      </c>
      <c r="FK79" s="15" t="n">
        <v>14.2488</v>
      </c>
      <c r="FL79" s="15" t="n">
        <v>17.7149</v>
      </c>
      <c r="FM79" s="15" t="n">
        <v>13.9989</v>
      </c>
      <c r="FN79" s="15" t="n">
        <v>17.4467</v>
      </c>
      <c r="FO79" s="15" t="n">
        <v>19.047</v>
      </c>
      <c r="FP79" s="15" t="n">
        <v>15.4246</v>
      </c>
      <c r="FQ79" s="15" t="n">
        <v>22.531</v>
      </c>
      <c r="FR79" s="15" t="n">
        <v>20.8612</v>
      </c>
      <c r="FY79" s="15" t="n">
        <v>2</v>
      </c>
      <c r="FZ79" s="15" t="n">
        <v>16.8196</v>
      </c>
      <c r="GA79" s="15" t="n">
        <v>14.6181</v>
      </c>
      <c r="GB79" s="15" t="n">
        <v>15.554</v>
      </c>
      <c r="GC79" s="15" t="n">
        <v>24.3014</v>
      </c>
      <c r="GD79" s="15" t="n">
        <v>19.7195</v>
      </c>
      <c r="GE79" s="15" t="n">
        <v>20.5574</v>
      </c>
      <c r="GF79" s="15" t="n">
        <v>15.8921</v>
      </c>
      <c r="GG79" s="15" t="n">
        <v>14.2488</v>
      </c>
      <c r="GH79" s="15" t="n">
        <v>17.7149</v>
      </c>
      <c r="GI79" s="15" t="n">
        <v>13.9989</v>
      </c>
      <c r="GJ79" s="15" t="n">
        <v>17.4467</v>
      </c>
      <c r="GK79" s="15" t="n">
        <v>19.047</v>
      </c>
      <c r="GL79" s="15" t="n">
        <v>15.4246</v>
      </c>
      <c r="GM79" s="15" t="n">
        <v>22.531</v>
      </c>
      <c r="GN79" s="15" t="n">
        <v>20.8612</v>
      </c>
      <c r="GU79" s="15" t="n">
        <v>2</v>
      </c>
      <c r="GV79" s="15" t="n">
        <v>16.8196</v>
      </c>
      <c r="GW79" s="15" t="n">
        <v>14.6181</v>
      </c>
      <c r="GX79" s="15" t="n">
        <v>15.554</v>
      </c>
      <c r="GY79" s="15" t="n">
        <v>24.3014</v>
      </c>
      <c r="GZ79" s="15" t="n">
        <v>19.7195</v>
      </c>
      <c r="HA79" s="15" t="n">
        <v>20.5574</v>
      </c>
      <c r="HB79" s="15" t="n">
        <v>15.8921</v>
      </c>
      <c r="HC79" s="15" t="n">
        <v>14.2488</v>
      </c>
      <c r="HD79" s="15" t="n">
        <v>17.7149</v>
      </c>
      <c r="HE79" s="15" t="n">
        <v>13.9989</v>
      </c>
      <c r="HF79" s="15" t="n">
        <v>17.4467</v>
      </c>
      <c r="HG79" s="15" t="n">
        <v>19.047</v>
      </c>
      <c r="HH79" s="15" t="n">
        <v>15.4246</v>
      </c>
      <c r="HI79" s="15" t="n">
        <v>22.531</v>
      </c>
      <c r="HJ79" s="15" t="n">
        <v>20.8612</v>
      </c>
    </row>
    <row r="80">
      <c r="C80" s="15" t="n">
        <v>3</v>
      </c>
      <c r="D80" s="85">
        <f>Matlab_Data!D40</f>
        <v/>
      </c>
      <c r="E80" s="85">
        <f>Matlab_Data!E40</f>
        <v/>
      </c>
      <c r="F80" s="85">
        <f>Matlab_Data!F40</f>
        <v/>
      </c>
      <c r="G80" s="85">
        <f>Matlab_Data!G40</f>
        <v/>
      </c>
      <c r="H80" s="85">
        <f>Matlab_Data!H40</f>
        <v/>
      </c>
      <c r="I80" s="85">
        <f>Matlab_Data!I40</f>
        <v/>
      </c>
      <c r="J80" s="85">
        <f>Matlab_Data!J40</f>
        <v/>
      </c>
      <c r="K80" s="85">
        <f>Matlab_Data!K40</f>
        <v/>
      </c>
      <c r="L80" s="85">
        <f>Matlab_Data!L40</f>
        <v/>
      </c>
      <c r="M80" s="85">
        <f>Matlab_Data!M40</f>
        <v/>
      </c>
      <c r="N80" s="85">
        <f>Matlab_Data!N40</f>
        <v/>
      </c>
      <c r="O80" s="85">
        <f>Matlab_Data!O40</f>
        <v/>
      </c>
      <c r="P80" s="85">
        <f>Matlab_Data!P40</f>
        <v/>
      </c>
      <c r="Q80" s="85">
        <f>Matlab_Data!Q40</f>
        <v/>
      </c>
      <c r="R80" s="85">
        <f>Matlab_Data!R40</f>
        <v/>
      </c>
      <c r="Y80" s="85" t="n"/>
      <c r="Z80" s="85" t="n"/>
      <c r="AA80" s="85" t="n">
        <v>3</v>
      </c>
      <c r="AB80" s="85" t="n">
        <v>21.6113</v>
      </c>
      <c r="AC80" s="85" t="n">
        <v>16.2003</v>
      </c>
      <c r="AD80" s="85" t="n">
        <v>17.0023</v>
      </c>
      <c r="AE80" s="85" t="n">
        <v>24.1484</v>
      </c>
      <c r="AF80" s="85" t="n">
        <v>16.7053</v>
      </c>
      <c r="AG80" s="85" t="n">
        <v>21.6071</v>
      </c>
      <c r="AH80" s="85" t="n">
        <v>16.456</v>
      </c>
      <c r="AI80" s="85" t="n">
        <v>19.5486</v>
      </c>
      <c r="AJ80" s="85" t="n">
        <v>17.5174</v>
      </c>
      <c r="AK80" s="85" t="n">
        <v>14.9556</v>
      </c>
      <c r="AL80" s="85" t="n">
        <v>16.22</v>
      </c>
      <c r="AM80" s="85" t="n">
        <v>16.5828</v>
      </c>
      <c r="AN80" s="15" t="n">
        <v>20.17</v>
      </c>
      <c r="AO80" s="15" t="n">
        <v>19.1822</v>
      </c>
      <c r="AP80" s="15" t="n">
        <v>19.0349</v>
      </c>
      <c r="AW80" s="15" t="n">
        <v>3</v>
      </c>
      <c r="AX80" s="15" t="n">
        <v>21.6113</v>
      </c>
      <c r="AY80" s="15" t="n">
        <v>16.2003</v>
      </c>
      <c r="AZ80" s="15" t="n">
        <v>17.0023</v>
      </c>
      <c r="BA80" s="15" t="n">
        <v>24.1484</v>
      </c>
      <c r="BB80" s="15" t="n">
        <v>16.7053</v>
      </c>
      <c r="BC80" s="15" t="n">
        <v>21.6071</v>
      </c>
      <c r="BD80" s="15" t="n">
        <v>16.456</v>
      </c>
      <c r="BE80" s="15" t="n">
        <v>19.5486</v>
      </c>
      <c r="BF80" s="15" t="n">
        <v>17.5174</v>
      </c>
      <c r="BG80" s="15" t="n">
        <v>14.9556</v>
      </c>
      <c r="BH80" s="15" t="n">
        <v>16.22</v>
      </c>
      <c r="BI80" s="15" t="n">
        <v>16.5828</v>
      </c>
      <c r="BJ80" s="15" t="n">
        <v>20.17</v>
      </c>
      <c r="BK80" s="15" t="n">
        <v>19.1822</v>
      </c>
      <c r="BL80" s="15" t="n">
        <v>19.0349</v>
      </c>
      <c r="BS80" s="15" t="n">
        <v>3</v>
      </c>
      <c r="BT80" s="15" t="n">
        <v>21.6113</v>
      </c>
      <c r="BU80" s="15" t="n">
        <v>16.2003</v>
      </c>
      <c r="BV80" s="15" t="n">
        <v>17.0023</v>
      </c>
      <c r="BW80" s="15" t="n">
        <v>24.1484</v>
      </c>
      <c r="BX80" s="15" t="n">
        <v>16.7053</v>
      </c>
      <c r="BY80" s="15" t="n">
        <v>21.6071</v>
      </c>
      <c r="BZ80" s="15" t="n">
        <v>16.456</v>
      </c>
      <c r="CA80" s="15" t="n">
        <v>19.5486</v>
      </c>
      <c r="CB80" s="15" t="n">
        <v>17.5174</v>
      </c>
      <c r="CC80" s="15" t="n">
        <v>14.9556</v>
      </c>
      <c r="CD80" s="15" t="n">
        <v>16.22</v>
      </c>
      <c r="CE80" s="15" t="n">
        <v>16.5828</v>
      </c>
      <c r="CF80" s="15" t="n">
        <v>20.17</v>
      </c>
      <c r="CG80" s="15" t="n">
        <v>19.1822</v>
      </c>
      <c r="CH80" s="15" t="n">
        <v>19.0349</v>
      </c>
      <c r="CO80" s="15" t="n">
        <v>3</v>
      </c>
      <c r="CP80" s="15" t="n">
        <v>21.6113</v>
      </c>
      <c r="CQ80" s="15" t="n">
        <v>16.2003</v>
      </c>
      <c r="CR80" s="15" t="n">
        <v>17.0023</v>
      </c>
      <c r="CS80" s="15" t="n">
        <v>24.1484</v>
      </c>
      <c r="CT80" s="15" t="n">
        <v>16.7053</v>
      </c>
      <c r="CU80" s="15" t="n">
        <v>21.6071</v>
      </c>
      <c r="CV80" s="15" t="n">
        <v>16.456</v>
      </c>
      <c r="CW80" s="15" t="n">
        <v>19.5486</v>
      </c>
      <c r="CX80" s="15" t="n">
        <v>17.5174</v>
      </c>
      <c r="CY80" s="15" t="n">
        <v>14.9556</v>
      </c>
      <c r="CZ80" s="15" t="n">
        <v>16.22</v>
      </c>
      <c r="DA80" s="15" t="n">
        <v>16.5828</v>
      </c>
      <c r="DB80" s="15" t="n">
        <v>20.17</v>
      </c>
      <c r="DC80" s="15" t="n">
        <v>19.1822</v>
      </c>
      <c r="DD80" s="15" t="n">
        <v>19.0349</v>
      </c>
      <c r="DK80" s="15" t="n">
        <v>3</v>
      </c>
      <c r="DL80" s="15" t="n">
        <v>21.6113</v>
      </c>
      <c r="DM80" s="15" t="n">
        <v>16.2003</v>
      </c>
      <c r="DN80" s="15" t="n">
        <v>17.0023</v>
      </c>
      <c r="DO80" s="15" t="n">
        <v>24.1484</v>
      </c>
      <c r="DP80" s="15" t="n">
        <v>16.7053</v>
      </c>
      <c r="DQ80" s="15" t="n">
        <v>21.6071</v>
      </c>
      <c r="DR80" s="15" t="n">
        <v>16.456</v>
      </c>
      <c r="DS80" s="15" t="n">
        <v>19.5486</v>
      </c>
      <c r="DT80" s="15" t="n">
        <v>17.5174</v>
      </c>
      <c r="DU80" s="15" t="n">
        <v>14.9556</v>
      </c>
      <c r="DV80" s="15" t="n">
        <v>16.22</v>
      </c>
      <c r="DW80" s="15" t="n">
        <v>16.5828</v>
      </c>
      <c r="DX80" s="15" t="n">
        <v>20.17</v>
      </c>
      <c r="DY80" s="15" t="n">
        <v>19.1822</v>
      </c>
      <c r="DZ80" s="15" t="n">
        <v>19.0349</v>
      </c>
      <c r="EG80" s="15" t="n">
        <v>3</v>
      </c>
      <c r="EH80" s="15" t="n">
        <v>21.6113</v>
      </c>
      <c r="EI80" s="15" t="n">
        <v>16.2003</v>
      </c>
      <c r="EJ80" s="15" t="n">
        <v>17.0023</v>
      </c>
      <c r="EK80" s="15" t="n">
        <v>24.1484</v>
      </c>
      <c r="EL80" s="15" t="n">
        <v>16.7053</v>
      </c>
      <c r="EM80" s="15" t="n">
        <v>21.6071</v>
      </c>
      <c r="EN80" s="15" t="n">
        <v>16.456</v>
      </c>
      <c r="EO80" s="15" t="n">
        <v>19.5486</v>
      </c>
      <c r="EP80" s="15" t="n">
        <v>17.5174</v>
      </c>
      <c r="EQ80" s="15" t="n">
        <v>14.9556</v>
      </c>
      <c r="ER80" s="15" t="n">
        <v>16.22</v>
      </c>
      <c r="ES80" s="15" t="n">
        <v>16.5828</v>
      </c>
      <c r="ET80" s="15" t="n">
        <v>20.17</v>
      </c>
      <c r="EU80" s="15" t="n">
        <v>19.1822</v>
      </c>
      <c r="EV80" s="15" t="n">
        <v>19.0349</v>
      </c>
      <c r="FC80" s="15" t="n">
        <v>3</v>
      </c>
      <c r="FD80" s="15" t="n">
        <v>21.6113</v>
      </c>
      <c r="FE80" s="15" t="n">
        <v>16.2003</v>
      </c>
      <c r="FF80" s="15" t="n">
        <v>17.0023</v>
      </c>
      <c r="FG80" s="15" t="n">
        <v>24.1484</v>
      </c>
      <c r="FH80" s="15" t="n">
        <v>16.7053</v>
      </c>
      <c r="FI80" s="15" t="n">
        <v>21.6071</v>
      </c>
      <c r="FJ80" s="15" t="n">
        <v>16.456</v>
      </c>
      <c r="FK80" s="15" t="n">
        <v>19.5486</v>
      </c>
      <c r="FL80" s="15" t="n">
        <v>17.5174</v>
      </c>
      <c r="FM80" s="15" t="n">
        <v>14.9556</v>
      </c>
      <c r="FN80" s="15" t="n">
        <v>16.22</v>
      </c>
      <c r="FO80" s="15" t="n">
        <v>16.5828</v>
      </c>
      <c r="FP80" s="15" t="n">
        <v>20.17</v>
      </c>
      <c r="FQ80" s="15" t="n">
        <v>19.1822</v>
      </c>
      <c r="FR80" s="15" t="n">
        <v>19.0349</v>
      </c>
      <c r="FY80" s="15" t="n">
        <v>3</v>
      </c>
      <c r="FZ80" s="15" t="n">
        <v>21.6113</v>
      </c>
      <c r="GA80" s="15" t="n">
        <v>16.2003</v>
      </c>
      <c r="GB80" s="15" t="n">
        <v>17.0023</v>
      </c>
      <c r="GC80" s="15" t="n">
        <v>24.1484</v>
      </c>
      <c r="GD80" s="15" t="n">
        <v>16.7053</v>
      </c>
      <c r="GE80" s="15" t="n">
        <v>21.6071</v>
      </c>
      <c r="GF80" s="15" t="n">
        <v>16.456</v>
      </c>
      <c r="GG80" s="15" t="n">
        <v>19.5486</v>
      </c>
      <c r="GH80" s="15" t="n">
        <v>17.5174</v>
      </c>
      <c r="GI80" s="15" t="n">
        <v>14.9556</v>
      </c>
      <c r="GJ80" s="15" t="n">
        <v>16.22</v>
      </c>
      <c r="GK80" s="15" t="n">
        <v>16.5828</v>
      </c>
      <c r="GL80" s="15" t="n">
        <v>20.17</v>
      </c>
      <c r="GM80" s="15" t="n">
        <v>19.1822</v>
      </c>
      <c r="GN80" s="15" t="n">
        <v>19.0349</v>
      </c>
      <c r="GU80" s="15" t="n">
        <v>3</v>
      </c>
      <c r="GV80" s="15" t="n">
        <v>21.6113</v>
      </c>
      <c r="GW80" s="15" t="n">
        <v>16.2003</v>
      </c>
      <c r="GX80" s="15" t="n">
        <v>17.0023</v>
      </c>
      <c r="GY80" s="15" t="n">
        <v>24.1484</v>
      </c>
      <c r="GZ80" s="15" t="n">
        <v>16.7053</v>
      </c>
      <c r="HA80" s="15" t="n">
        <v>21.6071</v>
      </c>
      <c r="HB80" s="15" t="n">
        <v>16.456</v>
      </c>
      <c r="HC80" s="15" t="n">
        <v>19.5486</v>
      </c>
      <c r="HD80" s="15" t="n">
        <v>17.5174</v>
      </c>
      <c r="HE80" s="15" t="n">
        <v>14.9556</v>
      </c>
      <c r="HF80" s="15" t="n">
        <v>16.22</v>
      </c>
      <c r="HG80" s="15" t="n">
        <v>16.5828</v>
      </c>
      <c r="HH80" s="15" t="n">
        <v>20.17</v>
      </c>
      <c r="HI80" s="15" t="n">
        <v>19.1822</v>
      </c>
      <c r="HJ80" s="15" t="n">
        <v>19.0349</v>
      </c>
    </row>
    <row r="82">
      <c r="C82" s="15" t="inlineStr">
        <is>
          <t>LB</t>
        </is>
      </c>
      <c r="D82" s="15" t="n">
        <v>1</v>
      </c>
      <c r="E82" s="15" t="n">
        <v>2</v>
      </c>
      <c r="F82" s="15" t="n">
        <v>3</v>
      </c>
      <c r="G82" s="15" t="n">
        <v>4</v>
      </c>
      <c r="H82" s="15" t="n">
        <v>5</v>
      </c>
      <c r="I82" s="15" t="n">
        <v>6</v>
      </c>
      <c r="J82" s="15" t="n">
        <v>7</v>
      </c>
      <c r="K82" s="15" t="n">
        <v>8</v>
      </c>
      <c r="L82" s="15" t="n">
        <v>9</v>
      </c>
      <c r="M82" s="15" t="n">
        <v>10</v>
      </c>
      <c r="N82" s="15" t="n">
        <v>11</v>
      </c>
      <c r="O82" s="15" t="n">
        <v>12</v>
      </c>
      <c r="P82" s="15" t="n">
        <v>13</v>
      </c>
      <c r="Q82" s="15" t="n">
        <v>14</v>
      </c>
      <c r="R82" s="15" t="n">
        <v>15</v>
      </c>
      <c r="AA82" s="15" t="inlineStr">
        <is>
          <t>LB</t>
        </is>
      </c>
      <c r="AB82" s="15" t="n">
        <v>1</v>
      </c>
      <c r="AC82" s="15" t="n">
        <v>2</v>
      </c>
      <c r="AD82" s="15" t="n">
        <v>3</v>
      </c>
      <c r="AE82" s="15" t="n">
        <v>4</v>
      </c>
      <c r="AF82" s="15" t="n">
        <v>5</v>
      </c>
      <c r="AG82" s="15" t="n">
        <v>6</v>
      </c>
      <c r="AH82" s="15" t="n">
        <v>7</v>
      </c>
      <c r="AI82" s="15" t="n">
        <v>8</v>
      </c>
      <c r="AJ82" s="15" t="n">
        <v>9</v>
      </c>
      <c r="AK82" s="15" t="n">
        <v>10</v>
      </c>
      <c r="AL82" s="15" t="n">
        <v>11</v>
      </c>
      <c r="AM82" s="15" t="n">
        <v>12</v>
      </c>
      <c r="AN82" s="15" t="n">
        <v>13</v>
      </c>
      <c r="AO82" s="15" t="n">
        <v>14</v>
      </c>
      <c r="AP82" s="15" t="n">
        <v>15</v>
      </c>
      <c r="AW82" s="15" t="inlineStr">
        <is>
          <t>LB</t>
        </is>
      </c>
      <c r="AX82" s="15" t="n">
        <v>1</v>
      </c>
      <c r="AY82" s="15" t="n">
        <v>2</v>
      </c>
      <c r="AZ82" s="15" t="n">
        <v>3</v>
      </c>
      <c r="BA82" s="15" t="n">
        <v>4</v>
      </c>
      <c r="BB82" s="15" t="n">
        <v>5</v>
      </c>
      <c r="BC82" s="15" t="n">
        <v>6</v>
      </c>
      <c r="BD82" s="15" t="n">
        <v>7</v>
      </c>
      <c r="BE82" s="15" t="n">
        <v>8</v>
      </c>
      <c r="BF82" s="15" t="n">
        <v>9</v>
      </c>
      <c r="BG82" s="15" t="n">
        <v>10</v>
      </c>
      <c r="BH82" s="15" t="n">
        <v>11</v>
      </c>
      <c r="BI82" s="15" t="n">
        <v>12</v>
      </c>
      <c r="BJ82" s="15" t="n">
        <v>13</v>
      </c>
      <c r="BK82" s="15" t="n">
        <v>14</v>
      </c>
      <c r="BL82" s="15" t="n">
        <v>15</v>
      </c>
      <c r="BS82" s="15" t="inlineStr">
        <is>
          <t>LB</t>
        </is>
      </c>
      <c r="BT82" s="15" t="n">
        <v>1</v>
      </c>
      <c r="BU82" s="15" t="n">
        <v>2</v>
      </c>
      <c r="BV82" s="15" t="n">
        <v>3</v>
      </c>
      <c r="BW82" s="15" t="n">
        <v>4</v>
      </c>
      <c r="BX82" s="15" t="n">
        <v>5</v>
      </c>
      <c r="BY82" s="15" t="n">
        <v>6</v>
      </c>
      <c r="BZ82" s="15" t="n">
        <v>7</v>
      </c>
      <c r="CA82" s="15" t="n">
        <v>8</v>
      </c>
      <c r="CB82" s="15" t="n">
        <v>9</v>
      </c>
      <c r="CC82" s="15" t="n">
        <v>10</v>
      </c>
      <c r="CD82" s="15" t="n">
        <v>11</v>
      </c>
      <c r="CE82" s="15" t="n">
        <v>12</v>
      </c>
      <c r="CF82" s="15" t="n">
        <v>13</v>
      </c>
      <c r="CG82" s="15" t="n">
        <v>14</v>
      </c>
      <c r="CH82" s="15" t="n">
        <v>15</v>
      </c>
      <c r="CO82" s="15" t="inlineStr">
        <is>
          <t>LB</t>
        </is>
      </c>
      <c r="CP82" s="15" t="n">
        <v>1</v>
      </c>
      <c r="CQ82" s="15" t="n">
        <v>2</v>
      </c>
      <c r="CR82" s="15" t="n">
        <v>3</v>
      </c>
      <c r="CS82" s="15" t="n">
        <v>4</v>
      </c>
      <c r="CT82" s="15" t="n">
        <v>5</v>
      </c>
      <c r="CU82" s="15" t="n">
        <v>6</v>
      </c>
      <c r="CV82" s="15" t="n">
        <v>7</v>
      </c>
      <c r="CW82" s="15" t="n">
        <v>8</v>
      </c>
      <c r="CX82" s="15" t="n">
        <v>9</v>
      </c>
      <c r="CY82" s="15" t="n">
        <v>10</v>
      </c>
      <c r="CZ82" s="15" t="n">
        <v>11</v>
      </c>
      <c r="DA82" s="15" t="n">
        <v>12</v>
      </c>
      <c r="DB82" s="15" t="n">
        <v>13</v>
      </c>
      <c r="DC82" s="15" t="n">
        <v>14</v>
      </c>
      <c r="DD82" s="15" t="n">
        <v>15</v>
      </c>
      <c r="DK82" s="15" t="inlineStr">
        <is>
          <t>LB</t>
        </is>
      </c>
      <c r="DL82" s="15" t="n">
        <v>1</v>
      </c>
      <c r="DM82" s="15" t="n">
        <v>2</v>
      </c>
      <c r="DN82" s="15" t="n">
        <v>3</v>
      </c>
      <c r="DO82" s="15" t="n">
        <v>4</v>
      </c>
      <c r="DP82" s="15" t="n">
        <v>5</v>
      </c>
      <c r="DQ82" s="15" t="n">
        <v>6</v>
      </c>
      <c r="DR82" s="15" t="n">
        <v>7</v>
      </c>
      <c r="DS82" s="15" t="n">
        <v>8</v>
      </c>
      <c r="DT82" s="15" t="n">
        <v>9</v>
      </c>
      <c r="DU82" s="15" t="n">
        <v>10</v>
      </c>
      <c r="DV82" s="15" t="n">
        <v>11</v>
      </c>
      <c r="DW82" s="15" t="n">
        <v>12</v>
      </c>
      <c r="DX82" s="15" t="n">
        <v>13</v>
      </c>
      <c r="DY82" s="15" t="n">
        <v>14</v>
      </c>
      <c r="DZ82" s="15" t="n">
        <v>15</v>
      </c>
      <c r="EG82" s="15" t="inlineStr">
        <is>
          <t>LB</t>
        </is>
      </c>
      <c r="EH82" s="15" t="n">
        <v>1</v>
      </c>
      <c r="EI82" s="15" t="n">
        <v>2</v>
      </c>
      <c r="EJ82" s="15" t="n">
        <v>3</v>
      </c>
      <c r="EK82" s="15" t="n">
        <v>4</v>
      </c>
      <c r="EL82" s="15" t="n">
        <v>5</v>
      </c>
      <c r="EM82" s="15" t="n">
        <v>6</v>
      </c>
      <c r="EN82" s="15" t="n">
        <v>7</v>
      </c>
      <c r="EO82" s="15" t="n">
        <v>8</v>
      </c>
      <c r="EP82" s="15" t="n">
        <v>9</v>
      </c>
      <c r="EQ82" s="15" t="n">
        <v>10</v>
      </c>
      <c r="ER82" s="15" t="n">
        <v>11</v>
      </c>
      <c r="ES82" s="15" t="n">
        <v>12</v>
      </c>
      <c r="ET82" s="15" t="n">
        <v>13</v>
      </c>
      <c r="EU82" s="15" t="n">
        <v>14</v>
      </c>
      <c r="EV82" s="15" t="n">
        <v>15</v>
      </c>
      <c r="FC82" s="15" t="inlineStr">
        <is>
          <t>LB</t>
        </is>
      </c>
      <c r="FD82" s="15" t="n">
        <v>1</v>
      </c>
      <c r="FE82" s="15" t="n">
        <v>2</v>
      </c>
      <c r="FF82" s="15" t="n">
        <v>3</v>
      </c>
      <c r="FG82" s="15" t="n">
        <v>4</v>
      </c>
      <c r="FH82" s="15" t="n">
        <v>5</v>
      </c>
      <c r="FI82" s="15" t="n">
        <v>6</v>
      </c>
      <c r="FJ82" s="15" t="n">
        <v>7</v>
      </c>
      <c r="FK82" s="15" t="n">
        <v>8</v>
      </c>
      <c r="FL82" s="15" t="n">
        <v>9</v>
      </c>
      <c r="FM82" s="15" t="n">
        <v>10</v>
      </c>
      <c r="FN82" s="15" t="n">
        <v>11</v>
      </c>
      <c r="FO82" s="15" t="n">
        <v>12</v>
      </c>
      <c r="FP82" s="15" t="n">
        <v>13</v>
      </c>
      <c r="FQ82" s="15" t="n">
        <v>14</v>
      </c>
      <c r="FR82" s="15" t="n">
        <v>15</v>
      </c>
      <c r="FY82" s="15" t="inlineStr">
        <is>
          <t>LB</t>
        </is>
      </c>
      <c r="FZ82" s="15" t="n">
        <v>1</v>
      </c>
      <c r="GA82" s="15" t="n">
        <v>2</v>
      </c>
      <c r="GB82" s="15" t="n">
        <v>3</v>
      </c>
      <c r="GC82" s="15" t="n">
        <v>4</v>
      </c>
      <c r="GD82" s="15" t="n">
        <v>5</v>
      </c>
      <c r="GE82" s="15" t="n">
        <v>6</v>
      </c>
      <c r="GF82" s="15" t="n">
        <v>7</v>
      </c>
      <c r="GG82" s="15" t="n">
        <v>8</v>
      </c>
      <c r="GH82" s="15" t="n">
        <v>9</v>
      </c>
      <c r="GI82" s="15" t="n">
        <v>10</v>
      </c>
      <c r="GJ82" s="15" t="n">
        <v>11</v>
      </c>
      <c r="GK82" s="15" t="n">
        <v>12</v>
      </c>
      <c r="GL82" s="15" t="n">
        <v>13</v>
      </c>
      <c r="GM82" s="15" t="n">
        <v>14</v>
      </c>
      <c r="GN82" s="15" t="n">
        <v>15</v>
      </c>
      <c r="GU82" s="15" t="inlineStr">
        <is>
          <t>LB</t>
        </is>
      </c>
      <c r="GV82" s="15" t="n">
        <v>1</v>
      </c>
      <c r="GW82" s="15" t="n">
        <v>2</v>
      </c>
      <c r="GX82" s="15" t="n">
        <v>3</v>
      </c>
      <c r="GY82" s="15" t="n">
        <v>4</v>
      </c>
      <c r="GZ82" s="15" t="n">
        <v>5</v>
      </c>
      <c r="HA82" s="15" t="n">
        <v>6</v>
      </c>
      <c r="HB82" s="15" t="n">
        <v>7</v>
      </c>
      <c r="HC82" s="15" t="n">
        <v>8</v>
      </c>
      <c r="HD82" s="15" t="n">
        <v>9</v>
      </c>
      <c r="HE82" s="15" t="n">
        <v>10</v>
      </c>
      <c r="HF82" s="15" t="n">
        <v>11</v>
      </c>
      <c r="HG82" s="15" t="n">
        <v>12</v>
      </c>
      <c r="HH82" s="15" t="n">
        <v>13</v>
      </c>
      <c r="HI82" s="15" t="n">
        <v>14</v>
      </c>
      <c r="HJ82" s="15" t="n">
        <v>15</v>
      </c>
    </row>
    <row r="83">
      <c r="C83" s="15" t="n">
        <v>1</v>
      </c>
      <c r="D83" s="85">
        <f>Matlab_Data!D45</f>
        <v/>
      </c>
      <c r="E83" s="85">
        <f>Matlab_Data!E45</f>
        <v/>
      </c>
      <c r="F83" s="85">
        <f>Matlab_Data!F45</f>
        <v/>
      </c>
      <c r="G83" s="85">
        <f>Matlab_Data!G45</f>
        <v/>
      </c>
      <c r="H83" s="85">
        <f>Matlab_Data!H45</f>
        <v/>
      </c>
      <c r="I83" s="85">
        <f>Matlab_Data!I45</f>
        <v/>
      </c>
      <c r="J83" s="85">
        <f>Matlab_Data!J45</f>
        <v/>
      </c>
      <c r="K83" s="85">
        <f>Matlab_Data!K45</f>
        <v/>
      </c>
      <c r="L83" s="85">
        <f>Matlab_Data!L45</f>
        <v/>
      </c>
      <c r="M83" s="85">
        <f>Matlab_Data!M45</f>
        <v/>
      </c>
      <c r="N83" s="85">
        <f>Matlab_Data!N45</f>
        <v/>
      </c>
      <c r="O83" s="85">
        <f>Matlab_Data!O45</f>
        <v/>
      </c>
      <c r="P83" s="85">
        <f>Matlab_Data!P45</f>
        <v/>
      </c>
      <c r="Q83" s="85">
        <f>Matlab_Data!Q45</f>
        <v/>
      </c>
      <c r="R83" s="85">
        <f>Matlab_Data!R45</f>
        <v/>
      </c>
      <c r="T83" s="39">
        <f>SUM(D83:R85)</f>
        <v/>
      </c>
      <c r="U83" s="39" t="n">
        <v>288731.2738190001</v>
      </c>
      <c r="V83" s="39">
        <f>T83-U83</f>
        <v/>
      </c>
      <c r="W83" s="39" t="n"/>
      <c r="X83" s="39" t="n"/>
      <c r="Y83" s="85" t="n"/>
      <c r="Z83" s="85" t="n"/>
      <c r="AA83" s="85" t="n">
        <v>1</v>
      </c>
      <c r="AB83" s="85" t="n">
        <v>0</v>
      </c>
      <c r="AC83" s="85" t="n">
        <v>0</v>
      </c>
      <c r="AD83" s="85" t="n">
        <v>0</v>
      </c>
      <c r="AE83" s="85" t="n">
        <v>0</v>
      </c>
      <c r="AF83" s="85" t="n">
        <v>15818.30225</v>
      </c>
      <c r="AG83" s="85" t="n">
        <v>6132.009322</v>
      </c>
      <c r="AH83" s="85" t="n">
        <v>0</v>
      </c>
      <c r="AI83" s="85" t="n">
        <v>13708.84898</v>
      </c>
      <c r="AJ83" s="85" t="n">
        <v>9372.339625000001</v>
      </c>
      <c r="AK83" s="85" t="n">
        <v>0</v>
      </c>
      <c r="AL83" s="85" t="n">
        <v>14327.464641</v>
      </c>
      <c r="AM83" s="85" t="n">
        <v>0</v>
      </c>
      <c r="AN83" s="15" t="n">
        <v>6918.396918</v>
      </c>
      <c r="AO83" s="15" t="n">
        <v>5897.562664</v>
      </c>
      <c r="AP83" s="15" t="n">
        <v>21002.389586</v>
      </c>
      <c r="AW83" s="15" t="n">
        <v>1</v>
      </c>
      <c r="AX83" s="15" t="n">
        <v>0</v>
      </c>
      <c r="AY83" s="15" t="n">
        <v>0</v>
      </c>
      <c r="AZ83" s="15" t="n">
        <v>0</v>
      </c>
      <c r="BA83" s="15" t="n">
        <v>0</v>
      </c>
      <c r="BB83" s="15" t="n">
        <v>15818.30225</v>
      </c>
      <c r="BC83" s="15" t="n">
        <v>6132.009322</v>
      </c>
      <c r="BD83" s="15" t="n">
        <v>0</v>
      </c>
      <c r="BE83" s="15" t="n">
        <v>13708.84898</v>
      </c>
      <c r="BF83" s="15" t="n">
        <v>9372.339625000001</v>
      </c>
      <c r="BG83" s="15" t="n">
        <v>0</v>
      </c>
      <c r="BH83" s="15" t="n">
        <v>14327.464641</v>
      </c>
      <c r="BI83" s="15" t="n">
        <v>0</v>
      </c>
      <c r="BJ83" s="15" t="n">
        <v>6918.396918</v>
      </c>
      <c r="BK83" s="15" t="n">
        <v>5897.562664</v>
      </c>
      <c r="BL83" s="15" t="n">
        <v>21002.389586</v>
      </c>
      <c r="BS83" s="15" t="n">
        <v>1</v>
      </c>
      <c r="BT83" s="15" t="n">
        <v>0</v>
      </c>
      <c r="BU83" s="15" t="n">
        <v>0</v>
      </c>
      <c r="BV83" s="15" t="n">
        <v>0</v>
      </c>
      <c r="BW83" s="15" t="n">
        <v>0</v>
      </c>
      <c r="BX83" s="15" t="n">
        <v>15818.30225</v>
      </c>
      <c r="BY83" s="15" t="n">
        <v>6132.009322</v>
      </c>
      <c r="BZ83" s="15" t="n">
        <v>0</v>
      </c>
      <c r="CA83" s="15" t="n">
        <v>13708.84898</v>
      </c>
      <c r="CB83" s="15" t="n">
        <v>9372.339625000001</v>
      </c>
      <c r="CC83" s="15" t="n">
        <v>0</v>
      </c>
      <c r="CD83" s="15" t="n">
        <v>14327.464641</v>
      </c>
      <c r="CE83" s="15" t="n">
        <v>0</v>
      </c>
      <c r="CF83" s="15" t="n">
        <v>6918.396918</v>
      </c>
      <c r="CG83" s="15" t="n">
        <v>5897.562664</v>
      </c>
      <c r="CH83" s="15" t="n">
        <v>21002.389586</v>
      </c>
      <c r="CO83" s="15" t="n">
        <v>1</v>
      </c>
      <c r="CP83" s="15" t="n">
        <v>0</v>
      </c>
      <c r="CQ83" s="15" t="n">
        <v>0</v>
      </c>
      <c r="CR83" s="15" t="n">
        <v>0</v>
      </c>
      <c r="CS83" s="15" t="n">
        <v>0</v>
      </c>
      <c r="CT83" s="15" t="n">
        <v>15818.30225</v>
      </c>
      <c r="CU83" s="15" t="n">
        <v>6132.009322</v>
      </c>
      <c r="CV83" s="15" t="n">
        <v>0</v>
      </c>
      <c r="CW83" s="15" t="n">
        <v>13708.84898</v>
      </c>
      <c r="CX83" s="15" t="n">
        <v>9372.339625000001</v>
      </c>
      <c r="CY83" s="15" t="n">
        <v>0</v>
      </c>
      <c r="CZ83" s="15" t="n">
        <v>14327.464641</v>
      </c>
      <c r="DA83" s="15" t="n">
        <v>0</v>
      </c>
      <c r="DB83" s="15" t="n">
        <v>6918.396918</v>
      </c>
      <c r="DC83" s="15" t="n">
        <v>5897.562664</v>
      </c>
      <c r="DD83" s="15" t="n">
        <v>21002.389586</v>
      </c>
      <c r="DK83" s="15" t="n">
        <v>1</v>
      </c>
      <c r="DL83" s="15" t="n">
        <v>0</v>
      </c>
      <c r="DM83" s="15" t="n">
        <v>0</v>
      </c>
      <c r="DN83" s="15" t="n">
        <v>0</v>
      </c>
      <c r="DO83" s="15" t="n">
        <v>0</v>
      </c>
      <c r="DP83" s="15" t="n">
        <v>15818.30225</v>
      </c>
      <c r="DQ83" s="15" t="n">
        <v>6132.009322</v>
      </c>
      <c r="DR83" s="15" t="n">
        <v>0</v>
      </c>
      <c r="DS83" s="15" t="n">
        <v>13708.84898</v>
      </c>
      <c r="DT83" s="15" t="n">
        <v>9372.339625000001</v>
      </c>
      <c r="DU83" s="15" t="n">
        <v>0</v>
      </c>
      <c r="DV83" s="15" t="n">
        <v>14327.464641</v>
      </c>
      <c r="DW83" s="15" t="n">
        <v>0</v>
      </c>
      <c r="DX83" s="15" t="n">
        <v>6918.396918</v>
      </c>
      <c r="DY83" s="15" t="n">
        <v>5897.562664</v>
      </c>
      <c r="DZ83" s="15" t="n">
        <v>21002.389586</v>
      </c>
      <c r="EG83" s="15" t="n">
        <v>1</v>
      </c>
      <c r="EH83" s="15" t="n">
        <v>0</v>
      </c>
      <c r="EI83" s="15" t="n">
        <v>0</v>
      </c>
      <c r="EJ83" s="15" t="n">
        <v>0</v>
      </c>
      <c r="EK83" s="15" t="n">
        <v>0</v>
      </c>
      <c r="EL83" s="15" t="n">
        <v>15818.30225</v>
      </c>
      <c r="EM83" s="15" t="n">
        <v>6132.009322</v>
      </c>
      <c r="EN83" s="15" t="n">
        <v>0</v>
      </c>
      <c r="EO83" s="15" t="n">
        <v>13708.84898</v>
      </c>
      <c r="EP83" s="15" t="n">
        <v>9372.339625000001</v>
      </c>
      <c r="EQ83" s="15" t="n">
        <v>0</v>
      </c>
      <c r="ER83" s="15" t="n">
        <v>14327.464641</v>
      </c>
      <c r="ES83" s="15" t="n">
        <v>0</v>
      </c>
      <c r="ET83" s="15" t="n">
        <v>6918.396918</v>
      </c>
      <c r="EU83" s="15" t="n">
        <v>5897.562664</v>
      </c>
      <c r="EV83" s="15" t="n">
        <v>21002.389586</v>
      </c>
      <c r="FC83" s="15" t="n">
        <v>1</v>
      </c>
      <c r="FD83" s="15" t="n">
        <v>0</v>
      </c>
      <c r="FE83" s="15" t="n">
        <v>0</v>
      </c>
      <c r="FF83" s="15" t="n">
        <v>0</v>
      </c>
      <c r="FG83" s="15" t="n">
        <v>0</v>
      </c>
      <c r="FH83" s="15" t="n">
        <v>15818.30225</v>
      </c>
      <c r="FI83" s="15" t="n">
        <v>6132.009322</v>
      </c>
      <c r="FJ83" s="15" t="n">
        <v>0</v>
      </c>
      <c r="FK83" s="15" t="n">
        <v>13708.84898</v>
      </c>
      <c r="FL83" s="15" t="n">
        <v>9372.339625000001</v>
      </c>
      <c r="FM83" s="15" t="n">
        <v>0</v>
      </c>
      <c r="FN83" s="15" t="n">
        <v>14327.464641</v>
      </c>
      <c r="FO83" s="15" t="n">
        <v>0</v>
      </c>
      <c r="FP83" s="15" t="n">
        <v>6918.396918</v>
      </c>
      <c r="FQ83" s="15" t="n">
        <v>5897.562664</v>
      </c>
      <c r="FR83" s="15" t="n">
        <v>21002.389586</v>
      </c>
      <c r="FY83" s="15" t="n">
        <v>1</v>
      </c>
      <c r="FZ83" s="15" t="n">
        <v>0</v>
      </c>
      <c r="GA83" s="15" t="n">
        <v>0</v>
      </c>
      <c r="GB83" s="15" t="n">
        <v>0</v>
      </c>
      <c r="GC83" s="15" t="n">
        <v>0</v>
      </c>
      <c r="GD83" s="15" t="n">
        <v>15818.30225</v>
      </c>
      <c r="GE83" s="15" t="n">
        <v>6132.009322</v>
      </c>
      <c r="GF83" s="15" t="n">
        <v>0</v>
      </c>
      <c r="GG83" s="15" t="n">
        <v>13708.84898</v>
      </c>
      <c r="GH83" s="15" t="n">
        <v>9372.339625000001</v>
      </c>
      <c r="GI83" s="15" t="n">
        <v>0</v>
      </c>
      <c r="GJ83" s="15" t="n">
        <v>14327.464641</v>
      </c>
      <c r="GK83" s="15" t="n">
        <v>0</v>
      </c>
      <c r="GL83" s="15" t="n">
        <v>6918.396918</v>
      </c>
      <c r="GM83" s="15" t="n">
        <v>5897.562664</v>
      </c>
      <c r="GN83" s="15" t="n">
        <v>21002.389586</v>
      </c>
      <c r="GU83" s="15" t="n">
        <v>1</v>
      </c>
      <c r="GV83" s="15" t="n">
        <v>0</v>
      </c>
      <c r="GW83" s="15" t="n">
        <v>0</v>
      </c>
      <c r="GX83" s="15" t="n">
        <v>0</v>
      </c>
      <c r="GY83" s="15" t="n">
        <v>0</v>
      </c>
      <c r="GZ83" s="15" t="n">
        <v>15818.30225</v>
      </c>
      <c r="HA83" s="15" t="n">
        <v>6132.009322</v>
      </c>
      <c r="HB83" s="15" t="n">
        <v>0</v>
      </c>
      <c r="HC83" s="15" t="n">
        <v>13708.84898</v>
      </c>
      <c r="HD83" s="15" t="n">
        <v>9372.339625000001</v>
      </c>
      <c r="HE83" s="15" t="n">
        <v>0</v>
      </c>
      <c r="HF83" s="15" t="n">
        <v>14327.464641</v>
      </c>
      <c r="HG83" s="15" t="n">
        <v>0</v>
      </c>
      <c r="HH83" s="15" t="n">
        <v>6918.396918</v>
      </c>
      <c r="HI83" s="15" t="n">
        <v>5897.562664</v>
      </c>
      <c r="HJ83" s="15" t="n">
        <v>21002.389586</v>
      </c>
    </row>
    <row r="84">
      <c r="C84" s="15" t="n">
        <v>2</v>
      </c>
      <c r="D84" s="85">
        <f>Matlab_Data!D46</f>
        <v/>
      </c>
      <c r="E84" s="85">
        <f>Matlab_Data!E46</f>
        <v/>
      </c>
      <c r="F84" s="85">
        <f>Matlab_Data!F46</f>
        <v/>
      </c>
      <c r="G84" s="85">
        <f>Matlab_Data!G46</f>
        <v/>
      </c>
      <c r="H84" s="85">
        <f>Matlab_Data!H46</f>
        <v/>
      </c>
      <c r="I84" s="85">
        <f>Matlab_Data!I46</f>
        <v/>
      </c>
      <c r="J84" s="85">
        <f>Matlab_Data!J46</f>
        <v/>
      </c>
      <c r="K84" s="85">
        <f>Matlab_Data!K46</f>
        <v/>
      </c>
      <c r="L84" s="85">
        <f>Matlab_Data!L46</f>
        <v/>
      </c>
      <c r="M84" s="85">
        <f>Matlab_Data!M46</f>
        <v/>
      </c>
      <c r="N84" s="85">
        <f>Matlab_Data!N46</f>
        <v/>
      </c>
      <c r="O84" s="85">
        <f>Matlab_Data!O46</f>
        <v/>
      </c>
      <c r="P84" s="85">
        <f>Matlab_Data!P46</f>
        <v/>
      </c>
      <c r="Q84" s="85">
        <f>Matlab_Data!Q46</f>
        <v/>
      </c>
      <c r="R84" s="85">
        <f>Matlab_Data!R46</f>
        <v/>
      </c>
      <c r="Y84" s="85" t="n"/>
      <c r="Z84" s="85" t="n"/>
      <c r="AA84" s="85" t="n">
        <v>2</v>
      </c>
      <c r="AB84" s="85" t="n">
        <v>8074.181162</v>
      </c>
      <c r="AC84" s="85" t="n">
        <v>8186.446299</v>
      </c>
      <c r="AD84" s="85" t="n">
        <v>0</v>
      </c>
      <c r="AE84" s="85" t="n">
        <v>0</v>
      </c>
      <c r="AF84" s="85" t="n">
        <v>9834.263471</v>
      </c>
      <c r="AG84" s="85" t="n">
        <v>14601.56764</v>
      </c>
      <c r="AH84" s="85" t="n">
        <v>6563.431588</v>
      </c>
      <c r="AI84" s="85" t="n">
        <v>0</v>
      </c>
      <c r="AJ84" s="85" t="n">
        <v>0</v>
      </c>
      <c r="AK84" s="85" t="n">
        <v>5627.912588</v>
      </c>
      <c r="AL84" s="85" t="n">
        <v>0</v>
      </c>
      <c r="AM84" s="85" t="n">
        <v>12387.655605</v>
      </c>
      <c r="AN84" s="15" t="n">
        <v>10079.393149</v>
      </c>
      <c r="AO84" s="15" t="n">
        <v>19670.322975</v>
      </c>
      <c r="AP84" s="15" t="n">
        <v>12770.937933</v>
      </c>
      <c r="AW84" s="15" t="n">
        <v>2</v>
      </c>
      <c r="AX84" s="15" t="n">
        <v>8074.181162</v>
      </c>
      <c r="AY84" s="15" t="n">
        <v>8186.446299</v>
      </c>
      <c r="AZ84" s="15" t="n">
        <v>0</v>
      </c>
      <c r="BA84" s="15" t="n">
        <v>0</v>
      </c>
      <c r="BB84" s="15" t="n">
        <v>9834.263471</v>
      </c>
      <c r="BC84" s="15" t="n">
        <v>14601.56764</v>
      </c>
      <c r="BD84" s="15" t="n">
        <v>6563.431588</v>
      </c>
      <c r="BE84" s="15" t="n">
        <v>0</v>
      </c>
      <c r="BF84" s="15" t="n">
        <v>0</v>
      </c>
      <c r="BG84" s="15" t="n">
        <v>5627.912588</v>
      </c>
      <c r="BH84" s="15" t="n">
        <v>0</v>
      </c>
      <c r="BI84" s="15" t="n">
        <v>12387.655605</v>
      </c>
      <c r="BJ84" s="15" t="n">
        <v>10079.393149</v>
      </c>
      <c r="BK84" s="15" t="n">
        <v>19670.322975</v>
      </c>
      <c r="BL84" s="15" t="n">
        <v>12770.937933</v>
      </c>
      <c r="BS84" s="15" t="n">
        <v>2</v>
      </c>
      <c r="BT84" s="15" t="n">
        <v>8074.181162</v>
      </c>
      <c r="BU84" s="15" t="n">
        <v>8186.446299</v>
      </c>
      <c r="BV84" s="15" t="n">
        <v>0</v>
      </c>
      <c r="BW84" s="15" t="n">
        <v>0</v>
      </c>
      <c r="BX84" s="15" t="n">
        <v>9834.263471</v>
      </c>
      <c r="BY84" s="15" t="n">
        <v>14601.56764</v>
      </c>
      <c r="BZ84" s="15" t="n">
        <v>6563.431588</v>
      </c>
      <c r="CA84" s="15" t="n">
        <v>0</v>
      </c>
      <c r="CB84" s="15" t="n">
        <v>0</v>
      </c>
      <c r="CC84" s="15" t="n">
        <v>5627.912588</v>
      </c>
      <c r="CD84" s="15" t="n">
        <v>0</v>
      </c>
      <c r="CE84" s="15" t="n">
        <v>12387.655605</v>
      </c>
      <c r="CF84" s="15" t="n">
        <v>10079.393149</v>
      </c>
      <c r="CG84" s="15" t="n">
        <v>19670.322975</v>
      </c>
      <c r="CH84" s="15" t="n">
        <v>12770.937933</v>
      </c>
      <c r="CO84" s="15" t="n">
        <v>2</v>
      </c>
      <c r="CP84" s="15" t="n">
        <v>8074.181162</v>
      </c>
      <c r="CQ84" s="15" t="n">
        <v>8186.446299</v>
      </c>
      <c r="CR84" s="15" t="n">
        <v>0</v>
      </c>
      <c r="CS84" s="15" t="n">
        <v>0</v>
      </c>
      <c r="CT84" s="15" t="n">
        <v>9834.263471</v>
      </c>
      <c r="CU84" s="15" t="n">
        <v>14601.56764</v>
      </c>
      <c r="CV84" s="15" t="n">
        <v>6563.431588</v>
      </c>
      <c r="CW84" s="15" t="n">
        <v>0</v>
      </c>
      <c r="CX84" s="15" t="n">
        <v>0</v>
      </c>
      <c r="CY84" s="15" t="n">
        <v>5627.912588</v>
      </c>
      <c r="CZ84" s="15" t="n">
        <v>0</v>
      </c>
      <c r="DA84" s="15" t="n">
        <v>12387.655605</v>
      </c>
      <c r="DB84" s="15" t="n">
        <v>10079.393149</v>
      </c>
      <c r="DC84" s="15" t="n">
        <v>19670.322975</v>
      </c>
      <c r="DD84" s="15" t="n">
        <v>12770.937933</v>
      </c>
      <c r="DK84" s="15" t="n">
        <v>2</v>
      </c>
      <c r="DL84" s="15" t="n">
        <v>8074.181162</v>
      </c>
      <c r="DM84" s="15" t="n">
        <v>8186.446299</v>
      </c>
      <c r="DN84" s="15" t="n">
        <v>0</v>
      </c>
      <c r="DO84" s="15" t="n">
        <v>0</v>
      </c>
      <c r="DP84" s="15" t="n">
        <v>9834.263471</v>
      </c>
      <c r="DQ84" s="15" t="n">
        <v>14601.56764</v>
      </c>
      <c r="DR84" s="15" t="n">
        <v>6563.431588</v>
      </c>
      <c r="DS84" s="15" t="n">
        <v>0</v>
      </c>
      <c r="DT84" s="15" t="n">
        <v>0</v>
      </c>
      <c r="DU84" s="15" t="n">
        <v>5627.912588</v>
      </c>
      <c r="DV84" s="15" t="n">
        <v>0</v>
      </c>
      <c r="DW84" s="15" t="n">
        <v>12387.655605</v>
      </c>
      <c r="DX84" s="15" t="n">
        <v>10079.393149</v>
      </c>
      <c r="DY84" s="15" t="n">
        <v>19670.322975</v>
      </c>
      <c r="DZ84" s="15" t="n">
        <v>12770.937933</v>
      </c>
      <c r="EG84" s="15" t="n">
        <v>2</v>
      </c>
      <c r="EH84" s="15" t="n">
        <v>8074.181162</v>
      </c>
      <c r="EI84" s="15" t="n">
        <v>8186.446299</v>
      </c>
      <c r="EJ84" s="15" t="n">
        <v>0</v>
      </c>
      <c r="EK84" s="15" t="n">
        <v>0</v>
      </c>
      <c r="EL84" s="15" t="n">
        <v>9834.263471</v>
      </c>
      <c r="EM84" s="15" t="n">
        <v>14601.56764</v>
      </c>
      <c r="EN84" s="15" t="n">
        <v>6563.431588</v>
      </c>
      <c r="EO84" s="15" t="n">
        <v>0</v>
      </c>
      <c r="EP84" s="15" t="n">
        <v>0</v>
      </c>
      <c r="EQ84" s="15" t="n">
        <v>5627.912588</v>
      </c>
      <c r="ER84" s="15" t="n">
        <v>0</v>
      </c>
      <c r="ES84" s="15" t="n">
        <v>12387.655605</v>
      </c>
      <c r="ET84" s="15" t="n">
        <v>10079.393149</v>
      </c>
      <c r="EU84" s="15" t="n">
        <v>19670.322975</v>
      </c>
      <c r="EV84" s="15" t="n">
        <v>12770.937933</v>
      </c>
      <c r="FC84" s="15" t="n">
        <v>2</v>
      </c>
      <c r="FD84" s="15" t="n">
        <v>8074.181162</v>
      </c>
      <c r="FE84" s="15" t="n">
        <v>8186.446299</v>
      </c>
      <c r="FF84" s="15" t="n">
        <v>0</v>
      </c>
      <c r="FG84" s="15" t="n">
        <v>0</v>
      </c>
      <c r="FH84" s="15" t="n">
        <v>9834.263471</v>
      </c>
      <c r="FI84" s="15" t="n">
        <v>14601.56764</v>
      </c>
      <c r="FJ84" s="15" t="n">
        <v>6563.431588</v>
      </c>
      <c r="FK84" s="15" t="n">
        <v>0</v>
      </c>
      <c r="FL84" s="15" t="n">
        <v>0</v>
      </c>
      <c r="FM84" s="15" t="n">
        <v>5627.912588</v>
      </c>
      <c r="FN84" s="15" t="n">
        <v>0</v>
      </c>
      <c r="FO84" s="15" t="n">
        <v>12387.655605</v>
      </c>
      <c r="FP84" s="15" t="n">
        <v>10079.393149</v>
      </c>
      <c r="FQ84" s="15" t="n">
        <v>19670.322975</v>
      </c>
      <c r="FR84" s="15" t="n">
        <v>12770.937933</v>
      </c>
      <c r="FY84" s="15" t="n">
        <v>2</v>
      </c>
      <c r="FZ84" s="15" t="n">
        <v>8074.181162</v>
      </c>
      <c r="GA84" s="15" t="n">
        <v>8186.446299</v>
      </c>
      <c r="GB84" s="15" t="n">
        <v>0</v>
      </c>
      <c r="GC84" s="15" t="n">
        <v>0</v>
      </c>
      <c r="GD84" s="15" t="n">
        <v>9834.263471</v>
      </c>
      <c r="GE84" s="15" t="n">
        <v>14601.56764</v>
      </c>
      <c r="GF84" s="15" t="n">
        <v>6563.431588</v>
      </c>
      <c r="GG84" s="15" t="n">
        <v>0</v>
      </c>
      <c r="GH84" s="15" t="n">
        <v>0</v>
      </c>
      <c r="GI84" s="15" t="n">
        <v>5627.912588</v>
      </c>
      <c r="GJ84" s="15" t="n">
        <v>0</v>
      </c>
      <c r="GK84" s="15" t="n">
        <v>12387.655605</v>
      </c>
      <c r="GL84" s="15" t="n">
        <v>10079.393149</v>
      </c>
      <c r="GM84" s="15" t="n">
        <v>19670.322975</v>
      </c>
      <c r="GN84" s="15" t="n">
        <v>12770.937933</v>
      </c>
      <c r="GU84" s="15" t="n">
        <v>2</v>
      </c>
      <c r="GV84" s="15" t="n">
        <v>8074.181162</v>
      </c>
      <c r="GW84" s="15" t="n">
        <v>8186.446299</v>
      </c>
      <c r="GX84" s="15" t="n">
        <v>0</v>
      </c>
      <c r="GY84" s="15" t="n">
        <v>0</v>
      </c>
      <c r="GZ84" s="15" t="n">
        <v>9834.263471</v>
      </c>
      <c r="HA84" s="15" t="n">
        <v>14601.56764</v>
      </c>
      <c r="HB84" s="15" t="n">
        <v>6563.431588</v>
      </c>
      <c r="HC84" s="15" t="n">
        <v>0</v>
      </c>
      <c r="HD84" s="15" t="n">
        <v>0</v>
      </c>
      <c r="HE84" s="15" t="n">
        <v>5627.912588</v>
      </c>
      <c r="HF84" s="15" t="n">
        <v>0</v>
      </c>
      <c r="HG84" s="15" t="n">
        <v>12387.655605</v>
      </c>
      <c r="HH84" s="15" t="n">
        <v>10079.393149</v>
      </c>
      <c r="HI84" s="15" t="n">
        <v>19670.322975</v>
      </c>
      <c r="HJ84" s="15" t="n">
        <v>12770.937933</v>
      </c>
    </row>
    <row r="85">
      <c r="C85" s="15" t="n">
        <v>3</v>
      </c>
      <c r="D85" s="85">
        <f>Matlab_Data!D47</f>
        <v/>
      </c>
      <c r="E85" s="85">
        <f>Matlab_Data!E47</f>
        <v/>
      </c>
      <c r="F85" s="85">
        <f>Matlab_Data!F47</f>
        <v/>
      </c>
      <c r="G85" s="85">
        <f>Matlab_Data!G47</f>
        <v/>
      </c>
      <c r="H85" s="85">
        <f>Matlab_Data!H47</f>
        <v/>
      </c>
      <c r="I85" s="85">
        <f>Matlab_Data!I47</f>
        <v/>
      </c>
      <c r="J85" s="85">
        <f>Matlab_Data!J47</f>
        <v/>
      </c>
      <c r="K85" s="85">
        <f>Matlab_Data!K47</f>
        <v/>
      </c>
      <c r="L85" s="85">
        <f>Matlab_Data!L47</f>
        <v/>
      </c>
      <c r="M85" s="85">
        <f>Matlab_Data!M47</f>
        <v/>
      </c>
      <c r="N85" s="85">
        <f>Matlab_Data!N47</f>
        <v/>
      </c>
      <c r="O85" s="85">
        <f>Matlab_Data!O47</f>
        <v/>
      </c>
      <c r="P85" s="85">
        <f>Matlab_Data!P47</f>
        <v/>
      </c>
      <c r="Q85" s="85">
        <f>Matlab_Data!Q47</f>
        <v/>
      </c>
      <c r="R85" s="85">
        <f>Matlab_Data!R47</f>
        <v/>
      </c>
      <c r="Y85" s="85" t="n"/>
      <c r="Z85" s="85" t="n"/>
      <c r="AA85" s="85" t="n">
        <v>3</v>
      </c>
      <c r="AB85" s="85" t="n">
        <v>19048.847044</v>
      </c>
      <c r="AC85" s="85" t="n">
        <v>0</v>
      </c>
      <c r="AD85" s="85" t="n">
        <v>0</v>
      </c>
      <c r="AE85" s="85" t="n">
        <v>17725.552026</v>
      </c>
      <c r="AF85" s="85" t="n">
        <v>0</v>
      </c>
      <c r="AG85" s="85" t="n">
        <v>18633.410754</v>
      </c>
      <c r="AH85" s="85" t="n">
        <v>7876.716274</v>
      </c>
      <c r="AI85" s="85" t="n">
        <v>0</v>
      </c>
      <c r="AJ85" s="85" t="n">
        <v>0</v>
      </c>
      <c r="AK85" s="85" t="n">
        <v>0</v>
      </c>
      <c r="AL85" s="85" t="n">
        <v>6106.984279</v>
      </c>
      <c r="AM85" s="85" t="n">
        <v>8295.877818999999</v>
      </c>
      <c r="AN85" s="15" t="n">
        <v>0</v>
      </c>
      <c r="AO85" s="15" t="n">
        <v>0</v>
      </c>
      <c r="AP85" s="15" t="n">
        <v>10070.459227</v>
      </c>
      <c r="AW85" s="15" t="n">
        <v>3</v>
      </c>
      <c r="AX85" s="15" t="n">
        <v>19048.847044</v>
      </c>
      <c r="AY85" s="15" t="n">
        <v>0</v>
      </c>
      <c r="AZ85" s="15" t="n">
        <v>0</v>
      </c>
      <c r="BA85" s="15" t="n">
        <v>17725.552026</v>
      </c>
      <c r="BB85" s="15" t="n">
        <v>0</v>
      </c>
      <c r="BC85" s="15" t="n">
        <v>18633.410754</v>
      </c>
      <c r="BD85" s="15" t="n">
        <v>7876.716274</v>
      </c>
      <c r="BE85" s="15" t="n">
        <v>0</v>
      </c>
      <c r="BF85" s="15" t="n">
        <v>0</v>
      </c>
      <c r="BG85" s="15" t="n">
        <v>0</v>
      </c>
      <c r="BH85" s="15" t="n">
        <v>6106.984279</v>
      </c>
      <c r="BI85" s="15" t="n">
        <v>8295.877818999999</v>
      </c>
      <c r="BJ85" s="15" t="n">
        <v>0</v>
      </c>
      <c r="BK85" s="15" t="n">
        <v>0</v>
      </c>
      <c r="BL85" s="15" t="n">
        <v>10070.459227</v>
      </c>
      <c r="BS85" s="15" t="n">
        <v>3</v>
      </c>
      <c r="BT85" s="15" t="n">
        <v>19048.847044</v>
      </c>
      <c r="BU85" s="15" t="n">
        <v>0</v>
      </c>
      <c r="BV85" s="15" t="n">
        <v>0</v>
      </c>
      <c r="BW85" s="15" t="n">
        <v>17725.552026</v>
      </c>
      <c r="BX85" s="15" t="n">
        <v>0</v>
      </c>
      <c r="BY85" s="15" t="n">
        <v>18633.410754</v>
      </c>
      <c r="BZ85" s="15" t="n">
        <v>7876.716274</v>
      </c>
      <c r="CA85" s="15" t="n">
        <v>0</v>
      </c>
      <c r="CB85" s="15" t="n">
        <v>0</v>
      </c>
      <c r="CC85" s="15" t="n">
        <v>0</v>
      </c>
      <c r="CD85" s="15" t="n">
        <v>6106.984279</v>
      </c>
      <c r="CE85" s="15" t="n">
        <v>8295.877818999999</v>
      </c>
      <c r="CF85" s="15" t="n">
        <v>0</v>
      </c>
      <c r="CG85" s="15" t="n">
        <v>0</v>
      </c>
      <c r="CH85" s="15" t="n">
        <v>10070.459227</v>
      </c>
      <c r="CO85" s="15" t="n">
        <v>3</v>
      </c>
      <c r="CP85" s="15" t="n">
        <v>19048.847044</v>
      </c>
      <c r="CQ85" s="15" t="n">
        <v>0</v>
      </c>
      <c r="CR85" s="15" t="n">
        <v>0</v>
      </c>
      <c r="CS85" s="15" t="n">
        <v>17725.552026</v>
      </c>
      <c r="CT85" s="15" t="n">
        <v>0</v>
      </c>
      <c r="CU85" s="15" t="n">
        <v>18633.410754</v>
      </c>
      <c r="CV85" s="15" t="n">
        <v>7876.716274</v>
      </c>
      <c r="CW85" s="15" t="n">
        <v>0</v>
      </c>
      <c r="CX85" s="15" t="n">
        <v>0</v>
      </c>
      <c r="CY85" s="15" t="n">
        <v>0</v>
      </c>
      <c r="CZ85" s="15" t="n">
        <v>6106.984279</v>
      </c>
      <c r="DA85" s="15" t="n">
        <v>8295.877818999999</v>
      </c>
      <c r="DB85" s="15" t="n">
        <v>0</v>
      </c>
      <c r="DC85" s="15" t="n">
        <v>0</v>
      </c>
      <c r="DD85" s="15" t="n">
        <v>10070.459227</v>
      </c>
      <c r="DK85" s="15" t="n">
        <v>3</v>
      </c>
      <c r="DL85" s="15" t="n">
        <v>19048.847044</v>
      </c>
      <c r="DM85" s="15" t="n">
        <v>0</v>
      </c>
      <c r="DN85" s="15" t="n">
        <v>0</v>
      </c>
      <c r="DO85" s="15" t="n">
        <v>17725.552026</v>
      </c>
      <c r="DP85" s="15" t="n">
        <v>0</v>
      </c>
      <c r="DQ85" s="15" t="n">
        <v>18633.410754</v>
      </c>
      <c r="DR85" s="15" t="n">
        <v>7876.716274</v>
      </c>
      <c r="DS85" s="15" t="n">
        <v>0</v>
      </c>
      <c r="DT85" s="15" t="n">
        <v>0</v>
      </c>
      <c r="DU85" s="15" t="n">
        <v>0</v>
      </c>
      <c r="DV85" s="15" t="n">
        <v>6106.984279</v>
      </c>
      <c r="DW85" s="15" t="n">
        <v>8295.877818999999</v>
      </c>
      <c r="DX85" s="15" t="n">
        <v>0</v>
      </c>
      <c r="DY85" s="15" t="n">
        <v>0</v>
      </c>
      <c r="DZ85" s="15" t="n">
        <v>10070.459227</v>
      </c>
      <c r="EG85" s="15" t="n">
        <v>3</v>
      </c>
      <c r="EH85" s="15" t="n">
        <v>19048.847044</v>
      </c>
      <c r="EI85" s="15" t="n">
        <v>0</v>
      </c>
      <c r="EJ85" s="15" t="n">
        <v>0</v>
      </c>
      <c r="EK85" s="15" t="n">
        <v>17725.552026</v>
      </c>
      <c r="EL85" s="15" t="n">
        <v>0</v>
      </c>
      <c r="EM85" s="15" t="n">
        <v>18633.410754</v>
      </c>
      <c r="EN85" s="15" t="n">
        <v>7876.716274</v>
      </c>
      <c r="EO85" s="15" t="n">
        <v>0</v>
      </c>
      <c r="EP85" s="15" t="n">
        <v>0</v>
      </c>
      <c r="EQ85" s="15" t="n">
        <v>0</v>
      </c>
      <c r="ER85" s="15" t="n">
        <v>6106.984279</v>
      </c>
      <c r="ES85" s="15" t="n">
        <v>8295.877818999999</v>
      </c>
      <c r="ET85" s="15" t="n">
        <v>0</v>
      </c>
      <c r="EU85" s="15" t="n">
        <v>0</v>
      </c>
      <c r="EV85" s="15" t="n">
        <v>10070.459227</v>
      </c>
      <c r="FC85" s="15" t="n">
        <v>3</v>
      </c>
      <c r="FD85" s="15" t="n">
        <v>19048.847044</v>
      </c>
      <c r="FE85" s="15" t="n">
        <v>0</v>
      </c>
      <c r="FF85" s="15" t="n">
        <v>0</v>
      </c>
      <c r="FG85" s="15" t="n">
        <v>17725.552026</v>
      </c>
      <c r="FH85" s="15" t="n">
        <v>0</v>
      </c>
      <c r="FI85" s="15" t="n">
        <v>18633.410754</v>
      </c>
      <c r="FJ85" s="15" t="n">
        <v>7876.716274</v>
      </c>
      <c r="FK85" s="15" t="n">
        <v>0</v>
      </c>
      <c r="FL85" s="15" t="n">
        <v>0</v>
      </c>
      <c r="FM85" s="15" t="n">
        <v>0</v>
      </c>
      <c r="FN85" s="15" t="n">
        <v>6106.984279</v>
      </c>
      <c r="FO85" s="15" t="n">
        <v>8295.877818999999</v>
      </c>
      <c r="FP85" s="15" t="n">
        <v>0</v>
      </c>
      <c r="FQ85" s="15" t="n">
        <v>0</v>
      </c>
      <c r="FR85" s="15" t="n">
        <v>10070.459227</v>
      </c>
      <c r="FY85" s="15" t="n">
        <v>3</v>
      </c>
      <c r="FZ85" s="15" t="n">
        <v>19048.847044</v>
      </c>
      <c r="GA85" s="15" t="n">
        <v>0</v>
      </c>
      <c r="GB85" s="15" t="n">
        <v>0</v>
      </c>
      <c r="GC85" s="15" t="n">
        <v>17725.552026</v>
      </c>
      <c r="GD85" s="15" t="n">
        <v>0</v>
      </c>
      <c r="GE85" s="15" t="n">
        <v>18633.410754</v>
      </c>
      <c r="GF85" s="15" t="n">
        <v>7876.716274</v>
      </c>
      <c r="GG85" s="15" t="n">
        <v>0</v>
      </c>
      <c r="GH85" s="15" t="n">
        <v>0</v>
      </c>
      <c r="GI85" s="15" t="n">
        <v>0</v>
      </c>
      <c r="GJ85" s="15" t="n">
        <v>6106.984279</v>
      </c>
      <c r="GK85" s="15" t="n">
        <v>8295.877818999999</v>
      </c>
      <c r="GL85" s="15" t="n">
        <v>0</v>
      </c>
      <c r="GM85" s="15" t="n">
        <v>0</v>
      </c>
      <c r="GN85" s="15" t="n">
        <v>10070.459227</v>
      </c>
      <c r="GU85" s="15" t="n">
        <v>3</v>
      </c>
      <c r="GV85" s="15" t="n">
        <v>19048.847044</v>
      </c>
      <c r="GW85" s="15" t="n">
        <v>0</v>
      </c>
      <c r="GX85" s="15" t="n">
        <v>0</v>
      </c>
      <c r="GY85" s="15" t="n">
        <v>17725.552026</v>
      </c>
      <c r="GZ85" s="15" t="n">
        <v>0</v>
      </c>
      <c r="HA85" s="15" t="n">
        <v>18633.410754</v>
      </c>
      <c r="HB85" s="15" t="n">
        <v>7876.716274</v>
      </c>
      <c r="HC85" s="15" t="n">
        <v>0</v>
      </c>
      <c r="HD85" s="15" t="n">
        <v>0</v>
      </c>
      <c r="HE85" s="15" t="n">
        <v>0</v>
      </c>
      <c r="HF85" s="15" t="n">
        <v>6106.984279</v>
      </c>
      <c r="HG85" s="15" t="n">
        <v>8295.877818999999</v>
      </c>
      <c r="HH85" s="15" t="n">
        <v>0</v>
      </c>
      <c r="HI85" s="15" t="n">
        <v>0</v>
      </c>
      <c r="HJ85" s="15" t="n">
        <v>10070.459227</v>
      </c>
    </row>
    <row r="87">
      <c r="C87" s="15" t="inlineStr">
        <is>
          <t>DesvPad(ND*ELT)</t>
        </is>
      </c>
      <c r="D87" s="15" t="n">
        <v>1</v>
      </c>
      <c r="E87" s="15" t="n">
        <v>2</v>
      </c>
      <c r="F87" s="15" t="n">
        <v>3</v>
      </c>
      <c r="G87" s="15" t="n">
        <v>4</v>
      </c>
      <c r="H87" s="15" t="n">
        <v>5</v>
      </c>
      <c r="I87" s="15" t="n">
        <v>6</v>
      </c>
      <c r="J87" s="15" t="n">
        <v>7</v>
      </c>
      <c r="K87" s="15" t="n">
        <v>8</v>
      </c>
      <c r="L87" s="15" t="n">
        <v>9</v>
      </c>
      <c r="M87" s="15" t="n">
        <v>10</v>
      </c>
      <c r="N87" s="15" t="n">
        <v>11</v>
      </c>
      <c r="O87" s="15" t="n">
        <v>12</v>
      </c>
      <c r="P87" s="15" t="n">
        <v>13</v>
      </c>
      <c r="Q87" s="15" t="n">
        <v>14</v>
      </c>
      <c r="R87" s="15" t="n">
        <v>15</v>
      </c>
      <c r="AA87" s="15" t="inlineStr">
        <is>
          <t>DesvPad(ND*ELT)</t>
        </is>
      </c>
      <c r="AB87" s="15" t="n">
        <v>1</v>
      </c>
      <c r="AC87" s="15" t="n">
        <v>2</v>
      </c>
      <c r="AD87" s="15" t="n">
        <v>3</v>
      </c>
      <c r="AE87" s="15" t="n">
        <v>4</v>
      </c>
      <c r="AF87" s="15" t="n">
        <v>5</v>
      </c>
      <c r="AG87" s="15" t="n">
        <v>6</v>
      </c>
      <c r="AH87" s="15" t="n">
        <v>7</v>
      </c>
      <c r="AI87" s="15" t="n">
        <v>8</v>
      </c>
      <c r="AJ87" s="15" t="n">
        <v>9</v>
      </c>
      <c r="AK87" s="15" t="n">
        <v>10</v>
      </c>
      <c r="AL87" s="15" t="n">
        <v>11</v>
      </c>
      <c r="AM87" s="15" t="n">
        <v>12</v>
      </c>
      <c r="AN87" s="15" t="n">
        <v>13</v>
      </c>
      <c r="AO87" s="15" t="n">
        <v>14</v>
      </c>
      <c r="AP87" s="15" t="n">
        <v>15</v>
      </c>
      <c r="AW87" s="15" t="inlineStr">
        <is>
          <t>DesvPad(ND*ELT)</t>
        </is>
      </c>
      <c r="AX87" s="15" t="n">
        <v>1</v>
      </c>
      <c r="AY87" s="15" t="n">
        <v>2</v>
      </c>
      <c r="AZ87" s="15" t="n">
        <v>3</v>
      </c>
      <c r="BA87" s="15" t="n">
        <v>4</v>
      </c>
      <c r="BB87" s="15" t="n">
        <v>5</v>
      </c>
      <c r="BC87" s="15" t="n">
        <v>6</v>
      </c>
      <c r="BD87" s="15" t="n">
        <v>7</v>
      </c>
      <c r="BE87" s="15" t="n">
        <v>8</v>
      </c>
      <c r="BF87" s="15" t="n">
        <v>9</v>
      </c>
      <c r="BG87" s="15" t="n">
        <v>10</v>
      </c>
      <c r="BH87" s="15" t="n">
        <v>11</v>
      </c>
      <c r="BI87" s="15" t="n">
        <v>12</v>
      </c>
      <c r="BJ87" s="15" t="n">
        <v>13</v>
      </c>
      <c r="BK87" s="15" t="n">
        <v>14</v>
      </c>
      <c r="BL87" s="15" t="n">
        <v>15</v>
      </c>
      <c r="BS87" s="15" t="inlineStr">
        <is>
          <t>DesvPad(ND*ELT)</t>
        </is>
      </c>
      <c r="BT87" s="15" t="n">
        <v>1</v>
      </c>
      <c r="BU87" s="15" t="n">
        <v>2</v>
      </c>
      <c r="BV87" s="15" t="n">
        <v>3</v>
      </c>
      <c r="BW87" s="15" t="n">
        <v>4</v>
      </c>
      <c r="BX87" s="15" t="n">
        <v>5</v>
      </c>
      <c r="BY87" s="15" t="n">
        <v>6</v>
      </c>
      <c r="BZ87" s="15" t="n">
        <v>7</v>
      </c>
      <c r="CA87" s="15" t="n">
        <v>8</v>
      </c>
      <c r="CB87" s="15" t="n">
        <v>9</v>
      </c>
      <c r="CC87" s="15" t="n">
        <v>10</v>
      </c>
      <c r="CD87" s="15" t="n">
        <v>11</v>
      </c>
      <c r="CE87" s="15" t="n">
        <v>12</v>
      </c>
      <c r="CF87" s="15" t="n">
        <v>13</v>
      </c>
      <c r="CG87" s="15" t="n">
        <v>14</v>
      </c>
      <c r="CH87" s="15" t="n">
        <v>15</v>
      </c>
      <c r="CO87" s="15" t="inlineStr">
        <is>
          <t>DesvPad(ND*ELT)</t>
        </is>
      </c>
      <c r="CP87" s="15" t="n">
        <v>1</v>
      </c>
      <c r="CQ87" s="15" t="n">
        <v>2</v>
      </c>
      <c r="CR87" s="15" t="n">
        <v>3</v>
      </c>
      <c r="CS87" s="15" t="n">
        <v>4</v>
      </c>
      <c r="CT87" s="15" t="n">
        <v>5</v>
      </c>
      <c r="CU87" s="15" t="n">
        <v>6</v>
      </c>
      <c r="CV87" s="15" t="n">
        <v>7</v>
      </c>
      <c r="CW87" s="15" t="n">
        <v>8</v>
      </c>
      <c r="CX87" s="15" t="n">
        <v>9</v>
      </c>
      <c r="CY87" s="15" t="n">
        <v>10</v>
      </c>
      <c r="CZ87" s="15" t="n">
        <v>11</v>
      </c>
      <c r="DA87" s="15" t="n">
        <v>12</v>
      </c>
      <c r="DB87" s="15" t="n">
        <v>13</v>
      </c>
      <c r="DC87" s="15" t="n">
        <v>14</v>
      </c>
      <c r="DD87" s="15" t="n">
        <v>15</v>
      </c>
      <c r="DK87" s="15" t="inlineStr">
        <is>
          <t>DesvPad(ND*ELT)</t>
        </is>
      </c>
      <c r="DL87" s="15" t="n">
        <v>1</v>
      </c>
      <c r="DM87" s="15" t="n">
        <v>2</v>
      </c>
      <c r="DN87" s="15" t="n">
        <v>3</v>
      </c>
      <c r="DO87" s="15" t="n">
        <v>4</v>
      </c>
      <c r="DP87" s="15" t="n">
        <v>5</v>
      </c>
      <c r="DQ87" s="15" t="n">
        <v>6</v>
      </c>
      <c r="DR87" s="15" t="n">
        <v>7</v>
      </c>
      <c r="DS87" s="15" t="n">
        <v>8</v>
      </c>
      <c r="DT87" s="15" t="n">
        <v>9</v>
      </c>
      <c r="DU87" s="15" t="n">
        <v>10</v>
      </c>
      <c r="DV87" s="15" t="n">
        <v>11</v>
      </c>
      <c r="DW87" s="15" t="n">
        <v>12</v>
      </c>
      <c r="DX87" s="15" t="n">
        <v>13</v>
      </c>
      <c r="DY87" s="15" t="n">
        <v>14</v>
      </c>
      <c r="DZ87" s="15" t="n">
        <v>15</v>
      </c>
      <c r="EG87" s="15" t="inlineStr">
        <is>
          <t>DesvPad(ND*ELT)</t>
        </is>
      </c>
      <c r="EH87" s="15" t="n">
        <v>1</v>
      </c>
      <c r="EI87" s="15" t="n">
        <v>2</v>
      </c>
      <c r="EJ87" s="15" t="n">
        <v>3</v>
      </c>
      <c r="EK87" s="15" t="n">
        <v>4</v>
      </c>
      <c r="EL87" s="15" t="n">
        <v>5</v>
      </c>
      <c r="EM87" s="15" t="n">
        <v>6</v>
      </c>
      <c r="EN87" s="15" t="n">
        <v>7</v>
      </c>
      <c r="EO87" s="15" t="n">
        <v>8</v>
      </c>
      <c r="EP87" s="15" t="n">
        <v>9</v>
      </c>
      <c r="EQ87" s="15" t="n">
        <v>10</v>
      </c>
      <c r="ER87" s="15" t="n">
        <v>11</v>
      </c>
      <c r="ES87" s="15" t="n">
        <v>12</v>
      </c>
      <c r="ET87" s="15" t="n">
        <v>13</v>
      </c>
      <c r="EU87" s="15" t="n">
        <v>14</v>
      </c>
      <c r="EV87" s="15" t="n">
        <v>15</v>
      </c>
      <c r="FC87" s="15" t="inlineStr">
        <is>
          <t>DesvPad(ND*ELT)</t>
        </is>
      </c>
      <c r="FD87" s="15" t="n">
        <v>1</v>
      </c>
      <c r="FE87" s="15" t="n">
        <v>2</v>
      </c>
      <c r="FF87" s="15" t="n">
        <v>3</v>
      </c>
      <c r="FG87" s="15" t="n">
        <v>4</v>
      </c>
      <c r="FH87" s="15" t="n">
        <v>5</v>
      </c>
      <c r="FI87" s="15" t="n">
        <v>6</v>
      </c>
      <c r="FJ87" s="15" t="n">
        <v>7</v>
      </c>
      <c r="FK87" s="15" t="n">
        <v>8</v>
      </c>
      <c r="FL87" s="15" t="n">
        <v>9</v>
      </c>
      <c r="FM87" s="15" t="n">
        <v>10</v>
      </c>
      <c r="FN87" s="15" t="n">
        <v>11</v>
      </c>
      <c r="FO87" s="15" t="n">
        <v>12</v>
      </c>
      <c r="FP87" s="15" t="n">
        <v>13</v>
      </c>
      <c r="FQ87" s="15" t="n">
        <v>14</v>
      </c>
      <c r="FR87" s="15" t="n">
        <v>15</v>
      </c>
      <c r="FY87" s="15" t="inlineStr">
        <is>
          <t>DesvPad(ND*ELT)</t>
        </is>
      </c>
      <c r="FZ87" s="15" t="n">
        <v>1</v>
      </c>
      <c r="GA87" s="15" t="n">
        <v>2</v>
      </c>
      <c r="GB87" s="15" t="n">
        <v>3</v>
      </c>
      <c r="GC87" s="15" t="n">
        <v>4</v>
      </c>
      <c r="GD87" s="15" t="n">
        <v>5</v>
      </c>
      <c r="GE87" s="15" t="n">
        <v>6</v>
      </c>
      <c r="GF87" s="15" t="n">
        <v>7</v>
      </c>
      <c r="GG87" s="15" t="n">
        <v>8</v>
      </c>
      <c r="GH87" s="15" t="n">
        <v>9</v>
      </c>
      <c r="GI87" s="15" t="n">
        <v>10</v>
      </c>
      <c r="GJ87" s="15" t="n">
        <v>11</v>
      </c>
      <c r="GK87" s="15" t="n">
        <v>12</v>
      </c>
      <c r="GL87" s="15" t="n">
        <v>13</v>
      </c>
      <c r="GM87" s="15" t="n">
        <v>14</v>
      </c>
      <c r="GN87" s="15" t="n">
        <v>15</v>
      </c>
      <c r="GU87" s="15" t="inlineStr">
        <is>
          <t>DesvPad(ND*ELT)</t>
        </is>
      </c>
      <c r="GV87" s="15" t="n">
        <v>1</v>
      </c>
      <c r="GW87" s="15" t="n">
        <v>2</v>
      </c>
      <c r="GX87" s="15" t="n">
        <v>3</v>
      </c>
      <c r="GY87" s="15" t="n">
        <v>4</v>
      </c>
      <c r="GZ87" s="15" t="n">
        <v>5</v>
      </c>
      <c r="HA87" s="15" t="n">
        <v>6</v>
      </c>
      <c r="HB87" s="15" t="n">
        <v>7</v>
      </c>
      <c r="HC87" s="15" t="n">
        <v>8</v>
      </c>
      <c r="HD87" s="15" t="n">
        <v>9</v>
      </c>
      <c r="HE87" s="15" t="n">
        <v>10</v>
      </c>
      <c r="HF87" s="15" t="n">
        <v>11</v>
      </c>
      <c r="HG87" s="15" t="n">
        <v>12</v>
      </c>
      <c r="HH87" s="15" t="n">
        <v>13</v>
      </c>
      <c r="HI87" s="15" t="n">
        <v>14</v>
      </c>
      <c r="HJ87" s="15" t="n">
        <v>15</v>
      </c>
    </row>
    <row r="88">
      <c r="C88" s="15" t="n">
        <v>1</v>
      </c>
      <c r="D88" s="85">
        <f>Matlab_Data!D50</f>
        <v/>
      </c>
      <c r="E88" s="85">
        <f>Matlab_Data!E50</f>
        <v/>
      </c>
      <c r="F88" s="85">
        <f>Matlab_Data!F50</f>
        <v/>
      </c>
      <c r="G88" s="85">
        <f>Matlab_Data!G50</f>
        <v/>
      </c>
      <c r="H88" s="85">
        <f>Matlab_Data!H50</f>
        <v/>
      </c>
      <c r="I88" s="85">
        <f>Matlab_Data!I50</f>
        <v/>
      </c>
      <c r="J88" s="85">
        <f>Matlab_Data!J50</f>
        <v/>
      </c>
      <c r="K88" s="85">
        <f>Matlab_Data!K50</f>
        <v/>
      </c>
      <c r="L88" s="85">
        <f>Matlab_Data!L50</f>
        <v/>
      </c>
      <c r="M88" s="85">
        <f>Matlab_Data!M50</f>
        <v/>
      </c>
      <c r="N88" s="85">
        <f>Matlab_Data!N50</f>
        <v/>
      </c>
      <c r="O88" s="85">
        <f>Matlab_Data!O50</f>
        <v/>
      </c>
      <c r="P88" s="85">
        <f>Matlab_Data!P50</f>
        <v/>
      </c>
      <c r="Q88" s="85">
        <f>Matlab_Data!Q50</f>
        <v/>
      </c>
      <c r="R88" s="85">
        <f>Matlab_Data!R50</f>
        <v/>
      </c>
      <c r="T88" s="39">
        <f>SUM(D88:R90)</f>
        <v/>
      </c>
      <c r="U88" s="39" t="n">
        <v>2064.1063</v>
      </c>
      <c r="V88" s="39">
        <f>T88-U88</f>
        <v/>
      </c>
      <c r="W88" s="39" t="n"/>
      <c r="X88" s="39" t="n"/>
      <c r="Y88" s="85" t="n"/>
      <c r="Z88" s="85" t="n"/>
      <c r="AA88" s="85" t="n">
        <v>1</v>
      </c>
      <c r="AB88" s="85" t="n">
        <v>0</v>
      </c>
      <c r="AC88" s="85" t="n">
        <v>0</v>
      </c>
      <c r="AD88" s="85" t="n">
        <v>0</v>
      </c>
      <c r="AE88" s="85" t="n">
        <v>0</v>
      </c>
      <c r="AF88" s="85" t="n">
        <v>89.3519</v>
      </c>
      <c r="AG88" s="85" t="n">
        <v>58.127</v>
      </c>
      <c r="AH88" s="85" t="n">
        <v>0</v>
      </c>
      <c r="AI88" s="85" t="n">
        <v>86.01690000000001</v>
      </c>
      <c r="AJ88" s="85" t="n">
        <v>70.3036</v>
      </c>
      <c r="AK88" s="85" t="n">
        <v>0</v>
      </c>
      <c r="AL88" s="85" t="n">
        <v>84.74079999999999</v>
      </c>
      <c r="AM88" s="85" t="n">
        <v>0</v>
      </c>
      <c r="AN88" s="15" t="n">
        <v>59.7737</v>
      </c>
      <c r="AO88" s="15" t="n">
        <v>56.3029</v>
      </c>
      <c r="AP88" s="15" t="n">
        <v>106.0337</v>
      </c>
      <c r="AW88" s="15" t="n">
        <v>1</v>
      </c>
      <c r="AX88" s="15" t="n">
        <v>0</v>
      </c>
      <c r="AY88" s="15" t="n">
        <v>0</v>
      </c>
      <c r="AZ88" s="15" t="n">
        <v>0</v>
      </c>
      <c r="BA88" s="15" t="n">
        <v>0</v>
      </c>
      <c r="BB88" s="15" t="n">
        <v>89.3519</v>
      </c>
      <c r="BC88" s="15" t="n">
        <v>58.127</v>
      </c>
      <c r="BD88" s="15" t="n">
        <v>0</v>
      </c>
      <c r="BE88" s="15" t="n">
        <v>86.01690000000001</v>
      </c>
      <c r="BF88" s="15" t="n">
        <v>70.3036</v>
      </c>
      <c r="BG88" s="15" t="n">
        <v>0</v>
      </c>
      <c r="BH88" s="15" t="n">
        <v>84.74079999999999</v>
      </c>
      <c r="BI88" s="15" t="n">
        <v>0</v>
      </c>
      <c r="BJ88" s="15" t="n">
        <v>59.7737</v>
      </c>
      <c r="BK88" s="15" t="n">
        <v>56.3029</v>
      </c>
      <c r="BL88" s="15" t="n">
        <v>106.0337</v>
      </c>
      <c r="BS88" s="15" t="n">
        <v>1</v>
      </c>
      <c r="BT88" s="15" t="n">
        <v>0</v>
      </c>
      <c r="BU88" s="15" t="n">
        <v>0</v>
      </c>
      <c r="BV88" s="15" t="n">
        <v>0</v>
      </c>
      <c r="BW88" s="15" t="n">
        <v>0</v>
      </c>
      <c r="BX88" s="15" t="n">
        <v>89.3519</v>
      </c>
      <c r="BY88" s="15" t="n">
        <v>58.127</v>
      </c>
      <c r="BZ88" s="15" t="n">
        <v>0</v>
      </c>
      <c r="CA88" s="15" t="n">
        <v>86.01690000000001</v>
      </c>
      <c r="CB88" s="15" t="n">
        <v>70.3036</v>
      </c>
      <c r="CC88" s="15" t="n">
        <v>0</v>
      </c>
      <c r="CD88" s="15" t="n">
        <v>84.74079999999999</v>
      </c>
      <c r="CE88" s="15" t="n">
        <v>0</v>
      </c>
      <c r="CF88" s="15" t="n">
        <v>59.7737</v>
      </c>
      <c r="CG88" s="15" t="n">
        <v>56.3029</v>
      </c>
      <c r="CH88" s="15" t="n">
        <v>106.0337</v>
      </c>
      <c r="CO88" s="15" t="n">
        <v>1</v>
      </c>
      <c r="CP88" s="15" t="n">
        <v>0</v>
      </c>
      <c r="CQ88" s="15" t="n">
        <v>0</v>
      </c>
      <c r="CR88" s="15" t="n">
        <v>0</v>
      </c>
      <c r="CS88" s="15" t="n">
        <v>0</v>
      </c>
      <c r="CT88" s="15" t="n">
        <v>89.3519</v>
      </c>
      <c r="CU88" s="15" t="n">
        <v>58.127</v>
      </c>
      <c r="CV88" s="15" t="n">
        <v>0</v>
      </c>
      <c r="CW88" s="15" t="n">
        <v>86.01690000000001</v>
      </c>
      <c r="CX88" s="15" t="n">
        <v>70.3036</v>
      </c>
      <c r="CY88" s="15" t="n">
        <v>0</v>
      </c>
      <c r="CZ88" s="15" t="n">
        <v>84.74079999999999</v>
      </c>
      <c r="DA88" s="15" t="n">
        <v>0</v>
      </c>
      <c r="DB88" s="15" t="n">
        <v>59.7737</v>
      </c>
      <c r="DC88" s="15" t="n">
        <v>56.3029</v>
      </c>
      <c r="DD88" s="15" t="n">
        <v>106.0337</v>
      </c>
      <c r="DK88" s="15" t="n">
        <v>1</v>
      </c>
      <c r="DL88" s="15" t="n">
        <v>0</v>
      </c>
      <c r="DM88" s="15" t="n">
        <v>0</v>
      </c>
      <c r="DN88" s="15" t="n">
        <v>0</v>
      </c>
      <c r="DO88" s="15" t="n">
        <v>0</v>
      </c>
      <c r="DP88" s="15" t="n">
        <v>89.3519</v>
      </c>
      <c r="DQ88" s="15" t="n">
        <v>58.127</v>
      </c>
      <c r="DR88" s="15" t="n">
        <v>0</v>
      </c>
      <c r="DS88" s="15" t="n">
        <v>86.01690000000001</v>
      </c>
      <c r="DT88" s="15" t="n">
        <v>70.3036</v>
      </c>
      <c r="DU88" s="15" t="n">
        <v>0</v>
      </c>
      <c r="DV88" s="15" t="n">
        <v>84.74079999999999</v>
      </c>
      <c r="DW88" s="15" t="n">
        <v>0</v>
      </c>
      <c r="DX88" s="15" t="n">
        <v>59.7737</v>
      </c>
      <c r="DY88" s="15" t="n">
        <v>56.3029</v>
      </c>
      <c r="DZ88" s="15" t="n">
        <v>106.0337</v>
      </c>
      <c r="EG88" s="15" t="n">
        <v>1</v>
      </c>
      <c r="EH88" s="15" t="n">
        <v>0</v>
      </c>
      <c r="EI88" s="15" t="n">
        <v>0</v>
      </c>
      <c r="EJ88" s="15" t="n">
        <v>0</v>
      </c>
      <c r="EK88" s="15" t="n">
        <v>0</v>
      </c>
      <c r="EL88" s="15" t="n">
        <v>89.3519</v>
      </c>
      <c r="EM88" s="15" t="n">
        <v>58.127</v>
      </c>
      <c r="EN88" s="15" t="n">
        <v>0</v>
      </c>
      <c r="EO88" s="15" t="n">
        <v>86.01690000000001</v>
      </c>
      <c r="EP88" s="15" t="n">
        <v>70.3036</v>
      </c>
      <c r="EQ88" s="15" t="n">
        <v>0</v>
      </c>
      <c r="ER88" s="15" t="n">
        <v>84.74079999999999</v>
      </c>
      <c r="ES88" s="15" t="n">
        <v>0</v>
      </c>
      <c r="ET88" s="15" t="n">
        <v>59.7737</v>
      </c>
      <c r="EU88" s="15" t="n">
        <v>56.3029</v>
      </c>
      <c r="EV88" s="15" t="n">
        <v>106.0337</v>
      </c>
      <c r="FC88" s="15" t="n">
        <v>1</v>
      </c>
      <c r="FD88" s="15" t="n">
        <v>0</v>
      </c>
      <c r="FE88" s="15" t="n">
        <v>0</v>
      </c>
      <c r="FF88" s="15" t="n">
        <v>0</v>
      </c>
      <c r="FG88" s="15" t="n">
        <v>0</v>
      </c>
      <c r="FH88" s="15" t="n">
        <v>89.3519</v>
      </c>
      <c r="FI88" s="15" t="n">
        <v>58.127</v>
      </c>
      <c r="FJ88" s="15" t="n">
        <v>0</v>
      </c>
      <c r="FK88" s="15" t="n">
        <v>86.01690000000001</v>
      </c>
      <c r="FL88" s="15" t="n">
        <v>70.3036</v>
      </c>
      <c r="FM88" s="15" t="n">
        <v>0</v>
      </c>
      <c r="FN88" s="15" t="n">
        <v>84.74079999999999</v>
      </c>
      <c r="FO88" s="15" t="n">
        <v>0</v>
      </c>
      <c r="FP88" s="15" t="n">
        <v>59.7737</v>
      </c>
      <c r="FQ88" s="15" t="n">
        <v>56.3029</v>
      </c>
      <c r="FR88" s="15" t="n">
        <v>106.0337</v>
      </c>
      <c r="FY88" s="15" t="n">
        <v>1</v>
      </c>
      <c r="FZ88" s="15" t="n">
        <v>0</v>
      </c>
      <c r="GA88" s="15" t="n">
        <v>0</v>
      </c>
      <c r="GB88" s="15" t="n">
        <v>0</v>
      </c>
      <c r="GC88" s="15" t="n">
        <v>0</v>
      </c>
      <c r="GD88" s="15" t="n">
        <v>89.3519</v>
      </c>
      <c r="GE88" s="15" t="n">
        <v>58.127</v>
      </c>
      <c r="GF88" s="15" t="n">
        <v>0</v>
      </c>
      <c r="GG88" s="15" t="n">
        <v>86.01690000000001</v>
      </c>
      <c r="GH88" s="15" t="n">
        <v>70.3036</v>
      </c>
      <c r="GI88" s="15" t="n">
        <v>0</v>
      </c>
      <c r="GJ88" s="15" t="n">
        <v>84.74079999999999</v>
      </c>
      <c r="GK88" s="15" t="n">
        <v>0</v>
      </c>
      <c r="GL88" s="15" t="n">
        <v>59.7737</v>
      </c>
      <c r="GM88" s="15" t="n">
        <v>56.3029</v>
      </c>
      <c r="GN88" s="15" t="n">
        <v>106.0337</v>
      </c>
      <c r="GU88" s="15" t="n">
        <v>1</v>
      </c>
      <c r="GV88" s="15" t="n">
        <v>0</v>
      </c>
      <c r="GW88" s="15" t="n">
        <v>0</v>
      </c>
      <c r="GX88" s="15" t="n">
        <v>0</v>
      </c>
      <c r="GY88" s="15" t="n">
        <v>0</v>
      </c>
      <c r="GZ88" s="15" t="n">
        <v>89.3519</v>
      </c>
      <c r="HA88" s="15" t="n">
        <v>58.127</v>
      </c>
      <c r="HB88" s="15" t="n">
        <v>0</v>
      </c>
      <c r="HC88" s="15" t="n">
        <v>86.01690000000001</v>
      </c>
      <c r="HD88" s="15" t="n">
        <v>70.3036</v>
      </c>
      <c r="HE88" s="15" t="n">
        <v>0</v>
      </c>
      <c r="HF88" s="15" t="n">
        <v>84.74079999999999</v>
      </c>
      <c r="HG88" s="15" t="n">
        <v>0</v>
      </c>
      <c r="HH88" s="15" t="n">
        <v>59.7737</v>
      </c>
      <c r="HI88" s="15" t="n">
        <v>56.3029</v>
      </c>
      <c r="HJ88" s="15" t="n">
        <v>106.0337</v>
      </c>
    </row>
    <row r="89">
      <c r="C89" s="15" t="n">
        <v>2</v>
      </c>
      <c r="D89" s="85">
        <f>Matlab_Data!D51</f>
        <v/>
      </c>
      <c r="E89" s="85">
        <f>Matlab_Data!E51</f>
        <v/>
      </c>
      <c r="F89" s="85">
        <f>Matlab_Data!F51</f>
        <v/>
      </c>
      <c r="G89" s="85">
        <f>Matlab_Data!G51</f>
        <v/>
      </c>
      <c r="H89" s="85">
        <f>Matlab_Data!H51</f>
        <v/>
      </c>
      <c r="I89" s="85">
        <f>Matlab_Data!I51</f>
        <v/>
      </c>
      <c r="J89" s="85">
        <f>Matlab_Data!J51</f>
        <v/>
      </c>
      <c r="K89" s="85">
        <f>Matlab_Data!K51</f>
        <v/>
      </c>
      <c r="L89" s="85">
        <f>Matlab_Data!L51</f>
        <v/>
      </c>
      <c r="M89" s="85">
        <f>Matlab_Data!M51</f>
        <v/>
      </c>
      <c r="N89" s="85">
        <f>Matlab_Data!N51</f>
        <v/>
      </c>
      <c r="O89" s="85">
        <f>Matlab_Data!O51</f>
        <v/>
      </c>
      <c r="P89" s="85">
        <f>Matlab_Data!P51</f>
        <v/>
      </c>
      <c r="Q89" s="85">
        <f>Matlab_Data!Q51</f>
        <v/>
      </c>
      <c r="R89" s="85">
        <f>Matlab_Data!R51</f>
        <v/>
      </c>
      <c r="Y89" s="85" t="n"/>
      <c r="Z89" s="85" t="n"/>
      <c r="AA89" s="85" t="n">
        <v>2</v>
      </c>
      <c r="AB89" s="85" t="n">
        <v>223.0756</v>
      </c>
      <c r="AC89" s="85" t="n">
        <v>64.8184</v>
      </c>
      <c r="AD89" s="85" t="n">
        <v>0</v>
      </c>
      <c r="AE89" s="85" t="n">
        <v>0</v>
      </c>
      <c r="AF89" s="85" t="n">
        <v>70.3806</v>
      </c>
      <c r="AG89" s="85" t="n">
        <v>86.49209999999999</v>
      </c>
      <c r="AH89" s="85" t="n">
        <v>57.3334</v>
      </c>
      <c r="AI89" s="85" t="n">
        <v>0</v>
      </c>
      <c r="AJ89" s="85" t="n">
        <v>0</v>
      </c>
      <c r="AK89" s="85" t="n">
        <v>54.2832</v>
      </c>
      <c r="AL89" s="85" t="n">
        <v>0</v>
      </c>
      <c r="AM89" s="85" t="n">
        <v>79.8168</v>
      </c>
      <c r="AN89" s="15" t="n">
        <v>72.0508</v>
      </c>
      <c r="AO89" s="15" t="n">
        <v>99.76730000000001</v>
      </c>
      <c r="AP89" s="15" t="n">
        <v>81.2089</v>
      </c>
      <c r="AW89" s="15" t="n">
        <v>2</v>
      </c>
      <c r="AX89" s="15" t="n">
        <v>223.0756</v>
      </c>
      <c r="AY89" s="15" t="n">
        <v>64.8184</v>
      </c>
      <c r="AZ89" s="15" t="n">
        <v>0</v>
      </c>
      <c r="BA89" s="15" t="n">
        <v>0</v>
      </c>
      <c r="BB89" s="15" t="n">
        <v>70.3806</v>
      </c>
      <c r="BC89" s="15" t="n">
        <v>86.49209999999999</v>
      </c>
      <c r="BD89" s="15" t="n">
        <v>57.3334</v>
      </c>
      <c r="BE89" s="15" t="n">
        <v>0</v>
      </c>
      <c r="BF89" s="15" t="n">
        <v>0</v>
      </c>
      <c r="BG89" s="15" t="n">
        <v>54.2832</v>
      </c>
      <c r="BH89" s="15" t="n">
        <v>0</v>
      </c>
      <c r="BI89" s="15" t="n">
        <v>79.8168</v>
      </c>
      <c r="BJ89" s="15" t="n">
        <v>72.0508</v>
      </c>
      <c r="BK89" s="15" t="n">
        <v>99.76730000000001</v>
      </c>
      <c r="BL89" s="15" t="n">
        <v>81.2089</v>
      </c>
      <c r="BS89" s="15" t="n">
        <v>2</v>
      </c>
      <c r="BT89" s="15" t="n">
        <v>223.0756</v>
      </c>
      <c r="BU89" s="15" t="n">
        <v>64.8184</v>
      </c>
      <c r="BV89" s="15" t="n">
        <v>0</v>
      </c>
      <c r="BW89" s="15" t="n">
        <v>0</v>
      </c>
      <c r="BX89" s="15" t="n">
        <v>70.3806</v>
      </c>
      <c r="BY89" s="15" t="n">
        <v>86.49209999999999</v>
      </c>
      <c r="BZ89" s="15" t="n">
        <v>57.3334</v>
      </c>
      <c r="CA89" s="15" t="n">
        <v>0</v>
      </c>
      <c r="CB89" s="15" t="n">
        <v>0</v>
      </c>
      <c r="CC89" s="15" t="n">
        <v>54.2832</v>
      </c>
      <c r="CD89" s="15" t="n">
        <v>0</v>
      </c>
      <c r="CE89" s="15" t="n">
        <v>79.8168</v>
      </c>
      <c r="CF89" s="15" t="n">
        <v>72.0508</v>
      </c>
      <c r="CG89" s="15" t="n">
        <v>99.76730000000001</v>
      </c>
      <c r="CH89" s="15" t="n">
        <v>81.2089</v>
      </c>
      <c r="CO89" s="15" t="n">
        <v>2</v>
      </c>
      <c r="CP89" s="15" t="n">
        <v>223.0756</v>
      </c>
      <c r="CQ89" s="15" t="n">
        <v>64.8184</v>
      </c>
      <c r="CR89" s="15" t="n">
        <v>0</v>
      </c>
      <c r="CS89" s="15" t="n">
        <v>0</v>
      </c>
      <c r="CT89" s="15" t="n">
        <v>70.3806</v>
      </c>
      <c r="CU89" s="15" t="n">
        <v>86.49209999999999</v>
      </c>
      <c r="CV89" s="15" t="n">
        <v>57.3334</v>
      </c>
      <c r="CW89" s="15" t="n">
        <v>0</v>
      </c>
      <c r="CX89" s="15" t="n">
        <v>0</v>
      </c>
      <c r="CY89" s="15" t="n">
        <v>54.2832</v>
      </c>
      <c r="CZ89" s="15" t="n">
        <v>0</v>
      </c>
      <c r="DA89" s="15" t="n">
        <v>79.8168</v>
      </c>
      <c r="DB89" s="15" t="n">
        <v>72.0508</v>
      </c>
      <c r="DC89" s="15" t="n">
        <v>99.76730000000001</v>
      </c>
      <c r="DD89" s="15" t="n">
        <v>81.2089</v>
      </c>
      <c r="DK89" s="15" t="n">
        <v>2</v>
      </c>
      <c r="DL89" s="15" t="n">
        <v>223.0756</v>
      </c>
      <c r="DM89" s="15" t="n">
        <v>64.8184</v>
      </c>
      <c r="DN89" s="15" t="n">
        <v>0</v>
      </c>
      <c r="DO89" s="15" t="n">
        <v>0</v>
      </c>
      <c r="DP89" s="15" t="n">
        <v>70.3806</v>
      </c>
      <c r="DQ89" s="15" t="n">
        <v>86.49209999999999</v>
      </c>
      <c r="DR89" s="15" t="n">
        <v>57.3334</v>
      </c>
      <c r="DS89" s="15" t="n">
        <v>0</v>
      </c>
      <c r="DT89" s="15" t="n">
        <v>0</v>
      </c>
      <c r="DU89" s="15" t="n">
        <v>54.2832</v>
      </c>
      <c r="DV89" s="15" t="n">
        <v>0</v>
      </c>
      <c r="DW89" s="15" t="n">
        <v>79.8168</v>
      </c>
      <c r="DX89" s="15" t="n">
        <v>72.0508</v>
      </c>
      <c r="DY89" s="15" t="n">
        <v>99.76730000000001</v>
      </c>
      <c r="DZ89" s="15" t="n">
        <v>81.2089</v>
      </c>
      <c r="EG89" s="15" t="n">
        <v>2</v>
      </c>
      <c r="EH89" s="15" t="n">
        <v>223.0756</v>
      </c>
      <c r="EI89" s="15" t="n">
        <v>64.8184</v>
      </c>
      <c r="EJ89" s="15" t="n">
        <v>0</v>
      </c>
      <c r="EK89" s="15" t="n">
        <v>0</v>
      </c>
      <c r="EL89" s="15" t="n">
        <v>70.3806</v>
      </c>
      <c r="EM89" s="15" t="n">
        <v>86.49209999999999</v>
      </c>
      <c r="EN89" s="15" t="n">
        <v>57.3334</v>
      </c>
      <c r="EO89" s="15" t="n">
        <v>0</v>
      </c>
      <c r="EP89" s="15" t="n">
        <v>0</v>
      </c>
      <c r="EQ89" s="15" t="n">
        <v>54.2832</v>
      </c>
      <c r="ER89" s="15" t="n">
        <v>0</v>
      </c>
      <c r="ES89" s="15" t="n">
        <v>79.8168</v>
      </c>
      <c r="ET89" s="15" t="n">
        <v>72.0508</v>
      </c>
      <c r="EU89" s="15" t="n">
        <v>99.76730000000001</v>
      </c>
      <c r="EV89" s="15" t="n">
        <v>81.2089</v>
      </c>
      <c r="FC89" s="15" t="n">
        <v>2</v>
      </c>
      <c r="FD89" s="15" t="n">
        <v>223.0756</v>
      </c>
      <c r="FE89" s="15" t="n">
        <v>64.8184</v>
      </c>
      <c r="FF89" s="15" t="n">
        <v>0</v>
      </c>
      <c r="FG89" s="15" t="n">
        <v>0</v>
      </c>
      <c r="FH89" s="15" t="n">
        <v>70.3806</v>
      </c>
      <c r="FI89" s="15" t="n">
        <v>86.49209999999999</v>
      </c>
      <c r="FJ89" s="15" t="n">
        <v>57.3334</v>
      </c>
      <c r="FK89" s="15" t="n">
        <v>0</v>
      </c>
      <c r="FL89" s="15" t="n">
        <v>0</v>
      </c>
      <c r="FM89" s="15" t="n">
        <v>54.2832</v>
      </c>
      <c r="FN89" s="15" t="n">
        <v>0</v>
      </c>
      <c r="FO89" s="15" t="n">
        <v>79.8168</v>
      </c>
      <c r="FP89" s="15" t="n">
        <v>72.0508</v>
      </c>
      <c r="FQ89" s="15" t="n">
        <v>99.76730000000001</v>
      </c>
      <c r="FR89" s="15" t="n">
        <v>81.2089</v>
      </c>
      <c r="FY89" s="15" t="n">
        <v>2</v>
      </c>
      <c r="FZ89" s="15" t="n">
        <v>223.0756</v>
      </c>
      <c r="GA89" s="15" t="n">
        <v>64.8184</v>
      </c>
      <c r="GB89" s="15" t="n">
        <v>0</v>
      </c>
      <c r="GC89" s="15" t="n">
        <v>0</v>
      </c>
      <c r="GD89" s="15" t="n">
        <v>70.3806</v>
      </c>
      <c r="GE89" s="15" t="n">
        <v>86.49209999999999</v>
      </c>
      <c r="GF89" s="15" t="n">
        <v>57.3334</v>
      </c>
      <c r="GG89" s="15" t="n">
        <v>0</v>
      </c>
      <c r="GH89" s="15" t="n">
        <v>0</v>
      </c>
      <c r="GI89" s="15" t="n">
        <v>54.2832</v>
      </c>
      <c r="GJ89" s="15" t="n">
        <v>0</v>
      </c>
      <c r="GK89" s="15" t="n">
        <v>79.8168</v>
      </c>
      <c r="GL89" s="15" t="n">
        <v>72.0508</v>
      </c>
      <c r="GM89" s="15" t="n">
        <v>99.76730000000001</v>
      </c>
      <c r="GN89" s="15" t="n">
        <v>81.2089</v>
      </c>
      <c r="GU89" s="15" t="n">
        <v>2</v>
      </c>
      <c r="GV89" s="15" t="n">
        <v>223.0756</v>
      </c>
      <c r="GW89" s="15" t="n">
        <v>64.8184</v>
      </c>
      <c r="GX89" s="15" t="n">
        <v>0</v>
      </c>
      <c r="GY89" s="15" t="n">
        <v>0</v>
      </c>
      <c r="GZ89" s="15" t="n">
        <v>70.3806</v>
      </c>
      <c r="HA89" s="15" t="n">
        <v>86.49209999999999</v>
      </c>
      <c r="HB89" s="15" t="n">
        <v>57.3334</v>
      </c>
      <c r="HC89" s="15" t="n">
        <v>0</v>
      </c>
      <c r="HD89" s="15" t="n">
        <v>0</v>
      </c>
      <c r="HE89" s="15" t="n">
        <v>54.2832</v>
      </c>
      <c r="HF89" s="15" t="n">
        <v>0</v>
      </c>
      <c r="HG89" s="15" t="n">
        <v>79.8168</v>
      </c>
      <c r="HH89" s="15" t="n">
        <v>72.0508</v>
      </c>
      <c r="HI89" s="15" t="n">
        <v>99.76730000000001</v>
      </c>
      <c r="HJ89" s="15" t="n">
        <v>81.2089</v>
      </c>
    </row>
    <row r="90">
      <c r="C90" s="15" t="n">
        <v>3</v>
      </c>
      <c r="D90" s="85">
        <f>Matlab_Data!D52</f>
        <v/>
      </c>
      <c r="E90" s="85">
        <f>Matlab_Data!E52</f>
        <v/>
      </c>
      <c r="F90" s="85">
        <f>Matlab_Data!F52</f>
        <v/>
      </c>
      <c r="G90" s="85">
        <f>Matlab_Data!G52</f>
        <v/>
      </c>
      <c r="H90" s="85">
        <f>Matlab_Data!H52</f>
        <v/>
      </c>
      <c r="I90" s="85">
        <f>Matlab_Data!I52</f>
        <v/>
      </c>
      <c r="J90" s="85">
        <f>Matlab_Data!J52</f>
        <v/>
      </c>
      <c r="K90" s="85">
        <f>Matlab_Data!K52</f>
        <v/>
      </c>
      <c r="L90" s="85">
        <f>Matlab_Data!L52</f>
        <v/>
      </c>
      <c r="M90" s="85">
        <f>Matlab_Data!M52</f>
        <v/>
      </c>
      <c r="N90" s="85">
        <f>Matlab_Data!N52</f>
        <v/>
      </c>
      <c r="O90" s="85">
        <f>Matlab_Data!O52</f>
        <v/>
      </c>
      <c r="P90" s="85">
        <f>Matlab_Data!P52</f>
        <v/>
      </c>
      <c r="Q90" s="85">
        <f>Matlab_Data!Q52</f>
        <v/>
      </c>
      <c r="R90" s="85">
        <f>Matlab_Data!R52</f>
        <v/>
      </c>
      <c r="Y90" s="85" t="n"/>
      <c r="Z90" s="85" t="n"/>
      <c r="AA90" s="85" t="n">
        <v>3</v>
      </c>
      <c r="AB90" s="85" t="n">
        <v>102.4257</v>
      </c>
      <c r="AC90" s="85" t="n">
        <v>0</v>
      </c>
      <c r="AD90" s="85" t="n">
        <v>0</v>
      </c>
      <c r="AE90" s="85" t="n">
        <v>95.6105</v>
      </c>
      <c r="AF90" s="85" t="n">
        <v>0</v>
      </c>
      <c r="AG90" s="85" t="n">
        <v>103.1899</v>
      </c>
      <c r="AH90" s="85" t="n">
        <v>68.1494</v>
      </c>
      <c r="AI90" s="85" t="n">
        <v>0</v>
      </c>
      <c r="AJ90" s="85" t="n">
        <v>0</v>
      </c>
      <c r="AK90" s="85" t="n">
        <v>0</v>
      </c>
      <c r="AL90" s="85" t="n">
        <v>58.2861</v>
      </c>
      <c r="AM90" s="85" t="n">
        <v>64.4752</v>
      </c>
      <c r="AN90" s="15" t="n">
        <v>0</v>
      </c>
      <c r="AO90" s="15" t="n">
        <v>0</v>
      </c>
      <c r="AP90" s="15" t="n">
        <v>72.0919</v>
      </c>
      <c r="AW90" s="15" t="n">
        <v>3</v>
      </c>
      <c r="AX90" s="15" t="n">
        <v>102.4257</v>
      </c>
      <c r="AY90" s="15" t="n">
        <v>0</v>
      </c>
      <c r="AZ90" s="15" t="n">
        <v>0</v>
      </c>
      <c r="BA90" s="15" t="n">
        <v>95.6105</v>
      </c>
      <c r="BB90" s="15" t="n">
        <v>0</v>
      </c>
      <c r="BC90" s="15" t="n">
        <v>103.1899</v>
      </c>
      <c r="BD90" s="15" t="n">
        <v>68.1494</v>
      </c>
      <c r="BE90" s="15" t="n">
        <v>0</v>
      </c>
      <c r="BF90" s="15" t="n">
        <v>0</v>
      </c>
      <c r="BG90" s="15" t="n">
        <v>0</v>
      </c>
      <c r="BH90" s="15" t="n">
        <v>58.2861</v>
      </c>
      <c r="BI90" s="15" t="n">
        <v>64.4752</v>
      </c>
      <c r="BJ90" s="15" t="n">
        <v>0</v>
      </c>
      <c r="BK90" s="15" t="n">
        <v>0</v>
      </c>
      <c r="BL90" s="15" t="n">
        <v>72.0919</v>
      </c>
      <c r="BS90" s="15" t="n">
        <v>3</v>
      </c>
      <c r="BT90" s="15" t="n">
        <v>102.4257</v>
      </c>
      <c r="BU90" s="15" t="n">
        <v>0</v>
      </c>
      <c r="BV90" s="15" t="n">
        <v>0</v>
      </c>
      <c r="BW90" s="15" t="n">
        <v>95.6105</v>
      </c>
      <c r="BX90" s="15" t="n">
        <v>0</v>
      </c>
      <c r="BY90" s="15" t="n">
        <v>103.1899</v>
      </c>
      <c r="BZ90" s="15" t="n">
        <v>68.1494</v>
      </c>
      <c r="CA90" s="15" t="n">
        <v>0</v>
      </c>
      <c r="CB90" s="15" t="n">
        <v>0</v>
      </c>
      <c r="CC90" s="15" t="n">
        <v>0</v>
      </c>
      <c r="CD90" s="15" t="n">
        <v>58.2861</v>
      </c>
      <c r="CE90" s="15" t="n">
        <v>64.4752</v>
      </c>
      <c r="CF90" s="15" t="n">
        <v>0</v>
      </c>
      <c r="CG90" s="15" t="n">
        <v>0</v>
      </c>
      <c r="CH90" s="15" t="n">
        <v>72.0919</v>
      </c>
      <c r="CO90" s="15" t="n">
        <v>3</v>
      </c>
      <c r="CP90" s="15" t="n">
        <v>102.4257</v>
      </c>
      <c r="CQ90" s="15" t="n">
        <v>0</v>
      </c>
      <c r="CR90" s="15" t="n">
        <v>0</v>
      </c>
      <c r="CS90" s="15" t="n">
        <v>95.6105</v>
      </c>
      <c r="CT90" s="15" t="n">
        <v>0</v>
      </c>
      <c r="CU90" s="15" t="n">
        <v>103.1899</v>
      </c>
      <c r="CV90" s="15" t="n">
        <v>68.1494</v>
      </c>
      <c r="CW90" s="15" t="n">
        <v>0</v>
      </c>
      <c r="CX90" s="15" t="n">
        <v>0</v>
      </c>
      <c r="CY90" s="15" t="n">
        <v>0</v>
      </c>
      <c r="CZ90" s="15" t="n">
        <v>58.2861</v>
      </c>
      <c r="DA90" s="15" t="n">
        <v>64.4752</v>
      </c>
      <c r="DB90" s="15" t="n">
        <v>0</v>
      </c>
      <c r="DC90" s="15" t="n">
        <v>0</v>
      </c>
      <c r="DD90" s="15" t="n">
        <v>72.0919</v>
      </c>
      <c r="DK90" s="15" t="n">
        <v>3</v>
      </c>
      <c r="DL90" s="15" t="n">
        <v>102.4257</v>
      </c>
      <c r="DM90" s="15" t="n">
        <v>0</v>
      </c>
      <c r="DN90" s="15" t="n">
        <v>0</v>
      </c>
      <c r="DO90" s="15" t="n">
        <v>95.6105</v>
      </c>
      <c r="DP90" s="15" t="n">
        <v>0</v>
      </c>
      <c r="DQ90" s="15" t="n">
        <v>103.1899</v>
      </c>
      <c r="DR90" s="15" t="n">
        <v>68.1494</v>
      </c>
      <c r="DS90" s="15" t="n">
        <v>0</v>
      </c>
      <c r="DT90" s="15" t="n">
        <v>0</v>
      </c>
      <c r="DU90" s="15" t="n">
        <v>0</v>
      </c>
      <c r="DV90" s="15" t="n">
        <v>58.2861</v>
      </c>
      <c r="DW90" s="15" t="n">
        <v>64.4752</v>
      </c>
      <c r="DX90" s="15" t="n">
        <v>0</v>
      </c>
      <c r="DY90" s="15" t="n">
        <v>0</v>
      </c>
      <c r="DZ90" s="15" t="n">
        <v>72.0919</v>
      </c>
      <c r="EG90" s="15" t="n">
        <v>3</v>
      </c>
      <c r="EH90" s="15" t="n">
        <v>102.4257</v>
      </c>
      <c r="EI90" s="15" t="n">
        <v>0</v>
      </c>
      <c r="EJ90" s="15" t="n">
        <v>0</v>
      </c>
      <c r="EK90" s="15" t="n">
        <v>95.6105</v>
      </c>
      <c r="EL90" s="15" t="n">
        <v>0</v>
      </c>
      <c r="EM90" s="15" t="n">
        <v>103.1899</v>
      </c>
      <c r="EN90" s="15" t="n">
        <v>68.1494</v>
      </c>
      <c r="EO90" s="15" t="n">
        <v>0</v>
      </c>
      <c r="EP90" s="15" t="n">
        <v>0</v>
      </c>
      <c r="EQ90" s="15" t="n">
        <v>0</v>
      </c>
      <c r="ER90" s="15" t="n">
        <v>58.2861</v>
      </c>
      <c r="ES90" s="15" t="n">
        <v>64.4752</v>
      </c>
      <c r="ET90" s="15" t="n">
        <v>0</v>
      </c>
      <c r="EU90" s="15" t="n">
        <v>0</v>
      </c>
      <c r="EV90" s="15" t="n">
        <v>72.0919</v>
      </c>
      <c r="FC90" s="15" t="n">
        <v>3</v>
      </c>
      <c r="FD90" s="15" t="n">
        <v>102.4257</v>
      </c>
      <c r="FE90" s="15" t="n">
        <v>0</v>
      </c>
      <c r="FF90" s="15" t="n">
        <v>0</v>
      </c>
      <c r="FG90" s="15" t="n">
        <v>95.6105</v>
      </c>
      <c r="FH90" s="15" t="n">
        <v>0</v>
      </c>
      <c r="FI90" s="15" t="n">
        <v>103.1899</v>
      </c>
      <c r="FJ90" s="15" t="n">
        <v>68.1494</v>
      </c>
      <c r="FK90" s="15" t="n">
        <v>0</v>
      </c>
      <c r="FL90" s="15" t="n">
        <v>0</v>
      </c>
      <c r="FM90" s="15" t="n">
        <v>0</v>
      </c>
      <c r="FN90" s="15" t="n">
        <v>58.2861</v>
      </c>
      <c r="FO90" s="15" t="n">
        <v>64.4752</v>
      </c>
      <c r="FP90" s="15" t="n">
        <v>0</v>
      </c>
      <c r="FQ90" s="15" t="n">
        <v>0</v>
      </c>
      <c r="FR90" s="15" t="n">
        <v>72.0919</v>
      </c>
      <c r="FY90" s="15" t="n">
        <v>3</v>
      </c>
      <c r="FZ90" s="15" t="n">
        <v>102.4257</v>
      </c>
      <c r="GA90" s="15" t="n">
        <v>0</v>
      </c>
      <c r="GB90" s="15" t="n">
        <v>0</v>
      </c>
      <c r="GC90" s="15" t="n">
        <v>95.6105</v>
      </c>
      <c r="GD90" s="15" t="n">
        <v>0</v>
      </c>
      <c r="GE90" s="15" t="n">
        <v>103.1899</v>
      </c>
      <c r="GF90" s="15" t="n">
        <v>68.1494</v>
      </c>
      <c r="GG90" s="15" t="n">
        <v>0</v>
      </c>
      <c r="GH90" s="15" t="n">
        <v>0</v>
      </c>
      <c r="GI90" s="15" t="n">
        <v>0</v>
      </c>
      <c r="GJ90" s="15" t="n">
        <v>58.2861</v>
      </c>
      <c r="GK90" s="15" t="n">
        <v>64.4752</v>
      </c>
      <c r="GL90" s="15" t="n">
        <v>0</v>
      </c>
      <c r="GM90" s="15" t="n">
        <v>0</v>
      </c>
      <c r="GN90" s="15" t="n">
        <v>72.0919</v>
      </c>
      <c r="GU90" s="15" t="n">
        <v>3</v>
      </c>
      <c r="GV90" s="15" t="n">
        <v>102.4257</v>
      </c>
      <c r="GW90" s="15" t="n">
        <v>0</v>
      </c>
      <c r="GX90" s="15" t="n">
        <v>0</v>
      </c>
      <c r="GY90" s="15" t="n">
        <v>95.6105</v>
      </c>
      <c r="GZ90" s="15" t="n">
        <v>0</v>
      </c>
      <c r="HA90" s="15" t="n">
        <v>103.1899</v>
      </c>
      <c r="HB90" s="15" t="n">
        <v>68.1494</v>
      </c>
      <c r="HC90" s="15" t="n">
        <v>0</v>
      </c>
      <c r="HD90" s="15" t="n">
        <v>0</v>
      </c>
      <c r="HE90" s="15" t="n">
        <v>0</v>
      </c>
      <c r="HF90" s="15" t="n">
        <v>58.2861</v>
      </c>
      <c r="HG90" s="15" t="n">
        <v>64.4752</v>
      </c>
      <c r="HH90" s="15" t="n">
        <v>0</v>
      </c>
      <c r="HI90" s="15" t="n">
        <v>0</v>
      </c>
      <c r="HJ90" s="15" t="n">
        <v>72.0919</v>
      </c>
    </row>
    <row r="92">
      <c r="C92" s="15" t="inlineStr">
        <is>
          <t>DesvPad(Cap)</t>
        </is>
      </c>
      <c r="D92" s="15" t="n">
        <v>1</v>
      </c>
      <c r="E92" s="15" t="n">
        <v>2</v>
      </c>
      <c r="F92" s="15" t="n">
        <v>3</v>
      </c>
      <c r="G92" s="15" t="n">
        <v>4</v>
      </c>
      <c r="H92" s="15" t="n">
        <v>5</v>
      </c>
      <c r="I92" s="15" t="n">
        <v>6</v>
      </c>
      <c r="J92" s="15" t="n">
        <v>7</v>
      </c>
      <c r="K92" s="15" t="n">
        <v>8</v>
      </c>
      <c r="L92" s="15" t="n">
        <v>9</v>
      </c>
      <c r="M92" s="15" t="n">
        <v>10</v>
      </c>
      <c r="N92" s="15" t="n">
        <v>11</v>
      </c>
      <c r="O92" s="15" t="n">
        <v>12</v>
      </c>
      <c r="P92" s="15" t="n">
        <v>13</v>
      </c>
      <c r="Q92" s="15" t="n">
        <v>14</v>
      </c>
      <c r="R92" s="15" t="n">
        <v>15</v>
      </c>
      <c r="AA92" s="15" t="inlineStr">
        <is>
          <t>DesvPad(Cap)</t>
        </is>
      </c>
      <c r="AB92" s="15" t="n">
        <v>1</v>
      </c>
      <c r="AC92" s="15" t="n">
        <v>2</v>
      </c>
      <c r="AD92" s="15" t="n">
        <v>3</v>
      </c>
      <c r="AE92" s="15" t="n">
        <v>4</v>
      </c>
      <c r="AF92" s="15" t="n">
        <v>5</v>
      </c>
      <c r="AG92" s="15" t="n">
        <v>6</v>
      </c>
      <c r="AH92" s="15" t="n">
        <v>7</v>
      </c>
      <c r="AI92" s="15" t="n">
        <v>8</v>
      </c>
      <c r="AJ92" s="15" t="n">
        <v>9</v>
      </c>
      <c r="AK92" s="15" t="n">
        <v>10</v>
      </c>
      <c r="AL92" s="15" t="n">
        <v>11</v>
      </c>
      <c r="AM92" s="15" t="n">
        <v>12</v>
      </c>
      <c r="AN92" s="15" t="n">
        <v>13</v>
      </c>
      <c r="AO92" s="15" t="n">
        <v>14</v>
      </c>
      <c r="AP92" s="15" t="n">
        <v>15</v>
      </c>
      <c r="AW92" s="15" t="inlineStr">
        <is>
          <t>DesvPad(Cap)</t>
        </is>
      </c>
      <c r="AX92" s="15" t="n">
        <v>1</v>
      </c>
      <c r="AY92" s="15" t="n">
        <v>2</v>
      </c>
      <c r="AZ92" s="15" t="n">
        <v>3</v>
      </c>
      <c r="BA92" s="15" t="n">
        <v>4</v>
      </c>
      <c r="BB92" s="15" t="n">
        <v>5</v>
      </c>
      <c r="BC92" s="15" t="n">
        <v>6</v>
      </c>
      <c r="BD92" s="15" t="n">
        <v>7</v>
      </c>
      <c r="BE92" s="15" t="n">
        <v>8</v>
      </c>
      <c r="BF92" s="15" t="n">
        <v>9</v>
      </c>
      <c r="BG92" s="15" t="n">
        <v>10</v>
      </c>
      <c r="BH92" s="15" t="n">
        <v>11</v>
      </c>
      <c r="BI92" s="15" t="n">
        <v>12</v>
      </c>
      <c r="BJ92" s="15" t="n">
        <v>13</v>
      </c>
      <c r="BK92" s="15" t="n">
        <v>14</v>
      </c>
      <c r="BL92" s="15" t="n">
        <v>15</v>
      </c>
      <c r="BS92" s="15" t="inlineStr">
        <is>
          <t>DesvPad(Cap)</t>
        </is>
      </c>
      <c r="BT92" s="15" t="n">
        <v>1</v>
      </c>
      <c r="BU92" s="15" t="n">
        <v>2</v>
      </c>
      <c r="BV92" s="15" t="n">
        <v>3</v>
      </c>
      <c r="BW92" s="15" t="n">
        <v>4</v>
      </c>
      <c r="BX92" s="15" t="n">
        <v>5</v>
      </c>
      <c r="BY92" s="15" t="n">
        <v>6</v>
      </c>
      <c r="BZ92" s="15" t="n">
        <v>7</v>
      </c>
      <c r="CA92" s="15" t="n">
        <v>8</v>
      </c>
      <c r="CB92" s="15" t="n">
        <v>9</v>
      </c>
      <c r="CC92" s="15" t="n">
        <v>10</v>
      </c>
      <c r="CD92" s="15" t="n">
        <v>11</v>
      </c>
      <c r="CE92" s="15" t="n">
        <v>12</v>
      </c>
      <c r="CF92" s="15" t="n">
        <v>13</v>
      </c>
      <c r="CG92" s="15" t="n">
        <v>14</v>
      </c>
      <c r="CH92" s="15" t="n">
        <v>15</v>
      </c>
      <c r="CO92" s="15" t="inlineStr">
        <is>
          <t>DesvPad(Cap)</t>
        </is>
      </c>
      <c r="CP92" s="15" t="n">
        <v>1</v>
      </c>
      <c r="CQ92" s="15" t="n">
        <v>2</v>
      </c>
      <c r="CR92" s="15" t="n">
        <v>3</v>
      </c>
      <c r="CS92" s="15" t="n">
        <v>4</v>
      </c>
      <c r="CT92" s="15" t="n">
        <v>5</v>
      </c>
      <c r="CU92" s="15" t="n">
        <v>6</v>
      </c>
      <c r="CV92" s="15" t="n">
        <v>7</v>
      </c>
      <c r="CW92" s="15" t="n">
        <v>8</v>
      </c>
      <c r="CX92" s="15" t="n">
        <v>9</v>
      </c>
      <c r="CY92" s="15" t="n">
        <v>10</v>
      </c>
      <c r="CZ92" s="15" t="n">
        <v>11</v>
      </c>
      <c r="DA92" s="15" t="n">
        <v>12</v>
      </c>
      <c r="DB92" s="15" t="n">
        <v>13</v>
      </c>
      <c r="DC92" s="15" t="n">
        <v>14</v>
      </c>
      <c r="DD92" s="15" t="n">
        <v>15</v>
      </c>
      <c r="DK92" s="15" t="inlineStr">
        <is>
          <t>DesvPad(Cap)</t>
        </is>
      </c>
      <c r="DL92" s="15" t="n">
        <v>1</v>
      </c>
      <c r="DM92" s="15" t="n">
        <v>2</v>
      </c>
      <c r="DN92" s="15" t="n">
        <v>3</v>
      </c>
      <c r="DO92" s="15" t="n">
        <v>4</v>
      </c>
      <c r="DP92" s="15" t="n">
        <v>5</v>
      </c>
      <c r="DQ92" s="15" t="n">
        <v>6</v>
      </c>
      <c r="DR92" s="15" t="n">
        <v>7</v>
      </c>
      <c r="DS92" s="15" t="n">
        <v>8</v>
      </c>
      <c r="DT92" s="15" t="n">
        <v>9</v>
      </c>
      <c r="DU92" s="15" t="n">
        <v>10</v>
      </c>
      <c r="DV92" s="15" t="n">
        <v>11</v>
      </c>
      <c r="DW92" s="15" t="n">
        <v>12</v>
      </c>
      <c r="DX92" s="15" t="n">
        <v>13</v>
      </c>
      <c r="DY92" s="15" t="n">
        <v>14</v>
      </c>
      <c r="DZ92" s="15" t="n">
        <v>15</v>
      </c>
      <c r="EG92" s="15" t="inlineStr">
        <is>
          <t>DesvPad(Cap)</t>
        </is>
      </c>
      <c r="EH92" s="15" t="n">
        <v>1</v>
      </c>
      <c r="EI92" s="15" t="n">
        <v>2</v>
      </c>
      <c r="EJ92" s="15" t="n">
        <v>3</v>
      </c>
      <c r="EK92" s="15" t="n">
        <v>4</v>
      </c>
      <c r="EL92" s="15" t="n">
        <v>5</v>
      </c>
      <c r="EM92" s="15" t="n">
        <v>6</v>
      </c>
      <c r="EN92" s="15" t="n">
        <v>7</v>
      </c>
      <c r="EO92" s="15" t="n">
        <v>8</v>
      </c>
      <c r="EP92" s="15" t="n">
        <v>9</v>
      </c>
      <c r="EQ92" s="15" t="n">
        <v>10</v>
      </c>
      <c r="ER92" s="15" t="n">
        <v>11</v>
      </c>
      <c r="ES92" s="15" t="n">
        <v>12</v>
      </c>
      <c r="ET92" s="15" t="n">
        <v>13</v>
      </c>
      <c r="EU92" s="15" t="n">
        <v>14</v>
      </c>
      <c r="EV92" s="15" t="n">
        <v>15</v>
      </c>
      <c r="FC92" s="15" t="inlineStr">
        <is>
          <t>DesvPad(Cap)</t>
        </is>
      </c>
      <c r="FD92" s="15" t="n">
        <v>1</v>
      </c>
      <c r="FE92" s="15" t="n">
        <v>2</v>
      </c>
      <c r="FF92" s="15" t="n">
        <v>3</v>
      </c>
      <c r="FG92" s="15" t="n">
        <v>4</v>
      </c>
      <c r="FH92" s="15" t="n">
        <v>5</v>
      </c>
      <c r="FI92" s="15" t="n">
        <v>6</v>
      </c>
      <c r="FJ92" s="15" t="n">
        <v>7</v>
      </c>
      <c r="FK92" s="15" t="n">
        <v>8</v>
      </c>
      <c r="FL92" s="15" t="n">
        <v>9</v>
      </c>
      <c r="FM92" s="15" t="n">
        <v>10</v>
      </c>
      <c r="FN92" s="15" t="n">
        <v>11</v>
      </c>
      <c r="FO92" s="15" t="n">
        <v>12</v>
      </c>
      <c r="FP92" s="15" t="n">
        <v>13</v>
      </c>
      <c r="FQ92" s="15" t="n">
        <v>14</v>
      </c>
      <c r="FR92" s="15" t="n">
        <v>15</v>
      </c>
      <c r="FY92" s="15" t="inlineStr">
        <is>
          <t>DesvPad(Cap)</t>
        </is>
      </c>
      <c r="FZ92" s="15" t="n">
        <v>1</v>
      </c>
      <c r="GA92" s="15" t="n">
        <v>2</v>
      </c>
      <c r="GB92" s="15" t="n">
        <v>3</v>
      </c>
      <c r="GC92" s="15" t="n">
        <v>4</v>
      </c>
      <c r="GD92" s="15" t="n">
        <v>5</v>
      </c>
      <c r="GE92" s="15" t="n">
        <v>6</v>
      </c>
      <c r="GF92" s="15" t="n">
        <v>7</v>
      </c>
      <c r="GG92" s="15" t="n">
        <v>8</v>
      </c>
      <c r="GH92" s="15" t="n">
        <v>9</v>
      </c>
      <c r="GI92" s="15" t="n">
        <v>10</v>
      </c>
      <c r="GJ92" s="15" t="n">
        <v>11</v>
      </c>
      <c r="GK92" s="15" t="n">
        <v>12</v>
      </c>
      <c r="GL92" s="15" t="n">
        <v>13</v>
      </c>
      <c r="GM92" s="15" t="n">
        <v>14</v>
      </c>
      <c r="GN92" s="15" t="n">
        <v>15</v>
      </c>
      <c r="GU92" s="15" t="inlineStr">
        <is>
          <t>DesvPad(Cap)</t>
        </is>
      </c>
      <c r="GV92" s="15" t="n">
        <v>1</v>
      </c>
      <c r="GW92" s="15" t="n">
        <v>2</v>
      </c>
      <c r="GX92" s="15" t="n">
        <v>3</v>
      </c>
      <c r="GY92" s="15" t="n">
        <v>4</v>
      </c>
      <c r="GZ92" s="15" t="n">
        <v>5</v>
      </c>
      <c r="HA92" s="15" t="n">
        <v>6</v>
      </c>
      <c r="HB92" s="15" t="n">
        <v>7</v>
      </c>
      <c r="HC92" s="15" t="n">
        <v>8</v>
      </c>
      <c r="HD92" s="15" t="n">
        <v>9</v>
      </c>
      <c r="HE92" s="15" t="n">
        <v>10</v>
      </c>
      <c r="HF92" s="15" t="n">
        <v>11</v>
      </c>
      <c r="HG92" s="15" t="n">
        <v>12</v>
      </c>
      <c r="HH92" s="15" t="n">
        <v>13</v>
      </c>
      <c r="HI92" s="15" t="n">
        <v>14</v>
      </c>
      <c r="HJ92" s="15" t="n">
        <v>15</v>
      </c>
    </row>
    <row r="93">
      <c r="C93" s="15" t="n">
        <v>1</v>
      </c>
      <c r="D93" s="15">
        <f>(Supp_Fourth_central_moment_5var!D10)^0.5</f>
        <v/>
      </c>
      <c r="E93" s="15">
        <f>(Supp_Fourth_central_moment_5var!E10)^0.5</f>
        <v/>
      </c>
      <c r="F93" s="15">
        <f>(Supp_Fourth_central_moment_5var!F10)^0.5</f>
        <v/>
      </c>
      <c r="G93" s="15">
        <f>(Supp_Fourth_central_moment_5var!G10)^0.5</f>
        <v/>
      </c>
      <c r="H93" s="15">
        <f>(Supp_Fourth_central_moment_5var!H10)^0.5</f>
        <v/>
      </c>
      <c r="I93" s="15">
        <f>(Supp_Fourth_central_moment_5var!I10)^0.5</f>
        <v/>
      </c>
      <c r="J93" s="15">
        <f>(Supp_Fourth_central_moment_5var!J10)^0.5</f>
        <v/>
      </c>
      <c r="K93" s="15">
        <f>(Supp_Fourth_central_moment_5var!K10)^0.5</f>
        <v/>
      </c>
      <c r="L93" s="15">
        <f>(Supp_Fourth_central_moment_5var!L10)^0.5</f>
        <v/>
      </c>
      <c r="M93" s="15">
        <f>(Supp_Fourth_central_moment_5var!M10)^0.5</f>
        <v/>
      </c>
      <c r="N93" s="15">
        <f>(Supp_Fourth_central_moment_5var!N10)^0.5</f>
        <v/>
      </c>
      <c r="O93" s="15">
        <f>(Supp_Fourth_central_moment_5var!O10)^0.5</f>
        <v/>
      </c>
      <c r="P93" s="15">
        <f>(Supp_Fourth_central_moment_5var!P10)^0.5</f>
        <v/>
      </c>
      <c r="Q93" s="15">
        <f>(Supp_Fourth_central_moment_5var!Q10)^0.5</f>
        <v/>
      </c>
      <c r="R93" s="15">
        <f>(Supp_Fourth_central_moment_5var!R10)^0.5</f>
        <v/>
      </c>
      <c r="T93" s="39">
        <f>SUM(D93:R95)</f>
        <v/>
      </c>
      <c r="U93" s="39" t="n">
        <v>3042.357986199337</v>
      </c>
      <c r="V93" s="39">
        <f>T93-U93</f>
        <v/>
      </c>
      <c r="W93" s="39" t="n"/>
      <c r="X93" s="39" t="n"/>
      <c r="AA93" s="15" t="n">
        <v>1</v>
      </c>
      <c r="AB93" s="15" t="n">
        <v>60.92</v>
      </c>
      <c r="AC93" s="15" t="n">
        <v>67.24399973231813</v>
      </c>
      <c r="AD93" s="15" t="n">
        <v>73.47399948281024</v>
      </c>
      <c r="AE93" s="15" t="n">
        <v>66.12</v>
      </c>
      <c r="AF93" s="15" t="n">
        <v>81.43199985263779</v>
      </c>
      <c r="AG93" s="15" t="n">
        <v>41.96199947571612</v>
      </c>
      <c r="AH93" s="15" t="n">
        <v>70.63</v>
      </c>
      <c r="AI93" s="15" t="n">
        <v>65.08799966199607</v>
      </c>
      <c r="AJ93" s="15" t="n">
        <v>60.67599937372272</v>
      </c>
      <c r="AK93" s="15" t="n">
        <v>72.78199983512407</v>
      </c>
      <c r="AL93" s="15" t="n">
        <v>84.76799985843715</v>
      </c>
      <c r="AM93" s="15" t="n">
        <v>50.14</v>
      </c>
      <c r="AN93" s="15" t="n">
        <v>50.65599964466203</v>
      </c>
      <c r="AO93" s="15" t="n">
        <v>43.30399981525956</v>
      </c>
      <c r="AP93" s="15" t="n">
        <v>77.7539998971114</v>
      </c>
      <c r="AW93" s="15" t="n">
        <v>1</v>
      </c>
      <c r="AX93" s="15" t="n">
        <v>60.92</v>
      </c>
      <c r="AY93" s="15" t="n">
        <v>67.24399973231813</v>
      </c>
      <c r="AZ93" s="15" t="n">
        <v>73.47399948281024</v>
      </c>
      <c r="BA93" s="15" t="n">
        <v>66.12</v>
      </c>
      <c r="BB93" s="15" t="n">
        <v>81.43199985263779</v>
      </c>
      <c r="BC93" s="15" t="n">
        <v>41.96199947571612</v>
      </c>
      <c r="BD93" s="15" t="n">
        <v>70.63</v>
      </c>
      <c r="BE93" s="15" t="n">
        <v>65.08799966199607</v>
      </c>
      <c r="BF93" s="15" t="n">
        <v>60.67599937372272</v>
      </c>
      <c r="BG93" s="15" t="n">
        <v>72.78199983512407</v>
      </c>
      <c r="BH93" s="15" t="n">
        <v>84.76799985843715</v>
      </c>
      <c r="BI93" s="15" t="n">
        <v>50.14</v>
      </c>
      <c r="BJ93" s="15" t="n">
        <v>50.65599964466203</v>
      </c>
      <c r="BK93" s="15" t="n">
        <v>43.30399981525956</v>
      </c>
      <c r="BL93" s="15" t="n">
        <v>77.7539998971114</v>
      </c>
      <c r="BS93" s="15" t="n">
        <v>1</v>
      </c>
      <c r="BT93" s="15" t="n">
        <v>60.92</v>
      </c>
      <c r="BU93" s="15" t="n">
        <v>67.24399973231813</v>
      </c>
      <c r="BV93" s="15" t="n">
        <v>73.47399948281024</v>
      </c>
      <c r="BW93" s="15" t="n">
        <v>66.12</v>
      </c>
      <c r="BX93" s="15" t="n">
        <v>81.43199985263779</v>
      </c>
      <c r="BY93" s="15" t="n">
        <v>41.96199947571612</v>
      </c>
      <c r="BZ93" s="15" t="n">
        <v>70.63</v>
      </c>
      <c r="CA93" s="15" t="n">
        <v>65.08799966199607</v>
      </c>
      <c r="CB93" s="15" t="n">
        <v>60.67599937372272</v>
      </c>
      <c r="CC93" s="15" t="n">
        <v>72.78199983512407</v>
      </c>
      <c r="CD93" s="15" t="n">
        <v>84.76799985843715</v>
      </c>
      <c r="CE93" s="15" t="n">
        <v>50.14</v>
      </c>
      <c r="CF93" s="15" t="n">
        <v>50.65599964466203</v>
      </c>
      <c r="CG93" s="15" t="n">
        <v>43.30399981525956</v>
      </c>
      <c r="CH93" s="15" t="n">
        <v>77.7539998971114</v>
      </c>
      <c r="CO93" s="15" t="n">
        <v>1</v>
      </c>
      <c r="CP93" s="15" t="n">
        <v>60.92</v>
      </c>
      <c r="CQ93" s="15" t="n">
        <v>67.24399973231813</v>
      </c>
      <c r="CR93" s="15" t="n">
        <v>73.47399948281024</v>
      </c>
      <c r="CS93" s="15" t="n">
        <v>66.12</v>
      </c>
      <c r="CT93" s="15" t="n">
        <v>81.43199985263779</v>
      </c>
      <c r="CU93" s="15" t="n">
        <v>41.96199947571612</v>
      </c>
      <c r="CV93" s="15" t="n">
        <v>70.63</v>
      </c>
      <c r="CW93" s="15" t="n">
        <v>65.08799966199607</v>
      </c>
      <c r="CX93" s="15" t="n">
        <v>60.67599937372272</v>
      </c>
      <c r="CY93" s="15" t="n">
        <v>72.78199983512407</v>
      </c>
      <c r="CZ93" s="15" t="n">
        <v>84.76799985843715</v>
      </c>
      <c r="DA93" s="15" t="n">
        <v>50.14</v>
      </c>
      <c r="DB93" s="15" t="n">
        <v>50.65599964466203</v>
      </c>
      <c r="DC93" s="15" t="n">
        <v>43.30399981525956</v>
      </c>
      <c r="DD93" s="15" t="n">
        <v>77.7539998971114</v>
      </c>
      <c r="DK93" s="15" t="n">
        <v>1</v>
      </c>
      <c r="DL93" s="15" t="n">
        <v>60.92</v>
      </c>
      <c r="DM93" s="15" t="n">
        <v>67.24399973231813</v>
      </c>
      <c r="DN93" s="15" t="n">
        <v>73.47399948281024</v>
      </c>
      <c r="DO93" s="15" t="n">
        <v>66.12</v>
      </c>
      <c r="DP93" s="15" t="n">
        <v>81.43199985263779</v>
      </c>
      <c r="DQ93" s="15" t="n">
        <v>41.96199947571612</v>
      </c>
      <c r="DR93" s="15" t="n">
        <v>70.63</v>
      </c>
      <c r="DS93" s="15" t="n">
        <v>65.08799966199607</v>
      </c>
      <c r="DT93" s="15" t="n">
        <v>60.67599937372272</v>
      </c>
      <c r="DU93" s="15" t="n">
        <v>72.78199983512407</v>
      </c>
      <c r="DV93" s="15" t="n">
        <v>84.76799985843715</v>
      </c>
      <c r="DW93" s="15" t="n">
        <v>50.14</v>
      </c>
      <c r="DX93" s="15" t="n">
        <v>50.65599964466203</v>
      </c>
      <c r="DY93" s="15" t="n">
        <v>43.30399981525956</v>
      </c>
      <c r="DZ93" s="15" t="n">
        <v>77.7539998971114</v>
      </c>
      <c r="EG93" s="15" t="n">
        <v>1</v>
      </c>
      <c r="EH93" s="15" t="n">
        <v>60.92</v>
      </c>
      <c r="EI93" s="15" t="n">
        <v>67.24399973231813</v>
      </c>
      <c r="EJ93" s="15" t="n">
        <v>73.47399948281024</v>
      </c>
      <c r="EK93" s="15" t="n">
        <v>66.12</v>
      </c>
      <c r="EL93" s="15" t="n">
        <v>81.43199985263779</v>
      </c>
      <c r="EM93" s="15" t="n">
        <v>41.96199947571612</v>
      </c>
      <c r="EN93" s="15" t="n">
        <v>70.63</v>
      </c>
      <c r="EO93" s="15" t="n">
        <v>65.08799966199607</v>
      </c>
      <c r="EP93" s="15" t="n">
        <v>60.67599937372272</v>
      </c>
      <c r="EQ93" s="15" t="n">
        <v>72.78199983512407</v>
      </c>
      <c r="ER93" s="15" t="n">
        <v>84.76799985843715</v>
      </c>
      <c r="ES93" s="15" t="n">
        <v>50.14</v>
      </c>
      <c r="ET93" s="15" t="n">
        <v>50.65599964466203</v>
      </c>
      <c r="EU93" s="15" t="n">
        <v>43.30399981525956</v>
      </c>
      <c r="EV93" s="15" t="n">
        <v>77.7539998971114</v>
      </c>
      <c r="FC93" s="15" t="n">
        <v>1</v>
      </c>
      <c r="FD93" s="15" t="n">
        <v>60.92</v>
      </c>
      <c r="FE93" s="15" t="n">
        <v>67.24399973231813</v>
      </c>
      <c r="FF93" s="15" t="n">
        <v>73.47399948281024</v>
      </c>
      <c r="FG93" s="15" t="n">
        <v>66.12</v>
      </c>
      <c r="FH93" s="15" t="n">
        <v>81.43199985263779</v>
      </c>
      <c r="FI93" s="15" t="n">
        <v>41.96199947571612</v>
      </c>
      <c r="FJ93" s="15" t="n">
        <v>70.63</v>
      </c>
      <c r="FK93" s="15" t="n">
        <v>65.08799966199607</v>
      </c>
      <c r="FL93" s="15" t="n">
        <v>60.67599937372272</v>
      </c>
      <c r="FM93" s="15" t="n">
        <v>72.78199983512407</v>
      </c>
      <c r="FN93" s="15" t="n">
        <v>84.76799985843715</v>
      </c>
      <c r="FO93" s="15" t="n">
        <v>50.14</v>
      </c>
      <c r="FP93" s="15" t="n">
        <v>50.65599964466203</v>
      </c>
      <c r="FQ93" s="15" t="n">
        <v>43.30399981525956</v>
      </c>
      <c r="FR93" s="15" t="n">
        <v>77.7539998971114</v>
      </c>
      <c r="FY93" s="15" t="n">
        <v>1</v>
      </c>
      <c r="FZ93" s="15" t="n">
        <v>60.92</v>
      </c>
      <c r="GA93" s="15" t="n">
        <v>67.24399973231813</v>
      </c>
      <c r="GB93" s="15" t="n">
        <v>73.47399948281024</v>
      </c>
      <c r="GC93" s="15" t="n">
        <v>66.12</v>
      </c>
      <c r="GD93" s="15" t="n">
        <v>81.43199985263779</v>
      </c>
      <c r="GE93" s="15" t="n">
        <v>41.96199947571612</v>
      </c>
      <c r="GF93" s="15" t="n">
        <v>70.63</v>
      </c>
      <c r="GG93" s="15" t="n">
        <v>65.08799966199607</v>
      </c>
      <c r="GH93" s="15" t="n">
        <v>60.67599937372272</v>
      </c>
      <c r="GI93" s="15" t="n">
        <v>72.78199983512407</v>
      </c>
      <c r="GJ93" s="15" t="n">
        <v>84.76799985843715</v>
      </c>
      <c r="GK93" s="15" t="n">
        <v>50.14</v>
      </c>
      <c r="GL93" s="15" t="n">
        <v>50.65599964466203</v>
      </c>
      <c r="GM93" s="15" t="n">
        <v>43.30399981525956</v>
      </c>
      <c r="GN93" s="15" t="n">
        <v>77.7539998971114</v>
      </c>
      <c r="GU93" s="15" t="n">
        <v>1</v>
      </c>
      <c r="GV93" s="15" t="n">
        <v>60.92</v>
      </c>
      <c r="GW93" s="15" t="n">
        <v>67.24399973231813</v>
      </c>
      <c r="GX93" s="15" t="n">
        <v>73.47399948281024</v>
      </c>
      <c r="GY93" s="15" t="n">
        <v>66.12</v>
      </c>
      <c r="GZ93" s="15" t="n">
        <v>81.43199985263779</v>
      </c>
      <c r="HA93" s="15" t="n">
        <v>41.96199947571612</v>
      </c>
      <c r="HB93" s="15" t="n">
        <v>70.63</v>
      </c>
      <c r="HC93" s="15" t="n">
        <v>65.08799966199607</v>
      </c>
      <c r="HD93" s="15" t="n">
        <v>60.67599937372272</v>
      </c>
      <c r="HE93" s="15" t="n">
        <v>72.78199983512407</v>
      </c>
      <c r="HF93" s="15" t="n">
        <v>84.76799985843715</v>
      </c>
      <c r="HG93" s="15" t="n">
        <v>50.14</v>
      </c>
      <c r="HH93" s="15" t="n">
        <v>50.65599964466203</v>
      </c>
      <c r="HI93" s="15" t="n">
        <v>43.30399981525956</v>
      </c>
      <c r="HJ93" s="15" t="n">
        <v>77.7539998971114</v>
      </c>
    </row>
    <row r="94">
      <c r="C94" s="15" t="n">
        <v>2</v>
      </c>
      <c r="D94" s="15">
        <f>(Supp_Fourth_central_moment_5var!D11)^0.5</f>
        <v/>
      </c>
      <c r="E94" s="15">
        <f>(Supp_Fourth_central_moment_5var!E11)^0.5</f>
        <v/>
      </c>
      <c r="F94" s="15">
        <f>(Supp_Fourth_central_moment_5var!F11)^0.5</f>
        <v/>
      </c>
      <c r="G94" s="15">
        <f>(Supp_Fourth_central_moment_5var!G11)^0.5</f>
        <v/>
      </c>
      <c r="H94" s="15">
        <f>(Supp_Fourth_central_moment_5var!H11)^0.5</f>
        <v/>
      </c>
      <c r="I94" s="15">
        <f>(Supp_Fourth_central_moment_5var!I11)^0.5</f>
        <v/>
      </c>
      <c r="J94" s="15">
        <f>(Supp_Fourth_central_moment_5var!J11)^0.5</f>
        <v/>
      </c>
      <c r="K94" s="15">
        <f>(Supp_Fourth_central_moment_5var!K11)^0.5</f>
        <v/>
      </c>
      <c r="L94" s="15">
        <f>(Supp_Fourth_central_moment_5var!L11)^0.5</f>
        <v/>
      </c>
      <c r="M94" s="15">
        <f>(Supp_Fourth_central_moment_5var!M11)^0.5</f>
        <v/>
      </c>
      <c r="N94" s="15">
        <f>(Supp_Fourth_central_moment_5var!N11)^0.5</f>
        <v/>
      </c>
      <c r="O94" s="15">
        <f>(Supp_Fourth_central_moment_5var!O11)^0.5</f>
        <v/>
      </c>
      <c r="P94" s="15">
        <f>(Supp_Fourth_central_moment_5var!P11)^0.5</f>
        <v/>
      </c>
      <c r="Q94" s="15">
        <f>(Supp_Fourth_central_moment_5var!Q11)^0.5</f>
        <v/>
      </c>
      <c r="R94" s="15">
        <f>(Supp_Fourth_central_moment_5var!R11)^0.5</f>
        <v/>
      </c>
      <c r="AA94" s="15" t="n">
        <v>2</v>
      </c>
      <c r="AB94" s="15" t="n">
        <v>57.73599916862962</v>
      </c>
      <c r="AC94" s="15" t="n">
        <v>50.91599945007463</v>
      </c>
      <c r="AD94" s="15" t="n">
        <v>66.76599958062486</v>
      </c>
      <c r="AE94" s="15" t="n">
        <v>113.9919997192785</v>
      </c>
      <c r="AF94" s="15" t="n">
        <v>72.72199942245813</v>
      </c>
      <c r="AG94" s="15" t="n">
        <v>71.90799955498693</v>
      </c>
      <c r="AH94" s="15" t="n">
        <v>60.93199980305915</v>
      </c>
      <c r="AI94" s="15" t="n">
        <v>62.43399955152641</v>
      </c>
      <c r="AJ94" s="15" t="n">
        <v>75.82199944607106</v>
      </c>
      <c r="AK94" s="15" t="n">
        <v>46.66</v>
      </c>
      <c r="AL94" s="15" t="n">
        <v>77.58399963910084</v>
      </c>
      <c r="AM94" s="15" t="n">
        <v>66.01199966672726</v>
      </c>
      <c r="AN94" s="15" t="n">
        <v>53.27199921159333</v>
      </c>
      <c r="AO94" s="15" t="n">
        <v>81.65399990202562</v>
      </c>
      <c r="AP94" s="15" t="n">
        <v>71.61399932974</v>
      </c>
      <c r="AW94" s="15" t="n">
        <v>2</v>
      </c>
      <c r="AX94" s="15" t="n">
        <v>57.73599916862962</v>
      </c>
      <c r="AY94" s="15" t="n">
        <v>50.91599945007463</v>
      </c>
      <c r="AZ94" s="15" t="n">
        <v>66.76599958062486</v>
      </c>
      <c r="BA94" s="15" t="n">
        <v>113.9919997192785</v>
      </c>
      <c r="BB94" s="15" t="n">
        <v>72.72199942245813</v>
      </c>
      <c r="BC94" s="15" t="n">
        <v>71.90799955498693</v>
      </c>
      <c r="BD94" s="15" t="n">
        <v>60.93199980305915</v>
      </c>
      <c r="BE94" s="15" t="n">
        <v>62.43399955152641</v>
      </c>
      <c r="BF94" s="15" t="n">
        <v>75.82199944607106</v>
      </c>
      <c r="BG94" s="15" t="n">
        <v>46.66</v>
      </c>
      <c r="BH94" s="15" t="n">
        <v>77.58399963910084</v>
      </c>
      <c r="BI94" s="15" t="n">
        <v>66.01199966672726</v>
      </c>
      <c r="BJ94" s="15" t="n">
        <v>53.27199921159333</v>
      </c>
      <c r="BK94" s="15" t="n">
        <v>81.65399990202562</v>
      </c>
      <c r="BL94" s="15" t="n">
        <v>71.61399932974</v>
      </c>
      <c r="BS94" s="15" t="n">
        <v>2</v>
      </c>
      <c r="BT94" s="15" t="n">
        <v>57.73599916862962</v>
      </c>
      <c r="BU94" s="15" t="n">
        <v>50.91599945007463</v>
      </c>
      <c r="BV94" s="15" t="n">
        <v>66.76599958062486</v>
      </c>
      <c r="BW94" s="15" t="n">
        <v>113.9919997192785</v>
      </c>
      <c r="BX94" s="15" t="n">
        <v>72.72199942245813</v>
      </c>
      <c r="BY94" s="15" t="n">
        <v>71.90799955498693</v>
      </c>
      <c r="BZ94" s="15" t="n">
        <v>60.93199980305915</v>
      </c>
      <c r="CA94" s="15" t="n">
        <v>62.43399955152641</v>
      </c>
      <c r="CB94" s="15" t="n">
        <v>75.82199944607106</v>
      </c>
      <c r="CC94" s="15" t="n">
        <v>46.66</v>
      </c>
      <c r="CD94" s="15" t="n">
        <v>77.58399963910084</v>
      </c>
      <c r="CE94" s="15" t="n">
        <v>66.01199966672726</v>
      </c>
      <c r="CF94" s="15" t="n">
        <v>53.27199921159333</v>
      </c>
      <c r="CG94" s="15" t="n">
        <v>81.65399990202562</v>
      </c>
      <c r="CH94" s="15" t="n">
        <v>71.61399932974</v>
      </c>
      <c r="CO94" s="15" t="n">
        <v>2</v>
      </c>
      <c r="CP94" s="15" t="n">
        <v>57.73599916862962</v>
      </c>
      <c r="CQ94" s="15" t="n">
        <v>50.91599945007463</v>
      </c>
      <c r="CR94" s="15" t="n">
        <v>66.76599958062486</v>
      </c>
      <c r="CS94" s="15" t="n">
        <v>113.9919997192785</v>
      </c>
      <c r="CT94" s="15" t="n">
        <v>72.72199942245813</v>
      </c>
      <c r="CU94" s="15" t="n">
        <v>71.90799955498693</v>
      </c>
      <c r="CV94" s="15" t="n">
        <v>60.93199980305915</v>
      </c>
      <c r="CW94" s="15" t="n">
        <v>62.43399955152641</v>
      </c>
      <c r="CX94" s="15" t="n">
        <v>75.82199944607106</v>
      </c>
      <c r="CY94" s="15" t="n">
        <v>46.66</v>
      </c>
      <c r="CZ94" s="15" t="n">
        <v>77.58399963910084</v>
      </c>
      <c r="DA94" s="15" t="n">
        <v>66.01199966672726</v>
      </c>
      <c r="DB94" s="15" t="n">
        <v>53.27199921159333</v>
      </c>
      <c r="DC94" s="15" t="n">
        <v>81.65399990202562</v>
      </c>
      <c r="DD94" s="15" t="n">
        <v>71.61399932974</v>
      </c>
      <c r="DK94" s="15" t="n">
        <v>2</v>
      </c>
      <c r="DL94" s="15" t="n">
        <v>57.73599916862962</v>
      </c>
      <c r="DM94" s="15" t="n">
        <v>50.91599945007463</v>
      </c>
      <c r="DN94" s="15" t="n">
        <v>66.76599958062486</v>
      </c>
      <c r="DO94" s="15" t="n">
        <v>113.9919997192785</v>
      </c>
      <c r="DP94" s="15" t="n">
        <v>72.72199942245813</v>
      </c>
      <c r="DQ94" s="15" t="n">
        <v>71.90799955498693</v>
      </c>
      <c r="DR94" s="15" t="n">
        <v>60.93199980305915</v>
      </c>
      <c r="DS94" s="15" t="n">
        <v>62.43399955152641</v>
      </c>
      <c r="DT94" s="15" t="n">
        <v>75.82199944607106</v>
      </c>
      <c r="DU94" s="15" t="n">
        <v>46.66</v>
      </c>
      <c r="DV94" s="15" t="n">
        <v>77.58399963910084</v>
      </c>
      <c r="DW94" s="15" t="n">
        <v>66.01199966672726</v>
      </c>
      <c r="DX94" s="15" t="n">
        <v>53.27199921159333</v>
      </c>
      <c r="DY94" s="15" t="n">
        <v>81.65399990202562</v>
      </c>
      <c r="DZ94" s="15" t="n">
        <v>71.61399932974</v>
      </c>
      <c r="EG94" s="15" t="n">
        <v>2</v>
      </c>
      <c r="EH94" s="15" t="n">
        <v>57.73599916862962</v>
      </c>
      <c r="EI94" s="15" t="n">
        <v>50.91599945007463</v>
      </c>
      <c r="EJ94" s="15" t="n">
        <v>66.76599958062486</v>
      </c>
      <c r="EK94" s="15" t="n">
        <v>113.9919997192785</v>
      </c>
      <c r="EL94" s="15" t="n">
        <v>72.72199942245813</v>
      </c>
      <c r="EM94" s="15" t="n">
        <v>71.90799955498693</v>
      </c>
      <c r="EN94" s="15" t="n">
        <v>60.93199980305915</v>
      </c>
      <c r="EO94" s="15" t="n">
        <v>62.43399955152641</v>
      </c>
      <c r="EP94" s="15" t="n">
        <v>75.82199944607106</v>
      </c>
      <c r="EQ94" s="15" t="n">
        <v>46.66</v>
      </c>
      <c r="ER94" s="15" t="n">
        <v>77.58399963910084</v>
      </c>
      <c r="ES94" s="15" t="n">
        <v>66.01199966672726</v>
      </c>
      <c r="ET94" s="15" t="n">
        <v>53.27199921159333</v>
      </c>
      <c r="EU94" s="15" t="n">
        <v>81.65399990202562</v>
      </c>
      <c r="EV94" s="15" t="n">
        <v>71.61399932974</v>
      </c>
      <c r="FC94" s="15" t="n">
        <v>2</v>
      </c>
      <c r="FD94" s="15" t="n">
        <v>57.73599916862962</v>
      </c>
      <c r="FE94" s="15" t="n">
        <v>50.91599945007463</v>
      </c>
      <c r="FF94" s="15" t="n">
        <v>66.76599958062486</v>
      </c>
      <c r="FG94" s="15" t="n">
        <v>113.9919997192785</v>
      </c>
      <c r="FH94" s="15" t="n">
        <v>72.72199942245813</v>
      </c>
      <c r="FI94" s="15" t="n">
        <v>71.90799955498693</v>
      </c>
      <c r="FJ94" s="15" t="n">
        <v>60.93199980305915</v>
      </c>
      <c r="FK94" s="15" t="n">
        <v>62.43399955152641</v>
      </c>
      <c r="FL94" s="15" t="n">
        <v>75.82199944607106</v>
      </c>
      <c r="FM94" s="15" t="n">
        <v>46.66</v>
      </c>
      <c r="FN94" s="15" t="n">
        <v>77.58399963910084</v>
      </c>
      <c r="FO94" s="15" t="n">
        <v>66.01199966672726</v>
      </c>
      <c r="FP94" s="15" t="n">
        <v>53.27199921159333</v>
      </c>
      <c r="FQ94" s="15" t="n">
        <v>81.65399990202562</v>
      </c>
      <c r="FR94" s="15" t="n">
        <v>71.61399932974</v>
      </c>
      <c r="FY94" s="15" t="n">
        <v>2</v>
      </c>
      <c r="FZ94" s="15" t="n">
        <v>57.73599916862962</v>
      </c>
      <c r="GA94" s="15" t="n">
        <v>50.91599945007463</v>
      </c>
      <c r="GB94" s="15" t="n">
        <v>66.76599958062486</v>
      </c>
      <c r="GC94" s="15" t="n">
        <v>113.9919997192785</v>
      </c>
      <c r="GD94" s="15" t="n">
        <v>72.72199942245813</v>
      </c>
      <c r="GE94" s="15" t="n">
        <v>71.90799955498693</v>
      </c>
      <c r="GF94" s="15" t="n">
        <v>60.93199980305915</v>
      </c>
      <c r="GG94" s="15" t="n">
        <v>62.43399955152641</v>
      </c>
      <c r="GH94" s="15" t="n">
        <v>75.82199944607106</v>
      </c>
      <c r="GI94" s="15" t="n">
        <v>46.66</v>
      </c>
      <c r="GJ94" s="15" t="n">
        <v>77.58399963910084</v>
      </c>
      <c r="GK94" s="15" t="n">
        <v>66.01199966672726</v>
      </c>
      <c r="GL94" s="15" t="n">
        <v>53.27199921159333</v>
      </c>
      <c r="GM94" s="15" t="n">
        <v>81.65399990202562</v>
      </c>
      <c r="GN94" s="15" t="n">
        <v>71.61399932974</v>
      </c>
      <c r="GU94" s="15" t="n">
        <v>2</v>
      </c>
      <c r="GV94" s="15" t="n">
        <v>57.73599916862962</v>
      </c>
      <c r="GW94" s="15" t="n">
        <v>50.91599945007463</v>
      </c>
      <c r="GX94" s="15" t="n">
        <v>66.76599958062486</v>
      </c>
      <c r="GY94" s="15" t="n">
        <v>113.9919997192785</v>
      </c>
      <c r="GZ94" s="15" t="n">
        <v>72.72199942245813</v>
      </c>
      <c r="HA94" s="15" t="n">
        <v>71.90799955498693</v>
      </c>
      <c r="HB94" s="15" t="n">
        <v>60.93199980305915</v>
      </c>
      <c r="HC94" s="15" t="n">
        <v>62.43399955152641</v>
      </c>
      <c r="HD94" s="15" t="n">
        <v>75.82199944607106</v>
      </c>
      <c r="HE94" s="15" t="n">
        <v>46.66</v>
      </c>
      <c r="HF94" s="15" t="n">
        <v>77.58399963910084</v>
      </c>
      <c r="HG94" s="15" t="n">
        <v>66.01199966672726</v>
      </c>
      <c r="HH94" s="15" t="n">
        <v>53.27199921159333</v>
      </c>
      <c r="HI94" s="15" t="n">
        <v>81.65399990202562</v>
      </c>
      <c r="HJ94" s="15" t="n">
        <v>71.61399932974</v>
      </c>
    </row>
    <row r="95">
      <c r="C95" s="15" t="n">
        <v>3</v>
      </c>
      <c r="D95" s="15">
        <f>(Supp_Fourth_central_moment_5var!D12)^0.5</f>
        <v/>
      </c>
      <c r="E95" s="15">
        <f>(Supp_Fourth_central_moment_5var!E12)^0.5</f>
        <v/>
      </c>
      <c r="F95" s="15">
        <f>(Supp_Fourth_central_moment_5var!F12)^0.5</f>
        <v/>
      </c>
      <c r="G95" s="15">
        <f>(Supp_Fourth_central_moment_5var!G12)^0.5</f>
        <v/>
      </c>
      <c r="H95" s="15">
        <f>(Supp_Fourth_central_moment_5var!H12)^0.5</f>
        <v/>
      </c>
      <c r="I95" s="15">
        <f>(Supp_Fourth_central_moment_5var!I12)^0.5</f>
        <v/>
      </c>
      <c r="J95" s="15">
        <f>(Supp_Fourth_central_moment_5var!J12)^0.5</f>
        <v/>
      </c>
      <c r="K95" s="15">
        <f>(Supp_Fourth_central_moment_5var!K12)^0.5</f>
        <v/>
      </c>
      <c r="L95" s="15">
        <f>(Supp_Fourth_central_moment_5var!L12)^0.5</f>
        <v/>
      </c>
      <c r="M95" s="15">
        <f>(Supp_Fourth_central_moment_5var!M12)^0.5</f>
        <v/>
      </c>
      <c r="N95" s="15">
        <f>(Supp_Fourth_central_moment_5var!N12)^0.5</f>
        <v/>
      </c>
      <c r="O95" s="15">
        <f>(Supp_Fourth_central_moment_5var!O12)^0.5</f>
        <v/>
      </c>
      <c r="P95" s="15">
        <f>(Supp_Fourth_central_moment_5var!P12)^0.5</f>
        <v/>
      </c>
      <c r="Q95" s="15">
        <f>(Supp_Fourth_central_moment_5var!Q12)^0.5</f>
        <v/>
      </c>
      <c r="R95" s="15">
        <f>(Supp_Fourth_central_moment_5var!R12)^0.5</f>
        <v/>
      </c>
      <c r="AA95" s="15" t="n">
        <v>3</v>
      </c>
      <c r="AB95" s="15" t="n">
        <v>65.53399957274087</v>
      </c>
      <c r="AC95" s="15" t="n">
        <v>71.84799997216346</v>
      </c>
      <c r="AD95" s="15" t="n">
        <v>80.70799960350895</v>
      </c>
      <c r="AE95" s="15" t="n">
        <v>83.1479999759465</v>
      </c>
      <c r="AF95" s="15" t="n">
        <v>73.62799942956484</v>
      </c>
      <c r="AG95" s="15" t="n">
        <v>61.30799947804528</v>
      </c>
      <c r="AH95" s="15" t="n">
        <v>44.04</v>
      </c>
      <c r="AI95" s="15" t="n">
        <v>81.61</v>
      </c>
      <c r="AJ95" s="15" t="n">
        <v>79.6059997738864</v>
      </c>
      <c r="AK95" s="15" t="n">
        <v>61.1</v>
      </c>
      <c r="AL95" s="15" t="n">
        <v>48.31</v>
      </c>
      <c r="AM95" s="15" t="n">
        <v>63.10599971476563</v>
      </c>
      <c r="AN95" s="15" t="n">
        <v>87.37599956509797</v>
      </c>
      <c r="AO95" s="15" t="n">
        <v>78.62799946583914</v>
      </c>
      <c r="AP95" s="15" t="n">
        <v>65.4339995720879</v>
      </c>
      <c r="AW95" s="15" t="n">
        <v>3</v>
      </c>
      <c r="AX95" s="15" t="n">
        <v>65.53399957274087</v>
      </c>
      <c r="AY95" s="15" t="n">
        <v>71.84799997216346</v>
      </c>
      <c r="AZ95" s="15" t="n">
        <v>80.70799960350895</v>
      </c>
      <c r="BA95" s="15" t="n">
        <v>83.1479999759465</v>
      </c>
      <c r="BB95" s="15" t="n">
        <v>73.62799942956484</v>
      </c>
      <c r="BC95" s="15" t="n">
        <v>61.30799947804528</v>
      </c>
      <c r="BD95" s="15" t="n">
        <v>44.04</v>
      </c>
      <c r="BE95" s="15" t="n">
        <v>81.61</v>
      </c>
      <c r="BF95" s="15" t="n">
        <v>79.6059997738864</v>
      </c>
      <c r="BG95" s="15" t="n">
        <v>61.1</v>
      </c>
      <c r="BH95" s="15" t="n">
        <v>48.31</v>
      </c>
      <c r="BI95" s="15" t="n">
        <v>63.10599971476563</v>
      </c>
      <c r="BJ95" s="15" t="n">
        <v>87.37599956509797</v>
      </c>
      <c r="BK95" s="15" t="n">
        <v>78.62799946583914</v>
      </c>
      <c r="BL95" s="15" t="n">
        <v>65.4339995720879</v>
      </c>
      <c r="BS95" s="15" t="n">
        <v>3</v>
      </c>
      <c r="BT95" s="15" t="n">
        <v>65.53399957274087</v>
      </c>
      <c r="BU95" s="15" t="n">
        <v>71.84799997216346</v>
      </c>
      <c r="BV95" s="15" t="n">
        <v>80.70799960350895</v>
      </c>
      <c r="BW95" s="15" t="n">
        <v>83.1479999759465</v>
      </c>
      <c r="BX95" s="15" t="n">
        <v>73.62799942956484</v>
      </c>
      <c r="BY95" s="15" t="n">
        <v>61.30799947804528</v>
      </c>
      <c r="BZ95" s="15" t="n">
        <v>44.04</v>
      </c>
      <c r="CA95" s="15" t="n">
        <v>81.61</v>
      </c>
      <c r="CB95" s="15" t="n">
        <v>79.6059997738864</v>
      </c>
      <c r="CC95" s="15" t="n">
        <v>61.1</v>
      </c>
      <c r="CD95" s="15" t="n">
        <v>48.31</v>
      </c>
      <c r="CE95" s="15" t="n">
        <v>63.10599971476563</v>
      </c>
      <c r="CF95" s="15" t="n">
        <v>87.37599956509797</v>
      </c>
      <c r="CG95" s="15" t="n">
        <v>78.62799946583914</v>
      </c>
      <c r="CH95" s="15" t="n">
        <v>65.4339995720879</v>
      </c>
      <c r="CO95" s="15" t="n">
        <v>3</v>
      </c>
      <c r="CP95" s="15" t="n">
        <v>65.53399957274087</v>
      </c>
      <c r="CQ95" s="15" t="n">
        <v>71.84799997216346</v>
      </c>
      <c r="CR95" s="15" t="n">
        <v>80.70799960350895</v>
      </c>
      <c r="CS95" s="15" t="n">
        <v>83.1479999759465</v>
      </c>
      <c r="CT95" s="15" t="n">
        <v>73.62799942956484</v>
      </c>
      <c r="CU95" s="15" t="n">
        <v>61.30799947804528</v>
      </c>
      <c r="CV95" s="15" t="n">
        <v>44.04</v>
      </c>
      <c r="CW95" s="15" t="n">
        <v>81.61</v>
      </c>
      <c r="CX95" s="15" t="n">
        <v>79.6059997738864</v>
      </c>
      <c r="CY95" s="15" t="n">
        <v>61.1</v>
      </c>
      <c r="CZ95" s="15" t="n">
        <v>48.31</v>
      </c>
      <c r="DA95" s="15" t="n">
        <v>63.10599971476563</v>
      </c>
      <c r="DB95" s="15" t="n">
        <v>87.37599956509797</v>
      </c>
      <c r="DC95" s="15" t="n">
        <v>78.62799946583914</v>
      </c>
      <c r="DD95" s="15" t="n">
        <v>65.4339995720879</v>
      </c>
      <c r="DK95" s="15" t="n">
        <v>3</v>
      </c>
      <c r="DL95" s="15" t="n">
        <v>65.53399957274087</v>
      </c>
      <c r="DM95" s="15" t="n">
        <v>71.84799997216346</v>
      </c>
      <c r="DN95" s="15" t="n">
        <v>80.70799960350895</v>
      </c>
      <c r="DO95" s="15" t="n">
        <v>83.1479999759465</v>
      </c>
      <c r="DP95" s="15" t="n">
        <v>73.62799942956484</v>
      </c>
      <c r="DQ95" s="15" t="n">
        <v>61.30799947804528</v>
      </c>
      <c r="DR95" s="15" t="n">
        <v>44.04</v>
      </c>
      <c r="DS95" s="15" t="n">
        <v>81.61</v>
      </c>
      <c r="DT95" s="15" t="n">
        <v>79.6059997738864</v>
      </c>
      <c r="DU95" s="15" t="n">
        <v>61.1</v>
      </c>
      <c r="DV95" s="15" t="n">
        <v>48.31</v>
      </c>
      <c r="DW95" s="15" t="n">
        <v>63.10599971476563</v>
      </c>
      <c r="DX95" s="15" t="n">
        <v>87.37599956509797</v>
      </c>
      <c r="DY95" s="15" t="n">
        <v>78.62799946583914</v>
      </c>
      <c r="DZ95" s="15" t="n">
        <v>65.4339995720879</v>
      </c>
      <c r="EG95" s="15" t="n">
        <v>3</v>
      </c>
      <c r="EH95" s="15" t="n">
        <v>65.53399957274087</v>
      </c>
      <c r="EI95" s="15" t="n">
        <v>71.84799997216346</v>
      </c>
      <c r="EJ95" s="15" t="n">
        <v>80.70799960350895</v>
      </c>
      <c r="EK95" s="15" t="n">
        <v>83.1479999759465</v>
      </c>
      <c r="EL95" s="15" t="n">
        <v>73.62799942956484</v>
      </c>
      <c r="EM95" s="15" t="n">
        <v>61.30799947804528</v>
      </c>
      <c r="EN95" s="15" t="n">
        <v>44.04</v>
      </c>
      <c r="EO95" s="15" t="n">
        <v>81.61</v>
      </c>
      <c r="EP95" s="15" t="n">
        <v>79.6059997738864</v>
      </c>
      <c r="EQ95" s="15" t="n">
        <v>61.1</v>
      </c>
      <c r="ER95" s="15" t="n">
        <v>48.31</v>
      </c>
      <c r="ES95" s="15" t="n">
        <v>63.10599971476563</v>
      </c>
      <c r="ET95" s="15" t="n">
        <v>87.37599956509797</v>
      </c>
      <c r="EU95" s="15" t="n">
        <v>78.62799946583914</v>
      </c>
      <c r="EV95" s="15" t="n">
        <v>65.4339995720879</v>
      </c>
      <c r="FC95" s="15" t="n">
        <v>3</v>
      </c>
      <c r="FD95" s="15" t="n">
        <v>65.53399957274087</v>
      </c>
      <c r="FE95" s="15" t="n">
        <v>71.84799997216346</v>
      </c>
      <c r="FF95" s="15" t="n">
        <v>80.70799960350895</v>
      </c>
      <c r="FG95" s="15" t="n">
        <v>83.1479999759465</v>
      </c>
      <c r="FH95" s="15" t="n">
        <v>73.62799942956484</v>
      </c>
      <c r="FI95" s="15" t="n">
        <v>61.30799947804528</v>
      </c>
      <c r="FJ95" s="15" t="n">
        <v>44.04</v>
      </c>
      <c r="FK95" s="15" t="n">
        <v>81.61</v>
      </c>
      <c r="FL95" s="15" t="n">
        <v>79.6059997738864</v>
      </c>
      <c r="FM95" s="15" t="n">
        <v>61.1</v>
      </c>
      <c r="FN95" s="15" t="n">
        <v>48.31</v>
      </c>
      <c r="FO95" s="15" t="n">
        <v>63.10599971476563</v>
      </c>
      <c r="FP95" s="15" t="n">
        <v>87.37599956509797</v>
      </c>
      <c r="FQ95" s="15" t="n">
        <v>78.62799946583914</v>
      </c>
      <c r="FR95" s="15" t="n">
        <v>65.4339995720879</v>
      </c>
      <c r="FY95" s="15" t="n">
        <v>3</v>
      </c>
      <c r="FZ95" s="15" t="n">
        <v>65.53399957274087</v>
      </c>
      <c r="GA95" s="15" t="n">
        <v>71.84799997216346</v>
      </c>
      <c r="GB95" s="15" t="n">
        <v>80.70799960350895</v>
      </c>
      <c r="GC95" s="15" t="n">
        <v>83.1479999759465</v>
      </c>
      <c r="GD95" s="15" t="n">
        <v>73.62799942956484</v>
      </c>
      <c r="GE95" s="15" t="n">
        <v>61.30799947804528</v>
      </c>
      <c r="GF95" s="15" t="n">
        <v>44.04</v>
      </c>
      <c r="GG95" s="15" t="n">
        <v>81.61</v>
      </c>
      <c r="GH95" s="15" t="n">
        <v>79.6059997738864</v>
      </c>
      <c r="GI95" s="15" t="n">
        <v>61.1</v>
      </c>
      <c r="GJ95" s="15" t="n">
        <v>48.31</v>
      </c>
      <c r="GK95" s="15" t="n">
        <v>63.10599971476563</v>
      </c>
      <c r="GL95" s="15" t="n">
        <v>87.37599956509797</v>
      </c>
      <c r="GM95" s="15" t="n">
        <v>78.62799946583914</v>
      </c>
      <c r="GN95" s="15" t="n">
        <v>65.4339995720879</v>
      </c>
      <c r="GU95" s="15" t="n">
        <v>3</v>
      </c>
      <c r="GV95" s="15" t="n">
        <v>65.53399957274087</v>
      </c>
      <c r="GW95" s="15" t="n">
        <v>71.84799997216346</v>
      </c>
      <c r="GX95" s="15" t="n">
        <v>80.70799960350895</v>
      </c>
      <c r="GY95" s="15" t="n">
        <v>83.1479999759465</v>
      </c>
      <c r="GZ95" s="15" t="n">
        <v>73.62799942956484</v>
      </c>
      <c r="HA95" s="15" t="n">
        <v>61.30799947804528</v>
      </c>
      <c r="HB95" s="15" t="n">
        <v>44.04</v>
      </c>
      <c r="HC95" s="15" t="n">
        <v>81.61</v>
      </c>
      <c r="HD95" s="15" t="n">
        <v>79.6059997738864</v>
      </c>
      <c r="HE95" s="15" t="n">
        <v>61.1</v>
      </c>
      <c r="HF95" s="15" t="n">
        <v>48.31</v>
      </c>
      <c r="HG95" s="15" t="n">
        <v>63.10599971476563</v>
      </c>
      <c r="HH95" s="15" t="n">
        <v>87.37599956509797</v>
      </c>
      <c r="HI95" s="15" t="n">
        <v>78.62799946583914</v>
      </c>
      <c r="HJ95" s="15" t="n">
        <v>65.4339995720879</v>
      </c>
    </row>
    <row r="97">
      <c r="C97" s="15" t="inlineStr">
        <is>
          <t>z(RLT)</t>
        </is>
      </c>
      <c r="D97" s="15" t="n">
        <v>1</v>
      </c>
      <c r="E97" s="15" t="n">
        <v>2</v>
      </c>
      <c r="F97" s="15" t="n">
        <v>3</v>
      </c>
      <c r="G97" s="15" t="n">
        <v>4</v>
      </c>
      <c r="H97" s="15" t="n">
        <v>5</v>
      </c>
      <c r="I97" s="15" t="n">
        <v>6</v>
      </c>
      <c r="J97" s="15" t="n">
        <v>7</v>
      </c>
      <c r="K97" s="15" t="n">
        <v>8</v>
      </c>
      <c r="L97" s="15" t="n">
        <v>9</v>
      </c>
      <c r="M97" s="15" t="n">
        <v>10</v>
      </c>
      <c r="N97" s="15" t="n">
        <v>11</v>
      </c>
      <c r="O97" s="15" t="n">
        <v>12</v>
      </c>
      <c r="P97" s="15" t="n">
        <v>13</v>
      </c>
      <c r="Q97" s="15" t="n">
        <v>14</v>
      </c>
      <c r="R97" s="15" t="n">
        <v>15</v>
      </c>
      <c r="AA97" s="15" t="inlineStr">
        <is>
          <t>z(RLT)</t>
        </is>
      </c>
      <c r="AB97" s="15" t="n">
        <v>1</v>
      </c>
      <c r="AC97" s="15" t="n">
        <v>2</v>
      </c>
      <c r="AD97" s="15" t="n">
        <v>3</v>
      </c>
      <c r="AE97" s="15" t="n">
        <v>4</v>
      </c>
      <c r="AF97" s="15" t="n">
        <v>5</v>
      </c>
      <c r="AG97" s="15" t="n">
        <v>6</v>
      </c>
      <c r="AH97" s="15" t="n">
        <v>7</v>
      </c>
      <c r="AI97" s="15" t="n">
        <v>8</v>
      </c>
      <c r="AJ97" s="15" t="n">
        <v>9</v>
      </c>
      <c r="AK97" s="15" t="n">
        <v>10</v>
      </c>
      <c r="AL97" s="15" t="n">
        <v>11</v>
      </c>
      <c r="AM97" s="15" t="n">
        <v>12</v>
      </c>
      <c r="AN97" s="15" t="n">
        <v>13</v>
      </c>
      <c r="AO97" s="15" t="n">
        <v>14</v>
      </c>
      <c r="AP97" s="15" t="n">
        <v>15</v>
      </c>
      <c r="AW97" s="15" t="inlineStr">
        <is>
          <t>z(RLT)</t>
        </is>
      </c>
      <c r="AX97" s="15" t="n">
        <v>1</v>
      </c>
      <c r="AY97" s="15" t="n">
        <v>2</v>
      </c>
      <c r="AZ97" s="15" t="n">
        <v>3</v>
      </c>
      <c r="BA97" s="15" t="n">
        <v>4</v>
      </c>
      <c r="BB97" s="15" t="n">
        <v>5</v>
      </c>
      <c r="BC97" s="15" t="n">
        <v>6</v>
      </c>
      <c r="BD97" s="15" t="n">
        <v>7</v>
      </c>
      <c r="BE97" s="15" t="n">
        <v>8</v>
      </c>
      <c r="BF97" s="15" t="n">
        <v>9</v>
      </c>
      <c r="BG97" s="15" t="n">
        <v>10</v>
      </c>
      <c r="BH97" s="15" t="n">
        <v>11</v>
      </c>
      <c r="BI97" s="15" t="n">
        <v>12</v>
      </c>
      <c r="BJ97" s="15" t="n">
        <v>13</v>
      </c>
      <c r="BK97" s="15" t="n">
        <v>14</v>
      </c>
      <c r="BL97" s="15" t="n">
        <v>15</v>
      </c>
      <c r="BS97" s="15" t="inlineStr">
        <is>
          <t>z(RLT)</t>
        </is>
      </c>
      <c r="BT97" s="15" t="n">
        <v>1</v>
      </c>
      <c r="BU97" s="15" t="n">
        <v>2</v>
      </c>
      <c r="BV97" s="15" t="n">
        <v>3</v>
      </c>
      <c r="BW97" s="15" t="n">
        <v>4</v>
      </c>
      <c r="BX97" s="15" t="n">
        <v>5</v>
      </c>
      <c r="BY97" s="15" t="n">
        <v>6</v>
      </c>
      <c r="BZ97" s="15" t="n">
        <v>7</v>
      </c>
      <c r="CA97" s="15" t="n">
        <v>8</v>
      </c>
      <c r="CB97" s="15" t="n">
        <v>9</v>
      </c>
      <c r="CC97" s="15" t="n">
        <v>10</v>
      </c>
      <c r="CD97" s="15" t="n">
        <v>11</v>
      </c>
      <c r="CE97" s="15" t="n">
        <v>12</v>
      </c>
      <c r="CF97" s="15" t="n">
        <v>13</v>
      </c>
      <c r="CG97" s="15" t="n">
        <v>14</v>
      </c>
      <c r="CH97" s="15" t="n">
        <v>15</v>
      </c>
      <c r="CO97" s="15" t="inlineStr">
        <is>
          <t>z(RLT)</t>
        </is>
      </c>
      <c r="CP97" s="15" t="n">
        <v>1</v>
      </c>
      <c r="CQ97" s="15" t="n">
        <v>2</v>
      </c>
      <c r="CR97" s="15" t="n">
        <v>3</v>
      </c>
      <c r="CS97" s="15" t="n">
        <v>4</v>
      </c>
      <c r="CT97" s="15" t="n">
        <v>5</v>
      </c>
      <c r="CU97" s="15" t="n">
        <v>6</v>
      </c>
      <c r="CV97" s="15" t="n">
        <v>7</v>
      </c>
      <c r="CW97" s="15" t="n">
        <v>8</v>
      </c>
      <c r="CX97" s="15" t="n">
        <v>9</v>
      </c>
      <c r="CY97" s="15" t="n">
        <v>10</v>
      </c>
      <c r="CZ97" s="15" t="n">
        <v>11</v>
      </c>
      <c r="DA97" s="15" t="n">
        <v>12</v>
      </c>
      <c r="DB97" s="15" t="n">
        <v>13</v>
      </c>
      <c r="DC97" s="15" t="n">
        <v>14</v>
      </c>
      <c r="DD97" s="15" t="n">
        <v>15</v>
      </c>
      <c r="DK97" s="15" t="inlineStr">
        <is>
          <t>z(RLT)</t>
        </is>
      </c>
      <c r="DL97" s="15" t="n">
        <v>1</v>
      </c>
      <c r="DM97" s="15" t="n">
        <v>2</v>
      </c>
      <c r="DN97" s="15" t="n">
        <v>3</v>
      </c>
      <c r="DO97" s="15" t="n">
        <v>4</v>
      </c>
      <c r="DP97" s="15" t="n">
        <v>5</v>
      </c>
      <c r="DQ97" s="15" t="n">
        <v>6</v>
      </c>
      <c r="DR97" s="15" t="n">
        <v>7</v>
      </c>
      <c r="DS97" s="15" t="n">
        <v>8</v>
      </c>
      <c r="DT97" s="15" t="n">
        <v>9</v>
      </c>
      <c r="DU97" s="15" t="n">
        <v>10</v>
      </c>
      <c r="DV97" s="15" t="n">
        <v>11</v>
      </c>
      <c r="DW97" s="15" t="n">
        <v>12</v>
      </c>
      <c r="DX97" s="15" t="n">
        <v>13</v>
      </c>
      <c r="DY97" s="15" t="n">
        <v>14</v>
      </c>
      <c r="DZ97" s="15" t="n">
        <v>15</v>
      </c>
      <c r="EG97" s="15" t="inlineStr">
        <is>
          <t>z(RLT)</t>
        </is>
      </c>
      <c r="EH97" s="15" t="n">
        <v>1</v>
      </c>
      <c r="EI97" s="15" t="n">
        <v>2</v>
      </c>
      <c r="EJ97" s="15" t="n">
        <v>3</v>
      </c>
      <c r="EK97" s="15" t="n">
        <v>4</v>
      </c>
      <c r="EL97" s="15" t="n">
        <v>5</v>
      </c>
      <c r="EM97" s="15" t="n">
        <v>6</v>
      </c>
      <c r="EN97" s="15" t="n">
        <v>7</v>
      </c>
      <c r="EO97" s="15" t="n">
        <v>8</v>
      </c>
      <c r="EP97" s="15" t="n">
        <v>9</v>
      </c>
      <c r="EQ97" s="15" t="n">
        <v>10</v>
      </c>
      <c r="ER97" s="15" t="n">
        <v>11</v>
      </c>
      <c r="ES97" s="15" t="n">
        <v>12</v>
      </c>
      <c r="ET97" s="15" t="n">
        <v>13</v>
      </c>
      <c r="EU97" s="15" t="n">
        <v>14</v>
      </c>
      <c r="EV97" s="15" t="n">
        <v>15</v>
      </c>
      <c r="FC97" s="15" t="inlineStr">
        <is>
          <t>z(RLT)</t>
        </is>
      </c>
      <c r="FD97" s="15" t="n">
        <v>1</v>
      </c>
      <c r="FE97" s="15" t="n">
        <v>2</v>
      </c>
      <c r="FF97" s="15" t="n">
        <v>3</v>
      </c>
      <c r="FG97" s="15" t="n">
        <v>4</v>
      </c>
      <c r="FH97" s="15" t="n">
        <v>5</v>
      </c>
      <c r="FI97" s="15" t="n">
        <v>6</v>
      </c>
      <c r="FJ97" s="15" t="n">
        <v>7</v>
      </c>
      <c r="FK97" s="15" t="n">
        <v>8</v>
      </c>
      <c r="FL97" s="15" t="n">
        <v>9</v>
      </c>
      <c r="FM97" s="15" t="n">
        <v>10</v>
      </c>
      <c r="FN97" s="15" t="n">
        <v>11</v>
      </c>
      <c r="FO97" s="15" t="n">
        <v>12</v>
      </c>
      <c r="FP97" s="15" t="n">
        <v>13</v>
      </c>
      <c r="FQ97" s="15" t="n">
        <v>14</v>
      </c>
      <c r="FR97" s="15" t="n">
        <v>15</v>
      </c>
      <c r="FY97" s="15" t="inlineStr">
        <is>
          <t>z(RLT)</t>
        </is>
      </c>
      <c r="FZ97" s="15" t="n">
        <v>1</v>
      </c>
      <c r="GA97" s="15" t="n">
        <v>2</v>
      </c>
      <c r="GB97" s="15" t="n">
        <v>3</v>
      </c>
      <c r="GC97" s="15" t="n">
        <v>4</v>
      </c>
      <c r="GD97" s="15" t="n">
        <v>5</v>
      </c>
      <c r="GE97" s="15" t="n">
        <v>6</v>
      </c>
      <c r="GF97" s="15" t="n">
        <v>7</v>
      </c>
      <c r="GG97" s="15" t="n">
        <v>8</v>
      </c>
      <c r="GH97" s="15" t="n">
        <v>9</v>
      </c>
      <c r="GI97" s="15" t="n">
        <v>10</v>
      </c>
      <c r="GJ97" s="15" t="n">
        <v>11</v>
      </c>
      <c r="GK97" s="15" t="n">
        <v>12</v>
      </c>
      <c r="GL97" s="15" t="n">
        <v>13</v>
      </c>
      <c r="GM97" s="15" t="n">
        <v>14</v>
      </c>
      <c r="GN97" s="15" t="n">
        <v>15</v>
      </c>
      <c r="GU97" s="15" t="inlineStr">
        <is>
          <t>z(RLT)</t>
        </is>
      </c>
      <c r="GV97" s="15" t="n">
        <v>1</v>
      </c>
      <c r="GW97" s="15" t="n">
        <v>2</v>
      </c>
      <c r="GX97" s="15" t="n">
        <v>3</v>
      </c>
      <c r="GY97" s="15" t="n">
        <v>4</v>
      </c>
      <c r="GZ97" s="15" t="n">
        <v>5</v>
      </c>
      <c r="HA97" s="15" t="n">
        <v>6</v>
      </c>
      <c r="HB97" s="15" t="n">
        <v>7</v>
      </c>
      <c r="HC97" s="15" t="n">
        <v>8</v>
      </c>
      <c r="HD97" s="15" t="n">
        <v>9</v>
      </c>
      <c r="HE97" s="15" t="n">
        <v>10</v>
      </c>
      <c r="HF97" s="15" t="n">
        <v>11</v>
      </c>
      <c r="HG97" s="15" t="n">
        <v>12</v>
      </c>
      <c r="HH97" s="15" t="n">
        <v>13</v>
      </c>
      <c r="HI97" s="15" t="n">
        <v>14</v>
      </c>
      <c r="HJ97" s="15" t="n">
        <v>15</v>
      </c>
    </row>
    <row r="98">
      <c r="C98" s="15" t="n">
        <v>1</v>
      </c>
      <c r="D98" s="15">
        <f>Suppliers_stock_balance!D194</f>
        <v/>
      </c>
      <c r="E98" s="15">
        <f>Suppliers_stock_balance!E194</f>
        <v/>
      </c>
      <c r="F98" s="15">
        <f>Suppliers_stock_balance!F194</f>
        <v/>
      </c>
      <c r="G98" s="15">
        <f>Suppliers_stock_balance!G194</f>
        <v/>
      </c>
      <c r="H98" s="15">
        <f>Suppliers_stock_balance!H194</f>
        <v/>
      </c>
      <c r="I98" s="15">
        <f>Suppliers_stock_balance!I194</f>
        <v/>
      </c>
      <c r="J98" s="15">
        <f>Suppliers_stock_balance!J194</f>
        <v/>
      </c>
      <c r="K98" s="15">
        <f>Suppliers_stock_balance!K194</f>
        <v/>
      </c>
      <c r="L98" s="15">
        <f>Suppliers_stock_balance!L194</f>
        <v/>
      </c>
      <c r="M98" s="15">
        <f>Suppliers_stock_balance!M194</f>
        <v/>
      </c>
      <c r="N98" s="15">
        <f>Suppliers_stock_balance!N194</f>
        <v/>
      </c>
      <c r="O98" s="15">
        <f>Suppliers_stock_balance!O194</f>
        <v/>
      </c>
      <c r="P98" s="15">
        <f>Suppliers_stock_balance!P194</f>
        <v/>
      </c>
      <c r="Q98" s="15">
        <f>Suppliers_stock_balance!Q194</f>
        <v/>
      </c>
      <c r="R98" s="15">
        <f>Suppliers_stock_balance!R194</f>
        <v/>
      </c>
      <c r="T98" s="39">
        <f>SUM(D98:R100)</f>
        <v/>
      </c>
      <c r="U98" s="39" t="n">
        <v>120.77448730345</v>
      </c>
      <c r="V98" s="39">
        <f>T98-U98</f>
        <v/>
      </c>
      <c r="W98" s="39" t="n"/>
      <c r="X98" s="39" t="n"/>
      <c r="AA98" s="15" t="n">
        <v>1</v>
      </c>
      <c r="AB98" s="15" t="n">
        <v>3</v>
      </c>
      <c r="AC98" s="15" t="n">
        <v>3</v>
      </c>
      <c r="AD98" s="15" t="n">
        <v>3</v>
      </c>
      <c r="AE98" s="15" t="n">
        <v>3</v>
      </c>
      <c r="AF98" s="15" t="n">
        <v>2.846919681388357</v>
      </c>
      <c r="AG98" s="15" t="n">
        <v>2.933269938985074</v>
      </c>
      <c r="AH98" s="15" t="n">
        <v>3</v>
      </c>
      <c r="AI98" s="15" t="n">
        <v>2.912040774193578</v>
      </c>
      <c r="AJ98" s="15" t="n">
        <v>2.88986104034959</v>
      </c>
      <c r="AK98" s="15" t="n">
        <v>3</v>
      </c>
      <c r="AL98" s="15" t="n">
        <v>0</v>
      </c>
      <c r="AM98" s="15" t="n">
        <v>3</v>
      </c>
      <c r="AN98" s="15" t="n">
        <v>2.869398330313633</v>
      </c>
      <c r="AO98" s="15" t="n">
        <v>2.908944102145295</v>
      </c>
      <c r="AP98" s="15" t="n">
        <v>2.904196521195185</v>
      </c>
      <c r="AW98" s="15" t="n">
        <v>1</v>
      </c>
      <c r="AX98" s="15" t="n">
        <v>3</v>
      </c>
      <c r="AY98" s="15" t="n">
        <v>3</v>
      </c>
      <c r="AZ98" s="15" t="n">
        <v>3</v>
      </c>
      <c r="BA98" s="15" t="n">
        <v>3</v>
      </c>
      <c r="BB98" s="15" t="n">
        <v>0.4901128913556825</v>
      </c>
      <c r="BC98" s="15" t="n">
        <v>0.4978427470043045</v>
      </c>
      <c r="BD98" s="15" t="n">
        <v>3</v>
      </c>
      <c r="BE98" s="15" t="n">
        <v>0.4956784626149968</v>
      </c>
      <c r="BF98" s="15" t="n">
        <v>0.4939928644458789</v>
      </c>
      <c r="BG98" s="15" t="n">
        <v>3</v>
      </c>
      <c r="BH98" s="15" t="n">
        <v>0</v>
      </c>
      <c r="BI98" s="15" t="n">
        <v>3</v>
      </c>
      <c r="BJ98" s="15" t="n">
        <v>0.4922540018704282</v>
      </c>
      <c r="BK98" s="15" t="n">
        <v>0.4957527945010072</v>
      </c>
      <c r="BL98" s="15" t="n">
        <v>0.4949392857596244</v>
      </c>
      <c r="BS98" s="15" t="n">
        <v>1</v>
      </c>
      <c r="BT98" s="15" t="n">
        <v>3</v>
      </c>
      <c r="BU98" s="15" t="n">
        <v>3</v>
      </c>
      <c r="BV98" s="15" t="n">
        <v>3</v>
      </c>
      <c r="BW98" s="15" t="n">
        <v>3</v>
      </c>
      <c r="BX98" s="15" t="n">
        <v>8.278284724383411e-10</v>
      </c>
      <c r="BY98" s="15" t="n">
        <v>0</v>
      </c>
      <c r="BZ98" s="15" t="n">
        <v>3</v>
      </c>
      <c r="CA98" s="15" t="n">
        <v>7.624407771800179e-10</v>
      </c>
      <c r="CB98" s="15" t="n">
        <v>-6.482920866801578e-10</v>
      </c>
      <c r="CC98" s="15" t="n">
        <v>3</v>
      </c>
      <c r="CD98" s="15" t="n">
        <v>0</v>
      </c>
      <c r="CE98" s="15" t="n">
        <v>3</v>
      </c>
      <c r="CF98" s="15" t="n">
        <v>-2.834781298588496e-10</v>
      </c>
      <c r="CG98" s="15" t="n">
        <v>0</v>
      </c>
      <c r="CH98" s="15" t="n">
        <v>7.226645948321675e-10</v>
      </c>
      <c r="CO98" s="15" t="n">
        <v>1</v>
      </c>
      <c r="CP98" s="15" t="n">
        <v>3</v>
      </c>
      <c r="CQ98" s="15" t="n">
        <v>3</v>
      </c>
      <c r="CR98" s="15" t="n">
        <v>3</v>
      </c>
      <c r="CS98" s="15" t="n">
        <v>3</v>
      </c>
      <c r="CT98" s="15" t="n">
        <v>2.846919681388357</v>
      </c>
      <c r="CU98" s="15" t="n">
        <v>2.933269938985074</v>
      </c>
      <c r="CV98" s="15" t="n">
        <v>3</v>
      </c>
      <c r="CW98" s="15" t="n">
        <v>2.912040774193578</v>
      </c>
      <c r="CX98" s="15" t="n">
        <v>2.88986104034959</v>
      </c>
      <c r="CY98" s="15" t="n">
        <v>3</v>
      </c>
      <c r="CZ98" s="15" t="n">
        <v>0</v>
      </c>
      <c r="DA98" s="15" t="n">
        <v>3</v>
      </c>
      <c r="DB98" s="15" t="n">
        <v>2.869398330313633</v>
      </c>
      <c r="DC98" s="15" t="n">
        <v>2.908944102145295</v>
      </c>
      <c r="DD98" s="15" t="n">
        <v>2.904196521195185</v>
      </c>
      <c r="DK98" s="15" t="n">
        <v>1</v>
      </c>
      <c r="DL98" s="15" t="n">
        <v>3</v>
      </c>
      <c r="DM98" s="15" t="n">
        <v>3</v>
      </c>
      <c r="DN98" s="15" t="n">
        <v>3</v>
      </c>
      <c r="DO98" s="15" t="n">
        <v>3</v>
      </c>
      <c r="DP98" s="15" t="n">
        <v>0.4901128913556723</v>
      </c>
      <c r="DQ98" s="15" t="n">
        <v>0.4978427470043045</v>
      </c>
      <c r="DR98" s="15" t="n">
        <v>3</v>
      </c>
      <c r="DS98" s="15" t="n">
        <v>0.4956784626149968</v>
      </c>
      <c r="DT98" s="15" t="n">
        <v>0.4939928644458789</v>
      </c>
      <c r="DU98" s="15" t="n">
        <v>3</v>
      </c>
      <c r="DV98" s="15" t="n">
        <v>0</v>
      </c>
      <c r="DW98" s="15" t="n">
        <v>3</v>
      </c>
      <c r="DX98" s="15" t="n">
        <v>0.4922540018704282</v>
      </c>
      <c r="DY98" s="15" t="n">
        <v>0.4957527945010072</v>
      </c>
      <c r="DZ98" s="15" t="n">
        <v>0.4949392857596244</v>
      </c>
      <c r="EG98" s="15" t="n">
        <v>1</v>
      </c>
      <c r="EH98" s="15" t="n">
        <v>3</v>
      </c>
      <c r="EI98" s="15" t="n">
        <v>3</v>
      </c>
      <c r="EJ98" s="15" t="n">
        <v>3</v>
      </c>
      <c r="EK98" s="15" t="n">
        <v>3</v>
      </c>
      <c r="EL98" s="15" t="n">
        <v>8.278284724383411e-10</v>
      </c>
      <c r="EM98" s="15" t="n">
        <v>0</v>
      </c>
      <c r="EN98" s="15" t="n">
        <v>3</v>
      </c>
      <c r="EO98" s="15" t="n">
        <v>7.624407771800179e-10</v>
      </c>
      <c r="EP98" s="15" t="n">
        <v>-6.482920866801578e-10</v>
      </c>
      <c r="EQ98" s="15" t="n">
        <v>3</v>
      </c>
      <c r="ER98" s="15" t="n">
        <v>0</v>
      </c>
      <c r="ES98" s="15" t="n">
        <v>3</v>
      </c>
      <c r="ET98" s="15" t="n">
        <v>-2.834781298588496e-10</v>
      </c>
      <c r="EU98" s="15" t="n">
        <v>0</v>
      </c>
      <c r="EV98" s="15" t="n">
        <v>7.226645948321675e-10</v>
      </c>
      <c r="FC98" s="15" t="n">
        <v>1</v>
      </c>
      <c r="FD98" s="15" t="n">
        <v>3</v>
      </c>
      <c r="FE98" s="15" t="n">
        <v>3</v>
      </c>
      <c r="FF98" s="15" t="n">
        <v>3</v>
      </c>
      <c r="FG98" s="15" t="n">
        <v>3</v>
      </c>
      <c r="FH98" s="15" t="n">
        <v>2.846919681388357</v>
      </c>
      <c r="FI98" s="15" t="n">
        <v>2.933269938985074</v>
      </c>
      <c r="FJ98" s="15" t="n">
        <v>3</v>
      </c>
      <c r="FK98" s="15" t="n">
        <v>2.912040774193578</v>
      </c>
      <c r="FL98" s="15" t="n">
        <v>2.88986104034959</v>
      </c>
      <c r="FM98" s="15" t="n">
        <v>3</v>
      </c>
      <c r="FN98" s="15" t="n">
        <v>0</v>
      </c>
      <c r="FO98" s="15" t="n">
        <v>3</v>
      </c>
      <c r="FP98" s="15" t="n">
        <v>2.869398330313633</v>
      </c>
      <c r="FQ98" s="15" t="n">
        <v>2.908944102145295</v>
      </c>
      <c r="FR98" s="15" t="n">
        <v>2.904196521195185</v>
      </c>
      <c r="FY98" s="15" t="n">
        <v>1</v>
      </c>
      <c r="FZ98" s="15" t="n">
        <v>3</v>
      </c>
      <c r="GA98" s="15" t="n">
        <v>3</v>
      </c>
      <c r="GB98" s="15" t="n">
        <v>3</v>
      </c>
      <c r="GC98" s="15" t="n">
        <v>3</v>
      </c>
      <c r="GD98" s="15" t="n">
        <v>0.4901128913556723</v>
      </c>
      <c r="GE98" s="15" t="n">
        <v>0.4978427470043045</v>
      </c>
      <c r="GF98" s="15" t="n">
        <v>3</v>
      </c>
      <c r="GG98" s="15" t="n">
        <v>0.4956784626149968</v>
      </c>
      <c r="GH98" s="15" t="n">
        <v>0.4939928644458789</v>
      </c>
      <c r="GI98" s="15" t="n">
        <v>3</v>
      </c>
      <c r="GJ98" s="15" t="n">
        <v>0</v>
      </c>
      <c r="GK98" s="15" t="n">
        <v>3</v>
      </c>
      <c r="GL98" s="15" t="n">
        <v>0.4922540018704282</v>
      </c>
      <c r="GM98" s="15" t="n">
        <v>0.4957527945010072</v>
      </c>
      <c r="GN98" s="15" t="n">
        <v>0.4949392857596244</v>
      </c>
      <c r="GU98" s="15" t="n">
        <v>1</v>
      </c>
      <c r="GV98" s="15" t="n">
        <v>3</v>
      </c>
      <c r="GW98" s="15" t="n">
        <v>3</v>
      </c>
      <c r="GX98" s="15" t="n">
        <v>3</v>
      </c>
      <c r="GY98" s="15" t="n">
        <v>3</v>
      </c>
      <c r="GZ98" s="15" t="n">
        <v>8.278284724383411e-10</v>
      </c>
      <c r="HA98" s="15" t="n">
        <v>0</v>
      </c>
      <c r="HB98" s="15" t="n">
        <v>3</v>
      </c>
      <c r="HC98" s="15" t="n">
        <v>7.624407771800179e-10</v>
      </c>
      <c r="HD98" s="15" t="n">
        <v>-6.482920866801578e-10</v>
      </c>
      <c r="HE98" s="15" t="n">
        <v>3</v>
      </c>
      <c r="HF98" s="15" t="n">
        <v>0</v>
      </c>
      <c r="HG98" s="15" t="n">
        <v>3</v>
      </c>
      <c r="HH98" s="15" t="n">
        <v>-2.834781298588496e-10</v>
      </c>
      <c r="HI98" s="15" t="n">
        <v>0</v>
      </c>
      <c r="HJ98" s="15" t="n">
        <v>7.226645948321675e-10</v>
      </c>
    </row>
    <row r="99">
      <c r="C99" s="15" t="n">
        <v>2</v>
      </c>
      <c r="D99" s="15">
        <f>Suppliers_stock_balance!D195</f>
        <v/>
      </c>
      <c r="E99" s="15">
        <f>Suppliers_stock_balance!E195</f>
        <v/>
      </c>
      <c r="F99" s="15">
        <f>Suppliers_stock_balance!F195</f>
        <v/>
      </c>
      <c r="G99" s="15">
        <f>Suppliers_stock_balance!G195</f>
        <v/>
      </c>
      <c r="H99" s="15">
        <f>Suppliers_stock_balance!H195</f>
        <v/>
      </c>
      <c r="I99" s="15">
        <f>Suppliers_stock_balance!I195</f>
        <v/>
      </c>
      <c r="J99" s="15">
        <f>Suppliers_stock_balance!J195</f>
        <v/>
      </c>
      <c r="K99" s="15">
        <f>Suppliers_stock_balance!K195</f>
        <v/>
      </c>
      <c r="L99" s="15">
        <f>Suppliers_stock_balance!L195</f>
        <v/>
      </c>
      <c r="M99" s="15">
        <f>Suppliers_stock_balance!M195</f>
        <v/>
      </c>
      <c r="N99" s="15">
        <f>Suppliers_stock_balance!N195</f>
        <v/>
      </c>
      <c r="O99" s="15">
        <f>Suppliers_stock_balance!O195</f>
        <v/>
      </c>
      <c r="P99" s="15">
        <f>Suppliers_stock_balance!P195</f>
        <v/>
      </c>
      <c r="Q99" s="15">
        <f>Suppliers_stock_balance!Q195</f>
        <v/>
      </c>
      <c r="R99" s="15">
        <f>Suppliers_stock_balance!R195</f>
        <v/>
      </c>
      <c r="AA99" s="15" t="n">
        <v>2</v>
      </c>
      <c r="AB99" s="15" t="n">
        <v>2.869504921047543</v>
      </c>
      <c r="AC99" s="15" t="n">
        <v>2.86351958203284</v>
      </c>
      <c r="AD99" s="15" t="n">
        <v>3</v>
      </c>
      <c r="AE99" s="15" t="n">
        <v>3</v>
      </c>
      <c r="AF99" s="15" t="n">
        <v>0</v>
      </c>
      <c r="AG99" s="15" t="n">
        <v>2.861756853694551</v>
      </c>
      <c r="AH99" s="15" t="n">
        <v>0</v>
      </c>
      <c r="AI99" s="15" t="n">
        <v>3</v>
      </c>
      <c r="AJ99" s="15" t="n">
        <v>3</v>
      </c>
      <c r="AK99" s="15" t="n">
        <v>2.883031499822742</v>
      </c>
      <c r="AL99" s="15" t="n">
        <v>3</v>
      </c>
      <c r="AM99" s="15" t="n">
        <v>2.865501936947233</v>
      </c>
      <c r="AN99" s="15" t="n">
        <v>2.866889347468788</v>
      </c>
      <c r="AO99" s="15" t="n">
        <v>2.849549660721877</v>
      </c>
      <c r="AP99" s="15" t="n">
        <v>2.869340252061225</v>
      </c>
      <c r="AW99" s="15" t="n">
        <v>2</v>
      </c>
      <c r="AX99" s="15" t="n">
        <v>0.492115242966495</v>
      </c>
      <c r="AY99" s="15" t="n">
        <v>0.491707213353866</v>
      </c>
      <c r="AZ99" s="15" t="n">
        <v>3</v>
      </c>
      <c r="BA99" s="15" t="n">
        <v>3</v>
      </c>
      <c r="BB99" s="15" t="n">
        <v>0</v>
      </c>
      <c r="BC99" s="15" t="n">
        <v>0.4914618305267098</v>
      </c>
      <c r="BD99" s="15" t="n">
        <v>0</v>
      </c>
      <c r="BE99" s="15" t="n">
        <v>3</v>
      </c>
      <c r="BF99" s="15" t="n">
        <v>3</v>
      </c>
      <c r="BG99" s="15" t="n">
        <v>0.4935176569577848</v>
      </c>
      <c r="BH99" s="15" t="n">
        <v>3</v>
      </c>
      <c r="BI99" s="15" t="n">
        <v>0.4917234069529214</v>
      </c>
      <c r="BJ99" s="15" t="n">
        <v>0.4920118273497849</v>
      </c>
      <c r="BK99" s="15" t="n">
        <v>0.4904201005083237</v>
      </c>
      <c r="BL99" s="15" t="n">
        <v>0.4919683671847714</v>
      </c>
      <c r="BS99" s="15" t="n">
        <v>2</v>
      </c>
      <c r="BT99" s="15" t="n">
        <v>8.217568847612711e-10</v>
      </c>
      <c r="BU99" s="15" t="n">
        <v>1.619717693301936e-10</v>
      </c>
      <c r="BV99" s="15" t="n">
        <v>3</v>
      </c>
      <c r="BW99" s="15" t="n">
        <v>3</v>
      </c>
      <c r="BX99" s="15" t="n">
        <v>0</v>
      </c>
      <c r="BY99" s="15" t="n">
        <v>9.202487660786574e-10</v>
      </c>
      <c r="BZ99" s="15" t="n">
        <v>0</v>
      </c>
      <c r="CA99" s="15" t="n">
        <v>3</v>
      </c>
      <c r="CB99" s="15" t="n">
        <v>3</v>
      </c>
      <c r="CC99" s="15" t="n">
        <v>-4.865121638886194e-10</v>
      </c>
      <c r="CD99" s="15" t="n">
        <v>3</v>
      </c>
      <c r="CE99" s="15" t="n">
        <v>6.934151031146029e-10</v>
      </c>
      <c r="CF99" s="15" t="n">
        <v>4.273603693150108e-10</v>
      </c>
      <c r="CG99" s="15" t="n">
        <v>1.27808874594848e-10</v>
      </c>
      <c r="CH99" s="15" t="n">
        <v>-2.096101070492296e-13</v>
      </c>
      <c r="CO99" s="15" t="n">
        <v>2</v>
      </c>
      <c r="CP99" s="15" t="n">
        <v>2.869504921047543</v>
      </c>
      <c r="CQ99" s="15" t="n">
        <v>2.86351958203284</v>
      </c>
      <c r="CR99" s="15" t="n">
        <v>3</v>
      </c>
      <c r="CS99" s="15" t="n">
        <v>3</v>
      </c>
      <c r="CT99" s="15" t="n">
        <v>0</v>
      </c>
      <c r="CU99" s="15" t="n">
        <v>2.861756853694551</v>
      </c>
      <c r="CV99" s="15" t="n">
        <v>0</v>
      </c>
      <c r="CW99" s="15" t="n">
        <v>3</v>
      </c>
      <c r="CX99" s="15" t="n">
        <v>3</v>
      </c>
      <c r="CY99" s="15" t="n">
        <v>2.883031499822742</v>
      </c>
      <c r="CZ99" s="15" t="n">
        <v>3</v>
      </c>
      <c r="DA99" s="15" t="n">
        <v>2.865501936947233</v>
      </c>
      <c r="DB99" s="15" t="n">
        <v>2.866889347468788</v>
      </c>
      <c r="DC99" s="15" t="n">
        <v>2.849549660721877</v>
      </c>
      <c r="DD99" s="15" t="n">
        <v>2.869340252061225</v>
      </c>
      <c r="DK99" s="15" t="n">
        <v>2</v>
      </c>
      <c r="DL99" s="15" t="n">
        <v>0.492115242966495</v>
      </c>
      <c r="DM99" s="15" t="n">
        <v>0.491707213353866</v>
      </c>
      <c r="DN99" s="15" t="n">
        <v>3</v>
      </c>
      <c r="DO99" s="15" t="n">
        <v>3</v>
      </c>
      <c r="DP99" s="15" t="n">
        <v>0</v>
      </c>
      <c r="DQ99" s="15" t="n">
        <v>0.4914618305267098</v>
      </c>
      <c r="DR99" s="15" t="n">
        <v>0</v>
      </c>
      <c r="DS99" s="15" t="n">
        <v>3</v>
      </c>
      <c r="DT99" s="15" t="n">
        <v>3</v>
      </c>
      <c r="DU99" s="15" t="n">
        <v>0.4935176569577848</v>
      </c>
      <c r="DV99" s="15" t="n">
        <v>3</v>
      </c>
      <c r="DW99" s="15" t="n">
        <v>0.4917234069529214</v>
      </c>
      <c r="DX99" s="15" t="n">
        <v>0.4920118276346833</v>
      </c>
      <c r="DY99" s="15" t="n">
        <v>0.4904201005083237</v>
      </c>
      <c r="DZ99" s="15" t="n">
        <v>0.4919683671847714</v>
      </c>
      <c r="EG99" s="15" t="n">
        <v>2</v>
      </c>
      <c r="EH99" s="15" t="n">
        <v>8.217568847612711e-10</v>
      </c>
      <c r="EI99" s="15" t="n">
        <v>1.619611111891572e-10</v>
      </c>
      <c r="EJ99" s="15" t="n">
        <v>3</v>
      </c>
      <c r="EK99" s="15" t="n">
        <v>3</v>
      </c>
      <c r="EL99" s="15" t="n">
        <v>0</v>
      </c>
      <c r="EM99" s="15" t="n">
        <v>9.202487660786574e-10</v>
      </c>
      <c r="EN99" s="15" t="n">
        <v>0</v>
      </c>
      <c r="EO99" s="15" t="n">
        <v>3</v>
      </c>
      <c r="EP99" s="15" t="n">
        <v>3</v>
      </c>
      <c r="EQ99" s="15" t="n">
        <v>-4.865121638886194e-10</v>
      </c>
      <c r="ER99" s="15" t="n">
        <v>3</v>
      </c>
      <c r="ES99" s="15" t="n">
        <v>6.934151031146029e-10</v>
      </c>
      <c r="ET99" s="15" t="n">
        <v>4.27356594556727e-10</v>
      </c>
      <c r="EU99" s="15" t="n">
        <v>1.27808874594848e-10</v>
      </c>
      <c r="EV99" s="15" t="n">
        <v>-2.096101070492296e-13</v>
      </c>
      <c r="FC99" s="15" t="n">
        <v>2</v>
      </c>
      <c r="FD99" s="15" t="n">
        <v>2.869504921047543</v>
      </c>
      <c r="FE99" s="15" t="n">
        <v>2.86351958203284</v>
      </c>
      <c r="FF99" s="15" t="n">
        <v>3</v>
      </c>
      <c r="FG99" s="15" t="n">
        <v>3</v>
      </c>
      <c r="FH99" s="15" t="n">
        <v>0</v>
      </c>
      <c r="FI99" s="15" t="n">
        <v>2.861756853694551</v>
      </c>
      <c r="FJ99" s="15" t="n">
        <v>0</v>
      </c>
      <c r="FK99" s="15" t="n">
        <v>3</v>
      </c>
      <c r="FL99" s="15" t="n">
        <v>3</v>
      </c>
      <c r="FM99" s="15" t="n">
        <v>2.883031499822742</v>
      </c>
      <c r="FN99" s="15" t="n">
        <v>3</v>
      </c>
      <c r="FO99" s="15" t="n">
        <v>2.865501936947233</v>
      </c>
      <c r="FP99" s="15" t="n">
        <v>2.866889347468788</v>
      </c>
      <c r="FQ99" s="15" t="n">
        <v>2.849549660721877</v>
      </c>
      <c r="FR99" s="15" t="n">
        <v>2.869340252061225</v>
      </c>
      <c r="FY99" s="15" t="n">
        <v>2</v>
      </c>
      <c r="FZ99" s="15" t="n">
        <v>0.492115242966495</v>
      </c>
      <c r="GA99" s="15" t="n">
        <v>0.491707213353866</v>
      </c>
      <c r="GB99" s="15" t="n">
        <v>3</v>
      </c>
      <c r="GC99" s="15" t="n">
        <v>3</v>
      </c>
      <c r="GD99" s="15" t="n">
        <v>0</v>
      </c>
      <c r="GE99" s="15" t="n">
        <v>0.4914618305267098</v>
      </c>
      <c r="GF99" s="15" t="n">
        <v>0</v>
      </c>
      <c r="GG99" s="15" t="n">
        <v>3</v>
      </c>
      <c r="GH99" s="15" t="n">
        <v>3</v>
      </c>
      <c r="GI99" s="15" t="n">
        <v>0.4935176569577848</v>
      </c>
      <c r="GJ99" s="15" t="n">
        <v>3</v>
      </c>
      <c r="GK99" s="15" t="n">
        <v>0.4917234069529214</v>
      </c>
      <c r="GL99" s="15" t="n">
        <v>0.4920118276346833</v>
      </c>
      <c r="GM99" s="15" t="n">
        <v>0.4904201005083237</v>
      </c>
      <c r="GN99" s="15" t="n">
        <v>0.4919683671847714</v>
      </c>
      <c r="GU99" s="15" t="n">
        <v>2</v>
      </c>
      <c r="GV99" s="15" t="n">
        <v>8.217568847612711e-10</v>
      </c>
      <c r="GW99" s="15" t="n">
        <v>1.619611111891572e-10</v>
      </c>
      <c r="GX99" s="15" t="n">
        <v>3</v>
      </c>
      <c r="GY99" s="15" t="n">
        <v>3</v>
      </c>
      <c r="GZ99" s="15" t="n">
        <v>0</v>
      </c>
      <c r="HA99" s="15" t="n">
        <v>9.202487660786574e-10</v>
      </c>
      <c r="HB99" s="15" t="n">
        <v>0</v>
      </c>
      <c r="HC99" s="15" t="n">
        <v>3</v>
      </c>
      <c r="HD99" s="15" t="n">
        <v>3</v>
      </c>
      <c r="HE99" s="15" t="n">
        <v>-4.865121638886194e-10</v>
      </c>
      <c r="HF99" s="15" t="n">
        <v>3</v>
      </c>
      <c r="HG99" s="15" t="n">
        <v>6.934151031146029e-10</v>
      </c>
      <c r="HH99" s="15" t="n">
        <v>4.27356594556727e-10</v>
      </c>
      <c r="HI99" s="15" t="n">
        <v>1.27808874594848e-10</v>
      </c>
      <c r="HJ99" s="15" t="n">
        <v>-2.096101070492296e-13</v>
      </c>
    </row>
    <row r="100">
      <c r="C100" s="15" t="n">
        <v>3</v>
      </c>
      <c r="D100" s="15">
        <f>Suppliers_stock_balance!D196</f>
        <v/>
      </c>
      <c r="E100" s="15">
        <f>Suppliers_stock_balance!E196</f>
        <v/>
      </c>
      <c r="F100" s="15">
        <f>Suppliers_stock_balance!F196</f>
        <v/>
      </c>
      <c r="G100" s="15">
        <f>Suppliers_stock_balance!G196</f>
        <v/>
      </c>
      <c r="H100" s="15">
        <f>Suppliers_stock_balance!H196</f>
        <v/>
      </c>
      <c r="I100" s="15">
        <f>Suppliers_stock_balance!I196</f>
        <v/>
      </c>
      <c r="J100" s="15">
        <f>Suppliers_stock_balance!J196</f>
        <v/>
      </c>
      <c r="K100" s="15">
        <f>Suppliers_stock_balance!K196</f>
        <v/>
      </c>
      <c r="L100" s="15">
        <f>Suppliers_stock_balance!L196</f>
        <v/>
      </c>
      <c r="M100" s="15">
        <f>Suppliers_stock_balance!M196</f>
        <v/>
      </c>
      <c r="N100" s="15">
        <f>Suppliers_stock_balance!N196</f>
        <v/>
      </c>
      <c r="O100" s="15">
        <f>Suppliers_stock_balance!O196</f>
        <v/>
      </c>
      <c r="P100" s="15">
        <f>Suppliers_stock_balance!P196</f>
        <v/>
      </c>
      <c r="Q100" s="15">
        <f>Suppliers_stock_balance!Q196</f>
        <v/>
      </c>
      <c r="R100" s="15">
        <f>Suppliers_stock_balance!R196</f>
        <v/>
      </c>
      <c r="AA100" s="15" t="n">
        <v>3</v>
      </c>
      <c r="AB100" s="15" t="n">
        <v>2.932171237478112</v>
      </c>
      <c r="AC100" s="15" t="n">
        <v>3</v>
      </c>
      <c r="AD100" s="15" t="n">
        <v>3</v>
      </c>
      <c r="AE100" s="15" t="n">
        <v>2.867869006964831</v>
      </c>
      <c r="AF100" s="15" t="n">
        <v>3</v>
      </c>
      <c r="AG100" s="15" t="n">
        <v>2.968912547484024</v>
      </c>
      <c r="AH100" s="15" t="n">
        <v>3</v>
      </c>
      <c r="AI100" s="15" t="n">
        <v>3</v>
      </c>
      <c r="AJ100" s="15" t="n">
        <v>3</v>
      </c>
      <c r="AK100" s="15" t="n">
        <v>3</v>
      </c>
      <c r="AL100" s="15" t="n">
        <v>2.942994690550059</v>
      </c>
      <c r="AM100" s="15" t="n">
        <v>0</v>
      </c>
      <c r="AN100" s="15" t="n">
        <v>3</v>
      </c>
      <c r="AO100" s="15" t="n">
        <v>3</v>
      </c>
      <c r="AP100" s="15" t="n">
        <v>2.86881537860544</v>
      </c>
      <c r="AW100" s="15" t="n">
        <v>3</v>
      </c>
      <c r="AX100" s="15" t="n">
        <v>0.497570104761945</v>
      </c>
      <c r="AY100" s="15" t="n">
        <v>3</v>
      </c>
      <c r="AZ100" s="15" t="n">
        <v>3</v>
      </c>
      <c r="BA100" s="15" t="n">
        <v>0.4917425848837902</v>
      </c>
      <c r="BB100" s="15" t="n">
        <v>3</v>
      </c>
      <c r="BC100" s="15" t="n">
        <v>0.5008850668011151</v>
      </c>
      <c r="BD100" s="15" t="n">
        <v>0.5033048269876335</v>
      </c>
      <c r="BE100" s="15" t="n">
        <v>3</v>
      </c>
      <c r="BF100" s="15" t="n">
        <v>3</v>
      </c>
      <c r="BG100" s="15" t="n">
        <v>3</v>
      </c>
      <c r="BH100" s="15" t="n">
        <v>0.4987110623300395</v>
      </c>
      <c r="BI100" s="15" t="n">
        <v>0</v>
      </c>
      <c r="BJ100" s="15" t="n">
        <v>3</v>
      </c>
      <c r="BK100" s="15" t="n">
        <v>3</v>
      </c>
      <c r="BL100" s="15" t="n">
        <v>0.4920480092130468</v>
      </c>
      <c r="BS100" s="15" t="n">
        <v>3</v>
      </c>
      <c r="BT100" s="15" t="n">
        <v>0</v>
      </c>
      <c r="BU100" s="15" t="n">
        <v>3</v>
      </c>
      <c r="BV100" s="15" t="n">
        <v>3</v>
      </c>
      <c r="BW100" s="15" t="n">
        <v>3.359966083138488e-09</v>
      </c>
      <c r="BX100" s="15" t="n">
        <v>3</v>
      </c>
      <c r="BY100" s="15" t="n">
        <v>0</v>
      </c>
      <c r="BZ100" s="15" t="n">
        <v>0</v>
      </c>
      <c r="CA100" s="15" t="n">
        <v>3</v>
      </c>
      <c r="CB100" s="15" t="n">
        <v>3</v>
      </c>
      <c r="CC100" s="15" t="n">
        <v>3</v>
      </c>
      <c r="CD100" s="15" t="n">
        <v>0</v>
      </c>
      <c r="CE100" s="15" t="n">
        <v>0</v>
      </c>
      <c r="CF100" s="15" t="n">
        <v>3</v>
      </c>
      <c r="CG100" s="15" t="n">
        <v>3</v>
      </c>
      <c r="CH100" s="15" t="n">
        <v>8.933618289574952e-10</v>
      </c>
      <c r="CO100" s="15" t="n">
        <v>3</v>
      </c>
      <c r="CP100" s="15" t="n">
        <v>2.932171237478112</v>
      </c>
      <c r="CQ100" s="15" t="n">
        <v>3</v>
      </c>
      <c r="CR100" s="15" t="n">
        <v>3</v>
      </c>
      <c r="CS100" s="15" t="n">
        <v>2.867869006964831</v>
      </c>
      <c r="CT100" s="15" t="n">
        <v>3</v>
      </c>
      <c r="CU100" s="15" t="n">
        <v>2.968912547484024</v>
      </c>
      <c r="CV100" s="15" t="n">
        <v>3</v>
      </c>
      <c r="CW100" s="15" t="n">
        <v>3</v>
      </c>
      <c r="CX100" s="15" t="n">
        <v>3</v>
      </c>
      <c r="CY100" s="15" t="n">
        <v>3</v>
      </c>
      <c r="CZ100" s="15" t="n">
        <v>2.942994690550059</v>
      </c>
      <c r="DA100" s="15" t="n">
        <v>0</v>
      </c>
      <c r="DB100" s="15" t="n">
        <v>3</v>
      </c>
      <c r="DC100" s="15" t="n">
        <v>3</v>
      </c>
      <c r="DD100" s="15" t="n">
        <v>2.86881537860544</v>
      </c>
      <c r="DK100" s="15" t="n">
        <v>3</v>
      </c>
      <c r="DL100" s="15" t="n">
        <v>0.497570104761945</v>
      </c>
      <c r="DM100" s="15" t="n">
        <v>3</v>
      </c>
      <c r="DN100" s="15" t="n">
        <v>3</v>
      </c>
      <c r="DO100" s="15" t="n">
        <v>0.491742585723792</v>
      </c>
      <c r="DP100" s="15" t="n">
        <v>3</v>
      </c>
      <c r="DQ100" s="15" t="n">
        <v>0.5008850668011151</v>
      </c>
      <c r="DR100" s="15" t="n">
        <v>0.5033048269876335</v>
      </c>
      <c r="DS100" s="15" t="n">
        <v>3</v>
      </c>
      <c r="DT100" s="15" t="n">
        <v>3</v>
      </c>
      <c r="DU100" s="15" t="n">
        <v>3</v>
      </c>
      <c r="DV100" s="15" t="n">
        <v>0.4987110623300395</v>
      </c>
      <c r="DW100" s="15" t="n">
        <v>0</v>
      </c>
      <c r="DX100" s="15" t="n">
        <v>3</v>
      </c>
      <c r="DY100" s="15" t="n">
        <v>3</v>
      </c>
      <c r="DZ100" s="15" t="n">
        <v>0.4920480092130468</v>
      </c>
      <c r="EG100" s="15" t="n">
        <v>3</v>
      </c>
      <c r="EH100" s="15" t="n">
        <v>0</v>
      </c>
      <c r="EI100" s="15" t="n">
        <v>3</v>
      </c>
      <c r="EJ100" s="15" t="n">
        <v>3</v>
      </c>
      <c r="EK100" s="15" t="n">
        <v>3.35996164224639e-09</v>
      </c>
      <c r="EL100" s="15" t="n">
        <v>3</v>
      </c>
      <c r="EM100" s="15" t="n">
        <v>0</v>
      </c>
      <c r="EN100" s="15" t="n">
        <v>0</v>
      </c>
      <c r="EO100" s="15" t="n">
        <v>3</v>
      </c>
      <c r="EP100" s="15" t="n">
        <v>3</v>
      </c>
      <c r="EQ100" s="15" t="n">
        <v>3</v>
      </c>
      <c r="ER100" s="15" t="n">
        <v>0</v>
      </c>
      <c r="ES100" s="15" t="n">
        <v>0</v>
      </c>
      <c r="ET100" s="15" t="n">
        <v>3</v>
      </c>
      <c r="EU100" s="15" t="n">
        <v>3</v>
      </c>
      <c r="EV100" s="15" t="n">
        <v>8.933618289574952e-10</v>
      </c>
      <c r="FC100" s="15" t="n">
        <v>3</v>
      </c>
      <c r="FD100" s="15" t="n">
        <v>2.932171237478112</v>
      </c>
      <c r="FE100" s="15" t="n">
        <v>3</v>
      </c>
      <c r="FF100" s="15" t="n">
        <v>3</v>
      </c>
      <c r="FG100" s="15" t="n">
        <v>2.867869006964831</v>
      </c>
      <c r="FH100" s="15" t="n">
        <v>3</v>
      </c>
      <c r="FI100" s="15" t="n">
        <v>2.968912547484024</v>
      </c>
      <c r="FJ100" s="15" t="n">
        <v>3</v>
      </c>
      <c r="FK100" s="15" t="n">
        <v>3</v>
      </c>
      <c r="FL100" s="15" t="n">
        <v>3</v>
      </c>
      <c r="FM100" s="15" t="n">
        <v>3</v>
      </c>
      <c r="FN100" s="15" t="n">
        <v>2.942994690550059</v>
      </c>
      <c r="FO100" s="15" t="n">
        <v>0</v>
      </c>
      <c r="FP100" s="15" t="n">
        <v>3</v>
      </c>
      <c r="FQ100" s="15" t="n">
        <v>3</v>
      </c>
      <c r="FR100" s="15" t="n">
        <v>2.86881537860544</v>
      </c>
      <c r="FY100" s="15" t="n">
        <v>3</v>
      </c>
      <c r="FZ100" s="15" t="n">
        <v>0.497570104761945</v>
      </c>
      <c r="GA100" s="15" t="n">
        <v>3</v>
      </c>
      <c r="GB100" s="15" t="n">
        <v>3</v>
      </c>
      <c r="GC100" s="15" t="n">
        <v>0.491742585723792</v>
      </c>
      <c r="GD100" s="15" t="n">
        <v>3</v>
      </c>
      <c r="GE100" s="15" t="n">
        <v>0.5008850668011151</v>
      </c>
      <c r="GF100" s="15" t="n">
        <v>0.5033048269876335</v>
      </c>
      <c r="GG100" s="15" t="n">
        <v>3</v>
      </c>
      <c r="GH100" s="15" t="n">
        <v>3</v>
      </c>
      <c r="GI100" s="15" t="n">
        <v>3</v>
      </c>
      <c r="GJ100" s="15" t="n">
        <v>0.4987110623300395</v>
      </c>
      <c r="GK100" s="15" t="n">
        <v>0</v>
      </c>
      <c r="GL100" s="15" t="n">
        <v>3</v>
      </c>
      <c r="GM100" s="15" t="n">
        <v>3</v>
      </c>
      <c r="GN100" s="15" t="n">
        <v>0.4920480092130468</v>
      </c>
      <c r="GU100" s="15" t="n">
        <v>3</v>
      </c>
      <c r="GV100" s="15" t="n">
        <v>0</v>
      </c>
      <c r="GW100" s="15" t="n">
        <v>3</v>
      </c>
      <c r="GX100" s="15" t="n">
        <v>3</v>
      </c>
      <c r="GY100" s="15" t="n">
        <v>3.35996164224639e-09</v>
      </c>
      <c r="GZ100" s="15" t="n">
        <v>3</v>
      </c>
      <c r="HA100" s="15" t="n">
        <v>0</v>
      </c>
      <c r="HB100" s="15" t="n">
        <v>0</v>
      </c>
      <c r="HC100" s="15" t="n">
        <v>3</v>
      </c>
      <c r="HD100" s="15" t="n">
        <v>3</v>
      </c>
      <c r="HE100" s="15" t="n">
        <v>3</v>
      </c>
      <c r="HF100" s="15" t="n">
        <v>0</v>
      </c>
      <c r="HG100" s="15" t="n">
        <v>0</v>
      </c>
      <c r="HH100" s="15" t="n">
        <v>3</v>
      </c>
      <c r="HI100" s="15" t="n">
        <v>3</v>
      </c>
      <c r="HJ100" s="15" t="n">
        <v>8.933618289574952e-10</v>
      </c>
    </row>
    <row r="102" ht="16.2" customHeight="1">
      <c r="C102" s="15" t="inlineStr">
        <is>
          <t>Aleatória S2nd</t>
        </is>
      </c>
      <c r="D102" s="15" t="n">
        <v>1</v>
      </c>
      <c r="E102" s="15" t="n">
        <v>2</v>
      </c>
      <c r="F102" s="15" t="n">
        <v>3</v>
      </c>
      <c r="G102" s="15" t="n">
        <v>4</v>
      </c>
      <c r="H102" s="15" t="n">
        <v>5</v>
      </c>
      <c r="I102" s="15" t="n">
        <v>6</v>
      </c>
      <c r="J102" s="15" t="n">
        <v>7</v>
      </c>
      <c r="K102" s="15" t="n">
        <v>8</v>
      </c>
      <c r="L102" s="15" t="n">
        <v>9</v>
      </c>
      <c r="M102" s="15" t="n">
        <v>10</v>
      </c>
      <c r="N102" s="15" t="n">
        <v>11</v>
      </c>
      <c r="O102" s="15" t="n">
        <v>12</v>
      </c>
      <c r="P102" s="15" t="n">
        <v>13</v>
      </c>
      <c r="Q102" s="15" t="n">
        <v>14</v>
      </c>
      <c r="R102" s="15" t="n">
        <v>15</v>
      </c>
      <c r="AA102" s="15" t="inlineStr">
        <is>
          <t>Aleatória S2nd</t>
        </is>
      </c>
      <c r="AB102" s="15" t="n">
        <v>1</v>
      </c>
      <c r="AC102" s="15" t="n">
        <v>2</v>
      </c>
      <c r="AD102" s="15" t="n">
        <v>3</v>
      </c>
      <c r="AE102" s="15" t="n">
        <v>4</v>
      </c>
      <c r="AF102" s="15" t="n">
        <v>5</v>
      </c>
      <c r="AG102" s="15" t="n">
        <v>6</v>
      </c>
      <c r="AH102" s="15" t="n">
        <v>7</v>
      </c>
      <c r="AI102" s="15" t="n">
        <v>8</v>
      </c>
      <c r="AJ102" s="15" t="n">
        <v>9</v>
      </c>
      <c r="AK102" s="15" t="n">
        <v>10</v>
      </c>
      <c r="AL102" s="15" t="n">
        <v>11</v>
      </c>
      <c r="AM102" s="15" t="n">
        <v>12</v>
      </c>
      <c r="AN102" s="15" t="n">
        <v>13</v>
      </c>
      <c r="AO102" s="15" t="n">
        <v>14</v>
      </c>
      <c r="AP102" s="15" t="n">
        <v>15</v>
      </c>
      <c r="AW102" s="15" t="inlineStr">
        <is>
          <t>Aleatória S2nd</t>
        </is>
      </c>
      <c r="AX102" s="15" t="n">
        <v>1</v>
      </c>
      <c r="AY102" s="15" t="n">
        <v>2</v>
      </c>
      <c r="AZ102" s="15" t="n">
        <v>3</v>
      </c>
      <c r="BA102" s="15" t="n">
        <v>4</v>
      </c>
      <c r="BB102" s="15" t="n">
        <v>5</v>
      </c>
      <c r="BC102" s="15" t="n">
        <v>6</v>
      </c>
      <c r="BD102" s="15" t="n">
        <v>7</v>
      </c>
      <c r="BE102" s="15" t="n">
        <v>8</v>
      </c>
      <c r="BF102" s="15" t="n">
        <v>9</v>
      </c>
      <c r="BG102" s="15" t="n">
        <v>10</v>
      </c>
      <c r="BH102" s="15" t="n">
        <v>11</v>
      </c>
      <c r="BI102" s="15" t="n">
        <v>12</v>
      </c>
      <c r="BJ102" s="15" t="n">
        <v>13</v>
      </c>
      <c r="BK102" s="15" t="n">
        <v>14</v>
      </c>
      <c r="BL102" s="15" t="n">
        <v>15</v>
      </c>
      <c r="BS102" s="15" t="inlineStr">
        <is>
          <t>Aleatória S2nd</t>
        </is>
      </c>
      <c r="BT102" s="15" t="n">
        <v>1</v>
      </c>
      <c r="BU102" s="15" t="n">
        <v>2</v>
      </c>
      <c r="BV102" s="15" t="n">
        <v>3</v>
      </c>
      <c r="BW102" s="15" t="n">
        <v>4</v>
      </c>
      <c r="BX102" s="15" t="n">
        <v>5</v>
      </c>
      <c r="BY102" s="15" t="n">
        <v>6</v>
      </c>
      <c r="BZ102" s="15" t="n">
        <v>7</v>
      </c>
      <c r="CA102" s="15" t="n">
        <v>8</v>
      </c>
      <c r="CB102" s="15" t="n">
        <v>9</v>
      </c>
      <c r="CC102" s="15" t="n">
        <v>10</v>
      </c>
      <c r="CD102" s="15" t="n">
        <v>11</v>
      </c>
      <c r="CE102" s="15" t="n">
        <v>12</v>
      </c>
      <c r="CF102" s="15" t="n">
        <v>13</v>
      </c>
      <c r="CG102" s="15" t="n">
        <v>14</v>
      </c>
      <c r="CH102" s="15" t="n">
        <v>15</v>
      </c>
      <c r="CO102" s="15" t="inlineStr">
        <is>
          <t>Aleatória S2nd</t>
        </is>
      </c>
      <c r="CP102" s="15" t="n">
        <v>1</v>
      </c>
      <c r="CQ102" s="15" t="n">
        <v>2</v>
      </c>
      <c r="CR102" s="15" t="n">
        <v>3</v>
      </c>
      <c r="CS102" s="15" t="n">
        <v>4</v>
      </c>
      <c r="CT102" s="15" t="n">
        <v>5</v>
      </c>
      <c r="CU102" s="15" t="n">
        <v>6</v>
      </c>
      <c r="CV102" s="15" t="n">
        <v>7</v>
      </c>
      <c r="CW102" s="15" t="n">
        <v>8</v>
      </c>
      <c r="CX102" s="15" t="n">
        <v>9</v>
      </c>
      <c r="CY102" s="15" t="n">
        <v>10</v>
      </c>
      <c r="CZ102" s="15" t="n">
        <v>11</v>
      </c>
      <c r="DA102" s="15" t="n">
        <v>12</v>
      </c>
      <c r="DB102" s="15" t="n">
        <v>13</v>
      </c>
      <c r="DC102" s="15" t="n">
        <v>14</v>
      </c>
      <c r="DD102" s="15" t="n">
        <v>15</v>
      </c>
      <c r="DK102" s="15" t="inlineStr">
        <is>
          <t>Aleatória S2nd</t>
        </is>
      </c>
      <c r="DL102" s="15" t="n">
        <v>1</v>
      </c>
      <c r="DM102" s="15" t="n">
        <v>2</v>
      </c>
      <c r="DN102" s="15" t="n">
        <v>3</v>
      </c>
      <c r="DO102" s="15" t="n">
        <v>4</v>
      </c>
      <c r="DP102" s="15" t="n">
        <v>5</v>
      </c>
      <c r="DQ102" s="15" t="n">
        <v>6</v>
      </c>
      <c r="DR102" s="15" t="n">
        <v>7</v>
      </c>
      <c r="DS102" s="15" t="n">
        <v>8</v>
      </c>
      <c r="DT102" s="15" t="n">
        <v>9</v>
      </c>
      <c r="DU102" s="15" t="n">
        <v>10</v>
      </c>
      <c r="DV102" s="15" t="n">
        <v>11</v>
      </c>
      <c r="DW102" s="15" t="n">
        <v>12</v>
      </c>
      <c r="DX102" s="15" t="n">
        <v>13</v>
      </c>
      <c r="DY102" s="15" t="n">
        <v>14</v>
      </c>
      <c r="DZ102" s="15" t="n">
        <v>15</v>
      </c>
      <c r="EG102" s="15" t="inlineStr">
        <is>
          <t>Aleatória S2nd</t>
        </is>
      </c>
      <c r="EH102" s="15" t="n">
        <v>1</v>
      </c>
      <c r="EI102" s="15" t="n">
        <v>2</v>
      </c>
      <c r="EJ102" s="15" t="n">
        <v>3</v>
      </c>
      <c r="EK102" s="15" t="n">
        <v>4</v>
      </c>
      <c r="EL102" s="15" t="n">
        <v>5</v>
      </c>
      <c r="EM102" s="15" t="n">
        <v>6</v>
      </c>
      <c r="EN102" s="15" t="n">
        <v>7</v>
      </c>
      <c r="EO102" s="15" t="n">
        <v>8</v>
      </c>
      <c r="EP102" s="15" t="n">
        <v>9</v>
      </c>
      <c r="EQ102" s="15" t="n">
        <v>10</v>
      </c>
      <c r="ER102" s="15" t="n">
        <v>11</v>
      </c>
      <c r="ES102" s="15" t="n">
        <v>12</v>
      </c>
      <c r="ET102" s="15" t="n">
        <v>13</v>
      </c>
      <c r="EU102" s="15" t="n">
        <v>14</v>
      </c>
      <c r="EV102" s="15" t="n">
        <v>15</v>
      </c>
      <c r="FC102" s="15" t="inlineStr">
        <is>
          <t>Aleatória S2nd</t>
        </is>
      </c>
      <c r="FD102" s="15" t="n">
        <v>1</v>
      </c>
      <c r="FE102" s="15" t="n">
        <v>2</v>
      </c>
      <c r="FF102" s="15" t="n">
        <v>3</v>
      </c>
      <c r="FG102" s="15" t="n">
        <v>4</v>
      </c>
      <c r="FH102" s="15" t="n">
        <v>5</v>
      </c>
      <c r="FI102" s="15" t="n">
        <v>6</v>
      </c>
      <c r="FJ102" s="15" t="n">
        <v>7</v>
      </c>
      <c r="FK102" s="15" t="n">
        <v>8</v>
      </c>
      <c r="FL102" s="15" t="n">
        <v>9</v>
      </c>
      <c r="FM102" s="15" t="n">
        <v>10</v>
      </c>
      <c r="FN102" s="15" t="n">
        <v>11</v>
      </c>
      <c r="FO102" s="15" t="n">
        <v>12</v>
      </c>
      <c r="FP102" s="15" t="n">
        <v>13</v>
      </c>
      <c r="FQ102" s="15" t="n">
        <v>14</v>
      </c>
      <c r="FR102" s="15" t="n">
        <v>15</v>
      </c>
      <c r="FY102" s="15" t="inlineStr">
        <is>
          <t>Aleatória S2nd</t>
        </is>
      </c>
      <c r="FZ102" s="15" t="n">
        <v>1</v>
      </c>
      <c r="GA102" s="15" t="n">
        <v>2</v>
      </c>
      <c r="GB102" s="15" t="n">
        <v>3</v>
      </c>
      <c r="GC102" s="15" t="n">
        <v>4</v>
      </c>
      <c r="GD102" s="15" t="n">
        <v>5</v>
      </c>
      <c r="GE102" s="15" t="n">
        <v>6</v>
      </c>
      <c r="GF102" s="15" t="n">
        <v>7</v>
      </c>
      <c r="GG102" s="15" t="n">
        <v>8</v>
      </c>
      <c r="GH102" s="15" t="n">
        <v>9</v>
      </c>
      <c r="GI102" s="15" t="n">
        <v>10</v>
      </c>
      <c r="GJ102" s="15" t="n">
        <v>11</v>
      </c>
      <c r="GK102" s="15" t="n">
        <v>12</v>
      </c>
      <c r="GL102" s="15" t="n">
        <v>13</v>
      </c>
      <c r="GM102" s="15" t="n">
        <v>14</v>
      </c>
      <c r="GN102" s="15" t="n">
        <v>15</v>
      </c>
      <c r="GU102" s="15" t="inlineStr">
        <is>
          <t>Aleatória S2nd</t>
        </is>
      </c>
      <c r="GV102" s="15" t="n">
        <v>1</v>
      </c>
      <c r="GW102" s="15" t="n">
        <v>2</v>
      </c>
      <c r="GX102" s="15" t="n">
        <v>3</v>
      </c>
      <c r="GY102" s="15" t="n">
        <v>4</v>
      </c>
      <c r="GZ102" s="15" t="n">
        <v>5</v>
      </c>
      <c r="HA102" s="15" t="n">
        <v>6</v>
      </c>
      <c r="HB102" s="15" t="n">
        <v>7</v>
      </c>
      <c r="HC102" s="15" t="n">
        <v>8</v>
      </c>
      <c r="HD102" s="15" t="n">
        <v>9</v>
      </c>
      <c r="HE102" s="15" t="n">
        <v>10</v>
      </c>
      <c r="HF102" s="15" t="n">
        <v>11</v>
      </c>
      <c r="HG102" s="15" t="n">
        <v>12</v>
      </c>
      <c r="HH102" s="15" t="n">
        <v>13</v>
      </c>
      <c r="HI102" s="15" t="n">
        <v>14</v>
      </c>
      <c r="HJ102" s="15" t="n">
        <v>15</v>
      </c>
    </row>
    <row r="103">
      <c r="C103" s="15" t="n">
        <v>1</v>
      </c>
      <c r="D103" s="15">
        <f>D58+D38*D63</f>
        <v/>
      </c>
      <c r="E103" s="15">
        <f>E58+E38*E63</f>
        <v/>
      </c>
      <c r="F103" s="15">
        <f>F58+F38*F63</f>
        <v/>
      </c>
      <c r="G103" s="15">
        <f>G58+G38*G63</f>
        <v/>
      </c>
      <c r="H103" s="15">
        <f>H58+H38*H63</f>
        <v/>
      </c>
      <c r="I103" s="15">
        <f>I58+I38*I63</f>
        <v/>
      </c>
      <c r="J103" s="15">
        <f>J58+J38*J63</f>
        <v/>
      </c>
      <c r="K103" s="15">
        <f>K58+K38*K63</f>
        <v/>
      </c>
      <c r="L103" s="15">
        <f>L58+L38*L63</f>
        <v/>
      </c>
      <c r="M103" s="15">
        <f>M58+M38*M63</f>
        <v/>
      </c>
      <c r="N103" s="15">
        <f>N58+N38*N63</f>
        <v/>
      </c>
      <c r="O103" s="15">
        <f>O58+O38*O63</f>
        <v/>
      </c>
      <c r="P103" s="15">
        <f>P58+P38*P63</f>
        <v/>
      </c>
      <c r="Q103" s="15">
        <f>Q58+Q38*Q63</f>
        <v/>
      </c>
      <c r="R103" s="15">
        <f>R58+R38*R63</f>
        <v/>
      </c>
      <c r="T103" s="39">
        <f>SUM(D103:R105)</f>
        <v/>
      </c>
      <c r="U103" s="39" t="n">
        <v>29276.46460708238</v>
      </c>
      <c r="V103" s="39">
        <f>T103-U103</f>
        <v/>
      </c>
      <c r="W103" s="39" t="n"/>
      <c r="X103" s="39" t="n"/>
      <c r="AA103" s="15" t="n">
        <v>1</v>
      </c>
      <c r="AB103" s="15" t="n">
        <v>386.88095286949</v>
      </c>
      <c r="AC103" s="15" t="n">
        <v>525.40137263663</v>
      </c>
      <c r="AD103" s="15" t="n">
        <v>499.18824867897</v>
      </c>
      <c r="AE103" s="15" t="n">
        <v>426.53433903658</v>
      </c>
      <c r="AF103" s="15" t="n">
        <v>968.8231835020399</v>
      </c>
      <c r="AG103" s="15" t="n">
        <v>387.06461534277</v>
      </c>
      <c r="AH103" s="15" t="n">
        <v>466.90876248352</v>
      </c>
      <c r="AI103" s="15" t="n">
        <v>857.53235435386</v>
      </c>
      <c r="AJ103" s="15" t="n">
        <v>677.1454208703999</v>
      </c>
      <c r="AK103" s="15" t="n">
        <v>636.29764418117</v>
      </c>
      <c r="AL103" s="15" t="n">
        <v>971.65761468143</v>
      </c>
      <c r="AM103" s="15" t="n">
        <v>296.13893883699</v>
      </c>
      <c r="AN103" s="15" t="n">
        <v>429.22013147717</v>
      </c>
      <c r="AO103" s="15" t="n">
        <v>373.34775692502</v>
      </c>
      <c r="AP103" s="15" t="n">
        <v>1183.85365664732</v>
      </c>
      <c r="AW103" s="15" t="n">
        <v>1</v>
      </c>
      <c r="AX103" s="15" t="n">
        <v>420.06952786</v>
      </c>
      <c r="AY103" s="15" t="n">
        <v>569.8536729</v>
      </c>
      <c r="AZ103" s="15" t="n">
        <v>543.50006314</v>
      </c>
      <c r="BA103" s="15" t="n">
        <v>463.7065044</v>
      </c>
      <c r="BB103" s="15" t="n">
        <v>1050.72457564</v>
      </c>
      <c r="BC103" s="15" t="n">
        <v>420.86332035</v>
      </c>
      <c r="BD103" s="15" t="n">
        <v>508.16210241</v>
      </c>
      <c r="BE103" s="15" t="n">
        <v>931.84450149</v>
      </c>
      <c r="BF103" s="15" t="n">
        <v>735.3274476099999</v>
      </c>
      <c r="BG103" s="15" t="n">
        <v>690.0241923399999</v>
      </c>
      <c r="BH103" s="15" t="n">
        <v>1053.58578711</v>
      </c>
      <c r="BI103" s="15" t="n">
        <v>321.17089279</v>
      </c>
      <c r="BJ103" s="15" t="n">
        <v>465.81556099</v>
      </c>
      <c r="BK103" s="15" t="n">
        <v>405.65317285</v>
      </c>
      <c r="BL103" s="15" t="n">
        <v>1286.13594241</v>
      </c>
      <c r="BS103" s="15" t="n">
        <v>1</v>
      </c>
      <c r="BT103" s="15" t="n">
        <v>532.36082416</v>
      </c>
      <c r="BU103" s="15" t="n">
        <v>720.2550209999999</v>
      </c>
      <c r="BV103" s="15" t="n">
        <v>693.42608704</v>
      </c>
      <c r="BW103" s="15" t="n">
        <v>589.476009</v>
      </c>
      <c r="BX103" s="15" t="n">
        <v>1327.83239044</v>
      </c>
      <c r="BY103" s="15" t="n">
        <v>535.21895025</v>
      </c>
      <c r="BZ103" s="15" t="n">
        <v>647.73998481</v>
      </c>
      <c r="CA103" s="15" t="n">
        <v>1183.27461969</v>
      </c>
      <c r="CB103" s="15" t="n">
        <v>932.18239561</v>
      </c>
      <c r="CC103" s="15" t="n">
        <v>871.80433024</v>
      </c>
      <c r="CD103" s="15" t="n">
        <v>1330.78421121</v>
      </c>
      <c r="CE103" s="15" t="n">
        <v>405.86481409</v>
      </c>
      <c r="CF103" s="15" t="n">
        <v>589.63371889</v>
      </c>
      <c r="CG103" s="15" t="n">
        <v>514.95636025</v>
      </c>
      <c r="CH103" s="15" t="n">
        <v>1632.20113081</v>
      </c>
      <c r="CO103" s="15" t="n">
        <v>1</v>
      </c>
      <c r="CP103" s="15" t="n">
        <v>386.88095286949</v>
      </c>
      <c r="CQ103" s="15" t="n">
        <v>525.40137263663</v>
      </c>
      <c r="CR103" s="15" t="n">
        <v>499.18824867897</v>
      </c>
      <c r="CS103" s="15" t="n">
        <v>426.53433903658</v>
      </c>
      <c r="CT103" s="15" t="n">
        <v>968.8231835020399</v>
      </c>
      <c r="CU103" s="15" t="n">
        <v>387.06461534277</v>
      </c>
      <c r="CV103" s="15" t="n">
        <v>466.90876248352</v>
      </c>
      <c r="CW103" s="15" t="n">
        <v>857.53235435386</v>
      </c>
      <c r="CX103" s="15" t="n">
        <v>677.1454208703999</v>
      </c>
      <c r="CY103" s="15" t="n">
        <v>636.29764418117</v>
      </c>
      <c r="CZ103" s="15" t="n">
        <v>971.65761468143</v>
      </c>
      <c r="DA103" s="15" t="n">
        <v>296.13893883699</v>
      </c>
      <c r="DB103" s="15" t="n">
        <v>429.22013147717</v>
      </c>
      <c r="DC103" s="15" t="n">
        <v>373.34775692502</v>
      </c>
      <c r="DD103" s="15" t="n">
        <v>1183.85365664732</v>
      </c>
      <c r="DK103" s="15" t="n">
        <v>1</v>
      </c>
      <c r="DL103" s="15" t="n">
        <v>420.06952786</v>
      </c>
      <c r="DM103" s="15" t="n">
        <v>569.8536729</v>
      </c>
      <c r="DN103" s="15" t="n">
        <v>543.50006314</v>
      </c>
      <c r="DO103" s="15" t="n">
        <v>463.7065044</v>
      </c>
      <c r="DP103" s="15" t="n">
        <v>1050.72457564</v>
      </c>
      <c r="DQ103" s="15" t="n">
        <v>420.86332035</v>
      </c>
      <c r="DR103" s="15" t="n">
        <v>508.16210241</v>
      </c>
      <c r="DS103" s="15" t="n">
        <v>931.84450149</v>
      </c>
      <c r="DT103" s="15" t="n">
        <v>735.3274476099999</v>
      </c>
      <c r="DU103" s="15" t="n">
        <v>690.0241923399999</v>
      </c>
      <c r="DV103" s="15" t="n">
        <v>1053.58578711</v>
      </c>
      <c r="DW103" s="15" t="n">
        <v>321.17089279</v>
      </c>
      <c r="DX103" s="15" t="n">
        <v>465.81556099</v>
      </c>
      <c r="DY103" s="15" t="n">
        <v>405.65317285</v>
      </c>
      <c r="DZ103" s="15" t="n">
        <v>1286.13594241</v>
      </c>
      <c r="EG103" s="15" t="n">
        <v>1</v>
      </c>
      <c r="EH103" s="15" t="n">
        <v>532.36082416</v>
      </c>
      <c r="EI103" s="15" t="n">
        <v>720.2550209999999</v>
      </c>
      <c r="EJ103" s="15" t="n">
        <v>693.42608704</v>
      </c>
      <c r="EK103" s="15" t="n">
        <v>589.476009</v>
      </c>
      <c r="EL103" s="15" t="n">
        <v>1327.83239044</v>
      </c>
      <c r="EM103" s="15" t="n">
        <v>535.21895025</v>
      </c>
      <c r="EN103" s="15" t="n">
        <v>647.73998481</v>
      </c>
      <c r="EO103" s="15" t="n">
        <v>1183.27461969</v>
      </c>
      <c r="EP103" s="15" t="n">
        <v>932.18239561</v>
      </c>
      <c r="EQ103" s="15" t="n">
        <v>871.80433024</v>
      </c>
      <c r="ER103" s="15" t="n">
        <v>1330.78421121</v>
      </c>
      <c r="ES103" s="15" t="n">
        <v>405.86481409</v>
      </c>
      <c r="ET103" s="15" t="n">
        <v>589.63371889</v>
      </c>
      <c r="EU103" s="15" t="n">
        <v>514.95636025</v>
      </c>
      <c r="EV103" s="15" t="n">
        <v>1632.20113081</v>
      </c>
      <c r="FC103" s="15" t="n">
        <v>1</v>
      </c>
      <c r="FD103" s="15" t="n">
        <v>386.88095286949</v>
      </c>
      <c r="FE103" s="15" t="n">
        <v>525.40137263663</v>
      </c>
      <c r="FF103" s="15" t="n">
        <v>499.18824867897</v>
      </c>
      <c r="FG103" s="15" t="n">
        <v>426.53433903658</v>
      </c>
      <c r="FH103" s="15" t="n">
        <v>968.8231835020399</v>
      </c>
      <c r="FI103" s="15" t="n">
        <v>387.06461534277</v>
      </c>
      <c r="FJ103" s="15" t="n">
        <v>466.90876248352</v>
      </c>
      <c r="FK103" s="15" t="n">
        <v>857.53235435386</v>
      </c>
      <c r="FL103" s="15" t="n">
        <v>677.1454208703999</v>
      </c>
      <c r="FM103" s="15" t="n">
        <v>636.29764418117</v>
      </c>
      <c r="FN103" s="15" t="n">
        <v>971.65761468143</v>
      </c>
      <c r="FO103" s="15" t="n">
        <v>296.13893883699</v>
      </c>
      <c r="FP103" s="15" t="n">
        <v>429.22013147717</v>
      </c>
      <c r="FQ103" s="15" t="n">
        <v>373.34775692502</v>
      </c>
      <c r="FR103" s="15" t="n">
        <v>1183.85365664732</v>
      </c>
      <c r="FY103" s="15" t="n">
        <v>1</v>
      </c>
      <c r="FZ103" s="15" t="n">
        <v>420.06952786</v>
      </c>
      <c r="GA103" s="15" t="n">
        <v>569.8536729</v>
      </c>
      <c r="GB103" s="15" t="n">
        <v>543.50006314</v>
      </c>
      <c r="GC103" s="15" t="n">
        <v>463.7065044</v>
      </c>
      <c r="GD103" s="15" t="n">
        <v>1050.72457564</v>
      </c>
      <c r="GE103" s="15" t="n">
        <v>420.86332035</v>
      </c>
      <c r="GF103" s="15" t="n">
        <v>508.16210241</v>
      </c>
      <c r="GG103" s="15" t="n">
        <v>931.84450149</v>
      </c>
      <c r="GH103" s="15" t="n">
        <v>735.3274476099999</v>
      </c>
      <c r="GI103" s="15" t="n">
        <v>690.0241923399999</v>
      </c>
      <c r="GJ103" s="15" t="n">
        <v>1053.58578711</v>
      </c>
      <c r="GK103" s="15" t="n">
        <v>321.17089279</v>
      </c>
      <c r="GL103" s="15" t="n">
        <v>465.81556099</v>
      </c>
      <c r="GM103" s="15" t="n">
        <v>405.65317285</v>
      </c>
      <c r="GN103" s="15" t="n">
        <v>1286.13594241</v>
      </c>
      <c r="GU103" s="15" t="n">
        <v>1</v>
      </c>
      <c r="GV103" s="15" t="n">
        <v>532.36082416</v>
      </c>
      <c r="GW103" s="15" t="n">
        <v>720.2550209999999</v>
      </c>
      <c r="GX103" s="15" t="n">
        <v>693.42608704</v>
      </c>
      <c r="GY103" s="15" t="n">
        <v>589.476009</v>
      </c>
      <c r="GZ103" s="15" t="n">
        <v>1327.83239044</v>
      </c>
      <c r="HA103" s="15" t="n">
        <v>535.21895025</v>
      </c>
      <c r="HB103" s="15" t="n">
        <v>647.73998481</v>
      </c>
      <c r="HC103" s="15" t="n">
        <v>1183.27461969</v>
      </c>
      <c r="HD103" s="15" t="n">
        <v>932.18239561</v>
      </c>
      <c r="HE103" s="15" t="n">
        <v>871.80433024</v>
      </c>
      <c r="HF103" s="15" t="n">
        <v>1330.78421121</v>
      </c>
      <c r="HG103" s="15" t="n">
        <v>405.86481409</v>
      </c>
      <c r="HH103" s="15" t="n">
        <v>589.63371889</v>
      </c>
      <c r="HI103" s="15" t="n">
        <v>514.95636025</v>
      </c>
      <c r="HJ103" s="15" t="n">
        <v>1632.20113081</v>
      </c>
    </row>
    <row r="104">
      <c r="C104" s="15" t="n">
        <v>2</v>
      </c>
      <c r="D104" s="15">
        <f>D59+D39*D64</f>
        <v/>
      </c>
      <c r="E104" s="15">
        <f>E59+E39*E64</f>
        <v/>
      </c>
      <c r="F104" s="15">
        <f>F59+F39*F64</f>
        <v/>
      </c>
      <c r="G104" s="15">
        <f>G59+G39*G64</f>
        <v/>
      </c>
      <c r="H104" s="15">
        <f>H59+H39*H64</f>
        <v/>
      </c>
      <c r="I104" s="15">
        <f>I59+I39*I64</f>
        <v/>
      </c>
      <c r="J104" s="15">
        <f>J59+J39*J64</f>
        <v/>
      </c>
      <c r="K104" s="15">
        <f>K59+K39*K64</f>
        <v/>
      </c>
      <c r="L104" s="15">
        <f>L59+L39*L64</f>
        <v/>
      </c>
      <c r="M104" s="15">
        <f>M59+M39*M64</f>
        <v/>
      </c>
      <c r="N104" s="15">
        <f>N59+N39*N64</f>
        <v/>
      </c>
      <c r="O104" s="15">
        <f>O59+O39*O64</f>
        <v/>
      </c>
      <c r="P104" s="15">
        <f>P59+P39*P64</f>
        <v/>
      </c>
      <c r="Q104" s="15">
        <f>Q59+Q39*Q64</f>
        <v/>
      </c>
      <c r="R104" s="15">
        <f>R59+R39*R64</f>
        <v/>
      </c>
      <c r="AA104" s="15" t="n">
        <v>2</v>
      </c>
      <c r="AB104" s="15" t="n">
        <v>557.4804115650401</v>
      </c>
      <c r="AC104" s="15" t="n">
        <v>420.16020865404</v>
      </c>
      <c r="AD104" s="15" t="n">
        <v>477.43829081277</v>
      </c>
      <c r="AE104" s="15" t="n">
        <v>1209.0670606685</v>
      </c>
      <c r="AF104" s="15" t="n">
        <v>759.4953547551399</v>
      </c>
      <c r="AG104" s="15" t="n">
        <v>830.4246985022</v>
      </c>
      <c r="AH104" s="15" t="n">
        <v>492.29089458765</v>
      </c>
      <c r="AI104" s="15" t="n">
        <v>403.11133365</v>
      </c>
      <c r="AJ104" s="15" t="n">
        <v>618.83735637646</v>
      </c>
      <c r="AK104" s="15" t="n">
        <v>388.10588377078</v>
      </c>
      <c r="AL104" s="15" t="n">
        <v>607.5330918192401</v>
      </c>
      <c r="AM104" s="15" t="n">
        <v>713.84744962716</v>
      </c>
      <c r="AN104" s="15" t="n">
        <v>468.39653974138</v>
      </c>
      <c r="AO104" s="15" t="n">
        <v>993.1268845182799</v>
      </c>
      <c r="AP104" s="15" t="n">
        <v>857.57023422218</v>
      </c>
      <c r="AW104" s="15" t="n">
        <v>2</v>
      </c>
      <c r="AX104" s="15" t="n">
        <v>605.01031936</v>
      </c>
      <c r="AY104" s="15" t="n">
        <v>455.90029281</v>
      </c>
      <c r="AZ104" s="15" t="n">
        <v>518.2051861</v>
      </c>
      <c r="BA104" s="15" t="n">
        <v>1316.13064696</v>
      </c>
      <c r="BB104" s="15" t="n">
        <v>823.65236845</v>
      </c>
      <c r="BC104" s="15" t="n">
        <v>901.0177807600001</v>
      </c>
      <c r="BD104" s="15" t="n">
        <v>533.78838691</v>
      </c>
      <c r="BE104" s="15" t="n">
        <v>437.74560144</v>
      </c>
      <c r="BF104" s="15" t="n">
        <v>671.6361018099999</v>
      </c>
      <c r="BG104" s="15" t="n">
        <v>421.36464261</v>
      </c>
      <c r="BH104" s="15" t="n">
        <v>660.00746209</v>
      </c>
      <c r="BI104" s="15" t="n">
        <v>774.6156198</v>
      </c>
      <c r="BJ104" s="15" t="n">
        <v>508.29220456</v>
      </c>
      <c r="BK104" s="15" t="n">
        <v>1077.1633774</v>
      </c>
      <c r="BL104" s="15" t="n">
        <v>930.68408884</v>
      </c>
      <c r="BS104" s="15" t="n">
        <v>2</v>
      </c>
      <c r="BT104" s="15" t="n">
        <v>765.8245441600001</v>
      </c>
      <c r="BU104" s="15" t="n">
        <v>576.82444761</v>
      </c>
      <c r="BV104" s="15" t="n">
        <v>656.137216</v>
      </c>
      <c r="BW104" s="15" t="n">
        <v>1678.37304196</v>
      </c>
      <c r="BX104" s="15" t="n">
        <v>1040.72328025</v>
      </c>
      <c r="BY104" s="15" t="n">
        <v>1139.86469476</v>
      </c>
      <c r="BZ104" s="15" t="n">
        <v>674.19234241</v>
      </c>
      <c r="CA104" s="15" t="n">
        <v>554.9283014399999</v>
      </c>
      <c r="CB104" s="15" t="n">
        <v>850.27708201</v>
      </c>
      <c r="CC104" s="15" t="n">
        <v>533.8934012100001</v>
      </c>
      <c r="CD104" s="15" t="n">
        <v>837.5509408900001</v>
      </c>
      <c r="CE104" s="15" t="n">
        <v>980.220609</v>
      </c>
      <c r="CF104" s="15" t="n">
        <v>643.27648516</v>
      </c>
      <c r="CG104" s="15" t="n">
        <v>1361.495161</v>
      </c>
      <c r="CH104" s="15" t="n">
        <v>1178.05986544</v>
      </c>
      <c r="CO104" s="15" t="n">
        <v>2</v>
      </c>
      <c r="CP104" s="15" t="n">
        <v>557.4804115650401</v>
      </c>
      <c r="CQ104" s="15" t="n">
        <v>420.16020865404</v>
      </c>
      <c r="CR104" s="15" t="n">
        <v>477.43829081277</v>
      </c>
      <c r="CS104" s="15" t="n">
        <v>1209.0670606685</v>
      </c>
      <c r="CT104" s="15" t="n">
        <v>759.4953547551399</v>
      </c>
      <c r="CU104" s="15" t="n">
        <v>830.4246985022</v>
      </c>
      <c r="CV104" s="15" t="n">
        <v>492.29089458765</v>
      </c>
      <c r="CW104" s="15" t="n">
        <v>403.11133365</v>
      </c>
      <c r="CX104" s="15" t="n">
        <v>618.83735637646</v>
      </c>
      <c r="CY104" s="15" t="n">
        <v>388.10588377078</v>
      </c>
      <c r="CZ104" s="15" t="n">
        <v>607.5330918192401</v>
      </c>
      <c r="DA104" s="15" t="n">
        <v>713.84744962716</v>
      </c>
      <c r="DB104" s="15" t="n">
        <v>468.39653974138</v>
      </c>
      <c r="DC104" s="15" t="n">
        <v>993.1268845182799</v>
      </c>
      <c r="DD104" s="15" t="n">
        <v>857.57023422218</v>
      </c>
      <c r="DK104" s="15" t="n">
        <v>2</v>
      </c>
      <c r="DL104" s="15" t="n">
        <v>605.01031936</v>
      </c>
      <c r="DM104" s="15" t="n">
        <v>455.90029281</v>
      </c>
      <c r="DN104" s="15" t="n">
        <v>518.2051861</v>
      </c>
      <c r="DO104" s="15" t="n">
        <v>1316.13064696</v>
      </c>
      <c r="DP104" s="15" t="n">
        <v>823.65236845</v>
      </c>
      <c r="DQ104" s="15" t="n">
        <v>901.0177807600001</v>
      </c>
      <c r="DR104" s="15" t="n">
        <v>533.78838691</v>
      </c>
      <c r="DS104" s="15" t="n">
        <v>437.74560144</v>
      </c>
      <c r="DT104" s="15" t="n">
        <v>671.6361018099999</v>
      </c>
      <c r="DU104" s="15" t="n">
        <v>421.36464261</v>
      </c>
      <c r="DV104" s="15" t="n">
        <v>660.00746209</v>
      </c>
      <c r="DW104" s="15" t="n">
        <v>774.6156198</v>
      </c>
      <c r="DX104" s="15" t="n">
        <v>508.29220456</v>
      </c>
      <c r="DY104" s="15" t="n">
        <v>1077.1633774</v>
      </c>
      <c r="DZ104" s="15" t="n">
        <v>930.68408884</v>
      </c>
      <c r="EG104" s="15" t="n">
        <v>2</v>
      </c>
      <c r="EH104" s="15" t="n">
        <v>765.8245441600001</v>
      </c>
      <c r="EI104" s="15" t="n">
        <v>576.82444761</v>
      </c>
      <c r="EJ104" s="15" t="n">
        <v>656.137216</v>
      </c>
      <c r="EK104" s="15" t="n">
        <v>1678.37304196</v>
      </c>
      <c r="EL104" s="15" t="n">
        <v>1040.72328025</v>
      </c>
      <c r="EM104" s="15" t="n">
        <v>1139.86469476</v>
      </c>
      <c r="EN104" s="15" t="n">
        <v>674.19234241</v>
      </c>
      <c r="EO104" s="15" t="n">
        <v>554.9283014399999</v>
      </c>
      <c r="EP104" s="15" t="n">
        <v>850.27708201</v>
      </c>
      <c r="EQ104" s="15" t="n">
        <v>533.8934012100001</v>
      </c>
      <c r="ER104" s="15" t="n">
        <v>837.5509408900001</v>
      </c>
      <c r="ES104" s="15" t="n">
        <v>980.220609</v>
      </c>
      <c r="ET104" s="15" t="n">
        <v>643.27648516</v>
      </c>
      <c r="EU104" s="15" t="n">
        <v>1361.495161</v>
      </c>
      <c r="EV104" s="15" t="n">
        <v>1178.05986544</v>
      </c>
      <c r="FC104" s="15" t="n">
        <v>2</v>
      </c>
      <c r="FD104" s="15" t="n">
        <v>557.4804115650401</v>
      </c>
      <c r="FE104" s="15" t="n">
        <v>420.16020865404</v>
      </c>
      <c r="FF104" s="15" t="n">
        <v>477.43829081277</v>
      </c>
      <c r="FG104" s="15" t="n">
        <v>1209.0670606685</v>
      </c>
      <c r="FH104" s="15" t="n">
        <v>759.4953547551399</v>
      </c>
      <c r="FI104" s="15" t="n">
        <v>830.4246985022</v>
      </c>
      <c r="FJ104" s="15" t="n">
        <v>492.29089458765</v>
      </c>
      <c r="FK104" s="15" t="n">
        <v>403.11133365</v>
      </c>
      <c r="FL104" s="15" t="n">
        <v>618.83735637646</v>
      </c>
      <c r="FM104" s="15" t="n">
        <v>388.10588377078</v>
      </c>
      <c r="FN104" s="15" t="n">
        <v>607.5330918192401</v>
      </c>
      <c r="FO104" s="15" t="n">
        <v>713.84744962716</v>
      </c>
      <c r="FP104" s="15" t="n">
        <v>468.39653974138</v>
      </c>
      <c r="FQ104" s="15" t="n">
        <v>993.1268845182799</v>
      </c>
      <c r="FR104" s="15" t="n">
        <v>857.57023422218</v>
      </c>
      <c r="FY104" s="15" t="n">
        <v>2</v>
      </c>
      <c r="FZ104" s="15" t="n">
        <v>605.01031936</v>
      </c>
      <c r="GA104" s="15" t="n">
        <v>455.90029281</v>
      </c>
      <c r="GB104" s="15" t="n">
        <v>518.2051861</v>
      </c>
      <c r="GC104" s="15" t="n">
        <v>1316.13064696</v>
      </c>
      <c r="GD104" s="15" t="n">
        <v>823.65236845</v>
      </c>
      <c r="GE104" s="15" t="n">
        <v>901.0177807600001</v>
      </c>
      <c r="GF104" s="15" t="n">
        <v>533.78838691</v>
      </c>
      <c r="GG104" s="15" t="n">
        <v>437.74560144</v>
      </c>
      <c r="GH104" s="15" t="n">
        <v>671.6361018099999</v>
      </c>
      <c r="GI104" s="15" t="n">
        <v>421.36464261</v>
      </c>
      <c r="GJ104" s="15" t="n">
        <v>660.00746209</v>
      </c>
      <c r="GK104" s="15" t="n">
        <v>774.6156198</v>
      </c>
      <c r="GL104" s="15" t="n">
        <v>508.29220456</v>
      </c>
      <c r="GM104" s="15" t="n">
        <v>1077.1633774</v>
      </c>
      <c r="GN104" s="15" t="n">
        <v>930.68408884</v>
      </c>
      <c r="GU104" s="15" t="n">
        <v>2</v>
      </c>
      <c r="GV104" s="15" t="n">
        <v>765.8245441600001</v>
      </c>
      <c r="GW104" s="15" t="n">
        <v>576.82444761</v>
      </c>
      <c r="GX104" s="15" t="n">
        <v>656.137216</v>
      </c>
      <c r="GY104" s="15" t="n">
        <v>1678.37304196</v>
      </c>
      <c r="GZ104" s="15" t="n">
        <v>1040.72328025</v>
      </c>
      <c r="HA104" s="15" t="n">
        <v>1139.86469476</v>
      </c>
      <c r="HB104" s="15" t="n">
        <v>674.19234241</v>
      </c>
      <c r="HC104" s="15" t="n">
        <v>554.9283014399999</v>
      </c>
      <c r="HD104" s="15" t="n">
        <v>850.27708201</v>
      </c>
      <c r="HE104" s="15" t="n">
        <v>533.8934012100001</v>
      </c>
      <c r="HF104" s="15" t="n">
        <v>837.5509408900001</v>
      </c>
      <c r="HG104" s="15" t="n">
        <v>980.220609</v>
      </c>
      <c r="HH104" s="15" t="n">
        <v>643.27648516</v>
      </c>
      <c r="HI104" s="15" t="n">
        <v>1361.495161</v>
      </c>
      <c r="HJ104" s="15" t="n">
        <v>1178.05986544</v>
      </c>
    </row>
    <row r="105">
      <c r="C105" s="15" t="n">
        <v>3</v>
      </c>
      <c r="D105" s="15">
        <f>D60+D40*D65</f>
        <v/>
      </c>
      <c r="E105" s="15">
        <f>E60+E40*E65</f>
        <v/>
      </c>
      <c r="F105" s="15">
        <f>F60+F40*F65</f>
        <v/>
      </c>
      <c r="G105" s="15">
        <f>G60+G40*G65</f>
        <v/>
      </c>
      <c r="H105" s="15">
        <f>H60+H40*H65</f>
        <v/>
      </c>
      <c r="I105" s="15">
        <f>I60+I40*I65</f>
        <v/>
      </c>
      <c r="J105" s="15">
        <f>J60+J40*J65</f>
        <v/>
      </c>
      <c r="K105" s="15">
        <f>K60+K40*K65</f>
        <v/>
      </c>
      <c r="L105" s="15">
        <f>L60+L40*L65</f>
        <v/>
      </c>
      <c r="M105" s="15">
        <f>M60+M40*M65</f>
        <v/>
      </c>
      <c r="N105" s="15">
        <f>N60+N40*N65</f>
        <v/>
      </c>
      <c r="O105" s="15">
        <f>O60+O40*O65</f>
        <v/>
      </c>
      <c r="P105" s="15">
        <f>P60+P40*P65</f>
        <v/>
      </c>
      <c r="Q105" s="15">
        <f>Q60+Q40*Q65</f>
        <v/>
      </c>
      <c r="R105" s="15">
        <f>R60+R40*R65</f>
        <v/>
      </c>
      <c r="AA105" s="15" t="n">
        <v>3</v>
      </c>
      <c r="AB105" s="15" t="n">
        <v>942.31815361477</v>
      </c>
      <c r="AC105" s="15" t="n">
        <v>523.29999901004</v>
      </c>
      <c r="AD105" s="15" t="n">
        <v>596.0666421098001</v>
      </c>
      <c r="AE105" s="15" t="n">
        <v>1148.57748355268</v>
      </c>
      <c r="AF105" s="15" t="n">
        <v>555.1923786873101</v>
      </c>
      <c r="AG105" s="15" t="n">
        <v>955.17631875619</v>
      </c>
      <c r="AH105" s="15" t="n">
        <v>560.75607016399</v>
      </c>
      <c r="AI105" s="15" t="n">
        <v>749.53381213025</v>
      </c>
      <c r="AJ105" s="15" t="n">
        <v>618.0554533381599</v>
      </c>
      <c r="AK105" s="15" t="n">
        <v>437.27677435068</v>
      </c>
      <c r="AL105" s="15" t="n">
        <v>532.8090266813499</v>
      </c>
      <c r="AM105" s="15" t="n">
        <v>536.1197874641499</v>
      </c>
      <c r="AN105" s="15" t="n">
        <v>804.8917898359</v>
      </c>
      <c r="AO105" s="15" t="n">
        <v>719.6700173013401</v>
      </c>
      <c r="AP105" s="15" t="n">
        <v>713.84021429159</v>
      </c>
      <c r="AW105" s="15" t="n">
        <v>3</v>
      </c>
      <c r="AX105" s="15" t="n">
        <v>1024.58711779</v>
      </c>
      <c r="AY105" s="15" t="n">
        <v>568.4530452899999</v>
      </c>
      <c r="AZ105" s="15" t="n">
        <v>649.20617929</v>
      </c>
      <c r="BA105" s="15" t="n">
        <v>1246.45351096</v>
      </c>
      <c r="BB105" s="15" t="n">
        <v>602.98952839</v>
      </c>
      <c r="BC105" s="15" t="n">
        <v>1039.70244511</v>
      </c>
      <c r="BD105" s="15" t="n">
        <v>610.9473247</v>
      </c>
      <c r="BE105" s="15" t="n">
        <v>813.1281444599999</v>
      </c>
      <c r="BF105" s="15" t="n">
        <v>671.9233435599999</v>
      </c>
      <c r="BG105" s="15" t="n">
        <v>474.25199976</v>
      </c>
      <c r="BH105" s="15" t="n">
        <v>579.4975254999999</v>
      </c>
      <c r="BI105" s="15" t="n">
        <v>581.3213453399999</v>
      </c>
      <c r="BJ105" s="15" t="n">
        <v>873.7962670000001</v>
      </c>
      <c r="BK105" s="15" t="n">
        <v>780.55139104</v>
      </c>
      <c r="BL105" s="15" t="n">
        <v>774.6868947099999</v>
      </c>
      <c r="BS105" s="15" t="n">
        <v>3</v>
      </c>
      <c r="BT105" s="15" t="n">
        <v>1302.93858769</v>
      </c>
      <c r="BU105" s="15" t="n">
        <v>721.22532009</v>
      </c>
      <c r="BV105" s="15" t="n">
        <v>829.0002052900002</v>
      </c>
      <c r="BW105" s="15" t="n">
        <v>1577.61042256</v>
      </c>
      <c r="BX105" s="15" t="n">
        <v>764.7079480899999</v>
      </c>
      <c r="BY105" s="15" t="n">
        <v>1325.69087041</v>
      </c>
      <c r="BZ105" s="15" t="n">
        <v>780.766036</v>
      </c>
      <c r="CA105" s="15" t="n">
        <v>1028.29526196</v>
      </c>
      <c r="CB105" s="15" t="n">
        <v>854.18170276</v>
      </c>
      <c r="CC105" s="15" t="n">
        <v>599.35517136</v>
      </c>
      <c r="CD105" s="15" t="n">
        <v>737.4648999999999</v>
      </c>
      <c r="CE105" s="15" t="n">
        <v>734.2577558399998</v>
      </c>
      <c r="CF105" s="15" t="n">
        <v>1106.9299</v>
      </c>
      <c r="CG105" s="15" t="n">
        <v>986.53939684</v>
      </c>
      <c r="CH105" s="15" t="n">
        <v>980.55751801</v>
      </c>
      <c r="CO105" s="15" t="n">
        <v>3</v>
      </c>
      <c r="CP105" s="15" t="n">
        <v>942.31815361477</v>
      </c>
      <c r="CQ105" s="15" t="n">
        <v>523.29999901004</v>
      </c>
      <c r="CR105" s="15" t="n">
        <v>596.0666421098001</v>
      </c>
      <c r="CS105" s="15" t="n">
        <v>1148.57748355268</v>
      </c>
      <c r="CT105" s="15" t="n">
        <v>555.1923786873101</v>
      </c>
      <c r="CU105" s="15" t="n">
        <v>955.17631875619</v>
      </c>
      <c r="CV105" s="15" t="n">
        <v>560.75607016399</v>
      </c>
      <c r="CW105" s="15" t="n">
        <v>749.53381213025</v>
      </c>
      <c r="CX105" s="15" t="n">
        <v>618.0554533381599</v>
      </c>
      <c r="CY105" s="15" t="n">
        <v>437.27677435068</v>
      </c>
      <c r="CZ105" s="15" t="n">
        <v>532.8090266813499</v>
      </c>
      <c r="DA105" s="15" t="n">
        <v>536.1197874641499</v>
      </c>
      <c r="DB105" s="15" t="n">
        <v>804.8917898359</v>
      </c>
      <c r="DC105" s="15" t="n">
        <v>719.6700173013401</v>
      </c>
      <c r="DD105" s="15" t="n">
        <v>713.84021429159</v>
      </c>
      <c r="DK105" s="15" t="n">
        <v>3</v>
      </c>
      <c r="DL105" s="15" t="n">
        <v>1024.58711779</v>
      </c>
      <c r="DM105" s="15" t="n">
        <v>568.4530452899999</v>
      </c>
      <c r="DN105" s="15" t="n">
        <v>649.20617929</v>
      </c>
      <c r="DO105" s="15" t="n">
        <v>1246.45351096</v>
      </c>
      <c r="DP105" s="15" t="n">
        <v>602.98952839</v>
      </c>
      <c r="DQ105" s="15" t="n">
        <v>1039.70244511</v>
      </c>
      <c r="DR105" s="15" t="n">
        <v>610.9473247</v>
      </c>
      <c r="DS105" s="15" t="n">
        <v>813.1281444599999</v>
      </c>
      <c r="DT105" s="15" t="n">
        <v>671.9233435599999</v>
      </c>
      <c r="DU105" s="15" t="n">
        <v>474.25199976</v>
      </c>
      <c r="DV105" s="15" t="n">
        <v>579.4975254999999</v>
      </c>
      <c r="DW105" s="15" t="n">
        <v>581.3213453399999</v>
      </c>
      <c r="DX105" s="15" t="n">
        <v>873.7962670000001</v>
      </c>
      <c r="DY105" s="15" t="n">
        <v>780.55139104</v>
      </c>
      <c r="DZ105" s="15" t="n">
        <v>774.6868947099999</v>
      </c>
      <c r="EG105" s="15" t="n">
        <v>3</v>
      </c>
      <c r="EH105" s="15" t="n">
        <v>1302.93858769</v>
      </c>
      <c r="EI105" s="15" t="n">
        <v>721.22532009</v>
      </c>
      <c r="EJ105" s="15" t="n">
        <v>829.0002052900002</v>
      </c>
      <c r="EK105" s="15" t="n">
        <v>1577.61042256</v>
      </c>
      <c r="EL105" s="15" t="n">
        <v>764.7079480899999</v>
      </c>
      <c r="EM105" s="15" t="n">
        <v>1325.69087041</v>
      </c>
      <c r="EN105" s="15" t="n">
        <v>780.766036</v>
      </c>
      <c r="EO105" s="15" t="n">
        <v>1028.29526196</v>
      </c>
      <c r="EP105" s="15" t="n">
        <v>854.18170276</v>
      </c>
      <c r="EQ105" s="15" t="n">
        <v>599.35517136</v>
      </c>
      <c r="ER105" s="15" t="n">
        <v>737.4648999999999</v>
      </c>
      <c r="ES105" s="15" t="n">
        <v>734.2577558399998</v>
      </c>
      <c r="ET105" s="15" t="n">
        <v>1106.9299</v>
      </c>
      <c r="EU105" s="15" t="n">
        <v>986.53939684</v>
      </c>
      <c r="EV105" s="15" t="n">
        <v>980.55751801</v>
      </c>
      <c r="FC105" s="15" t="n">
        <v>3</v>
      </c>
      <c r="FD105" s="15" t="n">
        <v>942.31815361477</v>
      </c>
      <c r="FE105" s="15" t="n">
        <v>523.29999901004</v>
      </c>
      <c r="FF105" s="15" t="n">
        <v>596.0666421098001</v>
      </c>
      <c r="FG105" s="15" t="n">
        <v>1148.57748355268</v>
      </c>
      <c r="FH105" s="15" t="n">
        <v>555.1923786873101</v>
      </c>
      <c r="FI105" s="15" t="n">
        <v>955.17631875619</v>
      </c>
      <c r="FJ105" s="15" t="n">
        <v>560.75607016399</v>
      </c>
      <c r="FK105" s="15" t="n">
        <v>749.53381213025</v>
      </c>
      <c r="FL105" s="15" t="n">
        <v>618.0554533381599</v>
      </c>
      <c r="FM105" s="15" t="n">
        <v>437.27677435068</v>
      </c>
      <c r="FN105" s="15" t="n">
        <v>532.8090266813499</v>
      </c>
      <c r="FO105" s="15" t="n">
        <v>536.1197874641499</v>
      </c>
      <c r="FP105" s="15" t="n">
        <v>804.8917898359</v>
      </c>
      <c r="FQ105" s="15" t="n">
        <v>719.6700173013401</v>
      </c>
      <c r="FR105" s="15" t="n">
        <v>713.84021429159</v>
      </c>
      <c r="FY105" s="15" t="n">
        <v>3</v>
      </c>
      <c r="FZ105" s="15" t="n">
        <v>1024.58711779</v>
      </c>
      <c r="GA105" s="15" t="n">
        <v>568.4530452899999</v>
      </c>
      <c r="GB105" s="15" t="n">
        <v>649.20617929</v>
      </c>
      <c r="GC105" s="15" t="n">
        <v>1246.45351096</v>
      </c>
      <c r="GD105" s="15" t="n">
        <v>602.98952839</v>
      </c>
      <c r="GE105" s="15" t="n">
        <v>1039.70244511</v>
      </c>
      <c r="GF105" s="15" t="n">
        <v>610.9473247</v>
      </c>
      <c r="GG105" s="15" t="n">
        <v>813.1281444599999</v>
      </c>
      <c r="GH105" s="15" t="n">
        <v>671.9233435599999</v>
      </c>
      <c r="GI105" s="15" t="n">
        <v>474.25199976</v>
      </c>
      <c r="GJ105" s="15" t="n">
        <v>579.4975254999999</v>
      </c>
      <c r="GK105" s="15" t="n">
        <v>581.3213453399999</v>
      </c>
      <c r="GL105" s="15" t="n">
        <v>873.7962670000001</v>
      </c>
      <c r="GM105" s="15" t="n">
        <v>780.55139104</v>
      </c>
      <c r="GN105" s="15" t="n">
        <v>774.6868947099999</v>
      </c>
      <c r="GU105" s="15" t="n">
        <v>3</v>
      </c>
      <c r="GV105" s="15" t="n">
        <v>1302.93858769</v>
      </c>
      <c r="GW105" s="15" t="n">
        <v>721.22532009</v>
      </c>
      <c r="GX105" s="15" t="n">
        <v>829.0002052900002</v>
      </c>
      <c r="GY105" s="15" t="n">
        <v>1577.61042256</v>
      </c>
      <c r="GZ105" s="15" t="n">
        <v>764.7079480899999</v>
      </c>
      <c r="HA105" s="15" t="n">
        <v>1325.69087041</v>
      </c>
      <c r="HB105" s="15" t="n">
        <v>780.766036</v>
      </c>
      <c r="HC105" s="15" t="n">
        <v>1028.29526196</v>
      </c>
      <c r="HD105" s="15" t="n">
        <v>854.18170276</v>
      </c>
      <c r="HE105" s="15" t="n">
        <v>599.35517136</v>
      </c>
      <c r="HF105" s="15" t="n">
        <v>737.4648999999999</v>
      </c>
      <c r="HG105" s="15" t="n">
        <v>734.2577558399998</v>
      </c>
      <c r="HH105" s="15" t="n">
        <v>1106.9299</v>
      </c>
      <c r="HI105" s="15" t="n">
        <v>986.53939684</v>
      </c>
      <c r="HJ105" s="15" t="n">
        <v>980.55751801</v>
      </c>
    </row>
    <row r="107">
      <c r="C107" s="15" t="inlineStr">
        <is>
          <t>Radicand</t>
        </is>
      </c>
      <c r="D107" s="15" t="n">
        <v>1</v>
      </c>
      <c r="E107" s="15" t="n">
        <v>2</v>
      </c>
      <c r="F107" s="15" t="n">
        <v>3</v>
      </c>
      <c r="G107" s="15" t="n">
        <v>4</v>
      </c>
      <c r="H107" s="15" t="n">
        <v>5</v>
      </c>
      <c r="I107" s="15" t="n">
        <v>6</v>
      </c>
      <c r="J107" s="15" t="n">
        <v>7</v>
      </c>
      <c r="K107" s="15" t="n">
        <v>8</v>
      </c>
      <c r="L107" s="15" t="n">
        <v>9</v>
      </c>
      <c r="M107" s="15" t="n">
        <v>10</v>
      </c>
      <c r="N107" s="15" t="n">
        <v>11</v>
      </c>
      <c r="O107" s="15" t="n">
        <v>12</v>
      </c>
      <c r="P107" s="15" t="n">
        <v>13</v>
      </c>
      <c r="Q107" s="15" t="n">
        <v>14</v>
      </c>
      <c r="R107" s="15" t="n">
        <v>15</v>
      </c>
      <c r="AA107" s="15" t="inlineStr">
        <is>
          <t>Radicand</t>
        </is>
      </c>
      <c r="AB107" s="15" t="n">
        <v>1</v>
      </c>
      <c r="AC107" s="15" t="n">
        <v>2</v>
      </c>
      <c r="AD107" s="15" t="n">
        <v>3</v>
      </c>
      <c r="AE107" s="15" t="n">
        <v>4</v>
      </c>
      <c r="AF107" s="15" t="n">
        <v>5</v>
      </c>
      <c r="AG107" s="15" t="n">
        <v>6</v>
      </c>
      <c r="AH107" s="15" t="n">
        <v>7</v>
      </c>
      <c r="AI107" s="15" t="n">
        <v>8</v>
      </c>
      <c r="AJ107" s="15" t="n">
        <v>9</v>
      </c>
      <c r="AK107" s="15" t="n">
        <v>10</v>
      </c>
      <c r="AL107" s="15" t="n">
        <v>11</v>
      </c>
      <c r="AM107" s="15" t="n">
        <v>12</v>
      </c>
      <c r="AN107" s="15" t="n">
        <v>13</v>
      </c>
      <c r="AO107" s="15" t="n">
        <v>14</v>
      </c>
      <c r="AP107" s="15" t="n">
        <v>15</v>
      </c>
      <c r="AW107" s="15" t="inlineStr">
        <is>
          <t>Radicand</t>
        </is>
      </c>
      <c r="AX107" s="15" t="n">
        <v>1</v>
      </c>
      <c r="AY107" s="15" t="n">
        <v>2</v>
      </c>
      <c r="AZ107" s="15" t="n">
        <v>3</v>
      </c>
      <c r="BA107" s="15" t="n">
        <v>4</v>
      </c>
      <c r="BB107" s="15" t="n">
        <v>5</v>
      </c>
      <c r="BC107" s="15" t="n">
        <v>6</v>
      </c>
      <c r="BD107" s="15" t="n">
        <v>7</v>
      </c>
      <c r="BE107" s="15" t="n">
        <v>8</v>
      </c>
      <c r="BF107" s="15" t="n">
        <v>9</v>
      </c>
      <c r="BG107" s="15" t="n">
        <v>10</v>
      </c>
      <c r="BH107" s="15" t="n">
        <v>11</v>
      </c>
      <c r="BI107" s="15" t="n">
        <v>12</v>
      </c>
      <c r="BJ107" s="15" t="n">
        <v>13</v>
      </c>
      <c r="BK107" s="15" t="n">
        <v>14</v>
      </c>
      <c r="BL107" s="15" t="n">
        <v>15</v>
      </c>
      <c r="BS107" s="15" t="inlineStr">
        <is>
          <t>Radicand</t>
        </is>
      </c>
      <c r="BT107" s="15" t="n">
        <v>1</v>
      </c>
      <c r="BU107" s="15" t="n">
        <v>2</v>
      </c>
      <c r="BV107" s="15" t="n">
        <v>3</v>
      </c>
      <c r="BW107" s="15" t="n">
        <v>4</v>
      </c>
      <c r="BX107" s="15" t="n">
        <v>5</v>
      </c>
      <c r="BY107" s="15" t="n">
        <v>6</v>
      </c>
      <c r="BZ107" s="15" t="n">
        <v>7</v>
      </c>
      <c r="CA107" s="15" t="n">
        <v>8</v>
      </c>
      <c r="CB107" s="15" t="n">
        <v>9</v>
      </c>
      <c r="CC107" s="15" t="n">
        <v>10</v>
      </c>
      <c r="CD107" s="15" t="n">
        <v>11</v>
      </c>
      <c r="CE107" s="15" t="n">
        <v>12</v>
      </c>
      <c r="CF107" s="15" t="n">
        <v>13</v>
      </c>
      <c r="CG107" s="15" t="n">
        <v>14</v>
      </c>
      <c r="CH107" s="15" t="n">
        <v>15</v>
      </c>
      <c r="CO107" s="15" t="inlineStr">
        <is>
          <t>Radicand</t>
        </is>
      </c>
      <c r="CP107" s="15" t="n">
        <v>1</v>
      </c>
      <c r="CQ107" s="15" t="n">
        <v>2</v>
      </c>
      <c r="CR107" s="15" t="n">
        <v>3</v>
      </c>
      <c r="CS107" s="15" t="n">
        <v>4</v>
      </c>
      <c r="CT107" s="15" t="n">
        <v>5</v>
      </c>
      <c r="CU107" s="15" t="n">
        <v>6</v>
      </c>
      <c r="CV107" s="15" t="n">
        <v>7</v>
      </c>
      <c r="CW107" s="15" t="n">
        <v>8</v>
      </c>
      <c r="CX107" s="15" t="n">
        <v>9</v>
      </c>
      <c r="CY107" s="15" t="n">
        <v>10</v>
      </c>
      <c r="CZ107" s="15" t="n">
        <v>11</v>
      </c>
      <c r="DA107" s="15" t="n">
        <v>12</v>
      </c>
      <c r="DB107" s="15" t="n">
        <v>13</v>
      </c>
      <c r="DC107" s="15" t="n">
        <v>14</v>
      </c>
      <c r="DD107" s="15" t="n">
        <v>15</v>
      </c>
      <c r="DK107" s="15" t="inlineStr">
        <is>
          <t>Radicand</t>
        </is>
      </c>
      <c r="DL107" s="15" t="n">
        <v>1</v>
      </c>
      <c r="DM107" s="15" t="n">
        <v>2</v>
      </c>
      <c r="DN107" s="15" t="n">
        <v>3</v>
      </c>
      <c r="DO107" s="15" t="n">
        <v>4</v>
      </c>
      <c r="DP107" s="15" t="n">
        <v>5</v>
      </c>
      <c r="DQ107" s="15" t="n">
        <v>6</v>
      </c>
      <c r="DR107" s="15" t="n">
        <v>7</v>
      </c>
      <c r="DS107" s="15" t="n">
        <v>8</v>
      </c>
      <c r="DT107" s="15" t="n">
        <v>9</v>
      </c>
      <c r="DU107" s="15" t="n">
        <v>10</v>
      </c>
      <c r="DV107" s="15" t="n">
        <v>11</v>
      </c>
      <c r="DW107" s="15" t="n">
        <v>12</v>
      </c>
      <c r="DX107" s="15" t="n">
        <v>13</v>
      </c>
      <c r="DY107" s="15" t="n">
        <v>14</v>
      </c>
      <c r="DZ107" s="15" t="n">
        <v>15</v>
      </c>
      <c r="EG107" s="15" t="inlineStr">
        <is>
          <t>Radicand</t>
        </is>
      </c>
      <c r="EH107" s="15" t="n">
        <v>1</v>
      </c>
      <c r="EI107" s="15" t="n">
        <v>2</v>
      </c>
      <c r="EJ107" s="15" t="n">
        <v>3</v>
      </c>
      <c r="EK107" s="15" t="n">
        <v>4</v>
      </c>
      <c r="EL107" s="15" t="n">
        <v>5</v>
      </c>
      <c r="EM107" s="15" t="n">
        <v>6</v>
      </c>
      <c r="EN107" s="15" t="n">
        <v>7</v>
      </c>
      <c r="EO107" s="15" t="n">
        <v>8</v>
      </c>
      <c r="EP107" s="15" t="n">
        <v>9</v>
      </c>
      <c r="EQ107" s="15" t="n">
        <v>10</v>
      </c>
      <c r="ER107" s="15" t="n">
        <v>11</v>
      </c>
      <c r="ES107" s="15" t="n">
        <v>12</v>
      </c>
      <c r="ET107" s="15" t="n">
        <v>13</v>
      </c>
      <c r="EU107" s="15" t="n">
        <v>14</v>
      </c>
      <c r="EV107" s="15" t="n">
        <v>15</v>
      </c>
      <c r="FC107" s="15" t="inlineStr">
        <is>
          <t>Radicand</t>
        </is>
      </c>
      <c r="FD107" s="15" t="n">
        <v>1</v>
      </c>
      <c r="FE107" s="15" t="n">
        <v>2</v>
      </c>
      <c r="FF107" s="15" t="n">
        <v>3</v>
      </c>
      <c r="FG107" s="15" t="n">
        <v>4</v>
      </c>
      <c r="FH107" s="15" t="n">
        <v>5</v>
      </c>
      <c r="FI107" s="15" t="n">
        <v>6</v>
      </c>
      <c r="FJ107" s="15" t="n">
        <v>7</v>
      </c>
      <c r="FK107" s="15" t="n">
        <v>8</v>
      </c>
      <c r="FL107" s="15" t="n">
        <v>9</v>
      </c>
      <c r="FM107" s="15" t="n">
        <v>10</v>
      </c>
      <c r="FN107" s="15" t="n">
        <v>11</v>
      </c>
      <c r="FO107" s="15" t="n">
        <v>12</v>
      </c>
      <c r="FP107" s="15" t="n">
        <v>13</v>
      </c>
      <c r="FQ107" s="15" t="n">
        <v>14</v>
      </c>
      <c r="FR107" s="15" t="n">
        <v>15</v>
      </c>
      <c r="FY107" s="15" t="inlineStr">
        <is>
          <t>Radicand</t>
        </is>
      </c>
      <c r="FZ107" s="15" t="n">
        <v>1</v>
      </c>
      <c r="GA107" s="15" t="n">
        <v>2</v>
      </c>
      <c r="GB107" s="15" t="n">
        <v>3</v>
      </c>
      <c r="GC107" s="15" t="n">
        <v>4</v>
      </c>
      <c r="GD107" s="15" t="n">
        <v>5</v>
      </c>
      <c r="GE107" s="15" t="n">
        <v>6</v>
      </c>
      <c r="GF107" s="15" t="n">
        <v>7</v>
      </c>
      <c r="GG107" s="15" t="n">
        <v>8</v>
      </c>
      <c r="GH107" s="15" t="n">
        <v>9</v>
      </c>
      <c r="GI107" s="15" t="n">
        <v>10</v>
      </c>
      <c r="GJ107" s="15" t="n">
        <v>11</v>
      </c>
      <c r="GK107" s="15" t="n">
        <v>12</v>
      </c>
      <c r="GL107" s="15" t="n">
        <v>13</v>
      </c>
      <c r="GM107" s="15" t="n">
        <v>14</v>
      </c>
      <c r="GN107" s="15" t="n">
        <v>15</v>
      </c>
      <c r="GU107" s="15" t="inlineStr">
        <is>
          <t>Radicand</t>
        </is>
      </c>
      <c r="GV107" s="15" t="n">
        <v>1</v>
      </c>
      <c r="GW107" s="15" t="n">
        <v>2</v>
      </c>
      <c r="GX107" s="15" t="n">
        <v>3</v>
      </c>
      <c r="GY107" s="15" t="n">
        <v>4</v>
      </c>
      <c r="GZ107" s="15" t="n">
        <v>5</v>
      </c>
      <c r="HA107" s="15" t="n">
        <v>6</v>
      </c>
      <c r="HB107" s="15" t="n">
        <v>7</v>
      </c>
      <c r="HC107" s="15" t="n">
        <v>8</v>
      </c>
      <c r="HD107" s="15" t="n">
        <v>9</v>
      </c>
      <c r="HE107" s="15" t="n">
        <v>10</v>
      </c>
      <c r="HF107" s="15" t="n">
        <v>11</v>
      </c>
      <c r="HG107" s="15" t="n">
        <v>12</v>
      </c>
      <c r="HH107" s="15" t="n">
        <v>13</v>
      </c>
      <c r="HI107" s="15" t="n">
        <v>14</v>
      </c>
      <c r="HJ107" s="15" t="n">
        <v>15</v>
      </c>
    </row>
    <row r="108">
      <c r="C108" s="15" t="n">
        <v>1</v>
      </c>
      <c r="D108" s="15">
        <f>Suppliers_stock_balance!D176</f>
        <v/>
      </c>
      <c r="E108" s="15">
        <f>Suppliers_stock_balance!E176</f>
        <v/>
      </c>
      <c r="F108" s="15">
        <f>Suppliers_stock_balance!F176</f>
        <v/>
      </c>
      <c r="G108" s="15">
        <f>Suppliers_stock_balance!G176</f>
        <v/>
      </c>
      <c r="H108" s="15">
        <f>Suppliers_stock_balance!H176</f>
        <v/>
      </c>
      <c r="I108" s="15">
        <f>Suppliers_stock_balance!I176</f>
        <v/>
      </c>
      <c r="J108" s="15">
        <f>Suppliers_stock_balance!J176</f>
        <v/>
      </c>
      <c r="K108" s="15">
        <f>Suppliers_stock_balance!K176</f>
        <v/>
      </c>
      <c r="L108" s="15">
        <f>Suppliers_stock_balance!L176</f>
        <v/>
      </c>
      <c r="M108" s="15">
        <f>Suppliers_stock_balance!M176</f>
        <v/>
      </c>
      <c r="N108" s="15">
        <f>Suppliers_stock_balance!N176</f>
        <v/>
      </c>
      <c r="O108" s="15">
        <f>Suppliers_stock_balance!O176</f>
        <v/>
      </c>
      <c r="P108" s="15">
        <f>Suppliers_stock_balance!P176</f>
        <v/>
      </c>
      <c r="Q108" s="15">
        <f>Suppliers_stock_balance!Q176</f>
        <v/>
      </c>
      <c r="R108" s="15">
        <f>Suppliers_stock_balance!R176</f>
        <v/>
      </c>
      <c r="T108" s="39">
        <f>SUM(D108:R110)</f>
        <v/>
      </c>
      <c r="U108" s="39" t="n">
        <v>3595827.402732341</v>
      </c>
      <c r="V108" s="39">
        <f>T108-U108</f>
        <v/>
      </c>
      <c r="W108" s="39" t="n"/>
      <c r="X108" s="39" t="n"/>
      <c r="AA108" s="15" t="n">
        <v>1</v>
      </c>
      <c r="AB108" s="15" t="n">
        <v>0</v>
      </c>
      <c r="AC108" s="15" t="n">
        <v>0</v>
      </c>
      <c r="AD108" s="15" t="n">
        <v>0</v>
      </c>
      <c r="AE108" s="15" t="n">
        <v>0</v>
      </c>
      <c r="AF108" s="15" t="n">
        <v>227783.5523999957</v>
      </c>
      <c r="AG108" s="15" t="n">
        <v>88300.93423680775</v>
      </c>
      <c r="AH108" s="15" t="n">
        <v>0</v>
      </c>
      <c r="AI108" s="15" t="n">
        <v>197407.4253120013</v>
      </c>
      <c r="AJ108" s="15" t="n">
        <v>134961.6905999854</v>
      </c>
      <c r="AK108" s="15" t="n">
        <v>0</v>
      </c>
      <c r="AL108" s="15" t="n">
        <v>0</v>
      </c>
      <c r="AM108" s="15" t="n">
        <v>0</v>
      </c>
      <c r="AN108" s="15" t="n">
        <v>99624.91561920755</v>
      </c>
      <c r="AO108" s="15" t="n">
        <v>84924.90236160345</v>
      </c>
      <c r="AP108" s="15" t="n">
        <v>302434.4100383968</v>
      </c>
      <c r="AW108" s="15" t="n">
        <v>1</v>
      </c>
      <c r="AX108" s="15" t="n">
        <v>0</v>
      </c>
      <c r="AY108" s="15" t="n">
        <v>0</v>
      </c>
      <c r="AZ108" s="15" t="n">
        <v>0</v>
      </c>
      <c r="BA108" s="15" t="n">
        <v>0</v>
      </c>
      <c r="BB108" s="15" t="n">
        <v>227783.5523999959</v>
      </c>
      <c r="BC108" s="15" t="n">
        <v>88300.93423863381</v>
      </c>
      <c r="BD108" s="15" t="n">
        <v>0</v>
      </c>
      <c r="BE108" s="15" t="n">
        <v>197407.4253120013</v>
      </c>
      <c r="BF108" s="15" t="n">
        <v>134961.6905999854</v>
      </c>
      <c r="BG108" s="15" t="n">
        <v>0</v>
      </c>
      <c r="BH108" s="15" t="n">
        <v>0</v>
      </c>
      <c r="BI108" s="15" t="n">
        <v>0</v>
      </c>
      <c r="BJ108" s="15" t="n">
        <v>99624.91561920755</v>
      </c>
      <c r="BK108" s="15" t="n">
        <v>84924.90236378717</v>
      </c>
      <c r="BL108" s="15" t="n">
        <v>302434.4100383967</v>
      </c>
      <c r="BS108" s="15" t="n">
        <v>1</v>
      </c>
      <c r="BT108" s="15" t="n">
        <v>0</v>
      </c>
      <c r="BU108" s="15" t="n">
        <v>0</v>
      </c>
      <c r="BV108" s="15" t="n">
        <v>0</v>
      </c>
      <c r="BW108" s="15" t="n">
        <v>0</v>
      </c>
      <c r="BX108" s="15" t="n">
        <v>282796.4311863493</v>
      </c>
      <c r="BY108" s="15" t="n">
        <v>110289.3577666359</v>
      </c>
      <c r="BZ108" s="15" t="n">
        <v>0</v>
      </c>
      <c r="CA108" s="15" t="n">
        <v>246215.782865094</v>
      </c>
      <c r="CB108" s="15" t="n">
        <v>168061.2997397333</v>
      </c>
      <c r="CC108" s="15" t="n">
        <v>0</v>
      </c>
      <c r="CD108" s="15" t="n">
        <v>0</v>
      </c>
      <c r="CE108" s="15" t="n">
        <v>0</v>
      </c>
      <c r="CF108" s="15" t="n">
        <v>123879.6858039107</v>
      </c>
      <c r="CG108" s="15" t="n">
        <v>105891.5062736987</v>
      </c>
      <c r="CH108" s="15" t="n">
        <v>376999.2883899706</v>
      </c>
      <c r="CO108" s="15" t="n">
        <v>1</v>
      </c>
      <c r="CP108" s="15" t="n">
        <v>0</v>
      </c>
      <c r="CQ108" s="15" t="n">
        <v>0</v>
      </c>
      <c r="CR108" s="15" t="n">
        <v>0</v>
      </c>
      <c r="CS108" s="15" t="n">
        <v>0</v>
      </c>
      <c r="CT108" s="15" t="n">
        <v>227783.5523999957</v>
      </c>
      <c r="CU108" s="15" t="n">
        <v>88300.93423680775</v>
      </c>
      <c r="CV108" s="15" t="n">
        <v>0</v>
      </c>
      <c r="CW108" s="15" t="n">
        <v>197407.4253120013</v>
      </c>
      <c r="CX108" s="15" t="n">
        <v>134961.6905999854</v>
      </c>
      <c r="CY108" s="15" t="n">
        <v>0</v>
      </c>
      <c r="CZ108" s="15" t="n">
        <v>0</v>
      </c>
      <c r="DA108" s="15" t="n">
        <v>0</v>
      </c>
      <c r="DB108" s="15" t="n">
        <v>99624.91561920755</v>
      </c>
      <c r="DC108" s="15" t="n">
        <v>84924.90236160345</v>
      </c>
      <c r="DD108" s="15" t="n">
        <v>302434.4100383968</v>
      </c>
      <c r="DK108" s="15" t="n">
        <v>1</v>
      </c>
      <c r="DL108" s="15" t="n">
        <v>0</v>
      </c>
      <c r="DM108" s="15" t="n">
        <v>0</v>
      </c>
      <c r="DN108" s="15" t="n">
        <v>0</v>
      </c>
      <c r="DO108" s="15" t="n">
        <v>0</v>
      </c>
      <c r="DP108" s="15" t="n">
        <v>227783.5523999959</v>
      </c>
      <c r="DQ108" s="15" t="n">
        <v>88300.93423863381</v>
      </c>
      <c r="DR108" s="15" t="n">
        <v>0</v>
      </c>
      <c r="DS108" s="15" t="n">
        <v>197407.4253120013</v>
      </c>
      <c r="DT108" s="15" t="n">
        <v>134961.6905999854</v>
      </c>
      <c r="DU108" s="15" t="n">
        <v>0</v>
      </c>
      <c r="DV108" s="15" t="n">
        <v>0</v>
      </c>
      <c r="DW108" s="15" t="n">
        <v>0</v>
      </c>
      <c r="DX108" s="15" t="n">
        <v>99624.91561920755</v>
      </c>
      <c r="DY108" s="15" t="n">
        <v>84924.90236378717</v>
      </c>
      <c r="DZ108" s="15" t="n">
        <v>302434.4100383967</v>
      </c>
      <c r="EG108" s="15" t="n">
        <v>1</v>
      </c>
      <c r="EH108" s="15" t="n">
        <v>0</v>
      </c>
      <c r="EI108" s="15" t="n">
        <v>0</v>
      </c>
      <c r="EJ108" s="15" t="n">
        <v>0</v>
      </c>
      <c r="EK108" s="15" t="n">
        <v>0</v>
      </c>
      <c r="EL108" s="15" t="n">
        <v>282796.4311863493</v>
      </c>
      <c r="EM108" s="15" t="n">
        <v>110289.3577666359</v>
      </c>
      <c r="EN108" s="15" t="n">
        <v>0</v>
      </c>
      <c r="EO108" s="15" t="n">
        <v>246215.782865094</v>
      </c>
      <c r="EP108" s="15" t="n">
        <v>168061.2997397333</v>
      </c>
      <c r="EQ108" s="15" t="n">
        <v>0</v>
      </c>
      <c r="ER108" s="15" t="n">
        <v>0</v>
      </c>
      <c r="ES108" s="15" t="n">
        <v>0</v>
      </c>
      <c r="ET108" s="15" t="n">
        <v>123879.6858039107</v>
      </c>
      <c r="EU108" s="15" t="n">
        <v>105891.5062736987</v>
      </c>
      <c r="EV108" s="15" t="n">
        <v>376999.2883899706</v>
      </c>
      <c r="FC108" s="15" t="n">
        <v>1</v>
      </c>
      <c r="FD108" s="15" t="n">
        <v>0</v>
      </c>
      <c r="FE108" s="15" t="n">
        <v>0</v>
      </c>
      <c r="FF108" s="15" t="n">
        <v>0</v>
      </c>
      <c r="FG108" s="15" t="n">
        <v>0</v>
      </c>
      <c r="FH108" s="15" t="n">
        <v>227783.5523999957</v>
      </c>
      <c r="FI108" s="15" t="n">
        <v>88300.93423680775</v>
      </c>
      <c r="FJ108" s="15" t="n">
        <v>0</v>
      </c>
      <c r="FK108" s="15" t="n">
        <v>197407.4253120013</v>
      </c>
      <c r="FL108" s="15" t="n">
        <v>134961.6905999854</v>
      </c>
      <c r="FM108" s="15" t="n">
        <v>0</v>
      </c>
      <c r="FN108" s="15" t="n">
        <v>0</v>
      </c>
      <c r="FO108" s="15" t="n">
        <v>0</v>
      </c>
      <c r="FP108" s="15" t="n">
        <v>99624.91561920755</v>
      </c>
      <c r="FQ108" s="15" t="n">
        <v>84924.90236160345</v>
      </c>
      <c r="FR108" s="15" t="n">
        <v>302434.4100383968</v>
      </c>
      <c r="FY108" s="15" t="n">
        <v>1</v>
      </c>
      <c r="FZ108" s="15" t="n">
        <v>0</v>
      </c>
      <c r="GA108" s="15" t="n">
        <v>0</v>
      </c>
      <c r="GB108" s="15" t="n">
        <v>0</v>
      </c>
      <c r="GC108" s="15" t="n">
        <v>0</v>
      </c>
      <c r="GD108" s="15" t="n">
        <v>227783.5523999959</v>
      </c>
      <c r="GE108" s="15" t="n">
        <v>88300.93423863381</v>
      </c>
      <c r="GF108" s="15" t="n">
        <v>0</v>
      </c>
      <c r="GG108" s="15" t="n">
        <v>197407.4253120013</v>
      </c>
      <c r="GH108" s="15" t="n">
        <v>134961.6905999854</v>
      </c>
      <c r="GI108" s="15" t="n">
        <v>0</v>
      </c>
      <c r="GJ108" s="15" t="n">
        <v>0</v>
      </c>
      <c r="GK108" s="15" t="n">
        <v>0</v>
      </c>
      <c r="GL108" s="15" t="n">
        <v>99624.91561920755</v>
      </c>
      <c r="GM108" s="15" t="n">
        <v>84924.90236378717</v>
      </c>
      <c r="GN108" s="15" t="n">
        <v>302434.4100383967</v>
      </c>
      <c r="GU108" s="15" t="n">
        <v>1</v>
      </c>
      <c r="GV108" s="15" t="n">
        <v>0</v>
      </c>
      <c r="GW108" s="15" t="n">
        <v>0</v>
      </c>
      <c r="GX108" s="15" t="n">
        <v>0</v>
      </c>
      <c r="GY108" s="15" t="n">
        <v>0</v>
      </c>
      <c r="GZ108" s="15" t="n">
        <v>282796.4311863493</v>
      </c>
      <c r="HA108" s="15" t="n">
        <v>110289.3577666359</v>
      </c>
      <c r="HB108" s="15" t="n">
        <v>0</v>
      </c>
      <c r="HC108" s="15" t="n">
        <v>246215.782865094</v>
      </c>
      <c r="HD108" s="15" t="n">
        <v>168061.2997397333</v>
      </c>
      <c r="HE108" s="15" t="n">
        <v>0</v>
      </c>
      <c r="HF108" s="15" t="n">
        <v>0</v>
      </c>
      <c r="HG108" s="15" t="n">
        <v>0</v>
      </c>
      <c r="HH108" s="15" t="n">
        <v>123879.6858039107</v>
      </c>
      <c r="HI108" s="15" t="n">
        <v>105891.5062736987</v>
      </c>
      <c r="HJ108" s="15" t="n">
        <v>376999.2883899706</v>
      </c>
    </row>
    <row r="109">
      <c r="C109" s="15" t="n">
        <v>2</v>
      </c>
      <c r="D109" s="15">
        <f>Suppliers_stock_balance!D177</f>
        <v/>
      </c>
      <c r="E109" s="15">
        <f>Suppliers_stock_balance!E177</f>
        <v/>
      </c>
      <c r="F109" s="15">
        <f>Suppliers_stock_balance!F177</f>
        <v/>
      </c>
      <c r="G109" s="15">
        <f>Suppliers_stock_balance!G177</f>
        <v/>
      </c>
      <c r="H109" s="15">
        <f>Suppliers_stock_balance!H177</f>
        <v/>
      </c>
      <c r="I109" s="15">
        <f>Suppliers_stock_balance!I177</f>
        <v/>
      </c>
      <c r="J109" s="15">
        <f>Suppliers_stock_balance!J177</f>
        <v/>
      </c>
      <c r="K109" s="15">
        <f>Suppliers_stock_balance!K177</f>
        <v/>
      </c>
      <c r="L109" s="15">
        <f>Suppliers_stock_balance!L177</f>
        <v/>
      </c>
      <c r="M109" s="15">
        <f>Suppliers_stock_balance!M177</f>
        <v/>
      </c>
      <c r="N109" s="15">
        <f>Suppliers_stock_balance!N177</f>
        <v/>
      </c>
      <c r="O109" s="15">
        <f>Suppliers_stock_balance!O177</f>
        <v/>
      </c>
      <c r="P109" s="15">
        <f>Suppliers_stock_balance!P177</f>
        <v/>
      </c>
      <c r="Q109" s="15">
        <f>Suppliers_stock_balance!Q177</f>
        <v/>
      </c>
      <c r="R109" s="15">
        <f>Suppliers_stock_balance!R177</f>
        <v/>
      </c>
      <c r="AA109" s="15" t="n">
        <v>2</v>
      </c>
      <c r="AB109" s="15" t="n">
        <v>116268.2087327931</v>
      </c>
      <c r="AC109" s="15" t="n">
        <v>117884.8267055959</v>
      </c>
      <c r="AD109" s="15" t="n">
        <v>0</v>
      </c>
      <c r="AE109" s="15" t="n">
        <v>0</v>
      </c>
      <c r="AF109" s="15" t="n">
        <v>0</v>
      </c>
      <c r="AG109" s="15" t="n">
        <v>210262.5740159843</v>
      </c>
      <c r="AH109" s="15" t="n">
        <v>0</v>
      </c>
      <c r="AI109" s="15" t="n">
        <v>0</v>
      </c>
      <c r="AJ109" s="15" t="n">
        <v>0</v>
      </c>
      <c r="AK109" s="15" t="n">
        <v>81041.94126720168</v>
      </c>
      <c r="AL109" s="15" t="n">
        <v>0</v>
      </c>
      <c r="AM109" s="15" t="n">
        <v>178382.240711993</v>
      </c>
      <c r="AN109" s="15" t="n">
        <v>145143.2613462785</v>
      </c>
      <c r="AO109" s="15" t="n">
        <v>283252.650840003</v>
      </c>
      <c r="AP109" s="15" t="n">
        <v>183901.5062351953</v>
      </c>
      <c r="AW109" s="15" t="n">
        <v>2</v>
      </c>
      <c r="AX109" s="15" t="n">
        <v>116268.2087327931</v>
      </c>
      <c r="AY109" s="15" t="n">
        <v>117884.8267055958</v>
      </c>
      <c r="AZ109" s="15" t="n">
        <v>0</v>
      </c>
      <c r="BA109" s="15" t="n">
        <v>0</v>
      </c>
      <c r="BB109" s="15" t="n">
        <v>0</v>
      </c>
      <c r="BC109" s="15" t="n">
        <v>210262.5740159843</v>
      </c>
      <c r="BD109" s="15" t="n">
        <v>0</v>
      </c>
      <c r="BE109" s="15" t="n">
        <v>0</v>
      </c>
      <c r="BF109" s="15" t="n">
        <v>0</v>
      </c>
      <c r="BG109" s="15" t="n">
        <v>81041.94126720168</v>
      </c>
      <c r="BH109" s="15" t="n">
        <v>0</v>
      </c>
      <c r="BI109" s="15" t="n">
        <v>178382.240711993</v>
      </c>
      <c r="BJ109" s="15" t="n">
        <v>145143.2613470782</v>
      </c>
      <c r="BK109" s="15" t="n">
        <v>283252.650840003</v>
      </c>
      <c r="BL109" s="15" t="n">
        <v>183901.5062351953</v>
      </c>
      <c r="BS109" s="15" t="n">
        <v>2</v>
      </c>
      <c r="BT109" s="15" t="n">
        <v>144575.4207447004</v>
      </c>
      <c r="BU109" s="15" t="n">
        <v>146522.6388841017</v>
      </c>
      <c r="BV109" s="15" t="n">
        <v>0</v>
      </c>
      <c r="BW109" s="15" t="n">
        <v>0</v>
      </c>
      <c r="BX109" s="15" t="n">
        <v>0</v>
      </c>
      <c r="BY109" s="15" t="n">
        <v>261311.7015443388</v>
      </c>
      <c r="BZ109" s="15" t="n">
        <v>0</v>
      </c>
      <c r="CA109" s="15" t="n">
        <v>0</v>
      </c>
      <c r="CB109" s="15" t="n">
        <v>0</v>
      </c>
      <c r="CC109" s="15" t="n">
        <v>100867.4125038013</v>
      </c>
      <c r="CD109" s="15" t="n">
        <v>0</v>
      </c>
      <c r="CE109" s="15" t="n">
        <v>221749.427050416</v>
      </c>
      <c r="CF109" s="15" t="n">
        <v>180446.7734080174</v>
      </c>
      <c r="CG109" s="15" t="n">
        <v>351723.213912094</v>
      </c>
      <c r="CH109" s="15" t="n">
        <v>228675.5566002876</v>
      </c>
      <c r="CO109" s="15" t="n">
        <v>2</v>
      </c>
      <c r="CP109" s="15" t="n">
        <v>116268.2087327931</v>
      </c>
      <c r="CQ109" s="15" t="n">
        <v>117884.8267055959</v>
      </c>
      <c r="CR109" s="15" t="n">
        <v>0</v>
      </c>
      <c r="CS109" s="15" t="n">
        <v>0</v>
      </c>
      <c r="CT109" s="15" t="n">
        <v>0</v>
      </c>
      <c r="CU109" s="15" t="n">
        <v>210262.5740159843</v>
      </c>
      <c r="CV109" s="15" t="n">
        <v>0</v>
      </c>
      <c r="CW109" s="15" t="n">
        <v>0</v>
      </c>
      <c r="CX109" s="15" t="n">
        <v>0</v>
      </c>
      <c r="CY109" s="15" t="n">
        <v>81041.94126720168</v>
      </c>
      <c r="CZ109" s="15" t="n">
        <v>0</v>
      </c>
      <c r="DA109" s="15" t="n">
        <v>178382.240711993</v>
      </c>
      <c r="DB109" s="15" t="n">
        <v>145143.2613462785</v>
      </c>
      <c r="DC109" s="15" t="n">
        <v>283252.650840003</v>
      </c>
      <c r="DD109" s="15" t="n">
        <v>183901.5062351953</v>
      </c>
      <c r="DK109" s="15" t="n">
        <v>2</v>
      </c>
      <c r="DL109" s="15" t="n">
        <v>116268.2087327931</v>
      </c>
      <c r="DM109" s="15" t="n">
        <v>117884.8267055958</v>
      </c>
      <c r="DN109" s="15" t="n">
        <v>0</v>
      </c>
      <c r="DO109" s="15" t="n">
        <v>0</v>
      </c>
      <c r="DP109" s="15" t="n">
        <v>0</v>
      </c>
      <c r="DQ109" s="15" t="n">
        <v>210262.5740159843</v>
      </c>
      <c r="DR109" s="15" t="n">
        <v>0</v>
      </c>
      <c r="DS109" s="15" t="n">
        <v>0</v>
      </c>
      <c r="DT109" s="15" t="n">
        <v>0</v>
      </c>
      <c r="DU109" s="15" t="n">
        <v>81041.94126720168</v>
      </c>
      <c r="DV109" s="15" t="n">
        <v>0</v>
      </c>
      <c r="DW109" s="15" t="n">
        <v>178382.240711993</v>
      </c>
      <c r="DX109" s="15" t="n">
        <v>145143.2613470782</v>
      </c>
      <c r="DY109" s="15" t="n">
        <v>283252.650840003</v>
      </c>
      <c r="DZ109" s="15" t="n">
        <v>183901.5062351953</v>
      </c>
      <c r="EG109" s="15" t="n">
        <v>2</v>
      </c>
      <c r="EH109" s="15" t="n">
        <v>144575.4207447004</v>
      </c>
      <c r="EI109" s="15" t="n">
        <v>146522.6388841016</v>
      </c>
      <c r="EJ109" s="15" t="n">
        <v>0</v>
      </c>
      <c r="EK109" s="15" t="n">
        <v>0</v>
      </c>
      <c r="EL109" s="15" t="n">
        <v>0</v>
      </c>
      <c r="EM109" s="15" t="n">
        <v>261311.7015443388</v>
      </c>
      <c r="EN109" s="15" t="n">
        <v>0</v>
      </c>
      <c r="EO109" s="15" t="n">
        <v>0</v>
      </c>
      <c r="EP109" s="15" t="n">
        <v>0</v>
      </c>
      <c r="EQ109" s="15" t="n">
        <v>100867.4125038013</v>
      </c>
      <c r="ER109" s="15" t="n">
        <v>0</v>
      </c>
      <c r="ES109" s="15" t="n">
        <v>221749.427050416</v>
      </c>
      <c r="ET109" s="15" t="n">
        <v>180446.7734080173</v>
      </c>
      <c r="EU109" s="15" t="n">
        <v>351723.213912094</v>
      </c>
      <c r="EV109" s="15" t="n">
        <v>228675.5566002876</v>
      </c>
      <c r="FC109" s="15" t="n">
        <v>2</v>
      </c>
      <c r="FD109" s="15" t="n">
        <v>116268.2087327931</v>
      </c>
      <c r="FE109" s="15" t="n">
        <v>117884.8267055959</v>
      </c>
      <c r="FF109" s="15" t="n">
        <v>0</v>
      </c>
      <c r="FG109" s="15" t="n">
        <v>0</v>
      </c>
      <c r="FH109" s="15" t="n">
        <v>0</v>
      </c>
      <c r="FI109" s="15" t="n">
        <v>210262.5740159843</v>
      </c>
      <c r="FJ109" s="15" t="n">
        <v>0</v>
      </c>
      <c r="FK109" s="15" t="n">
        <v>0</v>
      </c>
      <c r="FL109" s="15" t="n">
        <v>0</v>
      </c>
      <c r="FM109" s="15" t="n">
        <v>81041.94126720168</v>
      </c>
      <c r="FN109" s="15" t="n">
        <v>0</v>
      </c>
      <c r="FO109" s="15" t="n">
        <v>178382.240711993</v>
      </c>
      <c r="FP109" s="15" t="n">
        <v>145143.2613462785</v>
      </c>
      <c r="FQ109" s="15" t="n">
        <v>283252.650840003</v>
      </c>
      <c r="FR109" s="15" t="n">
        <v>183901.5062351953</v>
      </c>
      <c r="FY109" s="15" t="n">
        <v>2</v>
      </c>
      <c r="FZ109" s="15" t="n">
        <v>116268.2087327931</v>
      </c>
      <c r="GA109" s="15" t="n">
        <v>117884.8267055958</v>
      </c>
      <c r="GB109" s="15" t="n">
        <v>0</v>
      </c>
      <c r="GC109" s="15" t="n">
        <v>0</v>
      </c>
      <c r="GD109" s="15" t="n">
        <v>0</v>
      </c>
      <c r="GE109" s="15" t="n">
        <v>210262.5740159843</v>
      </c>
      <c r="GF109" s="15" t="n">
        <v>0</v>
      </c>
      <c r="GG109" s="15" t="n">
        <v>0</v>
      </c>
      <c r="GH109" s="15" t="n">
        <v>0</v>
      </c>
      <c r="GI109" s="15" t="n">
        <v>81041.94126720168</v>
      </c>
      <c r="GJ109" s="15" t="n">
        <v>0</v>
      </c>
      <c r="GK109" s="15" t="n">
        <v>178382.240711993</v>
      </c>
      <c r="GL109" s="15" t="n">
        <v>145143.2613470782</v>
      </c>
      <c r="GM109" s="15" t="n">
        <v>283252.650840003</v>
      </c>
      <c r="GN109" s="15" t="n">
        <v>183901.5062351953</v>
      </c>
      <c r="GU109" s="15" t="n">
        <v>2</v>
      </c>
      <c r="GV109" s="15" t="n">
        <v>144575.4207447004</v>
      </c>
      <c r="GW109" s="15" t="n">
        <v>146522.6388841016</v>
      </c>
      <c r="GX109" s="15" t="n">
        <v>0</v>
      </c>
      <c r="GY109" s="15" t="n">
        <v>0</v>
      </c>
      <c r="GZ109" s="15" t="n">
        <v>0</v>
      </c>
      <c r="HA109" s="15" t="n">
        <v>261311.7015443388</v>
      </c>
      <c r="HB109" s="15" t="n">
        <v>0</v>
      </c>
      <c r="HC109" s="15" t="n">
        <v>0</v>
      </c>
      <c r="HD109" s="15" t="n">
        <v>0</v>
      </c>
      <c r="HE109" s="15" t="n">
        <v>100867.4125038013</v>
      </c>
      <c r="HF109" s="15" t="n">
        <v>0</v>
      </c>
      <c r="HG109" s="15" t="n">
        <v>221749.427050416</v>
      </c>
      <c r="HH109" s="15" t="n">
        <v>180446.7734080173</v>
      </c>
      <c r="HI109" s="15" t="n">
        <v>351723.213912094</v>
      </c>
      <c r="HJ109" s="15" t="n">
        <v>228675.5566002876</v>
      </c>
    </row>
    <row r="110">
      <c r="C110" s="15" t="n">
        <v>3</v>
      </c>
      <c r="D110" s="15">
        <f>Suppliers_stock_balance!D178</f>
        <v/>
      </c>
      <c r="E110" s="15">
        <f>Suppliers_stock_balance!E178</f>
        <v/>
      </c>
      <c r="F110" s="15">
        <f>Suppliers_stock_balance!F178</f>
        <v/>
      </c>
      <c r="G110" s="15">
        <f>Suppliers_stock_balance!G178</f>
        <v/>
      </c>
      <c r="H110" s="15">
        <f>Suppliers_stock_balance!H178</f>
        <v/>
      </c>
      <c r="I110" s="15">
        <f>Suppliers_stock_balance!I178</f>
        <v/>
      </c>
      <c r="J110" s="15">
        <f>Suppliers_stock_balance!J178</f>
        <v/>
      </c>
      <c r="K110" s="15">
        <f>Suppliers_stock_balance!K178</f>
        <v/>
      </c>
      <c r="L110" s="15">
        <f>Suppliers_stock_balance!L178</f>
        <v/>
      </c>
      <c r="M110" s="15">
        <f>Suppliers_stock_balance!M178</f>
        <v/>
      </c>
      <c r="N110" s="15">
        <f>Suppliers_stock_balance!N178</f>
        <v/>
      </c>
      <c r="O110" s="15">
        <f>Suppliers_stock_balance!O178</f>
        <v/>
      </c>
      <c r="P110" s="15">
        <f>Suppliers_stock_balance!P178</f>
        <v/>
      </c>
      <c r="Q110" s="15">
        <f>Suppliers_stock_balance!Q178</f>
        <v/>
      </c>
      <c r="R110" s="15">
        <f>Suppliers_stock_balance!R178</f>
        <v/>
      </c>
      <c r="AA110" s="15" t="n">
        <v>3</v>
      </c>
      <c r="AB110" s="15" t="n">
        <v>274303.3974382158</v>
      </c>
      <c r="AC110" s="15" t="n">
        <v>0</v>
      </c>
      <c r="AD110" s="15" t="n">
        <v>0</v>
      </c>
      <c r="AE110" s="15" t="n">
        <v>255247.9491814837</v>
      </c>
      <c r="AF110" s="15" t="n">
        <v>0</v>
      </c>
      <c r="AG110" s="15" t="n">
        <v>268321.1148576111</v>
      </c>
      <c r="AH110" s="15" t="n">
        <v>113424.7143456101</v>
      </c>
      <c r="AI110" s="15" t="n">
        <v>0</v>
      </c>
      <c r="AJ110" s="15" t="n">
        <v>0</v>
      </c>
      <c r="AK110" s="15" t="n">
        <v>0</v>
      </c>
      <c r="AL110" s="15" t="n">
        <v>87940.57361758687</v>
      </c>
      <c r="AM110" s="15" t="n">
        <v>0</v>
      </c>
      <c r="AN110" s="15" t="n">
        <v>0</v>
      </c>
      <c r="AO110" s="15" t="n">
        <v>0</v>
      </c>
      <c r="AP110" s="15" t="n">
        <v>145014.6128687896</v>
      </c>
      <c r="AW110" s="15" t="n">
        <v>3</v>
      </c>
      <c r="AX110" s="15" t="n">
        <v>274303.3974386182</v>
      </c>
      <c r="AY110" s="15" t="n">
        <v>0</v>
      </c>
      <c r="AZ110" s="15" t="n">
        <v>0</v>
      </c>
      <c r="BA110" s="15" t="n">
        <v>255247.9491897766</v>
      </c>
      <c r="BB110" s="15" t="n">
        <v>0</v>
      </c>
      <c r="BC110" s="15" t="n">
        <v>268321.1148616824</v>
      </c>
      <c r="BD110" s="15" t="n">
        <v>113424.7143484024</v>
      </c>
      <c r="BE110" s="15" t="n">
        <v>0</v>
      </c>
      <c r="BF110" s="15" t="n">
        <v>0</v>
      </c>
      <c r="BG110" s="15" t="n">
        <v>0</v>
      </c>
      <c r="BH110" s="15" t="n">
        <v>87940.57361820807</v>
      </c>
      <c r="BI110" s="15" t="n">
        <v>0</v>
      </c>
      <c r="BJ110" s="15" t="n">
        <v>0</v>
      </c>
      <c r="BK110" s="15" t="n">
        <v>0</v>
      </c>
      <c r="BL110" s="15" t="n">
        <v>145014.6128687896</v>
      </c>
      <c r="BS110" s="15" t="n">
        <v>3</v>
      </c>
      <c r="BT110" s="15" t="n">
        <v>342599.8840079337</v>
      </c>
      <c r="BU110" s="15" t="n">
        <v>0</v>
      </c>
      <c r="BV110" s="15" t="n">
        <v>0</v>
      </c>
      <c r="BW110" s="15" t="n">
        <v>317364.7335244785</v>
      </c>
      <c r="BX110" s="15" t="n">
        <v>0</v>
      </c>
      <c r="BY110" s="15" t="n">
        <v>335983.0942019018</v>
      </c>
      <c r="BZ110" s="15" t="n">
        <v>142336.7714305125</v>
      </c>
      <c r="CA110" s="15" t="n">
        <v>0</v>
      </c>
      <c r="CB110" s="15" t="n">
        <v>0</v>
      </c>
      <c r="CC110" s="15" t="n">
        <v>0</v>
      </c>
      <c r="CD110" s="15" t="n">
        <v>109911.7686967873</v>
      </c>
      <c r="CE110" s="15" t="n">
        <v>0</v>
      </c>
      <c r="CF110" s="15" t="n">
        <v>0</v>
      </c>
      <c r="CG110" s="15" t="n">
        <v>0</v>
      </c>
      <c r="CH110" s="15" t="n">
        <v>180312.7608718229</v>
      </c>
      <c r="CO110" s="15" t="n">
        <v>3</v>
      </c>
      <c r="CP110" s="15" t="n">
        <v>274303.3974382158</v>
      </c>
      <c r="CQ110" s="15" t="n">
        <v>0</v>
      </c>
      <c r="CR110" s="15" t="n">
        <v>0</v>
      </c>
      <c r="CS110" s="15" t="n">
        <v>255247.9491814837</v>
      </c>
      <c r="CT110" s="15" t="n">
        <v>0</v>
      </c>
      <c r="CU110" s="15" t="n">
        <v>268321.1148576111</v>
      </c>
      <c r="CV110" s="15" t="n">
        <v>113424.7143456101</v>
      </c>
      <c r="CW110" s="15" t="n">
        <v>0</v>
      </c>
      <c r="CX110" s="15" t="n">
        <v>0</v>
      </c>
      <c r="CY110" s="15" t="n">
        <v>0</v>
      </c>
      <c r="CZ110" s="15" t="n">
        <v>87940.57361758687</v>
      </c>
      <c r="DA110" s="15" t="n">
        <v>0</v>
      </c>
      <c r="DB110" s="15" t="n">
        <v>0</v>
      </c>
      <c r="DC110" s="15" t="n">
        <v>0</v>
      </c>
      <c r="DD110" s="15" t="n">
        <v>145014.6128687896</v>
      </c>
      <c r="DK110" s="15" t="n">
        <v>3</v>
      </c>
      <c r="DL110" s="15" t="n">
        <v>274303.3974386182</v>
      </c>
      <c r="DM110" s="15" t="n">
        <v>0</v>
      </c>
      <c r="DN110" s="15" t="n">
        <v>0</v>
      </c>
      <c r="DO110" s="15" t="n">
        <v>255247.9491897766</v>
      </c>
      <c r="DP110" s="15" t="n">
        <v>0</v>
      </c>
      <c r="DQ110" s="15" t="n">
        <v>268321.1148616824</v>
      </c>
      <c r="DR110" s="15" t="n">
        <v>113424.7143484024</v>
      </c>
      <c r="DS110" s="15" t="n">
        <v>0</v>
      </c>
      <c r="DT110" s="15" t="n">
        <v>0</v>
      </c>
      <c r="DU110" s="15" t="n">
        <v>0</v>
      </c>
      <c r="DV110" s="15" t="n">
        <v>87940.57361820807</v>
      </c>
      <c r="DW110" s="15" t="n">
        <v>0</v>
      </c>
      <c r="DX110" s="15" t="n">
        <v>0</v>
      </c>
      <c r="DY110" s="15" t="n">
        <v>0</v>
      </c>
      <c r="DZ110" s="15" t="n">
        <v>145014.6128687896</v>
      </c>
      <c r="EG110" s="15" t="n">
        <v>3</v>
      </c>
      <c r="EH110" s="15" t="n">
        <v>342599.8840079337</v>
      </c>
      <c r="EI110" s="15" t="n">
        <v>0</v>
      </c>
      <c r="EJ110" s="15" t="n">
        <v>0</v>
      </c>
      <c r="EK110" s="15" t="n">
        <v>317364.7335244784</v>
      </c>
      <c r="EL110" s="15" t="n">
        <v>0</v>
      </c>
      <c r="EM110" s="15" t="n">
        <v>335983.0942019018</v>
      </c>
      <c r="EN110" s="15" t="n">
        <v>142336.7714305125</v>
      </c>
      <c r="EO110" s="15" t="n">
        <v>0</v>
      </c>
      <c r="EP110" s="15" t="n">
        <v>0</v>
      </c>
      <c r="EQ110" s="15" t="n">
        <v>0</v>
      </c>
      <c r="ER110" s="15" t="n">
        <v>109911.7686967873</v>
      </c>
      <c r="ES110" s="15" t="n">
        <v>0</v>
      </c>
      <c r="ET110" s="15" t="n">
        <v>0</v>
      </c>
      <c r="EU110" s="15" t="n">
        <v>0</v>
      </c>
      <c r="EV110" s="15" t="n">
        <v>180312.7608718229</v>
      </c>
      <c r="FC110" s="15" t="n">
        <v>3</v>
      </c>
      <c r="FD110" s="15" t="n">
        <v>274303.3974382158</v>
      </c>
      <c r="FE110" s="15" t="n">
        <v>0</v>
      </c>
      <c r="FF110" s="15" t="n">
        <v>0</v>
      </c>
      <c r="FG110" s="15" t="n">
        <v>255247.9491814837</v>
      </c>
      <c r="FH110" s="15" t="n">
        <v>0</v>
      </c>
      <c r="FI110" s="15" t="n">
        <v>268321.1148576111</v>
      </c>
      <c r="FJ110" s="15" t="n">
        <v>113424.7143456101</v>
      </c>
      <c r="FK110" s="15" t="n">
        <v>0</v>
      </c>
      <c r="FL110" s="15" t="n">
        <v>0</v>
      </c>
      <c r="FM110" s="15" t="n">
        <v>0</v>
      </c>
      <c r="FN110" s="15" t="n">
        <v>87940.57361758687</v>
      </c>
      <c r="FO110" s="15" t="n">
        <v>0</v>
      </c>
      <c r="FP110" s="15" t="n">
        <v>0</v>
      </c>
      <c r="FQ110" s="15" t="n">
        <v>0</v>
      </c>
      <c r="FR110" s="15" t="n">
        <v>145014.6128687896</v>
      </c>
      <c r="FY110" s="15" t="n">
        <v>3</v>
      </c>
      <c r="FZ110" s="15" t="n">
        <v>274303.3974386182</v>
      </c>
      <c r="GA110" s="15" t="n">
        <v>0</v>
      </c>
      <c r="GB110" s="15" t="n">
        <v>0</v>
      </c>
      <c r="GC110" s="15" t="n">
        <v>255247.9491897766</v>
      </c>
      <c r="GD110" s="15" t="n">
        <v>0</v>
      </c>
      <c r="GE110" s="15" t="n">
        <v>268321.1148616824</v>
      </c>
      <c r="GF110" s="15" t="n">
        <v>113424.7143484024</v>
      </c>
      <c r="GG110" s="15" t="n">
        <v>0</v>
      </c>
      <c r="GH110" s="15" t="n">
        <v>0</v>
      </c>
      <c r="GI110" s="15" t="n">
        <v>0</v>
      </c>
      <c r="GJ110" s="15" t="n">
        <v>87940.57361820807</v>
      </c>
      <c r="GK110" s="15" t="n">
        <v>0</v>
      </c>
      <c r="GL110" s="15" t="n">
        <v>0</v>
      </c>
      <c r="GM110" s="15" t="n">
        <v>0</v>
      </c>
      <c r="GN110" s="15" t="n">
        <v>145014.6128687896</v>
      </c>
      <c r="GU110" s="15" t="n">
        <v>3</v>
      </c>
      <c r="GV110" s="15" t="n">
        <v>342599.8840079337</v>
      </c>
      <c r="GW110" s="15" t="n">
        <v>0</v>
      </c>
      <c r="GX110" s="15" t="n">
        <v>0</v>
      </c>
      <c r="GY110" s="15" t="n">
        <v>317364.7335244784</v>
      </c>
      <c r="GZ110" s="15" t="n">
        <v>0</v>
      </c>
      <c r="HA110" s="15" t="n">
        <v>335983.0942019018</v>
      </c>
      <c r="HB110" s="15" t="n">
        <v>142336.7714305125</v>
      </c>
      <c r="HC110" s="15" t="n">
        <v>0</v>
      </c>
      <c r="HD110" s="15" t="n">
        <v>0</v>
      </c>
      <c r="HE110" s="15" t="n">
        <v>0</v>
      </c>
      <c r="HF110" s="15" t="n">
        <v>109911.7686967873</v>
      </c>
      <c r="HG110" s="15" t="n">
        <v>0</v>
      </c>
      <c r="HH110" s="15" t="n">
        <v>0</v>
      </c>
      <c r="HI110" s="15" t="n">
        <v>0</v>
      </c>
      <c r="HJ110" s="15" t="n">
        <v>180312.7608718229</v>
      </c>
    </row>
    <row r="112">
      <c r="C112" s="15" t="inlineStr">
        <is>
          <t>SQRT</t>
        </is>
      </c>
      <c r="D112" s="15" t="n">
        <v>1</v>
      </c>
      <c r="E112" s="15" t="n">
        <v>2</v>
      </c>
      <c r="F112" s="15" t="n">
        <v>3</v>
      </c>
      <c r="G112" s="15" t="n">
        <v>4</v>
      </c>
      <c r="H112" s="15" t="n">
        <v>5</v>
      </c>
      <c r="I112" s="15" t="n">
        <v>6</v>
      </c>
      <c r="J112" s="15" t="n">
        <v>7</v>
      </c>
      <c r="K112" s="15" t="n">
        <v>8</v>
      </c>
      <c r="L112" s="15" t="n">
        <v>9</v>
      </c>
      <c r="M112" s="15" t="n">
        <v>10</v>
      </c>
      <c r="N112" s="15" t="n">
        <v>11</v>
      </c>
      <c r="O112" s="15" t="n">
        <v>12</v>
      </c>
      <c r="P112" s="15" t="n">
        <v>13</v>
      </c>
      <c r="Q112" s="15" t="n">
        <v>14</v>
      </c>
      <c r="R112" s="15" t="n">
        <v>15</v>
      </c>
      <c r="AA112" s="15" t="inlineStr">
        <is>
          <t>SQRT</t>
        </is>
      </c>
      <c r="AB112" s="15" t="n">
        <v>1</v>
      </c>
      <c r="AC112" s="15" t="n">
        <v>2</v>
      </c>
      <c r="AD112" s="15" t="n">
        <v>3</v>
      </c>
      <c r="AE112" s="15" t="n">
        <v>4</v>
      </c>
      <c r="AF112" s="15" t="n">
        <v>5</v>
      </c>
      <c r="AG112" s="15" t="n">
        <v>6</v>
      </c>
      <c r="AH112" s="15" t="n">
        <v>7</v>
      </c>
      <c r="AI112" s="15" t="n">
        <v>8</v>
      </c>
      <c r="AJ112" s="15" t="n">
        <v>9</v>
      </c>
      <c r="AK112" s="15" t="n">
        <v>10</v>
      </c>
      <c r="AL112" s="15" t="n">
        <v>11</v>
      </c>
      <c r="AM112" s="15" t="n">
        <v>12</v>
      </c>
      <c r="AN112" s="15" t="n">
        <v>13</v>
      </c>
      <c r="AO112" s="15" t="n">
        <v>14</v>
      </c>
      <c r="AP112" s="15" t="n">
        <v>15</v>
      </c>
      <c r="AW112" s="15" t="inlineStr">
        <is>
          <t>SQRT</t>
        </is>
      </c>
      <c r="AX112" s="15" t="n">
        <v>1</v>
      </c>
      <c r="AY112" s="15" t="n">
        <v>2</v>
      </c>
      <c r="AZ112" s="15" t="n">
        <v>3</v>
      </c>
      <c r="BA112" s="15" t="n">
        <v>4</v>
      </c>
      <c r="BB112" s="15" t="n">
        <v>5</v>
      </c>
      <c r="BC112" s="15" t="n">
        <v>6</v>
      </c>
      <c r="BD112" s="15" t="n">
        <v>7</v>
      </c>
      <c r="BE112" s="15" t="n">
        <v>8</v>
      </c>
      <c r="BF112" s="15" t="n">
        <v>9</v>
      </c>
      <c r="BG112" s="15" t="n">
        <v>10</v>
      </c>
      <c r="BH112" s="15" t="n">
        <v>11</v>
      </c>
      <c r="BI112" s="15" t="n">
        <v>12</v>
      </c>
      <c r="BJ112" s="15" t="n">
        <v>13</v>
      </c>
      <c r="BK112" s="15" t="n">
        <v>14</v>
      </c>
      <c r="BL112" s="15" t="n">
        <v>15</v>
      </c>
      <c r="BS112" s="15" t="inlineStr">
        <is>
          <t>SQRT</t>
        </is>
      </c>
      <c r="BT112" s="15" t="n">
        <v>1</v>
      </c>
      <c r="BU112" s="15" t="n">
        <v>2</v>
      </c>
      <c r="BV112" s="15" t="n">
        <v>3</v>
      </c>
      <c r="BW112" s="15" t="n">
        <v>4</v>
      </c>
      <c r="BX112" s="15" t="n">
        <v>5</v>
      </c>
      <c r="BY112" s="15" t="n">
        <v>6</v>
      </c>
      <c r="BZ112" s="15" t="n">
        <v>7</v>
      </c>
      <c r="CA112" s="15" t="n">
        <v>8</v>
      </c>
      <c r="CB112" s="15" t="n">
        <v>9</v>
      </c>
      <c r="CC112" s="15" t="n">
        <v>10</v>
      </c>
      <c r="CD112" s="15" t="n">
        <v>11</v>
      </c>
      <c r="CE112" s="15" t="n">
        <v>12</v>
      </c>
      <c r="CF112" s="15" t="n">
        <v>13</v>
      </c>
      <c r="CG112" s="15" t="n">
        <v>14</v>
      </c>
      <c r="CH112" s="15" t="n">
        <v>15</v>
      </c>
      <c r="CO112" s="15" t="inlineStr">
        <is>
          <t>SQRT</t>
        </is>
      </c>
      <c r="CP112" s="15" t="n">
        <v>1</v>
      </c>
      <c r="CQ112" s="15" t="n">
        <v>2</v>
      </c>
      <c r="CR112" s="15" t="n">
        <v>3</v>
      </c>
      <c r="CS112" s="15" t="n">
        <v>4</v>
      </c>
      <c r="CT112" s="15" t="n">
        <v>5</v>
      </c>
      <c r="CU112" s="15" t="n">
        <v>6</v>
      </c>
      <c r="CV112" s="15" t="n">
        <v>7</v>
      </c>
      <c r="CW112" s="15" t="n">
        <v>8</v>
      </c>
      <c r="CX112" s="15" t="n">
        <v>9</v>
      </c>
      <c r="CY112" s="15" t="n">
        <v>10</v>
      </c>
      <c r="CZ112" s="15" t="n">
        <v>11</v>
      </c>
      <c r="DA112" s="15" t="n">
        <v>12</v>
      </c>
      <c r="DB112" s="15" t="n">
        <v>13</v>
      </c>
      <c r="DC112" s="15" t="n">
        <v>14</v>
      </c>
      <c r="DD112" s="15" t="n">
        <v>15</v>
      </c>
      <c r="DK112" s="15" t="inlineStr">
        <is>
          <t>SQRT</t>
        </is>
      </c>
      <c r="DL112" s="15" t="n">
        <v>1</v>
      </c>
      <c r="DM112" s="15" t="n">
        <v>2</v>
      </c>
      <c r="DN112" s="15" t="n">
        <v>3</v>
      </c>
      <c r="DO112" s="15" t="n">
        <v>4</v>
      </c>
      <c r="DP112" s="15" t="n">
        <v>5</v>
      </c>
      <c r="DQ112" s="15" t="n">
        <v>6</v>
      </c>
      <c r="DR112" s="15" t="n">
        <v>7</v>
      </c>
      <c r="DS112" s="15" t="n">
        <v>8</v>
      </c>
      <c r="DT112" s="15" t="n">
        <v>9</v>
      </c>
      <c r="DU112" s="15" t="n">
        <v>10</v>
      </c>
      <c r="DV112" s="15" t="n">
        <v>11</v>
      </c>
      <c r="DW112" s="15" t="n">
        <v>12</v>
      </c>
      <c r="DX112" s="15" t="n">
        <v>13</v>
      </c>
      <c r="DY112" s="15" t="n">
        <v>14</v>
      </c>
      <c r="DZ112" s="15" t="n">
        <v>15</v>
      </c>
      <c r="EG112" s="15" t="inlineStr">
        <is>
          <t>SQRT</t>
        </is>
      </c>
      <c r="EH112" s="15" t="n">
        <v>1</v>
      </c>
      <c r="EI112" s="15" t="n">
        <v>2</v>
      </c>
      <c r="EJ112" s="15" t="n">
        <v>3</v>
      </c>
      <c r="EK112" s="15" t="n">
        <v>4</v>
      </c>
      <c r="EL112" s="15" t="n">
        <v>5</v>
      </c>
      <c r="EM112" s="15" t="n">
        <v>6</v>
      </c>
      <c r="EN112" s="15" t="n">
        <v>7</v>
      </c>
      <c r="EO112" s="15" t="n">
        <v>8</v>
      </c>
      <c r="EP112" s="15" t="n">
        <v>9</v>
      </c>
      <c r="EQ112" s="15" t="n">
        <v>10</v>
      </c>
      <c r="ER112" s="15" t="n">
        <v>11</v>
      </c>
      <c r="ES112" s="15" t="n">
        <v>12</v>
      </c>
      <c r="ET112" s="15" t="n">
        <v>13</v>
      </c>
      <c r="EU112" s="15" t="n">
        <v>14</v>
      </c>
      <c r="EV112" s="15" t="n">
        <v>15</v>
      </c>
      <c r="FC112" s="15" t="inlineStr">
        <is>
          <t>SQRT</t>
        </is>
      </c>
      <c r="FD112" s="15" t="n">
        <v>1</v>
      </c>
      <c r="FE112" s="15" t="n">
        <v>2</v>
      </c>
      <c r="FF112" s="15" t="n">
        <v>3</v>
      </c>
      <c r="FG112" s="15" t="n">
        <v>4</v>
      </c>
      <c r="FH112" s="15" t="n">
        <v>5</v>
      </c>
      <c r="FI112" s="15" t="n">
        <v>6</v>
      </c>
      <c r="FJ112" s="15" t="n">
        <v>7</v>
      </c>
      <c r="FK112" s="15" t="n">
        <v>8</v>
      </c>
      <c r="FL112" s="15" t="n">
        <v>9</v>
      </c>
      <c r="FM112" s="15" t="n">
        <v>10</v>
      </c>
      <c r="FN112" s="15" t="n">
        <v>11</v>
      </c>
      <c r="FO112" s="15" t="n">
        <v>12</v>
      </c>
      <c r="FP112" s="15" t="n">
        <v>13</v>
      </c>
      <c r="FQ112" s="15" t="n">
        <v>14</v>
      </c>
      <c r="FR112" s="15" t="n">
        <v>15</v>
      </c>
      <c r="FY112" s="15" t="inlineStr">
        <is>
          <t>SQRT</t>
        </is>
      </c>
      <c r="FZ112" s="15" t="n">
        <v>1</v>
      </c>
      <c r="GA112" s="15" t="n">
        <v>2</v>
      </c>
      <c r="GB112" s="15" t="n">
        <v>3</v>
      </c>
      <c r="GC112" s="15" t="n">
        <v>4</v>
      </c>
      <c r="GD112" s="15" t="n">
        <v>5</v>
      </c>
      <c r="GE112" s="15" t="n">
        <v>6</v>
      </c>
      <c r="GF112" s="15" t="n">
        <v>7</v>
      </c>
      <c r="GG112" s="15" t="n">
        <v>8</v>
      </c>
      <c r="GH112" s="15" t="n">
        <v>9</v>
      </c>
      <c r="GI112" s="15" t="n">
        <v>10</v>
      </c>
      <c r="GJ112" s="15" t="n">
        <v>11</v>
      </c>
      <c r="GK112" s="15" t="n">
        <v>12</v>
      </c>
      <c r="GL112" s="15" t="n">
        <v>13</v>
      </c>
      <c r="GM112" s="15" t="n">
        <v>14</v>
      </c>
      <c r="GN112" s="15" t="n">
        <v>15</v>
      </c>
      <c r="GU112" s="15" t="inlineStr">
        <is>
          <t>SQRT</t>
        </is>
      </c>
      <c r="GV112" s="15" t="n">
        <v>1</v>
      </c>
      <c r="GW112" s="15" t="n">
        <v>2</v>
      </c>
      <c r="GX112" s="15" t="n">
        <v>3</v>
      </c>
      <c r="GY112" s="15" t="n">
        <v>4</v>
      </c>
      <c r="GZ112" s="15" t="n">
        <v>5</v>
      </c>
      <c r="HA112" s="15" t="n">
        <v>6</v>
      </c>
      <c r="HB112" s="15" t="n">
        <v>7</v>
      </c>
      <c r="HC112" s="15" t="n">
        <v>8</v>
      </c>
      <c r="HD112" s="15" t="n">
        <v>9</v>
      </c>
      <c r="HE112" s="15" t="n">
        <v>10</v>
      </c>
      <c r="HF112" s="15" t="n">
        <v>11</v>
      </c>
      <c r="HG112" s="15" t="n">
        <v>12</v>
      </c>
      <c r="HH112" s="15" t="n">
        <v>13</v>
      </c>
      <c r="HI112" s="15" t="n">
        <v>14</v>
      </c>
      <c r="HJ112" s="15" t="n">
        <v>15</v>
      </c>
    </row>
    <row r="113">
      <c r="C113" s="15" t="n">
        <v>1</v>
      </c>
      <c r="D113" s="15">
        <f>Suppliers_stock_balance!D182</f>
        <v/>
      </c>
      <c r="E113" s="15">
        <f>Suppliers_stock_balance!E182</f>
        <v/>
      </c>
      <c r="F113" s="15">
        <f>Suppliers_stock_balance!F182</f>
        <v/>
      </c>
      <c r="G113" s="15">
        <f>Suppliers_stock_balance!G182</f>
        <v/>
      </c>
      <c r="H113" s="15">
        <f>Suppliers_stock_balance!H182</f>
        <v/>
      </c>
      <c r="I113" s="15">
        <f>Suppliers_stock_balance!I182</f>
        <v/>
      </c>
      <c r="J113" s="15">
        <f>Suppliers_stock_balance!J182</f>
        <v/>
      </c>
      <c r="K113" s="15">
        <f>Suppliers_stock_balance!K182</f>
        <v/>
      </c>
      <c r="L113" s="15">
        <f>Suppliers_stock_balance!L182</f>
        <v/>
      </c>
      <c r="M113" s="15">
        <f>Suppliers_stock_balance!M182</f>
        <v/>
      </c>
      <c r="N113" s="15">
        <f>Suppliers_stock_balance!N182</f>
        <v/>
      </c>
      <c r="O113" s="15">
        <f>Suppliers_stock_balance!O182</f>
        <v/>
      </c>
      <c r="P113" s="15">
        <f>Suppliers_stock_balance!P182</f>
        <v/>
      </c>
      <c r="Q113" s="15">
        <f>Suppliers_stock_balance!Q182</f>
        <v/>
      </c>
      <c r="R113" s="15">
        <f>Suppliers_stock_balance!R182</f>
        <v/>
      </c>
      <c r="T113" s="39">
        <f>SUM(D113:R115)</f>
        <v/>
      </c>
      <c r="U113" s="39" t="n">
        <v>8530</v>
      </c>
      <c r="V113" s="39">
        <f>T113-U113</f>
        <v/>
      </c>
      <c r="W113" s="39" t="n"/>
      <c r="X113" s="39" t="n"/>
      <c r="AA113" s="15" t="n">
        <v>1</v>
      </c>
      <c r="AB113" s="15" t="n">
        <v>1</v>
      </c>
      <c r="AC113" s="15" t="n">
        <v>1</v>
      </c>
      <c r="AD113" s="15" t="n">
        <v>1</v>
      </c>
      <c r="AE113" s="15" t="n">
        <v>1</v>
      </c>
      <c r="AF113" s="15" t="n">
        <v>478</v>
      </c>
      <c r="AG113" s="15" t="n">
        <v>298</v>
      </c>
      <c r="AH113" s="15" t="n">
        <v>1</v>
      </c>
      <c r="AI113" s="15" t="n">
        <v>445</v>
      </c>
      <c r="AJ113" s="15" t="n">
        <v>368</v>
      </c>
      <c r="AK113" s="15" t="n">
        <v>1</v>
      </c>
      <c r="AL113" s="15" t="n">
        <v>1</v>
      </c>
      <c r="AM113" s="15" t="n">
        <v>1</v>
      </c>
      <c r="AN113" s="15" t="n">
        <v>316</v>
      </c>
      <c r="AO113" s="15" t="n">
        <v>292</v>
      </c>
      <c r="AP113" s="15" t="n">
        <v>551</v>
      </c>
      <c r="AW113" s="15" t="n">
        <v>1</v>
      </c>
      <c r="AX113" s="15" t="n">
        <v>1</v>
      </c>
      <c r="AY113" s="15" t="n">
        <v>1</v>
      </c>
      <c r="AZ113" s="15" t="n">
        <v>1</v>
      </c>
      <c r="BA113" s="15" t="n">
        <v>1</v>
      </c>
      <c r="BB113" s="15" t="n">
        <v>478</v>
      </c>
      <c r="BC113" s="15" t="n">
        <v>298</v>
      </c>
      <c r="BD113" s="15" t="n">
        <v>1</v>
      </c>
      <c r="BE113" s="15" t="n">
        <v>445</v>
      </c>
      <c r="BF113" s="15" t="n">
        <v>368</v>
      </c>
      <c r="BG113" s="15" t="n">
        <v>1</v>
      </c>
      <c r="BH113" s="15" t="n">
        <v>1</v>
      </c>
      <c r="BI113" s="15" t="n">
        <v>1</v>
      </c>
      <c r="BJ113" s="15" t="n">
        <v>316</v>
      </c>
      <c r="BK113" s="15" t="n">
        <v>292</v>
      </c>
      <c r="BL113" s="15" t="n">
        <v>550</v>
      </c>
      <c r="BS113" s="15" t="n">
        <v>1</v>
      </c>
      <c r="BT113" s="15" t="n">
        <v>1</v>
      </c>
      <c r="BU113" s="15" t="n">
        <v>1</v>
      </c>
      <c r="BV113" s="15" t="n">
        <v>1</v>
      </c>
      <c r="BW113" s="15" t="n">
        <v>1</v>
      </c>
      <c r="BX113" s="15" t="n">
        <v>532</v>
      </c>
      <c r="BY113" s="15" t="n">
        <v>333</v>
      </c>
      <c r="BZ113" s="15" t="n">
        <v>1</v>
      </c>
      <c r="CA113" s="15" t="n">
        <v>497</v>
      </c>
      <c r="CB113" s="15" t="n">
        <v>410</v>
      </c>
      <c r="CC113" s="15" t="n">
        <v>1</v>
      </c>
      <c r="CD113" s="15" t="n">
        <v>1</v>
      </c>
      <c r="CE113" s="15" t="n">
        <v>1</v>
      </c>
      <c r="CF113" s="15" t="n">
        <v>352</v>
      </c>
      <c r="CG113" s="15" t="n">
        <v>326</v>
      </c>
      <c r="CH113" s="15" t="n">
        <v>615</v>
      </c>
      <c r="CO113" s="15" t="n">
        <v>1</v>
      </c>
      <c r="CP113" s="15" t="n">
        <v>1</v>
      </c>
      <c r="CQ113" s="15" t="n">
        <v>1</v>
      </c>
      <c r="CR113" s="15" t="n">
        <v>1</v>
      </c>
      <c r="CS113" s="15" t="n">
        <v>1</v>
      </c>
      <c r="CT113" s="15" t="n">
        <v>478</v>
      </c>
      <c r="CU113" s="15" t="n">
        <v>298</v>
      </c>
      <c r="CV113" s="15" t="n">
        <v>1</v>
      </c>
      <c r="CW113" s="15" t="n">
        <v>445</v>
      </c>
      <c r="CX113" s="15" t="n">
        <v>368</v>
      </c>
      <c r="CY113" s="15" t="n">
        <v>1</v>
      </c>
      <c r="CZ113" s="15" t="n">
        <v>1</v>
      </c>
      <c r="DA113" s="15" t="n">
        <v>1</v>
      </c>
      <c r="DB113" s="15" t="n">
        <v>316</v>
      </c>
      <c r="DC113" s="15" t="n">
        <v>292</v>
      </c>
      <c r="DD113" s="15" t="n">
        <v>550</v>
      </c>
      <c r="DK113" s="15" t="n">
        <v>1</v>
      </c>
      <c r="DL113" s="15" t="n">
        <v>1</v>
      </c>
      <c r="DM113" s="15" t="n">
        <v>1</v>
      </c>
      <c r="DN113" s="15" t="n">
        <v>1</v>
      </c>
      <c r="DO113" s="15" t="n">
        <v>1</v>
      </c>
      <c r="DP113" s="15" t="n">
        <v>478</v>
      </c>
      <c r="DQ113" s="15" t="n">
        <v>298</v>
      </c>
      <c r="DR113" s="15" t="n">
        <v>1</v>
      </c>
      <c r="DS113" s="15" t="n">
        <v>445</v>
      </c>
      <c r="DT113" s="15" t="n">
        <v>368</v>
      </c>
      <c r="DU113" s="15" t="n">
        <v>1</v>
      </c>
      <c r="DV113" s="15" t="n">
        <v>1</v>
      </c>
      <c r="DW113" s="15" t="n">
        <v>1</v>
      </c>
      <c r="DX113" s="15" t="n">
        <v>316</v>
      </c>
      <c r="DY113" s="15" t="n">
        <v>292</v>
      </c>
      <c r="DZ113" s="15" t="n">
        <v>550</v>
      </c>
      <c r="EG113" s="15" t="n">
        <v>1</v>
      </c>
      <c r="EH113" s="15" t="n">
        <v>1</v>
      </c>
      <c r="EI113" s="15" t="n">
        <v>1</v>
      </c>
      <c r="EJ113" s="15" t="n">
        <v>1</v>
      </c>
      <c r="EK113" s="15" t="n">
        <v>1</v>
      </c>
      <c r="EL113" s="15" t="n">
        <v>532</v>
      </c>
      <c r="EM113" s="15" t="n">
        <v>333</v>
      </c>
      <c r="EN113" s="15" t="n">
        <v>1</v>
      </c>
      <c r="EO113" s="15" t="n">
        <v>497</v>
      </c>
      <c r="EP113" s="15" t="n">
        <v>410</v>
      </c>
      <c r="EQ113" s="15" t="n">
        <v>1</v>
      </c>
      <c r="ER113" s="15" t="n">
        <v>1</v>
      </c>
      <c r="ES113" s="15" t="n">
        <v>1</v>
      </c>
      <c r="ET113" s="15" t="n">
        <v>352</v>
      </c>
      <c r="EU113" s="15" t="n">
        <v>326</v>
      </c>
      <c r="EV113" s="15" t="n">
        <v>615</v>
      </c>
      <c r="FC113" s="15" t="n">
        <v>1</v>
      </c>
      <c r="FD113" s="15" t="n">
        <v>1</v>
      </c>
      <c r="FE113" s="15" t="n">
        <v>1</v>
      </c>
      <c r="FF113" s="15" t="n">
        <v>1</v>
      </c>
      <c r="FG113" s="15" t="n">
        <v>1</v>
      </c>
      <c r="FH113" s="15" t="n">
        <v>478</v>
      </c>
      <c r="FI113" s="15" t="n">
        <v>298</v>
      </c>
      <c r="FJ113" s="15" t="n">
        <v>1</v>
      </c>
      <c r="FK113" s="15" t="n">
        <v>445</v>
      </c>
      <c r="FL113" s="15" t="n">
        <v>368</v>
      </c>
      <c r="FM113" s="15" t="n">
        <v>1</v>
      </c>
      <c r="FN113" s="15" t="n">
        <v>1</v>
      </c>
      <c r="FO113" s="15" t="n">
        <v>1</v>
      </c>
      <c r="FP113" s="15" t="n">
        <v>316</v>
      </c>
      <c r="FQ113" s="15" t="n">
        <v>292</v>
      </c>
      <c r="FR113" s="15" t="n">
        <v>550</v>
      </c>
      <c r="FY113" s="15" t="n">
        <v>1</v>
      </c>
      <c r="FZ113" s="15" t="n">
        <v>1</v>
      </c>
      <c r="GA113" s="15" t="n">
        <v>1</v>
      </c>
      <c r="GB113" s="15" t="n">
        <v>1</v>
      </c>
      <c r="GC113" s="15" t="n">
        <v>1</v>
      </c>
      <c r="GD113" s="15" t="n">
        <v>478</v>
      </c>
      <c r="GE113" s="15" t="n">
        <v>298</v>
      </c>
      <c r="GF113" s="15" t="n">
        <v>1</v>
      </c>
      <c r="GG113" s="15" t="n">
        <v>445</v>
      </c>
      <c r="GH113" s="15" t="n">
        <v>368</v>
      </c>
      <c r="GI113" s="15" t="n">
        <v>1</v>
      </c>
      <c r="GJ113" s="15" t="n">
        <v>1</v>
      </c>
      <c r="GK113" s="15" t="n">
        <v>1</v>
      </c>
      <c r="GL113" s="15" t="n">
        <v>316</v>
      </c>
      <c r="GM113" s="15" t="n">
        <v>292</v>
      </c>
      <c r="GN113" s="15" t="n">
        <v>550</v>
      </c>
      <c r="GU113" s="15" t="n">
        <v>1</v>
      </c>
      <c r="GV113" s="15" t="n">
        <v>1</v>
      </c>
      <c r="GW113" s="15" t="n">
        <v>1</v>
      </c>
      <c r="GX113" s="15" t="n">
        <v>1</v>
      </c>
      <c r="GY113" s="15" t="n">
        <v>1</v>
      </c>
      <c r="GZ113" s="15" t="n">
        <v>532</v>
      </c>
      <c r="HA113" s="15" t="n">
        <v>333</v>
      </c>
      <c r="HB113" s="15" t="n">
        <v>1</v>
      </c>
      <c r="HC113" s="15" t="n">
        <v>497</v>
      </c>
      <c r="HD113" s="15" t="n">
        <v>410</v>
      </c>
      <c r="HE113" s="15" t="n">
        <v>1</v>
      </c>
      <c r="HF113" s="15" t="n">
        <v>1</v>
      </c>
      <c r="HG113" s="15" t="n">
        <v>1</v>
      </c>
      <c r="HH113" s="15" t="n">
        <v>352</v>
      </c>
      <c r="HI113" s="15" t="n">
        <v>326</v>
      </c>
      <c r="HJ113" s="15" t="n">
        <v>615</v>
      </c>
    </row>
    <row r="114">
      <c r="C114" s="15" t="n">
        <v>2</v>
      </c>
      <c r="D114" s="15">
        <f>Suppliers_stock_balance!D183</f>
        <v/>
      </c>
      <c r="E114" s="15">
        <f>Suppliers_stock_balance!E183</f>
        <v/>
      </c>
      <c r="F114" s="15">
        <f>Suppliers_stock_balance!F183</f>
        <v/>
      </c>
      <c r="G114" s="15">
        <f>Suppliers_stock_balance!G183</f>
        <v/>
      </c>
      <c r="H114" s="15">
        <f>Suppliers_stock_balance!H183</f>
        <v/>
      </c>
      <c r="I114" s="15">
        <f>Suppliers_stock_balance!I183</f>
        <v/>
      </c>
      <c r="J114" s="15">
        <f>Suppliers_stock_balance!J183</f>
        <v/>
      </c>
      <c r="K114" s="15">
        <f>Suppliers_stock_balance!K183</f>
        <v/>
      </c>
      <c r="L114" s="15">
        <f>Suppliers_stock_balance!L183</f>
        <v/>
      </c>
      <c r="M114" s="15">
        <f>Suppliers_stock_balance!M183</f>
        <v/>
      </c>
      <c r="N114" s="15">
        <f>Suppliers_stock_balance!N183</f>
        <v/>
      </c>
      <c r="O114" s="15">
        <f>Suppliers_stock_balance!O183</f>
        <v/>
      </c>
      <c r="P114" s="15">
        <f>Suppliers_stock_balance!P183</f>
        <v/>
      </c>
      <c r="Q114" s="15">
        <f>Suppliers_stock_balance!Q183</f>
        <v/>
      </c>
      <c r="R114" s="15">
        <f>Suppliers_stock_balance!R183</f>
        <v/>
      </c>
      <c r="AA114" s="15" t="n">
        <v>2</v>
      </c>
      <c r="AB114" s="15" t="n">
        <v>341</v>
      </c>
      <c r="AC114" s="15" t="n">
        <v>344</v>
      </c>
      <c r="AD114" s="15" t="n">
        <v>1</v>
      </c>
      <c r="AE114" s="15" t="n">
        <v>1</v>
      </c>
      <c r="AF114" s="15" t="n">
        <v>1</v>
      </c>
      <c r="AG114" s="15" t="n">
        <v>459</v>
      </c>
      <c r="AH114" s="15" t="n">
        <v>1</v>
      </c>
      <c r="AI114" s="15" t="n">
        <v>1</v>
      </c>
      <c r="AJ114" s="15" t="n">
        <v>1</v>
      </c>
      <c r="AK114" s="15" t="n">
        <v>285</v>
      </c>
      <c r="AL114" s="15" t="n">
        <v>1</v>
      </c>
      <c r="AM114" s="15" t="n">
        <v>423</v>
      </c>
      <c r="AN114" s="15" t="n">
        <v>381</v>
      </c>
      <c r="AO114" s="15" t="n">
        <v>533</v>
      </c>
      <c r="AP114" s="15" t="n">
        <v>429</v>
      </c>
      <c r="AW114" s="15" t="n">
        <v>2</v>
      </c>
      <c r="AX114" s="15" t="n">
        <v>341</v>
      </c>
      <c r="AY114" s="15" t="n">
        <v>344</v>
      </c>
      <c r="AZ114" s="15" t="n">
        <v>1</v>
      </c>
      <c r="BA114" s="15" t="n">
        <v>1</v>
      </c>
      <c r="BB114" s="15" t="n">
        <v>1</v>
      </c>
      <c r="BC114" s="15" t="n">
        <v>459</v>
      </c>
      <c r="BD114" s="15" t="n">
        <v>1</v>
      </c>
      <c r="BE114" s="15" t="n">
        <v>1</v>
      </c>
      <c r="BF114" s="15" t="n">
        <v>1</v>
      </c>
      <c r="BG114" s="15" t="n">
        <v>285</v>
      </c>
      <c r="BH114" s="15" t="n">
        <v>1</v>
      </c>
      <c r="BI114" s="15" t="n">
        <v>423</v>
      </c>
      <c r="BJ114" s="15" t="n">
        <v>381</v>
      </c>
      <c r="BK114" s="15" t="n">
        <v>533</v>
      </c>
      <c r="BL114" s="15" t="n">
        <v>429</v>
      </c>
      <c r="BS114" s="15" t="n">
        <v>2</v>
      </c>
      <c r="BT114" s="15" t="n">
        <v>381</v>
      </c>
      <c r="BU114" s="15" t="n">
        <v>383</v>
      </c>
      <c r="BV114" s="15" t="n">
        <v>1</v>
      </c>
      <c r="BW114" s="15" t="n">
        <v>1</v>
      </c>
      <c r="BX114" s="15" t="n">
        <v>1</v>
      </c>
      <c r="BY114" s="15" t="n">
        <v>512</v>
      </c>
      <c r="BZ114" s="15" t="n">
        <v>1</v>
      </c>
      <c r="CA114" s="15" t="n">
        <v>1</v>
      </c>
      <c r="CB114" s="15" t="n">
        <v>1</v>
      </c>
      <c r="CC114" s="15" t="n">
        <v>318</v>
      </c>
      <c r="CD114" s="15" t="n">
        <v>1</v>
      </c>
      <c r="CE114" s="15" t="n">
        <v>471</v>
      </c>
      <c r="CF114" s="15" t="n">
        <v>425</v>
      </c>
      <c r="CG114" s="15" t="n">
        <v>594</v>
      </c>
      <c r="CH114" s="15" t="n">
        <v>479</v>
      </c>
      <c r="CO114" s="15" t="n">
        <v>2</v>
      </c>
      <c r="CP114" s="15" t="n">
        <v>341</v>
      </c>
      <c r="CQ114" s="15" t="n">
        <v>344</v>
      </c>
      <c r="CR114" s="15" t="n">
        <v>1</v>
      </c>
      <c r="CS114" s="15" t="n">
        <v>1</v>
      </c>
      <c r="CT114" s="15" t="n">
        <v>1</v>
      </c>
      <c r="CU114" s="15" t="n">
        <v>459</v>
      </c>
      <c r="CV114" s="15" t="n">
        <v>1</v>
      </c>
      <c r="CW114" s="15" t="n">
        <v>1</v>
      </c>
      <c r="CX114" s="15" t="n">
        <v>1</v>
      </c>
      <c r="CY114" s="15" t="n">
        <v>285</v>
      </c>
      <c r="CZ114" s="15" t="n">
        <v>1</v>
      </c>
      <c r="DA114" s="15" t="n">
        <v>423</v>
      </c>
      <c r="DB114" s="15" t="n">
        <v>381</v>
      </c>
      <c r="DC114" s="15" t="n">
        <v>533</v>
      </c>
      <c r="DD114" s="15" t="n">
        <v>429</v>
      </c>
      <c r="DK114" s="15" t="n">
        <v>2</v>
      </c>
      <c r="DL114" s="15" t="n">
        <v>341</v>
      </c>
      <c r="DM114" s="15" t="n">
        <v>344</v>
      </c>
      <c r="DN114" s="15" t="n">
        <v>1</v>
      </c>
      <c r="DO114" s="15" t="n">
        <v>1</v>
      </c>
      <c r="DP114" s="15" t="n">
        <v>1</v>
      </c>
      <c r="DQ114" s="15" t="n">
        <v>459</v>
      </c>
      <c r="DR114" s="15" t="n">
        <v>1</v>
      </c>
      <c r="DS114" s="15" t="n">
        <v>1</v>
      </c>
      <c r="DT114" s="15" t="n">
        <v>1</v>
      </c>
      <c r="DU114" s="15" t="n">
        <v>285</v>
      </c>
      <c r="DV114" s="15" t="n">
        <v>1</v>
      </c>
      <c r="DW114" s="15" t="n">
        <v>423</v>
      </c>
      <c r="DX114" s="15" t="n">
        <v>381</v>
      </c>
      <c r="DY114" s="15" t="n">
        <v>533</v>
      </c>
      <c r="DZ114" s="15" t="n">
        <v>429</v>
      </c>
      <c r="EG114" s="15" t="n">
        <v>2</v>
      </c>
      <c r="EH114" s="15" t="n">
        <v>381</v>
      </c>
      <c r="EI114" s="15" t="n">
        <v>383</v>
      </c>
      <c r="EJ114" s="15" t="n">
        <v>1</v>
      </c>
      <c r="EK114" s="15" t="n">
        <v>1</v>
      </c>
      <c r="EL114" s="15" t="n">
        <v>1</v>
      </c>
      <c r="EM114" s="15" t="n">
        <v>512</v>
      </c>
      <c r="EN114" s="15" t="n">
        <v>1</v>
      </c>
      <c r="EO114" s="15" t="n">
        <v>1</v>
      </c>
      <c r="EP114" s="15" t="n">
        <v>1</v>
      </c>
      <c r="EQ114" s="15" t="n">
        <v>318</v>
      </c>
      <c r="ER114" s="15" t="n">
        <v>1</v>
      </c>
      <c r="ES114" s="15" t="n">
        <v>471</v>
      </c>
      <c r="ET114" s="15" t="n">
        <v>425</v>
      </c>
      <c r="EU114" s="15" t="n">
        <v>594</v>
      </c>
      <c r="EV114" s="15" t="n">
        <v>479</v>
      </c>
      <c r="FC114" s="15" t="n">
        <v>2</v>
      </c>
      <c r="FD114" s="15" t="n">
        <v>341</v>
      </c>
      <c r="FE114" s="15" t="n">
        <v>344</v>
      </c>
      <c r="FF114" s="15" t="n">
        <v>1</v>
      </c>
      <c r="FG114" s="15" t="n">
        <v>1</v>
      </c>
      <c r="FH114" s="15" t="n">
        <v>1</v>
      </c>
      <c r="FI114" s="15" t="n">
        <v>459</v>
      </c>
      <c r="FJ114" s="15" t="n">
        <v>1</v>
      </c>
      <c r="FK114" s="15" t="n">
        <v>1</v>
      </c>
      <c r="FL114" s="15" t="n">
        <v>1</v>
      </c>
      <c r="FM114" s="15" t="n">
        <v>285</v>
      </c>
      <c r="FN114" s="15" t="n">
        <v>1</v>
      </c>
      <c r="FO114" s="15" t="n">
        <v>423</v>
      </c>
      <c r="FP114" s="15" t="n">
        <v>381</v>
      </c>
      <c r="FQ114" s="15" t="n">
        <v>533</v>
      </c>
      <c r="FR114" s="15" t="n">
        <v>429</v>
      </c>
      <c r="FY114" s="15" t="n">
        <v>2</v>
      </c>
      <c r="FZ114" s="15" t="n">
        <v>341</v>
      </c>
      <c r="GA114" s="15" t="n">
        <v>344</v>
      </c>
      <c r="GB114" s="15" t="n">
        <v>1</v>
      </c>
      <c r="GC114" s="15" t="n">
        <v>1</v>
      </c>
      <c r="GD114" s="15" t="n">
        <v>1</v>
      </c>
      <c r="GE114" s="15" t="n">
        <v>459</v>
      </c>
      <c r="GF114" s="15" t="n">
        <v>1</v>
      </c>
      <c r="GG114" s="15" t="n">
        <v>1</v>
      </c>
      <c r="GH114" s="15" t="n">
        <v>1</v>
      </c>
      <c r="GI114" s="15" t="n">
        <v>285</v>
      </c>
      <c r="GJ114" s="15" t="n">
        <v>1</v>
      </c>
      <c r="GK114" s="15" t="n">
        <v>423</v>
      </c>
      <c r="GL114" s="15" t="n">
        <v>381</v>
      </c>
      <c r="GM114" s="15" t="n">
        <v>533</v>
      </c>
      <c r="GN114" s="15" t="n">
        <v>429</v>
      </c>
      <c r="GU114" s="15" t="n">
        <v>2</v>
      </c>
      <c r="GV114" s="15" t="n">
        <v>381</v>
      </c>
      <c r="GW114" s="15" t="n">
        <v>383</v>
      </c>
      <c r="GX114" s="15" t="n">
        <v>1</v>
      </c>
      <c r="GY114" s="15" t="n">
        <v>1</v>
      </c>
      <c r="GZ114" s="15" t="n">
        <v>1</v>
      </c>
      <c r="HA114" s="15" t="n">
        <v>512</v>
      </c>
      <c r="HB114" s="15" t="n">
        <v>1</v>
      </c>
      <c r="HC114" s="15" t="n">
        <v>1</v>
      </c>
      <c r="HD114" s="15" t="n">
        <v>1</v>
      </c>
      <c r="HE114" s="15" t="n">
        <v>318</v>
      </c>
      <c r="HF114" s="15" t="n">
        <v>1</v>
      </c>
      <c r="HG114" s="15" t="n">
        <v>471</v>
      </c>
      <c r="HH114" s="15" t="n">
        <v>425</v>
      </c>
      <c r="HI114" s="15" t="n">
        <v>594</v>
      </c>
      <c r="HJ114" s="15" t="n">
        <v>479</v>
      </c>
    </row>
    <row r="115">
      <c r="C115" s="15" t="n">
        <v>3</v>
      </c>
      <c r="D115" s="15">
        <f>Suppliers_stock_balance!D184</f>
        <v/>
      </c>
      <c r="E115" s="15">
        <f>Suppliers_stock_balance!E184</f>
        <v/>
      </c>
      <c r="F115" s="15">
        <f>Suppliers_stock_balance!F184</f>
        <v/>
      </c>
      <c r="G115" s="15">
        <f>Suppliers_stock_balance!G184</f>
        <v/>
      </c>
      <c r="H115" s="15">
        <f>Suppliers_stock_balance!H184</f>
        <v/>
      </c>
      <c r="I115" s="15">
        <f>Suppliers_stock_balance!I184</f>
        <v/>
      </c>
      <c r="J115" s="15">
        <f>Suppliers_stock_balance!J184</f>
        <v/>
      </c>
      <c r="K115" s="15">
        <f>Suppliers_stock_balance!K184</f>
        <v/>
      </c>
      <c r="L115" s="15">
        <f>Suppliers_stock_balance!L184</f>
        <v/>
      </c>
      <c r="M115" s="15">
        <f>Suppliers_stock_balance!M184</f>
        <v/>
      </c>
      <c r="N115" s="15">
        <f>Suppliers_stock_balance!N184</f>
        <v/>
      </c>
      <c r="O115" s="15">
        <f>Suppliers_stock_balance!O184</f>
        <v/>
      </c>
      <c r="P115" s="15">
        <f>Suppliers_stock_balance!P184</f>
        <v/>
      </c>
      <c r="Q115" s="15">
        <f>Suppliers_stock_balance!Q184</f>
        <v/>
      </c>
      <c r="R115" s="15">
        <f>Suppliers_stock_balance!R184</f>
        <v/>
      </c>
      <c r="AA115" s="15" t="n">
        <v>3</v>
      </c>
      <c r="AB115" s="15" t="n">
        <v>524</v>
      </c>
      <c r="AC115" s="15" t="n">
        <v>1</v>
      </c>
      <c r="AD115" s="15" t="n">
        <v>1</v>
      </c>
      <c r="AE115" s="15" t="n">
        <v>506</v>
      </c>
      <c r="AF115" s="15" t="n">
        <v>1</v>
      </c>
      <c r="AG115" s="15" t="n">
        <v>518</v>
      </c>
      <c r="AH115" s="15" t="n">
        <v>337</v>
      </c>
      <c r="AI115" s="15" t="n">
        <v>1</v>
      </c>
      <c r="AJ115" s="15" t="n">
        <v>1</v>
      </c>
      <c r="AK115" s="15" t="n">
        <v>1</v>
      </c>
      <c r="AL115" s="15" t="n">
        <v>297</v>
      </c>
      <c r="AM115" s="15" t="n">
        <v>1</v>
      </c>
      <c r="AN115" s="15" t="n">
        <v>1</v>
      </c>
      <c r="AO115" s="15" t="n">
        <v>1</v>
      </c>
      <c r="AP115" s="15" t="n">
        <v>381</v>
      </c>
      <c r="AW115" s="15" t="n">
        <v>3</v>
      </c>
      <c r="AX115" s="15" t="n">
        <v>524</v>
      </c>
      <c r="AY115" s="15" t="n">
        <v>1</v>
      </c>
      <c r="AZ115" s="15" t="n">
        <v>1</v>
      </c>
      <c r="BA115" s="15" t="n">
        <v>506</v>
      </c>
      <c r="BB115" s="15" t="n">
        <v>1</v>
      </c>
      <c r="BC115" s="15" t="n">
        <v>518</v>
      </c>
      <c r="BD115" s="15" t="n">
        <v>337</v>
      </c>
      <c r="BE115" s="15" t="n">
        <v>1</v>
      </c>
      <c r="BF115" s="15" t="n">
        <v>1</v>
      </c>
      <c r="BG115" s="15" t="n">
        <v>1</v>
      </c>
      <c r="BH115" s="15" t="n">
        <v>297</v>
      </c>
      <c r="BI115" s="15" t="n">
        <v>1</v>
      </c>
      <c r="BJ115" s="15" t="n">
        <v>1</v>
      </c>
      <c r="BK115" s="15" t="n">
        <v>1</v>
      </c>
      <c r="BL115" s="15" t="n">
        <v>381</v>
      </c>
      <c r="BS115" s="15" t="n">
        <v>3</v>
      </c>
      <c r="BT115" s="15" t="n">
        <v>586</v>
      </c>
      <c r="BU115" s="15" t="n">
        <v>1</v>
      </c>
      <c r="BV115" s="15" t="n">
        <v>1</v>
      </c>
      <c r="BW115" s="15" t="n">
        <v>564</v>
      </c>
      <c r="BX115" s="15" t="n">
        <v>1</v>
      </c>
      <c r="BY115" s="15" t="n">
        <v>580</v>
      </c>
      <c r="BZ115" s="15" t="n">
        <v>378</v>
      </c>
      <c r="CA115" s="15" t="n">
        <v>1</v>
      </c>
      <c r="CB115" s="15" t="n">
        <v>1</v>
      </c>
      <c r="CC115" s="15" t="n">
        <v>1</v>
      </c>
      <c r="CD115" s="15" t="n">
        <v>332</v>
      </c>
      <c r="CE115" s="15" t="n">
        <v>1</v>
      </c>
      <c r="CF115" s="15" t="n">
        <v>1</v>
      </c>
      <c r="CG115" s="15" t="n">
        <v>1</v>
      </c>
      <c r="CH115" s="15" t="n">
        <v>425</v>
      </c>
      <c r="CO115" s="15" t="n">
        <v>3</v>
      </c>
      <c r="CP115" s="15" t="n">
        <v>524</v>
      </c>
      <c r="CQ115" s="15" t="n">
        <v>1</v>
      </c>
      <c r="CR115" s="15" t="n">
        <v>1</v>
      </c>
      <c r="CS115" s="15" t="n">
        <v>506</v>
      </c>
      <c r="CT115" s="15" t="n">
        <v>1</v>
      </c>
      <c r="CU115" s="15" t="n">
        <v>518</v>
      </c>
      <c r="CV115" s="15" t="n">
        <v>337</v>
      </c>
      <c r="CW115" s="15" t="n">
        <v>1</v>
      </c>
      <c r="CX115" s="15" t="n">
        <v>1</v>
      </c>
      <c r="CY115" s="15" t="n">
        <v>1</v>
      </c>
      <c r="CZ115" s="15" t="n">
        <v>297</v>
      </c>
      <c r="DA115" s="15" t="n">
        <v>1</v>
      </c>
      <c r="DB115" s="15" t="n">
        <v>1</v>
      </c>
      <c r="DC115" s="15" t="n">
        <v>1</v>
      </c>
      <c r="DD115" s="15" t="n">
        <v>381</v>
      </c>
      <c r="DK115" s="15" t="n">
        <v>3</v>
      </c>
      <c r="DL115" s="15" t="n">
        <v>524</v>
      </c>
      <c r="DM115" s="15" t="n">
        <v>1</v>
      </c>
      <c r="DN115" s="15" t="n">
        <v>1</v>
      </c>
      <c r="DO115" s="15" t="n">
        <v>506</v>
      </c>
      <c r="DP115" s="15" t="n">
        <v>1</v>
      </c>
      <c r="DQ115" s="15" t="n">
        <v>518</v>
      </c>
      <c r="DR115" s="15" t="n">
        <v>337</v>
      </c>
      <c r="DS115" s="15" t="n">
        <v>1</v>
      </c>
      <c r="DT115" s="15" t="n">
        <v>1</v>
      </c>
      <c r="DU115" s="15" t="n">
        <v>1</v>
      </c>
      <c r="DV115" s="15" t="n">
        <v>297</v>
      </c>
      <c r="DW115" s="15" t="n">
        <v>1</v>
      </c>
      <c r="DX115" s="15" t="n">
        <v>1</v>
      </c>
      <c r="DY115" s="15" t="n">
        <v>1</v>
      </c>
      <c r="DZ115" s="15" t="n">
        <v>381</v>
      </c>
      <c r="EG115" s="15" t="n">
        <v>3</v>
      </c>
      <c r="EH115" s="15" t="n">
        <v>586</v>
      </c>
      <c r="EI115" s="15" t="n">
        <v>1</v>
      </c>
      <c r="EJ115" s="15" t="n">
        <v>1</v>
      </c>
      <c r="EK115" s="15" t="n">
        <v>564</v>
      </c>
      <c r="EL115" s="15" t="n">
        <v>1</v>
      </c>
      <c r="EM115" s="15" t="n">
        <v>580</v>
      </c>
      <c r="EN115" s="15" t="n">
        <v>378</v>
      </c>
      <c r="EO115" s="15" t="n">
        <v>1</v>
      </c>
      <c r="EP115" s="15" t="n">
        <v>1</v>
      </c>
      <c r="EQ115" s="15" t="n">
        <v>1</v>
      </c>
      <c r="ER115" s="15" t="n">
        <v>332</v>
      </c>
      <c r="ES115" s="15" t="n">
        <v>1</v>
      </c>
      <c r="ET115" s="15" t="n">
        <v>1</v>
      </c>
      <c r="EU115" s="15" t="n">
        <v>1</v>
      </c>
      <c r="EV115" s="15" t="n">
        <v>425</v>
      </c>
      <c r="FC115" s="15" t="n">
        <v>3</v>
      </c>
      <c r="FD115" s="15" t="n">
        <v>524</v>
      </c>
      <c r="FE115" s="15" t="n">
        <v>1</v>
      </c>
      <c r="FF115" s="15" t="n">
        <v>1</v>
      </c>
      <c r="FG115" s="15" t="n">
        <v>506</v>
      </c>
      <c r="FH115" s="15" t="n">
        <v>1</v>
      </c>
      <c r="FI115" s="15" t="n">
        <v>518</v>
      </c>
      <c r="FJ115" s="15" t="n">
        <v>337</v>
      </c>
      <c r="FK115" s="15" t="n">
        <v>1</v>
      </c>
      <c r="FL115" s="15" t="n">
        <v>1</v>
      </c>
      <c r="FM115" s="15" t="n">
        <v>1</v>
      </c>
      <c r="FN115" s="15" t="n">
        <v>297</v>
      </c>
      <c r="FO115" s="15" t="n">
        <v>1</v>
      </c>
      <c r="FP115" s="15" t="n">
        <v>1</v>
      </c>
      <c r="FQ115" s="15" t="n">
        <v>1</v>
      </c>
      <c r="FR115" s="15" t="n">
        <v>381</v>
      </c>
      <c r="FY115" s="15" t="n">
        <v>3</v>
      </c>
      <c r="FZ115" s="15" t="n">
        <v>524</v>
      </c>
      <c r="GA115" s="15" t="n">
        <v>1</v>
      </c>
      <c r="GB115" s="15" t="n">
        <v>1</v>
      </c>
      <c r="GC115" s="15" t="n">
        <v>506</v>
      </c>
      <c r="GD115" s="15" t="n">
        <v>1</v>
      </c>
      <c r="GE115" s="15" t="n">
        <v>518</v>
      </c>
      <c r="GF115" s="15" t="n">
        <v>337</v>
      </c>
      <c r="GG115" s="15" t="n">
        <v>1</v>
      </c>
      <c r="GH115" s="15" t="n">
        <v>1</v>
      </c>
      <c r="GI115" s="15" t="n">
        <v>1</v>
      </c>
      <c r="GJ115" s="15" t="n">
        <v>297</v>
      </c>
      <c r="GK115" s="15" t="n">
        <v>1</v>
      </c>
      <c r="GL115" s="15" t="n">
        <v>1</v>
      </c>
      <c r="GM115" s="15" t="n">
        <v>1</v>
      </c>
      <c r="GN115" s="15" t="n">
        <v>381</v>
      </c>
      <c r="GU115" s="15" t="n">
        <v>3</v>
      </c>
      <c r="GV115" s="15" t="n">
        <v>586</v>
      </c>
      <c r="GW115" s="15" t="n">
        <v>1</v>
      </c>
      <c r="GX115" s="15" t="n">
        <v>1</v>
      </c>
      <c r="GY115" s="15" t="n">
        <v>564</v>
      </c>
      <c r="GZ115" s="15" t="n">
        <v>1</v>
      </c>
      <c r="HA115" s="15" t="n">
        <v>580</v>
      </c>
      <c r="HB115" s="15" t="n">
        <v>378</v>
      </c>
      <c r="HC115" s="15" t="n">
        <v>1</v>
      </c>
      <c r="HD115" s="15" t="n">
        <v>1</v>
      </c>
      <c r="HE115" s="15" t="n">
        <v>1</v>
      </c>
      <c r="HF115" s="15" t="n">
        <v>332</v>
      </c>
      <c r="HG115" s="15" t="n">
        <v>1</v>
      </c>
      <c r="HH115" s="15" t="n">
        <v>1</v>
      </c>
      <c r="HI115" s="15" t="n">
        <v>1</v>
      </c>
      <c r="HJ115" s="15" t="n">
        <v>425</v>
      </c>
    </row>
    <row r="117">
      <c r="C117" s="15" t="inlineStr">
        <is>
          <t>ND*ELT</t>
        </is>
      </c>
      <c r="D117" s="15" t="n">
        <v>1</v>
      </c>
      <c r="E117" s="15" t="n">
        <v>2</v>
      </c>
      <c r="F117" s="15" t="n">
        <v>3</v>
      </c>
      <c r="G117" s="15" t="n">
        <v>4</v>
      </c>
      <c r="H117" s="15" t="n">
        <v>5</v>
      </c>
      <c r="I117" s="15" t="n">
        <v>6</v>
      </c>
      <c r="J117" s="15" t="n">
        <v>7</v>
      </c>
      <c r="K117" s="15" t="n">
        <v>8</v>
      </c>
      <c r="L117" s="15" t="n">
        <v>9</v>
      </c>
      <c r="M117" s="15" t="n">
        <v>10</v>
      </c>
      <c r="N117" s="15" t="n">
        <v>11</v>
      </c>
      <c r="O117" s="15" t="n">
        <v>12</v>
      </c>
      <c r="P117" s="15" t="n">
        <v>13</v>
      </c>
      <c r="Q117" s="15" t="n">
        <v>14</v>
      </c>
      <c r="R117" s="15" t="n">
        <v>15</v>
      </c>
      <c r="AA117" s="15" t="inlineStr">
        <is>
          <t>ND*ELT</t>
        </is>
      </c>
      <c r="AB117" s="15" t="n">
        <v>1</v>
      </c>
      <c r="AC117" s="15" t="n">
        <v>2</v>
      </c>
      <c r="AD117" s="15" t="n">
        <v>3</v>
      </c>
      <c r="AE117" s="15" t="n">
        <v>4</v>
      </c>
      <c r="AF117" s="15" t="n">
        <v>5</v>
      </c>
      <c r="AG117" s="15" t="n">
        <v>6</v>
      </c>
      <c r="AH117" s="15" t="n">
        <v>7</v>
      </c>
      <c r="AI117" s="15" t="n">
        <v>8</v>
      </c>
      <c r="AJ117" s="15" t="n">
        <v>9</v>
      </c>
      <c r="AK117" s="15" t="n">
        <v>10</v>
      </c>
      <c r="AL117" s="15" t="n">
        <v>11</v>
      </c>
      <c r="AM117" s="15" t="n">
        <v>12</v>
      </c>
      <c r="AN117" s="15" t="n">
        <v>13</v>
      </c>
      <c r="AO117" s="15" t="n">
        <v>14</v>
      </c>
      <c r="AP117" s="15" t="n">
        <v>15</v>
      </c>
      <c r="AW117" s="15" t="inlineStr">
        <is>
          <t>ND*ELT</t>
        </is>
      </c>
      <c r="AX117" s="15" t="n">
        <v>1</v>
      </c>
      <c r="AY117" s="15" t="n">
        <v>2</v>
      </c>
      <c r="AZ117" s="15" t="n">
        <v>3</v>
      </c>
      <c r="BA117" s="15" t="n">
        <v>4</v>
      </c>
      <c r="BB117" s="15" t="n">
        <v>5</v>
      </c>
      <c r="BC117" s="15" t="n">
        <v>6</v>
      </c>
      <c r="BD117" s="15" t="n">
        <v>7</v>
      </c>
      <c r="BE117" s="15" t="n">
        <v>8</v>
      </c>
      <c r="BF117" s="15" t="n">
        <v>9</v>
      </c>
      <c r="BG117" s="15" t="n">
        <v>10</v>
      </c>
      <c r="BH117" s="15" t="n">
        <v>11</v>
      </c>
      <c r="BI117" s="15" t="n">
        <v>12</v>
      </c>
      <c r="BJ117" s="15" t="n">
        <v>13</v>
      </c>
      <c r="BK117" s="15" t="n">
        <v>14</v>
      </c>
      <c r="BL117" s="15" t="n">
        <v>15</v>
      </c>
      <c r="BS117" s="15" t="inlineStr">
        <is>
          <t>ND*ELT</t>
        </is>
      </c>
      <c r="BT117" s="15" t="n">
        <v>1</v>
      </c>
      <c r="BU117" s="15" t="n">
        <v>2</v>
      </c>
      <c r="BV117" s="15" t="n">
        <v>3</v>
      </c>
      <c r="BW117" s="15" t="n">
        <v>4</v>
      </c>
      <c r="BX117" s="15" t="n">
        <v>5</v>
      </c>
      <c r="BY117" s="15" t="n">
        <v>6</v>
      </c>
      <c r="BZ117" s="15" t="n">
        <v>7</v>
      </c>
      <c r="CA117" s="15" t="n">
        <v>8</v>
      </c>
      <c r="CB117" s="15" t="n">
        <v>9</v>
      </c>
      <c r="CC117" s="15" t="n">
        <v>10</v>
      </c>
      <c r="CD117" s="15" t="n">
        <v>11</v>
      </c>
      <c r="CE117" s="15" t="n">
        <v>12</v>
      </c>
      <c r="CF117" s="15" t="n">
        <v>13</v>
      </c>
      <c r="CG117" s="15" t="n">
        <v>14</v>
      </c>
      <c r="CH117" s="15" t="n">
        <v>15</v>
      </c>
      <c r="CO117" s="15" t="inlineStr">
        <is>
          <t>ND*ELT</t>
        </is>
      </c>
      <c r="CP117" s="15" t="n">
        <v>1</v>
      </c>
      <c r="CQ117" s="15" t="n">
        <v>2</v>
      </c>
      <c r="CR117" s="15" t="n">
        <v>3</v>
      </c>
      <c r="CS117" s="15" t="n">
        <v>4</v>
      </c>
      <c r="CT117" s="15" t="n">
        <v>5</v>
      </c>
      <c r="CU117" s="15" t="n">
        <v>6</v>
      </c>
      <c r="CV117" s="15" t="n">
        <v>7</v>
      </c>
      <c r="CW117" s="15" t="n">
        <v>8</v>
      </c>
      <c r="CX117" s="15" t="n">
        <v>9</v>
      </c>
      <c r="CY117" s="15" t="n">
        <v>10</v>
      </c>
      <c r="CZ117" s="15" t="n">
        <v>11</v>
      </c>
      <c r="DA117" s="15" t="n">
        <v>12</v>
      </c>
      <c r="DB117" s="15" t="n">
        <v>13</v>
      </c>
      <c r="DC117" s="15" t="n">
        <v>14</v>
      </c>
      <c r="DD117" s="15" t="n">
        <v>15</v>
      </c>
      <c r="DK117" s="15" t="inlineStr">
        <is>
          <t>ND*ELT</t>
        </is>
      </c>
      <c r="DL117" s="15" t="n">
        <v>1</v>
      </c>
      <c r="DM117" s="15" t="n">
        <v>2</v>
      </c>
      <c r="DN117" s="15" t="n">
        <v>3</v>
      </c>
      <c r="DO117" s="15" t="n">
        <v>4</v>
      </c>
      <c r="DP117" s="15" t="n">
        <v>5</v>
      </c>
      <c r="DQ117" s="15" t="n">
        <v>6</v>
      </c>
      <c r="DR117" s="15" t="n">
        <v>7</v>
      </c>
      <c r="DS117" s="15" t="n">
        <v>8</v>
      </c>
      <c r="DT117" s="15" t="n">
        <v>9</v>
      </c>
      <c r="DU117" s="15" t="n">
        <v>10</v>
      </c>
      <c r="DV117" s="15" t="n">
        <v>11</v>
      </c>
      <c r="DW117" s="15" t="n">
        <v>12</v>
      </c>
      <c r="DX117" s="15" t="n">
        <v>13</v>
      </c>
      <c r="DY117" s="15" t="n">
        <v>14</v>
      </c>
      <c r="DZ117" s="15" t="n">
        <v>15</v>
      </c>
      <c r="EG117" s="15" t="inlineStr">
        <is>
          <t>ND*ELT</t>
        </is>
      </c>
      <c r="EH117" s="15" t="n">
        <v>1</v>
      </c>
      <c r="EI117" s="15" t="n">
        <v>2</v>
      </c>
      <c r="EJ117" s="15" t="n">
        <v>3</v>
      </c>
      <c r="EK117" s="15" t="n">
        <v>4</v>
      </c>
      <c r="EL117" s="15" t="n">
        <v>5</v>
      </c>
      <c r="EM117" s="15" t="n">
        <v>6</v>
      </c>
      <c r="EN117" s="15" t="n">
        <v>7</v>
      </c>
      <c r="EO117" s="15" t="n">
        <v>8</v>
      </c>
      <c r="EP117" s="15" t="n">
        <v>9</v>
      </c>
      <c r="EQ117" s="15" t="n">
        <v>10</v>
      </c>
      <c r="ER117" s="15" t="n">
        <v>11</v>
      </c>
      <c r="ES117" s="15" t="n">
        <v>12</v>
      </c>
      <c r="ET117" s="15" t="n">
        <v>13</v>
      </c>
      <c r="EU117" s="15" t="n">
        <v>14</v>
      </c>
      <c r="EV117" s="15" t="n">
        <v>15</v>
      </c>
      <c r="FC117" s="15" t="inlineStr">
        <is>
          <t>ND*ELT</t>
        </is>
      </c>
      <c r="FD117" s="15" t="n">
        <v>1</v>
      </c>
      <c r="FE117" s="15" t="n">
        <v>2</v>
      </c>
      <c r="FF117" s="15" t="n">
        <v>3</v>
      </c>
      <c r="FG117" s="15" t="n">
        <v>4</v>
      </c>
      <c r="FH117" s="15" t="n">
        <v>5</v>
      </c>
      <c r="FI117" s="15" t="n">
        <v>6</v>
      </c>
      <c r="FJ117" s="15" t="n">
        <v>7</v>
      </c>
      <c r="FK117" s="15" t="n">
        <v>8</v>
      </c>
      <c r="FL117" s="15" t="n">
        <v>9</v>
      </c>
      <c r="FM117" s="15" t="n">
        <v>10</v>
      </c>
      <c r="FN117" s="15" t="n">
        <v>11</v>
      </c>
      <c r="FO117" s="15" t="n">
        <v>12</v>
      </c>
      <c r="FP117" s="15" t="n">
        <v>13</v>
      </c>
      <c r="FQ117" s="15" t="n">
        <v>14</v>
      </c>
      <c r="FR117" s="15" t="n">
        <v>15</v>
      </c>
      <c r="FY117" s="15" t="inlineStr">
        <is>
          <t>ND*ELT</t>
        </is>
      </c>
      <c r="FZ117" s="15" t="n">
        <v>1</v>
      </c>
      <c r="GA117" s="15" t="n">
        <v>2</v>
      </c>
      <c r="GB117" s="15" t="n">
        <v>3</v>
      </c>
      <c r="GC117" s="15" t="n">
        <v>4</v>
      </c>
      <c r="GD117" s="15" t="n">
        <v>5</v>
      </c>
      <c r="GE117" s="15" t="n">
        <v>6</v>
      </c>
      <c r="GF117" s="15" t="n">
        <v>7</v>
      </c>
      <c r="GG117" s="15" t="n">
        <v>8</v>
      </c>
      <c r="GH117" s="15" t="n">
        <v>9</v>
      </c>
      <c r="GI117" s="15" t="n">
        <v>10</v>
      </c>
      <c r="GJ117" s="15" t="n">
        <v>11</v>
      </c>
      <c r="GK117" s="15" t="n">
        <v>12</v>
      </c>
      <c r="GL117" s="15" t="n">
        <v>13</v>
      </c>
      <c r="GM117" s="15" t="n">
        <v>14</v>
      </c>
      <c r="GN117" s="15" t="n">
        <v>15</v>
      </c>
      <c r="GU117" s="15" t="inlineStr">
        <is>
          <t>ND*ELT</t>
        </is>
      </c>
      <c r="GV117" s="15" t="n">
        <v>1</v>
      </c>
      <c r="GW117" s="15" t="n">
        <v>2</v>
      </c>
      <c r="GX117" s="15" t="n">
        <v>3</v>
      </c>
      <c r="GY117" s="15" t="n">
        <v>4</v>
      </c>
      <c r="GZ117" s="15" t="n">
        <v>5</v>
      </c>
      <c r="HA117" s="15" t="n">
        <v>6</v>
      </c>
      <c r="HB117" s="15" t="n">
        <v>7</v>
      </c>
      <c r="HC117" s="15" t="n">
        <v>8</v>
      </c>
      <c r="HD117" s="15" t="n">
        <v>9</v>
      </c>
      <c r="HE117" s="15" t="n">
        <v>10</v>
      </c>
      <c r="HF117" s="15" t="n">
        <v>11</v>
      </c>
      <c r="HG117" s="15" t="n">
        <v>12</v>
      </c>
      <c r="HH117" s="15" t="n">
        <v>13</v>
      </c>
      <c r="HI117" s="15" t="n">
        <v>14</v>
      </c>
      <c r="HJ117" s="15" t="n">
        <v>15</v>
      </c>
    </row>
    <row r="118">
      <c r="C118" s="15" t="n">
        <v>1</v>
      </c>
      <c r="D118" s="15">
        <f>Suppliers_stock_balance!D236</f>
        <v/>
      </c>
      <c r="E118" s="15">
        <f>Suppliers_stock_balance!E236</f>
        <v/>
      </c>
      <c r="F118" s="15">
        <f>Suppliers_stock_balance!F236</f>
        <v/>
      </c>
      <c r="G118" s="15">
        <f>Suppliers_stock_balance!G236</f>
        <v/>
      </c>
      <c r="H118" s="15">
        <f>Suppliers_stock_balance!H236</f>
        <v/>
      </c>
      <c r="I118" s="15">
        <f>Suppliers_stock_balance!I236</f>
        <v/>
      </c>
      <c r="J118" s="15">
        <f>Suppliers_stock_balance!J236</f>
        <v/>
      </c>
      <c r="K118" s="15">
        <f>Suppliers_stock_balance!K236</f>
        <v/>
      </c>
      <c r="L118" s="15">
        <f>Suppliers_stock_balance!L236</f>
        <v/>
      </c>
      <c r="M118" s="15">
        <f>Suppliers_stock_balance!M236</f>
        <v/>
      </c>
      <c r="N118" s="15">
        <f>Suppliers_stock_balance!N236</f>
        <v/>
      </c>
      <c r="O118" s="15">
        <f>Suppliers_stock_balance!O236</f>
        <v/>
      </c>
      <c r="P118" s="15">
        <f>Suppliers_stock_balance!P236</f>
        <v/>
      </c>
      <c r="Q118" s="15">
        <f>Suppliers_stock_balance!Q236</f>
        <v/>
      </c>
      <c r="R118" s="15">
        <f>Suppliers_stock_balance!R236</f>
        <v/>
      </c>
      <c r="T118" s="39">
        <f>SUM(D118:R120)</f>
        <v/>
      </c>
      <c r="U118" s="39" t="n">
        <v>31928.90820000001</v>
      </c>
      <c r="V118" s="39">
        <f>T118-U118</f>
        <v/>
      </c>
      <c r="W118" s="39" t="n"/>
      <c r="X118" s="39" t="n"/>
      <c r="AA118" s="15" t="n">
        <v>1</v>
      </c>
      <c r="AB118" s="15" t="inlineStr"/>
      <c r="AC118" s="15" t="inlineStr"/>
      <c r="AD118" s="15" t="inlineStr"/>
      <c r="AE118" s="15" t="inlineStr"/>
      <c r="AF118" s="15" t="n">
        <v>690.6929999999998</v>
      </c>
      <c r="AG118" s="15" t="n">
        <v>1519.2927</v>
      </c>
      <c r="AH118" s="15" t="inlineStr"/>
      <c r="AI118" s="15" t="n">
        <v>2001.7585</v>
      </c>
      <c r="AJ118" s="15" t="n">
        <v>1267.9004</v>
      </c>
      <c r="AK118" s="15" t="inlineStr"/>
      <c r="AL118" s="15" t="n">
        <v>224.0472000000005</v>
      </c>
      <c r="AM118" s="15" t="inlineStr"/>
      <c r="AN118" s="15" t="n">
        <v>900.2030000000002</v>
      </c>
      <c r="AO118" s="15" t="n">
        <v>1266.7788</v>
      </c>
      <c r="AP118" s="15" t="n">
        <v>2455.242800000001</v>
      </c>
      <c r="AW118" s="15" t="n">
        <v>1</v>
      </c>
      <c r="AX118" s="15" t="inlineStr"/>
      <c r="AY118" s="15" t="inlineStr"/>
      <c r="AZ118" s="15" t="inlineStr"/>
      <c r="BA118" s="15" t="inlineStr"/>
      <c r="BB118" s="15" t="n">
        <v>690.6929999999998</v>
      </c>
      <c r="BC118" s="15" t="n">
        <v>1519.2927</v>
      </c>
      <c r="BD118" s="15" t="inlineStr"/>
      <c r="BE118" s="15" t="n">
        <v>2001.7585</v>
      </c>
      <c r="BF118" s="15" t="n">
        <v>1267.9004</v>
      </c>
      <c r="BG118" s="15" t="inlineStr"/>
      <c r="BH118" s="15" t="n">
        <v>224.0472000000005</v>
      </c>
      <c r="BI118" s="15" t="inlineStr"/>
      <c r="BJ118" s="15" t="n">
        <v>900.2030000000002</v>
      </c>
      <c r="BK118" s="15" t="n">
        <v>1266.7788</v>
      </c>
      <c r="BL118" s="15" t="n">
        <v>2455.242800000001</v>
      </c>
      <c r="BS118" s="15" t="n">
        <v>1</v>
      </c>
      <c r="BT118" s="15" t="inlineStr"/>
      <c r="BU118" s="15" t="inlineStr"/>
      <c r="BV118" s="15" t="inlineStr"/>
      <c r="BW118" s="15" t="inlineStr"/>
      <c r="BX118" s="15" t="n">
        <v>690.6929999999998</v>
      </c>
      <c r="BY118" s="15" t="n">
        <v>1519.2927</v>
      </c>
      <c r="BZ118" s="15" t="inlineStr"/>
      <c r="CA118" s="15" t="n">
        <v>2001.7585</v>
      </c>
      <c r="CB118" s="15" t="n">
        <v>1267.9004</v>
      </c>
      <c r="CC118" s="15" t="inlineStr"/>
      <c r="CD118" s="15" t="n">
        <v>224.0472000000005</v>
      </c>
      <c r="CE118" s="15" t="inlineStr"/>
      <c r="CF118" s="15" t="n">
        <v>900.2030000000002</v>
      </c>
      <c r="CG118" s="15" t="n">
        <v>1266.7788</v>
      </c>
      <c r="CH118" s="15" t="n">
        <v>2455.242800000001</v>
      </c>
      <c r="CO118" s="15" t="n">
        <v>1</v>
      </c>
      <c r="CP118" s="15" t="inlineStr"/>
      <c r="CQ118" s="15" t="inlineStr"/>
      <c r="CR118" s="15" t="inlineStr"/>
      <c r="CS118" s="15" t="inlineStr"/>
      <c r="CT118" s="15" t="n">
        <v>690.6929999999998</v>
      </c>
      <c r="CU118" s="15" t="n">
        <v>1519.2927</v>
      </c>
      <c r="CV118" s="15" t="inlineStr"/>
      <c r="CW118" s="15" t="n">
        <v>2001.7585</v>
      </c>
      <c r="CX118" s="15" t="n">
        <v>1267.9004</v>
      </c>
      <c r="CY118" s="15" t="inlineStr"/>
      <c r="CZ118" s="15" t="n">
        <v>224.0472000000005</v>
      </c>
      <c r="DA118" s="15" t="inlineStr"/>
      <c r="DB118" s="15" t="n">
        <v>900.2030000000002</v>
      </c>
      <c r="DC118" s="15" t="n">
        <v>1266.7788</v>
      </c>
      <c r="DD118" s="15" t="n">
        <v>2455.242800000001</v>
      </c>
      <c r="DK118" s="15" t="n">
        <v>1</v>
      </c>
      <c r="DL118" s="15" t="inlineStr"/>
      <c r="DM118" s="15" t="inlineStr"/>
      <c r="DN118" s="15" t="inlineStr"/>
      <c r="DO118" s="15" t="inlineStr"/>
      <c r="DP118" s="15" t="n">
        <v>690.6929999999998</v>
      </c>
      <c r="DQ118" s="15" t="n">
        <v>1519.2927</v>
      </c>
      <c r="DR118" s="15" t="inlineStr"/>
      <c r="DS118" s="15" t="n">
        <v>2001.7585</v>
      </c>
      <c r="DT118" s="15" t="n">
        <v>1267.9004</v>
      </c>
      <c r="DU118" s="15" t="inlineStr"/>
      <c r="DV118" s="15" t="n">
        <v>224.0472000000005</v>
      </c>
      <c r="DW118" s="15" t="inlineStr"/>
      <c r="DX118" s="15" t="n">
        <v>900.2030000000002</v>
      </c>
      <c r="DY118" s="15" t="n">
        <v>1266.7788</v>
      </c>
      <c r="DZ118" s="15" t="n">
        <v>2455.242800000001</v>
      </c>
      <c r="EG118" s="15" t="n">
        <v>1</v>
      </c>
      <c r="EH118" s="15" t="inlineStr"/>
      <c r="EI118" s="15" t="inlineStr"/>
      <c r="EJ118" s="15" t="inlineStr"/>
      <c r="EK118" s="15" t="inlineStr"/>
      <c r="EL118" s="15" t="n">
        <v>690.6929999999998</v>
      </c>
      <c r="EM118" s="15" t="n">
        <v>1519.2927</v>
      </c>
      <c r="EN118" s="15" t="inlineStr"/>
      <c r="EO118" s="15" t="n">
        <v>2001.7585</v>
      </c>
      <c r="EP118" s="15" t="n">
        <v>1267.9004</v>
      </c>
      <c r="EQ118" s="15" t="inlineStr"/>
      <c r="ER118" s="15" t="n">
        <v>224.0472000000005</v>
      </c>
      <c r="ES118" s="15" t="inlineStr"/>
      <c r="ET118" s="15" t="n">
        <v>900.2030000000002</v>
      </c>
      <c r="EU118" s="15" t="n">
        <v>1266.7788</v>
      </c>
      <c r="EV118" s="15" t="n">
        <v>2455.242800000001</v>
      </c>
      <c r="FC118" s="15" t="n">
        <v>1</v>
      </c>
      <c r="FD118" s="15" t="inlineStr"/>
      <c r="FE118" s="15" t="inlineStr"/>
      <c r="FF118" s="15" t="inlineStr"/>
      <c r="FG118" s="15" t="inlineStr"/>
      <c r="FH118" s="15" t="n">
        <v>690.6929999999998</v>
      </c>
      <c r="FI118" s="15" t="n">
        <v>1519.2927</v>
      </c>
      <c r="FJ118" s="15" t="inlineStr"/>
      <c r="FK118" s="15" t="n">
        <v>2001.7585</v>
      </c>
      <c r="FL118" s="15" t="n">
        <v>1267.9004</v>
      </c>
      <c r="FM118" s="15" t="inlineStr"/>
      <c r="FN118" s="15" t="n">
        <v>224.0472000000005</v>
      </c>
      <c r="FO118" s="15" t="inlineStr"/>
      <c r="FP118" s="15" t="n">
        <v>900.2030000000002</v>
      </c>
      <c r="FQ118" s="15" t="n">
        <v>1266.7788</v>
      </c>
      <c r="FR118" s="15" t="n">
        <v>2455.242800000001</v>
      </c>
      <c r="FY118" s="15" t="n">
        <v>1</v>
      </c>
      <c r="FZ118" s="15" t="inlineStr"/>
      <c r="GA118" s="15" t="inlineStr"/>
      <c r="GB118" s="15" t="inlineStr"/>
      <c r="GC118" s="15" t="inlineStr"/>
      <c r="GD118" s="15" t="n">
        <v>690.6929999999998</v>
      </c>
      <c r="GE118" s="15" t="n">
        <v>1519.2927</v>
      </c>
      <c r="GF118" s="15" t="inlineStr"/>
      <c r="GG118" s="15" t="n">
        <v>2001.7585</v>
      </c>
      <c r="GH118" s="15" t="n">
        <v>1267.9004</v>
      </c>
      <c r="GI118" s="15" t="inlineStr"/>
      <c r="GJ118" s="15" t="n">
        <v>224.0472000000005</v>
      </c>
      <c r="GK118" s="15" t="inlineStr"/>
      <c r="GL118" s="15" t="n">
        <v>900.2030000000002</v>
      </c>
      <c r="GM118" s="15" t="n">
        <v>1266.7788</v>
      </c>
      <c r="GN118" s="15" t="n">
        <v>2455.242800000001</v>
      </c>
      <c r="GU118" s="15" t="n">
        <v>1</v>
      </c>
      <c r="GV118" s="15" t="inlineStr"/>
      <c r="GW118" s="15" t="inlineStr"/>
      <c r="GX118" s="15" t="inlineStr"/>
      <c r="GY118" s="15" t="inlineStr"/>
      <c r="GZ118" s="15" t="n">
        <v>690.6929999999998</v>
      </c>
      <c r="HA118" s="15" t="n">
        <v>1519.2927</v>
      </c>
      <c r="HB118" s="15" t="inlineStr"/>
      <c r="HC118" s="15" t="n">
        <v>2001.7585</v>
      </c>
      <c r="HD118" s="15" t="n">
        <v>1267.9004</v>
      </c>
      <c r="HE118" s="15" t="inlineStr"/>
      <c r="HF118" s="15" t="n">
        <v>224.0472000000005</v>
      </c>
      <c r="HG118" s="15" t="inlineStr"/>
      <c r="HH118" s="15" t="n">
        <v>900.2030000000002</v>
      </c>
      <c r="HI118" s="15" t="n">
        <v>1266.7788</v>
      </c>
      <c r="HJ118" s="15" t="n">
        <v>2455.242800000001</v>
      </c>
    </row>
    <row r="119">
      <c r="C119" s="15" t="n">
        <v>2</v>
      </c>
      <c r="D119" s="15">
        <f>Suppliers_stock_balance!D237</f>
        <v/>
      </c>
      <c r="E119" s="15">
        <f>Suppliers_stock_balance!E237</f>
        <v/>
      </c>
      <c r="F119" s="15">
        <f>Suppliers_stock_balance!F237</f>
        <v/>
      </c>
      <c r="G119" s="15">
        <f>Suppliers_stock_balance!G237</f>
        <v/>
      </c>
      <c r="H119" s="15">
        <f>Suppliers_stock_balance!H237</f>
        <v/>
      </c>
      <c r="I119" s="15">
        <f>Suppliers_stock_balance!I237</f>
        <v/>
      </c>
      <c r="J119" s="15">
        <f>Suppliers_stock_balance!J237</f>
        <v/>
      </c>
      <c r="K119" s="15">
        <f>Suppliers_stock_balance!K237</f>
        <v/>
      </c>
      <c r="L119" s="15">
        <f>Suppliers_stock_balance!L237</f>
        <v/>
      </c>
      <c r="M119" s="15">
        <f>Suppliers_stock_balance!M237</f>
        <v/>
      </c>
      <c r="N119" s="15">
        <f>Suppliers_stock_balance!N237</f>
        <v/>
      </c>
      <c r="O119" s="15">
        <f>Suppliers_stock_balance!O237</f>
        <v/>
      </c>
      <c r="P119" s="15">
        <f>Suppliers_stock_balance!P237</f>
        <v/>
      </c>
      <c r="Q119" s="15">
        <f>Suppliers_stock_balance!Q237</f>
        <v/>
      </c>
      <c r="R119" s="15">
        <f>Suppliers_stock_balance!R237</f>
        <v/>
      </c>
      <c r="AA119" s="15" t="n">
        <v>2</v>
      </c>
      <c r="AB119" s="15" t="n">
        <v>921.2396999999997</v>
      </c>
      <c r="AC119" s="15" t="n">
        <v>959.4396000000003</v>
      </c>
      <c r="AD119" s="15" t="inlineStr"/>
      <c r="AE119" s="15" t="inlineStr"/>
      <c r="AF119" s="15" t="n">
        <v>418.6437</v>
      </c>
      <c r="AG119" s="15" t="n">
        <v>1173.304</v>
      </c>
      <c r="AH119" s="15" t="n">
        <v>74.41279999999962</v>
      </c>
      <c r="AI119" s="15" t="inlineStr"/>
      <c r="AJ119" s="15" t="inlineStr"/>
      <c r="AK119" s="15" t="n">
        <v>930.6016000000001</v>
      </c>
      <c r="AL119" s="15" t="inlineStr"/>
      <c r="AM119" s="15" t="n">
        <v>1160.4977</v>
      </c>
      <c r="AN119" s="15" t="n">
        <v>1198.2148</v>
      </c>
      <c r="AO119" s="15" t="n">
        <v>975.9360000000007</v>
      </c>
      <c r="AP119" s="15" t="n">
        <v>1174.2428</v>
      </c>
      <c r="AW119" s="15" t="n">
        <v>2</v>
      </c>
      <c r="AX119" s="15" t="n">
        <v>921.2396999999997</v>
      </c>
      <c r="AY119" s="15" t="n">
        <v>959.4396000000003</v>
      </c>
      <c r="AZ119" s="15" t="inlineStr"/>
      <c r="BA119" s="15" t="inlineStr"/>
      <c r="BB119" s="15" t="n">
        <v>418.6437</v>
      </c>
      <c r="BC119" s="15" t="n">
        <v>1173.304</v>
      </c>
      <c r="BD119" s="15" t="n">
        <v>74.41279999999962</v>
      </c>
      <c r="BE119" s="15" t="inlineStr"/>
      <c r="BF119" s="15" t="inlineStr"/>
      <c r="BG119" s="15" t="n">
        <v>930.6016000000001</v>
      </c>
      <c r="BH119" s="15" t="inlineStr"/>
      <c r="BI119" s="15" t="n">
        <v>1160.4977</v>
      </c>
      <c r="BJ119" s="15" t="n">
        <v>1198.2148</v>
      </c>
      <c r="BK119" s="15" t="n">
        <v>975.9360000000007</v>
      </c>
      <c r="BL119" s="15" t="n">
        <v>1174.2428</v>
      </c>
      <c r="BS119" s="15" t="n">
        <v>2</v>
      </c>
      <c r="BT119" s="15" t="n">
        <v>921.2396999999997</v>
      </c>
      <c r="BU119" s="15" t="n">
        <v>959.4396000000003</v>
      </c>
      <c r="BV119" s="15" t="inlineStr"/>
      <c r="BW119" s="15" t="inlineStr"/>
      <c r="BX119" s="15" t="n">
        <v>418.6437</v>
      </c>
      <c r="BY119" s="15" t="n">
        <v>1173.304</v>
      </c>
      <c r="BZ119" s="15" t="n">
        <v>74.41279999999962</v>
      </c>
      <c r="CA119" s="15" t="inlineStr"/>
      <c r="CB119" s="15" t="inlineStr"/>
      <c r="CC119" s="15" t="n">
        <v>930.6016000000001</v>
      </c>
      <c r="CD119" s="15" t="inlineStr"/>
      <c r="CE119" s="15" t="n">
        <v>1160.4977</v>
      </c>
      <c r="CF119" s="15" t="n">
        <v>1198.2148</v>
      </c>
      <c r="CG119" s="15" t="n">
        <v>975.9360000000007</v>
      </c>
      <c r="CH119" s="15" t="n">
        <v>1174.2428</v>
      </c>
      <c r="CO119" s="15" t="n">
        <v>2</v>
      </c>
      <c r="CP119" s="15" t="n">
        <v>921.2396999999997</v>
      </c>
      <c r="CQ119" s="15" t="n">
        <v>959.4396000000003</v>
      </c>
      <c r="CR119" s="15" t="inlineStr"/>
      <c r="CS119" s="15" t="inlineStr"/>
      <c r="CT119" s="15" t="n">
        <v>418.6437</v>
      </c>
      <c r="CU119" s="15" t="n">
        <v>1173.304</v>
      </c>
      <c r="CV119" s="15" t="n">
        <v>74.41279999999962</v>
      </c>
      <c r="CW119" s="15" t="inlineStr"/>
      <c r="CX119" s="15" t="inlineStr"/>
      <c r="CY119" s="15" t="n">
        <v>930.6016000000001</v>
      </c>
      <c r="CZ119" s="15" t="inlineStr"/>
      <c r="DA119" s="15" t="n">
        <v>1160.4977</v>
      </c>
      <c r="DB119" s="15" t="n">
        <v>1198.2148</v>
      </c>
      <c r="DC119" s="15" t="n">
        <v>975.9360000000007</v>
      </c>
      <c r="DD119" s="15" t="n">
        <v>1174.2428</v>
      </c>
      <c r="DK119" s="15" t="n">
        <v>2</v>
      </c>
      <c r="DL119" s="15" t="n">
        <v>921.2396999999997</v>
      </c>
      <c r="DM119" s="15" t="n">
        <v>959.4396000000003</v>
      </c>
      <c r="DN119" s="15" t="inlineStr"/>
      <c r="DO119" s="15" t="inlineStr"/>
      <c r="DP119" s="15" t="n">
        <v>418.6437</v>
      </c>
      <c r="DQ119" s="15" t="n">
        <v>1173.304</v>
      </c>
      <c r="DR119" s="15" t="n">
        <v>74.41279999999962</v>
      </c>
      <c r="DS119" s="15" t="inlineStr"/>
      <c r="DT119" s="15" t="inlineStr"/>
      <c r="DU119" s="15" t="n">
        <v>930.6016000000001</v>
      </c>
      <c r="DV119" s="15" t="inlineStr"/>
      <c r="DW119" s="15" t="n">
        <v>1160.4977</v>
      </c>
      <c r="DX119" s="15" t="n">
        <v>1198.2148</v>
      </c>
      <c r="DY119" s="15" t="n">
        <v>975.9360000000007</v>
      </c>
      <c r="DZ119" s="15" t="n">
        <v>1174.2428</v>
      </c>
      <c r="EG119" s="15" t="n">
        <v>2</v>
      </c>
      <c r="EH119" s="15" t="n">
        <v>921.2396999999997</v>
      </c>
      <c r="EI119" s="15" t="n">
        <v>959.4396000000003</v>
      </c>
      <c r="EJ119" s="15" t="inlineStr"/>
      <c r="EK119" s="15" t="inlineStr"/>
      <c r="EL119" s="15" t="n">
        <v>418.6437</v>
      </c>
      <c r="EM119" s="15" t="n">
        <v>1173.304</v>
      </c>
      <c r="EN119" s="15" t="n">
        <v>74.41279999999962</v>
      </c>
      <c r="EO119" s="15" t="inlineStr"/>
      <c r="EP119" s="15" t="inlineStr"/>
      <c r="EQ119" s="15" t="n">
        <v>930.6016000000001</v>
      </c>
      <c r="ER119" s="15" t="inlineStr"/>
      <c r="ES119" s="15" t="n">
        <v>1160.4977</v>
      </c>
      <c r="ET119" s="15" t="n">
        <v>1198.2148</v>
      </c>
      <c r="EU119" s="15" t="n">
        <v>975.9360000000007</v>
      </c>
      <c r="EV119" s="15" t="n">
        <v>1174.2428</v>
      </c>
      <c r="FC119" s="15" t="n">
        <v>2</v>
      </c>
      <c r="FD119" s="15" t="n">
        <v>921.2396999999997</v>
      </c>
      <c r="FE119" s="15" t="n">
        <v>959.4396000000003</v>
      </c>
      <c r="FF119" s="15" t="inlineStr"/>
      <c r="FG119" s="15" t="inlineStr"/>
      <c r="FH119" s="15" t="n">
        <v>418.6437</v>
      </c>
      <c r="FI119" s="15" t="n">
        <v>1173.304</v>
      </c>
      <c r="FJ119" s="15" t="n">
        <v>74.41279999999962</v>
      </c>
      <c r="FK119" s="15" t="inlineStr"/>
      <c r="FL119" s="15" t="inlineStr"/>
      <c r="FM119" s="15" t="n">
        <v>930.6016000000001</v>
      </c>
      <c r="FN119" s="15" t="inlineStr"/>
      <c r="FO119" s="15" t="n">
        <v>1160.4977</v>
      </c>
      <c r="FP119" s="15" t="n">
        <v>1198.2148</v>
      </c>
      <c r="FQ119" s="15" t="n">
        <v>975.9360000000007</v>
      </c>
      <c r="FR119" s="15" t="n">
        <v>1174.2428</v>
      </c>
      <c r="FY119" s="15" t="n">
        <v>2</v>
      </c>
      <c r="FZ119" s="15" t="n">
        <v>921.2396999999997</v>
      </c>
      <c r="GA119" s="15" t="n">
        <v>959.4396000000003</v>
      </c>
      <c r="GB119" s="15" t="inlineStr"/>
      <c r="GC119" s="15" t="inlineStr"/>
      <c r="GD119" s="15" t="n">
        <v>418.6437</v>
      </c>
      <c r="GE119" s="15" t="n">
        <v>1173.304</v>
      </c>
      <c r="GF119" s="15" t="n">
        <v>74.41279999999962</v>
      </c>
      <c r="GG119" s="15" t="inlineStr"/>
      <c r="GH119" s="15" t="inlineStr"/>
      <c r="GI119" s="15" t="n">
        <v>930.6016000000001</v>
      </c>
      <c r="GJ119" s="15" t="inlineStr"/>
      <c r="GK119" s="15" t="n">
        <v>1160.4977</v>
      </c>
      <c r="GL119" s="15" t="n">
        <v>1198.2148</v>
      </c>
      <c r="GM119" s="15" t="n">
        <v>975.9360000000007</v>
      </c>
      <c r="GN119" s="15" t="n">
        <v>1174.2428</v>
      </c>
      <c r="GU119" s="15" t="n">
        <v>2</v>
      </c>
      <c r="GV119" s="15" t="n">
        <v>921.2396999999997</v>
      </c>
      <c r="GW119" s="15" t="n">
        <v>959.4396000000003</v>
      </c>
      <c r="GX119" s="15" t="inlineStr"/>
      <c r="GY119" s="15" t="inlineStr"/>
      <c r="GZ119" s="15" t="n">
        <v>418.6437</v>
      </c>
      <c r="HA119" s="15" t="n">
        <v>1173.304</v>
      </c>
      <c r="HB119" s="15" t="n">
        <v>74.41279999999962</v>
      </c>
      <c r="HC119" s="15" t="inlineStr"/>
      <c r="HD119" s="15" t="inlineStr"/>
      <c r="HE119" s="15" t="n">
        <v>930.6016000000001</v>
      </c>
      <c r="HF119" s="15" t="inlineStr"/>
      <c r="HG119" s="15" t="n">
        <v>1160.4977</v>
      </c>
      <c r="HH119" s="15" t="n">
        <v>1198.2148</v>
      </c>
      <c r="HI119" s="15" t="n">
        <v>975.9360000000007</v>
      </c>
      <c r="HJ119" s="15" t="n">
        <v>1174.2428</v>
      </c>
    </row>
    <row r="120">
      <c r="C120" s="15" t="n">
        <v>3</v>
      </c>
      <c r="D120" s="15">
        <f>Suppliers_stock_balance!D238</f>
        <v/>
      </c>
      <c r="E120" s="15">
        <f>Suppliers_stock_balance!E238</f>
        <v/>
      </c>
      <c r="F120" s="15">
        <f>Suppliers_stock_balance!F238</f>
        <v/>
      </c>
      <c r="G120" s="15">
        <f>Suppliers_stock_balance!G238</f>
        <v/>
      </c>
      <c r="H120" s="15">
        <f>Suppliers_stock_balance!H238</f>
        <v/>
      </c>
      <c r="I120" s="15">
        <f>Suppliers_stock_balance!I238</f>
        <v/>
      </c>
      <c r="J120" s="15">
        <f>Suppliers_stock_balance!J238</f>
        <v/>
      </c>
      <c r="K120" s="15">
        <f>Suppliers_stock_balance!K238</f>
        <v/>
      </c>
      <c r="L120" s="15">
        <f>Suppliers_stock_balance!L238</f>
        <v/>
      </c>
      <c r="M120" s="15">
        <f>Suppliers_stock_balance!M238</f>
        <v/>
      </c>
      <c r="N120" s="15">
        <f>Suppliers_stock_balance!N238</f>
        <v/>
      </c>
      <c r="O120" s="15">
        <f>Suppliers_stock_balance!O238</f>
        <v/>
      </c>
      <c r="P120" s="15">
        <f>Suppliers_stock_balance!P238</f>
        <v/>
      </c>
      <c r="Q120" s="15">
        <f>Suppliers_stock_balance!Q238</f>
        <v/>
      </c>
      <c r="R120" s="15">
        <f>Suppliers_stock_balance!R238</f>
        <v/>
      </c>
      <c r="AA120" s="15" t="n">
        <v>3</v>
      </c>
      <c r="AB120" s="15" t="n">
        <v>3016.7346</v>
      </c>
      <c r="AC120" s="15" t="inlineStr"/>
      <c r="AD120" s="15" t="inlineStr"/>
      <c r="AE120" s="15" t="n">
        <v>1377.162600000001</v>
      </c>
      <c r="AF120" s="15" t="inlineStr"/>
      <c r="AG120" s="15" t="n">
        <v>3513.312</v>
      </c>
      <c r="AH120" s="15" t="n">
        <v>2190.3066</v>
      </c>
      <c r="AI120" s="15" t="inlineStr"/>
      <c r="AJ120" s="15" t="inlineStr"/>
      <c r="AK120" s="15" t="inlineStr"/>
      <c r="AL120" s="15" t="n">
        <v>1358.4375</v>
      </c>
      <c r="AM120" s="15" t="n">
        <v>155.7622000000002</v>
      </c>
      <c r="AN120" s="15" t="inlineStr"/>
      <c r="AO120" s="15" t="inlineStr"/>
      <c r="AP120" s="15" t="n">
        <v>1004.7436</v>
      </c>
      <c r="AW120" s="15" t="n">
        <v>3</v>
      </c>
      <c r="AX120" s="15" t="n">
        <v>3016.7346</v>
      </c>
      <c r="AY120" s="15" t="inlineStr"/>
      <c r="AZ120" s="15" t="inlineStr"/>
      <c r="BA120" s="15" t="n">
        <v>1377.162600000001</v>
      </c>
      <c r="BB120" s="15" t="inlineStr"/>
      <c r="BC120" s="15" t="n">
        <v>3513.312</v>
      </c>
      <c r="BD120" s="15" t="n">
        <v>2190.3066</v>
      </c>
      <c r="BE120" s="15" t="inlineStr"/>
      <c r="BF120" s="15" t="inlineStr"/>
      <c r="BG120" s="15" t="inlineStr"/>
      <c r="BH120" s="15" t="n">
        <v>1358.4375</v>
      </c>
      <c r="BI120" s="15" t="n">
        <v>155.7622000000002</v>
      </c>
      <c r="BJ120" s="15" t="inlineStr"/>
      <c r="BK120" s="15" t="inlineStr"/>
      <c r="BL120" s="15" t="n">
        <v>1004.7436</v>
      </c>
      <c r="BS120" s="15" t="n">
        <v>3</v>
      </c>
      <c r="BT120" s="15" t="n">
        <v>3016.7346</v>
      </c>
      <c r="BU120" s="15" t="inlineStr"/>
      <c r="BV120" s="15" t="inlineStr"/>
      <c r="BW120" s="15" t="n">
        <v>1377.162600000001</v>
      </c>
      <c r="BX120" s="15" t="inlineStr"/>
      <c r="BY120" s="15" t="n">
        <v>3513.312</v>
      </c>
      <c r="BZ120" s="15" t="n">
        <v>2190.3066</v>
      </c>
      <c r="CA120" s="15" t="inlineStr"/>
      <c r="CB120" s="15" t="inlineStr"/>
      <c r="CC120" s="15" t="inlineStr"/>
      <c r="CD120" s="15" t="n">
        <v>1358.4375</v>
      </c>
      <c r="CE120" s="15" t="n">
        <v>155.7622000000002</v>
      </c>
      <c r="CF120" s="15" t="inlineStr"/>
      <c r="CG120" s="15" t="inlineStr"/>
      <c r="CH120" s="15" t="n">
        <v>1004.7436</v>
      </c>
      <c r="CO120" s="15" t="n">
        <v>3</v>
      </c>
      <c r="CP120" s="15" t="n">
        <v>3016.7346</v>
      </c>
      <c r="CQ120" s="15" t="inlineStr"/>
      <c r="CR120" s="15" t="inlineStr"/>
      <c r="CS120" s="15" t="n">
        <v>1377.162600000001</v>
      </c>
      <c r="CT120" s="15" t="inlineStr"/>
      <c r="CU120" s="15" t="n">
        <v>3513.312</v>
      </c>
      <c r="CV120" s="15" t="n">
        <v>2190.3066</v>
      </c>
      <c r="CW120" s="15" t="inlineStr"/>
      <c r="CX120" s="15" t="inlineStr"/>
      <c r="CY120" s="15" t="inlineStr"/>
      <c r="CZ120" s="15" t="n">
        <v>1358.4375</v>
      </c>
      <c r="DA120" s="15" t="n">
        <v>155.7622000000002</v>
      </c>
      <c r="DB120" s="15" t="inlineStr"/>
      <c r="DC120" s="15" t="inlineStr"/>
      <c r="DD120" s="15" t="n">
        <v>1004.7436</v>
      </c>
      <c r="DK120" s="15" t="n">
        <v>3</v>
      </c>
      <c r="DL120" s="15" t="n">
        <v>3016.7346</v>
      </c>
      <c r="DM120" s="15" t="inlineStr"/>
      <c r="DN120" s="15" t="inlineStr"/>
      <c r="DO120" s="15" t="n">
        <v>1377.162600000001</v>
      </c>
      <c r="DP120" s="15" t="inlineStr"/>
      <c r="DQ120" s="15" t="n">
        <v>3513.312</v>
      </c>
      <c r="DR120" s="15" t="n">
        <v>2190.3066</v>
      </c>
      <c r="DS120" s="15" t="inlineStr"/>
      <c r="DT120" s="15" t="inlineStr"/>
      <c r="DU120" s="15" t="inlineStr"/>
      <c r="DV120" s="15" t="n">
        <v>1358.4375</v>
      </c>
      <c r="DW120" s="15" t="n">
        <v>155.7622000000002</v>
      </c>
      <c r="DX120" s="15" t="inlineStr"/>
      <c r="DY120" s="15" t="inlineStr"/>
      <c r="DZ120" s="15" t="n">
        <v>1004.7436</v>
      </c>
      <c r="EG120" s="15" t="n">
        <v>3</v>
      </c>
      <c r="EH120" s="15" t="n">
        <v>3016.7346</v>
      </c>
      <c r="EI120" s="15" t="inlineStr"/>
      <c r="EJ120" s="15" t="inlineStr"/>
      <c r="EK120" s="15" t="n">
        <v>1377.162600000001</v>
      </c>
      <c r="EL120" s="15" t="inlineStr"/>
      <c r="EM120" s="15" t="n">
        <v>3513.312</v>
      </c>
      <c r="EN120" s="15" t="n">
        <v>2190.3066</v>
      </c>
      <c r="EO120" s="15" t="inlineStr"/>
      <c r="EP120" s="15" t="inlineStr"/>
      <c r="EQ120" s="15" t="inlineStr"/>
      <c r="ER120" s="15" t="n">
        <v>1358.4375</v>
      </c>
      <c r="ES120" s="15" t="n">
        <v>155.7622000000002</v>
      </c>
      <c r="ET120" s="15" t="inlineStr"/>
      <c r="EU120" s="15" t="inlineStr"/>
      <c r="EV120" s="15" t="n">
        <v>1004.7436</v>
      </c>
      <c r="FC120" s="15" t="n">
        <v>3</v>
      </c>
      <c r="FD120" s="15" t="n">
        <v>3016.7346</v>
      </c>
      <c r="FE120" s="15" t="inlineStr"/>
      <c r="FF120" s="15" t="inlineStr"/>
      <c r="FG120" s="15" t="n">
        <v>1377.162600000001</v>
      </c>
      <c r="FH120" s="15" t="inlineStr"/>
      <c r="FI120" s="15" t="n">
        <v>3513.312</v>
      </c>
      <c r="FJ120" s="15" t="n">
        <v>2190.3066</v>
      </c>
      <c r="FK120" s="15" t="inlineStr"/>
      <c r="FL120" s="15" t="inlineStr"/>
      <c r="FM120" s="15" t="inlineStr"/>
      <c r="FN120" s="15" t="n">
        <v>1358.4375</v>
      </c>
      <c r="FO120" s="15" t="n">
        <v>155.7622000000002</v>
      </c>
      <c r="FP120" s="15" t="inlineStr"/>
      <c r="FQ120" s="15" t="inlineStr"/>
      <c r="FR120" s="15" t="n">
        <v>1004.7436</v>
      </c>
      <c r="FY120" s="15" t="n">
        <v>3</v>
      </c>
      <c r="FZ120" s="15" t="n">
        <v>3016.7346</v>
      </c>
      <c r="GA120" s="15" t="inlineStr"/>
      <c r="GB120" s="15" t="inlineStr"/>
      <c r="GC120" s="15" t="n">
        <v>1377.162600000001</v>
      </c>
      <c r="GD120" s="15" t="inlineStr"/>
      <c r="GE120" s="15" t="n">
        <v>3513.312</v>
      </c>
      <c r="GF120" s="15" t="n">
        <v>2190.3066</v>
      </c>
      <c r="GG120" s="15" t="inlineStr"/>
      <c r="GH120" s="15" t="inlineStr"/>
      <c r="GI120" s="15" t="inlineStr"/>
      <c r="GJ120" s="15" t="n">
        <v>1358.4375</v>
      </c>
      <c r="GK120" s="15" t="n">
        <v>155.7622000000002</v>
      </c>
      <c r="GL120" s="15" t="inlineStr"/>
      <c r="GM120" s="15" t="inlineStr"/>
      <c r="GN120" s="15" t="n">
        <v>1004.7436</v>
      </c>
      <c r="GU120" s="15" t="n">
        <v>3</v>
      </c>
      <c r="GV120" s="15" t="n">
        <v>3016.7346</v>
      </c>
      <c r="GW120" s="15" t="inlineStr"/>
      <c r="GX120" s="15" t="inlineStr"/>
      <c r="GY120" s="15" t="n">
        <v>1377.162600000001</v>
      </c>
      <c r="GZ120" s="15" t="inlineStr"/>
      <c r="HA120" s="15" t="n">
        <v>3513.312</v>
      </c>
      <c r="HB120" s="15" t="n">
        <v>2190.3066</v>
      </c>
      <c r="HC120" s="15" t="inlineStr"/>
      <c r="HD120" s="15" t="inlineStr"/>
      <c r="HE120" s="15" t="inlineStr"/>
      <c r="HF120" s="15" t="n">
        <v>1358.4375</v>
      </c>
      <c r="HG120" s="15" t="n">
        <v>155.7622000000002</v>
      </c>
      <c r="HH120" s="15" t="inlineStr"/>
      <c r="HI120" s="15" t="inlineStr"/>
      <c r="HJ120" s="15" t="n">
        <v>1004.7436</v>
      </c>
    </row>
    <row r="122">
      <c r="C122" s="15" t="inlineStr">
        <is>
          <t>Aleatória RLT</t>
        </is>
      </c>
      <c r="D122" s="15" t="n">
        <v>1</v>
      </c>
      <c r="E122" s="15" t="n">
        <v>2</v>
      </c>
      <c r="F122" s="15" t="n">
        <v>3</v>
      </c>
      <c r="G122" s="15" t="n">
        <v>4</v>
      </c>
      <c r="H122" s="15" t="n">
        <v>5</v>
      </c>
      <c r="I122" s="15" t="n">
        <v>6</v>
      </c>
      <c r="J122" s="15" t="n">
        <v>7</v>
      </c>
      <c r="K122" s="15" t="n">
        <v>8</v>
      </c>
      <c r="L122" s="15" t="n">
        <v>9</v>
      </c>
      <c r="M122" s="15" t="n">
        <v>10</v>
      </c>
      <c r="N122" s="15" t="n">
        <v>11</v>
      </c>
      <c r="O122" s="15" t="n">
        <v>12</v>
      </c>
      <c r="P122" s="15" t="n">
        <v>13</v>
      </c>
      <c r="Q122" s="15" t="n">
        <v>14</v>
      </c>
      <c r="R122" s="15" t="n">
        <v>15</v>
      </c>
      <c r="AA122" s="15" t="inlineStr">
        <is>
          <t>Aleatória RLT</t>
        </is>
      </c>
      <c r="AB122" s="15" t="n">
        <v>1</v>
      </c>
      <c r="AC122" s="15" t="n">
        <v>2</v>
      </c>
      <c r="AD122" s="15" t="n">
        <v>3</v>
      </c>
      <c r="AE122" s="15" t="n">
        <v>4</v>
      </c>
      <c r="AF122" s="15" t="n">
        <v>5</v>
      </c>
      <c r="AG122" s="15" t="n">
        <v>6</v>
      </c>
      <c r="AH122" s="15" t="n">
        <v>7</v>
      </c>
      <c r="AI122" s="15" t="n">
        <v>8</v>
      </c>
      <c r="AJ122" s="15" t="n">
        <v>9</v>
      </c>
      <c r="AK122" s="15" t="n">
        <v>10</v>
      </c>
      <c r="AL122" s="15" t="n">
        <v>11</v>
      </c>
      <c r="AM122" s="15" t="n">
        <v>12</v>
      </c>
      <c r="AN122" s="15" t="n">
        <v>13</v>
      </c>
      <c r="AO122" s="15" t="n">
        <v>14</v>
      </c>
      <c r="AP122" s="15" t="n">
        <v>15</v>
      </c>
      <c r="AW122" s="15" t="inlineStr">
        <is>
          <t>Aleatória RLT</t>
        </is>
      </c>
      <c r="AX122" s="15" t="n">
        <v>1</v>
      </c>
      <c r="AY122" s="15" t="n">
        <v>2</v>
      </c>
      <c r="AZ122" s="15" t="n">
        <v>3</v>
      </c>
      <c r="BA122" s="15" t="n">
        <v>4</v>
      </c>
      <c r="BB122" s="15" t="n">
        <v>5</v>
      </c>
      <c r="BC122" s="15" t="n">
        <v>6</v>
      </c>
      <c r="BD122" s="15" t="n">
        <v>7</v>
      </c>
      <c r="BE122" s="15" t="n">
        <v>8</v>
      </c>
      <c r="BF122" s="15" t="n">
        <v>9</v>
      </c>
      <c r="BG122" s="15" t="n">
        <v>10</v>
      </c>
      <c r="BH122" s="15" t="n">
        <v>11</v>
      </c>
      <c r="BI122" s="15" t="n">
        <v>12</v>
      </c>
      <c r="BJ122" s="15" t="n">
        <v>13</v>
      </c>
      <c r="BK122" s="15" t="n">
        <v>14</v>
      </c>
      <c r="BL122" s="15" t="n">
        <v>15</v>
      </c>
      <c r="BS122" s="15" t="inlineStr">
        <is>
          <t>Aleatória RLT</t>
        </is>
      </c>
      <c r="BT122" s="15" t="n">
        <v>1</v>
      </c>
      <c r="BU122" s="15" t="n">
        <v>2</v>
      </c>
      <c r="BV122" s="15" t="n">
        <v>3</v>
      </c>
      <c r="BW122" s="15" t="n">
        <v>4</v>
      </c>
      <c r="BX122" s="15" t="n">
        <v>5</v>
      </c>
      <c r="BY122" s="15" t="n">
        <v>6</v>
      </c>
      <c r="BZ122" s="15" t="n">
        <v>7</v>
      </c>
      <c r="CA122" s="15" t="n">
        <v>8</v>
      </c>
      <c r="CB122" s="15" t="n">
        <v>9</v>
      </c>
      <c r="CC122" s="15" t="n">
        <v>10</v>
      </c>
      <c r="CD122" s="15" t="n">
        <v>11</v>
      </c>
      <c r="CE122" s="15" t="n">
        <v>12</v>
      </c>
      <c r="CF122" s="15" t="n">
        <v>13</v>
      </c>
      <c r="CG122" s="15" t="n">
        <v>14</v>
      </c>
      <c r="CH122" s="15" t="n">
        <v>15</v>
      </c>
      <c r="CO122" s="15" t="inlineStr">
        <is>
          <t>Aleatória RLT</t>
        </is>
      </c>
      <c r="CP122" s="15" t="n">
        <v>1</v>
      </c>
      <c r="CQ122" s="15" t="n">
        <v>2</v>
      </c>
      <c r="CR122" s="15" t="n">
        <v>3</v>
      </c>
      <c r="CS122" s="15" t="n">
        <v>4</v>
      </c>
      <c r="CT122" s="15" t="n">
        <v>5</v>
      </c>
      <c r="CU122" s="15" t="n">
        <v>6</v>
      </c>
      <c r="CV122" s="15" t="n">
        <v>7</v>
      </c>
      <c r="CW122" s="15" t="n">
        <v>8</v>
      </c>
      <c r="CX122" s="15" t="n">
        <v>9</v>
      </c>
      <c r="CY122" s="15" t="n">
        <v>10</v>
      </c>
      <c r="CZ122" s="15" t="n">
        <v>11</v>
      </c>
      <c r="DA122" s="15" t="n">
        <v>12</v>
      </c>
      <c r="DB122" s="15" t="n">
        <v>13</v>
      </c>
      <c r="DC122" s="15" t="n">
        <v>14</v>
      </c>
      <c r="DD122" s="15" t="n">
        <v>15</v>
      </c>
      <c r="DK122" s="15" t="inlineStr">
        <is>
          <t>Aleatória RLT</t>
        </is>
      </c>
      <c r="DL122" s="15" t="n">
        <v>1</v>
      </c>
      <c r="DM122" s="15" t="n">
        <v>2</v>
      </c>
      <c r="DN122" s="15" t="n">
        <v>3</v>
      </c>
      <c r="DO122" s="15" t="n">
        <v>4</v>
      </c>
      <c r="DP122" s="15" t="n">
        <v>5</v>
      </c>
      <c r="DQ122" s="15" t="n">
        <v>6</v>
      </c>
      <c r="DR122" s="15" t="n">
        <v>7</v>
      </c>
      <c r="DS122" s="15" t="n">
        <v>8</v>
      </c>
      <c r="DT122" s="15" t="n">
        <v>9</v>
      </c>
      <c r="DU122" s="15" t="n">
        <v>10</v>
      </c>
      <c r="DV122" s="15" t="n">
        <v>11</v>
      </c>
      <c r="DW122" s="15" t="n">
        <v>12</v>
      </c>
      <c r="DX122" s="15" t="n">
        <v>13</v>
      </c>
      <c r="DY122" s="15" t="n">
        <v>14</v>
      </c>
      <c r="DZ122" s="15" t="n">
        <v>15</v>
      </c>
      <c r="EG122" s="15" t="inlineStr">
        <is>
          <t>Aleatória RLT</t>
        </is>
      </c>
      <c r="EH122" s="15" t="n">
        <v>1</v>
      </c>
      <c r="EI122" s="15" t="n">
        <v>2</v>
      </c>
      <c r="EJ122" s="15" t="n">
        <v>3</v>
      </c>
      <c r="EK122" s="15" t="n">
        <v>4</v>
      </c>
      <c r="EL122" s="15" t="n">
        <v>5</v>
      </c>
      <c r="EM122" s="15" t="n">
        <v>6</v>
      </c>
      <c r="EN122" s="15" t="n">
        <v>7</v>
      </c>
      <c r="EO122" s="15" t="n">
        <v>8</v>
      </c>
      <c r="EP122" s="15" t="n">
        <v>9</v>
      </c>
      <c r="EQ122" s="15" t="n">
        <v>10</v>
      </c>
      <c r="ER122" s="15" t="n">
        <v>11</v>
      </c>
      <c r="ES122" s="15" t="n">
        <v>12</v>
      </c>
      <c r="ET122" s="15" t="n">
        <v>13</v>
      </c>
      <c r="EU122" s="15" t="n">
        <v>14</v>
      </c>
      <c r="EV122" s="15" t="n">
        <v>15</v>
      </c>
      <c r="FC122" s="15" t="inlineStr">
        <is>
          <t>Aleatória RLT</t>
        </is>
      </c>
      <c r="FD122" s="15" t="n">
        <v>1</v>
      </c>
      <c r="FE122" s="15" t="n">
        <v>2</v>
      </c>
      <c r="FF122" s="15" t="n">
        <v>3</v>
      </c>
      <c r="FG122" s="15" t="n">
        <v>4</v>
      </c>
      <c r="FH122" s="15" t="n">
        <v>5</v>
      </c>
      <c r="FI122" s="15" t="n">
        <v>6</v>
      </c>
      <c r="FJ122" s="15" t="n">
        <v>7</v>
      </c>
      <c r="FK122" s="15" t="n">
        <v>8</v>
      </c>
      <c r="FL122" s="15" t="n">
        <v>9</v>
      </c>
      <c r="FM122" s="15" t="n">
        <v>10</v>
      </c>
      <c r="FN122" s="15" t="n">
        <v>11</v>
      </c>
      <c r="FO122" s="15" t="n">
        <v>12</v>
      </c>
      <c r="FP122" s="15" t="n">
        <v>13</v>
      </c>
      <c r="FQ122" s="15" t="n">
        <v>14</v>
      </c>
      <c r="FR122" s="15" t="n">
        <v>15</v>
      </c>
      <c r="FY122" s="15" t="inlineStr">
        <is>
          <t>Aleatória RLT</t>
        </is>
      </c>
      <c r="FZ122" s="15" t="n">
        <v>1</v>
      </c>
      <c r="GA122" s="15" t="n">
        <v>2</v>
      </c>
      <c r="GB122" s="15" t="n">
        <v>3</v>
      </c>
      <c r="GC122" s="15" t="n">
        <v>4</v>
      </c>
      <c r="GD122" s="15" t="n">
        <v>5</v>
      </c>
      <c r="GE122" s="15" t="n">
        <v>6</v>
      </c>
      <c r="GF122" s="15" t="n">
        <v>7</v>
      </c>
      <c r="GG122" s="15" t="n">
        <v>8</v>
      </c>
      <c r="GH122" s="15" t="n">
        <v>9</v>
      </c>
      <c r="GI122" s="15" t="n">
        <v>10</v>
      </c>
      <c r="GJ122" s="15" t="n">
        <v>11</v>
      </c>
      <c r="GK122" s="15" t="n">
        <v>12</v>
      </c>
      <c r="GL122" s="15" t="n">
        <v>13</v>
      </c>
      <c r="GM122" s="15" t="n">
        <v>14</v>
      </c>
      <c r="GN122" s="15" t="n">
        <v>15</v>
      </c>
      <c r="GU122" s="15" t="inlineStr">
        <is>
          <t>Aleatória RLT</t>
        </is>
      </c>
      <c r="GV122" s="15" t="n">
        <v>1</v>
      </c>
      <c r="GW122" s="15" t="n">
        <v>2</v>
      </c>
      <c r="GX122" s="15" t="n">
        <v>3</v>
      </c>
      <c r="GY122" s="15" t="n">
        <v>4</v>
      </c>
      <c r="GZ122" s="15" t="n">
        <v>5</v>
      </c>
      <c r="HA122" s="15" t="n">
        <v>6</v>
      </c>
      <c r="HB122" s="15" t="n">
        <v>7</v>
      </c>
      <c r="HC122" s="15" t="n">
        <v>8</v>
      </c>
      <c r="HD122" s="15" t="n">
        <v>9</v>
      </c>
      <c r="HE122" s="15" t="n">
        <v>10</v>
      </c>
      <c r="HF122" s="15" t="n">
        <v>11</v>
      </c>
      <c r="HG122" s="15" t="n">
        <v>12</v>
      </c>
      <c r="HH122" s="15" t="n">
        <v>13</v>
      </c>
      <c r="HI122" s="15" t="n">
        <v>14</v>
      </c>
      <c r="HJ122" s="15" t="n">
        <v>15</v>
      </c>
    </row>
    <row r="123">
      <c r="C123" s="15" t="n">
        <v>1</v>
      </c>
      <c r="D123" s="15">
        <f>D48+D98*D68</f>
        <v/>
      </c>
      <c r="E123" s="15">
        <f>E48+E98*E68</f>
        <v/>
      </c>
      <c r="F123" s="15">
        <f>F48+F98*F68</f>
        <v/>
      </c>
      <c r="G123" s="15">
        <f>G48+G98*G68</f>
        <v/>
      </c>
      <c r="H123" s="15">
        <f>H48+H98*H68</f>
        <v/>
      </c>
      <c r="I123" s="15">
        <f>I48+I98*I68</f>
        <v/>
      </c>
      <c r="J123" s="15">
        <f>J48+J98*J68</f>
        <v/>
      </c>
      <c r="K123" s="15">
        <f>K48+K98*K68</f>
        <v/>
      </c>
      <c r="L123" s="15">
        <f>L48+L98*L68</f>
        <v/>
      </c>
      <c r="M123" s="15">
        <f>M48+M98*M68</f>
        <v/>
      </c>
      <c r="N123" s="15">
        <f>N48+N98*N68</f>
        <v/>
      </c>
      <c r="O123" s="15">
        <f>O48+O98*O68</f>
        <v/>
      </c>
      <c r="P123" s="15">
        <f>P48+P98*P68</f>
        <v/>
      </c>
      <c r="Q123" s="15">
        <f>Q48+Q98*Q68</f>
        <v/>
      </c>
      <c r="R123" s="15">
        <f>R48+R98*R68</f>
        <v/>
      </c>
      <c r="T123" s="39">
        <f>SUM(D123:R125)</f>
        <v/>
      </c>
      <c r="U123" s="39" t="n">
        <v>716.8125349244857</v>
      </c>
      <c r="V123" s="39">
        <f>T123-U123</f>
        <v/>
      </c>
      <c r="W123" s="39" t="n"/>
      <c r="X123" s="39" t="n"/>
      <c r="AA123" s="15" t="n">
        <v>1</v>
      </c>
      <c r="AB123" s="15" t="n">
        <v>10.4847</v>
      </c>
      <c r="AC123" s="15" t="n">
        <v>16.5541</v>
      </c>
      <c r="AD123" s="15" t="n">
        <v>16.41</v>
      </c>
      <c r="AE123" s="15" t="n">
        <v>19.6277</v>
      </c>
      <c r="AF123" s="15" t="n">
        <v>16.32733662794971</v>
      </c>
      <c r="AG123" s="15" t="n">
        <v>15.8423402161258</v>
      </c>
      <c r="AH123" s="15" t="n">
        <v>11.2615</v>
      </c>
      <c r="AI123" s="15" t="n">
        <v>15.98639271246453</v>
      </c>
      <c r="AJ123" s="15" t="n">
        <v>13.8409554815438</v>
      </c>
      <c r="AK123" s="15" t="n">
        <v>12.704</v>
      </c>
      <c r="AL123" s="15" t="n">
        <v>13.36</v>
      </c>
      <c r="AM123" s="15" t="n">
        <v>14.8452</v>
      </c>
      <c r="AN123" s="15" t="n">
        <v>16.11852849055807</v>
      </c>
      <c r="AO123" s="15" t="n">
        <v>15.79643256044834</v>
      </c>
      <c r="AP123" s="15" t="n">
        <v>17.7406974828119</v>
      </c>
      <c r="AW123" s="15" t="n">
        <v>1</v>
      </c>
      <c r="AX123" s="15" t="n">
        <v>10.4847</v>
      </c>
      <c r="AY123" s="15" t="n">
        <v>16.5541</v>
      </c>
      <c r="AZ123" s="15" t="n">
        <v>16.41</v>
      </c>
      <c r="BA123" s="15" t="n">
        <v>19.6277</v>
      </c>
      <c r="BB123" s="15" t="n">
        <v>15.05466096133207</v>
      </c>
      <c r="BC123" s="15" t="n">
        <v>14.57007305103505</v>
      </c>
      <c r="BD123" s="15" t="n">
        <v>11.2615</v>
      </c>
      <c r="BE123" s="15" t="n">
        <v>14.71151995687567</v>
      </c>
      <c r="BF123" s="15" t="n">
        <v>12.74580413833821</v>
      </c>
      <c r="BG123" s="15" t="n">
        <v>12.704</v>
      </c>
      <c r="BH123" s="15" t="n">
        <v>13.36</v>
      </c>
      <c r="BI123" s="15" t="n">
        <v>14.8452</v>
      </c>
      <c r="BJ123" s="15" t="n">
        <v>14.85222370679638</v>
      </c>
      <c r="BK123" s="15" t="n">
        <v>14.53843593177337</v>
      </c>
      <c r="BL123" s="15" t="n">
        <v>16.32983644574083</v>
      </c>
      <c r="BS123" s="15" t="n">
        <v>1</v>
      </c>
      <c r="BT123" s="15" t="n">
        <v>10.4847</v>
      </c>
      <c r="BU123" s="15" t="n">
        <v>16.5541</v>
      </c>
      <c r="BV123" s="15" t="n">
        <v>16.41</v>
      </c>
      <c r="BW123" s="15" t="n">
        <v>19.6277</v>
      </c>
      <c r="BX123" s="15" t="n">
        <v>14.79000000044703</v>
      </c>
      <c r="BY123" s="15" t="n">
        <v>14.31</v>
      </c>
      <c r="BZ123" s="15" t="n">
        <v>11.2615</v>
      </c>
      <c r="CA123" s="15" t="n">
        <v>14.45000000040226</v>
      </c>
      <c r="CB123" s="15" t="n">
        <v>12.51999999970367</v>
      </c>
      <c r="CC123" s="15" t="n">
        <v>12.704</v>
      </c>
      <c r="CD123" s="15" t="n">
        <v>13.36</v>
      </c>
      <c r="CE123" s="15" t="n">
        <v>14.8452</v>
      </c>
      <c r="CF123" s="15" t="n">
        <v>14.58999999984899</v>
      </c>
      <c r="CG123" s="15" t="n">
        <v>14.28</v>
      </c>
      <c r="CH123" s="15" t="n">
        <v>16.04000000042319</v>
      </c>
      <c r="CO123" s="15" t="n">
        <v>1</v>
      </c>
      <c r="CP123" s="15" t="n">
        <v>10.4847</v>
      </c>
      <c r="CQ123" s="15" t="n">
        <v>16.5541</v>
      </c>
      <c r="CR123" s="15" t="n">
        <v>16.41</v>
      </c>
      <c r="CS123" s="15" t="n">
        <v>19.6277</v>
      </c>
      <c r="CT123" s="15" t="n">
        <v>16.32733662794971</v>
      </c>
      <c r="CU123" s="15" t="n">
        <v>15.8423402161258</v>
      </c>
      <c r="CV123" s="15" t="n">
        <v>11.2615</v>
      </c>
      <c r="CW123" s="15" t="n">
        <v>15.98639271246453</v>
      </c>
      <c r="CX123" s="15" t="n">
        <v>13.8409554815438</v>
      </c>
      <c r="CY123" s="15" t="n">
        <v>12.704</v>
      </c>
      <c r="CZ123" s="15" t="n">
        <v>13.36</v>
      </c>
      <c r="DA123" s="15" t="n">
        <v>14.8452</v>
      </c>
      <c r="DB123" s="15" t="n">
        <v>16.11852849055807</v>
      </c>
      <c r="DC123" s="15" t="n">
        <v>15.79643256044834</v>
      </c>
      <c r="DD123" s="15" t="n">
        <v>17.7406974828119</v>
      </c>
      <c r="DK123" s="15" t="n">
        <v>1</v>
      </c>
      <c r="DL123" s="15" t="n">
        <v>10.4847</v>
      </c>
      <c r="DM123" s="15" t="n">
        <v>16.5541</v>
      </c>
      <c r="DN123" s="15" t="n">
        <v>16.41</v>
      </c>
      <c r="DO123" s="15" t="n">
        <v>19.6277</v>
      </c>
      <c r="DP123" s="15" t="n">
        <v>15.05466096133206</v>
      </c>
      <c r="DQ123" s="15" t="n">
        <v>14.57007305103505</v>
      </c>
      <c r="DR123" s="15" t="n">
        <v>11.2615</v>
      </c>
      <c r="DS123" s="15" t="n">
        <v>14.71151995687567</v>
      </c>
      <c r="DT123" s="15" t="n">
        <v>12.74580413833821</v>
      </c>
      <c r="DU123" s="15" t="n">
        <v>12.704</v>
      </c>
      <c r="DV123" s="15" t="n">
        <v>13.36</v>
      </c>
      <c r="DW123" s="15" t="n">
        <v>14.8452</v>
      </c>
      <c r="DX123" s="15" t="n">
        <v>14.85222370679638</v>
      </c>
      <c r="DY123" s="15" t="n">
        <v>14.53843593177337</v>
      </c>
      <c r="DZ123" s="15" t="n">
        <v>16.32983644574083</v>
      </c>
      <c r="EG123" s="15" t="n">
        <v>1</v>
      </c>
      <c r="EH123" s="15" t="n">
        <v>10.4847</v>
      </c>
      <c r="EI123" s="15" t="n">
        <v>16.5541</v>
      </c>
      <c r="EJ123" s="15" t="n">
        <v>16.41</v>
      </c>
      <c r="EK123" s="15" t="n">
        <v>19.6277</v>
      </c>
      <c r="EL123" s="15" t="n">
        <v>14.79000000044703</v>
      </c>
      <c r="EM123" s="15" t="n">
        <v>14.31</v>
      </c>
      <c r="EN123" s="15" t="n">
        <v>11.2615</v>
      </c>
      <c r="EO123" s="15" t="n">
        <v>14.45000000040226</v>
      </c>
      <c r="EP123" s="15" t="n">
        <v>12.51999999970367</v>
      </c>
      <c r="EQ123" s="15" t="n">
        <v>12.704</v>
      </c>
      <c r="ER123" s="15" t="n">
        <v>13.36</v>
      </c>
      <c r="ES123" s="15" t="n">
        <v>14.8452</v>
      </c>
      <c r="ET123" s="15" t="n">
        <v>14.58999999984899</v>
      </c>
      <c r="EU123" s="15" t="n">
        <v>14.28</v>
      </c>
      <c r="EV123" s="15" t="n">
        <v>16.04000000042319</v>
      </c>
      <c r="FC123" s="15" t="n">
        <v>1</v>
      </c>
      <c r="FD123" s="15" t="n">
        <v>10.4847</v>
      </c>
      <c r="FE123" s="15" t="n">
        <v>16.5541</v>
      </c>
      <c r="FF123" s="15" t="n">
        <v>16.41</v>
      </c>
      <c r="FG123" s="15" t="n">
        <v>19.6277</v>
      </c>
      <c r="FH123" s="15" t="n">
        <v>16.32733662794971</v>
      </c>
      <c r="FI123" s="15" t="n">
        <v>15.8423402161258</v>
      </c>
      <c r="FJ123" s="15" t="n">
        <v>11.2615</v>
      </c>
      <c r="FK123" s="15" t="n">
        <v>15.98639271246453</v>
      </c>
      <c r="FL123" s="15" t="n">
        <v>13.8409554815438</v>
      </c>
      <c r="FM123" s="15" t="n">
        <v>12.704</v>
      </c>
      <c r="FN123" s="15" t="n">
        <v>13.36</v>
      </c>
      <c r="FO123" s="15" t="n">
        <v>14.8452</v>
      </c>
      <c r="FP123" s="15" t="n">
        <v>16.11852849055807</v>
      </c>
      <c r="FQ123" s="15" t="n">
        <v>15.79643256044834</v>
      </c>
      <c r="FR123" s="15" t="n">
        <v>17.7406974828119</v>
      </c>
      <c r="FY123" s="15" t="n">
        <v>1</v>
      </c>
      <c r="FZ123" s="15" t="n">
        <v>10.4847</v>
      </c>
      <c r="GA123" s="15" t="n">
        <v>16.5541</v>
      </c>
      <c r="GB123" s="15" t="n">
        <v>16.41</v>
      </c>
      <c r="GC123" s="15" t="n">
        <v>19.6277</v>
      </c>
      <c r="GD123" s="15" t="n">
        <v>15.05466096133206</v>
      </c>
      <c r="GE123" s="15" t="n">
        <v>14.57007305103505</v>
      </c>
      <c r="GF123" s="15" t="n">
        <v>11.2615</v>
      </c>
      <c r="GG123" s="15" t="n">
        <v>14.71151995687567</v>
      </c>
      <c r="GH123" s="15" t="n">
        <v>12.74580413833821</v>
      </c>
      <c r="GI123" s="15" t="n">
        <v>12.704</v>
      </c>
      <c r="GJ123" s="15" t="n">
        <v>13.36</v>
      </c>
      <c r="GK123" s="15" t="n">
        <v>14.8452</v>
      </c>
      <c r="GL123" s="15" t="n">
        <v>14.85222370679638</v>
      </c>
      <c r="GM123" s="15" t="n">
        <v>14.53843593177337</v>
      </c>
      <c r="GN123" s="15" t="n">
        <v>16.32983644574083</v>
      </c>
      <c r="GU123" s="15" t="n">
        <v>1</v>
      </c>
      <c r="GV123" s="15" t="n">
        <v>10.4847</v>
      </c>
      <c r="GW123" s="15" t="n">
        <v>16.5541</v>
      </c>
      <c r="GX123" s="15" t="n">
        <v>16.41</v>
      </c>
      <c r="GY123" s="15" t="n">
        <v>19.6277</v>
      </c>
      <c r="GZ123" s="15" t="n">
        <v>14.79000000044703</v>
      </c>
      <c r="HA123" s="15" t="n">
        <v>14.31</v>
      </c>
      <c r="HB123" s="15" t="n">
        <v>11.2615</v>
      </c>
      <c r="HC123" s="15" t="n">
        <v>14.45000000040226</v>
      </c>
      <c r="HD123" s="15" t="n">
        <v>12.51999999970367</v>
      </c>
      <c r="HE123" s="15" t="n">
        <v>12.704</v>
      </c>
      <c r="HF123" s="15" t="n">
        <v>13.36</v>
      </c>
      <c r="HG123" s="15" t="n">
        <v>14.8452</v>
      </c>
      <c r="HH123" s="15" t="n">
        <v>14.58999999984899</v>
      </c>
      <c r="HI123" s="15" t="n">
        <v>14.28</v>
      </c>
      <c r="HJ123" s="15" t="n">
        <v>16.04000000042319</v>
      </c>
    </row>
    <row r="124">
      <c r="C124" s="15" t="n">
        <v>2</v>
      </c>
      <c r="D124" s="15">
        <f>D49+D99*D69</f>
        <v/>
      </c>
      <c r="E124" s="15">
        <f>E49+E99*E69</f>
        <v/>
      </c>
      <c r="F124" s="15">
        <f>F49+F99*F69</f>
        <v/>
      </c>
      <c r="G124" s="15">
        <f>G49+G99*G69</f>
        <v/>
      </c>
      <c r="H124" s="15">
        <f>H49+H99*H69</f>
        <v/>
      </c>
      <c r="I124" s="15">
        <f>I49+I99*I69</f>
        <v/>
      </c>
      <c r="J124" s="15">
        <f>J49+J99*J69</f>
        <v/>
      </c>
      <c r="K124" s="15">
        <f>K49+K99*K69</f>
        <v/>
      </c>
      <c r="L124" s="15">
        <f>L49+L99*L69</f>
        <v/>
      </c>
      <c r="M124" s="15">
        <f>M49+M99*M69</f>
        <v/>
      </c>
      <c r="N124" s="15">
        <f>N49+N99*N69</f>
        <v/>
      </c>
      <c r="O124" s="15">
        <f>O49+O99*O69</f>
        <v/>
      </c>
      <c r="P124" s="15">
        <f>P49+P99*P69</f>
        <v/>
      </c>
      <c r="Q124" s="15">
        <f>Q49+Q99*Q69</f>
        <v/>
      </c>
      <c r="R124" s="15">
        <f>R49+R99*R69</f>
        <v/>
      </c>
      <c r="AA124" s="15" t="n">
        <v>2</v>
      </c>
      <c r="AB124" s="15" t="n">
        <v>14.48334505521335</v>
      </c>
      <c r="AC124" s="15" t="n">
        <v>19.48410661082915</v>
      </c>
      <c r="AD124" s="15" t="n">
        <v>12.9259</v>
      </c>
      <c r="AE124" s="15" t="n">
        <v>22.2572</v>
      </c>
      <c r="AF124" s="15" t="n">
        <v>11.73</v>
      </c>
      <c r="AG124" s="15" t="n">
        <v>17.58325308336727</v>
      </c>
      <c r="AH124" s="15" t="n">
        <v>12.08</v>
      </c>
      <c r="AI124" s="15" t="n">
        <v>17.6748</v>
      </c>
      <c r="AJ124" s="15" t="n">
        <v>11.9829</v>
      </c>
      <c r="AK124" s="15" t="n">
        <v>14.50097208841509</v>
      </c>
      <c r="AL124" s="15" t="n">
        <v>13.8026</v>
      </c>
      <c r="AM124" s="15" t="n">
        <v>17.35336536083924</v>
      </c>
      <c r="AN124" s="15" t="n">
        <v>21.5189317039198</v>
      </c>
      <c r="AO124" s="15" t="n">
        <v>19.80645502777283</v>
      </c>
      <c r="AP124" s="15" t="n">
        <v>14.89200233803933</v>
      </c>
      <c r="AW124" s="15" t="n">
        <v>2</v>
      </c>
      <c r="AX124" s="15" t="n">
        <v>13.34552635528376</v>
      </c>
      <c r="AY124" s="15" t="n">
        <v>17.95665944539989</v>
      </c>
      <c r="AZ124" s="15" t="n">
        <v>12.9259</v>
      </c>
      <c r="BA124" s="15" t="n">
        <v>22.2572</v>
      </c>
      <c r="BB124" s="15" t="n">
        <v>11.73</v>
      </c>
      <c r="BC124" s="15" t="n">
        <v>16.20563761590212</v>
      </c>
      <c r="BD124" s="15" t="n">
        <v>12.08</v>
      </c>
      <c r="BE124" s="15" t="n">
        <v>17.6748</v>
      </c>
      <c r="BF124" s="15" t="n">
        <v>11.9829</v>
      </c>
      <c r="BG124" s="15" t="n">
        <v>13.35639495768278</v>
      </c>
      <c r="BH124" s="15" t="n">
        <v>13.8026</v>
      </c>
      <c r="BI124" s="15" t="n">
        <v>15.9920033738875</v>
      </c>
      <c r="BJ124" s="15" t="n">
        <v>19.82991881161117</v>
      </c>
      <c r="BK124" s="15" t="n">
        <v>18.26122516583295</v>
      </c>
      <c r="BL124" s="15" t="n">
        <v>13.72209763349163</v>
      </c>
      <c r="BS124" s="15" t="n">
        <v>2</v>
      </c>
      <c r="BT124" s="15" t="n">
        <v>13.11000000039329</v>
      </c>
      <c r="BU124" s="15" t="n">
        <v>17.64000000010431</v>
      </c>
      <c r="BV124" s="15" t="n">
        <v>12.9259</v>
      </c>
      <c r="BW124" s="15" t="n">
        <v>22.2572</v>
      </c>
      <c r="BX124" s="15" t="n">
        <v>11.73</v>
      </c>
      <c r="BY124" s="15" t="n">
        <v>15.92000000053485</v>
      </c>
      <c r="BZ124" s="15" t="n">
        <v>12.08</v>
      </c>
      <c r="CA124" s="15" t="n">
        <v>17.6748</v>
      </c>
      <c r="CB124" s="15" t="n">
        <v>11.9829</v>
      </c>
      <c r="CC124" s="15" t="n">
        <v>13.11999999976696</v>
      </c>
      <c r="CD124" s="15" t="n">
        <v>13.8026</v>
      </c>
      <c r="CE124" s="15" t="n">
        <v>15.71000000039767</v>
      </c>
      <c r="CF124" s="15" t="n">
        <v>19.48000000030394</v>
      </c>
      <c r="CG124" s="15" t="n">
        <v>17.94000000008372</v>
      </c>
      <c r="CH124" s="15" t="n">
        <v>13.4799999999999</v>
      </c>
      <c r="CO124" s="15" t="n">
        <v>2</v>
      </c>
      <c r="CP124" s="15" t="n">
        <v>14.48334505521335</v>
      </c>
      <c r="CQ124" s="15" t="n">
        <v>19.48410661082915</v>
      </c>
      <c r="CR124" s="15" t="n">
        <v>12.9259</v>
      </c>
      <c r="CS124" s="15" t="n">
        <v>22.2572</v>
      </c>
      <c r="CT124" s="15" t="n">
        <v>11.73</v>
      </c>
      <c r="CU124" s="15" t="n">
        <v>17.58325308336727</v>
      </c>
      <c r="CV124" s="15" t="n">
        <v>12.08</v>
      </c>
      <c r="CW124" s="15" t="n">
        <v>17.6748</v>
      </c>
      <c r="CX124" s="15" t="n">
        <v>11.9829</v>
      </c>
      <c r="CY124" s="15" t="n">
        <v>14.50097208841509</v>
      </c>
      <c r="CZ124" s="15" t="n">
        <v>13.8026</v>
      </c>
      <c r="DA124" s="15" t="n">
        <v>17.35336536083924</v>
      </c>
      <c r="DB124" s="15" t="n">
        <v>21.5189317039198</v>
      </c>
      <c r="DC124" s="15" t="n">
        <v>19.80645502777283</v>
      </c>
      <c r="DD124" s="15" t="n">
        <v>14.89200233803933</v>
      </c>
      <c r="DK124" s="15" t="n">
        <v>2</v>
      </c>
      <c r="DL124" s="15" t="n">
        <v>13.34552635528376</v>
      </c>
      <c r="DM124" s="15" t="n">
        <v>17.95665944539989</v>
      </c>
      <c r="DN124" s="15" t="n">
        <v>12.9259</v>
      </c>
      <c r="DO124" s="15" t="n">
        <v>22.2572</v>
      </c>
      <c r="DP124" s="15" t="n">
        <v>11.73</v>
      </c>
      <c r="DQ124" s="15" t="n">
        <v>16.20563761590212</v>
      </c>
      <c r="DR124" s="15" t="n">
        <v>12.08</v>
      </c>
      <c r="DS124" s="15" t="n">
        <v>17.6748</v>
      </c>
      <c r="DT124" s="15" t="n">
        <v>11.9829</v>
      </c>
      <c r="DU124" s="15" t="n">
        <v>13.35639495768278</v>
      </c>
      <c r="DV124" s="15" t="n">
        <v>13.8026</v>
      </c>
      <c r="DW124" s="15" t="n">
        <v>15.9920033738875</v>
      </c>
      <c r="DX124" s="15" t="n">
        <v>19.82991881181379</v>
      </c>
      <c r="DY124" s="15" t="n">
        <v>18.26122516583295</v>
      </c>
      <c r="DZ124" s="15" t="n">
        <v>13.72209763349163</v>
      </c>
      <c r="EG124" s="15" t="n">
        <v>2</v>
      </c>
      <c r="EH124" s="15" t="n">
        <v>13.11000000039329</v>
      </c>
      <c r="EI124" s="15" t="n">
        <v>17.6400000001043</v>
      </c>
      <c r="EJ124" s="15" t="n">
        <v>12.9259</v>
      </c>
      <c r="EK124" s="15" t="n">
        <v>22.2572</v>
      </c>
      <c r="EL124" s="15" t="n">
        <v>11.73</v>
      </c>
      <c r="EM124" s="15" t="n">
        <v>15.92000000053485</v>
      </c>
      <c r="EN124" s="15" t="n">
        <v>12.08</v>
      </c>
      <c r="EO124" s="15" t="n">
        <v>17.6748</v>
      </c>
      <c r="EP124" s="15" t="n">
        <v>11.9829</v>
      </c>
      <c r="EQ124" s="15" t="n">
        <v>13.11999999976696</v>
      </c>
      <c r="ER124" s="15" t="n">
        <v>13.8026</v>
      </c>
      <c r="ES124" s="15" t="n">
        <v>15.71000000039767</v>
      </c>
      <c r="ET124" s="15" t="n">
        <v>19.48000000030394</v>
      </c>
      <c r="EU124" s="15" t="n">
        <v>17.94000000008372</v>
      </c>
      <c r="EV124" s="15" t="n">
        <v>13.4799999999999</v>
      </c>
      <c r="FC124" s="15" t="n">
        <v>2</v>
      </c>
      <c r="FD124" s="15" t="n">
        <v>14.48334505521335</v>
      </c>
      <c r="FE124" s="15" t="n">
        <v>19.48410661082915</v>
      </c>
      <c r="FF124" s="15" t="n">
        <v>12.9259</v>
      </c>
      <c r="FG124" s="15" t="n">
        <v>22.2572</v>
      </c>
      <c r="FH124" s="15" t="n">
        <v>11.73</v>
      </c>
      <c r="FI124" s="15" t="n">
        <v>17.58325308336727</v>
      </c>
      <c r="FJ124" s="15" t="n">
        <v>12.08</v>
      </c>
      <c r="FK124" s="15" t="n">
        <v>17.6748</v>
      </c>
      <c r="FL124" s="15" t="n">
        <v>11.9829</v>
      </c>
      <c r="FM124" s="15" t="n">
        <v>14.50097208841509</v>
      </c>
      <c r="FN124" s="15" t="n">
        <v>13.8026</v>
      </c>
      <c r="FO124" s="15" t="n">
        <v>17.35336536083924</v>
      </c>
      <c r="FP124" s="15" t="n">
        <v>21.5189317039198</v>
      </c>
      <c r="FQ124" s="15" t="n">
        <v>19.80645502777283</v>
      </c>
      <c r="FR124" s="15" t="n">
        <v>14.89200233803933</v>
      </c>
      <c r="FY124" s="15" t="n">
        <v>2</v>
      </c>
      <c r="FZ124" s="15" t="n">
        <v>13.34552635528376</v>
      </c>
      <c r="GA124" s="15" t="n">
        <v>17.95665944539989</v>
      </c>
      <c r="GB124" s="15" t="n">
        <v>12.9259</v>
      </c>
      <c r="GC124" s="15" t="n">
        <v>22.2572</v>
      </c>
      <c r="GD124" s="15" t="n">
        <v>11.73</v>
      </c>
      <c r="GE124" s="15" t="n">
        <v>16.20563761590212</v>
      </c>
      <c r="GF124" s="15" t="n">
        <v>12.08</v>
      </c>
      <c r="GG124" s="15" t="n">
        <v>17.6748</v>
      </c>
      <c r="GH124" s="15" t="n">
        <v>11.9829</v>
      </c>
      <c r="GI124" s="15" t="n">
        <v>13.35639495768278</v>
      </c>
      <c r="GJ124" s="15" t="n">
        <v>13.8026</v>
      </c>
      <c r="GK124" s="15" t="n">
        <v>15.9920033738875</v>
      </c>
      <c r="GL124" s="15" t="n">
        <v>19.82991881181379</v>
      </c>
      <c r="GM124" s="15" t="n">
        <v>18.26122516583295</v>
      </c>
      <c r="GN124" s="15" t="n">
        <v>13.72209763349163</v>
      </c>
      <c r="GU124" s="15" t="n">
        <v>2</v>
      </c>
      <c r="GV124" s="15" t="n">
        <v>13.11000000039329</v>
      </c>
      <c r="GW124" s="15" t="n">
        <v>17.6400000001043</v>
      </c>
      <c r="GX124" s="15" t="n">
        <v>12.9259</v>
      </c>
      <c r="GY124" s="15" t="n">
        <v>22.2572</v>
      </c>
      <c r="GZ124" s="15" t="n">
        <v>11.73</v>
      </c>
      <c r="HA124" s="15" t="n">
        <v>15.92000000053485</v>
      </c>
      <c r="HB124" s="15" t="n">
        <v>12.08</v>
      </c>
      <c r="HC124" s="15" t="n">
        <v>17.6748</v>
      </c>
      <c r="HD124" s="15" t="n">
        <v>11.9829</v>
      </c>
      <c r="HE124" s="15" t="n">
        <v>13.11999999976696</v>
      </c>
      <c r="HF124" s="15" t="n">
        <v>13.8026</v>
      </c>
      <c r="HG124" s="15" t="n">
        <v>15.71000000039767</v>
      </c>
      <c r="HH124" s="15" t="n">
        <v>19.48000000030394</v>
      </c>
      <c r="HI124" s="15" t="n">
        <v>17.94000000008372</v>
      </c>
      <c r="HJ124" s="15" t="n">
        <v>13.4799999999999</v>
      </c>
    </row>
    <row r="125">
      <c r="C125" s="15" t="n">
        <v>3</v>
      </c>
      <c r="D125" s="15">
        <f>D50+D100*D70</f>
        <v/>
      </c>
      <c r="E125" s="15">
        <f>E50+E100*E70</f>
        <v/>
      </c>
      <c r="F125" s="15">
        <f>F50+F100*F70</f>
        <v/>
      </c>
      <c r="G125" s="15">
        <f>G50+G100*G70</f>
        <v/>
      </c>
      <c r="H125" s="15">
        <f>H50+H100*H70</f>
        <v/>
      </c>
      <c r="I125" s="15">
        <f>I50+I100*I70</f>
        <v/>
      </c>
      <c r="J125" s="15">
        <f>J50+J100*J70</f>
        <v/>
      </c>
      <c r="K125" s="15">
        <f>K50+K100*K70</f>
        <v/>
      </c>
      <c r="L125" s="15">
        <f>L50+L100*L70</f>
        <v/>
      </c>
      <c r="M125" s="15">
        <f>M50+M100*M70</f>
        <v/>
      </c>
      <c r="N125" s="15">
        <f>N50+N100*N70</f>
        <v/>
      </c>
      <c r="O125" s="15">
        <f>O50+O100*O70</f>
        <v/>
      </c>
      <c r="P125" s="15">
        <f>P50+P100*P70</f>
        <v/>
      </c>
      <c r="Q125" s="15">
        <f>Q50+Q100*Q70</f>
        <v/>
      </c>
      <c r="R125" s="15">
        <f>R50+R100*R70</f>
        <v/>
      </c>
      <c r="AA125" s="15" t="n">
        <v>3</v>
      </c>
      <c r="AB125" s="15" t="n">
        <v>20.21487856402666</v>
      </c>
      <c r="AC125" s="15" t="n">
        <v>21.3808</v>
      </c>
      <c r="AD125" s="15" t="n">
        <v>22.9008</v>
      </c>
      <c r="AE125" s="15" t="n">
        <v>15.43261319355206</v>
      </c>
      <c r="AF125" s="15" t="n">
        <v>15.289</v>
      </c>
      <c r="AG125" s="15" t="n">
        <v>19.50782320301323</v>
      </c>
      <c r="AH125" s="15" t="n">
        <v>14.0466</v>
      </c>
      <c r="AI125" s="15" t="n">
        <v>14.5903</v>
      </c>
      <c r="AJ125" s="15" t="n">
        <v>18.1519</v>
      </c>
      <c r="AK125" s="15" t="n">
        <v>17.6857</v>
      </c>
      <c r="AL125" s="15" t="n">
        <v>11.46186339408981</v>
      </c>
      <c r="AM125" s="15" t="n">
        <v>14.02</v>
      </c>
      <c r="AN125" s="15" t="n">
        <v>15.5999</v>
      </c>
      <c r="AO125" s="15" t="n">
        <v>13.4472</v>
      </c>
      <c r="AP125" s="15" t="n">
        <v>14.10744172950586</v>
      </c>
      <c r="AW125" s="15" t="n">
        <v>3</v>
      </c>
      <c r="AX125" s="15" t="n">
        <v>18.59172998884479</v>
      </c>
      <c r="AY125" s="15" t="n">
        <v>21.3808</v>
      </c>
      <c r="AZ125" s="15" t="n">
        <v>22.9008</v>
      </c>
      <c r="BA125" s="15" t="n">
        <v>14.22078871829073</v>
      </c>
      <c r="BB125" s="15" t="n">
        <v>15.289</v>
      </c>
      <c r="BC125" s="15" t="n">
        <v>17.9218687439264</v>
      </c>
      <c r="BD125" s="15" t="n">
        <v>12.89262749103368</v>
      </c>
      <c r="BE125" s="15" t="n">
        <v>14.5903</v>
      </c>
      <c r="BF125" s="15" t="n">
        <v>18.1519</v>
      </c>
      <c r="BG125" s="15" t="n">
        <v>17.6857</v>
      </c>
      <c r="BH125" s="15" t="n">
        <v>10.53841303934829</v>
      </c>
      <c r="BI125" s="15" t="n">
        <v>14.02</v>
      </c>
      <c r="BJ125" s="15" t="n">
        <v>15.5999</v>
      </c>
      <c r="BK125" s="15" t="n">
        <v>13.4472</v>
      </c>
      <c r="BL125" s="15" t="n">
        <v>12.99939278189512</v>
      </c>
      <c r="BS125" s="15" t="n">
        <v>3</v>
      </c>
      <c r="BT125" s="15" t="n">
        <v>18.26</v>
      </c>
      <c r="BU125" s="15" t="n">
        <v>21.3808</v>
      </c>
      <c r="BV125" s="15" t="n">
        <v>22.9008</v>
      </c>
      <c r="BW125" s="15" t="n">
        <v>13.97000000171358</v>
      </c>
      <c r="BX125" s="15" t="n">
        <v>15.289</v>
      </c>
      <c r="BY125" s="15" t="n">
        <v>17.6</v>
      </c>
      <c r="BZ125" s="15" t="n">
        <v>12.66</v>
      </c>
      <c r="CA125" s="15" t="n">
        <v>14.5903</v>
      </c>
      <c r="CB125" s="15" t="n">
        <v>18.1519</v>
      </c>
      <c r="CC125" s="15" t="n">
        <v>17.6857</v>
      </c>
      <c r="CD125" s="15" t="n">
        <v>10.35</v>
      </c>
      <c r="CE125" s="15" t="n">
        <v>14.02</v>
      </c>
      <c r="CF125" s="15" t="n">
        <v>15.5999</v>
      </c>
      <c r="CG125" s="15" t="n">
        <v>13.4472</v>
      </c>
      <c r="CH125" s="15" t="n">
        <v>12.77000000041648</v>
      </c>
      <c r="CO125" s="15" t="n">
        <v>3</v>
      </c>
      <c r="CP125" s="15" t="n">
        <v>20.21487856402666</v>
      </c>
      <c r="CQ125" s="15" t="n">
        <v>21.3808</v>
      </c>
      <c r="CR125" s="15" t="n">
        <v>22.9008</v>
      </c>
      <c r="CS125" s="15" t="n">
        <v>15.43261319355206</v>
      </c>
      <c r="CT125" s="15" t="n">
        <v>15.289</v>
      </c>
      <c r="CU125" s="15" t="n">
        <v>19.50782320301323</v>
      </c>
      <c r="CV125" s="15" t="n">
        <v>14.0466</v>
      </c>
      <c r="CW125" s="15" t="n">
        <v>14.5903</v>
      </c>
      <c r="CX125" s="15" t="n">
        <v>18.1519</v>
      </c>
      <c r="CY125" s="15" t="n">
        <v>17.6857</v>
      </c>
      <c r="CZ125" s="15" t="n">
        <v>11.46186339408981</v>
      </c>
      <c r="DA125" s="15" t="n">
        <v>14.02</v>
      </c>
      <c r="DB125" s="15" t="n">
        <v>15.5999</v>
      </c>
      <c r="DC125" s="15" t="n">
        <v>13.4472</v>
      </c>
      <c r="DD125" s="15" t="n">
        <v>14.10744172950586</v>
      </c>
      <c r="DK125" s="15" t="n">
        <v>3</v>
      </c>
      <c r="DL125" s="15" t="n">
        <v>18.59172998884479</v>
      </c>
      <c r="DM125" s="15" t="n">
        <v>21.3808</v>
      </c>
      <c r="DN125" s="15" t="n">
        <v>22.9008</v>
      </c>
      <c r="DO125" s="15" t="n">
        <v>14.22078871871913</v>
      </c>
      <c r="DP125" s="15" t="n">
        <v>15.289</v>
      </c>
      <c r="DQ125" s="15" t="n">
        <v>17.9218687439264</v>
      </c>
      <c r="DR125" s="15" t="n">
        <v>12.89262749103368</v>
      </c>
      <c r="DS125" s="15" t="n">
        <v>14.5903</v>
      </c>
      <c r="DT125" s="15" t="n">
        <v>18.1519</v>
      </c>
      <c r="DU125" s="15" t="n">
        <v>17.6857</v>
      </c>
      <c r="DV125" s="15" t="n">
        <v>10.53841303934829</v>
      </c>
      <c r="DW125" s="15" t="n">
        <v>14.02</v>
      </c>
      <c r="DX125" s="15" t="n">
        <v>15.5999</v>
      </c>
      <c r="DY125" s="15" t="n">
        <v>13.4472</v>
      </c>
      <c r="DZ125" s="15" t="n">
        <v>12.99939278189512</v>
      </c>
      <c r="EG125" s="15" t="n">
        <v>3</v>
      </c>
      <c r="EH125" s="15" t="n">
        <v>18.26</v>
      </c>
      <c r="EI125" s="15" t="n">
        <v>21.3808</v>
      </c>
      <c r="EJ125" s="15" t="n">
        <v>22.9008</v>
      </c>
      <c r="EK125" s="15" t="n">
        <v>13.97000000171358</v>
      </c>
      <c r="EL125" s="15" t="n">
        <v>15.289</v>
      </c>
      <c r="EM125" s="15" t="n">
        <v>17.6</v>
      </c>
      <c r="EN125" s="15" t="n">
        <v>12.66</v>
      </c>
      <c r="EO125" s="15" t="n">
        <v>14.5903</v>
      </c>
      <c r="EP125" s="15" t="n">
        <v>18.1519</v>
      </c>
      <c r="EQ125" s="15" t="n">
        <v>17.6857</v>
      </c>
      <c r="ER125" s="15" t="n">
        <v>10.35</v>
      </c>
      <c r="ES125" s="15" t="n">
        <v>14.02</v>
      </c>
      <c r="ET125" s="15" t="n">
        <v>15.5999</v>
      </c>
      <c r="EU125" s="15" t="n">
        <v>13.4472</v>
      </c>
      <c r="EV125" s="15" t="n">
        <v>12.77000000041648</v>
      </c>
      <c r="FC125" s="15" t="n">
        <v>3</v>
      </c>
      <c r="FD125" s="15" t="n">
        <v>20.21487856402666</v>
      </c>
      <c r="FE125" s="15" t="n">
        <v>21.3808</v>
      </c>
      <c r="FF125" s="15" t="n">
        <v>22.9008</v>
      </c>
      <c r="FG125" s="15" t="n">
        <v>15.43261319355206</v>
      </c>
      <c r="FH125" s="15" t="n">
        <v>15.289</v>
      </c>
      <c r="FI125" s="15" t="n">
        <v>19.50782320301323</v>
      </c>
      <c r="FJ125" s="15" t="n">
        <v>14.0466</v>
      </c>
      <c r="FK125" s="15" t="n">
        <v>14.5903</v>
      </c>
      <c r="FL125" s="15" t="n">
        <v>18.1519</v>
      </c>
      <c r="FM125" s="15" t="n">
        <v>17.6857</v>
      </c>
      <c r="FN125" s="15" t="n">
        <v>11.46186339408981</v>
      </c>
      <c r="FO125" s="15" t="n">
        <v>14.02</v>
      </c>
      <c r="FP125" s="15" t="n">
        <v>15.5999</v>
      </c>
      <c r="FQ125" s="15" t="n">
        <v>13.4472</v>
      </c>
      <c r="FR125" s="15" t="n">
        <v>14.10744172950586</v>
      </c>
      <c r="FY125" s="15" t="n">
        <v>3</v>
      </c>
      <c r="FZ125" s="15" t="n">
        <v>18.59172998884479</v>
      </c>
      <c r="GA125" s="15" t="n">
        <v>21.3808</v>
      </c>
      <c r="GB125" s="15" t="n">
        <v>22.9008</v>
      </c>
      <c r="GC125" s="15" t="n">
        <v>14.22078871871913</v>
      </c>
      <c r="GD125" s="15" t="n">
        <v>15.289</v>
      </c>
      <c r="GE125" s="15" t="n">
        <v>17.9218687439264</v>
      </c>
      <c r="GF125" s="15" t="n">
        <v>12.89262749103368</v>
      </c>
      <c r="GG125" s="15" t="n">
        <v>14.5903</v>
      </c>
      <c r="GH125" s="15" t="n">
        <v>18.1519</v>
      </c>
      <c r="GI125" s="15" t="n">
        <v>17.6857</v>
      </c>
      <c r="GJ125" s="15" t="n">
        <v>10.53841303934829</v>
      </c>
      <c r="GK125" s="15" t="n">
        <v>14.02</v>
      </c>
      <c r="GL125" s="15" t="n">
        <v>15.5999</v>
      </c>
      <c r="GM125" s="15" t="n">
        <v>13.4472</v>
      </c>
      <c r="GN125" s="15" t="n">
        <v>12.99939278189512</v>
      </c>
      <c r="GU125" s="15" t="n">
        <v>3</v>
      </c>
      <c r="GV125" s="15" t="n">
        <v>18.26</v>
      </c>
      <c r="GW125" s="15" t="n">
        <v>21.3808</v>
      </c>
      <c r="GX125" s="15" t="n">
        <v>22.9008</v>
      </c>
      <c r="GY125" s="15" t="n">
        <v>13.97000000171358</v>
      </c>
      <c r="GZ125" s="15" t="n">
        <v>15.289</v>
      </c>
      <c r="HA125" s="15" t="n">
        <v>17.6</v>
      </c>
      <c r="HB125" s="15" t="n">
        <v>12.66</v>
      </c>
      <c r="HC125" s="15" t="n">
        <v>14.5903</v>
      </c>
      <c r="HD125" s="15" t="n">
        <v>18.1519</v>
      </c>
      <c r="HE125" s="15" t="n">
        <v>17.6857</v>
      </c>
      <c r="HF125" s="15" t="n">
        <v>10.35</v>
      </c>
      <c r="HG125" s="15" t="n">
        <v>14.02</v>
      </c>
      <c r="HH125" s="15" t="n">
        <v>15.5999</v>
      </c>
      <c r="HI125" s="15" t="n">
        <v>13.4472</v>
      </c>
      <c r="HJ125" s="15" t="n">
        <v>12.77000000041648</v>
      </c>
    </row>
    <row r="127">
      <c r="B127" s="15" t="inlineStr">
        <is>
          <t>NOVA</t>
        </is>
      </c>
      <c r="C127" s="15" t="inlineStr">
        <is>
          <t>ActualRotw</t>
        </is>
      </c>
      <c r="D127" s="15" t="n">
        <v>1</v>
      </c>
      <c r="E127" s="15" t="n">
        <v>2</v>
      </c>
      <c r="F127" s="15" t="n">
        <v>3</v>
      </c>
      <c r="G127" s="15" t="n">
        <v>4</v>
      </c>
      <c r="H127" s="15" t="n">
        <v>5</v>
      </c>
      <c r="I127" s="15" t="n">
        <v>6</v>
      </c>
      <c r="J127" s="15" t="n">
        <v>7</v>
      </c>
      <c r="K127" s="15" t="n">
        <v>8</v>
      </c>
      <c r="L127" s="15" t="n">
        <v>9</v>
      </c>
      <c r="M127" s="15" t="n">
        <v>10</v>
      </c>
      <c r="N127" s="15" t="n">
        <v>11</v>
      </c>
      <c r="O127" s="15" t="n">
        <v>12</v>
      </c>
      <c r="P127" s="15" t="n">
        <v>13</v>
      </c>
      <c r="Q127" s="15" t="n">
        <v>14</v>
      </c>
      <c r="R127" s="15" t="n">
        <v>15</v>
      </c>
      <c r="Z127" s="15" t="inlineStr">
        <is>
          <t>NOVA</t>
        </is>
      </c>
      <c r="AA127" s="15" t="inlineStr">
        <is>
          <t>ActualRotw</t>
        </is>
      </c>
      <c r="AB127" s="15" t="n">
        <v>1</v>
      </c>
      <c r="AC127" s="15" t="n">
        <v>2</v>
      </c>
      <c r="AD127" s="15" t="n">
        <v>3</v>
      </c>
      <c r="AE127" s="15" t="n">
        <v>4</v>
      </c>
      <c r="AF127" s="15" t="n">
        <v>5</v>
      </c>
      <c r="AG127" s="15" t="n">
        <v>6</v>
      </c>
      <c r="AH127" s="15" t="n">
        <v>7</v>
      </c>
      <c r="AI127" s="15" t="n">
        <v>8</v>
      </c>
      <c r="AJ127" s="15" t="n">
        <v>9</v>
      </c>
      <c r="AK127" s="15" t="n">
        <v>10</v>
      </c>
      <c r="AL127" s="15" t="n">
        <v>11</v>
      </c>
      <c r="AM127" s="15" t="n">
        <v>12</v>
      </c>
      <c r="AN127" s="15" t="n">
        <v>13</v>
      </c>
      <c r="AO127" s="15" t="n">
        <v>14</v>
      </c>
      <c r="AP127" s="15" t="n">
        <v>15</v>
      </c>
      <c r="AV127" s="15" t="inlineStr">
        <is>
          <t>NOVA</t>
        </is>
      </c>
      <c r="AW127" s="15" t="inlineStr">
        <is>
          <t>ActualRotw</t>
        </is>
      </c>
      <c r="AX127" s="15" t="n">
        <v>1</v>
      </c>
      <c r="AY127" s="15" t="n">
        <v>2</v>
      </c>
      <c r="AZ127" s="15" t="n">
        <v>3</v>
      </c>
      <c r="BA127" s="15" t="n">
        <v>4</v>
      </c>
      <c r="BB127" s="15" t="n">
        <v>5</v>
      </c>
      <c r="BC127" s="15" t="n">
        <v>6</v>
      </c>
      <c r="BD127" s="15" t="n">
        <v>7</v>
      </c>
      <c r="BE127" s="15" t="n">
        <v>8</v>
      </c>
      <c r="BF127" s="15" t="n">
        <v>9</v>
      </c>
      <c r="BG127" s="15" t="n">
        <v>10</v>
      </c>
      <c r="BH127" s="15" t="n">
        <v>11</v>
      </c>
      <c r="BI127" s="15" t="n">
        <v>12</v>
      </c>
      <c r="BJ127" s="15" t="n">
        <v>13</v>
      </c>
      <c r="BK127" s="15" t="n">
        <v>14</v>
      </c>
      <c r="BL127" s="15" t="n">
        <v>15</v>
      </c>
      <c r="BR127" s="15" t="inlineStr">
        <is>
          <t>NOVA</t>
        </is>
      </c>
      <c r="BS127" s="15" t="inlineStr">
        <is>
          <t>ActualRotw</t>
        </is>
      </c>
      <c r="BT127" s="15" t="n">
        <v>1</v>
      </c>
      <c r="BU127" s="15" t="n">
        <v>2</v>
      </c>
      <c r="BV127" s="15" t="n">
        <v>3</v>
      </c>
      <c r="BW127" s="15" t="n">
        <v>4</v>
      </c>
      <c r="BX127" s="15" t="n">
        <v>5</v>
      </c>
      <c r="BY127" s="15" t="n">
        <v>6</v>
      </c>
      <c r="BZ127" s="15" t="n">
        <v>7</v>
      </c>
      <c r="CA127" s="15" t="n">
        <v>8</v>
      </c>
      <c r="CB127" s="15" t="n">
        <v>9</v>
      </c>
      <c r="CC127" s="15" t="n">
        <v>10</v>
      </c>
      <c r="CD127" s="15" t="n">
        <v>11</v>
      </c>
      <c r="CE127" s="15" t="n">
        <v>12</v>
      </c>
      <c r="CF127" s="15" t="n">
        <v>13</v>
      </c>
      <c r="CG127" s="15" t="n">
        <v>14</v>
      </c>
      <c r="CH127" s="15" t="n">
        <v>15</v>
      </c>
      <c r="CN127" s="15" t="inlineStr">
        <is>
          <t>NOVA</t>
        </is>
      </c>
      <c r="CO127" s="15" t="inlineStr">
        <is>
          <t>ActualRotw</t>
        </is>
      </c>
      <c r="CP127" s="15" t="n">
        <v>1</v>
      </c>
      <c r="CQ127" s="15" t="n">
        <v>2</v>
      </c>
      <c r="CR127" s="15" t="n">
        <v>3</v>
      </c>
      <c r="CS127" s="15" t="n">
        <v>4</v>
      </c>
      <c r="CT127" s="15" t="n">
        <v>5</v>
      </c>
      <c r="CU127" s="15" t="n">
        <v>6</v>
      </c>
      <c r="CV127" s="15" t="n">
        <v>7</v>
      </c>
      <c r="CW127" s="15" t="n">
        <v>8</v>
      </c>
      <c r="CX127" s="15" t="n">
        <v>9</v>
      </c>
      <c r="CY127" s="15" t="n">
        <v>10</v>
      </c>
      <c r="CZ127" s="15" t="n">
        <v>11</v>
      </c>
      <c r="DA127" s="15" t="n">
        <v>12</v>
      </c>
      <c r="DB127" s="15" t="n">
        <v>13</v>
      </c>
      <c r="DC127" s="15" t="n">
        <v>14</v>
      </c>
      <c r="DD127" s="15" t="n">
        <v>15</v>
      </c>
      <c r="DJ127" s="15" t="inlineStr">
        <is>
          <t>NOVA</t>
        </is>
      </c>
      <c r="DK127" s="15" t="inlineStr">
        <is>
          <t>ActualRotw</t>
        </is>
      </c>
      <c r="DL127" s="15" t="n">
        <v>1</v>
      </c>
      <c r="DM127" s="15" t="n">
        <v>2</v>
      </c>
      <c r="DN127" s="15" t="n">
        <v>3</v>
      </c>
      <c r="DO127" s="15" t="n">
        <v>4</v>
      </c>
      <c r="DP127" s="15" t="n">
        <v>5</v>
      </c>
      <c r="DQ127" s="15" t="n">
        <v>6</v>
      </c>
      <c r="DR127" s="15" t="n">
        <v>7</v>
      </c>
      <c r="DS127" s="15" t="n">
        <v>8</v>
      </c>
      <c r="DT127" s="15" t="n">
        <v>9</v>
      </c>
      <c r="DU127" s="15" t="n">
        <v>10</v>
      </c>
      <c r="DV127" s="15" t="n">
        <v>11</v>
      </c>
      <c r="DW127" s="15" t="n">
        <v>12</v>
      </c>
      <c r="DX127" s="15" t="n">
        <v>13</v>
      </c>
      <c r="DY127" s="15" t="n">
        <v>14</v>
      </c>
      <c r="DZ127" s="15" t="n">
        <v>15</v>
      </c>
      <c r="EF127" s="15" t="inlineStr">
        <is>
          <t>NOVA</t>
        </is>
      </c>
      <c r="EG127" s="15" t="inlineStr">
        <is>
          <t>ActualRotw</t>
        </is>
      </c>
      <c r="EH127" s="15" t="n">
        <v>1</v>
      </c>
      <c r="EI127" s="15" t="n">
        <v>2</v>
      </c>
      <c r="EJ127" s="15" t="n">
        <v>3</v>
      </c>
      <c r="EK127" s="15" t="n">
        <v>4</v>
      </c>
      <c r="EL127" s="15" t="n">
        <v>5</v>
      </c>
      <c r="EM127" s="15" t="n">
        <v>6</v>
      </c>
      <c r="EN127" s="15" t="n">
        <v>7</v>
      </c>
      <c r="EO127" s="15" t="n">
        <v>8</v>
      </c>
      <c r="EP127" s="15" t="n">
        <v>9</v>
      </c>
      <c r="EQ127" s="15" t="n">
        <v>10</v>
      </c>
      <c r="ER127" s="15" t="n">
        <v>11</v>
      </c>
      <c r="ES127" s="15" t="n">
        <v>12</v>
      </c>
      <c r="ET127" s="15" t="n">
        <v>13</v>
      </c>
      <c r="EU127" s="15" t="n">
        <v>14</v>
      </c>
      <c r="EV127" s="15" t="n">
        <v>15</v>
      </c>
      <c r="FB127" s="15" t="inlineStr">
        <is>
          <t>NOVA</t>
        </is>
      </c>
      <c r="FC127" s="15" t="inlineStr">
        <is>
          <t>ActualRotw</t>
        </is>
      </c>
      <c r="FD127" s="15" t="n">
        <v>1</v>
      </c>
      <c r="FE127" s="15" t="n">
        <v>2</v>
      </c>
      <c r="FF127" s="15" t="n">
        <v>3</v>
      </c>
      <c r="FG127" s="15" t="n">
        <v>4</v>
      </c>
      <c r="FH127" s="15" t="n">
        <v>5</v>
      </c>
      <c r="FI127" s="15" t="n">
        <v>6</v>
      </c>
      <c r="FJ127" s="15" t="n">
        <v>7</v>
      </c>
      <c r="FK127" s="15" t="n">
        <v>8</v>
      </c>
      <c r="FL127" s="15" t="n">
        <v>9</v>
      </c>
      <c r="FM127" s="15" t="n">
        <v>10</v>
      </c>
      <c r="FN127" s="15" t="n">
        <v>11</v>
      </c>
      <c r="FO127" s="15" t="n">
        <v>12</v>
      </c>
      <c r="FP127" s="15" t="n">
        <v>13</v>
      </c>
      <c r="FQ127" s="15" t="n">
        <v>14</v>
      </c>
      <c r="FR127" s="15" t="n">
        <v>15</v>
      </c>
      <c r="FX127" s="15" t="inlineStr">
        <is>
          <t>NOVA</t>
        </is>
      </c>
      <c r="FY127" s="15" t="inlineStr">
        <is>
          <t>ActualRotw</t>
        </is>
      </c>
      <c r="FZ127" s="15" t="n">
        <v>1</v>
      </c>
      <c r="GA127" s="15" t="n">
        <v>2</v>
      </c>
      <c r="GB127" s="15" t="n">
        <v>3</v>
      </c>
      <c r="GC127" s="15" t="n">
        <v>4</v>
      </c>
      <c r="GD127" s="15" t="n">
        <v>5</v>
      </c>
      <c r="GE127" s="15" t="n">
        <v>6</v>
      </c>
      <c r="GF127" s="15" t="n">
        <v>7</v>
      </c>
      <c r="GG127" s="15" t="n">
        <v>8</v>
      </c>
      <c r="GH127" s="15" t="n">
        <v>9</v>
      </c>
      <c r="GI127" s="15" t="n">
        <v>10</v>
      </c>
      <c r="GJ127" s="15" t="n">
        <v>11</v>
      </c>
      <c r="GK127" s="15" t="n">
        <v>12</v>
      </c>
      <c r="GL127" s="15" t="n">
        <v>13</v>
      </c>
      <c r="GM127" s="15" t="n">
        <v>14</v>
      </c>
      <c r="GN127" s="15" t="n">
        <v>15</v>
      </c>
      <c r="GT127" s="15" t="inlineStr">
        <is>
          <t>NOVA</t>
        </is>
      </c>
      <c r="GU127" s="15" t="inlineStr">
        <is>
          <t>ActualRotw</t>
        </is>
      </c>
      <c r="GV127" s="15" t="n">
        <v>1</v>
      </c>
      <c r="GW127" s="15" t="n">
        <v>2</v>
      </c>
      <c r="GX127" s="15" t="n">
        <v>3</v>
      </c>
      <c r="GY127" s="15" t="n">
        <v>4</v>
      </c>
      <c r="GZ127" s="15" t="n">
        <v>5</v>
      </c>
      <c r="HA127" s="15" t="n">
        <v>6</v>
      </c>
      <c r="HB127" s="15" t="n">
        <v>7</v>
      </c>
      <c r="HC127" s="15" t="n">
        <v>8</v>
      </c>
      <c r="HD127" s="15" t="n">
        <v>9</v>
      </c>
      <c r="HE127" s="15" t="n">
        <v>10</v>
      </c>
      <c r="HF127" s="15" t="n">
        <v>11</v>
      </c>
      <c r="HG127" s="15" t="n">
        <v>12</v>
      </c>
      <c r="HH127" s="15" t="n">
        <v>13</v>
      </c>
      <c r="HI127" s="15" t="n">
        <v>14</v>
      </c>
      <c r="HJ127" s="15" t="n">
        <v>15</v>
      </c>
    </row>
    <row r="128">
      <c r="C128" s="15" t="n">
        <v>1</v>
      </c>
      <c r="D128" s="18">
        <f>Suppliers_stock_balance!D284</f>
        <v/>
      </c>
      <c r="E128" s="18">
        <f>Suppliers_stock_balance!E284</f>
        <v/>
      </c>
      <c r="F128" s="18">
        <f>Suppliers_stock_balance!F284</f>
        <v/>
      </c>
      <c r="G128" s="18">
        <f>Suppliers_stock_balance!G284</f>
        <v/>
      </c>
      <c r="H128" s="18">
        <f>Suppliers_stock_balance!H284</f>
        <v/>
      </c>
      <c r="I128" s="18">
        <f>Suppliers_stock_balance!I284</f>
        <v/>
      </c>
      <c r="J128" s="18">
        <f>Suppliers_stock_balance!J284</f>
        <v/>
      </c>
      <c r="K128" s="18">
        <f>Suppliers_stock_balance!K284</f>
        <v/>
      </c>
      <c r="L128" s="18">
        <f>Suppliers_stock_balance!L284</f>
        <v/>
      </c>
      <c r="M128" s="18">
        <f>Suppliers_stock_balance!M284</f>
        <v/>
      </c>
      <c r="N128" s="18">
        <f>Suppliers_stock_balance!N284</f>
        <v/>
      </c>
      <c r="O128" s="18">
        <f>Suppliers_stock_balance!O284</f>
        <v/>
      </c>
      <c r="P128" s="18">
        <f>Suppliers_stock_balance!P284</f>
        <v/>
      </c>
      <c r="Q128" s="18">
        <f>Suppliers_stock_balance!Q284</f>
        <v/>
      </c>
      <c r="R128" s="18">
        <f>Suppliers_stock_balance!R284</f>
        <v/>
      </c>
      <c r="T128" s="39">
        <f>SUM(D128:R130)</f>
        <v/>
      </c>
      <c r="U128" s="39" t="n">
        <v>2949.455015344547</v>
      </c>
      <c r="V128" s="39">
        <f>T128-U128</f>
        <v/>
      </c>
      <c r="W128" s="39" t="n"/>
      <c r="X128" s="39" t="n"/>
      <c r="AA128" s="15" t="n">
        <v>1</v>
      </c>
      <c r="AB128" s="15" t="n">
        <v>0</v>
      </c>
      <c r="AC128" s="15" t="n">
        <v>0</v>
      </c>
      <c r="AD128" s="15" t="n">
        <v>0</v>
      </c>
      <c r="AE128" s="15" t="n">
        <v>0</v>
      </c>
      <c r="AF128" s="15" t="n">
        <v>142.4521066280456</v>
      </c>
      <c r="AG128" s="15" t="n">
        <v>37.26006570835251</v>
      </c>
      <c r="AH128" s="15" t="n">
        <v>0</v>
      </c>
      <c r="AI128" s="15" t="n">
        <v>48.39384970764454</v>
      </c>
      <c r="AJ128" s="15" t="n">
        <v>50.02468648168264</v>
      </c>
      <c r="AK128" s="15" t="n">
        <v>0</v>
      </c>
      <c r="AL128" s="15" t="n">
        <v>350.9838998211083</v>
      </c>
      <c r="AM128" s="15" t="n">
        <v>0</v>
      </c>
      <c r="AN128" s="15" t="n">
        <v>74.47325769854132</v>
      </c>
      <c r="AO128" s="15" t="n">
        <v>45.00478380751313</v>
      </c>
      <c r="AP128" s="15" t="n">
        <v>53.7239728249026</v>
      </c>
      <c r="AW128" s="15" t="n">
        <v>1</v>
      </c>
      <c r="AX128" s="15" t="n">
        <v>0</v>
      </c>
      <c r="AY128" s="15" t="n">
        <v>0</v>
      </c>
      <c r="AZ128" s="15" t="n">
        <v>0</v>
      </c>
      <c r="BA128" s="15" t="n">
        <v>0</v>
      </c>
      <c r="BB128" s="15" t="n">
        <v>143.7247822946632</v>
      </c>
      <c r="BC128" s="15" t="n">
        <v>38.53233287344325</v>
      </c>
      <c r="BD128" s="15" t="n">
        <v>0</v>
      </c>
      <c r="BE128" s="15" t="n">
        <v>48.39384970764454</v>
      </c>
      <c r="BF128" s="15" t="n">
        <v>50.02468648168264</v>
      </c>
      <c r="BG128" s="15" t="n">
        <v>0</v>
      </c>
      <c r="BH128" s="15" t="n">
        <v>350.9838998211083</v>
      </c>
      <c r="BI128" s="15" t="n">
        <v>0</v>
      </c>
      <c r="BJ128" s="15" t="n">
        <v>74.47325769854132</v>
      </c>
      <c r="BK128" s="15" t="n">
        <v>46.26278043618809</v>
      </c>
      <c r="BL128" s="15" t="n">
        <v>55.13483386197368</v>
      </c>
      <c r="BS128" s="15" t="n">
        <v>1</v>
      </c>
      <c r="BT128" s="15" t="n">
        <v>0</v>
      </c>
      <c r="BU128" s="15" t="n">
        <v>0</v>
      </c>
      <c r="BV128" s="15" t="n">
        <v>0</v>
      </c>
      <c r="BW128" s="15" t="n">
        <v>0</v>
      </c>
      <c r="BX128" s="15" t="n">
        <v>143.7259100642399</v>
      </c>
      <c r="BY128" s="15" t="n">
        <v>38.7924059244783</v>
      </c>
      <c r="BZ128" s="15" t="n">
        <v>0</v>
      </c>
      <c r="CA128" s="15" t="n">
        <v>48.39384970764454</v>
      </c>
      <c r="CB128" s="15" t="n">
        <v>50.02468648168264</v>
      </c>
      <c r="CC128" s="15" t="n">
        <v>0</v>
      </c>
      <c r="CD128" s="15" t="n">
        <v>350.9838998211083</v>
      </c>
      <c r="CE128" s="15" t="n">
        <v>0</v>
      </c>
      <c r="CF128" s="15" t="n">
        <v>74.47325769854132</v>
      </c>
      <c r="CG128" s="15" t="n">
        <v>46.52121636796147</v>
      </c>
      <c r="CH128" s="15" t="n">
        <v>55.42467030729131</v>
      </c>
      <c r="CO128" s="15" t="n">
        <v>1</v>
      </c>
      <c r="CP128" s="15" t="n">
        <v>0</v>
      </c>
      <c r="CQ128" s="15" t="n">
        <v>0</v>
      </c>
      <c r="CR128" s="15" t="n">
        <v>0</v>
      </c>
      <c r="CS128" s="15" t="n">
        <v>0</v>
      </c>
      <c r="CT128" s="15" t="n">
        <v>92.14803810556161</v>
      </c>
      <c r="CU128" s="15" t="n">
        <v>22.35613804517082</v>
      </c>
      <c r="CV128" s="15" t="n">
        <v>0</v>
      </c>
      <c r="CW128" s="15" t="n">
        <v>31.45600230996896</v>
      </c>
      <c r="CX128" s="15" t="n">
        <v>32.51604621309372</v>
      </c>
      <c r="CY128" s="15" t="n">
        <v>0</v>
      </c>
      <c r="CZ128" s="15" t="n">
        <v>228.1395348837204</v>
      </c>
      <c r="DA128" s="15" t="n">
        <v>0</v>
      </c>
      <c r="DB128" s="15" t="n">
        <v>48.40761750405185</v>
      </c>
      <c r="DC128" s="15" t="n">
        <v>27.81055542288908</v>
      </c>
      <c r="DD128" s="15" t="n">
        <v>33.85169216899355</v>
      </c>
      <c r="DK128" s="15" t="n">
        <v>1</v>
      </c>
      <c r="DL128" s="15" t="n">
        <v>0</v>
      </c>
      <c r="DM128" s="15" t="n">
        <v>0</v>
      </c>
      <c r="DN128" s="15" t="n">
        <v>0</v>
      </c>
      <c r="DO128" s="15" t="n">
        <v>0</v>
      </c>
      <c r="DP128" s="15" t="n">
        <v>93.42071377217927</v>
      </c>
      <c r="DQ128" s="15" t="n">
        <v>23.62840521026157</v>
      </c>
      <c r="DR128" s="15" t="n">
        <v>0</v>
      </c>
      <c r="DS128" s="15" t="n">
        <v>31.45600230996896</v>
      </c>
      <c r="DT128" s="15" t="n">
        <v>32.51604621309372</v>
      </c>
      <c r="DU128" s="15" t="n">
        <v>0</v>
      </c>
      <c r="DV128" s="15" t="n">
        <v>228.1395348837204</v>
      </c>
      <c r="DW128" s="15" t="n">
        <v>0</v>
      </c>
      <c r="DX128" s="15" t="n">
        <v>48.40761750405185</v>
      </c>
      <c r="DY128" s="15" t="n">
        <v>29.06855205156405</v>
      </c>
      <c r="DZ128" s="15" t="n">
        <v>35.26255320606462</v>
      </c>
      <c r="EG128" s="15" t="n">
        <v>1</v>
      </c>
      <c r="EH128" s="15" t="n">
        <v>0</v>
      </c>
      <c r="EI128" s="15" t="n">
        <v>0</v>
      </c>
      <c r="EJ128" s="15" t="n">
        <v>0</v>
      </c>
      <c r="EK128" s="15" t="n">
        <v>0</v>
      </c>
      <c r="EL128" s="15" t="n">
        <v>93.42184154175591</v>
      </c>
      <c r="EM128" s="15" t="n">
        <v>23.88847826129662</v>
      </c>
      <c r="EN128" s="15" t="n">
        <v>0</v>
      </c>
      <c r="EO128" s="15" t="n">
        <v>31.45600230996896</v>
      </c>
      <c r="EP128" s="15" t="n">
        <v>32.51604621309372</v>
      </c>
      <c r="EQ128" s="15" t="n">
        <v>0</v>
      </c>
      <c r="ER128" s="15" t="n">
        <v>228.1395348837204</v>
      </c>
      <c r="ES128" s="15" t="n">
        <v>0</v>
      </c>
      <c r="ET128" s="15" t="n">
        <v>48.40761750405185</v>
      </c>
      <c r="EU128" s="15" t="n">
        <v>29.32698798333742</v>
      </c>
      <c r="EV128" s="15" t="n">
        <v>35.55238965138226</v>
      </c>
      <c r="FC128" s="15" t="n">
        <v>1</v>
      </c>
      <c r="FD128" s="15" t="n">
        <v>0</v>
      </c>
      <c r="FE128" s="15" t="n">
        <v>0</v>
      </c>
      <c r="FF128" s="15" t="n">
        <v>0</v>
      </c>
      <c r="FG128" s="15" t="n">
        <v>0</v>
      </c>
      <c r="FH128" s="15" t="n">
        <v>56.21656058950165</v>
      </c>
      <c r="FI128" s="15" t="n">
        <v>11.71047542861247</v>
      </c>
      <c r="FJ128" s="15" t="n">
        <v>0</v>
      </c>
      <c r="FK128" s="15" t="n">
        <v>19.35753988305782</v>
      </c>
      <c r="FL128" s="15" t="n">
        <v>20.00987459267306</v>
      </c>
      <c r="FM128" s="15" t="n">
        <v>0</v>
      </c>
      <c r="FN128" s="15" t="n">
        <v>140.3935599284433</v>
      </c>
      <c r="FO128" s="15" t="n">
        <v>0</v>
      </c>
      <c r="FP128" s="15" t="n">
        <v>29.78930307941652</v>
      </c>
      <c r="FQ128" s="15" t="n">
        <v>15.52896371958618</v>
      </c>
      <c r="FR128" s="15" t="n">
        <v>19.65720598620137</v>
      </c>
      <c r="FY128" s="15" t="n">
        <v>1</v>
      </c>
      <c r="FZ128" s="15" t="n">
        <v>0</v>
      </c>
      <c r="GA128" s="15" t="n">
        <v>0</v>
      </c>
      <c r="GB128" s="15" t="n">
        <v>0</v>
      </c>
      <c r="GC128" s="15" t="n">
        <v>0</v>
      </c>
      <c r="GD128" s="15" t="n">
        <v>57.48923625611931</v>
      </c>
      <c r="GE128" s="15" t="n">
        <v>12.98274259370323</v>
      </c>
      <c r="GF128" s="15" t="n">
        <v>0</v>
      </c>
      <c r="GG128" s="15" t="n">
        <v>19.35753988305782</v>
      </c>
      <c r="GH128" s="15" t="n">
        <v>20.00987459267306</v>
      </c>
      <c r="GI128" s="15" t="n">
        <v>0</v>
      </c>
      <c r="GJ128" s="15" t="n">
        <v>140.3935599284433</v>
      </c>
      <c r="GK128" s="15" t="n">
        <v>0</v>
      </c>
      <c r="GL128" s="15" t="n">
        <v>29.78930307941652</v>
      </c>
      <c r="GM128" s="15" t="n">
        <v>16.78696034826115</v>
      </c>
      <c r="GN128" s="15" t="n">
        <v>21.06806702327243</v>
      </c>
      <c r="GU128" s="15" t="n">
        <v>1</v>
      </c>
      <c r="GV128" s="15" t="n">
        <v>0</v>
      </c>
      <c r="GW128" s="15" t="n">
        <v>0</v>
      </c>
      <c r="GX128" s="15" t="n">
        <v>0</v>
      </c>
      <c r="GY128" s="15" t="n">
        <v>0</v>
      </c>
      <c r="GZ128" s="15" t="n">
        <v>57.49036402569595</v>
      </c>
      <c r="HA128" s="15" t="n">
        <v>13.24281564473827</v>
      </c>
      <c r="HB128" s="15" t="n">
        <v>0</v>
      </c>
      <c r="HC128" s="15" t="n">
        <v>19.35753988305782</v>
      </c>
      <c r="HD128" s="15" t="n">
        <v>20.00987459267306</v>
      </c>
      <c r="HE128" s="15" t="n">
        <v>0</v>
      </c>
      <c r="HF128" s="15" t="n">
        <v>140.3935599284433</v>
      </c>
      <c r="HG128" s="15" t="n">
        <v>0</v>
      </c>
      <c r="HH128" s="15" t="n">
        <v>29.78930307941652</v>
      </c>
      <c r="HI128" s="15" t="n">
        <v>17.04539628003452</v>
      </c>
      <c r="HJ128" s="15" t="n">
        <v>21.35790346859008</v>
      </c>
    </row>
    <row r="129">
      <c r="C129" s="15" t="n">
        <v>2</v>
      </c>
      <c r="D129" s="18">
        <f>Suppliers_stock_balance!D285</f>
        <v/>
      </c>
      <c r="E129" s="18">
        <f>Suppliers_stock_balance!E285</f>
        <v/>
      </c>
      <c r="F129" s="18">
        <f>Suppliers_stock_balance!F285</f>
        <v/>
      </c>
      <c r="G129" s="18">
        <f>Suppliers_stock_balance!G285</f>
        <v/>
      </c>
      <c r="H129" s="18">
        <f>Suppliers_stock_balance!H285</f>
        <v/>
      </c>
      <c r="I129" s="18">
        <f>Suppliers_stock_balance!I285</f>
        <v/>
      </c>
      <c r="J129" s="18">
        <f>Suppliers_stock_balance!J285</f>
        <v/>
      </c>
      <c r="K129" s="18">
        <f>Suppliers_stock_balance!K285</f>
        <v/>
      </c>
      <c r="L129" s="18">
        <f>Suppliers_stock_balance!L285</f>
        <v/>
      </c>
      <c r="M129" s="18">
        <f>Suppliers_stock_balance!M285</f>
        <v/>
      </c>
      <c r="N129" s="18">
        <f>Suppliers_stock_balance!N285</f>
        <v/>
      </c>
      <c r="O129" s="18">
        <f>Suppliers_stock_balance!O285</f>
        <v/>
      </c>
      <c r="P129" s="18">
        <f>Suppliers_stock_balance!P285</f>
        <v/>
      </c>
      <c r="Q129" s="18">
        <f>Suppliers_stock_balance!Q285</f>
        <v/>
      </c>
      <c r="R129" s="18">
        <f>Suppliers_stock_balance!R285</f>
        <v/>
      </c>
      <c r="AA129" s="15" t="n">
        <v>2</v>
      </c>
      <c r="AB129" s="15" t="n">
        <v>66.95602675394908</v>
      </c>
      <c r="AC129" s="15" t="n">
        <v>100.2022430593859</v>
      </c>
      <c r="AD129" s="15" t="n">
        <v>0</v>
      </c>
      <c r="AE129" s="15" t="n">
        <v>0</v>
      </c>
      <c r="AF129" s="15" t="n">
        <v>131.2132249929952</v>
      </c>
      <c r="AG129" s="15" t="n">
        <v>93.58208955223883</v>
      </c>
      <c r="AH129" s="15" t="n">
        <v>609.4155844155874</v>
      </c>
      <c r="AI129" s="15" t="n">
        <v>0</v>
      </c>
      <c r="AJ129" s="15" t="n">
        <v>0</v>
      </c>
      <c r="AK129" s="15" t="n">
        <v>56.26674185817002</v>
      </c>
      <c r="AL129" s="15" t="n">
        <v>0</v>
      </c>
      <c r="AM129" s="15" t="n">
        <v>84.2507729903182</v>
      </c>
      <c r="AN129" s="15" t="n">
        <v>102.5096815300444</v>
      </c>
      <c r="AO129" s="15" t="n">
        <v>152.5735294117646</v>
      </c>
      <c r="AP129" s="15" t="n">
        <v>68.88990931006772</v>
      </c>
      <c r="AW129" s="15" t="n">
        <v>2</v>
      </c>
      <c r="AX129" s="15" t="n">
        <v>66.95602675394908</v>
      </c>
      <c r="AY129" s="15" t="n">
        <v>100.2022430593859</v>
      </c>
      <c r="AZ129" s="15" t="n">
        <v>0</v>
      </c>
      <c r="BA129" s="15" t="n">
        <v>0</v>
      </c>
      <c r="BB129" s="15" t="n">
        <v>131.2132249929952</v>
      </c>
      <c r="BC129" s="15" t="n">
        <v>93.58208955223883</v>
      </c>
      <c r="BD129" s="15" t="n">
        <v>609.4155844155874</v>
      </c>
      <c r="BE129" s="15" t="n">
        <v>0</v>
      </c>
      <c r="BF129" s="15" t="n">
        <v>0</v>
      </c>
      <c r="BG129" s="15" t="n">
        <v>56.26674185817002</v>
      </c>
      <c r="BH129" s="15" t="n">
        <v>0</v>
      </c>
      <c r="BI129" s="15" t="n">
        <v>85.61213497726995</v>
      </c>
      <c r="BJ129" s="15" t="n">
        <v>103.8205169891075</v>
      </c>
      <c r="BK129" s="15" t="n">
        <v>152.5735294117646</v>
      </c>
      <c r="BL129" s="15" t="n">
        <v>68.88990931006772</v>
      </c>
      <c r="BS129" s="15" t="n">
        <v>2</v>
      </c>
      <c r="BT129" s="15" t="n">
        <v>66.95602675394908</v>
      </c>
      <c r="BU129" s="15" t="n">
        <v>100.2022430593859</v>
      </c>
      <c r="BV129" s="15" t="n">
        <v>0</v>
      </c>
      <c r="BW129" s="15" t="n">
        <v>0</v>
      </c>
      <c r="BX129" s="15" t="n">
        <v>131.2132249929952</v>
      </c>
      <c r="BY129" s="15" t="n">
        <v>93.58208955223883</v>
      </c>
      <c r="BZ129" s="15" t="n">
        <v>609.4155844155874</v>
      </c>
      <c r="CA129" s="15" t="n">
        <v>0</v>
      </c>
      <c r="CB129" s="15" t="n">
        <v>0</v>
      </c>
      <c r="CC129" s="15" t="n">
        <v>56.26674185817002</v>
      </c>
      <c r="CD129" s="15" t="n">
        <v>0</v>
      </c>
      <c r="CE129" s="15" t="n">
        <v>85.89413835075976</v>
      </c>
      <c r="CF129" s="15" t="n">
        <v>103.8205169891075</v>
      </c>
      <c r="CG129" s="15" t="n">
        <v>152.5735294117646</v>
      </c>
      <c r="CH129" s="15" t="n">
        <v>68.88990931006772</v>
      </c>
      <c r="CO129" s="15" t="n">
        <v>2</v>
      </c>
      <c r="CP129" s="15" t="n">
        <v>43.52141739006689</v>
      </c>
      <c r="CQ129" s="15" t="n">
        <v>65.13145798860083</v>
      </c>
      <c r="CR129" s="15" t="n">
        <v>0</v>
      </c>
      <c r="CS129" s="15" t="n">
        <v>0</v>
      </c>
      <c r="CT129" s="15" t="n">
        <v>85.28859624544691</v>
      </c>
      <c r="CU129" s="15" t="n">
        <v>60.82835820895524</v>
      </c>
      <c r="CV129" s="15" t="n">
        <v>396.1201298701318</v>
      </c>
      <c r="CW129" s="15" t="n">
        <v>0</v>
      </c>
      <c r="CX129" s="15" t="n">
        <v>0</v>
      </c>
      <c r="CY129" s="15" t="n">
        <v>36.57338220781051</v>
      </c>
      <c r="CZ129" s="15" t="n">
        <v>0</v>
      </c>
      <c r="DA129" s="15" t="n">
        <v>54.1878245674131</v>
      </c>
      <c r="DB129" s="15" t="n">
        <v>66.17250058385679</v>
      </c>
      <c r="DC129" s="15" t="n">
        <v>99.172794117647</v>
      </c>
      <c r="DD129" s="15" t="n">
        <v>44.77844105154402</v>
      </c>
      <c r="DK129" s="15" t="n">
        <v>2</v>
      </c>
      <c r="DL129" s="15" t="n">
        <v>43.52141739006689</v>
      </c>
      <c r="DM129" s="15" t="n">
        <v>65.13145798860083</v>
      </c>
      <c r="DN129" s="15" t="n">
        <v>0</v>
      </c>
      <c r="DO129" s="15" t="n">
        <v>0</v>
      </c>
      <c r="DP129" s="15" t="n">
        <v>85.28859624544691</v>
      </c>
      <c r="DQ129" s="15" t="n">
        <v>60.82835820895524</v>
      </c>
      <c r="DR129" s="15" t="n">
        <v>396.1201298701318</v>
      </c>
      <c r="DS129" s="15" t="n">
        <v>0</v>
      </c>
      <c r="DT129" s="15" t="n">
        <v>0</v>
      </c>
      <c r="DU129" s="15" t="n">
        <v>36.57338220781051</v>
      </c>
      <c r="DV129" s="15" t="n">
        <v>0</v>
      </c>
      <c r="DW129" s="15" t="n">
        <v>55.54918655436484</v>
      </c>
      <c r="DX129" s="15" t="n">
        <v>67.48333604291987</v>
      </c>
      <c r="DY129" s="15" t="n">
        <v>99.172794117647</v>
      </c>
      <c r="DZ129" s="15" t="n">
        <v>44.77844105154402</v>
      </c>
      <c r="EG129" s="15" t="n">
        <v>2</v>
      </c>
      <c r="EH129" s="15" t="n">
        <v>43.52141739006689</v>
      </c>
      <c r="EI129" s="15" t="n">
        <v>65.13145798860083</v>
      </c>
      <c r="EJ129" s="15" t="n">
        <v>0</v>
      </c>
      <c r="EK129" s="15" t="n">
        <v>0</v>
      </c>
      <c r="EL129" s="15" t="n">
        <v>85.28859624544691</v>
      </c>
      <c r="EM129" s="15" t="n">
        <v>60.82835820895524</v>
      </c>
      <c r="EN129" s="15" t="n">
        <v>396.1201298701318</v>
      </c>
      <c r="EO129" s="15" t="n">
        <v>0</v>
      </c>
      <c r="EP129" s="15" t="n">
        <v>0</v>
      </c>
      <c r="EQ129" s="15" t="n">
        <v>36.57338220781051</v>
      </c>
      <c r="ER129" s="15" t="n">
        <v>0</v>
      </c>
      <c r="ES129" s="15" t="n">
        <v>55.83118992785467</v>
      </c>
      <c r="ET129" s="15" t="n">
        <v>67.48333604291987</v>
      </c>
      <c r="EU129" s="15" t="n">
        <v>99.172794117647</v>
      </c>
      <c r="EV129" s="15" t="n">
        <v>44.77844105154402</v>
      </c>
      <c r="FC129" s="15" t="n">
        <v>2</v>
      </c>
      <c r="FD129" s="15" t="n">
        <v>26.78241070157963</v>
      </c>
      <c r="FE129" s="15" t="n">
        <v>40.08089722375436</v>
      </c>
      <c r="FF129" s="15" t="n">
        <v>0</v>
      </c>
      <c r="FG129" s="15" t="n">
        <v>0</v>
      </c>
      <c r="FH129" s="15" t="n">
        <v>52.48528999719809</v>
      </c>
      <c r="FI129" s="15" t="n">
        <v>37.43283582089553</v>
      </c>
      <c r="FJ129" s="15" t="n">
        <v>243.766233766235</v>
      </c>
      <c r="FK129" s="15" t="n">
        <v>0</v>
      </c>
      <c r="FL129" s="15" t="n">
        <v>0</v>
      </c>
      <c r="FM129" s="15" t="n">
        <v>22.50669674326801</v>
      </c>
      <c r="FN129" s="15" t="n">
        <v>0</v>
      </c>
      <c r="FO129" s="15" t="n">
        <v>32.71428997962374</v>
      </c>
      <c r="FP129" s="15" t="n">
        <v>40.21737133657991</v>
      </c>
      <c r="FQ129" s="15" t="n">
        <v>61.02941176470585</v>
      </c>
      <c r="FR129" s="15" t="n">
        <v>27.55596372402709</v>
      </c>
      <c r="FY129" s="15" t="n">
        <v>2</v>
      </c>
      <c r="FZ129" s="15" t="n">
        <v>26.78241070157963</v>
      </c>
      <c r="GA129" s="15" t="n">
        <v>40.08089722375436</v>
      </c>
      <c r="GB129" s="15" t="n">
        <v>0</v>
      </c>
      <c r="GC129" s="15" t="n">
        <v>0</v>
      </c>
      <c r="GD129" s="15" t="n">
        <v>52.48528999719809</v>
      </c>
      <c r="GE129" s="15" t="n">
        <v>37.43283582089553</v>
      </c>
      <c r="GF129" s="15" t="n">
        <v>243.766233766235</v>
      </c>
      <c r="GG129" s="15" t="n">
        <v>0</v>
      </c>
      <c r="GH129" s="15" t="n">
        <v>0</v>
      </c>
      <c r="GI129" s="15" t="n">
        <v>22.50669674326801</v>
      </c>
      <c r="GJ129" s="15" t="n">
        <v>0</v>
      </c>
      <c r="GK129" s="15" t="n">
        <v>34.07565196657547</v>
      </c>
      <c r="GL129" s="15" t="n">
        <v>41.52820679564299</v>
      </c>
      <c r="GM129" s="15" t="n">
        <v>61.02941176470585</v>
      </c>
      <c r="GN129" s="15" t="n">
        <v>27.55596372402709</v>
      </c>
      <c r="GU129" s="15" t="n">
        <v>2</v>
      </c>
      <c r="GV129" s="15" t="n">
        <v>26.78241070157963</v>
      </c>
      <c r="GW129" s="15" t="n">
        <v>40.08089722375436</v>
      </c>
      <c r="GX129" s="15" t="n">
        <v>0</v>
      </c>
      <c r="GY129" s="15" t="n">
        <v>0</v>
      </c>
      <c r="GZ129" s="15" t="n">
        <v>52.48528999719809</v>
      </c>
      <c r="HA129" s="15" t="n">
        <v>37.43283582089553</v>
      </c>
      <c r="HB129" s="15" t="n">
        <v>243.766233766235</v>
      </c>
      <c r="HC129" s="15" t="n">
        <v>0</v>
      </c>
      <c r="HD129" s="15" t="n">
        <v>0</v>
      </c>
      <c r="HE129" s="15" t="n">
        <v>22.50669674326801</v>
      </c>
      <c r="HF129" s="15" t="n">
        <v>0</v>
      </c>
      <c r="HG129" s="15" t="n">
        <v>34.3576553400653</v>
      </c>
      <c r="HH129" s="15" t="n">
        <v>41.52820679564299</v>
      </c>
      <c r="HI129" s="15" t="n">
        <v>61.02941176470585</v>
      </c>
      <c r="HJ129" s="15" t="n">
        <v>27.55596372402709</v>
      </c>
    </row>
    <row r="130">
      <c r="C130" s="15" t="n">
        <v>3</v>
      </c>
      <c r="D130" s="18">
        <f>Suppliers_stock_balance!D286</f>
        <v/>
      </c>
      <c r="E130" s="18">
        <f>Suppliers_stock_balance!E286</f>
        <v/>
      </c>
      <c r="F130" s="18">
        <f>Suppliers_stock_balance!F286</f>
        <v/>
      </c>
      <c r="G130" s="18">
        <f>Suppliers_stock_balance!G286</f>
        <v/>
      </c>
      <c r="H130" s="18">
        <f>Suppliers_stock_balance!H286</f>
        <v/>
      </c>
      <c r="I130" s="18">
        <f>Suppliers_stock_balance!I286</f>
        <v/>
      </c>
      <c r="J130" s="18">
        <f>Suppliers_stock_balance!J286</f>
        <v/>
      </c>
      <c r="K130" s="18">
        <f>Suppliers_stock_balance!K286</f>
        <v/>
      </c>
      <c r="L130" s="18">
        <f>Suppliers_stock_balance!L286</f>
        <v/>
      </c>
      <c r="M130" s="18">
        <f>Suppliers_stock_balance!M286</f>
        <v/>
      </c>
      <c r="N130" s="18">
        <f>Suppliers_stock_balance!N286</f>
        <v/>
      </c>
      <c r="O130" s="18">
        <f>Suppliers_stock_balance!O286</f>
        <v/>
      </c>
      <c r="P130" s="18">
        <f>Suppliers_stock_balance!P286</f>
        <v/>
      </c>
      <c r="Q130" s="18">
        <f>Suppliers_stock_balance!Q286</f>
        <v/>
      </c>
      <c r="R130" s="18">
        <f>Suppliers_stock_balance!R286</f>
        <v/>
      </c>
      <c r="AA130" s="15" t="n">
        <v>3</v>
      </c>
      <c r="AB130" s="15" t="n">
        <v>47.15643860806864</v>
      </c>
      <c r="AC130" s="15" t="n">
        <v>0</v>
      </c>
      <c r="AD130" s="15" t="n">
        <v>0</v>
      </c>
      <c r="AE130" s="15" t="n">
        <v>72.71914172554908</v>
      </c>
      <c r="AF130" s="15" t="n">
        <v>0</v>
      </c>
      <c r="AG130" s="15" t="n">
        <v>35.71700316709929</v>
      </c>
      <c r="AH130" s="15" t="n">
        <v>22.9303272874508</v>
      </c>
      <c r="AI130" s="15" t="n">
        <v>0</v>
      </c>
      <c r="AJ130" s="15" t="n">
        <v>0</v>
      </c>
      <c r="AK130" s="15" t="n">
        <v>0</v>
      </c>
      <c r="AL130" s="15" t="n">
        <v>24.74274452973391</v>
      </c>
      <c r="AM130" s="15" t="n">
        <v>412.1512151215116</v>
      </c>
      <c r="AN130" s="15" t="n">
        <v>0</v>
      </c>
      <c r="AO130" s="15" t="n">
        <v>0</v>
      </c>
      <c r="AP130" s="15" t="n">
        <v>65.86171835282155</v>
      </c>
      <c r="AW130" s="15" t="n">
        <v>3</v>
      </c>
      <c r="AX130" s="15" t="n">
        <v>48.77958718325051</v>
      </c>
      <c r="AY130" s="15" t="n">
        <v>0</v>
      </c>
      <c r="AZ130" s="15" t="n">
        <v>0</v>
      </c>
      <c r="BA130" s="15" t="n">
        <v>72.88496652465</v>
      </c>
      <c r="BB130" s="15" t="n">
        <v>0</v>
      </c>
      <c r="BC130" s="15" t="n">
        <v>37.30295762618613</v>
      </c>
      <c r="BD130" s="15" t="n">
        <v>24.08429979641712</v>
      </c>
      <c r="BE130" s="15" t="n">
        <v>0</v>
      </c>
      <c r="BF130" s="15" t="n">
        <v>0</v>
      </c>
      <c r="BG130" s="15" t="n">
        <v>0</v>
      </c>
      <c r="BH130" s="15" t="n">
        <v>25.66619488447543</v>
      </c>
      <c r="BI130" s="15" t="n">
        <v>412.1512151215116</v>
      </c>
      <c r="BJ130" s="15" t="n">
        <v>0</v>
      </c>
      <c r="BK130" s="15" t="n">
        <v>0</v>
      </c>
      <c r="BL130" s="15" t="n">
        <v>65.86171835282155</v>
      </c>
      <c r="BS130" s="15" t="n">
        <v>3</v>
      </c>
      <c r="BT130" s="15" t="n">
        <v>49.1113171720953</v>
      </c>
      <c r="BU130" s="15" t="n">
        <v>0</v>
      </c>
      <c r="BV130" s="15" t="n">
        <v>0</v>
      </c>
      <c r="BW130" s="15" t="n">
        <v>72.88496652465</v>
      </c>
      <c r="BX130" s="15" t="n">
        <v>0</v>
      </c>
      <c r="BY130" s="15" t="n">
        <v>37.62482637011253</v>
      </c>
      <c r="BZ130" s="15" t="n">
        <v>24.3169272874508</v>
      </c>
      <c r="CA130" s="15" t="n">
        <v>0</v>
      </c>
      <c r="CB130" s="15" t="n">
        <v>0</v>
      </c>
      <c r="CC130" s="15" t="n">
        <v>0</v>
      </c>
      <c r="CD130" s="15" t="n">
        <v>25.85460792382372</v>
      </c>
      <c r="CE130" s="15" t="n">
        <v>412.1512151215116</v>
      </c>
      <c r="CF130" s="15" t="n">
        <v>0</v>
      </c>
      <c r="CG130" s="15" t="n">
        <v>0</v>
      </c>
      <c r="CH130" s="15" t="n">
        <v>65.86171835282155</v>
      </c>
      <c r="CO130" s="15" t="n">
        <v>3</v>
      </c>
      <c r="CP130" s="15" t="n">
        <v>28.09191466883978</v>
      </c>
      <c r="CQ130" s="15" t="n">
        <v>0</v>
      </c>
      <c r="CR130" s="15" t="n">
        <v>0</v>
      </c>
      <c r="CS130" s="15" t="n">
        <v>47.20940344192157</v>
      </c>
      <c r="CT130" s="15" t="n">
        <v>0</v>
      </c>
      <c r="CU130" s="15" t="n">
        <v>20.0983276836808</v>
      </c>
      <c r="CV130" s="15" t="n">
        <v>12.85981113231526</v>
      </c>
      <c r="CW130" s="15" t="n">
        <v>0</v>
      </c>
      <c r="CX130" s="15" t="n">
        <v>0</v>
      </c>
      <c r="CY130" s="15" t="n">
        <v>0</v>
      </c>
      <c r="CZ130" s="15" t="n">
        <v>14.45474452973391</v>
      </c>
      <c r="DA130" s="15" t="n">
        <v>267.8982898289825</v>
      </c>
      <c r="DB130" s="15" t="n">
        <v>0</v>
      </c>
      <c r="DC130" s="15" t="n">
        <v>0</v>
      </c>
      <c r="DD130" s="15" t="n">
        <v>42.81011692933401</v>
      </c>
      <c r="DK130" s="15" t="n">
        <v>3</v>
      </c>
      <c r="DL130" s="15" t="n">
        <v>29.71506324402165</v>
      </c>
      <c r="DM130" s="15" t="n">
        <v>0</v>
      </c>
      <c r="DN130" s="15" t="n">
        <v>0</v>
      </c>
      <c r="DO130" s="15" t="n">
        <v>47.3752282410225</v>
      </c>
      <c r="DP130" s="15" t="n">
        <v>0</v>
      </c>
      <c r="DQ130" s="15" t="n">
        <v>21.68428214276764</v>
      </c>
      <c r="DR130" s="15" t="n">
        <v>14.01378364128158</v>
      </c>
      <c r="DS130" s="15" t="n">
        <v>0</v>
      </c>
      <c r="DT130" s="15" t="n">
        <v>0</v>
      </c>
      <c r="DU130" s="15" t="n">
        <v>0</v>
      </c>
      <c r="DV130" s="15" t="n">
        <v>15.37819488447543</v>
      </c>
      <c r="DW130" s="15" t="n">
        <v>267.8982898289825</v>
      </c>
      <c r="DX130" s="15" t="n">
        <v>0</v>
      </c>
      <c r="DY130" s="15" t="n">
        <v>0</v>
      </c>
      <c r="DZ130" s="15" t="n">
        <v>42.81011692933401</v>
      </c>
      <c r="EG130" s="15" t="n">
        <v>3</v>
      </c>
      <c r="EH130" s="15" t="n">
        <v>30.04679323286644</v>
      </c>
      <c r="EI130" s="15" t="n">
        <v>0</v>
      </c>
      <c r="EJ130" s="15" t="n">
        <v>0</v>
      </c>
      <c r="EK130" s="15" t="n">
        <v>47.3752282410225</v>
      </c>
      <c r="EL130" s="15" t="n">
        <v>0</v>
      </c>
      <c r="EM130" s="15" t="n">
        <v>22.00615088669403</v>
      </c>
      <c r="EN130" s="15" t="n">
        <v>14.24641113231526</v>
      </c>
      <c r="EO130" s="15" t="n">
        <v>0</v>
      </c>
      <c r="EP130" s="15" t="n">
        <v>0</v>
      </c>
      <c r="EQ130" s="15" t="n">
        <v>0</v>
      </c>
      <c r="ER130" s="15" t="n">
        <v>15.56660792382372</v>
      </c>
      <c r="ES130" s="15" t="n">
        <v>267.8982898289825</v>
      </c>
      <c r="ET130" s="15" t="n">
        <v>0</v>
      </c>
      <c r="EU130" s="15" t="n">
        <v>0</v>
      </c>
      <c r="EV130" s="15" t="n">
        <v>42.81011692933401</v>
      </c>
      <c r="FC130" s="15" t="n">
        <v>3</v>
      </c>
      <c r="FD130" s="15" t="n">
        <v>14.47439756939059</v>
      </c>
      <c r="FE130" s="15" t="n">
        <v>0</v>
      </c>
      <c r="FF130" s="15" t="n">
        <v>0</v>
      </c>
      <c r="FG130" s="15" t="n">
        <v>28.98816181075908</v>
      </c>
      <c r="FH130" s="15" t="n">
        <v>0</v>
      </c>
      <c r="FI130" s="15" t="n">
        <v>8.942130909810446</v>
      </c>
      <c r="FJ130" s="15" t="n">
        <v>5.666585307218443</v>
      </c>
      <c r="FK130" s="15" t="n">
        <v>0</v>
      </c>
      <c r="FL130" s="15" t="n">
        <v>0</v>
      </c>
      <c r="FM130" s="15" t="n">
        <v>0</v>
      </c>
      <c r="FN130" s="15" t="n">
        <v>7.106173101162475</v>
      </c>
      <c r="FO130" s="15" t="n">
        <v>164.8604860486047</v>
      </c>
      <c r="FP130" s="15" t="n">
        <v>0</v>
      </c>
      <c r="FQ130" s="15" t="n">
        <v>0</v>
      </c>
      <c r="FR130" s="15" t="n">
        <v>26.34468734112862</v>
      </c>
      <c r="FY130" s="15" t="n">
        <v>3</v>
      </c>
      <c r="FZ130" s="15" t="n">
        <v>16.09754614457246</v>
      </c>
      <c r="GA130" s="15" t="n">
        <v>0</v>
      </c>
      <c r="GB130" s="15" t="n">
        <v>0</v>
      </c>
      <c r="GC130" s="15" t="n">
        <v>29.15398660986</v>
      </c>
      <c r="GD130" s="15" t="n">
        <v>0</v>
      </c>
      <c r="GE130" s="15" t="n">
        <v>10.52808536889728</v>
      </c>
      <c r="GF130" s="15" t="n">
        <v>6.820557816184761</v>
      </c>
      <c r="GG130" s="15" t="n">
        <v>0</v>
      </c>
      <c r="GH130" s="15" t="n">
        <v>0</v>
      </c>
      <c r="GI130" s="15" t="n">
        <v>0</v>
      </c>
      <c r="GJ130" s="15" t="n">
        <v>8.029623455903998</v>
      </c>
      <c r="GK130" s="15" t="n">
        <v>164.8604860486047</v>
      </c>
      <c r="GL130" s="15" t="n">
        <v>0</v>
      </c>
      <c r="GM130" s="15" t="n">
        <v>0</v>
      </c>
      <c r="GN130" s="15" t="n">
        <v>26.34468734112862</v>
      </c>
      <c r="GU130" s="15" t="n">
        <v>3</v>
      </c>
      <c r="GV130" s="15" t="n">
        <v>16.42927613341725</v>
      </c>
      <c r="GW130" s="15" t="n">
        <v>0</v>
      </c>
      <c r="GX130" s="15" t="n">
        <v>0</v>
      </c>
      <c r="GY130" s="15" t="n">
        <v>29.15398660986</v>
      </c>
      <c r="GZ130" s="15" t="n">
        <v>0</v>
      </c>
      <c r="HA130" s="15" t="n">
        <v>10.84995411282368</v>
      </c>
      <c r="HB130" s="15" t="n">
        <v>7.053185307218444</v>
      </c>
      <c r="HC130" s="15" t="n">
        <v>0</v>
      </c>
      <c r="HD130" s="15" t="n">
        <v>0</v>
      </c>
      <c r="HE130" s="15" t="n">
        <v>0</v>
      </c>
      <c r="HF130" s="15" t="n">
        <v>8.218036495252289</v>
      </c>
      <c r="HG130" s="15" t="n">
        <v>164.8604860486047</v>
      </c>
      <c r="HH130" s="15" t="n">
        <v>0</v>
      </c>
      <c r="HI130" s="15" t="n">
        <v>0</v>
      </c>
      <c r="HJ130" s="15" t="n">
        <v>26.34468734112862</v>
      </c>
    </row>
    <row r="132">
      <c r="B132" s="15" t="inlineStr">
        <is>
          <t>NOVA</t>
        </is>
      </c>
      <c r="C132" s="15" t="inlineStr">
        <is>
          <t>vMaxNumOfCyclesw</t>
        </is>
      </c>
      <c r="D132" s="15" t="n">
        <v>1</v>
      </c>
      <c r="E132" s="15" t="n">
        <v>2</v>
      </c>
      <c r="F132" s="15" t="n">
        <v>3</v>
      </c>
      <c r="G132" s="15" t="n">
        <v>4</v>
      </c>
      <c r="H132" s="15" t="n">
        <v>5</v>
      </c>
      <c r="I132" s="15" t="n">
        <v>6</v>
      </c>
      <c r="J132" s="15" t="n">
        <v>7</v>
      </c>
      <c r="K132" s="15" t="n">
        <v>8</v>
      </c>
      <c r="L132" s="15" t="n">
        <v>9</v>
      </c>
      <c r="M132" s="15" t="n">
        <v>10</v>
      </c>
      <c r="N132" s="15" t="n">
        <v>11</v>
      </c>
      <c r="O132" s="15" t="n">
        <v>12</v>
      </c>
      <c r="P132" s="15" t="n">
        <v>13</v>
      </c>
      <c r="Q132" s="15" t="n">
        <v>14</v>
      </c>
      <c r="R132" s="15" t="n">
        <v>15</v>
      </c>
      <c r="Z132" s="15" t="inlineStr">
        <is>
          <t>NOVA</t>
        </is>
      </c>
      <c r="AA132" s="15" t="inlineStr">
        <is>
          <t>vMaxNumOfCyclesw</t>
        </is>
      </c>
      <c r="AB132" s="15" t="n">
        <v>1</v>
      </c>
      <c r="AC132" s="15" t="n">
        <v>2</v>
      </c>
      <c r="AD132" s="15" t="n">
        <v>3</v>
      </c>
      <c r="AE132" s="15" t="n">
        <v>4</v>
      </c>
      <c r="AF132" s="15" t="n">
        <v>5</v>
      </c>
      <c r="AG132" s="15" t="n">
        <v>6</v>
      </c>
      <c r="AH132" s="15" t="n">
        <v>7</v>
      </c>
      <c r="AI132" s="15" t="n">
        <v>8</v>
      </c>
      <c r="AJ132" s="15" t="n">
        <v>9</v>
      </c>
      <c r="AK132" s="15" t="n">
        <v>10</v>
      </c>
      <c r="AL132" s="15" t="n">
        <v>11</v>
      </c>
      <c r="AM132" s="15" t="n">
        <v>12</v>
      </c>
      <c r="AN132" s="15" t="n">
        <v>13</v>
      </c>
      <c r="AO132" s="15" t="n">
        <v>14</v>
      </c>
      <c r="AP132" s="15" t="n">
        <v>15</v>
      </c>
      <c r="AV132" s="15" t="inlineStr">
        <is>
          <t>NOVA</t>
        </is>
      </c>
      <c r="AW132" s="15" t="inlineStr">
        <is>
          <t>vMaxNumOfCyclesw</t>
        </is>
      </c>
      <c r="AX132" s="15" t="n">
        <v>1</v>
      </c>
      <c r="AY132" s="15" t="n">
        <v>2</v>
      </c>
      <c r="AZ132" s="15" t="n">
        <v>3</v>
      </c>
      <c r="BA132" s="15" t="n">
        <v>4</v>
      </c>
      <c r="BB132" s="15" t="n">
        <v>5</v>
      </c>
      <c r="BC132" s="15" t="n">
        <v>6</v>
      </c>
      <c r="BD132" s="15" t="n">
        <v>7</v>
      </c>
      <c r="BE132" s="15" t="n">
        <v>8</v>
      </c>
      <c r="BF132" s="15" t="n">
        <v>9</v>
      </c>
      <c r="BG132" s="15" t="n">
        <v>10</v>
      </c>
      <c r="BH132" s="15" t="n">
        <v>11</v>
      </c>
      <c r="BI132" s="15" t="n">
        <v>12</v>
      </c>
      <c r="BJ132" s="15" t="n">
        <v>13</v>
      </c>
      <c r="BK132" s="15" t="n">
        <v>14</v>
      </c>
      <c r="BL132" s="15" t="n">
        <v>15</v>
      </c>
      <c r="BR132" s="15" t="inlineStr">
        <is>
          <t>NOVA</t>
        </is>
      </c>
      <c r="BS132" s="15" t="inlineStr">
        <is>
          <t>vMaxNumOfCyclesw</t>
        </is>
      </c>
      <c r="BT132" s="15" t="n">
        <v>1</v>
      </c>
      <c r="BU132" s="15" t="n">
        <v>2</v>
      </c>
      <c r="BV132" s="15" t="n">
        <v>3</v>
      </c>
      <c r="BW132" s="15" t="n">
        <v>4</v>
      </c>
      <c r="BX132" s="15" t="n">
        <v>5</v>
      </c>
      <c r="BY132" s="15" t="n">
        <v>6</v>
      </c>
      <c r="BZ132" s="15" t="n">
        <v>7</v>
      </c>
      <c r="CA132" s="15" t="n">
        <v>8</v>
      </c>
      <c r="CB132" s="15" t="n">
        <v>9</v>
      </c>
      <c r="CC132" s="15" t="n">
        <v>10</v>
      </c>
      <c r="CD132" s="15" t="n">
        <v>11</v>
      </c>
      <c r="CE132" s="15" t="n">
        <v>12</v>
      </c>
      <c r="CF132" s="15" t="n">
        <v>13</v>
      </c>
      <c r="CG132" s="15" t="n">
        <v>14</v>
      </c>
      <c r="CH132" s="15" t="n">
        <v>15</v>
      </c>
      <c r="CN132" s="15" t="inlineStr">
        <is>
          <t>NOVA</t>
        </is>
      </c>
      <c r="CO132" s="15" t="inlineStr">
        <is>
          <t>vMaxNumOfCyclesw</t>
        </is>
      </c>
      <c r="CP132" s="15" t="n">
        <v>1</v>
      </c>
      <c r="CQ132" s="15" t="n">
        <v>2</v>
      </c>
      <c r="CR132" s="15" t="n">
        <v>3</v>
      </c>
      <c r="CS132" s="15" t="n">
        <v>4</v>
      </c>
      <c r="CT132" s="15" t="n">
        <v>5</v>
      </c>
      <c r="CU132" s="15" t="n">
        <v>6</v>
      </c>
      <c r="CV132" s="15" t="n">
        <v>7</v>
      </c>
      <c r="CW132" s="15" t="n">
        <v>8</v>
      </c>
      <c r="CX132" s="15" t="n">
        <v>9</v>
      </c>
      <c r="CY132" s="15" t="n">
        <v>10</v>
      </c>
      <c r="CZ132" s="15" t="n">
        <v>11</v>
      </c>
      <c r="DA132" s="15" t="n">
        <v>12</v>
      </c>
      <c r="DB132" s="15" t="n">
        <v>13</v>
      </c>
      <c r="DC132" s="15" t="n">
        <v>14</v>
      </c>
      <c r="DD132" s="15" t="n">
        <v>15</v>
      </c>
      <c r="DJ132" s="15" t="inlineStr">
        <is>
          <t>NOVA</t>
        </is>
      </c>
      <c r="DK132" s="15" t="inlineStr">
        <is>
          <t>vMaxNumOfCyclesw</t>
        </is>
      </c>
      <c r="DL132" s="15" t="n">
        <v>1</v>
      </c>
      <c r="DM132" s="15" t="n">
        <v>2</v>
      </c>
      <c r="DN132" s="15" t="n">
        <v>3</v>
      </c>
      <c r="DO132" s="15" t="n">
        <v>4</v>
      </c>
      <c r="DP132" s="15" t="n">
        <v>5</v>
      </c>
      <c r="DQ132" s="15" t="n">
        <v>6</v>
      </c>
      <c r="DR132" s="15" t="n">
        <v>7</v>
      </c>
      <c r="DS132" s="15" t="n">
        <v>8</v>
      </c>
      <c r="DT132" s="15" t="n">
        <v>9</v>
      </c>
      <c r="DU132" s="15" t="n">
        <v>10</v>
      </c>
      <c r="DV132" s="15" t="n">
        <v>11</v>
      </c>
      <c r="DW132" s="15" t="n">
        <v>12</v>
      </c>
      <c r="DX132" s="15" t="n">
        <v>13</v>
      </c>
      <c r="DY132" s="15" t="n">
        <v>14</v>
      </c>
      <c r="DZ132" s="15" t="n">
        <v>15</v>
      </c>
      <c r="EF132" s="15" t="inlineStr">
        <is>
          <t>NOVA</t>
        </is>
      </c>
      <c r="EG132" s="15" t="inlineStr">
        <is>
          <t>vMaxNumOfCyclesw</t>
        </is>
      </c>
      <c r="EH132" s="15" t="n">
        <v>1</v>
      </c>
      <c r="EI132" s="15" t="n">
        <v>2</v>
      </c>
      <c r="EJ132" s="15" t="n">
        <v>3</v>
      </c>
      <c r="EK132" s="15" t="n">
        <v>4</v>
      </c>
      <c r="EL132" s="15" t="n">
        <v>5</v>
      </c>
      <c r="EM132" s="15" t="n">
        <v>6</v>
      </c>
      <c r="EN132" s="15" t="n">
        <v>7</v>
      </c>
      <c r="EO132" s="15" t="n">
        <v>8</v>
      </c>
      <c r="EP132" s="15" t="n">
        <v>9</v>
      </c>
      <c r="EQ132" s="15" t="n">
        <v>10</v>
      </c>
      <c r="ER132" s="15" t="n">
        <v>11</v>
      </c>
      <c r="ES132" s="15" t="n">
        <v>12</v>
      </c>
      <c r="ET132" s="15" t="n">
        <v>13</v>
      </c>
      <c r="EU132" s="15" t="n">
        <v>14</v>
      </c>
      <c r="EV132" s="15" t="n">
        <v>15</v>
      </c>
      <c r="FB132" s="15" t="inlineStr">
        <is>
          <t>NOVA</t>
        </is>
      </c>
      <c r="FC132" s="15" t="inlineStr">
        <is>
          <t>vMaxNumOfCyclesw</t>
        </is>
      </c>
      <c r="FD132" s="15" t="n">
        <v>1</v>
      </c>
      <c r="FE132" s="15" t="n">
        <v>2</v>
      </c>
      <c r="FF132" s="15" t="n">
        <v>3</v>
      </c>
      <c r="FG132" s="15" t="n">
        <v>4</v>
      </c>
      <c r="FH132" s="15" t="n">
        <v>5</v>
      </c>
      <c r="FI132" s="15" t="n">
        <v>6</v>
      </c>
      <c r="FJ132" s="15" t="n">
        <v>7</v>
      </c>
      <c r="FK132" s="15" t="n">
        <v>8</v>
      </c>
      <c r="FL132" s="15" t="n">
        <v>9</v>
      </c>
      <c r="FM132" s="15" t="n">
        <v>10</v>
      </c>
      <c r="FN132" s="15" t="n">
        <v>11</v>
      </c>
      <c r="FO132" s="15" t="n">
        <v>12</v>
      </c>
      <c r="FP132" s="15" t="n">
        <v>13</v>
      </c>
      <c r="FQ132" s="15" t="n">
        <v>14</v>
      </c>
      <c r="FR132" s="15" t="n">
        <v>15</v>
      </c>
      <c r="FX132" s="15" t="inlineStr">
        <is>
          <t>NOVA</t>
        </is>
      </c>
      <c r="FY132" s="15" t="inlineStr">
        <is>
          <t>vMaxNumOfCyclesw</t>
        </is>
      </c>
      <c r="FZ132" s="15" t="n">
        <v>1</v>
      </c>
      <c r="GA132" s="15" t="n">
        <v>2</v>
      </c>
      <c r="GB132" s="15" t="n">
        <v>3</v>
      </c>
      <c r="GC132" s="15" t="n">
        <v>4</v>
      </c>
      <c r="GD132" s="15" t="n">
        <v>5</v>
      </c>
      <c r="GE132" s="15" t="n">
        <v>6</v>
      </c>
      <c r="GF132" s="15" t="n">
        <v>7</v>
      </c>
      <c r="GG132" s="15" t="n">
        <v>8</v>
      </c>
      <c r="GH132" s="15" t="n">
        <v>9</v>
      </c>
      <c r="GI132" s="15" t="n">
        <v>10</v>
      </c>
      <c r="GJ132" s="15" t="n">
        <v>11</v>
      </c>
      <c r="GK132" s="15" t="n">
        <v>12</v>
      </c>
      <c r="GL132" s="15" t="n">
        <v>13</v>
      </c>
      <c r="GM132" s="15" t="n">
        <v>14</v>
      </c>
      <c r="GN132" s="15" t="n">
        <v>15</v>
      </c>
      <c r="GT132" s="15" t="inlineStr">
        <is>
          <t>NOVA</t>
        </is>
      </c>
      <c r="GU132" s="15" t="inlineStr">
        <is>
          <t>vMaxNumOfCyclesw</t>
        </is>
      </c>
      <c r="GV132" s="15" t="n">
        <v>1</v>
      </c>
      <c r="GW132" s="15" t="n">
        <v>2</v>
      </c>
      <c r="GX132" s="15" t="n">
        <v>3</v>
      </c>
      <c r="GY132" s="15" t="n">
        <v>4</v>
      </c>
      <c r="GZ132" s="15" t="n">
        <v>5</v>
      </c>
      <c r="HA132" s="15" t="n">
        <v>6</v>
      </c>
      <c r="HB132" s="15" t="n">
        <v>7</v>
      </c>
      <c r="HC132" s="15" t="n">
        <v>8</v>
      </c>
      <c r="HD132" s="15" t="n">
        <v>9</v>
      </c>
      <c r="HE132" s="15" t="n">
        <v>10</v>
      </c>
      <c r="HF132" s="15" t="n">
        <v>11</v>
      </c>
      <c r="HG132" s="15" t="n">
        <v>12</v>
      </c>
      <c r="HH132" s="15" t="n">
        <v>13</v>
      </c>
      <c r="HI132" s="15" t="n">
        <v>14</v>
      </c>
      <c r="HJ132" s="15" t="n">
        <v>15</v>
      </c>
    </row>
    <row r="133">
      <c r="C133" s="15" t="n">
        <v>1</v>
      </c>
      <c r="D133" s="15">
        <f>Suppliers_stock_balance!D290</f>
        <v/>
      </c>
      <c r="E133" s="15">
        <f>Suppliers_stock_balance!E290</f>
        <v/>
      </c>
      <c r="F133" s="15">
        <f>Suppliers_stock_balance!F290</f>
        <v/>
      </c>
      <c r="G133" s="15">
        <f>Suppliers_stock_balance!G290</f>
        <v/>
      </c>
      <c r="H133" s="15">
        <f>Suppliers_stock_balance!H290</f>
        <v/>
      </c>
      <c r="I133" s="15">
        <f>Suppliers_stock_balance!I290</f>
        <v/>
      </c>
      <c r="J133" s="15">
        <f>Suppliers_stock_balance!J290</f>
        <v/>
      </c>
      <c r="K133" s="15">
        <f>Suppliers_stock_balance!K290</f>
        <v/>
      </c>
      <c r="L133" s="15">
        <f>Suppliers_stock_balance!L290</f>
        <v/>
      </c>
      <c r="M133" s="15">
        <f>Suppliers_stock_balance!M290</f>
        <v/>
      </c>
      <c r="N133" s="15">
        <f>Suppliers_stock_balance!N290</f>
        <v/>
      </c>
      <c r="O133" s="15">
        <f>Suppliers_stock_balance!O290</f>
        <v/>
      </c>
      <c r="P133" s="15">
        <f>Suppliers_stock_balance!P290</f>
        <v/>
      </c>
      <c r="Q133" s="15">
        <f>Suppliers_stock_balance!Q290</f>
        <v/>
      </c>
      <c r="R133" s="15">
        <f>Suppliers_stock_balance!R290</f>
        <v/>
      </c>
      <c r="T133" s="39">
        <f>SUM(D133:R135)</f>
        <v/>
      </c>
      <c r="U133" s="39" t="n">
        <v>212.8600395074471</v>
      </c>
      <c r="V133" s="39">
        <f>T133-U133</f>
        <v/>
      </c>
      <c r="W133" s="39" t="n"/>
      <c r="X133" s="39" t="n"/>
      <c r="AA133" s="15" t="n">
        <v>1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9.631650211497332</v>
      </c>
      <c r="AG133" s="15" t="n">
        <v>2.603778176684312</v>
      </c>
      <c r="AH133" s="15" t="n">
        <v>0</v>
      </c>
      <c r="AI133" s="15" t="n">
        <v>3.349055343089588</v>
      </c>
      <c r="AJ133" s="15" t="n">
        <v>3.995581987354844</v>
      </c>
      <c r="AK133" s="15" t="n">
        <v>0</v>
      </c>
      <c r="AL133" s="15" t="n">
        <v>26.2712499866099</v>
      </c>
      <c r="AM133" s="15" t="n">
        <v>0</v>
      </c>
      <c r="AN133" s="15" t="n">
        <v>5.104404228823942</v>
      </c>
      <c r="AO133" s="15" t="n">
        <v>3.15159550472781</v>
      </c>
      <c r="AP133" s="15" t="n">
        <v>3.349374864395424</v>
      </c>
      <c r="AW133" s="15" t="n">
        <v>1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9.717699952309886</v>
      </c>
      <c r="BC133" s="15" t="n">
        <v>2.692685735390863</v>
      </c>
      <c r="BD133" s="15" t="n">
        <v>0</v>
      </c>
      <c r="BE133" s="15" t="n">
        <v>3.349055343089588</v>
      </c>
      <c r="BF133" s="15" t="n">
        <v>3.995581987354844</v>
      </c>
      <c r="BG133" s="15" t="n">
        <v>0</v>
      </c>
      <c r="BH133" s="15" t="n">
        <v>26.2712499866099</v>
      </c>
      <c r="BI133" s="15" t="n">
        <v>0</v>
      </c>
      <c r="BJ133" s="15" t="n">
        <v>5.104404228823942</v>
      </c>
      <c r="BK133" s="15" t="n">
        <v>3.239690506735861</v>
      </c>
      <c r="BL133" s="15" t="n">
        <v>3.437333781918559</v>
      </c>
      <c r="BS133" s="15" t="n">
        <v>1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9.717776204478692</v>
      </c>
      <c r="BY133" s="15" t="n">
        <v>2.710859952793732</v>
      </c>
      <c r="BZ133" s="15" t="n">
        <v>0</v>
      </c>
      <c r="CA133" s="15" t="n">
        <v>3.349055343089588</v>
      </c>
      <c r="CB133" s="15" t="n">
        <v>3.995581987354844</v>
      </c>
      <c r="CC133" s="15" t="n">
        <v>0</v>
      </c>
      <c r="CD133" s="15" t="n">
        <v>26.2712499866099</v>
      </c>
      <c r="CE133" s="15" t="n">
        <v>0</v>
      </c>
      <c r="CF133" s="15" t="n">
        <v>5.104404228823942</v>
      </c>
      <c r="CG133" s="15" t="n">
        <v>3.257788261061728</v>
      </c>
      <c r="CH133" s="15" t="n">
        <v>3.455403385741354</v>
      </c>
      <c r="CO133" s="15" t="n">
        <v>1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6.230428539929791</v>
      </c>
      <c r="CU133" s="15" t="n">
        <v>1.562273797705857</v>
      </c>
      <c r="CV133" s="15" t="n">
        <v>0</v>
      </c>
      <c r="CW133" s="15" t="n">
        <v>2.176885973008232</v>
      </c>
      <c r="CX133" s="15" t="n">
        <v>2.597128291780648</v>
      </c>
      <c r="CY133" s="15" t="n">
        <v>0</v>
      </c>
      <c r="CZ133" s="15" t="n">
        <v>17.07631249129643</v>
      </c>
      <c r="DA133" s="15" t="n">
        <v>0</v>
      </c>
      <c r="DB133" s="15" t="n">
        <v>3.317862748735562</v>
      </c>
      <c r="DC133" s="15" t="n">
        <v>1.947517886756939</v>
      </c>
      <c r="DD133" s="15" t="n">
        <v>2.110454624002092</v>
      </c>
      <c r="DK133" s="15" t="n">
        <v>1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6.316478280742344</v>
      </c>
      <c r="DQ133" s="15" t="n">
        <v>1.651181356412409</v>
      </c>
      <c r="DR133" s="15" t="n">
        <v>0</v>
      </c>
      <c r="DS133" s="15" t="n">
        <v>2.176885973008232</v>
      </c>
      <c r="DT133" s="15" t="n">
        <v>2.597128291780648</v>
      </c>
      <c r="DU133" s="15" t="n">
        <v>0</v>
      </c>
      <c r="DV133" s="15" t="n">
        <v>17.07631249129643</v>
      </c>
      <c r="DW133" s="15" t="n">
        <v>0</v>
      </c>
      <c r="DX133" s="15" t="n">
        <v>3.317862748735562</v>
      </c>
      <c r="DY133" s="15" t="n">
        <v>2.03561288876499</v>
      </c>
      <c r="DZ133" s="15" t="n">
        <v>2.198413541525226</v>
      </c>
      <c r="EG133" s="15" t="n">
        <v>1</v>
      </c>
      <c r="EH133" s="15" t="n">
        <v>0</v>
      </c>
      <c r="EI133" s="15" t="n">
        <v>0</v>
      </c>
      <c r="EJ133" s="15" t="n">
        <v>0</v>
      </c>
      <c r="EK133" s="15" t="n">
        <v>0</v>
      </c>
      <c r="EL133" s="15" t="n">
        <v>6.31655453291115</v>
      </c>
      <c r="EM133" s="15" t="n">
        <v>1.669355573815277</v>
      </c>
      <c r="EN133" s="15" t="n">
        <v>0</v>
      </c>
      <c r="EO133" s="15" t="n">
        <v>2.176885973008232</v>
      </c>
      <c r="EP133" s="15" t="n">
        <v>2.597128291780648</v>
      </c>
      <c r="EQ133" s="15" t="n">
        <v>0</v>
      </c>
      <c r="ER133" s="15" t="n">
        <v>17.07631249129643</v>
      </c>
      <c r="ES133" s="15" t="n">
        <v>0</v>
      </c>
      <c r="ET133" s="15" t="n">
        <v>3.317862748735562</v>
      </c>
      <c r="EU133" s="15" t="n">
        <v>2.053710643090856</v>
      </c>
      <c r="EV133" s="15" t="n">
        <v>2.216483145348021</v>
      </c>
      <c r="FC133" s="15" t="n">
        <v>1</v>
      </c>
      <c r="FD133" s="15" t="n">
        <v>0</v>
      </c>
      <c r="FE133" s="15" t="n">
        <v>0</v>
      </c>
      <c r="FF133" s="15" t="n">
        <v>0</v>
      </c>
      <c r="FG133" s="15" t="n">
        <v>0</v>
      </c>
      <c r="FH133" s="15" t="n">
        <v>3.800984488810118</v>
      </c>
      <c r="FI133" s="15" t="n">
        <v>0.8183420984355324</v>
      </c>
      <c r="FJ133" s="15" t="n">
        <v>0</v>
      </c>
      <c r="FK133" s="15" t="n">
        <v>1.339622137235835</v>
      </c>
      <c r="FL133" s="15" t="n">
        <v>1.598232794941937</v>
      </c>
      <c r="FM133" s="15" t="n">
        <v>0</v>
      </c>
      <c r="FN133" s="15" t="n">
        <v>10.50849999464396</v>
      </c>
      <c r="FO133" s="15" t="n">
        <v>0</v>
      </c>
      <c r="FP133" s="15" t="n">
        <v>2.041761691529576</v>
      </c>
      <c r="FQ133" s="15" t="n">
        <v>1.087462445349172</v>
      </c>
      <c r="FR133" s="15" t="n">
        <v>1.225511595149711</v>
      </c>
      <c r="FY133" s="15" t="n">
        <v>1</v>
      </c>
      <c r="FZ133" s="15" t="n">
        <v>0</v>
      </c>
      <c r="GA133" s="15" t="n">
        <v>0</v>
      </c>
      <c r="GB133" s="15" t="n">
        <v>0</v>
      </c>
      <c r="GC133" s="15" t="n">
        <v>0</v>
      </c>
      <c r="GD133" s="15" t="n">
        <v>3.887034229622671</v>
      </c>
      <c r="GE133" s="15" t="n">
        <v>0.9072496571420842</v>
      </c>
      <c r="GF133" s="15" t="n">
        <v>0</v>
      </c>
      <c r="GG133" s="15" t="n">
        <v>1.339622137235835</v>
      </c>
      <c r="GH133" s="15" t="n">
        <v>1.598232794941937</v>
      </c>
      <c r="GI133" s="15" t="n">
        <v>0</v>
      </c>
      <c r="GJ133" s="15" t="n">
        <v>10.50849999464396</v>
      </c>
      <c r="GK133" s="15" t="n">
        <v>0</v>
      </c>
      <c r="GL133" s="15" t="n">
        <v>2.041761691529576</v>
      </c>
      <c r="GM133" s="15" t="n">
        <v>1.175557447357223</v>
      </c>
      <c r="GN133" s="15" t="n">
        <v>1.313470512672845</v>
      </c>
      <c r="GU133" s="15" t="n">
        <v>1</v>
      </c>
      <c r="GV133" s="15" t="n">
        <v>0</v>
      </c>
      <c r="GW133" s="15" t="n">
        <v>0</v>
      </c>
      <c r="GX133" s="15" t="n">
        <v>0</v>
      </c>
      <c r="GY133" s="15" t="n">
        <v>0</v>
      </c>
      <c r="GZ133" s="15" t="n">
        <v>3.887110481791478</v>
      </c>
      <c r="HA133" s="15" t="n">
        <v>0.9254238745449526</v>
      </c>
      <c r="HB133" s="15" t="n">
        <v>0</v>
      </c>
      <c r="HC133" s="15" t="n">
        <v>1.339622137235835</v>
      </c>
      <c r="HD133" s="15" t="n">
        <v>1.598232794941937</v>
      </c>
      <c r="HE133" s="15" t="n">
        <v>0</v>
      </c>
      <c r="HF133" s="15" t="n">
        <v>10.50849999464396</v>
      </c>
      <c r="HG133" s="15" t="n">
        <v>0</v>
      </c>
      <c r="HH133" s="15" t="n">
        <v>2.041761691529576</v>
      </c>
      <c r="HI133" s="15" t="n">
        <v>1.19365520168309</v>
      </c>
      <c r="HJ133" s="15" t="n">
        <v>1.331540116495641</v>
      </c>
    </row>
    <row r="134">
      <c r="C134" s="15" t="n">
        <v>2</v>
      </c>
      <c r="D134" s="15">
        <f>Suppliers_stock_balance!D291</f>
        <v/>
      </c>
      <c r="E134" s="15">
        <f>Suppliers_stock_balance!E291</f>
        <v/>
      </c>
      <c r="F134" s="15">
        <f>Suppliers_stock_balance!F291</f>
        <v/>
      </c>
      <c r="G134" s="15">
        <f>Suppliers_stock_balance!G291</f>
        <v/>
      </c>
      <c r="H134" s="15">
        <f>Suppliers_stock_balance!H291</f>
        <v/>
      </c>
      <c r="I134" s="15">
        <f>Suppliers_stock_balance!I291</f>
        <v/>
      </c>
      <c r="J134" s="15">
        <f>Suppliers_stock_balance!J291</f>
        <v/>
      </c>
      <c r="K134" s="15">
        <f>Suppliers_stock_balance!K291</f>
        <v/>
      </c>
      <c r="L134" s="15">
        <f>Suppliers_stock_balance!L291</f>
        <v/>
      </c>
      <c r="M134" s="15">
        <f>Suppliers_stock_balance!M291</f>
        <v/>
      </c>
      <c r="N134" s="15">
        <f>Suppliers_stock_balance!N291</f>
        <v/>
      </c>
      <c r="O134" s="15">
        <f>Suppliers_stock_balance!O291</f>
        <v/>
      </c>
      <c r="P134" s="15">
        <f>Suppliers_stock_balance!P291</f>
        <v/>
      </c>
      <c r="Q134" s="15">
        <f>Suppliers_stock_balance!Q291</f>
        <v/>
      </c>
      <c r="R134" s="15">
        <f>Suppliers_stock_balance!R291</f>
        <v/>
      </c>
      <c r="AA134" s="15" t="n">
        <v>2</v>
      </c>
      <c r="AB134" s="15" t="n">
        <v>5.107248417539975</v>
      </c>
      <c r="AC134" s="15" t="n">
        <v>5.680399266405096</v>
      </c>
      <c r="AD134" s="15" t="n">
        <v>0</v>
      </c>
      <c r="AE134" s="15" t="n">
        <v>0</v>
      </c>
      <c r="AF134" s="15" t="n">
        <v>11.18612318780863</v>
      </c>
      <c r="AG134" s="15" t="n">
        <v>5.878271956798921</v>
      </c>
      <c r="AH134" s="15" t="n">
        <v>50.44830996817777</v>
      </c>
      <c r="AI134" s="15" t="n">
        <v>0</v>
      </c>
      <c r="AJ134" s="15" t="n">
        <v>0</v>
      </c>
      <c r="AK134" s="15" t="n">
        <v>4.288623617238569</v>
      </c>
      <c r="AL134" s="15" t="n">
        <v>0</v>
      </c>
      <c r="AM134" s="15" t="n">
        <v>5.362875429046352</v>
      </c>
      <c r="AN134" s="15" t="n">
        <v>5.262303979981746</v>
      </c>
      <c r="AO134" s="15" t="n">
        <v>8.504656043019208</v>
      </c>
      <c r="AP134" s="15" t="n">
        <v>5.110527396889297</v>
      </c>
      <c r="AW134" s="15" t="n">
        <v>2</v>
      </c>
      <c r="AX134" s="15" t="n">
        <v>5.107248417539975</v>
      </c>
      <c r="AY134" s="15" t="n">
        <v>5.680399266405096</v>
      </c>
      <c r="AZ134" s="15" t="n">
        <v>0</v>
      </c>
      <c r="BA134" s="15" t="n">
        <v>0</v>
      </c>
      <c r="BB134" s="15" t="n">
        <v>11.18612318780863</v>
      </c>
      <c r="BC134" s="15" t="n">
        <v>5.878271956798921</v>
      </c>
      <c r="BD134" s="15" t="n">
        <v>50.44830996817777</v>
      </c>
      <c r="BE134" s="15" t="n">
        <v>0</v>
      </c>
      <c r="BF134" s="15" t="n">
        <v>0</v>
      </c>
      <c r="BG134" s="15" t="n">
        <v>4.288623617238569</v>
      </c>
      <c r="BH134" s="15" t="n">
        <v>0</v>
      </c>
      <c r="BI134" s="15" t="n">
        <v>5.449531188877781</v>
      </c>
      <c r="BJ134" s="15" t="n">
        <v>5.32959532798293</v>
      </c>
      <c r="BK134" s="15" t="n">
        <v>8.504656043019208</v>
      </c>
      <c r="BL134" s="15" t="n">
        <v>5.110527396889297</v>
      </c>
      <c r="BS134" s="15" t="n">
        <v>2</v>
      </c>
      <c r="BT134" s="15" t="n">
        <v>5.107248417539975</v>
      </c>
      <c r="BU134" s="15" t="n">
        <v>5.680399266405096</v>
      </c>
      <c r="BV134" s="15" t="n">
        <v>0</v>
      </c>
      <c r="BW134" s="15" t="n">
        <v>0</v>
      </c>
      <c r="BX134" s="15" t="n">
        <v>11.18612318780863</v>
      </c>
      <c r="BY134" s="15" t="n">
        <v>5.878271956798921</v>
      </c>
      <c r="BZ134" s="15" t="n">
        <v>50.44830996817777</v>
      </c>
      <c r="CA134" s="15" t="n">
        <v>0</v>
      </c>
      <c r="CB134" s="15" t="n">
        <v>0</v>
      </c>
      <c r="CC134" s="15" t="n">
        <v>4.288623617238569</v>
      </c>
      <c r="CD134" s="15" t="n">
        <v>0</v>
      </c>
      <c r="CE134" s="15" t="n">
        <v>5.467481753708451</v>
      </c>
      <c r="CF134" s="15" t="n">
        <v>5.32959532798293</v>
      </c>
      <c r="CG134" s="15" t="n">
        <v>8.504656043019208</v>
      </c>
      <c r="CH134" s="15" t="n">
        <v>5.110527396889297</v>
      </c>
      <c r="CO134" s="15" t="n">
        <v>2</v>
      </c>
      <c r="CP134" s="15" t="n">
        <v>3.319711471400984</v>
      </c>
      <c r="CQ134" s="15" t="n">
        <v>3.692259523163312</v>
      </c>
      <c r="CR134" s="15" t="n">
        <v>0</v>
      </c>
      <c r="CS134" s="15" t="n">
        <v>0</v>
      </c>
      <c r="CT134" s="15" t="n">
        <v>7.27098007207561</v>
      </c>
      <c r="CU134" s="15" t="n">
        <v>3.820876771919298</v>
      </c>
      <c r="CV134" s="15" t="n">
        <v>32.79140147931555</v>
      </c>
      <c r="CW134" s="15" t="n">
        <v>0</v>
      </c>
      <c r="CX134" s="15" t="n">
        <v>0</v>
      </c>
      <c r="CY134" s="15" t="n">
        <v>2.787605351205069</v>
      </c>
      <c r="CZ134" s="15" t="n">
        <v>0</v>
      </c>
      <c r="DA134" s="15" t="n">
        <v>3.449256815239535</v>
      </c>
      <c r="DB134" s="15" t="n">
        <v>3.39694561518772</v>
      </c>
      <c r="DC134" s="15" t="n">
        <v>5.528026427962486</v>
      </c>
      <c r="DD134" s="15" t="n">
        <v>3.321842807978043</v>
      </c>
      <c r="DK134" s="15" t="n">
        <v>2</v>
      </c>
      <c r="DL134" s="15" t="n">
        <v>3.319711471400984</v>
      </c>
      <c r="DM134" s="15" t="n">
        <v>3.692259523163312</v>
      </c>
      <c r="DN134" s="15" t="n">
        <v>0</v>
      </c>
      <c r="DO134" s="15" t="n">
        <v>0</v>
      </c>
      <c r="DP134" s="15" t="n">
        <v>7.27098007207561</v>
      </c>
      <c r="DQ134" s="15" t="n">
        <v>3.820876771919298</v>
      </c>
      <c r="DR134" s="15" t="n">
        <v>32.79140147931555</v>
      </c>
      <c r="DS134" s="15" t="n">
        <v>0</v>
      </c>
      <c r="DT134" s="15" t="n">
        <v>0</v>
      </c>
      <c r="DU134" s="15" t="n">
        <v>2.787605351205069</v>
      </c>
      <c r="DV134" s="15" t="n">
        <v>0</v>
      </c>
      <c r="DW134" s="15" t="n">
        <v>3.535912575070963</v>
      </c>
      <c r="DX134" s="15" t="n">
        <v>3.464236963188905</v>
      </c>
      <c r="DY134" s="15" t="n">
        <v>5.528026427962486</v>
      </c>
      <c r="DZ134" s="15" t="n">
        <v>3.321842807978043</v>
      </c>
      <c r="EG134" s="15" t="n">
        <v>2</v>
      </c>
      <c r="EH134" s="15" t="n">
        <v>3.319711471400984</v>
      </c>
      <c r="EI134" s="15" t="n">
        <v>3.692259523163312</v>
      </c>
      <c r="EJ134" s="15" t="n">
        <v>0</v>
      </c>
      <c r="EK134" s="15" t="n">
        <v>0</v>
      </c>
      <c r="EL134" s="15" t="n">
        <v>7.27098007207561</v>
      </c>
      <c r="EM134" s="15" t="n">
        <v>3.820876771919298</v>
      </c>
      <c r="EN134" s="15" t="n">
        <v>32.79140147931555</v>
      </c>
      <c r="EO134" s="15" t="n">
        <v>0</v>
      </c>
      <c r="EP134" s="15" t="n">
        <v>0</v>
      </c>
      <c r="EQ134" s="15" t="n">
        <v>2.787605351205069</v>
      </c>
      <c r="ER134" s="15" t="n">
        <v>0</v>
      </c>
      <c r="ES134" s="15" t="n">
        <v>3.553863139901634</v>
      </c>
      <c r="ET134" s="15" t="n">
        <v>3.464236963188905</v>
      </c>
      <c r="EU134" s="15" t="n">
        <v>5.528026427962486</v>
      </c>
      <c r="EV134" s="15" t="n">
        <v>3.321842807978043</v>
      </c>
      <c r="FC134" s="15" t="n">
        <v>2</v>
      </c>
      <c r="FD134" s="15" t="n">
        <v>2.04289936701599</v>
      </c>
      <c r="FE134" s="15" t="n">
        <v>2.272159706562038</v>
      </c>
      <c r="FF134" s="15" t="n">
        <v>0</v>
      </c>
      <c r="FG134" s="15" t="n">
        <v>0</v>
      </c>
      <c r="FH134" s="15" t="n">
        <v>4.474449275123452</v>
      </c>
      <c r="FI134" s="15" t="n">
        <v>2.351308782719569</v>
      </c>
      <c r="FJ134" s="15" t="n">
        <v>20.17932398727111</v>
      </c>
      <c r="FK134" s="15" t="n">
        <v>0</v>
      </c>
      <c r="FL134" s="15" t="n">
        <v>0</v>
      </c>
      <c r="FM134" s="15" t="n">
        <v>1.715449446895428</v>
      </c>
      <c r="FN134" s="15" t="n">
        <v>0</v>
      </c>
      <c r="FO134" s="15" t="n">
        <v>2.082386376806094</v>
      </c>
      <c r="FP134" s="15" t="n">
        <v>2.064546783191987</v>
      </c>
      <c r="FQ134" s="15" t="n">
        <v>3.401862417207683</v>
      </c>
      <c r="FR134" s="15" t="n">
        <v>2.044210958755719</v>
      </c>
      <c r="FY134" s="15" t="n">
        <v>2</v>
      </c>
      <c r="FZ134" s="15" t="n">
        <v>2.04289936701599</v>
      </c>
      <c r="GA134" s="15" t="n">
        <v>2.272159706562038</v>
      </c>
      <c r="GB134" s="15" t="n">
        <v>0</v>
      </c>
      <c r="GC134" s="15" t="n">
        <v>0</v>
      </c>
      <c r="GD134" s="15" t="n">
        <v>4.474449275123452</v>
      </c>
      <c r="GE134" s="15" t="n">
        <v>2.351308782719569</v>
      </c>
      <c r="GF134" s="15" t="n">
        <v>20.17932398727111</v>
      </c>
      <c r="GG134" s="15" t="n">
        <v>0</v>
      </c>
      <c r="GH134" s="15" t="n">
        <v>0</v>
      </c>
      <c r="GI134" s="15" t="n">
        <v>1.715449446895428</v>
      </c>
      <c r="GJ134" s="15" t="n">
        <v>0</v>
      </c>
      <c r="GK134" s="15" t="n">
        <v>2.169042136637522</v>
      </c>
      <c r="GL134" s="15" t="n">
        <v>2.131838131193172</v>
      </c>
      <c r="GM134" s="15" t="n">
        <v>3.401862417207683</v>
      </c>
      <c r="GN134" s="15" t="n">
        <v>2.044210958755719</v>
      </c>
      <c r="GU134" s="15" t="n">
        <v>2</v>
      </c>
      <c r="GV134" s="15" t="n">
        <v>2.04289936701599</v>
      </c>
      <c r="GW134" s="15" t="n">
        <v>2.272159706562038</v>
      </c>
      <c r="GX134" s="15" t="n">
        <v>0</v>
      </c>
      <c r="GY134" s="15" t="n">
        <v>0</v>
      </c>
      <c r="GZ134" s="15" t="n">
        <v>4.474449275123452</v>
      </c>
      <c r="HA134" s="15" t="n">
        <v>2.351308782719569</v>
      </c>
      <c r="HB134" s="15" t="n">
        <v>20.17932398727111</v>
      </c>
      <c r="HC134" s="15" t="n">
        <v>0</v>
      </c>
      <c r="HD134" s="15" t="n">
        <v>0</v>
      </c>
      <c r="HE134" s="15" t="n">
        <v>1.715449446895428</v>
      </c>
      <c r="HF134" s="15" t="n">
        <v>0</v>
      </c>
      <c r="HG134" s="15" t="n">
        <v>2.186992701468192</v>
      </c>
      <c r="HH134" s="15" t="n">
        <v>2.131838131193172</v>
      </c>
      <c r="HI134" s="15" t="n">
        <v>3.401862417207683</v>
      </c>
      <c r="HJ134" s="15" t="n">
        <v>2.044210958755719</v>
      </c>
    </row>
    <row r="135">
      <c r="C135" s="15" t="n">
        <v>3</v>
      </c>
      <c r="D135" s="15">
        <f>Suppliers_stock_balance!D292</f>
        <v/>
      </c>
      <c r="E135" s="15">
        <f>Suppliers_stock_balance!E292</f>
        <v/>
      </c>
      <c r="F135" s="15">
        <f>Suppliers_stock_balance!F292</f>
        <v/>
      </c>
      <c r="G135" s="15">
        <f>Suppliers_stock_balance!G292</f>
        <v/>
      </c>
      <c r="H135" s="15">
        <f>Suppliers_stock_balance!H292</f>
        <v/>
      </c>
      <c r="I135" s="15">
        <f>Suppliers_stock_balance!I292</f>
        <v/>
      </c>
      <c r="J135" s="15">
        <f>Suppliers_stock_balance!J292</f>
        <v/>
      </c>
      <c r="K135" s="15">
        <f>Suppliers_stock_balance!K292</f>
        <v/>
      </c>
      <c r="L135" s="15">
        <f>Suppliers_stock_balance!L292</f>
        <v/>
      </c>
      <c r="M135" s="15">
        <f>Suppliers_stock_balance!M292</f>
        <v/>
      </c>
      <c r="N135" s="15">
        <f>Suppliers_stock_balance!N292</f>
        <v/>
      </c>
      <c r="O135" s="15">
        <f>Suppliers_stock_balance!O292</f>
        <v/>
      </c>
      <c r="P135" s="15">
        <f>Suppliers_stock_balance!P292</f>
        <v/>
      </c>
      <c r="Q135" s="15">
        <f>Suppliers_stock_balance!Q292</f>
        <v/>
      </c>
      <c r="R135" s="15">
        <f>Suppliers_stock_balance!R292</f>
        <v/>
      </c>
      <c r="AA135" s="15" t="n">
        <v>3</v>
      </c>
      <c r="AB135" s="15" t="n">
        <v>2.582499376126431</v>
      </c>
      <c r="AC135" s="15" t="n">
        <v>0</v>
      </c>
      <c r="AD135" s="15" t="n">
        <v>0</v>
      </c>
      <c r="AE135" s="15" t="n">
        <v>5.205378792093706</v>
      </c>
      <c r="AF135" s="15" t="n">
        <v>0</v>
      </c>
      <c r="AG135" s="15" t="n">
        <v>2.029375179948823</v>
      </c>
      <c r="AH135" s="15" t="n">
        <v>1.811242281789162</v>
      </c>
      <c r="AI135" s="15" t="n">
        <v>0</v>
      </c>
      <c r="AJ135" s="15" t="n">
        <v>0</v>
      </c>
      <c r="AK135" s="15" t="n">
        <v>0</v>
      </c>
      <c r="AL135" s="15" t="n">
        <v>2.390603336206174</v>
      </c>
      <c r="AM135" s="15" t="n">
        <v>29.39737625688385</v>
      </c>
      <c r="AN135" s="15" t="n">
        <v>0</v>
      </c>
      <c r="AO135" s="15" t="n">
        <v>0</v>
      </c>
      <c r="AP135" s="15" t="n">
        <v>5.157534718310224</v>
      </c>
      <c r="AW135" s="15" t="n">
        <v>3</v>
      </c>
      <c r="AX135" s="15" t="n">
        <v>2.671390316716896</v>
      </c>
      <c r="AY135" s="15" t="n">
        <v>0</v>
      </c>
      <c r="AZ135" s="15" t="n">
        <v>0</v>
      </c>
      <c r="BA135" s="15" t="n">
        <v>5.217248856453113</v>
      </c>
      <c r="BB135" s="15" t="n">
        <v>0</v>
      </c>
      <c r="BC135" s="15" t="n">
        <v>2.119486228760576</v>
      </c>
      <c r="BD135" s="15" t="n">
        <v>1.902393348848114</v>
      </c>
      <c r="BE135" s="15" t="n">
        <v>0</v>
      </c>
      <c r="BF135" s="15" t="n">
        <v>0</v>
      </c>
      <c r="BG135" s="15" t="n">
        <v>0</v>
      </c>
      <c r="BH135" s="15" t="n">
        <v>2.47982559270294</v>
      </c>
      <c r="BI135" s="15" t="n">
        <v>29.39737625688385</v>
      </c>
      <c r="BJ135" s="15" t="n">
        <v>0</v>
      </c>
      <c r="BK135" s="15" t="n">
        <v>0</v>
      </c>
      <c r="BL135" s="15" t="n">
        <v>5.157534718310224</v>
      </c>
      <c r="BS135" s="15" t="n">
        <v>3</v>
      </c>
      <c r="BT135" s="15" t="n">
        <v>2.689557347869403</v>
      </c>
      <c r="BU135" s="15" t="n">
        <v>0</v>
      </c>
      <c r="BV135" s="15" t="n">
        <v>0</v>
      </c>
      <c r="BW135" s="15" t="n">
        <v>5.217248856453113</v>
      </c>
      <c r="BX135" s="15" t="n">
        <v>0</v>
      </c>
      <c r="BY135" s="15" t="n">
        <v>2.137774225574575</v>
      </c>
      <c r="BZ135" s="15" t="n">
        <v>1.920768348139874</v>
      </c>
      <c r="CA135" s="15" t="n">
        <v>0</v>
      </c>
      <c r="CB135" s="15" t="n">
        <v>0</v>
      </c>
      <c r="CC135" s="15" t="n">
        <v>0</v>
      </c>
      <c r="CD135" s="15" t="n">
        <v>2.498029751094079</v>
      </c>
      <c r="CE135" s="15" t="n">
        <v>29.39737625688385</v>
      </c>
      <c r="CF135" s="15" t="n">
        <v>0</v>
      </c>
      <c r="CG135" s="15" t="n">
        <v>0</v>
      </c>
      <c r="CH135" s="15" t="n">
        <v>5.157534718310224</v>
      </c>
      <c r="CO135" s="15" t="n">
        <v>3</v>
      </c>
      <c r="CP135" s="15" t="n">
        <v>1.538440014722879</v>
      </c>
      <c r="CQ135" s="15" t="n">
        <v>0</v>
      </c>
      <c r="CR135" s="15" t="n">
        <v>0</v>
      </c>
      <c r="CS135" s="15" t="n">
        <v>3.379341692335116</v>
      </c>
      <c r="CT135" s="15" t="n">
        <v>0</v>
      </c>
      <c r="CU135" s="15" t="n">
        <v>1.141950436572772</v>
      </c>
      <c r="CV135" s="15" t="n">
        <v>1.015782869851126</v>
      </c>
      <c r="CW135" s="15" t="n">
        <v>0</v>
      </c>
      <c r="CX135" s="15" t="n">
        <v>0</v>
      </c>
      <c r="CY135" s="15" t="n">
        <v>0</v>
      </c>
      <c r="CZ135" s="15" t="n">
        <v>1.396593674370426</v>
      </c>
      <c r="DA135" s="15" t="n">
        <v>19.1082945669745</v>
      </c>
      <c r="DB135" s="15" t="n">
        <v>0</v>
      </c>
      <c r="DC135" s="15" t="n">
        <v>0</v>
      </c>
      <c r="DD135" s="15" t="n">
        <v>3.352397566901646</v>
      </c>
      <c r="DK135" s="15" t="n">
        <v>3</v>
      </c>
      <c r="DL135" s="15" t="n">
        <v>1.627330955313343</v>
      </c>
      <c r="DM135" s="15" t="n">
        <v>0</v>
      </c>
      <c r="DN135" s="15" t="n">
        <v>0</v>
      </c>
      <c r="DO135" s="15" t="n">
        <v>3.391211756694524</v>
      </c>
      <c r="DP135" s="15" t="n">
        <v>0</v>
      </c>
      <c r="DQ135" s="15" t="n">
        <v>1.232061485384525</v>
      </c>
      <c r="DR135" s="15" t="n">
        <v>1.106933936910077</v>
      </c>
      <c r="DS135" s="15" t="n">
        <v>0</v>
      </c>
      <c r="DT135" s="15" t="n">
        <v>0</v>
      </c>
      <c r="DU135" s="15" t="n">
        <v>0</v>
      </c>
      <c r="DV135" s="15" t="n">
        <v>1.485815930867191</v>
      </c>
      <c r="DW135" s="15" t="n">
        <v>19.1082945669745</v>
      </c>
      <c r="DX135" s="15" t="n">
        <v>0</v>
      </c>
      <c r="DY135" s="15" t="n">
        <v>0</v>
      </c>
      <c r="DZ135" s="15" t="n">
        <v>3.352397566901646</v>
      </c>
      <c r="EG135" s="15" t="n">
        <v>3</v>
      </c>
      <c r="EH135" s="15" t="n">
        <v>1.645497986465851</v>
      </c>
      <c r="EI135" s="15" t="n">
        <v>0</v>
      </c>
      <c r="EJ135" s="15" t="n">
        <v>0</v>
      </c>
      <c r="EK135" s="15" t="n">
        <v>3.391211756694524</v>
      </c>
      <c r="EL135" s="15" t="n">
        <v>0</v>
      </c>
      <c r="EM135" s="15" t="n">
        <v>1.250349482198524</v>
      </c>
      <c r="EN135" s="15" t="n">
        <v>1.125308936201837</v>
      </c>
      <c r="EO135" s="15" t="n">
        <v>0</v>
      </c>
      <c r="EP135" s="15" t="n">
        <v>0</v>
      </c>
      <c r="EQ135" s="15" t="n">
        <v>0</v>
      </c>
      <c r="ER135" s="15" t="n">
        <v>1.50402008925833</v>
      </c>
      <c r="ES135" s="15" t="n">
        <v>19.1082945669745</v>
      </c>
      <c r="ET135" s="15" t="n">
        <v>0</v>
      </c>
      <c r="EU135" s="15" t="n">
        <v>0</v>
      </c>
      <c r="EV135" s="15" t="n">
        <v>3.352397566901646</v>
      </c>
      <c r="FC135" s="15" t="n">
        <v>3</v>
      </c>
      <c r="FD135" s="15" t="n">
        <v>0.7926833280060565</v>
      </c>
      <c r="FE135" s="15" t="n">
        <v>0</v>
      </c>
      <c r="FF135" s="15" t="n">
        <v>0</v>
      </c>
      <c r="FG135" s="15" t="n">
        <v>2.075029478221838</v>
      </c>
      <c r="FH135" s="15" t="n">
        <v>0</v>
      </c>
      <c r="FI135" s="15" t="n">
        <v>0.5080756198755935</v>
      </c>
      <c r="FJ135" s="15" t="n">
        <v>0.4475975756096717</v>
      </c>
      <c r="FK135" s="15" t="n">
        <v>0</v>
      </c>
      <c r="FL135" s="15" t="n">
        <v>0</v>
      </c>
      <c r="FM135" s="15" t="n">
        <v>0</v>
      </c>
      <c r="FN135" s="15" t="n">
        <v>0.6865867730591763</v>
      </c>
      <c r="FO135" s="15" t="n">
        <v>11.75895050275354</v>
      </c>
      <c r="FP135" s="15" t="n">
        <v>0</v>
      </c>
      <c r="FQ135" s="15" t="n">
        <v>0</v>
      </c>
      <c r="FR135" s="15" t="n">
        <v>2.06301388732409</v>
      </c>
      <c r="FY135" s="15" t="n">
        <v>3</v>
      </c>
      <c r="FZ135" s="15" t="n">
        <v>0.8815742685965201</v>
      </c>
      <c r="GA135" s="15" t="n">
        <v>0</v>
      </c>
      <c r="GB135" s="15" t="n">
        <v>0</v>
      </c>
      <c r="GC135" s="15" t="n">
        <v>2.086899542581246</v>
      </c>
      <c r="GD135" s="15" t="n">
        <v>0</v>
      </c>
      <c r="GE135" s="15" t="n">
        <v>0.5981866686873456</v>
      </c>
      <c r="GF135" s="15" t="n">
        <v>0.5387486426686225</v>
      </c>
      <c r="GG135" s="15" t="n">
        <v>0</v>
      </c>
      <c r="GH135" s="15" t="n">
        <v>0</v>
      </c>
      <c r="GI135" s="15" t="n">
        <v>0</v>
      </c>
      <c r="GJ135" s="15" t="n">
        <v>0.7758090295559419</v>
      </c>
      <c r="GK135" s="15" t="n">
        <v>11.75895050275354</v>
      </c>
      <c r="GL135" s="15" t="n">
        <v>0</v>
      </c>
      <c r="GM135" s="15" t="n">
        <v>0</v>
      </c>
      <c r="GN135" s="15" t="n">
        <v>2.06301388732409</v>
      </c>
      <c r="GU135" s="15" t="n">
        <v>3</v>
      </c>
      <c r="GV135" s="15" t="n">
        <v>0.8997412997490277</v>
      </c>
      <c r="GW135" s="15" t="n">
        <v>0</v>
      </c>
      <c r="GX135" s="15" t="n">
        <v>0</v>
      </c>
      <c r="GY135" s="15" t="n">
        <v>2.086899542581246</v>
      </c>
      <c r="GZ135" s="15" t="n">
        <v>0</v>
      </c>
      <c r="HA135" s="15" t="n">
        <v>0.6164746655013454</v>
      </c>
      <c r="HB135" s="15" t="n">
        <v>0.5571236419603827</v>
      </c>
      <c r="HC135" s="15" t="n">
        <v>0</v>
      </c>
      <c r="HD135" s="15" t="n">
        <v>0</v>
      </c>
      <c r="HE135" s="15" t="n">
        <v>0</v>
      </c>
      <c r="HF135" s="15" t="n">
        <v>0.794013187947081</v>
      </c>
      <c r="HG135" s="15" t="n">
        <v>11.75895050275354</v>
      </c>
      <c r="HH135" s="15" t="n">
        <v>0</v>
      </c>
      <c r="HI135" s="15" t="n">
        <v>0</v>
      </c>
      <c r="HJ135" s="15" t="n">
        <v>2.06301388732409</v>
      </c>
    </row>
    <row r="136" ht="23.4" customHeight="1">
      <c r="B136" s="60" t="inlineStr">
        <is>
          <t>FACTORIES</t>
        </is>
      </c>
      <c r="V136" s="71">
        <f>SUM(V138:V268)</f>
        <v/>
      </c>
      <c r="W136" s="76" t="n"/>
      <c r="X136" s="76" t="n"/>
      <c r="Z136" s="83" t="inlineStr">
        <is>
          <t>FACTORIES</t>
        </is>
      </c>
      <c r="AV136" s="15" t="inlineStr">
        <is>
          <t>FACTORIES</t>
        </is>
      </c>
      <c r="BR136" s="15" t="inlineStr">
        <is>
          <t>FACTORIES</t>
        </is>
      </c>
      <c r="CN136" s="15" t="inlineStr">
        <is>
          <t>FACTORIES</t>
        </is>
      </c>
      <c r="DJ136" s="15" t="inlineStr">
        <is>
          <t>FACTORIES</t>
        </is>
      </c>
      <c r="EF136" s="15" t="inlineStr">
        <is>
          <t>FACTORIES</t>
        </is>
      </c>
      <c r="FB136" s="15" t="inlineStr">
        <is>
          <t>FACTORIES</t>
        </is>
      </c>
      <c r="FX136" s="15" t="inlineStr">
        <is>
          <t>FACTORIES</t>
        </is>
      </c>
      <c r="GT136" s="15" t="inlineStr">
        <is>
          <t>FACTORIES</t>
        </is>
      </c>
    </row>
    <row r="137">
      <c r="B137" s="15" t="inlineStr">
        <is>
          <t>Objective</t>
        </is>
      </c>
      <c r="C137" s="15" t="inlineStr">
        <is>
          <t>P(Reorder)</t>
        </is>
      </c>
      <c r="D137" s="15" t="n">
        <v>16</v>
      </c>
      <c r="E137" s="15" t="n">
        <v>17</v>
      </c>
      <c r="F137" s="15" t="n">
        <v>18</v>
      </c>
      <c r="S137" s="15" t="inlineStr">
        <is>
          <t>Objective</t>
        </is>
      </c>
      <c r="Z137" s="15" t="inlineStr">
        <is>
          <t>Objective</t>
        </is>
      </c>
      <c r="AA137" s="15" t="inlineStr">
        <is>
          <t>P(Reorder)</t>
        </is>
      </c>
      <c r="AB137" s="15" t="n">
        <v>16</v>
      </c>
      <c r="AC137" s="15" t="n">
        <v>17</v>
      </c>
      <c r="AD137" s="15" t="n">
        <v>18</v>
      </c>
      <c r="AV137" s="15" t="inlineStr">
        <is>
          <t>Objective</t>
        </is>
      </c>
      <c r="AW137" s="15" t="inlineStr">
        <is>
          <t>P(Reorder)</t>
        </is>
      </c>
      <c r="AX137" s="15" t="n">
        <v>16</v>
      </c>
      <c r="AY137" s="15" t="n">
        <v>17</v>
      </c>
      <c r="AZ137" s="15" t="n">
        <v>18</v>
      </c>
      <c r="BR137" s="15" t="inlineStr">
        <is>
          <t>Objective</t>
        </is>
      </c>
      <c r="BS137" s="15" t="inlineStr">
        <is>
          <t>P(Reorder)</t>
        </is>
      </c>
      <c r="BT137" s="15" t="n">
        <v>16</v>
      </c>
      <c r="BU137" s="15" t="n">
        <v>17</v>
      </c>
      <c r="BV137" s="15" t="n">
        <v>18</v>
      </c>
      <c r="CN137" s="15" t="inlineStr">
        <is>
          <t>Objective</t>
        </is>
      </c>
      <c r="CO137" s="15" t="inlineStr">
        <is>
          <t>P(Reorder)</t>
        </is>
      </c>
      <c r="CP137" s="15" t="n">
        <v>16</v>
      </c>
      <c r="CQ137" s="15" t="n">
        <v>17</v>
      </c>
      <c r="CR137" s="15" t="n">
        <v>18</v>
      </c>
      <c r="DJ137" s="15" t="inlineStr">
        <is>
          <t>Objective</t>
        </is>
      </c>
      <c r="DK137" s="15" t="inlineStr">
        <is>
          <t>P(Reorder)</t>
        </is>
      </c>
      <c r="DL137" s="15" t="n">
        <v>16</v>
      </c>
      <c r="DM137" s="15" t="n">
        <v>17</v>
      </c>
      <c r="DN137" s="15" t="n">
        <v>18</v>
      </c>
      <c r="EF137" s="15" t="inlineStr">
        <is>
          <t>Objective</t>
        </is>
      </c>
      <c r="EG137" s="15" t="inlineStr">
        <is>
          <t>P(Reorder)</t>
        </is>
      </c>
      <c r="EH137" s="15" t="n">
        <v>16</v>
      </c>
      <c r="EI137" s="15" t="n">
        <v>17</v>
      </c>
      <c r="EJ137" s="15" t="n">
        <v>18</v>
      </c>
      <c r="FB137" s="15" t="inlineStr">
        <is>
          <t>Objective</t>
        </is>
      </c>
      <c r="FC137" s="15" t="inlineStr">
        <is>
          <t>P(Reorder)</t>
        </is>
      </c>
      <c r="FD137" s="15" t="n">
        <v>16</v>
      </c>
      <c r="FE137" s="15" t="n">
        <v>17</v>
      </c>
      <c r="FF137" s="15" t="n">
        <v>18</v>
      </c>
      <c r="FX137" s="15" t="inlineStr">
        <is>
          <t>Objective</t>
        </is>
      </c>
      <c r="FY137" s="15" t="inlineStr">
        <is>
          <t>P(Reorder)</t>
        </is>
      </c>
      <c r="FZ137" s="15" t="n">
        <v>16</v>
      </c>
      <c r="GA137" s="15" t="n">
        <v>17</v>
      </c>
      <c r="GB137" s="15" t="n">
        <v>18</v>
      </c>
      <c r="GT137" s="15" t="inlineStr">
        <is>
          <t>Objective</t>
        </is>
      </c>
      <c r="GU137" s="15" t="inlineStr">
        <is>
          <t>P(Reorder)</t>
        </is>
      </c>
      <c r="GV137" s="15" t="n">
        <v>16</v>
      </c>
      <c r="GW137" s="15" t="n">
        <v>17</v>
      </c>
      <c r="GX137" s="15" t="n">
        <v>18</v>
      </c>
    </row>
    <row r="138">
      <c r="B138" s="82">
        <f>Optimal_solutionf</f>
        <v/>
      </c>
      <c r="C138" s="15" t="n">
        <v>4</v>
      </c>
      <c r="S138" s="82" t="n">
        <v>5106408.669759868</v>
      </c>
      <c r="T138" s="39">
        <f>SUM(D138:F140)</f>
        <v/>
      </c>
      <c r="U138" s="39" t="n">
        <v>0</v>
      </c>
      <c r="V138" s="39">
        <f>T138-U138</f>
        <v/>
      </c>
      <c r="W138" s="39" t="n"/>
      <c r="X138" s="39" t="n"/>
      <c r="Z138" s="82" t="n">
        <v>5106408.669759868</v>
      </c>
      <c r="AA138" s="15" t="n">
        <v>4</v>
      </c>
      <c r="AV138" s="82" t="n">
        <v>4226894.30725499</v>
      </c>
      <c r="AW138" s="15" t="n">
        <v>4</v>
      </c>
      <c r="BR138" s="82" t="n">
        <v>4147391.017926935</v>
      </c>
      <c r="BS138" s="15" t="n">
        <v>4</v>
      </c>
      <c r="CN138" s="82" t="n">
        <v>5106408.669759868</v>
      </c>
      <c r="CO138" s="15" t="n">
        <v>4</v>
      </c>
      <c r="DJ138" s="82" t="n">
        <v>4226894.30725499</v>
      </c>
      <c r="DK138" s="15" t="n">
        <v>4</v>
      </c>
      <c r="EF138" s="82" t="n">
        <v>4147391.017926935</v>
      </c>
      <c r="EG138" s="15" t="n">
        <v>4</v>
      </c>
      <c r="FB138" s="82" t="n">
        <v>5106408.669759868</v>
      </c>
      <c r="FC138" s="15" t="n">
        <v>4</v>
      </c>
      <c r="FX138" s="82" t="n">
        <v>4226894.30725499</v>
      </c>
      <c r="FY138" s="15" t="n">
        <v>4</v>
      </c>
      <c r="GT138" s="82" t="n">
        <v>4147391.017926935</v>
      </c>
      <c r="GU138" s="15" t="n">
        <v>4</v>
      </c>
    </row>
    <row r="139">
      <c r="C139" s="15" t="n">
        <v>5</v>
      </c>
      <c r="S139" s="15" t="inlineStr">
        <is>
          <t>Diferença</t>
        </is>
      </c>
      <c r="AA139" s="15" t="n">
        <v>5</v>
      </c>
      <c r="AW139" s="15" t="n">
        <v>5</v>
      </c>
      <c r="BS139" s="15" t="n">
        <v>5</v>
      </c>
      <c r="CO139" s="15" t="n">
        <v>5</v>
      </c>
      <c r="DK139" s="15" t="n">
        <v>5</v>
      </c>
      <c r="EG139" s="15" t="n">
        <v>5</v>
      </c>
      <c r="FC139" s="15" t="n">
        <v>5</v>
      </c>
      <c r="FY139" s="15" t="n">
        <v>5</v>
      </c>
      <c r="GU139" s="15" t="n">
        <v>5</v>
      </c>
    </row>
    <row r="140">
      <c r="C140" s="15" t="n">
        <v>6</v>
      </c>
      <c r="S140" s="86">
        <f>B138-S138</f>
        <v/>
      </c>
      <c r="AA140" s="15" t="n">
        <v>6</v>
      </c>
      <c r="AW140" s="15" t="n">
        <v>6</v>
      </c>
      <c r="BS140" s="15" t="n">
        <v>6</v>
      </c>
      <c r="CO140" s="15" t="n">
        <v>6</v>
      </c>
      <c r="DK140" s="15" t="n">
        <v>6</v>
      </c>
      <c r="EG140" s="15" t="n">
        <v>6</v>
      </c>
      <c r="FC140" s="15" t="n">
        <v>6</v>
      </c>
      <c r="FY140" s="15" t="n">
        <v>6</v>
      </c>
      <c r="GU140" s="15" t="n">
        <v>6</v>
      </c>
    </row>
    <row r="142">
      <c r="B142" s="15" t="inlineStr">
        <is>
          <t>NOVA</t>
        </is>
      </c>
      <c r="C142" s="15" t="inlineStr">
        <is>
          <t>P(Estado da arte)</t>
        </is>
      </c>
      <c r="D142" s="15" t="n">
        <v>1</v>
      </c>
      <c r="E142" s="15" t="n">
        <v>2</v>
      </c>
      <c r="F142" s="15" t="n">
        <v>3</v>
      </c>
      <c r="AA142" s="15" t="inlineStr">
        <is>
          <t>P(Estado da arte)</t>
        </is>
      </c>
      <c r="AB142" s="15" t="n">
        <v>1</v>
      </c>
      <c r="AC142" s="15" t="n">
        <v>2</v>
      </c>
      <c r="AD142" s="15" t="n">
        <v>3</v>
      </c>
      <c r="AW142" s="15" t="inlineStr">
        <is>
          <t>P(Estado da arte)</t>
        </is>
      </c>
      <c r="AX142" s="15" t="n">
        <v>1</v>
      </c>
      <c r="AY142" s="15" t="n">
        <v>2</v>
      </c>
      <c r="AZ142" s="15" t="n">
        <v>3</v>
      </c>
      <c r="BS142" s="15" t="inlineStr">
        <is>
          <t>P(Estado da arte)</t>
        </is>
      </c>
      <c r="BT142" s="15" t="n">
        <v>1</v>
      </c>
      <c r="BU142" s="15" t="n">
        <v>2</v>
      </c>
      <c r="BV142" s="15" t="n">
        <v>3</v>
      </c>
      <c r="CO142" s="15" t="inlineStr">
        <is>
          <t>P(Estado da arte)</t>
        </is>
      </c>
      <c r="CP142" s="15" t="n">
        <v>1</v>
      </c>
      <c r="CQ142" s="15" t="n">
        <v>2</v>
      </c>
      <c r="CR142" s="15" t="n">
        <v>3</v>
      </c>
      <c r="DK142" s="15" t="inlineStr">
        <is>
          <t>P(Estado da arte)</t>
        </is>
      </c>
      <c r="DL142" s="15" t="n">
        <v>1</v>
      </c>
      <c r="DM142" s="15" t="n">
        <v>2</v>
      </c>
      <c r="DN142" s="15" t="n">
        <v>3</v>
      </c>
      <c r="EG142" s="15" t="inlineStr">
        <is>
          <t>P(Estado da arte)</t>
        </is>
      </c>
      <c r="EH142" s="15" t="n">
        <v>1</v>
      </c>
      <c r="EI142" s="15" t="n">
        <v>2</v>
      </c>
      <c r="EJ142" s="15" t="n">
        <v>3</v>
      </c>
      <c r="FC142" s="15" t="inlineStr">
        <is>
          <t>P(Estado da arte)</t>
        </is>
      </c>
      <c r="FD142" s="15" t="n">
        <v>1</v>
      </c>
      <c r="FE142" s="15" t="n">
        <v>2</v>
      </c>
      <c r="FF142" s="15" t="n">
        <v>3</v>
      </c>
      <c r="FY142" s="15" t="inlineStr">
        <is>
          <t>P(Estado da arte)</t>
        </is>
      </c>
      <c r="FZ142" s="15" t="n">
        <v>1</v>
      </c>
      <c r="GA142" s="15" t="n">
        <v>2</v>
      </c>
      <c r="GB142" s="15" t="n">
        <v>3</v>
      </c>
      <c r="GU142" s="15" t="inlineStr">
        <is>
          <t>P(Estado da arte)</t>
        </is>
      </c>
      <c r="GV142" s="15" t="n">
        <v>1</v>
      </c>
      <c r="GW142" s="15" t="n">
        <v>2</v>
      </c>
      <c r="GX142" s="15" t="n">
        <v>3</v>
      </c>
    </row>
    <row r="143">
      <c r="C143" s="15" t="n">
        <v>1</v>
      </c>
      <c r="D143" s="15">
        <f>'Estado da arte'!D85</f>
        <v/>
      </c>
      <c r="E143" s="15">
        <f>'Estado da arte'!E85</f>
        <v/>
      </c>
      <c r="F143" s="15">
        <f>'Estado da arte'!F85</f>
        <v/>
      </c>
      <c r="AA143" s="15" t="n">
        <v>1</v>
      </c>
      <c r="AB143" s="15" t="n">
        <v>0</v>
      </c>
      <c r="AC143" s="15" t="n">
        <v>0</v>
      </c>
      <c r="AD143" s="15" t="n">
        <v>0</v>
      </c>
      <c r="AW143" s="15" t="n">
        <v>1</v>
      </c>
      <c r="AX143" s="15" t="n">
        <v>0</v>
      </c>
      <c r="AY143" s="15" t="n">
        <v>0</v>
      </c>
      <c r="AZ143" s="15" t="n">
        <v>0</v>
      </c>
      <c r="BS143" s="15" t="n">
        <v>1</v>
      </c>
      <c r="BT143" s="15" t="n">
        <v>0</v>
      </c>
      <c r="BU143" s="15" t="n">
        <v>0</v>
      </c>
      <c r="BV143" s="15" t="n">
        <v>0</v>
      </c>
      <c r="CO143" s="15" t="n">
        <v>1</v>
      </c>
      <c r="CP143" s="15" t="n">
        <v>0</v>
      </c>
      <c r="CQ143" s="15" t="n">
        <v>0</v>
      </c>
      <c r="CR143" s="15" t="n">
        <v>0</v>
      </c>
      <c r="DK143" s="15" t="n">
        <v>1</v>
      </c>
      <c r="DL143" s="15" t="n">
        <v>0</v>
      </c>
      <c r="DM143" s="15" t="n">
        <v>0</v>
      </c>
      <c r="DN143" s="15" t="n">
        <v>0</v>
      </c>
      <c r="EG143" s="15" t="n">
        <v>1</v>
      </c>
      <c r="EH143" s="15" t="n">
        <v>0</v>
      </c>
      <c r="EI143" s="15" t="n">
        <v>0</v>
      </c>
      <c r="EJ143" s="15" t="n">
        <v>0</v>
      </c>
      <c r="FC143" s="15" t="n">
        <v>1</v>
      </c>
      <c r="FD143" s="15" t="n">
        <v>0</v>
      </c>
      <c r="FE143" s="15" t="n">
        <v>0</v>
      </c>
      <c r="FF143" s="15" t="n">
        <v>0</v>
      </c>
      <c r="FY143" s="15" t="n">
        <v>1</v>
      </c>
      <c r="FZ143" s="15" t="n">
        <v>0</v>
      </c>
      <c r="GA143" s="15" t="n">
        <v>0</v>
      </c>
      <c r="GB143" s="15" t="n">
        <v>0</v>
      </c>
      <c r="GU143" s="15" t="n">
        <v>1</v>
      </c>
      <c r="GV143" s="15" t="n">
        <v>0</v>
      </c>
      <c r="GW143" s="15" t="n">
        <v>0</v>
      </c>
      <c r="GX143" s="15" t="n">
        <v>0</v>
      </c>
    </row>
    <row r="144">
      <c r="C144" s="15" t="n">
        <v>2</v>
      </c>
      <c r="D144" s="15">
        <f>'Estado da arte'!D86</f>
        <v/>
      </c>
      <c r="E144" s="15">
        <f>'Estado da arte'!E86</f>
        <v/>
      </c>
      <c r="F144" s="15">
        <f>'Estado da arte'!F86</f>
        <v/>
      </c>
      <c r="AA144" s="15" t="n">
        <v>2</v>
      </c>
      <c r="AB144" s="15" t="n">
        <v>0</v>
      </c>
      <c r="AC144" s="15" t="n">
        <v>0</v>
      </c>
      <c r="AD144" s="15" t="n">
        <v>0</v>
      </c>
      <c r="AW144" s="15" t="n">
        <v>2</v>
      </c>
      <c r="AX144" s="15" t="n">
        <v>0</v>
      </c>
      <c r="AY144" s="15" t="n">
        <v>0</v>
      </c>
      <c r="AZ144" s="15" t="n">
        <v>0</v>
      </c>
      <c r="BS144" s="15" t="n">
        <v>2</v>
      </c>
      <c r="BT144" s="15" t="n">
        <v>0</v>
      </c>
      <c r="BU144" s="15" t="n">
        <v>0</v>
      </c>
      <c r="BV144" s="15" t="n">
        <v>0</v>
      </c>
      <c r="CO144" s="15" t="n">
        <v>2</v>
      </c>
      <c r="CP144" s="15" t="n">
        <v>0</v>
      </c>
      <c r="CQ144" s="15" t="n">
        <v>0</v>
      </c>
      <c r="CR144" s="15" t="n">
        <v>0</v>
      </c>
      <c r="DK144" s="15" t="n">
        <v>2</v>
      </c>
      <c r="DL144" s="15" t="n">
        <v>0</v>
      </c>
      <c r="DM144" s="15" t="n">
        <v>0</v>
      </c>
      <c r="DN144" s="15" t="n">
        <v>0</v>
      </c>
      <c r="EG144" s="15" t="n">
        <v>2</v>
      </c>
      <c r="EH144" s="15" t="n">
        <v>0</v>
      </c>
      <c r="EI144" s="15" t="n">
        <v>0</v>
      </c>
      <c r="EJ144" s="15" t="n">
        <v>0</v>
      </c>
      <c r="FC144" s="15" t="n">
        <v>2</v>
      </c>
      <c r="FD144" s="15" t="n">
        <v>0</v>
      </c>
      <c r="FE144" s="15" t="n">
        <v>0</v>
      </c>
      <c r="FF144" s="15" t="n">
        <v>0</v>
      </c>
      <c r="FY144" s="15" t="n">
        <v>2</v>
      </c>
      <c r="FZ144" s="15" t="n">
        <v>0</v>
      </c>
      <c r="GA144" s="15" t="n">
        <v>0</v>
      </c>
      <c r="GB144" s="15" t="n">
        <v>0</v>
      </c>
      <c r="GU144" s="15" t="n">
        <v>2</v>
      </c>
      <c r="GV144" s="15" t="n">
        <v>0</v>
      </c>
      <c r="GW144" s="15" t="n">
        <v>0</v>
      </c>
      <c r="GX144" s="15" t="n">
        <v>0</v>
      </c>
    </row>
    <row r="145">
      <c r="C145" s="15" t="n">
        <v>3</v>
      </c>
      <c r="D145" s="15">
        <f>'Estado da arte'!D87</f>
        <v/>
      </c>
      <c r="E145" s="15">
        <f>'Estado da arte'!E87</f>
        <v/>
      </c>
      <c r="F145" s="15">
        <f>'Estado da arte'!F87</f>
        <v/>
      </c>
      <c r="AA145" s="15" t="n">
        <v>3</v>
      </c>
      <c r="AB145" s="15" t="n">
        <v>0</v>
      </c>
      <c r="AC145" s="15" t="n">
        <v>0</v>
      </c>
      <c r="AD145" s="15" t="n">
        <v>0</v>
      </c>
      <c r="AW145" s="15" t="n">
        <v>3</v>
      </c>
      <c r="AX145" s="15" t="n">
        <v>0</v>
      </c>
      <c r="AY145" s="15" t="n">
        <v>0</v>
      </c>
      <c r="AZ145" s="15" t="n">
        <v>0</v>
      </c>
      <c r="BS145" s="15" t="n">
        <v>3</v>
      </c>
      <c r="BT145" s="15" t="n">
        <v>0</v>
      </c>
      <c r="BU145" s="15" t="n">
        <v>0</v>
      </c>
      <c r="BV145" s="15" t="n">
        <v>0</v>
      </c>
      <c r="CO145" s="15" t="n">
        <v>3</v>
      </c>
      <c r="CP145" s="15" t="n">
        <v>0</v>
      </c>
      <c r="CQ145" s="15" t="n">
        <v>0</v>
      </c>
      <c r="CR145" s="15" t="n">
        <v>0</v>
      </c>
      <c r="DK145" s="15" t="n">
        <v>3</v>
      </c>
      <c r="DL145" s="15" t="n">
        <v>0</v>
      </c>
      <c r="DM145" s="15" t="n">
        <v>0</v>
      </c>
      <c r="DN145" s="15" t="n">
        <v>0</v>
      </c>
      <c r="EG145" s="15" t="n">
        <v>3</v>
      </c>
      <c r="EH145" s="15" t="n">
        <v>0</v>
      </c>
      <c r="EI145" s="15" t="n">
        <v>0</v>
      </c>
      <c r="EJ145" s="15" t="n">
        <v>0</v>
      </c>
      <c r="FC145" s="15" t="n">
        <v>3</v>
      </c>
      <c r="FD145" s="15" t="n">
        <v>0</v>
      </c>
      <c r="FE145" s="15" t="n">
        <v>0</v>
      </c>
      <c r="FF145" s="15" t="n">
        <v>0</v>
      </c>
      <c r="FY145" s="15" t="n">
        <v>3</v>
      </c>
      <c r="FZ145" s="15" t="n">
        <v>0</v>
      </c>
      <c r="GA145" s="15" t="n">
        <v>0</v>
      </c>
      <c r="GB145" s="15" t="n">
        <v>0</v>
      </c>
      <c r="GU145" s="15" t="n">
        <v>3</v>
      </c>
      <c r="GV145" s="15" t="n">
        <v>0</v>
      </c>
      <c r="GW145" s="15" t="n">
        <v>0</v>
      </c>
      <c r="GX145" s="15" t="n">
        <v>0</v>
      </c>
    </row>
    <row r="147">
      <c r="C147" s="15" t="inlineStr">
        <is>
          <t>Reorder</t>
        </is>
      </c>
      <c r="D147" s="15" t="n">
        <v>16</v>
      </c>
      <c r="E147" s="15" t="n">
        <v>17</v>
      </c>
      <c r="F147" s="15" t="n">
        <v>18</v>
      </c>
      <c r="AA147" s="15" t="inlineStr">
        <is>
          <t>Reorder</t>
        </is>
      </c>
      <c r="AB147" s="15" t="n">
        <v>16</v>
      </c>
      <c r="AC147" s="15" t="n">
        <v>17</v>
      </c>
      <c r="AD147" s="15" t="n">
        <v>18</v>
      </c>
      <c r="AW147" s="15" t="inlineStr">
        <is>
          <t>Reorder</t>
        </is>
      </c>
      <c r="AX147" s="15" t="n">
        <v>16</v>
      </c>
      <c r="AY147" s="15" t="n">
        <v>17</v>
      </c>
      <c r="AZ147" s="15" t="n">
        <v>18</v>
      </c>
      <c r="BS147" s="15" t="inlineStr">
        <is>
          <t>Reorder</t>
        </is>
      </c>
      <c r="BT147" s="15" t="n">
        <v>16</v>
      </c>
      <c r="BU147" s="15" t="n">
        <v>17</v>
      </c>
      <c r="BV147" s="15" t="n">
        <v>18</v>
      </c>
      <c r="CO147" s="15" t="inlineStr">
        <is>
          <t>Reorder</t>
        </is>
      </c>
      <c r="CP147" s="15" t="n">
        <v>16</v>
      </c>
      <c r="CQ147" s="15" t="n">
        <v>17</v>
      </c>
      <c r="CR147" s="15" t="n">
        <v>18</v>
      </c>
      <c r="DK147" s="15" t="inlineStr">
        <is>
          <t>Reorder</t>
        </is>
      </c>
      <c r="DL147" s="15" t="n">
        <v>16</v>
      </c>
      <c r="DM147" s="15" t="n">
        <v>17</v>
      </c>
      <c r="DN147" s="15" t="n">
        <v>18</v>
      </c>
      <c r="EG147" s="15" t="inlineStr">
        <is>
          <t>Reorder</t>
        </is>
      </c>
      <c r="EH147" s="15" t="n">
        <v>16</v>
      </c>
      <c r="EI147" s="15" t="n">
        <v>17</v>
      </c>
      <c r="EJ147" s="15" t="n">
        <v>18</v>
      </c>
      <c r="FC147" s="15" t="inlineStr">
        <is>
          <t>Reorder</t>
        </is>
      </c>
      <c r="FD147" s="15" t="n">
        <v>16</v>
      </c>
      <c r="FE147" s="15" t="n">
        <v>17</v>
      </c>
      <c r="FF147" s="15" t="n">
        <v>18</v>
      </c>
      <c r="FY147" s="15" t="inlineStr">
        <is>
          <t>Reorder</t>
        </is>
      </c>
      <c r="FZ147" s="15" t="n">
        <v>16</v>
      </c>
      <c r="GA147" s="15" t="n">
        <v>17</v>
      </c>
      <c r="GB147" s="15" t="n">
        <v>18</v>
      </c>
      <c r="GU147" s="15" t="inlineStr">
        <is>
          <t>Reorder</t>
        </is>
      </c>
      <c r="GV147" s="15" t="n">
        <v>16</v>
      </c>
      <c r="GW147" s="15" t="n">
        <v>17</v>
      </c>
      <c r="GX147" s="15" t="n">
        <v>18</v>
      </c>
    </row>
    <row r="148">
      <c r="C148" s="15" t="n">
        <v>4</v>
      </c>
      <c r="D148" s="15">
        <f>Factories_stock_balance!D212</f>
        <v/>
      </c>
      <c r="E148" s="15">
        <f>Factories_stock_balance!E212</f>
        <v/>
      </c>
      <c r="F148" s="15">
        <f>Factories_stock_balance!F212</f>
        <v/>
      </c>
      <c r="T148" s="39">
        <f>SUM(D147:F149)</f>
        <v/>
      </c>
      <c r="U148" s="39" t="n">
        <v>9738.606680000001</v>
      </c>
      <c r="V148" s="39">
        <f>T148-U148</f>
        <v/>
      </c>
      <c r="W148" s="39" t="n"/>
      <c r="X148" s="39" t="n"/>
      <c r="AA148" s="15" t="n">
        <v>4</v>
      </c>
      <c r="AB148" s="15" t="n">
        <v>3531.344849999999</v>
      </c>
      <c r="AC148" s="15" t="n">
        <v>2232.46109</v>
      </c>
      <c r="AD148" s="15" t="n">
        <v>1600.84916</v>
      </c>
      <c r="AW148" s="15" t="n">
        <v>4</v>
      </c>
      <c r="AX148" s="15" t="n">
        <v>3531.344849999999</v>
      </c>
      <c r="AY148" s="15" t="n">
        <v>2232.46109</v>
      </c>
      <c r="AZ148" s="15" t="n">
        <v>1600.84916</v>
      </c>
      <c r="BS148" s="15" t="n">
        <v>4</v>
      </c>
      <c r="BT148" s="15" t="n">
        <v>3655.344849999999</v>
      </c>
      <c r="BU148" s="15" t="n">
        <v>2360.46109</v>
      </c>
      <c r="BV148" s="15" t="n">
        <v>1717.84916</v>
      </c>
      <c r="CO148" s="15" t="n">
        <v>4</v>
      </c>
      <c r="CP148" s="15" t="n">
        <v>3531.344849999999</v>
      </c>
      <c r="CQ148" s="15" t="n">
        <v>2232.46109</v>
      </c>
      <c r="CR148" s="15" t="n">
        <v>1600.84916</v>
      </c>
      <c r="DK148" s="15" t="n">
        <v>4</v>
      </c>
      <c r="DL148" s="15" t="n">
        <v>3531.344849999999</v>
      </c>
      <c r="DM148" s="15" t="n">
        <v>2232.46109</v>
      </c>
      <c r="DN148" s="15" t="n">
        <v>1600.84916</v>
      </c>
      <c r="EG148" s="15" t="n">
        <v>4</v>
      </c>
      <c r="EH148" s="15" t="n">
        <v>3655.344849999999</v>
      </c>
      <c r="EI148" s="15" t="n">
        <v>2360.46109</v>
      </c>
      <c r="EJ148" s="15" t="n">
        <v>1717.84916</v>
      </c>
      <c r="FC148" s="15" t="n">
        <v>4</v>
      </c>
      <c r="FD148" s="15" t="n">
        <v>3531.344849999999</v>
      </c>
      <c r="FE148" s="15" t="n">
        <v>2232.46109</v>
      </c>
      <c r="FF148" s="15" t="n">
        <v>1600.84916</v>
      </c>
      <c r="FY148" s="15" t="n">
        <v>4</v>
      </c>
      <c r="FZ148" s="15" t="n">
        <v>3531.344849999999</v>
      </c>
      <c r="GA148" s="15" t="n">
        <v>2232.46109</v>
      </c>
      <c r="GB148" s="15" t="n">
        <v>1600.84916</v>
      </c>
      <c r="GU148" s="15" t="n">
        <v>4</v>
      </c>
      <c r="GV148" s="15" t="n">
        <v>3655.344849999999</v>
      </c>
      <c r="GW148" s="15" t="n">
        <v>2360.46109</v>
      </c>
      <c r="GX148" s="15" t="n">
        <v>1717.84916</v>
      </c>
    </row>
    <row r="149">
      <c r="C149" s="15" t="n">
        <v>5</v>
      </c>
      <c r="D149" s="15">
        <f>Factories_stock_balance!D213</f>
        <v/>
      </c>
      <c r="E149" s="15">
        <f>Factories_stock_balance!E213</f>
        <v/>
      </c>
      <c r="F149" s="15">
        <f>Factories_stock_balance!F213</f>
        <v/>
      </c>
      <c r="AA149" s="15" t="n">
        <v>5</v>
      </c>
      <c r="AB149" s="15" t="n">
        <v>0</v>
      </c>
      <c r="AC149" s="15" t="n">
        <v>2322.951580000001</v>
      </c>
      <c r="AD149" s="15" t="n">
        <v>0</v>
      </c>
      <c r="AW149" s="15" t="n">
        <v>5</v>
      </c>
      <c r="AX149" s="15" t="n">
        <v>0</v>
      </c>
      <c r="AY149" s="15" t="n">
        <v>2322.951580000001</v>
      </c>
      <c r="AZ149" s="15" t="n">
        <v>0</v>
      </c>
      <c r="BS149" s="15" t="n">
        <v>5</v>
      </c>
      <c r="BT149" s="15" t="n">
        <v>0</v>
      </c>
      <c r="BU149" s="15" t="n">
        <v>2442.951580000001</v>
      </c>
      <c r="BV149" s="15" t="n">
        <v>0</v>
      </c>
      <c r="CO149" s="15" t="n">
        <v>5</v>
      </c>
      <c r="CP149" s="15" t="n">
        <v>0</v>
      </c>
      <c r="CQ149" s="15" t="n">
        <v>2322.951580000001</v>
      </c>
      <c r="CR149" s="15" t="n">
        <v>0</v>
      </c>
      <c r="DK149" s="15" t="n">
        <v>5</v>
      </c>
      <c r="DL149" s="15" t="n">
        <v>0</v>
      </c>
      <c r="DM149" s="15" t="n">
        <v>2322.951580000001</v>
      </c>
      <c r="DN149" s="15" t="n">
        <v>0</v>
      </c>
      <c r="EG149" s="15" t="n">
        <v>5</v>
      </c>
      <c r="EH149" s="15" t="n">
        <v>0</v>
      </c>
      <c r="EI149" s="15" t="n">
        <v>2442.951580000001</v>
      </c>
      <c r="EJ149" s="15" t="n">
        <v>0</v>
      </c>
      <c r="FC149" s="15" t="n">
        <v>5</v>
      </c>
      <c r="FD149" s="15" t="n">
        <v>0</v>
      </c>
      <c r="FE149" s="15" t="n">
        <v>2322.951580000001</v>
      </c>
      <c r="FF149" s="15" t="n">
        <v>0</v>
      </c>
      <c r="FY149" s="15" t="n">
        <v>5</v>
      </c>
      <c r="FZ149" s="15" t="n">
        <v>0</v>
      </c>
      <c r="GA149" s="15" t="n">
        <v>2322.951580000001</v>
      </c>
      <c r="GB149" s="15" t="n">
        <v>0</v>
      </c>
      <c r="GU149" s="15" t="n">
        <v>5</v>
      </c>
      <c r="GV149" s="15" t="n">
        <v>0</v>
      </c>
      <c r="GW149" s="15" t="n">
        <v>2442.951580000001</v>
      </c>
      <c r="GX149" s="15" t="n">
        <v>0</v>
      </c>
    </row>
    <row r="150">
      <c r="C150" s="15" t="n">
        <v>6</v>
      </c>
      <c r="D150" s="15">
        <f>Factories_stock_balance!D214</f>
        <v/>
      </c>
      <c r="E150" s="15">
        <f>Factories_stock_balance!E214</f>
        <v/>
      </c>
      <c r="F150" s="15">
        <f>Factories_stock_balance!F214</f>
        <v/>
      </c>
      <c r="AA150" s="15" t="n">
        <v>6</v>
      </c>
      <c r="AB150" s="15" t="n">
        <v>0</v>
      </c>
      <c r="AC150" s="15" t="n">
        <v>2852.15096</v>
      </c>
      <c r="AD150" s="15" t="n">
        <v>0</v>
      </c>
      <c r="AW150" s="15" t="n">
        <v>6</v>
      </c>
      <c r="AX150" s="15" t="n">
        <v>0</v>
      </c>
      <c r="AY150" s="15" t="n">
        <v>2852.15096</v>
      </c>
      <c r="AZ150" s="15" t="n">
        <v>0</v>
      </c>
      <c r="BS150" s="15" t="n">
        <v>6</v>
      </c>
      <c r="BT150" s="15" t="n">
        <v>0</v>
      </c>
      <c r="BU150" s="15" t="n">
        <v>2958.15096</v>
      </c>
      <c r="BV150" s="15" t="n">
        <v>0</v>
      </c>
      <c r="CO150" s="15" t="n">
        <v>6</v>
      </c>
      <c r="CP150" s="15" t="n">
        <v>0</v>
      </c>
      <c r="CQ150" s="15" t="n">
        <v>2852.15096</v>
      </c>
      <c r="CR150" s="15" t="n">
        <v>0</v>
      </c>
      <c r="DK150" s="15" t="n">
        <v>6</v>
      </c>
      <c r="DL150" s="15" t="n">
        <v>0</v>
      </c>
      <c r="DM150" s="15" t="n">
        <v>2852.15096</v>
      </c>
      <c r="DN150" s="15" t="n">
        <v>0</v>
      </c>
      <c r="EG150" s="15" t="n">
        <v>6</v>
      </c>
      <c r="EH150" s="15" t="n">
        <v>0</v>
      </c>
      <c r="EI150" s="15" t="n">
        <v>2958.15096</v>
      </c>
      <c r="EJ150" s="15" t="n">
        <v>0</v>
      </c>
      <c r="FC150" s="15" t="n">
        <v>6</v>
      </c>
      <c r="FD150" s="15" t="n">
        <v>0</v>
      </c>
      <c r="FE150" s="15" t="n">
        <v>2852.15096</v>
      </c>
      <c r="FF150" s="15" t="n">
        <v>0</v>
      </c>
      <c r="FY150" s="15" t="n">
        <v>6</v>
      </c>
      <c r="FZ150" s="15" t="n">
        <v>0</v>
      </c>
      <c r="GA150" s="15" t="n">
        <v>2852.15096</v>
      </c>
      <c r="GB150" s="15" t="n">
        <v>0</v>
      </c>
      <c r="GU150" s="15" t="n">
        <v>6</v>
      </c>
      <c r="GV150" s="15" t="n">
        <v>0</v>
      </c>
      <c r="GW150" s="15" t="n">
        <v>2958.15096</v>
      </c>
      <c r="GX150" s="15" t="n">
        <v>0</v>
      </c>
    </row>
    <row r="152">
      <c r="C152" s="15" t="inlineStr">
        <is>
          <t>Var(Var(d))</t>
        </is>
      </c>
      <c r="D152" s="15" t="n">
        <v>16</v>
      </c>
      <c r="E152" s="15" t="n">
        <v>17</v>
      </c>
      <c r="F152" s="15" t="n">
        <v>18</v>
      </c>
      <c r="AA152" s="15" t="inlineStr">
        <is>
          <t>Var(Var(d))</t>
        </is>
      </c>
      <c r="AB152" s="15" t="n">
        <v>16</v>
      </c>
      <c r="AC152" s="15" t="n">
        <v>17</v>
      </c>
      <c r="AD152" s="15" t="n">
        <v>18</v>
      </c>
      <c r="AW152" s="15" t="inlineStr">
        <is>
          <t>Var(Var(d))</t>
        </is>
      </c>
      <c r="AX152" s="15" t="n">
        <v>16</v>
      </c>
      <c r="AY152" s="15" t="n">
        <v>17</v>
      </c>
      <c r="AZ152" s="15" t="n">
        <v>18</v>
      </c>
      <c r="BS152" s="15" t="inlineStr">
        <is>
          <t>Var(Var(d))</t>
        </is>
      </c>
      <c r="BT152" s="15" t="n">
        <v>16</v>
      </c>
      <c r="BU152" s="15" t="n">
        <v>17</v>
      </c>
      <c r="BV152" s="15" t="n">
        <v>18</v>
      </c>
      <c r="CO152" s="15" t="inlineStr">
        <is>
          <t>Var(Var(d))</t>
        </is>
      </c>
      <c r="CP152" s="15" t="n">
        <v>16</v>
      </c>
      <c r="CQ152" s="15" t="n">
        <v>17</v>
      </c>
      <c r="CR152" s="15" t="n">
        <v>18</v>
      </c>
      <c r="DK152" s="15" t="inlineStr">
        <is>
          <t>Var(Var(d))</t>
        </is>
      </c>
      <c r="DL152" s="15" t="n">
        <v>16</v>
      </c>
      <c r="DM152" s="15" t="n">
        <v>17</v>
      </c>
      <c r="DN152" s="15" t="n">
        <v>18</v>
      </c>
      <c r="EG152" s="15" t="inlineStr">
        <is>
          <t>Var(Var(d))</t>
        </is>
      </c>
      <c r="EH152" s="15" t="n">
        <v>16</v>
      </c>
      <c r="EI152" s="15" t="n">
        <v>17</v>
      </c>
      <c r="EJ152" s="15" t="n">
        <v>18</v>
      </c>
      <c r="FC152" s="15" t="inlineStr">
        <is>
          <t>Var(Var(d))</t>
        </is>
      </c>
      <c r="FD152" s="15" t="n">
        <v>16</v>
      </c>
      <c r="FE152" s="15" t="n">
        <v>17</v>
      </c>
      <c r="FF152" s="15" t="n">
        <v>18</v>
      </c>
      <c r="FY152" s="15" t="inlineStr">
        <is>
          <t>Var(Var(d))</t>
        </is>
      </c>
      <c r="FZ152" s="15" t="n">
        <v>16</v>
      </c>
      <c r="GA152" s="15" t="n">
        <v>17</v>
      </c>
      <c r="GB152" s="15" t="n">
        <v>18</v>
      </c>
      <c r="GU152" s="15" t="inlineStr">
        <is>
          <t>Var(Var(d))</t>
        </is>
      </c>
      <c r="GV152" s="15" t="n">
        <v>16</v>
      </c>
      <c r="GW152" s="15" t="n">
        <v>17</v>
      </c>
      <c r="GX152" s="15" t="n">
        <v>18</v>
      </c>
    </row>
    <row r="153">
      <c r="C153" s="15" t="n">
        <v>4</v>
      </c>
      <c r="D153" s="18">
        <f>Fac_Fourth_central_moment_5var!D18</f>
        <v/>
      </c>
      <c r="E153" s="18">
        <f>Fac_Fourth_central_moment_5var!E18</f>
        <v/>
      </c>
      <c r="F153" s="18">
        <f>Fac_Fourth_central_moment_5var!F18</f>
        <v/>
      </c>
      <c r="T153" s="39">
        <f>SUM(D153:F155)</f>
        <v/>
      </c>
      <c r="U153" s="39" t="n">
        <v>59881059109.73</v>
      </c>
      <c r="V153" s="39">
        <f>T153-U153</f>
        <v/>
      </c>
      <c r="W153" s="39" t="n"/>
      <c r="X153" s="39" t="n"/>
      <c r="AA153" s="15" t="n">
        <v>4</v>
      </c>
      <c r="AB153" s="15" t="n">
        <v>12761864624.3</v>
      </c>
      <c r="AC153" s="15" t="n">
        <v>6619843248.96</v>
      </c>
      <c r="AD153" s="15" t="n">
        <v>11096912867.13</v>
      </c>
      <c r="AW153" s="15" t="n">
        <v>4</v>
      </c>
      <c r="AX153" s="15" t="n">
        <v>12761864624.3</v>
      </c>
      <c r="AY153" s="15" t="n">
        <v>6619843248.96</v>
      </c>
      <c r="AZ153" s="15" t="n">
        <v>11096912867.13</v>
      </c>
      <c r="BS153" s="15" t="n">
        <v>4</v>
      </c>
      <c r="BT153" s="15" t="n">
        <v>12761864624.3</v>
      </c>
      <c r="BU153" s="15" t="n">
        <v>6619843248.96</v>
      </c>
      <c r="BV153" s="15" t="n">
        <v>11096912867.13</v>
      </c>
      <c r="CO153" s="15" t="n">
        <v>4</v>
      </c>
      <c r="CP153" s="15" t="n">
        <v>12761864624.3</v>
      </c>
      <c r="CQ153" s="15" t="n">
        <v>6619843248.96</v>
      </c>
      <c r="CR153" s="15" t="n">
        <v>11096912867.13</v>
      </c>
      <c r="DK153" s="15" t="n">
        <v>4</v>
      </c>
      <c r="DL153" s="15" t="n">
        <v>12761864624.3</v>
      </c>
      <c r="DM153" s="15" t="n">
        <v>6619843248.96</v>
      </c>
      <c r="DN153" s="15" t="n">
        <v>11096912867.13</v>
      </c>
      <c r="EG153" s="15" t="n">
        <v>4</v>
      </c>
      <c r="EH153" s="15" t="n">
        <v>12761864624.3</v>
      </c>
      <c r="EI153" s="15" t="n">
        <v>6619843248.96</v>
      </c>
      <c r="EJ153" s="15" t="n">
        <v>11096912867.13</v>
      </c>
      <c r="FC153" s="15" t="n">
        <v>4</v>
      </c>
      <c r="FD153" s="15" t="n">
        <v>12761864624.3</v>
      </c>
      <c r="FE153" s="15" t="n">
        <v>6619843248.96</v>
      </c>
      <c r="FF153" s="15" t="n">
        <v>11096912867.13</v>
      </c>
      <c r="FY153" s="15" t="n">
        <v>4</v>
      </c>
      <c r="FZ153" s="15" t="n">
        <v>12761864624.3</v>
      </c>
      <c r="GA153" s="15" t="n">
        <v>6619843248.96</v>
      </c>
      <c r="GB153" s="15" t="n">
        <v>11096912867.13</v>
      </c>
      <c r="GU153" s="15" t="n">
        <v>4</v>
      </c>
      <c r="GV153" s="15" t="n">
        <v>12761864624.3</v>
      </c>
      <c r="GW153" s="15" t="n">
        <v>6619843248.96</v>
      </c>
      <c r="GX153" s="15" t="n">
        <v>11096912867.13</v>
      </c>
    </row>
    <row r="154">
      <c r="C154" s="15" t="n">
        <v>5</v>
      </c>
      <c r="D154" s="18">
        <f>Fac_Fourth_central_moment_5var!D19</f>
        <v/>
      </c>
      <c r="E154" s="18">
        <f>Fac_Fourth_central_moment_5var!E19</f>
        <v/>
      </c>
      <c r="F154" s="18">
        <f>Fac_Fourth_central_moment_5var!F19</f>
        <v/>
      </c>
      <c r="AA154" s="15" t="n">
        <v>5</v>
      </c>
      <c r="AB154" s="15" t="n">
        <v>2855628028.39</v>
      </c>
      <c r="AC154" s="15" t="n">
        <v>4808662807.38</v>
      </c>
      <c r="AD154" s="15" t="n">
        <v>10029904535.1</v>
      </c>
      <c r="AW154" s="15" t="n">
        <v>5</v>
      </c>
      <c r="AX154" s="15" t="n">
        <v>2855628028.39</v>
      </c>
      <c r="AY154" s="15" t="n">
        <v>4808662807.38</v>
      </c>
      <c r="AZ154" s="15" t="n">
        <v>10029904535.1</v>
      </c>
      <c r="BS154" s="15" t="n">
        <v>5</v>
      </c>
      <c r="BT154" s="15" t="n">
        <v>2855628028.39</v>
      </c>
      <c r="BU154" s="15" t="n">
        <v>4808662807.38</v>
      </c>
      <c r="BV154" s="15" t="n">
        <v>10029904535.1</v>
      </c>
      <c r="CO154" s="15" t="n">
        <v>5</v>
      </c>
      <c r="CP154" s="15" t="n">
        <v>2855628028.39</v>
      </c>
      <c r="CQ154" s="15" t="n">
        <v>4808662807.38</v>
      </c>
      <c r="CR154" s="15" t="n">
        <v>10029904535.1</v>
      </c>
      <c r="DK154" s="15" t="n">
        <v>5</v>
      </c>
      <c r="DL154" s="15" t="n">
        <v>2855628028.39</v>
      </c>
      <c r="DM154" s="15" t="n">
        <v>4808662807.38</v>
      </c>
      <c r="DN154" s="15" t="n">
        <v>10029904535.1</v>
      </c>
      <c r="EG154" s="15" t="n">
        <v>5</v>
      </c>
      <c r="EH154" s="15" t="n">
        <v>2855628028.39</v>
      </c>
      <c r="EI154" s="15" t="n">
        <v>4808662807.38</v>
      </c>
      <c r="EJ154" s="15" t="n">
        <v>10029904535.1</v>
      </c>
      <c r="FC154" s="15" t="n">
        <v>5</v>
      </c>
      <c r="FD154" s="15" t="n">
        <v>2855628028.39</v>
      </c>
      <c r="FE154" s="15" t="n">
        <v>4808662807.38</v>
      </c>
      <c r="FF154" s="15" t="n">
        <v>10029904535.1</v>
      </c>
      <c r="FY154" s="15" t="n">
        <v>5</v>
      </c>
      <c r="FZ154" s="15" t="n">
        <v>2855628028.39</v>
      </c>
      <c r="GA154" s="15" t="n">
        <v>4808662807.38</v>
      </c>
      <c r="GB154" s="15" t="n">
        <v>10029904535.1</v>
      </c>
      <c r="GU154" s="15" t="n">
        <v>5</v>
      </c>
      <c r="GV154" s="15" t="n">
        <v>2855628028.39</v>
      </c>
      <c r="GW154" s="15" t="n">
        <v>4808662807.38</v>
      </c>
      <c r="GX154" s="15" t="n">
        <v>10029904535.1</v>
      </c>
    </row>
    <row r="155">
      <c r="C155" s="15" t="n">
        <v>6</v>
      </c>
      <c r="D155" s="18">
        <f>Fac_Fourth_central_moment_5var!D20</f>
        <v/>
      </c>
      <c r="E155" s="18">
        <f>Fac_Fourth_central_moment_5var!E20</f>
        <v/>
      </c>
      <c r="F155" s="18">
        <f>Fac_Fourth_central_moment_5var!F20</f>
        <v/>
      </c>
      <c r="AA155" s="15" t="n">
        <v>6</v>
      </c>
      <c r="AB155" s="15" t="n">
        <v>3570486113.92</v>
      </c>
      <c r="AC155" s="15" t="n">
        <v>5294905418.4</v>
      </c>
      <c r="AD155" s="15" t="n">
        <v>2842851466.15</v>
      </c>
      <c r="AW155" s="15" t="n">
        <v>6</v>
      </c>
      <c r="AX155" s="15" t="n">
        <v>3570486113.92</v>
      </c>
      <c r="AY155" s="15" t="n">
        <v>5294905418.4</v>
      </c>
      <c r="AZ155" s="15" t="n">
        <v>2842851466.15</v>
      </c>
      <c r="BS155" s="15" t="n">
        <v>6</v>
      </c>
      <c r="BT155" s="15" t="n">
        <v>3570486113.92</v>
      </c>
      <c r="BU155" s="15" t="n">
        <v>5294905418.4</v>
      </c>
      <c r="BV155" s="15" t="n">
        <v>2842851466.15</v>
      </c>
      <c r="CO155" s="15" t="n">
        <v>6</v>
      </c>
      <c r="CP155" s="15" t="n">
        <v>3570486113.92</v>
      </c>
      <c r="CQ155" s="15" t="n">
        <v>5294905418.4</v>
      </c>
      <c r="CR155" s="15" t="n">
        <v>2842851466.15</v>
      </c>
      <c r="DK155" s="15" t="n">
        <v>6</v>
      </c>
      <c r="DL155" s="15" t="n">
        <v>3570486113.92</v>
      </c>
      <c r="DM155" s="15" t="n">
        <v>5294905418.4</v>
      </c>
      <c r="DN155" s="15" t="n">
        <v>2842851466.15</v>
      </c>
      <c r="EG155" s="15" t="n">
        <v>6</v>
      </c>
      <c r="EH155" s="15" t="n">
        <v>3570486113.92</v>
      </c>
      <c r="EI155" s="15" t="n">
        <v>5294905418.4</v>
      </c>
      <c r="EJ155" s="15" t="n">
        <v>2842851466.15</v>
      </c>
      <c r="FC155" s="15" t="n">
        <v>6</v>
      </c>
      <c r="FD155" s="15" t="n">
        <v>3570486113.92</v>
      </c>
      <c r="FE155" s="15" t="n">
        <v>5294905418.4</v>
      </c>
      <c r="FF155" s="15" t="n">
        <v>2842851466.15</v>
      </c>
      <c r="FY155" s="15" t="n">
        <v>6</v>
      </c>
      <c r="FZ155" s="15" t="n">
        <v>3570486113.92</v>
      </c>
      <c r="GA155" s="15" t="n">
        <v>5294905418.4</v>
      </c>
      <c r="GB155" s="15" t="n">
        <v>2842851466.15</v>
      </c>
      <c r="GU155" s="15" t="n">
        <v>6</v>
      </c>
      <c r="GV155" s="15" t="n">
        <v>3570486113.92</v>
      </c>
      <c r="GW155" s="15" t="n">
        <v>5294905418.4</v>
      </c>
      <c r="GX155" s="15" t="n">
        <v>2842851466.15</v>
      </c>
    </row>
    <row r="157">
      <c r="C157" s="15" t="inlineStr">
        <is>
          <t>Var(Var(Cap))</t>
        </is>
      </c>
      <c r="D157" s="15" t="n">
        <v>16</v>
      </c>
      <c r="E157" s="15" t="n">
        <v>17</v>
      </c>
      <c r="F157" s="15" t="n">
        <v>18</v>
      </c>
      <c r="AA157" s="15" t="inlineStr">
        <is>
          <t>Var(Var(Cap))</t>
        </is>
      </c>
      <c r="AB157" s="15" t="n">
        <v>16</v>
      </c>
      <c r="AC157" s="15" t="n">
        <v>17</v>
      </c>
      <c r="AD157" s="15" t="n">
        <v>18</v>
      </c>
      <c r="AW157" s="15" t="inlineStr">
        <is>
          <t>Var(Var(Cap))</t>
        </is>
      </c>
      <c r="AX157" s="15" t="n">
        <v>16</v>
      </c>
      <c r="AY157" s="15" t="n">
        <v>17</v>
      </c>
      <c r="AZ157" s="15" t="n">
        <v>18</v>
      </c>
      <c r="BS157" s="15" t="inlineStr">
        <is>
          <t>Var(Var(Cap))</t>
        </is>
      </c>
      <c r="BT157" s="15" t="n">
        <v>16</v>
      </c>
      <c r="BU157" s="15" t="n">
        <v>17</v>
      </c>
      <c r="BV157" s="15" t="n">
        <v>18</v>
      </c>
      <c r="CO157" s="15" t="inlineStr">
        <is>
          <t>Var(Var(Cap))</t>
        </is>
      </c>
      <c r="CP157" s="15" t="n">
        <v>16</v>
      </c>
      <c r="CQ157" s="15" t="n">
        <v>17</v>
      </c>
      <c r="CR157" s="15" t="n">
        <v>18</v>
      </c>
      <c r="DK157" s="15" t="inlineStr">
        <is>
          <t>Var(Var(Cap))</t>
        </is>
      </c>
      <c r="DL157" s="15" t="n">
        <v>16</v>
      </c>
      <c r="DM157" s="15" t="n">
        <v>17</v>
      </c>
      <c r="DN157" s="15" t="n">
        <v>18</v>
      </c>
      <c r="EG157" s="15" t="inlineStr">
        <is>
          <t>Var(Var(Cap))</t>
        </is>
      </c>
      <c r="EH157" s="15" t="n">
        <v>16</v>
      </c>
      <c r="EI157" s="15" t="n">
        <v>17</v>
      </c>
      <c r="EJ157" s="15" t="n">
        <v>18</v>
      </c>
      <c r="FC157" s="15" t="inlineStr">
        <is>
          <t>Var(Var(Cap))</t>
        </is>
      </c>
      <c r="FD157" s="15" t="n">
        <v>16</v>
      </c>
      <c r="FE157" s="15" t="n">
        <v>17</v>
      </c>
      <c r="FF157" s="15" t="n">
        <v>18</v>
      </c>
      <c r="FY157" s="15" t="inlineStr">
        <is>
          <t>Var(Var(Cap))</t>
        </is>
      </c>
      <c r="FZ157" s="15" t="n">
        <v>16</v>
      </c>
      <c r="GA157" s="15" t="n">
        <v>17</v>
      </c>
      <c r="GB157" s="15" t="n">
        <v>18</v>
      </c>
      <c r="GU157" s="15" t="inlineStr">
        <is>
          <t>Var(Var(Cap))</t>
        </is>
      </c>
      <c r="GV157" s="15" t="n">
        <v>16</v>
      </c>
      <c r="GW157" s="15" t="n">
        <v>17</v>
      </c>
      <c r="GX157" s="15" t="n">
        <v>18</v>
      </c>
    </row>
    <row r="158">
      <c r="C158" s="15" t="n">
        <v>4</v>
      </c>
      <c r="D158" s="18">
        <f>Fac_Fourth_central_moment_5var!D24</f>
        <v/>
      </c>
      <c r="E158" s="18">
        <f>Fac_Fourth_central_moment_5var!E24</f>
        <v/>
      </c>
      <c r="F158" s="18">
        <f>Fac_Fourth_central_moment_5var!F24</f>
        <v/>
      </c>
      <c r="T158" s="39">
        <f>SUM(D158:F160)</f>
        <v/>
      </c>
      <c r="U158" s="39" t="n">
        <v>83381265257.81</v>
      </c>
      <c r="V158" s="39">
        <f>T158-U158</f>
        <v/>
      </c>
      <c r="W158" s="39" t="n"/>
      <c r="X158" s="39" t="n"/>
      <c r="AA158" s="15" t="n">
        <v>4</v>
      </c>
      <c r="AB158" s="15" t="n">
        <v>3707575871.2</v>
      </c>
      <c r="AC158" s="15" t="n">
        <v>4230309338.48</v>
      </c>
      <c r="AD158" s="15" t="n">
        <v>8056121868.85</v>
      </c>
      <c r="AW158" s="15" t="n">
        <v>4</v>
      </c>
      <c r="AX158" s="15" t="n">
        <v>3707575871.2</v>
      </c>
      <c r="AY158" s="15" t="n">
        <v>4230309338.48</v>
      </c>
      <c r="AZ158" s="15" t="n">
        <v>8056121868.85</v>
      </c>
      <c r="BS158" s="15" t="n">
        <v>4</v>
      </c>
      <c r="BT158" s="15" t="n">
        <v>3707575871.2</v>
      </c>
      <c r="BU158" s="15" t="n">
        <v>4230309338.48</v>
      </c>
      <c r="BV158" s="15" t="n">
        <v>8056121868.85</v>
      </c>
      <c r="CO158" s="15" t="n">
        <v>4</v>
      </c>
      <c r="CP158" s="15" t="n">
        <v>3707575871.2</v>
      </c>
      <c r="CQ158" s="15" t="n">
        <v>4230309338.48</v>
      </c>
      <c r="CR158" s="15" t="n">
        <v>8056121868.85</v>
      </c>
      <c r="DK158" s="15" t="n">
        <v>4</v>
      </c>
      <c r="DL158" s="15" t="n">
        <v>3707575871.2</v>
      </c>
      <c r="DM158" s="15" t="n">
        <v>4230309338.48</v>
      </c>
      <c r="DN158" s="15" t="n">
        <v>8056121868.85</v>
      </c>
      <c r="EG158" s="15" t="n">
        <v>4</v>
      </c>
      <c r="EH158" s="15" t="n">
        <v>3707575871.2</v>
      </c>
      <c r="EI158" s="15" t="n">
        <v>4230309338.48</v>
      </c>
      <c r="EJ158" s="15" t="n">
        <v>8056121868.85</v>
      </c>
      <c r="FC158" s="15" t="n">
        <v>4</v>
      </c>
      <c r="FD158" s="15" t="n">
        <v>3707575871.2</v>
      </c>
      <c r="FE158" s="15" t="n">
        <v>4230309338.48</v>
      </c>
      <c r="FF158" s="15" t="n">
        <v>8056121868.85</v>
      </c>
      <c r="FY158" s="15" t="n">
        <v>4</v>
      </c>
      <c r="FZ158" s="15" t="n">
        <v>3707575871.2</v>
      </c>
      <c r="GA158" s="15" t="n">
        <v>4230309338.48</v>
      </c>
      <c r="GB158" s="15" t="n">
        <v>8056121868.85</v>
      </c>
      <c r="GU158" s="15" t="n">
        <v>4</v>
      </c>
      <c r="GV158" s="15" t="n">
        <v>3707575871.2</v>
      </c>
      <c r="GW158" s="15" t="n">
        <v>4230309338.48</v>
      </c>
      <c r="GX158" s="15" t="n">
        <v>8056121868.85</v>
      </c>
    </row>
    <row r="159">
      <c r="C159" s="15" t="n">
        <v>5</v>
      </c>
      <c r="D159" s="18">
        <f>Fac_Fourth_central_moment_5var!D25</f>
        <v/>
      </c>
      <c r="E159" s="18">
        <f>Fac_Fourth_central_moment_5var!E25</f>
        <v/>
      </c>
      <c r="F159" s="18">
        <f>Fac_Fourth_central_moment_5var!F25</f>
        <v/>
      </c>
      <c r="AA159" s="15" t="n">
        <v>5</v>
      </c>
      <c r="AB159" s="15" t="n">
        <v>5055865327.1</v>
      </c>
      <c r="AC159" s="15" t="n">
        <v>2777119084.09</v>
      </c>
      <c r="AD159" s="15" t="n">
        <v>22734853855.04</v>
      </c>
      <c r="AW159" s="15" t="n">
        <v>5</v>
      </c>
      <c r="AX159" s="15" t="n">
        <v>5055865327.1</v>
      </c>
      <c r="AY159" s="15" t="n">
        <v>2777119084.09</v>
      </c>
      <c r="AZ159" s="15" t="n">
        <v>22734853855.04</v>
      </c>
      <c r="BS159" s="15" t="n">
        <v>5</v>
      </c>
      <c r="BT159" s="15" t="n">
        <v>5055865327.1</v>
      </c>
      <c r="BU159" s="15" t="n">
        <v>2777119084.09</v>
      </c>
      <c r="BV159" s="15" t="n">
        <v>22734853855.04</v>
      </c>
      <c r="CO159" s="15" t="n">
        <v>5</v>
      </c>
      <c r="CP159" s="15" t="n">
        <v>5055865327.1</v>
      </c>
      <c r="CQ159" s="15" t="n">
        <v>2777119084.09</v>
      </c>
      <c r="CR159" s="15" t="n">
        <v>22734853855.04</v>
      </c>
      <c r="DK159" s="15" t="n">
        <v>5</v>
      </c>
      <c r="DL159" s="15" t="n">
        <v>5055865327.1</v>
      </c>
      <c r="DM159" s="15" t="n">
        <v>2777119084.09</v>
      </c>
      <c r="DN159" s="15" t="n">
        <v>22734853855.04</v>
      </c>
      <c r="EG159" s="15" t="n">
        <v>5</v>
      </c>
      <c r="EH159" s="15" t="n">
        <v>5055865327.1</v>
      </c>
      <c r="EI159" s="15" t="n">
        <v>2777119084.09</v>
      </c>
      <c r="EJ159" s="15" t="n">
        <v>22734853855.04</v>
      </c>
      <c r="FC159" s="15" t="n">
        <v>5</v>
      </c>
      <c r="FD159" s="15" t="n">
        <v>5055865327.1</v>
      </c>
      <c r="FE159" s="15" t="n">
        <v>2777119084.09</v>
      </c>
      <c r="FF159" s="15" t="n">
        <v>22734853855.04</v>
      </c>
      <c r="FY159" s="15" t="n">
        <v>5</v>
      </c>
      <c r="FZ159" s="15" t="n">
        <v>5055865327.1</v>
      </c>
      <c r="GA159" s="15" t="n">
        <v>2777119084.09</v>
      </c>
      <c r="GB159" s="15" t="n">
        <v>22734853855.04</v>
      </c>
      <c r="GU159" s="15" t="n">
        <v>5</v>
      </c>
      <c r="GV159" s="15" t="n">
        <v>5055865327.1</v>
      </c>
      <c r="GW159" s="15" t="n">
        <v>2777119084.09</v>
      </c>
      <c r="GX159" s="15" t="n">
        <v>22734853855.04</v>
      </c>
    </row>
    <row r="160">
      <c r="C160" s="15" t="n">
        <v>6</v>
      </c>
      <c r="D160" s="18">
        <f>Fac_Fourth_central_moment_5var!D26</f>
        <v/>
      </c>
      <c r="E160" s="18">
        <f>Fac_Fourth_central_moment_5var!E26</f>
        <v/>
      </c>
      <c r="F160" s="18">
        <f>Fac_Fourth_central_moment_5var!F26</f>
        <v/>
      </c>
      <c r="AA160" s="15" t="n">
        <v>6</v>
      </c>
      <c r="AB160" s="15" t="n">
        <v>8458038056.06</v>
      </c>
      <c r="AC160" s="15" t="n">
        <v>1853186316.21</v>
      </c>
      <c r="AD160" s="15" t="n">
        <v>26508195540.78</v>
      </c>
      <c r="AW160" s="15" t="n">
        <v>6</v>
      </c>
      <c r="AX160" s="15" t="n">
        <v>8458038056.06</v>
      </c>
      <c r="AY160" s="15" t="n">
        <v>1853186316.21</v>
      </c>
      <c r="AZ160" s="15" t="n">
        <v>26508195540.78</v>
      </c>
      <c r="BS160" s="15" t="n">
        <v>6</v>
      </c>
      <c r="BT160" s="15" t="n">
        <v>8458038056.06</v>
      </c>
      <c r="BU160" s="15" t="n">
        <v>1853186316.21</v>
      </c>
      <c r="BV160" s="15" t="n">
        <v>26508195540.78</v>
      </c>
      <c r="CO160" s="15" t="n">
        <v>6</v>
      </c>
      <c r="CP160" s="15" t="n">
        <v>8458038056.06</v>
      </c>
      <c r="CQ160" s="15" t="n">
        <v>1853186316.21</v>
      </c>
      <c r="CR160" s="15" t="n">
        <v>26508195540.78</v>
      </c>
      <c r="DK160" s="15" t="n">
        <v>6</v>
      </c>
      <c r="DL160" s="15" t="n">
        <v>8458038056.06</v>
      </c>
      <c r="DM160" s="15" t="n">
        <v>1853186316.21</v>
      </c>
      <c r="DN160" s="15" t="n">
        <v>26508195540.78</v>
      </c>
      <c r="EG160" s="15" t="n">
        <v>6</v>
      </c>
      <c r="EH160" s="15" t="n">
        <v>8458038056.06</v>
      </c>
      <c r="EI160" s="15" t="n">
        <v>1853186316.21</v>
      </c>
      <c r="EJ160" s="15" t="n">
        <v>26508195540.78</v>
      </c>
      <c r="FC160" s="15" t="n">
        <v>6</v>
      </c>
      <c r="FD160" s="15" t="n">
        <v>8458038056.06</v>
      </c>
      <c r="FE160" s="15" t="n">
        <v>1853186316.21</v>
      </c>
      <c r="FF160" s="15" t="n">
        <v>26508195540.78</v>
      </c>
      <c r="FY160" s="15" t="n">
        <v>6</v>
      </c>
      <c r="FZ160" s="15" t="n">
        <v>8458038056.06</v>
      </c>
      <c r="GA160" s="15" t="n">
        <v>1853186316.21</v>
      </c>
      <c r="GB160" s="15" t="n">
        <v>26508195540.78</v>
      </c>
      <c r="GU160" s="15" t="n">
        <v>6</v>
      </c>
      <c r="GV160" s="15" t="n">
        <v>8458038056.06</v>
      </c>
      <c r="GW160" s="15" t="n">
        <v>1853186316.21</v>
      </c>
      <c r="GX160" s="15" t="n">
        <v>26508195540.78</v>
      </c>
    </row>
    <row r="162">
      <c r="B162" s="69" t="n">
        <v>0.2</v>
      </c>
      <c r="C162" s="15" t="inlineStr">
        <is>
          <t>CV</t>
        </is>
      </c>
      <c r="D162" s="15" t="n">
        <v>16</v>
      </c>
      <c r="E162" s="15" t="n">
        <v>17</v>
      </c>
      <c r="F162" s="15" t="n">
        <v>18</v>
      </c>
      <c r="Z162" s="15" t="n">
        <v>0.2</v>
      </c>
      <c r="AA162" s="15" t="inlineStr">
        <is>
          <t>CV</t>
        </is>
      </c>
      <c r="AB162" s="15" t="n">
        <v>16</v>
      </c>
      <c r="AC162" s="15" t="n">
        <v>17</v>
      </c>
      <c r="AD162" s="15" t="n">
        <v>18</v>
      </c>
      <c r="AV162" s="15" t="n">
        <v>0.2</v>
      </c>
      <c r="AW162" s="15" t="inlineStr">
        <is>
          <t>CV</t>
        </is>
      </c>
      <c r="AX162" s="15" t="n">
        <v>16</v>
      </c>
      <c r="AY162" s="15" t="n">
        <v>17</v>
      </c>
      <c r="AZ162" s="15" t="n">
        <v>18</v>
      </c>
      <c r="BR162" s="15" t="n">
        <v>0.2</v>
      </c>
      <c r="BS162" s="15" t="inlineStr">
        <is>
          <t>CV</t>
        </is>
      </c>
      <c r="BT162" s="15" t="n">
        <v>16</v>
      </c>
      <c r="BU162" s="15" t="n">
        <v>17</v>
      </c>
      <c r="BV162" s="15" t="n">
        <v>18</v>
      </c>
      <c r="CN162" s="15" t="n">
        <v>0.2</v>
      </c>
      <c r="CO162" s="15" t="inlineStr">
        <is>
          <t>CV</t>
        </is>
      </c>
      <c r="CP162" s="15" t="n">
        <v>16</v>
      </c>
      <c r="CQ162" s="15" t="n">
        <v>17</v>
      </c>
      <c r="CR162" s="15" t="n">
        <v>18</v>
      </c>
      <c r="DJ162" s="15" t="n">
        <v>0.2</v>
      </c>
      <c r="DK162" s="15" t="inlineStr">
        <is>
          <t>CV</t>
        </is>
      </c>
      <c r="DL162" s="15" t="n">
        <v>16</v>
      </c>
      <c r="DM162" s="15" t="n">
        <v>17</v>
      </c>
      <c r="DN162" s="15" t="n">
        <v>18</v>
      </c>
      <c r="EF162" s="15" t="n">
        <v>0.2</v>
      </c>
      <c r="EG162" s="15" t="inlineStr">
        <is>
          <t>CV</t>
        </is>
      </c>
      <c r="EH162" s="15" t="n">
        <v>16</v>
      </c>
      <c r="EI162" s="15" t="n">
        <v>17</v>
      </c>
      <c r="EJ162" s="15" t="n">
        <v>18</v>
      </c>
      <c r="FB162" s="15" t="n">
        <v>0.2</v>
      </c>
      <c r="FC162" s="15" t="inlineStr">
        <is>
          <t>CV</t>
        </is>
      </c>
      <c r="FD162" s="15" t="n">
        <v>16</v>
      </c>
      <c r="FE162" s="15" t="n">
        <v>17</v>
      </c>
      <c r="FF162" s="15" t="n">
        <v>18</v>
      </c>
      <c r="FX162" s="15" t="n">
        <v>0.2</v>
      </c>
      <c r="FY162" s="15" t="inlineStr">
        <is>
          <t>CV</t>
        </is>
      </c>
      <c r="FZ162" s="15" t="n">
        <v>16</v>
      </c>
      <c r="GA162" s="15" t="n">
        <v>17</v>
      </c>
      <c r="GB162" s="15" t="n">
        <v>18</v>
      </c>
      <c r="GT162" s="15" t="n">
        <v>0.2</v>
      </c>
      <c r="GU162" s="15" t="inlineStr">
        <is>
          <t>CV</t>
        </is>
      </c>
      <c r="GV162" s="15" t="n">
        <v>16</v>
      </c>
      <c r="GW162" s="15" t="n">
        <v>17</v>
      </c>
      <c r="GX162" s="15" t="n">
        <v>18</v>
      </c>
    </row>
    <row r="163">
      <c r="B163" s="70" t="n">
        <v>0.2</v>
      </c>
      <c r="C163" s="15" t="n">
        <v>4</v>
      </c>
      <c r="D163" s="70">
        <f>$B$162</f>
        <v/>
      </c>
      <c r="E163" s="70">
        <f>$B$162</f>
        <v/>
      </c>
      <c r="F163" s="70">
        <f>$B$162</f>
        <v/>
      </c>
      <c r="T163" s="39">
        <f>SUM(D163:F165)</f>
        <v/>
      </c>
      <c r="U163" s="39" t="n">
        <v>1.8</v>
      </c>
      <c r="V163" s="39">
        <f>T163-U163</f>
        <v/>
      </c>
      <c r="W163" s="39" t="n"/>
      <c r="X163" s="39" t="n"/>
      <c r="Z163" s="15" t="n">
        <v>0.2</v>
      </c>
      <c r="AA163" s="15" t="n">
        <v>4</v>
      </c>
      <c r="AB163" s="15" t="n">
        <v>0.2</v>
      </c>
      <c r="AC163" s="15" t="n">
        <v>0.2</v>
      </c>
      <c r="AD163" s="15" t="n">
        <v>0.2</v>
      </c>
      <c r="AV163" s="15" t="n">
        <v>0.2</v>
      </c>
      <c r="AW163" s="15" t="n">
        <v>4</v>
      </c>
      <c r="AX163" s="15" t="n">
        <v>0.2</v>
      </c>
      <c r="AY163" s="15" t="n">
        <v>0.2</v>
      </c>
      <c r="AZ163" s="15" t="n">
        <v>0.2</v>
      </c>
      <c r="BR163" s="15" t="n">
        <v>0.2</v>
      </c>
      <c r="BS163" s="15" t="n">
        <v>4</v>
      </c>
      <c r="BT163" s="15" t="n">
        <v>0.2</v>
      </c>
      <c r="BU163" s="15" t="n">
        <v>0.2</v>
      </c>
      <c r="BV163" s="15" t="n">
        <v>0.2</v>
      </c>
      <c r="CN163" s="15" t="n">
        <v>0.2</v>
      </c>
      <c r="CO163" s="15" t="n">
        <v>4</v>
      </c>
      <c r="CP163" s="15" t="n">
        <v>0.2</v>
      </c>
      <c r="CQ163" s="15" t="n">
        <v>0.2</v>
      </c>
      <c r="CR163" s="15" t="n">
        <v>0.2</v>
      </c>
      <c r="DJ163" s="15" t="n">
        <v>0.2</v>
      </c>
      <c r="DK163" s="15" t="n">
        <v>4</v>
      </c>
      <c r="DL163" s="15" t="n">
        <v>0.2</v>
      </c>
      <c r="DM163" s="15" t="n">
        <v>0.2</v>
      </c>
      <c r="DN163" s="15" t="n">
        <v>0.2</v>
      </c>
      <c r="EF163" s="15" t="n">
        <v>0.2</v>
      </c>
      <c r="EG163" s="15" t="n">
        <v>4</v>
      </c>
      <c r="EH163" s="15" t="n">
        <v>0.2</v>
      </c>
      <c r="EI163" s="15" t="n">
        <v>0.2</v>
      </c>
      <c r="EJ163" s="15" t="n">
        <v>0.2</v>
      </c>
      <c r="FB163" s="15" t="n">
        <v>0.2</v>
      </c>
      <c r="FC163" s="15" t="n">
        <v>4</v>
      </c>
      <c r="FD163" s="15" t="n">
        <v>0.2</v>
      </c>
      <c r="FE163" s="15" t="n">
        <v>0.2</v>
      </c>
      <c r="FF163" s="15" t="n">
        <v>0.2</v>
      </c>
      <c r="FX163" s="15" t="n">
        <v>0.2</v>
      </c>
      <c r="FY163" s="15" t="n">
        <v>4</v>
      </c>
      <c r="FZ163" s="15" t="n">
        <v>0.2</v>
      </c>
      <c r="GA163" s="15" t="n">
        <v>0.2</v>
      </c>
      <c r="GB163" s="15" t="n">
        <v>0.2</v>
      </c>
      <c r="GT163" s="15" t="n">
        <v>0.2</v>
      </c>
      <c r="GU163" s="15" t="n">
        <v>4</v>
      </c>
      <c r="GV163" s="15" t="n">
        <v>0.2</v>
      </c>
      <c r="GW163" s="15" t="n">
        <v>0.2</v>
      </c>
      <c r="GX163" s="15" t="n">
        <v>0.2</v>
      </c>
    </row>
    <row r="164">
      <c r="B164" s="70" t="n">
        <v>0.6</v>
      </c>
      <c r="C164" s="15" t="n">
        <v>5</v>
      </c>
      <c r="D164" s="70">
        <f>$B$162</f>
        <v/>
      </c>
      <c r="E164" s="70">
        <f>$B$162</f>
        <v/>
      </c>
      <c r="F164" s="70">
        <f>$B$162</f>
        <v/>
      </c>
      <c r="Z164" s="15" t="n">
        <v>0.6</v>
      </c>
      <c r="AA164" s="15" t="n">
        <v>5</v>
      </c>
      <c r="AB164" s="15" t="n">
        <v>0.2</v>
      </c>
      <c r="AC164" s="15" t="n">
        <v>0.2</v>
      </c>
      <c r="AD164" s="15" t="n">
        <v>0.2</v>
      </c>
      <c r="AV164" s="15" t="n">
        <v>0.6</v>
      </c>
      <c r="AW164" s="15" t="n">
        <v>5</v>
      </c>
      <c r="AX164" s="15" t="n">
        <v>0.2</v>
      </c>
      <c r="AY164" s="15" t="n">
        <v>0.2</v>
      </c>
      <c r="AZ164" s="15" t="n">
        <v>0.2</v>
      </c>
      <c r="BR164" s="15" t="n">
        <v>0.6</v>
      </c>
      <c r="BS164" s="15" t="n">
        <v>5</v>
      </c>
      <c r="BT164" s="15" t="n">
        <v>0.2</v>
      </c>
      <c r="BU164" s="15" t="n">
        <v>0.2</v>
      </c>
      <c r="BV164" s="15" t="n">
        <v>0.2</v>
      </c>
      <c r="CN164" s="15" t="n">
        <v>0.6</v>
      </c>
      <c r="CO164" s="15" t="n">
        <v>5</v>
      </c>
      <c r="CP164" s="15" t="n">
        <v>0.2</v>
      </c>
      <c r="CQ164" s="15" t="n">
        <v>0.2</v>
      </c>
      <c r="CR164" s="15" t="n">
        <v>0.2</v>
      </c>
      <c r="DJ164" s="15" t="n">
        <v>0.6</v>
      </c>
      <c r="DK164" s="15" t="n">
        <v>5</v>
      </c>
      <c r="DL164" s="15" t="n">
        <v>0.2</v>
      </c>
      <c r="DM164" s="15" t="n">
        <v>0.2</v>
      </c>
      <c r="DN164" s="15" t="n">
        <v>0.2</v>
      </c>
      <c r="EF164" s="15" t="n">
        <v>0.6</v>
      </c>
      <c r="EG164" s="15" t="n">
        <v>5</v>
      </c>
      <c r="EH164" s="15" t="n">
        <v>0.2</v>
      </c>
      <c r="EI164" s="15" t="n">
        <v>0.2</v>
      </c>
      <c r="EJ164" s="15" t="n">
        <v>0.2</v>
      </c>
      <c r="FB164" s="15" t="n">
        <v>0.6</v>
      </c>
      <c r="FC164" s="15" t="n">
        <v>5</v>
      </c>
      <c r="FD164" s="15" t="n">
        <v>0.2</v>
      </c>
      <c r="FE164" s="15" t="n">
        <v>0.2</v>
      </c>
      <c r="FF164" s="15" t="n">
        <v>0.2</v>
      </c>
      <c r="FX164" s="15" t="n">
        <v>0.6</v>
      </c>
      <c r="FY164" s="15" t="n">
        <v>5</v>
      </c>
      <c r="FZ164" s="15" t="n">
        <v>0.2</v>
      </c>
      <c r="GA164" s="15" t="n">
        <v>0.2</v>
      </c>
      <c r="GB164" s="15" t="n">
        <v>0.2</v>
      </c>
      <c r="GT164" s="15" t="n">
        <v>0.6</v>
      </c>
      <c r="GU164" s="15" t="n">
        <v>5</v>
      </c>
      <c r="GV164" s="15" t="n">
        <v>0.2</v>
      </c>
      <c r="GW164" s="15" t="n">
        <v>0.2</v>
      </c>
      <c r="GX164" s="15" t="n">
        <v>0.2</v>
      </c>
    </row>
    <row r="165">
      <c r="B165" s="70" t="n">
        <v>1</v>
      </c>
      <c r="C165" s="15" t="n">
        <v>6</v>
      </c>
      <c r="D165" s="70">
        <f>$B$162</f>
        <v/>
      </c>
      <c r="E165" s="70">
        <f>$B$162</f>
        <v/>
      </c>
      <c r="F165" s="70">
        <f>$B$162</f>
        <v/>
      </c>
      <c r="Z165" s="15" t="n">
        <v>1</v>
      </c>
      <c r="AA165" s="15" t="n">
        <v>6</v>
      </c>
      <c r="AB165" s="15" t="n">
        <v>0.2</v>
      </c>
      <c r="AC165" s="15" t="n">
        <v>0.2</v>
      </c>
      <c r="AD165" s="15" t="n">
        <v>0.2</v>
      </c>
      <c r="AV165" s="15" t="n">
        <v>1</v>
      </c>
      <c r="AW165" s="15" t="n">
        <v>6</v>
      </c>
      <c r="AX165" s="15" t="n">
        <v>0.2</v>
      </c>
      <c r="AY165" s="15" t="n">
        <v>0.2</v>
      </c>
      <c r="AZ165" s="15" t="n">
        <v>0.2</v>
      </c>
      <c r="BR165" s="15" t="n">
        <v>1</v>
      </c>
      <c r="BS165" s="15" t="n">
        <v>6</v>
      </c>
      <c r="BT165" s="15" t="n">
        <v>0.2</v>
      </c>
      <c r="BU165" s="15" t="n">
        <v>0.2</v>
      </c>
      <c r="BV165" s="15" t="n">
        <v>0.2</v>
      </c>
      <c r="CN165" s="15" t="n">
        <v>1</v>
      </c>
      <c r="CO165" s="15" t="n">
        <v>6</v>
      </c>
      <c r="CP165" s="15" t="n">
        <v>0.2</v>
      </c>
      <c r="CQ165" s="15" t="n">
        <v>0.2</v>
      </c>
      <c r="CR165" s="15" t="n">
        <v>0.2</v>
      </c>
      <c r="DJ165" s="15" t="n">
        <v>1</v>
      </c>
      <c r="DK165" s="15" t="n">
        <v>6</v>
      </c>
      <c r="DL165" s="15" t="n">
        <v>0.2</v>
      </c>
      <c r="DM165" s="15" t="n">
        <v>0.2</v>
      </c>
      <c r="DN165" s="15" t="n">
        <v>0.2</v>
      </c>
      <c r="EF165" s="15" t="n">
        <v>1</v>
      </c>
      <c r="EG165" s="15" t="n">
        <v>6</v>
      </c>
      <c r="EH165" s="15" t="n">
        <v>0.2</v>
      </c>
      <c r="EI165" s="15" t="n">
        <v>0.2</v>
      </c>
      <c r="EJ165" s="15" t="n">
        <v>0.2</v>
      </c>
      <c r="FB165" s="15" t="n">
        <v>1</v>
      </c>
      <c r="FC165" s="15" t="n">
        <v>6</v>
      </c>
      <c r="FD165" s="15" t="n">
        <v>0.2</v>
      </c>
      <c r="FE165" s="15" t="n">
        <v>0.2</v>
      </c>
      <c r="FF165" s="15" t="n">
        <v>0.2</v>
      </c>
      <c r="FX165" s="15" t="n">
        <v>1</v>
      </c>
      <c r="FY165" s="15" t="n">
        <v>6</v>
      </c>
      <c r="FZ165" s="15" t="n">
        <v>0.2</v>
      </c>
      <c r="GA165" s="15" t="n">
        <v>0.2</v>
      </c>
      <c r="GB165" s="15" t="n">
        <v>0.2</v>
      </c>
      <c r="GT165" s="15" t="n">
        <v>1</v>
      </c>
      <c r="GU165" s="15" t="n">
        <v>6</v>
      </c>
      <c r="GV165" s="15" t="n">
        <v>0.2</v>
      </c>
      <c r="GW165" s="15" t="n">
        <v>0.2</v>
      </c>
      <c r="GX165" s="15" t="n">
        <v>0.2</v>
      </c>
    </row>
    <row r="167">
      <c r="B167" s="69" t="n">
        <v>1</v>
      </c>
      <c r="C167" s="15" t="inlineStr">
        <is>
          <t>Planned Stock</t>
        </is>
      </c>
      <c r="D167" s="15" t="n">
        <v>16</v>
      </c>
      <c r="E167" s="15" t="n">
        <v>17</v>
      </c>
      <c r="F167" s="15" t="n">
        <v>18</v>
      </c>
      <c r="Z167" s="15" t="n">
        <v>1</v>
      </c>
      <c r="AA167" s="15" t="inlineStr">
        <is>
          <t>Planned Stock</t>
        </is>
      </c>
      <c r="AB167" s="15" t="n">
        <v>16</v>
      </c>
      <c r="AC167" s="15" t="n">
        <v>17</v>
      </c>
      <c r="AD167" s="15" t="n">
        <v>18</v>
      </c>
      <c r="AV167" s="15" t="n">
        <v>1</v>
      </c>
      <c r="AW167" s="15" t="inlineStr">
        <is>
          <t>Planned Stock</t>
        </is>
      </c>
      <c r="AX167" s="15" t="n">
        <v>16</v>
      </c>
      <c r="AY167" s="15" t="n">
        <v>17</v>
      </c>
      <c r="AZ167" s="15" t="n">
        <v>18</v>
      </c>
      <c r="BR167" s="15" t="n">
        <v>1</v>
      </c>
      <c r="BS167" s="15" t="inlineStr">
        <is>
          <t>Planned Stock</t>
        </is>
      </c>
      <c r="BT167" s="15" t="n">
        <v>16</v>
      </c>
      <c r="BU167" s="15" t="n">
        <v>17</v>
      </c>
      <c r="BV167" s="15" t="n">
        <v>18</v>
      </c>
      <c r="CN167" s="15" t="n">
        <v>0.7</v>
      </c>
      <c r="CO167" s="15" t="inlineStr">
        <is>
          <t>Planned Stock</t>
        </is>
      </c>
      <c r="CP167" s="15" t="n">
        <v>16</v>
      </c>
      <c r="CQ167" s="15" t="n">
        <v>17</v>
      </c>
      <c r="CR167" s="15" t="n">
        <v>18</v>
      </c>
      <c r="DJ167" s="15" t="n">
        <v>0.7</v>
      </c>
      <c r="DK167" s="15" t="inlineStr">
        <is>
          <t>Planned Stock</t>
        </is>
      </c>
      <c r="DL167" s="15" t="n">
        <v>16</v>
      </c>
      <c r="DM167" s="15" t="n">
        <v>17</v>
      </c>
      <c r="DN167" s="15" t="n">
        <v>18</v>
      </c>
      <c r="EF167" s="15" t="n">
        <v>0.7</v>
      </c>
      <c r="EG167" s="15" t="inlineStr">
        <is>
          <t>Planned Stock</t>
        </is>
      </c>
      <c r="EH167" s="15" t="n">
        <v>16</v>
      </c>
      <c r="EI167" s="15" t="n">
        <v>17</v>
      </c>
      <c r="EJ167" s="15" t="n">
        <v>18</v>
      </c>
      <c r="FB167" s="15" t="n">
        <v>0.4</v>
      </c>
      <c r="FC167" s="15" t="inlineStr">
        <is>
          <t>Planned Stock</t>
        </is>
      </c>
      <c r="FD167" s="15" t="n">
        <v>16</v>
      </c>
      <c r="FE167" s="15" t="n">
        <v>17</v>
      </c>
      <c r="FF167" s="15" t="n">
        <v>18</v>
      </c>
      <c r="FX167" s="15" t="n">
        <v>0.4</v>
      </c>
      <c r="FY167" s="15" t="inlineStr">
        <is>
          <t>Planned Stock</t>
        </is>
      </c>
      <c r="FZ167" s="15" t="n">
        <v>16</v>
      </c>
      <c r="GA167" s="15" t="n">
        <v>17</v>
      </c>
      <c r="GB167" s="15" t="n">
        <v>18</v>
      </c>
      <c r="GT167" s="15" t="n">
        <v>0.4</v>
      </c>
      <c r="GU167" s="15" t="inlineStr">
        <is>
          <t>Planned Stock</t>
        </is>
      </c>
      <c r="GV167" s="15" t="n">
        <v>16</v>
      </c>
      <c r="GW167" s="15" t="n">
        <v>17</v>
      </c>
      <c r="GX167" s="15" t="n">
        <v>18</v>
      </c>
    </row>
    <row r="168">
      <c r="B168" s="70" t="n">
        <v>1</v>
      </c>
      <c r="C168" s="15" t="n">
        <v>4</v>
      </c>
      <c r="D168" s="70">
        <f>$B$167</f>
        <v/>
      </c>
      <c r="E168" s="70">
        <f>$B$167</f>
        <v/>
      </c>
      <c r="F168" s="70">
        <f>$B$167</f>
        <v/>
      </c>
      <c r="T168" s="39">
        <f>SUM(D168:F170)</f>
        <v/>
      </c>
      <c r="U168" s="39" t="n">
        <v>9</v>
      </c>
      <c r="V168" s="39">
        <f>T168-U168</f>
        <v/>
      </c>
      <c r="W168" s="39" t="n"/>
      <c r="X168" s="39" t="n"/>
      <c r="Z168" s="15" t="n">
        <v>1</v>
      </c>
      <c r="AA168" s="15" t="n">
        <v>4</v>
      </c>
      <c r="AB168" s="15" t="n">
        <v>1</v>
      </c>
      <c r="AC168" s="15" t="n">
        <v>1</v>
      </c>
      <c r="AD168" s="15" t="n">
        <v>1</v>
      </c>
      <c r="AV168" s="15" t="n">
        <v>1</v>
      </c>
      <c r="AW168" s="15" t="n">
        <v>4</v>
      </c>
      <c r="AX168" s="15" t="n">
        <v>1</v>
      </c>
      <c r="AY168" s="15" t="n">
        <v>1</v>
      </c>
      <c r="AZ168" s="15" t="n">
        <v>1</v>
      </c>
      <c r="BR168" s="15" t="n">
        <v>1</v>
      </c>
      <c r="BS168" s="15" t="n">
        <v>4</v>
      </c>
      <c r="BT168" s="15" t="n">
        <v>1</v>
      </c>
      <c r="BU168" s="15" t="n">
        <v>1</v>
      </c>
      <c r="BV168" s="15" t="n">
        <v>1</v>
      </c>
      <c r="CN168" s="15" t="n">
        <v>1</v>
      </c>
      <c r="CO168" s="15" t="n">
        <v>4</v>
      </c>
      <c r="CP168" s="15" t="n">
        <v>0.7</v>
      </c>
      <c r="CQ168" s="15" t="n">
        <v>0.7</v>
      </c>
      <c r="CR168" s="15" t="n">
        <v>0.7</v>
      </c>
      <c r="DJ168" s="15" t="n">
        <v>1</v>
      </c>
      <c r="DK168" s="15" t="n">
        <v>4</v>
      </c>
      <c r="DL168" s="15" t="n">
        <v>0.7</v>
      </c>
      <c r="DM168" s="15" t="n">
        <v>0.7</v>
      </c>
      <c r="DN168" s="15" t="n">
        <v>0.7</v>
      </c>
      <c r="EF168" s="15" t="n">
        <v>1</v>
      </c>
      <c r="EG168" s="15" t="n">
        <v>4</v>
      </c>
      <c r="EH168" s="15" t="n">
        <v>0.7</v>
      </c>
      <c r="EI168" s="15" t="n">
        <v>0.7</v>
      </c>
      <c r="EJ168" s="15" t="n">
        <v>0.7</v>
      </c>
      <c r="FB168" s="15" t="n">
        <v>1</v>
      </c>
      <c r="FC168" s="15" t="n">
        <v>4</v>
      </c>
      <c r="FD168" s="15" t="n">
        <v>0.4</v>
      </c>
      <c r="FE168" s="15" t="n">
        <v>0.4</v>
      </c>
      <c r="FF168" s="15" t="n">
        <v>0.4</v>
      </c>
      <c r="FX168" s="15" t="n">
        <v>1</v>
      </c>
      <c r="FY168" s="15" t="n">
        <v>4</v>
      </c>
      <c r="FZ168" s="15" t="n">
        <v>0.4</v>
      </c>
      <c r="GA168" s="15" t="n">
        <v>0.4</v>
      </c>
      <c r="GB168" s="15" t="n">
        <v>0.4</v>
      </c>
      <c r="GT168" s="15" t="n">
        <v>1</v>
      </c>
      <c r="GU168" s="15" t="n">
        <v>4</v>
      </c>
      <c r="GV168" s="15" t="n">
        <v>0.4</v>
      </c>
      <c r="GW168" s="15" t="n">
        <v>0.4</v>
      </c>
      <c r="GX168" s="15" t="n">
        <v>0.4</v>
      </c>
    </row>
    <row r="169">
      <c r="B169" s="70" t="n">
        <v>0.7</v>
      </c>
      <c r="C169" s="15" t="n">
        <v>5</v>
      </c>
      <c r="D169" s="70">
        <f>$B$167</f>
        <v/>
      </c>
      <c r="E169" s="70">
        <f>$B$167</f>
        <v/>
      </c>
      <c r="F169" s="70">
        <f>$B$167</f>
        <v/>
      </c>
      <c r="Z169" s="15" t="n">
        <v>0.7</v>
      </c>
      <c r="AA169" s="15" t="n">
        <v>5</v>
      </c>
      <c r="AB169" s="15" t="n">
        <v>1</v>
      </c>
      <c r="AC169" s="15" t="n">
        <v>1</v>
      </c>
      <c r="AD169" s="15" t="n">
        <v>1</v>
      </c>
      <c r="AV169" s="15" t="n">
        <v>0.7</v>
      </c>
      <c r="AW169" s="15" t="n">
        <v>5</v>
      </c>
      <c r="AX169" s="15" t="n">
        <v>1</v>
      </c>
      <c r="AY169" s="15" t="n">
        <v>1</v>
      </c>
      <c r="AZ169" s="15" t="n">
        <v>1</v>
      </c>
      <c r="BR169" s="15" t="n">
        <v>0.7</v>
      </c>
      <c r="BS169" s="15" t="n">
        <v>5</v>
      </c>
      <c r="BT169" s="15" t="n">
        <v>1</v>
      </c>
      <c r="BU169" s="15" t="n">
        <v>1</v>
      </c>
      <c r="BV169" s="15" t="n">
        <v>1</v>
      </c>
      <c r="CN169" s="15" t="n">
        <v>0.7</v>
      </c>
      <c r="CO169" s="15" t="n">
        <v>5</v>
      </c>
      <c r="CP169" s="15" t="n">
        <v>0.7</v>
      </c>
      <c r="CQ169" s="15" t="n">
        <v>0.7</v>
      </c>
      <c r="CR169" s="15" t="n">
        <v>0.7</v>
      </c>
      <c r="DJ169" s="15" t="n">
        <v>0.7</v>
      </c>
      <c r="DK169" s="15" t="n">
        <v>5</v>
      </c>
      <c r="DL169" s="15" t="n">
        <v>0.7</v>
      </c>
      <c r="DM169" s="15" t="n">
        <v>0.7</v>
      </c>
      <c r="DN169" s="15" t="n">
        <v>0.7</v>
      </c>
      <c r="EF169" s="15" t="n">
        <v>0.7</v>
      </c>
      <c r="EG169" s="15" t="n">
        <v>5</v>
      </c>
      <c r="EH169" s="15" t="n">
        <v>0.7</v>
      </c>
      <c r="EI169" s="15" t="n">
        <v>0.7</v>
      </c>
      <c r="EJ169" s="15" t="n">
        <v>0.7</v>
      </c>
      <c r="FB169" s="15" t="n">
        <v>0.7</v>
      </c>
      <c r="FC169" s="15" t="n">
        <v>5</v>
      </c>
      <c r="FD169" s="15" t="n">
        <v>0.4</v>
      </c>
      <c r="FE169" s="15" t="n">
        <v>0.4</v>
      </c>
      <c r="FF169" s="15" t="n">
        <v>0.4</v>
      </c>
      <c r="FX169" s="15" t="n">
        <v>0.7</v>
      </c>
      <c r="FY169" s="15" t="n">
        <v>5</v>
      </c>
      <c r="FZ169" s="15" t="n">
        <v>0.4</v>
      </c>
      <c r="GA169" s="15" t="n">
        <v>0.4</v>
      </c>
      <c r="GB169" s="15" t="n">
        <v>0.4</v>
      </c>
      <c r="GT169" s="15" t="n">
        <v>0.7</v>
      </c>
      <c r="GU169" s="15" t="n">
        <v>5</v>
      </c>
      <c r="GV169" s="15" t="n">
        <v>0.4</v>
      </c>
      <c r="GW169" s="15" t="n">
        <v>0.4</v>
      </c>
      <c r="GX169" s="15" t="n">
        <v>0.4</v>
      </c>
    </row>
    <row r="170">
      <c r="B170" s="70" t="n">
        <v>0.4</v>
      </c>
      <c r="C170" s="15" t="n">
        <v>6</v>
      </c>
      <c r="D170" s="70">
        <f>$B$167</f>
        <v/>
      </c>
      <c r="E170" s="70">
        <f>$B$167</f>
        <v/>
      </c>
      <c r="F170" s="70">
        <f>$B$167</f>
        <v/>
      </c>
      <c r="Z170" s="15" t="n">
        <v>0.4</v>
      </c>
      <c r="AA170" s="15" t="n">
        <v>6</v>
      </c>
      <c r="AB170" s="15" t="n">
        <v>1</v>
      </c>
      <c r="AC170" s="15" t="n">
        <v>1</v>
      </c>
      <c r="AD170" s="15" t="n">
        <v>1</v>
      </c>
      <c r="AV170" s="15" t="n">
        <v>0.4</v>
      </c>
      <c r="AW170" s="15" t="n">
        <v>6</v>
      </c>
      <c r="AX170" s="15" t="n">
        <v>1</v>
      </c>
      <c r="AY170" s="15" t="n">
        <v>1</v>
      </c>
      <c r="AZ170" s="15" t="n">
        <v>1</v>
      </c>
      <c r="BR170" s="15" t="n">
        <v>0.4</v>
      </c>
      <c r="BS170" s="15" t="n">
        <v>6</v>
      </c>
      <c r="BT170" s="15" t="n">
        <v>1</v>
      </c>
      <c r="BU170" s="15" t="n">
        <v>1</v>
      </c>
      <c r="BV170" s="15" t="n">
        <v>1</v>
      </c>
      <c r="CN170" s="15" t="n">
        <v>0.4</v>
      </c>
      <c r="CO170" s="15" t="n">
        <v>6</v>
      </c>
      <c r="CP170" s="15" t="n">
        <v>0.7</v>
      </c>
      <c r="CQ170" s="15" t="n">
        <v>0.7</v>
      </c>
      <c r="CR170" s="15" t="n">
        <v>0.7</v>
      </c>
      <c r="DJ170" s="15" t="n">
        <v>0.4</v>
      </c>
      <c r="DK170" s="15" t="n">
        <v>6</v>
      </c>
      <c r="DL170" s="15" t="n">
        <v>0.7</v>
      </c>
      <c r="DM170" s="15" t="n">
        <v>0.7</v>
      </c>
      <c r="DN170" s="15" t="n">
        <v>0.7</v>
      </c>
      <c r="EF170" s="15" t="n">
        <v>0.4</v>
      </c>
      <c r="EG170" s="15" t="n">
        <v>6</v>
      </c>
      <c r="EH170" s="15" t="n">
        <v>0.7</v>
      </c>
      <c r="EI170" s="15" t="n">
        <v>0.7</v>
      </c>
      <c r="EJ170" s="15" t="n">
        <v>0.7</v>
      </c>
      <c r="FB170" s="15" t="n">
        <v>0.4</v>
      </c>
      <c r="FC170" s="15" t="n">
        <v>6</v>
      </c>
      <c r="FD170" s="15" t="n">
        <v>0.4</v>
      </c>
      <c r="FE170" s="15" t="n">
        <v>0.4</v>
      </c>
      <c r="FF170" s="15" t="n">
        <v>0.4</v>
      </c>
      <c r="FX170" s="15" t="n">
        <v>0.4</v>
      </c>
      <c r="FY170" s="15" t="n">
        <v>6</v>
      </c>
      <c r="FZ170" s="15" t="n">
        <v>0.4</v>
      </c>
      <c r="GA170" s="15" t="n">
        <v>0.4</v>
      </c>
      <c r="GB170" s="15" t="n">
        <v>0.4</v>
      </c>
      <c r="GT170" s="15" t="n">
        <v>0.4</v>
      </c>
      <c r="GU170" s="15" t="n">
        <v>6</v>
      </c>
      <c r="GV170" s="15" t="n">
        <v>0.4</v>
      </c>
      <c r="GW170" s="15" t="n">
        <v>0.4</v>
      </c>
      <c r="GX170" s="15" t="n">
        <v>0.4</v>
      </c>
    </row>
    <row r="172" ht="16.2" customHeight="1">
      <c r="B172" s="68" t="n">
        <v>1.7057377</v>
      </c>
      <c r="C172" s="15" t="inlineStr">
        <is>
          <t>Variance coeff - z(S2nd)</t>
        </is>
      </c>
      <c r="D172" s="15" t="n">
        <v>16</v>
      </c>
      <c r="E172" s="15" t="n">
        <v>17</v>
      </c>
      <c r="F172" s="15" t="n">
        <v>18</v>
      </c>
      <c r="Z172" s="15" t="n">
        <v>1.7057377</v>
      </c>
      <c r="AA172" s="15" t="inlineStr">
        <is>
          <t>Variance coeff - z(S2nd)</t>
        </is>
      </c>
      <c r="AB172" s="15" t="n">
        <v>16</v>
      </c>
      <c r="AC172" s="15" t="n">
        <v>17</v>
      </c>
      <c r="AD172" s="15" t="n">
        <v>18</v>
      </c>
      <c r="AV172" s="15" t="n">
        <v>2.001</v>
      </c>
      <c r="AW172" s="15" t="inlineStr">
        <is>
          <t>Variance coeff - z(S2nd)</t>
        </is>
      </c>
      <c r="AX172" s="15" t="n">
        <v>16</v>
      </c>
      <c r="AY172" s="15" t="n">
        <v>17</v>
      </c>
      <c r="AZ172" s="15" t="n">
        <v>18</v>
      </c>
      <c r="BR172" s="15" t="n">
        <v>3</v>
      </c>
      <c r="BS172" s="15" t="inlineStr">
        <is>
          <t>Variance coeff - z(S2nd)</t>
        </is>
      </c>
      <c r="BT172" s="15" t="n">
        <v>16</v>
      </c>
      <c r="BU172" s="15" t="n">
        <v>17</v>
      </c>
      <c r="BV172" s="15" t="n">
        <v>18</v>
      </c>
      <c r="CN172" s="15" t="n">
        <v>1.7057377</v>
      </c>
      <c r="CO172" s="15" t="inlineStr">
        <is>
          <t>Variance coeff - z(S2nd)</t>
        </is>
      </c>
      <c r="CP172" s="15" t="n">
        <v>16</v>
      </c>
      <c r="CQ172" s="15" t="n">
        <v>17</v>
      </c>
      <c r="CR172" s="15" t="n">
        <v>18</v>
      </c>
      <c r="DJ172" s="15" t="n">
        <v>2.001</v>
      </c>
      <c r="DK172" s="15" t="inlineStr">
        <is>
          <t>Variance coeff - z(S2nd)</t>
        </is>
      </c>
      <c r="DL172" s="15" t="n">
        <v>16</v>
      </c>
      <c r="DM172" s="15" t="n">
        <v>17</v>
      </c>
      <c r="DN172" s="15" t="n">
        <v>18</v>
      </c>
      <c r="EF172" s="15" t="n">
        <v>3</v>
      </c>
      <c r="EG172" s="15" t="inlineStr">
        <is>
          <t>Variance coeff - z(S2nd)</t>
        </is>
      </c>
      <c r="EH172" s="15" t="n">
        <v>16</v>
      </c>
      <c r="EI172" s="15" t="n">
        <v>17</v>
      </c>
      <c r="EJ172" s="15" t="n">
        <v>18</v>
      </c>
      <c r="FB172" s="15" t="n">
        <v>1.7057377</v>
      </c>
      <c r="FC172" s="15" t="inlineStr">
        <is>
          <t>Variance coeff - z(S2nd)</t>
        </is>
      </c>
      <c r="FD172" s="15" t="n">
        <v>16</v>
      </c>
      <c r="FE172" s="15" t="n">
        <v>17</v>
      </c>
      <c r="FF172" s="15" t="n">
        <v>18</v>
      </c>
      <c r="FX172" s="15" t="n">
        <v>2.001</v>
      </c>
      <c r="FY172" s="15" t="inlineStr">
        <is>
          <t>Variance coeff - z(S2nd)</t>
        </is>
      </c>
      <c r="FZ172" s="15" t="n">
        <v>16</v>
      </c>
      <c r="GA172" s="15" t="n">
        <v>17</v>
      </c>
      <c r="GB172" s="15" t="n">
        <v>18</v>
      </c>
      <c r="GT172" s="15" t="n">
        <v>3</v>
      </c>
      <c r="GU172" s="15" t="inlineStr">
        <is>
          <t>Variance coeff - z(S2nd)</t>
        </is>
      </c>
      <c r="GV172" s="15" t="n">
        <v>16</v>
      </c>
      <c r="GW172" s="15" t="n">
        <v>17</v>
      </c>
      <c r="GX172" s="15" t="n">
        <v>18</v>
      </c>
    </row>
    <row r="173">
      <c r="B173" s="67" t="n">
        <v>1.7057377</v>
      </c>
      <c r="C173" s="15" t="n">
        <v>4</v>
      </c>
      <c r="D173" s="84">
        <f>$B$172</f>
        <v/>
      </c>
      <c r="E173" s="84">
        <f>$B$172</f>
        <v/>
      </c>
      <c r="F173" s="84">
        <f>$B$172</f>
        <v/>
      </c>
      <c r="T173" s="39">
        <f>SUM(D173:F175)</f>
        <v/>
      </c>
      <c r="U173" s="39" t="n">
        <v>15.3516393</v>
      </c>
      <c r="V173" s="39">
        <f>T173-U173</f>
        <v/>
      </c>
      <c r="W173" s="39" t="n"/>
      <c r="X173" s="39" t="n"/>
      <c r="Z173" s="15" t="n">
        <v>1.7057377</v>
      </c>
      <c r="AA173" s="15" t="n">
        <v>4</v>
      </c>
      <c r="AB173" s="15" t="n">
        <v>1.7057377</v>
      </c>
      <c r="AC173" s="15" t="n">
        <v>1.7057377</v>
      </c>
      <c r="AD173" s="15" t="n">
        <v>1.7057377</v>
      </c>
      <c r="AV173" s="15" t="n">
        <v>1.7057377</v>
      </c>
      <c r="AW173" s="15" t="n">
        <v>4</v>
      </c>
      <c r="AX173" s="15" t="n">
        <v>2.001</v>
      </c>
      <c r="AY173" s="15" t="n">
        <v>2.001</v>
      </c>
      <c r="AZ173" s="15" t="n">
        <v>2.001</v>
      </c>
      <c r="BR173" s="15" t="n">
        <v>1.7057377</v>
      </c>
      <c r="BS173" s="15" t="n">
        <v>4</v>
      </c>
      <c r="BT173" s="15" t="n">
        <v>3</v>
      </c>
      <c r="BU173" s="15" t="n">
        <v>3</v>
      </c>
      <c r="BV173" s="15" t="n">
        <v>3</v>
      </c>
      <c r="CN173" s="15" t="n">
        <v>1.7057377</v>
      </c>
      <c r="CO173" s="15" t="n">
        <v>4</v>
      </c>
      <c r="CP173" s="15" t="n">
        <v>1.7057377</v>
      </c>
      <c r="CQ173" s="15" t="n">
        <v>1.7057377</v>
      </c>
      <c r="CR173" s="15" t="n">
        <v>1.7057377</v>
      </c>
      <c r="DJ173" s="15" t="n">
        <v>1.7057377</v>
      </c>
      <c r="DK173" s="15" t="n">
        <v>4</v>
      </c>
      <c r="DL173" s="15" t="n">
        <v>2.001</v>
      </c>
      <c r="DM173" s="15" t="n">
        <v>2.001</v>
      </c>
      <c r="DN173" s="15" t="n">
        <v>2.001</v>
      </c>
      <c r="EF173" s="15" t="n">
        <v>1.7057377</v>
      </c>
      <c r="EG173" s="15" t="n">
        <v>4</v>
      </c>
      <c r="EH173" s="15" t="n">
        <v>3</v>
      </c>
      <c r="EI173" s="15" t="n">
        <v>3</v>
      </c>
      <c r="EJ173" s="15" t="n">
        <v>3</v>
      </c>
      <c r="FB173" s="15" t="n">
        <v>1.7057377</v>
      </c>
      <c r="FC173" s="15" t="n">
        <v>4</v>
      </c>
      <c r="FD173" s="15" t="n">
        <v>1.7057377</v>
      </c>
      <c r="FE173" s="15" t="n">
        <v>1.7057377</v>
      </c>
      <c r="FF173" s="15" t="n">
        <v>1.7057377</v>
      </c>
      <c r="FX173" s="15" t="n">
        <v>1.7057377</v>
      </c>
      <c r="FY173" s="15" t="n">
        <v>4</v>
      </c>
      <c r="FZ173" s="15" t="n">
        <v>2.001</v>
      </c>
      <c r="GA173" s="15" t="n">
        <v>2.001</v>
      </c>
      <c r="GB173" s="15" t="n">
        <v>2.001</v>
      </c>
      <c r="GT173" s="15" t="n">
        <v>1.7057377</v>
      </c>
      <c r="GU173" s="15" t="n">
        <v>4</v>
      </c>
      <c r="GV173" s="15" t="n">
        <v>3</v>
      </c>
      <c r="GW173" s="15" t="n">
        <v>3</v>
      </c>
      <c r="GX173" s="15" t="n">
        <v>3</v>
      </c>
    </row>
    <row r="174">
      <c r="B174" s="67" t="n">
        <v>2.001</v>
      </c>
      <c r="C174" s="15" t="n">
        <v>5</v>
      </c>
      <c r="D174" s="84">
        <f>$B$172</f>
        <v/>
      </c>
      <c r="E174" s="84">
        <f>$B$172</f>
        <v/>
      </c>
      <c r="F174" s="84">
        <f>$B$172</f>
        <v/>
      </c>
      <c r="Z174" s="15" t="n">
        <v>2.001</v>
      </c>
      <c r="AA174" s="15" t="n">
        <v>5</v>
      </c>
      <c r="AB174" s="15" t="n">
        <v>1.7057377</v>
      </c>
      <c r="AC174" s="15" t="n">
        <v>1.7057377</v>
      </c>
      <c r="AD174" s="15" t="n">
        <v>1.7057377</v>
      </c>
      <c r="AV174" s="15" t="n">
        <v>2.001</v>
      </c>
      <c r="AW174" s="15" t="n">
        <v>5</v>
      </c>
      <c r="AX174" s="15" t="n">
        <v>2.001</v>
      </c>
      <c r="AY174" s="15" t="n">
        <v>2.001</v>
      </c>
      <c r="AZ174" s="15" t="n">
        <v>2.001</v>
      </c>
      <c r="BR174" s="15" t="n">
        <v>2.001</v>
      </c>
      <c r="BS174" s="15" t="n">
        <v>5</v>
      </c>
      <c r="BT174" s="15" t="n">
        <v>3</v>
      </c>
      <c r="BU174" s="15" t="n">
        <v>3</v>
      </c>
      <c r="BV174" s="15" t="n">
        <v>3</v>
      </c>
      <c r="CN174" s="15" t="n">
        <v>2.001</v>
      </c>
      <c r="CO174" s="15" t="n">
        <v>5</v>
      </c>
      <c r="CP174" s="15" t="n">
        <v>1.7057377</v>
      </c>
      <c r="CQ174" s="15" t="n">
        <v>1.7057377</v>
      </c>
      <c r="CR174" s="15" t="n">
        <v>1.7057377</v>
      </c>
      <c r="DJ174" s="15" t="n">
        <v>2.001</v>
      </c>
      <c r="DK174" s="15" t="n">
        <v>5</v>
      </c>
      <c r="DL174" s="15" t="n">
        <v>2.001</v>
      </c>
      <c r="DM174" s="15" t="n">
        <v>2.001</v>
      </c>
      <c r="DN174" s="15" t="n">
        <v>2.001</v>
      </c>
      <c r="EF174" s="15" t="n">
        <v>2.001</v>
      </c>
      <c r="EG174" s="15" t="n">
        <v>5</v>
      </c>
      <c r="EH174" s="15" t="n">
        <v>3</v>
      </c>
      <c r="EI174" s="15" t="n">
        <v>3</v>
      </c>
      <c r="EJ174" s="15" t="n">
        <v>3</v>
      </c>
      <c r="FB174" s="15" t="n">
        <v>2.001</v>
      </c>
      <c r="FC174" s="15" t="n">
        <v>5</v>
      </c>
      <c r="FD174" s="15" t="n">
        <v>1.7057377</v>
      </c>
      <c r="FE174" s="15" t="n">
        <v>1.7057377</v>
      </c>
      <c r="FF174" s="15" t="n">
        <v>1.7057377</v>
      </c>
      <c r="FX174" s="15" t="n">
        <v>2.001</v>
      </c>
      <c r="FY174" s="15" t="n">
        <v>5</v>
      </c>
      <c r="FZ174" s="15" t="n">
        <v>2.001</v>
      </c>
      <c r="GA174" s="15" t="n">
        <v>2.001</v>
      </c>
      <c r="GB174" s="15" t="n">
        <v>2.001</v>
      </c>
      <c r="GT174" s="15" t="n">
        <v>2.001</v>
      </c>
      <c r="GU174" s="15" t="n">
        <v>5</v>
      </c>
      <c r="GV174" s="15" t="n">
        <v>3</v>
      </c>
      <c r="GW174" s="15" t="n">
        <v>3</v>
      </c>
      <c r="GX174" s="15" t="n">
        <v>3</v>
      </c>
    </row>
    <row r="175">
      <c r="B175" s="67" t="n">
        <v>3</v>
      </c>
      <c r="C175" s="15" t="n">
        <v>6</v>
      </c>
      <c r="D175" s="84">
        <f>$B$172</f>
        <v/>
      </c>
      <c r="E175" s="84">
        <f>$B$172</f>
        <v/>
      </c>
      <c r="F175" s="84">
        <f>$B$172</f>
        <v/>
      </c>
      <c r="Z175" s="15" t="n">
        <v>3</v>
      </c>
      <c r="AA175" s="15" t="n">
        <v>6</v>
      </c>
      <c r="AB175" s="15" t="n">
        <v>1.7057377</v>
      </c>
      <c r="AC175" s="15" t="n">
        <v>1.7057377</v>
      </c>
      <c r="AD175" s="15" t="n">
        <v>1.7057377</v>
      </c>
      <c r="AV175" s="15" t="n">
        <v>3</v>
      </c>
      <c r="AW175" s="15" t="n">
        <v>6</v>
      </c>
      <c r="AX175" s="15" t="n">
        <v>2.001</v>
      </c>
      <c r="AY175" s="15" t="n">
        <v>2.001</v>
      </c>
      <c r="AZ175" s="15" t="n">
        <v>2.001</v>
      </c>
      <c r="BR175" s="15" t="n">
        <v>3</v>
      </c>
      <c r="BS175" s="15" t="n">
        <v>6</v>
      </c>
      <c r="BT175" s="15" t="n">
        <v>3</v>
      </c>
      <c r="BU175" s="15" t="n">
        <v>3</v>
      </c>
      <c r="BV175" s="15" t="n">
        <v>3</v>
      </c>
      <c r="CN175" s="15" t="n">
        <v>3</v>
      </c>
      <c r="CO175" s="15" t="n">
        <v>6</v>
      </c>
      <c r="CP175" s="15" t="n">
        <v>1.7057377</v>
      </c>
      <c r="CQ175" s="15" t="n">
        <v>1.7057377</v>
      </c>
      <c r="CR175" s="15" t="n">
        <v>1.7057377</v>
      </c>
      <c r="DJ175" s="15" t="n">
        <v>3</v>
      </c>
      <c r="DK175" s="15" t="n">
        <v>6</v>
      </c>
      <c r="DL175" s="15" t="n">
        <v>2.001</v>
      </c>
      <c r="DM175" s="15" t="n">
        <v>2.001</v>
      </c>
      <c r="DN175" s="15" t="n">
        <v>2.001</v>
      </c>
      <c r="EF175" s="15" t="n">
        <v>3</v>
      </c>
      <c r="EG175" s="15" t="n">
        <v>6</v>
      </c>
      <c r="EH175" s="15" t="n">
        <v>3</v>
      </c>
      <c r="EI175" s="15" t="n">
        <v>3</v>
      </c>
      <c r="EJ175" s="15" t="n">
        <v>3</v>
      </c>
      <c r="FB175" s="15" t="n">
        <v>3</v>
      </c>
      <c r="FC175" s="15" t="n">
        <v>6</v>
      </c>
      <c r="FD175" s="15" t="n">
        <v>1.7057377</v>
      </c>
      <c r="FE175" s="15" t="n">
        <v>1.7057377</v>
      </c>
      <c r="FF175" s="15" t="n">
        <v>1.7057377</v>
      </c>
      <c r="FX175" s="15" t="n">
        <v>3</v>
      </c>
      <c r="FY175" s="15" t="n">
        <v>6</v>
      </c>
      <c r="FZ175" s="15" t="n">
        <v>2.001</v>
      </c>
      <c r="GA175" s="15" t="n">
        <v>2.001</v>
      </c>
      <c r="GB175" s="15" t="n">
        <v>2.001</v>
      </c>
      <c r="GT175" s="15" t="n">
        <v>3</v>
      </c>
      <c r="GU175" s="15" t="n">
        <v>6</v>
      </c>
      <c r="GV175" s="15" t="n">
        <v>3</v>
      </c>
      <c r="GW175" s="15" t="n">
        <v>3</v>
      </c>
      <c r="GX175" s="15" t="n">
        <v>3</v>
      </c>
    </row>
    <row r="177">
      <c r="C177" s="15" t="inlineStr">
        <is>
          <t>demand</t>
        </is>
      </c>
      <c r="D177" s="15" t="n">
        <v>16</v>
      </c>
      <c r="E177" s="15" t="n">
        <v>17</v>
      </c>
      <c r="F177" s="15" t="n">
        <v>18</v>
      </c>
      <c r="AA177" s="15" t="inlineStr">
        <is>
          <t>demand</t>
        </is>
      </c>
      <c r="AB177" s="15" t="n">
        <v>16</v>
      </c>
      <c r="AC177" s="15" t="n">
        <v>17</v>
      </c>
      <c r="AD177" s="15" t="n">
        <v>18</v>
      </c>
      <c r="AW177" s="15" t="inlineStr">
        <is>
          <t>demand</t>
        </is>
      </c>
      <c r="AX177" s="15" t="n">
        <v>16</v>
      </c>
      <c r="AY177" s="15" t="n">
        <v>17</v>
      </c>
      <c r="AZ177" s="15" t="n">
        <v>18</v>
      </c>
      <c r="BS177" s="15" t="inlineStr">
        <is>
          <t>demand</t>
        </is>
      </c>
      <c r="BT177" s="15" t="n">
        <v>16</v>
      </c>
      <c r="BU177" s="15" t="n">
        <v>17</v>
      </c>
      <c r="BV177" s="15" t="n">
        <v>18</v>
      </c>
      <c r="CO177" s="15" t="inlineStr">
        <is>
          <t>demand</t>
        </is>
      </c>
      <c r="CP177" s="15" t="n">
        <v>16</v>
      </c>
      <c r="CQ177" s="15" t="n">
        <v>17</v>
      </c>
      <c r="CR177" s="15" t="n">
        <v>18</v>
      </c>
      <c r="DK177" s="15" t="inlineStr">
        <is>
          <t>demand</t>
        </is>
      </c>
      <c r="DL177" s="15" t="n">
        <v>16</v>
      </c>
      <c r="DM177" s="15" t="n">
        <v>17</v>
      </c>
      <c r="DN177" s="15" t="n">
        <v>18</v>
      </c>
      <c r="EG177" s="15" t="inlineStr">
        <is>
          <t>demand</t>
        </is>
      </c>
      <c r="EH177" s="15" t="n">
        <v>16</v>
      </c>
      <c r="EI177" s="15" t="n">
        <v>17</v>
      </c>
      <c r="EJ177" s="15" t="n">
        <v>18</v>
      </c>
      <c r="FC177" s="15" t="inlineStr">
        <is>
          <t>demand</t>
        </is>
      </c>
      <c r="FD177" s="15" t="n">
        <v>16</v>
      </c>
      <c r="FE177" s="15" t="n">
        <v>17</v>
      </c>
      <c r="FF177" s="15" t="n">
        <v>18</v>
      </c>
      <c r="FY177" s="15" t="inlineStr">
        <is>
          <t>demand</t>
        </is>
      </c>
      <c r="FZ177" s="15" t="n">
        <v>16</v>
      </c>
      <c r="GA177" s="15" t="n">
        <v>17</v>
      </c>
      <c r="GB177" s="15" t="n">
        <v>18</v>
      </c>
      <c r="GU177" s="15" t="inlineStr">
        <is>
          <t>demand</t>
        </is>
      </c>
      <c r="GV177" s="15" t="n">
        <v>16</v>
      </c>
      <c r="GW177" s="15" t="n">
        <v>17</v>
      </c>
      <c r="GX177" s="15" t="n">
        <v>18</v>
      </c>
    </row>
    <row r="178">
      <c r="C178" s="15" t="n">
        <v>4</v>
      </c>
      <c r="D178" s="39">
        <f>Matlab_Data!D56</f>
        <v/>
      </c>
      <c r="E178" s="39">
        <f>Matlab_Data!E56</f>
        <v/>
      </c>
      <c r="F178" s="39">
        <f>Matlab_Data!F56</f>
        <v/>
      </c>
      <c r="T178" s="39">
        <f>SUM(D178:F180)</f>
        <v/>
      </c>
      <c r="U178" s="39" t="n">
        <v>14103.38</v>
      </c>
      <c r="V178" s="39">
        <f>T178-U178</f>
        <v/>
      </c>
      <c r="W178" s="39" t="n"/>
      <c r="X178" s="39" t="n"/>
      <c r="AA178" s="15" t="n">
        <v>4</v>
      </c>
      <c r="AB178" s="15" t="n">
        <v>1894.6</v>
      </c>
      <c r="AC178" s="15" t="n">
        <v>1607.87</v>
      </c>
      <c r="AD178" s="15" t="n">
        <v>1829.53</v>
      </c>
      <c r="AW178" s="15" t="n">
        <v>4</v>
      </c>
      <c r="AX178" s="15" t="n">
        <v>1894.6</v>
      </c>
      <c r="AY178" s="15" t="n">
        <v>1607.87</v>
      </c>
      <c r="AZ178" s="15" t="n">
        <v>1829.53</v>
      </c>
      <c r="BS178" s="15" t="n">
        <v>4</v>
      </c>
      <c r="BT178" s="15" t="n">
        <v>1894.6</v>
      </c>
      <c r="BU178" s="15" t="n">
        <v>1607.87</v>
      </c>
      <c r="BV178" s="15" t="n">
        <v>1829.53</v>
      </c>
      <c r="CO178" s="15" t="n">
        <v>4</v>
      </c>
      <c r="CP178" s="15" t="n">
        <v>1894.6</v>
      </c>
      <c r="CQ178" s="15" t="n">
        <v>1607.87</v>
      </c>
      <c r="CR178" s="15" t="n">
        <v>1829.53</v>
      </c>
      <c r="DK178" s="15" t="n">
        <v>4</v>
      </c>
      <c r="DL178" s="15" t="n">
        <v>1894.6</v>
      </c>
      <c r="DM178" s="15" t="n">
        <v>1607.87</v>
      </c>
      <c r="DN178" s="15" t="n">
        <v>1829.53</v>
      </c>
      <c r="EG178" s="15" t="n">
        <v>4</v>
      </c>
      <c r="EH178" s="15" t="n">
        <v>1894.6</v>
      </c>
      <c r="EI178" s="15" t="n">
        <v>1607.87</v>
      </c>
      <c r="EJ178" s="15" t="n">
        <v>1829.53</v>
      </c>
      <c r="FC178" s="15" t="n">
        <v>4</v>
      </c>
      <c r="FD178" s="15" t="n">
        <v>1894.6</v>
      </c>
      <c r="FE178" s="15" t="n">
        <v>1607.87</v>
      </c>
      <c r="FF178" s="15" t="n">
        <v>1829.53</v>
      </c>
      <c r="FY178" s="15" t="n">
        <v>4</v>
      </c>
      <c r="FZ178" s="15" t="n">
        <v>1894.6</v>
      </c>
      <c r="GA178" s="15" t="n">
        <v>1607.87</v>
      </c>
      <c r="GB178" s="15" t="n">
        <v>1829.53</v>
      </c>
      <c r="GU178" s="15" t="n">
        <v>4</v>
      </c>
      <c r="GV178" s="15" t="n">
        <v>1894.6</v>
      </c>
      <c r="GW178" s="15" t="n">
        <v>1607.87</v>
      </c>
      <c r="GX178" s="15" t="n">
        <v>1829.53</v>
      </c>
    </row>
    <row r="179">
      <c r="C179" s="15" t="n">
        <v>5</v>
      </c>
      <c r="D179" s="39">
        <f>Matlab_Data!D57</f>
        <v/>
      </c>
      <c r="E179" s="39">
        <f>Matlab_Data!E57</f>
        <v/>
      </c>
      <c r="F179" s="39">
        <f>Matlab_Data!F57</f>
        <v/>
      </c>
      <c r="AA179" s="15" t="n">
        <v>5</v>
      </c>
      <c r="AB179" s="15" t="n">
        <v>1303.06</v>
      </c>
      <c r="AC179" s="15" t="n">
        <v>1484.38</v>
      </c>
      <c r="AD179" s="15" t="n">
        <v>1783.87</v>
      </c>
      <c r="AW179" s="15" t="n">
        <v>5</v>
      </c>
      <c r="AX179" s="15" t="n">
        <v>1303.06</v>
      </c>
      <c r="AY179" s="15" t="n">
        <v>1484.38</v>
      </c>
      <c r="AZ179" s="15" t="n">
        <v>1783.87</v>
      </c>
      <c r="BS179" s="15" t="n">
        <v>5</v>
      </c>
      <c r="BT179" s="15" t="n">
        <v>1303.06</v>
      </c>
      <c r="BU179" s="15" t="n">
        <v>1484.38</v>
      </c>
      <c r="BV179" s="15" t="n">
        <v>1783.87</v>
      </c>
      <c r="CO179" s="15" t="n">
        <v>5</v>
      </c>
      <c r="CP179" s="15" t="n">
        <v>1303.06</v>
      </c>
      <c r="CQ179" s="15" t="n">
        <v>1484.38</v>
      </c>
      <c r="CR179" s="15" t="n">
        <v>1783.87</v>
      </c>
      <c r="DK179" s="15" t="n">
        <v>5</v>
      </c>
      <c r="DL179" s="15" t="n">
        <v>1303.06</v>
      </c>
      <c r="DM179" s="15" t="n">
        <v>1484.38</v>
      </c>
      <c r="DN179" s="15" t="n">
        <v>1783.87</v>
      </c>
      <c r="EG179" s="15" t="n">
        <v>5</v>
      </c>
      <c r="EH179" s="15" t="n">
        <v>1303.06</v>
      </c>
      <c r="EI179" s="15" t="n">
        <v>1484.38</v>
      </c>
      <c r="EJ179" s="15" t="n">
        <v>1783.87</v>
      </c>
      <c r="FC179" s="15" t="n">
        <v>5</v>
      </c>
      <c r="FD179" s="15" t="n">
        <v>1303.06</v>
      </c>
      <c r="FE179" s="15" t="n">
        <v>1484.38</v>
      </c>
      <c r="FF179" s="15" t="n">
        <v>1783.87</v>
      </c>
      <c r="FY179" s="15" t="n">
        <v>5</v>
      </c>
      <c r="FZ179" s="15" t="n">
        <v>1303.06</v>
      </c>
      <c r="GA179" s="15" t="n">
        <v>1484.38</v>
      </c>
      <c r="GB179" s="15" t="n">
        <v>1783.87</v>
      </c>
      <c r="GU179" s="15" t="n">
        <v>5</v>
      </c>
      <c r="GV179" s="15" t="n">
        <v>1303.06</v>
      </c>
      <c r="GW179" s="15" t="n">
        <v>1484.38</v>
      </c>
      <c r="GX179" s="15" t="n">
        <v>1783.87</v>
      </c>
    </row>
    <row r="180">
      <c r="C180" s="15" t="n">
        <v>6</v>
      </c>
      <c r="D180" s="39">
        <f>Matlab_Data!D58</f>
        <v/>
      </c>
      <c r="E180" s="39">
        <f>Matlab_Data!E58</f>
        <v/>
      </c>
      <c r="F180" s="39">
        <f>Matlab_Data!F58</f>
        <v/>
      </c>
      <c r="AA180" s="15" t="n">
        <v>6</v>
      </c>
      <c r="AB180" s="15" t="n">
        <v>1377.91</v>
      </c>
      <c r="AC180" s="15" t="n">
        <v>1520.56</v>
      </c>
      <c r="AD180" s="15" t="n">
        <v>1301.6</v>
      </c>
      <c r="AW180" s="15" t="n">
        <v>6</v>
      </c>
      <c r="AX180" s="15" t="n">
        <v>1377.91</v>
      </c>
      <c r="AY180" s="15" t="n">
        <v>1520.56</v>
      </c>
      <c r="AZ180" s="15" t="n">
        <v>1301.6</v>
      </c>
      <c r="BS180" s="15" t="n">
        <v>6</v>
      </c>
      <c r="BT180" s="15" t="n">
        <v>1377.91</v>
      </c>
      <c r="BU180" s="15" t="n">
        <v>1520.56</v>
      </c>
      <c r="BV180" s="15" t="n">
        <v>1301.6</v>
      </c>
      <c r="CO180" s="15" t="n">
        <v>6</v>
      </c>
      <c r="CP180" s="15" t="n">
        <v>1377.91</v>
      </c>
      <c r="CQ180" s="15" t="n">
        <v>1520.56</v>
      </c>
      <c r="CR180" s="15" t="n">
        <v>1301.6</v>
      </c>
      <c r="DK180" s="15" t="n">
        <v>6</v>
      </c>
      <c r="DL180" s="15" t="n">
        <v>1377.91</v>
      </c>
      <c r="DM180" s="15" t="n">
        <v>1520.56</v>
      </c>
      <c r="DN180" s="15" t="n">
        <v>1301.6</v>
      </c>
      <c r="EG180" s="15" t="n">
        <v>6</v>
      </c>
      <c r="EH180" s="15" t="n">
        <v>1377.91</v>
      </c>
      <c r="EI180" s="15" t="n">
        <v>1520.56</v>
      </c>
      <c r="EJ180" s="15" t="n">
        <v>1301.6</v>
      </c>
      <c r="FC180" s="15" t="n">
        <v>6</v>
      </c>
      <c r="FD180" s="15" t="n">
        <v>1377.91</v>
      </c>
      <c r="FE180" s="15" t="n">
        <v>1520.56</v>
      </c>
      <c r="FF180" s="15" t="n">
        <v>1301.6</v>
      </c>
      <c r="FY180" s="15" t="n">
        <v>6</v>
      </c>
      <c r="FZ180" s="15" t="n">
        <v>1377.91</v>
      </c>
      <c r="GA180" s="15" t="n">
        <v>1520.56</v>
      </c>
      <c r="GB180" s="15" t="n">
        <v>1301.6</v>
      </c>
      <c r="GU180" s="15" t="n">
        <v>6</v>
      </c>
      <c r="GV180" s="15" t="n">
        <v>1377.91</v>
      </c>
      <c r="GW180" s="15" t="n">
        <v>1520.56</v>
      </c>
      <c r="GX180" s="15" t="n">
        <v>1301.6</v>
      </c>
    </row>
    <row r="182">
      <c r="B182" s="15" t="inlineStr">
        <is>
          <t>Parâmetros p/ μy</t>
        </is>
      </c>
      <c r="C182" s="15" t="inlineStr">
        <is>
          <t>Média(E(RLT))</t>
        </is>
      </c>
      <c r="D182" s="15" t="n">
        <v>16</v>
      </c>
      <c r="E182" s="15" t="n">
        <v>17</v>
      </c>
      <c r="F182" s="15" t="n">
        <v>18</v>
      </c>
      <c r="Z182" s="15" t="inlineStr">
        <is>
          <t>Parâmetros p/ μy</t>
        </is>
      </c>
      <c r="AA182" s="15" t="inlineStr">
        <is>
          <t>Média(E(RLT))</t>
        </is>
      </c>
      <c r="AB182" s="15" t="n">
        <v>16</v>
      </c>
      <c r="AC182" s="15" t="n">
        <v>17</v>
      </c>
      <c r="AD182" s="15" t="n">
        <v>18</v>
      </c>
      <c r="AV182" s="15" t="inlineStr">
        <is>
          <t>Parâmetros p/ μy</t>
        </is>
      </c>
      <c r="AW182" s="15" t="inlineStr">
        <is>
          <t>Média(E(RLT))</t>
        </is>
      </c>
      <c r="AX182" s="15" t="n">
        <v>16</v>
      </c>
      <c r="AY182" s="15" t="n">
        <v>17</v>
      </c>
      <c r="AZ182" s="15" t="n">
        <v>18</v>
      </c>
      <c r="BR182" s="15" t="inlineStr">
        <is>
          <t>Parâmetros p/ μy</t>
        </is>
      </c>
      <c r="BS182" s="15" t="inlineStr">
        <is>
          <t>Média(E(RLT))</t>
        </is>
      </c>
      <c r="BT182" s="15" t="n">
        <v>16</v>
      </c>
      <c r="BU182" s="15" t="n">
        <v>17</v>
      </c>
      <c r="BV182" s="15" t="n">
        <v>18</v>
      </c>
      <c r="CN182" s="15" t="inlineStr">
        <is>
          <t>Parâmetros p/ μy</t>
        </is>
      </c>
      <c r="CO182" s="15" t="inlineStr">
        <is>
          <t>Média(E(RLT))</t>
        </is>
      </c>
      <c r="CP182" s="15" t="n">
        <v>16</v>
      </c>
      <c r="CQ182" s="15" t="n">
        <v>17</v>
      </c>
      <c r="CR182" s="15" t="n">
        <v>18</v>
      </c>
      <c r="DJ182" s="15" t="inlineStr">
        <is>
          <t>Parâmetros p/ μy</t>
        </is>
      </c>
      <c r="DK182" s="15" t="inlineStr">
        <is>
          <t>Média(E(RLT))</t>
        </is>
      </c>
      <c r="DL182" s="15" t="n">
        <v>16</v>
      </c>
      <c r="DM182" s="15" t="n">
        <v>17</v>
      </c>
      <c r="DN182" s="15" t="n">
        <v>18</v>
      </c>
      <c r="EF182" s="15" t="inlineStr">
        <is>
          <t>Parâmetros p/ μy</t>
        </is>
      </c>
      <c r="EG182" s="15" t="inlineStr">
        <is>
          <t>Média(E(RLT))</t>
        </is>
      </c>
      <c r="EH182" s="15" t="n">
        <v>16</v>
      </c>
      <c r="EI182" s="15" t="n">
        <v>17</v>
      </c>
      <c r="EJ182" s="15" t="n">
        <v>18</v>
      </c>
      <c r="FB182" s="15" t="inlineStr">
        <is>
          <t>Parâmetros p/ μy</t>
        </is>
      </c>
      <c r="FC182" s="15" t="inlineStr">
        <is>
          <t>Média(E(RLT))</t>
        </is>
      </c>
      <c r="FD182" s="15" t="n">
        <v>16</v>
      </c>
      <c r="FE182" s="15" t="n">
        <v>17</v>
      </c>
      <c r="FF182" s="15" t="n">
        <v>18</v>
      </c>
      <c r="FX182" s="15" t="inlineStr">
        <is>
          <t>Parâmetros p/ μy</t>
        </is>
      </c>
      <c r="FY182" s="15" t="inlineStr">
        <is>
          <t>Média(E(RLT))</t>
        </is>
      </c>
      <c r="FZ182" s="15" t="n">
        <v>16</v>
      </c>
      <c r="GA182" s="15" t="n">
        <v>17</v>
      </c>
      <c r="GB182" s="15" t="n">
        <v>18</v>
      </c>
      <c r="GT182" s="15" t="inlineStr">
        <is>
          <t>Parâmetros p/ μy</t>
        </is>
      </c>
      <c r="GU182" s="15" t="inlineStr">
        <is>
          <t>Média(E(RLT))</t>
        </is>
      </c>
      <c r="GV182" s="15" t="n">
        <v>16</v>
      </c>
      <c r="GW182" s="15" t="n">
        <v>17</v>
      </c>
      <c r="GX182" s="15" t="n">
        <v>18</v>
      </c>
    </row>
    <row r="183" ht="16.2" customHeight="1">
      <c r="B183" s="15" t="inlineStr">
        <is>
          <t>ND*RLT e S2nd</t>
        </is>
      </c>
      <c r="C183" s="15" t="n">
        <v>4</v>
      </c>
      <c r="D183" s="39">
        <f>Matlab_Data!D61</f>
        <v/>
      </c>
      <c r="E183" s="39">
        <f>Matlab_Data!E61</f>
        <v/>
      </c>
      <c r="F183" s="39">
        <f>Matlab_Data!F61</f>
        <v/>
      </c>
      <c r="T183" s="39">
        <f>SUM(D183:F185)</f>
        <v/>
      </c>
      <c r="U183" s="39" t="n">
        <v>44.83300000000001</v>
      </c>
      <c r="V183" s="39">
        <f>T183-U183</f>
        <v/>
      </c>
      <c r="W183" s="39" t="n"/>
      <c r="X183" s="39" t="n"/>
      <c r="Z183" s="15" t="inlineStr">
        <is>
          <t>ND*RLT e S2nd</t>
        </is>
      </c>
      <c r="AA183" s="15" t="n">
        <v>4</v>
      </c>
      <c r="AB183" s="15" t="n">
        <v>4.889</v>
      </c>
      <c r="AC183" s="15" t="n">
        <v>6.521</v>
      </c>
      <c r="AD183" s="15" t="n">
        <v>4.091</v>
      </c>
      <c r="AV183" s="15" t="inlineStr">
        <is>
          <t>ND*RLT e S2nd</t>
        </is>
      </c>
      <c r="AW183" s="15" t="n">
        <v>4</v>
      </c>
      <c r="AX183" s="15" t="n">
        <v>4.889</v>
      </c>
      <c r="AY183" s="15" t="n">
        <v>6.521</v>
      </c>
      <c r="AZ183" s="15" t="n">
        <v>4.091</v>
      </c>
      <c r="BR183" s="15" t="inlineStr">
        <is>
          <t>ND*RLT e S2nd</t>
        </is>
      </c>
      <c r="BS183" s="15" t="n">
        <v>4</v>
      </c>
      <c r="BT183" s="15" t="n">
        <v>4.889</v>
      </c>
      <c r="BU183" s="15" t="n">
        <v>6.521</v>
      </c>
      <c r="BV183" s="15" t="n">
        <v>4.091</v>
      </c>
      <c r="CN183" s="15" t="inlineStr">
        <is>
          <t>ND*RLT e S2nd</t>
        </is>
      </c>
      <c r="CO183" s="15" t="n">
        <v>4</v>
      </c>
      <c r="CP183" s="15" t="n">
        <v>4.889</v>
      </c>
      <c r="CQ183" s="15" t="n">
        <v>6.521</v>
      </c>
      <c r="CR183" s="15" t="n">
        <v>4.091</v>
      </c>
      <c r="DJ183" s="15" t="inlineStr">
        <is>
          <t>ND*RLT e S2nd</t>
        </is>
      </c>
      <c r="DK183" s="15" t="n">
        <v>4</v>
      </c>
      <c r="DL183" s="15" t="n">
        <v>4.889</v>
      </c>
      <c r="DM183" s="15" t="n">
        <v>6.521</v>
      </c>
      <c r="DN183" s="15" t="n">
        <v>4.091</v>
      </c>
      <c r="EF183" s="15" t="inlineStr">
        <is>
          <t>ND*RLT e S2nd</t>
        </is>
      </c>
      <c r="EG183" s="15" t="n">
        <v>4</v>
      </c>
      <c r="EH183" s="15" t="n">
        <v>4.889</v>
      </c>
      <c r="EI183" s="15" t="n">
        <v>6.521</v>
      </c>
      <c r="EJ183" s="15" t="n">
        <v>4.091</v>
      </c>
      <c r="FB183" s="15" t="inlineStr">
        <is>
          <t>ND*RLT e S2nd</t>
        </is>
      </c>
      <c r="FC183" s="15" t="n">
        <v>4</v>
      </c>
      <c r="FD183" s="15" t="n">
        <v>4.889</v>
      </c>
      <c r="FE183" s="15" t="n">
        <v>6.521</v>
      </c>
      <c r="FF183" s="15" t="n">
        <v>4.091</v>
      </c>
      <c r="FX183" s="15" t="inlineStr">
        <is>
          <t>ND*RLT e S2nd</t>
        </is>
      </c>
      <c r="FY183" s="15" t="n">
        <v>4</v>
      </c>
      <c r="FZ183" s="15" t="n">
        <v>4.889</v>
      </c>
      <c r="GA183" s="15" t="n">
        <v>6.521</v>
      </c>
      <c r="GB183" s="15" t="n">
        <v>4.091</v>
      </c>
      <c r="GT183" s="15" t="inlineStr">
        <is>
          <t>ND*RLT e S2nd</t>
        </is>
      </c>
      <c r="GU183" s="15" t="n">
        <v>4</v>
      </c>
      <c r="GV183" s="15" t="n">
        <v>4.889</v>
      </c>
      <c r="GW183" s="15" t="n">
        <v>6.521</v>
      </c>
      <c r="GX183" s="15" t="n">
        <v>4.091</v>
      </c>
    </row>
    <row r="184">
      <c r="C184" s="15" t="n">
        <v>5</v>
      </c>
      <c r="D184" s="39">
        <f>Matlab_Data!D62</f>
        <v/>
      </c>
      <c r="E184" s="39">
        <f>Matlab_Data!E62</f>
        <v/>
      </c>
      <c r="F184" s="39">
        <f>Matlab_Data!F62</f>
        <v/>
      </c>
      <c r="AA184" s="15" t="n">
        <v>5</v>
      </c>
      <c r="AB184" s="15" t="n">
        <v>3.548</v>
      </c>
      <c r="AC184" s="15" t="n">
        <v>6.734</v>
      </c>
      <c r="AD184" s="15" t="n">
        <v>4.237</v>
      </c>
      <c r="AW184" s="15" t="n">
        <v>5</v>
      </c>
      <c r="AX184" s="15" t="n">
        <v>3.548</v>
      </c>
      <c r="AY184" s="15" t="n">
        <v>6.734</v>
      </c>
      <c r="AZ184" s="15" t="n">
        <v>4.237</v>
      </c>
      <c r="BS184" s="15" t="n">
        <v>5</v>
      </c>
      <c r="BT184" s="15" t="n">
        <v>3.548</v>
      </c>
      <c r="BU184" s="15" t="n">
        <v>6.734</v>
      </c>
      <c r="BV184" s="15" t="n">
        <v>4.237</v>
      </c>
      <c r="CO184" s="15" t="n">
        <v>5</v>
      </c>
      <c r="CP184" s="15" t="n">
        <v>3.548</v>
      </c>
      <c r="CQ184" s="15" t="n">
        <v>6.734</v>
      </c>
      <c r="CR184" s="15" t="n">
        <v>4.237</v>
      </c>
      <c r="DK184" s="15" t="n">
        <v>5</v>
      </c>
      <c r="DL184" s="15" t="n">
        <v>3.548</v>
      </c>
      <c r="DM184" s="15" t="n">
        <v>6.734</v>
      </c>
      <c r="DN184" s="15" t="n">
        <v>4.237</v>
      </c>
      <c r="EG184" s="15" t="n">
        <v>5</v>
      </c>
      <c r="EH184" s="15" t="n">
        <v>3.548</v>
      </c>
      <c r="EI184" s="15" t="n">
        <v>6.734</v>
      </c>
      <c r="EJ184" s="15" t="n">
        <v>4.237</v>
      </c>
      <c r="FC184" s="15" t="n">
        <v>5</v>
      </c>
      <c r="FD184" s="15" t="n">
        <v>3.548</v>
      </c>
      <c r="FE184" s="15" t="n">
        <v>6.734</v>
      </c>
      <c r="FF184" s="15" t="n">
        <v>4.237</v>
      </c>
      <c r="FY184" s="15" t="n">
        <v>5</v>
      </c>
      <c r="FZ184" s="15" t="n">
        <v>3.548</v>
      </c>
      <c r="GA184" s="15" t="n">
        <v>6.734</v>
      </c>
      <c r="GB184" s="15" t="n">
        <v>4.237</v>
      </c>
      <c r="GU184" s="15" t="n">
        <v>5</v>
      </c>
      <c r="GV184" s="15" t="n">
        <v>3.548</v>
      </c>
      <c r="GW184" s="15" t="n">
        <v>6.734</v>
      </c>
      <c r="GX184" s="15" t="n">
        <v>4.237</v>
      </c>
    </row>
    <row r="185">
      <c r="C185" s="15" t="n">
        <v>6</v>
      </c>
      <c r="D185" s="39">
        <f>Matlab_Data!D63</f>
        <v/>
      </c>
      <c r="E185" s="39">
        <f>Matlab_Data!E63</f>
        <v/>
      </c>
      <c r="F185" s="39">
        <f>Matlab_Data!F63</f>
        <v/>
      </c>
      <c r="AA185" s="15" t="n">
        <v>6</v>
      </c>
      <c r="AB185" s="15" t="n">
        <v>4.35</v>
      </c>
      <c r="AC185" s="15" t="n">
        <v>5.496</v>
      </c>
      <c r="AD185" s="15" t="n">
        <v>4.967</v>
      </c>
      <c r="AW185" s="15" t="n">
        <v>6</v>
      </c>
      <c r="AX185" s="15" t="n">
        <v>4.35</v>
      </c>
      <c r="AY185" s="15" t="n">
        <v>5.496</v>
      </c>
      <c r="AZ185" s="15" t="n">
        <v>4.967</v>
      </c>
      <c r="BS185" s="15" t="n">
        <v>6</v>
      </c>
      <c r="BT185" s="15" t="n">
        <v>4.35</v>
      </c>
      <c r="BU185" s="15" t="n">
        <v>5.496</v>
      </c>
      <c r="BV185" s="15" t="n">
        <v>4.967</v>
      </c>
      <c r="CO185" s="15" t="n">
        <v>6</v>
      </c>
      <c r="CP185" s="15" t="n">
        <v>4.35</v>
      </c>
      <c r="CQ185" s="15" t="n">
        <v>5.496</v>
      </c>
      <c r="CR185" s="15" t="n">
        <v>4.967</v>
      </c>
      <c r="DK185" s="15" t="n">
        <v>6</v>
      </c>
      <c r="DL185" s="15" t="n">
        <v>4.35</v>
      </c>
      <c r="DM185" s="15" t="n">
        <v>5.496</v>
      </c>
      <c r="DN185" s="15" t="n">
        <v>4.967</v>
      </c>
      <c r="EG185" s="15" t="n">
        <v>6</v>
      </c>
      <c r="EH185" s="15" t="n">
        <v>4.35</v>
      </c>
      <c r="EI185" s="15" t="n">
        <v>5.496</v>
      </c>
      <c r="EJ185" s="15" t="n">
        <v>4.967</v>
      </c>
      <c r="FC185" s="15" t="n">
        <v>6</v>
      </c>
      <c r="FD185" s="15" t="n">
        <v>4.35</v>
      </c>
      <c r="FE185" s="15" t="n">
        <v>5.496</v>
      </c>
      <c r="FF185" s="15" t="n">
        <v>4.967</v>
      </c>
      <c r="FY185" s="15" t="n">
        <v>6</v>
      </c>
      <c r="FZ185" s="15" t="n">
        <v>4.35</v>
      </c>
      <c r="GA185" s="15" t="n">
        <v>5.496</v>
      </c>
      <c r="GB185" s="15" t="n">
        <v>4.967</v>
      </c>
      <c r="GU185" s="15" t="n">
        <v>6</v>
      </c>
      <c r="GV185" s="15" t="n">
        <v>4.35</v>
      </c>
      <c r="GW185" s="15" t="n">
        <v>5.496</v>
      </c>
      <c r="GX185" s="15" t="n">
        <v>4.967</v>
      </c>
    </row>
    <row r="187">
      <c r="C187" s="15" t="inlineStr">
        <is>
          <t>Cap</t>
        </is>
      </c>
      <c r="D187" s="15" t="n">
        <v>16</v>
      </c>
      <c r="E187" s="15" t="n">
        <v>17</v>
      </c>
      <c r="F187" s="15" t="n">
        <v>18</v>
      </c>
      <c r="AA187" s="15" t="inlineStr">
        <is>
          <t>Cap</t>
        </is>
      </c>
      <c r="AB187" s="15" t="n">
        <v>16</v>
      </c>
      <c r="AC187" s="15" t="n">
        <v>17</v>
      </c>
      <c r="AD187" s="15" t="n">
        <v>18</v>
      </c>
      <c r="AW187" s="15" t="inlineStr">
        <is>
          <t>Cap</t>
        </is>
      </c>
      <c r="AX187" s="15" t="n">
        <v>16</v>
      </c>
      <c r="AY187" s="15" t="n">
        <v>17</v>
      </c>
      <c r="AZ187" s="15" t="n">
        <v>18</v>
      </c>
      <c r="BS187" s="15" t="inlineStr">
        <is>
          <t>Cap</t>
        </is>
      </c>
      <c r="BT187" s="15" t="n">
        <v>16</v>
      </c>
      <c r="BU187" s="15" t="n">
        <v>17</v>
      </c>
      <c r="BV187" s="15" t="n">
        <v>18</v>
      </c>
      <c r="CO187" s="15" t="inlineStr">
        <is>
          <t>Cap</t>
        </is>
      </c>
      <c r="CP187" s="15" t="n">
        <v>16</v>
      </c>
      <c r="CQ187" s="15" t="n">
        <v>17</v>
      </c>
      <c r="CR187" s="15" t="n">
        <v>18</v>
      </c>
      <c r="DK187" s="15" t="inlineStr">
        <is>
          <t>Cap</t>
        </is>
      </c>
      <c r="DL187" s="15" t="n">
        <v>16</v>
      </c>
      <c r="DM187" s="15" t="n">
        <v>17</v>
      </c>
      <c r="DN187" s="15" t="n">
        <v>18</v>
      </c>
      <c r="EG187" s="15" t="inlineStr">
        <is>
          <t>Cap</t>
        </is>
      </c>
      <c r="EH187" s="15" t="n">
        <v>16</v>
      </c>
      <c r="EI187" s="15" t="n">
        <v>17</v>
      </c>
      <c r="EJ187" s="15" t="n">
        <v>18</v>
      </c>
      <c r="FC187" s="15" t="inlineStr">
        <is>
          <t>Cap</t>
        </is>
      </c>
      <c r="FD187" s="15" t="n">
        <v>16</v>
      </c>
      <c r="FE187" s="15" t="n">
        <v>17</v>
      </c>
      <c r="FF187" s="15" t="n">
        <v>18</v>
      </c>
      <c r="FY187" s="15" t="inlineStr">
        <is>
          <t>Cap</t>
        </is>
      </c>
      <c r="FZ187" s="15" t="n">
        <v>16</v>
      </c>
      <c r="GA187" s="15" t="n">
        <v>17</v>
      </c>
      <c r="GB187" s="15" t="n">
        <v>18</v>
      </c>
      <c r="GU187" s="15" t="inlineStr">
        <is>
          <t>Cap</t>
        </is>
      </c>
      <c r="GV187" s="15" t="n">
        <v>16</v>
      </c>
      <c r="GW187" s="15" t="n">
        <v>17</v>
      </c>
      <c r="GX187" s="15" t="n">
        <v>18</v>
      </c>
    </row>
    <row r="188">
      <c r="C188" s="15" t="n">
        <v>4</v>
      </c>
      <c r="D188" s="39">
        <f>Matlab_Data!D66</f>
        <v/>
      </c>
      <c r="E188" s="39">
        <f>Matlab_Data!E66</f>
        <v/>
      </c>
      <c r="F188" s="39">
        <f>Matlab_Data!F66</f>
        <v/>
      </c>
      <c r="T188" s="39">
        <f>SUM(D188:F190)</f>
        <v/>
      </c>
      <c r="U188" s="39" t="n">
        <v>14656.73</v>
      </c>
      <c r="V188" s="39">
        <f>T188-U188</f>
        <v/>
      </c>
      <c r="W188" s="39" t="n"/>
      <c r="X188" s="39" t="n"/>
      <c r="AA188" s="15" t="n">
        <v>4</v>
      </c>
      <c r="AB188" s="15" t="n">
        <v>1390.95</v>
      </c>
      <c r="AC188" s="15" t="n">
        <v>1437.58</v>
      </c>
      <c r="AD188" s="15" t="n">
        <v>1688.77</v>
      </c>
      <c r="AW188" s="15" t="n">
        <v>4</v>
      </c>
      <c r="AX188" s="15" t="n">
        <v>1390.95</v>
      </c>
      <c r="AY188" s="15" t="n">
        <v>1437.58</v>
      </c>
      <c r="AZ188" s="15" t="n">
        <v>1688.77</v>
      </c>
      <c r="BS188" s="15" t="n">
        <v>4</v>
      </c>
      <c r="BT188" s="15" t="n">
        <v>1390.95</v>
      </c>
      <c r="BU188" s="15" t="n">
        <v>1437.58</v>
      </c>
      <c r="BV188" s="15" t="n">
        <v>1688.77</v>
      </c>
      <c r="CO188" s="15" t="n">
        <v>4</v>
      </c>
      <c r="CP188" s="15" t="n">
        <v>1390.95</v>
      </c>
      <c r="CQ188" s="15" t="n">
        <v>1437.58</v>
      </c>
      <c r="CR188" s="15" t="n">
        <v>1688.77</v>
      </c>
      <c r="DK188" s="15" t="n">
        <v>4</v>
      </c>
      <c r="DL188" s="15" t="n">
        <v>1390.95</v>
      </c>
      <c r="DM188" s="15" t="n">
        <v>1437.58</v>
      </c>
      <c r="DN188" s="15" t="n">
        <v>1688.77</v>
      </c>
      <c r="EG188" s="15" t="n">
        <v>4</v>
      </c>
      <c r="EH188" s="15" t="n">
        <v>1390.95</v>
      </c>
      <c r="EI188" s="15" t="n">
        <v>1437.58</v>
      </c>
      <c r="EJ188" s="15" t="n">
        <v>1688.77</v>
      </c>
      <c r="FC188" s="15" t="n">
        <v>4</v>
      </c>
      <c r="FD188" s="15" t="n">
        <v>1390.95</v>
      </c>
      <c r="FE188" s="15" t="n">
        <v>1437.58</v>
      </c>
      <c r="FF188" s="15" t="n">
        <v>1688.77</v>
      </c>
      <c r="FY188" s="15" t="n">
        <v>4</v>
      </c>
      <c r="FZ188" s="15" t="n">
        <v>1390.95</v>
      </c>
      <c r="GA188" s="15" t="n">
        <v>1437.58</v>
      </c>
      <c r="GB188" s="15" t="n">
        <v>1688.77</v>
      </c>
      <c r="GU188" s="15" t="n">
        <v>4</v>
      </c>
      <c r="GV188" s="15" t="n">
        <v>1390.95</v>
      </c>
      <c r="GW188" s="15" t="n">
        <v>1437.58</v>
      </c>
      <c r="GX188" s="15" t="n">
        <v>1688.77</v>
      </c>
    </row>
    <row r="189">
      <c r="C189" s="15" t="n">
        <v>5</v>
      </c>
      <c r="D189" s="39">
        <f>Matlab_Data!D67</f>
        <v/>
      </c>
      <c r="E189" s="39">
        <f>Matlab_Data!E67</f>
        <v/>
      </c>
      <c r="F189" s="39">
        <f>Matlab_Data!F67</f>
        <v/>
      </c>
      <c r="AA189" s="15" t="n">
        <v>5</v>
      </c>
      <c r="AB189" s="15" t="n">
        <v>1503.1</v>
      </c>
      <c r="AC189" s="15" t="n">
        <v>1294.01</v>
      </c>
      <c r="AD189" s="15" t="n">
        <v>2188.83</v>
      </c>
      <c r="AW189" s="15" t="n">
        <v>5</v>
      </c>
      <c r="AX189" s="15" t="n">
        <v>1503.1</v>
      </c>
      <c r="AY189" s="15" t="n">
        <v>1294.01</v>
      </c>
      <c r="AZ189" s="15" t="n">
        <v>2188.83</v>
      </c>
      <c r="BS189" s="15" t="n">
        <v>5</v>
      </c>
      <c r="BT189" s="15" t="n">
        <v>1503.1</v>
      </c>
      <c r="BU189" s="15" t="n">
        <v>1294.01</v>
      </c>
      <c r="BV189" s="15" t="n">
        <v>2188.83</v>
      </c>
      <c r="CO189" s="15" t="n">
        <v>5</v>
      </c>
      <c r="CP189" s="15" t="n">
        <v>1503.1</v>
      </c>
      <c r="CQ189" s="15" t="n">
        <v>1294.01</v>
      </c>
      <c r="CR189" s="15" t="n">
        <v>2188.83</v>
      </c>
      <c r="DK189" s="15" t="n">
        <v>5</v>
      </c>
      <c r="DL189" s="15" t="n">
        <v>1503.1</v>
      </c>
      <c r="DM189" s="15" t="n">
        <v>1294.01</v>
      </c>
      <c r="DN189" s="15" t="n">
        <v>2188.83</v>
      </c>
      <c r="EG189" s="15" t="n">
        <v>5</v>
      </c>
      <c r="EH189" s="15" t="n">
        <v>1503.1</v>
      </c>
      <c r="EI189" s="15" t="n">
        <v>1294.01</v>
      </c>
      <c r="EJ189" s="15" t="n">
        <v>2188.83</v>
      </c>
      <c r="FC189" s="15" t="n">
        <v>5</v>
      </c>
      <c r="FD189" s="15" t="n">
        <v>1503.1</v>
      </c>
      <c r="FE189" s="15" t="n">
        <v>1294.01</v>
      </c>
      <c r="FF189" s="15" t="n">
        <v>2188.83</v>
      </c>
      <c r="FY189" s="15" t="n">
        <v>5</v>
      </c>
      <c r="FZ189" s="15" t="n">
        <v>1503.1</v>
      </c>
      <c r="GA189" s="15" t="n">
        <v>1294.01</v>
      </c>
      <c r="GB189" s="15" t="n">
        <v>2188.83</v>
      </c>
      <c r="GU189" s="15" t="n">
        <v>5</v>
      </c>
      <c r="GV189" s="15" t="n">
        <v>1503.1</v>
      </c>
      <c r="GW189" s="15" t="n">
        <v>1294.01</v>
      </c>
      <c r="GX189" s="15" t="n">
        <v>2188.83</v>
      </c>
    </row>
    <row r="190">
      <c r="C190" s="15" t="n">
        <v>6</v>
      </c>
      <c r="D190" s="39">
        <f>Matlab_Data!D68</f>
        <v/>
      </c>
      <c r="E190" s="39">
        <f>Matlab_Data!E68</f>
        <v/>
      </c>
      <c r="F190" s="39">
        <f>Matlab_Data!F68</f>
        <v/>
      </c>
      <c r="AA190" s="15" t="n">
        <v>6</v>
      </c>
      <c r="AB190" s="15" t="n">
        <v>1709.45</v>
      </c>
      <c r="AC190" s="15" t="n">
        <v>1169.55</v>
      </c>
      <c r="AD190" s="15" t="n">
        <v>2274.49</v>
      </c>
      <c r="AW190" s="15" t="n">
        <v>6</v>
      </c>
      <c r="AX190" s="15" t="n">
        <v>1709.45</v>
      </c>
      <c r="AY190" s="15" t="n">
        <v>1169.55</v>
      </c>
      <c r="AZ190" s="15" t="n">
        <v>2274.49</v>
      </c>
      <c r="BS190" s="15" t="n">
        <v>6</v>
      </c>
      <c r="BT190" s="15" t="n">
        <v>1709.45</v>
      </c>
      <c r="BU190" s="15" t="n">
        <v>1169.55</v>
      </c>
      <c r="BV190" s="15" t="n">
        <v>2274.49</v>
      </c>
      <c r="CO190" s="15" t="n">
        <v>6</v>
      </c>
      <c r="CP190" s="15" t="n">
        <v>1709.45</v>
      </c>
      <c r="CQ190" s="15" t="n">
        <v>1169.55</v>
      </c>
      <c r="CR190" s="15" t="n">
        <v>2274.49</v>
      </c>
      <c r="DK190" s="15" t="n">
        <v>6</v>
      </c>
      <c r="DL190" s="15" t="n">
        <v>1709.45</v>
      </c>
      <c r="DM190" s="15" t="n">
        <v>1169.55</v>
      </c>
      <c r="DN190" s="15" t="n">
        <v>2274.49</v>
      </c>
      <c r="EG190" s="15" t="n">
        <v>6</v>
      </c>
      <c r="EH190" s="15" t="n">
        <v>1709.45</v>
      </c>
      <c r="EI190" s="15" t="n">
        <v>1169.55</v>
      </c>
      <c r="EJ190" s="15" t="n">
        <v>2274.49</v>
      </c>
      <c r="FC190" s="15" t="n">
        <v>6</v>
      </c>
      <c r="FD190" s="15" t="n">
        <v>1709.45</v>
      </c>
      <c r="FE190" s="15" t="n">
        <v>1169.55</v>
      </c>
      <c r="FF190" s="15" t="n">
        <v>2274.49</v>
      </c>
      <c r="FY190" s="15" t="n">
        <v>6</v>
      </c>
      <c r="FZ190" s="15" t="n">
        <v>1709.45</v>
      </c>
      <c r="GA190" s="15" t="n">
        <v>1169.55</v>
      </c>
      <c r="GB190" s="15" t="n">
        <v>2274.49</v>
      </c>
      <c r="GU190" s="15" t="n">
        <v>6</v>
      </c>
      <c r="GV190" s="15" t="n">
        <v>1709.45</v>
      </c>
      <c r="GW190" s="15" t="n">
        <v>1169.55</v>
      </c>
      <c r="GX190" s="15" t="n">
        <v>2274.49</v>
      </c>
    </row>
    <row r="192">
      <c r="B192" s="15" t="inlineStr">
        <is>
          <t>Parâmetros p/ μx</t>
        </is>
      </c>
      <c r="C192" s="15" t="inlineStr">
        <is>
          <t>Var(d-cap)</t>
        </is>
      </c>
      <c r="D192" s="15" t="n">
        <v>16</v>
      </c>
      <c r="E192" s="15" t="n">
        <v>17</v>
      </c>
      <c r="F192" s="15" t="n">
        <v>18</v>
      </c>
      <c r="Z192" s="15" t="inlineStr">
        <is>
          <t>Parâmetros p/ μx</t>
        </is>
      </c>
      <c r="AA192" s="15" t="inlineStr">
        <is>
          <t>Var(d-cap)</t>
        </is>
      </c>
      <c r="AB192" s="15" t="n">
        <v>16</v>
      </c>
      <c r="AC192" s="15" t="n">
        <v>17</v>
      </c>
      <c r="AD192" s="15" t="n">
        <v>18</v>
      </c>
      <c r="AV192" s="15" t="inlineStr">
        <is>
          <t>Parâmetros p/ μx</t>
        </is>
      </c>
      <c r="AW192" s="15" t="inlineStr">
        <is>
          <t>Var(d-cap)</t>
        </is>
      </c>
      <c r="AX192" s="15" t="n">
        <v>16</v>
      </c>
      <c r="AY192" s="15" t="n">
        <v>17</v>
      </c>
      <c r="AZ192" s="15" t="n">
        <v>18</v>
      </c>
      <c r="BR192" s="15" t="inlineStr">
        <is>
          <t>Parâmetros p/ μx</t>
        </is>
      </c>
      <c r="BS192" s="15" t="inlineStr">
        <is>
          <t>Var(d-cap)</t>
        </is>
      </c>
      <c r="BT192" s="15" t="n">
        <v>16</v>
      </c>
      <c r="BU192" s="15" t="n">
        <v>17</v>
      </c>
      <c r="BV192" s="15" t="n">
        <v>18</v>
      </c>
      <c r="CN192" s="15" t="inlineStr">
        <is>
          <t>Parâmetros p/ μx</t>
        </is>
      </c>
      <c r="CO192" s="15" t="inlineStr">
        <is>
          <t>Var(d-cap)</t>
        </is>
      </c>
      <c r="CP192" s="15" t="n">
        <v>16</v>
      </c>
      <c r="CQ192" s="15" t="n">
        <v>17</v>
      </c>
      <c r="CR192" s="15" t="n">
        <v>18</v>
      </c>
      <c r="DJ192" s="15" t="inlineStr">
        <is>
          <t>Parâmetros p/ μx</t>
        </is>
      </c>
      <c r="DK192" s="15" t="inlineStr">
        <is>
          <t>Var(d-cap)</t>
        </is>
      </c>
      <c r="DL192" s="15" t="n">
        <v>16</v>
      </c>
      <c r="DM192" s="15" t="n">
        <v>17</v>
      </c>
      <c r="DN192" s="15" t="n">
        <v>18</v>
      </c>
      <c r="EF192" s="15" t="inlineStr">
        <is>
          <t>Parâmetros p/ μx</t>
        </is>
      </c>
      <c r="EG192" s="15" t="inlineStr">
        <is>
          <t>Var(d-cap)</t>
        </is>
      </c>
      <c r="EH192" s="15" t="n">
        <v>16</v>
      </c>
      <c r="EI192" s="15" t="n">
        <v>17</v>
      </c>
      <c r="EJ192" s="15" t="n">
        <v>18</v>
      </c>
      <c r="FB192" s="15" t="inlineStr">
        <is>
          <t>Parâmetros p/ μx</t>
        </is>
      </c>
      <c r="FC192" s="15" t="inlineStr">
        <is>
          <t>Var(d-cap)</t>
        </is>
      </c>
      <c r="FD192" s="15" t="n">
        <v>16</v>
      </c>
      <c r="FE192" s="15" t="n">
        <v>17</v>
      </c>
      <c r="FF192" s="15" t="n">
        <v>18</v>
      </c>
      <c r="FX192" s="15" t="inlineStr">
        <is>
          <t>Parâmetros p/ μx</t>
        </is>
      </c>
      <c r="FY192" s="15" t="inlineStr">
        <is>
          <t>Var(d-cap)</t>
        </is>
      </c>
      <c r="FZ192" s="15" t="n">
        <v>16</v>
      </c>
      <c r="GA192" s="15" t="n">
        <v>17</v>
      </c>
      <c r="GB192" s="15" t="n">
        <v>18</v>
      </c>
      <c r="GT192" s="15" t="inlineStr">
        <is>
          <t>Parâmetros p/ μx</t>
        </is>
      </c>
      <c r="GU192" s="15" t="inlineStr">
        <is>
          <t>Var(d-cap)</t>
        </is>
      </c>
      <c r="GV192" s="15" t="n">
        <v>16</v>
      </c>
      <c r="GW192" s="15" t="n">
        <v>17</v>
      </c>
      <c r="GX192" s="15" t="n">
        <v>18</v>
      </c>
    </row>
    <row r="193" ht="16.2" customHeight="1">
      <c r="B193" s="15" t="inlineStr">
        <is>
          <t>S2nd</t>
        </is>
      </c>
      <c r="C193" s="15" t="n">
        <v>4</v>
      </c>
      <c r="D193" s="53">
        <f>Matlab_Data!D71</f>
        <v/>
      </c>
      <c r="E193" s="53">
        <f>Matlab_Data!E71</f>
        <v/>
      </c>
      <c r="F193" s="53">
        <f>Matlab_Data!F71</f>
        <v/>
      </c>
      <c r="T193" s="39">
        <f>SUM(D193:F195)</f>
        <v/>
      </c>
      <c r="U193" s="39" t="n">
        <v>63402.26161081999</v>
      </c>
      <c r="V193" s="39">
        <f>T193-U193</f>
        <v/>
      </c>
      <c r="W193" s="39" t="n"/>
      <c r="X193" s="39" t="n"/>
      <c r="Z193" s="15" t="inlineStr">
        <is>
          <t>S2nd</t>
        </is>
      </c>
      <c r="AA193" s="15" t="n">
        <v>4</v>
      </c>
      <c r="AB193" s="15" t="n">
        <v>7365.655987560001</v>
      </c>
      <c r="AC193" s="15" t="n">
        <v>6202.491784809999</v>
      </c>
      <c r="AD193" s="15" t="n">
        <v>8265.48267609</v>
      </c>
      <c r="AV193" s="15" t="inlineStr">
        <is>
          <t>S2nd</t>
        </is>
      </c>
      <c r="AW193" s="15" t="n">
        <v>4</v>
      </c>
      <c r="AX193" s="15" t="n">
        <v>7365.655987560001</v>
      </c>
      <c r="AY193" s="15" t="n">
        <v>6202.491784809999</v>
      </c>
      <c r="AZ193" s="15" t="n">
        <v>8265.48267609</v>
      </c>
      <c r="BR193" s="15" t="inlineStr">
        <is>
          <t>S2nd</t>
        </is>
      </c>
      <c r="BS193" s="15" t="n">
        <v>4</v>
      </c>
      <c r="BT193" s="15" t="n">
        <v>7365.655987560001</v>
      </c>
      <c r="BU193" s="15" t="n">
        <v>6202.491784809999</v>
      </c>
      <c r="BV193" s="15" t="n">
        <v>8265.48267609</v>
      </c>
      <c r="CN193" s="15" t="inlineStr">
        <is>
          <t>S2nd</t>
        </is>
      </c>
      <c r="CO193" s="15" t="n">
        <v>4</v>
      </c>
      <c r="CP193" s="15" t="n">
        <v>7365.655987560001</v>
      </c>
      <c r="CQ193" s="15" t="n">
        <v>6202.491784809999</v>
      </c>
      <c r="CR193" s="15" t="n">
        <v>8265.48267609</v>
      </c>
      <c r="DJ193" s="15" t="inlineStr">
        <is>
          <t>S2nd</t>
        </is>
      </c>
      <c r="DK193" s="15" t="n">
        <v>4</v>
      </c>
      <c r="DL193" s="15" t="n">
        <v>7365.655987560001</v>
      </c>
      <c r="DM193" s="15" t="n">
        <v>6202.491784809999</v>
      </c>
      <c r="DN193" s="15" t="n">
        <v>8265.48267609</v>
      </c>
      <c r="EF193" s="15" t="inlineStr">
        <is>
          <t>S2nd</t>
        </is>
      </c>
      <c r="EG193" s="15" t="n">
        <v>4</v>
      </c>
      <c r="EH193" s="15" t="n">
        <v>7365.655987560001</v>
      </c>
      <c r="EI193" s="15" t="n">
        <v>6202.491784809999</v>
      </c>
      <c r="EJ193" s="15" t="n">
        <v>8265.48267609</v>
      </c>
      <c r="FB193" s="15" t="inlineStr">
        <is>
          <t>S2nd</t>
        </is>
      </c>
      <c r="FC193" s="15" t="n">
        <v>4</v>
      </c>
      <c r="FD193" s="15" t="n">
        <v>7365.655987560001</v>
      </c>
      <c r="FE193" s="15" t="n">
        <v>6202.491784809999</v>
      </c>
      <c r="FF193" s="15" t="n">
        <v>8265.48267609</v>
      </c>
      <c r="FX193" s="15" t="inlineStr">
        <is>
          <t>S2nd</t>
        </is>
      </c>
      <c r="FY193" s="15" t="n">
        <v>4</v>
      </c>
      <c r="FZ193" s="15" t="n">
        <v>7365.655987560001</v>
      </c>
      <c r="GA193" s="15" t="n">
        <v>6202.491784809999</v>
      </c>
      <c r="GB193" s="15" t="n">
        <v>8265.48267609</v>
      </c>
      <c r="GT193" s="15" t="inlineStr">
        <is>
          <t>S2nd</t>
        </is>
      </c>
      <c r="GU193" s="15" t="n">
        <v>4</v>
      </c>
      <c r="GV193" s="15" t="n">
        <v>7365.655987560001</v>
      </c>
      <c r="GW193" s="15" t="n">
        <v>6202.491784809999</v>
      </c>
      <c r="GX193" s="15" t="n">
        <v>8265.48267609</v>
      </c>
    </row>
    <row r="194">
      <c r="C194" s="15" t="n">
        <v>5</v>
      </c>
      <c r="D194" s="53">
        <f>Matlab_Data!D72</f>
        <v/>
      </c>
      <c r="E194" s="53">
        <f>Matlab_Data!E72</f>
        <v/>
      </c>
      <c r="F194" s="53">
        <f>Matlab_Data!F72</f>
        <v/>
      </c>
      <c r="AA194" s="15" t="n">
        <v>5</v>
      </c>
      <c r="AB194" s="15" t="n">
        <v>5276.351682249999</v>
      </c>
      <c r="AC194" s="15" t="n">
        <v>5170.44407364</v>
      </c>
      <c r="AD194" s="15" t="n">
        <v>10630.86785721</v>
      </c>
      <c r="AW194" s="15" t="n">
        <v>5</v>
      </c>
      <c r="AX194" s="15" t="n">
        <v>5276.351682249999</v>
      </c>
      <c r="AY194" s="15" t="n">
        <v>5170.44407364</v>
      </c>
      <c r="AZ194" s="15" t="n">
        <v>10630.86785721</v>
      </c>
      <c r="BS194" s="15" t="n">
        <v>5</v>
      </c>
      <c r="BT194" s="15" t="n">
        <v>5276.351682249999</v>
      </c>
      <c r="BU194" s="15" t="n">
        <v>5170.44407364</v>
      </c>
      <c r="BV194" s="15" t="n">
        <v>10630.86785721</v>
      </c>
      <c r="CO194" s="15" t="n">
        <v>5</v>
      </c>
      <c r="CP194" s="15" t="n">
        <v>5276.351682249999</v>
      </c>
      <c r="CQ194" s="15" t="n">
        <v>5170.44407364</v>
      </c>
      <c r="CR194" s="15" t="n">
        <v>10630.86785721</v>
      </c>
      <c r="DK194" s="15" t="n">
        <v>5</v>
      </c>
      <c r="DL194" s="15" t="n">
        <v>5276.351682249999</v>
      </c>
      <c r="DM194" s="15" t="n">
        <v>5170.44407364</v>
      </c>
      <c r="DN194" s="15" t="n">
        <v>10630.86785721</v>
      </c>
      <c r="EG194" s="15" t="n">
        <v>5</v>
      </c>
      <c r="EH194" s="15" t="n">
        <v>5276.351682249999</v>
      </c>
      <c r="EI194" s="15" t="n">
        <v>5170.44407364</v>
      </c>
      <c r="EJ194" s="15" t="n">
        <v>10630.86785721</v>
      </c>
      <c r="FC194" s="15" t="n">
        <v>5</v>
      </c>
      <c r="FD194" s="15" t="n">
        <v>5276.351682249999</v>
      </c>
      <c r="FE194" s="15" t="n">
        <v>5170.44407364</v>
      </c>
      <c r="FF194" s="15" t="n">
        <v>10630.86785721</v>
      </c>
      <c r="FY194" s="15" t="n">
        <v>5</v>
      </c>
      <c r="FZ194" s="15" t="n">
        <v>5276.351682249999</v>
      </c>
      <c r="GA194" s="15" t="n">
        <v>5170.44407364</v>
      </c>
      <c r="GB194" s="15" t="n">
        <v>10630.86785721</v>
      </c>
      <c r="GU194" s="15" t="n">
        <v>5</v>
      </c>
      <c r="GV194" s="15" t="n">
        <v>5276.351682249999</v>
      </c>
      <c r="GW194" s="15" t="n">
        <v>5170.44407364</v>
      </c>
      <c r="GX194" s="15" t="n">
        <v>10630.86785721</v>
      </c>
    </row>
    <row r="195">
      <c r="C195" s="15" t="n">
        <v>6</v>
      </c>
      <c r="D195" s="53">
        <f>Matlab_Data!D73</f>
        <v/>
      </c>
      <c r="E195" s="53">
        <f>Matlab_Data!E73</f>
        <v/>
      </c>
      <c r="F195" s="53">
        <f>Matlab_Data!F73</f>
        <v/>
      </c>
      <c r="AA195" s="15" t="n">
        <v>6</v>
      </c>
      <c r="AB195" s="15" t="n">
        <v>6427.790102250001</v>
      </c>
      <c r="AC195" s="15" t="n">
        <v>4906.582208999999</v>
      </c>
      <c r="AD195" s="15" t="n">
        <v>9156.595238010001</v>
      </c>
      <c r="AW195" s="15" t="n">
        <v>6</v>
      </c>
      <c r="AX195" s="15" t="n">
        <v>6427.790102250001</v>
      </c>
      <c r="AY195" s="15" t="n">
        <v>4906.582208999999</v>
      </c>
      <c r="AZ195" s="15" t="n">
        <v>9156.595238010001</v>
      </c>
      <c r="BS195" s="15" t="n">
        <v>6</v>
      </c>
      <c r="BT195" s="15" t="n">
        <v>6427.790102250001</v>
      </c>
      <c r="BU195" s="15" t="n">
        <v>4906.582208999999</v>
      </c>
      <c r="BV195" s="15" t="n">
        <v>9156.595238010001</v>
      </c>
      <c r="CO195" s="15" t="n">
        <v>6</v>
      </c>
      <c r="CP195" s="15" t="n">
        <v>6427.790102250001</v>
      </c>
      <c r="CQ195" s="15" t="n">
        <v>4906.582208999999</v>
      </c>
      <c r="CR195" s="15" t="n">
        <v>9156.595238010001</v>
      </c>
      <c r="DK195" s="15" t="n">
        <v>6</v>
      </c>
      <c r="DL195" s="15" t="n">
        <v>6427.790102250001</v>
      </c>
      <c r="DM195" s="15" t="n">
        <v>4906.582208999999</v>
      </c>
      <c r="DN195" s="15" t="n">
        <v>9156.595238010001</v>
      </c>
      <c r="EG195" s="15" t="n">
        <v>6</v>
      </c>
      <c r="EH195" s="15" t="n">
        <v>6427.790102250001</v>
      </c>
      <c r="EI195" s="15" t="n">
        <v>4906.582208999999</v>
      </c>
      <c r="EJ195" s="15" t="n">
        <v>9156.595238010001</v>
      </c>
      <c r="FC195" s="15" t="n">
        <v>6</v>
      </c>
      <c r="FD195" s="15" t="n">
        <v>6427.790102250001</v>
      </c>
      <c r="FE195" s="15" t="n">
        <v>4906.582208999999</v>
      </c>
      <c r="FF195" s="15" t="n">
        <v>9156.595238010001</v>
      </c>
      <c r="FY195" s="15" t="n">
        <v>6</v>
      </c>
      <c r="FZ195" s="15" t="n">
        <v>6427.790102250001</v>
      </c>
      <c r="GA195" s="15" t="n">
        <v>4906.582208999999</v>
      </c>
      <c r="GB195" s="15" t="n">
        <v>9156.595238010001</v>
      </c>
      <c r="GU195" s="15" t="n">
        <v>6</v>
      </c>
      <c r="GV195" s="15" t="n">
        <v>6427.790102250001</v>
      </c>
      <c r="GW195" s="15" t="n">
        <v>4906.582208999999</v>
      </c>
      <c r="GX195" s="15" t="n">
        <v>9156.595238010001</v>
      </c>
    </row>
    <row r="197" ht="16.2" customHeight="1">
      <c r="B197" s="15" t="inlineStr">
        <is>
          <t>Parâmetros p/ σx</t>
        </is>
      </c>
      <c r="C197" s="15" t="inlineStr">
        <is>
          <t>Desvpad(Var(S2nd))</t>
        </is>
      </c>
      <c r="D197" s="15" t="n">
        <v>16</v>
      </c>
      <c r="E197" s="15" t="n">
        <v>17</v>
      </c>
      <c r="F197" s="15" t="n">
        <v>18</v>
      </c>
      <c r="Z197" s="15" t="inlineStr">
        <is>
          <t>Parâmetros p/ σx</t>
        </is>
      </c>
      <c r="AA197" s="15" t="inlineStr">
        <is>
          <t>Desvpad(Var(S2nd))</t>
        </is>
      </c>
      <c r="AB197" s="15" t="n">
        <v>16</v>
      </c>
      <c r="AC197" s="15" t="n">
        <v>17</v>
      </c>
      <c r="AD197" s="15" t="n">
        <v>18</v>
      </c>
      <c r="AV197" s="15" t="inlineStr">
        <is>
          <t>Parâmetros p/ σx</t>
        </is>
      </c>
      <c r="AW197" s="15" t="inlineStr">
        <is>
          <t>Desvpad(Var(S2nd))</t>
        </is>
      </c>
      <c r="AX197" s="15" t="n">
        <v>16</v>
      </c>
      <c r="AY197" s="15" t="n">
        <v>17</v>
      </c>
      <c r="AZ197" s="15" t="n">
        <v>18</v>
      </c>
      <c r="BR197" s="15" t="inlineStr">
        <is>
          <t>Parâmetros p/ σx</t>
        </is>
      </c>
      <c r="BS197" s="15" t="inlineStr">
        <is>
          <t>Desvpad(Var(S2nd))</t>
        </is>
      </c>
      <c r="BT197" s="15" t="n">
        <v>16</v>
      </c>
      <c r="BU197" s="15" t="n">
        <v>17</v>
      </c>
      <c r="BV197" s="15" t="n">
        <v>18</v>
      </c>
      <c r="CN197" s="15" t="inlineStr">
        <is>
          <t>Parâmetros p/ σx</t>
        </is>
      </c>
      <c r="CO197" s="15" t="inlineStr">
        <is>
          <t>Desvpad(Var(S2nd))</t>
        </is>
      </c>
      <c r="CP197" s="15" t="n">
        <v>16</v>
      </c>
      <c r="CQ197" s="15" t="n">
        <v>17</v>
      </c>
      <c r="CR197" s="15" t="n">
        <v>18</v>
      </c>
      <c r="DJ197" s="15" t="inlineStr">
        <is>
          <t>Parâmetros p/ σx</t>
        </is>
      </c>
      <c r="DK197" s="15" t="inlineStr">
        <is>
          <t>Desvpad(Var(S2nd))</t>
        </is>
      </c>
      <c r="DL197" s="15" t="n">
        <v>16</v>
      </c>
      <c r="DM197" s="15" t="n">
        <v>17</v>
      </c>
      <c r="DN197" s="15" t="n">
        <v>18</v>
      </c>
      <c r="EF197" s="15" t="inlineStr">
        <is>
          <t>Parâmetros p/ σx</t>
        </is>
      </c>
      <c r="EG197" s="15" t="inlineStr">
        <is>
          <t>Desvpad(Var(S2nd))</t>
        </is>
      </c>
      <c r="EH197" s="15" t="n">
        <v>16</v>
      </c>
      <c r="EI197" s="15" t="n">
        <v>17</v>
      </c>
      <c r="EJ197" s="15" t="n">
        <v>18</v>
      </c>
      <c r="FB197" s="15" t="inlineStr">
        <is>
          <t>Parâmetros p/ σx</t>
        </is>
      </c>
      <c r="FC197" s="15" t="inlineStr">
        <is>
          <t>Desvpad(Var(S2nd))</t>
        </is>
      </c>
      <c r="FD197" s="15" t="n">
        <v>16</v>
      </c>
      <c r="FE197" s="15" t="n">
        <v>17</v>
      </c>
      <c r="FF197" s="15" t="n">
        <v>18</v>
      </c>
      <c r="FX197" s="15" t="inlineStr">
        <is>
          <t>Parâmetros p/ σx</t>
        </is>
      </c>
      <c r="FY197" s="15" t="inlineStr">
        <is>
          <t>Desvpad(Var(S2nd))</t>
        </is>
      </c>
      <c r="FZ197" s="15" t="n">
        <v>16</v>
      </c>
      <c r="GA197" s="15" t="n">
        <v>17</v>
      </c>
      <c r="GB197" s="15" t="n">
        <v>18</v>
      </c>
      <c r="GT197" s="15" t="inlineStr">
        <is>
          <t>Parâmetros p/ σx</t>
        </is>
      </c>
      <c r="GU197" s="15" t="inlineStr">
        <is>
          <t>Desvpad(Var(S2nd))</t>
        </is>
      </c>
      <c r="GV197" s="15" t="n">
        <v>16</v>
      </c>
      <c r="GW197" s="15" t="n">
        <v>17</v>
      </c>
      <c r="GX197" s="15" t="n">
        <v>18</v>
      </c>
    </row>
    <row r="198" ht="16.2" customHeight="1">
      <c r="B198" s="15" t="inlineStr">
        <is>
          <t>S2nd</t>
        </is>
      </c>
      <c r="C198" s="15" t="n">
        <v>4</v>
      </c>
      <c r="D198" s="53">
        <f>Matlab_Data!D76</f>
        <v/>
      </c>
      <c r="E198" s="53">
        <f>Matlab_Data!E76</f>
        <v/>
      </c>
      <c r="F198" s="53">
        <f>Matlab_Data!F76</f>
        <v/>
      </c>
      <c r="T198" s="39">
        <f>SUM(D198:F200)</f>
        <v/>
      </c>
      <c r="U198" s="39" t="n">
        <v>36449.54</v>
      </c>
      <c r="V198" s="39">
        <f>T198-U198</f>
        <v/>
      </c>
      <c r="W198" s="39" t="n"/>
      <c r="X198" s="39" t="n"/>
      <c r="Z198" s="15" t="inlineStr">
        <is>
          <t>S2nd</t>
        </is>
      </c>
      <c r="AA198" s="15" t="n">
        <v>4</v>
      </c>
      <c r="AB198" s="15" t="n">
        <v>4277.77</v>
      </c>
      <c r="AC198" s="15" t="n">
        <v>3472.13</v>
      </c>
      <c r="AD198" s="15" t="n">
        <v>4613.14</v>
      </c>
      <c r="AV198" s="15" t="inlineStr">
        <is>
          <t>S2nd</t>
        </is>
      </c>
      <c r="AW198" s="15" t="n">
        <v>4</v>
      </c>
      <c r="AX198" s="15" t="n">
        <v>4277.77</v>
      </c>
      <c r="AY198" s="15" t="n">
        <v>3472.13</v>
      </c>
      <c r="AZ198" s="15" t="n">
        <v>4613.14</v>
      </c>
      <c r="BR198" s="15" t="inlineStr">
        <is>
          <t>S2nd</t>
        </is>
      </c>
      <c r="BS198" s="15" t="n">
        <v>4</v>
      </c>
      <c r="BT198" s="15" t="n">
        <v>4277.77</v>
      </c>
      <c r="BU198" s="15" t="n">
        <v>3472.13</v>
      </c>
      <c r="BV198" s="15" t="n">
        <v>4613.14</v>
      </c>
      <c r="CN198" s="15" t="inlineStr">
        <is>
          <t>S2nd</t>
        </is>
      </c>
      <c r="CO198" s="15" t="n">
        <v>4</v>
      </c>
      <c r="CP198" s="15" t="n">
        <v>4277.77</v>
      </c>
      <c r="CQ198" s="15" t="n">
        <v>3472.13</v>
      </c>
      <c r="CR198" s="15" t="n">
        <v>4613.14</v>
      </c>
      <c r="DJ198" s="15" t="inlineStr">
        <is>
          <t>S2nd</t>
        </is>
      </c>
      <c r="DK198" s="15" t="n">
        <v>4</v>
      </c>
      <c r="DL198" s="15" t="n">
        <v>4277.77</v>
      </c>
      <c r="DM198" s="15" t="n">
        <v>3472.13</v>
      </c>
      <c r="DN198" s="15" t="n">
        <v>4613.14</v>
      </c>
      <c r="EF198" s="15" t="inlineStr">
        <is>
          <t>S2nd</t>
        </is>
      </c>
      <c r="EG198" s="15" t="n">
        <v>4</v>
      </c>
      <c r="EH198" s="15" t="n">
        <v>4277.77</v>
      </c>
      <c r="EI198" s="15" t="n">
        <v>3472.13</v>
      </c>
      <c r="EJ198" s="15" t="n">
        <v>4613.14</v>
      </c>
      <c r="FB198" s="15" t="inlineStr">
        <is>
          <t>S2nd</t>
        </is>
      </c>
      <c r="FC198" s="15" t="n">
        <v>4</v>
      </c>
      <c r="FD198" s="15" t="n">
        <v>4277.77</v>
      </c>
      <c r="FE198" s="15" t="n">
        <v>3472.13</v>
      </c>
      <c r="FF198" s="15" t="n">
        <v>4613.14</v>
      </c>
      <c r="FX198" s="15" t="inlineStr">
        <is>
          <t>S2nd</t>
        </is>
      </c>
      <c r="FY198" s="15" t="n">
        <v>4</v>
      </c>
      <c r="FZ198" s="15" t="n">
        <v>4277.77</v>
      </c>
      <c r="GA198" s="15" t="n">
        <v>3472.13</v>
      </c>
      <c r="GB198" s="15" t="n">
        <v>4613.14</v>
      </c>
      <c r="GT198" s="15" t="inlineStr">
        <is>
          <t>S2nd</t>
        </is>
      </c>
      <c r="GU198" s="15" t="n">
        <v>4</v>
      </c>
      <c r="GV198" s="15" t="n">
        <v>4277.77</v>
      </c>
      <c r="GW198" s="15" t="n">
        <v>3472.13</v>
      </c>
      <c r="GX198" s="15" t="n">
        <v>4613.14</v>
      </c>
    </row>
    <row r="199">
      <c r="C199" s="15" t="n">
        <v>5</v>
      </c>
      <c r="D199" s="53">
        <f>Matlab_Data!D77</f>
        <v/>
      </c>
      <c r="E199" s="53">
        <f>Matlab_Data!E77</f>
        <v/>
      </c>
      <c r="F199" s="53">
        <f>Matlab_Data!F77</f>
        <v/>
      </c>
      <c r="AA199" s="15" t="n">
        <v>5</v>
      </c>
      <c r="AB199" s="15" t="n">
        <v>2964.88</v>
      </c>
      <c r="AC199" s="15" t="n">
        <v>2903.21</v>
      </c>
      <c r="AD199" s="15" t="n">
        <v>6033.67</v>
      </c>
      <c r="AW199" s="15" t="n">
        <v>5</v>
      </c>
      <c r="AX199" s="15" t="n">
        <v>2964.88</v>
      </c>
      <c r="AY199" s="15" t="n">
        <v>2903.21</v>
      </c>
      <c r="AZ199" s="15" t="n">
        <v>6033.67</v>
      </c>
      <c r="BS199" s="15" t="n">
        <v>5</v>
      </c>
      <c r="BT199" s="15" t="n">
        <v>2964.88</v>
      </c>
      <c r="BU199" s="15" t="n">
        <v>2903.21</v>
      </c>
      <c r="BV199" s="15" t="n">
        <v>6033.67</v>
      </c>
      <c r="CO199" s="15" t="n">
        <v>5</v>
      </c>
      <c r="CP199" s="15" t="n">
        <v>2964.88</v>
      </c>
      <c r="CQ199" s="15" t="n">
        <v>2903.21</v>
      </c>
      <c r="CR199" s="15" t="n">
        <v>6033.67</v>
      </c>
      <c r="DK199" s="15" t="n">
        <v>5</v>
      </c>
      <c r="DL199" s="15" t="n">
        <v>2964.88</v>
      </c>
      <c r="DM199" s="15" t="n">
        <v>2903.21</v>
      </c>
      <c r="DN199" s="15" t="n">
        <v>6033.67</v>
      </c>
      <c r="EG199" s="15" t="n">
        <v>5</v>
      </c>
      <c r="EH199" s="15" t="n">
        <v>2964.88</v>
      </c>
      <c r="EI199" s="15" t="n">
        <v>2903.21</v>
      </c>
      <c r="EJ199" s="15" t="n">
        <v>6033.67</v>
      </c>
      <c r="FC199" s="15" t="n">
        <v>5</v>
      </c>
      <c r="FD199" s="15" t="n">
        <v>2964.88</v>
      </c>
      <c r="FE199" s="15" t="n">
        <v>2903.21</v>
      </c>
      <c r="FF199" s="15" t="n">
        <v>6033.67</v>
      </c>
      <c r="FY199" s="15" t="n">
        <v>5</v>
      </c>
      <c r="FZ199" s="15" t="n">
        <v>2964.88</v>
      </c>
      <c r="GA199" s="15" t="n">
        <v>2903.21</v>
      </c>
      <c r="GB199" s="15" t="n">
        <v>6033.67</v>
      </c>
      <c r="GU199" s="15" t="n">
        <v>5</v>
      </c>
      <c r="GV199" s="15" t="n">
        <v>2964.88</v>
      </c>
      <c r="GW199" s="15" t="n">
        <v>2903.21</v>
      </c>
      <c r="GX199" s="15" t="n">
        <v>6033.67</v>
      </c>
    </row>
    <row r="200">
      <c r="C200" s="15" t="n">
        <v>6</v>
      </c>
      <c r="D200" s="53">
        <f>Matlab_Data!D78</f>
        <v/>
      </c>
      <c r="E200" s="53">
        <f>Matlab_Data!E78</f>
        <v/>
      </c>
      <c r="F200" s="53">
        <f>Matlab_Data!F78</f>
        <v/>
      </c>
      <c r="AA200" s="15" t="n">
        <v>6</v>
      </c>
      <c r="AB200" s="15" t="n">
        <v>3655.82</v>
      </c>
      <c r="AC200" s="15" t="n">
        <v>2818.21</v>
      </c>
      <c r="AD200" s="15" t="n">
        <v>5710.71</v>
      </c>
      <c r="AW200" s="15" t="n">
        <v>6</v>
      </c>
      <c r="AX200" s="15" t="n">
        <v>3655.82</v>
      </c>
      <c r="AY200" s="15" t="n">
        <v>2818.21</v>
      </c>
      <c r="AZ200" s="15" t="n">
        <v>5710.71</v>
      </c>
      <c r="BS200" s="15" t="n">
        <v>6</v>
      </c>
      <c r="BT200" s="15" t="n">
        <v>3655.82</v>
      </c>
      <c r="BU200" s="15" t="n">
        <v>2818.21</v>
      </c>
      <c r="BV200" s="15" t="n">
        <v>5710.71</v>
      </c>
      <c r="CO200" s="15" t="n">
        <v>6</v>
      </c>
      <c r="CP200" s="15" t="n">
        <v>3655.82</v>
      </c>
      <c r="CQ200" s="15" t="n">
        <v>2818.21</v>
      </c>
      <c r="CR200" s="15" t="n">
        <v>5710.71</v>
      </c>
      <c r="DK200" s="15" t="n">
        <v>6</v>
      </c>
      <c r="DL200" s="15" t="n">
        <v>3655.82</v>
      </c>
      <c r="DM200" s="15" t="n">
        <v>2818.21</v>
      </c>
      <c r="DN200" s="15" t="n">
        <v>5710.71</v>
      </c>
      <c r="EG200" s="15" t="n">
        <v>6</v>
      </c>
      <c r="EH200" s="15" t="n">
        <v>3655.82</v>
      </c>
      <c r="EI200" s="15" t="n">
        <v>2818.21</v>
      </c>
      <c r="EJ200" s="15" t="n">
        <v>5710.71</v>
      </c>
      <c r="FC200" s="15" t="n">
        <v>6</v>
      </c>
      <c r="FD200" s="15" t="n">
        <v>3655.82</v>
      </c>
      <c r="FE200" s="15" t="n">
        <v>2818.21</v>
      </c>
      <c r="FF200" s="15" t="n">
        <v>5710.71</v>
      </c>
      <c r="FY200" s="15" t="n">
        <v>6</v>
      </c>
      <c r="FZ200" s="15" t="n">
        <v>3655.82</v>
      </c>
      <c r="GA200" s="15" t="n">
        <v>2818.21</v>
      </c>
      <c r="GB200" s="15" t="n">
        <v>5710.71</v>
      </c>
      <c r="GU200" s="15" t="n">
        <v>6</v>
      </c>
      <c r="GV200" s="15" t="n">
        <v>3655.82</v>
      </c>
      <c r="GW200" s="15" t="n">
        <v>2818.21</v>
      </c>
      <c r="GX200" s="15" t="n">
        <v>5710.71</v>
      </c>
    </row>
    <row r="202">
      <c r="B202" s="15" t="inlineStr">
        <is>
          <t>Parâmetros p/ σy</t>
        </is>
      </c>
      <c r="C202" s="15" t="inlineStr">
        <is>
          <t>DesvPad(Var(E(RLT)))</t>
        </is>
      </c>
      <c r="D202" s="15" t="n">
        <v>16</v>
      </c>
      <c r="E202" s="15" t="n">
        <v>17</v>
      </c>
      <c r="F202" s="15" t="n">
        <v>18</v>
      </c>
      <c r="Z202" s="15" t="inlineStr">
        <is>
          <t>Parâmetros p/ σy</t>
        </is>
      </c>
      <c r="AA202" s="15" t="inlineStr">
        <is>
          <t>DesvPad(Var(E(RLT)))</t>
        </is>
      </c>
      <c r="AB202" s="15" t="n">
        <v>16</v>
      </c>
      <c r="AC202" s="15" t="n">
        <v>17</v>
      </c>
      <c r="AD202" s="15" t="n">
        <v>18</v>
      </c>
      <c r="AV202" s="15" t="inlineStr">
        <is>
          <t>Parâmetros p/ σy</t>
        </is>
      </c>
      <c r="AW202" s="15" t="inlineStr">
        <is>
          <t>DesvPad(Var(E(RLT)))</t>
        </is>
      </c>
      <c r="AX202" s="15" t="n">
        <v>16</v>
      </c>
      <c r="AY202" s="15" t="n">
        <v>17</v>
      </c>
      <c r="AZ202" s="15" t="n">
        <v>18</v>
      </c>
      <c r="BR202" s="15" t="inlineStr">
        <is>
          <t>Parâmetros p/ σy</t>
        </is>
      </c>
      <c r="BS202" s="15" t="inlineStr">
        <is>
          <t>DesvPad(Var(E(RLT)))</t>
        </is>
      </c>
      <c r="BT202" s="15" t="n">
        <v>16</v>
      </c>
      <c r="BU202" s="15" t="n">
        <v>17</v>
      </c>
      <c r="BV202" s="15" t="n">
        <v>18</v>
      </c>
      <c r="CN202" s="15" t="inlineStr">
        <is>
          <t>Parâmetros p/ σy</t>
        </is>
      </c>
      <c r="CO202" s="15" t="inlineStr">
        <is>
          <t>DesvPad(Var(E(RLT)))</t>
        </is>
      </c>
      <c r="CP202" s="15" t="n">
        <v>16</v>
      </c>
      <c r="CQ202" s="15" t="n">
        <v>17</v>
      </c>
      <c r="CR202" s="15" t="n">
        <v>18</v>
      </c>
      <c r="DJ202" s="15" t="inlineStr">
        <is>
          <t>Parâmetros p/ σy</t>
        </is>
      </c>
      <c r="DK202" s="15" t="inlineStr">
        <is>
          <t>DesvPad(Var(E(RLT)))</t>
        </is>
      </c>
      <c r="DL202" s="15" t="n">
        <v>16</v>
      </c>
      <c r="DM202" s="15" t="n">
        <v>17</v>
      </c>
      <c r="DN202" s="15" t="n">
        <v>18</v>
      </c>
      <c r="EF202" s="15" t="inlineStr">
        <is>
          <t>Parâmetros p/ σy</t>
        </is>
      </c>
      <c r="EG202" s="15" t="inlineStr">
        <is>
          <t>DesvPad(Var(E(RLT)))</t>
        </is>
      </c>
      <c r="EH202" s="15" t="n">
        <v>16</v>
      </c>
      <c r="EI202" s="15" t="n">
        <v>17</v>
      </c>
      <c r="EJ202" s="15" t="n">
        <v>18</v>
      </c>
      <c r="FB202" s="15" t="inlineStr">
        <is>
          <t>Parâmetros p/ σy</t>
        </is>
      </c>
      <c r="FC202" s="15" t="inlineStr">
        <is>
          <t>DesvPad(Var(E(RLT)))</t>
        </is>
      </c>
      <c r="FD202" s="15" t="n">
        <v>16</v>
      </c>
      <c r="FE202" s="15" t="n">
        <v>17</v>
      </c>
      <c r="FF202" s="15" t="n">
        <v>18</v>
      </c>
      <c r="FX202" s="15" t="inlineStr">
        <is>
          <t>Parâmetros p/ σy</t>
        </is>
      </c>
      <c r="FY202" s="15" t="inlineStr">
        <is>
          <t>DesvPad(Var(E(RLT)))</t>
        </is>
      </c>
      <c r="FZ202" s="15" t="n">
        <v>16</v>
      </c>
      <c r="GA202" s="15" t="n">
        <v>17</v>
      </c>
      <c r="GB202" s="15" t="n">
        <v>18</v>
      </c>
      <c r="GT202" s="15" t="inlineStr">
        <is>
          <t>Parâmetros p/ σy</t>
        </is>
      </c>
      <c r="GU202" s="15" t="inlineStr">
        <is>
          <t>DesvPad(Var(E(RLT)))</t>
        </is>
      </c>
      <c r="GV202" s="15" t="n">
        <v>16</v>
      </c>
      <c r="GW202" s="15" t="n">
        <v>17</v>
      </c>
      <c r="GX202" s="15" t="n">
        <v>18</v>
      </c>
    </row>
    <row r="203" ht="16.2" customHeight="1">
      <c r="B203" s="15" t="inlineStr">
        <is>
          <t>ND*RLT e S2nd</t>
        </is>
      </c>
      <c r="C203" s="15" t="n">
        <v>4</v>
      </c>
      <c r="D203" s="15">
        <f>Matlab_Data!D81</f>
        <v/>
      </c>
      <c r="E203" s="15">
        <f>Matlab_Data!E81</f>
        <v/>
      </c>
      <c r="F203" s="15">
        <f>Matlab_Data!F81</f>
        <v/>
      </c>
      <c r="T203" s="39">
        <f>SUM(D203:F205)</f>
        <v/>
      </c>
      <c r="U203" s="39" t="n">
        <v>1.6351</v>
      </c>
      <c r="V203" s="39">
        <f>T203-U203</f>
        <v/>
      </c>
      <c r="W203" s="39" t="n"/>
      <c r="X203" s="39" t="n"/>
      <c r="Z203" s="15" t="inlineStr">
        <is>
          <t>ND*RLT e S2nd</t>
        </is>
      </c>
      <c r="AA203" s="15" t="n">
        <v>4</v>
      </c>
      <c r="AB203" s="15" t="n">
        <v>0.1783</v>
      </c>
      <c r="AC203" s="15" t="n">
        <v>0.2379</v>
      </c>
      <c r="AD203" s="15" t="n">
        <v>0.1493</v>
      </c>
      <c r="AV203" s="15" t="inlineStr">
        <is>
          <t>ND*RLT e S2nd</t>
        </is>
      </c>
      <c r="AW203" s="15" t="n">
        <v>4</v>
      </c>
      <c r="AX203" s="15" t="n">
        <v>0.1783</v>
      </c>
      <c r="AY203" s="15" t="n">
        <v>0.2379</v>
      </c>
      <c r="AZ203" s="15" t="n">
        <v>0.1493</v>
      </c>
      <c r="BR203" s="15" t="inlineStr">
        <is>
          <t>ND*RLT e S2nd</t>
        </is>
      </c>
      <c r="BS203" s="15" t="n">
        <v>4</v>
      </c>
      <c r="BT203" s="15" t="n">
        <v>0.1783</v>
      </c>
      <c r="BU203" s="15" t="n">
        <v>0.2379</v>
      </c>
      <c r="BV203" s="15" t="n">
        <v>0.1493</v>
      </c>
      <c r="CN203" s="15" t="inlineStr">
        <is>
          <t>ND*RLT e S2nd</t>
        </is>
      </c>
      <c r="CO203" s="15" t="n">
        <v>4</v>
      </c>
      <c r="CP203" s="15" t="n">
        <v>0.1783</v>
      </c>
      <c r="CQ203" s="15" t="n">
        <v>0.2379</v>
      </c>
      <c r="CR203" s="15" t="n">
        <v>0.1493</v>
      </c>
      <c r="DJ203" s="15" t="inlineStr">
        <is>
          <t>ND*RLT e S2nd</t>
        </is>
      </c>
      <c r="DK203" s="15" t="n">
        <v>4</v>
      </c>
      <c r="DL203" s="15" t="n">
        <v>0.1783</v>
      </c>
      <c r="DM203" s="15" t="n">
        <v>0.2379</v>
      </c>
      <c r="DN203" s="15" t="n">
        <v>0.1493</v>
      </c>
      <c r="EF203" s="15" t="inlineStr">
        <is>
          <t>ND*RLT e S2nd</t>
        </is>
      </c>
      <c r="EG203" s="15" t="n">
        <v>4</v>
      </c>
      <c r="EH203" s="15" t="n">
        <v>0.1783</v>
      </c>
      <c r="EI203" s="15" t="n">
        <v>0.2379</v>
      </c>
      <c r="EJ203" s="15" t="n">
        <v>0.1493</v>
      </c>
      <c r="FB203" s="15" t="inlineStr">
        <is>
          <t>ND*RLT e S2nd</t>
        </is>
      </c>
      <c r="FC203" s="15" t="n">
        <v>4</v>
      </c>
      <c r="FD203" s="15" t="n">
        <v>0.1783</v>
      </c>
      <c r="FE203" s="15" t="n">
        <v>0.2379</v>
      </c>
      <c r="FF203" s="15" t="n">
        <v>0.1493</v>
      </c>
      <c r="FX203" s="15" t="inlineStr">
        <is>
          <t>ND*RLT e S2nd</t>
        </is>
      </c>
      <c r="FY203" s="15" t="n">
        <v>4</v>
      </c>
      <c r="FZ203" s="15" t="n">
        <v>0.1783</v>
      </c>
      <c r="GA203" s="15" t="n">
        <v>0.2379</v>
      </c>
      <c r="GB203" s="15" t="n">
        <v>0.1493</v>
      </c>
      <c r="GT203" s="15" t="inlineStr">
        <is>
          <t>ND*RLT e S2nd</t>
        </is>
      </c>
      <c r="GU203" s="15" t="n">
        <v>4</v>
      </c>
      <c r="GV203" s="15" t="n">
        <v>0.1783</v>
      </c>
      <c r="GW203" s="15" t="n">
        <v>0.2379</v>
      </c>
      <c r="GX203" s="15" t="n">
        <v>0.1493</v>
      </c>
    </row>
    <row r="204">
      <c r="C204" s="15" t="n">
        <v>5</v>
      </c>
      <c r="D204" s="15">
        <f>Matlab_Data!D82</f>
        <v/>
      </c>
      <c r="E204" s="15">
        <f>Matlab_Data!E82</f>
        <v/>
      </c>
      <c r="F204" s="15">
        <f>Matlab_Data!F82</f>
        <v/>
      </c>
      <c r="AA204" s="15" t="n">
        <v>5</v>
      </c>
      <c r="AB204" s="15" t="n">
        <v>0.1292</v>
      </c>
      <c r="AC204" s="15" t="n">
        <v>0.2457</v>
      </c>
      <c r="AD204" s="15" t="n">
        <v>0.1545</v>
      </c>
      <c r="AW204" s="15" t="n">
        <v>5</v>
      </c>
      <c r="AX204" s="15" t="n">
        <v>0.1292</v>
      </c>
      <c r="AY204" s="15" t="n">
        <v>0.2457</v>
      </c>
      <c r="AZ204" s="15" t="n">
        <v>0.1545</v>
      </c>
      <c r="BS204" s="15" t="n">
        <v>5</v>
      </c>
      <c r="BT204" s="15" t="n">
        <v>0.1292</v>
      </c>
      <c r="BU204" s="15" t="n">
        <v>0.2457</v>
      </c>
      <c r="BV204" s="15" t="n">
        <v>0.1545</v>
      </c>
      <c r="CO204" s="15" t="n">
        <v>5</v>
      </c>
      <c r="CP204" s="15" t="n">
        <v>0.1292</v>
      </c>
      <c r="CQ204" s="15" t="n">
        <v>0.2457</v>
      </c>
      <c r="CR204" s="15" t="n">
        <v>0.1545</v>
      </c>
      <c r="DK204" s="15" t="n">
        <v>5</v>
      </c>
      <c r="DL204" s="15" t="n">
        <v>0.1292</v>
      </c>
      <c r="DM204" s="15" t="n">
        <v>0.2457</v>
      </c>
      <c r="DN204" s="15" t="n">
        <v>0.1545</v>
      </c>
      <c r="EG204" s="15" t="n">
        <v>5</v>
      </c>
      <c r="EH204" s="15" t="n">
        <v>0.1292</v>
      </c>
      <c r="EI204" s="15" t="n">
        <v>0.2457</v>
      </c>
      <c r="EJ204" s="15" t="n">
        <v>0.1545</v>
      </c>
      <c r="FC204" s="15" t="n">
        <v>5</v>
      </c>
      <c r="FD204" s="15" t="n">
        <v>0.1292</v>
      </c>
      <c r="FE204" s="15" t="n">
        <v>0.2457</v>
      </c>
      <c r="FF204" s="15" t="n">
        <v>0.1545</v>
      </c>
      <c r="FY204" s="15" t="n">
        <v>5</v>
      </c>
      <c r="FZ204" s="15" t="n">
        <v>0.1292</v>
      </c>
      <c r="GA204" s="15" t="n">
        <v>0.2457</v>
      </c>
      <c r="GB204" s="15" t="n">
        <v>0.1545</v>
      </c>
      <c r="GU204" s="15" t="n">
        <v>5</v>
      </c>
      <c r="GV204" s="15" t="n">
        <v>0.1292</v>
      </c>
      <c r="GW204" s="15" t="n">
        <v>0.2457</v>
      </c>
      <c r="GX204" s="15" t="n">
        <v>0.1545</v>
      </c>
    </row>
    <row r="205">
      <c r="C205" s="15" t="n">
        <v>6</v>
      </c>
      <c r="D205" s="15">
        <f>Matlab_Data!D83</f>
        <v/>
      </c>
      <c r="E205" s="15">
        <f>Matlab_Data!E83</f>
        <v/>
      </c>
      <c r="F205" s="15">
        <f>Matlab_Data!F83</f>
        <v/>
      </c>
      <c r="AA205" s="15" t="n">
        <v>6</v>
      </c>
      <c r="AB205" s="15" t="n">
        <v>0.1587</v>
      </c>
      <c r="AC205" s="15" t="n">
        <v>0.2004</v>
      </c>
      <c r="AD205" s="15" t="n">
        <v>0.1811</v>
      </c>
      <c r="AW205" s="15" t="n">
        <v>6</v>
      </c>
      <c r="AX205" s="15" t="n">
        <v>0.1587</v>
      </c>
      <c r="AY205" s="15" t="n">
        <v>0.2004</v>
      </c>
      <c r="AZ205" s="15" t="n">
        <v>0.1811</v>
      </c>
      <c r="BS205" s="15" t="n">
        <v>6</v>
      </c>
      <c r="BT205" s="15" t="n">
        <v>0.1587</v>
      </c>
      <c r="BU205" s="15" t="n">
        <v>0.2004</v>
      </c>
      <c r="BV205" s="15" t="n">
        <v>0.1811</v>
      </c>
      <c r="CO205" s="15" t="n">
        <v>6</v>
      </c>
      <c r="CP205" s="15" t="n">
        <v>0.1587</v>
      </c>
      <c r="CQ205" s="15" t="n">
        <v>0.2004</v>
      </c>
      <c r="CR205" s="15" t="n">
        <v>0.1811</v>
      </c>
      <c r="DK205" s="15" t="n">
        <v>6</v>
      </c>
      <c r="DL205" s="15" t="n">
        <v>0.1587</v>
      </c>
      <c r="DM205" s="15" t="n">
        <v>0.2004</v>
      </c>
      <c r="DN205" s="15" t="n">
        <v>0.1811</v>
      </c>
      <c r="EG205" s="15" t="n">
        <v>6</v>
      </c>
      <c r="EH205" s="15" t="n">
        <v>0.1587</v>
      </c>
      <c r="EI205" s="15" t="n">
        <v>0.2004</v>
      </c>
      <c r="EJ205" s="15" t="n">
        <v>0.1811</v>
      </c>
      <c r="FC205" s="15" t="n">
        <v>6</v>
      </c>
      <c r="FD205" s="15" t="n">
        <v>0.1587</v>
      </c>
      <c r="FE205" s="15" t="n">
        <v>0.2004</v>
      </c>
      <c r="FF205" s="15" t="n">
        <v>0.1811</v>
      </c>
      <c r="FY205" s="15" t="n">
        <v>6</v>
      </c>
      <c r="FZ205" s="15" t="n">
        <v>0.1587</v>
      </c>
      <c r="GA205" s="15" t="n">
        <v>0.2004</v>
      </c>
      <c r="GB205" s="15" t="n">
        <v>0.1811</v>
      </c>
      <c r="GU205" s="15" t="n">
        <v>6</v>
      </c>
      <c r="GV205" s="15" t="n">
        <v>0.1587</v>
      </c>
      <c r="GW205" s="15" t="n">
        <v>0.2004</v>
      </c>
      <c r="GX205" s="15" t="n">
        <v>0.1811</v>
      </c>
    </row>
    <row r="207">
      <c r="B207" s="15" t="inlineStr">
        <is>
          <t>Parâmetros p/ μx</t>
        </is>
      </c>
      <c r="C207" s="15" t="inlineStr">
        <is>
          <t>Média(d-Cap)</t>
        </is>
      </c>
      <c r="D207" s="15" t="n">
        <v>16</v>
      </c>
      <c r="E207" s="15" t="n">
        <v>17</v>
      </c>
      <c r="F207" s="15" t="n">
        <v>18</v>
      </c>
      <c r="Z207" s="15" t="inlineStr">
        <is>
          <t>Parâmetros p/ μx</t>
        </is>
      </c>
      <c r="AA207" s="15" t="inlineStr">
        <is>
          <t>Média(d-Cap)</t>
        </is>
      </c>
      <c r="AB207" s="15" t="n">
        <v>16</v>
      </c>
      <c r="AC207" s="15" t="n">
        <v>17</v>
      </c>
      <c r="AD207" s="15" t="n">
        <v>18</v>
      </c>
      <c r="AV207" s="15" t="inlineStr">
        <is>
          <t>Parâmetros p/ μx</t>
        </is>
      </c>
      <c r="AW207" s="15" t="inlineStr">
        <is>
          <t>Média(d-Cap)</t>
        </is>
      </c>
      <c r="AX207" s="15" t="n">
        <v>16</v>
      </c>
      <c r="AY207" s="15" t="n">
        <v>17</v>
      </c>
      <c r="AZ207" s="15" t="n">
        <v>18</v>
      </c>
      <c r="BR207" s="15" t="inlineStr">
        <is>
          <t>Parâmetros p/ μx</t>
        </is>
      </c>
      <c r="BS207" s="15" t="inlineStr">
        <is>
          <t>Média(d-Cap)</t>
        </is>
      </c>
      <c r="BT207" s="15" t="n">
        <v>16</v>
      </c>
      <c r="BU207" s="15" t="n">
        <v>17</v>
      </c>
      <c r="BV207" s="15" t="n">
        <v>18</v>
      </c>
      <c r="CN207" s="15" t="inlineStr">
        <is>
          <t>Parâmetros p/ μx</t>
        </is>
      </c>
      <c r="CO207" s="15" t="inlineStr">
        <is>
          <t>Média(d-Cap)</t>
        </is>
      </c>
      <c r="CP207" s="15" t="n">
        <v>16</v>
      </c>
      <c r="CQ207" s="15" t="n">
        <v>17</v>
      </c>
      <c r="CR207" s="15" t="n">
        <v>18</v>
      </c>
      <c r="DJ207" s="15" t="inlineStr">
        <is>
          <t>Parâmetros p/ μx</t>
        </is>
      </c>
      <c r="DK207" s="15" t="inlineStr">
        <is>
          <t>Média(d-Cap)</t>
        </is>
      </c>
      <c r="DL207" s="15" t="n">
        <v>16</v>
      </c>
      <c r="DM207" s="15" t="n">
        <v>17</v>
      </c>
      <c r="DN207" s="15" t="n">
        <v>18</v>
      </c>
      <c r="EF207" s="15" t="inlineStr">
        <is>
          <t>Parâmetros p/ μx</t>
        </is>
      </c>
      <c r="EG207" s="15" t="inlineStr">
        <is>
          <t>Média(d-Cap)</t>
        </is>
      </c>
      <c r="EH207" s="15" t="n">
        <v>16</v>
      </c>
      <c r="EI207" s="15" t="n">
        <v>17</v>
      </c>
      <c r="EJ207" s="15" t="n">
        <v>18</v>
      </c>
      <c r="FB207" s="15" t="inlineStr">
        <is>
          <t>Parâmetros p/ μx</t>
        </is>
      </c>
      <c r="FC207" s="15" t="inlineStr">
        <is>
          <t>Média(d-Cap)</t>
        </is>
      </c>
      <c r="FD207" s="15" t="n">
        <v>16</v>
      </c>
      <c r="FE207" s="15" t="n">
        <v>17</v>
      </c>
      <c r="FF207" s="15" t="n">
        <v>18</v>
      </c>
      <c r="FX207" s="15" t="inlineStr">
        <is>
          <t>Parâmetros p/ μx</t>
        </is>
      </c>
      <c r="FY207" s="15" t="inlineStr">
        <is>
          <t>Média(d-Cap)</t>
        </is>
      </c>
      <c r="FZ207" s="15" t="n">
        <v>16</v>
      </c>
      <c r="GA207" s="15" t="n">
        <v>17</v>
      </c>
      <c r="GB207" s="15" t="n">
        <v>18</v>
      </c>
      <c r="GT207" s="15" t="inlineStr">
        <is>
          <t>Parâmetros p/ μx</t>
        </is>
      </c>
      <c r="GU207" s="15" t="inlineStr">
        <is>
          <t>Média(d-Cap)</t>
        </is>
      </c>
      <c r="GV207" s="15" t="n">
        <v>16</v>
      </c>
      <c r="GW207" s="15" t="n">
        <v>17</v>
      </c>
      <c r="GX207" s="15" t="n">
        <v>18</v>
      </c>
    </row>
    <row r="208">
      <c r="B208" s="15" t="inlineStr">
        <is>
          <t>ND*RLT</t>
        </is>
      </c>
      <c r="C208" s="15" t="n">
        <v>4</v>
      </c>
      <c r="D208" s="15">
        <f>Matlab_Data!D86</f>
        <v/>
      </c>
      <c r="E208" s="15">
        <f>Matlab_Data!E86</f>
        <v/>
      </c>
      <c r="F208" s="15">
        <f>Matlab_Data!F86</f>
        <v/>
      </c>
      <c r="T208" s="39">
        <f>SUM(D208:F210)</f>
        <v/>
      </c>
      <c r="U208" s="39" t="n">
        <v>-553.3499999999999</v>
      </c>
      <c r="V208" s="39">
        <f>T208-U208</f>
        <v/>
      </c>
      <c r="W208" s="39" t="n"/>
      <c r="X208" s="39" t="n"/>
      <c r="Z208" s="15" t="inlineStr">
        <is>
          <t>ND*RLT</t>
        </is>
      </c>
      <c r="AA208" s="15" t="n">
        <v>4</v>
      </c>
      <c r="AB208" s="15" t="n">
        <v>503.6499999999999</v>
      </c>
      <c r="AC208" s="15" t="n">
        <v>170.29</v>
      </c>
      <c r="AD208" s="15" t="n">
        <v>140.76</v>
      </c>
      <c r="AV208" s="15" t="inlineStr">
        <is>
          <t>ND*RLT</t>
        </is>
      </c>
      <c r="AW208" s="15" t="n">
        <v>4</v>
      </c>
      <c r="AX208" s="15" t="n">
        <v>503.6499999999999</v>
      </c>
      <c r="AY208" s="15" t="n">
        <v>170.29</v>
      </c>
      <c r="AZ208" s="15" t="n">
        <v>140.76</v>
      </c>
      <c r="BR208" s="15" t="inlineStr">
        <is>
          <t>ND*RLT</t>
        </is>
      </c>
      <c r="BS208" s="15" t="n">
        <v>4</v>
      </c>
      <c r="BT208" s="15" t="n">
        <v>503.6499999999999</v>
      </c>
      <c r="BU208" s="15" t="n">
        <v>170.29</v>
      </c>
      <c r="BV208" s="15" t="n">
        <v>140.76</v>
      </c>
      <c r="CN208" s="15" t="inlineStr">
        <is>
          <t>ND*RLT</t>
        </is>
      </c>
      <c r="CO208" s="15" t="n">
        <v>4</v>
      </c>
      <c r="CP208" s="15" t="n">
        <v>503.6499999999999</v>
      </c>
      <c r="CQ208" s="15" t="n">
        <v>170.29</v>
      </c>
      <c r="CR208" s="15" t="n">
        <v>140.76</v>
      </c>
      <c r="DJ208" s="15" t="inlineStr">
        <is>
          <t>ND*RLT</t>
        </is>
      </c>
      <c r="DK208" s="15" t="n">
        <v>4</v>
      </c>
      <c r="DL208" s="15" t="n">
        <v>503.6499999999999</v>
      </c>
      <c r="DM208" s="15" t="n">
        <v>170.29</v>
      </c>
      <c r="DN208" s="15" t="n">
        <v>140.76</v>
      </c>
      <c r="EF208" s="15" t="inlineStr">
        <is>
          <t>ND*RLT</t>
        </is>
      </c>
      <c r="EG208" s="15" t="n">
        <v>4</v>
      </c>
      <c r="EH208" s="15" t="n">
        <v>503.6499999999999</v>
      </c>
      <c r="EI208" s="15" t="n">
        <v>170.29</v>
      </c>
      <c r="EJ208" s="15" t="n">
        <v>140.76</v>
      </c>
      <c r="FB208" s="15" t="inlineStr">
        <is>
          <t>ND*RLT</t>
        </is>
      </c>
      <c r="FC208" s="15" t="n">
        <v>4</v>
      </c>
      <c r="FD208" s="15" t="n">
        <v>503.6499999999999</v>
      </c>
      <c r="FE208" s="15" t="n">
        <v>170.29</v>
      </c>
      <c r="FF208" s="15" t="n">
        <v>140.76</v>
      </c>
      <c r="FX208" s="15" t="inlineStr">
        <is>
          <t>ND*RLT</t>
        </is>
      </c>
      <c r="FY208" s="15" t="n">
        <v>4</v>
      </c>
      <c r="FZ208" s="15" t="n">
        <v>503.6499999999999</v>
      </c>
      <c r="GA208" s="15" t="n">
        <v>170.29</v>
      </c>
      <c r="GB208" s="15" t="n">
        <v>140.76</v>
      </c>
      <c r="GT208" s="15" t="inlineStr">
        <is>
          <t>ND*RLT</t>
        </is>
      </c>
      <c r="GU208" s="15" t="n">
        <v>4</v>
      </c>
      <c r="GV208" s="15" t="n">
        <v>503.6499999999999</v>
      </c>
      <c r="GW208" s="15" t="n">
        <v>170.29</v>
      </c>
      <c r="GX208" s="15" t="n">
        <v>140.76</v>
      </c>
    </row>
    <row r="209">
      <c r="C209" s="15" t="n">
        <v>5</v>
      </c>
      <c r="D209" s="15">
        <f>Matlab_Data!D87</f>
        <v/>
      </c>
      <c r="E209" s="15">
        <f>Matlab_Data!E87</f>
        <v/>
      </c>
      <c r="F209" s="15">
        <f>Matlab_Data!F87</f>
        <v/>
      </c>
      <c r="AA209" s="15" t="n">
        <v>5</v>
      </c>
      <c r="AB209" s="15" t="n">
        <v>-200.04</v>
      </c>
      <c r="AC209" s="15" t="n">
        <v>190.3700000000001</v>
      </c>
      <c r="AD209" s="15" t="n">
        <v>-404.96</v>
      </c>
      <c r="AW209" s="15" t="n">
        <v>5</v>
      </c>
      <c r="AX209" s="15" t="n">
        <v>-200.04</v>
      </c>
      <c r="AY209" s="15" t="n">
        <v>190.3700000000001</v>
      </c>
      <c r="AZ209" s="15" t="n">
        <v>-404.96</v>
      </c>
      <c r="BS209" s="15" t="n">
        <v>5</v>
      </c>
      <c r="BT209" s="15" t="n">
        <v>-200.04</v>
      </c>
      <c r="BU209" s="15" t="n">
        <v>190.3700000000001</v>
      </c>
      <c r="BV209" s="15" t="n">
        <v>-404.96</v>
      </c>
      <c r="CO209" s="15" t="n">
        <v>5</v>
      </c>
      <c r="CP209" s="15" t="n">
        <v>-200.04</v>
      </c>
      <c r="CQ209" s="15" t="n">
        <v>190.3700000000001</v>
      </c>
      <c r="CR209" s="15" t="n">
        <v>-404.96</v>
      </c>
      <c r="DK209" s="15" t="n">
        <v>5</v>
      </c>
      <c r="DL209" s="15" t="n">
        <v>-200.04</v>
      </c>
      <c r="DM209" s="15" t="n">
        <v>190.3700000000001</v>
      </c>
      <c r="DN209" s="15" t="n">
        <v>-404.96</v>
      </c>
      <c r="EG209" s="15" t="n">
        <v>5</v>
      </c>
      <c r="EH209" s="15" t="n">
        <v>-200.04</v>
      </c>
      <c r="EI209" s="15" t="n">
        <v>190.3700000000001</v>
      </c>
      <c r="EJ209" s="15" t="n">
        <v>-404.96</v>
      </c>
      <c r="FC209" s="15" t="n">
        <v>5</v>
      </c>
      <c r="FD209" s="15" t="n">
        <v>-200.04</v>
      </c>
      <c r="FE209" s="15" t="n">
        <v>190.3700000000001</v>
      </c>
      <c r="FF209" s="15" t="n">
        <v>-404.96</v>
      </c>
      <c r="FY209" s="15" t="n">
        <v>5</v>
      </c>
      <c r="FZ209" s="15" t="n">
        <v>-200.04</v>
      </c>
      <c r="GA209" s="15" t="n">
        <v>190.3700000000001</v>
      </c>
      <c r="GB209" s="15" t="n">
        <v>-404.96</v>
      </c>
      <c r="GU209" s="15" t="n">
        <v>5</v>
      </c>
      <c r="GV209" s="15" t="n">
        <v>-200.04</v>
      </c>
      <c r="GW209" s="15" t="n">
        <v>190.3700000000001</v>
      </c>
      <c r="GX209" s="15" t="n">
        <v>-404.96</v>
      </c>
    </row>
    <row r="210">
      <c r="C210" s="15" t="n">
        <v>6</v>
      </c>
      <c r="D210" s="15">
        <f>Matlab_Data!D88</f>
        <v/>
      </c>
      <c r="E210" s="15">
        <f>Matlab_Data!E88</f>
        <v/>
      </c>
      <c r="F210" s="15">
        <f>Matlab_Data!F88</f>
        <v/>
      </c>
      <c r="AA210" s="15" t="n">
        <v>6</v>
      </c>
      <c r="AB210" s="15" t="n">
        <v>-331.54</v>
      </c>
      <c r="AC210" s="15" t="n">
        <v>351.01</v>
      </c>
      <c r="AD210" s="15" t="n">
        <v>-972.8899999999999</v>
      </c>
      <c r="AW210" s="15" t="n">
        <v>6</v>
      </c>
      <c r="AX210" s="15" t="n">
        <v>-331.54</v>
      </c>
      <c r="AY210" s="15" t="n">
        <v>351.01</v>
      </c>
      <c r="AZ210" s="15" t="n">
        <v>-972.8899999999999</v>
      </c>
      <c r="BS210" s="15" t="n">
        <v>6</v>
      </c>
      <c r="BT210" s="15" t="n">
        <v>-331.54</v>
      </c>
      <c r="BU210" s="15" t="n">
        <v>351.01</v>
      </c>
      <c r="BV210" s="15" t="n">
        <v>-972.8899999999999</v>
      </c>
      <c r="CO210" s="15" t="n">
        <v>6</v>
      </c>
      <c r="CP210" s="15" t="n">
        <v>-331.54</v>
      </c>
      <c r="CQ210" s="15" t="n">
        <v>351.01</v>
      </c>
      <c r="CR210" s="15" t="n">
        <v>-972.8899999999999</v>
      </c>
      <c r="DK210" s="15" t="n">
        <v>6</v>
      </c>
      <c r="DL210" s="15" t="n">
        <v>-331.54</v>
      </c>
      <c r="DM210" s="15" t="n">
        <v>351.01</v>
      </c>
      <c r="DN210" s="15" t="n">
        <v>-972.8899999999999</v>
      </c>
      <c r="EG210" s="15" t="n">
        <v>6</v>
      </c>
      <c r="EH210" s="15" t="n">
        <v>-331.54</v>
      </c>
      <c r="EI210" s="15" t="n">
        <v>351.01</v>
      </c>
      <c r="EJ210" s="15" t="n">
        <v>-972.8899999999999</v>
      </c>
      <c r="FC210" s="15" t="n">
        <v>6</v>
      </c>
      <c r="FD210" s="15" t="n">
        <v>-331.54</v>
      </c>
      <c r="FE210" s="15" t="n">
        <v>351.01</v>
      </c>
      <c r="FF210" s="15" t="n">
        <v>-972.8899999999999</v>
      </c>
      <c r="FY210" s="15" t="n">
        <v>6</v>
      </c>
      <c r="FZ210" s="15" t="n">
        <v>-331.54</v>
      </c>
      <c r="GA210" s="15" t="n">
        <v>351.01</v>
      </c>
      <c r="GB210" s="15" t="n">
        <v>-972.8899999999999</v>
      </c>
      <c r="GU210" s="15" t="n">
        <v>6</v>
      </c>
      <c r="GV210" s="15" t="n">
        <v>-331.54</v>
      </c>
      <c r="GW210" s="15" t="n">
        <v>351.01</v>
      </c>
      <c r="GX210" s="15" t="n">
        <v>-972.8899999999999</v>
      </c>
    </row>
    <row r="212">
      <c r="B212" s="15" t="inlineStr">
        <is>
          <t>Parâmetros p/ σx</t>
        </is>
      </c>
      <c r="C212" s="15" t="inlineStr">
        <is>
          <t>DesvPad(Var(d-cap))</t>
        </is>
      </c>
      <c r="D212" s="15" t="n">
        <v>16</v>
      </c>
      <c r="E212" s="15" t="n">
        <v>17</v>
      </c>
      <c r="F212" s="15" t="n">
        <v>18</v>
      </c>
      <c r="Z212" s="15" t="inlineStr">
        <is>
          <t>Parâmetros p/ σx</t>
        </is>
      </c>
      <c r="AA212" s="15" t="inlineStr">
        <is>
          <t>DesvPad(Var(d-cap))</t>
        </is>
      </c>
      <c r="AB212" s="15" t="n">
        <v>16</v>
      </c>
      <c r="AC212" s="15" t="n">
        <v>17</v>
      </c>
      <c r="AD212" s="15" t="n">
        <v>18</v>
      </c>
      <c r="AV212" s="15" t="inlineStr">
        <is>
          <t>Parâmetros p/ σx</t>
        </is>
      </c>
      <c r="AW212" s="15" t="inlineStr">
        <is>
          <t>DesvPad(Var(d-cap))</t>
        </is>
      </c>
      <c r="AX212" s="15" t="n">
        <v>16</v>
      </c>
      <c r="AY212" s="15" t="n">
        <v>17</v>
      </c>
      <c r="AZ212" s="15" t="n">
        <v>18</v>
      </c>
      <c r="BR212" s="15" t="inlineStr">
        <is>
          <t>Parâmetros p/ σx</t>
        </is>
      </c>
      <c r="BS212" s="15" t="inlineStr">
        <is>
          <t>DesvPad(Var(d-cap))</t>
        </is>
      </c>
      <c r="BT212" s="15" t="n">
        <v>16</v>
      </c>
      <c r="BU212" s="15" t="n">
        <v>17</v>
      </c>
      <c r="BV212" s="15" t="n">
        <v>18</v>
      </c>
      <c r="CN212" s="15" t="inlineStr">
        <is>
          <t>Parâmetros p/ σx</t>
        </is>
      </c>
      <c r="CO212" s="15" t="inlineStr">
        <is>
          <t>DesvPad(Var(d-cap))</t>
        </is>
      </c>
      <c r="CP212" s="15" t="n">
        <v>16</v>
      </c>
      <c r="CQ212" s="15" t="n">
        <v>17</v>
      </c>
      <c r="CR212" s="15" t="n">
        <v>18</v>
      </c>
      <c r="DJ212" s="15" t="inlineStr">
        <is>
          <t>Parâmetros p/ σx</t>
        </is>
      </c>
      <c r="DK212" s="15" t="inlineStr">
        <is>
          <t>DesvPad(Var(d-cap))</t>
        </is>
      </c>
      <c r="DL212" s="15" t="n">
        <v>16</v>
      </c>
      <c r="DM212" s="15" t="n">
        <v>17</v>
      </c>
      <c r="DN212" s="15" t="n">
        <v>18</v>
      </c>
      <c r="EF212" s="15" t="inlineStr">
        <is>
          <t>Parâmetros p/ σx</t>
        </is>
      </c>
      <c r="EG212" s="15" t="inlineStr">
        <is>
          <t>DesvPad(Var(d-cap))</t>
        </is>
      </c>
      <c r="EH212" s="15" t="n">
        <v>16</v>
      </c>
      <c r="EI212" s="15" t="n">
        <v>17</v>
      </c>
      <c r="EJ212" s="15" t="n">
        <v>18</v>
      </c>
      <c r="FB212" s="15" t="inlineStr">
        <is>
          <t>Parâmetros p/ σx</t>
        </is>
      </c>
      <c r="FC212" s="15" t="inlineStr">
        <is>
          <t>DesvPad(Var(d-cap))</t>
        </is>
      </c>
      <c r="FD212" s="15" t="n">
        <v>16</v>
      </c>
      <c r="FE212" s="15" t="n">
        <v>17</v>
      </c>
      <c r="FF212" s="15" t="n">
        <v>18</v>
      </c>
      <c r="FX212" s="15" t="inlineStr">
        <is>
          <t>Parâmetros p/ σx</t>
        </is>
      </c>
      <c r="FY212" s="15" t="inlineStr">
        <is>
          <t>DesvPad(Var(d-cap))</t>
        </is>
      </c>
      <c r="FZ212" s="15" t="n">
        <v>16</v>
      </c>
      <c r="GA212" s="15" t="n">
        <v>17</v>
      </c>
      <c r="GB212" s="15" t="n">
        <v>18</v>
      </c>
      <c r="GT212" s="15" t="inlineStr">
        <is>
          <t>Parâmetros p/ σx</t>
        </is>
      </c>
      <c r="GU212" s="15" t="inlineStr">
        <is>
          <t>DesvPad(Var(d-cap))</t>
        </is>
      </c>
      <c r="GV212" s="15" t="n">
        <v>16</v>
      </c>
      <c r="GW212" s="15" t="n">
        <v>17</v>
      </c>
      <c r="GX212" s="15" t="n">
        <v>18</v>
      </c>
    </row>
    <row r="213">
      <c r="B213" s="15" t="inlineStr">
        <is>
          <t>ND*RLT</t>
        </is>
      </c>
      <c r="C213" s="15" t="n">
        <v>4</v>
      </c>
      <c r="D213" s="15">
        <f>Matlab_Data!D91</f>
        <v/>
      </c>
      <c r="E213" s="15">
        <f>Matlab_Data!E91</f>
        <v/>
      </c>
      <c r="F213" s="15">
        <f>Matlab_Data!F91</f>
        <v/>
      </c>
      <c r="T213" s="39">
        <f>SUM(D213:F215)</f>
        <v/>
      </c>
      <c r="U213" s="39" t="n">
        <v>749.0549999999999</v>
      </c>
      <c r="V213" s="39">
        <f>T213-U213</f>
        <v/>
      </c>
      <c r="W213" s="39" t="n"/>
      <c r="X213" s="39" t="n"/>
      <c r="Z213" s="15" t="inlineStr">
        <is>
          <t>ND*RLT</t>
        </is>
      </c>
      <c r="AA213" s="15" t="n">
        <v>4</v>
      </c>
      <c r="AB213" s="15" t="n">
        <v>85.82340000000001</v>
      </c>
      <c r="AC213" s="15" t="n">
        <v>78.7559</v>
      </c>
      <c r="AD213" s="15" t="n">
        <v>90.9147</v>
      </c>
      <c r="AV213" s="15" t="inlineStr">
        <is>
          <t>ND*RLT</t>
        </is>
      </c>
      <c r="AW213" s="15" t="n">
        <v>4</v>
      </c>
      <c r="AX213" s="15" t="n">
        <v>85.82340000000001</v>
      </c>
      <c r="AY213" s="15" t="n">
        <v>78.7559</v>
      </c>
      <c r="AZ213" s="15" t="n">
        <v>90.9147</v>
      </c>
      <c r="BR213" s="15" t="inlineStr">
        <is>
          <t>ND*RLT</t>
        </is>
      </c>
      <c r="BS213" s="15" t="n">
        <v>4</v>
      </c>
      <c r="BT213" s="15" t="n">
        <v>85.82340000000001</v>
      </c>
      <c r="BU213" s="15" t="n">
        <v>78.7559</v>
      </c>
      <c r="BV213" s="15" t="n">
        <v>90.9147</v>
      </c>
      <c r="CN213" s="15" t="inlineStr">
        <is>
          <t>ND*RLT</t>
        </is>
      </c>
      <c r="CO213" s="15" t="n">
        <v>4</v>
      </c>
      <c r="CP213" s="15" t="n">
        <v>85.82340000000001</v>
      </c>
      <c r="CQ213" s="15" t="n">
        <v>78.7559</v>
      </c>
      <c r="CR213" s="15" t="n">
        <v>90.9147</v>
      </c>
      <c r="DJ213" s="15" t="inlineStr">
        <is>
          <t>ND*RLT</t>
        </is>
      </c>
      <c r="DK213" s="15" t="n">
        <v>4</v>
      </c>
      <c r="DL213" s="15" t="n">
        <v>85.82340000000001</v>
      </c>
      <c r="DM213" s="15" t="n">
        <v>78.7559</v>
      </c>
      <c r="DN213" s="15" t="n">
        <v>90.9147</v>
      </c>
      <c r="EF213" s="15" t="inlineStr">
        <is>
          <t>ND*RLT</t>
        </is>
      </c>
      <c r="EG213" s="15" t="n">
        <v>4</v>
      </c>
      <c r="EH213" s="15" t="n">
        <v>85.82340000000001</v>
      </c>
      <c r="EI213" s="15" t="n">
        <v>78.7559</v>
      </c>
      <c r="EJ213" s="15" t="n">
        <v>90.9147</v>
      </c>
      <c r="FB213" s="15" t="inlineStr">
        <is>
          <t>ND*RLT</t>
        </is>
      </c>
      <c r="FC213" s="15" t="n">
        <v>4</v>
      </c>
      <c r="FD213" s="15" t="n">
        <v>85.82340000000001</v>
      </c>
      <c r="FE213" s="15" t="n">
        <v>78.7559</v>
      </c>
      <c r="FF213" s="15" t="n">
        <v>90.9147</v>
      </c>
      <c r="FX213" s="15" t="inlineStr">
        <is>
          <t>ND*RLT</t>
        </is>
      </c>
      <c r="FY213" s="15" t="n">
        <v>4</v>
      </c>
      <c r="FZ213" s="15" t="n">
        <v>85.82340000000001</v>
      </c>
      <c r="GA213" s="15" t="n">
        <v>78.7559</v>
      </c>
      <c r="GB213" s="15" t="n">
        <v>90.9147</v>
      </c>
      <c r="GT213" s="15" t="inlineStr">
        <is>
          <t>ND*RLT</t>
        </is>
      </c>
      <c r="GU213" s="15" t="n">
        <v>4</v>
      </c>
      <c r="GV213" s="15" t="n">
        <v>85.82340000000001</v>
      </c>
      <c r="GW213" s="15" t="n">
        <v>78.7559</v>
      </c>
      <c r="GX213" s="15" t="n">
        <v>90.9147</v>
      </c>
    </row>
    <row r="214">
      <c r="C214" s="15" t="n">
        <v>5</v>
      </c>
      <c r="D214" s="15">
        <f>Matlab_Data!D92</f>
        <v/>
      </c>
      <c r="E214" s="15">
        <f>Matlab_Data!E92</f>
        <v/>
      </c>
      <c r="F214" s="15">
        <f>Matlab_Data!F92</f>
        <v/>
      </c>
      <c r="AA214" s="15" t="n">
        <v>5</v>
      </c>
      <c r="AB214" s="15" t="n">
        <v>72.63849999999999</v>
      </c>
      <c r="AC214" s="15" t="n">
        <v>71.9058</v>
      </c>
      <c r="AD214" s="15" t="n">
        <v>103.1061</v>
      </c>
      <c r="AW214" s="15" t="n">
        <v>5</v>
      </c>
      <c r="AX214" s="15" t="n">
        <v>72.63849999999999</v>
      </c>
      <c r="AY214" s="15" t="n">
        <v>71.9058</v>
      </c>
      <c r="AZ214" s="15" t="n">
        <v>103.1061</v>
      </c>
      <c r="BS214" s="15" t="n">
        <v>5</v>
      </c>
      <c r="BT214" s="15" t="n">
        <v>72.63849999999999</v>
      </c>
      <c r="BU214" s="15" t="n">
        <v>71.9058</v>
      </c>
      <c r="BV214" s="15" t="n">
        <v>103.1061</v>
      </c>
      <c r="CO214" s="15" t="n">
        <v>5</v>
      </c>
      <c r="CP214" s="15" t="n">
        <v>72.63849999999999</v>
      </c>
      <c r="CQ214" s="15" t="n">
        <v>71.9058</v>
      </c>
      <c r="CR214" s="15" t="n">
        <v>103.1061</v>
      </c>
      <c r="DK214" s="15" t="n">
        <v>5</v>
      </c>
      <c r="DL214" s="15" t="n">
        <v>72.63849999999999</v>
      </c>
      <c r="DM214" s="15" t="n">
        <v>71.9058</v>
      </c>
      <c r="DN214" s="15" t="n">
        <v>103.1061</v>
      </c>
      <c r="EG214" s="15" t="n">
        <v>5</v>
      </c>
      <c r="EH214" s="15" t="n">
        <v>72.63849999999999</v>
      </c>
      <c r="EI214" s="15" t="n">
        <v>71.9058</v>
      </c>
      <c r="EJ214" s="15" t="n">
        <v>103.1061</v>
      </c>
      <c r="FC214" s="15" t="n">
        <v>5</v>
      </c>
      <c r="FD214" s="15" t="n">
        <v>72.63849999999999</v>
      </c>
      <c r="FE214" s="15" t="n">
        <v>71.9058</v>
      </c>
      <c r="FF214" s="15" t="n">
        <v>103.1061</v>
      </c>
      <c r="FY214" s="15" t="n">
        <v>5</v>
      </c>
      <c r="FZ214" s="15" t="n">
        <v>72.63849999999999</v>
      </c>
      <c r="GA214" s="15" t="n">
        <v>71.9058</v>
      </c>
      <c r="GB214" s="15" t="n">
        <v>103.1061</v>
      </c>
      <c r="GU214" s="15" t="n">
        <v>5</v>
      </c>
      <c r="GV214" s="15" t="n">
        <v>72.63849999999999</v>
      </c>
      <c r="GW214" s="15" t="n">
        <v>71.9058</v>
      </c>
      <c r="GX214" s="15" t="n">
        <v>103.1061</v>
      </c>
    </row>
    <row r="215">
      <c r="C215" s="15" t="n">
        <v>6</v>
      </c>
      <c r="D215" s="15">
        <f>Matlab_Data!D93</f>
        <v/>
      </c>
      <c r="E215" s="15">
        <f>Matlab_Data!E93</f>
        <v/>
      </c>
      <c r="F215" s="15">
        <f>Matlab_Data!F93</f>
        <v/>
      </c>
      <c r="AA215" s="15" t="n">
        <v>6</v>
      </c>
      <c r="AB215" s="15" t="n">
        <v>80.1735</v>
      </c>
      <c r="AC215" s="15" t="n">
        <v>70.047</v>
      </c>
      <c r="AD215" s="15" t="n">
        <v>95.6901</v>
      </c>
      <c r="AW215" s="15" t="n">
        <v>6</v>
      </c>
      <c r="AX215" s="15" t="n">
        <v>80.1735</v>
      </c>
      <c r="AY215" s="15" t="n">
        <v>70.047</v>
      </c>
      <c r="AZ215" s="15" t="n">
        <v>95.6901</v>
      </c>
      <c r="BS215" s="15" t="n">
        <v>6</v>
      </c>
      <c r="BT215" s="15" t="n">
        <v>80.1735</v>
      </c>
      <c r="BU215" s="15" t="n">
        <v>70.047</v>
      </c>
      <c r="BV215" s="15" t="n">
        <v>95.6901</v>
      </c>
      <c r="CO215" s="15" t="n">
        <v>6</v>
      </c>
      <c r="CP215" s="15" t="n">
        <v>80.1735</v>
      </c>
      <c r="CQ215" s="15" t="n">
        <v>70.047</v>
      </c>
      <c r="CR215" s="15" t="n">
        <v>95.6901</v>
      </c>
      <c r="DK215" s="15" t="n">
        <v>6</v>
      </c>
      <c r="DL215" s="15" t="n">
        <v>80.1735</v>
      </c>
      <c r="DM215" s="15" t="n">
        <v>70.047</v>
      </c>
      <c r="DN215" s="15" t="n">
        <v>95.6901</v>
      </c>
      <c r="EG215" s="15" t="n">
        <v>6</v>
      </c>
      <c r="EH215" s="15" t="n">
        <v>80.1735</v>
      </c>
      <c r="EI215" s="15" t="n">
        <v>70.047</v>
      </c>
      <c r="EJ215" s="15" t="n">
        <v>95.6901</v>
      </c>
      <c r="FC215" s="15" t="n">
        <v>6</v>
      </c>
      <c r="FD215" s="15" t="n">
        <v>80.1735</v>
      </c>
      <c r="FE215" s="15" t="n">
        <v>70.047</v>
      </c>
      <c r="FF215" s="15" t="n">
        <v>95.6901</v>
      </c>
      <c r="FY215" s="15" t="n">
        <v>6</v>
      </c>
      <c r="FZ215" s="15" t="n">
        <v>80.1735</v>
      </c>
      <c r="GA215" s="15" t="n">
        <v>70.047</v>
      </c>
      <c r="GB215" s="15" t="n">
        <v>95.6901</v>
      </c>
      <c r="GU215" s="15" t="n">
        <v>6</v>
      </c>
      <c r="GV215" s="15" t="n">
        <v>80.1735</v>
      </c>
      <c r="GW215" s="15" t="n">
        <v>70.047</v>
      </c>
      <c r="GX215" s="15" t="n">
        <v>95.6901</v>
      </c>
    </row>
    <row r="217">
      <c r="C217" s="15" t="inlineStr">
        <is>
          <t>LB</t>
        </is>
      </c>
      <c r="D217" s="15" t="n">
        <v>16</v>
      </c>
      <c r="E217" s="15" t="n">
        <v>17</v>
      </c>
      <c r="F217" s="15" t="n">
        <v>18</v>
      </c>
      <c r="AA217" s="15" t="inlineStr">
        <is>
          <t>LB</t>
        </is>
      </c>
      <c r="AB217" s="15" t="n">
        <v>16</v>
      </c>
      <c r="AC217" s="15" t="n">
        <v>17</v>
      </c>
      <c r="AD217" s="15" t="n">
        <v>18</v>
      </c>
      <c r="AW217" s="15" t="inlineStr">
        <is>
          <t>LB</t>
        </is>
      </c>
      <c r="AX217" s="15" t="n">
        <v>16</v>
      </c>
      <c r="AY217" s="15" t="n">
        <v>17</v>
      </c>
      <c r="AZ217" s="15" t="n">
        <v>18</v>
      </c>
      <c r="BS217" s="15" t="inlineStr">
        <is>
          <t>LB</t>
        </is>
      </c>
      <c r="BT217" s="15" t="n">
        <v>16</v>
      </c>
      <c r="BU217" s="15" t="n">
        <v>17</v>
      </c>
      <c r="BV217" s="15" t="n">
        <v>18</v>
      </c>
      <c r="CO217" s="15" t="inlineStr">
        <is>
          <t>LB</t>
        </is>
      </c>
      <c r="CP217" s="15" t="n">
        <v>16</v>
      </c>
      <c r="CQ217" s="15" t="n">
        <v>17</v>
      </c>
      <c r="CR217" s="15" t="n">
        <v>18</v>
      </c>
      <c r="DK217" s="15" t="inlineStr">
        <is>
          <t>LB</t>
        </is>
      </c>
      <c r="DL217" s="15" t="n">
        <v>16</v>
      </c>
      <c r="DM217" s="15" t="n">
        <v>17</v>
      </c>
      <c r="DN217" s="15" t="n">
        <v>18</v>
      </c>
      <c r="EG217" s="15" t="inlineStr">
        <is>
          <t>LB</t>
        </is>
      </c>
      <c r="EH217" s="15" t="n">
        <v>16</v>
      </c>
      <c r="EI217" s="15" t="n">
        <v>17</v>
      </c>
      <c r="EJ217" s="15" t="n">
        <v>18</v>
      </c>
      <c r="FC217" s="15" t="inlineStr">
        <is>
          <t>LB</t>
        </is>
      </c>
      <c r="FD217" s="15" t="n">
        <v>16</v>
      </c>
      <c r="FE217" s="15" t="n">
        <v>17</v>
      </c>
      <c r="FF217" s="15" t="n">
        <v>18</v>
      </c>
      <c r="FY217" s="15" t="inlineStr">
        <is>
          <t>LB</t>
        </is>
      </c>
      <c r="FZ217" s="15" t="n">
        <v>16</v>
      </c>
      <c r="GA217" s="15" t="n">
        <v>17</v>
      </c>
      <c r="GB217" s="15" t="n">
        <v>18</v>
      </c>
      <c r="GU217" s="15" t="inlineStr">
        <is>
          <t>LB</t>
        </is>
      </c>
      <c r="GV217" s="15" t="n">
        <v>16</v>
      </c>
      <c r="GW217" s="15" t="n">
        <v>17</v>
      </c>
      <c r="GX217" s="15" t="n">
        <v>18</v>
      </c>
    </row>
    <row r="218">
      <c r="C218" s="15" t="n">
        <v>4</v>
      </c>
      <c r="D218" s="15">
        <f>Matlab_Data!D98</f>
        <v/>
      </c>
      <c r="E218" s="15">
        <f>Matlab_Data!E98</f>
        <v/>
      </c>
      <c r="F218" s="15">
        <f>Matlab_Data!F98</f>
        <v/>
      </c>
      <c r="T218" s="39">
        <f>SUM(D218:F220)</f>
        <v/>
      </c>
      <c r="U218" s="39" t="n">
        <v>373651.966317</v>
      </c>
      <c r="V218" s="39">
        <f>T218-U218</f>
        <v/>
      </c>
      <c r="W218" s="39" t="n"/>
      <c r="X218" s="39" t="n"/>
      <c r="AA218" s="15" t="n">
        <v>4</v>
      </c>
      <c r="AB218" s="15" t="n">
        <v>79279.530407</v>
      </c>
      <c r="AC218" s="15" t="n">
        <v>87272.45713</v>
      </c>
      <c r="AD218" s="15" t="n">
        <v>72838.994498</v>
      </c>
      <c r="AW218" s="15" t="n">
        <v>4</v>
      </c>
      <c r="AX218" s="15" t="n">
        <v>79279.530407</v>
      </c>
      <c r="AY218" s="15" t="n">
        <v>87272.45713</v>
      </c>
      <c r="AZ218" s="15" t="n">
        <v>72838.994498</v>
      </c>
      <c r="BS218" s="15" t="n">
        <v>4</v>
      </c>
      <c r="BT218" s="15" t="n">
        <v>79279.530407</v>
      </c>
      <c r="BU218" s="15" t="n">
        <v>87272.45713</v>
      </c>
      <c r="BV218" s="15" t="n">
        <v>72838.994498</v>
      </c>
      <c r="CO218" s="15" t="n">
        <v>4</v>
      </c>
      <c r="CP218" s="15" t="n">
        <v>79279.530407</v>
      </c>
      <c r="CQ218" s="15" t="n">
        <v>87272.45713</v>
      </c>
      <c r="CR218" s="15" t="n">
        <v>72838.994498</v>
      </c>
      <c r="DK218" s="15" t="n">
        <v>4</v>
      </c>
      <c r="DL218" s="15" t="n">
        <v>79279.530407</v>
      </c>
      <c r="DM218" s="15" t="n">
        <v>87272.45713</v>
      </c>
      <c r="DN218" s="15" t="n">
        <v>72838.994498</v>
      </c>
      <c r="EG218" s="15" t="n">
        <v>4</v>
      </c>
      <c r="EH218" s="15" t="n">
        <v>79279.530407</v>
      </c>
      <c r="EI218" s="15" t="n">
        <v>87272.45713</v>
      </c>
      <c r="EJ218" s="15" t="n">
        <v>72838.994498</v>
      </c>
      <c r="FC218" s="15" t="n">
        <v>4</v>
      </c>
      <c r="FD218" s="15" t="n">
        <v>79279.530407</v>
      </c>
      <c r="FE218" s="15" t="n">
        <v>87272.45713</v>
      </c>
      <c r="FF218" s="15" t="n">
        <v>72838.994498</v>
      </c>
      <c r="FY218" s="15" t="n">
        <v>4</v>
      </c>
      <c r="FZ218" s="15" t="n">
        <v>79279.530407</v>
      </c>
      <c r="GA218" s="15" t="n">
        <v>87272.45713</v>
      </c>
      <c r="GB218" s="15" t="n">
        <v>72838.994498</v>
      </c>
      <c r="GU218" s="15" t="n">
        <v>4</v>
      </c>
      <c r="GV218" s="15" t="n">
        <v>79279.530407</v>
      </c>
      <c r="GW218" s="15" t="n">
        <v>87272.45713</v>
      </c>
      <c r="GX218" s="15" t="n">
        <v>72838.994498</v>
      </c>
    </row>
    <row r="219">
      <c r="C219" s="15" t="n">
        <v>5</v>
      </c>
      <c r="D219" s="15">
        <f>Matlab_Data!D99</f>
        <v/>
      </c>
      <c r="E219" s="15">
        <f>Matlab_Data!E99</f>
        <v/>
      </c>
      <c r="F219" s="15">
        <f>Matlab_Data!F99</f>
        <v/>
      </c>
      <c r="AA219" s="15" t="n">
        <v>5</v>
      </c>
      <c r="AB219" s="15" t="n">
        <v>0</v>
      </c>
      <c r="AC219" s="15" t="n">
        <v>75216.29309399999</v>
      </c>
      <c r="AD219" s="15" t="n">
        <v>0</v>
      </c>
      <c r="AW219" s="15" t="n">
        <v>5</v>
      </c>
      <c r="AX219" s="15" t="n">
        <v>0</v>
      </c>
      <c r="AY219" s="15" t="n">
        <v>75216.29309399999</v>
      </c>
      <c r="AZ219" s="15" t="n">
        <v>0</v>
      </c>
      <c r="BS219" s="15" t="n">
        <v>5</v>
      </c>
      <c r="BT219" s="15" t="n">
        <v>0</v>
      </c>
      <c r="BU219" s="15" t="n">
        <v>75216.29309399999</v>
      </c>
      <c r="BV219" s="15" t="n">
        <v>0</v>
      </c>
      <c r="CO219" s="15" t="n">
        <v>5</v>
      </c>
      <c r="CP219" s="15" t="n">
        <v>0</v>
      </c>
      <c r="CQ219" s="15" t="n">
        <v>75216.29309399999</v>
      </c>
      <c r="CR219" s="15" t="n">
        <v>0</v>
      </c>
      <c r="DK219" s="15" t="n">
        <v>5</v>
      </c>
      <c r="DL219" s="15" t="n">
        <v>0</v>
      </c>
      <c r="DM219" s="15" t="n">
        <v>75216.29309399999</v>
      </c>
      <c r="DN219" s="15" t="n">
        <v>0</v>
      </c>
      <c r="EG219" s="15" t="n">
        <v>5</v>
      </c>
      <c r="EH219" s="15" t="n">
        <v>0</v>
      </c>
      <c r="EI219" s="15" t="n">
        <v>75216.29309399999</v>
      </c>
      <c r="EJ219" s="15" t="n">
        <v>0</v>
      </c>
      <c r="FC219" s="15" t="n">
        <v>5</v>
      </c>
      <c r="FD219" s="15" t="n">
        <v>0</v>
      </c>
      <c r="FE219" s="15" t="n">
        <v>75216.29309399999</v>
      </c>
      <c r="FF219" s="15" t="n">
        <v>0</v>
      </c>
      <c r="FY219" s="15" t="n">
        <v>5</v>
      </c>
      <c r="FZ219" s="15" t="n">
        <v>0</v>
      </c>
      <c r="GA219" s="15" t="n">
        <v>75216.29309399999</v>
      </c>
      <c r="GB219" s="15" t="n">
        <v>0</v>
      </c>
      <c r="GU219" s="15" t="n">
        <v>5</v>
      </c>
      <c r="GV219" s="15" t="n">
        <v>0</v>
      </c>
      <c r="GW219" s="15" t="n">
        <v>75216.29309399999</v>
      </c>
      <c r="GX219" s="15" t="n">
        <v>0</v>
      </c>
    </row>
    <row r="220">
      <c r="C220" s="15" t="n">
        <v>6</v>
      </c>
      <c r="D220" s="15">
        <f>Matlab_Data!D100</f>
        <v/>
      </c>
      <c r="E220" s="15">
        <f>Matlab_Data!E100</f>
        <v/>
      </c>
      <c r="F220" s="15">
        <f>Matlab_Data!F100</f>
        <v/>
      </c>
      <c r="AA220" s="15" t="n">
        <v>6</v>
      </c>
      <c r="AB220" s="15" t="n">
        <v>0</v>
      </c>
      <c r="AC220" s="15" t="n">
        <v>59044.691188</v>
      </c>
      <c r="AD220" s="15" t="n">
        <v>0</v>
      </c>
      <c r="AW220" s="15" t="n">
        <v>6</v>
      </c>
      <c r="AX220" s="15" t="n">
        <v>0</v>
      </c>
      <c r="AY220" s="15" t="n">
        <v>59044.691188</v>
      </c>
      <c r="AZ220" s="15" t="n">
        <v>0</v>
      </c>
      <c r="BS220" s="15" t="n">
        <v>6</v>
      </c>
      <c r="BT220" s="15" t="n">
        <v>0</v>
      </c>
      <c r="BU220" s="15" t="n">
        <v>59044.691188</v>
      </c>
      <c r="BV220" s="15" t="n">
        <v>0</v>
      </c>
      <c r="CO220" s="15" t="n">
        <v>6</v>
      </c>
      <c r="CP220" s="15" t="n">
        <v>0</v>
      </c>
      <c r="CQ220" s="15" t="n">
        <v>59044.691188</v>
      </c>
      <c r="CR220" s="15" t="n">
        <v>0</v>
      </c>
      <c r="DK220" s="15" t="n">
        <v>6</v>
      </c>
      <c r="DL220" s="15" t="n">
        <v>0</v>
      </c>
      <c r="DM220" s="15" t="n">
        <v>59044.691188</v>
      </c>
      <c r="DN220" s="15" t="n">
        <v>0</v>
      </c>
      <c r="EG220" s="15" t="n">
        <v>6</v>
      </c>
      <c r="EH220" s="15" t="n">
        <v>0</v>
      </c>
      <c r="EI220" s="15" t="n">
        <v>59044.691188</v>
      </c>
      <c r="EJ220" s="15" t="n">
        <v>0</v>
      </c>
      <c r="FC220" s="15" t="n">
        <v>6</v>
      </c>
      <c r="FD220" s="15" t="n">
        <v>0</v>
      </c>
      <c r="FE220" s="15" t="n">
        <v>59044.691188</v>
      </c>
      <c r="FF220" s="15" t="n">
        <v>0</v>
      </c>
      <c r="FY220" s="15" t="n">
        <v>6</v>
      </c>
      <c r="FZ220" s="15" t="n">
        <v>0</v>
      </c>
      <c r="GA220" s="15" t="n">
        <v>59044.691188</v>
      </c>
      <c r="GB220" s="15" t="n">
        <v>0</v>
      </c>
      <c r="GU220" s="15" t="n">
        <v>6</v>
      </c>
      <c r="GV220" s="15" t="n">
        <v>0</v>
      </c>
      <c r="GW220" s="15" t="n">
        <v>59044.691188</v>
      </c>
      <c r="GX220" s="15" t="n">
        <v>0</v>
      </c>
    </row>
    <row r="222">
      <c r="C222" s="15" t="inlineStr">
        <is>
          <t>DesvPad(ND*ELT)</t>
        </is>
      </c>
      <c r="D222" s="15" t="n">
        <v>16</v>
      </c>
      <c r="E222" s="15" t="n">
        <v>17</v>
      </c>
      <c r="F222" s="15" t="n">
        <v>18</v>
      </c>
      <c r="AA222" s="15" t="inlineStr">
        <is>
          <t>DesvPad(ND*ELT)</t>
        </is>
      </c>
      <c r="AB222" s="15" t="n">
        <v>16</v>
      </c>
      <c r="AC222" s="15" t="n">
        <v>17</v>
      </c>
      <c r="AD222" s="15" t="n">
        <v>18</v>
      </c>
      <c r="AW222" s="15" t="inlineStr">
        <is>
          <t>DesvPad(ND*ELT)</t>
        </is>
      </c>
      <c r="AX222" s="15" t="n">
        <v>16</v>
      </c>
      <c r="AY222" s="15" t="n">
        <v>17</v>
      </c>
      <c r="AZ222" s="15" t="n">
        <v>18</v>
      </c>
      <c r="BS222" s="15" t="inlineStr">
        <is>
          <t>DesvPad(ND*ELT)</t>
        </is>
      </c>
      <c r="BT222" s="15" t="n">
        <v>16</v>
      </c>
      <c r="BU222" s="15" t="n">
        <v>17</v>
      </c>
      <c r="BV222" s="15" t="n">
        <v>18</v>
      </c>
      <c r="CO222" s="15" t="inlineStr">
        <is>
          <t>DesvPad(ND*ELT)</t>
        </is>
      </c>
      <c r="CP222" s="15" t="n">
        <v>16</v>
      </c>
      <c r="CQ222" s="15" t="n">
        <v>17</v>
      </c>
      <c r="CR222" s="15" t="n">
        <v>18</v>
      </c>
      <c r="DK222" s="15" t="inlineStr">
        <is>
          <t>DesvPad(ND*ELT)</t>
        </is>
      </c>
      <c r="DL222" s="15" t="n">
        <v>16</v>
      </c>
      <c r="DM222" s="15" t="n">
        <v>17</v>
      </c>
      <c r="DN222" s="15" t="n">
        <v>18</v>
      </c>
      <c r="EG222" s="15" t="inlineStr">
        <is>
          <t>DesvPad(ND*ELT)</t>
        </is>
      </c>
      <c r="EH222" s="15" t="n">
        <v>16</v>
      </c>
      <c r="EI222" s="15" t="n">
        <v>17</v>
      </c>
      <c r="EJ222" s="15" t="n">
        <v>18</v>
      </c>
      <c r="FC222" s="15" t="inlineStr">
        <is>
          <t>DesvPad(ND*ELT)</t>
        </is>
      </c>
      <c r="FD222" s="15" t="n">
        <v>16</v>
      </c>
      <c r="FE222" s="15" t="n">
        <v>17</v>
      </c>
      <c r="FF222" s="15" t="n">
        <v>18</v>
      </c>
      <c r="FY222" s="15" t="inlineStr">
        <is>
          <t>DesvPad(ND*ELT)</t>
        </is>
      </c>
      <c r="FZ222" s="15" t="n">
        <v>16</v>
      </c>
      <c r="GA222" s="15" t="n">
        <v>17</v>
      </c>
      <c r="GB222" s="15" t="n">
        <v>18</v>
      </c>
      <c r="GU222" s="15" t="inlineStr">
        <is>
          <t>DesvPad(ND*ELT)</t>
        </is>
      </c>
      <c r="GV222" s="15" t="n">
        <v>16</v>
      </c>
      <c r="GW222" s="15" t="n">
        <v>17</v>
      </c>
      <c r="GX222" s="15" t="n">
        <v>18</v>
      </c>
    </row>
    <row r="223">
      <c r="C223" s="15" t="n">
        <v>4</v>
      </c>
      <c r="D223" s="15">
        <f>Matlab_Data!D103</f>
        <v/>
      </c>
      <c r="E223" s="15">
        <f>Matlab_Data!E103</f>
        <v/>
      </c>
      <c r="F223" s="15">
        <f>Matlab_Data!F103</f>
        <v/>
      </c>
      <c r="T223" s="39">
        <f>SUM(D223:F225)</f>
        <v/>
      </c>
      <c r="U223" s="39" t="n">
        <v>977.5478000000001</v>
      </c>
      <c r="V223" s="39">
        <f>T223-U223</f>
        <v/>
      </c>
      <c r="W223" s="39" t="n"/>
      <c r="X223" s="39" t="n"/>
      <c r="AA223" s="15" t="n">
        <v>4</v>
      </c>
      <c r="AB223" s="15" t="n">
        <v>205.1894</v>
      </c>
      <c r="AC223" s="15" t="n">
        <v>209.9278</v>
      </c>
      <c r="AD223" s="15" t="n">
        <v>191.3891</v>
      </c>
      <c r="AW223" s="15" t="n">
        <v>4</v>
      </c>
      <c r="AX223" s="15" t="n">
        <v>205.1894</v>
      </c>
      <c r="AY223" s="15" t="n">
        <v>209.9278</v>
      </c>
      <c r="AZ223" s="15" t="n">
        <v>191.3891</v>
      </c>
      <c r="BS223" s="15" t="n">
        <v>4</v>
      </c>
      <c r="BT223" s="15" t="n">
        <v>205.1894</v>
      </c>
      <c r="BU223" s="15" t="n">
        <v>209.9278</v>
      </c>
      <c r="BV223" s="15" t="n">
        <v>191.3891</v>
      </c>
      <c r="CO223" s="15" t="n">
        <v>4</v>
      </c>
      <c r="CP223" s="15" t="n">
        <v>205.1894</v>
      </c>
      <c r="CQ223" s="15" t="n">
        <v>209.9278</v>
      </c>
      <c r="CR223" s="15" t="n">
        <v>191.3891</v>
      </c>
      <c r="DK223" s="15" t="n">
        <v>4</v>
      </c>
      <c r="DL223" s="15" t="n">
        <v>205.1894</v>
      </c>
      <c r="DM223" s="15" t="n">
        <v>209.9278</v>
      </c>
      <c r="DN223" s="15" t="n">
        <v>191.3891</v>
      </c>
      <c r="EG223" s="15" t="n">
        <v>4</v>
      </c>
      <c r="EH223" s="15" t="n">
        <v>205.1894</v>
      </c>
      <c r="EI223" s="15" t="n">
        <v>209.9278</v>
      </c>
      <c r="EJ223" s="15" t="n">
        <v>191.3891</v>
      </c>
      <c r="FC223" s="15" t="n">
        <v>4</v>
      </c>
      <c r="FD223" s="15" t="n">
        <v>205.1894</v>
      </c>
      <c r="FE223" s="15" t="n">
        <v>209.9278</v>
      </c>
      <c r="FF223" s="15" t="n">
        <v>191.3891</v>
      </c>
      <c r="FY223" s="15" t="n">
        <v>4</v>
      </c>
      <c r="FZ223" s="15" t="n">
        <v>205.1894</v>
      </c>
      <c r="GA223" s="15" t="n">
        <v>209.9278</v>
      </c>
      <c r="GB223" s="15" t="n">
        <v>191.3891</v>
      </c>
      <c r="GU223" s="15" t="n">
        <v>4</v>
      </c>
      <c r="GV223" s="15" t="n">
        <v>205.1894</v>
      </c>
      <c r="GW223" s="15" t="n">
        <v>209.9278</v>
      </c>
      <c r="GX223" s="15" t="n">
        <v>191.3891</v>
      </c>
    </row>
    <row r="224">
      <c r="C224" s="15" t="n">
        <v>5</v>
      </c>
      <c r="D224" s="15">
        <f>Matlab_Data!D104</f>
        <v/>
      </c>
      <c r="E224" s="15">
        <f>Matlab_Data!E104</f>
        <v/>
      </c>
      <c r="F224" s="15">
        <f>Matlab_Data!F104</f>
        <v/>
      </c>
      <c r="AA224" s="15" t="n">
        <v>5</v>
      </c>
      <c r="AB224" s="15" t="n">
        <v>0</v>
      </c>
      <c r="AC224" s="15" t="n">
        <v>195.2975</v>
      </c>
      <c r="AD224" s="15" t="n">
        <v>0</v>
      </c>
      <c r="AW224" s="15" t="n">
        <v>5</v>
      </c>
      <c r="AX224" s="15" t="n">
        <v>0</v>
      </c>
      <c r="AY224" s="15" t="n">
        <v>195.2975</v>
      </c>
      <c r="AZ224" s="15" t="n">
        <v>0</v>
      </c>
      <c r="BS224" s="15" t="n">
        <v>5</v>
      </c>
      <c r="BT224" s="15" t="n">
        <v>0</v>
      </c>
      <c r="BU224" s="15" t="n">
        <v>195.2975</v>
      </c>
      <c r="BV224" s="15" t="n">
        <v>0</v>
      </c>
      <c r="CO224" s="15" t="n">
        <v>5</v>
      </c>
      <c r="CP224" s="15" t="n">
        <v>0</v>
      </c>
      <c r="CQ224" s="15" t="n">
        <v>195.2975</v>
      </c>
      <c r="CR224" s="15" t="n">
        <v>0</v>
      </c>
      <c r="DK224" s="15" t="n">
        <v>5</v>
      </c>
      <c r="DL224" s="15" t="n">
        <v>0</v>
      </c>
      <c r="DM224" s="15" t="n">
        <v>195.2975</v>
      </c>
      <c r="DN224" s="15" t="n">
        <v>0</v>
      </c>
      <c r="EG224" s="15" t="n">
        <v>5</v>
      </c>
      <c r="EH224" s="15" t="n">
        <v>0</v>
      </c>
      <c r="EI224" s="15" t="n">
        <v>195.2975</v>
      </c>
      <c r="EJ224" s="15" t="n">
        <v>0</v>
      </c>
      <c r="FC224" s="15" t="n">
        <v>5</v>
      </c>
      <c r="FD224" s="15" t="n">
        <v>0</v>
      </c>
      <c r="FE224" s="15" t="n">
        <v>195.2975</v>
      </c>
      <c r="FF224" s="15" t="n">
        <v>0</v>
      </c>
      <c r="FY224" s="15" t="n">
        <v>5</v>
      </c>
      <c r="FZ224" s="15" t="n">
        <v>0</v>
      </c>
      <c r="GA224" s="15" t="n">
        <v>195.2975</v>
      </c>
      <c r="GB224" s="15" t="n">
        <v>0</v>
      </c>
      <c r="GU224" s="15" t="n">
        <v>5</v>
      </c>
      <c r="GV224" s="15" t="n">
        <v>0</v>
      </c>
      <c r="GW224" s="15" t="n">
        <v>195.2975</v>
      </c>
      <c r="GX224" s="15" t="n">
        <v>0</v>
      </c>
    </row>
    <row r="225">
      <c r="C225" s="15" t="n">
        <v>6</v>
      </c>
      <c r="D225" s="15">
        <f>Matlab_Data!D105</f>
        <v/>
      </c>
      <c r="E225" s="15">
        <f>Matlab_Data!E105</f>
        <v/>
      </c>
      <c r="F225" s="15">
        <f>Matlab_Data!F105</f>
        <v/>
      </c>
      <c r="AA225" s="15" t="n">
        <v>6</v>
      </c>
      <c r="AB225" s="15" t="n">
        <v>0</v>
      </c>
      <c r="AC225" s="15" t="n">
        <v>175.744</v>
      </c>
      <c r="AD225" s="15" t="n">
        <v>0</v>
      </c>
      <c r="AW225" s="15" t="n">
        <v>6</v>
      </c>
      <c r="AX225" s="15" t="n">
        <v>0</v>
      </c>
      <c r="AY225" s="15" t="n">
        <v>175.744</v>
      </c>
      <c r="AZ225" s="15" t="n">
        <v>0</v>
      </c>
      <c r="BS225" s="15" t="n">
        <v>6</v>
      </c>
      <c r="BT225" s="15" t="n">
        <v>0</v>
      </c>
      <c r="BU225" s="15" t="n">
        <v>175.744</v>
      </c>
      <c r="BV225" s="15" t="n">
        <v>0</v>
      </c>
      <c r="CO225" s="15" t="n">
        <v>6</v>
      </c>
      <c r="CP225" s="15" t="n">
        <v>0</v>
      </c>
      <c r="CQ225" s="15" t="n">
        <v>175.744</v>
      </c>
      <c r="CR225" s="15" t="n">
        <v>0</v>
      </c>
      <c r="DK225" s="15" t="n">
        <v>6</v>
      </c>
      <c r="DL225" s="15" t="n">
        <v>0</v>
      </c>
      <c r="DM225" s="15" t="n">
        <v>175.744</v>
      </c>
      <c r="DN225" s="15" t="n">
        <v>0</v>
      </c>
      <c r="EG225" s="15" t="n">
        <v>6</v>
      </c>
      <c r="EH225" s="15" t="n">
        <v>0</v>
      </c>
      <c r="EI225" s="15" t="n">
        <v>175.744</v>
      </c>
      <c r="EJ225" s="15" t="n">
        <v>0</v>
      </c>
      <c r="FC225" s="15" t="n">
        <v>6</v>
      </c>
      <c r="FD225" s="15" t="n">
        <v>0</v>
      </c>
      <c r="FE225" s="15" t="n">
        <v>175.744</v>
      </c>
      <c r="FF225" s="15" t="n">
        <v>0</v>
      </c>
      <c r="FY225" s="15" t="n">
        <v>6</v>
      </c>
      <c r="FZ225" s="15" t="n">
        <v>0</v>
      </c>
      <c r="GA225" s="15" t="n">
        <v>175.744</v>
      </c>
      <c r="GB225" s="15" t="n">
        <v>0</v>
      </c>
      <c r="GU225" s="15" t="n">
        <v>6</v>
      </c>
      <c r="GV225" s="15" t="n">
        <v>0</v>
      </c>
      <c r="GW225" s="15" t="n">
        <v>175.744</v>
      </c>
      <c r="GX225" s="15" t="n">
        <v>0</v>
      </c>
    </row>
    <row r="227">
      <c r="C227" s="15" t="inlineStr">
        <is>
          <t>DesvPad(Cap)</t>
        </is>
      </c>
      <c r="D227" s="15" t="n">
        <v>16</v>
      </c>
      <c r="E227" s="15" t="n">
        <v>17</v>
      </c>
      <c r="F227" s="15" t="n">
        <v>18</v>
      </c>
      <c r="AA227" s="15" t="inlineStr">
        <is>
          <t>DesvPad(Cap)</t>
        </is>
      </c>
      <c r="AB227" s="15" t="n">
        <v>16</v>
      </c>
      <c r="AC227" s="15" t="n">
        <v>17</v>
      </c>
      <c r="AD227" s="15" t="n">
        <v>18</v>
      </c>
      <c r="AW227" s="15" t="inlineStr">
        <is>
          <t>DesvPad(Cap)</t>
        </is>
      </c>
      <c r="AX227" s="15" t="n">
        <v>16</v>
      </c>
      <c r="AY227" s="15" t="n">
        <v>17</v>
      </c>
      <c r="AZ227" s="15" t="n">
        <v>18</v>
      </c>
      <c r="BS227" s="15" t="inlineStr">
        <is>
          <t>DesvPad(Cap)</t>
        </is>
      </c>
      <c r="BT227" s="15" t="n">
        <v>16</v>
      </c>
      <c r="BU227" s="15" t="n">
        <v>17</v>
      </c>
      <c r="BV227" s="15" t="n">
        <v>18</v>
      </c>
      <c r="CO227" s="15" t="inlineStr">
        <is>
          <t>DesvPad(Cap)</t>
        </is>
      </c>
      <c r="CP227" s="15" t="n">
        <v>16</v>
      </c>
      <c r="CQ227" s="15" t="n">
        <v>17</v>
      </c>
      <c r="CR227" s="15" t="n">
        <v>18</v>
      </c>
      <c r="DK227" s="15" t="inlineStr">
        <is>
          <t>DesvPad(Cap)</t>
        </is>
      </c>
      <c r="DL227" s="15" t="n">
        <v>16</v>
      </c>
      <c r="DM227" s="15" t="n">
        <v>17</v>
      </c>
      <c r="DN227" s="15" t="n">
        <v>18</v>
      </c>
      <c r="EG227" s="15" t="inlineStr">
        <is>
          <t>DesvPad(Cap)</t>
        </is>
      </c>
      <c r="EH227" s="15" t="n">
        <v>16</v>
      </c>
      <c r="EI227" s="15" t="n">
        <v>17</v>
      </c>
      <c r="EJ227" s="15" t="n">
        <v>18</v>
      </c>
      <c r="FC227" s="15" t="inlineStr">
        <is>
          <t>DesvPad(Cap)</t>
        </is>
      </c>
      <c r="FD227" s="15" t="n">
        <v>16</v>
      </c>
      <c r="FE227" s="15" t="n">
        <v>17</v>
      </c>
      <c r="FF227" s="15" t="n">
        <v>18</v>
      </c>
      <c r="FY227" s="15" t="inlineStr">
        <is>
          <t>DesvPad(Cap)</t>
        </is>
      </c>
      <c r="FZ227" s="15" t="n">
        <v>16</v>
      </c>
      <c r="GA227" s="15" t="n">
        <v>17</v>
      </c>
      <c r="GB227" s="15" t="n">
        <v>18</v>
      </c>
      <c r="GU227" s="15" t="inlineStr">
        <is>
          <t>DesvPad(Cap)</t>
        </is>
      </c>
      <c r="GV227" s="15" t="n">
        <v>16</v>
      </c>
      <c r="GW227" s="15" t="n">
        <v>17</v>
      </c>
      <c r="GX227" s="15" t="n">
        <v>18</v>
      </c>
    </row>
    <row r="228">
      <c r="C228" s="15" t="n">
        <v>4</v>
      </c>
      <c r="D228" s="15">
        <f>(Fac_Fourth_central_moment_5var!D10)^0.5</f>
        <v/>
      </c>
      <c r="E228" s="15">
        <f>(Fac_Fourth_central_moment_5var!E10)^0.5</f>
        <v/>
      </c>
      <c r="F228" s="15">
        <f>(Fac_Fourth_central_moment_5var!F10)^0.5</f>
        <v/>
      </c>
      <c r="T228" s="39">
        <f>SUM(D228:F230)</f>
        <v/>
      </c>
      <c r="U228" s="39" t="n">
        <v>2931.345942840465</v>
      </c>
      <c r="V228" s="39">
        <f>T228-U228</f>
        <v/>
      </c>
      <c r="W228" s="39" t="n"/>
      <c r="X228" s="39" t="n"/>
      <c r="AA228" s="15" t="n">
        <v>4</v>
      </c>
      <c r="AB228" s="15" t="n">
        <v>278.1899890362699</v>
      </c>
      <c r="AC228" s="15" t="n">
        <v>287.5159995548074</v>
      </c>
      <c r="AD228" s="15" t="n">
        <v>337.7539933146609</v>
      </c>
      <c r="AW228" s="15" t="n">
        <v>4</v>
      </c>
      <c r="AX228" s="15" t="n">
        <v>278.1899890362699</v>
      </c>
      <c r="AY228" s="15" t="n">
        <v>287.5159995548074</v>
      </c>
      <c r="AZ228" s="15" t="n">
        <v>337.7539933146609</v>
      </c>
      <c r="BS228" s="15" t="n">
        <v>4</v>
      </c>
      <c r="BT228" s="15" t="n">
        <v>278.1899890362699</v>
      </c>
      <c r="BU228" s="15" t="n">
        <v>287.5159995548074</v>
      </c>
      <c r="BV228" s="15" t="n">
        <v>337.7539933146609</v>
      </c>
      <c r="CO228" s="15" t="n">
        <v>4</v>
      </c>
      <c r="CP228" s="15" t="n">
        <v>278.1899890362699</v>
      </c>
      <c r="CQ228" s="15" t="n">
        <v>287.5159995548074</v>
      </c>
      <c r="CR228" s="15" t="n">
        <v>337.7539933146609</v>
      </c>
      <c r="DK228" s="15" t="n">
        <v>4</v>
      </c>
      <c r="DL228" s="15" t="n">
        <v>278.1899890362699</v>
      </c>
      <c r="DM228" s="15" t="n">
        <v>287.5159995548074</v>
      </c>
      <c r="DN228" s="15" t="n">
        <v>337.7539933146609</v>
      </c>
      <c r="EG228" s="15" t="n">
        <v>4</v>
      </c>
      <c r="EH228" s="15" t="n">
        <v>278.1899890362699</v>
      </c>
      <c r="EI228" s="15" t="n">
        <v>287.5159995548074</v>
      </c>
      <c r="EJ228" s="15" t="n">
        <v>337.7539933146609</v>
      </c>
      <c r="FC228" s="15" t="n">
        <v>4</v>
      </c>
      <c r="FD228" s="15" t="n">
        <v>278.1899890362699</v>
      </c>
      <c r="FE228" s="15" t="n">
        <v>287.5159995548074</v>
      </c>
      <c r="FF228" s="15" t="n">
        <v>337.7539933146609</v>
      </c>
      <c r="FY228" s="15" t="n">
        <v>4</v>
      </c>
      <c r="FZ228" s="15" t="n">
        <v>278.1899890362699</v>
      </c>
      <c r="GA228" s="15" t="n">
        <v>287.5159995548074</v>
      </c>
      <c r="GB228" s="15" t="n">
        <v>337.7539933146609</v>
      </c>
      <c r="GU228" s="15" t="n">
        <v>4</v>
      </c>
      <c r="GV228" s="15" t="n">
        <v>278.1899890362699</v>
      </c>
      <c r="GW228" s="15" t="n">
        <v>287.5159995548074</v>
      </c>
      <c r="GX228" s="15" t="n">
        <v>337.7539933146609</v>
      </c>
    </row>
    <row r="229">
      <c r="C229" s="15" t="n">
        <v>5</v>
      </c>
      <c r="D229" s="15">
        <f>(Fac_Fourth_central_moment_5var!D11)^0.5</f>
        <v/>
      </c>
      <c r="E229" s="15">
        <f>(Fac_Fourth_central_moment_5var!E11)^0.5</f>
        <v/>
      </c>
      <c r="F229" s="15">
        <f>(Fac_Fourth_central_moment_5var!F11)^0.5</f>
        <v/>
      </c>
      <c r="AA229" s="15" t="n">
        <v>5</v>
      </c>
      <c r="AB229" s="15" t="n">
        <v>300.6199926817909</v>
      </c>
      <c r="AC229" s="15" t="n">
        <v>258.8019899459817</v>
      </c>
      <c r="AD229" s="15" t="n">
        <v>437.765999136525</v>
      </c>
      <c r="AW229" s="15" t="n">
        <v>5</v>
      </c>
      <c r="AX229" s="15" t="n">
        <v>300.6199926817909</v>
      </c>
      <c r="AY229" s="15" t="n">
        <v>258.8019899459817</v>
      </c>
      <c r="AZ229" s="15" t="n">
        <v>437.765999136525</v>
      </c>
      <c r="BS229" s="15" t="n">
        <v>5</v>
      </c>
      <c r="BT229" s="15" t="n">
        <v>300.6199926817909</v>
      </c>
      <c r="BU229" s="15" t="n">
        <v>258.8019899459817</v>
      </c>
      <c r="BV229" s="15" t="n">
        <v>437.765999136525</v>
      </c>
      <c r="CO229" s="15" t="n">
        <v>5</v>
      </c>
      <c r="CP229" s="15" t="n">
        <v>300.6199926817909</v>
      </c>
      <c r="CQ229" s="15" t="n">
        <v>258.8019899459817</v>
      </c>
      <c r="CR229" s="15" t="n">
        <v>437.765999136525</v>
      </c>
      <c r="DK229" s="15" t="n">
        <v>5</v>
      </c>
      <c r="DL229" s="15" t="n">
        <v>300.6199926817909</v>
      </c>
      <c r="DM229" s="15" t="n">
        <v>258.8019899459817</v>
      </c>
      <c r="DN229" s="15" t="n">
        <v>437.765999136525</v>
      </c>
      <c r="EG229" s="15" t="n">
        <v>5</v>
      </c>
      <c r="EH229" s="15" t="n">
        <v>300.6199926817909</v>
      </c>
      <c r="EI229" s="15" t="n">
        <v>258.8019899459817</v>
      </c>
      <c r="EJ229" s="15" t="n">
        <v>437.765999136525</v>
      </c>
      <c r="FC229" s="15" t="n">
        <v>5</v>
      </c>
      <c r="FD229" s="15" t="n">
        <v>300.6199926817909</v>
      </c>
      <c r="FE229" s="15" t="n">
        <v>258.8019899459817</v>
      </c>
      <c r="FF229" s="15" t="n">
        <v>437.765999136525</v>
      </c>
      <c r="FY229" s="15" t="n">
        <v>5</v>
      </c>
      <c r="FZ229" s="15" t="n">
        <v>300.6199926817909</v>
      </c>
      <c r="GA229" s="15" t="n">
        <v>258.8019899459817</v>
      </c>
      <c r="GB229" s="15" t="n">
        <v>437.765999136525</v>
      </c>
      <c r="GU229" s="15" t="n">
        <v>5</v>
      </c>
      <c r="GV229" s="15" t="n">
        <v>300.6199926817909</v>
      </c>
      <c r="GW229" s="15" t="n">
        <v>258.8019899459817</v>
      </c>
      <c r="GX229" s="15" t="n">
        <v>437.765999136525</v>
      </c>
    </row>
    <row r="230">
      <c r="C230" s="15" t="n">
        <v>6</v>
      </c>
      <c r="D230" s="15">
        <f>(Fac_Fourth_central_moment_5var!D12)^0.5</f>
        <v/>
      </c>
      <c r="E230" s="15">
        <f>(Fac_Fourth_central_moment_5var!E12)^0.5</f>
        <v/>
      </c>
      <c r="F230" s="15">
        <f>(Fac_Fourth_central_moment_5var!F12)^0.5</f>
        <v/>
      </c>
      <c r="AA230" s="15" t="n">
        <v>6</v>
      </c>
      <c r="AB230" s="15" t="n">
        <v>341.8899969288368</v>
      </c>
      <c r="AC230" s="15" t="n">
        <v>233.9099826856477</v>
      </c>
      <c r="AD230" s="15" t="n">
        <v>454.8979995559444</v>
      </c>
      <c r="AW230" s="15" t="n">
        <v>6</v>
      </c>
      <c r="AX230" s="15" t="n">
        <v>341.8899969288368</v>
      </c>
      <c r="AY230" s="15" t="n">
        <v>233.9099826856477</v>
      </c>
      <c r="AZ230" s="15" t="n">
        <v>454.8979995559444</v>
      </c>
      <c r="BS230" s="15" t="n">
        <v>6</v>
      </c>
      <c r="BT230" s="15" t="n">
        <v>341.8899969288368</v>
      </c>
      <c r="BU230" s="15" t="n">
        <v>233.9099826856477</v>
      </c>
      <c r="BV230" s="15" t="n">
        <v>454.8979995559444</v>
      </c>
      <c r="CO230" s="15" t="n">
        <v>6</v>
      </c>
      <c r="CP230" s="15" t="n">
        <v>341.8899969288368</v>
      </c>
      <c r="CQ230" s="15" t="n">
        <v>233.9099826856477</v>
      </c>
      <c r="CR230" s="15" t="n">
        <v>454.8979995559444</v>
      </c>
      <c r="DK230" s="15" t="n">
        <v>6</v>
      </c>
      <c r="DL230" s="15" t="n">
        <v>341.8899969288368</v>
      </c>
      <c r="DM230" s="15" t="n">
        <v>233.9099826856477</v>
      </c>
      <c r="DN230" s="15" t="n">
        <v>454.8979995559444</v>
      </c>
      <c r="EG230" s="15" t="n">
        <v>6</v>
      </c>
      <c r="EH230" s="15" t="n">
        <v>341.8899969288368</v>
      </c>
      <c r="EI230" s="15" t="n">
        <v>233.9099826856477</v>
      </c>
      <c r="EJ230" s="15" t="n">
        <v>454.8979995559444</v>
      </c>
      <c r="FC230" s="15" t="n">
        <v>6</v>
      </c>
      <c r="FD230" s="15" t="n">
        <v>341.8899969288368</v>
      </c>
      <c r="FE230" s="15" t="n">
        <v>233.9099826856477</v>
      </c>
      <c r="FF230" s="15" t="n">
        <v>454.8979995559444</v>
      </c>
      <c r="FY230" s="15" t="n">
        <v>6</v>
      </c>
      <c r="FZ230" s="15" t="n">
        <v>341.8899969288368</v>
      </c>
      <c r="GA230" s="15" t="n">
        <v>233.9099826856477</v>
      </c>
      <c r="GB230" s="15" t="n">
        <v>454.8979995559444</v>
      </c>
      <c r="GU230" s="15" t="n">
        <v>6</v>
      </c>
      <c r="GV230" s="15" t="n">
        <v>341.8899969288368</v>
      </c>
      <c r="GW230" s="15" t="n">
        <v>233.9099826856477</v>
      </c>
      <c r="GX230" s="15" t="n">
        <v>454.8979995559444</v>
      </c>
    </row>
    <row r="232">
      <c r="C232" s="15" t="inlineStr">
        <is>
          <t>z(RLT)</t>
        </is>
      </c>
      <c r="D232" s="15" t="n">
        <v>16</v>
      </c>
      <c r="E232" s="15" t="n">
        <v>17</v>
      </c>
      <c r="F232" s="15" t="n">
        <v>18</v>
      </c>
      <c r="AA232" s="15" t="inlineStr">
        <is>
          <t>z(RLT)</t>
        </is>
      </c>
      <c r="AB232" s="15" t="n">
        <v>16</v>
      </c>
      <c r="AC232" s="15" t="n">
        <v>17</v>
      </c>
      <c r="AD232" s="15" t="n">
        <v>18</v>
      </c>
      <c r="AW232" s="15" t="inlineStr">
        <is>
          <t>z(RLT)</t>
        </is>
      </c>
      <c r="AX232" s="15" t="n">
        <v>16</v>
      </c>
      <c r="AY232" s="15" t="n">
        <v>17</v>
      </c>
      <c r="AZ232" s="15" t="n">
        <v>18</v>
      </c>
      <c r="BS232" s="15" t="inlineStr">
        <is>
          <t>z(RLT)</t>
        </is>
      </c>
      <c r="BT232" s="15" t="n">
        <v>16</v>
      </c>
      <c r="BU232" s="15" t="n">
        <v>17</v>
      </c>
      <c r="BV232" s="15" t="n">
        <v>18</v>
      </c>
      <c r="CO232" s="15" t="inlineStr">
        <is>
          <t>z(RLT)</t>
        </is>
      </c>
      <c r="CP232" s="15" t="n">
        <v>16</v>
      </c>
      <c r="CQ232" s="15" t="n">
        <v>17</v>
      </c>
      <c r="CR232" s="15" t="n">
        <v>18</v>
      </c>
      <c r="DK232" s="15" t="inlineStr">
        <is>
          <t>z(RLT)</t>
        </is>
      </c>
      <c r="DL232" s="15" t="n">
        <v>16</v>
      </c>
      <c r="DM232" s="15" t="n">
        <v>17</v>
      </c>
      <c r="DN232" s="15" t="n">
        <v>18</v>
      </c>
      <c r="EG232" s="15" t="inlineStr">
        <is>
          <t>z(RLT)</t>
        </is>
      </c>
      <c r="EH232" s="15" t="n">
        <v>16</v>
      </c>
      <c r="EI232" s="15" t="n">
        <v>17</v>
      </c>
      <c r="EJ232" s="15" t="n">
        <v>18</v>
      </c>
      <c r="FC232" s="15" t="inlineStr">
        <is>
          <t>z(RLT)</t>
        </is>
      </c>
      <c r="FD232" s="15" t="n">
        <v>16</v>
      </c>
      <c r="FE232" s="15" t="n">
        <v>17</v>
      </c>
      <c r="FF232" s="15" t="n">
        <v>18</v>
      </c>
      <c r="FY232" s="15" t="inlineStr">
        <is>
          <t>z(RLT)</t>
        </is>
      </c>
      <c r="FZ232" s="15" t="n">
        <v>16</v>
      </c>
      <c r="GA232" s="15" t="n">
        <v>17</v>
      </c>
      <c r="GB232" s="15" t="n">
        <v>18</v>
      </c>
      <c r="GU232" s="15" t="inlineStr">
        <is>
          <t>z(RLT)</t>
        </is>
      </c>
      <c r="GV232" s="15" t="n">
        <v>16</v>
      </c>
      <c r="GW232" s="15" t="n">
        <v>17</v>
      </c>
      <c r="GX232" s="15" t="n">
        <v>18</v>
      </c>
    </row>
    <row r="233">
      <c r="C233" s="15" t="n">
        <v>4</v>
      </c>
      <c r="D233" s="15">
        <f>Factories_stock_balance!D194</f>
        <v/>
      </c>
      <c r="E233" s="15">
        <f>Factories_stock_balance!E194</f>
        <v/>
      </c>
      <c r="F233" s="15">
        <f>Factories_stock_balance!F194</f>
        <v/>
      </c>
      <c r="T233" s="39">
        <f>SUM(D233:F235)</f>
        <v/>
      </c>
      <c r="U233" s="39" t="n">
        <v>26.32820276425917</v>
      </c>
      <c r="V233" s="39">
        <f>T233-U233</f>
        <v/>
      </c>
      <c r="W233" s="39" t="n"/>
      <c r="X233" s="39" t="n"/>
      <c r="AA233" s="15" t="n">
        <v>4</v>
      </c>
      <c r="AB233" s="15" t="n">
        <v>2.90517078368438</v>
      </c>
      <c r="AC233" s="15" t="n">
        <v>2.844505044160691</v>
      </c>
      <c r="AD233" s="15" t="n">
        <v>2.836879773280948</v>
      </c>
      <c r="AW233" s="15" t="n">
        <v>4</v>
      </c>
      <c r="AX233" s="15" t="n">
        <v>0.5000469164132859</v>
      </c>
      <c r="AY233" s="15" t="n">
        <v>0.4858165163181134</v>
      </c>
      <c r="AZ233" s="15" t="n">
        <v>0.4828561115992542</v>
      </c>
      <c r="BS233" s="15" t="n">
        <v>4</v>
      </c>
      <c r="BT233" s="15" t="n">
        <v>0</v>
      </c>
      <c r="BU233" s="15" t="n">
        <v>-7.206324426078936e-11</v>
      </c>
      <c r="BV233" s="15" t="n">
        <v>8.70766569960324e-10</v>
      </c>
      <c r="CO233" s="15" t="n">
        <v>4</v>
      </c>
      <c r="CP233" s="15" t="n">
        <v>2.90517078368438</v>
      </c>
      <c r="CQ233" s="15" t="n">
        <v>2.844505044160691</v>
      </c>
      <c r="CR233" s="15" t="n">
        <v>2.836879773280948</v>
      </c>
      <c r="DK233" s="15" t="n">
        <v>4</v>
      </c>
      <c r="DL233" s="15" t="n">
        <v>0.5000469164132859</v>
      </c>
      <c r="DM233" s="15" t="n">
        <v>0.4858165163181134</v>
      </c>
      <c r="DN233" s="15" t="n">
        <v>0.4828561115992542</v>
      </c>
      <c r="EG233" s="15" t="n">
        <v>4</v>
      </c>
      <c r="EH233" s="15" t="n">
        <v>0</v>
      </c>
      <c r="EI233" s="15" t="n">
        <v>-7.206324426078936e-11</v>
      </c>
      <c r="EJ233" s="15" t="n">
        <v>8.70766569960324e-10</v>
      </c>
      <c r="FC233" s="15" t="n">
        <v>4</v>
      </c>
      <c r="FD233" s="15" t="n">
        <v>2.90517078368438</v>
      </c>
      <c r="FE233" s="15" t="n">
        <v>2.844505044160691</v>
      </c>
      <c r="FF233" s="15" t="n">
        <v>2.836879773280948</v>
      </c>
      <c r="FY233" s="15" t="n">
        <v>4</v>
      </c>
      <c r="FZ233" s="15" t="n">
        <v>0.5000469164132859</v>
      </c>
      <c r="GA233" s="15" t="n">
        <v>0.4858165163181134</v>
      </c>
      <c r="GB233" s="15" t="n">
        <v>0.4828561115992542</v>
      </c>
      <c r="GU233" s="15" t="n">
        <v>4</v>
      </c>
      <c r="GV233" s="15" t="n">
        <v>0</v>
      </c>
      <c r="GW233" s="15" t="n">
        <v>-7.206324426078936e-11</v>
      </c>
      <c r="GX233" s="15" t="n">
        <v>8.70766569960324e-10</v>
      </c>
    </row>
    <row r="234">
      <c r="C234" s="15" t="n">
        <v>5</v>
      </c>
      <c r="D234" s="15">
        <f>Factories_stock_balance!D195</f>
        <v/>
      </c>
      <c r="E234" s="15">
        <f>Factories_stock_balance!E195</f>
        <v/>
      </c>
      <c r="F234" s="15">
        <f>Factories_stock_balance!F195</f>
        <v/>
      </c>
      <c r="AA234" s="15" t="n">
        <v>5</v>
      </c>
      <c r="AB234" s="15" t="n">
        <v>3</v>
      </c>
      <c r="AC234" s="15" t="n">
        <v>2.835007027885492</v>
      </c>
      <c r="AD234" s="15" t="n">
        <v>3</v>
      </c>
      <c r="AW234" s="15" t="n">
        <v>5</v>
      </c>
      <c r="AX234" s="15" t="n">
        <v>3</v>
      </c>
      <c r="AY234" s="15" t="n">
        <v>0.4739320711543336</v>
      </c>
      <c r="AZ234" s="15" t="n">
        <v>3</v>
      </c>
      <c r="BS234" s="15" t="n">
        <v>5</v>
      </c>
      <c r="BT234" s="15" t="n">
        <v>3</v>
      </c>
      <c r="BU234" s="15" t="n">
        <v>6.898197568716569e-10</v>
      </c>
      <c r="BV234" s="15" t="n">
        <v>3</v>
      </c>
      <c r="CO234" s="15" t="n">
        <v>5</v>
      </c>
      <c r="CP234" s="15" t="n">
        <v>3</v>
      </c>
      <c r="CQ234" s="15" t="n">
        <v>2.835007027885492</v>
      </c>
      <c r="CR234" s="15" t="n">
        <v>3</v>
      </c>
      <c r="DK234" s="15" t="n">
        <v>5</v>
      </c>
      <c r="DL234" s="15" t="n">
        <v>3</v>
      </c>
      <c r="DM234" s="15" t="n">
        <v>0.4739320711543336</v>
      </c>
      <c r="DN234" s="15" t="n">
        <v>3</v>
      </c>
      <c r="EG234" s="15" t="n">
        <v>5</v>
      </c>
      <c r="EH234" s="15" t="n">
        <v>3</v>
      </c>
      <c r="EI234" s="15" t="n">
        <v>6.898197568716569e-10</v>
      </c>
      <c r="EJ234" s="15" t="n">
        <v>3</v>
      </c>
      <c r="FC234" s="15" t="n">
        <v>5</v>
      </c>
      <c r="FD234" s="15" t="n">
        <v>3</v>
      </c>
      <c r="FE234" s="15" t="n">
        <v>2.835007027885492</v>
      </c>
      <c r="FF234" s="15" t="n">
        <v>3</v>
      </c>
      <c r="FY234" s="15" t="n">
        <v>5</v>
      </c>
      <c r="FZ234" s="15" t="n">
        <v>3</v>
      </c>
      <c r="GA234" s="15" t="n">
        <v>0.4739320711543336</v>
      </c>
      <c r="GB234" s="15" t="n">
        <v>3</v>
      </c>
      <c r="GU234" s="15" t="n">
        <v>5</v>
      </c>
      <c r="GV234" s="15" t="n">
        <v>3</v>
      </c>
      <c r="GW234" s="15" t="n">
        <v>6.898197568716569e-10</v>
      </c>
      <c r="GX234" s="15" t="n">
        <v>3</v>
      </c>
    </row>
    <row r="235">
      <c r="C235" s="15" t="n">
        <v>6</v>
      </c>
      <c r="D235" s="15">
        <f>Factories_stock_balance!D196</f>
        <v/>
      </c>
      <c r="E235" s="15">
        <f>Factories_stock_balance!E196</f>
        <v/>
      </c>
      <c r="F235" s="15">
        <f>Factories_stock_balance!F196</f>
        <v/>
      </c>
      <c r="AA235" s="15" t="n">
        <v>6</v>
      </c>
      <c r="AB235" s="15" t="n">
        <v>3</v>
      </c>
      <c r="AC235" s="15" t="n">
        <v>2.906640135247656</v>
      </c>
      <c r="AD235" s="15" t="n">
        <v>3</v>
      </c>
      <c r="AW235" s="15" t="n">
        <v>6</v>
      </c>
      <c r="AX235" s="15" t="n">
        <v>3</v>
      </c>
      <c r="AY235" s="15" t="n">
        <v>0.513329798236775</v>
      </c>
      <c r="AZ235" s="15" t="n">
        <v>3</v>
      </c>
      <c r="BS235" s="15" t="n">
        <v>6</v>
      </c>
      <c r="BT235" s="15" t="n">
        <v>3</v>
      </c>
      <c r="BU235" s="15" t="n">
        <v>9.256702071525069e-10</v>
      </c>
      <c r="BV235" s="15" t="n">
        <v>3</v>
      </c>
      <c r="CO235" s="15" t="n">
        <v>6</v>
      </c>
      <c r="CP235" s="15" t="n">
        <v>3</v>
      </c>
      <c r="CQ235" s="15" t="n">
        <v>2.906640135247656</v>
      </c>
      <c r="CR235" s="15" t="n">
        <v>3</v>
      </c>
      <c r="DK235" s="15" t="n">
        <v>6</v>
      </c>
      <c r="DL235" s="15" t="n">
        <v>3</v>
      </c>
      <c r="DM235" s="15" t="n">
        <v>0.513329798236775</v>
      </c>
      <c r="DN235" s="15" t="n">
        <v>3</v>
      </c>
      <c r="EG235" s="15" t="n">
        <v>6</v>
      </c>
      <c r="EH235" s="15" t="n">
        <v>3</v>
      </c>
      <c r="EI235" s="15" t="n">
        <v>9.256702071525069e-10</v>
      </c>
      <c r="EJ235" s="15" t="n">
        <v>3</v>
      </c>
      <c r="FC235" s="15" t="n">
        <v>6</v>
      </c>
      <c r="FD235" s="15" t="n">
        <v>3</v>
      </c>
      <c r="FE235" s="15" t="n">
        <v>2.906640135247656</v>
      </c>
      <c r="FF235" s="15" t="n">
        <v>3</v>
      </c>
      <c r="FY235" s="15" t="n">
        <v>6</v>
      </c>
      <c r="FZ235" s="15" t="n">
        <v>3</v>
      </c>
      <c r="GA235" s="15" t="n">
        <v>0.513329798236775</v>
      </c>
      <c r="GB235" s="15" t="n">
        <v>3</v>
      </c>
      <c r="GU235" s="15" t="n">
        <v>6</v>
      </c>
      <c r="GV235" s="15" t="n">
        <v>3</v>
      </c>
      <c r="GW235" s="15" t="n">
        <v>9.256702071525069e-10</v>
      </c>
      <c r="GX235" s="15" t="n">
        <v>3</v>
      </c>
    </row>
    <row r="237" ht="16.2" customHeight="1">
      <c r="C237" s="15" t="inlineStr">
        <is>
          <t>Aleatória S2nd</t>
        </is>
      </c>
      <c r="D237" s="15" t="n">
        <v>16</v>
      </c>
      <c r="E237" s="15" t="n">
        <v>17</v>
      </c>
      <c r="F237" s="15" t="n">
        <v>18</v>
      </c>
      <c r="AA237" s="15" t="inlineStr">
        <is>
          <t>Aleatória S2nd</t>
        </is>
      </c>
      <c r="AB237" s="15" t="n">
        <v>16</v>
      </c>
      <c r="AC237" s="15" t="n">
        <v>17</v>
      </c>
      <c r="AD237" s="15" t="n">
        <v>18</v>
      </c>
      <c r="AW237" s="15" t="inlineStr">
        <is>
          <t>Aleatória S2nd</t>
        </is>
      </c>
      <c r="AX237" s="15" t="n">
        <v>16</v>
      </c>
      <c r="AY237" s="15" t="n">
        <v>17</v>
      </c>
      <c r="AZ237" s="15" t="n">
        <v>18</v>
      </c>
      <c r="BS237" s="15" t="inlineStr">
        <is>
          <t>Aleatória S2nd</t>
        </is>
      </c>
      <c r="BT237" s="15" t="n">
        <v>16</v>
      </c>
      <c r="BU237" s="15" t="n">
        <v>17</v>
      </c>
      <c r="BV237" s="15" t="n">
        <v>18</v>
      </c>
      <c r="CO237" s="15" t="inlineStr">
        <is>
          <t>Aleatória S2nd</t>
        </is>
      </c>
      <c r="CP237" s="15" t="n">
        <v>16</v>
      </c>
      <c r="CQ237" s="15" t="n">
        <v>17</v>
      </c>
      <c r="CR237" s="15" t="n">
        <v>18</v>
      </c>
      <c r="DK237" s="15" t="inlineStr">
        <is>
          <t>Aleatória S2nd</t>
        </is>
      </c>
      <c r="DL237" s="15" t="n">
        <v>16</v>
      </c>
      <c r="DM237" s="15" t="n">
        <v>17</v>
      </c>
      <c r="DN237" s="15" t="n">
        <v>18</v>
      </c>
      <c r="EG237" s="15" t="inlineStr">
        <is>
          <t>Aleatória S2nd</t>
        </is>
      </c>
      <c r="EH237" s="15" t="n">
        <v>16</v>
      </c>
      <c r="EI237" s="15" t="n">
        <v>17</v>
      </c>
      <c r="EJ237" s="15" t="n">
        <v>18</v>
      </c>
      <c r="FC237" s="15" t="inlineStr">
        <is>
          <t>Aleatória S2nd</t>
        </is>
      </c>
      <c r="FD237" s="15" t="n">
        <v>16</v>
      </c>
      <c r="FE237" s="15" t="n">
        <v>17</v>
      </c>
      <c r="FF237" s="15" t="n">
        <v>18</v>
      </c>
      <c r="FY237" s="15" t="inlineStr">
        <is>
          <t>Aleatória S2nd</t>
        </is>
      </c>
      <c r="FZ237" s="15" t="n">
        <v>16</v>
      </c>
      <c r="GA237" s="15" t="n">
        <v>17</v>
      </c>
      <c r="GB237" s="15" t="n">
        <v>18</v>
      </c>
      <c r="GU237" s="15" t="inlineStr">
        <is>
          <t>Aleatória S2nd</t>
        </is>
      </c>
      <c r="GV237" s="15" t="n">
        <v>16</v>
      </c>
      <c r="GW237" s="15" t="n">
        <v>17</v>
      </c>
      <c r="GX237" s="15" t="n">
        <v>18</v>
      </c>
    </row>
    <row r="238">
      <c r="C238" s="15" t="n">
        <v>4</v>
      </c>
      <c r="D238" s="65">
        <f>D193+D173*D198</f>
        <v/>
      </c>
      <c r="E238" s="65">
        <f>E193+E173*E198</f>
        <v/>
      </c>
      <c r="F238" s="65">
        <f>F193+F173*F198</f>
        <v/>
      </c>
      <c r="T238" s="39">
        <f>SUM(D238:F240)</f>
        <v/>
      </c>
      <c r="U238" s="39" t="n">
        <v>125575.616136478</v>
      </c>
      <c r="V238" s="39">
        <f>T238-U238</f>
        <v/>
      </c>
      <c r="W238" s="39" t="n"/>
      <c r="X238" s="39" t="n"/>
      <c r="AA238" s="15" t="n">
        <v>4</v>
      </c>
      <c r="AB238" s="15" t="n">
        <v>14662.409548489</v>
      </c>
      <c r="AC238" s="15" t="n">
        <v>12125.034825111</v>
      </c>
      <c r="AD238" s="15" t="n">
        <v>16134.289489468</v>
      </c>
      <c r="AW238" s="15" t="n">
        <v>4</v>
      </c>
      <c r="AX238" s="15" t="n">
        <v>15925.47375756</v>
      </c>
      <c r="AY238" s="15" t="n">
        <v>13150.22391481</v>
      </c>
      <c r="AZ238" s="15" t="n">
        <v>17496.37581609</v>
      </c>
      <c r="BS238" s="15" t="n">
        <v>4</v>
      </c>
      <c r="BT238" s="15" t="n">
        <v>20198.96598756</v>
      </c>
      <c r="BU238" s="15" t="n">
        <v>16618.88178481</v>
      </c>
      <c r="BV238" s="15" t="n">
        <v>22104.90267609</v>
      </c>
      <c r="CO238" s="15" t="n">
        <v>4</v>
      </c>
      <c r="CP238" s="15" t="n">
        <v>14662.409548489</v>
      </c>
      <c r="CQ238" s="15" t="n">
        <v>12125.034825111</v>
      </c>
      <c r="CR238" s="15" t="n">
        <v>16134.289489468</v>
      </c>
      <c r="DK238" s="15" t="n">
        <v>4</v>
      </c>
      <c r="DL238" s="15" t="n">
        <v>15925.47375756</v>
      </c>
      <c r="DM238" s="15" t="n">
        <v>13150.22391481</v>
      </c>
      <c r="DN238" s="15" t="n">
        <v>17496.37581609</v>
      </c>
      <c r="EG238" s="15" t="n">
        <v>4</v>
      </c>
      <c r="EH238" s="15" t="n">
        <v>20198.96598756</v>
      </c>
      <c r="EI238" s="15" t="n">
        <v>16618.88178481</v>
      </c>
      <c r="EJ238" s="15" t="n">
        <v>22104.90267609</v>
      </c>
      <c r="FC238" s="15" t="n">
        <v>4</v>
      </c>
      <c r="FD238" s="15" t="n">
        <v>14662.409548489</v>
      </c>
      <c r="FE238" s="15" t="n">
        <v>12125.034825111</v>
      </c>
      <c r="FF238" s="15" t="n">
        <v>16134.289489468</v>
      </c>
      <c r="FY238" s="15" t="n">
        <v>4</v>
      </c>
      <c r="FZ238" s="15" t="n">
        <v>15925.47375756</v>
      </c>
      <c r="GA238" s="15" t="n">
        <v>13150.22391481</v>
      </c>
      <c r="GB238" s="15" t="n">
        <v>17496.37581609</v>
      </c>
      <c r="GU238" s="15" t="n">
        <v>4</v>
      </c>
      <c r="GV238" s="15" t="n">
        <v>20198.96598756</v>
      </c>
      <c r="GW238" s="15" t="n">
        <v>16618.88178481</v>
      </c>
      <c r="GX238" s="15" t="n">
        <v>22104.90267609</v>
      </c>
    </row>
    <row r="239">
      <c r="C239" s="15" t="n">
        <v>5</v>
      </c>
      <c r="D239" s="65">
        <f>D194+D174*D199</f>
        <v/>
      </c>
      <c r="E239" s="65">
        <f>E194+E174*E199</f>
        <v/>
      </c>
      <c r="F239" s="65">
        <f>F194+F174*F199</f>
        <v/>
      </c>
      <c r="AA239" s="15" t="n">
        <v>5</v>
      </c>
      <c r="AB239" s="15" t="n">
        <v>10333.659274226</v>
      </c>
      <c r="AC239" s="15" t="n">
        <v>10122.558821657</v>
      </c>
      <c r="AD239" s="15" t="n">
        <v>20922.726245569</v>
      </c>
      <c r="AW239" s="15" t="n">
        <v>5</v>
      </c>
      <c r="AX239" s="15" t="n">
        <v>11209.07656225</v>
      </c>
      <c r="AY239" s="15" t="n">
        <v>10979.76728364</v>
      </c>
      <c r="AZ239" s="15" t="n">
        <v>22704.24152721</v>
      </c>
      <c r="BS239" s="15" t="n">
        <v>5</v>
      </c>
      <c r="BT239" s="15" t="n">
        <v>14170.99168225</v>
      </c>
      <c r="BU239" s="15" t="n">
        <v>13880.07407364</v>
      </c>
      <c r="BV239" s="15" t="n">
        <v>28731.87785721</v>
      </c>
      <c r="CO239" s="15" t="n">
        <v>5</v>
      </c>
      <c r="CP239" s="15" t="n">
        <v>10333.659274226</v>
      </c>
      <c r="CQ239" s="15" t="n">
        <v>10122.558821657</v>
      </c>
      <c r="CR239" s="15" t="n">
        <v>20922.726245569</v>
      </c>
      <c r="DK239" s="15" t="n">
        <v>5</v>
      </c>
      <c r="DL239" s="15" t="n">
        <v>11209.07656225</v>
      </c>
      <c r="DM239" s="15" t="n">
        <v>10979.76728364</v>
      </c>
      <c r="DN239" s="15" t="n">
        <v>22704.24152721</v>
      </c>
      <c r="EG239" s="15" t="n">
        <v>5</v>
      </c>
      <c r="EH239" s="15" t="n">
        <v>14170.99168225</v>
      </c>
      <c r="EI239" s="15" t="n">
        <v>13880.07407364</v>
      </c>
      <c r="EJ239" s="15" t="n">
        <v>28731.87785721</v>
      </c>
      <c r="FC239" s="15" t="n">
        <v>5</v>
      </c>
      <c r="FD239" s="15" t="n">
        <v>10333.659274226</v>
      </c>
      <c r="FE239" s="15" t="n">
        <v>10122.558821657</v>
      </c>
      <c r="FF239" s="15" t="n">
        <v>20922.726245569</v>
      </c>
      <c r="FY239" s="15" t="n">
        <v>5</v>
      </c>
      <c r="FZ239" s="15" t="n">
        <v>11209.07656225</v>
      </c>
      <c r="GA239" s="15" t="n">
        <v>10979.76728364</v>
      </c>
      <c r="GB239" s="15" t="n">
        <v>22704.24152721</v>
      </c>
      <c r="GU239" s="15" t="n">
        <v>5</v>
      </c>
      <c r="GV239" s="15" t="n">
        <v>14170.99168225</v>
      </c>
      <c r="GW239" s="15" t="n">
        <v>13880.07407364</v>
      </c>
      <c r="GX239" s="15" t="n">
        <v>28731.87785721</v>
      </c>
    </row>
    <row r="240">
      <c r="C240" s="15" t="n">
        <v>6</v>
      </c>
      <c r="D240" s="65">
        <f>D195+D175*D200</f>
        <v/>
      </c>
      <c r="E240" s="65">
        <f>E195+E175*E200</f>
        <v/>
      </c>
      <c r="F240" s="65">
        <f>F195+F175*F200</f>
        <v/>
      </c>
      <c r="AA240" s="15" t="n">
        <v>6</v>
      </c>
      <c r="AB240" s="15" t="n">
        <v>12663.660100664</v>
      </c>
      <c r="AC240" s="15" t="n">
        <v>9713.709252516999</v>
      </c>
      <c r="AD240" s="15" t="n">
        <v>18897.568578777</v>
      </c>
      <c r="AW240" s="15" t="n">
        <v>6</v>
      </c>
      <c r="AX240" s="15" t="n">
        <v>13743.08592225</v>
      </c>
      <c r="AY240" s="15" t="n">
        <v>10545.820419</v>
      </c>
      <c r="AZ240" s="15" t="n">
        <v>20583.72594801</v>
      </c>
      <c r="BS240" s="15" t="n">
        <v>6</v>
      </c>
      <c r="BT240" s="15" t="n">
        <v>17395.25010225</v>
      </c>
      <c r="BU240" s="15" t="n">
        <v>13361.212209</v>
      </c>
      <c r="BV240" s="15" t="n">
        <v>26288.72523801</v>
      </c>
      <c r="CO240" s="15" t="n">
        <v>6</v>
      </c>
      <c r="CP240" s="15" t="n">
        <v>12663.660100664</v>
      </c>
      <c r="CQ240" s="15" t="n">
        <v>9713.709252516999</v>
      </c>
      <c r="CR240" s="15" t="n">
        <v>18897.568578777</v>
      </c>
      <c r="DK240" s="15" t="n">
        <v>6</v>
      </c>
      <c r="DL240" s="15" t="n">
        <v>13743.08592225</v>
      </c>
      <c r="DM240" s="15" t="n">
        <v>10545.820419</v>
      </c>
      <c r="DN240" s="15" t="n">
        <v>20583.72594801</v>
      </c>
      <c r="EG240" s="15" t="n">
        <v>6</v>
      </c>
      <c r="EH240" s="15" t="n">
        <v>17395.25010225</v>
      </c>
      <c r="EI240" s="15" t="n">
        <v>13361.212209</v>
      </c>
      <c r="EJ240" s="15" t="n">
        <v>26288.72523801</v>
      </c>
      <c r="FC240" s="15" t="n">
        <v>6</v>
      </c>
      <c r="FD240" s="15" t="n">
        <v>12663.660100664</v>
      </c>
      <c r="FE240" s="15" t="n">
        <v>9713.709252516999</v>
      </c>
      <c r="FF240" s="15" t="n">
        <v>18897.568578777</v>
      </c>
      <c r="FY240" s="15" t="n">
        <v>6</v>
      </c>
      <c r="FZ240" s="15" t="n">
        <v>13743.08592225</v>
      </c>
      <c r="GA240" s="15" t="n">
        <v>10545.820419</v>
      </c>
      <c r="GB240" s="15" t="n">
        <v>20583.72594801</v>
      </c>
      <c r="GU240" s="15" t="n">
        <v>6</v>
      </c>
      <c r="GV240" s="15" t="n">
        <v>17395.25010225</v>
      </c>
      <c r="GW240" s="15" t="n">
        <v>13361.212209</v>
      </c>
      <c r="GX240" s="15" t="n">
        <v>26288.72523801</v>
      </c>
    </row>
    <row r="242">
      <c r="C242" s="15" t="inlineStr">
        <is>
          <t>Radicand</t>
        </is>
      </c>
      <c r="D242" s="15" t="n">
        <v>16</v>
      </c>
      <c r="E242" s="15" t="n">
        <v>17</v>
      </c>
      <c r="F242" s="15" t="n">
        <v>18</v>
      </c>
      <c r="AA242" s="15" t="inlineStr">
        <is>
          <t>Radicand</t>
        </is>
      </c>
      <c r="AB242" s="15" t="n">
        <v>16</v>
      </c>
      <c r="AC242" s="15" t="n">
        <v>17</v>
      </c>
      <c r="AD242" s="15" t="n">
        <v>18</v>
      </c>
      <c r="AW242" s="15" t="inlineStr">
        <is>
          <t>Radicand</t>
        </is>
      </c>
      <c r="AX242" s="15" t="n">
        <v>16</v>
      </c>
      <c r="AY242" s="15" t="n">
        <v>17</v>
      </c>
      <c r="AZ242" s="15" t="n">
        <v>18</v>
      </c>
      <c r="BS242" s="15" t="inlineStr">
        <is>
          <t>Radicand</t>
        </is>
      </c>
      <c r="BT242" s="15" t="n">
        <v>16</v>
      </c>
      <c r="BU242" s="15" t="n">
        <v>17</v>
      </c>
      <c r="BV242" s="15" t="n">
        <v>18</v>
      </c>
      <c r="CO242" s="15" t="inlineStr">
        <is>
          <t>Radicand</t>
        </is>
      </c>
      <c r="CP242" s="15" t="n">
        <v>16</v>
      </c>
      <c r="CQ242" s="15" t="n">
        <v>17</v>
      </c>
      <c r="CR242" s="15" t="n">
        <v>18</v>
      </c>
      <c r="DK242" s="15" t="inlineStr">
        <is>
          <t>Radicand</t>
        </is>
      </c>
      <c r="DL242" s="15" t="n">
        <v>16</v>
      </c>
      <c r="DM242" s="15" t="n">
        <v>17</v>
      </c>
      <c r="DN242" s="15" t="n">
        <v>18</v>
      </c>
      <c r="EG242" s="15" t="inlineStr">
        <is>
          <t>Radicand</t>
        </is>
      </c>
      <c r="EH242" s="15" t="n">
        <v>16</v>
      </c>
      <c r="EI242" s="15" t="n">
        <v>17</v>
      </c>
      <c r="EJ242" s="15" t="n">
        <v>18</v>
      </c>
      <c r="FC242" s="15" t="inlineStr">
        <is>
          <t>Radicand</t>
        </is>
      </c>
      <c r="FD242" s="15" t="n">
        <v>16</v>
      </c>
      <c r="FE242" s="15" t="n">
        <v>17</v>
      </c>
      <c r="FF242" s="15" t="n">
        <v>18</v>
      </c>
      <c r="FY242" s="15" t="inlineStr">
        <is>
          <t>Radicand</t>
        </is>
      </c>
      <c r="FZ242" s="15" t="n">
        <v>16</v>
      </c>
      <c r="GA242" s="15" t="n">
        <v>17</v>
      </c>
      <c r="GB242" s="15" t="n">
        <v>18</v>
      </c>
      <c r="GU242" s="15" t="inlineStr">
        <is>
          <t>Radicand</t>
        </is>
      </c>
      <c r="GV242" s="15" t="n">
        <v>16</v>
      </c>
      <c r="GW242" s="15" t="n">
        <v>17</v>
      </c>
      <c r="GX242" s="15" t="n">
        <v>18</v>
      </c>
    </row>
    <row r="243">
      <c r="C243" s="15" t="n">
        <v>4</v>
      </c>
      <c r="D243" s="15">
        <f>Factories_stock_balance!D176</f>
        <v/>
      </c>
      <c r="E243" s="15">
        <f>Factories_stock_balance!E176</f>
        <v/>
      </c>
      <c r="F243" s="15">
        <f>Factories_stock_balance!F176</f>
        <v/>
      </c>
      <c r="T243" s="39">
        <f>SUM(D243:F245)</f>
        <v/>
      </c>
      <c r="U243" s="39" t="n">
        <v>5380588.314979182</v>
      </c>
      <c r="V243" s="39">
        <f>T243-U243</f>
        <v/>
      </c>
      <c r="W243" s="39" t="n"/>
      <c r="X243" s="39" t="n"/>
      <c r="AA243" s="15" t="n">
        <v>4</v>
      </c>
      <c r="AB243" s="15" t="n">
        <v>1141625.237875198</v>
      </c>
      <c r="AC243" s="15" t="n">
        <v>1256723.382671997</v>
      </c>
      <c r="AD243" s="15" t="n">
        <v>1048881.520771191</v>
      </c>
      <c r="AW243" s="15" t="n">
        <v>4</v>
      </c>
      <c r="AX243" s="15" t="n">
        <v>1141625.237860803</v>
      </c>
      <c r="AY243" s="15" t="n">
        <v>1256723.382671997</v>
      </c>
      <c r="AZ243" s="15" t="n">
        <v>1048881.520771191</v>
      </c>
      <c r="BS243" s="15" t="n">
        <v>4</v>
      </c>
      <c r="BT243" s="15" t="n">
        <v>1422039.523889633</v>
      </c>
      <c r="BU243" s="15" t="n">
        <v>1560552.884909941</v>
      </c>
      <c r="BV243" s="15" t="n">
        <v>1302208.65860953</v>
      </c>
      <c r="CO243" s="15" t="n">
        <v>4</v>
      </c>
      <c r="CP243" s="15" t="n">
        <v>1141625.237875198</v>
      </c>
      <c r="CQ243" s="15" t="n">
        <v>1256723.382671997</v>
      </c>
      <c r="CR243" s="15" t="n">
        <v>1048881.520771191</v>
      </c>
      <c r="DK243" s="15" t="n">
        <v>4</v>
      </c>
      <c r="DL243" s="15" t="n">
        <v>1141625.237860803</v>
      </c>
      <c r="DM243" s="15" t="n">
        <v>1256723.382671997</v>
      </c>
      <c r="DN243" s="15" t="n">
        <v>1048881.520771191</v>
      </c>
      <c r="EG243" s="15" t="n">
        <v>4</v>
      </c>
      <c r="EH243" s="15" t="n">
        <v>1422039.523889633</v>
      </c>
      <c r="EI243" s="15" t="n">
        <v>1560552.884909941</v>
      </c>
      <c r="EJ243" s="15" t="n">
        <v>1302208.65860953</v>
      </c>
      <c r="FC243" s="15" t="n">
        <v>4</v>
      </c>
      <c r="FD243" s="15" t="n">
        <v>1141625.237875198</v>
      </c>
      <c r="FE243" s="15" t="n">
        <v>1256723.382671997</v>
      </c>
      <c r="FF243" s="15" t="n">
        <v>1048881.520771191</v>
      </c>
      <c r="FY243" s="15" t="n">
        <v>4</v>
      </c>
      <c r="FZ243" s="15" t="n">
        <v>1141625.237860803</v>
      </c>
      <c r="GA243" s="15" t="n">
        <v>1256723.382671997</v>
      </c>
      <c r="GB243" s="15" t="n">
        <v>1048881.520771191</v>
      </c>
      <c r="GU243" s="15" t="n">
        <v>4</v>
      </c>
      <c r="GV243" s="15" t="n">
        <v>1422039.523889633</v>
      </c>
      <c r="GW243" s="15" t="n">
        <v>1560552.884909941</v>
      </c>
      <c r="GX243" s="15" t="n">
        <v>1302208.65860953</v>
      </c>
    </row>
    <row r="244">
      <c r="C244" s="15" t="n">
        <v>5</v>
      </c>
      <c r="D244" s="15">
        <f>Factories_stock_balance!D177</f>
        <v/>
      </c>
      <c r="E244" s="15">
        <f>Factories_stock_balance!E177</f>
        <v/>
      </c>
      <c r="F244" s="15">
        <f>Factories_stock_balance!F177</f>
        <v/>
      </c>
      <c r="AA244" s="15" t="n">
        <v>5</v>
      </c>
      <c r="AB244" s="15" t="n">
        <v>0</v>
      </c>
      <c r="AC244" s="15" t="n">
        <v>1083114.620553596</v>
      </c>
      <c r="AD244" s="15" t="n">
        <v>0</v>
      </c>
      <c r="AW244" s="15" t="n">
        <v>5</v>
      </c>
      <c r="AX244" s="15" t="n">
        <v>0</v>
      </c>
      <c r="AY244" s="15" t="n">
        <v>1083114.620553596</v>
      </c>
      <c r="AZ244" s="15" t="n">
        <v>0</v>
      </c>
      <c r="BS244" s="15" t="n">
        <v>5</v>
      </c>
      <c r="BT244" s="15" t="n">
        <v>0</v>
      </c>
      <c r="BU244" s="15" t="n">
        <v>1345945.230891239</v>
      </c>
      <c r="BV244" s="15" t="n">
        <v>0</v>
      </c>
      <c r="CO244" s="15" t="n">
        <v>5</v>
      </c>
      <c r="CP244" s="15" t="n">
        <v>0</v>
      </c>
      <c r="CQ244" s="15" t="n">
        <v>1083114.620553596</v>
      </c>
      <c r="CR244" s="15" t="n">
        <v>0</v>
      </c>
      <c r="DK244" s="15" t="n">
        <v>5</v>
      </c>
      <c r="DL244" s="15" t="n">
        <v>0</v>
      </c>
      <c r="DM244" s="15" t="n">
        <v>1083114.620553596</v>
      </c>
      <c r="DN244" s="15" t="n">
        <v>0</v>
      </c>
      <c r="EG244" s="15" t="n">
        <v>5</v>
      </c>
      <c r="EH244" s="15" t="n">
        <v>0</v>
      </c>
      <c r="EI244" s="15" t="n">
        <v>1345945.230891239</v>
      </c>
      <c r="EJ244" s="15" t="n">
        <v>0</v>
      </c>
      <c r="FC244" s="15" t="n">
        <v>5</v>
      </c>
      <c r="FD244" s="15" t="n">
        <v>0</v>
      </c>
      <c r="FE244" s="15" t="n">
        <v>1083114.620553596</v>
      </c>
      <c r="FF244" s="15" t="n">
        <v>0</v>
      </c>
      <c r="FY244" s="15" t="n">
        <v>5</v>
      </c>
      <c r="FZ244" s="15" t="n">
        <v>0</v>
      </c>
      <c r="GA244" s="15" t="n">
        <v>1083114.620553596</v>
      </c>
      <c r="GB244" s="15" t="n">
        <v>0</v>
      </c>
      <c r="GU244" s="15" t="n">
        <v>5</v>
      </c>
      <c r="GV244" s="15" t="n">
        <v>0</v>
      </c>
      <c r="GW244" s="15" t="n">
        <v>1345945.230891239</v>
      </c>
      <c r="GX244" s="15" t="n">
        <v>0</v>
      </c>
    </row>
    <row r="245">
      <c r="C245" s="15" t="n">
        <v>6</v>
      </c>
      <c r="D245" s="15">
        <f>Factories_stock_balance!D178</f>
        <v/>
      </c>
      <c r="E245" s="15">
        <f>Factories_stock_balance!E178</f>
        <v/>
      </c>
      <c r="F245" s="15">
        <f>Factories_stock_balance!F178</f>
        <v/>
      </c>
      <c r="AA245" s="15" t="n">
        <v>6</v>
      </c>
      <c r="AB245" s="15" t="n">
        <v>0</v>
      </c>
      <c r="AC245" s="15" t="n">
        <v>850243.5531072002</v>
      </c>
      <c r="AD245" s="15" t="n">
        <v>0</v>
      </c>
      <c r="AW245" s="15" t="n">
        <v>6</v>
      </c>
      <c r="AX245" s="15" t="n">
        <v>0</v>
      </c>
      <c r="AY245" s="15" t="n">
        <v>850243.5531072002</v>
      </c>
      <c r="AZ245" s="15" t="n">
        <v>0</v>
      </c>
      <c r="BS245" s="15" t="n">
        <v>6</v>
      </c>
      <c r="BT245" s="15" t="n">
        <v>0</v>
      </c>
      <c r="BU245" s="15" t="n">
        <v>1057438.401129559</v>
      </c>
      <c r="BV245" s="15" t="n">
        <v>0</v>
      </c>
      <c r="CO245" s="15" t="n">
        <v>6</v>
      </c>
      <c r="CP245" s="15" t="n">
        <v>0</v>
      </c>
      <c r="CQ245" s="15" t="n">
        <v>850243.5531072002</v>
      </c>
      <c r="CR245" s="15" t="n">
        <v>0</v>
      </c>
      <c r="DK245" s="15" t="n">
        <v>6</v>
      </c>
      <c r="DL245" s="15" t="n">
        <v>0</v>
      </c>
      <c r="DM245" s="15" t="n">
        <v>850243.5531072002</v>
      </c>
      <c r="DN245" s="15" t="n">
        <v>0</v>
      </c>
      <c r="EG245" s="15" t="n">
        <v>6</v>
      </c>
      <c r="EH245" s="15" t="n">
        <v>0</v>
      </c>
      <c r="EI245" s="15" t="n">
        <v>1057438.401129559</v>
      </c>
      <c r="EJ245" s="15" t="n">
        <v>0</v>
      </c>
      <c r="FC245" s="15" t="n">
        <v>6</v>
      </c>
      <c r="FD245" s="15" t="n">
        <v>0</v>
      </c>
      <c r="FE245" s="15" t="n">
        <v>850243.5531072002</v>
      </c>
      <c r="FF245" s="15" t="n">
        <v>0</v>
      </c>
      <c r="FY245" s="15" t="n">
        <v>6</v>
      </c>
      <c r="FZ245" s="15" t="n">
        <v>0</v>
      </c>
      <c r="GA245" s="15" t="n">
        <v>850243.5531072002</v>
      </c>
      <c r="GB245" s="15" t="n">
        <v>0</v>
      </c>
      <c r="GU245" s="15" t="n">
        <v>6</v>
      </c>
      <c r="GV245" s="15" t="n">
        <v>0</v>
      </c>
      <c r="GW245" s="15" t="n">
        <v>1057438.401129559</v>
      </c>
      <c r="GX245" s="15" t="n">
        <v>0</v>
      </c>
    </row>
    <row r="247">
      <c r="C247" s="15" t="inlineStr">
        <is>
          <t>SQRT</t>
        </is>
      </c>
      <c r="D247" s="15" t="n">
        <v>16</v>
      </c>
      <c r="E247" s="15" t="n">
        <v>17</v>
      </c>
      <c r="F247" s="15" t="n">
        <v>18</v>
      </c>
      <c r="AA247" s="15" t="inlineStr">
        <is>
          <t>SQRT</t>
        </is>
      </c>
      <c r="AB247" s="15" t="n">
        <v>16</v>
      </c>
      <c r="AC247" s="15" t="n">
        <v>17</v>
      </c>
      <c r="AD247" s="15" t="n">
        <v>18</v>
      </c>
      <c r="AW247" s="15" t="inlineStr">
        <is>
          <t>SQRT</t>
        </is>
      </c>
      <c r="AX247" s="15" t="n">
        <v>16</v>
      </c>
      <c r="AY247" s="15" t="n">
        <v>17</v>
      </c>
      <c r="AZ247" s="15" t="n">
        <v>18</v>
      </c>
      <c r="BS247" s="15" t="inlineStr">
        <is>
          <t>SQRT</t>
        </is>
      </c>
      <c r="BT247" s="15" t="n">
        <v>16</v>
      </c>
      <c r="BU247" s="15" t="n">
        <v>17</v>
      </c>
      <c r="BV247" s="15" t="n">
        <v>18</v>
      </c>
      <c r="CO247" s="15" t="inlineStr">
        <is>
          <t>SQRT</t>
        </is>
      </c>
      <c r="CP247" s="15" t="n">
        <v>16</v>
      </c>
      <c r="CQ247" s="15" t="n">
        <v>17</v>
      </c>
      <c r="CR247" s="15" t="n">
        <v>18</v>
      </c>
      <c r="DK247" s="15" t="inlineStr">
        <is>
          <t>SQRT</t>
        </is>
      </c>
      <c r="DL247" s="15" t="n">
        <v>16</v>
      </c>
      <c r="DM247" s="15" t="n">
        <v>17</v>
      </c>
      <c r="DN247" s="15" t="n">
        <v>18</v>
      </c>
      <c r="EG247" s="15" t="inlineStr">
        <is>
          <t>SQRT</t>
        </is>
      </c>
      <c r="EH247" s="15" t="n">
        <v>16</v>
      </c>
      <c r="EI247" s="15" t="n">
        <v>17</v>
      </c>
      <c r="EJ247" s="15" t="n">
        <v>18</v>
      </c>
      <c r="FC247" s="15" t="inlineStr">
        <is>
          <t>SQRT</t>
        </is>
      </c>
      <c r="FD247" s="15" t="n">
        <v>16</v>
      </c>
      <c r="FE247" s="15" t="n">
        <v>17</v>
      </c>
      <c r="FF247" s="15" t="n">
        <v>18</v>
      </c>
      <c r="FY247" s="15" t="inlineStr">
        <is>
          <t>SQRT</t>
        </is>
      </c>
      <c r="FZ247" s="15" t="n">
        <v>16</v>
      </c>
      <c r="GA247" s="15" t="n">
        <v>17</v>
      </c>
      <c r="GB247" s="15" t="n">
        <v>18</v>
      </c>
      <c r="GU247" s="15" t="inlineStr">
        <is>
          <t>SQRT</t>
        </is>
      </c>
      <c r="GV247" s="15" t="n">
        <v>16</v>
      </c>
      <c r="GW247" s="15" t="n">
        <v>17</v>
      </c>
      <c r="GX247" s="15" t="n">
        <v>18</v>
      </c>
    </row>
    <row r="248">
      <c r="C248" s="15" t="n">
        <v>4</v>
      </c>
      <c r="D248" s="15">
        <f>Factories_stock_balance!D182</f>
        <v/>
      </c>
      <c r="E248" s="15">
        <f>Factories_stock_balance!E182</f>
        <v/>
      </c>
      <c r="F248" s="15">
        <f>Factories_stock_balance!F182</f>
        <v/>
      </c>
      <c r="T248" s="39">
        <f>SUM(D248:F250)</f>
        <v/>
      </c>
      <c r="U248" s="39" t="n">
        <v>5184</v>
      </c>
      <c r="V248" s="39">
        <f>T248-U248</f>
        <v/>
      </c>
      <c r="W248" s="39" t="n"/>
      <c r="X248" s="39" t="n"/>
      <c r="AA248" s="15" t="n">
        <v>4</v>
      </c>
      <c r="AB248" s="15" t="n">
        <v>1069</v>
      </c>
      <c r="AC248" s="15" t="n">
        <v>1122</v>
      </c>
      <c r="AD248" s="15" t="n">
        <v>1025</v>
      </c>
      <c r="AW248" s="15" t="n">
        <v>4</v>
      </c>
      <c r="AX248" s="15" t="n">
        <v>1069</v>
      </c>
      <c r="AY248" s="15" t="n">
        <v>1122</v>
      </c>
      <c r="AZ248" s="15" t="n">
        <v>1025</v>
      </c>
      <c r="BS248" s="15" t="n">
        <v>4</v>
      </c>
      <c r="BT248" s="15" t="n">
        <v>1193</v>
      </c>
      <c r="BU248" s="15" t="n">
        <v>1250</v>
      </c>
      <c r="BV248" s="15" t="n">
        <v>1142</v>
      </c>
      <c r="CO248" s="15" t="n">
        <v>4</v>
      </c>
      <c r="CP248" s="15" t="n">
        <v>1069</v>
      </c>
      <c r="CQ248" s="15" t="n">
        <v>1122</v>
      </c>
      <c r="CR248" s="15" t="n">
        <v>1025</v>
      </c>
      <c r="DK248" s="15" t="n">
        <v>4</v>
      </c>
      <c r="DL248" s="15" t="n">
        <v>1069</v>
      </c>
      <c r="DM248" s="15" t="n">
        <v>1122</v>
      </c>
      <c r="DN248" s="15" t="n">
        <v>1025</v>
      </c>
      <c r="EG248" s="15" t="n">
        <v>4</v>
      </c>
      <c r="EH248" s="15" t="n">
        <v>1193</v>
      </c>
      <c r="EI248" s="15" t="n">
        <v>1250</v>
      </c>
      <c r="EJ248" s="15" t="n">
        <v>1142</v>
      </c>
      <c r="FC248" s="15" t="n">
        <v>4</v>
      </c>
      <c r="FD248" s="15" t="n">
        <v>1069</v>
      </c>
      <c r="FE248" s="15" t="n">
        <v>1122</v>
      </c>
      <c r="FF248" s="15" t="n">
        <v>1025</v>
      </c>
      <c r="FY248" s="15" t="n">
        <v>4</v>
      </c>
      <c r="FZ248" s="15" t="n">
        <v>1069</v>
      </c>
      <c r="GA248" s="15" t="n">
        <v>1122</v>
      </c>
      <c r="GB248" s="15" t="n">
        <v>1025</v>
      </c>
      <c r="GU248" s="15" t="n">
        <v>4</v>
      </c>
      <c r="GV248" s="15" t="n">
        <v>1193</v>
      </c>
      <c r="GW248" s="15" t="n">
        <v>1250</v>
      </c>
      <c r="GX248" s="15" t="n">
        <v>1142</v>
      </c>
    </row>
    <row r="249">
      <c r="C249" s="15" t="n">
        <v>5</v>
      </c>
      <c r="D249" s="15">
        <f>Factories_stock_balance!D183</f>
        <v/>
      </c>
      <c r="E249" s="15">
        <f>Factories_stock_balance!E183</f>
        <v/>
      </c>
      <c r="F249" s="15">
        <f>Factories_stock_balance!F183</f>
        <v/>
      </c>
      <c r="AA249" s="15" t="n">
        <v>5</v>
      </c>
      <c r="AB249" s="15" t="n">
        <v>1</v>
      </c>
      <c r="AC249" s="15" t="n">
        <v>1041</v>
      </c>
      <c r="AD249" s="15" t="n">
        <v>1</v>
      </c>
      <c r="AW249" s="15" t="n">
        <v>5</v>
      </c>
      <c r="AX249" s="15" t="n">
        <v>1</v>
      </c>
      <c r="AY249" s="15" t="n">
        <v>1041</v>
      </c>
      <c r="AZ249" s="15" t="n">
        <v>1</v>
      </c>
      <c r="BS249" s="15" t="n">
        <v>5</v>
      </c>
      <c r="BT249" s="15" t="n">
        <v>1</v>
      </c>
      <c r="BU249" s="15" t="n">
        <v>1161</v>
      </c>
      <c r="BV249" s="15" t="n">
        <v>1</v>
      </c>
      <c r="CO249" s="15" t="n">
        <v>5</v>
      </c>
      <c r="CP249" s="15" t="n">
        <v>1</v>
      </c>
      <c r="CQ249" s="15" t="n">
        <v>1041</v>
      </c>
      <c r="CR249" s="15" t="n">
        <v>1</v>
      </c>
      <c r="DK249" s="15" t="n">
        <v>5</v>
      </c>
      <c r="DL249" s="15" t="n">
        <v>1</v>
      </c>
      <c r="DM249" s="15" t="n">
        <v>1041</v>
      </c>
      <c r="DN249" s="15" t="n">
        <v>1</v>
      </c>
      <c r="EG249" s="15" t="n">
        <v>5</v>
      </c>
      <c r="EH249" s="15" t="n">
        <v>1</v>
      </c>
      <c r="EI249" s="15" t="n">
        <v>1161</v>
      </c>
      <c r="EJ249" s="15" t="n">
        <v>1</v>
      </c>
      <c r="FC249" s="15" t="n">
        <v>5</v>
      </c>
      <c r="FD249" s="15" t="n">
        <v>1</v>
      </c>
      <c r="FE249" s="15" t="n">
        <v>1041</v>
      </c>
      <c r="FF249" s="15" t="n">
        <v>1</v>
      </c>
      <c r="FY249" s="15" t="n">
        <v>5</v>
      </c>
      <c r="FZ249" s="15" t="n">
        <v>1</v>
      </c>
      <c r="GA249" s="15" t="n">
        <v>1041</v>
      </c>
      <c r="GB249" s="15" t="n">
        <v>1</v>
      </c>
      <c r="GU249" s="15" t="n">
        <v>5</v>
      </c>
      <c r="GV249" s="15" t="n">
        <v>1</v>
      </c>
      <c r="GW249" s="15" t="n">
        <v>1161</v>
      </c>
      <c r="GX249" s="15" t="n">
        <v>1</v>
      </c>
    </row>
    <row r="250">
      <c r="C250" s="15" t="n">
        <v>6</v>
      </c>
      <c r="D250" s="15">
        <f>Factories_stock_balance!D184</f>
        <v/>
      </c>
      <c r="E250" s="15">
        <f>Factories_stock_balance!E184</f>
        <v/>
      </c>
      <c r="F250" s="15">
        <f>Factories_stock_balance!F184</f>
        <v/>
      </c>
      <c r="AA250" s="15" t="n">
        <v>6</v>
      </c>
      <c r="AB250" s="15" t="n">
        <v>1</v>
      </c>
      <c r="AC250" s="15" t="n">
        <v>923</v>
      </c>
      <c r="AD250" s="15" t="n">
        <v>1</v>
      </c>
      <c r="AW250" s="15" t="n">
        <v>6</v>
      </c>
      <c r="AX250" s="15" t="n">
        <v>1</v>
      </c>
      <c r="AY250" s="15" t="n">
        <v>923</v>
      </c>
      <c r="AZ250" s="15" t="n">
        <v>1</v>
      </c>
      <c r="BS250" s="15" t="n">
        <v>6</v>
      </c>
      <c r="BT250" s="15" t="n">
        <v>1</v>
      </c>
      <c r="BU250" s="15" t="n">
        <v>1029</v>
      </c>
      <c r="BV250" s="15" t="n">
        <v>1</v>
      </c>
      <c r="CO250" s="15" t="n">
        <v>6</v>
      </c>
      <c r="CP250" s="15" t="n">
        <v>1</v>
      </c>
      <c r="CQ250" s="15" t="n">
        <v>923</v>
      </c>
      <c r="CR250" s="15" t="n">
        <v>1</v>
      </c>
      <c r="DK250" s="15" t="n">
        <v>6</v>
      </c>
      <c r="DL250" s="15" t="n">
        <v>1</v>
      </c>
      <c r="DM250" s="15" t="n">
        <v>923</v>
      </c>
      <c r="DN250" s="15" t="n">
        <v>1</v>
      </c>
      <c r="EG250" s="15" t="n">
        <v>6</v>
      </c>
      <c r="EH250" s="15" t="n">
        <v>1</v>
      </c>
      <c r="EI250" s="15" t="n">
        <v>1029</v>
      </c>
      <c r="EJ250" s="15" t="n">
        <v>1</v>
      </c>
      <c r="FC250" s="15" t="n">
        <v>6</v>
      </c>
      <c r="FD250" s="15" t="n">
        <v>1</v>
      </c>
      <c r="FE250" s="15" t="n">
        <v>923</v>
      </c>
      <c r="FF250" s="15" t="n">
        <v>1</v>
      </c>
      <c r="FY250" s="15" t="n">
        <v>6</v>
      </c>
      <c r="FZ250" s="15" t="n">
        <v>1</v>
      </c>
      <c r="GA250" s="15" t="n">
        <v>923</v>
      </c>
      <c r="GB250" s="15" t="n">
        <v>1</v>
      </c>
      <c r="GU250" s="15" t="n">
        <v>6</v>
      </c>
      <c r="GV250" s="15" t="n">
        <v>1</v>
      </c>
      <c r="GW250" s="15" t="n">
        <v>1029</v>
      </c>
      <c r="GX250" s="15" t="n">
        <v>1</v>
      </c>
    </row>
    <row r="252">
      <c r="C252" s="15" t="inlineStr">
        <is>
          <t>ND*ELT</t>
        </is>
      </c>
      <c r="D252" s="15" t="n">
        <v>16</v>
      </c>
      <c r="E252" s="15" t="n">
        <v>17</v>
      </c>
      <c r="F252" s="15" t="n">
        <v>18</v>
      </c>
      <c r="AA252" s="15" t="inlineStr">
        <is>
          <t>ND*ELT</t>
        </is>
      </c>
      <c r="AB252" s="15" t="n">
        <v>16</v>
      </c>
      <c r="AC252" s="15" t="n">
        <v>17</v>
      </c>
      <c r="AD252" s="15" t="n">
        <v>18</v>
      </c>
      <c r="AW252" s="15" t="inlineStr">
        <is>
          <t>ND*ELT</t>
        </is>
      </c>
      <c r="AX252" s="15" t="n">
        <v>16</v>
      </c>
      <c r="AY252" s="15" t="n">
        <v>17</v>
      </c>
      <c r="AZ252" s="15" t="n">
        <v>18</v>
      </c>
      <c r="BS252" s="15" t="inlineStr">
        <is>
          <t>ND*ELT</t>
        </is>
      </c>
      <c r="BT252" s="15" t="n">
        <v>16</v>
      </c>
      <c r="BU252" s="15" t="n">
        <v>17</v>
      </c>
      <c r="BV252" s="15" t="n">
        <v>18</v>
      </c>
      <c r="CO252" s="15" t="inlineStr">
        <is>
          <t>ND*ELT</t>
        </is>
      </c>
      <c r="CP252" s="15" t="n">
        <v>16</v>
      </c>
      <c r="CQ252" s="15" t="n">
        <v>17</v>
      </c>
      <c r="CR252" s="15" t="n">
        <v>18</v>
      </c>
      <c r="DK252" s="15" t="inlineStr">
        <is>
          <t>ND*ELT</t>
        </is>
      </c>
      <c r="DL252" s="15" t="n">
        <v>16</v>
      </c>
      <c r="DM252" s="15" t="n">
        <v>17</v>
      </c>
      <c r="DN252" s="15" t="n">
        <v>18</v>
      </c>
      <c r="EG252" s="15" t="inlineStr">
        <is>
          <t>ND*ELT</t>
        </is>
      </c>
      <c r="EH252" s="15" t="n">
        <v>16</v>
      </c>
      <c r="EI252" s="15" t="n">
        <v>17</v>
      </c>
      <c r="EJ252" s="15" t="n">
        <v>18</v>
      </c>
      <c r="FC252" s="15" t="inlineStr">
        <is>
          <t>ND*ELT</t>
        </is>
      </c>
      <c r="FD252" s="15" t="n">
        <v>16</v>
      </c>
      <c r="FE252" s="15" t="n">
        <v>17</v>
      </c>
      <c r="FF252" s="15" t="n">
        <v>18</v>
      </c>
      <c r="FY252" s="15" t="inlineStr">
        <is>
          <t>ND*ELT</t>
        </is>
      </c>
      <c r="FZ252" s="15" t="n">
        <v>16</v>
      </c>
      <c r="GA252" s="15" t="n">
        <v>17</v>
      </c>
      <c r="GB252" s="15" t="n">
        <v>18</v>
      </c>
      <c r="GU252" s="15" t="inlineStr">
        <is>
          <t>ND*ELT</t>
        </is>
      </c>
      <c r="GV252" s="15" t="n">
        <v>16</v>
      </c>
      <c r="GW252" s="15" t="n">
        <v>17</v>
      </c>
      <c r="GX252" s="15" t="n">
        <v>18</v>
      </c>
    </row>
    <row r="253">
      <c r="C253" s="15" t="n">
        <v>4</v>
      </c>
      <c r="D253" s="15">
        <f>Factories_stock_balance!D236</f>
        <v/>
      </c>
      <c r="E253" s="15">
        <f>Factories_stock_balance!E236</f>
        <v/>
      </c>
      <c r="F253" s="15">
        <f>Factories_stock_balance!F236</f>
        <v/>
      </c>
      <c r="T253" s="39">
        <f>SUM(D253:F255)</f>
        <v/>
      </c>
      <c r="U253" s="39" t="n">
        <v>7359.75764</v>
      </c>
      <c r="V253" s="39">
        <f>T253-U253</f>
        <v/>
      </c>
      <c r="W253" s="39" t="n"/>
      <c r="X253" s="39" t="n"/>
      <c r="AA253" s="15" t="n">
        <v>4</v>
      </c>
      <c r="AB253" s="15" t="n">
        <v>2462.344849999999</v>
      </c>
      <c r="AC253" s="15" t="n">
        <v>1110.46109</v>
      </c>
      <c r="AD253" s="15" t="n">
        <v>575.84916</v>
      </c>
      <c r="AW253" s="15" t="n">
        <v>4</v>
      </c>
      <c r="AX253" s="15" t="n">
        <v>2462.344849999999</v>
      </c>
      <c r="AY253" s="15" t="n">
        <v>1110.46109</v>
      </c>
      <c r="AZ253" s="15" t="n">
        <v>575.84916</v>
      </c>
      <c r="BS253" s="15" t="n">
        <v>4</v>
      </c>
      <c r="BT253" s="15" t="n">
        <v>2462.344849999999</v>
      </c>
      <c r="BU253" s="15" t="n">
        <v>1110.46109</v>
      </c>
      <c r="BV253" s="15" t="n">
        <v>575.84916</v>
      </c>
      <c r="CO253" s="15" t="n">
        <v>4</v>
      </c>
      <c r="CP253" s="15" t="n">
        <v>2462.344849999999</v>
      </c>
      <c r="CQ253" s="15" t="n">
        <v>1110.46109</v>
      </c>
      <c r="CR253" s="15" t="n">
        <v>575.84916</v>
      </c>
      <c r="DK253" s="15" t="n">
        <v>4</v>
      </c>
      <c r="DL253" s="15" t="n">
        <v>2462.344849999999</v>
      </c>
      <c r="DM253" s="15" t="n">
        <v>1110.46109</v>
      </c>
      <c r="DN253" s="15" t="n">
        <v>575.84916</v>
      </c>
      <c r="EG253" s="15" t="n">
        <v>4</v>
      </c>
      <c r="EH253" s="15" t="n">
        <v>2462.344849999999</v>
      </c>
      <c r="EI253" s="15" t="n">
        <v>1110.46109</v>
      </c>
      <c r="EJ253" s="15" t="n">
        <v>575.84916</v>
      </c>
      <c r="FC253" s="15" t="n">
        <v>4</v>
      </c>
      <c r="FD253" s="15" t="n">
        <v>2462.344849999999</v>
      </c>
      <c r="FE253" s="15" t="n">
        <v>1110.46109</v>
      </c>
      <c r="FF253" s="15" t="n">
        <v>575.84916</v>
      </c>
      <c r="FY253" s="15" t="n">
        <v>4</v>
      </c>
      <c r="FZ253" s="15" t="n">
        <v>2462.344849999999</v>
      </c>
      <c r="GA253" s="15" t="n">
        <v>1110.46109</v>
      </c>
      <c r="GB253" s="15" t="n">
        <v>575.84916</v>
      </c>
      <c r="GU253" s="15" t="n">
        <v>4</v>
      </c>
      <c r="GV253" s="15" t="n">
        <v>2462.344849999999</v>
      </c>
      <c r="GW253" s="15" t="n">
        <v>1110.46109</v>
      </c>
      <c r="GX253" s="15" t="n">
        <v>575.84916</v>
      </c>
    </row>
    <row r="254">
      <c r="C254" s="15" t="n">
        <v>5</v>
      </c>
      <c r="D254" s="15">
        <f>Factories_stock_balance!D237</f>
        <v/>
      </c>
      <c r="E254" s="15">
        <f>Factories_stock_balance!E237</f>
        <v/>
      </c>
      <c r="F254" s="15">
        <f>Factories_stock_balance!F237</f>
        <v/>
      </c>
      <c r="AA254" s="15" t="n">
        <v>5</v>
      </c>
      <c r="AB254" s="15" t="inlineStr"/>
      <c r="AC254" s="15" t="n">
        <v>1281.951580000001</v>
      </c>
      <c r="AD254" s="15" t="inlineStr"/>
      <c r="AW254" s="15" t="n">
        <v>5</v>
      </c>
      <c r="AX254" s="15" t="inlineStr"/>
      <c r="AY254" s="15" t="n">
        <v>1281.951580000001</v>
      </c>
      <c r="AZ254" s="15" t="inlineStr"/>
      <c r="BS254" s="15" t="n">
        <v>5</v>
      </c>
      <c r="BT254" s="15" t="inlineStr"/>
      <c r="BU254" s="15" t="n">
        <v>1281.951580000001</v>
      </c>
      <c r="BV254" s="15" t="inlineStr"/>
      <c r="CO254" s="15" t="n">
        <v>5</v>
      </c>
      <c r="CP254" s="15" t="inlineStr"/>
      <c r="CQ254" s="15" t="n">
        <v>1281.951580000001</v>
      </c>
      <c r="CR254" s="15" t="inlineStr"/>
      <c r="DK254" s="15" t="n">
        <v>5</v>
      </c>
      <c r="DL254" s="15" t="inlineStr"/>
      <c r="DM254" s="15" t="n">
        <v>1281.951580000001</v>
      </c>
      <c r="DN254" s="15" t="inlineStr"/>
      <c r="EG254" s="15" t="n">
        <v>5</v>
      </c>
      <c r="EH254" s="15" t="inlineStr"/>
      <c r="EI254" s="15" t="n">
        <v>1281.951580000001</v>
      </c>
      <c r="EJ254" s="15" t="inlineStr"/>
      <c r="FC254" s="15" t="n">
        <v>5</v>
      </c>
      <c r="FD254" s="15" t="inlineStr"/>
      <c r="FE254" s="15" t="n">
        <v>1281.951580000001</v>
      </c>
      <c r="FF254" s="15" t="inlineStr"/>
      <c r="FY254" s="15" t="n">
        <v>5</v>
      </c>
      <c r="FZ254" s="15" t="inlineStr"/>
      <c r="GA254" s="15" t="n">
        <v>1281.951580000001</v>
      </c>
      <c r="GB254" s="15" t="inlineStr"/>
      <c r="GU254" s="15" t="n">
        <v>5</v>
      </c>
      <c r="GV254" s="15" t="inlineStr"/>
      <c r="GW254" s="15" t="n">
        <v>1281.951580000001</v>
      </c>
      <c r="GX254" s="15" t="inlineStr"/>
    </row>
    <row r="255">
      <c r="C255" s="15" t="n">
        <v>6</v>
      </c>
      <c r="D255" s="15">
        <f>Factories_stock_balance!D238</f>
        <v/>
      </c>
      <c r="E255" s="15">
        <f>Factories_stock_balance!E238</f>
        <v/>
      </c>
      <c r="F255" s="15">
        <f>Factories_stock_balance!F238</f>
        <v/>
      </c>
      <c r="AA255" s="15" t="n">
        <v>6</v>
      </c>
      <c r="AB255" s="15" t="inlineStr"/>
      <c r="AC255" s="15" t="n">
        <v>1929.15096</v>
      </c>
      <c r="AD255" s="15" t="inlineStr"/>
      <c r="AW255" s="15" t="n">
        <v>6</v>
      </c>
      <c r="AX255" s="15" t="inlineStr"/>
      <c r="AY255" s="15" t="n">
        <v>1929.15096</v>
      </c>
      <c r="AZ255" s="15" t="inlineStr"/>
      <c r="BS255" s="15" t="n">
        <v>6</v>
      </c>
      <c r="BT255" s="15" t="inlineStr"/>
      <c r="BU255" s="15" t="n">
        <v>1929.15096</v>
      </c>
      <c r="BV255" s="15" t="inlineStr"/>
      <c r="CO255" s="15" t="n">
        <v>6</v>
      </c>
      <c r="CP255" s="15" t="inlineStr"/>
      <c r="CQ255" s="15" t="n">
        <v>1929.15096</v>
      </c>
      <c r="CR255" s="15" t="inlineStr"/>
      <c r="DK255" s="15" t="n">
        <v>6</v>
      </c>
      <c r="DL255" s="15" t="inlineStr"/>
      <c r="DM255" s="15" t="n">
        <v>1929.15096</v>
      </c>
      <c r="DN255" s="15" t="inlineStr"/>
      <c r="EG255" s="15" t="n">
        <v>6</v>
      </c>
      <c r="EH255" s="15" t="inlineStr"/>
      <c r="EI255" s="15" t="n">
        <v>1929.15096</v>
      </c>
      <c r="EJ255" s="15" t="inlineStr"/>
      <c r="FC255" s="15" t="n">
        <v>6</v>
      </c>
      <c r="FD255" s="15" t="inlineStr"/>
      <c r="FE255" s="15" t="n">
        <v>1929.15096</v>
      </c>
      <c r="FF255" s="15" t="inlineStr"/>
      <c r="FY255" s="15" t="n">
        <v>6</v>
      </c>
      <c r="FZ255" s="15" t="inlineStr"/>
      <c r="GA255" s="15" t="n">
        <v>1929.15096</v>
      </c>
      <c r="GB255" s="15" t="inlineStr"/>
      <c r="GU255" s="15" t="n">
        <v>6</v>
      </c>
      <c r="GV255" s="15" t="inlineStr"/>
      <c r="GW255" s="15" t="n">
        <v>1929.15096</v>
      </c>
      <c r="GX255" s="15" t="inlineStr"/>
    </row>
    <row r="257">
      <c r="C257" s="15" t="inlineStr">
        <is>
          <t>Aleatória RLT</t>
        </is>
      </c>
      <c r="D257" s="15" t="n">
        <v>16</v>
      </c>
      <c r="E257" s="15" t="n">
        <v>17</v>
      </c>
      <c r="F257" s="15" t="n">
        <v>18</v>
      </c>
      <c r="AA257" s="15" t="inlineStr">
        <is>
          <t>Aleatória RLT</t>
        </is>
      </c>
      <c r="AB257" s="15" t="n">
        <v>16</v>
      </c>
      <c r="AC257" s="15" t="n">
        <v>17</v>
      </c>
      <c r="AD257" s="15" t="n">
        <v>18</v>
      </c>
      <c r="AW257" s="15" t="inlineStr">
        <is>
          <t>Aleatória RLT</t>
        </is>
      </c>
      <c r="AX257" s="15" t="n">
        <v>16</v>
      </c>
      <c r="AY257" s="15" t="n">
        <v>17</v>
      </c>
      <c r="AZ257" s="15" t="n">
        <v>18</v>
      </c>
      <c r="BS257" s="15" t="inlineStr">
        <is>
          <t>Aleatória RLT</t>
        </is>
      </c>
      <c r="BT257" s="15" t="n">
        <v>16</v>
      </c>
      <c r="BU257" s="15" t="n">
        <v>17</v>
      </c>
      <c r="BV257" s="15" t="n">
        <v>18</v>
      </c>
      <c r="CO257" s="15" t="inlineStr">
        <is>
          <t>Aleatória RLT</t>
        </is>
      </c>
      <c r="CP257" s="15" t="n">
        <v>16</v>
      </c>
      <c r="CQ257" s="15" t="n">
        <v>17</v>
      </c>
      <c r="CR257" s="15" t="n">
        <v>18</v>
      </c>
      <c r="DK257" s="15" t="inlineStr">
        <is>
          <t>Aleatória RLT</t>
        </is>
      </c>
      <c r="DL257" s="15" t="n">
        <v>16</v>
      </c>
      <c r="DM257" s="15" t="n">
        <v>17</v>
      </c>
      <c r="DN257" s="15" t="n">
        <v>18</v>
      </c>
      <c r="EG257" s="15" t="inlineStr">
        <is>
          <t>Aleatória RLT</t>
        </is>
      </c>
      <c r="EH257" s="15" t="n">
        <v>16</v>
      </c>
      <c r="EI257" s="15" t="n">
        <v>17</v>
      </c>
      <c r="EJ257" s="15" t="n">
        <v>18</v>
      </c>
      <c r="FC257" s="15" t="inlineStr">
        <is>
          <t>Aleatória RLT</t>
        </is>
      </c>
      <c r="FD257" s="15" t="n">
        <v>16</v>
      </c>
      <c r="FE257" s="15" t="n">
        <v>17</v>
      </c>
      <c r="FF257" s="15" t="n">
        <v>18</v>
      </c>
      <c r="FY257" s="15" t="inlineStr">
        <is>
          <t>Aleatória RLT</t>
        </is>
      </c>
      <c r="FZ257" s="15" t="n">
        <v>16</v>
      </c>
      <c r="GA257" s="15" t="n">
        <v>17</v>
      </c>
      <c r="GB257" s="15" t="n">
        <v>18</v>
      </c>
      <c r="GU257" s="15" t="inlineStr">
        <is>
          <t>Aleatória RLT</t>
        </is>
      </c>
      <c r="GV257" s="15" t="n">
        <v>16</v>
      </c>
      <c r="GW257" s="15" t="n">
        <v>17</v>
      </c>
      <c r="GX257" s="15" t="n">
        <v>18</v>
      </c>
    </row>
    <row r="258">
      <c r="C258" s="15" t="n">
        <v>4</v>
      </c>
      <c r="D258" s="15">
        <f>D183+D233*D203</f>
        <v/>
      </c>
      <c r="E258" s="15">
        <f>E183+E233*E203</f>
        <v/>
      </c>
      <c r="F258" s="15">
        <f>F183+F233*F203</f>
        <v/>
      </c>
      <c r="T258" s="39">
        <f>SUM(D258:F260)</f>
        <v/>
      </c>
      <c r="U258" s="39" t="n">
        <v>49.60079776074269</v>
      </c>
      <c r="V258" s="39">
        <f>T258-U258</f>
        <v/>
      </c>
      <c r="W258" s="39" t="n"/>
      <c r="X258" s="39" t="n"/>
      <c r="AA258" s="15" t="n">
        <v>4</v>
      </c>
      <c r="AB258" s="15" t="n">
        <v>5.406991950730925</v>
      </c>
      <c r="AC258" s="15" t="n">
        <v>7.197707750005828</v>
      </c>
      <c r="AD258" s="15" t="n">
        <v>4.514546150150846</v>
      </c>
      <c r="AW258" s="15" t="n">
        <v>4</v>
      </c>
      <c r="AX258" s="15" t="n">
        <v>4.978158365196489</v>
      </c>
      <c r="AY258" s="15" t="n">
        <v>6.636575749232079</v>
      </c>
      <c r="AZ258" s="15" t="n">
        <v>4.163090417461769</v>
      </c>
      <c r="BS258" s="15" t="n">
        <v>4</v>
      </c>
      <c r="BT258" s="15" t="n">
        <v>4.889</v>
      </c>
      <c r="BU258" s="15" t="n">
        <v>6.520999999982856</v>
      </c>
      <c r="BV258" s="15" t="n">
        <v>4.091000000130006</v>
      </c>
      <c r="CO258" s="15" t="n">
        <v>4</v>
      </c>
      <c r="CP258" s="15" t="n">
        <v>5.406991950730925</v>
      </c>
      <c r="CQ258" s="15" t="n">
        <v>7.197707750005828</v>
      </c>
      <c r="CR258" s="15" t="n">
        <v>4.514546150150846</v>
      </c>
      <c r="DK258" s="15" t="n">
        <v>4</v>
      </c>
      <c r="DL258" s="15" t="n">
        <v>4.978158365196489</v>
      </c>
      <c r="DM258" s="15" t="n">
        <v>6.636575749232079</v>
      </c>
      <c r="DN258" s="15" t="n">
        <v>4.163090417461769</v>
      </c>
      <c r="EG258" s="15" t="n">
        <v>4</v>
      </c>
      <c r="EH258" s="15" t="n">
        <v>4.889</v>
      </c>
      <c r="EI258" s="15" t="n">
        <v>6.520999999982856</v>
      </c>
      <c r="EJ258" s="15" t="n">
        <v>4.091000000130006</v>
      </c>
      <c r="FC258" s="15" t="n">
        <v>4</v>
      </c>
      <c r="FD258" s="15" t="n">
        <v>5.406991950730925</v>
      </c>
      <c r="FE258" s="15" t="n">
        <v>7.197707750005828</v>
      </c>
      <c r="FF258" s="15" t="n">
        <v>4.514546150150846</v>
      </c>
      <c r="FY258" s="15" t="n">
        <v>4</v>
      </c>
      <c r="FZ258" s="15" t="n">
        <v>4.978158365196489</v>
      </c>
      <c r="GA258" s="15" t="n">
        <v>6.636575749232079</v>
      </c>
      <c r="GB258" s="15" t="n">
        <v>4.163090417461769</v>
      </c>
      <c r="GU258" s="15" t="n">
        <v>4</v>
      </c>
      <c r="GV258" s="15" t="n">
        <v>4.889</v>
      </c>
      <c r="GW258" s="15" t="n">
        <v>6.520999999982856</v>
      </c>
      <c r="GX258" s="15" t="n">
        <v>4.091000000130006</v>
      </c>
    </row>
    <row r="259">
      <c r="C259" s="15" t="n">
        <v>5</v>
      </c>
      <c r="D259" s="15">
        <f>D184+D234*D204</f>
        <v/>
      </c>
      <c r="E259" s="15">
        <f>E184+E234*E204</f>
        <v/>
      </c>
      <c r="F259" s="15">
        <f>F184+F234*F204</f>
        <v/>
      </c>
      <c r="AA259" s="15" t="n">
        <v>5</v>
      </c>
      <c r="AB259" s="15" t="n">
        <v>3.9356</v>
      </c>
      <c r="AC259" s="15" t="n">
        <v>7.430561226751466</v>
      </c>
      <c r="AD259" s="15" t="n">
        <v>4.7005</v>
      </c>
      <c r="AW259" s="15" t="n">
        <v>5</v>
      </c>
      <c r="AX259" s="15" t="n">
        <v>3.9356</v>
      </c>
      <c r="AY259" s="15" t="n">
        <v>6.85044510988262</v>
      </c>
      <c r="AZ259" s="15" t="n">
        <v>4.7005</v>
      </c>
      <c r="BS259" s="15" t="n">
        <v>5</v>
      </c>
      <c r="BT259" s="15" t="n">
        <v>3.9356</v>
      </c>
      <c r="BU259" s="15" t="n">
        <v>6.734000000169488</v>
      </c>
      <c r="BV259" s="15" t="n">
        <v>4.7005</v>
      </c>
      <c r="CO259" s="15" t="n">
        <v>5</v>
      </c>
      <c r="CP259" s="15" t="n">
        <v>3.9356</v>
      </c>
      <c r="CQ259" s="15" t="n">
        <v>7.430561226751466</v>
      </c>
      <c r="CR259" s="15" t="n">
        <v>4.7005</v>
      </c>
      <c r="DK259" s="15" t="n">
        <v>5</v>
      </c>
      <c r="DL259" s="15" t="n">
        <v>3.9356</v>
      </c>
      <c r="DM259" s="15" t="n">
        <v>6.85044510988262</v>
      </c>
      <c r="DN259" s="15" t="n">
        <v>4.7005</v>
      </c>
      <c r="EG259" s="15" t="n">
        <v>5</v>
      </c>
      <c r="EH259" s="15" t="n">
        <v>3.9356</v>
      </c>
      <c r="EI259" s="15" t="n">
        <v>6.734000000169488</v>
      </c>
      <c r="EJ259" s="15" t="n">
        <v>4.7005</v>
      </c>
      <c r="FC259" s="15" t="n">
        <v>5</v>
      </c>
      <c r="FD259" s="15" t="n">
        <v>3.9356</v>
      </c>
      <c r="FE259" s="15" t="n">
        <v>7.430561226751466</v>
      </c>
      <c r="FF259" s="15" t="n">
        <v>4.7005</v>
      </c>
      <c r="FY259" s="15" t="n">
        <v>5</v>
      </c>
      <c r="FZ259" s="15" t="n">
        <v>3.9356</v>
      </c>
      <c r="GA259" s="15" t="n">
        <v>6.85044510988262</v>
      </c>
      <c r="GB259" s="15" t="n">
        <v>4.7005</v>
      </c>
      <c r="GU259" s="15" t="n">
        <v>5</v>
      </c>
      <c r="GV259" s="15" t="n">
        <v>3.9356</v>
      </c>
      <c r="GW259" s="15" t="n">
        <v>6.734000000169488</v>
      </c>
      <c r="GX259" s="15" t="n">
        <v>4.7005</v>
      </c>
    </row>
    <row r="260">
      <c r="C260" s="15" t="n">
        <v>6</v>
      </c>
      <c r="D260" s="15">
        <f>D185+D235*D205</f>
        <v/>
      </c>
      <c r="E260" s="15">
        <f>E185+E235*E205</f>
        <v/>
      </c>
      <c r="F260" s="15">
        <f>F185+F235*F205</f>
        <v/>
      </c>
      <c r="AA260" s="15" t="n">
        <v>6</v>
      </c>
      <c r="AB260" s="15" t="n">
        <v>4.826099999999999</v>
      </c>
      <c r="AC260" s="15" t="n">
        <v>6.078490683103631</v>
      </c>
      <c r="AD260" s="15" t="n">
        <v>5.5103</v>
      </c>
      <c r="AW260" s="15" t="n">
        <v>6</v>
      </c>
      <c r="AX260" s="15" t="n">
        <v>4.826099999999999</v>
      </c>
      <c r="AY260" s="15" t="n">
        <v>5.59887129156665</v>
      </c>
      <c r="AZ260" s="15" t="n">
        <v>5.5103</v>
      </c>
      <c r="BS260" s="15" t="n">
        <v>6</v>
      </c>
      <c r="BT260" s="15" t="n">
        <v>4.826099999999999</v>
      </c>
      <c r="BU260" s="15" t="n">
        <v>5.496000000185504</v>
      </c>
      <c r="BV260" s="15" t="n">
        <v>5.5103</v>
      </c>
      <c r="CO260" s="15" t="n">
        <v>6</v>
      </c>
      <c r="CP260" s="15" t="n">
        <v>4.826099999999999</v>
      </c>
      <c r="CQ260" s="15" t="n">
        <v>6.078490683103631</v>
      </c>
      <c r="CR260" s="15" t="n">
        <v>5.5103</v>
      </c>
      <c r="DK260" s="15" t="n">
        <v>6</v>
      </c>
      <c r="DL260" s="15" t="n">
        <v>4.826099999999999</v>
      </c>
      <c r="DM260" s="15" t="n">
        <v>5.59887129156665</v>
      </c>
      <c r="DN260" s="15" t="n">
        <v>5.5103</v>
      </c>
      <c r="EG260" s="15" t="n">
        <v>6</v>
      </c>
      <c r="EH260" s="15" t="n">
        <v>4.826099999999999</v>
      </c>
      <c r="EI260" s="15" t="n">
        <v>5.496000000185504</v>
      </c>
      <c r="EJ260" s="15" t="n">
        <v>5.5103</v>
      </c>
      <c r="FC260" s="15" t="n">
        <v>6</v>
      </c>
      <c r="FD260" s="15" t="n">
        <v>4.826099999999999</v>
      </c>
      <c r="FE260" s="15" t="n">
        <v>6.078490683103631</v>
      </c>
      <c r="FF260" s="15" t="n">
        <v>5.5103</v>
      </c>
      <c r="FY260" s="15" t="n">
        <v>6</v>
      </c>
      <c r="FZ260" s="15" t="n">
        <v>4.826099999999999</v>
      </c>
      <c r="GA260" s="15" t="n">
        <v>5.59887129156665</v>
      </c>
      <c r="GB260" s="15" t="n">
        <v>5.5103</v>
      </c>
      <c r="GU260" s="15" t="n">
        <v>6</v>
      </c>
      <c r="GV260" s="15" t="n">
        <v>4.826099999999999</v>
      </c>
      <c r="GW260" s="15" t="n">
        <v>5.496000000185504</v>
      </c>
      <c r="GX260" s="15" t="n">
        <v>5.5103</v>
      </c>
    </row>
    <row r="262">
      <c r="B262" s="15" t="inlineStr">
        <is>
          <t>NOVA</t>
        </is>
      </c>
      <c r="C262" s="15" t="inlineStr">
        <is>
          <t>ActualRotf</t>
        </is>
      </c>
      <c r="D262" s="15" t="n">
        <v>1</v>
      </c>
      <c r="E262" s="15" t="n">
        <v>2</v>
      </c>
      <c r="F262" s="15" t="n">
        <v>3</v>
      </c>
      <c r="Z262" s="15" t="inlineStr">
        <is>
          <t>NOVA</t>
        </is>
      </c>
      <c r="AA262" s="15" t="inlineStr">
        <is>
          <t>ActualRotf</t>
        </is>
      </c>
      <c r="AB262" s="15" t="n">
        <v>1</v>
      </c>
      <c r="AC262" s="15" t="n">
        <v>2</v>
      </c>
      <c r="AD262" s="15" t="n">
        <v>3</v>
      </c>
      <c r="AV262" s="15" t="inlineStr">
        <is>
          <t>NOVA</t>
        </is>
      </c>
      <c r="AW262" s="15" t="inlineStr">
        <is>
          <t>ActualRotf</t>
        </is>
      </c>
      <c r="AX262" s="15" t="n">
        <v>1</v>
      </c>
      <c r="AY262" s="15" t="n">
        <v>2</v>
      </c>
      <c r="AZ262" s="15" t="n">
        <v>3</v>
      </c>
      <c r="BR262" s="15" t="inlineStr">
        <is>
          <t>NOVA</t>
        </is>
      </c>
      <c r="BS262" s="15" t="inlineStr">
        <is>
          <t>ActualRotf</t>
        </is>
      </c>
      <c r="BT262" s="15" t="n">
        <v>1</v>
      </c>
      <c r="BU262" s="15" t="n">
        <v>2</v>
      </c>
      <c r="BV262" s="15" t="n">
        <v>3</v>
      </c>
      <c r="CN262" s="15" t="inlineStr">
        <is>
          <t>NOVA</t>
        </is>
      </c>
      <c r="CO262" s="15" t="inlineStr">
        <is>
          <t>ActualRotf</t>
        </is>
      </c>
      <c r="CP262" s="15" t="n">
        <v>1</v>
      </c>
      <c r="CQ262" s="15" t="n">
        <v>2</v>
      </c>
      <c r="CR262" s="15" t="n">
        <v>3</v>
      </c>
      <c r="DJ262" s="15" t="inlineStr">
        <is>
          <t>NOVA</t>
        </is>
      </c>
      <c r="DK262" s="15" t="inlineStr">
        <is>
          <t>ActualRotf</t>
        </is>
      </c>
      <c r="DL262" s="15" t="n">
        <v>1</v>
      </c>
      <c r="DM262" s="15" t="n">
        <v>2</v>
      </c>
      <c r="DN262" s="15" t="n">
        <v>3</v>
      </c>
      <c r="EF262" s="15" t="inlineStr">
        <is>
          <t>NOVA</t>
        </is>
      </c>
      <c r="EG262" s="15" t="inlineStr">
        <is>
          <t>ActualRotf</t>
        </is>
      </c>
      <c r="EH262" s="15" t="n">
        <v>1</v>
      </c>
      <c r="EI262" s="15" t="n">
        <v>2</v>
      </c>
      <c r="EJ262" s="15" t="n">
        <v>3</v>
      </c>
      <c r="FB262" s="15" t="inlineStr">
        <is>
          <t>NOVA</t>
        </is>
      </c>
      <c r="FC262" s="15" t="inlineStr">
        <is>
          <t>ActualRotf</t>
        </is>
      </c>
      <c r="FD262" s="15" t="n">
        <v>1</v>
      </c>
      <c r="FE262" s="15" t="n">
        <v>2</v>
      </c>
      <c r="FF262" s="15" t="n">
        <v>3</v>
      </c>
      <c r="FX262" s="15" t="inlineStr">
        <is>
          <t>NOVA</t>
        </is>
      </c>
      <c r="FY262" s="15" t="inlineStr">
        <is>
          <t>ActualRotf</t>
        </is>
      </c>
      <c r="FZ262" s="15" t="n">
        <v>1</v>
      </c>
      <c r="GA262" s="15" t="n">
        <v>2</v>
      </c>
      <c r="GB262" s="15" t="n">
        <v>3</v>
      </c>
      <c r="GT262" s="15" t="inlineStr">
        <is>
          <t>NOVA</t>
        </is>
      </c>
      <c r="GU262" s="15" t="inlineStr">
        <is>
          <t>ActualRotf</t>
        </is>
      </c>
      <c r="GV262" s="15" t="n">
        <v>1</v>
      </c>
      <c r="GW262" s="15" t="n">
        <v>2</v>
      </c>
      <c r="GX262" s="15" t="n">
        <v>3</v>
      </c>
    </row>
    <row r="263">
      <c r="C263" s="15" t="n">
        <v>1</v>
      </c>
      <c r="D263" s="18">
        <f>Factories_stock_balance!D284</f>
        <v/>
      </c>
      <c r="E263" s="18">
        <f>Factories_stock_balance!E284</f>
        <v/>
      </c>
      <c r="F263" s="18">
        <f>Factories_stock_balance!F284</f>
        <v/>
      </c>
      <c r="T263" s="39">
        <f>SUM(D263:F265)</f>
        <v/>
      </c>
      <c r="U263" s="39" t="n">
        <v>195.4206439068581</v>
      </c>
      <c r="V263" s="39">
        <f>T263-U263</f>
        <v/>
      </c>
      <c r="W263" s="39" t="n"/>
      <c r="X263" s="39" t="n"/>
      <c r="AA263" s="15" t="n">
        <v>1</v>
      </c>
      <c r="AB263" s="15" t="n">
        <v>13.42201925940634</v>
      </c>
      <c r="AC263" s="15" t="n">
        <v>60.89024605085444</v>
      </c>
      <c r="AD263" s="15" t="n">
        <v>52.74936061381074</v>
      </c>
      <c r="AW263" s="15" t="n">
        <v>1</v>
      </c>
      <c r="AX263" s="15" t="n">
        <v>15.26059763724809</v>
      </c>
      <c r="AY263" s="15" t="n">
        <v>61.4539902519232</v>
      </c>
      <c r="AZ263" s="15" t="n">
        <v>53.09747087240694</v>
      </c>
      <c r="BS263" s="15" t="n">
        <v>1</v>
      </c>
      <c r="BT263" s="15" t="n">
        <v>15.63982924650055</v>
      </c>
      <c r="BU263" s="15" t="n">
        <v>61.5714369604792</v>
      </c>
      <c r="BV263" s="15" t="n">
        <v>53.16851378232453</v>
      </c>
      <c r="CO263" s="15" t="n">
        <v>1</v>
      </c>
      <c r="CP263" s="15" t="n">
        <v>6.985009431152588</v>
      </c>
      <c r="CQ263" s="15" t="n">
        <v>39.34464736625757</v>
      </c>
      <c r="CR263" s="15" t="n">
        <v>34.13611821540211</v>
      </c>
      <c r="DK263" s="15" t="n">
        <v>1</v>
      </c>
      <c r="DL263" s="15" t="n">
        <v>8.825573314801948</v>
      </c>
      <c r="DM263" s="15" t="n">
        <v>39.90251923189854</v>
      </c>
      <c r="DN263" s="15" t="n">
        <v>34.49133276499006</v>
      </c>
      <c r="EG263" s="15" t="n">
        <v>1</v>
      </c>
      <c r="EH263" s="15" t="n">
        <v>9.202819418246801</v>
      </c>
      <c r="EI263" s="15" t="n">
        <v>40.01996594045453</v>
      </c>
      <c r="EJ263" s="15" t="n">
        <v>34.56237567490765</v>
      </c>
      <c r="FC263" s="15" t="n">
        <v>1</v>
      </c>
      <c r="FD263" s="15" t="n">
        <v>2.386577980740594</v>
      </c>
      <c r="FE263" s="15" t="n">
        <v>23.95325620999472</v>
      </c>
      <c r="FF263" s="15" t="n">
        <v>20.84398976982097</v>
      </c>
      <c r="FY263" s="15" t="n">
        <v>1</v>
      </c>
      <c r="FZ263" s="15" t="n">
        <v>4.227141864389955</v>
      </c>
      <c r="GA263" s="15" t="n">
        <v>24.51112807563569</v>
      </c>
      <c r="GB263" s="15" t="n">
        <v>21.19920431940892</v>
      </c>
      <c r="GU263" s="15" t="n">
        <v>1</v>
      </c>
      <c r="GV263" s="15" t="n">
        <v>4.606373473642412</v>
      </c>
      <c r="GW263" s="15" t="n">
        <v>24.62857478419168</v>
      </c>
      <c r="GX263" s="15" t="n">
        <v>21.27024722932651</v>
      </c>
    </row>
    <row r="264">
      <c r="C264" s="15" t="n">
        <v>2</v>
      </c>
      <c r="D264" s="18">
        <f>Factories_stock_balance!D285</f>
        <v/>
      </c>
      <c r="E264" s="18">
        <f>Factories_stock_balance!E285</f>
        <v/>
      </c>
      <c r="F264" s="18">
        <f>Factories_stock_balance!F285</f>
        <v/>
      </c>
      <c r="AA264" s="15" t="n">
        <v>2</v>
      </c>
      <c r="AB264" s="15" t="n">
        <v>0</v>
      </c>
      <c r="AC264" s="15" t="n">
        <v>49.72422125334872</v>
      </c>
      <c r="AD264" s="15" t="n">
        <v>0</v>
      </c>
      <c r="AW264" s="15" t="n">
        <v>2</v>
      </c>
      <c r="AX264" s="15" t="n">
        <v>0</v>
      </c>
      <c r="AY264" s="15" t="n">
        <v>51.66255187266898</v>
      </c>
      <c r="AZ264" s="15" t="n">
        <v>0</v>
      </c>
      <c r="BS264" s="15" t="n">
        <v>2</v>
      </c>
      <c r="BT264" s="15" t="n">
        <v>0</v>
      </c>
      <c r="BU264" s="15" t="n">
        <v>52.06177443924985</v>
      </c>
      <c r="BV264" s="15" t="n">
        <v>0</v>
      </c>
      <c r="CO264" s="15" t="n">
        <v>2</v>
      </c>
      <c r="CP264" s="15" t="n">
        <v>0</v>
      </c>
      <c r="CQ264" s="15" t="n">
        <v>31.34422440510583</v>
      </c>
      <c r="CR264" s="15" t="n">
        <v>0</v>
      </c>
      <c r="DK264" s="15" t="n">
        <v>2</v>
      </c>
      <c r="DL264" s="15" t="n">
        <v>0</v>
      </c>
      <c r="DM264" s="15" t="n">
        <v>33.28780795293374</v>
      </c>
      <c r="DN264" s="15" t="n">
        <v>0</v>
      </c>
      <c r="EG264" s="15" t="n">
        <v>2</v>
      </c>
      <c r="EH264" s="15" t="n">
        <v>0</v>
      </c>
      <c r="EI264" s="15" t="n">
        <v>33.68703051951461</v>
      </c>
      <c r="EJ264" s="15" t="n">
        <v>0</v>
      </c>
      <c r="FC264" s="15" t="n">
        <v>2</v>
      </c>
      <c r="FD264" s="15" t="n">
        <v>0</v>
      </c>
      <c r="FE264" s="15" t="n">
        <v>18.22240899301359</v>
      </c>
      <c r="FF264" s="15" t="n">
        <v>0</v>
      </c>
      <c r="FY264" s="15" t="n">
        <v>2</v>
      </c>
      <c r="FZ264" s="15" t="n">
        <v>0</v>
      </c>
      <c r="GA264" s="15" t="n">
        <v>20.16073961233386</v>
      </c>
      <c r="GB264" s="15" t="n">
        <v>0</v>
      </c>
      <c r="GU264" s="15" t="n">
        <v>2</v>
      </c>
      <c r="GV264" s="15" t="n">
        <v>0</v>
      </c>
      <c r="GW264" s="15" t="n">
        <v>20.55996217891473</v>
      </c>
      <c r="GX264" s="15" t="n">
        <v>0</v>
      </c>
    </row>
    <row r="265">
      <c r="C265" s="15" t="n">
        <v>3</v>
      </c>
      <c r="D265" s="18">
        <f>Factories_stock_balance!D286</f>
        <v/>
      </c>
      <c r="E265" s="18">
        <f>Factories_stock_balance!E286</f>
        <v/>
      </c>
      <c r="F265" s="18">
        <f>Factories_stock_balance!F286</f>
        <v/>
      </c>
      <c r="AA265" s="15" t="n">
        <v>3</v>
      </c>
      <c r="AB265" s="15" t="n">
        <v>0</v>
      </c>
      <c r="AC265" s="15" t="n">
        <v>18.63479672943791</v>
      </c>
      <c r="AD265" s="15" t="n">
        <v>0</v>
      </c>
      <c r="AW265" s="15" t="n">
        <v>3</v>
      </c>
      <c r="AX265" s="15" t="n">
        <v>0</v>
      </c>
      <c r="AY265" s="15" t="n">
        <v>20.73730093159739</v>
      </c>
      <c r="AZ265" s="15" t="n">
        <v>0</v>
      </c>
      <c r="BS265" s="15" t="n">
        <v>3</v>
      </c>
      <c r="BT265" s="15" t="n">
        <v>0</v>
      </c>
      <c r="BU265" s="15" t="n">
        <v>21.17033702743512</v>
      </c>
      <c r="BV265" s="15" t="n">
        <v>0</v>
      </c>
      <c r="CO265" s="15" t="n">
        <v>3</v>
      </c>
      <c r="CP265" s="15" t="n">
        <v>0</v>
      </c>
      <c r="CQ265" s="15" t="n">
        <v>10.30170080624484</v>
      </c>
      <c r="CR265" s="15" t="n">
        <v>0</v>
      </c>
      <c r="DK265" s="15" t="n">
        <v>3</v>
      </c>
      <c r="DL265" s="15" t="n">
        <v>0</v>
      </c>
      <c r="DM265" s="15" t="n">
        <v>12.40420500840432</v>
      </c>
      <c r="DN265" s="15" t="n">
        <v>0</v>
      </c>
      <c r="EG265" s="15" t="n">
        <v>3</v>
      </c>
      <c r="EH265" s="15" t="n">
        <v>0</v>
      </c>
      <c r="EI265" s="15" t="n">
        <v>12.84009002592519</v>
      </c>
      <c r="EJ265" s="15" t="n">
        <v>0</v>
      </c>
      <c r="FC265" s="15" t="n">
        <v>3</v>
      </c>
      <c r="FD265" s="15" t="n">
        <v>0</v>
      </c>
      <c r="FE265" s="15" t="n">
        <v>4.350303410159255</v>
      </c>
      <c r="FF265" s="15" t="n">
        <v>0</v>
      </c>
      <c r="FY265" s="15" t="n">
        <v>3</v>
      </c>
      <c r="FZ265" s="15" t="n">
        <v>0</v>
      </c>
      <c r="GA265" s="15" t="n">
        <v>6.452807612318738</v>
      </c>
      <c r="GB265" s="15" t="n">
        <v>0</v>
      </c>
      <c r="GU265" s="15" t="n">
        <v>3</v>
      </c>
      <c r="GV265" s="15" t="n">
        <v>0</v>
      </c>
      <c r="GW265" s="15" t="n">
        <v>6.888692629839606</v>
      </c>
      <c r="GX265" s="15" t="n">
        <v>0</v>
      </c>
    </row>
    <row r="267">
      <c r="B267" s="15" t="inlineStr">
        <is>
          <t>NOVA</t>
        </is>
      </c>
      <c r="C267" s="15" t="inlineStr">
        <is>
          <t>vMaxNumOfCyclesf</t>
        </is>
      </c>
      <c r="D267" s="15" t="n">
        <v>1</v>
      </c>
      <c r="E267" s="15" t="n">
        <v>2</v>
      </c>
      <c r="F267" s="15" t="n">
        <v>3</v>
      </c>
      <c r="Z267" s="15" t="inlineStr">
        <is>
          <t>NOVA</t>
        </is>
      </c>
      <c r="AA267" s="15" t="inlineStr">
        <is>
          <t>vMaxNumOfCyclesf</t>
        </is>
      </c>
      <c r="AB267" s="15" t="n">
        <v>1</v>
      </c>
      <c r="AC267" s="15" t="n">
        <v>2</v>
      </c>
      <c r="AD267" s="15" t="n">
        <v>3</v>
      </c>
      <c r="AV267" s="15" t="inlineStr">
        <is>
          <t>NOVA</t>
        </is>
      </c>
      <c r="AW267" s="15" t="inlineStr">
        <is>
          <t>vMaxNumOfCyclesf</t>
        </is>
      </c>
      <c r="AX267" s="15" t="n">
        <v>1</v>
      </c>
      <c r="AY267" s="15" t="n">
        <v>2</v>
      </c>
      <c r="AZ267" s="15" t="n">
        <v>3</v>
      </c>
      <c r="BR267" s="15" t="inlineStr">
        <is>
          <t>NOVA</t>
        </is>
      </c>
      <c r="BS267" s="15" t="inlineStr">
        <is>
          <t>vMaxNumOfCyclesf</t>
        </is>
      </c>
      <c r="BT267" s="15" t="n">
        <v>1</v>
      </c>
      <c r="BU267" s="15" t="n">
        <v>2</v>
      </c>
      <c r="BV267" s="15" t="n">
        <v>3</v>
      </c>
      <c r="CN267" s="15" t="inlineStr">
        <is>
          <t>NOVA</t>
        </is>
      </c>
      <c r="CO267" s="15" t="inlineStr">
        <is>
          <t>vMaxNumOfCyclesf</t>
        </is>
      </c>
      <c r="CP267" s="15" t="n">
        <v>1</v>
      </c>
      <c r="CQ267" s="15" t="n">
        <v>2</v>
      </c>
      <c r="CR267" s="15" t="n">
        <v>3</v>
      </c>
      <c r="DJ267" s="15" t="inlineStr">
        <is>
          <t>NOVA</t>
        </is>
      </c>
      <c r="DK267" s="15" t="inlineStr">
        <is>
          <t>vMaxNumOfCyclesf</t>
        </is>
      </c>
      <c r="DL267" s="15" t="n">
        <v>1</v>
      </c>
      <c r="DM267" s="15" t="n">
        <v>2</v>
      </c>
      <c r="DN267" s="15" t="n">
        <v>3</v>
      </c>
      <c r="EF267" s="15" t="inlineStr">
        <is>
          <t>NOVA</t>
        </is>
      </c>
      <c r="EG267" s="15" t="inlineStr">
        <is>
          <t>vMaxNumOfCyclesf</t>
        </is>
      </c>
      <c r="EH267" s="15" t="n">
        <v>1</v>
      </c>
      <c r="EI267" s="15" t="n">
        <v>2</v>
      </c>
      <c r="EJ267" s="15" t="n">
        <v>3</v>
      </c>
      <c r="FB267" s="15" t="inlineStr">
        <is>
          <t>NOVA</t>
        </is>
      </c>
      <c r="FC267" s="15" t="inlineStr">
        <is>
          <t>vMaxNumOfCyclesf</t>
        </is>
      </c>
      <c r="FD267" s="15" t="n">
        <v>1</v>
      </c>
      <c r="FE267" s="15" t="n">
        <v>2</v>
      </c>
      <c r="FF267" s="15" t="n">
        <v>3</v>
      </c>
      <c r="FX267" s="15" t="inlineStr">
        <is>
          <t>NOVA</t>
        </is>
      </c>
      <c r="FY267" s="15" t="inlineStr">
        <is>
          <t>vMaxNumOfCyclesf</t>
        </is>
      </c>
      <c r="FZ267" s="15" t="n">
        <v>1</v>
      </c>
      <c r="GA267" s="15" t="n">
        <v>2</v>
      </c>
      <c r="GB267" s="15" t="n">
        <v>3</v>
      </c>
      <c r="GT267" s="15" t="inlineStr">
        <is>
          <t>NOVA</t>
        </is>
      </c>
      <c r="GU267" s="15" t="inlineStr">
        <is>
          <t>vMaxNumOfCyclesf</t>
        </is>
      </c>
      <c r="GV267" s="15" t="n">
        <v>1</v>
      </c>
      <c r="GW267" s="15" t="n">
        <v>2</v>
      </c>
      <c r="GX267" s="15" t="n">
        <v>3</v>
      </c>
    </row>
    <row r="268">
      <c r="C268" s="15" t="n">
        <v>1</v>
      </c>
      <c r="D268" s="15">
        <f>Factories_stock_balance!D290</f>
        <v/>
      </c>
      <c r="E268" s="15">
        <f>Factories_stock_balance!E290</f>
        <v/>
      </c>
      <c r="F268" s="15">
        <f>Factories_stock_balance!F290</f>
        <v/>
      </c>
      <c r="T268" s="39">
        <f>SUM(D268:F270)</f>
        <v/>
      </c>
      <c r="U268" s="39" t="n">
        <v>35.75157990304658</v>
      </c>
      <c r="V268" s="39">
        <f>T268-U268</f>
        <v/>
      </c>
      <c r="W268" s="39" t="n"/>
      <c r="X268" s="39" t="n"/>
      <c r="AA268" s="15" t="n">
        <v>1</v>
      </c>
      <c r="AB268" s="15" t="n">
        <v>2.745350636000478</v>
      </c>
      <c r="AC268" s="15" t="n">
        <v>9.337562651564857</v>
      </c>
      <c r="AD268" s="15" t="n">
        <v>12.89400161667337</v>
      </c>
      <c r="AW268" s="15" t="n">
        <v>1</v>
      </c>
      <c r="AX268" s="15" t="n">
        <v>3.121414939097585</v>
      </c>
      <c r="AY268" s="15" t="n">
        <v>9.424013226793928</v>
      </c>
      <c r="AZ268" s="15" t="n">
        <v>12.97909334451404</v>
      </c>
      <c r="BS268" s="15" t="n">
        <v>1</v>
      </c>
      <c r="BT268" s="15" t="n">
        <v>3.198983278073338</v>
      </c>
      <c r="BU268" s="15" t="n">
        <v>9.442023763299984</v>
      </c>
      <c r="BV268" s="15" t="n">
        <v>12.99645900325704</v>
      </c>
      <c r="CO268" s="15" t="n">
        <v>1</v>
      </c>
      <c r="CP268" s="15" t="n">
        <v>1.428719458202616</v>
      </c>
      <c r="CQ268" s="15" t="n">
        <v>6.033529729528841</v>
      </c>
      <c r="CR268" s="15" t="n">
        <v>8.344199026008825</v>
      </c>
      <c r="DK268" s="15" t="n">
        <v>1</v>
      </c>
      <c r="DL268" s="15" t="n">
        <v>1.805189878257711</v>
      </c>
      <c r="DM268" s="15" t="n">
        <v>6.119079777932608</v>
      </c>
      <c r="DN268" s="15" t="n">
        <v>8.431027319723798</v>
      </c>
      <c r="EG268" s="15" t="n">
        <v>1</v>
      </c>
      <c r="EH268" s="15" t="n">
        <v>1.882352100275476</v>
      </c>
      <c r="EI268" s="15" t="n">
        <v>6.137090314438663</v>
      </c>
      <c r="EJ268" s="15" t="n">
        <v>8.448392978466792</v>
      </c>
      <c r="FC268" s="15" t="n">
        <v>1</v>
      </c>
      <c r="FD268" s="15" t="n">
        <v>0.4881525835018601</v>
      </c>
      <c r="FE268" s="15" t="n">
        <v>3.67324892041017</v>
      </c>
      <c r="FF268" s="15" t="n">
        <v>5.095084275194567</v>
      </c>
      <c r="FY268" s="15" t="n">
        <v>1</v>
      </c>
      <c r="FZ268" s="15" t="n">
        <v>0.8646230035569553</v>
      </c>
      <c r="GA268" s="15" t="n">
        <v>3.758798968813937</v>
      </c>
      <c r="GB268" s="15" t="n">
        <v>5.181912568909539</v>
      </c>
      <c r="GU268" s="15" t="n">
        <v>1</v>
      </c>
      <c r="GV268" s="15" t="n">
        <v>0.9421913425327084</v>
      </c>
      <c r="GW268" s="15" t="n">
        <v>3.776809505319993</v>
      </c>
      <c r="GX268" s="15" t="n">
        <v>5.199278227652534</v>
      </c>
    </row>
    <row r="269">
      <c r="C269" s="15" t="n">
        <v>2</v>
      </c>
      <c r="D269" s="15">
        <f>Factories_stock_balance!D291</f>
        <v/>
      </c>
      <c r="E269" s="15">
        <f>Factories_stock_balance!E291</f>
        <v/>
      </c>
      <c r="F269" s="15">
        <f>Factories_stock_balance!F291</f>
        <v/>
      </c>
      <c r="AA269" s="15" t="n">
        <v>2</v>
      </c>
      <c r="AB269" s="15" t="n">
        <v>0</v>
      </c>
      <c r="AC269" s="15" t="n">
        <v>7.384054240176525</v>
      </c>
      <c r="AD269" s="15" t="n">
        <v>0</v>
      </c>
      <c r="AW269" s="15" t="n">
        <v>2</v>
      </c>
      <c r="AX269" s="15" t="n">
        <v>0</v>
      </c>
      <c r="AY269" s="15" t="n">
        <v>7.671896624987969</v>
      </c>
      <c r="AZ269" s="15" t="n">
        <v>0</v>
      </c>
      <c r="BS269" s="15" t="n">
        <v>2</v>
      </c>
      <c r="BT269" s="15" t="n">
        <v>0</v>
      </c>
      <c r="BU269" s="15" t="n">
        <v>7.731181235409839</v>
      </c>
      <c r="BV269" s="15" t="n">
        <v>0</v>
      </c>
      <c r="CO269" s="15" t="n">
        <v>2</v>
      </c>
      <c r="CP269" s="15" t="n">
        <v>0</v>
      </c>
      <c r="CQ269" s="15" t="n">
        <v>4.654621978780194</v>
      </c>
      <c r="CR269" s="15" t="n">
        <v>0</v>
      </c>
      <c r="DK269" s="15" t="n">
        <v>2</v>
      </c>
      <c r="DL269" s="15" t="n">
        <v>0</v>
      </c>
      <c r="DM269" s="15" t="n">
        <v>4.943244424255084</v>
      </c>
      <c r="DN269" s="15" t="n">
        <v>0</v>
      </c>
      <c r="EG269" s="15" t="n">
        <v>2</v>
      </c>
      <c r="EH269" s="15" t="n">
        <v>0</v>
      </c>
      <c r="EI269" s="15" t="n">
        <v>5.002529034676954</v>
      </c>
      <c r="EJ269" s="15" t="n">
        <v>0</v>
      </c>
      <c r="FC269" s="15" t="n">
        <v>2</v>
      </c>
      <c r="FD269" s="15" t="n">
        <v>0</v>
      </c>
      <c r="FE269" s="15" t="n">
        <v>2.706030441492961</v>
      </c>
      <c r="FF269" s="15" t="n">
        <v>0</v>
      </c>
      <c r="FY269" s="15" t="n">
        <v>2</v>
      </c>
      <c r="FZ269" s="15" t="n">
        <v>0</v>
      </c>
      <c r="GA269" s="15" t="n">
        <v>2.993872826304405</v>
      </c>
      <c r="GB269" s="15" t="n">
        <v>0</v>
      </c>
      <c r="GU269" s="15" t="n">
        <v>2</v>
      </c>
      <c r="GV269" s="15" t="n">
        <v>0</v>
      </c>
      <c r="GW269" s="15" t="n">
        <v>3.053157436726275</v>
      </c>
      <c r="GX269" s="15" t="n">
        <v>0</v>
      </c>
    </row>
    <row r="270">
      <c r="C270" s="15" t="n">
        <v>3</v>
      </c>
      <c r="D270" s="15">
        <f>Factories_stock_balance!D292</f>
        <v/>
      </c>
      <c r="E270" s="15">
        <f>Factories_stock_balance!E292</f>
        <v/>
      </c>
      <c r="F270" s="15">
        <f>Factories_stock_balance!F292</f>
        <v/>
      </c>
      <c r="AA270" s="15" t="n">
        <v>3</v>
      </c>
      <c r="AB270" s="15" t="n">
        <v>0</v>
      </c>
      <c r="AC270" s="15" t="n">
        <v>3.390610758631352</v>
      </c>
      <c r="AD270" s="15" t="n">
        <v>0</v>
      </c>
      <c r="AW270" s="15" t="n">
        <v>3</v>
      </c>
      <c r="AX270" s="15" t="n">
        <v>0</v>
      </c>
      <c r="AY270" s="15" t="n">
        <v>3.77316246935906</v>
      </c>
      <c r="AZ270" s="15" t="n">
        <v>0</v>
      </c>
      <c r="BS270" s="15" t="n">
        <v>3</v>
      </c>
      <c r="BT270" s="15" t="n">
        <v>0</v>
      </c>
      <c r="BU270" s="15" t="n">
        <v>3.851953607611921</v>
      </c>
      <c r="BV270" s="15" t="n">
        <v>0</v>
      </c>
      <c r="CO270" s="15" t="n">
        <v>3</v>
      </c>
      <c r="CP270" s="15" t="n">
        <v>0</v>
      </c>
      <c r="CQ270" s="15" t="n">
        <v>1.874399710015436</v>
      </c>
      <c r="CR270" s="15" t="n">
        <v>0</v>
      </c>
      <c r="DK270" s="15" t="n">
        <v>3</v>
      </c>
      <c r="DL270" s="15" t="n">
        <v>0</v>
      </c>
      <c r="DM270" s="15" t="n">
        <v>2.256951420743144</v>
      </c>
      <c r="DN270" s="15" t="n">
        <v>0</v>
      </c>
      <c r="EG270" s="15" t="n">
        <v>3</v>
      </c>
      <c r="EH270" s="15" t="n">
        <v>0</v>
      </c>
      <c r="EI270" s="15" t="n">
        <v>2.336260921747669</v>
      </c>
      <c r="EJ270" s="15" t="n">
        <v>0</v>
      </c>
      <c r="FC270" s="15" t="n">
        <v>3</v>
      </c>
      <c r="FD270" s="15" t="n">
        <v>0</v>
      </c>
      <c r="FE270" s="15" t="n">
        <v>0.7915399217902575</v>
      </c>
      <c r="FF270" s="15" t="n">
        <v>0</v>
      </c>
      <c r="FY270" s="15" t="n">
        <v>3</v>
      </c>
      <c r="FZ270" s="15" t="n">
        <v>0</v>
      </c>
      <c r="GA270" s="15" t="n">
        <v>1.174091632517965</v>
      </c>
      <c r="GB270" s="15" t="n">
        <v>0</v>
      </c>
      <c r="GU270" s="15" t="n">
        <v>3</v>
      </c>
      <c r="GV270" s="15" t="n">
        <v>0</v>
      </c>
      <c r="GW270" s="15" t="n">
        <v>1.25340113352249</v>
      </c>
      <c r="GX270" s="15" t="n">
        <v>0</v>
      </c>
    </row>
    <row r="271" ht="23.4" customHeight="1">
      <c r="B271" s="60" t="inlineStr">
        <is>
          <t>DISTRIBUTORS</t>
        </is>
      </c>
      <c r="Z271" s="15" t="inlineStr">
        <is>
          <t>DISTRIBUTORS</t>
        </is>
      </c>
      <c r="AV271" s="15" t="inlineStr">
        <is>
          <t>DISTRIBUTORS</t>
        </is>
      </c>
      <c r="BR271" s="15" t="inlineStr">
        <is>
          <t>DISTRIBUTORS</t>
        </is>
      </c>
      <c r="CN271" s="15" t="inlineStr">
        <is>
          <t>DISTRIBUTORS</t>
        </is>
      </c>
      <c r="DJ271" s="15" t="inlineStr">
        <is>
          <t>DISTRIBUTORS</t>
        </is>
      </c>
      <c r="EF271" s="15" t="inlineStr">
        <is>
          <t>DISTRIBUTORS</t>
        </is>
      </c>
      <c r="FB271" s="15" t="inlineStr">
        <is>
          <t>DISTRIBUTORS</t>
        </is>
      </c>
      <c r="FX271" s="15" t="inlineStr">
        <is>
          <t>DISTRIBUTORS</t>
        </is>
      </c>
      <c r="GT271" s="15" t="inlineStr">
        <is>
          <t>DISTRIBUTORS</t>
        </is>
      </c>
    </row>
    <row r="272">
      <c r="C272" s="15" t="inlineStr">
        <is>
          <t>P(Reorder)</t>
        </is>
      </c>
      <c r="D272" s="15" t="n">
        <v>19</v>
      </c>
      <c r="E272" s="15" t="n">
        <v>20</v>
      </c>
      <c r="F272" s="15" t="n">
        <v>21</v>
      </c>
      <c r="AA272" s="15" t="inlineStr">
        <is>
          <t>P(Reorder)</t>
        </is>
      </c>
      <c r="AB272" s="15" t="n">
        <v>19</v>
      </c>
      <c r="AC272" s="15" t="n">
        <v>20</v>
      </c>
      <c r="AD272" s="15" t="n">
        <v>21</v>
      </c>
      <c r="AW272" s="15" t="inlineStr">
        <is>
          <t>P(Reorder)</t>
        </is>
      </c>
      <c r="AX272" s="15" t="n">
        <v>19</v>
      </c>
      <c r="AY272" s="15" t="n">
        <v>20</v>
      </c>
      <c r="AZ272" s="15" t="n">
        <v>21</v>
      </c>
      <c r="BS272" s="15" t="inlineStr">
        <is>
          <t>P(Reorder)</t>
        </is>
      </c>
      <c r="BT272" s="15" t="n">
        <v>19</v>
      </c>
      <c r="BU272" s="15" t="n">
        <v>20</v>
      </c>
      <c r="BV272" s="15" t="n">
        <v>21</v>
      </c>
      <c r="CO272" s="15" t="inlineStr">
        <is>
          <t>P(Reorder)</t>
        </is>
      </c>
      <c r="CP272" s="15" t="n">
        <v>19</v>
      </c>
      <c r="CQ272" s="15" t="n">
        <v>20</v>
      </c>
      <c r="CR272" s="15" t="n">
        <v>21</v>
      </c>
      <c r="DK272" s="15" t="inlineStr">
        <is>
          <t>P(Reorder)</t>
        </is>
      </c>
      <c r="DL272" s="15" t="n">
        <v>19</v>
      </c>
      <c r="DM272" s="15" t="n">
        <v>20</v>
      </c>
      <c r="DN272" s="15" t="n">
        <v>21</v>
      </c>
      <c r="EG272" s="15" t="inlineStr">
        <is>
          <t>P(Reorder)</t>
        </is>
      </c>
      <c r="EH272" s="15" t="n">
        <v>19</v>
      </c>
      <c r="EI272" s="15" t="n">
        <v>20</v>
      </c>
      <c r="EJ272" s="15" t="n">
        <v>21</v>
      </c>
      <c r="FC272" s="15" t="inlineStr">
        <is>
          <t>P(Reorder)</t>
        </is>
      </c>
      <c r="FD272" s="15" t="n">
        <v>19</v>
      </c>
      <c r="FE272" s="15" t="n">
        <v>20</v>
      </c>
      <c r="FF272" s="15" t="n">
        <v>21</v>
      </c>
      <c r="FY272" s="15" t="inlineStr">
        <is>
          <t>P(Reorder)</t>
        </is>
      </c>
      <c r="FZ272" s="15" t="n">
        <v>19</v>
      </c>
      <c r="GA272" s="15" t="n">
        <v>20</v>
      </c>
      <c r="GB272" s="15" t="n">
        <v>21</v>
      </c>
      <c r="GU272" s="15" t="inlineStr">
        <is>
          <t>P(Reorder)</t>
        </is>
      </c>
      <c r="GV272" s="15" t="n">
        <v>19</v>
      </c>
      <c r="GW272" s="15" t="n">
        <v>20</v>
      </c>
      <c r="GX272" s="15" t="n">
        <v>21</v>
      </c>
    </row>
    <row r="273">
      <c r="C273" s="15" t="n">
        <v>7</v>
      </c>
      <c r="AA273" s="15" t="n">
        <v>7</v>
      </c>
      <c r="AW273" s="15" t="n">
        <v>7</v>
      </c>
      <c r="BS273" s="15" t="n">
        <v>7</v>
      </c>
      <c r="CO273" s="15" t="n">
        <v>7</v>
      </c>
      <c r="DK273" s="15" t="n">
        <v>7</v>
      </c>
      <c r="EG273" s="15" t="n">
        <v>7</v>
      </c>
      <c r="FC273" s="15" t="n">
        <v>7</v>
      </c>
      <c r="FY273" s="15" t="n">
        <v>7</v>
      </c>
      <c r="GU273" s="15" t="n">
        <v>7</v>
      </c>
    </row>
    <row r="274">
      <c r="C274" s="15" t="n">
        <v>8</v>
      </c>
      <c r="AA274" s="15" t="n">
        <v>8</v>
      </c>
      <c r="AW274" s="15" t="n">
        <v>8</v>
      </c>
      <c r="BS274" s="15" t="n">
        <v>8</v>
      </c>
      <c r="CO274" s="15" t="n">
        <v>8</v>
      </c>
      <c r="DK274" s="15" t="n">
        <v>8</v>
      </c>
      <c r="EG274" s="15" t="n">
        <v>8</v>
      </c>
      <c r="FC274" s="15" t="n">
        <v>8</v>
      </c>
      <c r="FY274" s="15" t="n">
        <v>8</v>
      </c>
      <c r="GU274" s="15" t="n">
        <v>8</v>
      </c>
    </row>
    <row r="276">
      <c r="C276" s="15" t="inlineStr">
        <is>
          <t>P(Estado da arte)</t>
        </is>
      </c>
      <c r="D276" s="15" t="n">
        <v>1</v>
      </c>
      <c r="E276" s="15" t="n">
        <v>2</v>
      </c>
      <c r="F276" s="15" t="n">
        <v>3</v>
      </c>
      <c r="AA276" s="15" t="inlineStr">
        <is>
          <t>P(Estado da arte)</t>
        </is>
      </c>
      <c r="AB276" s="15" t="n">
        <v>1</v>
      </c>
      <c r="AC276" s="15" t="n">
        <v>2</v>
      </c>
      <c r="AD276" s="15" t="n">
        <v>3</v>
      </c>
      <c r="AW276" s="15" t="inlineStr">
        <is>
          <t>P(Estado da arte)</t>
        </is>
      </c>
      <c r="AX276" s="15" t="n">
        <v>1</v>
      </c>
      <c r="AY276" s="15" t="n">
        <v>2</v>
      </c>
      <c r="AZ276" s="15" t="n">
        <v>3</v>
      </c>
      <c r="BS276" s="15" t="inlineStr">
        <is>
          <t>P(Estado da arte)</t>
        </is>
      </c>
      <c r="BT276" s="15" t="n">
        <v>1</v>
      </c>
      <c r="BU276" s="15" t="n">
        <v>2</v>
      </c>
      <c r="BV276" s="15" t="n">
        <v>3</v>
      </c>
      <c r="CO276" s="15" t="inlineStr">
        <is>
          <t>P(Estado da arte)</t>
        </is>
      </c>
      <c r="CP276" s="15" t="n">
        <v>1</v>
      </c>
      <c r="CQ276" s="15" t="n">
        <v>2</v>
      </c>
      <c r="CR276" s="15" t="n">
        <v>3</v>
      </c>
      <c r="DK276" s="15" t="inlineStr">
        <is>
          <t>P(Estado da arte)</t>
        </is>
      </c>
      <c r="DL276" s="15" t="n">
        <v>1</v>
      </c>
      <c r="DM276" s="15" t="n">
        <v>2</v>
      </c>
      <c r="DN276" s="15" t="n">
        <v>3</v>
      </c>
      <c r="EG276" s="15" t="inlineStr">
        <is>
          <t>P(Estado da arte)</t>
        </is>
      </c>
      <c r="EH276" s="15" t="n">
        <v>1</v>
      </c>
      <c r="EI276" s="15" t="n">
        <v>2</v>
      </c>
      <c r="EJ276" s="15" t="n">
        <v>3</v>
      </c>
      <c r="FC276" s="15" t="inlineStr">
        <is>
          <t>P(Estado da arte)</t>
        </is>
      </c>
      <c r="FD276" s="15" t="n">
        <v>1</v>
      </c>
      <c r="FE276" s="15" t="n">
        <v>2</v>
      </c>
      <c r="FF276" s="15" t="n">
        <v>3</v>
      </c>
      <c r="FY276" s="15" t="inlineStr">
        <is>
          <t>P(Estado da arte)</t>
        </is>
      </c>
      <c r="FZ276" s="15" t="n">
        <v>1</v>
      </c>
      <c r="GA276" s="15" t="n">
        <v>2</v>
      </c>
      <c r="GB276" s="15" t="n">
        <v>3</v>
      </c>
      <c r="GU276" s="15" t="inlineStr">
        <is>
          <t>P(Estado da arte)</t>
        </is>
      </c>
      <c r="GV276" s="15" t="n">
        <v>1</v>
      </c>
      <c r="GW276" s="15" t="n">
        <v>2</v>
      </c>
      <c r="GX276" s="15" t="n">
        <v>3</v>
      </c>
    </row>
    <row r="277">
      <c r="C277" s="15" t="n">
        <v>1</v>
      </c>
      <c r="AA277" s="15" t="n">
        <v>1</v>
      </c>
      <c r="AW277" s="15" t="n">
        <v>1</v>
      </c>
      <c r="BS277" s="15" t="n">
        <v>1</v>
      </c>
      <c r="CO277" s="15" t="n">
        <v>1</v>
      </c>
      <c r="DK277" s="15" t="n">
        <v>1</v>
      </c>
      <c r="EG277" s="15" t="n">
        <v>1</v>
      </c>
      <c r="FC277" s="15" t="n">
        <v>1</v>
      </c>
      <c r="FY277" s="15" t="n">
        <v>1</v>
      </c>
      <c r="GU277" s="15" t="n">
        <v>1</v>
      </c>
    </row>
    <row r="278">
      <c r="C278" s="15" t="n">
        <v>2</v>
      </c>
      <c r="AA278" s="15" t="n">
        <v>2</v>
      </c>
      <c r="AW278" s="15" t="n">
        <v>2</v>
      </c>
      <c r="BS278" s="15" t="n">
        <v>2</v>
      </c>
      <c r="CO278" s="15" t="n">
        <v>2</v>
      </c>
      <c r="DK278" s="15" t="n">
        <v>2</v>
      </c>
      <c r="EG278" s="15" t="n">
        <v>2</v>
      </c>
      <c r="FC278" s="15" t="n">
        <v>2</v>
      </c>
      <c r="FY278" s="15" t="n">
        <v>2</v>
      </c>
      <c r="GU278" s="15" t="n">
        <v>2</v>
      </c>
    </row>
    <row r="280">
      <c r="C280" s="15" t="inlineStr">
        <is>
          <t>Reorder</t>
        </is>
      </c>
      <c r="D280" s="15" t="n">
        <v>19</v>
      </c>
      <c r="E280" s="15" t="n">
        <v>20</v>
      </c>
      <c r="F280" s="15" t="n">
        <v>21</v>
      </c>
      <c r="AA280" s="15" t="inlineStr">
        <is>
          <t>Reorder</t>
        </is>
      </c>
      <c r="AB280" s="15" t="n">
        <v>19</v>
      </c>
      <c r="AC280" s="15" t="n">
        <v>20</v>
      </c>
      <c r="AD280" s="15" t="n">
        <v>21</v>
      </c>
      <c r="AW280" s="15" t="inlineStr">
        <is>
          <t>Reorder</t>
        </is>
      </c>
      <c r="AX280" s="15" t="n">
        <v>19</v>
      </c>
      <c r="AY280" s="15" t="n">
        <v>20</v>
      </c>
      <c r="AZ280" s="15" t="n">
        <v>21</v>
      </c>
      <c r="BS280" s="15" t="inlineStr">
        <is>
          <t>Reorder</t>
        </is>
      </c>
      <c r="BT280" s="15" t="n">
        <v>19</v>
      </c>
      <c r="BU280" s="15" t="n">
        <v>20</v>
      </c>
      <c r="BV280" s="15" t="n">
        <v>21</v>
      </c>
      <c r="CO280" s="15" t="inlineStr">
        <is>
          <t>Reorder</t>
        </is>
      </c>
      <c r="CP280" s="15" t="n">
        <v>19</v>
      </c>
      <c r="CQ280" s="15" t="n">
        <v>20</v>
      </c>
      <c r="CR280" s="15" t="n">
        <v>21</v>
      </c>
      <c r="DK280" s="15" t="inlineStr">
        <is>
          <t>Reorder</t>
        </is>
      </c>
      <c r="DL280" s="15" t="n">
        <v>19</v>
      </c>
      <c r="DM280" s="15" t="n">
        <v>20</v>
      </c>
      <c r="DN280" s="15" t="n">
        <v>21</v>
      </c>
      <c r="EG280" s="15" t="inlineStr">
        <is>
          <t>Reorder</t>
        </is>
      </c>
      <c r="EH280" s="15" t="n">
        <v>19</v>
      </c>
      <c r="EI280" s="15" t="n">
        <v>20</v>
      </c>
      <c r="EJ280" s="15" t="n">
        <v>21</v>
      </c>
      <c r="FC280" s="15" t="inlineStr">
        <is>
          <t>Reorder</t>
        </is>
      </c>
      <c r="FD280" s="15" t="n">
        <v>19</v>
      </c>
      <c r="FE280" s="15" t="n">
        <v>20</v>
      </c>
      <c r="FF280" s="15" t="n">
        <v>21</v>
      </c>
      <c r="FY280" s="15" t="inlineStr">
        <is>
          <t>Reorder</t>
        </is>
      </c>
      <c r="FZ280" s="15" t="n">
        <v>19</v>
      </c>
      <c r="GA280" s="15" t="n">
        <v>20</v>
      </c>
      <c r="GB280" s="15" t="n">
        <v>21</v>
      </c>
      <c r="GU280" s="15" t="inlineStr">
        <is>
          <t>Reorder</t>
        </is>
      </c>
      <c r="GV280" s="15" t="n">
        <v>19</v>
      </c>
      <c r="GW280" s="15" t="n">
        <v>20</v>
      </c>
      <c r="GX280" s="15" t="n">
        <v>21</v>
      </c>
    </row>
    <row r="281">
      <c r="C281" s="15" t="n">
        <v>7</v>
      </c>
      <c r="AA281" s="15" t="n">
        <v>7</v>
      </c>
      <c r="AW281" s="15" t="n">
        <v>7</v>
      </c>
      <c r="BS281" s="15" t="n">
        <v>7</v>
      </c>
      <c r="CO281" s="15" t="n">
        <v>7</v>
      </c>
      <c r="DK281" s="15" t="n">
        <v>7</v>
      </c>
      <c r="EG281" s="15" t="n">
        <v>7</v>
      </c>
      <c r="FC281" s="15" t="n">
        <v>7</v>
      </c>
      <c r="FY281" s="15" t="n">
        <v>7</v>
      </c>
      <c r="GU281" s="15" t="n">
        <v>7</v>
      </c>
    </row>
    <row r="282">
      <c r="C282" s="15" t="n">
        <v>8</v>
      </c>
      <c r="AA282" s="15" t="n">
        <v>8</v>
      </c>
      <c r="AW282" s="15" t="n">
        <v>8</v>
      </c>
      <c r="BS282" s="15" t="n">
        <v>8</v>
      </c>
      <c r="CO282" s="15" t="n">
        <v>8</v>
      </c>
      <c r="DK282" s="15" t="n">
        <v>8</v>
      </c>
      <c r="EG282" s="15" t="n">
        <v>8</v>
      </c>
      <c r="FC282" s="15" t="n">
        <v>8</v>
      </c>
      <c r="FY282" s="15" t="n">
        <v>8</v>
      </c>
      <c r="GU282" s="15" t="n">
        <v>8</v>
      </c>
    </row>
    <row r="284">
      <c r="C284" s="15" t="inlineStr">
        <is>
          <t>Var(Var(d))</t>
        </is>
      </c>
      <c r="D284" s="15" t="n">
        <v>19</v>
      </c>
      <c r="E284" s="15" t="n">
        <v>20</v>
      </c>
      <c r="F284" s="15" t="n">
        <v>21</v>
      </c>
      <c r="AA284" s="15" t="inlineStr">
        <is>
          <t>Var(Var(d))</t>
        </is>
      </c>
      <c r="AB284" s="15" t="n">
        <v>19</v>
      </c>
      <c r="AC284" s="15" t="n">
        <v>20</v>
      </c>
      <c r="AD284" s="15" t="n">
        <v>21</v>
      </c>
      <c r="AW284" s="15" t="inlineStr">
        <is>
          <t>Var(Var(d))</t>
        </is>
      </c>
      <c r="AX284" s="15" t="n">
        <v>19</v>
      </c>
      <c r="AY284" s="15" t="n">
        <v>20</v>
      </c>
      <c r="AZ284" s="15" t="n">
        <v>21</v>
      </c>
      <c r="BS284" s="15" t="inlineStr">
        <is>
          <t>Var(Var(d))</t>
        </is>
      </c>
      <c r="BT284" s="15" t="n">
        <v>19</v>
      </c>
      <c r="BU284" s="15" t="n">
        <v>20</v>
      </c>
      <c r="BV284" s="15" t="n">
        <v>21</v>
      </c>
      <c r="CO284" s="15" t="inlineStr">
        <is>
          <t>Var(Var(d))</t>
        </is>
      </c>
      <c r="CP284" s="15" t="n">
        <v>19</v>
      </c>
      <c r="CQ284" s="15" t="n">
        <v>20</v>
      </c>
      <c r="CR284" s="15" t="n">
        <v>21</v>
      </c>
      <c r="DK284" s="15" t="inlineStr">
        <is>
          <t>Var(Var(d))</t>
        </is>
      </c>
      <c r="DL284" s="15" t="n">
        <v>19</v>
      </c>
      <c r="DM284" s="15" t="n">
        <v>20</v>
      </c>
      <c r="DN284" s="15" t="n">
        <v>21</v>
      </c>
      <c r="EG284" s="15" t="inlineStr">
        <is>
          <t>Var(Var(d))</t>
        </is>
      </c>
      <c r="EH284" s="15" t="n">
        <v>19</v>
      </c>
      <c r="EI284" s="15" t="n">
        <v>20</v>
      </c>
      <c r="EJ284" s="15" t="n">
        <v>21</v>
      </c>
      <c r="FC284" s="15" t="inlineStr">
        <is>
          <t>Var(Var(d))</t>
        </is>
      </c>
      <c r="FD284" s="15" t="n">
        <v>19</v>
      </c>
      <c r="FE284" s="15" t="n">
        <v>20</v>
      </c>
      <c r="FF284" s="15" t="n">
        <v>21</v>
      </c>
      <c r="FY284" s="15" t="inlineStr">
        <is>
          <t>Var(Var(d))</t>
        </is>
      </c>
      <c r="FZ284" s="15" t="n">
        <v>19</v>
      </c>
      <c r="GA284" s="15" t="n">
        <v>20</v>
      </c>
      <c r="GB284" s="15" t="n">
        <v>21</v>
      </c>
      <c r="GU284" s="15" t="inlineStr">
        <is>
          <t>Var(Var(d))</t>
        </is>
      </c>
      <c r="GV284" s="15" t="n">
        <v>19</v>
      </c>
      <c r="GW284" s="15" t="n">
        <v>20</v>
      </c>
      <c r="GX284" s="15" t="n">
        <v>21</v>
      </c>
    </row>
    <row r="285">
      <c r="C285" s="15" t="n">
        <v>7</v>
      </c>
      <c r="AA285" s="15" t="n">
        <v>7</v>
      </c>
      <c r="AW285" s="15" t="n">
        <v>7</v>
      </c>
      <c r="BS285" s="15" t="n">
        <v>7</v>
      </c>
      <c r="CO285" s="15" t="n">
        <v>7</v>
      </c>
      <c r="DK285" s="15" t="n">
        <v>7</v>
      </c>
      <c r="EG285" s="15" t="n">
        <v>7</v>
      </c>
      <c r="FC285" s="15" t="n">
        <v>7</v>
      </c>
      <c r="FY285" s="15" t="n">
        <v>7</v>
      </c>
      <c r="GU285" s="15" t="n">
        <v>7</v>
      </c>
    </row>
    <row r="286">
      <c r="C286" s="15" t="n">
        <v>8</v>
      </c>
      <c r="AA286" s="15" t="n">
        <v>8</v>
      </c>
      <c r="AW286" s="15" t="n">
        <v>8</v>
      </c>
      <c r="BS286" s="15" t="n">
        <v>8</v>
      </c>
      <c r="CO286" s="15" t="n">
        <v>8</v>
      </c>
      <c r="DK286" s="15" t="n">
        <v>8</v>
      </c>
      <c r="EG286" s="15" t="n">
        <v>8</v>
      </c>
      <c r="FC286" s="15" t="n">
        <v>8</v>
      </c>
      <c r="FY286" s="15" t="n">
        <v>8</v>
      </c>
      <c r="GU286" s="15" t="n">
        <v>8</v>
      </c>
    </row>
    <row r="288">
      <c r="C288" s="15" t="inlineStr">
        <is>
          <t>Var(Var(Cap))</t>
        </is>
      </c>
      <c r="D288" s="15" t="n">
        <v>19</v>
      </c>
      <c r="E288" s="15" t="n">
        <v>20</v>
      </c>
      <c r="F288" s="15" t="n">
        <v>21</v>
      </c>
      <c r="AA288" s="15" t="inlineStr">
        <is>
          <t>Var(Var(Cap))</t>
        </is>
      </c>
      <c r="AB288" s="15" t="n">
        <v>19</v>
      </c>
      <c r="AC288" s="15" t="n">
        <v>20</v>
      </c>
      <c r="AD288" s="15" t="n">
        <v>21</v>
      </c>
      <c r="AW288" s="15" t="inlineStr">
        <is>
          <t>Var(Var(Cap))</t>
        </is>
      </c>
      <c r="AX288" s="15" t="n">
        <v>19</v>
      </c>
      <c r="AY288" s="15" t="n">
        <v>20</v>
      </c>
      <c r="AZ288" s="15" t="n">
        <v>21</v>
      </c>
      <c r="BS288" s="15" t="inlineStr">
        <is>
          <t>Var(Var(Cap))</t>
        </is>
      </c>
      <c r="BT288" s="15" t="n">
        <v>19</v>
      </c>
      <c r="BU288" s="15" t="n">
        <v>20</v>
      </c>
      <c r="BV288" s="15" t="n">
        <v>21</v>
      </c>
      <c r="CO288" s="15" t="inlineStr">
        <is>
          <t>Var(Var(Cap))</t>
        </is>
      </c>
      <c r="CP288" s="15" t="n">
        <v>19</v>
      </c>
      <c r="CQ288" s="15" t="n">
        <v>20</v>
      </c>
      <c r="CR288" s="15" t="n">
        <v>21</v>
      </c>
      <c r="DK288" s="15" t="inlineStr">
        <is>
          <t>Var(Var(Cap))</t>
        </is>
      </c>
      <c r="DL288" s="15" t="n">
        <v>19</v>
      </c>
      <c r="DM288" s="15" t="n">
        <v>20</v>
      </c>
      <c r="DN288" s="15" t="n">
        <v>21</v>
      </c>
      <c r="EG288" s="15" t="inlineStr">
        <is>
          <t>Var(Var(Cap))</t>
        </is>
      </c>
      <c r="EH288" s="15" t="n">
        <v>19</v>
      </c>
      <c r="EI288" s="15" t="n">
        <v>20</v>
      </c>
      <c r="EJ288" s="15" t="n">
        <v>21</v>
      </c>
      <c r="FC288" s="15" t="inlineStr">
        <is>
          <t>Var(Var(Cap))</t>
        </is>
      </c>
      <c r="FD288" s="15" t="n">
        <v>19</v>
      </c>
      <c r="FE288" s="15" t="n">
        <v>20</v>
      </c>
      <c r="FF288" s="15" t="n">
        <v>21</v>
      </c>
      <c r="FY288" s="15" t="inlineStr">
        <is>
          <t>Var(Var(Cap))</t>
        </is>
      </c>
      <c r="FZ288" s="15" t="n">
        <v>19</v>
      </c>
      <c r="GA288" s="15" t="n">
        <v>20</v>
      </c>
      <c r="GB288" s="15" t="n">
        <v>21</v>
      </c>
      <c r="GU288" s="15" t="inlineStr">
        <is>
          <t>Var(Var(Cap))</t>
        </is>
      </c>
      <c r="GV288" s="15" t="n">
        <v>19</v>
      </c>
      <c r="GW288" s="15" t="n">
        <v>20</v>
      </c>
      <c r="GX288" s="15" t="n">
        <v>21</v>
      </c>
    </row>
    <row r="289">
      <c r="C289" s="15" t="n">
        <v>7</v>
      </c>
      <c r="AA289" s="15" t="n">
        <v>7</v>
      </c>
      <c r="AW289" s="15" t="n">
        <v>7</v>
      </c>
      <c r="BS289" s="15" t="n">
        <v>7</v>
      </c>
      <c r="CO289" s="15" t="n">
        <v>7</v>
      </c>
      <c r="DK289" s="15" t="n">
        <v>7</v>
      </c>
      <c r="EG289" s="15" t="n">
        <v>7</v>
      </c>
      <c r="FC289" s="15" t="n">
        <v>7</v>
      </c>
      <c r="FY289" s="15" t="n">
        <v>7</v>
      </c>
      <c r="GU289" s="15" t="n">
        <v>7</v>
      </c>
    </row>
    <row r="290">
      <c r="C290" s="15" t="n">
        <v>8</v>
      </c>
      <c r="AA290" s="15" t="n">
        <v>8</v>
      </c>
      <c r="AW290" s="15" t="n">
        <v>8</v>
      </c>
      <c r="BS290" s="15" t="n">
        <v>8</v>
      </c>
      <c r="CO290" s="15" t="n">
        <v>8</v>
      </c>
      <c r="DK290" s="15" t="n">
        <v>8</v>
      </c>
      <c r="EG290" s="15" t="n">
        <v>8</v>
      </c>
      <c r="FC290" s="15" t="n">
        <v>8</v>
      </c>
      <c r="FY290" s="15" t="n">
        <v>8</v>
      </c>
      <c r="GU290" s="15" t="n">
        <v>8</v>
      </c>
    </row>
    <row r="292">
      <c r="C292" s="15" t="inlineStr">
        <is>
          <t>CV</t>
        </is>
      </c>
      <c r="D292" s="15" t="n">
        <v>19</v>
      </c>
      <c r="E292" s="15" t="n">
        <v>20</v>
      </c>
      <c r="F292" s="15" t="n">
        <v>21</v>
      </c>
      <c r="AA292" s="15" t="inlineStr">
        <is>
          <t>CV</t>
        </is>
      </c>
      <c r="AB292" s="15" t="n">
        <v>19</v>
      </c>
      <c r="AC292" s="15" t="n">
        <v>20</v>
      </c>
      <c r="AD292" s="15" t="n">
        <v>21</v>
      </c>
      <c r="AW292" s="15" t="inlineStr">
        <is>
          <t>CV</t>
        </is>
      </c>
      <c r="AX292" s="15" t="n">
        <v>19</v>
      </c>
      <c r="AY292" s="15" t="n">
        <v>20</v>
      </c>
      <c r="AZ292" s="15" t="n">
        <v>21</v>
      </c>
      <c r="BS292" s="15" t="inlineStr">
        <is>
          <t>CV</t>
        </is>
      </c>
      <c r="BT292" s="15" t="n">
        <v>19</v>
      </c>
      <c r="BU292" s="15" t="n">
        <v>20</v>
      </c>
      <c r="BV292" s="15" t="n">
        <v>21</v>
      </c>
      <c r="CO292" s="15" t="inlineStr">
        <is>
          <t>CV</t>
        </is>
      </c>
      <c r="CP292" s="15" t="n">
        <v>19</v>
      </c>
      <c r="CQ292" s="15" t="n">
        <v>20</v>
      </c>
      <c r="CR292" s="15" t="n">
        <v>21</v>
      </c>
      <c r="DK292" s="15" t="inlineStr">
        <is>
          <t>CV</t>
        </is>
      </c>
      <c r="DL292" s="15" t="n">
        <v>19</v>
      </c>
      <c r="DM292" s="15" t="n">
        <v>20</v>
      </c>
      <c r="DN292" s="15" t="n">
        <v>21</v>
      </c>
      <c r="EG292" s="15" t="inlineStr">
        <is>
          <t>CV</t>
        </is>
      </c>
      <c r="EH292" s="15" t="n">
        <v>19</v>
      </c>
      <c r="EI292" s="15" t="n">
        <v>20</v>
      </c>
      <c r="EJ292" s="15" t="n">
        <v>21</v>
      </c>
      <c r="FC292" s="15" t="inlineStr">
        <is>
          <t>CV</t>
        </is>
      </c>
      <c r="FD292" s="15" t="n">
        <v>19</v>
      </c>
      <c r="FE292" s="15" t="n">
        <v>20</v>
      </c>
      <c r="FF292" s="15" t="n">
        <v>21</v>
      </c>
      <c r="FY292" s="15" t="inlineStr">
        <is>
          <t>CV</t>
        </is>
      </c>
      <c r="FZ292" s="15" t="n">
        <v>19</v>
      </c>
      <c r="GA292" s="15" t="n">
        <v>20</v>
      </c>
      <c r="GB292" s="15" t="n">
        <v>21</v>
      </c>
      <c r="GU292" s="15" t="inlineStr">
        <is>
          <t>CV</t>
        </is>
      </c>
      <c r="GV292" s="15" t="n">
        <v>19</v>
      </c>
      <c r="GW292" s="15" t="n">
        <v>20</v>
      </c>
      <c r="GX292" s="15" t="n">
        <v>21</v>
      </c>
    </row>
    <row r="293">
      <c r="C293" s="15" t="n">
        <v>7</v>
      </c>
      <c r="AA293" s="15" t="n">
        <v>7</v>
      </c>
      <c r="AW293" s="15" t="n">
        <v>7</v>
      </c>
      <c r="BS293" s="15" t="n">
        <v>7</v>
      </c>
      <c r="CO293" s="15" t="n">
        <v>7</v>
      </c>
      <c r="DK293" s="15" t="n">
        <v>7</v>
      </c>
      <c r="EG293" s="15" t="n">
        <v>7</v>
      </c>
      <c r="FC293" s="15" t="n">
        <v>7</v>
      </c>
      <c r="FY293" s="15" t="n">
        <v>7</v>
      </c>
      <c r="GU293" s="15" t="n">
        <v>7</v>
      </c>
    </row>
    <row r="294">
      <c r="C294" s="15" t="n">
        <v>8</v>
      </c>
      <c r="AA294" s="15" t="n">
        <v>8</v>
      </c>
      <c r="AW294" s="15" t="n">
        <v>8</v>
      </c>
      <c r="BS294" s="15" t="n">
        <v>8</v>
      </c>
      <c r="CO294" s="15" t="n">
        <v>8</v>
      </c>
      <c r="DK294" s="15" t="n">
        <v>8</v>
      </c>
      <c r="EG294" s="15" t="n">
        <v>8</v>
      </c>
      <c r="FC294" s="15" t="n">
        <v>8</v>
      </c>
      <c r="FY294" s="15" t="n">
        <v>8</v>
      </c>
      <c r="GU294" s="15" t="n">
        <v>8</v>
      </c>
    </row>
    <row r="296">
      <c r="C296" s="15" t="inlineStr">
        <is>
          <t>Planned Stock</t>
        </is>
      </c>
      <c r="D296" s="15" t="n">
        <v>19</v>
      </c>
      <c r="E296" s="15" t="n">
        <v>20</v>
      </c>
      <c r="F296" s="15" t="n">
        <v>21</v>
      </c>
      <c r="AA296" s="15" t="inlineStr">
        <is>
          <t>Planned Stock</t>
        </is>
      </c>
      <c r="AB296" s="15" t="n">
        <v>19</v>
      </c>
      <c r="AC296" s="15" t="n">
        <v>20</v>
      </c>
      <c r="AD296" s="15" t="n">
        <v>21</v>
      </c>
      <c r="AW296" s="15" t="inlineStr">
        <is>
          <t>Planned Stock</t>
        </is>
      </c>
      <c r="AX296" s="15" t="n">
        <v>19</v>
      </c>
      <c r="AY296" s="15" t="n">
        <v>20</v>
      </c>
      <c r="AZ296" s="15" t="n">
        <v>21</v>
      </c>
      <c r="BS296" s="15" t="inlineStr">
        <is>
          <t>Planned Stock</t>
        </is>
      </c>
      <c r="BT296" s="15" t="n">
        <v>19</v>
      </c>
      <c r="BU296" s="15" t="n">
        <v>20</v>
      </c>
      <c r="BV296" s="15" t="n">
        <v>21</v>
      </c>
      <c r="CO296" s="15" t="inlineStr">
        <is>
          <t>Planned Stock</t>
        </is>
      </c>
      <c r="CP296" s="15" t="n">
        <v>19</v>
      </c>
      <c r="CQ296" s="15" t="n">
        <v>20</v>
      </c>
      <c r="CR296" s="15" t="n">
        <v>21</v>
      </c>
      <c r="DK296" s="15" t="inlineStr">
        <is>
          <t>Planned Stock</t>
        </is>
      </c>
      <c r="DL296" s="15" t="n">
        <v>19</v>
      </c>
      <c r="DM296" s="15" t="n">
        <v>20</v>
      </c>
      <c r="DN296" s="15" t="n">
        <v>21</v>
      </c>
      <c r="EG296" s="15" t="inlineStr">
        <is>
          <t>Planned Stock</t>
        </is>
      </c>
      <c r="EH296" s="15" t="n">
        <v>19</v>
      </c>
      <c r="EI296" s="15" t="n">
        <v>20</v>
      </c>
      <c r="EJ296" s="15" t="n">
        <v>21</v>
      </c>
      <c r="FC296" s="15" t="inlineStr">
        <is>
          <t>Planned Stock</t>
        </is>
      </c>
      <c r="FD296" s="15" t="n">
        <v>19</v>
      </c>
      <c r="FE296" s="15" t="n">
        <v>20</v>
      </c>
      <c r="FF296" s="15" t="n">
        <v>21</v>
      </c>
      <c r="FY296" s="15" t="inlineStr">
        <is>
          <t>Planned Stock</t>
        </is>
      </c>
      <c r="FZ296" s="15" t="n">
        <v>19</v>
      </c>
      <c r="GA296" s="15" t="n">
        <v>20</v>
      </c>
      <c r="GB296" s="15" t="n">
        <v>21</v>
      </c>
      <c r="GU296" s="15" t="inlineStr">
        <is>
          <t>Planned Stock</t>
        </is>
      </c>
      <c r="GV296" s="15" t="n">
        <v>19</v>
      </c>
      <c r="GW296" s="15" t="n">
        <v>20</v>
      </c>
      <c r="GX296" s="15" t="n">
        <v>21</v>
      </c>
    </row>
    <row r="297">
      <c r="C297" s="15" t="n">
        <v>7</v>
      </c>
      <c r="AA297" s="15" t="n">
        <v>7</v>
      </c>
      <c r="AW297" s="15" t="n">
        <v>7</v>
      </c>
      <c r="BS297" s="15" t="n">
        <v>7</v>
      </c>
      <c r="CO297" s="15" t="n">
        <v>7</v>
      </c>
      <c r="DK297" s="15" t="n">
        <v>7</v>
      </c>
      <c r="EG297" s="15" t="n">
        <v>7</v>
      </c>
      <c r="FC297" s="15" t="n">
        <v>7</v>
      </c>
      <c r="FY297" s="15" t="n">
        <v>7</v>
      </c>
      <c r="GU297" s="15" t="n">
        <v>7</v>
      </c>
    </row>
    <row r="298">
      <c r="C298" s="15" t="n">
        <v>8</v>
      </c>
      <c r="AA298" s="15" t="n">
        <v>8</v>
      </c>
      <c r="AW298" s="15" t="n">
        <v>8</v>
      </c>
      <c r="BS298" s="15" t="n">
        <v>8</v>
      </c>
      <c r="CO298" s="15" t="n">
        <v>8</v>
      </c>
      <c r="DK298" s="15" t="n">
        <v>8</v>
      </c>
      <c r="EG298" s="15" t="n">
        <v>8</v>
      </c>
      <c r="FC298" s="15" t="n">
        <v>8</v>
      </c>
      <c r="FY298" s="15" t="n">
        <v>8</v>
      </c>
      <c r="GU298" s="15" t="n">
        <v>8</v>
      </c>
    </row>
    <row r="300" ht="16.2" customHeight="1">
      <c r="C300" s="15" t="inlineStr">
        <is>
          <t>Variance coeff - z(S2nd)</t>
        </is>
      </c>
      <c r="D300" s="15" t="n">
        <v>19</v>
      </c>
      <c r="E300" s="15" t="n">
        <v>20</v>
      </c>
      <c r="F300" s="15" t="n">
        <v>21</v>
      </c>
      <c r="AA300" s="15" t="inlineStr">
        <is>
          <t>Variance coeff - z(S2nd)</t>
        </is>
      </c>
      <c r="AB300" s="15" t="n">
        <v>19</v>
      </c>
      <c r="AC300" s="15" t="n">
        <v>20</v>
      </c>
      <c r="AD300" s="15" t="n">
        <v>21</v>
      </c>
      <c r="AW300" s="15" t="inlineStr">
        <is>
          <t>Variance coeff - z(S2nd)</t>
        </is>
      </c>
      <c r="AX300" s="15" t="n">
        <v>19</v>
      </c>
      <c r="AY300" s="15" t="n">
        <v>20</v>
      </c>
      <c r="AZ300" s="15" t="n">
        <v>21</v>
      </c>
      <c r="BS300" s="15" t="inlineStr">
        <is>
          <t>Variance coeff - z(S2nd)</t>
        </is>
      </c>
      <c r="BT300" s="15" t="n">
        <v>19</v>
      </c>
      <c r="BU300" s="15" t="n">
        <v>20</v>
      </c>
      <c r="BV300" s="15" t="n">
        <v>21</v>
      </c>
      <c r="CO300" s="15" t="inlineStr">
        <is>
          <t>Variance coeff - z(S2nd)</t>
        </is>
      </c>
      <c r="CP300" s="15" t="n">
        <v>19</v>
      </c>
      <c r="CQ300" s="15" t="n">
        <v>20</v>
      </c>
      <c r="CR300" s="15" t="n">
        <v>21</v>
      </c>
      <c r="DK300" s="15" t="inlineStr">
        <is>
          <t>Variance coeff - z(S2nd)</t>
        </is>
      </c>
      <c r="DL300" s="15" t="n">
        <v>19</v>
      </c>
      <c r="DM300" s="15" t="n">
        <v>20</v>
      </c>
      <c r="DN300" s="15" t="n">
        <v>21</v>
      </c>
      <c r="EG300" s="15" t="inlineStr">
        <is>
          <t>Variance coeff - z(S2nd)</t>
        </is>
      </c>
      <c r="EH300" s="15" t="n">
        <v>19</v>
      </c>
      <c r="EI300" s="15" t="n">
        <v>20</v>
      </c>
      <c r="EJ300" s="15" t="n">
        <v>21</v>
      </c>
      <c r="FC300" s="15" t="inlineStr">
        <is>
          <t>Variance coeff - z(S2nd)</t>
        </is>
      </c>
      <c r="FD300" s="15" t="n">
        <v>19</v>
      </c>
      <c r="FE300" s="15" t="n">
        <v>20</v>
      </c>
      <c r="FF300" s="15" t="n">
        <v>21</v>
      </c>
      <c r="FY300" s="15" t="inlineStr">
        <is>
          <t>Variance coeff - z(S2nd)</t>
        </is>
      </c>
      <c r="FZ300" s="15" t="n">
        <v>19</v>
      </c>
      <c r="GA300" s="15" t="n">
        <v>20</v>
      </c>
      <c r="GB300" s="15" t="n">
        <v>21</v>
      </c>
      <c r="GU300" s="15" t="inlineStr">
        <is>
          <t>Variance coeff - z(S2nd)</t>
        </is>
      </c>
      <c r="GV300" s="15" t="n">
        <v>19</v>
      </c>
      <c r="GW300" s="15" t="n">
        <v>20</v>
      </c>
      <c r="GX300" s="15" t="n">
        <v>21</v>
      </c>
    </row>
    <row r="301">
      <c r="C301" s="15" t="n">
        <v>7</v>
      </c>
      <c r="AA301" s="15" t="n">
        <v>7</v>
      </c>
      <c r="AW301" s="15" t="n">
        <v>7</v>
      </c>
      <c r="BS301" s="15" t="n">
        <v>7</v>
      </c>
      <c r="CO301" s="15" t="n">
        <v>7</v>
      </c>
      <c r="DK301" s="15" t="n">
        <v>7</v>
      </c>
      <c r="EG301" s="15" t="n">
        <v>7</v>
      </c>
      <c r="FC301" s="15" t="n">
        <v>7</v>
      </c>
      <c r="FY301" s="15" t="n">
        <v>7</v>
      </c>
      <c r="GU301" s="15" t="n">
        <v>7</v>
      </c>
    </row>
    <row r="302">
      <c r="C302" s="15" t="n">
        <v>8</v>
      </c>
      <c r="AA302" s="15" t="n">
        <v>8</v>
      </c>
      <c r="AW302" s="15" t="n">
        <v>8</v>
      </c>
      <c r="BS302" s="15" t="n">
        <v>8</v>
      </c>
      <c r="CO302" s="15" t="n">
        <v>8</v>
      </c>
      <c r="DK302" s="15" t="n">
        <v>8</v>
      </c>
      <c r="EG302" s="15" t="n">
        <v>8</v>
      </c>
      <c r="FC302" s="15" t="n">
        <v>8</v>
      </c>
      <c r="FY302" s="15" t="n">
        <v>8</v>
      </c>
      <c r="GU302" s="15" t="n">
        <v>8</v>
      </c>
    </row>
    <row r="304">
      <c r="C304" s="15" t="inlineStr">
        <is>
          <t>demand</t>
        </is>
      </c>
      <c r="D304" s="15" t="n">
        <v>19</v>
      </c>
      <c r="E304" s="15" t="n">
        <v>20</v>
      </c>
      <c r="F304" s="15" t="n">
        <v>21</v>
      </c>
      <c r="AA304" s="15" t="inlineStr">
        <is>
          <t>demand</t>
        </is>
      </c>
      <c r="AB304" s="15" t="n">
        <v>19</v>
      </c>
      <c r="AC304" s="15" t="n">
        <v>20</v>
      </c>
      <c r="AD304" s="15" t="n">
        <v>21</v>
      </c>
      <c r="AW304" s="15" t="inlineStr">
        <is>
          <t>demand</t>
        </is>
      </c>
      <c r="AX304" s="15" t="n">
        <v>19</v>
      </c>
      <c r="AY304" s="15" t="n">
        <v>20</v>
      </c>
      <c r="AZ304" s="15" t="n">
        <v>21</v>
      </c>
      <c r="BS304" s="15" t="inlineStr">
        <is>
          <t>demand</t>
        </is>
      </c>
      <c r="BT304" s="15" t="n">
        <v>19</v>
      </c>
      <c r="BU304" s="15" t="n">
        <v>20</v>
      </c>
      <c r="BV304" s="15" t="n">
        <v>21</v>
      </c>
      <c r="CO304" s="15" t="inlineStr">
        <is>
          <t>demand</t>
        </is>
      </c>
      <c r="CP304" s="15" t="n">
        <v>19</v>
      </c>
      <c r="CQ304" s="15" t="n">
        <v>20</v>
      </c>
      <c r="CR304" s="15" t="n">
        <v>21</v>
      </c>
      <c r="DK304" s="15" t="inlineStr">
        <is>
          <t>demand</t>
        </is>
      </c>
      <c r="DL304" s="15" t="n">
        <v>19</v>
      </c>
      <c r="DM304" s="15" t="n">
        <v>20</v>
      </c>
      <c r="DN304" s="15" t="n">
        <v>21</v>
      </c>
      <c r="EG304" s="15" t="inlineStr">
        <is>
          <t>demand</t>
        </is>
      </c>
      <c r="EH304" s="15" t="n">
        <v>19</v>
      </c>
      <c r="EI304" s="15" t="n">
        <v>20</v>
      </c>
      <c r="EJ304" s="15" t="n">
        <v>21</v>
      </c>
      <c r="FC304" s="15" t="inlineStr">
        <is>
          <t>demand</t>
        </is>
      </c>
      <c r="FD304" s="15" t="n">
        <v>19</v>
      </c>
      <c r="FE304" s="15" t="n">
        <v>20</v>
      </c>
      <c r="FF304" s="15" t="n">
        <v>21</v>
      </c>
      <c r="FY304" s="15" t="inlineStr">
        <is>
          <t>demand</t>
        </is>
      </c>
      <c r="FZ304" s="15" t="n">
        <v>19</v>
      </c>
      <c r="GA304" s="15" t="n">
        <v>20</v>
      </c>
      <c r="GB304" s="15" t="n">
        <v>21</v>
      </c>
      <c r="GU304" s="15" t="inlineStr">
        <is>
          <t>demand</t>
        </is>
      </c>
      <c r="GV304" s="15" t="n">
        <v>19</v>
      </c>
      <c r="GW304" s="15" t="n">
        <v>20</v>
      </c>
      <c r="GX304" s="15" t="n">
        <v>21</v>
      </c>
    </row>
    <row r="305">
      <c r="C305" s="15" t="n">
        <v>7</v>
      </c>
      <c r="AA305" s="15" t="n">
        <v>7</v>
      </c>
      <c r="AW305" s="15" t="n">
        <v>7</v>
      </c>
      <c r="BS305" s="15" t="n">
        <v>7</v>
      </c>
      <c r="CO305" s="15" t="n">
        <v>7</v>
      </c>
      <c r="DK305" s="15" t="n">
        <v>7</v>
      </c>
      <c r="EG305" s="15" t="n">
        <v>7</v>
      </c>
      <c r="FC305" s="15" t="n">
        <v>7</v>
      </c>
      <c r="FY305" s="15" t="n">
        <v>7</v>
      </c>
      <c r="GU305" s="15" t="n">
        <v>7</v>
      </c>
    </row>
    <row r="306">
      <c r="C306" s="15" t="n">
        <v>8</v>
      </c>
      <c r="AA306" s="15" t="n">
        <v>8</v>
      </c>
      <c r="AW306" s="15" t="n">
        <v>8</v>
      </c>
      <c r="BS306" s="15" t="n">
        <v>8</v>
      </c>
      <c r="CO306" s="15" t="n">
        <v>8</v>
      </c>
      <c r="DK306" s="15" t="n">
        <v>8</v>
      </c>
      <c r="EG306" s="15" t="n">
        <v>8</v>
      </c>
      <c r="FC306" s="15" t="n">
        <v>8</v>
      </c>
      <c r="FY306" s="15" t="n">
        <v>8</v>
      </c>
      <c r="GU306" s="15" t="n">
        <v>8</v>
      </c>
    </row>
    <row r="308">
      <c r="B308" s="15" t="inlineStr">
        <is>
          <t>Parâmetros p/ μy</t>
        </is>
      </c>
      <c r="C308" s="15" t="inlineStr">
        <is>
          <t>Média(E(RLT))</t>
        </is>
      </c>
      <c r="D308" s="15" t="n">
        <v>19</v>
      </c>
      <c r="E308" s="15" t="n">
        <v>20</v>
      </c>
      <c r="F308" s="15" t="n">
        <v>21</v>
      </c>
      <c r="Z308" s="15" t="inlineStr">
        <is>
          <t>Parâmetros p/ μy</t>
        </is>
      </c>
      <c r="AA308" s="15" t="inlineStr">
        <is>
          <t>Média(E(RLT))</t>
        </is>
      </c>
      <c r="AB308" s="15" t="n">
        <v>19</v>
      </c>
      <c r="AC308" s="15" t="n">
        <v>20</v>
      </c>
      <c r="AD308" s="15" t="n">
        <v>21</v>
      </c>
      <c r="AV308" s="15" t="inlineStr">
        <is>
          <t>Parâmetros p/ μy</t>
        </is>
      </c>
      <c r="AW308" s="15" t="inlineStr">
        <is>
          <t>Média(E(RLT))</t>
        </is>
      </c>
      <c r="AX308" s="15" t="n">
        <v>19</v>
      </c>
      <c r="AY308" s="15" t="n">
        <v>20</v>
      </c>
      <c r="AZ308" s="15" t="n">
        <v>21</v>
      </c>
      <c r="BR308" s="15" t="inlineStr">
        <is>
          <t>Parâmetros p/ μy</t>
        </is>
      </c>
      <c r="BS308" s="15" t="inlineStr">
        <is>
          <t>Média(E(RLT))</t>
        </is>
      </c>
      <c r="BT308" s="15" t="n">
        <v>19</v>
      </c>
      <c r="BU308" s="15" t="n">
        <v>20</v>
      </c>
      <c r="BV308" s="15" t="n">
        <v>21</v>
      </c>
      <c r="CN308" s="15" t="inlineStr">
        <is>
          <t>Parâmetros p/ μy</t>
        </is>
      </c>
      <c r="CO308" s="15" t="inlineStr">
        <is>
          <t>Média(E(RLT))</t>
        </is>
      </c>
      <c r="CP308" s="15" t="n">
        <v>19</v>
      </c>
      <c r="CQ308" s="15" t="n">
        <v>20</v>
      </c>
      <c r="CR308" s="15" t="n">
        <v>21</v>
      </c>
      <c r="DJ308" s="15" t="inlineStr">
        <is>
          <t>Parâmetros p/ μy</t>
        </is>
      </c>
      <c r="DK308" s="15" t="inlineStr">
        <is>
          <t>Média(E(RLT))</t>
        </is>
      </c>
      <c r="DL308" s="15" t="n">
        <v>19</v>
      </c>
      <c r="DM308" s="15" t="n">
        <v>20</v>
      </c>
      <c r="DN308" s="15" t="n">
        <v>21</v>
      </c>
      <c r="EF308" s="15" t="inlineStr">
        <is>
          <t>Parâmetros p/ μy</t>
        </is>
      </c>
      <c r="EG308" s="15" t="inlineStr">
        <is>
          <t>Média(E(RLT))</t>
        </is>
      </c>
      <c r="EH308" s="15" t="n">
        <v>19</v>
      </c>
      <c r="EI308" s="15" t="n">
        <v>20</v>
      </c>
      <c r="EJ308" s="15" t="n">
        <v>21</v>
      </c>
      <c r="FB308" s="15" t="inlineStr">
        <is>
          <t>Parâmetros p/ μy</t>
        </is>
      </c>
      <c r="FC308" s="15" t="inlineStr">
        <is>
          <t>Média(E(RLT))</t>
        </is>
      </c>
      <c r="FD308" s="15" t="n">
        <v>19</v>
      </c>
      <c r="FE308" s="15" t="n">
        <v>20</v>
      </c>
      <c r="FF308" s="15" t="n">
        <v>21</v>
      </c>
      <c r="FX308" s="15" t="inlineStr">
        <is>
          <t>Parâmetros p/ μy</t>
        </is>
      </c>
      <c r="FY308" s="15" t="inlineStr">
        <is>
          <t>Média(E(RLT))</t>
        </is>
      </c>
      <c r="FZ308" s="15" t="n">
        <v>19</v>
      </c>
      <c r="GA308" s="15" t="n">
        <v>20</v>
      </c>
      <c r="GB308" s="15" t="n">
        <v>21</v>
      </c>
      <c r="GT308" s="15" t="inlineStr">
        <is>
          <t>Parâmetros p/ μy</t>
        </is>
      </c>
      <c r="GU308" s="15" t="inlineStr">
        <is>
          <t>Média(E(RLT))</t>
        </is>
      </c>
      <c r="GV308" s="15" t="n">
        <v>19</v>
      </c>
      <c r="GW308" s="15" t="n">
        <v>20</v>
      </c>
      <c r="GX308" s="15" t="n">
        <v>21</v>
      </c>
    </row>
    <row r="309" ht="16.2" customHeight="1">
      <c r="B309" s="15" t="inlineStr">
        <is>
          <t>ND*RLT e S2nd</t>
        </is>
      </c>
      <c r="C309" s="15" t="n">
        <v>7</v>
      </c>
      <c r="Z309" s="15" t="inlineStr">
        <is>
          <t>ND*RLT e S2nd</t>
        </is>
      </c>
      <c r="AA309" s="15" t="n">
        <v>7</v>
      </c>
      <c r="AV309" s="15" t="inlineStr">
        <is>
          <t>ND*RLT e S2nd</t>
        </is>
      </c>
      <c r="AW309" s="15" t="n">
        <v>7</v>
      </c>
      <c r="BR309" s="15" t="inlineStr">
        <is>
          <t>ND*RLT e S2nd</t>
        </is>
      </c>
      <c r="BS309" s="15" t="n">
        <v>7</v>
      </c>
      <c r="CN309" s="15" t="inlineStr">
        <is>
          <t>ND*RLT e S2nd</t>
        </is>
      </c>
      <c r="CO309" s="15" t="n">
        <v>7</v>
      </c>
      <c r="DJ309" s="15" t="inlineStr">
        <is>
          <t>ND*RLT e S2nd</t>
        </is>
      </c>
      <c r="DK309" s="15" t="n">
        <v>7</v>
      </c>
      <c r="EF309" s="15" t="inlineStr">
        <is>
          <t>ND*RLT e S2nd</t>
        </is>
      </c>
      <c r="EG309" s="15" t="n">
        <v>7</v>
      </c>
      <c r="FB309" s="15" t="inlineStr">
        <is>
          <t>ND*RLT e S2nd</t>
        </is>
      </c>
      <c r="FC309" s="15" t="n">
        <v>7</v>
      </c>
      <c r="FX309" s="15" t="inlineStr">
        <is>
          <t>ND*RLT e S2nd</t>
        </is>
      </c>
      <c r="FY309" s="15" t="n">
        <v>7</v>
      </c>
      <c r="GT309" s="15" t="inlineStr">
        <is>
          <t>ND*RLT e S2nd</t>
        </is>
      </c>
      <c r="GU309" s="15" t="n">
        <v>7</v>
      </c>
    </row>
    <row r="310">
      <c r="C310" s="15" t="n">
        <v>8</v>
      </c>
      <c r="AA310" s="15" t="n">
        <v>8</v>
      </c>
      <c r="AW310" s="15" t="n">
        <v>8</v>
      </c>
      <c r="BS310" s="15" t="n">
        <v>8</v>
      </c>
      <c r="CO310" s="15" t="n">
        <v>8</v>
      </c>
      <c r="DK310" s="15" t="n">
        <v>8</v>
      </c>
      <c r="EG310" s="15" t="n">
        <v>8</v>
      </c>
      <c r="FC310" s="15" t="n">
        <v>8</v>
      </c>
      <c r="FY310" s="15" t="n">
        <v>8</v>
      </c>
      <c r="GU310" s="15" t="n">
        <v>8</v>
      </c>
    </row>
    <row r="312">
      <c r="C312" s="15" t="inlineStr">
        <is>
          <t>Cap</t>
        </is>
      </c>
      <c r="D312" s="15" t="n">
        <v>19</v>
      </c>
      <c r="E312" s="15" t="n">
        <v>20</v>
      </c>
      <c r="F312" s="15" t="n">
        <v>21</v>
      </c>
      <c r="AA312" s="15" t="inlineStr">
        <is>
          <t>Cap</t>
        </is>
      </c>
      <c r="AB312" s="15" t="n">
        <v>19</v>
      </c>
      <c r="AC312" s="15" t="n">
        <v>20</v>
      </c>
      <c r="AD312" s="15" t="n">
        <v>21</v>
      </c>
      <c r="AW312" s="15" t="inlineStr">
        <is>
          <t>Cap</t>
        </is>
      </c>
      <c r="AX312" s="15" t="n">
        <v>19</v>
      </c>
      <c r="AY312" s="15" t="n">
        <v>20</v>
      </c>
      <c r="AZ312" s="15" t="n">
        <v>21</v>
      </c>
      <c r="BS312" s="15" t="inlineStr">
        <is>
          <t>Cap</t>
        </is>
      </c>
      <c r="BT312" s="15" t="n">
        <v>19</v>
      </c>
      <c r="BU312" s="15" t="n">
        <v>20</v>
      </c>
      <c r="BV312" s="15" t="n">
        <v>21</v>
      </c>
      <c r="CO312" s="15" t="inlineStr">
        <is>
          <t>Cap</t>
        </is>
      </c>
      <c r="CP312" s="15" t="n">
        <v>19</v>
      </c>
      <c r="CQ312" s="15" t="n">
        <v>20</v>
      </c>
      <c r="CR312" s="15" t="n">
        <v>21</v>
      </c>
      <c r="DK312" s="15" t="inlineStr">
        <is>
          <t>Cap</t>
        </is>
      </c>
      <c r="DL312" s="15" t="n">
        <v>19</v>
      </c>
      <c r="DM312" s="15" t="n">
        <v>20</v>
      </c>
      <c r="DN312" s="15" t="n">
        <v>21</v>
      </c>
      <c r="EG312" s="15" t="inlineStr">
        <is>
          <t>Cap</t>
        </is>
      </c>
      <c r="EH312" s="15" t="n">
        <v>19</v>
      </c>
      <c r="EI312" s="15" t="n">
        <v>20</v>
      </c>
      <c r="EJ312" s="15" t="n">
        <v>21</v>
      </c>
      <c r="FC312" s="15" t="inlineStr">
        <is>
          <t>Cap</t>
        </is>
      </c>
      <c r="FD312" s="15" t="n">
        <v>19</v>
      </c>
      <c r="FE312" s="15" t="n">
        <v>20</v>
      </c>
      <c r="FF312" s="15" t="n">
        <v>21</v>
      </c>
      <c r="FY312" s="15" t="inlineStr">
        <is>
          <t>Cap</t>
        </is>
      </c>
      <c r="FZ312" s="15" t="n">
        <v>19</v>
      </c>
      <c r="GA312" s="15" t="n">
        <v>20</v>
      </c>
      <c r="GB312" s="15" t="n">
        <v>21</v>
      </c>
      <c r="GU312" s="15" t="inlineStr">
        <is>
          <t>Cap</t>
        </is>
      </c>
      <c r="GV312" s="15" t="n">
        <v>19</v>
      </c>
      <c r="GW312" s="15" t="n">
        <v>20</v>
      </c>
      <c r="GX312" s="15" t="n">
        <v>21</v>
      </c>
    </row>
    <row r="313">
      <c r="C313" s="15" t="n">
        <v>7</v>
      </c>
      <c r="AA313" s="15" t="n">
        <v>7</v>
      </c>
      <c r="AW313" s="15" t="n">
        <v>7</v>
      </c>
      <c r="BS313" s="15" t="n">
        <v>7</v>
      </c>
      <c r="CO313" s="15" t="n">
        <v>7</v>
      </c>
      <c r="DK313" s="15" t="n">
        <v>7</v>
      </c>
      <c r="EG313" s="15" t="n">
        <v>7</v>
      </c>
      <c r="FC313" s="15" t="n">
        <v>7</v>
      </c>
      <c r="FY313" s="15" t="n">
        <v>7</v>
      </c>
      <c r="GU313" s="15" t="n">
        <v>7</v>
      </c>
    </row>
    <row r="314">
      <c r="C314" s="15" t="n">
        <v>8</v>
      </c>
      <c r="AA314" s="15" t="n">
        <v>8</v>
      </c>
      <c r="AW314" s="15" t="n">
        <v>8</v>
      </c>
      <c r="BS314" s="15" t="n">
        <v>8</v>
      </c>
      <c r="CO314" s="15" t="n">
        <v>8</v>
      </c>
      <c r="DK314" s="15" t="n">
        <v>8</v>
      </c>
      <c r="EG314" s="15" t="n">
        <v>8</v>
      </c>
      <c r="FC314" s="15" t="n">
        <v>8</v>
      </c>
      <c r="FY314" s="15" t="n">
        <v>8</v>
      </c>
      <c r="GU314" s="15" t="n">
        <v>8</v>
      </c>
    </row>
    <row r="316">
      <c r="B316" s="15" t="inlineStr">
        <is>
          <t>Parâmetros p/ μx</t>
        </is>
      </c>
      <c r="C316" s="15" t="inlineStr">
        <is>
          <t>Var(d-cap)</t>
        </is>
      </c>
      <c r="D316" s="15" t="n">
        <v>19</v>
      </c>
      <c r="E316" s="15" t="n">
        <v>20</v>
      </c>
      <c r="F316" s="15" t="n">
        <v>21</v>
      </c>
      <c r="Z316" s="15" t="inlineStr">
        <is>
          <t>Parâmetros p/ μx</t>
        </is>
      </c>
      <c r="AA316" s="15" t="inlineStr">
        <is>
          <t>Var(d-cap)</t>
        </is>
      </c>
      <c r="AB316" s="15" t="n">
        <v>19</v>
      </c>
      <c r="AC316" s="15" t="n">
        <v>20</v>
      </c>
      <c r="AD316" s="15" t="n">
        <v>21</v>
      </c>
      <c r="AV316" s="15" t="inlineStr">
        <is>
          <t>Parâmetros p/ μx</t>
        </is>
      </c>
      <c r="AW316" s="15" t="inlineStr">
        <is>
          <t>Var(d-cap)</t>
        </is>
      </c>
      <c r="AX316" s="15" t="n">
        <v>19</v>
      </c>
      <c r="AY316" s="15" t="n">
        <v>20</v>
      </c>
      <c r="AZ316" s="15" t="n">
        <v>21</v>
      </c>
      <c r="BR316" s="15" t="inlineStr">
        <is>
          <t>Parâmetros p/ μx</t>
        </is>
      </c>
      <c r="BS316" s="15" t="inlineStr">
        <is>
          <t>Var(d-cap)</t>
        </is>
      </c>
      <c r="BT316" s="15" t="n">
        <v>19</v>
      </c>
      <c r="BU316" s="15" t="n">
        <v>20</v>
      </c>
      <c r="BV316" s="15" t="n">
        <v>21</v>
      </c>
      <c r="CN316" s="15" t="inlineStr">
        <is>
          <t>Parâmetros p/ μx</t>
        </is>
      </c>
      <c r="CO316" s="15" t="inlineStr">
        <is>
          <t>Var(d-cap)</t>
        </is>
      </c>
      <c r="CP316" s="15" t="n">
        <v>19</v>
      </c>
      <c r="CQ316" s="15" t="n">
        <v>20</v>
      </c>
      <c r="CR316" s="15" t="n">
        <v>21</v>
      </c>
      <c r="DJ316" s="15" t="inlineStr">
        <is>
          <t>Parâmetros p/ μx</t>
        </is>
      </c>
      <c r="DK316" s="15" t="inlineStr">
        <is>
          <t>Var(d-cap)</t>
        </is>
      </c>
      <c r="DL316" s="15" t="n">
        <v>19</v>
      </c>
      <c r="DM316" s="15" t="n">
        <v>20</v>
      </c>
      <c r="DN316" s="15" t="n">
        <v>21</v>
      </c>
      <c r="EF316" s="15" t="inlineStr">
        <is>
          <t>Parâmetros p/ μx</t>
        </is>
      </c>
      <c r="EG316" s="15" t="inlineStr">
        <is>
          <t>Var(d-cap)</t>
        </is>
      </c>
      <c r="EH316" s="15" t="n">
        <v>19</v>
      </c>
      <c r="EI316" s="15" t="n">
        <v>20</v>
      </c>
      <c r="EJ316" s="15" t="n">
        <v>21</v>
      </c>
      <c r="FB316" s="15" t="inlineStr">
        <is>
          <t>Parâmetros p/ μx</t>
        </is>
      </c>
      <c r="FC316" s="15" t="inlineStr">
        <is>
          <t>Var(d-cap)</t>
        </is>
      </c>
      <c r="FD316" s="15" t="n">
        <v>19</v>
      </c>
      <c r="FE316" s="15" t="n">
        <v>20</v>
      </c>
      <c r="FF316" s="15" t="n">
        <v>21</v>
      </c>
      <c r="FX316" s="15" t="inlineStr">
        <is>
          <t>Parâmetros p/ μx</t>
        </is>
      </c>
      <c r="FY316" s="15" t="inlineStr">
        <is>
          <t>Var(d-cap)</t>
        </is>
      </c>
      <c r="FZ316" s="15" t="n">
        <v>19</v>
      </c>
      <c r="GA316" s="15" t="n">
        <v>20</v>
      </c>
      <c r="GB316" s="15" t="n">
        <v>21</v>
      </c>
      <c r="GT316" s="15" t="inlineStr">
        <is>
          <t>Parâmetros p/ μx</t>
        </is>
      </c>
      <c r="GU316" s="15" t="inlineStr">
        <is>
          <t>Var(d-cap)</t>
        </is>
      </c>
      <c r="GV316" s="15" t="n">
        <v>19</v>
      </c>
      <c r="GW316" s="15" t="n">
        <v>20</v>
      </c>
      <c r="GX316" s="15" t="n">
        <v>21</v>
      </c>
    </row>
    <row r="317" ht="16.2" customHeight="1">
      <c r="B317" s="15" t="inlineStr">
        <is>
          <t>S2nd</t>
        </is>
      </c>
      <c r="C317" s="15" t="n">
        <v>7</v>
      </c>
      <c r="Z317" s="15" t="inlineStr">
        <is>
          <t>S2nd</t>
        </is>
      </c>
      <c r="AA317" s="15" t="n">
        <v>7</v>
      </c>
      <c r="AV317" s="15" t="inlineStr">
        <is>
          <t>S2nd</t>
        </is>
      </c>
      <c r="AW317" s="15" t="n">
        <v>7</v>
      </c>
      <c r="BR317" s="15" t="inlineStr">
        <is>
          <t>S2nd</t>
        </is>
      </c>
      <c r="BS317" s="15" t="n">
        <v>7</v>
      </c>
      <c r="CN317" s="15" t="inlineStr">
        <is>
          <t>S2nd</t>
        </is>
      </c>
      <c r="CO317" s="15" t="n">
        <v>7</v>
      </c>
      <c r="DJ317" s="15" t="inlineStr">
        <is>
          <t>S2nd</t>
        </is>
      </c>
      <c r="DK317" s="15" t="n">
        <v>7</v>
      </c>
      <c r="EF317" s="15" t="inlineStr">
        <is>
          <t>S2nd</t>
        </is>
      </c>
      <c r="EG317" s="15" t="n">
        <v>7</v>
      </c>
      <c r="FB317" s="15" t="inlineStr">
        <is>
          <t>S2nd</t>
        </is>
      </c>
      <c r="FC317" s="15" t="n">
        <v>7</v>
      </c>
      <c r="FX317" s="15" t="inlineStr">
        <is>
          <t>S2nd</t>
        </is>
      </c>
      <c r="FY317" s="15" t="n">
        <v>7</v>
      </c>
      <c r="GT317" s="15" t="inlineStr">
        <is>
          <t>S2nd</t>
        </is>
      </c>
      <c r="GU317" s="15" t="n">
        <v>7</v>
      </c>
    </row>
    <row r="318">
      <c r="C318" s="15" t="n">
        <v>8</v>
      </c>
      <c r="AA318" s="15" t="n">
        <v>8</v>
      </c>
      <c r="AW318" s="15" t="n">
        <v>8</v>
      </c>
      <c r="BS318" s="15" t="n">
        <v>8</v>
      </c>
      <c r="CO318" s="15" t="n">
        <v>8</v>
      </c>
      <c r="DK318" s="15" t="n">
        <v>8</v>
      </c>
      <c r="EG318" s="15" t="n">
        <v>8</v>
      </c>
      <c r="FC318" s="15" t="n">
        <v>8</v>
      </c>
      <c r="FY318" s="15" t="n">
        <v>8</v>
      </c>
      <c r="GU318" s="15" t="n">
        <v>8</v>
      </c>
    </row>
    <row r="320">
      <c r="B320" s="15" t="inlineStr">
        <is>
          <t>Parâmetros p/ σx</t>
        </is>
      </c>
      <c r="C320" s="15" t="inlineStr">
        <is>
          <t>Desvpad(Var(S2nd))</t>
        </is>
      </c>
      <c r="D320" s="15" t="n">
        <v>19</v>
      </c>
      <c r="E320" s="15" t="n">
        <v>20</v>
      </c>
      <c r="F320" s="15" t="n">
        <v>21</v>
      </c>
      <c r="Z320" s="15" t="inlineStr">
        <is>
          <t>Parâmetros p/ σx</t>
        </is>
      </c>
      <c r="AA320" s="15" t="inlineStr">
        <is>
          <t>Desvpad(Var(S2nd))</t>
        </is>
      </c>
      <c r="AB320" s="15" t="n">
        <v>19</v>
      </c>
      <c r="AC320" s="15" t="n">
        <v>20</v>
      </c>
      <c r="AD320" s="15" t="n">
        <v>21</v>
      </c>
      <c r="AV320" s="15" t="inlineStr">
        <is>
          <t>Parâmetros p/ σx</t>
        </is>
      </c>
      <c r="AW320" s="15" t="inlineStr">
        <is>
          <t>Desvpad(Var(S2nd))</t>
        </is>
      </c>
      <c r="AX320" s="15" t="n">
        <v>19</v>
      </c>
      <c r="AY320" s="15" t="n">
        <v>20</v>
      </c>
      <c r="AZ320" s="15" t="n">
        <v>21</v>
      </c>
      <c r="BR320" s="15" t="inlineStr">
        <is>
          <t>Parâmetros p/ σx</t>
        </is>
      </c>
      <c r="BS320" s="15" t="inlineStr">
        <is>
          <t>Desvpad(Var(S2nd))</t>
        </is>
      </c>
      <c r="BT320" s="15" t="n">
        <v>19</v>
      </c>
      <c r="BU320" s="15" t="n">
        <v>20</v>
      </c>
      <c r="BV320" s="15" t="n">
        <v>21</v>
      </c>
      <c r="CN320" s="15" t="inlineStr">
        <is>
          <t>Parâmetros p/ σx</t>
        </is>
      </c>
      <c r="CO320" s="15" t="inlineStr">
        <is>
          <t>Desvpad(Var(S2nd))</t>
        </is>
      </c>
      <c r="CP320" s="15" t="n">
        <v>19</v>
      </c>
      <c r="CQ320" s="15" t="n">
        <v>20</v>
      </c>
      <c r="CR320" s="15" t="n">
        <v>21</v>
      </c>
      <c r="DJ320" s="15" t="inlineStr">
        <is>
          <t>Parâmetros p/ σx</t>
        </is>
      </c>
      <c r="DK320" s="15" t="inlineStr">
        <is>
          <t>Desvpad(Var(S2nd))</t>
        </is>
      </c>
      <c r="DL320" s="15" t="n">
        <v>19</v>
      </c>
      <c r="DM320" s="15" t="n">
        <v>20</v>
      </c>
      <c r="DN320" s="15" t="n">
        <v>21</v>
      </c>
      <c r="EF320" s="15" t="inlineStr">
        <is>
          <t>Parâmetros p/ σx</t>
        </is>
      </c>
      <c r="EG320" s="15" t="inlineStr">
        <is>
          <t>Desvpad(Var(S2nd))</t>
        </is>
      </c>
      <c r="EH320" s="15" t="n">
        <v>19</v>
      </c>
      <c r="EI320" s="15" t="n">
        <v>20</v>
      </c>
      <c r="EJ320" s="15" t="n">
        <v>21</v>
      </c>
      <c r="FB320" s="15" t="inlineStr">
        <is>
          <t>Parâmetros p/ σx</t>
        </is>
      </c>
      <c r="FC320" s="15" t="inlineStr">
        <is>
          <t>Desvpad(Var(S2nd))</t>
        </is>
      </c>
      <c r="FD320" s="15" t="n">
        <v>19</v>
      </c>
      <c r="FE320" s="15" t="n">
        <v>20</v>
      </c>
      <c r="FF320" s="15" t="n">
        <v>21</v>
      </c>
      <c r="FX320" s="15" t="inlineStr">
        <is>
          <t>Parâmetros p/ σx</t>
        </is>
      </c>
      <c r="FY320" s="15" t="inlineStr">
        <is>
          <t>Desvpad(Var(S2nd))</t>
        </is>
      </c>
      <c r="FZ320" s="15" t="n">
        <v>19</v>
      </c>
      <c r="GA320" s="15" t="n">
        <v>20</v>
      </c>
      <c r="GB320" s="15" t="n">
        <v>21</v>
      </c>
      <c r="GT320" s="15" t="inlineStr">
        <is>
          <t>Parâmetros p/ σx</t>
        </is>
      </c>
      <c r="GU320" s="15" t="inlineStr">
        <is>
          <t>Desvpad(Var(S2nd))</t>
        </is>
      </c>
      <c r="GV320" s="15" t="n">
        <v>19</v>
      </c>
      <c r="GW320" s="15" t="n">
        <v>20</v>
      </c>
      <c r="GX320" s="15" t="n">
        <v>21</v>
      </c>
    </row>
    <row r="321" ht="16.2" customHeight="1">
      <c r="B321" s="15" t="inlineStr">
        <is>
          <t>S2nd</t>
        </is>
      </c>
      <c r="C321" s="15" t="n">
        <v>7</v>
      </c>
      <c r="Z321" s="15" t="inlineStr">
        <is>
          <t>S2nd</t>
        </is>
      </c>
      <c r="AA321" s="15" t="n">
        <v>7</v>
      </c>
      <c r="AV321" s="15" t="inlineStr">
        <is>
          <t>S2nd</t>
        </is>
      </c>
      <c r="AW321" s="15" t="n">
        <v>7</v>
      </c>
      <c r="BR321" s="15" t="inlineStr">
        <is>
          <t>S2nd</t>
        </is>
      </c>
      <c r="BS321" s="15" t="n">
        <v>7</v>
      </c>
      <c r="CN321" s="15" t="inlineStr">
        <is>
          <t>S2nd</t>
        </is>
      </c>
      <c r="CO321" s="15" t="n">
        <v>7</v>
      </c>
      <c r="DJ321" s="15" t="inlineStr">
        <is>
          <t>S2nd</t>
        </is>
      </c>
      <c r="DK321" s="15" t="n">
        <v>7</v>
      </c>
      <c r="EF321" s="15" t="inlineStr">
        <is>
          <t>S2nd</t>
        </is>
      </c>
      <c r="EG321" s="15" t="n">
        <v>7</v>
      </c>
      <c r="FB321" s="15" t="inlineStr">
        <is>
          <t>S2nd</t>
        </is>
      </c>
      <c r="FC321" s="15" t="n">
        <v>7</v>
      </c>
      <c r="FX321" s="15" t="inlineStr">
        <is>
          <t>S2nd</t>
        </is>
      </c>
      <c r="FY321" s="15" t="n">
        <v>7</v>
      </c>
      <c r="GT321" s="15" t="inlineStr">
        <is>
          <t>S2nd</t>
        </is>
      </c>
      <c r="GU321" s="15" t="n">
        <v>7</v>
      </c>
    </row>
    <row r="322">
      <c r="C322" s="15" t="n">
        <v>8</v>
      </c>
      <c r="AA322" s="15" t="n">
        <v>8</v>
      </c>
      <c r="AW322" s="15" t="n">
        <v>8</v>
      </c>
      <c r="BS322" s="15" t="n">
        <v>8</v>
      </c>
      <c r="CO322" s="15" t="n">
        <v>8</v>
      </c>
      <c r="DK322" s="15" t="n">
        <v>8</v>
      </c>
      <c r="EG322" s="15" t="n">
        <v>8</v>
      </c>
      <c r="FC322" s="15" t="n">
        <v>8</v>
      </c>
      <c r="FY322" s="15" t="n">
        <v>8</v>
      </c>
      <c r="GU322" s="15" t="n">
        <v>8</v>
      </c>
    </row>
    <row r="324">
      <c r="B324" s="15" t="inlineStr">
        <is>
          <t>Parâmetros p/ σy</t>
        </is>
      </c>
      <c r="C324" s="15" t="inlineStr">
        <is>
          <t>DesvPad(Var(E(RLT)))</t>
        </is>
      </c>
      <c r="D324" s="15" t="n">
        <v>19</v>
      </c>
      <c r="E324" s="15" t="n">
        <v>20</v>
      </c>
      <c r="F324" s="15" t="n">
        <v>21</v>
      </c>
      <c r="Z324" s="15" t="inlineStr">
        <is>
          <t>Parâmetros p/ σy</t>
        </is>
      </c>
      <c r="AA324" s="15" t="inlineStr">
        <is>
          <t>DesvPad(Var(E(RLT)))</t>
        </is>
      </c>
      <c r="AB324" s="15" t="n">
        <v>19</v>
      </c>
      <c r="AC324" s="15" t="n">
        <v>20</v>
      </c>
      <c r="AD324" s="15" t="n">
        <v>21</v>
      </c>
      <c r="AV324" s="15" t="inlineStr">
        <is>
          <t>Parâmetros p/ σy</t>
        </is>
      </c>
      <c r="AW324" s="15" t="inlineStr">
        <is>
          <t>DesvPad(Var(E(RLT)))</t>
        </is>
      </c>
      <c r="AX324" s="15" t="n">
        <v>19</v>
      </c>
      <c r="AY324" s="15" t="n">
        <v>20</v>
      </c>
      <c r="AZ324" s="15" t="n">
        <v>21</v>
      </c>
      <c r="BR324" s="15" t="inlineStr">
        <is>
          <t>Parâmetros p/ σy</t>
        </is>
      </c>
      <c r="BS324" s="15" t="inlineStr">
        <is>
          <t>DesvPad(Var(E(RLT)))</t>
        </is>
      </c>
      <c r="BT324" s="15" t="n">
        <v>19</v>
      </c>
      <c r="BU324" s="15" t="n">
        <v>20</v>
      </c>
      <c r="BV324" s="15" t="n">
        <v>21</v>
      </c>
      <c r="CN324" s="15" t="inlineStr">
        <is>
          <t>Parâmetros p/ σy</t>
        </is>
      </c>
      <c r="CO324" s="15" t="inlineStr">
        <is>
          <t>DesvPad(Var(E(RLT)))</t>
        </is>
      </c>
      <c r="CP324" s="15" t="n">
        <v>19</v>
      </c>
      <c r="CQ324" s="15" t="n">
        <v>20</v>
      </c>
      <c r="CR324" s="15" t="n">
        <v>21</v>
      </c>
      <c r="DJ324" s="15" t="inlineStr">
        <is>
          <t>Parâmetros p/ σy</t>
        </is>
      </c>
      <c r="DK324" s="15" t="inlineStr">
        <is>
          <t>DesvPad(Var(E(RLT)))</t>
        </is>
      </c>
      <c r="DL324" s="15" t="n">
        <v>19</v>
      </c>
      <c r="DM324" s="15" t="n">
        <v>20</v>
      </c>
      <c r="DN324" s="15" t="n">
        <v>21</v>
      </c>
      <c r="EF324" s="15" t="inlineStr">
        <is>
          <t>Parâmetros p/ σy</t>
        </is>
      </c>
      <c r="EG324" s="15" t="inlineStr">
        <is>
          <t>DesvPad(Var(E(RLT)))</t>
        </is>
      </c>
      <c r="EH324" s="15" t="n">
        <v>19</v>
      </c>
      <c r="EI324" s="15" t="n">
        <v>20</v>
      </c>
      <c r="EJ324" s="15" t="n">
        <v>21</v>
      </c>
      <c r="FB324" s="15" t="inlineStr">
        <is>
          <t>Parâmetros p/ σy</t>
        </is>
      </c>
      <c r="FC324" s="15" t="inlineStr">
        <is>
          <t>DesvPad(Var(E(RLT)))</t>
        </is>
      </c>
      <c r="FD324" s="15" t="n">
        <v>19</v>
      </c>
      <c r="FE324" s="15" t="n">
        <v>20</v>
      </c>
      <c r="FF324" s="15" t="n">
        <v>21</v>
      </c>
      <c r="FX324" s="15" t="inlineStr">
        <is>
          <t>Parâmetros p/ σy</t>
        </is>
      </c>
      <c r="FY324" s="15" t="inlineStr">
        <is>
          <t>DesvPad(Var(E(RLT)))</t>
        </is>
      </c>
      <c r="FZ324" s="15" t="n">
        <v>19</v>
      </c>
      <c r="GA324" s="15" t="n">
        <v>20</v>
      </c>
      <c r="GB324" s="15" t="n">
        <v>21</v>
      </c>
      <c r="GT324" s="15" t="inlineStr">
        <is>
          <t>Parâmetros p/ σy</t>
        </is>
      </c>
      <c r="GU324" s="15" t="inlineStr">
        <is>
          <t>DesvPad(Var(E(RLT)))</t>
        </is>
      </c>
      <c r="GV324" s="15" t="n">
        <v>19</v>
      </c>
      <c r="GW324" s="15" t="n">
        <v>20</v>
      </c>
      <c r="GX324" s="15" t="n">
        <v>21</v>
      </c>
    </row>
    <row r="325" ht="16.2" customHeight="1">
      <c r="B325" s="15" t="inlineStr">
        <is>
          <t>ND*RLT e S2nd</t>
        </is>
      </c>
      <c r="C325" s="15" t="n">
        <v>7</v>
      </c>
      <c r="Z325" s="15" t="inlineStr">
        <is>
          <t>ND*RLT e S2nd</t>
        </is>
      </c>
      <c r="AA325" s="15" t="n">
        <v>7</v>
      </c>
      <c r="AV325" s="15" t="inlineStr">
        <is>
          <t>ND*RLT e S2nd</t>
        </is>
      </c>
      <c r="AW325" s="15" t="n">
        <v>7</v>
      </c>
      <c r="BR325" s="15" t="inlineStr">
        <is>
          <t>ND*RLT e S2nd</t>
        </is>
      </c>
      <c r="BS325" s="15" t="n">
        <v>7</v>
      </c>
      <c r="CN325" s="15" t="inlineStr">
        <is>
          <t>ND*RLT e S2nd</t>
        </is>
      </c>
      <c r="CO325" s="15" t="n">
        <v>7</v>
      </c>
      <c r="DJ325" s="15" t="inlineStr">
        <is>
          <t>ND*RLT e S2nd</t>
        </is>
      </c>
      <c r="DK325" s="15" t="n">
        <v>7</v>
      </c>
      <c r="EF325" s="15" t="inlineStr">
        <is>
          <t>ND*RLT e S2nd</t>
        </is>
      </c>
      <c r="EG325" s="15" t="n">
        <v>7</v>
      </c>
      <c r="FB325" s="15" t="inlineStr">
        <is>
          <t>ND*RLT e S2nd</t>
        </is>
      </c>
      <c r="FC325" s="15" t="n">
        <v>7</v>
      </c>
      <c r="FX325" s="15" t="inlineStr">
        <is>
          <t>ND*RLT e S2nd</t>
        </is>
      </c>
      <c r="FY325" s="15" t="n">
        <v>7</v>
      </c>
      <c r="GT325" s="15" t="inlineStr">
        <is>
          <t>ND*RLT e S2nd</t>
        </is>
      </c>
      <c r="GU325" s="15" t="n">
        <v>7</v>
      </c>
    </row>
    <row r="326">
      <c r="C326" s="15" t="n">
        <v>8</v>
      </c>
      <c r="AA326" s="15" t="n">
        <v>8</v>
      </c>
      <c r="AW326" s="15" t="n">
        <v>8</v>
      </c>
      <c r="BS326" s="15" t="n">
        <v>8</v>
      </c>
      <c r="CO326" s="15" t="n">
        <v>8</v>
      </c>
      <c r="DK326" s="15" t="n">
        <v>8</v>
      </c>
      <c r="EG326" s="15" t="n">
        <v>8</v>
      </c>
      <c r="FC326" s="15" t="n">
        <v>8</v>
      </c>
      <c r="FY326" s="15" t="n">
        <v>8</v>
      </c>
      <c r="GU326" s="15" t="n">
        <v>8</v>
      </c>
    </row>
    <row r="328">
      <c r="B328" s="15" t="inlineStr">
        <is>
          <t>Parâmetros p/ μx</t>
        </is>
      </c>
      <c r="C328" s="15" t="inlineStr">
        <is>
          <t>Média(d-Cap)</t>
        </is>
      </c>
      <c r="D328" s="15" t="n">
        <v>19</v>
      </c>
      <c r="E328" s="15" t="n">
        <v>20</v>
      </c>
      <c r="F328" s="15" t="n">
        <v>21</v>
      </c>
      <c r="Z328" s="15" t="inlineStr">
        <is>
          <t>Parâmetros p/ μx</t>
        </is>
      </c>
      <c r="AA328" s="15" t="inlineStr">
        <is>
          <t>Média(d-Cap)</t>
        </is>
      </c>
      <c r="AB328" s="15" t="n">
        <v>19</v>
      </c>
      <c r="AC328" s="15" t="n">
        <v>20</v>
      </c>
      <c r="AD328" s="15" t="n">
        <v>21</v>
      </c>
      <c r="AV328" s="15" t="inlineStr">
        <is>
          <t>Parâmetros p/ μx</t>
        </is>
      </c>
      <c r="AW328" s="15" t="inlineStr">
        <is>
          <t>Média(d-Cap)</t>
        </is>
      </c>
      <c r="AX328" s="15" t="n">
        <v>19</v>
      </c>
      <c r="AY328" s="15" t="n">
        <v>20</v>
      </c>
      <c r="AZ328" s="15" t="n">
        <v>21</v>
      </c>
      <c r="BR328" s="15" t="inlineStr">
        <is>
          <t>Parâmetros p/ μx</t>
        </is>
      </c>
      <c r="BS328" s="15" t="inlineStr">
        <is>
          <t>Média(d-Cap)</t>
        </is>
      </c>
      <c r="BT328" s="15" t="n">
        <v>19</v>
      </c>
      <c r="BU328" s="15" t="n">
        <v>20</v>
      </c>
      <c r="BV328" s="15" t="n">
        <v>21</v>
      </c>
      <c r="CN328" s="15" t="inlineStr">
        <is>
          <t>Parâmetros p/ μx</t>
        </is>
      </c>
      <c r="CO328" s="15" t="inlineStr">
        <is>
          <t>Média(d-Cap)</t>
        </is>
      </c>
      <c r="CP328" s="15" t="n">
        <v>19</v>
      </c>
      <c r="CQ328" s="15" t="n">
        <v>20</v>
      </c>
      <c r="CR328" s="15" t="n">
        <v>21</v>
      </c>
      <c r="DJ328" s="15" t="inlineStr">
        <is>
          <t>Parâmetros p/ μx</t>
        </is>
      </c>
      <c r="DK328" s="15" t="inlineStr">
        <is>
          <t>Média(d-Cap)</t>
        </is>
      </c>
      <c r="DL328" s="15" t="n">
        <v>19</v>
      </c>
      <c r="DM328" s="15" t="n">
        <v>20</v>
      </c>
      <c r="DN328" s="15" t="n">
        <v>21</v>
      </c>
      <c r="EF328" s="15" t="inlineStr">
        <is>
          <t>Parâmetros p/ μx</t>
        </is>
      </c>
      <c r="EG328" s="15" t="inlineStr">
        <is>
          <t>Média(d-Cap)</t>
        </is>
      </c>
      <c r="EH328" s="15" t="n">
        <v>19</v>
      </c>
      <c r="EI328" s="15" t="n">
        <v>20</v>
      </c>
      <c r="EJ328" s="15" t="n">
        <v>21</v>
      </c>
      <c r="FB328" s="15" t="inlineStr">
        <is>
          <t>Parâmetros p/ μx</t>
        </is>
      </c>
      <c r="FC328" s="15" t="inlineStr">
        <is>
          <t>Média(d-Cap)</t>
        </is>
      </c>
      <c r="FD328" s="15" t="n">
        <v>19</v>
      </c>
      <c r="FE328" s="15" t="n">
        <v>20</v>
      </c>
      <c r="FF328" s="15" t="n">
        <v>21</v>
      </c>
      <c r="FX328" s="15" t="inlineStr">
        <is>
          <t>Parâmetros p/ μx</t>
        </is>
      </c>
      <c r="FY328" s="15" t="inlineStr">
        <is>
          <t>Média(d-Cap)</t>
        </is>
      </c>
      <c r="FZ328" s="15" t="n">
        <v>19</v>
      </c>
      <c r="GA328" s="15" t="n">
        <v>20</v>
      </c>
      <c r="GB328" s="15" t="n">
        <v>21</v>
      </c>
      <c r="GT328" s="15" t="inlineStr">
        <is>
          <t>Parâmetros p/ μx</t>
        </is>
      </c>
      <c r="GU328" s="15" t="inlineStr">
        <is>
          <t>Média(d-Cap)</t>
        </is>
      </c>
      <c r="GV328" s="15" t="n">
        <v>19</v>
      </c>
      <c r="GW328" s="15" t="n">
        <v>20</v>
      </c>
      <c r="GX328" s="15" t="n">
        <v>21</v>
      </c>
    </row>
    <row r="329">
      <c r="B329" s="15" t="inlineStr">
        <is>
          <t>ND*RLT</t>
        </is>
      </c>
      <c r="C329" s="15" t="n">
        <v>7</v>
      </c>
      <c r="Z329" s="15" t="inlineStr">
        <is>
          <t>ND*RLT</t>
        </is>
      </c>
      <c r="AA329" s="15" t="n">
        <v>7</v>
      </c>
      <c r="AV329" s="15" t="inlineStr">
        <is>
          <t>ND*RLT</t>
        </is>
      </c>
      <c r="AW329" s="15" t="n">
        <v>7</v>
      </c>
      <c r="BR329" s="15" t="inlineStr">
        <is>
          <t>ND*RLT</t>
        </is>
      </c>
      <c r="BS329" s="15" t="n">
        <v>7</v>
      </c>
      <c r="CN329" s="15" t="inlineStr">
        <is>
          <t>ND*RLT</t>
        </is>
      </c>
      <c r="CO329" s="15" t="n">
        <v>7</v>
      </c>
      <c r="DJ329" s="15" t="inlineStr">
        <is>
          <t>ND*RLT</t>
        </is>
      </c>
      <c r="DK329" s="15" t="n">
        <v>7</v>
      </c>
      <c r="EF329" s="15" t="inlineStr">
        <is>
          <t>ND*RLT</t>
        </is>
      </c>
      <c r="EG329" s="15" t="n">
        <v>7</v>
      </c>
      <c r="FB329" s="15" t="inlineStr">
        <is>
          <t>ND*RLT</t>
        </is>
      </c>
      <c r="FC329" s="15" t="n">
        <v>7</v>
      </c>
      <c r="FX329" s="15" t="inlineStr">
        <is>
          <t>ND*RLT</t>
        </is>
      </c>
      <c r="FY329" s="15" t="n">
        <v>7</v>
      </c>
      <c r="GT329" s="15" t="inlineStr">
        <is>
          <t>ND*RLT</t>
        </is>
      </c>
      <c r="GU329" s="15" t="n">
        <v>7</v>
      </c>
    </row>
    <row r="330">
      <c r="C330" s="15" t="n">
        <v>8</v>
      </c>
      <c r="AA330" s="15" t="n">
        <v>8</v>
      </c>
      <c r="AW330" s="15" t="n">
        <v>8</v>
      </c>
      <c r="BS330" s="15" t="n">
        <v>8</v>
      </c>
      <c r="CO330" s="15" t="n">
        <v>8</v>
      </c>
      <c r="DK330" s="15" t="n">
        <v>8</v>
      </c>
      <c r="EG330" s="15" t="n">
        <v>8</v>
      </c>
      <c r="FC330" s="15" t="n">
        <v>8</v>
      </c>
      <c r="FY330" s="15" t="n">
        <v>8</v>
      </c>
      <c r="GU330" s="15" t="n">
        <v>8</v>
      </c>
    </row>
    <row r="332">
      <c r="B332" s="15" t="inlineStr">
        <is>
          <t>Parâmetros p/ σx</t>
        </is>
      </c>
      <c r="C332" s="15" t="inlineStr">
        <is>
          <t>DesvPad(Var(d-cap))</t>
        </is>
      </c>
      <c r="D332" s="15" t="n">
        <v>19</v>
      </c>
      <c r="E332" s="15" t="n">
        <v>20</v>
      </c>
      <c r="F332" s="15" t="n">
        <v>21</v>
      </c>
      <c r="Z332" s="15" t="inlineStr">
        <is>
          <t>Parâmetros p/ σx</t>
        </is>
      </c>
      <c r="AA332" s="15" t="inlineStr">
        <is>
          <t>DesvPad(Var(d-cap))</t>
        </is>
      </c>
      <c r="AB332" s="15" t="n">
        <v>19</v>
      </c>
      <c r="AC332" s="15" t="n">
        <v>20</v>
      </c>
      <c r="AD332" s="15" t="n">
        <v>21</v>
      </c>
      <c r="AV332" s="15" t="inlineStr">
        <is>
          <t>Parâmetros p/ σx</t>
        </is>
      </c>
      <c r="AW332" s="15" t="inlineStr">
        <is>
          <t>DesvPad(Var(d-cap))</t>
        </is>
      </c>
      <c r="AX332" s="15" t="n">
        <v>19</v>
      </c>
      <c r="AY332" s="15" t="n">
        <v>20</v>
      </c>
      <c r="AZ332" s="15" t="n">
        <v>21</v>
      </c>
      <c r="BR332" s="15" t="inlineStr">
        <is>
          <t>Parâmetros p/ σx</t>
        </is>
      </c>
      <c r="BS332" s="15" t="inlineStr">
        <is>
          <t>DesvPad(Var(d-cap))</t>
        </is>
      </c>
      <c r="BT332" s="15" t="n">
        <v>19</v>
      </c>
      <c r="BU332" s="15" t="n">
        <v>20</v>
      </c>
      <c r="BV332" s="15" t="n">
        <v>21</v>
      </c>
      <c r="CN332" s="15" t="inlineStr">
        <is>
          <t>Parâmetros p/ σx</t>
        </is>
      </c>
      <c r="CO332" s="15" t="inlineStr">
        <is>
          <t>DesvPad(Var(d-cap))</t>
        </is>
      </c>
      <c r="CP332" s="15" t="n">
        <v>19</v>
      </c>
      <c r="CQ332" s="15" t="n">
        <v>20</v>
      </c>
      <c r="CR332" s="15" t="n">
        <v>21</v>
      </c>
      <c r="DJ332" s="15" t="inlineStr">
        <is>
          <t>Parâmetros p/ σx</t>
        </is>
      </c>
      <c r="DK332" s="15" t="inlineStr">
        <is>
          <t>DesvPad(Var(d-cap))</t>
        </is>
      </c>
      <c r="DL332" s="15" t="n">
        <v>19</v>
      </c>
      <c r="DM332" s="15" t="n">
        <v>20</v>
      </c>
      <c r="DN332" s="15" t="n">
        <v>21</v>
      </c>
      <c r="EF332" s="15" t="inlineStr">
        <is>
          <t>Parâmetros p/ σx</t>
        </is>
      </c>
      <c r="EG332" s="15" t="inlineStr">
        <is>
          <t>DesvPad(Var(d-cap))</t>
        </is>
      </c>
      <c r="EH332" s="15" t="n">
        <v>19</v>
      </c>
      <c r="EI332" s="15" t="n">
        <v>20</v>
      </c>
      <c r="EJ332" s="15" t="n">
        <v>21</v>
      </c>
      <c r="FB332" s="15" t="inlineStr">
        <is>
          <t>Parâmetros p/ σx</t>
        </is>
      </c>
      <c r="FC332" s="15" t="inlineStr">
        <is>
          <t>DesvPad(Var(d-cap))</t>
        </is>
      </c>
      <c r="FD332" s="15" t="n">
        <v>19</v>
      </c>
      <c r="FE332" s="15" t="n">
        <v>20</v>
      </c>
      <c r="FF332" s="15" t="n">
        <v>21</v>
      </c>
      <c r="FX332" s="15" t="inlineStr">
        <is>
          <t>Parâmetros p/ σx</t>
        </is>
      </c>
      <c r="FY332" s="15" t="inlineStr">
        <is>
          <t>DesvPad(Var(d-cap))</t>
        </is>
      </c>
      <c r="FZ332" s="15" t="n">
        <v>19</v>
      </c>
      <c r="GA332" s="15" t="n">
        <v>20</v>
      </c>
      <c r="GB332" s="15" t="n">
        <v>21</v>
      </c>
      <c r="GT332" s="15" t="inlineStr">
        <is>
          <t>Parâmetros p/ σx</t>
        </is>
      </c>
      <c r="GU332" s="15" t="inlineStr">
        <is>
          <t>DesvPad(Var(d-cap))</t>
        </is>
      </c>
      <c r="GV332" s="15" t="n">
        <v>19</v>
      </c>
      <c r="GW332" s="15" t="n">
        <v>20</v>
      </c>
      <c r="GX332" s="15" t="n">
        <v>21</v>
      </c>
    </row>
    <row r="333">
      <c r="B333" s="15" t="inlineStr">
        <is>
          <t>ND*RLT</t>
        </is>
      </c>
      <c r="C333" s="15" t="n">
        <v>7</v>
      </c>
      <c r="Z333" s="15" t="inlineStr">
        <is>
          <t>ND*RLT</t>
        </is>
      </c>
      <c r="AA333" s="15" t="n">
        <v>7</v>
      </c>
      <c r="AV333" s="15" t="inlineStr">
        <is>
          <t>ND*RLT</t>
        </is>
      </c>
      <c r="AW333" s="15" t="n">
        <v>7</v>
      </c>
      <c r="BR333" s="15" t="inlineStr">
        <is>
          <t>ND*RLT</t>
        </is>
      </c>
      <c r="BS333" s="15" t="n">
        <v>7</v>
      </c>
      <c r="CN333" s="15" t="inlineStr">
        <is>
          <t>ND*RLT</t>
        </is>
      </c>
      <c r="CO333" s="15" t="n">
        <v>7</v>
      </c>
      <c r="DJ333" s="15" t="inlineStr">
        <is>
          <t>ND*RLT</t>
        </is>
      </c>
      <c r="DK333" s="15" t="n">
        <v>7</v>
      </c>
      <c r="EF333" s="15" t="inlineStr">
        <is>
          <t>ND*RLT</t>
        </is>
      </c>
      <c r="EG333" s="15" t="n">
        <v>7</v>
      </c>
      <c r="FB333" s="15" t="inlineStr">
        <is>
          <t>ND*RLT</t>
        </is>
      </c>
      <c r="FC333" s="15" t="n">
        <v>7</v>
      </c>
      <c r="FX333" s="15" t="inlineStr">
        <is>
          <t>ND*RLT</t>
        </is>
      </c>
      <c r="FY333" s="15" t="n">
        <v>7</v>
      </c>
      <c r="GT333" s="15" t="inlineStr">
        <is>
          <t>ND*RLT</t>
        </is>
      </c>
      <c r="GU333" s="15" t="n">
        <v>7</v>
      </c>
    </row>
    <row r="334">
      <c r="C334" s="15" t="n">
        <v>8</v>
      </c>
      <c r="AA334" s="15" t="n">
        <v>8</v>
      </c>
      <c r="AW334" s="15" t="n">
        <v>8</v>
      </c>
      <c r="BS334" s="15" t="n">
        <v>8</v>
      </c>
      <c r="CO334" s="15" t="n">
        <v>8</v>
      </c>
      <c r="DK334" s="15" t="n">
        <v>8</v>
      </c>
      <c r="EG334" s="15" t="n">
        <v>8</v>
      </c>
      <c r="FC334" s="15" t="n">
        <v>8</v>
      </c>
      <c r="FY334" s="15" t="n">
        <v>8</v>
      </c>
      <c r="GU334" s="15" t="n">
        <v>8</v>
      </c>
    </row>
    <row r="336">
      <c r="C336" s="15" t="inlineStr">
        <is>
          <t>LB</t>
        </is>
      </c>
      <c r="D336" s="15" t="n">
        <v>19</v>
      </c>
      <c r="E336" s="15" t="n">
        <v>20</v>
      </c>
      <c r="F336" s="15" t="n">
        <v>21</v>
      </c>
      <c r="AA336" s="15" t="inlineStr">
        <is>
          <t>LB</t>
        </is>
      </c>
      <c r="AB336" s="15" t="n">
        <v>19</v>
      </c>
      <c r="AC336" s="15" t="n">
        <v>20</v>
      </c>
      <c r="AD336" s="15" t="n">
        <v>21</v>
      </c>
      <c r="AW336" s="15" t="inlineStr">
        <is>
          <t>LB</t>
        </is>
      </c>
      <c r="AX336" s="15" t="n">
        <v>19</v>
      </c>
      <c r="AY336" s="15" t="n">
        <v>20</v>
      </c>
      <c r="AZ336" s="15" t="n">
        <v>21</v>
      </c>
      <c r="BS336" s="15" t="inlineStr">
        <is>
          <t>LB</t>
        </is>
      </c>
      <c r="BT336" s="15" t="n">
        <v>19</v>
      </c>
      <c r="BU336" s="15" t="n">
        <v>20</v>
      </c>
      <c r="BV336" s="15" t="n">
        <v>21</v>
      </c>
      <c r="CO336" s="15" t="inlineStr">
        <is>
          <t>LB</t>
        </is>
      </c>
      <c r="CP336" s="15" t="n">
        <v>19</v>
      </c>
      <c r="CQ336" s="15" t="n">
        <v>20</v>
      </c>
      <c r="CR336" s="15" t="n">
        <v>21</v>
      </c>
      <c r="DK336" s="15" t="inlineStr">
        <is>
          <t>LB</t>
        </is>
      </c>
      <c r="DL336" s="15" t="n">
        <v>19</v>
      </c>
      <c r="DM336" s="15" t="n">
        <v>20</v>
      </c>
      <c r="DN336" s="15" t="n">
        <v>21</v>
      </c>
      <c r="EG336" s="15" t="inlineStr">
        <is>
          <t>LB</t>
        </is>
      </c>
      <c r="EH336" s="15" t="n">
        <v>19</v>
      </c>
      <c r="EI336" s="15" t="n">
        <v>20</v>
      </c>
      <c r="EJ336" s="15" t="n">
        <v>21</v>
      </c>
      <c r="FC336" s="15" t="inlineStr">
        <is>
          <t>LB</t>
        </is>
      </c>
      <c r="FD336" s="15" t="n">
        <v>19</v>
      </c>
      <c r="FE336" s="15" t="n">
        <v>20</v>
      </c>
      <c r="FF336" s="15" t="n">
        <v>21</v>
      </c>
      <c r="FY336" s="15" t="inlineStr">
        <is>
          <t>LB</t>
        </is>
      </c>
      <c r="FZ336" s="15" t="n">
        <v>19</v>
      </c>
      <c r="GA336" s="15" t="n">
        <v>20</v>
      </c>
      <c r="GB336" s="15" t="n">
        <v>21</v>
      </c>
      <c r="GU336" s="15" t="inlineStr">
        <is>
          <t>LB</t>
        </is>
      </c>
      <c r="GV336" s="15" t="n">
        <v>19</v>
      </c>
      <c r="GW336" s="15" t="n">
        <v>20</v>
      </c>
      <c r="GX336" s="15" t="n">
        <v>21</v>
      </c>
    </row>
    <row r="337">
      <c r="C337" s="15" t="n">
        <v>7</v>
      </c>
      <c r="AA337" s="15" t="n">
        <v>7</v>
      </c>
      <c r="AW337" s="15" t="n">
        <v>7</v>
      </c>
      <c r="BS337" s="15" t="n">
        <v>7</v>
      </c>
      <c r="CO337" s="15" t="n">
        <v>7</v>
      </c>
      <c r="DK337" s="15" t="n">
        <v>7</v>
      </c>
      <c r="EG337" s="15" t="n">
        <v>7</v>
      </c>
      <c r="FC337" s="15" t="n">
        <v>7</v>
      </c>
      <c r="FY337" s="15" t="n">
        <v>7</v>
      </c>
      <c r="GU337" s="15" t="n">
        <v>7</v>
      </c>
    </row>
    <row r="338">
      <c r="C338" s="15" t="n">
        <v>8</v>
      </c>
      <c r="AA338" s="15" t="n">
        <v>8</v>
      </c>
      <c r="AW338" s="15" t="n">
        <v>8</v>
      </c>
      <c r="BS338" s="15" t="n">
        <v>8</v>
      </c>
      <c r="CO338" s="15" t="n">
        <v>8</v>
      </c>
      <c r="DK338" s="15" t="n">
        <v>8</v>
      </c>
      <c r="EG338" s="15" t="n">
        <v>8</v>
      </c>
      <c r="FC338" s="15" t="n">
        <v>8</v>
      </c>
      <c r="FY338" s="15" t="n">
        <v>8</v>
      </c>
      <c r="GU338" s="15" t="n">
        <v>8</v>
      </c>
    </row>
    <row r="340">
      <c r="C340" s="15" t="inlineStr">
        <is>
          <t>DesvPad(ND*ELT)</t>
        </is>
      </c>
      <c r="D340" s="15" t="n">
        <v>19</v>
      </c>
      <c r="E340" s="15" t="n">
        <v>20</v>
      </c>
      <c r="F340" s="15" t="n">
        <v>21</v>
      </c>
      <c r="AA340" s="15" t="inlineStr">
        <is>
          <t>DesvPad(ND*ELT)</t>
        </is>
      </c>
      <c r="AB340" s="15" t="n">
        <v>19</v>
      </c>
      <c r="AC340" s="15" t="n">
        <v>20</v>
      </c>
      <c r="AD340" s="15" t="n">
        <v>21</v>
      </c>
      <c r="AW340" s="15" t="inlineStr">
        <is>
          <t>DesvPad(ND*ELT)</t>
        </is>
      </c>
      <c r="AX340" s="15" t="n">
        <v>19</v>
      </c>
      <c r="AY340" s="15" t="n">
        <v>20</v>
      </c>
      <c r="AZ340" s="15" t="n">
        <v>21</v>
      </c>
      <c r="BS340" s="15" t="inlineStr">
        <is>
          <t>DesvPad(ND*ELT)</t>
        </is>
      </c>
      <c r="BT340" s="15" t="n">
        <v>19</v>
      </c>
      <c r="BU340" s="15" t="n">
        <v>20</v>
      </c>
      <c r="BV340" s="15" t="n">
        <v>21</v>
      </c>
      <c r="CO340" s="15" t="inlineStr">
        <is>
          <t>DesvPad(ND*ELT)</t>
        </is>
      </c>
      <c r="CP340" s="15" t="n">
        <v>19</v>
      </c>
      <c r="CQ340" s="15" t="n">
        <v>20</v>
      </c>
      <c r="CR340" s="15" t="n">
        <v>21</v>
      </c>
      <c r="DK340" s="15" t="inlineStr">
        <is>
          <t>DesvPad(ND*ELT)</t>
        </is>
      </c>
      <c r="DL340" s="15" t="n">
        <v>19</v>
      </c>
      <c r="DM340" s="15" t="n">
        <v>20</v>
      </c>
      <c r="DN340" s="15" t="n">
        <v>21</v>
      </c>
      <c r="EG340" s="15" t="inlineStr">
        <is>
          <t>DesvPad(ND*ELT)</t>
        </is>
      </c>
      <c r="EH340" s="15" t="n">
        <v>19</v>
      </c>
      <c r="EI340" s="15" t="n">
        <v>20</v>
      </c>
      <c r="EJ340" s="15" t="n">
        <v>21</v>
      </c>
      <c r="FC340" s="15" t="inlineStr">
        <is>
          <t>DesvPad(ND*ELT)</t>
        </is>
      </c>
      <c r="FD340" s="15" t="n">
        <v>19</v>
      </c>
      <c r="FE340" s="15" t="n">
        <v>20</v>
      </c>
      <c r="FF340" s="15" t="n">
        <v>21</v>
      </c>
      <c r="FY340" s="15" t="inlineStr">
        <is>
          <t>DesvPad(ND*ELT)</t>
        </is>
      </c>
      <c r="FZ340" s="15" t="n">
        <v>19</v>
      </c>
      <c r="GA340" s="15" t="n">
        <v>20</v>
      </c>
      <c r="GB340" s="15" t="n">
        <v>21</v>
      </c>
      <c r="GU340" s="15" t="inlineStr">
        <is>
          <t>DesvPad(ND*ELT)</t>
        </is>
      </c>
      <c r="GV340" s="15" t="n">
        <v>19</v>
      </c>
      <c r="GW340" s="15" t="n">
        <v>20</v>
      </c>
      <c r="GX340" s="15" t="n">
        <v>21</v>
      </c>
    </row>
    <row r="341">
      <c r="C341" s="15" t="n">
        <v>7</v>
      </c>
      <c r="AA341" s="15" t="n">
        <v>7</v>
      </c>
      <c r="AW341" s="15" t="n">
        <v>7</v>
      </c>
      <c r="BS341" s="15" t="n">
        <v>7</v>
      </c>
      <c r="CO341" s="15" t="n">
        <v>7</v>
      </c>
      <c r="DK341" s="15" t="n">
        <v>7</v>
      </c>
      <c r="EG341" s="15" t="n">
        <v>7</v>
      </c>
      <c r="FC341" s="15" t="n">
        <v>7</v>
      </c>
      <c r="FY341" s="15" t="n">
        <v>7</v>
      </c>
      <c r="GU341" s="15" t="n">
        <v>7</v>
      </c>
    </row>
    <row r="342">
      <c r="C342" s="15" t="n">
        <v>8</v>
      </c>
      <c r="AA342" s="15" t="n">
        <v>8</v>
      </c>
      <c r="AW342" s="15" t="n">
        <v>8</v>
      </c>
      <c r="BS342" s="15" t="n">
        <v>8</v>
      </c>
      <c r="CO342" s="15" t="n">
        <v>8</v>
      </c>
      <c r="DK342" s="15" t="n">
        <v>8</v>
      </c>
      <c r="EG342" s="15" t="n">
        <v>8</v>
      </c>
      <c r="FC342" s="15" t="n">
        <v>8</v>
      </c>
      <c r="FY342" s="15" t="n">
        <v>8</v>
      </c>
      <c r="GU342" s="15" t="n">
        <v>8</v>
      </c>
    </row>
    <row r="344">
      <c r="C344" s="15" t="inlineStr">
        <is>
          <t>DesvPad(Cap)</t>
        </is>
      </c>
      <c r="D344" s="15" t="n">
        <v>19</v>
      </c>
      <c r="E344" s="15" t="n">
        <v>20</v>
      </c>
      <c r="F344" s="15" t="n">
        <v>21</v>
      </c>
      <c r="AA344" s="15" t="inlineStr">
        <is>
          <t>DesvPad(Cap)</t>
        </is>
      </c>
      <c r="AB344" s="15" t="n">
        <v>19</v>
      </c>
      <c r="AC344" s="15" t="n">
        <v>20</v>
      </c>
      <c r="AD344" s="15" t="n">
        <v>21</v>
      </c>
      <c r="AW344" s="15" t="inlineStr">
        <is>
          <t>DesvPad(Cap)</t>
        </is>
      </c>
      <c r="AX344" s="15" t="n">
        <v>19</v>
      </c>
      <c r="AY344" s="15" t="n">
        <v>20</v>
      </c>
      <c r="AZ344" s="15" t="n">
        <v>21</v>
      </c>
      <c r="BS344" s="15" t="inlineStr">
        <is>
          <t>DesvPad(Cap)</t>
        </is>
      </c>
      <c r="BT344" s="15" t="n">
        <v>19</v>
      </c>
      <c r="BU344" s="15" t="n">
        <v>20</v>
      </c>
      <c r="BV344" s="15" t="n">
        <v>21</v>
      </c>
      <c r="CO344" s="15" t="inlineStr">
        <is>
          <t>DesvPad(Cap)</t>
        </is>
      </c>
      <c r="CP344" s="15" t="n">
        <v>19</v>
      </c>
      <c r="CQ344" s="15" t="n">
        <v>20</v>
      </c>
      <c r="CR344" s="15" t="n">
        <v>21</v>
      </c>
      <c r="DK344" s="15" t="inlineStr">
        <is>
          <t>DesvPad(Cap)</t>
        </is>
      </c>
      <c r="DL344" s="15" t="n">
        <v>19</v>
      </c>
      <c r="DM344" s="15" t="n">
        <v>20</v>
      </c>
      <c r="DN344" s="15" t="n">
        <v>21</v>
      </c>
      <c r="EG344" s="15" t="inlineStr">
        <is>
          <t>DesvPad(Cap)</t>
        </is>
      </c>
      <c r="EH344" s="15" t="n">
        <v>19</v>
      </c>
      <c r="EI344" s="15" t="n">
        <v>20</v>
      </c>
      <c r="EJ344" s="15" t="n">
        <v>21</v>
      </c>
      <c r="FC344" s="15" t="inlineStr">
        <is>
          <t>DesvPad(Cap)</t>
        </is>
      </c>
      <c r="FD344" s="15" t="n">
        <v>19</v>
      </c>
      <c r="FE344" s="15" t="n">
        <v>20</v>
      </c>
      <c r="FF344" s="15" t="n">
        <v>21</v>
      </c>
      <c r="FY344" s="15" t="inlineStr">
        <is>
          <t>DesvPad(Cap)</t>
        </is>
      </c>
      <c r="FZ344" s="15" t="n">
        <v>19</v>
      </c>
      <c r="GA344" s="15" t="n">
        <v>20</v>
      </c>
      <c r="GB344" s="15" t="n">
        <v>21</v>
      </c>
      <c r="GU344" s="15" t="inlineStr">
        <is>
          <t>DesvPad(Cap)</t>
        </is>
      </c>
      <c r="GV344" s="15" t="n">
        <v>19</v>
      </c>
      <c r="GW344" s="15" t="n">
        <v>20</v>
      </c>
      <c r="GX344" s="15" t="n">
        <v>21</v>
      </c>
    </row>
    <row r="345">
      <c r="C345" s="15" t="n">
        <v>7</v>
      </c>
      <c r="AA345" s="15" t="n">
        <v>7</v>
      </c>
      <c r="AW345" s="15" t="n">
        <v>7</v>
      </c>
      <c r="BS345" s="15" t="n">
        <v>7</v>
      </c>
      <c r="CO345" s="15" t="n">
        <v>7</v>
      </c>
      <c r="DK345" s="15" t="n">
        <v>7</v>
      </c>
      <c r="EG345" s="15" t="n">
        <v>7</v>
      </c>
      <c r="FC345" s="15" t="n">
        <v>7</v>
      </c>
      <c r="FY345" s="15" t="n">
        <v>7</v>
      </c>
      <c r="GU345" s="15" t="n">
        <v>7</v>
      </c>
    </row>
    <row r="346">
      <c r="C346" s="15" t="n">
        <v>8</v>
      </c>
      <c r="AA346" s="15" t="n">
        <v>8</v>
      </c>
      <c r="AW346" s="15" t="n">
        <v>8</v>
      </c>
      <c r="BS346" s="15" t="n">
        <v>8</v>
      </c>
      <c r="CO346" s="15" t="n">
        <v>8</v>
      </c>
      <c r="DK346" s="15" t="n">
        <v>8</v>
      </c>
      <c r="EG346" s="15" t="n">
        <v>8</v>
      </c>
      <c r="FC346" s="15" t="n">
        <v>8</v>
      </c>
      <c r="FY346" s="15" t="n">
        <v>8</v>
      </c>
      <c r="GU346" s="15" t="n">
        <v>8</v>
      </c>
    </row>
    <row r="348">
      <c r="C348" s="15" t="inlineStr">
        <is>
          <t>z(RLT)</t>
        </is>
      </c>
      <c r="D348" s="15" t="n">
        <v>19</v>
      </c>
      <c r="E348" s="15" t="n">
        <v>20</v>
      </c>
      <c r="F348" s="15" t="n">
        <v>21</v>
      </c>
      <c r="AA348" s="15" t="inlineStr">
        <is>
          <t>z(RLT)</t>
        </is>
      </c>
      <c r="AB348" s="15" t="n">
        <v>19</v>
      </c>
      <c r="AC348" s="15" t="n">
        <v>20</v>
      </c>
      <c r="AD348" s="15" t="n">
        <v>21</v>
      </c>
      <c r="AW348" s="15" t="inlineStr">
        <is>
          <t>z(RLT)</t>
        </is>
      </c>
      <c r="AX348" s="15" t="n">
        <v>19</v>
      </c>
      <c r="AY348" s="15" t="n">
        <v>20</v>
      </c>
      <c r="AZ348" s="15" t="n">
        <v>21</v>
      </c>
      <c r="BS348" s="15" t="inlineStr">
        <is>
          <t>z(RLT)</t>
        </is>
      </c>
      <c r="BT348" s="15" t="n">
        <v>19</v>
      </c>
      <c r="BU348" s="15" t="n">
        <v>20</v>
      </c>
      <c r="BV348" s="15" t="n">
        <v>21</v>
      </c>
      <c r="CO348" s="15" t="inlineStr">
        <is>
          <t>z(RLT)</t>
        </is>
      </c>
      <c r="CP348" s="15" t="n">
        <v>19</v>
      </c>
      <c r="CQ348" s="15" t="n">
        <v>20</v>
      </c>
      <c r="CR348" s="15" t="n">
        <v>21</v>
      </c>
      <c r="DK348" s="15" t="inlineStr">
        <is>
          <t>z(RLT)</t>
        </is>
      </c>
      <c r="DL348" s="15" t="n">
        <v>19</v>
      </c>
      <c r="DM348" s="15" t="n">
        <v>20</v>
      </c>
      <c r="DN348" s="15" t="n">
        <v>21</v>
      </c>
      <c r="EG348" s="15" t="inlineStr">
        <is>
          <t>z(RLT)</t>
        </is>
      </c>
      <c r="EH348" s="15" t="n">
        <v>19</v>
      </c>
      <c r="EI348" s="15" t="n">
        <v>20</v>
      </c>
      <c r="EJ348" s="15" t="n">
        <v>21</v>
      </c>
      <c r="FC348" s="15" t="inlineStr">
        <is>
          <t>z(RLT)</t>
        </is>
      </c>
      <c r="FD348" s="15" t="n">
        <v>19</v>
      </c>
      <c r="FE348" s="15" t="n">
        <v>20</v>
      </c>
      <c r="FF348" s="15" t="n">
        <v>21</v>
      </c>
      <c r="FY348" s="15" t="inlineStr">
        <is>
          <t>z(RLT)</t>
        </is>
      </c>
      <c r="FZ348" s="15" t="n">
        <v>19</v>
      </c>
      <c r="GA348" s="15" t="n">
        <v>20</v>
      </c>
      <c r="GB348" s="15" t="n">
        <v>21</v>
      </c>
      <c r="GU348" s="15" t="inlineStr">
        <is>
          <t>z(RLT)</t>
        </is>
      </c>
      <c r="GV348" s="15" t="n">
        <v>19</v>
      </c>
      <c r="GW348" s="15" t="n">
        <v>20</v>
      </c>
      <c r="GX348" s="15" t="n">
        <v>21</v>
      </c>
    </row>
    <row r="349">
      <c r="C349" s="15" t="n">
        <v>7</v>
      </c>
      <c r="AA349" s="15" t="n">
        <v>7</v>
      </c>
      <c r="AW349" s="15" t="n">
        <v>7</v>
      </c>
      <c r="BS349" s="15" t="n">
        <v>7</v>
      </c>
      <c r="CO349" s="15" t="n">
        <v>7</v>
      </c>
      <c r="DK349" s="15" t="n">
        <v>7</v>
      </c>
      <c r="EG349" s="15" t="n">
        <v>7</v>
      </c>
      <c r="FC349" s="15" t="n">
        <v>7</v>
      </c>
      <c r="FY349" s="15" t="n">
        <v>7</v>
      </c>
      <c r="GU349" s="15" t="n">
        <v>7</v>
      </c>
    </row>
    <row r="350">
      <c r="C350" s="15" t="n">
        <v>8</v>
      </c>
      <c r="AA350" s="15" t="n">
        <v>8</v>
      </c>
      <c r="AW350" s="15" t="n">
        <v>8</v>
      </c>
      <c r="BS350" s="15" t="n">
        <v>8</v>
      </c>
      <c r="CO350" s="15" t="n">
        <v>8</v>
      </c>
      <c r="DK350" s="15" t="n">
        <v>8</v>
      </c>
      <c r="EG350" s="15" t="n">
        <v>8</v>
      </c>
      <c r="FC350" s="15" t="n">
        <v>8</v>
      </c>
      <c r="FY350" s="15" t="n">
        <v>8</v>
      </c>
      <c r="GU350" s="15" t="n">
        <v>8</v>
      </c>
    </row>
    <row r="352" ht="16.2" customHeight="1">
      <c r="C352" s="15" t="inlineStr">
        <is>
          <t>Aleatória S2nd</t>
        </is>
      </c>
      <c r="D352" s="15" t="n">
        <v>19</v>
      </c>
      <c r="E352" s="15" t="n">
        <v>20</v>
      </c>
      <c r="F352" s="15" t="n">
        <v>21</v>
      </c>
      <c r="AA352" s="15" t="inlineStr">
        <is>
          <t>Aleatória S2nd</t>
        </is>
      </c>
      <c r="AB352" s="15" t="n">
        <v>19</v>
      </c>
      <c r="AC352" s="15" t="n">
        <v>20</v>
      </c>
      <c r="AD352" s="15" t="n">
        <v>21</v>
      </c>
      <c r="AW352" s="15" t="inlineStr">
        <is>
          <t>Aleatória S2nd</t>
        </is>
      </c>
      <c r="AX352" s="15" t="n">
        <v>19</v>
      </c>
      <c r="AY352" s="15" t="n">
        <v>20</v>
      </c>
      <c r="AZ352" s="15" t="n">
        <v>21</v>
      </c>
      <c r="BS352" s="15" t="inlineStr">
        <is>
          <t>Aleatória S2nd</t>
        </is>
      </c>
      <c r="BT352" s="15" t="n">
        <v>19</v>
      </c>
      <c r="BU352" s="15" t="n">
        <v>20</v>
      </c>
      <c r="BV352" s="15" t="n">
        <v>21</v>
      </c>
      <c r="CO352" s="15" t="inlineStr">
        <is>
          <t>Aleatória S2nd</t>
        </is>
      </c>
      <c r="CP352" s="15" t="n">
        <v>19</v>
      </c>
      <c r="CQ352" s="15" t="n">
        <v>20</v>
      </c>
      <c r="CR352" s="15" t="n">
        <v>21</v>
      </c>
      <c r="DK352" s="15" t="inlineStr">
        <is>
          <t>Aleatória S2nd</t>
        </is>
      </c>
      <c r="DL352" s="15" t="n">
        <v>19</v>
      </c>
      <c r="DM352" s="15" t="n">
        <v>20</v>
      </c>
      <c r="DN352" s="15" t="n">
        <v>21</v>
      </c>
      <c r="EG352" s="15" t="inlineStr">
        <is>
          <t>Aleatória S2nd</t>
        </is>
      </c>
      <c r="EH352" s="15" t="n">
        <v>19</v>
      </c>
      <c r="EI352" s="15" t="n">
        <v>20</v>
      </c>
      <c r="EJ352" s="15" t="n">
        <v>21</v>
      </c>
      <c r="FC352" s="15" t="inlineStr">
        <is>
          <t>Aleatória S2nd</t>
        </is>
      </c>
      <c r="FD352" s="15" t="n">
        <v>19</v>
      </c>
      <c r="FE352" s="15" t="n">
        <v>20</v>
      </c>
      <c r="FF352" s="15" t="n">
        <v>21</v>
      </c>
      <c r="FY352" s="15" t="inlineStr">
        <is>
          <t>Aleatória S2nd</t>
        </is>
      </c>
      <c r="FZ352" s="15" t="n">
        <v>19</v>
      </c>
      <c r="GA352" s="15" t="n">
        <v>20</v>
      </c>
      <c r="GB352" s="15" t="n">
        <v>21</v>
      </c>
      <c r="GU352" s="15" t="inlineStr">
        <is>
          <t>Aleatória S2nd</t>
        </is>
      </c>
      <c r="GV352" s="15" t="n">
        <v>19</v>
      </c>
      <c r="GW352" s="15" t="n">
        <v>20</v>
      </c>
      <c r="GX352" s="15" t="n">
        <v>21</v>
      </c>
    </row>
    <row r="353">
      <c r="C353" s="15" t="n">
        <v>7</v>
      </c>
      <c r="AA353" s="15" t="n">
        <v>7</v>
      </c>
      <c r="AW353" s="15" t="n">
        <v>7</v>
      </c>
      <c r="BS353" s="15" t="n">
        <v>7</v>
      </c>
      <c r="CO353" s="15" t="n">
        <v>7</v>
      </c>
      <c r="DK353" s="15" t="n">
        <v>7</v>
      </c>
      <c r="EG353" s="15" t="n">
        <v>7</v>
      </c>
      <c r="FC353" s="15" t="n">
        <v>7</v>
      </c>
      <c r="FY353" s="15" t="n">
        <v>7</v>
      </c>
      <c r="GU353" s="15" t="n">
        <v>7</v>
      </c>
    </row>
    <row r="354">
      <c r="C354" s="15" t="n">
        <v>8</v>
      </c>
      <c r="AA354" s="15" t="n">
        <v>8</v>
      </c>
      <c r="AW354" s="15" t="n">
        <v>8</v>
      </c>
      <c r="BS354" s="15" t="n">
        <v>8</v>
      </c>
      <c r="CO354" s="15" t="n">
        <v>8</v>
      </c>
      <c r="DK354" s="15" t="n">
        <v>8</v>
      </c>
      <c r="EG354" s="15" t="n">
        <v>8</v>
      </c>
      <c r="FC354" s="15" t="n">
        <v>8</v>
      </c>
      <c r="FY354" s="15" t="n">
        <v>8</v>
      </c>
      <c r="GU354" s="15" t="n">
        <v>8</v>
      </c>
    </row>
    <row r="356">
      <c r="C356" s="15" t="inlineStr">
        <is>
          <t>Radicand</t>
        </is>
      </c>
      <c r="D356" s="15" t="n">
        <v>19</v>
      </c>
      <c r="E356" s="15" t="n">
        <v>20</v>
      </c>
      <c r="F356" s="15" t="n">
        <v>21</v>
      </c>
      <c r="AA356" s="15" t="inlineStr">
        <is>
          <t>Radicand</t>
        </is>
      </c>
      <c r="AB356" s="15" t="n">
        <v>19</v>
      </c>
      <c r="AC356" s="15" t="n">
        <v>20</v>
      </c>
      <c r="AD356" s="15" t="n">
        <v>21</v>
      </c>
      <c r="AW356" s="15" t="inlineStr">
        <is>
          <t>Radicand</t>
        </is>
      </c>
      <c r="AX356" s="15" t="n">
        <v>19</v>
      </c>
      <c r="AY356" s="15" t="n">
        <v>20</v>
      </c>
      <c r="AZ356" s="15" t="n">
        <v>21</v>
      </c>
      <c r="BS356" s="15" t="inlineStr">
        <is>
          <t>Radicand</t>
        </is>
      </c>
      <c r="BT356" s="15" t="n">
        <v>19</v>
      </c>
      <c r="BU356" s="15" t="n">
        <v>20</v>
      </c>
      <c r="BV356" s="15" t="n">
        <v>21</v>
      </c>
      <c r="CO356" s="15" t="inlineStr">
        <is>
          <t>Radicand</t>
        </is>
      </c>
      <c r="CP356" s="15" t="n">
        <v>19</v>
      </c>
      <c r="CQ356" s="15" t="n">
        <v>20</v>
      </c>
      <c r="CR356" s="15" t="n">
        <v>21</v>
      </c>
      <c r="DK356" s="15" t="inlineStr">
        <is>
          <t>Radicand</t>
        </is>
      </c>
      <c r="DL356" s="15" t="n">
        <v>19</v>
      </c>
      <c r="DM356" s="15" t="n">
        <v>20</v>
      </c>
      <c r="DN356" s="15" t="n">
        <v>21</v>
      </c>
      <c r="EG356" s="15" t="inlineStr">
        <is>
          <t>Radicand</t>
        </is>
      </c>
      <c r="EH356" s="15" t="n">
        <v>19</v>
      </c>
      <c r="EI356" s="15" t="n">
        <v>20</v>
      </c>
      <c r="EJ356" s="15" t="n">
        <v>21</v>
      </c>
      <c r="FC356" s="15" t="inlineStr">
        <is>
          <t>Radicand</t>
        </is>
      </c>
      <c r="FD356" s="15" t="n">
        <v>19</v>
      </c>
      <c r="FE356" s="15" t="n">
        <v>20</v>
      </c>
      <c r="FF356" s="15" t="n">
        <v>21</v>
      </c>
      <c r="FY356" s="15" t="inlineStr">
        <is>
          <t>Radicand</t>
        </is>
      </c>
      <c r="FZ356" s="15" t="n">
        <v>19</v>
      </c>
      <c r="GA356" s="15" t="n">
        <v>20</v>
      </c>
      <c r="GB356" s="15" t="n">
        <v>21</v>
      </c>
      <c r="GU356" s="15" t="inlineStr">
        <is>
          <t>Radicand</t>
        </is>
      </c>
      <c r="GV356" s="15" t="n">
        <v>19</v>
      </c>
      <c r="GW356" s="15" t="n">
        <v>20</v>
      </c>
      <c r="GX356" s="15" t="n">
        <v>21</v>
      </c>
    </row>
    <row r="357">
      <c r="C357" s="15" t="n">
        <v>7</v>
      </c>
      <c r="AA357" s="15" t="n">
        <v>7</v>
      </c>
      <c r="AW357" s="15" t="n">
        <v>7</v>
      </c>
      <c r="BS357" s="15" t="n">
        <v>7</v>
      </c>
      <c r="CO357" s="15" t="n">
        <v>7</v>
      </c>
      <c r="DK357" s="15" t="n">
        <v>7</v>
      </c>
      <c r="EG357" s="15" t="n">
        <v>7</v>
      </c>
      <c r="FC357" s="15" t="n">
        <v>7</v>
      </c>
      <c r="FY357" s="15" t="n">
        <v>7</v>
      </c>
      <c r="GU357" s="15" t="n">
        <v>7</v>
      </c>
    </row>
    <row r="358">
      <c r="C358" s="15" t="n">
        <v>8</v>
      </c>
      <c r="AA358" s="15" t="n">
        <v>8</v>
      </c>
      <c r="AW358" s="15" t="n">
        <v>8</v>
      </c>
      <c r="BS358" s="15" t="n">
        <v>8</v>
      </c>
      <c r="CO358" s="15" t="n">
        <v>8</v>
      </c>
      <c r="DK358" s="15" t="n">
        <v>8</v>
      </c>
      <c r="EG358" s="15" t="n">
        <v>8</v>
      </c>
      <c r="FC358" s="15" t="n">
        <v>8</v>
      </c>
      <c r="FY358" s="15" t="n">
        <v>8</v>
      </c>
      <c r="GU358" s="15" t="n">
        <v>8</v>
      </c>
    </row>
    <row r="360">
      <c r="C360" s="15" t="inlineStr">
        <is>
          <t>SQRT</t>
        </is>
      </c>
      <c r="D360" s="15" t="n">
        <v>19</v>
      </c>
      <c r="E360" s="15" t="n">
        <v>20</v>
      </c>
      <c r="F360" s="15" t="n">
        <v>21</v>
      </c>
      <c r="AA360" s="15" t="inlineStr">
        <is>
          <t>SQRT</t>
        </is>
      </c>
      <c r="AB360" s="15" t="n">
        <v>19</v>
      </c>
      <c r="AC360" s="15" t="n">
        <v>20</v>
      </c>
      <c r="AD360" s="15" t="n">
        <v>21</v>
      </c>
      <c r="AW360" s="15" t="inlineStr">
        <is>
          <t>SQRT</t>
        </is>
      </c>
      <c r="AX360" s="15" t="n">
        <v>19</v>
      </c>
      <c r="AY360" s="15" t="n">
        <v>20</v>
      </c>
      <c r="AZ360" s="15" t="n">
        <v>21</v>
      </c>
      <c r="BS360" s="15" t="inlineStr">
        <is>
          <t>SQRT</t>
        </is>
      </c>
      <c r="BT360" s="15" t="n">
        <v>19</v>
      </c>
      <c r="BU360" s="15" t="n">
        <v>20</v>
      </c>
      <c r="BV360" s="15" t="n">
        <v>21</v>
      </c>
      <c r="CO360" s="15" t="inlineStr">
        <is>
          <t>SQRT</t>
        </is>
      </c>
      <c r="CP360" s="15" t="n">
        <v>19</v>
      </c>
      <c r="CQ360" s="15" t="n">
        <v>20</v>
      </c>
      <c r="CR360" s="15" t="n">
        <v>21</v>
      </c>
      <c r="DK360" s="15" t="inlineStr">
        <is>
          <t>SQRT</t>
        </is>
      </c>
      <c r="DL360" s="15" t="n">
        <v>19</v>
      </c>
      <c r="DM360" s="15" t="n">
        <v>20</v>
      </c>
      <c r="DN360" s="15" t="n">
        <v>21</v>
      </c>
      <c r="EG360" s="15" t="inlineStr">
        <is>
          <t>SQRT</t>
        </is>
      </c>
      <c r="EH360" s="15" t="n">
        <v>19</v>
      </c>
      <c r="EI360" s="15" t="n">
        <v>20</v>
      </c>
      <c r="EJ360" s="15" t="n">
        <v>21</v>
      </c>
      <c r="FC360" s="15" t="inlineStr">
        <is>
          <t>SQRT</t>
        </is>
      </c>
      <c r="FD360" s="15" t="n">
        <v>19</v>
      </c>
      <c r="FE360" s="15" t="n">
        <v>20</v>
      </c>
      <c r="FF360" s="15" t="n">
        <v>21</v>
      </c>
      <c r="FY360" s="15" t="inlineStr">
        <is>
          <t>SQRT</t>
        </is>
      </c>
      <c r="FZ360" s="15" t="n">
        <v>19</v>
      </c>
      <c r="GA360" s="15" t="n">
        <v>20</v>
      </c>
      <c r="GB360" s="15" t="n">
        <v>21</v>
      </c>
      <c r="GU360" s="15" t="inlineStr">
        <is>
          <t>SQRT</t>
        </is>
      </c>
      <c r="GV360" s="15" t="n">
        <v>19</v>
      </c>
      <c r="GW360" s="15" t="n">
        <v>20</v>
      </c>
      <c r="GX360" s="15" t="n">
        <v>21</v>
      </c>
    </row>
    <row r="361">
      <c r="C361" s="15" t="n">
        <v>7</v>
      </c>
      <c r="AA361" s="15" t="n">
        <v>7</v>
      </c>
      <c r="AW361" s="15" t="n">
        <v>7</v>
      </c>
      <c r="BS361" s="15" t="n">
        <v>7</v>
      </c>
      <c r="CO361" s="15" t="n">
        <v>7</v>
      </c>
      <c r="DK361" s="15" t="n">
        <v>7</v>
      </c>
      <c r="EG361" s="15" t="n">
        <v>7</v>
      </c>
      <c r="FC361" s="15" t="n">
        <v>7</v>
      </c>
      <c r="FY361" s="15" t="n">
        <v>7</v>
      </c>
      <c r="GU361" s="15" t="n">
        <v>7</v>
      </c>
    </row>
    <row r="362">
      <c r="C362" s="15" t="n">
        <v>8</v>
      </c>
      <c r="AA362" s="15" t="n">
        <v>8</v>
      </c>
      <c r="AW362" s="15" t="n">
        <v>8</v>
      </c>
      <c r="BS362" s="15" t="n">
        <v>8</v>
      </c>
      <c r="CO362" s="15" t="n">
        <v>8</v>
      </c>
      <c r="DK362" s="15" t="n">
        <v>8</v>
      </c>
      <c r="EG362" s="15" t="n">
        <v>8</v>
      </c>
      <c r="FC362" s="15" t="n">
        <v>8</v>
      </c>
      <c r="FY362" s="15" t="n">
        <v>8</v>
      </c>
      <c r="GU362" s="15" t="n">
        <v>8</v>
      </c>
    </row>
    <row r="364">
      <c r="C364" s="15" t="inlineStr">
        <is>
          <t>ND*ELT</t>
        </is>
      </c>
      <c r="D364" s="15" t="n">
        <v>19</v>
      </c>
      <c r="E364" s="15" t="n">
        <v>20</v>
      </c>
      <c r="F364" s="15" t="n">
        <v>21</v>
      </c>
      <c r="AA364" s="15" t="inlineStr">
        <is>
          <t>ND*ELT</t>
        </is>
      </c>
      <c r="AB364" s="15" t="n">
        <v>19</v>
      </c>
      <c r="AC364" s="15" t="n">
        <v>20</v>
      </c>
      <c r="AD364" s="15" t="n">
        <v>21</v>
      </c>
      <c r="AW364" s="15" t="inlineStr">
        <is>
          <t>ND*ELT</t>
        </is>
      </c>
      <c r="AX364" s="15" t="n">
        <v>19</v>
      </c>
      <c r="AY364" s="15" t="n">
        <v>20</v>
      </c>
      <c r="AZ364" s="15" t="n">
        <v>21</v>
      </c>
      <c r="BS364" s="15" t="inlineStr">
        <is>
          <t>ND*ELT</t>
        </is>
      </c>
      <c r="BT364" s="15" t="n">
        <v>19</v>
      </c>
      <c r="BU364" s="15" t="n">
        <v>20</v>
      </c>
      <c r="BV364" s="15" t="n">
        <v>21</v>
      </c>
      <c r="CO364" s="15" t="inlineStr">
        <is>
          <t>ND*ELT</t>
        </is>
      </c>
      <c r="CP364" s="15" t="n">
        <v>19</v>
      </c>
      <c r="CQ364" s="15" t="n">
        <v>20</v>
      </c>
      <c r="CR364" s="15" t="n">
        <v>21</v>
      </c>
      <c r="DK364" s="15" t="inlineStr">
        <is>
          <t>ND*ELT</t>
        </is>
      </c>
      <c r="DL364" s="15" t="n">
        <v>19</v>
      </c>
      <c r="DM364" s="15" t="n">
        <v>20</v>
      </c>
      <c r="DN364" s="15" t="n">
        <v>21</v>
      </c>
      <c r="EG364" s="15" t="inlineStr">
        <is>
          <t>ND*ELT</t>
        </is>
      </c>
      <c r="EH364" s="15" t="n">
        <v>19</v>
      </c>
      <c r="EI364" s="15" t="n">
        <v>20</v>
      </c>
      <c r="EJ364" s="15" t="n">
        <v>21</v>
      </c>
      <c r="FC364" s="15" t="inlineStr">
        <is>
          <t>ND*ELT</t>
        </is>
      </c>
      <c r="FD364" s="15" t="n">
        <v>19</v>
      </c>
      <c r="FE364" s="15" t="n">
        <v>20</v>
      </c>
      <c r="FF364" s="15" t="n">
        <v>21</v>
      </c>
      <c r="FY364" s="15" t="inlineStr">
        <is>
          <t>ND*ELT</t>
        </is>
      </c>
      <c r="FZ364" s="15" t="n">
        <v>19</v>
      </c>
      <c r="GA364" s="15" t="n">
        <v>20</v>
      </c>
      <c r="GB364" s="15" t="n">
        <v>21</v>
      </c>
      <c r="GU364" s="15" t="inlineStr">
        <is>
          <t>ND*ELT</t>
        </is>
      </c>
      <c r="GV364" s="15" t="n">
        <v>19</v>
      </c>
      <c r="GW364" s="15" t="n">
        <v>20</v>
      </c>
      <c r="GX364" s="15" t="n">
        <v>21</v>
      </c>
    </row>
    <row r="365">
      <c r="C365" s="15" t="n">
        <v>7</v>
      </c>
      <c r="AA365" s="15" t="n">
        <v>7</v>
      </c>
      <c r="AW365" s="15" t="n">
        <v>7</v>
      </c>
      <c r="BS365" s="15" t="n">
        <v>7</v>
      </c>
      <c r="CO365" s="15" t="n">
        <v>7</v>
      </c>
      <c r="DK365" s="15" t="n">
        <v>7</v>
      </c>
      <c r="EG365" s="15" t="n">
        <v>7</v>
      </c>
      <c r="FC365" s="15" t="n">
        <v>7</v>
      </c>
      <c r="FY365" s="15" t="n">
        <v>7</v>
      </c>
      <c r="GU365" s="15" t="n">
        <v>7</v>
      </c>
    </row>
    <row r="366">
      <c r="C366" s="15" t="n">
        <v>8</v>
      </c>
      <c r="AA366" s="15" t="n">
        <v>8</v>
      </c>
      <c r="AW366" s="15" t="n">
        <v>8</v>
      </c>
      <c r="BS366" s="15" t="n">
        <v>8</v>
      </c>
      <c r="CO366" s="15" t="n">
        <v>8</v>
      </c>
      <c r="DK366" s="15" t="n">
        <v>8</v>
      </c>
      <c r="EG366" s="15" t="n">
        <v>8</v>
      </c>
      <c r="FC366" s="15" t="n">
        <v>8</v>
      </c>
      <c r="FY366" s="15" t="n">
        <v>8</v>
      </c>
      <c r="GU366" s="15" t="n">
        <v>8</v>
      </c>
    </row>
    <row r="368">
      <c r="C368" s="15" t="inlineStr">
        <is>
          <t>Aleatória RLT</t>
        </is>
      </c>
      <c r="D368" s="15" t="n">
        <v>19</v>
      </c>
      <c r="E368" s="15" t="n">
        <v>20</v>
      </c>
      <c r="F368" s="15" t="n">
        <v>21</v>
      </c>
      <c r="AA368" s="15" t="inlineStr">
        <is>
          <t>Aleatória RLT</t>
        </is>
      </c>
      <c r="AB368" s="15" t="n">
        <v>19</v>
      </c>
      <c r="AC368" s="15" t="n">
        <v>20</v>
      </c>
      <c r="AD368" s="15" t="n">
        <v>21</v>
      </c>
      <c r="AW368" s="15" t="inlineStr">
        <is>
          <t>Aleatória RLT</t>
        </is>
      </c>
      <c r="AX368" s="15" t="n">
        <v>19</v>
      </c>
      <c r="AY368" s="15" t="n">
        <v>20</v>
      </c>
      <c r="AZ368" s="15" t="n">
        <v>21</v>
      </c>
      <c r="BS368" s="15" t="inlineStr">
        <is>
          <t>Aleatória RLT</t>
        </is>
      </c>
      <c r="BT368" s="15" t="n">
        <v>19</v>
      </c>
      <c r="BU368" s="15" t="n">
        <v>20</v>
      </c>
      <c r="BV368" s="15" t="n">
        <v>21</v>
      </c>
      <c r="CO368" s="15" t="inlineStr">
        <is>
          <t>Aleatória RLT</t>
        </is>
      </c>
      <c r="CP368" s="15" t="n">
        <v>19</v>
      </c>
      <c r="CQ368" s="15" t="n">
        <v>20</v>
      </c>
      <c r="CR368" s="15" t="n">
        <v>21</v>
      </c>
      <c r="DK368" s="15" t="inlineStr">
        <is>
          <t>Aleatória RLT</t>
        </is>
      </c>
      <c r="DL368" s="15" t="n">
        <v>19</v>
      </c>
      <c r="DM368" s="15" t="n">
        <v>20</v>
      </c>
      <c r="DN368" s="15" t="n">
        <v>21</v>
      </c>
      <c r="EG368" s="15" t="inlineStr">
        <is>
          <t>Aleatória RLT</t>
        </is>
      </c>
      <c r="EH368" s="15" t="n">
        <v>19</v>
      </c>
      <c r="EI368" s="15" t="n">
        <v>20</v>
      </c>
      <c r="EJ368" s="15" t="n">
        <v>21</v>
      </c>
      <c r="FC368" s="15" t="inlineStr">
        <is>
          <t>Aleatória RLT</t>
        </is>
      </c>
      <c r="FD368" s="15" t="n">
        <v>19</v>
      </c>
      <c r="FE368" s="15" t="n">
        <v>20</v>
      </c>
      <c r="FF368" s="15" t="n">
        <v>21</v>
      </c>
      <c r="FY368" s="15" t="inlineStr">
        <is>
          <t>Aleatória RLT</t>
        </is>
      </c>
      <c r="FZ368" s="15" t="n">
        <v>19</v>
      </c>
      <c r="GA368" s="15" t="n">
        <v>20</v>
      </c>
      <c r="GB368" s="15" t="n">
        <v>21</v>
      </c>
      <c r="GU368" s="15" t="inlineStr">
        <is>
          <t>Aleatória RLT</t>
        </is>
      </c>
      <c r="GV368" s="15" t="n">
        <v>19</v>
      </c>
      <c r="GW368" s="15" t="n">
        <v>20</v>
      </c>
      <c r="GX368" s="15" t="n">
        <v>21</v>
      </c>
    </row>
    <row r="369">
      <c r="C369" s="15" t="n">
        <v>7</v>
      </c>
      <c r="AA369" s="15" t="n">
        <v>7</v>
      </c>
      <c r="AW369" s="15" t="n">
        <v>7</v>
      </c>
      <c r="BS369" s="15" t="n">
        <v>7</v>
      </c>
      <c r="CO369" s="15" t="n">
        <v>7</v>
      </c>
      <c r="DK369" s="15" t="n">
        <v>7</v>
      </c>
      <c r="EG369" s="15" t="n">
        <v>7</v>
      </c>
      <c r="FC369" s="15" t="n">
        <v>7</v>
      </c>
      <c r="FY369" s="15" t="n">
        <v>7</v>
      </c>
      <c r="GU369" s="15" t="n">
        <v>7</v>
      </c>
    </row>
    <row r="370">
      <c r="C370" s="15" t="n">
        <v>8</v>
      </c>
      <c r="AA370" s="15" t="n">
        <v>8</v>
      </c>
      <c r="AW370" s="15" t="n">
        <v>8</v>
      </c>
      <c r="BS370" s="15" t="n">
        <v>8</v>
      </c>
      <c r="CO370" s="15" t="n">
        <v>8</v>
      </c>
      <c r="DK370" s="15" t="n">
        <v>8</v>
      </c>
      <c r="EG370" s="15" t="n">
        <v>8</v>
      </c>
      <c r="FC370" s="15" t="n">
        <v>8</v>
      </c>
      <c r="FY370" s="15" t="n">
        <v>8</v>
      </c>
      <c r="GU370" s="15" t="n">
        <v>8</v>
      </c>
    </row>
    <row r="372">
      <c r="B372" s="15" t="inlineStr">
        <is>
          <t>NOVA</t>
        </is>
      </c>
      <c r="C372" s="15" t="inlineStr">
        <is>
          <t>ActualRotd</t>
        </is>
      </c>
      <c r="D372" s="15" t="n">
        <v>1</v>
      </c>
      <c r="E372" s="15" t="n">
        <v>2</v>
      </c>
      <c r="F372" s="15" t="n">
        <v>3</v>
      </c>
      <c r="Z372" s="15" t="inlineStr">
        <is>
          <t>NOVA</t>
        </is>
      </c>
      <c r="AA372" s="15" t="inlineStr">
        <is>
          <t>ActualRotd</t>
        </is>
      </c>
      <c r="AB372" s="15" t="n">
        <v>1</v>
      </c>
      <c r="AC372" s="15" t="n">
        <v>2</v>
      </c>
      <c r="AD372" s="15" t="n">
        <v>3</v>
      </c>
      <c r="AV372" s="15" t="inlineStr">
        <is>
          <t>NOVA</t>
        </is>
      </c>
      <c r="AW372" s="15" t="inlineStr">
        <is>
          <t>ActualRotd</t>
        </is>
      </c>
      <c r="AX372" s="15" t="n">
        <v>1</v>
      </c>
      <c r="AY372" s="15" t="n">
        <v>2</v>
      </c>
      <c r="AZ372" s="15" t="n">
        <v>3</v>
      </c>
      <c r="BR372" s="15" t="inlineStr">
        <is>
          <t>NOVA</t>
        </is>
      </c>
      <c r="BS372" s="15" t="inlineStr">
        <is>
          <t>ActualRotd</t>
        </is>
      </c>
      <c r="BT372" s="15" t="n">
        <v>1</v>
      </c>
      <c r="BU372" s="15" t="n">
        <v>2</v>
      </c>
      <c r="BV372" s="15" t="n">
        <v>3</v>
      </c>
      <c r="CN372" s="15" t="inlineStr">
        <is>
          <t>NOVA</t>
        </is>
      </c>
      <c r="CO372" s="15" t="inlineStr">
        <is>
          <t>ActualRotd</t>
        </is>
      </c>
      <c r="CP372" s="15" t="n">
        <v>1</v>
      </c>
      <c r="CQ372" s="15" t="n">
        <v>2</v>
      </c>
      <c r="CR372" s="15" t="n">
        <v>3</v>
      </c>
      <c r="DJ372" s="15" t="inlineStr">
        <is>
          <t>NOVA</t>
        </is>
      </c>
      <c r="DK372" s="15" t="inlineStr">
        <is>
          <t>ActualRotd</t>
        </is>
      </c>
      <c r="DL372" s="15" t="n">
        <v>1</v>
      </c>
      <c r="DM372" s="15" t="n">
        <v>2</v>
      </c>
      <c r="DN372" s="15" t="n">
        <v>3</v>
      </c>
      <c r="EF372" s="15" t="inlineStr">
        <is>
          <t>NOVA</t>
        </is>
      </c>
      <c r="EG372" s="15" t="inlineStr">
        <is>
          <t>ActualRotd</t>
        </is>
      </c>
      <c r="EH372" s="15" t="n">
        <v>1</v>
      </c>
      <c r="EI372" s="15" t="n">
        <v>2</v>
      </c>
      <c r="EJ372" s="15" t="n">
        <v>3</v>
      </c>
      <c r="FB372" s="15" t="inlineStr">
        <is>
          <t>NOVA</t>
        </is>
      </c>
      <c r="FC372" s="15" t="inlineStr">
        <is>
          <t>ActualRotd</t>
        </is>
      </c>
      <c r="FD372" s="15" t="n">
        <v>1</v>
      </c>
      <c r="FE372" s="15" t="n">
        <v>2</v>
      </c>
      <c r="FF372" s="15" t="n">
        <v>3</v>
      </c>
      <c r="FX372" s="15" t="inlineStr">
        <is>
          <t>NOVA</t>
        </is>
      </c>
      <c r="FY372" s="15" t="inlineStr">
        <is>
          <t>ActualRotd</t>
        </is>
      </c>
      <c r="FZ372" s="15" t="n">
        <v>1</v>
      </c>
      <c r="GA372" s="15" t="n">
        <v>2</v>
      </c>
      <c r="GB372" s="15" t="n">
        <v>3</v>
      </c>
      <c r="GT372" s="15" t="inlineStr">
        <is>
          <t>NOVA</t>
        </is>
      </c>
      <c r="GU372" s="15" t="inlineStr">
        <is>
          <t>ActualRotd</t>
        </is>
      </c>
      <c r="GV372" s="15" t="n">
        <v>1</v>
      </c>
      <c r="GW372" s="15" t="n">
        <v>2</v>
      </c>
      <c r="GX372" s="15" t="n">
        <v>3</v>
      </c>
    </row>
    <row r="373">
      <c r="C373" s="15" t="n">
        <v>1</v>
      </c>
      <c r="D373" s="18" t="n"/>
      <c r="E373" s="18" t="n"/>
      <c r="F373" s="18" t="n"/>
      <c r="AA373" s="15" t="n">
        <v>1</v>
      </c>
      <c r="AW373" s="15" t="n">
        <v>1</v>
      </c>
      <c r="BS373" s="15" t="n">
        <v>1</v>
      </c>
      <c r="CO373" s="15" t="n">
        <v>1</v>
      </c>
      <c r="DK373" s="15" t="n">
        <v>1</v>
      </c>
      <c r="EG373" s="15" t="n">
        <v>1</v>
      </c>
      <c r="FC373" s="15" t="n">
        <v>1</v>
      </c>
      <c r="FY373" s="15" t="n">
        <v>1</v>
      </c>
      <c r="GU373" s="15" t="n">
        <v>1</v>
      </c>
    </row>
    <row r="374">
      <c r="C374" s="15" t="n">
        <v>2</v>
      </c>
      <c r="D374" s="18" t="n"/>
      <c r="E374" s="18" t="n"/>
      <c r="F374" s="18" t="n"/>
      <c r="AA374" s="15" t="n">
        <v>2</v>
      </c>
      <c r="AW374" s="15" t="n">
        <v>2</v>
      </c>
      <c r="BS374" s="15" t="n">
        <v>2</v>
      </c>
      <c r="CO374" s="15" t="n">
        <v>2</v>
      </c>
      <c r="DK374" s="15" t="n">
        <v>2</v>
      </c>
      <c r="EG374" s="15" t="n">
        <v>2</v>
      </c>
      <c r="FC374" s="15" t="n">
        <v>2</v>
      </c>
      <c r="FY374" s="15" t="n">
        <v>2</v>
      </c>
      <c r="GU374" s="15" t="n">
        <v>2</v>
      </c>
    </row>
    <row r="375">
      <c r="C375" s="15" t="n">
        <v>3</v>
      </c>
      <c r="D375" s="18" t="n"/>
      <c r="E375" s="18" t="n"/>
      <c r="F375" s="18" t="n"/>
      <c r="AA375" s="15" t="n">
        <v>3</v>
      </c>
      <c r="AW375" s="15" t="n">
        <v>3</v>
      </c>
      <c r="BS375" s="15" t="n">
        <v>3</v>
      </c>
      <c r="CO375" s="15" t="n">
        <v>3</v>
      </c>
      <c r="DK375" s="15" t="n">
        <v>3</v>
      </c>
      <c r="EG375" s="15" t="n">
        <v>3</v>
      </c>
      <c r="FC375" s="15" t="n">
        <v>3</v>
      </c>
      <c r="FY375" s="15" t="n">
        <v>3</v>
      </c>
      <c r="GU375" s="15" t="n">
        <v>3</v>
      </c>
    </row>
    <row r="377">
      <c r="B377" s="15" t="inlineStr">
        <is>
          <t>NOVA</t>
        </is>
      </c>
      <c r="C377" s="15" t="inlineStr">
        <is>
          <t>vMaxNumOfCyclesd</t>
        </is>
      </c>
      <c r="D377" s="15" t="n">
        <v>1</v>
      </c>
      <c r="E377" s="15" t="n">
        <v>2</v>
      </c>
      <c r="F377" s="15" t="n">
        <v>3</v>
      </c>
      <c r="Z377" s="15" t="inlineStr">
        <is>
          <t>NOVA</t>
        </is>
      </c>
      <c r="AA377" s="15" t="inlineStr">
        <is>
          <t>vMaxNumOfCyclesd</t>
        </is>
      </c>
      <c r="AB377" s="15" t="n">
        <v>1</v>
      </c>
      <c r="AC377" s="15" t="n">
        <v>2</v>
      </c>
      <c r="AD377" s="15" t="n">
        <v>3</v>
      </c>
      <c r="AV377" s="15" t="inlineStr">
        <is>
          <t>NOVA</t>
        </is>
      </c>
      <c r="AW377" s="15" t="inlineStr">
        <is>
          <t>vMaxNumOfCyclesd</t>
        </is>
      </c>
      <c r="AX377" s="15" t="n">
        <v>1</v>
      </c>
      <c r="AY377" s="15" t="n">
        <v>2</v>
      </c>
      <c r="AZ377" s="15" t="n">
        <v>3</v>
      </c>
      <c r="BR377" s="15" t="inlineStr">
        <is>
          <t>NOVA</t>
        </is>
      </c>
      <c r="BS377" s="15" t="inlineStr">
        <is>
          <t>vMaxNumOfCyclesd</t>
        </is>
      </c>
      <c r="BT377" s="15" t="n">
        <v>1</v>
      </c>
      <c r="BU377" s="15" t="n">
        <v>2</v>
      </c>
      <c r="BV377" s="15" t="n">
        <v>3</v>
      </c>
      <c r="CN377" s="15" t="inlineStr">
        <is>
          <t>NOVA</t>
        </is>
      </c>
      <c r="CO377" s="15" t="inlineStr">
        <is>
          <t>vMaxNumOfCyclesd</t>
        </is>
      </c>
      <c r="CP377" s="15" t="n">
        <v>1</v>
      </c>
      <c r="CQ377" s="15" t="n">
        <v>2</v>
      </c>
      <c r="CR377" s="15" t="n">
        <v>3</v>
      </c>
      <c r="DJ377" s="15" t="inlineStr">
        <is>
          <t>NOVA</t>
        </is>
      </c>
      <c r="DK377" s="15" t="inlineStr">
        <is>
          <t>vMaxNumOfCyclesd</t>
        </is>
      </c>
      <c r="DL377" s="15" t="n">
        <v>1</v>
      </c>
      <c r="DM377" s="15" t="n">
        <v>2</v>
      </c>
      <c r="DN377" s="15" t="n">
        <v>3</v>
      </c>
      <c r="EF377" s="15" t="inlineStr">
        <is>
          <t>NOVA</t>
        </is>
      </c>
      <c r="EG377" s="15" t="inlineStr">
        <is>
          <t>vMaxNumOfCyclesd</t>
        </is>
      </c>
      <c r="EH377" s="15" t="n">
        <v>1</v>
      </c>
      <c r="EI377" s="15" t="n">
        <v>2</v>
      </c>
      <c r="EJ377" s="15" t="n">
        <v>3</v>
      </c>
      <c r="FB377" s="15" t="inlineStr">
        <is>
          <t>NOVA</t>
        </is>
      </c>
      <c r="FC377" s="15" t="inlineStr">
        <is>
          <t>vMaxNumOfCyclesd</t>
        </is>
      </c>
      <c r="FD377" s="15" t="n">
        <v>1</v>
      </c>
      <c r="FE377" s="15" t="n">
        <v>2</v>
      </c>
      <c r="FF377" s="15" t="n">
        <v>3</v>
      </c>
      <c r="FX377" s="15" t="inlineStr">
        <is>
          <t>NOVA</t>
        </is>
      </c>
      <c r="FY377" s="15" t="inlineStr">
        <is>
          <t>vMaxNumOfCyclesd</t>
        </is>
      </c>
      <c r="FZ377" s="15" t="n">
        <v>1</v>
      </c>
      <c r="GA377" s="15" t="n">
        <v>2</v>
      </c>
      <c r="GB377" s="15" t="n">
        <v>3</v>
      </c>
      <c r="GT377" s="15" t="inlineStr">
        <is>
          <t>NOVA</t>
        </is>
      </c>
      <c r="GU377" s="15" t="inlineStr">
        <is>
          <t>vMaxNumOfCyclesd</t>
        </is>
      </c>
      <c r="GV377" s="15" t="n">
        <v>1</v>
      </c>
      <c r="GW377" s="15" t="n">
        <v>2</v>
      </c>
      <c r="GX377" s="15" t="n">
        <v>3</v>
      </c>
    </row>
    <row r="378">
      <c r="C378" s="15" t="n">
        <v>1</v>
      </c>
      <c r="AA378" s="15" t="n">
        <v>1</v>
      </c>
      <c r="AW378" s="15" t="n">
        <v>1</v>
      </c>
      <c r="BS378" s="15" t="n">
        <v>1</v>
      </c>
      <c r="CO378" s="15" t="n">
        <v>1</v>
      </c>
      <c r="DK378" s="15" t="n">
        <v>1</v>
      </c>
      <c r="EG378" s="15" t="n">
        <v>1</v>
      </c>
      <c r="FC378" s="15" t="n">
        <v>1</v>
      </c>
      <c r="FY378" s="15" t="n">
        <v>1</v>
      </c>
      <c r="GU378" s="15" t="n">
        <v>1</v>
      </c>
    </row>
    <row r="379">
      <c r="C379" s="15" t="n">
        <v>2</v>
      </c>
      <c r="AA379" s="15" t="n">
        <v>2</v>
      </c>
      <c r="AW379" s="15" t="n">
        <v>2</v>
      </c>
      <c r="BS379" s="15" t="n">
        <v>2</v>
      </c>
      <c r="CO379" s="15" t="n">
        <v>2</v>
      </c>
      <c r="DK379" s="15" t="n">
        <v>2</v>
      </c>
      <c r="EG379" s="15" t="n">
        <v>2</v>
      </c>
      <c r="FC379" s="15" t="n">
        <v>2</v>
      </c>
      <c r="FY379" s="15" t="n">
        <v>2</v>
      </c>
      <c r="GU379" s="15" t="n">
        <v>2</v>
      </c>
    </row>
    <row r="380">
      <c r="C380" s="15" t="n">
        <v>3</v>
      </c>
      <c r="AA380" s="15" t="n">
        <v>3</v>
      </c>
      <c r="AW380" s="15" t="n">
        <v>3</v>
      </c>
      <c r="BS380" s="15" t="n">
        <v>3</v>
      </c>
      <c r="CO380" s="15" t="n">
        <v>3</v>
      </c>
      <c r="DK380" s="15" t="n">
        <v>3</v>
      </c>
      <c r="EG380" s="15" t="n">
        <v>3</v>
      </c>
      <c r="FC380" s="15" t="n">
        <v>3</v>
      </c>
      <c r="FY380" s="15" t="n">
        <v>3</v>
      </c>
      <c r="GU380" s="15" t="n">
        <v>3</v>
      </c>
    </row>
    <row r="381" ht="23.4" customHeight="1">
      <c r="B381" s="60" t="inlineStr">
        <is>
          <t>RETAILERS</t>
        </is>
      </c>
      <c r="Z381" s="15" t="inlineStr">
        <is>
          <t>RETAILERS</t>
        </is>
      </c>
      <c r="AV381" s="15" t="inlineStr">
        <is>
          <t>RETAILERS</t>
        </is>
      </c>
      <c r="BR381" s="15" t="inlineStr">
        <is>
          <t>RETAILERS</t>
        </is>
      </c>
      <c r="CN381" s="15" t="inlineStr">
        <is>
          <t>RETAILERS</t>
        </is>
      </c>
      <c r="DJ381" s="15" t="inlineStr">
        <is>
          <t>RETAILERS</t>
        </is>
      </c>
      <c r="EF381" s="15" t="inlineStr">
        <is>
          <t>RETAILERS</t>
        </is>
      </c>
      <c r="FB381" s="15" t="inlineStr">
        <is>
          <t>RETAILERS</t>
        </is>
      </c>
      <c r="FX381" s="15" t="inlineStr">
        <is>
          <t>RETAILERS</t>
        </is>
      </c>
      <c r="GT381" s="15" t="inlineStr">
        <is>
          <t>RETAILERS</t>
        </is>
      </c>
    </row>
    <row r="382">
      <c r="C382" s="15" t="inlineStr">
        <is>
          <t>P(Reorder)</t>
        </is>
      </c>
      <c r="D382" s="15" t="n">
        <v>22</v>
      </c>
      <c r="E382" s="15" t="n">
        <v>23</v>
      </c>
      <c r="F382" s="15" t="n">
        <v>24</v>
      </c>
      <c r="AA382" s="15" t="inlineStr">
        <is>
          <t>P(Reorder)</t>
        </is>
      </c>
      <c r="AB382" s="15" t="n">
        <v>22</v>
      </c>
      <c r="AC382" s="15" t="n">
        <v>23</v>
      </c>
      <c r="AD382" s="15" t="n">
        <v>24</v>
      </c>
      <c r="AW382" s="15" t="inlineStr">
        <is>
          <t>P(Reorder)</t>
        </is>
      </c>
      <c r="AX382" s="15" t="n">
        <v>22</v>
      </c>
      <c r="AY382" s="15" t="n">
        <v>23</v>
      </c>
      <c r="AZ382" s="15" t="n">
        <v>24</v>
      </c>
      <c r="BS382" s="15" t="inlineStr">
        <is>
          <t>P(Reorder)</t>
        </is>
      </c>
      <c r="BT382" s="15" t="n">
        <v>22</v>
      </c>
      <c r="BU382" s="15" t="n">
        <v>23</v>
      </c>
      <c r="BV382" s="15" t="n">
        <v>24</v>
      </c>
      <c r="CO382" s="15" t="inlineStr">
        <is>
          <t>P(Reorder)</t>
        </is>
      </c>
      <c r="CP382" s="15" t="n">
        <v>22</v>
      </c>
      <c r="CQ382" s="15" t="n">
        <v>23</v>
      </c>
      <c r="CR382" s="15" t="n">
        <v>24</v>
      </c>
      <c r="DK382" s="15" t="inlineStr">
        <is>
          <t>P(Reorder)</t>
        </is>
      </c>
      <c r="DL382" s="15" t="n">
        <v>22</v>
      </c>
      <c r="DM382" s="15" t="n">
        <v>23</v>
      </c>
      <c r="DN382" s="15" t="n">
        <v>24</v>
      </c>
      <c r="EG382" s="15" t="inlineStr">
        <is>
          <t>P(Reorder)</t>
        </is>
      </c>
      <c r="EH382" s="15" t="n">
        <v>22</v>
      </c>
      <c r="EI382" s="15" t="n">
        <v>23</v>
      </c>
      <c r="EJ382" s="15" t="n">
        <v>24</v>
      </c>
      <c r="FC382" s="15" t="inlineStr">
        <is>
          <t>P(Reorder)</t>
        </is>
      </c>
      <c r="FD382" s="15" t="n">
        <v>22</v>
      </c>
      <c r="FE382" s="15" t="n">
        <v>23</v>
      </c>
      <c r="FF382" s="15" t="n">
        <v>24</v>
      </c>
      <c r="FY382" s="15" t="inlineStr">
        <is>
          <t>P(Reorder)</t>
        </is>
      </c>
      <c r="FZ382" s="15" t="n">
        <v>22</v>
      </c>
      <c r="GA382" s="15" t="n">
        <v>23</v>
      </c>
      <c r="GB382" s="15" t="n">
        <v>24</v>
      </c>
      <c r="GU382" s="15" t="inlineStr">
        <is>
          <t>P(Reorder)</t>
        </is>
      </c>
      <c r="GV382" s="15" t="n">
        <v>22</v>
      </c>
      <c r="GW382" s="15" t="n">
        <v>23</v>
      </c>
      <c r="GX382" s="15" t="n">
        <v>24</v>
      </c>
    </row>
    <row r="383">
      <c r="C383" s="15" t="n">
        <v>9</v>
      </c>
      <c r="AA383" s="15" t="n">
        <v>9</v>
      </c>
      <c r="AW383" s="15" t="n">
        <v>9</v>
      </c>
      <c r="BS383" s="15" t="n">
        <v>9</v>
      </c>
      <c r="CO383" s="15" t="n">
        <v>9</v>
      </c>
      <c r="DK383" s="15" t="n">
        <v>9</v>
      </c>
      <c r="EG383" s="15" t="n">
        <v>9</v>
      </c>
      <c r="FC383" s="15" t="n">
        <v>9</v>
      </c>
      <c r="FY383" s="15" t="n">
        <v>9</v>
      </c>
      <c r="GU383" s="15" t="n">
        <v>9</v>
      </c>
    </row>
    <row r="384">
      <c r="C384" s="15" t="n">
        <v>10</v>
      </c>
      <c r="AA384" s="15" t="n">
        <v>10</v>
      </c>
      <c r="AW384" s="15" t="n">
        <v>10</v>
      </c>
      <c r="BS384" s="15" t="n">
        <v>10</v>
      </c>
      <c r="CO384" s="15" t="n">
        <v>10</v>
      </c>
      <c r="DK384" s="15" t="n">
        <v>10</v>
      </c>
      <c r="EG384" s="15" t="n">
        <v>10</v>
      </c>
      <c r="FC384" s="15" t="n">
        <v>10</v>
      </c>
      <c r="FY384" s="15" t="n">
        <v>10</v>
      </c>
      <c r="GU384" s="15" t="n">
        <v>10</v>
      </c>
    </row>
    <row r="385">
      <c r="C385" s="15" t="n">
        <v>11</v>
      </c>
      <c r="AA385" s="15" t="n">
        <v>11</v>
      </c>
      <c r="AW385" s="15" t="n">
        <v>11</v>
      </c>
      <c r="BS385" s="15" t="n">
        <v>11</v>
      </c>
      <c r="CO385" s="15" t="n">
        <v>11</v>
      </c>
      <c r="DK385" s="15" t="n">
        <v>11</v>
      </c>
      <c r="EG385" s="15" t="n">
        <v>11</v>
      </c>
      <c r="FC385" s="15" t="n">
        <v>11</v>
      </c>
      <c r="FY385" s="15" t="n">
        <v>11</v>
      </c>
      <c r="GU385" s="15" t="n">
        <v>11</v>
      </c>
    </row>
    <row r="386">
      <c r="C386" s="15" t="n">
        <v>12</v>
      </c>
      <c r="AA386" s="15" t="n">
        <v>12</v>
      </c>
      <c r="AW386" s="15" t="n">
        <v>12</v>
      </c>
      <c r="BS386" s="15" t="n">
        <v>12</v>
      </c>
      <c r="CO386" s="15" t="n">
        <v>12</v>
      </c>
      <c r="DK386" s="15" t="n">
        <v>12</v>
      </c>
      <c r="EG386" s="15" t="n">
        <v>12</v>
      </c>
      <c r="FC386" s="15" t="n">
        <v>12</v>
      </c>
      <c r="FY386" s="15" t="n">
        <v>12</v>
      </c>
      <c r="GU386" s="15" t="n">
        <v>12</v>
      </c>
    </row>
    <row r="387">
      <c r="C387" s="15" t="n">
        <v>13</v>
      </c>
      <c r="AA387" s="15" t="n">
        <v>13</v>
      </c>
      <c r="AW387" s="15" t="n">
        <v>13</v>
      </c>
      <c r="BS387" s="15" t="n">
        <v>13</v>
      </c>
      <c r="CO387" s="15" t="n">
        <v>13</v>
      </c>
      <c r="DK387" s="15" t="n">
        <v>13</v>
      </c>
      <c r="EG387" s="15" t="n">
        <v>13</v>
      </c>
      <c r="FC387" s="15" t="n">
        <v>13</v>
      </c>
      <c r="FY387" s="15" t="n">
        <v>13</v>
      </c>
      <c r="GU387" s="15" t="n">
        <v>13</v>
      </c>
    </row>
    <row r="388">
      <c r="C388" s="15" t="n">
        <v>14</v>
      </c>
      <c r="AA388" s="15" t="n">
        <v>14</v>
      </c>
      <c r="AW388" s="15" t="n">
        <v>14</v>
      </c>
      <c r="BS388" s="15" t="n">
        <v>14</v>
      </c>
      <c r="CO388" s="15" t="n">
        <v>14</v>
      </c>
      <c r="DK388" s="15" t="n">
        <v>14</v>
      </c>
      <c r="EG388" s="15" t="n">
        <v>14</v>
      </c>
      <c r="FC388" s="15" t="n">
        <v>14</v>
      </c>
      <c r="FY388" s="15" t="n">
        <v>14</v>
      </c>
      <c r="GU388" s="15" t="n">
        <v>14</v>
      </c>
    </row>
    <row r="389">
      <c r="C389" s="15" t="n">
        <v>15</v>
      </c>
      <c r="AA389" s="15" t="n">
        <v>15</v>
      </c>
      <c r="AW389" s="15" t="n">
        <v>15</v>
      </c>
      <c r="BS389" s="15" t="n">
        <v>15</v>
      </c>
      <c r="CO389" s="15" t="n">
        <v>15</v>
      </c>
      <c r="DK389" s="15" t="n">
        <v>15</v>
      </c>
      <c r="EG389" s="15" t="n">
        <v>15</v>
      </c>
      <c r="FC389" s="15" t="n">
        <v>15</v>
      </c>
      <c r="FY389" s="15" t="n">
        <v>15</v>
      </c>
      <c r="GU389" s="15" t="n">
        <v>15</v>
      </c>
    </row>
    <row r="390">
      <c r="C390" s="15" t="n">
        <v>16</v>
      </c>
      <c r="AA390" s="15" t="n">
        <v>16</v>
      </c>
      <c r="AW390" s="15" t="n">
        <v>16</v>
      </c>
      <c r="BS390" s="15" t="n">
        <v>16</v>
      </c>
      <c r="CO390" s="15" t="n">
        <v>16</v>
      </c>
      <c r="DK390" s="15" t="n">
        <v>16</v>
      </c>
      <c r="EG390" s="15" t="n">
        <v>16</v>
      </c>
      <c r="FC390" s="15" t="n">
        <v>16</v>
      </c>
      <c r="FY390" s="15" t="n">
        <v>16</v>
      </c>
      <c r="GU390" s="15" t="n">
        <v>16</v>
      </c>
    </row>
    <row r="391">
      <c r="C391" s="15" t="n">
        <v>17</v>
      </c>
      <c r="AA391" s="15" t="n">
        <v>17</v>
      </c>
      <c r="AW391" s="15" t="n">
        <v>17</v>
      </c>
      <c r="BS391" s="15" t="n">
        <v>17</v>
      </c>
      <c r="CO391" s="15" t="n">
        <v>17</v>
      </c>
      <c r="DK391" s="15" t="n">
        <v>17</v>
      </c>
      <c r="EG391" s="15" t="n">
        <v>17</v>
      </c>
      <c r="FC391" s="15" t="n">
        <v>17</v>
      </c>
      <c r="FY391" s="15" t="n">
        <v>17</v>
      </c>
      <c r="GU391" s="15" t="n">
        <v>17</v>
      </c>
    </row>
    <row r="392">
      <c r="C392" s="15" t="n">
        <v>18</v>
      </c>
      <c r="AA392" s="15" t="n">
        <v>18</v>
      </c>
      <c r="AW392" s="15" t="n">
        <v>18</v>
      </c>
      <c r="BS392" s="15" t="n">
        <v>18</v>
      </c>
      <c r="CO392" s="15" t="n">
        <v>18</v>
      </c>
      <c r="DK392" s="15" t="n">
        <v>18</v>
      </c>
      <c r="EG392" s="15" t="n">
        <v>18</v>
      </c>
      <c r="FC392" s="15" t="n">
        <v>18</v>
      </c>
      <c r="FY392" s="15" t="n">
        <v>18</v>
      </c>
      <c r="GU392" s="15" t="n">
        <v>18</v>
      </c>
    </row>
    <row r="393">
      <c r="C393" s="15" t="n">
        <v>19</v>
      </c>
      <c r="AA393" s="15" t="n">
        <v>19</v>
      </c>
      <c r="AW393" s="15" t="n">
        <v>19</v>
      </c>
      <c r="BS393" s="15" t="n">
        <v>19</v>
      </c>
      <c r="CO393" s="15" t="n">
        <v>19</v>
      </c>
      <c r="DK393" s="15" t="n">
        <v>19</v>
      </c>
      <c r="EG393" s="15" t="n">
        <v>19</v>
      </c>
      <c r="FC393" s="15" t="n">
        <v>19</v>
      </c>
      <c r="FY393" s="15" t="n">
        <v>19</v>
      </c>
      <c r="GU393" s="15" t="n">
        <v>19</v>
      </c>
    </row>
    <row r="394">
      <c r="C394" s="15" t="n">
        <v>20</v>
      </c>
      <c r="AA394" s="15" t="n">
        <v>20</v>
      </c>
      <c r="AW394" s="15" t="n">
        <v>20</v>
      </c>
      <c r="BS394" s="15" t="n">
        <v>20</v>
      </c>
      <c r="CO394" s="15" t="n">
        <v>20</v>
      </c>
      <c r="DK394" s="15" t="n">
        <v>20</v>
      </c>
      <c r="EG394" s="15" t="n">
        <v>20</v>
      </c>
      <c r="FC394" s="15" t="n">
        <v>20</v>
      </c>
      <c r="FY394" s="15" t="n">
        <v>20</v>
      </c>
      <c r="GU394" s="15" t="n">
        <v>20</v>
      </c>
    </row>
    <row r="395">
      <c r="C395" s="15" t="n">
        <v>21</v>
      </c>
      <c r="AA395" s="15" t="n">
        <v>21</v>
      </c>
      <c r="AW395" s="15" t="n">
        <v>21</v>
      </c>
      <c r="BS395" s="15" t="n">
        <v>21</v>
      </c>
      <c r="CO395" s="15" t="n">
        <v>21</v>
      </c>
      <c r="DK395" s="15" t="n">
        <v>21</v>
      </c>
      <c r="EG395" s="15" t="n">
        <v>21</v>
      </c>
      <c r="FC395" s="15" t="n">
        <v>21</v>
      </c>
      <c r="FY395" s="15" t="n">
        <v>21</v>
      </c>
      <c r="GU395" s="15" t="n">
        <v>21</v>
      </c>
    </row>
    <row r="396">
      <c r="C396" s="15" t="n">
        <v>22</v>
      </c>
      <c r="AA396" s="15" t="n">
        <v>22</v>
      </c>
      <c r="AW396" s="15" t="n">
        <v>22</v>
      </c>
      <c r="BS396" s="15" t="n">
        <v>22</v>
      </c>
      <c r="CO396" s="15" t="n">
        <v>22</v>
      </c>
      <c r="DK396" s="15" t="n">
        <v>22</v>
      </c>
      <c r="EG396" s="15" t="n">
        <v>22</v>
      </c>
      <c r="FC396" s="15" t="n">
        <v>22</v>
      </c>
      <c r="FY396" s="15" t="n">
        <v>22</v>
      </c>
      <c r="GU396" s="15" t="n">
        <v>22</v>
      </c>
    </row>
    <row r="397">
      <c r="C397" s="15" t="n">
        <v>23</v>
      </c>
      <c r="AA397" s="15" t="n">
        <v>23</v>
      </c>
      <c r="AW397" s="15" t="n">
        <v>23</v>
      </c>
      <c r="BS397" s="15" t="n">
        <v>23</v>
      </c>
      <c r="CO397" s="15" t="n">
        <v>23</v>
      </c>
      <c r="DK397" s="15" t="n">
        <v>23</v>
      </c>
      <c r="EG397" s="15" t="n">
        <v>23</v>
      </c>
      <c r="FC397" s="15" t="n">
        <v>23</v>
      </c>
      <c r="FY397" s="15" t="n">
        <v>23</v>
      </c>
      <c r="GU397" s="15" t="n">
        <v>23</v>
      </c>
    </row>
    <row r="398">
      <c r="C398" s="15" t="n">
        <v>24</v>
      </c>
      <c r="AA398" s="15" t="n">
        <v>24</v>
      </c>
      <c r="AW398" s="15" t="n">
        <v>24</v>
      </c>
      <c r="BS398" s="15" t="n">
        <v>24</v>
      </c>
      <c r="CO398" s="15" t="n">
        <v>24</v>
      </c>
      <c r="DK398" s="15" t="n">
        <v>24</v>
      </c>
      <c r="EG398" s="15" t="n">
        <v>24</v>
      </c>
      <c r="FC398" s="15" t="n">
        <v>24</v>
      </c>
      <c r="FY398" s="15" t="n">
        <v>24</v>
      </c>
      <c r="GU398" s="15" t="n">
        <v>24</v>
      </c>
    </row>
    <row r="399">
      <c r="C399" s="15" t="n">
        <v>25</v>
      </c>
      <c r="AA399" s="15" t="n">
        <v>25</v>
      </c>
      <c r="AW399" s="15" t="n">
        <v>25</v>
      </c>
      <c r="BS399" s="15" t="n">
        <v>25</v>
      </c>
      <c r="CO399" s="15" t="n">
        <v>25</v>
      </c>
      <c r="DK399" s="15" t="n">
        <v>25</v>
      </c>
      <c r="EG399" s="15" t="n">
        <v>25</v>
      </c>
      <c r="FC399" s="15" t="n">
        <v>25</v>
      </c>
      <c r="FY399" s="15" t="n">
        <v>25</v>
      </c>
      <c r="GU399" s="15" t="n">
        <v>25</v>
      </c>
    </row>
    <row r="400">
      <c r="C400" s="15" t="n">
        <v>26</v>
      </c>
      <c r="AA400" s="15" t="n">
        <v>26</v>
      </c>
      <c r="AW400" s="15" t="n">
        <v>26</v>
      </c>
      <c r="BS400" s="15" t="n">
        <v>26</v>
      </c>
      <c r="CO400" s="15" t="n">
        <v>26</v>
      </c>
      <c r="DK400" s="15" t="n">
        <v>26</v>
      </c>
      <c r="EG400" s="15" t="n">
        <v>26</v>
      </c>
      <c r="FC400" s="15" t="n">
        <v>26</v>
      </c>
      <c r="FY400" s="15" t="n">
        <v>26</v>
      </c>
      <c r="GU400" s="15" t="n">
        <v>26</v>
      </c>
    </row>
    <row r="401">
      <c r="C401" s="15" t="n">
        <v>27</v>
      </c>
      <c r="AA401" s="15" t="n">
        <v>27</v>
      </c>
      <c r="AW401" s="15" t="n">
        <v>27</v>
      </c>
      <c r="BS401" s="15" t="n">
        <v>27</v>
      </c>
      <c r="CO401" s="15" t="n">
        <v>27</v>
      </c>
      <c r="DK401" s="15" t="n">
        <v>27</v>
      </c>
      <c r="EG401" s="15" t="n">
        <v>27</v>
      </c>
      <c r="FC401" s="15" t="n">
        <v>27</v>
      </c>
      <c r="FY401" s="15" t="n">
        <v>27</v>
      </c>
      <c r="GU401" s="15" t="n">
        <v>27</v>
      </c>
    </row>
    <row r="402">
      <c r="C402" s="15" t="n">
        <v>28</v>
      </c>
      <c r="AA402" s="15" t="n">
        <v>28</v>
      </c>
      <c r="AW402" s="15" t="n">
        <v>28</v>
      </c>
      <c r="BS402" s="15" t="n">
        <v>28</v>
      </c>
      <c r="CO402" s="15" t="n">
        <v>28</v>
      </c>
      <c r="DK402" s="15" t="n">
        <v>28</v>
      </c>
      <c r="EG402" s="15" t="n">
        <v>28</v>
      </c>
      <c r="FC402" s="15" t="n">
        <v>28</v>
      </c>
      <c r="FY402" s="15" t="n">
        <v>28</v>
      </c>
      <c r="GU402" s="15" t="n">
        <v>28</v>
      </c>
    </row>
    <row r="403">
      <c r="C403" s="15" t="n">
        <v>29</v>
      </c>
      <c r="AA403" s="15" t="n">
        <v>29</v>
      </c>
      <c r="AW403" s="15" t="n">
        <v>29</v>
      </c>
      <c r="BS403" s="15" t="n">
        <v>29</v>
      </c>
      <c r="CO403" s="15" t="n">
        <v>29</v>
      </c>
      <c r="DK403" s="15" t="n">
        <v>29</v>
      </c>
      <c r="EG403" s="15" t="n">
        <v>29</v>
      </c>
      <c r="FC403" s="15" t="n">
        <v>29</v>
      </c>
      <c r="FY403" s="15" t="n">
        <v>29</v>
      </c>
      <c r="GU403" s="15" t="n">
        <v>29</v>
      </c>
    </row>
    <row r="404">
      <c r="C404" s="15" t="n">
        <v>30</v>
      </c>
      <c r="AA404" s="15" t="n">
        <v>30</v>
      </c>
      <c r="AW404" s="15" t="n">
        <v>30</v>
      </c>
      <c r="BS404" s="15" t="n">
        <v>30</v>
      </c>
      <c r="CO404" s="15" t="n">
        <v>30</v>
      </c>
      <c r="DK404" s="15" t="n">
        <v>30</v>
      </c>
      <c r="EG404" s="15" t="n">
        <v>30</v>
      </c>
      <c r="FC404" s="15" t="n">
        <v>30</v>
      </c>
      <c r="FY404" s="15" t="n">
        <v>30</v>
      </c>
      <c r="GU404" s="15" t="n">
        <v>30</v>
      </c>
    </row>
    <row r="405">
      <c r="C405" s="15" t="n">
        <v>31</v>
      </c>
      <c r="AA405" s="15" t="n">
        <v>31</v>
      </c>
      <c r="AW405" s="15" t="n">
        <v>31</v>
      </c>
      <c r="BS405" s="15" t="n">
        <v>31</v>
      </c>
      <c r="CO405" s="15" t="n">
        <v>31</v>
      </c>
      <c r="DK405" s="15" t="n">
        <v>31</v>
      </c>
      <c r="EG405" s="15" t="n">
        <v>31</v>
      </c>
      <c r="FC405" s="15" t="n">
        <v>31</v>
      </c>
      <c r="FY405" s="15" t="n">
        <v>31</v>
      </c>
      <c r="GU405" s="15" t="n">
        <v>31</v>
      </c>
    </row>
    <row r="406">
      <c r="C406" s="15" t="n">
        <v>32</v>
      </c>
      <c r="AA406" s="15" t="n">
        <v>32</v>
      </c>
      <c r="AW406" s="15" t="n">
        <v>32</v>
      </c>
      <c r="BS406" s="15" t="n">
        <v>32</v>
      </c>
      <c r="CO406" s="15" t="n">
        <v>32</v>
      </c>
      <c r="DK406" s="15" t="n">
        <v>32</v>
      </c>
      <c r="EG406" s="15" t="n">
        <v>32</v>
      </c>
      <c r="FC406" s="15" t="n">
        <v>32</v>
      </c>
      <c r="FY406" s="15" t="n">
        <v>32</v>
      </c>
      <c r="GU406" s="15" t="n">
        <v>32</v>
      </c>
    </row>
    <row r="407">
      <c r="C407" s="15" t="n">
        <v>33</v>
      </c>
      <c r="AA407" s="15" t="n">
        <v>33</v>
      </c>
      <c r="AW407" s="15" t="n">
        <v>33</v>
      </c>
      <c r="BS407" s="15" t="n">
        <v>33</v>
      </c>
      <c r="CO407" s="15" t="n">
        <v>33</v>
      </c>
      <c r="DK407" s="15" t="n">
        <v>33</v>
      </c>
      <c r="EG407" s="15" t="n">
        <v>33</v>
      </c>
      <c r="FC407" s="15" t="n">
        <v>33</v>
      </c>
      <c r="FY407" s="15" t="n">
        <v>33</v>
      </c>
      <c r="GU407" s="15" t="n">
        <v>33</v>
      </c>
    </row>
    <row r="408">
      <c r="C408" s="15" t="n">
        <v>34</v>
      </c>
      <c r="AA408" s="15" t="n">
        <v>34</v>
      </c>
      <c r="AW408" s="15" t="n">
        <v>34</v>
      </c>
      <c r="BS408" s="15" t="n">
        <v>34</v>
      </c>
      <c r="CO408" s="15" t="n">
        <v>34</v>
      </c>
      <c r="DK408" s="15" t="n">
        <v>34</v>
      </c>
      <c r="EG408" s="15" t="n">
        <v>34</v>
      </c>
      <c r="FC408" s="15" t="n">
        <v>34</v>
      </c>
      <c r="FY408" s="15" t="n">
        <v>34</v>
      </c>
      <c r="GU408" s="15" t="n">
        <v>34</v>
      </c>
    </row>
    <row r="409">
      <c r="C409" s="15" t="n">
        <v>35</v>
      </c>
      <c r="AA409" s="15" t="n">
        <v>35</v>
      </c>
      <c r="AW409" s="15" t="n">
        <v>35</v>
      </c>
      <c r="BS409" s="15" t="n">
        <v>35</v>
      </c>
      <c r="CO409" s="15" t="n">
        <v>35</v>
      </c>
      <c r="DK409" s="15" t="n">
        <v>35</v>
      </c>
      <c r="EG409" s="15" t="n">
        <v>35</v>
      </c>
      <c r="FC409" s="15" t="n">
        <v>35</v>
      </c>
      <c r="FY409" s="15" t="n">
        <v>35</v>
      </c>
      <c r="GU409" s="15" t="n">
        <v>35</v>
      </c>
    </row>
    <row r="410">
      <c r="C410" s="15" t="n">
        <v>36</v>
      </c>
      <c r="AA410" s="15" t="n">
        <v>36</v>
      </c>
      <c r="AW410" s="15" t="n">
        <v>36</v>
      </c>
      <c r="BS410" s="15" t="n">
        <v>36</v>
      </c>
      <c r="CO410" s="15" t="n">
        <v>36</v>
      </c>
      <c r="DK410" s="15" t="n">
        <v>36</v>
      </c>
      <c r="EG410" s="15" t="n">
        <v>36</v>
      </c>
      <c r="FC410" s="15" t="n">
        <v>36</v>
      </c>
      <c r="FY410" s="15" t="n">
        <v>36</v>
      </c>
      <c r="GU410" s="15" t="n">
        <v>36</v>
      </c>
    </row>
    <row r="411">
      <c r="C411" s="15" t="n">
        <v>37</v>
      </c>
      <c r="AA411" s="15" t="n">
        <v>37</v>
      </c>
      <c r="AW411" s="15" t="n">
        <v>37</v>
      </c>
      <c r="BS411" s="15" t="n">
        <v>37</v>
      </c>
      <c r="CO411" s="15" t="n">
        <v>37</v>
      </c>
      <c r="DK411" s="15" t="n">
        <v>37</v>
      </c>
      <c r="EG411" s="15" t="n">
        <v>37</v>
      </c>
      <c r="FC411" s="15" t="n">
        <v>37</v>
      </c>
      <c r="FY411" s="15" t="n">
        <v>37</v>
      </c>
      <c r="GU411" s="15" t="n">
        <v>37</v>
      </c>
    </row>
    <row r="412">
      <c r="C412" s="15" t="n">
        <v>38</v>
      </c>
      <c r="AA412" s="15" t="n">
        <v>38</v>
      </c>
      <c r="AW412" s="15" t="n">
        <v>38</v>
      </c>
      <c r="BS412" s="15" t="n">
        <v>38</v>
      </c>
      <c r="CO412" s="15" t="n">
        <v>38</v>
      </c>
      <c r="DK412" s="15" t="n">
        <v>38</v>
      </c>
      <c r="EG412" s="15" t="n">
        <v>38</v>
      </c>
      <c r="FC412" s="15" t="n">
        <v>38</v>
      </c>
      <c r="FY412" s="15" t="n">
        <v>38</v>
      </c>
      <c r="GU412" s="15" t="n">
        <v>38</v>
      </c>
    </row>
    <row r="413">
      <c r="C413" s="15" t="n">
        <v>39</v>
      </c>
      <c r="AA413" s="15" t="n">
        <v>39</v>
      </c>
      <c r="AW413" s="15" t="n">
        <v>39</v>
      </c>
      <c r="BS413" s="15" t="n">
        <v>39</v>
      </c>
      <c r="CO413" s="15" t="n">
        <v>39</v>
      </c>
      <c r="DK413" s="15" t="n">
        <v>39</v>
      </c>
      <c r="EG413" s="15" t="n">
        <v>39</v>
      </c>
      <c r="FC413" s="15" t="n">
        <v>39</v>
      </c>
      <c r="FY413" s="15" t="n">
        <v>39</v>
      </c>
      <c r="GU413" s="15" t="n">
        <v>39</v>
      </c>
    </row>
    <row r="414">
      <c r="C414" s="15" t="n">
        <v>40</v>
      </c>
      <c r="AA414" s="15" t="n">
        <v>40</v>
      </c>
      <c r="AW414" s="15" t="n">
        <v>40</v>
      </c>
      <c r="BS414" s="15" t="n">
        <v>40</v>
      </c>
      <c r="CO414" s="15" t="n">
        <v>40</v>
      </c>
      <c r="DK414" s="15" t="n">
        <v>40</v>
      </c>
      <c r="EG414" s="15" t="n">
        <v>40</v>
      </c>
      <c r="FC414" s="15" t="n">
        <v>40</v>
      </c>
      <c r="FY414" s="15" t="n">
        <v>40</v>
      </c>
      <c r="GU414" s="15" t="n">
        <v>40</v>
      </c>
    </row>
    <row r="415">
      <c r="C415" s="15" t="n">
        <v>41</v>
      </c>
      <c r="AA415" s="15" t="n">
        <v>41</v>
      </c>
      <c r="AW415" s="15" t="n">
        <v>41</v>
      </c>
      <c r="BS415" s="15" t="n">
        <v>41</v>
      </c>
      <c r="CO415" s="15" t="n">
        <v>41</v>
      </c>
      <c r="DK415" s="15" t="n">
        <v>41</v>
      </c>
      <c r="EG415" s="15" t="n">
        <v>41</v>
      </c>
      <c r="FC415" s="15" t="n">
        <v>41</v>
      </c>
      <c r="FY415" s="15" t="n">
        <v>41</v>
      </c>
      <c r="GU415" s="15" t="n">
        <v>41</v>
      </c>
    </row>
    <row r="416">
      <c r="C416" s="15" t="n">
        <v>42</v>
      </c>
      <c r="AA416" s="15" t="n">
        <v>42</v>
      </c>
      <c r="AW416" s="15" t="n">
        <v>42</v>
      </c>
      <c r="BS416" s="15" t="n">
        <v>42</v>
      </c>
      <c r="CO416" s="15" t="n">
        <v>42</v>
      </c>
      <c r="DK416" s="15" t="n">
        <v>42</v>
      </c>
      <c r="EG416" s="15" t="n">
        <v>42</v>
      </c>
      <c r="FC416" s="15" t="n">
        <v>42</v>
      </c>
      <c r="FY416" s="15" t="n">
        <v>42</v>
      </c>
      <c r="GU416" s="15" t="n">
        <v>42</v>
      </c>
    </row>
    <row r="417">
      <c r="C417" s="15" t="n">
        <v>43</v>
      </c>
      <c r="AA417" s="15" t="n">
        <v>43</v>
      </c>
      <c r="AW417" s="15" t="n">
        <v>43</v>
      </c>
      <c r="BS417" s="15" t="n">
        <v>43</v>
      </c>
      <c r="CO417" s="15" t="n">
        <v>43</v>
      </c>
      <c r="DK417" s="15" t="n">
        <v>43</v>
      </c>
      <c r="EG417" s="15" t="n">
        <v>43</v>
      </c>
      <c r="FC417" s="15" t="n">
        <v>43</v>
      </c>
      <c r="FY417" s="15" t="n">
        <v>43</v>
      </c>
      <c r="GU417" s="15" t="n">
        <v>43</v>
      </c>
    </row>
    <row r="418">
      <c r="C418" s="15" t="n">
        <v>44</v>
      </c>
      <c r="AA418" s="15" t="n">
        <v>44</v>
      </c>
      <c r="AW418" s="15" t="n">
        <v>44</v>
      </c>
      <c r="BS418" s="15" t="n">
        <v>44</v>
      </c>
      <c r="CO418" s="15" t="n">
        <v>44</v>
      </c>
      <c r="DK418" s="15" t="n">
        <v>44</v>
      </c>
      <c r="EG418" s="15" t="n">
        <v>44</v>
      </c>
      <c r="FC418" s="15" t="n">
        <v>44</v>
      </c>
      <c r="FY418" s="15" t="n">
        <v>44</v>
      </c>
      <c r="GU418" s="15" t="n">
        <v>44</v>
      </c>
    </row>
    <row r="419">
      <c r="C419" s="15" t="n">
        <v>45</v>
      </c>
      <c r="AA419" s="15" t="n">
        <v>45</v>
      </c>
      <c r="AW419" s="15" t="n">
        <v>45</v>
      </c>
      <c r="BS419" s="15" t="n">
        <v>45</v>
      </c>
      <c r="CO419" s="15" t="n">
        <v>45</v>
      </c>
      <c r="DK419" s="15" t="n">
        <v>45</v>
      </c>
      <c r="EG419" s="15" t="n">
        <v>45</v>
      </c>
      <c r="FC419" s="15" t="n">
        <v>45</v>
      </c>
      <c r="FY419" s="15" t="n">
        <v>45</v>
      </c>
      <c r="GU419" s="15" t="n">
        <v>45</v>
      </c>
    </row>
    <row r="420">
      <c r="C420" s="15" t="n">
        <v>46</v>
      </c>
      <c r="AA420" s="15" t="n">
        <v>46</v>
      </c>
      <c r="AW420" s="15" t="n">
        <v>46</v>
      </c>
      <c r="BS420" s="15" t="n">
        <v>46</v>
      </c>
      <c r="CO420" s="15" t="n">
        <v>46</v>
      </c>
      <c r="DK420" s="15" t="n">
        <v>46</v>
      </c>
      <c r="EG420" s="15" t="n">
        <v>46</v>
      </c>
      <c r="FC420" s="15" t="n">
        <v>46</v>
      </c>
      <c r="FY420" s="15" t="n">
        <v>46</v>
      </c>
      <c r="GU420" s="15" t="n">
        <v>46</v>
      </c>
    </row>
    <row r="421">
      <c r="C421" s="15" t="n">
        <v>47</v>
      </c>
      <c r="AA421" s="15" t="n">
        <v>47</v>
      </c>
      <c r="AW421" s="15" t="n">
        <v>47</v>
      </c>
      <c r="BS421" s="15" t="n">
        <v>47</v>
      </c>
      <c r="CO421" s="15" t="n">
        <v>47</v>
      </c>
      <c r="DK421" s="15" t="n">
        <v>47</v>
      </c>
      <c r="EG421" s="15" t="n">
        <v>47</v>
      </c>
      <c r="FC421" s="15" t="n">
        <v>47</v>
      </c>
      <c r="FY421" s="15" t="n">
        <v>47</v>
      </c>
      <c r="GU421" s="15" t="n">
        <v>47</v>
      </c>
    </row>
    <row r="422">
      <c r="C422" s="15" t="n">
        <v>48</v>
      </c>
      <c r="AA422" s="15" t="n">
        <v>48</v>
      </c>
      <c r="AW422" s="15" t="n">
        <v>48</v>
      </c>
      <c r="BS422" s="15" t="n">
        <v>48</v>
      </c>
      <c r="CO422" s="15" t="n">
        <v>48</v>
      </c>
      <c r="DK422" s="15" t="n">
        <v>48</v>
      </c>
      <c r="EG422" s="15" t="n">
        <v>48</v>
      </c>
      <c r="FC422" s="15" t="n">
        <v>48</v>
      </c>
      <c r="FY422" s="15" t="n">
        <v>48</v>
      </c>
      <c r="GU422" s="15" t="n">
        <v>48</v>
      </c>
    </row>
    <row r="423">
      <c r="C423" s="15" t="n">
        <v>49</v>
      </c>
      <c r="AA423" s="15" t="n">
        <v>49</v>
      </c>
      <c r="AW423" s="15" t="n">
        <v>49</v>
      </c>
      <c r="BS423" s="15" t="n">
        <v>49</v>
      </c>
      <c r="CO423" s="15" t="n">
        <v>49</v>
      </c>
      <c r="DK423" s="15" t="n">
        <v>49</v>
      </c>
      <c r="EG423" s="15" t="n">
        <v>49</v>
      </c>
      <c r="FC423" s="15" t="n">
        <v>49</v>
      </c>
      <c r="FY423" s="15" t="n">
        <v>49</v>
      </c>
      <c r="GU423" s="15" t="n">
        <v>49</v>
      </c>
    </row>
    <row r="424">
      <c r="C424" s="15" t="n">
        <v>50</v>
      </c>
      <c r="AA424" s="15" t="n">
        <v>50</v>
      </c>
      <c r="AW424" s="15" t="n">
        <v>50</v>
      </c>
      <c r="BS424" s="15" t="n">
        <v>50</v>
      </c>
      <c r="CO424" s="15" t="n">
        <v>50</v>
      </c>
      <c r="DK424" s="15" t="n">
        <v>50</v>
      </c>
      <c r="EG424" s="15" t="n">
        <v>50</v>
      </c>
      <c r="FC424" s="15" t="n">
        <v>50</v>
      </c>
      <c r="FY424" s="15" t="n">
        <v>50</v>
      </c>
      <c r="GU424" s="15" t="n">
        <v>50</v>
      </c>
    </row>
    <row r="425">
      <c r="C425" s="15" t="n">
        <v>51</v>
      </c>
      <c r="AA425" s="15" t="n">
        <v>51</v>
      </c>
      <c r="AW425" s="15" t="n">
        <v>51</v>
      </c>
      <c r="BS425" s="15" t="n">
        <v>51</v>
      </c>
      <c r="CO425" s="15" t="n">
        <v>51</v>
      </c>
      <c r="DK425" s="15" t="n">
        <v>51</v>
      </c>
      <c r="EG425" s="15" t="n">
        <v>51</v>
      </c>
      <c r="FC425" s="15" t="n">
        <v>51</v>
      </c>
      <c r="FY425" s="15" t="n">
        <v>51</v>
      </c>
      <c r="GU425" s="15" t="n">
        <v>51</v>
      </c>
    </row>
    <row r="426">
      <c r="C426" s="15" t="n">
        <v>52</v>
      </c>
      <c r="AA426" s="15" t="n">
        <v>52</v>
      </c>
      <c r="AW426" s="15" t="n">
        <v>52</v>
      </c>
      <c r="BS426" s="15" t="n">
        <v>52</v>
      </c>
      <c r="CO426" s="15" t="n">
        <v>52</v>
      </c>
      <c r="DK426" s="15" t="n">
        <v>52</v>
      </c>
      <c r="EG426" s="15" t="n">
        <v>52</v>
      </c>
      <c r="FC426" s="15" t="n">
        <v>52</v>
      </c>
      <c r="FY426" s="15" t="n">
        <v>52</v>
      </c>
      <c r="GU426" s="15" t="n">
        <v>52</v>
      </c>
    </row>
    <row r="427">
      <c r="C427" s="15" t="n">
        <v>53</v>
      </c>
      <c r="AA427" s="15" t="n">
        <v>53</v>
      </c>
      <c r="AW427" s="15" t="n">
        <v>53</v>
      </c>
      <c r="BS427" s="15" t="n">
        <v>53</v>
      </c>
      <c r="CO427" s="15" t="n">
        <v>53</v>
      </c>
      <c r="DK427" s="15" t="n">
        <v>53</v>
      </c>
      <c r="EG427" s="15" t="n">
        <v>53</v>
      </c>
      <c r="FC427" s="15" t="n">
        <v>53</v>
      </c>
      <c r="FY427" s="15" t="n">
        <v>53</v>
      </c>
      <c r="GU427" s="15" t="n">
        <v>53</v>
      </c>
    </row>
    <row r="428">
      <c r="C428" s="15" t="n">
        <v>54</v>
      </c>
      <c r="AA428" s="15" t="n">
        <v>54</v>
      </c>
      <c r="AW428" s="15" t="n">
        <v>54</v>
      </c>
      <c r="BS428" s="15" t="n">
        <v>54</v>
      </c>
      <c r="CO428" s="15" t="n">
        <v>54</v>
      </c>
      <c r="DK428" s="15" t="n">
        <v>54</v>
      </c>
      <c r="EG428" s="15" t="n">
        <v>54</v>
      </c>
      <c r="FC428" s="15" t="n">
        <v>54</v>
      </c>
      <c r="FY428" s="15" t="n">
        <v>54</v>
      </c>
      <c r="GU428" s="15" t="n">
        <v>54</v>
      </c>
    </row>
    <row r="429">
      <c r="C429" s="15" t="n">
        <v>55</v>
      </c>
      <c r="AA429" s="15" t="n">
        <v>55</v>
      </c>
      <c r="AW429" s="15" t="n">
        <v>55</v>
      </c>
      <c r="BS429" s="15" t="n">
        <v>55</v>
      </c>
      <c r="CO429" s="15" t="n">
        <v>55</v>
      </c>
      <c r="DK429" s="15" t="n">
        <v>55</v>
      </c>
      <c r="EG429" s="15" t="n">
        <v>55</v>
      </c>
      <c r="FC429" s="15" t="n">
        <v>55</v>
      </c>
      <c r="FY429" s="15" t="n">
        <v>55</v>
      </c>
      <c r="GU429" s="15" t="n">
        <v>55</v>
      </c>
    </row>
    <row r="430">
      <c r="C430" s="15" t="n">
        <v>56</v>
      </c>
      <c r="AA430" s="15" t="n">
        <v>56</v>
      </c>
      <c r="AW430" s="15" t="n">
        <v>56</v>
      </c>
      <c r="BS430" s="15" t="n">
        <v>56</v>
      </c>
      <c r="CO430" s="15" t="n">
        <v>56</v>
      </c>
      <c r="DK430" s="15" t="n">
        <v>56</v>
      </c>
      <c r="EG430" s="15" t="n">
        <v>56</v>
      </c>
      <c r="FC430" s="15" t="n">
        <v>56</v>
      </c>
      <c r="FY430" s="15" t="n">
        <v>56</v>
      </c>
      <c r="GU430" s="15" t="n">
        <v>56</v>
      </c>
    </row>
    <row r="431">
      <c r="C431" s="15" t="n">
        <v>57</v>
      </c>
      <c r="AA431" s="15" t="n">
        <v>57</v>
      </c>
      <c r="AW431" s="15" t="n">
        <v>57</v>
      </c>
      <c r="BS431" s="15" t="n">
        <v>57</v>
      </c>
      <c r="CO431" s="15" t="n">
        <v>57</v>
      </c>
      <c r="DK431" s="15" t="n">
        <v>57</v>
      </c>
      <c r="EG431" s="15" t="n">
        <v>57</v>
      </c>
      <c r="FC431" s="15" t="n">
        <v>57</v>
      </c>
      <c r="FY431" s="15" t="n">
        <v>57</v>
      </c>
      <c r="GU431" s="15" t="n">
        <v>57</v>
      </c>
    </row>
    <row r="432">
      <c r="C432" s="15" t="n">
        <v>58</v>
      </c>
      <c r="AA432" s="15" t="n">
        <v>58</v>
      </c>
      <c r="AW432" s="15" t="n">
        <v>58</v>
      </c>
      <c r="BS432" s="15" t="n">
        <v>58</v>
      </c>
      <c r="CO432" s="15" t="n">
        <v>58</v>
      </c>
      <c r="DK432" s="15" t="n">
        <v>58</v>
      </c>
      <c r="EG432" s="15" t="n">
        <v>58</v>
      </c>
      <c r="FC432" s="15" t="n">
        <v>58</v>
      </c>
      <c r="FY432" s="15" t="n">
        <v>58</v>
      </c>
      <c r="GU432" s="15" t="n">
        <v>58</v>
      </c>
    </row>
    <row r="433">
      <c r="C433" s="15" t="n">
        <v>59</v>
      </c>
      <c r="AA433" s="15" t="n">
        <v>59</v>
      </c>
      <c r="AW433" s="15" t="n">
        <v>59</v>
      </c>
      <c r="BS433" s="15" t="n">
        <v>59</v>
      </c>
      <c r="CO433" s="15" t="n">
        <v>59</v>
      </c>
      <c r="DK433" s="15" t="n">
        <v>59</v>
      </c>
      <c r="EG433" s="15" t="n">
        <v>59</v>
      </c>
      <c r="FC433" s="15" t="n">
        <v>59</v>
      </c>
      <c r="FY433" s="15" t="n">
        <v>59</v>
      </c>
      <c r="GU433" s="15" t="n">
        <v>59</v>
      </c>
    </row>
    <row r="434">
      <c r="C434" s="15" t="n">
        <v>60</v>
      </c>
      <c r="AA434" s="15" t="n">
        <v>60</v>
      </c>
      <c r="AW434" s="15" t="n">
        <v>60</v>
      </c>
      <c r="BS434" s="15" t="n">
        <v>60</v>
      </c>
      <c r="CO434" s="15" t="n">
        <v>60</v>
      </c>
      <c r="DK434" s="15" t="n">
        <v>60</v>
      </c>
      <c r="EG434" s="15" t="n">
        <v>60</v>
      </c>
      <c r="FC434" s="15" t="n">
        <v>60</v>
      </c>
      <c r="FY434" s="15" t="n">
        <v>60</v>
      </c>
      <c r="GU434" s="15" t="n">
        <v>60</v>
      </c>
    </row>
    <row r="435">
      <c r="C435" s="15" t="n">
        <v>61</v>
      </c>
      <c r="AA435" s="15" t="n">
        <v>61</v>
      </c>
      <c r="AW435" s="15" t="n">
        <v>61</v>
      </c>
      <c r="BS435" s="15" t="n">
        <v>61</v>
      </c>
      <c r="CO435" s="15" t="n">
        <v>61</v>
      </c>
      <c r="DK435" s="15" t="n">
        <v>61</v>
      </c>
      <c r="EG435" s="15" t="n">
        <v>61</v>
      </c>
      <c r="FC435" s="15" t="n">
        <v>61</v>
      </c>
      <c r="FY435" s="15" t="n">
        <v>61</v>
      </c>
      <c r="GU435" s="15" t="n">
        <v>61</v>
      </c>
    </row>
    <row r="436">
      <c r="C436" s="15" t="n">
        <v>62</v>
      </c>
      <c r="AA436" s="15" t="n">
        <v>62</v>
      </c>
      <c r="AW436" s="15" t="n">
        <v>62</v>
      </c>
      <c r="BS436" s="15" t="n">
        <v>62</v>
      </c>
      <c r="CO436" s="15" t="n">
        <v>62</v>
      </c>
      <c r="DK436" s="15" t="n">
        <v>62</v>
      </c>
      <c r="EG436" s="15" t="n">
        <v>62</v>
      </c>
      <c r="FC436" s="15" t="n">
        <v>62</v>
      </c>
      <c r="FY436" s="15" t="n">
        <v>62</v>
      </c>
      <c r="GU436" s="15" t="n">
        <v>62</v>
      </c>
    </row>
    <row r="437">
      <c r="C437" s="15" t="n">
        <v>63</v>
      </c>
      <c r="AA437" s="15" t="n">
        <v>63</v>
      </c>
      <c r="AW437" s="15" t="n">
        <v>63</v>
      </c>
      <c r="BS437" s="15" t="n">
        <v>63</v>
      </c>
      <c r="CO437" s="15" t="n">
        <v>63</v>
      </c>
      <c r="DK437" s="15" t="n">
        <v>63</v>
      </c>
      <c r="EG437" s="15" t="n">
        <v>63</v>
      </c>
      <c r="FC437" s="15" t="n">
        <v>63</v>
      </c>
      <c r="FY437" s="15" t="n">
        <v>63</v>
      </c>
      <c r="GU437" s="15" t="n">
        <v>63</v>
      </c>
    </row>
    <row r="438">
      <c r="C438" s="15" t="n">
        <v>64</v>
      </c>
      <c r="AA438" s="15" t="n">
        <v>64</v>
      </c>
      <c r="AW438" s="15" t="n">
        <v>64</v>
      </c>
      <c r="BS438" s="15" t="n">
        <v>64</v>
      </c>
      <c r="CO438" s="15" t="n">
        <v>64</v>
      </c>
      <c r="DK438" s="15" t="n">
        <v>64</v>
      </c>
      <c r="EG438" s="15" t="n">
        <v>64</v>
      </c>
      <c r="FC438" s="15" t="n">
        <v>64</v>
      </c>
      <c r="FY438" s="15" t="n">
        <v>64</v>
      </c>
      <c r="GU438" s="15" t="n">
        <v>64</v>
      </c>
    </row>
    <row r="439">
      <c r="C439" s="15" t="n">
        <v>65</v>
      </c>
      <c r="AA439" s="15" t="n">
        <v>65</v>
      </c>
      <c r="AW439" s="15" t="n">
        <v>65</v>
      </c>
      <c r="BS439" s="15" t="n">
        <v>65</v>
      </c>
      <c r="CO439" s="15" t="n">
        <v>65</v>
      </c>
      <c r="DK439" s="15" t="n">
        <v>65</v>
      </c>
      <c r="EG439" s="15" t="n">
        <v>65</v>
      </c>
      <c r="FC439" s="15" t="n">
        <v>65</v>
      </c>
      <c r="FY439" s="15" t="n">
        <v>65</v>
      </c>
      <c r="GU439" s="15" t="n">
        <v>65</v>
      </c>
    </row>
    <row r="440">
      <c r="C440" s="15" t="n">
        <v>66</v>
      </c>
      <c r="AA440" s="15" t="n">
        <v>66</v>
      </c>
      <c r="AW440" s="15" t="n">
        <v>66</v>
      </c>
      <c r="BS440" s="15" t="n">
        <v>66</v>
      </c>
      <c r="CO440" s="15" t="n">
        <v>66</v>
      </c>
      <c r="DK440" s="15" t="n">
        <v>66</v>
      </c>
      <c r="EG440" s="15" t="n">
        <v>66</v>
      </c>
      <c r="FC440" s="15" t="n">
        <v>66</v>
      </c>
      <c r="FY440" s="15" t="n">
        <v>66</v>
      </c>
      <c r="GU440" s="15" t="n">
        <v>66</v>
      </c>
    </row>
    <row r="441">
      <c r="C441" s="15" t="n">
        <v>67</v>
      </c>
      <c r="AA441" s="15" t="n">
        <v>67</v>
      </c>
      <c r="AW441" s="15" t="n">
        <v>67</v>
      </c>
      <c r="BS441" s="15" t="n">
        <v>67</v>
      </c>
      <c r="CO441" s="15" t="n">
        <v>67</v>
      </c>
      <c r="DK441" s="15" t="n">
        <v>67</v>
      </c>
      <c r="EG441" s="15" t="n">
        <v>67</v>
      </c>
      <c r="FC441" s="15" t="n">
        <v>67</v>
      </c>
      <c r="FY441" s="15" t="n">
        <v>67</v>
      </c>
      <c r="GU441" s="15" t="n">
        <v>67</v>
      </c>
    </row>
    <row r="442">
      <c r="C442" s="15" t="n">
        <v>68</v>
      </c>
      <c r="AA442" s="15" t="n">
        <v>68</v>
      </c>
      <c r="AW442" s="15" t="n">
        <v>68</v>
      </c>
      <c r="BS442" s="15" t="n">
        <v>68</v>
      </c>
      <c r="CO442" s="15" t="n">
        <v>68</v>
      </c>
      <c r="DK442" s="15" t="n">
        <v>68</v>
      </c>
      <c r="EG442" s="15" t="n">
        <v>68</v>
      </c>
      <c r="FC442" s="15" t="n">
        <v>68</v>
      </c>
      <c r="FY442" s="15" t="n">
        <v>68</v>
      </c>
      <c r="GU442" s="15" t="n">
        <v>68</v>
      </c>
    </row>
    <row r="443">
      <c r="C443" s="15" t="n">
        <v>69</v>
      </c>
      <c r="AA443" s="15" t="n">
        <v>69</v>
      </c>
      <c r="AW443" s="15" t="n">
        <v>69</v>
      </c>
      <c r="BS443" s="15" t="n">
        <v>69</v>
      </c>
      <c r="CO443" s="15" t="n">
        <v>69</v>
      </c>
      <c r="DK443" s="15" t="n">
        <v>69</v>
      </c>
      <c r="EG443" s="15" t="n">
        <v>69</v>
      </c>
      <c r="FC443" s="15" t="n">
        <v>69</v>
      </c>
      <c r="FY443" s="15" t="n">
        <v>69</v>
      </c>
      <c r="GU443" s="15" t="n">
        <v>69</v>
      </c>
    </row>
    <row r="444">
      <c r="C444" s="15" t="n">
        <v>70</v>
      </c>
      <c r="AA444" s="15" t="n">
        <v>70</v>
      </c>
      <c r="AW444" s="15" t="n">
        <v>70</v>
      </c>
      <c r="BS444" s="15" t="n">
        <v>70</v>
      </c>
      <c r="CO444" s="15" t="n">
        <v>70</v>
      </c>
      <c r="DK444" s="15" t="n">
        <v>70</v>
      </c>
      <c r="EG444" s="15" t="n">
        <v>70</v>
      </c>
      <c r="FC444" s="15" t="n">
        <v>70</v>
      </c>
      <c r="FY444" s="15" t="n">
        <v>70</v>
      </c>
      <c r="GU444" s="15" t="n">
        <v>70</v>
      </c>
    </row>
    <row r="445">
      <c r="C445" s="15" t="n">
        <v>71</v>
      </c>
      <c r="AA445" s="15" t="n">
        <v>71</v>
      </c>
      <c r="AW445" s="15" t="n">
        <v>71</v>
      </c>
      <c r="BS445" s="15" t="n">
        <v>71</v>
      </c>
      <c r="CO445" s="15" t="n">
        <v>71</v>
      </c>
      <c r="DK445" s="15" t="n">
        <v>71</v>
      </c>
      <c r="EG445" s="15" t="n">
        <v>71</v>
      </c>
      <c r="FC445" s="15" t="n">
        <v>71</v>
      </c>
      <c r="FY445" s="15" t="n">
        <v>71</v>
      </c>
      <c r="GU445" s="15" t="n">
        <v>71</v>
      </c>
    </row>
    <row r="446">
      <c r="C446" s="15" t="n">
        <v>72</v>
      </c>
      <c r="AA446" s="15" t="n">
        <v>72</v>
      </c>
      <c r="AW446" s="15" t="n">
        <v>72</v>
      </c>
      <c r="BS446" s="15" t="n">
        <v>72</v>
      </c>
      <c r="CO446" s="15" t="n">
        <v>72</v>
      </c>
      <c r="DK446" s="15" t="n">
        <v>72</v>
      </c>
      <c r="EG446" s="15" t="n">
        <v>72</v>
      </c>
      <c r="FC446" s="15" t="n">
        <v>72</v>
      </c>
      <c r="FY446" s="15" t="n">
        <v>72</v>
      </c>
      <c r="GU446" s="15" t="n">
        <v>72</v>
      </c>
    </row>
    <row r="447">
      <c r="C447" s="15" t="n">
        <v>73</v>
      </c>
      <c r="AA447" s="15" t="n">
        <v>73</v>
      </c>
      <c r="AW447" s="15" t="n">
        <v>73</v>
      </c>
      <c r="BS447" s="15" t="n">
        <v>73</v>
      </c>
      <c r="CO447" s="15" t="n">
        <v>73</v>
      </c>
      <c r="DK447" s="15" t="n">
        <v>73</v>
      </c>
      <c r="EG447" s="15" t="n">
        <v>73</v>
      </c>
      <c r="FC447" s="15" t="n">
        <v>73</v>
      </c>
      <c r="FY447" s="15" t="n">
        <v>73</v>
      </c>
      <c r="GU447" s="15" t="n">
        <v>73</v>
      </c>
    </row>
    <row r="448">
      <c r="C448" s="15" t="n">
        <v>74</v>
      </c>
      <c r="AA448" s="15" t="n">
        <v>74</v>
      </c>
      <c r="AW448" s="15" t="n">
        <v>74</v>
      </c>
      <c r="BS448" s="15" t="n">
        <v>74</v>
      </c>
      <c r="CO448" s="15" t="n">
        <v>74</v>
      </c>
      <c r="DK448" s="15" t="n">
        <v>74</v>
      </c>
      <c r="EG448" s="15" t="n">
        <v>74</v>
      </c>
      <c r="FC448" s="15" t="n">
        <v>74</v>
      </c>
      <c r="FY448" s="15" t="n">
        <v>74</v>
      </c>
      <c r="GU448" s="15" t="n">
        <v>74</v>
      </c>
    </row>
    <row r="449">
      <c r="C449" s="15" t="n">
        <v>75</v>
      </c>
      <c r="AA449" s="15" t="n">
        <v>75</v>
      </c>
      <c r="AW449" s="15" t="n">
        <v>75</v>
      </c>
      <c r="BS449" s="15" t="n">
        <v>75</v>
      </c>
      <c r="CO449" s="15" t="n">
        <v>75</v>
      </c>
      <c r="DK449" s="15" t="n">
        <v>75</v>
      </c>
      <c r="EG449" s="15" t="n">
        <v>75</v>
      </c>
      <c r="FC449" s="15" t="n">
        <v>75</v>
      </c>
      <c r="FY449" s="15" t="n">
        <v>75</v>
      </c>
      <c r="GU449" s="15" t="n">
        <v>75</v>
      </c>
    </row>
    <row r="450">
      <c r="C450" s="15" t="n">
        <v>76</v>
      </c>
      <c r="AA450" s="15" t="n">
        <v>76</v>
      </c>
      <c r="AW450" s="15" t="n">
        <v>76</v>
      </c>
      <c r="BS450" s="15" t="n">
        <v>76</v>
      </c>
      <c r="CO450" s="15" t="n">
        <v>76</v>
      </c>
      <c r="DK450" s="15" t="n">
        <v>76</v>
      </c>
      <c r="EG450" s="15" t="n">
        <v>76</v>
      </c>
      <c r="FC450" s="15" t="n">
        <v>76</v>
      </c>
      <c r="FY450" s="15" t="n">
        <v>76</v>
      </c>
      <c r="GU450" s="15" t="n">
        <v>76</v>
      </c>
    </row>
    <row r="451">
      <c r="C451" s="15" t="n">
        <v>77</v>
      </c>
      <c r="AA451" s="15" t="n">
        <v>77</v>
      </c>
      <c r="AW451" s="15" t="n">
        <v>77</v>
      </c>
      <c r="BS451" s="15" t="n">
        <v>77</v>
      </c>
      <c r="CO451" s="15" t="n">
        <v>77</v>
      </c>
      <c r="DK451" s="15" t="n">
        <v>77</v>
      </c>
      <c r="EG451" s="15" t="n">
        <v>77</v>
      </c>
      <c r="FC451" s="15" t="n">
        <v>77</v>
      </c>
      <c r="FY451" s="15" t="n">
        <v>77</v>
      </c>
      <c r="GU451" s="15" t="n">
        <v>77</v>
      </c>
    </row>
    <row r="452">
      <c r="C452" s="15" t="n">
        <v>78</v>
      </c>
      <c r="AA452" s="15" t="n">
        <v>78</v>
      </c>
      <c r="AW452" s="15" t="n">
        <v>78</v>
      </c>
      <c r="BS452" s="15" t="n">
        <v>78</v>
      </c>
      <c r="CO452" s="15" t="n">
        <v>78</v>
      </c>
      <c r="DK452" s="15" t="n">
        <v>78</v>
      </c>
      <c r="EG452" s="15" t="n">
        <v>78</v>
      </c>
      <c r="FC452" s="15" t="n">
        <v>78</v>
      </c>
      <c r="FY452" s="15" t="n">
        <v>78</v>
      </c>
      <c r="GU452" s="15" t="n">
        <v>78</v>
      </c>
    </row>
    <row r="453">
      <c r="C453" s="15" t="n">
        <v>79</v>
      </c>
      <c r="AA453" s="15" t="n">
        <v>79</v>
      </c>
      <c r="AW453" s="15" t="n">
        <v>79</v>
      </c>
      <c r="BS453" s="15" t="n">
        <v>79</v>
      </c>
      <c r="CO453" s="15" t="n">
        <v>79</v>
      </c>
      <c r="DK453" s="15" t="n">
        <v>79</v>
      </c>
      <c r="EG453" s="15" t="n">
        <v>79</v>
      </c>
      <c r="FC453" s="15" t="n">
        <v>79</v>
      </c>
      <c r="FY453" s="15" t="n">
        <v>79</v>
      </c>
      <c r="GU453" s="15" t="n">
        <v>79</v>
      </c>
    </row>
    <row r="454">
      <c r="C454" s="15" t="n">
        <v>80</v>
      </c>
      <c r="AA454" s="15" t="n">
        <v>80</v>
      </c>
      <c r="AW454" s="15" t="n">
        <v>80</v>
      </c>
      <c r="BS454" s="15" t="n">
        <v>80</v>
      </c>
      <c r="CO454" s="15" t="n">
        <v>80</v>
      </c>
      <c r="DK454" s="15" t="n">
        <v>80</v>
      </c>
      <c r="EG454" s="15" t="n">
        <v>80</v>
      </c>
      <c r="FC454" s="15" t="n">
        <v>80</v>
      </c>
      <c r="FY454" s="15" t="n">
        <v>80</v>
      </c>
      <c r="GU454" s="15" t="n">
        <v>80</v>
      </c>
    </row>
    <row r="455">
      <c r="C455" s="15" t="n">
        <v>81</v>
      </c>
      <c r="AA455" s="15" t="n">
        <v>81</v>
      </c>
      <c r="AW455" s="15" t="n">
        <v>81</v>
      </c>
      <c r="BS455" s="15" t="n">
        <v>81</v>
      </c>
      <c r="CO455" s="15" t="n">
        <v>81</v>
      </c>
      <c r="DK455" s="15" t="n">
        <v>81</v>
      </c>
      <c r="EG455" s="15" t="n">
        <v>81</v>
      </c>
      <c r="FC455" s="15" t="n">
        <v>81</v>
      </c>
      <c r="FY455" s="15" t="n">
        <v>81</v>
      </c>
      <c r="GU455" s="15" t="n">
        <v>81</v>
      </c>
    </row>
    <row r="456">
      <c r="C456" s="15" t="n">
        <v>82</v>
      </c>
      <c r="AA456" s="15" t="n">
        <v>82</v>
      </c>
      <c r="AW456" s="15" t="n">
        <v>82</v>
      </c>
      <c r="BS456" s="15" t="n">
        <v>82</v>
      </c>
      <c r="CO456" s="15" t="n">
        <v>82</v>
      </c>
      <c r="DK456" s="15" t="n">
        <v>82</v>
      </c>
      <c r="EG456" s="15" t="n">
        <v>82</v>
      </c>
      <c r="FC456" s="15" t="n">
        <v>82</v>
      </c>
      <c r="FY456" s="15" t="n">
        <v>82</v>
      </c>
      <c r="GU456" s="15" t="n">
        <v>82</v>
      </c>
    </row>
    <row r="457">
      <c r="C457" s="15" t="n">
        <v>83</v>
      </c>
      <c r="AA457" s="15" t="n">
        <v>83</v>
      </c>
      <c r="AW457" s="15" t="n">
        <v>83</v>
      </c>
      <c r="BS457" s="15" t="n">
        <v>83</v>
      </c>
      <c r="CO457" s="15" t="n">
        <v>83</v>
      </c>
      <c r="DK457" s="15" t="n">
        <v>83</v>
      </c>
      <c r="EG457" s="15" t="n">
        <v>83</v>
      </c>
      <c r="FC457" s="15" t="n">
        <v>83</v>
      </c>
      <c r="FY457" s="15" t="n">
        <v>83</v>
      </c>
      <c r="GU457" s="15" t="n">
        <v>83</v>
      </c>
    </row>
    <row r="458">
      <c r="C458" s="15" t="n">
        <v>84</v>
      </c>
      <c r="AA458" s="15" t="n">
        <v>84</v>
      </c>
      <c r="AW458" s="15" t="n">
        <v>84</v>
      </c>
      <c r="BS458" s="15" t="n">
        <v>84</v>
      </c>
      <c r="CO458" s="15" t="n">
        <v>84</v>
      </c>
      <c r="DK458" s="15" t="n">
        <v>84</v>
      </c>
      <c r="EG458" s="15" t="n">
        <v>84</v>
      </c>
      <c r="FC458" s="15" t="n">
        <v>84</v>
      </c>
      <c r="FY458" s="15" t="n">
        <v>84</v>
      </c>
      <c r="GU458" s="15" t="n">
        <v>84</v>
      </c>
    </row>
    <row r="459">
      <c r="C459" s="15" t="n">
        <v>85</v>
      </c>
      <c r="AA459" s="15" t="n">
        <v>85</v>
      </c>
      <c r="AW459" s="15" t="n">
        <v>85</v>
      </c>
      <c r="BS459" s="15" t="n">
        <v>85</v>
      </c>
      <c r="CO459" s="15" t="n">
        <v>85</v>
      </c>
      <c r="DK459" s="15" t="n">
        <v>85</v>
      </c>
      <c r="EG459" s="15" t="n">
        <v>85</v>
      </c>
      <c r="FC459" s="15" t="n">
        <v>85</v>
      </c>
      <c r="FY459" s="15" t="n">
        <v>85</v>
      </c>
      <c r="GU459" s="15" t="n">
        <v>85</v>
      </c>
    </row>
    <row r="460">
      <c r="C460" s="15" t="n">
        <v>86</v>
      </c>
      <c r="AA460" s="15" t="n">
        <v>86</v>
      </c>
      <c r="AW460" s="15" t="n">
        <v>86</v>
      </c>
      <c r="BS460" s="15" t="n">
        <v>86</v>
      </c>
      <c r="CO460" s="15" t="n">
        <v>86</v>
      </c>
      <c r="DK460" s="15" t="n">
        <v>86</v>
      </c>
      <c r="EG460" s="15" t="n">
        <v>86</v>
      </c>
      <c r="FC460" s="15" t="n">
        <v>86</v>
      </c>
      <c r="FY460" s="15" t="n">
        <v>86</v>
      </c>
      <c r="GU460" s="15" t="n">
        <v>86</v>
      </c>
    </row>
    <row r="461">
      <c r="C461" s="15" t="n">
        <v>87</v>
      </c>
      <c r="AA461" s="15" t="n">
        <v>87</v>
      </c>
      <c r="AW461" s="15" t="n">
        <v>87</v>
      </c>
      <c r="BS461" s="15" t="n">
        <v>87</v>
      </c>
      <c r="CO461" s="15" t="n">
        <v>87</v>
      </c>
      <c r="DK461" s="15" t="n">
        <v>87</v>
      </c>
      <c r="EG461" s="15" t="n">
        <v>87</v>
      </c>
      <c r="FC461" s="15" t="n">
        <v>87</v>
      </c>
      <c r="FY461" s="15" t="n">
        <v>87</v>
      </c>
      <c r="GU461" s="15" t="n">
        <v>87</v>
      </c>
    </row>
    <row r="462">
      <c r="C462" s="15" t="n">
        <v>88</v>
      </c>
      <c r="AA462" s="15" t="n">
        <v>88</v>
      </c>
      <c r="AW462" s="15" t="n">
        <v>88</v>
      </c>
      <c r="BS462" s="15" t="n">
        <v>88</v>
      </c>
      <c r="CO462" s="15" t="n">
        <v>88</v>
      </c>
      <c r="DK462" s="15" t="n">
        <v>88</v>
      </c>
      <c r="EG462" s="15" t="n">
        <v>88</v>
      </c>
      <c r="FC462" s="15" t="n">
        <v>88</v>
      </c>
      <c r="FY462" s="15" t="n">
        <v>88</v>
      </c>
      <c r="GU462" s="15" t="n">
        <v>88</v>
      </c>
    </row>
    <row r="463">
      <c r="C463" s="15" t="n">
        <v>89</v>
      </c>
      <c r="AA463" s="15" t="n">
        <v>89</v>
      </c>
      <c r="AW463" s="15" t="n">
        <v>89</v>
      </c>
      <c r="BS463" s="15" t="n">
        <v>89</v>
      </c>
      <c r="CO463" s="15" t="n">
        <v>89</v>
      </c>
      <c r="DK463" s="15" t="n">
        <v>89</v>
      </c>
      <c r="EG463" s="15" t="n">
        <v>89</v>
      </c>
      <c r="FC463" s="15" t="n">
        <v>89</v>
      </c>
      <c r="FY463" s="15" t="n">
        <v>89</v>
      </c>
      <c r="GU463" s="15" t="n">
        <v>89</v>
      </c>
    </row>
    <row r="464">
      <c r="C464" s="15" t="n">
        <v>90</v>
      </c>
      <c r="AA464" s="15" t="n">
        <v>90</v>
      </c>
      <c r="AW464" s="15" t="n">
        <v>90</v>
      </c>
      <c r="BS464" s="15" t="n">
        <v>90</v>
      </c>
      <c r="CO464" s="15" t="n">
        <v>90</v>
      </c>
      <c r="DK464" s="15" t="n">
        <v>90</v>
      </c>
      <c r="EG464" s="15" t="n">
        <v>90</v>
      </c>
      <c r="FC464" s="15" t="n">
        <v>90</v>
      </c>
      <c r="FY464" s="15" t="n">
        <v>90</v>
      </c>
      <c r="GU464" s="15" t="n">
        <v>90</v>
      </c>
    </row>
    <row r="465">
      <c r="C465" s="15" t="n">
        <v>91</v>
      </c>
      <c r="AA465" s="15" t="n">
        <v>91</v>
      </c>
      <c r="AW465" s="15" t="n">
        <v>91</v>
      </c>
      <c r="BS465" s="15" t="n">
        <v>91</v>
      </c>
      <c r="CO465" s="15" t="n">
        <v>91</v>
      </c>
      <c r="DK465" s="15" t="n">
        <v>91</v>
      </c>
      <c r="EG465" s="15" t="n">
        <v>91</v>
      </c>
      <c r="FC465" s="15" t="n">
        <v>91</v>
      </c>
      <c r="FY465" s="15" t="n">
        <v>91</v>
      </c>
      <c r="GU465" s="15" t="n">
        <v>91</v>
      </c>
    </row>
    <row r="466">
      <c r="C466" s="15" t="n">
        <v>92</v>
      </c>
      <c r="AA466" s="15" t="n">
        <v>92</v>
      </c>
      <c r="AW466" s="15" t="n">
        <v>92</v>
      </c>
      <c r="BS466" s="15" t="n">
        <v>92</v>
      </c>
      <c r="CO466" s="15" t="n">
        <v>92</v>
      </c>
      <c r="DK466" s="15" t="n">
        <v>92</v>
      </c>
      <c r="EG466" s="15" t="n">
        <v>92</v>
      </c>
      <c r="FC466" s="15" t="n">
        <v>92</v>
      </c>
      <c r="FY466" s="15" t="n">
        <v>92</v>
      </c>
      <c r="GU466" s="15" t="n">
        <v>92</v>
      </c>
    </row>
    <row r="467">
      <c r="C467" s="15" t="n">
        <v>93</v>
      </c>
      <c r="AA467" s="15" t="n">
        <v>93</v>
      </c>
      <c r="AW467" s="15" t="n">
        <v>93</v>
      </c>
      <c r="BS467" s="15" t="n">
        <v>93</v>
      </c>
      <c r="CO467" s="15" t="n">
        <v>93</v>
      </c>
      <c r="DK467" s="15" t="n">
        <v>93</v>
      </c>
      <c r="EG467" s="15" t="n">
        <v>93</v>
      </c>
      <c r="FC467" s="15" t="n">
        <v>93</v>
      </c>
      <c r="FY467" s="15" t="n">
        <v>93</v>
      </c>
      <c r="GU467" s="15" t="n">
        <v>93</v>
      </c>
    </row>
    <row r="468">
      <c r="C468" s="15" t="n">
        <v>94</v>
      </c>
      <c r="AA468" s="15" t="n">
        <v>94</v>
      </c>
      <c r="AW468" s="15" t="n">
        <v>94</v>
      </c>
      <c r="BS468" s="15" t="n">
        <v>94</v>
      </c>
      <c r="CO468" s="15" t="n">
        <v>94</v>
      </c>
      <c r="DK468" s="15" t="n">
        <v>94</v>
      </c>
      <c r="EG468" s="15" t="n">
        <v>94</v>
      </c>
      <c r="FC468" s="15" t="n">
        <v>94</v>
      </c>
      <c r="FY468" s="15" t="n">
        <v>94</v>
      </c>
      <c r="GU468" s="15" t="n">
        <v>94</v>
      </c>
    </row>
    <row r="469">
      <c r="C469" s="15" t="n">
        <v>95</v>
      </c>
      <c r="AA469" s="15" t="n">
        <v>95</v>
      </c>
      <c r="AW469" s="15" t="n">
        <v>95</v>
      </c>
      <c r="BS469" s="15" t="n">
        <v>95</v>
      </c>
      <c r="CO469" s="15" t="n">
        <v>95</v>
      </c>
      <c r="DK469" s="15" t="n">
        <v>95</v>
      </c>
      <c r="EG469" s="15" t="n">
        <v>95</v>
      </c>
      <c r="FC469" s="15" t="n">
        <v>95</v>
      </c>
      <c r="FY469" s="15" t="n">
        <v>95</v>
      </c>
      <c r="GU469" s="15" t="n">
        <v>95</v>
      </c>
    </row>
    <row r="470">
      <c r="C470" s="15" t="n">
        <v>96</v>
      </c>
      <c r="AA470" s="15" t="n">
        <v>96</v>
      </c>
      <c r="AW470" s="15" t="n">
        <v>96</v>
      </c>
      <c r="BS470" s="15" t="n">
        <v>96</v>
      </c>
      <c r="CO470" s="15" t="n">
        <v>96</v>
      </c>
      <c r="DK470" s="15" t="n">
        <v>96</v>
      </c>
      <c r="EG470" s="15" t="n">
        <v>96</v>
      </c>
      <c r="FC470" s="15" t="n">
        <v>96</v>
      </c>
      <c r="FY470" s="15" t="n">
        <v>96</v>
      </c>
      <c r="GU470" s="15" t="n">
        <v>96</v>
      </c>
    </row>
    <row r="471">
      <c r="C471" s="15" t="n">
        <v>97</v>
      </c>
      <c r="AA471" s="15" t="n">
        <v>97</v>
      </c>
      <c r="AW471" s="15" t="n">
        <v>97</v>
      </c>
      <c r="BS471" s="15" t="n">
        <v>97</v>
      </c>
      <c r="CO471" s="15" t="n">
        <v>97</v>
      </c>
      <c r="DK471" s="15" t="n">
        <v>97</v>
      </c>
      <c r="EG471" s="15" t="n">
        <v>97</v>
      </c>
      <c r="FC471" s="15" t="n">
        <v>97</v>
      </c>
      <c r="FY471" s="15" t="n">
        <v>97</v>
      </c>
      <c r="GU471" s="15" t="n">
        <v>97</v>
      </c>
    </row>
    <row r="472">
      <c r="C472" s="15" t="n">
        <v>98</v>
      </c>
      <c r="AA472" s="15" t="n">
        <v>98</v>
      </c>
      <c r="AW472" s="15" t="n">
        <v>98</v>
      </c>
      <c r="BS472" s="15" t="n">
        <v>98</v>
      </c>
      <c r="CO472" s="15" t="n">
        <v>98</v>
      </c>
      <c r="DK472" s="15" t="n">
        <v>98</v>
      </c>
      <c r="EG472" s="15" t="n">
        <v>98</v>
      </c>
      <c r="FC472" s="15" t="n">
        <v>98</v>
      </c>
      <c r="FY472" s="15" t="n">
        <v>98</v>
      </c>
      <c r="GU472" s="15" t="n">
        <v>98</v>
      </c>
    </row>
    <row r="473">
      <c r="C473" s="15" t="n">
        <v>99</v>
      </c>
      <c r="AA473" s="15" t="n">
        <v>99</v>
      </c>
      <c r="AW473" s="15" t="n">
        <v>99</v>
      </c>
      <c r="BS473" s="15" t="n">
        <v>99</v>
      </c>
      <c r="CO473" s="15" t="n">
        <v>99</v>
      </c>
      <c r="DK473" s="15" t="n">
        <v>99</v>
      </c>
      <c r="EG473" s="15" t="n">
        <v>99</v>
      </c>
      <c r="FC473" s="15" t="n">
        <v>99</v>
      </c>
      <c r="FY473" s="15" t="n">
        <v>99</v>
      </c>
      <c r="GU473" s="15" t="n">
        <v>99</v>
      </c>
    </row>
    <row r="474">
      <c r="C474" s="15" t="n">
        <v>100</v>
      </c>
      <c r="AA474" s="15" t="n">
        <v>100</v>
      </c>
      <c r="AW474" s="15" t="n">
        <v>100</v>
      </c>
      <c r="BS474" s="15" t="n">
        <v>100</v>
      </c>
      <c r="CO474" s="15" t="n">
        <v>100</v>
      </c>
      <c r="DK474" s="15" t="n">
        <v>100</v>
      </c>
      <c r="EG474" s="15" t="n">
        <v>100</v>
      </c>
      <c r="FC474" s="15" t="n">
        <v>100</v>
      </c>
      <c r="FY474" s="15" t="n">
        <v>100</v>
      </c>
      <c r="GU474" s="15" t="n">
        <v>100</v>
      </c>
    </row>
    <row r="475">
      <c r="C475" s="15" t="n">
        <v>101</v>
      </c>
      <c r="AA475" s="15" t="n">
        <v>101</v>
      </c>
      <c r="AW475" s="15" t="n">
        <v>101</v>
      </c>
      <c r="BS475" s="15" t="n">
        <v>101</v>
      </c>
      <c r="CO475" s="15" t="n">
        <v>101</v>
      </c>
      <c r="DK475" s="15" t="n">
        <v>101</v>
      </c>
      <c r="EG475" s="15" t="n">
        <v>101</v>
      </c>
      <c r="FC475" s="15" t="n">
        <v>101</v>
      </c>
      <c r="FY475" s="15" t="n">
        <v>101</v>
      </c>
      <c r="GU475" s="15" t="n">
        <v>101</v>
      </c>
    </row>
    <row r="476">
      <c r="C476" s="15" t="n">
        <v>102</v>
      </c>
      <c r="AA476" s="15" t="n">
        <v>102</v>
      </c>
      <c r="AW476" s="15" t="n">
        <v>102</v>
      </c>
      <c r="BS476" s="15" t="n">
        <v>102</v>
      </c>
      <c r="CO476" s="15" t="n">
        <v>102</v>
      </c>
      <c r="DK476" s="15" t="n">
        <v>102</v>
      </c>
      <c r="EG476" s="15" t="n">
        <v>102</v>
      </c>
      <c r="FC476" s="15" t="n">
        <v>102</v>
      </c>
      <c r="FY476" s="15" t="n">
        <v>102</v>
      </c>
      <c r="GU476" s="15" t="n">
        <v>102</v>
      </c>
    </row>
    <row r="477">
      <c r="C477" s="15" t="n">
        <v>103</v>
      </c>
      <c r="AA477" s="15" t="n">
        <v>103</v>
      </c>
      <c r="AW477" s="15" t="n">
        <v>103</v>
      </c>
      <c r="BS477" s="15" t="n">
        <v>103</v>
      </c>
      <c r="CO477" s="15" t="n">
        <v>103</v>
      </c>
      <c r="DK477" s="15" t="n">
        <v>103</v>
      </c>
      <c r="EG477" s="15" t="n">
        <v>103</v>
      </c>
      <c r="FC477" s="15" t="n">
        <v>103</v>
      </c>
      <c r="FY477" s="15" t="n">
        <v>103</v>
      </c>
      <c r="GU477" s="15" t="n">
        <v>103</v>
      </c>
    </row>
    <row r="478">
      <c r="C478" s="15" t="n">
        <v>104</v>
      </c>
      <c r="AA478" s="15" t="n">
        <v>104</v>
      </c>
      <c r="AW478" s="15" t="n">
        <v>104</v>
      </c>
      <c r="BS478" s="15" t="n">
        <v>104</v>
      </c>
      <c r="CO478" s="15" t="n">
        <v>104</v>
      </c>
      <c r="DK478" s="15" t="n">
        <v>104</v>
      </c>
      <c r="EG478" s="15" t="n">
        <v>104</v>
      </c>
      <c r="FC478" s="15" t="n">
        <v>104</v>
      </c>
      <c r="FY478" s="15" t="n">
        <v>104</v>
      </c>
      <c r="GU478" s="15" t="n">
        <v>104</v>
      </c>
    </row>
    <row r="479">
      <c r="C479" s="15" t="n">
        <v>105</v>
      </c>
      <c r="AA479" s="15" t="n">
        <v>105</v>
      </c>
      <c r="AW479" s="15" t="n">
        <v>105</v>
      </c>
      <c r="BS479" s="15" t="n">
        <v>105</v>
      </c>
      <c r="CO479" s="15" t="n">
        <v>105</v>
      </c>
      <c r="DK479" s="15" t="n">
        <v>105</v>
      </c>
      <c r="EG479" s="15" t="n">
        <v>105</v>
      </c>
      <c r="FC479" s="15" t="n">
        <v>105</v>
      </c>
      <c r="FY479" s="15" t="n">
        <v>105</v>
      </c>
      <c r="GU479" s="15" t="n">
        <v>105</v>
      </c>
    </row>
    <row r="480">
      <c r="C480" s="15" t="n">
        <v>106</v>
      </c>
      <c r="AA480" s="15" t="n">
        <v>106</v>
      </c>
      <c r="AW480" s="15" t="n">
        <v>106</v>
      </c>
      <c r="BS480" s="15" t="n">
        <v>106</v>
      </c>
      <c r="CO480" s="15" t="n">
        <v>106</v>
      </c>
      <c r="DK480" s="15" t="n">
        <v>106</v>
      </c>
      <c r="EG480" s="15" t="n">
        <v>106</v>
      </c>
      <c r="FC480" s="15" t="n">
        <v>106</v>
      </c>
      <c r="FY480" s="15" t="n">
        <v>106</v>
      </c>
      <c r="GU480" s="15" t="n">
        <v>106</v>
      </c>
    </row>
    <row r="481">
      <c r="C481" s="15" t="n">
        <v>107</v>
      </c>
      <c r="AA481" s="15" t="n">
        <v>107</v>
      </c>
      <c r="AW481" s="15" t="n">
        <v>107</v>
      </c>
      <c r="BS481" s="15" t="n">
        <v>107</v>
      </c>
      <c r="CO481" s="15" t="n">
        <v>107</v>
      </c>
      <c r="DK481" s="15" t="n">
        <v>107</v>
      </c>
      <c r="EG481" s="15" t="n">
        <v>107</v>
      </c>
      <c r="FC481" s="15" t="n">
        <v>107</v>
      </c>
      <c r="FY481" s="15" t="n">
        <v>107</v>
      </c>
      <c r="GU481" s="15" t="n">
        <v>107</v>
      </c>
    </row>
    <row r="482">
      <c r="C482" s="15" t="n">
        <v>108</v>
      </c>
      <c r="AA482" s="15" t="n">
        <v>108</v>
      </c>
      <c r="AW482" s="15" t="n">
        <v>108</v>
      </c>
      <c r="BS482" s="15" t="n">
        <v>108</v>
      </c>
      <c r="CO482" s="15" t="n">
        <v>108</v>
      </c>
      <c r="DK482" s="15" t="n">
        <v>108</v>
      </c>
      <c r="EG482" s="15" t="n">
        <v>108</v>
      </c>
      <c r="FC482" s="15" t="n">
        <v>108</v>
      </c>
      <c r="FY482" s="15" t="n">
        <v>108</v>
      </c>
      <c r="GU482" s="15" t="n">
        <v>108</v>
      </c>
    </row>
    <row r="483">
      <c r="C483" s="15" t="n">
        <v>109</v>
      </c>
      <c r="AA483" s="15" t="n">
        <v>109</v>
      </c>
      <c r="AW483" s="15" t="n">
        <v>109</v>
      </c>
      <c r="BS483" s="15" t="n">
        <v>109</v>
      </c>
      <c r="CO483" s="15" t="n">
        <v>109</v>
      </c>
      <c r="DK483" s="15" t="n">
        <v>109</v>
      </c>
      <c r="EG483" s="15" t="n">
        <v>109</v>
      </c>
      <c r="FC483" s="15" t="n">
        <v>109</v>
      </c>
      <c r="FY483" s="15" t="n">
        <v>109</v>
      </c>
      <c r="GU483" s="15" t="n">
        <v>109</v>
      </c>
    </row>
    <row r="484">
      <c r="C484" s="15" t="n">
        <v>110</v>
      </c>
      <c r="AA484" s="15" t="n">
        <v>110</v>
      </c>
      <c r="AW484" s="15" t="n">
        <v>110</v>
      </c>
      <c r="BS484" s="15" t="n">
        <v>110</v>
      </c>
      <c r="CO484" s="15" t="n">
        <v>110</v>
      </c>
      <c r="DK484" s="15" t="n">
        <v>110</v>
      </c>
      <c r="EG484" s="15" t="n">
        <v>110</v>
      </c>
      <c r="FC484" s="15" t="n">
        <v>110</v>
      </c>
      <c r="FY484" s="15" t="n">
        <v>110</v>
      </c>
      <c r="GU484" s="15" t="n">
        <v>110</v>
      </c>
    </row>
    <row r="485">
      <c r="C485" s="15" t="n">
        <v>111</v>
      </c>
      <c r="AA485" s="15" t="n">
        <v>111</v>
      </c>
      <c r="AW485" s="15" t="n">
        <v>111</v>
      </c>
      <c r="BS485" s="15" t="n">
        <v>111</v>
      </c>
      <c r="CO485" s="15" t="n">
        <v>111</v>
      </c>
      <c r="DK485" s="15" t="n">
        <v>111</v>
      </c>
      <c r="EG485" s="15" t="n">
        <v>111</v>
      </c>
      <c r="FC485" s="15" t="n">
        <v>111</v>
      </c>
      <c r="FY485" s="15" t="n">
        <v>111</v>
      </c>
      <c r="GU485" s="15" t="n">
        <v>111</v>
      </c>
    </row>
    <row r="486">
      <c r="C486" s="15" t="n">
        <v>112</v>
      </c>
      <c r="AA486" s="15" t="n">
        <v>112</v>
      </c>
      <c r="AW486" s="15" t="n">
        <v>112</v>
      </c>
      <c r="BS486" s="15" t="n">
        <v>112</v>
      </c>
      <c r="CO486" s="15" t="n">
        <v>112</v>
      </c>
      <c r="DK486" s="15" t="n">
        <v>112</v>
      </c>
      <c r="EG486" s="15" t="n">
        <v>112</v>
      </c>
      <c r="FC486" s="15" t="n">
        <v>112</v>
      </c>
      <c r="FY486" s="15" t="n">
        <v>112</v>
      </c>
      <c r="GU486" s="15" t="n">
        <v>112</v>
      </c>
    </row>
    <row r="487">
      <c r="C487" s="15" t="n">
        <v>113</v>
      </c>
      <c r="AA487" s="15" t="n">
        <v>113</v>
      </c>
      <c r="AW487" s="15" t="n">
        <v>113</v>
      </c>
      <c r="BS487" s="15" t="n">
        <v>113</v>
      </c>
      <c r="CO487" s="15" t="n">
        <v>113</v>
      </c>
      <c r="DK487" s="15" t="n">
        <v>113</v>
      </c>
      <c r="EG487" s="15" t="n">
        <v>113</v>
      </c>
      <c r="FC487" s="15" t="n">
        <v>113</v>
      </c>
      <c r="FY487" s="15" t="n">
        <v>113</v>
      </c>
      <c r="GU487" s="15" t="n">
        <v>113</v>
      </c>
    </row>
    <row r="488">
      <c r="C488" s="15" t="n">
        <v>114</v>
      </c>
      <c r="AA488" s="15" t="n">
        <v>114</v>
      </c>
      <c r="AW488" s="15" t="n">
        <v>114</v>
      </c>
      <c r="BS488" s="15" t="n">
        <v>114</v>
      </c>
      <c r="CO488" s="15" t="n">
        <v>114</v>
      </c>
      <c r="DK488" s="15" t="n">
        <v>114</v>
      </c>
      <c r="EG488" s="15" t="n">
        <v>114</v>
      </c>
      <c r="FC488" s="15" t="n">
        <v>114</v>
      </c>
      <c r="FY488" s="15" t="n">
        <v>114</v>
      </c>
      <c r="GU488" s="15" t="n">
        <v>114</v>
      </c>
    </row>
    <row r="489">
      <c r="C489" s="15" t="n">
        <v>115</v>
      </c>
      <c r="AA489" s="15" t="n">
        <v>115</v>
      </c>
      <c r="AW489" s="15" t="n">
        <v>115</v>
      </c>
      <c r="BS489" s="15" t="n">
        <v>115</v>
      </c>
      <c r="CO489" s="15" t="n">
        <v>115</v>
      </c>
      <c r="DK489" s="15" t="n">
        <v>115</v>
      </c>
      <c r="EG489" s="15" t="n">
        <v>115</v>
      </c>
      <c r="FC489" s="15" t="n">
        <v>115</v>
      </c>
      <c r="FY489" s="15" t="n">
        <v>115</v>
      </c>
      <c r="GU489" s="15" t="n">
        <v>115</v>
      </c>
    </row>
    <row r="490">
      <c r="C490" s="15" t="n">
        <v>116</v>
      </c>
      <c r="AA490" s="15" t="n">
        <v>116</v>
      </c>
      <c r="AW490" s="15" t="n">
        <v>116</v>
      </c>
      <c r="BS490" s="15" t="n">
        <v>116</v>
      </c>
      <c r="CO490" s="15" t="n">
        <v>116</v>
      </c>
      <c r="DK490" s="15" t="n">
        <v>116</v>
      </c>
      <c r="EG490" s="15" t="n">
        <v>116</v>
      </c>
      <c r="FC490" s="15" t="n">
        <v>116</v>
      </c>
      <c r="FY490" s="15" t="n">
        <v>116</v>
      </c>
      <c r="GU490" s="15" t="n">
        <v>116</v>
      </c>
    </row>
    <row r="491">
      <c r="C491" s="15" t="n">
        <v>117</v>
      </c>
      <c r="AA491" s="15" t="n">
        <v>117</v>
      </c>
      <c r="AW491" s="15" t="n">
        <v>117</v>
      </c>
      <c r="BS491" s="15" t="n">
        <v>117</v>
      </c>
      <c r="CO491" s="15" t="n">
        <v>117</v>
      </c>
      <c r="DK491" s="15" t="n">
        <v>117</v>
      </c>
      <c r="EG491" s="15" t="n">
        <v>117</v>
      </c>
      <c r="FC491" s="15" t="n">
        <v>117</v>
      </c>
      <c r="FY491" s="15" t="n">
        <v>117</v>
      </c>
      <c r="GU491" s="15" t="n">
        <v>117</v>
      </c>
    </row>
    <row r="492">
      <c r="C492" s="15" t="n">
        <v>118</v>
      </c>
      <c r="AA492" s="15" t="n">
        <v>118</v>
      </c>
      <c r="AW492" s="15" t="n">
        <v>118</v>
      </c>
      <c r="BS492" s="15" t="n">
        <v>118</v>
      </c>
      <c r="CO492" s="15" t="n">
        <v>118</v>
      </c>
      <c r="DK492" s="15" t="n">
        <v>118</v>
      </c>
      <c r="EG492" s="15" t="n">
        <v>118</v>
      </c>
      <c r="FC492" s="15" t="n">
        <v>118</v>
      </c>
      <c r="FY492" s="15" t="n">
        <v>118</v>
      </c>
      <c r="GU492" s="15" t="n">
        <v>118</v>
      </c>
    </row>
    <row r="493">
      <c r="C493" s="15" t="n">
        <v>119</v>
      </c>
      <c r="AA493" s="15" t="n">
        <v>119</v>
      </c>
      <c r="AW493" s="15" t="n">
        <v>119</v>
      </c>
      <c r="BS493" s="15" t="n">
        <v>119</v>
      </c>
      <c r="CO493" s="15" t="n">
        <v>119</v>
      </c>
      <c r="DK493" s="15" t="n">
        <v>119</v>
      </c>
      <c r="EG493" s="15" t="n">
        <v>119</v>
      </c>
      <c r="FC493" s="15" t="n">
        <v>119</v>
      </c>
      <c r="FY493" s="15" t="n">
        <v>119</v>
      </c>
      <c r="GU493" s="15" t="n">
        <v>119</v>
      </c>
    </row>
    <row r="494">
      <c r="C494" s="15" t="n">
        <v>120</v>
      </c>
      <c r="AA494" s="15" t="n">
        <v>120</v>
      </c>
      <c r="AW494" s="15" t="n">
        <v>120</v>
      </c>
      <c r="BS494" s="15" t="n">
        <v>120</v>
      </c>
      <c r="CO494" s="15" t="n">
        <v>120</v>
      </c>
      <c r="DK494" s="15" t="n">
        <v>120</v>
      </c>
      <c r="EG494" s="15" t="n">
        <v>120</v>
      </c>
      <c r="FC494" s="15" t="n">
        <v>120</v>
      </c>
      <c r="FY494" s="15" t="n">
        <v>120</v>
      </c>
      <c r="GU494" s="15" t="n">
        <v>120</v>
      </c>
    </row>
    <row r="495">
      <c r="C495" s="15" t="n">
        <v>121</v>
      </c>
      <c r="AA495" s="15" t="n">
        <v>121</v>
      </c>
      <c r="AW495" s="15" t="n">
        <v>121</v>
      </c>
      <c r="BS495" s="15" t="n">
        <v>121</v>
      </c>
      <c r="CO495" s="15" t="n">
        <v>121</v>
      </c>
      <c r="DK495" s="15" t="n">
        <v>121</v>
      </c>
      <c r="EG495" s="15" t="n">
        <v>121</v>
      </c>
      <c r="FC495" s="15" t="n">
        <v>121</v>
      </c>
      <c r="FY495" s="15" t="n">
        <v>121</v>
      </c>
      <c r="GU495" s="15" t="n">
        <v>121</v>
      </c>
    </row>
    <row r="496">
      <c r="C496" s="15" t="n">
        <v>122</v>
      </c>
      <c r="AA496" s="15" t="n">
        <v>122</v>
      </c>
      <c r="AW496" s="15" t="n">
        <v>122</v>
      </c>
      <c r="BS496" s="15" t="n">
        <v>122</v>
      </c>
      <c r="CO496" s="15" t="n">
        <v>122</v>
      </c>
      <c r="DK496" s="15" t="n">
        <v>122</v>
      </c>
      <c r="EG496" s="15" t="n">
        <v>122</v>
      </c>
      <c r="FC496" s="15" t="n">
        <v>122</v>
      </c>
      <c r="FY496" s="15" t="n">
        <v>122</v>
      </c>
      <c r="GU496" s="15" t="n">
        <v>122</v>
      </c>
    </row>
    <row r="497">
      <c r="C497" s="15" t="n">
        <v>123</v>
      </c>
      <c r="AA497" s="15" t="n">
        <v>123</v>
      </c>
      <c r="AW497" s="15" t="n">
        <v>123</v>
      </c>
      <c r="BS497" s="15" t="n">
        <v>123</v>
      </c>
      <c r="CO497" s="15" t="n">
        <v>123</v>
      </c>
      <c r="DK497" s="15" t="n">
        <v>123</v>
      </c>
      <c r="EG497" s="15" t="n">
        <v>123</v>
      </c>
      <c r="FC497" s="15" t="n">
        <v>123</v>
      </c>
      <c r="FY497" s="15" t="n">
        <v>123</v>
      </c>
      <c r="GU497" s="15" t="n">
        <v>123</v>
      </c>
    </row>
    <row r="498">
      <c r="C498" s="15" t="n">
        <v>124</v>
      </c>
      <c r="AA498" s="15" t="n">
        <v>124</v>
      </c>
      <c r="AW498" s="15" t="n">
        <v>124</v>
      </c>
      <c r="BS498" s="15" t="n">
        <v>124</v>
      </c>
      <c r="CO498" s="15" t="n">
        <v>124</v>
      </c>
      <c r="DK498" s="15" t="n">
        <v>124</v>
      </c>
      <c r="EG498" s="15" t="n">
        <v>124</v>
      </c>
      <c r="FC498" s="15" t="n">
        <v>124</v>
      </c>
      <c r="FY498" s="15" t="n">
        <v>124</v>
      </c>
      <c r="GU498" s="15" t="n">
        <v>124</v>
      </c>
    </row>
    <row r="499">
      <c r="C499" s="15" t="n">
        <v>125</v>
      </c>
      <c r="AA499" s="15" t="n">
        <v>125</v>
      </c>
      <c r="AW499" s="15" t="n">
        <v>125</v>
      </c>
      <c r="BS499" s="15" t="n">
        <v>125</v>
      </c>
      <c r="CO499" s="15" t="n">
        <v>125</v>
      </c>
      <c r="DK499" s="15" t="n">
        <v>125</v>
      </c>
      <c r="EG499" s="15" t="n">
        <v>125</v>
      </c>
      <c r="FC499" s="15" t="n">
        <v>125</v>
      </c>
      <c r="FY499" s="15" t="n">
        <v>125</v>
      </c>
      <c r="GU499" s="15" t="n">
        <v>125</v>
      </c>
    </row>
    <row r="500">
      <c r="C500" s="15" t="n">
        <v>126</v>
      </c>
      <c r="AA500" s="15" t="n">
        <v>126</v>
      </c>
      <c r="AW500" s="15" t="n">
        <v>126</v>
      </c>
      <c r="BS500" s="15" t="n">
        <v>126</v>
      </c>
      <c r="CO500" s="15" t="n">
        <v>126</v>
      </c>
      <c r="DK500" s="15" t="n">
        <v>126</v>
      </c>
      <c r="EG500" s="15" t="n">
        <v>126</v>
      </c>
      <c r="FC500" s="15" t="n">
        <v>126</v>
      </c>
      <c r="FY500" s="15" t="n">
        <v>126</v>
      </c>
      <c r="GU500" s="15" t="n">
        <v>126</v>
      </c>
    </row>
    <row r="501">
      <c r="C501" s="15" t="n">
        <v>127</v>
      </c>
      <c r="AA501" s="15" t="n">
        <v>127</v>
      </c>
      <c r="AW501" s="15" t="n">
        <v>127</v>
      </c>
      <c r="BS501" s="15" t="n">
        <v>127</v>
      </c>
      <c r="CO501" s="15" t="n">
        <v>127</v>
      </c>
      <c r="DK501" s="15" t="n">
        <v>127</v>
      </c>
      <c r="EG501" s="15" t="n">
        <v>127</v>
      </c>
      <c r="FC501" s="15" t="n">
        <v>127</v>
      </c>
      <c r="FY501" s="15" t="n">
        <v>127</v>
      </c>
      <c r="GU501" s="15" t="n">
        <v>127</v>
      </c>
    </row>
    <row r="502">
      <c r="C502" s="15" t="n">
        <v>128</v>
      </c>
      <c r="AA502" s="15" t="n">
        <v>128</v>
      </c>
      <c r="AW502" s="15" t="n">
        <v>128</v>
      </c>
      <c r="BS502" s="15" t="n">
        <v>128</v>
      </c>
      <c r="CO502" s="15" t="n">
        <v>128</v>
      </c>
      <c r="DK502" s="15" t="n">
        <v>128</v>
      </c>
      <c r="EG502" s="15" t="n">
        <v>128</v>
      </c>
      <c r="FC502" s="15" t="n">
        <v>128</v>
      </c>
      <c r="FY502" s="15" t="n">
        <v>128</v>
      </c>
      <c r="GU502" s="15" t="n">
        <v>128</v>
      </c>
    </row>
    <row r="503">
      <c r="C503" s="15" t="n">
        <v>129</v>
      </c>
      <c r="AA503" s="15" t="n">
        <v>129</v>
      </c>
      <c r="AW503" s="15" t="n">
        <v>129</v>
      </c>
      <c r="BS503" s="15" t="n">
        <v>129</v>
      </c>
      <c r="CO503" s="15" t="n">
        <v>129</v>
      </c>
      <c r="DK503" s="15" t="n">
        <v>129</v>
      </c>
      <c r="EG503" s="15" t="n">
        <v>129</v>
      </c>
      <c r="FC503" s="15" t="n">
        <v>129</v>
      </c>
      <c r="FY503" s="15" t="n">
        <v>129</v>
      </c>
      <c r="GU503" s="15" t="n">
        <v>129</v>
      </c>
    </row>
    <row r="504">
      <c r="C504" s="15" t="n">
        <v>130</v>
      </c>
      <c r="AA504" s="15" t="n">
        <v>130</v>
      </c>
      <c r="AW504" s="15" t="n">
        <v>130</v>
      </c>
      <c r="BS504" s="15" t="n">
        <v>130</v>
      </c>
      <c r="CO504" s="15" t="n">
        <v>130</v>
      </c>
      <c r="DK504" s="15" t="n">
        <v>130</v>
      </c>
      <c r="EG504" s="15" t="n">
        <v>130</v>
      </c>
      <c r="FC504" s="15" t="n">
        <v>130</v>
      </c>
      <c r="FY504" s="15" t="n">
        <v>130</v>
      </c>
      <c r="GU504" s="15" t="n">
        <v>130</v>
      </c>
    </row>
    <row r="505">
      <c r="C505" s="15" t="n">
        <v>131</v>
      </c>
      <c r="AA505" s="15" t="n">
        <v>131</v>
      </c>
      <c r="AW505" s="15" t="n">
        <v>131</v>
      </c>
      <c r="BS505" s="15" t="n">
        <v>131</v>
      </c>
      <c r="CO505" s="15" t="n">
        <v>131</v>
      </c>
      <c r="DK505" s="15" t="n">
        <v>131</v>
      </c>
      <c r="EG505" s="15" t="n">
        <v>131</v>
      </c>
      <c r="FC505" s="15" t="n">
        <v>131</v>
      </c>
      <c r="FY505" s="15" t="n">
        <v>131</v>
      </c>
      <c r="GU505" s="15" t="n">
        <v>131</v>
      </c>
    </row>
    <row r="506">
      <c r="C506" s="15" t="n">
        <v>132</v>
      </c>
      <c r="AA506" s="15" t="n">
        <v>132</v>
      </c>
      <c r="AW506" s="15" t="n">
        <v>132</v>
      </c>
      <c r="BS506" s="15" t="n">
        <v>132</v>
      </c>
      <c r="CO506" s="15" t="n">
        <v>132</v>
      </c>
      <c r="DK506" s="15" t="n">
        <v>132</v>
      </c>
      <c r="EG506" s="15" t="n">
        <v>132</v>
      </c>
      <c r="FC506" s="15" t="n">
        <v>132</v>
      </c>
      <c r="FY506" s="15" t="n">
        <v>132</v>
      </c>
      <c r="GU506" s="15" t="n">
        <v>132</v>
      </c>
    </row>
    <row r="507">
      <c r="C507" s="15" t="n">
        <v>133</v>
      </c>
      <c r="AA507" s="15" t="n">
        <v>133</v>
      </c>
      <c r="AW507" s="15" t="n">
        <v>133</v>
      </c>
      <c r="BS507" s="15" t="n">
        <v>133</v>
      </c>
      <c r="CO507" s="15" t="n">
        <v>133</v>
      </c>
      <c r="DK507" s="15" t="n">
        <v>133</v>
      </c>
      <c r="EG507" s="15" t="n">
        <v>133</v>
      </c>
      <c r="FC507" s="15" t="n">
        <v>133</v>
      </c>
      <c r="FY507" s="15" t="n">
        <v>133</v>
      </c>
      <c r="GU507" s="15" t="n">
        <v>133</v>
      </c>
    </row>
    <row r="508">
      <c r="C508" s="15" t="n">
        <v>134</v>
      </c>
      <c r="AA508" s="15" t="n">
        <v>134</v>
      </c>
      <c r="AW508" s="15" t="n">
        <v>134</v>
      </c>
      <c r="BS508" s="15" t="n">
        <v>134</v>
      </c>
      <c r="CO508" s="15" t="n">
        <v>134</v>
      </c>
      <c r="DK508" s="15" t="n">
        <v>134</v>
      </c>
      <c r="EG508" s="15" t="n">
        <v>134</v>
      </c>
      <c r="FC508" s="15" t="n">
        <v>134</v>
      </c>
      <c r="FY508" s="15" t="n">
        <v>134</v>
      </c>
      <c r="GU508" s="15" t="n">
        <v>134</v>
      </c>
    </row>
    <row r="509">
      <c r="C509" s="15" t="n">
        <v>135</v>
      </c>
      <c r="AA509" s="15" t="n">
        <v>135</v>
      </c>
      <c r="AW509" s="15" t="n">
        <v>135</v>
      </c>
      <c r="BS509" s="15" t="n">
        <v>135</v>
      </c>
      <c r="CO509" s="15" t="n">
        <v>135</v>
      </c>
      <c r="DK509" s="15" t="n">
        <v>135</v>
      </c>
      <c r="EG509" s="15" t="n">
        <v>135</v>
      </c>
      <c r="FC509" s="15" t="n">
        <v>135</v>
      </c>
      <c r="FY509" s="15" t="n">
        <v>135</v>
      </c>
      <c r="GU509" s="15" t="n">
        <v>135</v>
      </c>
    </row>
    <row r="510">
      <c r="C510" s="15" t="n">
        <v>136</v>
      </c>
      <c r="AA510" s="15" t="n">
        <v>136</v>
      </c>
      <c r="AW510" s="15" t="n">
        <v>136</v>
      </c>
      <c r="BS510" s="15" t="n">
        <v>136</v>
      </c>
      <c r="CO510" s="15" t="n">
        <v>136</v>
      </c>
      <c r="DK510" s="15" t="n">
        <v>136</v>
      </c>
      <c r="EG510" s="15" t="n">
        <v>136</v>
      </c>
      <c r="FC510" s="15" t="n">
        <v>136</v>
      </c>
      <c r="FY510" s="15" t="n">
        <v>136</v>
      </c>
      <c r="GU510" s="15" t="n">
        <v>136</v>
      </c>
    </row>
    <row r="511">
      <c r="C511" s="15" t="n">
        <v>137</v>
      </c>
      <c r="AA511" s="15" t="n">
        <v>137</v>
      </c>
      <c r="AW511" s="15" t="n">
        <v>137</v>
      </c>
      <c r="BS511" s="15" t="n">
        <v>137</v>
      </c>
      <c r="CO511" s="15" t="n">
        <v>137</v>
      </c>
      <c r="DK511" s="15" t="n">
        <v>137</v>
      </c>
      <c r="EG511" s="15" t="n">
        <v>137</v>
      </c>
      <c r="FC511" s="15" t="n">
        <v>137</v>
      </c>
      <c r="FY511" s="15" t="n">
        <v>137</v>
      </c>
      <c r="GU511" s="15" t="n">
        <v>137</v>
      </c>
    </row>
    <row r="512">
      <c r="C512" s="15" t="n">
        <v>138</v>
      </c>
      <c r="AA512" s="15" t="n">
        <v>138</v>
      </c>
      <c r="AW512" s="15" t="n">
        <v>138</v>
      </c>
      <c r="BS512" s="15" t="n">
        <v>138</v>
      </c>
      <c r="CO512" s="15" t="n">
        <v>138</v>
      </c>
      <c r="DK512" s="15" t="n">
        <v>138</v>
      </c>
      <c r="EG512" s="15" t="n">
        <v>138</v>
      </c>
      <c r="FC512" s="15" t="n">
        <v>138</v>
      </c>
      <c r="FY512" s="15" t="n">
        <v>138</v>
      </c>
      <c r="GU512" s="15" t="n">
        <v>138</v>
      </c>
    </row>
    <row r="513">
      <c r="C513" s="15" t="n">
        <v>139</v>
      </c>
      <c r="AA513" s="15" t="n">
        <v>139</v>
      </c>
      <c r="AW513" s="15" t="n">
        <v>139</v>
      </c>
      <c r="BS513" s="15" t="n">
        <v>139</v>
      </c>
      <c r="CO513" s="15" t="n">
        <v>139</v>
      </c>
      <c r="DK513" s="15" t="n">
        <v>139</v>
      </c>
      <c r="EG513" s="15" t="n">
        <v>139</v>
      </c>
      <c r="FC513" s="15" t="n">
        <v>139</v>
      </c>
      <c r="FY513" s="15" t="n">
        <v>139</v>
      </c>
      <c r="GU513" s="15" t="n">
        <v>139</v>
      </c>
    </row>
    <row r="514">
      <c r="C514" s="15" t="n">
        <v>140</v>
      </c>
      <c r="AA514" s="15" t="n">
        <v>140</v>
      </c>
      <c r="AW514" s="15" t="n">
        <v>140</v>
      </c>
      <c r="BS514" s="15" t="n">
        <v>140</v>
      </c>
      <c r="CO514" s="15" t="n">
        <v>140</v>
      </c>
      <c r="DK514" s="15" t="n">
        <v>140</v>
      </c>
      <c r="EG514" s="15" t="n">
        <v>140</v>
      </c>
      <c r="FC514" s="15" t="n">
        <v>140</v>
      </c>
      <c r="FY514" s="15" t="n">
        <v>140</v>
      </c>
      <c r="GU514" s="15" t="n">
        <v>140</v>
      </c>
    </row>
    <row r="515">
      <c r="C515" s="15" t="n">
        <v>141</v>
      </c>
      <c r="AA515" s="15" t="n">
        <v>141</v>
      </c>
      <c r="AW515" s="15" t="n">
        <v>141</v>
      </c>
      <c r="BS515" s="15" t="n">
        <v>141</v>
      </c>
      <c r="CO515" s="15" t="n">
        <v>141</v>
      </c>
      <c r="DK515" s="15" t="n">
        <v>141</v>
      </c>
      <c r="EG515" s="15" t="n">
        <v>141</v>
      </c>
      <c r="FC515" s="15" t="n">
        <v>141</v>
      </c>
      <c r="FY515" s="15" t="n">
        <v>141</v>
      </c>
      <c r="GU515" s="15" t="n">
        <v>141</v>
      </c>
    </row>
    <row r="516">
      <c r="C516" s="15" t="n">
        <v>142</v>
      </c>
      <c r="AA516" s="15" t="n">
        <v>142</v>
      </c>
      <c r="AW516" s="15" t="n">
        <v>142</v>
      </c>
      <c r="BS516" s="15" t="n">
        <v>142</v>
      </c>
      <c r="CO516" s="15" t="n">
        <v>142</v>
      </c>
      <c r="DK516" s="15" t="n">
        <v>142</v>
      </c>
      <c r="EG516" s="15" t="n">
        <v>142</v>
      </c>
      <c r="FC516" s="15" t="n">
        <v>142</v>
      </c>
      <c r="FY516" s="15" t="n">
        <v>142</v>
      </c>
      <c r="GU516" s="15" t="n">
        <v>142</v>
      </c>
    </row>
    <row r="517">
      <c r="C517" s="15" t="n">
        <v>143</v>
      </c>
      <c r="AA517" s="15" t="n">
        <v>143</v>
      </c>
      <c r="AW517" s="15" t="n">
        <v>143</v>
      </c>
      <c r="BS517" s="15" t="n">
        <v>143</v>
      </c>
      <c r="CO517" s="15" t="n">
        <v>143</v>
      </c>
      <c r="DK517" s="15" t="n">
        <v>143</v>
      </c>
      <c r="EG517" s="15" t="n">
        <v>143</v>
      </c>
      <c r="FC517" s="15" t="n">
        <v>143</v>
      </c>
      <c r="FY517" s="15" t="n">
        <v>143</v>
      </c>
      <c r="GU517" s="15" t="n">
        <v>143</v>
      </c>
    </row>
    <row r="518">
      <c r="C518" s="15" t="n">
        <v>144</v>
      </c>
      <c r="AA518" s="15" t="n">
        <v>144</v>
      </c>
      <c r="AW518" s="15" t="n">
        <v>144</v>
      </c>
      <c r="BS518" s="15" t="n">
        <v>144</v>
      </c>
      <c r="CO518" s="15" t="n">
        <v>144</v>
      </c>
      <c r="DK518" s="15" t="n">
        <v>144</v>
      </c>
      <c r="EG518" s="15" t="n">
        <v>144</v>
      </c>
      <c r="FC518" s="15" t="n">
        <v>144</v>
      </c>
      <c r="FY518" s="15" t="n">
        <v>144</v>
      </c>
      <c r="GU518" s="15" t="n">
        <v>144</v>
      </c>
    </row>
    <row r="519">
      <c r="C519" s="15" t="n">
        <v>145</v>
      </c>
      <c r="AA519" s="15" t="n">
        <v>145</v>
      </c>
      <c r="AW519" s="15" t="n">
        <v>145</v>
      </c>
      <c r="BS519" s="15" t="n">
        <v>145</v>
      </c>
      <c r="CO519" s="15" t="n">
        <v>145</v>
      </c>
      <c r="DK519" s="15" t="n">
        <v>145</v>
      </c>
      <c r="EG519" s="15" t="n">
        <v>145</v>
      </c>
      <c r="FC519" s="15" t="n">
        <v>145</v>
      </c>
      <c r="FY519" s="15" t="n">
        <v>145</v>
      </c>
      <c r="GU519" s="15" t="n">
        <v>145</v>
      </c>
    </row>
    <row r="520">
      <c r="C520" s="15" t="n">
        <v>146</v>
      </c>
      <c r="AA520" s="15" t="n">
        <v>146</v>
      </c>
      <c r="AW520" s="15" t="n">
        <v>146</v>
      </c>
      <c r="BS520" s="15" t="n">
        <v>146</v>
      </c>
      <c r="CO520" s="15" t="n">
        <v>146</v>
      </c>
      <c r="DK520" s="15" t="n">
        <v>146</v>
      </c>
      <c r="EG520" s="15" t="n">
        <v>146</v>
      </c>
      <c r="FC520" s="15" t="n">
        <v>146</v>
      </c>
      <c r="FY520" s="15" t="n">
        <v>146</v>
      </c>
      <c r="GU520" s="15" t="n">
        <v>146</v>
      </c>
    </row>
    <row r="521">
      <c r="C521" s="15" t="n">
        <v>147</v>
      </c>
      <c r="AA521" s="15" t="n">
        <v>147</v>
      </c>
      <c r="AW521" s="15" t="n">
        <v>147</v>
      </c>
      <c r="BS521" s="15" t="n">
        <v>147</v>
      </c>
      <c r="CO521" s="15" t="n">
        <v>147</v>
      </c>
      <c r="DK521" s="15" t="n">
        <v>147</v>
      </c>
      <c r="EG521" s="15" t="n">
        <v>147</v>
      </c>
      <c r="FC521" s="15" t="n">
        <v>147</v>
      </c>
      <c r="FY521" s="15" t="n">
        <v>147</v>
      </c>
      <c r="GU521" s="15" t="n">
        <v>147</v>
      </c>
    </row>
    <row r="522">
      <c r="C522" s="15" t="n">
        <v>148</v>
      </c>
      <c r="AA522" s="15" t="n">
        <v>148</v>
      </c>
      <c r="AW522" s="15" t="n">
        <v>148</v>
      </c>
      <c r="BS522" s="15" t="n">
        <v>148</v>
      </c>
      <c r="CO522" s="15" t="n">
        <v>148</v>
      </c>
      <c r="DK522" s="15" t="n">
        <v>148</v>
      </c>
      <c r="EG522" s="15" t="n">
        <v>148</v>
      </c>
      <c r="FC522" s="15" t="n">
        <v>148</v>
      </c>
      <c r="FY522" s="15" t="n">
        <v>148</v>
      </c>
      <c r="GU522" s="15" t="n">
        <v>148</v>
      </c>
    </row>
    <row r="523">
      <c r="C523" s="15" t="n">
        <v>149</v>
      </c>
      <c r="AA523" s="15" t="n">
        <v>149</v>
      </c>
      <c r="AW523" s="15" t="n">
        <v>149</v>
      </c>
      <c r="BS523" s="15" t="n">
        <v>149</v>
      </c>
      <c r="CO523" s="15" t="n">
        <v>149</v>
      </c>
      <c r="DK523" s="15" t="n">
        <v>149</v>
      </c>
      <c r="EG523" s="15" t="n">
        <v>149</v>
      </c>
      <c r="FC523" s="15" t="n">
        <v>149</v>
      </c>
      <c r="FY523" s="15" t="n">
        <v>149</v>
      </c>
      <c r="GU523" s="15" t="n">
        <v>149</v>
      </c>
    </row>
    <row r="524">
      <c r="C524" s="15" t="n">
        <v>150</v>
      </c>
      <c r="AA524" s="15" t="n">
        <v>150</v>
      </c>
      <c r="AW524" s="15" t="n">
        <v>150</v>
      </c>
      <c r="BS524" s="15" t="n">
        <v>150</v>
      </c>
      <c r="CO524" s="15" t="n">
        <v>150</v>
      </c>
      <c r="DK524" s="15" t="n">
        <v>150</v>
      </c>
      <c r="EG524" s="15" t="n">
        <v>150</v>
      </c>
      <c r="FC524" s="15" t="n">
        <v>150</v>
      </c>
      <c r="FY524" s="15" t="n">
        <v>150</v>
      </c>
      <c r="GU524" s="15" t="n">
        <v>150</v>
      </c>
    </row>
    <row r="525">
      <c r="C525" s="15" t="n">
        <v>151</v>
      </c>
      <c r="AA525" s="15" t="n">
        <v>151</v>
      </c>
      <c r="AW525" s="15" t="n">
        <v>151</v>
      </c>
      <c r="BS525" s="15" t="n">
        <v>151</v>
      </c>
      <c r="CO525" s="15" t="n">
        <v>151</v>
      </c>
      <c r="DK525" s="15" t="n">
        <v>151</v>
      </c>
      <c r="EG525" s="15" t="n">
        <v>151</v>
      </c>
      <c r="FC525" s="15" t="n">
        <v>151</v>
      </c>
      <c r="FY525" s="15" t="n">
        <v>151</v>
      </c>
      <c r="GU525" s="15" t="n">
        <v>151</v>
      </c>
    </row>
    <row r="526">
      <c r="C526" s="15" t="n">
        <v>152</v>
      </c>
      <c r="AA526" s="15" t="n">
        <v>152</v>
      </c>
      <c r="AW526" s="15" t="n">
        <v>152</v>
      </c>
      <c r="BS526" s="15" t="n">
        <v>152</v>
      </c>
      <c r="CO526" s="15" t="n">
        <v>152</v>
      </c>
      <c r="DK526" s="15" t="n">
        <v>152</v>
      </c>
      <c r="EG526" s="15" t="n">
        <v>152</v>
      </c>
      <c r="FC526" s="15" t="n">
        <v>152</v>
      </c>
      <c r="FY526" s="15" t="n">
        <v>152</v>
      </c>
      <c r="GU526" s="15" t="n">
        <v>152</v>
      </c>
    </row>
    <row r="527">
      <c r="C527" s="15" t="n">
        <v>153</v>
      </c>
      <c r="AA527" s="15" t="n">
        <v>153</v>
      </c>
      <c r="AW527" s="15" t="n">
        <v>153</v>
      </c>
      <c r="BS527" s="15" t="n">
        <v>153</v>
      </c>
      <c r="CO527" s="15" t="n">
        <v>153</v>
      </c>
      <c r="DK527" s="15" t="n">
        <v>153</v>
      </c>
      <c r="EG527" s="15" t="n">
        <v>153</v>
      </c>
      <c r="FC527" s="15" t="n">
        <v>153</v>
      </c>
      <c r="FY527" s="15" t="n">
        <v>153</v>
      </c>
      <c r="GU527" s="15" t="n">
        <v>153</v>
      </c>
    </row>
    <row r="528">
      <c r="C528" s="15" t="n">
        <v>154</v>
      </c>
      <c r="AA528" s="15" t="n">
        <v>154</v>
      </c>
      <c r="AW528" s="15" t="n">
        <v>154</v>
      </c>
      <c r="BS528" s="15" t="n">
        <v>154</v>
      </c>
      <c r="CO528" s="15" t="n">
        <v>154</v>
      </c>
      <c r="DK528" s="15" t="n">
        <v>154</v>
      </c>
      <c r="EG528" s="15" t="n">
        <v>154</v>
      </c>
      <c r="FC528" s="15" t="n">
        <v>154</v>
      </c>
      <c r="FY528" s="15" t="n">
        <v>154</v>
      </c>
      <c r="GU528" s="15" t="n">
        <v>154</v>
      </c>
    </row>
    <row r="529">
      <c r="C529" s="15" t="n">
        <v>155</v>
      </c>
      <c r="AA529" s="15" t="n">
        <v>155</v>
      </c>
      <c r="AW529" s="15" t="n">
        <v>155</v>
      </c>
      <c r="BS529" s="15" t="n">
        <v>155</v>
      </c>
      <c r="CO529" s="15" t="n">
        <v>155</v>
      </c>
      <c r="DK529" s="15" t="n">
        <v>155</v>
      </c>
      <c r="EG529" s="15" t="n">
        <v>155</v>
      </c>
      <c r="FC529" s="15" t="n">
        <v>155</v>
      </c>
      <c r="FY529" s="15" t="n">
        <v>155</v>
      </c>
      <c r="GU529" s="15" t="n">
        <v>155</v>
      </c>
    </row>
    <row r="530">
      <c r="C530" s="15" t="n">
        <v>156</v>
      </c>
      <c r="AA530" s="15" t="n">
        <v>156</v>
      </c>
      <c r="AW530" s="15" t="n">
        <v>156</v>
      </c>
      <c r="BS530" s="15" t="n">
        <v>156</v>
      </c>
      <c r="CO530" s="15" t="n">
        <v>156</v>
      </c>
      <c r="DK530" s="15" t="n">
        <v>156</v>
      </c>
      <c r="EG530" s="15" t="n">
        <v>156</v>
      </c>
      <c r="FC530" s="15" t="n">
        <v>156</v>
      </c>
      <c r="FY530" s="15" t="n">
        <v>156</v>
      </c>
      <c r="GU530" s="15" t="n">
        <v>156</v>
      </c>
    </row>
    <row r="531">
      <c r="C531" s="15" t="n">
        <v>157</v>
      </c>
      <c r="AA531" s="15" t="n">
        <v>157</v>
      </c>
      <c r="AW531" s="15" t="n">
        <v>157</v>
      </c>
      <c r="BS531" s="15" t="n">
        <v>157</v>
      </c>
      <c r="CO531" s="15" t="n">
        <v>157</v>
      </c>
      <c r="DK531" s="15" t="n">
        <v>157</v>
      </c>
      <c r="EG531" s="15" t="n">
        <v>157</v>
      </c>
      <c r="FC531" s="15" t="n">
        <v>157</v>
      </c>
      <c r="FY531" s="15" t="n">
        <v>157</v>
      </c>
      <c r="GU531" s="15" t="n">
        <v>157</v>
      </c>
    </row>
    <row r="532">
      <c r="C532" s="15" t="n">
        <v>158</v>
      </c>
      <c r="AA532" s="15" t="n">
        <v>158</v>
      </c>
      <c r="AW532" s="15" t="n">
        <v>158</v>
      </c>
      <c r="BS532" s="15" t="n">
        <v>158</v>
      </c>
      <c r="CO532" s="15" t="n">
        <v>158</v>
      </c>
      <c r="DK532" s="15" t="n">
        <v>158</v>
      </c>
      <c r="EG532" s="15" t="n">
        <v>158</v>
      </c>
      <c r="FC532" s="15" t="n">
        <v>158</v>
      </c>
      <c r="FY532" s="15" t="n">
        <v>158</v>
      </c>
      <c r="GU532" s="15" t="n">
        <v>158</v>
      </c>
    </row>
    <row r="533">
      <c r="C533" s="15" t="n">
        <v>159</v>
      </c>
      <c r="AA533" s="15" t="n">
        <v>159</v>
      </c>
      <c r="AW533" s="15" t="n">
        <v>159</v>
      </c>
      <c r="BS533" s="15" t="n">
        <v>159</v>
      </c>
      <c r="CO533" s="15" t="n">
        <v>159</v>
      </c>
      <c r="DK533" s="15" t="n">
        <v>159</v>
      </c>
      <c r="EG533" s="15" t="n">
        <v>159</v>
      </c>
      <c r="FC533" s="15" t="n">
        <v>159</v>
      </c>
      <c r="FY533" s="15" t="n">
        <v>159</v>
      </c>
      <c r="GU533" s="15" t="n">
        <v>159</v>
      </c>
    </row>
    <row r="534">
      <c r="C534" s="15" t="n">
        <v>160</v>
      </c>
      <c r="AA534" s="15" t="n">
        <v>160</v>
      </c>
      <c r="AW534" s="15" t="n">
        <v>160</v>
      </c>
      <c r="BS534" s="15" t="n">
        <v>160</v>
      </c>
      <c r="CO534" s="15" t="n">
        <v>160</v>
      </c>
      <c r="DK534" s="15" t="n">
        <v>160</v>
      </c>
      <c r="EG534" s="15" t="n">
        <v>160</v>
      </c>
      <c r="FC534" s="15" t="n">
        <v>160</v>
      </c>
      <c r="FY534" s="15" t="n">
        <v>160</v>
      </c>
      <c r="GU534" s="15" t="n">
        <v>160</v>
      </c>
    </row>
    <row r="535">
      <c r="C535" s="15" t="n">
        <v>161</v>
      </c>
      <c r="AA535" s="15" t="n">
        <v>161</v>
      </c>
      <c r="AW535" s="15" t="n">
        <v>161</v>
      </c>
      <c r="BS535" s="15" t="n">
        <v>161</v>
      </c>
      <c r="CO535" s="15" t="n">
        <v>161</v>
      </c>
      <c r="DK535" s="15" t="n">
        <v>161</v>
      </c>
      <c r="EG535" s="15" t="n">
        <v>161</v>
      </c>
      <c r="FC535" s="15" t="n">
        <v>161</v>
      </c>
      <c r="FY535" s="15" t="n">
        <v>161</v>
      </c>
      <c r="GU535" s="15" t="n">
        <v>161</v>
      </c>
    </row>
    <row r="536">
      <c r="C536" s="15" t="n">
        <v>162</v>
      </c>
      <c r="AA536" s="15" t="n">
        <v>162</v>
      </c>
      <c r="AW536" s="15" t="n">
        <v>162</v>
      </c>
      <c r="BS536" s="15" t="n">
        <v>162</v>
      </c>
      <c r="CO536" s="15" t="n">
        <v>162</v>
      </c>
      <c r="DK536" s="15" t="n">
        <v>162</v>
      </c>
      <c r="EG536" s="15" t="n">
        <v>162</v>
      </c>
      <c r="FC536" s="15" t="n">
        <v>162</v>
      </c>
      <c r="FY536" s="15" t="n">
        <v>162</v>
      </c>
      <c r="GU536" s="15" t="n">
        <v>162</v>
      </c>
    </row>
    <row r="537">
      <c r="C537" s="15" t="n">
        <v>163</v>
      </c>
      <c r="AA537" s="15" t="n">
        <v>163</v>
      </c>
      <c r="AW537" s="15" t="n">
        <v>163</v>
      </c>
      <c r="BS537" s="15" t="n">
        <v>163</v>
      </c>
      <c r="CO537" s="15" t="n">
        <v>163</v>
      </c>
      <c r="DK537" s="15" t="n">
        <v>163</v>
      </c>
      <c r="EG537" s="15" t="n">
        <v>163</v>
      </c>
      <c r="FC537" s="15" t="n">
        <v>163</v>
      </c>
      <c r="FY537" s="15" t="n">
        <v>163</v>
      </c>
      <c r="GU537" s="15" t="n">
        <v>163</v>
      </c>
    </row>
    <row r="538">
      <c r="C538" s="15" t="n">
        <v>164</v>
      </c>
      <c r="AA538" s="15" t="n">
        <v>164</v>
      </c>
      <c r="AW538" s="15" t="n">
        <v>164</v>
      </c>
      <c r="BS538" s="15" t="n">
        <v>164</v>
      </c>
      <c r="CO538" s="15" t="n">
        <v>164</v>
      </c>
      <c r="DK538" s="15" t="n">
        <v>164</v>
      </c>
      <c r="EG538" s="15" t="n">
        <v>164</v>
      </c>
      <c r="FC538" s="15" t="n">
        <v>164</v>
      </c>
      <c r="FY538" s="15" t="n">
        <v>164</v>
      </c>
      <c r="GU538" s="15" t="n">
        <v>164</v>
      </c>
    </row>
    <row r="539">
      <c r="C539" s="15" t="n">
        <v>165</v>
      </c>
      <c r="AA539" s="15" t="n">
        <v>165</v>
      </c>
      <c r="AW539" s="15" t="n">
        <v>165</v>
      </c>
      <c r="BS539" s="15" t="n">
        <v>165</v>
      </c>
      <c r="CO539" s="15" t="n">
        <v>165</v>
      </c>
      <c r="DK539" s="15" t="n">
        <v>165</v>
      </c>
      <c r="EG539" s="15" t="n">
        <v>165</v>
      </c>
      <c r="FC539" s="15" t="n">
        <v>165</v>
      </c>
      <c r="FY539" s="15" t="n">
        <v>165</v>
      </c>
      <c r="GU539" s="15" t="n">
        <v>165</v>
      </c>
    </row>
    <row r="540">
      <c r="C540" s="15" t="n">
        <v>166</v>
      </c>
      <c r="AA540" s="15" t="n">
        <v>166</v>
      </c>
      <c r="AW540" s="15" t="n">
        <v>166</v>
      </c>
      <c r="BS540" s="15" t="n">
        <v>166</v>
      </c>
      <c r="CO540" s="15" t="n">
        <v>166</v>
      </c>
      <c r="DK540" s="15" t="n">
        <v>166</v>
      </c>
      <c r="EG540" s="15" t="n">
        <v>166</v>
      </c>
      <c r="FC540" s="15" t="n">
        <v>166</v>
      </c>
      <c r="FY540" s="15" t="n">
        <v>166</v>
      </c>
      <c r="GU540" s="15" t="n">
        <v>166</v>
      </c>
    </row>
    <row r="541">
      <c r="C541" s="15" t="n">
        <v>167</v>
      </c>
      <c r="AA541" s="15" t="n">
        <v>167</v>
      </c>
      <c r="AW541" s="15" t="n">
        <v>167</v>
      </c>
      <c r="BS541" s="15" t="n">
        <v>167</v>
      </c>
      <c r="CO541" s="15" t="n">
        <v>167</v>
      </c>
      <c r="DK541" s="15" t="n">
        <v>167</v>
      </c>
      <c r="EG541" s="15" t="n">
        <v>167</v>
      </c>
      <c r="FC541" s="15" t="n">
        <v>167</v>
      </c>
      <c r="FY541" s="15" t="n">
        <v>167</v>
      </c>
      <c r="GU541" s="15" t="n">
        <v>167</v>
      </c>
    </row>
    <row r="542">
      <c r="C542" s="15" t="n">
        <v>168</v>
      </c>
      <c r="AA542" s="15" t="n">
        <v>168</v>
      </c>
      <c r="AW542" s="15" t="n">
        <v>168</v>
      </c>
      <c r="BS542" s="15" t="n">
        <v>168</v>
      </c>
      <c r="CO542" s="15" t="n">
        <v>168</v>
      </c>
      <c r="DK542" s="15" t="n">
        <v>168</v>
      </c>
      <c r="EG542" s="15" t="n">
        <v>168</v>
      </c>
      <c r="FC542" s="15" t="n">
        <v>168</v>
      </c>
      <c r="FY542" s="15" t="n">
        <v>168</v>
      </c>
      <c r="GU542" s="15" t="n">
        <v>168</v>
      </c>
    </row>
    <row r="543">
      <c r="C543" s="15" t="n">
        <v>169</v>
      </c>
      <c r="AA543" s="15" t="n">
        <v>169</v>
      </c>
      <c r="AW543" s="15" t="n">
        <v>169</v>
      </c>
      <c r="BS543" s="15" t="n">
        <v>169</v>
      </c>
      <c r="CO543" s="15" t="n">
        <v>169</v>
      </c>
      <c r="DK543" s="15" t="n">
        <v>169</v>
      </c>
      <c r="EG543" s="15" t="n">
        <v>169</v>
      </c>
      <c r="FC543" s="15" t="n">
        <v>169</v>
      </c>
      <c r="FY543" s="15" t="n">
        <v>169</v>
      </c>
      <c r="GU543" s="15" t="n">
        <v>169</v>
      </c>
    </row>
    <row r="544">
      <c r="C544" s="15" t="n">
        <v>170</v>
      </c>
      <c r="AA544" s="15" t="n">
        <v>170</v>
      </c>
      <c r="AW544" s="15" t="n">
        <v>170</v>
      </c>
      <c r="BS544" s="15" t="n">
        <v>170</v>
      </c>
      <c r="CO544" s="15" t="n">
        <v>170</v>
      </c>
      <c r="DK544" s="15" t="n">
        <v>170</v>
      </c>
      <c r="EG544" s="15" t="n">
        <v>170</v>
      </c>
      <c r="FC544" s="15" t="n">
        <v>170</v>
      </c>
      <c r="FY544" s="15" t="n">
        <v>170</v>
      </c>
      <c r="GU544" s="15" t="n">
        <v>170</v>
      </c>
    </row>
    <row r="545">
      <c r="C545" s="15" t="n">
        <v>171</v>
      </c>
      <c r="AA545" s="15" t="n">
        <v>171</v>
      </c>
      <c r="AW545" s="15" t="n">
        <v>171</v>
      </c>
      <c r="BS545" s="15" t="n">
        <v>171</v>
      </c>
      <c r="CO545" s="15" t="n">
        <v>171</v>
      </c>
      <c r="DK545" s="15" t="n">
        <v>171</v>
      </c>
      <c r="EG545" s="15" t="n">
        <v>171</v>
      </c>
      <c r="FC545" s="15" t="n">
        <v>171</v>
      </c>
      <c r="FY545" s="15" t="n">
        <v>171</v>
      </c>
      <c r="GU545" s="15" t="n">
        <v>171</v>
      </c>
    </row>
    <row r="546">
      <c r="C546" s="15" t="n">
        <v>172</v>
      </c>
      <c r="AA546" s="15" t="n">
        <v>172</v>
      </c>
      <c r="AW546" s="15" t="n">
        <v>172</v>
      </c>
      <c r="BS546" s="15" t="n">
        <v>172</v>
      </c>
      <c r="CO546" s="15" t="n">
        <v>172</v>
      </c>
      <c r="DK546" s="15" t="n">
        <v>172</v>
      </c>
      <c r="EG546" s="15" t="n">
        <v>172</v>
      </c>
      <c r="FC546" s="15" t="n">
        <v>172</v>
      </c>
      <c r="FY546" s="15" t="n">
        <v>172</v>
      </c>
      <c r="GU546" s="15" t="n">
        <v>172</v>
      </c>
    </row>
    <row r="547">
      <c r="C547" s="15" t="n">
        <v>173</v>
      </c>
      <c r="AA547" s="15" t="n">
        <v>173</v>
      </c>
      <c r="AW547" s="15" t="n">
        <v>173</v>
      </c>
      <c r="BS547" s="15" t="n">
        <v>173</v>
      </c>
      <c r="CO547" s="15" t="n">
        <v>173</v>
      </c>
      <c r="DK547" s="15" t="n">
        <v>173</v>
      </c>
      <c r="EG547" s="15" t="n">
        <v>173</v>
      </c>
      <c r="FC547" s="15" t="n">
        <v>173</v>
      </c>
      <c r="FY547" s="15" t="n">
        <v>173</v>
      </c>
      <c r="GU547" s="15" t="n">
        <v>173</v>
      </c>
    </row>
    <row r="548">
      <c r="C548" s="15" t="n">
        <v>174</v>
      </c>
      <c r="AA548" s="15" t="n">
        <v>174</v>
      </c>
      <c r="AW548" s="15" t="n">
        <v>174</v>
      </c>
      <c r="BS548" s="15" t="n">
        <v>174</v>
      </c>
      <c r="CO548" s="15" t="n">
        <v>174</v>
      </c>
      <c r="DK548" s="15" t="n">
        <v>174</v>
      </c>
      <c r="EG548" s="15" t="n">
        <v>174</v>
      </c>
      <c r="FC548" s="15" t="n">
        <v>174</v>
      </c>
      <c r="FY548" s="15" t="n">
        <v>174</v>
      </c>
      <c r="GU548" s="15" t="n">
        <v>174</v>
      </c>
    </row>
    <row r="549">
      <c r="C549" s="15" t="n">
        <v>175</v>
      </c>
      <c r="AA549" s="15" t="n">
        <v>175</v>
      </c>
      <c r="AW549" s="15" t="n">
        <v>175</v>
      </c>
      <c r="BS549" s="15" t="n">
        <v>175</v>
      </c>
      <c r="CO549" s="15" t="n">
        <v>175</v>
      </c>
      <c r="DK549" s="15" t="n">
        <v>175</v>
      </c>
      <c r="EG549" s="15" t="n">
        <v>175</v>
      </c>
      <c r="FC549" s="15" t="n">
        <v>175</v>
      </c>
      <c r="FY549" s="15" t="n">
        <v>175</v>
      </c>
      <c r="GU549" s="15" t="n">
        <v>175</v>
      </c>
    </row>
    <row r="550">
      <c r="C550" s="15" t="n">
        <v>176</v>
      </c>
      <c r="AA550" s="15" t="n">
        <v>176</v>
      </c>
      <c r="AW550" s="15" t="n">
        <v>176</v>
      </c>
      <c r="BS550" s="15" t="n">
        <v>176</v>
      </c>
      <c r="CO550" s="15" t="n">
        <v>176</v>
      </c>
      <c r="DK550" s="15" t="n">
        <v>176</v>
      </c>
      <c r="EG550" s="15" t="n">
        <v>176</v>
      </c>
      <c r="FC550" s="15" t="n">
        <v>176</v>
      </c>
      <c r="FY550" s="15" t="n">
        <v>176</v>
      </c>
      <c r="GU550" s="15" t="n">
        <v>176</v>
      </c>
    </row>
    <row r="551">
      <c r="C551" s="15" t="n">
        <v>177</v>
      </c>
      <c r="AA551" s="15" t="n">
        <v>177</v>
      </c>
      <c r="AW551" s="15" t="n">
        <v>177</v>
      </c>
      <c r="BS551" s="15" t="n">
        <v>177</v>
      </c>
      <c r="CO551" s="15" t="n">
        <v>177</v>
      </c>
      <c r="DK551" s="15" t="n">
        <v>177</v>
      </c>
      <c r="EG551" s="15" t="n">
        <v>177</v>
      </c>
      <c r="FC551" s="15" t="n">
        <v>177</v>
      </c>
      <c r="FY551" s="15" t="n">
        <v>177</v>
      </c>
      <c r="GU551" s="15" t="n">
        <v>177</v>
      </c>
    </row>
    <row r="552">
      <c r="C552" s="15" t="n">
        <v>178</v>
      </c>
      <c r="AA552" s="15" t="n">
        <v>178</v>
      </c>
      <c r="AW552" s="15" t="n">
        <v>178</v>
      </c>
      <c r="BS552" s="15" t="n">
        <v>178</v>
      </c>
      <c r="CO552" s="15" t="n">
        <v>178</v>
      </c>
      <c r="DK552" s="15" t="n">
        <v>178</v>
      </c>
      <c r="EG552" s="15" t="n">
        <v>178</v>
      </c>
      <c r="FC552" s="15" t="n">
        <v>178</v>
      </c>
      <c r="FY552" s="15" t="n">
        <v>178</v>
      </c>
      <c r="GU552" s="15" t="n">
        <v>178</v>
      </c>
    </row>
    <row r="553">
      <c r="C553" s="15" t="n">
        <v>179</v>
      </c>
      <c r="AA553" s="15" t="n">
        <v>179</v>
      </c>
      <c r="AW553" s="15" t="n">
        <v>179</v>
      </c>
      <c r="BS553" s="15" t="n">
        <v>179</v>
      </c>
      <c r="CO553" s="15" t="n">
        <v>179</v>
      </c>
      <c r="DK553" s="15" t="n">
        <v>179</v>
      </c>
      <c r="EG553" s="15" t="n">
        <v>179</v>
      </c>
      <c r="FC553" s="15" t="n">
        <v>179</v>
      </c>
      <c r="FY553" s="15" t="n">
        <v>179</v>
      </c>
      <c r="GU553" s="15" t="n">
        <v>179</v>
      </c>
    </row>
    <row r="554">
      <c r="C554" s="15" t="n">
        <v>180</v>
      </c>
      <c r="AA554" s="15" t="n">
        <v>180</v>
      </c>
      <c r="AW554" s="15" t="n">
        <v>180</v>
      </c>
      <c r="BS554" s="15" t="n">
        <v>180</v>
      </c>
      <c r="CO554" s="15" t="n">
        <v>180</v>
      </c>
      <c r="DK554" s="15" t="n">
        <v>180</v>
      </c>
      <c r="EG554" s="15" t="n">
        <v>180</v>
      </c>
      <c r="FC554" s="15" t="n">
        <v>180</v>
      </c>
      <c r="FY554" s="15" t="n">
        <v>180</v>
      </c>
      <c r="GU554" s="15" t="n">
        <v>180</v>
      </c>
    </row>
    <row r="555">
      <c r="C555" s="15" t="n">
        <v>181</v>
      </c>
      <c r="AA555" s="15" t="n">
        <v>181</v>
      </c>
      <c r="AW555" s="15" t="n">
        <v>181</v>
      </c>
      <c r="BS555" s="15" t="n">
        <v>181</v>
      </c>
      <c r="CO555" s="15" t="n">
        <v>181</v>
      </c>
      <c r="DK555" s="15" t="n">
        <v>181</v>
      </c>
      <c r="EG555" s="15" t="n">
        <v>181</v>
      </c>
      <c r="FC555" s="15" t="n">
        <v>181</v>
      </c>
      <c r="FY555" s="15" t="n">
        <v>181</v>
      </c>
      <c r="GU555" s="15" t="n">
        <v>181</v>
      </c>
    </row>
    <row r="556">
      <c r="C556" s="15" t="n">
        <v>182</v>
      </c>
      <c r="AA556" s="15" t="n">
        <v>182</v>
      </c>
      <c r="AW556" s="15" t="n">
        <v>182</v>
      </c>
      <c r="BS556" s="15" t="n">
        <v>182</v>
      </c>
      <c r="CO556" s="15" t="n">
        <v>182</v>
      </c>
      <c r="DK556" s="15" t="n">
        <v>182</v>
      </c>
      <c r="EG556" s="15" t="n">
        <v>182</v>
      </c>
      <c r="FC556" s="15" t="n">
        <v>182</v>
      </c>
      <c r="FY556" s="15" t="n">
        <v>182</v>
      </c>
      <c r="GU556" s="15" t="n">
        <v>182</v>
      </c>
    </row>
    <row r="557">
      <c r="C557" s="15" t="n">
        <v>183</v>
      </c>
      <c r="AA557" s="15" t="n">
        <v>183</v>
      </c>
      <c r="AW557" s="15" t="n">
        <v>183</v>
      </c>
      <c r="BS557" s="15" t="n">
        <v>183</v>
      </c>
      <c r="CO557" s="15" t="n">
        <v>183</v>
      </c>
      <c r="DK557" s="15" t="n">
        <v>183</v>
      </c>
      <c r="EG557" s="15" t="n">
        <v>183</v>
      </c>
      <c r="FC557" s="15" t="n">
        <v>183</v>
      </c>
      <c r="FY557" s="15" t="n">
        <v>183</v>
      </c>
      <c r="GU557" s="15" t="n">
        <v>183</v>
      </c>
    </row>
    <row r="558">
      <c r="C558" s="15" t="n">
        <v>184</v>
      </c>
      <c r="AA558" s="15" t="n">
        <v>184</v>
      </c>
      <c r="AW558" s="15" t="n">
        <v>184</v>
      </c>
      <c r="BS558" s="15" t="n">
        <v>184</v>
      </c>
      <c r="CO558" s="15" t="n">
        <v>184</v>
      </c>
      <c r="DK558" s="15" t="n">
        <v>184</v>
      </c>
      <c r="EG558" s="15" t="n">
        <v>184</v>
      </c>
      <c r="FC558" s="15" t="n">
        <v>184</v>
      </c>
      <c r="FY558" s="15" t="n">
        <v>184</v>
      </c>
      <c r="GU558" s="15" t="n">
        <v>184</v>
      </c>
    </row>
    <row r="559">
      <c r="C559" s="15" t="n">
        <v>185</v>
      </c>
      <c r="AA559" s="15" t="n">
        <v>185</v>
      </c>
      <c r="AW559" s="15" t="n">
        <v>185</v>
      </c>
      <c r="BS559" s="15" t="n">
        <v>185</v>
      </c>
      <c r="CO559" s="15" t="n">
        <v>185</v>
      </c>
      <c r="DK559" s="15" t="n">
        <v>185</v>
      </c>
      <c r="EG559" s="15" t="n">
        <v>185</v>
      </c>
      <c r="FC559" s="15" t="n">
        <v>185</v>
      </c>
      <c r="FY559" s="15" t="n">
        <v>185</v>
      </c>
      <c r="GU559" s="15" t="n">
        <v>185</v>
      </c>
    </row>
    <row r="560">
      <c r="C560" s="15" t="n">
        <v>186</v>
      </c>
      <c r="AA560" s="15" t="n">
        <v>186</v>
      </c>
      <c r="AW560" s="15" t="n">
        <v>186</v>
      </c>
      <c r="BS560" s="15" t="n">
        <v>186</v>
      </c>
      <c r="CO560" s="15" t="n">
        <v>186</v>
      </c>
      <c r="DK560" s="15" t="n">
        <v>186</v>
      </c>
      <c r="EG560" s="15" t="n">
        <v>186</v>
      </c>
      <c r="FC560" s="15" t="n">
        <v>186</v>
      </c>
      <c r="FY560" s="15" t="n">
        <v>186</v>
      </c>
      <c r="GU560" s="15" t="n">
        <v>186</v>
      </c>
    </row>
    <row r="561">
      <c r="C561" s="15" t="n">
        <v>187</v>
      </c>
      <c r="AA561" s="15" t="n">
        <v>187</v>
      </c>
      <c r="AW561" s="15" t="n">
        <v>187</v>
      </c>
      <c r="BS561" s="15" t="n">
        <v>187</v>
      </c>
      <c r="CO561" s="15" t="n">
        <v>187</v>
      </c>
      <c r="DK561" s="15" t="n">
        <v>187</v>
      </c>
      <c r="EG561" s="15" t="n">
        <v>187</v>
      </c>
      <c r="FC561" s="15" t="n">
        <v>187</v>
      </c>
      <c r="FY561" s="15" t="n">
        <v>187</v>
      </c>
      <c r="GU561" s="15" t="n">
        <v>187</v>
      </c>
    </row>
    <row r="562">
      <c r="C562" s="15" t="n">
        <v>188</v>
      </c>
      <c r="AA562" s="15" t="n">
        <v>188</v>
      </c>
      <c r="AW562" s="15" t="n">
        <v>188</v>
      </c>
      <c r="BS562" s="15" t="n">
        <v>188</v>
      </c>
      <c r="CO562" s="15" t="n">
        <v>188</v>
      </c>
      <c r="DK562" s="15" t="n">
        <v>188</v>
      </c>
      <c r="EG562" s="15" t="n">
        <v>188</v>
      </c>
      <c r="FC562" s="15" t="n">
        <v>188</v>
      </c>
      <c r="FY562" s="15" t="n">
        <v>188</v>
      </c>
      <c r="GU562" s="15" t="n">
        <v>188</v>
      </c>
    </row>
    <row r="563">
      <c r="C563" s="15" t="n">
        <v>189</v>
      </c>
      <c r="AA563" s="15" t="n">
        <v>189</v>
      </c>
      <c r="AW563" s="15" t="n">
        <v>189</v>
      </c>
      <c r="BS563" s="15" t="n">
        <v>189</v>
      </c>
      <c r="CO563" s="15" t="n">
        <v>189</v>
      </c>
      <c r="DK563" s="15" t="n">
        <v>189</v>
      </c>
      <c r="EG563" s="15" t="n">
        <v>189</v>
      </c>
      <c r="FC563" s="15" t="n">
        <v>189</v>
      </c>
      <c r="FY563" s="15" t="n">
        <v>189</v>
      </c>
      <c r="GU563" s="15" t="n">
        <v>189</v>
      </c>
    </row>
    <row r="564">
      <c r="C564" s="15" t="n">
        <v>190</v>
      </c>
      <c r="AA564" s="15" t="n">
        <v>190</v>
      </c>
      <c r="AW564" s="15" t="n">
        <v>190</v>
      </c>
      <c r="BS564" s="15" t="n">
        <v>190</v>
      </c>
      <c r="CO564" s="15" t="n">
        <v>190</v>
      </c>
      <c r="DK564" s="15" t="n">
        <v>190</v>
      </c>
      <c r="EG564" s="15" t="n">
        <v>190</v>
      </c>
      <c r="FC564" s="15" t="n">
        <v>190</v>
      </c>
      <c r="FY564" s="15" t="n">
        <v>190</v>
      </c>
      <c r="GU564" s="15" t="n">
        <v>190</v>
      </c>
    </row>
    <row r="565">
      <c r="C565" s="15" t="n">
        <v>191</v>
      </c>
      <c r="AA565" s="15" t="n">
        <v>191</v>
      </c>
      <c r="AW565" s="15" t="n">
        <v>191</v>
      </c>
      <c r="BS565" s="15" t="n">
        <v>191</v>
      </c>
      <c r="CO565" s="15" t="n">
        <v>191</v>
      </c>
      <c r="DK565" s="15" t="n">
        <v>191</v>
      </c>
      <c r="EG565" s="15" t="n">
        <v>191</v>
      </c>
      <c r="FC565" s="15" t="n">
        <v>191</v>
      </c>
      <c r="FY565" s="15" t="n">
        <v>191</v>
      </c>
      <c r="GU565" s="15" t="n">
        <v>191</v>
      </c>
    </row>
    <row r="566">
      <c r="C566" s="15" t="n">
        <v>192</v>
      </c>
      <c r="AA566" s="15" t="n">
        <v>192</v>
      </c>
      <c r="AW566" s="15" t="n">
        <v>192</v>
      </c>
      <c r="BS566" s="15" t="n">
        <v>192</v>
      </c>
      <c r="CO566" s="15" t="n">
        <v>192</v>
      </c>
      <c r="DK566" s="15" t="n">
        <v>192</v>
      </c>
      <c r="EG566" s="15" t="n">
        <v>192</v>
      </c>
      <c r="FC566" s="15" t="n">
        <v>192</v>
      </c>
      <c r="FY566" s="15" t="n">
        <v>192</v>
      </c>
      <c r="GU566" s="15" t="n">
        <v>192</v>
      </c>
    </row>
    <row r="567">
      <c r="C567" s="15" t="n">
        <v>193</v>
      </c>
      <c r="AA567" s="15" t="n">
        <v>193</v>
      </c>
      <c r="AW567" s="15" t="n">
        <v>193</v>
      </c>
      <c r="BS567" s="15" t="n">
        <v>193</v>
      </c>
      <c r="CO567" s="15" t="n">
        <v>193</v>
      </c>
      <c r="DK567" s="15" t="n">
        <v>193</v>
      </c>
      <c r="EG567" s="15" t="n">
        <v>193</v>
      </c>
      <c r="FC567" s="15" t="n">
        <v>193</v>
      </c>
      <c r="FY567" s="15" t="n">
        <v>193</v>
      </c>
      <c r="GU567" s="15" t="n">
        <v>193</v>
      </c>
    </row>
    <row r="568">
      <c r="C568" s="15" t="n">
        <v>194</v>
      </c>
      <c r="AA568" s="15" t="n">
        <v>194</v>
      </c>
      <c r="AW568" s="15" t="n">
        <v>194</v>
      </c>
      <c r="BS568" s="15" t="n">
        <v>194</v>
      </c>
      <c r="CO568" s="15" t="n">
        <v>194</v>
      </c>
      <c r="DK568" s="15" t="n">
        <v>194</v>
      </c>
      <c r="EG568" s="15" t="n">
        <v>194</v>
      </c>
      <c r="FC568" s="15" t="n">
        <v>194</v>
      </c>
      <c r="FY568" s="15" t="n">
        <v>194</v>
      </c>
      <c r="GU568" s="15" t="n">
        <v>194</v>
      </c>
    </row>
    <row r="569">
      <c r="C569" s="15" t="n">
        <v>195</v>
      </c>
      <c r="AA569" s="15" t="n">
        <v>195</v>
      </c>
      <c r="AW569" s="15" t="n">
        <v>195</v>
      </c>
      <c r="BS569" s="15" t="n">
        <v>195</v>
      </c>
      <c r="CO569" s="15" t="n">
        <v>195</v>
      </c>
      <c r="DK569" s="15" t="n">
        <v>195</v>
      </c>
      <c r="EG569" s="15" t="n">
        <v>195</v>
      </c>
      <c r="FC569" s="15" t="n">
        <v>195</v>
      </c>
      <c r="FY569" s="15" t="n">
        <v>195</v>
      </c>
      <c r="GU569" s="15" t="n">
        <v>195</v>
      </c>
    </row>
    <row r="570">
      <c r="C570" s="15" t="n">
        <v>196</v>
      </c>
      <c r="AA570" s="15" t="n">
        <v>196</v>
      </c>
      <c r="AW570" s="15" t="n">
        <v>196</v>
      </c>
      <c r="BS570" s="15" t="n">
        <v>196</v>
      </c>
      <c r="CO570" s="15" t="n">
        <v>196</v>
      </c>
      <c r="DK570" s="15" t="n">
        <v>196</v>
      </c>
      <c r="EG570" s="15" t="n">
        <v>196</v>
      </c>
      <c r="FC570" s="15" t="n">
        <v>196</v>
      </c>
      <c r="FY570" s="15" t="n">
        <v>196</v>
      </c>
      <c r="GU570" s="15" t="n">
        <v>196</v>
      </c>
    </row>
    <row r="571">
      <c r="C571" s="15" t="n">
        <v>197</v>
      </c>
      <c r="AA571" s="15" t="n">
        <v>197</v>
      </c>
      <c r="AW571" s="15" t="n">
        <v>197</v>
      </c>
      <c r="BS571" s="15" t="n">
        <v>197</v>
      </c>
      <c r="CO571" s="15" t="n">
        <v>197</v>
      </c>
      <c r="DK571" s="15" t="n">
        <v>197</v>
      </c>
      <c r="EG571" s="15" t="n">
        <v>197</v>
      </c>
      <c r="FC571" s="15" t="n">
        <v>197</v>
      </c>
      <c r="FY571" s="15" t="n">
        <v>197</v>
      </c>
      <c r="GU571" s="15" t="n">
        <v>197</v>
      </c>
    </row>
    <row r="572">
      <c r="C572" s="15" t="n">
        <v>198</v>
      </c>
      <c r="AA572" s="15" t="n">
        <v>198</v>
      </c>
      <c r="AW572" s="15" t="n">
        <v>198</v>
      </c>
      <c r="BS572" s="15" t="n">
        <v>198</v>
      </c>
      <c r="CO572" s="15" t="n">
        <v>198</v>
      </c>
      <c r="DK572" s="15" t="n">
        <v>198</v>
      </c>
      <c r="EG572" s="15" t="n">
        <v>198</v>
      </c>
      <c r="FC572" s="15" t="n">
        <v>198</v>
      </c>
      <c r="FY572" s="15" t="n">
        <v>198</v>
      </c>
      <c r="GU572" s="15" t="n">
        <v>198</v>
      </c>
    </row>
    <row r="574">
      <c r="C574" s="15" t="inlineStr">
        <is>
          <t>P(Estado da arte)</t>
        </is>
      </c>
      <c r="D574" s="15" t="n">
        <v>22</v>
      </c>
      <c r="E574" s="15" t="n">
        <v>23</v>
      </c>
      <c r="F574" s="15" t="n">
        <v>24</v>
      </c>
      <c r="AA574" s="15" t="inlineStr">
        <is>
          <t>P(Estado da arte)</t>
        </is>
      </c>
      <c r="AB574" s="15" t="n">
        <v>22</v>
      </c>
      <c r="AC574" s="15" t="n">
        <v>23</v>
      </c>
      <c r="AD574" s="15" t="n">
        <v>24</v>
      </c>
      <c r="AW574" s="15" t="inlineStr">
        <is>
          <t>P(Estado da arte)</t>
        </is>
      </c>
      <c r="AX574" s="15" t="n">
        <v>22</v>
      </c>
      <c r="AY574" s="15" t="n">
        <v>23</v>
      </c>
      <c r="AZ574" s="15" t="n">
        <v>24</v>
      </c>
      <c r="BS574" s="15" t="inlineStr">
        <is>
          <t>P(Estado da arte)</t>
        </is>
      </c>
      <c r="BT574" s="15" t="n">
        <v>22</v>
      </c>
      <c r="BU574" s="15" t="n">
        <v>23</v>
      </c>
      <c r="BV574" s="15" t="n">
        <v>24</v>
      </c>
      <c r="CO574" s="15" t="inlineStr">
        <is>
          <t>P(Estado da arte)</t>
        </is>
      </c>
      <c r="CP574" s="15" t="n">
        <v>22</v>
      </c>
      <c r="CQ574" s="15" t="n">
        <v>23</v>
      </c>
      <c r="CR574" s="15" t="n">
        <v>24</v>
      </c>
      <c r="DK574" s="15" t="inlineStr">
        <is>
          <t>P(Estado da arte)</t>
        </is>
      </c>
      <c r="DL574" s="15" t="n">
        <v>22</v>
      </c>
      <c r="DM574" s="15" t="n">
        <v>23</v>
      </c>
      <c r="DN574" s="15" t="n">
        <v>24</v>
      </c>
      <c r="EG574" s="15" t="inlineStr">
        <is>
          <t>P(Estado da arte)</t>
        </is>
      </c>
      <c r="EH574" s="15" t="n">
        <v>22</v>
      </c>
      <c r="EI574" s="15" t="n">
        <v>23</v>
      </c>
      <c r="EJ574" s="15" t="n">
        <v>24</v>
      </c>
      <c r="FC574" s="15" t="inlineStr">
        <is>
          <t>P(Estado da arte)</t>
        </is>
      </c>
      <c r="FD574" s="15" t="n">
        <v>22</v>
      </c>
      <c r="FE574" s="15" t="n">
        <v>23</v>
      </c>
      <c r="FF574" s="15" t="n">
        <v>24</v>
      </c>
      <c r="FY574" s="15" t="inlineStr">
        <is>
          <t>P(Estado da arte)</t>
        </is>
      </c>
      <c r="FZ574" s="15" t="n">
        <v>22</v>
      </c>
      <c r="GA574" s="15" t="n">
        <v>23</v>
      </c>
      <c r="GB574" s="15" t="n">
        <v>24</v>
      </c>
      <c r="GU574" s="15" t="inlineStr">
        <is>
          <t>P(Estado da arte)</t>
        </is>
      </c>
      <c r="GV574" s="15" t="n">
        <v>22</v>
      </c>
      <c r="GW574" s="15" t="n">
        <v>23</v>
      </c>
      <c r="GX574" s="15" t="n">
        <v>24</v>
      </c>
    </row>
    <row r="575">
      <c r="C575" s="15" t="n">
        <v>9</v>
      </c>
      <c r="AA575" s="15" t="n">
        <v>9</v>
      </c>
      <c r="AW575" s="15" t="n">
        <v>9</v>
      </c>
      <c r="BS575" s="15" t="n">
        <v>9</v>
      </c>
      <c r="CO575" s="15" t="n">
        <v>9</v>
      </c>
      <c r="DK575" s="15" t="n">
        <v>9</v>
      </c>
      <c r="EG575" s="15" t="n">
        <v>9</v>
      </c>
      <c r="FC575" s="15" t="n">
        <v>9</v>
      </c>
      <c r="FY575" s="15" t="n">
        <v>9</v>
      </c>
      <c r="GU575" s="15" t="n">
        <v>9</v>
      </c>
    </row>
    <row r="576">
      <c r="C576" s="15" t="n">
        <v>10</v>
      </c>
      <c r="AA576" s="15" t="n">
        <v>10</v>
      </c>
      <c r="AW576" s="15" t="n">
        <v>10</v>
      </c>
      <c r="BS576" s="15" t="n">
        <v>10</v>
      </c>
      <c r="CO576" s="15" t="n">
        <v>10</v>
      </c>
      <c r="DK576" s="15" t="n">
        <v>10</v>
      </c>
      <c r="EG576" s="15" t="n">
        <v>10</v>
      </c>
      <c r="FC576" s="15" t="n">
        <v>10</v>
      </c>
      <c r="FY576" s="15" t="n">
        <v>10</v>
      </c>
      <c r="GU576" s="15" t="n">
        <v>10</v>
      </c>
    </row>
    <row r="577">
      <c r="C577" s="15" t="n">
        <v>11</v>
      </c>
      <c r="AA577" s="15" t="n">
        <v>11</v>
      </c>
      <c r="AW577" s="15" t="n">
        <v>11</v>
      </c>
      <c r="BS577" s="15" t="n">
        <v>11</v>
      </c>
      <c r="CO577" s="15" t="n">
        <v>11</v>
      </c>
      <c r="DK577" s="15" t="n">
        <v>11</v>
      </c>
      <c r="EG577" s="15" t="n">
        <v>11</v>
      </c>
      <c r="FC577" s="15" t="n">
        <v>11</v>
      </c>
      <c r="FY577" s="15" t="n">
        <v>11</v>
      </c>
      <c r="GU577" s="15" t="n">
        <v>11</v>
      </c>
    </row>
    <row r="578">
      <c r="C578" s="15" t="n">
        <v>12</v>
      </c>
      <c r="AA578" s="15" t="n">
        <v>12</v>
      </c>
      <c r="AW578" s="15" t="n">
        <v>12</v>
      </c>
      <c r="BS578" s="15" t="n">
        <v>12</v>
      </c>
      <c r="CO578" s="15" t="n">
        <v>12</v>
      </c>
      <c r="DK578" s="15" t="n">
        <v>12</v>
      </c>
      <c r="EG578" s="15" t="n">
        <v>12</v>
      </c>
      <c r="FC578" s="15" t="n">
        <v>12</v>
      </c>
      <c r="FY578" s="15" t="n">
        <v>12</v>
      </c>
      <c r="GU578" s="15" t="n">
        <v>12</v>
      </c>
    </row>
    <row r="579">
      <c r="C579" s="15" t="n">
        <v>13</v>
      </c>
      <c r="AA579" s="15" t="n">
        <v>13</v>
      </c>
      <c r="AW579" s="15" t="n">
        <v>13</v>
      </c>
      <c r="BS579" s="15" t="n">
        <v>13</v>
      </c>
      <c r="CO579" s="15" t="n">
        <v>13</v>
      </c>
      <c r="DK579" s="15" t="n">
        <v>13</v>
      </c>
      <c r="EG579" s="15" t="n">
        <v>13</v>
      </c>
      <c r="FC579" s="15" t="n">
        <v>13</v>
      </c>
      <c r="FY579" s="15" t="n">
        <v>13</v>
      </c>
      <c r="GU579" s="15" t="n">
        <v>13</v>
      </c>
    </row>
    <row r="580">
      <c r="C580" s="15" t="n">
        <v>14</v>
      </c>
      <c r="AA580" s="15" t="n">
        <v>14</v>
      </c>
      <c r="AW580" s="15" t="n">
        <v>14</v>
      </c>
      <c r="BS580" s="15" t="n">
        <v>14</v>
      </c>
      <c r="CO580" s="15" t="n">
        <v>14</v>
      </c>
      <c r="DK580" s="15" t="n">
        <v>14</v>
      </c>
      <c r="EG580" s="15" t="n">
        <v>14</v>
      </c>
      <c r="FC580" s="15" t="n">
        <v>14</v>
      </c>
      <c r="FY580" s="15" t="n">
        <v>14</v>
      </c>
      <c r="GU580" s="15" t="n">
        <v>14</v>
      </c>
    </row>
    <row r="581">
      <c r="C581" s="15" t="n">
        <v>15</v>
      </c>
      <c r="AA581" s="15" t="n">
        <v>15</v>
      </c>
      <c r="AW581" s="15" t="n">
        <v>15</v>
      </c>
      <c r="BS581" s="15" t="n">
        <v>15</v>
      </c>
      <c r="CO581" s="15" t="n">
        <v>15</v>
      </c>
      <c r="DK581" s="15" t="n">
        <v>15</v>
      </c>
      <c r="EG581" s="15" t="n">
        <v>15</v>
      </c>
      <c r="FC581" s="15" t="n">
        <v>15</v>
      </c>
      <c r="FY581" s="15" t="n">
        <v>15</v>
      </c>
      <c r="GU581" s="15" t="n">
        <v>15</v>
      </c>
    </row>
    <row r="582">
      <c r="C582" s="15" t="n">
        <v>16</v>
      </c>
      <c r="AA582" s="15" t="n">
        <v>16</v>
      </c>
      <c r="AW582" s="15" t="n">
        <v>16</v>
      </c>
      <c r="BS582" s="15" t="n">
        <v>16</v>
      </c>
      <c r="CO582" s="15" t="n">
        <v>16</v>
      </c>
      <c r="DK582" s="15" t="n">
        <v>16</v>
      </c>
      <c r="EG582" s="15" t="n">
        <v>16</v>
      </c>
      <c r="FC582" s="15" t="n">
        <v>16</v>
      </c>
      <c r="FY582" s="15" t="n">
        <v>16</v>
      </c>
      <c r="GU582" s="15" t="n">
        <v>16</v>
      </c>
    </row>
    <row r="583">
      <c r="C583" s="15" t="n">
        <v>17</v>
      </c>
      <c r="AA583" s="15" t="n">
        <v>17</v>
      </c>
      <c r="AW583" s="15" t="n">
        <v>17</v>
      </c>
      <c r="BS583" s="15" t="n">
        <v>17</v>
      </c>
      <c r="CO583" s="15" t="n">
        <v>17</v>
      </c>
      <c r="DK583" s="15" t="n">
        <v>17</v>
      </c>
      <c r="EG583" s="15" t="n">
        <v>17</v>
      </c>
      <c r="FC583" s="15" t="n">
        <v>17</v>
      </c>
      <c r="FY583" s="15" t="n">
        <v>17</v>
      </c>
      <c r="GU583" s="15" t="n">
        <v>17</v>
      </c>
    </row>
    <row r="584">
      <c r="C584" s="15" t="n">
        <v>18</v>
      </c>
      <c r="AA584" s="15" t="n">
        <v>18</v>
      </c>
      <c r="AW584" s="15" t="n">
        <v>18</v>
      </c>
      <c r="BS584" s="15" t="n">
        <v>18</v>
      </c>
      <c r="CO584" s="15" t="n">
        <v>18</v>
      </c>
      <c r="DK584" s="15" t="n">
        <v>18</v>
      </c>
      <c r="EG584" s="15" t="n">
        <v>18</v>
      </c>
      <c r="FC584" s="15" t="n">
        <v>18</v>
      </c>
      <c r="FY584" s="15" t="n">
        <v>18</v>
      </c>
      <c r="GU584" s="15" t="n">
        <v>18</v>
      </c>
    </row>
    <row r="585">
      <c r="C585" s="15" t="n">
        <v>19</v>
      </c>
      <c r="AA585" s="15" t="n">
        <v>19</v>
      </c>
      <c r="AW585" s="15" t="n">
        <v>19</v>
      </c>
      <c r="BS585" s="15" t="n">
        <v>19</v>
      </c>
      <c r="CO585" s="15" t="n">
        <v>19</v>
      </c>
      <c r="DK585" s="15" t="n">
        <v>19</v>
      </c>
      <c r="EG585" s="15" t="n">
        <v>19</v>
      </c>
      <c r="FC585" s="15" t="n">
        <v>19</v>
      </c>
      <c r="FY585" s="15" t="n">
        <v>19</v>
      </c>
      <c r="GU585" s="15" t="n">
        <v>19</v>
      </c>
    </row>
    <row r="586">
      <c r="C586" s="15" t="n">
        <v>20</v>
      </c>
      <c r="AA586" s="15" t="n">
        <v>20</v>
      </c>
      <c r="AW586" s="15" t="n">
        <v>20</v>
      </c>
      <c r="BS586" s="15" t="n">
        <v>20</v>
      </c>
      <c r="CO586" s="15" t="n">
        <v>20</v>
      </c>
      <c r="DK586" s="15" t="n">
        <v>20</v>
      </c>
      <c r="EG586" s="15" t="n">
        <v>20</v>
      </c>
      <c r="FC586" s="15" t="n">
        <v>20</v>
      </c>
      <c r="FY586" s="15" t="n">
        <v>20</v>
      </c>
      <c r="GU586" s="15" t="n">
        <v>20</v>
      </c>
    </row>
    <row r="587">
      <c r="C587" s="15" t="n">
        <v>21</v>
      </c>
      <c r="AA587" s="15" t="n">
        <v>21</v>
      </c>
      <c r="AW587" s="15" t="n">
        <v>21</v>
      </c>
      <c r="BS587" s="15" t="n">
        <v>21</v>
      </c>
      <c r="CO587" s="15" t="n">
        <v>21</v>
      </c>
      <c r="DK587" s="15" t="n">
        <v>21</v>
      </c>
      <c r="EG587" s="15" t="n">
        <v>21</v>
      </c>
      <c r="FC587" s="15" t="n">
        <v>21</v>
      </c>
      <c r="FY587" s="15" t="n">
        <v>21</v>
      </c>
      <c r="GU587" s="15" t="n">
        <v>21</v>
      </c>
    </row>
    <row r="588">
      <c r="C588" s="15" t="n">
        <v>22</v>
      </c>
      <c r="AA588" s="15" t="n">
        <v>22</v>
      </c>
      <c r="AW588" s="15" t="n">
        <v>22</v>
      </c>
      <c r="BS588" s="15" t="n">
        <v>22</v>
      </c>
      <c r="CO588" s="15" t="n">
        <v>22</v>
      </c>
      <c r="DK588" s="15" t="n">
        <v>22</v>
      </c>
      <c r="EG588" s="15" t="n">
        <v>22</v>
      </c>
      <c r="FC588" s="15" t="n">
        <v>22</v>
      </c>
      <c r="FY588" s="15" t="n">
        <v>22</v>
      </c>
      <c r="GU588" s="15" t="n">
        <v>22</v>
      </c>
    </row>
    <row r="589">
      <c r="C589" s="15" t="n">
        <v>23</v>
      </c>
      <c r="AA589" s="15" t="n">
        <v>23</v>
      </c>
      <c r="AW589" s="15" t="n">
        <v>23</v>
      </c>
      <c r="BS589" s="15" t="n">
        <v>23</v>
      </c>
      <c r="CO589" s="15" t="n">
        <v>23</v>
      </c>
      <c r="DK589" s="15" t="n">
        <v>23</v>
      </c>
      <c r="EG589" s="15" t="n">
        <v>23</v>
      </c>
      <c r="FC589" s="15" t="n">
        <v>23</v>
      </c>
      <c r="FY589" s="15" t="n">
        <v>23</v>
      </c>
      <c r="GU589" s="15" t="n">
        <v>23</v>
      </c>
    </row>
    <row r="590">
      <c r="C590" s="15" t="n">
        <v>24</v>
      </c>
      <c r="AA590" s="15" t="n">
        <v>24</v>
      </c>
      <c r="AW590" s="15" t="n">
        <v>24</v>
      </c>
      <c r="BS590" s="15" t="n">
        <v>24</v>
      </c>
      <c r="CO590" s="15" t="n">
        <v>24</v>
      </c>
      <c r="DK590" s="15" t="n">
        <v>24</v>
      </c>
      <c r="EG590" s="15" t="n">
        <v>24</v>
      </c>
      <c r="FC590" s="15" t="n">
        <v>24</v>
      </c>
      <c r="FY590" s="15" t="n">
        <v>24</v>
      </c>
      <c r="GU590" s="15" t="n">
        <v>24</v>
      </c>
    </row>
    <row r="591">
      <c r="C591" s="15" t="n">
        <v>25</v>
      </c>
      <c r="AA591" s="15" t="n">
        <v>25</v>
      </c>
      <c r="AW591" s="15" t="n">
        <v>25</v>
      </c>
      <c r="BS591" s="15" t="n">
        <v>25</v>
      </c>
      <c r="CO591" s="15" t="n">
        <v>25</v>
      </c>
      <c r="DK591" s="15" t="n">
        <v>25</v>
      </c>
      <c r="EG591" s="15" t="n">
        <v>25</v>
      </c>
      <c r="FC591" s="15" t="n">
        <v>25</v>
      </c>
      <c r="FY591" s="15" t="n">
        <v>25</v>
      </c>
      <c r="GU591" s="15" t="n">
        <v>25</v>
      </c>
    </row>
    <row r="592">
      <c r="C592" s="15" t="n">
        <v>26</v>
      </c>
      <c r="AA592" s="15" t="n">
        <v>26</v>
      </c>
      <c r="AW592" s="15" t="n">
        <v>26</v>
      </c>
      <c r="BS592" s="15" t="n">
        <v>26</v>
      </c>
      <c r="CO592" s="15" t="n">
        <v>26</v>
      </c>
      <c r="DK592" s="15" t="n">
        <v>26</v>
      </c>
      <c r="EG592" s="15" t="n">
        <v>26</v>
      </c>
      <c r="FC592" s="15" t="n">
        <v>26</v>
      </c>
      <c r="FY592" s="15" t="n">
        <v>26</v>
      </c>
      <c r="GU592" s="15" t="n">
        <v>26</v>
      </c>
    </row>
    <row r="593">
      <c r="C593" s="15" t="n">
        <v>27</v>
      </c>
      <c r="AA593" s="15" t="n">
        <v>27</v>
      </c>
      <c r="AW593" s="15" t="n">
        <v>27</v>
      </c>
      <c r="BS593" s="15" t="n">
        <v>27</v>
      </c>
      <c r="CO593" s="15" t="n">
        <v>27</v>
      </c>
      <c r="DK593" s="15" t="n">
        <v>27</v>
      </c>
      <c r="EG593" s="15" t="n">
        <v>27</v>
      </c>
      <c r="FC593" s="15" t="n">
        <v>27</v>
      </c>
      <c r="FY593" s="15" t="n">
        <v>27</v>
      </c>
      <c r="GU593" s="15" t="n">
        <v>27</v>
      </c>
    </row>
    <row r="594">
      <c r="C594" s="15" t="n">
        <v>28</v>
      </c>
      <c r="AA594" s="15" t="n">
        <v>28</v>
      </c>
      <c r="AW594" s="15" t="n">
        <v>28</v>
      </c>
      <c r="BS594" s="15" t="n">
        <v>28</v>
      </c>
      <c r="CO594" s="15" t="n">
        <v>28</v>
      </c>
      <c r="DK594" s="15" t="n">
        <v>28</v>
      </c>
      <c r="EG594" s="15" t="n">
        <v>28</v>
      </c>
      <c r="FC594" s="15" t="n">
        <v>28</v>
      </c>
      <c r="FY594" s="15" t="n">
        <v>28</v>
      </c>
      <c r="GU594" s="15" t="n">
        <v>28</v>
      </c>
    </row>
    <row r="595">
      <c r="C595" s="15" t="n">
        <v>29</v>
      </c>
      <c r="AA595" s="15" t="n">
        <v>29</v>
      </c>
      <c r="AW595" s="15" t="n">
        <v>29</v>
      </c>
      <c r="BS595" s="15" t="n">
        <v>29</v>
      </c>
      <c r="CO595" s="15" t="n">
        <v>29</v>
      </c>
      <c r="DK595" s="15" t="n">
        <v>29</v>
      </c>
      <c r="EG595" s="15" t="n">
        <v>29</v>
      </c>
      <c r="FC595" s="15" t="n">
        <v>29</v>
      </c>
      <c r="FY595" s="15" t="n">
        <v>29</v>
      </c>
      <c r="GU595" s="15" t="n">
        <v>29</v>
      </c>
    </row>
    <row r="596">
      <c r="C596" s="15" t="n">
        <v>30</v>
      </c>
      <c r="AA596" s="15" t="n">
        <v>30</v>
      </c>
      <c r="AW596" s="15" t="n">
        <v>30</v>
      </c>
      <c r="BS596" s="15" t="n">
        <v>30</v>
      </c>
      <c r="CO596" s="15" t="n">
        <v>30</v>
      </c>
      <c r="DK596" s="15" t="n">
        <v>30</v>
      </c>
      <c r="EG596" s="15" t="n">
        <v>30</v>
      </c>
      <c r="FC596" s="15" t="n">
        <v>30</v>
      </c>
      <c r="FY596" s="15" t="n">
        <v>30</v>
      </c>
      <c r="GU596" s="15" t="n">
        <v>30</v>
      </c>
    </row>
    <row r="597">
      <c r="C597" s="15" t="n">
        <v>31</v>
      </c>
      <c r="AA597" s="15" t="n">
        <v>31</v>
      </c>
      <c r="AW597" s="15" t="n">
        <v>31</v>
      </c>
      <c r="BS597" s="15" t="n">
        <v>31</v>
      </c>
      <c r="CO597" s="15" t="n">
        <v>31</v>
      </c>
      <c r="DK597" s="15" t="n">
        <v>31</v>
      </c>
      <c r="EG597" s="15" t="n">
        <v>31</v>
      </c>
      <c r="FC597" s="15" t="n">
        <v>31</v>
      </c>
      <c r="FY597" s="15" t="n">
        <v>31</v>
      </c>
      <c r="GU597" s="15" t="n">
        <v>31</v>
      </c>
    </row>
    <row r="598">
      <c r="C598" s="15" t="n">
        <v>32</v>
      </c>
      <c r="AA598" s="15" t="n">
        <v>32</v>
      </c>
      <c r="AW598" s="15" t="n">
        <v>32</v>
      </c>
      <c r="BS598" s="15" t="n">
        <v>32</v>
      </c>
      <c r="CO598" s="15" t="n">
        <v>32</v>
      </c>
      <c r="DK598" s="15" t="n">
        <v>32</v>
      </c>
      <c r="EG598" s="15" t="n">
        <v>32</v>
      </c>
      <c r="FC598" s="15" t="n">
        <v>32</v>
      </c>
      <c r="FY598" s="15" t="n">
        <v>32</v>
      </c>
      <c r="GU598" s="15" t="n">
        <v>32</v>
      </c>
    </row>
    <row r="599">
      <c r="C599" s="15" t="n">
        <v>33</v>
      </c>
      <c r="AA599" s="15" t="n">
        <v>33</v>
      </c>
      <c r="AW599" s="15" t="n">
        <v>33</v>
      </c>
      <c r="BS599" s="15" t="n">
        <v>33</v>
      </c>
      <c r="CO599" s="15" t="n">
        <v>33</v>
      </c>
      <c r="DK599" s="15" t="n">
        <v>33</v>
      </c>
      <c r="EG599" s="15" t="n">
        <v>33</v>
      </c>
      <c r="FC599" s="15" t="n">
        <v>33</v>
      </c>
      <c r="FY599" s="15" t="n">
        <v>33</v>
      </c>
      <c r="GU599" s="15" t="n">
        <v>33</v>
      </c>
    </row>
    <row r="600">
      <c r="C600" s="15" t="n">
        <v>34</v>
      </c>
      <c r="AA600" s="15" t="n">
        <v>34</v>
      </c>
      <c r="AW600" s="15" t="n">
        <v>34</v>
      </c>
      <c r="BS600" s="15" t="n">
        <v>34</v>
      </c>
      <c r="CO600" s="15" t="n">
        <v>34</v>
      </c>
      <c r="DK600" s="15" t="n">
        <v>34</v>
      </c>
      <c r="EG600" s="15" t="n">
        <v>34</v>
      </c>
      <c r="FC600" s="15" t="n">
        <v>34</v>
      </c>
      <c r="FY600" s="15" t="n">
        <v>34</v>
      </c>
      <c r="GU600" s="15" t="n">
        <v>34</v>
      </c>
    </row>
    <row r="601">
      <c r="C601" s="15" t="n">
        <v>35</v>
      </c>
      <c r="AA601" s="15" t="n">
        <v>35</v>
      </c>
      <c r="AW601" s="15" t="n">
        <v>35</v>
      </c>
      <c r="BS601" s="15" t="n">
        <v>35</v>
      </c>
      <c r="CO601" s="15" t="n">
        <v>35</v>
      </c>
      <c r="DK601" s="15" t="n">
        <v>35</v>
      </c>
      <c r="EG601" s="15" t="n">
        <v>35</v>
      </c>
      <c r="FC601" s="15" t="n">
        <v>35</v>
      </c>
      <c r="FY601" s="15" t="n">
        <v>35</v>
      </c>
      <c r="GU601" s="15" t="n">
        <v>35</v>
      </c>
    </row>
    <row r="602">
      <c r="C602" s="15" t="n">
        <v>36</v>
      </c>
      <c r="AA602" s="15" t="n">
        <v>36</v>
      </c>
      <c r="AW602" s="15" t="n">
        <v>36</v>
      </c>
      <c r="BS602" s="15" t="n">
        <v>36</v>
      </c>
      <c r="CO602" s="15" t="n">
        <v>36</v>
      </c>
      <c r="DK602" s="15" t="n">
        <v>36</v>
      </c>
      <c r="EG602" s="15" t="n">
        <v>36</v>
      </c>
      <c r="FC602" s="15" t="n">
        <v>36</v>
      </c>
      <c r="FY602" s="15" t="n">
        <v>36</v>
      </c>
      <c r="GU602" s="15" t="n">
        <v>36</v>
      </c>
    </row>
    <row r="603">
      <c r="C603" s="15" t="n">
        <v>37</v>
      </c>
      <c r="AA603" s="15" t="n">
        <v>37</v>
      </c>
      <c r="AW603" s="15" t="n">
        <v>37</v>
      </c>
      <c r="BS603" s="15" t="n">
        <v>37</v>
      </c>
      <c r="CO603" s="15" t="n">
        <v>37</v>
      </c>
      <c r="DK603" s="15" t="n">
        <v>37</v>
      </c>
      <c r="EG603" s="15" t="n">
        <v>37</v>
      </c>
      <c r="FC603" s="15" t="n">
        <v>37</v>
      </c>
      <c r="FY603" s="15" t="n">
        <v>37</v>
      </c>
      <c r="GU603" s="15" t="n">
        <v>37</v>
      </c>
    </row>
    <row r="604">
      <c r="C604" s="15" t="n">
        <v>38</v>
      </c>
      <c r="AA604" s="15" t="n">
        <v>38</v>
      </c>
      <c r="AW604" s="15" t="n">
        <v>38</v>
      </c>
      <c r="BS604" s="15" t="n">
        <v>38</v>
      </c>
      <c r="CO604" s="15" t="n">
        <v>38</v>
      </c>
      <c r="DK604" s="15" t="n">
        <v>38</v>
      </c>
      <c r="EG604" s="15" t="n">
        <v>38</v>
      </c>
      <c r="FC604" s="15" t="n">
        <v>38</v>
      </c>
      <c r="FY604" s="15" t="n">
        <v>38</v>
      </c>
      <c r="GU604" s="15" t="n">
        <v>38</v>
      </c>
    </row>
    <row r="605">
      <c r="C605" s="15" t="n">
        <v>39</v>
      </c>
      <c r="AA605" s="15" t="n">
        <v>39</v>
      </c>
      <c r="AW605" s="15" t="n">
        <v>39</v>
      </c>
      <c r="BS605" s="15" t="n">
        <v>39</v>
      </c>
      <c r="CO605" s="15" t="n">
        <v>39</v>
      </c>
      <c r="DK605" s="15" t="n">
        <v>39</v>
      </c>
      <c r="EG605" s="15" t="n">
        <v>39</v>
      </c>
      <c r="FC605" s="15" t="n">
        <v>39</v>
      </c>
      <c r="FY605" s="15" t="n">
        <v>39</v>
      </c>
      <c r="GU605" s="15" t="n">
        <v>39</v>
      </c>
    </row>
    <row r="606">
      <c r="C606" s="15" t="n">
        <v>40</v>
      </c>
      <c r="AA606" s="15" t="n">
        <v>40</v>
      </c>
      <c r="AW606" s="15" t="n">
        <v>40</v>
      </c>
      <c r="BS606" s="15" t="n">
        <v>40</v>
      </c>
      <c r="CO606" s="15" t="n">
        <v>40</v>
      </c>
      <c r="DK606" s="15" t="n">
        <v>40</v>
      </c>
      <c r="EG606" s="15" t="n">
        <v>40</v>
      </c>
      <c r="FC606" s="15" t="n">
        <v>40</v>
      </c>
      <c r="FY606" s="15" t="n">
        <v>40</v>
      </c>
      <c r="GU606" s="15" t="n">
        <v>40</v>
      </c>
    </row>
    <row r="607">
      <c r="C607" s="15" t="n">
        <v>41</v>
      </c>
      <c r="AA607" s="15" t="n">
        <v>41</v>
      </c>
      <c r="AW607" s="15" t="n">
        <v>41</v>
      </c>
      <c r="BS607" s="15" t="n">
        <v>41</v>
      </c>
      <c r="CO607" s="15" t="n">
        <v>41</v>
      </c>
      <c r="DK607" s="15" t="n">
        <v>41</v>
      </c>
      <c r="EG607" s="15" t="n">
        <v>41</v>
      </c>
      <c r="FC607" s="15" t="n">
        <v>41</v>
      </c>
      <c r="FY607" s="15" t="n">
        <v>41</v>
      </c>
      <c r="GU607" s="15" t="n">
        <v>41</v>
      </c>
    </row>
    <row r="608">
      <c r="C608" s="15" t="n">
        <v>42</v>
      </c>
      <c r="AA608" s="15" t="n">
        <v>42</v>
      </c>
      <c r="AW608" s="15" t="n">
        <v>42</v>
      </c>
      <c r="BS608" s="15" t="n">
        <v>42</v>
      </c>
      <c r="CO608" s="15" t="n">
        <v>42</v>
      </c>
      <c r="DK608" s="15" t="n">
        <v>42</v>
      </c>
      <c r="EG608" s="15" t="n">
        <v>42</v>
      </c>
      <c r="FC608" s="15" t="n">
        <v>42</v>
      </c>
      <c r="FY608" s="15" t="n">
        <v>42</v>
      </c>
      <c r="GU608" s="15" t="n">
        <v>42</v>
      </c>
    </row>
    <row r="609">
      <c r="C609" s="15" t="n">
        <v>43</v>
      </c>
      <c r="AA609" s="15" t="n">
        <v>43</v>
      </c>
      <c r="AW609" s="15" t="n">
        <v>43</v>
      </c>
      <c r="BS609" s="15" t="n">
        <v>43</v>
      </c>
      <c r="CO609" s="15" t="n">
        <v>43</v>
      </c>
      <c r="DK609" s="15" t="n">
        <v>43</v>
      </c>
      <c r="EG609" s="15" t="n">
        <v>43</v>
      </c>
      <c r="FC609" s="15" t="n">
        <v>43</v>
      </c>
      <c r="FY609" s="15" t="n">
        <v>43</v>
      </c>
      <c r="GU609" s="15" t="n">
        <v>43</v>
      </c>
    </row>
    <row r="610">
      <c r="C610" s="15" t="n">
        <v>44</v>
      </c>
      <c r="AA610" s="15" t="n">
        <v>44</v>
      </c>
      <c r="AW610" s="15" t="n">
        <v>44</v>
      </c>
      <c r="BS610" s="15" t="n">
        <v>44</v>
      </c>
      <c r="CO610" s="15" t="n">
        <v>44</v>
      </c>
      <c r="DK610" s="15" t="n">
        <v>44</v>
      </c>
      <c r="EG610" s="15" t="n">
        <v>44</v>
      </c>
      <c r="FC610" s="15" t="n">
        <v>44</v>
      </c>
      <c r="FY610" s="15" t="n">
        <v>44</v>
      </c>
      <c r="GU610" s="15" t="n">
        <v>44</v>
      </c>
    </row>
    <row r="611">
      <c r="C611" s="15" t="n">
        <v>45</v>
      </c>
      <c r="AA611" s="15" t="n">
        <v>45</v>
      </c>
      <c r="AW611" s="15" t="n">
        <v>45</v>
      </c>
      <c r="BS611" s="15" t="n">
        <v>45</v>
      </c>
      <c r="CO611" s="15" t="n">
        <v>45</v>
      </c>
      <c r="DK611" s="15" t="n">
        <v>45</v>
      </c>
      <c r="EG611" s="15" t="n">
        <v>45</v>
      </c>
      <c r="FC611" s="15" t="n">
        <v>45</v>
      </c>
      <c r="FY611" s="15" t="n">
        <v>45</v>
      </c>
      <c r="GU611" s="15" t="n">
        <v>45</v>
      </c>
    </row>
    <row r="612">
      <c r="C612" s="15" t="n">
        <v>46</v>
      </c>
      <c r="AA612" s="15" t="n">
        <v>46</v>
      </c>
      <c r="AW612" s="15" t="n">
        <v>46</v>
      </c>
      <c r="BS612" s="15" t="n">
        <v>46</v>
      </c>
      <c r="CO612" s="15" t="n">
        <v>46</v>
      </c>
      <c r="DK612" s="15" t="n">
        <v>46</v>
      </c>
      <c r="EG612" s="15" t="n">
        <v>46</v>
      </c>
      <c r="FC612" s="15" t="n">
        <v>46</v>
      </c>
      <c r="FY612" s="15" t="n">
        <v>46</v>
      </c>
      <c r="GU612" s="15" t="n">
        <v>46</v>
      </c>
    </row>
    <row r="613">
      <c r="C613" s="15" t="n">
        <v>47</v>
      </c>
      <c r="AA613" s="15" t="n">
        <v>47</v>
      </c>
      <c r="AW613" s="15" t="n">
        <v>47</v>
      </c>
      <c r="BS613" s="15" t="n">
        <v>47</v>
      </c>
      <c r="CO613" s="15" t="n">
        <v>47</v>
      </c>
      <c r="DK613" s="15" t="n">
        <v>47</v>
      </c>
      <c r="EG613" s="15" t="n">
        <v>47</v>
      </c>
      <c r="FC613" s="15" t="n">
        <v>47</v>
      </c>
      <c r="FY613" s="15" t="n">
        <v>47</v>
      </c>
      <c r="GU613" s="15" t="n">
        <v>47</v>
      </c>
    </row>
    <row r="614">
      <c r="C614" s="15" t="n">
        <v>48</v>
      </c>
      <c r="AA614" s="15" t="n">
        <v>48</v>
      </c>
      <c r="AW614" s="15" t="n">
        <v>48</v>
      </c>
      <c r="BS614" s="15" t="n">
        <v>48</v>
      </c>
      <c r="CO614" s="15" t="n">
        <v>48</v>
      </c>
      <c r="DK614" s="15" t="n">
        <v>48</v>
      </c>
      <c r="EG614" s="15" t="n">
        <v>48</v>
      </c>
      <c r="FC614" s="15" t="n">
        <v>48</v>
      </c>
      <c r="FY614" s="15" t="n">
        <v>48</v>
      </c>
      <c r="GU614" s="15" t="n">
        <v>48</v>
      </c>
    </row>
    <row r="615">
      <c r="C615" s="15" t="n">
        <v>49</v>
      </c>
      <c r="AA615" s="15" t="n">
        <v>49</v>
      </c>
      <c r="AW615" s="15" t="n">
        <v>49</v>
      </c>
      <c r="BS615" s="15" t="n">
        <v>49</v>
      </c>
      <c r="CO615" s="15" t="n">
        <v>49</v>
      </c>
      <c r="DK615" s="15" t="n">
        <v>49</v>
      </c>
      <c r="EG615" s="15" t="n">
        <v>49</v>
      </c>
      <c r="FC615" s="15" t="n">
        <v>49</v>
      </c>
      <c r="FY615" s="15" t="n">
        <v>49</v>
      </c>
      <c r="GU615" s="15" t="n">
        <v>49</v>
      </c>
    </row>
    <row r="616">
      <c r="C616" s="15" t="n">
        <v>50</v>
      </c>
      <c r="AA616" s="15" t="n">
        <v>50</v>
      </c>
      <c r="AW616" s="15" t="n">
        <v>50</v>
      </c>
      <c r="BS616" s="15" t="n">
        <v>50</v>
      </c>
      <c r="CO616" s="15" t="n">
        <v>50</v>
      </c>
      <c r="DK616" s="15" t="n">
        <v>50</v>
      </c>
      <c r="EG616" s="15" t="n">
        <v>50</v>
      </c>
      <c r="FC616" s="15" t="n">
        <v>50</v>
      </c>
      <c r="FY616" s="15" t="n">
        <v>50</v>
      </c>
      <c r="GU616" s="15" t="n">
        <v>50</v>
      </c>
    </row>
    <row r="617">
      <c r="C617" s="15" t="n">
        <v>51</v>
      </c>
      <c r="AA617" s="15" t="n">
        <v>51</v>
      </c>
      <c r="AW617" s="15" t="n">
        <v>51</v>
      </c>
      <c r="BS617" s="15" t="n">
        <v>51</v>
      </c>
      <c r="CO617" s="15" t="n">
        <v>51</v>
      </c>
      <c r="DK617" s="15" t="n">
        <v>51</v>
      </c>
      <c r="EG617" s="15" t="n">
        <v>51</v>
      </c>
      <c r="FC617" s="15" t="n">
        <v>51</v>
      </c>
      <c r="FY617" s="15" t="n">
        <v>51</v>
      </c>
      <c r="GU617" s="15" t="n">
        <v>51</v>
      </c>
    </row>
    <row r="618">
      <c r="C618" s="15" t="n">
        <v>52</v>
      </c>
      <c r="AA618" s="15" t="n">
        <v>52</v>
      </c>
      <c r="AW618" s="15" t="n">
        <v>52</v>
      </c>
      <c r="BS618" s="15" t="n">
        <v>52</v>
      </c>
      <c r="CO618" s="15" t="n">
        <v>52</v>
      </c>
      <c r="DK618" s="15" t="n">
        <v>52</v>
      </c>
      <c r="EG618" s="15" t="n">
        <v>52</v>
      </c>
      <c r="FC618" s="15" t="n">
        <v>52</v>
      </c>
      <c r="FY618" s="15" t="n">
        <v>52</v>
      </c>
      <c r="GU618" s="15" t="n">
        <v>52</v>
      </c>
    </row>
    <row r="619">
      <c r="C619" s="15" t="n">
        <v>53</v>
      </c>
      <c r="AA619" s="15" t="n">
        <v>53</v>
      </c>
      <c r="AW619" s="15" t="n">
        <v>53</v>
      </c>
      <c r="BS619" s="15" t="n">
        <v>53</v>
      </c>
      <c r="CO619" s="15" t="n">
        <v>53</v>
      </c>
      <c r="DK619" s="15" t="n">
        <v>53</v>
      </c>
      <c r="EG619" s="15" t="n">
        <v>53</v>
      </c>
      <c r="FC619" s="15" t="n">
        <v>53</v>
      </c>
      <c r="FY619" s="15" t="n">
        <v>53</v>
      </c>
      <c r="GU619" s="15" t="n">
        <v>53</v>
      </c>
    </row>
    <row r="620">
      <c r="C620" s="15" t="n">
        <v>54</v>
      </c>
      <c r="AA620" s="15" t="n">
        <v>54</v>
      </c>
      <c r="AW620" s="15" t="n">
        <v>54</v>
      </c>
      <c r="BS620" s="15" t="n">
        <v>54</v>
      </c>
      <c r="CO620" s="15" t="n">
        <v>54</v>
      </c>
      <c r="DK620" s="15" t="n">
        <v>54</v>
      </c>
      <c r="EG620" s="15" t="n">
        <v>54</v>
      </c>
      <c r="FC620" s="15" t="n">
        <v>54</v>
      </c>
      <c r="FY620" s="15" t="n">
        <v>54</v>
      </c>
      <c r="GU620" s="15" t="n">
        <v>54</v>
      </c>
    </row>
    <row r="621">
      <c r="C621" s="15" t="n">
        <v>55</v>
      </c>
      <c r="AA621" s="15" t="n">
        <v>55</v>
      </c>
      <c r="AW621" s="15" t="n">
        <v>55</v>
      </c>
      <c r="BS621" s="15" t="n">
        <v>55</v>
      </c>
      <c r="CO621" s="15" t="n">
        <v>55</v>
      </c>
      <c r="DK621" s="15" t="n">
        <v>55</v>
      </c>
      <c r="EG621" s="15" t="n">
        <v>55</v>
      </c>
      <c r="FC621" s="15" t="n">
        <v>55</v>
      </c>
      <c r="FY621" s="15" t="n">
        <v>55</v>
      </c>
      <c r="GU621" s="15" t="n">
        <v>55</v>
      </c>
    </row>
    <row r="622">
      <c r="C622" s="15" t="n">
        <v>56</v>
      </c>
      <c r="AA622" s="15" t="n">
        <v>56</v>
      </c>
      <c r="AW622" s="15" t="n">
        <v>56</v>
      </c>
      <c r="BS622" s="15" t="n">
        <v>56</v>
      </c>
      <c r="CO622" s="15" t="n">
        <v>56</v>
      </c>
      <c r="DK622" s="15" t="n">
        <v>56</v>
      </c>
      <c r="EG622" s="15" t="n">
        <v>56</v>
      </c>
      <c r="FC622" s="15" t="n">
        <v>56</v>
      </c>
      <c r="FY622" s="15" t="n">
        <v>56</v>
      </c>
      <c r="GU622" s="15" t="n">
        <v>56</v>
      </c>
    </row>
    <row r="623">
      <c r="C623" s="15" t="n">
        <v>57</v>
      </c>
      <c r="AA623" s="15" t="n">
        <v>57</v>
      </c>
      <c r="AW623" s="15" t="n">
        <v>57</v>
      </c>
      <c r="BS623" s="15" t="n">
        <v>57</v>
      </c>
      <c r="CO623" s="15" t="n">
        <v>57</v>
      </c>
      <c r="DK623" s="15" t="n">
        <v>57</v>
      </c>
      <c r="EG623" s="15" t="n">
        <v>57</v>
      </c>
      <c r="FC623" s="15" t="n">
        <v>57</v>
      </c>
      <c r="FY623" s="15" t="n">
        <v>57</v>
      </c>
      <c r="GU623" s="15" t="n">
        <v>57</v>
      </c>
    </row>
    <row r="624">
      <c r="C624" s="15" t="n">
        <v>58</v>
      </c>
      <c r="AA624" s="15" t="n">
        <v>58</v>
      </c>
      <c r="AW624" s="15" t="n">
        <v>58</v>
      </c>
      <c r="BS624" s="15" t="n">
        <v>58</v>
      </c>
      <c r="CO624" s="15" t="n">
        <v>58</v>
      </c>
      <c r="DK624" s="15" t="n">
        <v>58</v>
      </c>
      <c r="EG624" s="15" t="n">
        <v>58</v>
      </c>
      <c r="FC624" s="15" t="n">
        <v>58</v>
      </c>
      <c r="FY624" s="15" t="n">
        <v>58</v>
      </c>
      <c r="GU624" s="15" t="n">
        <v>58</v>
      </c>
    </row>
    <row r="625">
      <c r="C625" s="15" t="n">
        <v>59</v>
      </c>
      <c r="AA625" s="15" t="n">
        <v>59</v>
      </c>
      <c r="AW625" s="15" t="n">
        <v>59</v>
      </c>
      <c r="BS625" s="15" t="n">
        <v>59</v>
      </c>
      <c r="CO625" s="15" t="n">
        <v>59</v>
      </c>
      <c r="DK625" s="15" t="n">
        <v>59</v>
      </c>
      <c r="EG625" s="15" t="n">
        <v>59</v>
      </c>
      <c r="FC625" s="15" t="n">
        <v>59</v>
      </c>
      <c r="FY625" s="15" t="n">
        <v>59</v>
      </c>
      <c r="GU625" s="15" t="n">
        <v>59</v>
      </c>
    </row>
    <row r="626">
      <c r="C626" s="15" t="n">
        <v>60</v>
      </c>
      <c r="AA626" s="15" t="n">
        <v>60</v>
      </c>
      <c r="AW626" s="15" t="n">
        <v>60</v>
      </c>
      <c r="BS626" s="15" t="n">
        <v>60</v>
      </c>
      <c r="CO626" s="15" t="n">
        <v>60</v>
      </c>
      <c r="DK626" s="15" t="n">
        <v>60</v>
      </c>
      <c r="EG626" s="15" t="n">
        <v>60</v>
      </c>
      <c r="FC626" s="15" t="n">
        <v>60</v>
      </c>
      <c r="FY626" s="15" t="n">
        <v>60</v>
      </c>
      <c r="GU626" s="15" t="n">
        <v>60</v>
      </c>
    </row>
    <row r="627">
      <c r="C627" s="15" t="n">
        <v>61</v>
      </c>
      <c r="AA627" s="15" t="n">
        <v>61</v>
      </c>
      <c r="AW627" s="15" t="n">
        <v>61</v>
      </c>
      <c r="BS627" s="15" t="n">
        <v>61</v>
      </c>
      <c r="CO627" s="15" t="n">
        <v>61</v>
      </c>
      <c r="DK627" s="15" t="n">
        <v>61</v>
      </c>
      <c r="EG627" s="15" t="n">
        <v>61</v>
      </c>
      <c r="FC627" s="15" t="n">
        <v>61</v>
      </c>
      <c r="FY627" s="15" t="n">
        <v>61</v>
      </c>
      <c r="GU627" s="15" t="n">
        <v>61</v>
      </c>
    </row>
    <row r="628">
      <c r="C628" s="15" t="n">
        <v>62</v>
      </c>
      <c r="AA628" s="15" t="n">
        <v>62</v>
      </c>
      <c r="AW628" s="15" t="n">
        <v>62</v>
      </c>
      <c r="BS628" s="15" t="n">
        <v>62</v>
      </c>
      <c r="CO628" s="15" t="n">
        <v>62</v>
      </c>
      <c r="DK628" s="15" t="n">
        <v>62</v>
      </c>
      <c r="EG628" s="15" t="n">
        <v>62</v>
      </c>
      <c r="FC628" s="15" t="n">
        <v>62</v>
      </c>
      <c r="FY628" s="15" t="n">
        <v>62</v>
      </c>
      <c r="GU628" s="15" t="n">
        <v>62</v>
      </c>
    </row>
    <row r="629">
      <c r="C629" s="15" t="n">
        <v>63</v>
      </c>
      <c r="AA629" s="15" t="n">
        <v>63</v>
      </c>
      <c r="AW629" s="15" t="n">
        <v>63</v>
      </c>
      <c r="BS629" s="15" t="n">
        <v>63</v>
      </c>
      <c r="CO629" s="15" t="n">
        <v>63</v>
      </c>
      <c r="DK629" s="15" t="n">
        <v>63</v>
      </c>
      <c r="EG629" s="15" t="n">
        <v>63</v>
      </c>
      <c r="FC629" s="15" t="n">
        <v>63</v>
      </c>
      <c r="FY629" s="15" t="n">
        <v>63</v>
      </c>
      <c r="GU629" s="15" t="n">
        <v>63</v>
      </c>
    </row>
    <row r="630">
      <c r="C630" s="15" t="n">
        <v>64</v>
      </c>
      <c r="AA630" s="15" t="n">
        <v>64</v>
      </c>
      <c r="AW630" s="15" t="n">
        <v>64</v>
      </c>
      <c r="BS630" s="15" t="n">
        <v>64</v>
      </c>
      <c r="CO630" s="15" t="n">
        <v>64</v>
      </c>
      <c r="DK630" s="15" t="n">
        <v>64</v>
      </c>
      <c r="EG630" s="15" t="n">
        <v>64</v>
      </c>
      <c r="FC630" s="15" t="n">
        <v>64</v>
      </c>
      <c r="FY630" s="15" t="n">
        <v>64</v>
      </c>
      <c r="GU630" s="15" t="n">
        <v>64</v>
      </c>
    </row>
    <row r="631">
      <c r="C631" s="15" t="n">
        <v>65</v>
      </c>
      <c r="AA631" s="15" t="n">
        <v>65</v>
      </c>
      <c r="AW631" s="15" t="n">
        <v>65</v>
      </c>
      <c r="BS631" s="15" t="n">
        <v>65</v>
      </c>
      <c r="CO631" s="15" t="n">
        <v>65</v>
      </c>
      <c r="DK631" s="15" t="n">
        <v>65</v>
      </c>
      <c r="EG631" s="15" t="n">
        <v>65</v>
      </c>
      <c r="FC631" s="15" t="n">
        <v>65</v>
      </c>
      <c r="FY631" s="15" t="n">
        <v>65</v>
      </c>
      <c r="GU631" s="15" t="n">
        <v>65</v>
      </c>
    </row>
    <row r="632">
      <c r="C632" s="15" t="n">
        <v>66</v>
      </c>
      <c r="AA632" s="15" t="n">
        <v>66</v>
      </c>
      <c r="AW632" s="15" t="n">
        <v>66</v>
      </c>
      <c r="BS632" s="15" t="n">
        <v>66</v>
      </c>
      <c r="CO632" s="15" t="n">
        <v>66</v>
      </c>
      <c r="DK632" s="15" t="n">
        <v>66</v>
      </c>
      <c r="EG632" s="15" t="n">
        <v>66</v>
      </c>
      <c r="FC632" s="15" t="n">
        <v>66</v>
      </c>
      <c r="FY632" s="15" t="n">
        <v>66</v>
      </c>
      <c r="GU632" s="15" t="n">
        <v>66</v>
      </c>
    </row>
    <row r="633">
      <c r="C633" s="15" t="n">
        <v>67</v>
      </c>
      <c r="AA633" s="15" t="n">
        <v>67</v>
      </c>
      <c r="AW633" s="15" t="n">
        <v>67</v>
      </c>
      <c r="BS633" s="15" t="n">
        <v>67</v>
      </c>
      <c r="CO633" s="15" t="n">
        <v>67</v>
      </c>
      <c r="DK633" s="15" t="n">
        <v>67</v>
      </c>
      <c r="EG633" s="15" t="n">
        <v>67</v>
      </c>
      <c r="FC633" s="15" t="n">
        <v>67</v>
      </c>
      <c r="FY633" s="15" t="n">
        <v>67</v>
      </c>
      <c r="GU633" s="15" t="n">
        <v>67</v>
      </c>
    </row>
    <row r="634">
      <c r="C634" s="15" t="n">
        <v>68</v>
      </c>
      <c r="AA634" s="15" t="n">
        <v>68</v>
      </c>
      <c r="AW634" s="15" t="n">
        <v>68</v>
      </c>
      <c r="BS634" s="15" t="n">
        <v>68</v>
      </c>
      <c r="CO634" s="15" t="n">
        <v>68</v>
      </c>
      <c r="DK634" s="15" t="n">
        <v>68</v>
      </c>
      <c r="EG634" s="15" t="n">
        <v>68</v>
      </c>
      <c r="FC634" s="15" t="n">
        <v>68</v>
      </c>
      <c r="FY634" s="15" t="n">
        <v>68</v>
      </c>
      <c r="GU634" s="15" t="n">
        <v>68</v>
      </c>
    </row>
    <row r="635">
      <c r="C635" s="15" t="n">
        <v>69</v>
      </c>
      <c r="AA635" s="15" t="n">
        <v>69</v>
      </c>
      <c r="AW635" s="15" t="n">
        <v>69</v>
      </c>
      <c r="BS635" s="15" t="n">
        <v>69</v>
      </c>
      <c r="CO635" s="15" t="n">
        <v>69</v>
      </c>
      <c r="DK635" s="15" t="n">
        <v>69</v>
      </c>
      <c r="EG635" s="15" t="n">
        <v>69</v>
      </c>
      <c r="FC635" s="15" t="n">
        <v>69</v>
      </c>
      <c r="FY635" s="15" t="n">
        <v>69</v>
      </c>
      <c r="GU635" s="15" t="n">
        <v>69</v>
      </c>
    </row>
    <row r="636">
      <c r="C636" s="15" t="n">
        <v>70</v>
      </c>
      <c r="AA636" s="15" t="n">
        <v>70</v>
      </c>
      <c r="AW636" s="15" t="n">
        <v>70</v>
      </c>
      <c r="BS636" s="15" t="n">
        <v>70</v>
      </c>
      <c r="CO636" s="15" t="n">
        <v>70</v>
      </c>
      <c r="DK636" s="15" t="n">
        <v>70</v>
      </c>
      <c r="EG636" s="15" t="n">
        <v>70</v>
      </c>
      <c r="FC636" s="15" t="n">
        <v>70</v>
      </c>
      <c r="FY636" s="15" t="n">
        <v>70</v>
      </c>
      <c r="GU636" s="15" t="n">
        <v>70</v>
      </c>
    </row>
    <row r="637">
      <c r="C637" s="15" t="n">
        <v>71</v>
      </c>
      <c r="AA637" s="15" t="n">
        <v>71</v>
      </c>
      <c r="AW637" s="15" t="n">
        <v>71</v>
      </c>
      <c r="BS637" s="15" t="n">
        <v>71</v>
      </c>
      <c r="CO637" s="15" t="n">
        <v>71</v>
      </c>
      <c r="DK637" s="15" t="n">
        <v>71</v>
      </c>
      <c r="EG637" s="15" t="n">
        <v>71</v>
      </c>
      <c r="FC637" s="15" t="n">
        <v>71</v>
      </c>
      <c r="FY637" s="15" t="n">
        <v>71</v>
      </c>
      <c r="GU637" s="15" t="n">
        <v>71</v>
      </c>
    </row>
    <row r="638">
      <c r="C638" s="15" t="n">
        <v>72</v>
      </c>
      <c r="AA638" s="15" t="n">
        <v>72</v>
      </c>
      <c r="AW638" s="15" t="n">
        <v>72</v>
      </c>
      <c r="BS638" s="15" t="n">
        <v>72</v>
      </c>
      <c r="CO638" s="15" t="n">
        <v>72</v>
      </c>
      <c r="DK638" s="15" t="n">
        <v>72</v>
      </c>
      <c r="EG638" s="15" t="n">
        <v>72</v>
      </c>
      <c r="FC638" s="15" t="n">
        <v>72</v>
      </c>
      <c r="FY638" s="15" t="n">
        <v>72</v>
      </c>
      <c r="GU638" s="15" t="n">
        <v>72</v>
      </c>
    </row>
    <row r="639">
      <c r="C639" s="15" t="n">
        <v>73</v>
      </c>
      <c r="AA639" s="15" t="n">
        <v>73</v>
      </c>
      <c r="AW639" s="15" t="n">
        <v>73</v>
      </c>
      <c r="BS639" s="15" t="n">
        <v>73</v>
      </c>
      <c r="CO639" s="15" t="n">
        <v>73</v>
      </c>
      <c r="DK639" s="15" t="n">
        <v>73</v>
      </c>
      <c r="EG639" s="15" t="n">
        <v>73</v>
      </c>
      <c r="FC639" s="15" t="n">
        <v>73</v>
      </c>
      <c r="FY639" s="15" t="n">
        <v>73</v>
      </c>
      <c r="GU639" s="15" t="n">
        <v>73</v>
      </c>
    </row>
    <row r="640">
      <c r="C640" s="15" t="n">
        <v>74</v>
      </c>
      <c r="AA640" s="15" t="n">
        <v>74</v>
      </c>
      <c r="AW640" s="15" t="n">
        <v>74</v>
      </c>
      <c r="BS640" s="15" t="n">
        <v>74</v>
      </c>
      <c r="CO640" s="15" t="n">
        <v>74</v>
      </c>
      <c r="DK640" s="15" t="n">
        <v>74</v>
      </c>
      <c r="EG640" s="15" t="n">
        <v>74</v>
      </c>
      <c r="FC640" s="15" t="n">
        <v>74</v>
      </c>
      <c r="FY640" s="15" t="n">
        <v>74</v>
      </c>
      <c r="GU640" s="15" t="n">
        <v>74</v>
      </c>
    </row>
    <row r="641">
      <c r="C641" s="15" t="n">
        <v>75</v>
      </c>
      <c r="AA641" s="15" t="n">
        <v>75</v>
      </c>
      <c r="AW641" s="15" t="n">
        <v>75</v>
      </c>
      <c r="BS641" s="15" t="n">
        <v>75</v>
      </c>
      <c r="CO641" s="15" t="n">
        <v>75</v>
      </c>
      <c r="DK641" s="15" t="n">
        <v>75</v>
      </c>
      <c r="EG641" s="15" t="n">
        <v>75</v>
      </c>
      <c r="FC641" s="15" t="n">
        <v>75</v>
      </c>
      <c r="FY641" s="15" t="n">
        <v>75</v>
      </c>
      <c r="GU641" s="15" t="n">
        <v>75</v>
      </c>
    </row>
    <row r="642">
      <c r="C642" s="15" t="n">
        <v>76</v>
      </c>
      <c r="AA642" s="15" t="n">
        <v>76</v>
      </c>
      <c r="AW642" s="15" t="n">
        <v>76</v>
      </c>
      <c r="BS642" s="15" t="n">
        <v>76</v>
      </c>
      <c r="CO642" s="15" t="n">
        <v>76</v>
      </c>
      <c r="DK642" s="15" t="n">
        <v>76</v>
      </c>
      <c r="EG642" s="15" t="n">
        <v>76</v>
      </c>
      <c r="FC642" s="15" t="n">
        <v>76</v>
      </c>
      <c r="FY642" s="15" t="n">
        <v>76</v>
      </c>
      <c r="GU642" s="15" t="n">
        <v>76</v>
      </c>
    </row>
    <row r="643">
      <c r="C643" s="15" t="n">
        <v>77</v>
      </c>
      <c r="AA643" s="15" t="n">
        <v>77</v>
      </c>
      <c r="AW643" s="15" t="n">
        <v>77</v>
      </c>
      <c r="BS643" s="15" t="n">
        <v>77</v>
      </c>
      <c r="CO643" s="15" t="n">
        <v>77</v>
      </c>
      <c r="DK643" s="15" t="n">
        <v>77</v>
      </c>
      <c r="EG643" s="15" t="n">
        <v>77</v>
      </c>
      <c r="FC643" s="15" t="n">
        <v>77</v>
      </c>
      <c r="FY643" s="15" t="n">
        <v>77</v>
      </c>
      <c r="GU643" s="15" t="n">
        <v>77</v>
      </c>
    </row>
    <row r="644">
      <c r="C644" s="15" t="n">
        <v>78</v>
      </c>
      <c r="AA644" s="15" t="n">
        <v>78</v>
      </c>
      <c r="AW644" s="15" t="n">
        <v>78</v>
      </c>
      <c r="BS644" s="15" t="n">
        <v>78</v>
      </c>
      <c r="CO644" s="15" t="n">
        <v>78</v>
      </c>
      <c r="DK644" s="15" t="n">
        <v>78</v>
      </c>
      <c r="EG644" s="15" t="n">
        <v>78</v>
      </c>
      <c r="FC644" s="15" t="n">
        <v>78</v>
      </c>
      <c r="FY644" s="15" t="n">
        <v>78</v>
      </c>
      <c r="GU644" s="15" t="n">
        <v>78</v>
      </c>
    </row>
    <row r="645">
      <c r="C645" s="15" t="n">
        <v>79</v>
      </c>
      <c r="AA645" s="15" t="n">
        <v>79</v>
      </c>
      <c r="AW645" s="15" t="n">
        <v>79</v>
      </c>
      <c r="BS645" s="15" t="n">
        <v>79</v>
      </c>
      <c r="CO645" s="15" t="n">
        <v>79</v>
      </c>
      <c r="DK645" s="15" t="n">
        <v>79</v>
      </c>
      <c r="EG645" s="15" t="n">
        <v>79</v>
      </c>
      <c r="FC645" s="15" t="n">
        <v>79</v>
      </c>
      <c r="FY645" s="15" t="n">
        <v>79</v>
      </c>
      <c r="GU645" s="15" t="n">
        <v>79</v>
      </c>
    </row>
    <row r="646">
      <c r="C646" s="15" t="n">
        <v>80</v>
      </c>
      <c r="AA646" s="15" t="n">
        <v>80</v>
      </c>
      <c r="AW646" s="15" t="n">
        <v>80</v>
      </c>
      <c r="BS646" s="15" t="n">
        <v>80</v>
      </c>
      <c r="CO646" s="15" t="n">
        <v>80</v>
      </c>
      <c r="DK646" s="15" t="n">
        <v>80</v>
      </c>
      <c r="EG646" s="15" t="n">
        <v>80</v>
      </c>
      <c r="FC646" s="15" t="n">
        <v>80</v>
      </c>
      <c r="FY646" s="15" t="n">
        <v>80</v>
      </c>
      <c r="GU646" s="15" t="n">
        <v>80</v>
      </c>
    </row>
    <row r="647">
      <c r="C647" s="15" t="n">
        <v>81</v>
      </c>
      <c r="AA647" s="15" t="n">
        <v>81</v>
      </c>
      <c r="AW647" s="15" t="n">
        <v>81</v>
      </c>
      <c r="BS647" s="15" t="n">
        <v>81</v>
      </c>
      <c r="CO647" s="15" t="n">
        <v>81</v>
      </c>
      <c r="DK647" s="15" t="n">
        <v>81</v>
      </c>
      <c r="EG647" s="15" t="n">
        <v>81</v>
      </c>
      <c r="FC647" s="15" t="n">
        <v>81</v>
      </c>
      <c r="FY647" s="15" t="n">
        <v>81</v>
      </c>
      <c r="GU647" s="15" t="n">
        <v>81</v>
      </c>
    </row>
    <row r="648">
      <c r="C648" s="15" t="n">
        <v>82</v>
      </c>
      <c r="AA648" s="15" t="n">
        <v>82</v>
      </c>
      <c r="AW648" s="15" t="n">
        <v>82</v>
      </c>
      <c r="BS648" s="15" t="n">
        <v>82</v>
      </c>
      <c r="CO648" s="15" t="n">
        <v>82</v>
      </c>
      <c r="DK648" s="15" t="n">
        <v>82</v>
      </c>
      <c r="EG648" s="15" t="n">
        <v>82</v>
      </c>
      <c r="FC648" s="15" t="n">
        <v>82</v>
      </c>
      <c r="FY648" s="15" t="n">
        <v>82</v>
      </c>
      <c r="GU648" s="15" t="n">
        <v>82</v>
      </c>
    </row>
    <row r="649">
      <c r="C649" s="15" t="n">
        <v>83</v>
      </c>
      <c r="AA649" s="15" t="n">
        <v>83</v>
      </c>
      <c r="AW649" s="15" t="n">
        <v>83</v>
      </c>
      <c r="BS649" s="15" t="n">
        <v>83</v>
      </c>
      <c r="CO649" s="15" t="n">
        <v>83</v>
      </c>
      <c r="DK649" s="15" t="n">
        <v>83</v>
      </c>
      <c r="EG649" s="15" t="n">
        <v>83</v>
      </c>
      <c r="FC649" s="15" t="n">
        <v>83</v>
      </c>
      <c r="FY649" s="15" t="n">
        <v>83</v>
      </c>
      <c r="GU649" s="15" t="n">
        <v>83</v>
      </c>
    </row>
    <row r="650">
      <c r="C650" s="15" t="n">
        <v>84</v>
      </c>
      <c r="AA650" s="15" t="n">
        <v>84</v>
      </c>
      <c r="AW650" s="15" t="n">
        <v>84</v>
      </c>
      <c r="BS650" s="15" t="n">
        <v>84</v>
      </c>
      <c r="CO650" s="15" t="n">
        <v>84</v>
      </c>
      <c r="DK650" s="15" t="n">
        <v>84</v>
      </c>
      <c r="EG650" s="15" t="n">
        <v>84</v>
      </c>
      <c r="FC650" s="15" t="n">
        <v>84</v>
      </c>
      <c r="FY650" s="15" t="n">
        <v>84</v>
      </c>
      <c r="GU650" s="15" t="n">
        <v>84</v>
      </c>
    </row>
    <row r="651">
      <c r="C651" s="15" t="n">
        <v>85</v>
      </c>
      <c r="AA651" s="15" t="n">
        <v>85</v>
      </c>
      <c r="AW651" s="15" t="n">
        <v>85</v>
      </c>
      <c r="BS651" s="15" t="n">
        <v>85</v>
      </c>
      <c r="CO651" s="15" t="n">
        <v>85</v>
      </c>
      <c r="DK651" s="15" t="n">
        <v>85</v>
      </c>
      <c r="EG651" s="15" t="n">
        <v>85</v>
      </c>
      <c r="FC651" s="15" t="n">
        <v>85</v>
      </c>
      <c r="FY651" s="15" t="n">
        <v>85</v>
      </c>
      <c r="GU651" s="15" t="n">
        <v>85</v>
      </c>
    </row>
    <row r="652">
      <c r="C652" s="15" t="n">
        <v>86</v>
      </c>
      <c r="AA652" s="15" t="n">
        <v>86</v>
      </c>
      <c r="AW652" s="15" t="n">
        <v>86</v>
      </c>
      <c r="BS652" s="15" t="n">
        <v>86</v>
      </c>
      <c r="CO652" s="15" t="n">
        <v>86</v>
      </c>
      <c r="DK652" s="15" t="n">
        <v>86</v>
      </c>
      <c r="EG652" s="15" t="n">
        <v>86</v>
      </c>
      <c r="FC652" s="15" t="n">
        <v>86</v>
      </c>
      <c r="FY652" s="15" t="n">
        <v>86</v>
      </c>
      <c r="GU652" s="15" t="n">
        <v>86</v>
      </c>
    </row>
    <row r="653">
      <c r="C653" s="15" t="n">
        <v>87</v>
      </c>
      <c r="AA653" s="15" t="n">
        <v>87</v>
      </c>
      <c r="AW653" s="15" t="n">
        <v>87</v>
      </c>
      <c r="BS653" s="15" t="n">
        <v>87</v>
      </c>
      <c r="CO653" s="15" t="n">
        <v>87</v>
      </c>
      <c r="DK653" s="15" t="n">
        <v>87</v>
      </c>
      <c r="EG653" s="15" t="n">
        <v>87</v>
      </c>
      <c r="FC653" s="15" t="n">
        <v>87</v>
      </c>
      <c r="FY653" s="15" t="n">
        <v>87</v>
      </c>
      <c r="GU653" s="15" t="n">
        <v>87</v>
      </c>
    </row>
    <row r="654">
      <c r="C654" s="15" t="n">
        <v>88</v>
      </c>
      <c r="AA654" s="15" t="n">
        <v>88</v>
      </c>
      <c r="AW654" s="15" t="n">
        <v>88</v>
      </c>
      <c r="BS654" s="15" t="n">
        <v>88</v>
      </c>
      <c r="CO654" s="15" t="n">
        <v>88</v>
      </c>
      <c r="DK654" s="15" t="n">
        <v>88</v>
      </c>
      <c r="EG654" s="15" t="n">
        <v>88</v>
      </c>
      <c r="FC654" s="15" t="n">
        <v>88</v>
      </c>
      <c r="FY654" s="15" t="n">
        <v>88</v>
      </c>
      <c r="GU654" s="15" t="n">
        <v>88</v>
      </c>
    </row>
    <row r="655">
      <c r="C655" s="15" t="n">
        <v>89</v>
      </c>
      <c r="AA655" s="15" t="n">
        <v>89</v>
      </c>
      <c r="AW655" s="15" t="n">
        <v>89</v>
      </c>
      <c r="BS655" s="15" t="n">
        <v>89</v>
      </c>
      <c r="CO655" s="15" t="n">
        <v>89</v>
      </c>
      <c r="DK655" s="15" t="n">
        <v>89</v>
      </c>
      <c r="EG655" s="15" t="n">
        <v>89</v>
      </c>
      <c r="FC655" s="15" t="n">
        <v>89</v>
      </c>
      <c r="FY655" s="15" t="n">
        <v>89</v>
      </c>
      <c r="GU655" s="15" t="n">
        <v>89</v>
      </c>
    </row>
    <row r="656">
      <c r="C656" s="15" t="n">
        <v>90</v>
      </c>
      <c r="AA656" s="15" t="n">
        <v>90</v>
      </c>
      <c r="AW656" s="15" t="n">
        <v>90</v>
      </c>
      <c r="BS656" s="15" t="n">
        <v>90</v>
      </c>
      <c r="CO656" s="15" t="n">
        <v>90</v>
      </c>
      <c r="DK656" s="15" t="n">
        <v>90</v>
      </c>
      <c r="EG656" s="15" t="n">
        <v>90</v>
      </c>
      <c r="FC656" s="15" t="n">
        <v>90</v>
      </c>
      <c r="FY656" s="15" t="n">
        <v>90</v>
      </c>
      <c r="GU656" s="15" t="n">
        <v>90</v>
      </c>
    </row>
    <row r="657">
      <c r="C657" s="15" t="n">
        <v>91</v>
      </c>
      <c r="AA657" s="15" t="n">
        <v>91</v>
      </c>
      <c r="AW657" s="15" t="n">
        <v>91</v>
      </c>
      <c r="BS657" s="15" t="n">
        <v>91</v>
      </c>
      <c r="CO657" s="15" t="n">
        <v>91</v>
      </c>
      <c r="DK657" s="15" t="n">
        <v>91</v>
      </c>
      <c r="EG657" s="15" t="n">
        <v>91</v>
      </c>
      <c r="FC657" s="15" t="n">
        <v>91</v>
      </c>
      <c r="FY657" s="15" t="n">
        <v>91</v>
      </c>
      <c r="GU657" s="15" t="n">
        <v>91</v>
      </c>
    </row>
    <row r="658">
      <c r="C658" s="15" t="n">
        <v>92</v>
      </c>
      <c r="AA658" s="15" t="n">
        <v>92</v>
      </c>
      <c r="AW658" s="15" t="n">
        <v>92</v>
      </c>
      <c r="BS658" s="15" t="n">
        <v>92</v>
      </c>
      <c r="CO658" s="15" t="n">
        <v>92</v>
      </c>
      <c r="DK658" s="15" t="n">
        <v>92</v>
      </c>
      <c r="EG658" s="15" t="n">
        <v>92</v>
      </c>
      <c r="FC658" s="15" t="n">
        <v>92</v>
      </c>
      <c r="FY658" s="15" t="n">
        <v>92</v>
      </c>
      <c r="GU658" s="15" t="n">
        <v>92</v>
      </c>
    </row>
    <row r="659">
      <c r="C659" s="15" t="n">
        <v>93</v>
      </c>
      <c r="AA659" s="15" t="n">
        <v>93</v>
      </c>
      <c r="AW659" s="15" t="n">
        <v>93</v>
      </c>
      <c r="BS659" s="15" t="n">
        <v>93</v>
      </c>
      <c r="CO659" s="15" t="n">
        <v>93</v>
      </c>
      <c r="DK659" s="15" t="n">
        <v>93</v>
      </c>
      <c r="EG659" s="15" t="n">
        <v>93</v>
      </c>
      <c r="FC659" s="15" t="n">
        <v>93</v>
      </c>
      <c r="FY659" s="15" t="n">
        <v>93</v>
      </c>
      <c r="GU659" s="15" t="n">
        <v>93</v>
      </c>
    </row>
    <row r="660">
      <c r="C660" s="15" t="n">
        <v>94</v>
      </c>
      <c r="AA660" s="15" t="n">
        <v>94</v>
      </c>
      <c r="AW660" s="15" t="n">
        <v>94</v>
      </c>
      <c r="BS660" s="15" t="n">
        <v>94</v>
      </c>
      <c r="CO660" s="15" t="n">
        <v>94</v>
      </c>
      <c r="DK660" s="15" t="n">
        <v>94</v>
      </c>
      <c r="EG660" s="15" t="n">
        <v>94</v>
      </c>
      <c r="FC660" s="15" t="n">
        <v>94</v>
      </c>
      <c r="FY660" s="15" t="n">
        <v>94</v>
      </c>
      <c r="GU660" s="15" t="n">
        <v>94</v>
      </c>
    </row>
    <row r="661">
      <c r="C661" s="15" t="n">
        <v>95</v>
      </c>
      <c r="AA661" s="15" t="n">
        <v>95</v>
      </c>
      <c r="AW661" s="15" t="n">
        <v>95</v>
      </c>
      <c r="BS661" s="15" t="n">
        <v>95</v>
      </c>
      <c r="CO661" s="15" t="n">
        <v>95</v>
      </c>
      <c r="DK661" s="15" t="n">
        <v>95</v>
      </c>
      <c r="EG661" s="15" t="n">
        <v>95</v>
      </c>
      <c r="FC661" s="15" t="n">
        <v>95</v>
      </c>
      <c r="FY661" s="15" t="n">
        <v>95</v>
      </c>
      <c r="GU661" s="15" t="n">
        <v>95</v>
      </c>
    </row>
    <row r="662">
      <c r="C662" s="15" t="n">
        <v>96</v>
      </c>
      <c r="AA662" s="15" t="n">
        <v>96</v>
      </c>
      <c r="AW662" s="15" t="n">
        <v>96</v>
      </c>
      <c r="BS662" s="15" t="n">
        <v>96</v>
      </c>
      <c r="CO662" s="15" t="n">
        <v>96</v>
      </c>
      <c r="DK662" s="15" t="n">
        <v>96</v>
      </c>
      <c r="EG662" s="15" t="n">
        <v>96</v>
      </c>
      <c r="FC662" s="15" t="n">
        <v>96</v>
      </c>
      <c r="FY662" s="15" t="n">
        <v>96</v>
      </c>
      <c r="GU662" s="15" t="n">
        <v>96</v>
      </c>
    </row>
    <row r="663">
      <c r="C663" s="15" t="n">
        <v>97</v>
      </c>
      <c r="AA663" s="15" t="n">
        <v>97</v>
      </c>
      <c r="AW663" s="15" t="n">
        <v>97</v>
      </c>
      <c r="BS663" s="15" t="n">
        <v>97</v>
      </c>
      <c r="CO663" s="15" t="n">
        <v>97</v>
      </c>
      <c r="DK663" s="15" t="n">
        <v>97</v>
      </c>
      <c r="EG663" s="15" t="n">
        <v>97</v>
      </c>
      <c r="FC663" s="15" t="n">
        <v>97</v>
      </c>
      <c r="FY663" s="15" t="n">
        <v>97</v>
      </c>
      <c r="GU663" s="15" t="n">
        <v>97</v>
      </c>
    </row>
    <row r="664">
      <c r="C664" s="15" t="n">
        <v>98</v>
      </c>
      <c r="AA664" s="15" t="n">
        <v>98</v>
      </c>
      <c r="AW664" s="15" t="n">
        <v>98</v>
      </c>
      <c r="BS664" s="15" t="n">
        <v>98</v>
      </c>
      <c r="CO664" s="15" t="n">
        <v>98</v>
      </c>
      <c r="DK664" s="15" t="n">
        <v>98</v>
      </c>
      <c r="EG664" s="15" t="n">
        <v>98</v>
      </c>
      <c r="FC664" s="15" t="n">
        <v>98</v>
      </c>
      <c r="FY664" s="15" t="n">
        <v>98</v>
      </c>
      <c r="GU664" s="15" t="n">
        <v>98</v>
      </c>
    </row>
    <row r="665">
      <c r="C665" s="15" t="n">
        <v>99</v>
      </c>
      <c r="AA665" s="15" t="n">
        <v>99</v>
      </c>
      <c r="AW665" s="15" t="n">
        <v>99</v>
      </c>
      <c r="BS665" s="15" t="n">
        <v>99</v>
      </c>
      <c r="CO665" s="15" t="n">
        <v>99</v>
      </c>
      <c r="DK665" s="15" t="n">
        <v>99</v>
      </c>
      <c r="EG665" s="15" t="n">
        <v>99</v>
      </c>
      <c r="FC665" s="15" t="n">
        <v>99</v>
      </c>
      <c r="FY665" s="15" t="n">
        <v>99</v>
      </c>
      <c r="GU665" s="15" t="n">
        <v>99</v>
      </c>
    </row>
    <row r="666">
      <c r="C666" s="15" t="n">
        <v>100</v>
      </c>
      <c r="AA666" s="15" t="n">
        <v>100</v>
      </c>
      <c r="AW666" s="15" t="n">
        <v>100</v>
      </c>
      <c r="BS666" s="15" t="n">
        <v>100</v>
      </c>
      <c r="CO666" s="15" t="n">
        <v>100</v>
      </c>
      <c r="DK666" s="15" t="n">
        <v>100</v>
      </c>
      <c r="EG666" s="15" t="n">
        <v>100</v>
      </c>
      <c r="FC666" s="15" t="n">
        <v>100</v>
      </c>
      <c r="FY666" s="15" t="n">
        <v>100</v>
      </c>
      <c r="GU666" s="15" t="n">
        <v>100</v>
      </c>
    </row>
    <row r="667">
      <c r="C667" s="15" t="n">
        <v>101</v>
      </c>
      <c r="AA667" s="15" t="n">
        <v>101</v>
      </c>
      <c r="AW667" s="15" t="n">
        <v>101</v>
      </c>
      <c r="BS667" s="15" t="n">
        <v>101</v>
      </c>
      <c r="CO667" s="15" t="n">
        <v>101</v>
      </c>
      <c r="DK667" s="15" t="n">
        <v>101</v>
      </c>
      <c r="EG667" s="15" t="n">
        <v>101</v>
      </c>
      <c r="FC667" s="15" t="n">
        <v>101</v>
      </c>
      <c r="FY667" s="15" t="n">
        <v>101</v>
      </c>
      <c r="GU667" s="15" t="n">
        <v>101</v>
      </c>
    </row>
    <row r="668">
      <c r="C668" s="15" t="n">
        <v>102</v>
      </c>
      <c r="AA668" s="15" t="n">
        <v>102</v>
      </c>
      <c r="AW668" s="15" t="n">
        <v>102</v>
      </c>
      <c r="BS668" s="15" t="n">
        <v>102</v>
      </c>
      <c r="CO668" s="15" t="n">
        <v>102</v>
      </c>
      <c r="DK668" s="15" t="n">
        <v>102</v>
      </c>
      <c r="EG668" s="15" t="n">
        <v>102</v>
      </c>
      <c r="FC668" s="15" t="n">
        <v>102</v>
      </c>
      <c r="FY668" s="15" t="n">
        <v>102</v>
      </c>
      <c r="GU668" s="15" t="n">
        <v>102</v>
      </c>
    </row>
    <row r="669">
      <c r="C669" s="15" t="n">
        <v>103</v>
      </c>
      <c r="AA669" s="15" t="n">
        <v>103</v>
      </c>
      <c r="AW669" s="15" t="n">
        <v>103</v>
      </c>
      <c r="BS669" s="15" t="n">
        <v>103</v>
      </c>
      <c r="CO669" s="15" t="n">
        <v>103</v>
      </c>
      <c r="DK669" s="15" t="n">
        <v>103</v>
      </c>
      <c r="EG669" s="15" t="n">
        <v>103</v>
      </c>
      <c r="FC669" s="15" t="n">
        <v>103</v>
      </c>
      <c r="FY669" s="15" t="n">
        <v>103</v>
      </c>
      <c r="GU669" s="15" t="n">
        <v>103</v>
      </c>
    </row>
    <row r="670">
      <c r="C670" s="15" t="n">
        <v>104</v>
      </c>
      <c r="AA670" s="15" t="n">
        <v>104</v>
      </c>
      <c r="AW670" s="15" t="n">
        <v>104</v>
      </c>
      <c r="BS670" s="15" t="n">
        <v>104</v>
      </c>
      <c r="CO670" s="15" t="n">
        <v>104</v>
      </c>
      <c r="DK670" s="15" t="n">
        <v>104</v>
      </c>
      <c r="EG670" s="15" t="n">
        <v>104</v>
      </c>
      <c r="FC670" s="15" t="n">
        <v>104</v>
      </c>
      <c r="FY670" s="15" t="n">
        <v>104</v>
      </c>
      <c r="GU670" s="15" t="n">
        <v>104</v>
      </c>
    </row>
    <row r="671">
      <c r="C671" s="15" t="n">
        <v>105</v>
      </c>
      <c r="AA671" s="15" t="n">
        <v>105</v>
      </c>
      <c r="AW671" s="15" t="n">
        <v>105</v>
      </c>
      <c r="BS671" s="15" t="n">
        <v>105</v>
      </c>
      <c r="CO671" s="15" t="n">
        <v>105</v>
      </c>
      <c r="DK671" s="15" t="n">
        <v>105</v>
      </c>
      <c r="EG671" s="15" t="n">
        <v>105</v>
      </c>
      <c r="FC671" s="15" t="n">
        <v>105</v>
      </c>
      <c r="FY671" s="15" t="n">
        <v>105</v>
      </c>
      <c r="GU671" s="15" t="n">
        <v>105</v>
      </c>
    </row>
    <row r="672">
      <c r="C672" s="15" t="n">
        <v>106</v>
      </c>
      <c r="AA672" s="15" t="n">
        <v>106</v>
      </c>
      <c r="AW672" s="15" t="n">
        <v>106</v>
      </c>
      <c r="BS672" s="15" t="n">
        <v>106</v>
      </c>
      <c r="CO672" s="15" t="n">
        <v>106</v>
      </c>
      <c r="DK672" s="15" t="n">
        <v>106</v>
      </c>
      <c r="EG672" s="15" t="n">
        <v>106</v>
      </c>
      <c r="FC672" s="15" t="n">
        <v>106</v>
      </c>
      <c r="FY672" s="15" t="n">
        <v>106</v>
      </c>
      <c r="GU672" s="15" t="n">
        <v>106</v>
      </c>
    </row>
    <row r="673">
      <c r="C673" s="15" t="n">
        <v>107</v>
      </c>
      <c r="AA673" s="15" t="n">
        <v>107</v>
      </c>
      <c r="AW673" s="15" t="n">
        <v>107</v>
      </c>
      <c r="BS673" s="15" t="n">
        <v>107</v>
      </c>
      <c r="CO673" s="15" t="n">
        <v>107</v>
      </c>
      <c r="DK673" s="15" t="n">
        <v>107</v>
      </c>
      <c r="EG673" s="15" t="n">
        <v>107</v>
      </c>
      <c r="FC673" s="15" t="n">
        <v>107</v>
      </c>
      <c r="FY673" s="15" t="n">
        <v>107</v>
      </c>
      <c r="GU673" s="15" t="n">
        <v>107</v>
      </c>
    </row>
    <row r="674">
      <c r="C674" s="15" t="n">
        <v>108</v>
      </c>
      <c r="AA674" s="15" t="n">
        <v>108</v>
      </c>
      <c r="AW674" s="15" t="n">
        <v>108</v>
      </c>
      <c r="BS674" s="15" t="n">
        <v>108</v>
      </c>
      <c r="CO674" s="15" t="n">
        <v>108</v>
      </c>
      <c r="DK674" s="15" t="n">
        <v>108</v>
      </c>
      <c r="EG674" s="15" t="n">
        <v>108</v>
      </c>
      <c r="FC674" s="15" t="n">
        <v>108</v>
      </c>
      <c r="FY674" s="15" t="n">
        <v>108</v>
      </c>
      <c r="GU674" s="15" t="n">
        <v>108</v>
      </c>
    </row>
    <row r="675">
      <c r="C675" s="15" t="n">
        <v>109</v>
      </c>
      <c r="AA675" s="15" t="n">
        <v>109</v>
      </c>
      <c r="AW675" s="15" t="n">
        <v>109</v>
      </c>
      <c r="BS675" s="15" t="n">
        <v>109</v>
      </c>
      <c r="CO675" s="15" t="n">
        <v>109</v>
      </c>
      <c r="DK675" s="15" t="n">
        <v>109</v>
      </c>
      <c r="EG675" s="15" t="n">
        <v>109</v>
      </c>
      <c r="FC675" s="15" t="n">
        <v>109</v>
      </c>
      <c r="FY675" s="15" t="n">
        <v>109</v>
      </c>
      <c r="GU675" s="15" t="n">
        <v>109</v>
      </c>
    </row>
    <row r="676">
      <c r="C676" s="15" t="n">
        <v>110</v>
      </c>
      <c r="AA676" s="15" t="n">
        <v>110</v>
      </c>
      <c r="AW676" s="15" t="n">
        <v>110</v>
      </c>
      <c r="BS676" s="15" t="n">
        <v>110</v>
      </c>
      <c r="CO676" s="15" t="n">
        <v>110</v>
      </c>
      <c r="DK676" s="15" t="n">
        <v>110</v>
      </c>
      <c r="EG676" s="15" t="n">
        <v>110</v>
      </c>
      <c r="FC676" s="15" t="n">
        <v>110</v>
      </c>
      <c r="FY676" s="15" t="n">
        <v>110</v>
      </c>
      <c r="GU676" s="15" t="n">
        <v>110</v>
      </c>
    </row>
    <row r="677">
      <c r="C677" s="15" t="n">
        <v>111</v>
      </c>
      <c r="AA677" s="15" t="n">
        <v>111</v>
      </c>
      <c r="AW677" s="15" t="n">
        <v>111</v>
      </c>
      <c r="BS677" s="15" t="n">
        <v>111</v>
      </c>
      <c r="CO677" s="15" t="n">
        <v>111</v>
      </c>
      <c r="DK677" s="15" t="n">
        <v>111</v>
      </c>
      <c r="EG677" s="15" t="n">
        <v>111</v>
      </c>
      <c r="FC677" s="15" t="n">
        <v>111</v>
      </c>
      <c r="FY677" s="15" t="n">
        <v>111</v>
      </c>
      <c r="GU677" s="15" t="n">
        <v>111</v>
      </c>
    </row>
    <row r="678">
      <c r="C678" s="15" t="n">
        <v>112</v>
      </c>
      <c r="AA678" s="15" t="n">
        <v>112</v>
      </c>
      <c r="AW678" s="15" t="n">
        <v>112</v>
      </c>
      <c r="BS678" s="15" t="n">
        <v>112</v>
      </c>
      <c r="CO678" s="15" t="n">
        <v>112</v>
      </c>
      <c r="DK678" s="15" t="n">
        <v>112</v>
      </c>
      <c r="EG678" s="15" t="n">
        <v>112</v>
      </c>
      <c r="FC678" s="15" t="n">
        <v>112</v>
      </c>
      <c r="FY678" s="15" t="n">
        <v>112</v>
      </c>
      <c r="GU678" s="15" t="n">
        <v>112</v>
      </c>
    </row>
    <row r="679">
      <c r="C679" s="15" t="n">
        <v>113</v>
      </c>
      <c r="AA679" s="15" t="n">
        <v>113</v>
      </c>
      <c r="AW679" s="15" t="n">
        <v>113</v>
      </c>
      <c r="BS679" s="15" t="n">
        <v>113</v>
      </c>
      <c r="CO679" s="15" t="n">
        <v>113</v>
      </c>
      <c r="DK679" s="15" t="n">
        <v>113</v>
      </c>
      <c r="EG679" s="15" t="n">
        <v>113</v>
      </c>
      <c r="FC679" s="15" t="n">
        <v>113</v>
      </c>
      <c r="FY679" s="15" t="n">
        <v>113</v>
      </c>
      <c r="GU679" s="15" t="n">
        <v>113</v>
      </c>
    </row>
    <row r="680">
      <c r="C680" s="15" t="n">
        <v>114</v>
      </c>
      <c r="AA680" s="15" t="n">
        <v>114</v>
      </c>
      <c r="AW680" s="15" t="n">
        <v>114</v>
      </c>
      <c r="BS680" s="15" t="n">
        <v>114</v>
      </c>
      <c r="CO680" s="15" t="n">
        <v>114</v>
      </c>
      <c r="DK680" s="15" t="n">
        <v>114</v>
      </c>
      <c r="EG680" s="15" t="n">
        <v>114</v>
      </c>
      <c r="FC680" s="15" t="n">
        <v>114</v>
      </c>
      <c r="FY680" s="15" t="n">
        <v>114</v>
      </c>
      <c r="GU680" s="15" t="n">
        <v>114</v>
      </c>
    </row>
    <row r="681">
      <c r="C681" s="15" t="n">
        <v>115</v>
      </c>
      <c r="AA681" s="15" t="n">
        <v>115</v>
      </c>
      <c r="AW681" s="15" t="n">
        <v>115</v>
      </c>
      <c r="BS681" s="15" t="n">
        <v>115</v>
      </c>
      <c r="CO681" s="15" t="n">
        <v>115</v>
      </c>
      <c r="DK681" s="15" t="n">
        <v>115</v>
      </c>
      <c r="EG681" s="15" t="n">
        <v>115</v>
      </c>
      <c r="FC681" s="15" t="n">
        <v>115</v>
      </c>
      <c r="FY681" s="15" t="n">
        <v>115</v>
      </c>
      <c r="GU681" s="15" t="n">
        <v>115</v>
      </c>
    </row>
    <row r="682">
      <c r="C682" s="15" t="n">
        <v>116</v>
      </c>
      <c r="AA682" s="15" t="n">
        <v>116</v>
      </c>
      <c r="AW682" s="15" t="n">
        <v>116</v>
      </c>
      <c r="BS682" s="15" t="n">
        <v>116</v>
      </c>
      <c r="CO682" s="15" t="n">
        <v>116</v>
      </c>
      <c r="DK682" s="15" t="n">
        <v>116</v>
      </c>
      <c r="EG682" s="15" t="n">
        <v>116</v>
      </c>
      <c r="FC682" s="15" t="n">
        <v>116</v>
      </c>
      <c r="FY682" s="15" t="n">
        <v>116</v>
      </c>
      <c r="GU682" s="15" t="n">
        <v>116</v>
      </c>
    </row>
    <row r="683">
      <c r="C683" s="15" t="n">
        <v>117</v>
      </c>
      <c r="AA683" s="15" t="n">
        <v>117</v>
      </c>
      <c r="AW683" s="15" t="n">
        <v>117</v>
      </c>
      <c r="BS683" s="15" t="n">
        <v>117</v>
      </c>
      <c r="CO683" s="15" t="n">
        <v>117</v>
      </c>
      <c r="DK683" s="15" t="n">
        <v>117</v>
      </c>
      <c r="EG683" s="15" t="n">
        <v>117</v>
      </c>
      <c r="FC683" s="15" t="n">
        <v>117</v>
      </c>
      <c r="FY683" s="15" t="n">
        <v>117</v>
      </c>
      <c r="GU683" s="15" t="n">
        <v>117</v>
      </c>
    </row>
    <row r="684">
      <c r="C684" s="15" t="n">
        <v>118</v>
      </c>
      <c r="AA684" s="15" t="n">
        <v>118</v>
      </c>
      <c r="AW684" s="15" t="n">
        <v>118</v>
      </c>
      <c r="BS684" s="15" t="n">
        <v>118</v>
      </c>
      <c r="CO684" s="15" t="n">
        <v>118</v>
      </c>
      <c r="DK684" s="15" t="n">
        <v>118</v>
      </c>
      <c r="EG684" s="15" t="n">
        <v>118</v>
      </c>
      <c r="FC684" s="15" t="n">
        <v>118</v>
      </c>
      <c r="FY684" s="15" t="n">
        <v>118</v>
      </c>
      <c r="GU684" s="15" t="n">
        <v>118</v>
      </c>
    </row>
    <row r="685">
      <c r="C685" s="15" t="n">
        <v>119</v>
      </c>
      <c r="AA685" s="15" t="n">
        <v>119</v>
      </c>
      <c r="AW685" s="15" t="n">
        <v>119</v>
      </c>
      <c r="BS685" s="15" t="n">
        <v>119</v>
      </c>
      <c r="CO685" s="15" t="n">
        <v>119</v>
      </c>
      <c r="DK685" s="15" t="n">
        <v>119</v>
      </c>
      <c r="EG685" s="15" t="n">
        <v>119</v>
      </c>
      <c r="FC685" s="15" t="n">
        <v>119</v>
      </c>
      <c r="FY685" s="15" t="n">
        <v>119</v>
      </c>
      <c r="GU685" s="15" t="n">
        <v>119</v>
      </c>
    </row>
    <row r="686">
      <c r="C686" s="15" t="n">
        <v>120</v>
      </c>
      <c r="AA686" s="15" t="n">
        <v>120</v>
      </c>
      <c r="AW686" s="15" t="n">
        <v>120</v>
      </c>
      <c r="BS686" s="15" t="n">
        <v>120</v>
      </c>
      <c r="CO686" s="15" t="n">
        <v>120</v>
      </c>
      <c r="DK686" s="15" t="n">
        <v>120</v>
      </c>
      <c r="EG686" s="15" t="n">
        <v>120</v>
      </c>
      <c r="FC686" s="15" t="n">
        <v>120</v>
      </c>
      <c r="FY686" s="15" t="n">
        <v>120</v>
      </c>
      <c r="GU686" s="15" t="n">
        <v>120</v>
      </c>
    </row>
    <row r="687">
      <c r="C687" s="15" t="n">
        <v>121</v>
      </c>
      <c r="AA687" s="15" t="n">
        <v>121</v>
      </c>
      <c r="AW687" s="15" t="n">
        <v>121</v>
      </c>
      <c r="BS687" s="15" t="n">
        <v>121</v>
      </c>
      <c r="CO687" s="15" t="n">
        <v>121</v>
      </c>
      <c r="DK687" s="15" t="n">
        <v>121</v>
      </c>
      <c r="EG687" s="15" t="n">
        <v>121</v>
      </c>
      <c r="FC687" s="15" t="n">
        <v>121</v>
      </c>
      <c r="FY687" s="15" t="n">
        <v>121</v>
      </c>
      <c r="GU687" s="15" t="n">
        <v>121</v>
      </c>
    </row>
    <row r="688">
      <c r="C688" s="15" t="n">
        <v>122</v>
      </c>
      <c r="AA688" s="15" t="n">
        <v>122</v>
      </c>
      <c r="AW688" s="15" t="n">
        <v>122</v>
      </c>
      <c r="BS688" s="15" t="n">
        <v>122</v>
      </c>
      <c r="CO688" s="15" t="n">
        <v>122</v>
      </c>
      <c r="DK688" s="15" t="n">
        <v>122</v>
      </c>
      <c r="EG688" s="15" t="n">
        <v>122</v>
      </c>
      <c r="FC688" s="15" t="n">
        <v>122</v>
      </c>
      <c r="FY688" s="15" t="n">
        <v>122</v>
      </c>
      <c r="GU688" s="15" t="n">
        <v>122</v>
      </c>
    </row>
    <row r="689">
      <c r="C689" s="15" t="n">
        <v>123</v>
      </c>
      <c r="AA689" s="15" t="n">
        <v>123</v>
      </c>
      <c r="AW689" s="15" t="n">
        <v>123</v>
      </c>
      <c r="BS689" s="15" t="n">
        <v>123</v>
      </c>
      <c r="CO689" s="15" t="n">
        <v>123</v>
      </c>
      <c r="DK689" s="15" t="n">
        <v>123</v>
      </c>
      <c r="EG689" s="15" t="n">
        <v>123</v>
      </c>
      <c r="FC689" s="15" t="n">
        <v>123</v>
      </c>
      <c r="FY689" s="15" t="n">
        <v>123</v>
      </c>
      <c r="GU689" s="15" t="n">
        <v>123</v>
      </c>
    </row>
    <row r="690">
      <c r="C690" s="15" t="n">
        <v>124</v>
      </c>
      <c r="AA690" s="15" t="n">
        <v>124</v>
      </c>
      <c r="AW690" s="15" t="n">
        <v>124</v>
      </c>
      <c r="BS690" s="15" t="n">
        <v>124</v>
      </c>
      <c r="CO690" s="15" t="n">
        <v>124</v>
      </c>
      <c r="DK690" s="15" t="n">
        <v>124</v>
      </c>
      <c r="EG690" s="15" t="n">
        <v>124</v>
      </c>
      <c r="FC690" s="15" t="n">
        <v>124</v>
      </c>
      <c r="FY690" s="15" t="n">
        <v>124</v>
      </c>
      <c r="GU690" s="15" t="n">
        <v>124</v>
      </c>
    </row>
    <row r="691">
      <c r="C691" s="15" t="n">
        <v>125</v>
      </c>
      <c r="AA691" s="15" t="n">
        <v>125</v>
      </c>
      <c r="AW691" s="15" t="n">
        <v>125</v>
      </c>
      <c r="BS691" s="15" t="n">
        <v>125</v>
      </c>
      <c r="CO691" s="15" t="n">
        <v>125</v>
      </c>
      <c r="DK691" s="15" t="n">
        <v>125</v>
      </c>
      <c r="EG691" s="15" t="n">
        <v>125</v>
      </c>
      <c r="FC691" s="15" t="n">
        <v>125</v>
      </c>
      <c r="FY691" s="15" t="n">
        <v>125</v>
      </c>
      <c r="GU691" s="15" t="n">
        <v>125</v>
      </c>
    </row>
    <row r="692">
      <c r="C692" s="15" t="n">
        <v>126</v>
      </c>
      <c r="AA692" s="15" t="n">
        <v>126</v>
      </c>
      <c r="AW692" s="15" t="n">
        <v>126</v>
      </c>
      <c r="BS692" s="15" t="n">
        <v>126</v>
      </c>
      <c r="CO692" s="15" t="n">
        <v>126</v>
      </c>
      <c r="DK692" s="15" t="n">
        <v>126</v>
      </c>
      <c r="EG692" s="15" t="n">
        <v>126</v>
      </c>
      <c r="FC692" s="15" t="n">
        <v>126</v>
      </c>
      <c r="FY692" s="15" t="n">
        <v>126</v>
      </c>
      <c r="GU692" s="15" t="n">
        <v>126</v>
      </c>
    </row>
    <row r="693">
      <c r="C693" s="15" t="n">
        <v>127</v>
      </c>
      <c r="AA693" s="15" t="n">
        <v>127</v>
      </c>
      <c r="AW693" s="15" t="n">
        <v>127</v>
      </c>
      <c r="BS693" s="15" t="n">
        <v>127</v>
      </c>
      <c r="CO693" s="15" t="n">
        <v>127</v>
      </c>
      <c r="DK693" s="15" t="n">
        <v>127</v>
      </c>
      <c r="EG693" s="15" t="n">
        <v>127</v>
      </c>
      <c r="FC693" s="15" t="n">
        <v>127</v>
      </c>
      <c r="FY693" s="15" t="n">
        <v>127</v>
      </c>
      <c r="GU693" s="15" t="n">
        <v>127</v>
      </c>
    </row>
    <row r="694">
      <c r="C694" s="15" t="n">
        <v>128</v>
      </c>
      <c r="AA694" s="15" t="n">
        <v>128</v>
      </c>
      <c r="AW694" s="15" t="n">
        <v>128</v>
      </c>
      <c r="BS694" s="15" t="n">
        <v>128</v>
      </c>
      <c r="CO694" s="15" t="n">
        <v>128</v>
      </c>
      <c r="DK694" s="15" t="n">
        <v>128</v>
      </c>
      <c r="EG694" s="15" t="n">
        <v>128</v>
      </c>
      <c r="FC694" s="15" t="n">
        <v>128</v>
      </c>
      <c r="FY694" s="15" t="n">
        <v>128</v>
      </c>
      <c r="GU694" s="15" t="n">
        <v>128</v>
      </c>
    </row>
    <row r="695">
      <c r="C695" s="15" t="n">
        <v>129</v>
      </c>
      <c r="AA695" s="15" t="n">
        <v>129</v>
      </c>
      <c r="AW695" s="15" t="n">
        <v>129</v>
      </c>
      <c r="BS695" s="15" t="n">
        <v>129</v>
      </c>
      <c r="CO695" s="15" t="n">
        <v>129</v>
      </c>
      <c r="DK695" s="15" t="n">
        <v>129</v>
      </c>
      <c r="EG695" s="15" t="n">
        <v>129</v>
      </c>
      <c r="FC695" s="15" t="n">
        <v>129</v>
      </c>
      <c r="FY695" s="15" t="n">
        <v>129</v>
      </c>
      <c r="GU695" s="15" t="n">
        <v>129</v>
      </c>
    </row>
    <row r="696">
      <c r="C696" s="15" t="n">
        <v>130</v>
      </c>
      <c r="AA696" s="15" t="n">
        <v>130</v>
      </c>
      <c r="AW696" s="15" t="n">
        <v>130</v>
      </c>
      <c r="BS696" s="15" t="n">
        <v>130</v>
      </c>
      <c r="CO696" s="15" t="n">
        <v>130</v>
      </c>
      <c r="DK696" s="15" t="n">
        <v>130</v>
      </c>
      <c r="EG696" s="15" t="n">
        <v>130</v>
      </c>
      <c r="FC696" s="15" t="n">
        <v>130</v>
      </c>
      <c r="FY696" s="15" t="n">
        <v>130</v>
      </c>
      <c r="GU696" s="15" t="n">
        <v>130</v>
      </c>
    </row>
    <row r="697">
      <c r="C697" s="15" t="n">
        <v>131</v>
      </c>
      <c r="AA697" s="15" t="n">
        <v>131</v>
      </c>
      <c r="AW697" s="15" t="n">
        <v>131</v>
      </c>
      <c r="BS697" s="15" t="n">
        <v>131</v>
      </c>
      <c r="CO697" s="15" t="n">
        <v>131</v>
      </c>
      <c r="DK697" s="15" t="n">
        <v>131</v>
      </c>
      <c r="EG697" s="15" t="n">
        <v>131</v>
      </c>
      <c r="FC697" s="15" t="n">
        <v>131</v>
      </c>
      <c r="FY697" s="15" t="n">
        <v>131</v>
      </c>
      <c r="GU697" s="15" t="n">
        <v>131</v>
      </c>
    </row>
    <row r="698">
      <c r="C698" s="15" t="n">
        <v>132</v>
      </c>
      <c r="AA698" s="15" t="n">
        <v>132</v>
      </c>
      <c r="AW698" s="15" t="n">
        <v>132</v>
      </c>
      <c r="BS698" s="15" t="n">
        <v>132</v>
      </c>
      <c r="CO698" s="15" t="n">
        <v>132</v>
      </c>
      <c r="DK698" s="15" t="n">
        <v>132</v>
      </c>
      <c r="EG698" s="15" t="n">
        <v>132</v>
      </c>
      <c r="FC698" s="15" t="n">
        <v>132</v>
      </c>
      <c r="FY698" s="15" t="n">
        <v>132</v>
      </c>
      <c r="GU698" s="15" t="n">
        <v>132</v>
      </c>
    </row>
    <row r="699">
      <c r="C699" s="15" t="n">
        <v>133</v>
      </c>
      <c r="AA699" s="15" t="n">
        <v>133</v>
      </c>
      <c r="AW699" s="15" t="n">
        <v>133</v>
      </c>
      <c r="BS699" s="15" t="n">
        <v>133</v>
      </c>
      <c r="CO699" s="15" t="n">
        <v>133</v>
      </c>
      <c r="DK699" s="15" t="n">
        <v>133</v>
      </c>
      <c r="EG699" s="15" t="n">
        <v>133</v>
      </c>
      <c r="FC699" s="15" t="n">
        <v>133</v>
      </c>
      <c r="FY699" s="15" t="n">
        <v>133</v>
      </c>
      <c r="GU699" s="15" t="n">
        <v>133</v>
      </c>
    </row>
    <row r="700">
      <c r="C700" s="15" t="n">
        <v>134</v>
      </c>
      <c r="AA700" s="15" t="n">
        <v>134</v>
      </c>
      <c r="AW700" s="15" t="n">
        <v>134</v>
      </c>
      <c r="BS700" s="15" t="n">
        <v>134</v>
      </c>
      <c r="CO700" s="15" t="n">
        <v>134</v>
      </c>
      <c r="DK700" s="15" t="n">
        <v>134</v>
      </c>
      <c r="EG700" s="15" t="n">
        <v>134</v>
      </c>
      <c r="FC700" s="15" t="n">
        <v>134</v>
      </c>
      <c r="FY700" s="15" t="n">
        <v>134</v>
      </c>
      <c r="GU700" s="15" t="n">
        <v>134</v>
      </c>
    </row>
    <row r="701">
      <c r="C701" s="15" t="n">
        <v>135</v>
      </c>
      <c r="AA701" s="15" t="n">
        <v>135</v>
      </c>
      <c r="AW701" s="15" t="n">
        <v>135</v>
      </c>
      <c r="BS701" s="15" t="n">
        <v>135</v>
      </c>
      <c r="CO701" s="15" t="n">
        <v>135</v>
      </c>
      <c r="DK701" s="15" t="n">
        <v>135</v>
      </c>
      <c r="EG701" s="15" t="n">
        <v>135</v>
      </c>
      <c r="FC701" s="15" t="n">
        <v>135</v>
      </c>
      <c r="FY701" s="15" t="n">
        <v>135</v>
      </c>
      <c r="GU701" s="15" t="n">
        <v>135</v>
      </c>
    </row>
    <row r="702">
      <c r="C702" s="15" t="n">
        <v>136</v>
      </c>
      <c r="AA702" s="15" t="n">
        <v>136</v>
      </c>
      <c r="AW702" s="15" t="n">
        <v>136</v>
      </c>
      <c r="BS702" s="15" t="n">
        <v>136</v>
      </c>
      <c r="CO702" s="15" t="n">
        <v>136</v>
      </c>
      <c r="DK702" s="15" t="n">
        <v>136</v>
      </c>
      <c r="EG702" s="15" t="n">
        <v>136</v>
      </c>
      <c r="FC702" s="15" t="n">
        <v>136</v>
      </c>
      <c r="FY702" s="15" t="n">
        <v>136</v>
      </c>
      <c r="GU702" s="15" t="n">
        <v>136</v>
      </c>
    </row>
    <row r="703">
      <c r="C703" s="15" t="n">
        <v>137</v>
      </c>
      <c r="AA703" s="15" t="n">
        <v>137</v>
      </c>
      <c r="AW703" s="15" t="n">
        <v>137</v>
      </c>
      <c r="BS703" s="15" t="n">
        <v>137</v>
      </c>
      <c r="CO703" s="15" t="n">
        <v>137</v>
      </c>
      <c r="DK703" s="15" t="n">
        <v>137</v>
      </c>
      <c r="EG703" s="15" t="n">
        <v>137</v>
      </c>
      <c r="FC703" s="15" t="n">
        <v>137</v>
      </c>
      <c r="FY703" s="15" t="n">
        <v>137</v>
      </c>
      <c r="GU703" s="15" t="n">
        <v>137</v>
      </c>
    </row>
    <row r="704">
      <c r="C704" s="15" t="n">
        <v>138</v>
      </c>
      <c r="AA704" s="15" t="n">
        <v>138</v>
      </c>
      <c r="AW704" s="15" t="n">
        <v>138</v>
      </c>
      <c r="BS704" s="15" t="n">
        <v>138</v>
      </c>
      <c r="CO704" s="15" t="n">
        <v>138</v>
      </c>
      <c r="DK704" s="15" t="n">
        <v>138</v>
      </c>
      <c r="EG704" s="15" t="n">
        <v>138</v>
      </c>
      <c r="FC704" s="15" t="n">
        <v>138</v>
      </c>
      <c r="FY704" s="15" t="n">
        <v>138</v>
      </c>
      <c r="GU704" s="15" t="n">
        <v>138</v>
      </c>
    </row>
    <row r="705">
      <c r="C705" s="15" t="n">
        <v>139</v>
      </c>
      <c r="AA705" s="15" t="n">
        <v>139</v>
      </c>
      <c r="AW705" s="15" t="n">
        <v>139</v>
      </c>
      <c r="BS705" s="15" t="n">
        <v>139</v>
      </c>
      <c r="CO705" s="15" t="n">
        <v>139</v>
      </c>
      <c r="DK705" s="15" t="n">
        <v>139</v>
      </c>
      <c r="EG705" s="15" t="n">
        <v>139</v>
      </c>
      <c r="FC705" s="15" t="n">
        <v>139</v>
      </c>
      <c r="FY705" s="15" t="n">
        <v>139</v>
      </c>
      <c r="GU705" s="15" t="n">
        <v>139</v>
      </c>
    </row>
    <row r="706">
      <c r="C706" s="15" t="n">
        <v>140</v>
      </c>
      <c r="AA706" s="15" t="n">
        <v>140</v>
      </c>
      <c r="AW706" s="15" t="n">
        <v>140</v>
      </c>
      <c r="BS706" s="15" t="n">
        <v>140</v>
      </c>
      <c r="CO706" s="15" t="n">
        <v>140</v>
      </c>
      <c r="DK706" s="15" t="n">
        <v>140</v>
      </c>
      <c r="EG706" s="15" t="n">
        <v>140</v>
      </c>
      <c r="FC706" s="15" t="n">
        <v>140</v>
      </c>
      <c r="FY706" s="15" t="n">
        <v>140</v>
      </c>
      <c r="GU706" s="15" t="n">
        <v>140</v>
      </c>
    </row>
    <row r="707">
      <c r="C707" s="15" t="n">
        <v>141</v>
      </c>
      <c r="AA707" s="15" t="n">
        <v>141</v>
      </c>
      <c r="AW707" s="15" t="n">
        <v>141</v>
      </c>
      <c r="BS707" s="15" t="n">
        <v>141</v>
      </c>
      <c r="CO707" s="15" t="n">
        <v>141</v>
      </c>
      <c r="DK707" s="15" t="n">
        <v>141</v>
      </c>
      <c r="EG707" s="15" t="n">
        <v>141</v>
      </c>
      <c r="FC707" s="15" t="n">
        <v>141</v>
      </c>
      <c r="FY707" s="15" t="n">
        <v>141</v>
      </c>
      <c r="GU707" s="15" t="n">
        <v>141</v>
      </c>
    </row>
    <row r="708">
      <c r="C708" s="15" t="n">
        <v>142</v>
      </c>
      <c r="AA708" s="15" t="n">
        <v>142</v>
      </c>
      <c r="AW708" s="15" t="n">
        <v>142</v>
      </c>
      <c r="BS708" s="15" t="n">
        <v>142</v>
      </c>
      <c r="CO708" s="15" t="n">
        <v>142</v>
      </c>
      <c r="DK708" s="15" t="n">
        <v>142</v>
      </c>
      <c r="EG708" s="15" t="n">
        <v>142</v>
      </c>
      <c r="FC708" s="15" t="n">
        <v>142</v>
      </c>
      <c r="FY708" s="15" t="n">
        <v>142</v>
      </c>
      <c r="GU708" s="15" t="n">
        <v>142</v>
      </c>
    </row>
    <row r="709">
      <c r="C709" s="15" t="n">
        <v>143</v>
      </c>
      <c r="AA709" s="15" t="n">
        <v>143</v>
      </c>
      <c r="AW709" s="15" t="n">
        <v>143</v>
      </c>
      <c r="BS709" s="15" t="n">
        <v>143</v>
      </c>
      <c r="CO709" s="15" t="n">
        <v>143</v>
      </c>
      <c r="DK709" s="15" t="n">
        <v>143</v>
      </c>
      <c r="EG709" s="15" t="n">
        <v>143</v>
      </c>
      <c r="FC709" s="15" t="n">
        <v>143</v>
      </c>
      <c r="FY709" s="15" t="n">
        <v>143</v>
      </c>
      <c r="GU709" s="15" t="n">
        <v>143</v>
      </c>
    </row>
    <row r="710">
      <c r="C710" s="15" t="n">
        <v>144</v>
      </c>
      <c r="AA710" s="15" t="n">
        <v>144</v>
      </c>
      <c r="AW710" s="15" t="n">
        <v>144</v>
      </c>
      <c r="BS710" s="15" t="n">
        <v>144</v>
      </c>
      <c r="CO710" s="15" t="n">
        <v>144</v>
      </c>
      <c r="DK710" s="15" t="n">
        <v>144</v>
      </c>
      <c r="EG710" s="15" t="n">
        <v>144</v>
      </c>
      <c r="FC710" s="15" t="n">
        <v>144</v>
      </c>
      <c r="FY710" s="15" t="n">
        <v>144</v>
      </c>
      <c r="GU710" s="15" t="n">
        <v>144</v>
      </c>
    </row>
    <row r="711">
      <c r="C711" s="15" t="n">
        <v>145</v>
      </c>
      <c r="AA711" s="15" t="n">
        <v>145</v>
      </c>
      <c r="AW711" s="15" t="n">
        <v>145</v>
      </c>
      <c r="BS711" s="15" t="n">
        <v>145</v>
      </c>
      <c r="CO711" s="15" t="n">
        <v>145</v>
      </c>
      <c r="DK711" s="15" t="n">
        <v>145</v>
      </c>
      <c r="EG711" s="15" t="n">
        <v>145</v>
      </c>
      <c r="FC711" s="15" t="n">
        <v>145</v>
      </c>
      <c r="FY711" s="15" t="n">
        <v>145</v>
      </c>
      <c r="GU711" s="15" t="n">
        <v>145</v>
      </c>
    </row>
    <row r="712">
      <c r="C712" s="15" t="n">
        <v>146</v>
      </c>
      <c r="AA712" s="15" t="n">
        <v>146</v>
      </c>
      <c r="AW712" s="15" t="n">
        <v>146</v>
      </c>
      <c r="BS712" s="15" t="n">
        <v>146</v>
      </c>
      <c r="CO712" s="15" t="n">
        <v>146</v>
      </c>
      <c r="DK712" s="15" t="n">
        <v>146</v>
      </c>
      <c r="EG712" s="15" t="n">
        <v>146</v>
      </c>
      <c r="FC712" s="15" t="n">
        <v>146</v>
      </c>
      <c r="FY712" s="15" t="n">
        <v>146</v>
      </c>
      <c r="GU712" s="15" t="n">
        <v>146</v>
      </c>
    </row>
    <row r="713">
      <c r="C713" s="15" t="n">
        <v>147</v>
      </c>
      <c r="AA713" s="15" t="n">
        <v>147</v>
      </c>
      <c r="AW713" s="15" t="n">
        <v>147</v>
      </c>
      <c r="BS713" s="15" t="n">
        <v>147</v>
      </c>
      <c r="CO713" s="15" t="n">
        <v>147</v>
      </c>
      <c r="DK713" s="15" t="n">
        <v>147</v>
      </c>
      <c r="EG713" s="15" t="n">
        <v>147</v>
      </c>
      <c r="FC713" s="15" t="n">
        <v>147</v>
      </c>
      <c r="FY713" s="15" t="n">
        <v>147</v>
      </c>
      <c r="GU713" s="15" t="n">
        <v>147</v>
      </c>
    </row>
    <row r="714">
      <c r="C714" s="15" t="n">
        <v>148</v>
      </c>
      <c r="AA714" s="15" t="n">
        <v>148</v>
      </c>
      <c r="AW714" s="15" t="n">
        <v>148</v>
      </c>
      <c r="BS714" s="15" t="n">
        <v>148</v>
      </c>
      <c r="CO714" s="15" t="n">
        <v>148</v>
      </c>
      <c r="DK714" s="15" t="n">
        <v>148</v>
      </c>
      <c r="EG714" s="15" t="n">
        <v>148</v>
      </c>
      <c r="FC714" s="15" t="n">
        <v>148</v>
      </c>
      <c r="FY714" s="15" t="n">
        <v>148</v>
      </c>
      <c r="GU714" s="15" t="n">
        <v>148</v>
      </c>
    </row>
    <row r="715">
      <c r="C715" s="15" t="n">
        <v>149</v>
      </c>
      <c r="AA715" s="15" t="n">
        <v>149</v>
      </c>
      <c r="AW715" s="15" t="n">
        <v>149</v>
      </c>
      <c r="BS715" s="15" t="n">
        <v>149</v>
      </c>
      <c r="CO715" s="15" t="n">
        <v>149</v>
      </c>
      <c r="DK715" s="15" t="n">
        <v>149</v>
      </c>
      <c r="EG715" s="15" t="n">
        <v>149</v>
      </c>
      <c r="FC715" s="15" t="n">
        <v>149</v>
      </c>
      <c r="FY715" s="15" t="n">
        <v>149</v>
      </c>
      <c r="GU715" s="15" t="n">
        <v>149</v>
      </c>
    </row>
    <row r="716">
      <c r="C716" s="15" t="n">
        <v>150</v>
      </c>
      <c r="AA716" s="15" t="n">
        <v>150</v>
      </c>
      <c r="AW716" s="15" t="n">
        <v>150</v>
      </c>
      <c r="BS716" s="15" t="n">
        <v>150</v>
      </c>
      <c r="CO716" s="15" t="n">
        <v>150</v>
      </c>
      <c r="DK716" s="15" t="n">
        <v>150</v>
      </c>
      <c r="EG716" s="15" t="n">
        <v>150</v>
      </c>
      <c r="FC716" s="15" t="n">
        <v>150</v>
      </c>
      <c r="FY716" s="15" t="n">
        <v>150</v>
      </c>
      <c r="GU716" s="15" t="n">
        <v>150</v>
      </c>
    </row>
    <row r="717">
      <c r="C717" s="15" t="n">
        <v>151</v>
      </c>
      <c r="AA717" s="15" t="n">
        <v>151</v>
      </c>
      <c r="AW717" s="15" t="n">
        <v>151</v>
      </c>
      <c r="BS717" s="15" t="n">
        <v>151</v>
      </c>
      <c r="CO717" s="15" t="n">
        <v>151</v>
      </c>
      <c r="DK717" s="15" t="n">
        <v>151</v>
      </c>
      <c r="EG717" s="15" t="n">
        <v>151</v>
      </c>
      <c r="FC717" s="15" t="n">
        <v>151</v>
      </c>
      <c r="FY717" s="15" t="n">
        <v>151</v>
      </c>
      <c r="GU717" s="15" t="n">
        <v>151</v>
      </c>
    </row>
    <row r="718">
      <c r="C718" s="15" t="n">
        <v>152</v>
      </c>
      <c r="AA718" s="15" t="n">
        <v>152</v>
      </c>
      <c r="AW718" s="15" t="n">
        <v>152</v>
      </c>
      <c r="BS718" s="15" t="n">
        <v>152</v>
      </c>
      <c r="CO718" s="15" t="n">
        <v>152</v>
      </c>
      <c r="DK718" s="15" t="n">
        <v>152</v>
      </c>
      <c r="EG718" s="15" t="n">
        <v>152</v>
      </c>
      <c r="FC718" s="15" t="n">
        <v>152</v>
      </c>
      <c r="FY718" s="15" t="n">
        <v>152</v>
      </c>
      <c r="GU718" s="15" t="n">
        <v>152</v>
      </c>
    </row>
    <row r="719">
      <c r="C719" s="15" t="n">
        <v>153</v>
      </c>
      <c r="AA719" s="15" t="n">
        <v>153</v>
      </c>
      <c r="AW719" s="15" t="n">
        <v>153</v>
      </c>
      <c r="BS719" s="15" t="n">
        <v>153</v>
      </c>
      <c r="CO719" s="15" t="n">
        <v>153</v>
      </c>
      <c r="DK719" s="15" t="n">
        <v>153</v>
      </c>
      <c r="EG719" s="15" t="n">
        <v>153</v>
      </c>
      <c r="FC719" s="15" t="n">
        <v>153</v>
      </c>
      <c r="FY719" s="15" t="n">
        <v>153</v>
      </c>
      <c r="GU719" s="15" t="n">
        <v>153</v>
      </c>
    </row>
    <row r="720">
      <c r="C720" s="15" t="n">
        <v>154</v>
      </c>
      <c r="AA720" s="15" t="n">
        <v>154</v>
      </c>
      <c r="AW720" s="15" t="n">
        <v>154</v>
      </c>
      <c r="BS720" s="15" t="n">
        <v>154</v>
      </c>
      <c r="CO720" s="15" t="n">
        <v>154</v>
      </c>
      <c r="DK720" s="15" t="n">
        <v>154</v>
      </c>
      <c r="EG720" s="15" t="n">
        <v>154</v>
      </c>
      <c r="FC720" s="15" t="n">
        <v>154</v>
      </c>
      <c r="FY720" s="15" t="n">
        <v>154</v>
      </c>
      <c r="GU720" s="15" t="n">
        <v>154</v>
      </c>
    </row>
    <row r="721">
      <c r="C721" s="15" t="n">
        <v>155</v>
      </c>
      <c r="AA721" s="15" t="n">
        <v>155</v>
      </c>
      <c r="AW721" s="15" t="n">
        <v>155</v>
      </c>
      <c r="BS721" s="15" t="n">
        <v>155</v>
      </c>
      <c r="CO721" s="15" t="n">
        <v>155</v>
      </c>
      <c r="DK721" s="15" t="n">
        <v>155</v>
      </c>
      <c r="EG721" s="15" t="n">
        <v>155</v>
      </c>
      <c r="FC721" s="15" t="n">
        <v>155</v>
      </c>
      <c r="FY721" s="15" t="n">
        <v>155</v>
      </c>
      <c r="GU721" s="15" t="n">
        <v>155</v>
      </c>
    </row>
    <row r="722">
      <c r="C722" s="15" t="n">
        <v>156</v>
      </c>
      <c r="AA722" s="15" t="n">
        <v>156</v>
      </c>
      <c r="AW722" s="15" t="n">
        <v>156</v>
      </c>
      <c r="BS722" s="15" t="n">
        <v>156</v>
      </c>
      <c r="CO722" s="15" t="n">
        <v>156</v>
      </c>
      <c r="DK722" s="15" t="n">
        <v>156</v>
      </c>
      <c r="EG722" s="15" t="n">
        <v>156</v>
      </c>
      <c r="FC722" s="15" t="n">
        <v>156</v>
      </c>
      <c r="FY722" s="15" t="n">
        <v>156</v>
      </c>
      <c r="GU722" s="15" t="n">
        <v>156</v>
      </c>
    </row>
    <row r="723">
      <c r="C723" s="15" t="n">
        <v>157</v>
      </c>
      <c r="AA723" s="15" t="n">
        <v>157</v>
      </c>
      <c r="AW723" s="15" t="n">
        <v>157</v>
      </c>
      <c r="BS723" s="15" t="n">
        <v>157</v>
      </c>
      <c r="CO723" s="15" t="n">
        <v>157</v>
      </c>
      <c r="DK723" s="15" t="n">
        <v>157</v>
      </c>
      <c r="EG723" s="15" t="n">
        <v>157</v>
      </c>
      <c r="FC723" s="15" t="n">
        <v>157</v>
      </c>
      <c r="FY723" s="15" t="n">
        <v>157</v>
      </c>
      <c r="GU723" s="15" t="n">
        <v>157</v>
      </c>
    </row>
    <row r="724">
      <c r="C724" s="15" t="n">
        <v>158</v>
      </c>
      <c r="AA724" s="15" t="n">
        <v>158</v>
      </c>
      <c r="AW724" s="15" t="n">
        <v>158</v>
      </c>
      <c r="BS724" s="15" t="n">
        <v>158</v>
      </c>
      <c r="CO724" s="15" t="n">
        <v>158</v>
      </c>
      <c r="DK724" s="15" t="n">
        <v>158</v>
      </c>
      <c r="EG724" s="15" t="n">
        <v>158</v>
      </c>
      <c r="FC724" s="15" t="n">
        <v>158</v>
      </c>
      <c r="FY724" s="15" t="n">
        <v>158</v>
      </c>
      <c r="GU724" s="15" t="n">
        <v>158</v>
      </c>
    </row>
    <row r="725">
      <c r="C725" s="15" t="n">
        <v>159</v>
      </c>
      <c r="AA725" s="15" t="n">
        <v>159</v>
      </c>
      <c r="AW725" s="15" t="n">
        <v>159</v>
      </c>
      <c r="BS725" s="15" t="n">
        <v>159</v>
      </c>
      <c r="CO725" s="15" t="n">
        <v>159</v>
      </c>
      <c r="DK725" s="15" t="n">
        <v>159</v>
      </c>
      <c r="EG725" s="15" t="n">
        <v>159</v>
      </c>
      <c r="FC725" s="15" t="n">
        <v>159</v>
      </c>
      <c r="FY725" s="15" t="n">
        <v>159</v>
      </c>
      <c r="GU725" s="15" t="n">
        <v>159</v>
      </c>
    </row>
    <row r="726">
      <c r="C726" s="15" t="n">
        <v>160</v>
      </c>
      <c r="AA726" s="15" t="n">
        <v>160</v>
      </c>
      <c r="AW726" s="15" t="n">
        <v>160</v>
      </c>
      <c r="BS726" s="15" t="n">
        <v>160</v>
      </c>
      <c r="CO726" s="15" t="n">
        <v>160</v>
      </c>
      <c r="DK726" s="15" t="n">
        <v>160</v>
      </c>
      <c r="EG726" s="15" t="n">
        <v>160</v>
      </c>
      <c r="FC726" s="15" t="n">
        <v>160</v>
      </c>
      <c r="FY726" s="15" t="n">
        <v>160</v>
      </c>
      <c r="GU726" s="15" t="n">
        <v>160</v>
      </c>
    </row>
    <row r="727">
      <c r="C727" s="15" t="n">
        <v>161</v>
      </c>
      <c r="AA727" s="15" t="n">
        <v>161</v>
      </c>
      <c r="AW727" s="15" t="n">
        <v>161</v>
      </c>
      <c r="BS727" s="15" t="n">
        <v>161</v>
      </c>
      <c r="CO727" s="15" t="n">
        <v>161</v>
      </c>
      <c r="DK727" s="15" t="n">
        <v>161</v>
      </c>
      <c r="EG727" s="15" t="n">
        <v>161</v>
      </c>
      <c r="FC727" s="15" t="n">
        <v>161</v>
      </c>
      <c r="FY727" s="15" t="n">
        <v>161</v>
      </c>
      <c r="GU727" s="15" t="n">
        <v>161</v>
      </c>
    </row>
    <row r="728">
      <c r="C728" s="15" t="n">
        <v>162</v>
      </c>
      <c r="AA728" s="15" t="n">
        <v>162</v>
      </c>
      <c r="AW728" s="15" t="n">
        <v>162</v>
      </c>
      <c r="BS728" s="15" t="n">
        <v>162</v>
      </c>
      <c r="CO728" s="15" t="n">
        <v>162</v>
      </c>
      <c r="DK728" s="15" t="n">
        <v>162</v>
      </c>
      <c r="EG728" s="15" t="n">
        <v>162</v>
      </c>
      <c r="FC728" s="15" t="n">
        <v>162</v>
      </c>
      <c r="FY728" s="15" t="n">
        <v>162</v>
      </c>
      <c r="GU728" s="15" t="n">
        <v>162</v>
      </c>
    </row>
    <row r="729">
      <c r="C729" s="15" t="n">
        <v>163</v>
      </c>
      <c r="AA729" s="15" t="n">
        <v>163</v>
      </c>
      <c r="AW729" s="15" t="n">
        <v>163</v>
      </c>
      <c r="BS729" s="15" t="n">
        <v>163</v>
      </c>
      <c r="CO729" s="15" t="n">
        <v>163</v>
      </c>
      <c r="DK729" s="15" t="n">
        <v>163</v>
      </c>
      <c r="EG729" s="15" t="n">
        <v>163</v>
      </c>
      <c r="FC729" s="15" t="n">
        <v>163</v>
      </c>
      <c r="FY729" s="15" t="n">
        <v>163</v>
      </c>
      <c r="GU729" s="15" t="n">
        <v>163</v>
      </c>
    </row>
    <row r="730">
      <c r="C730" s="15" t="n">
        <v>164</v>
      </c>
      <c r="AA730" s="15" t="n">
        <v>164</v>
      </c>
      <c r="AW730" s="15" t="n">
        <v>164</v>
      </c>
      <c r="BS730" s="15" t="n">
        <v>164</v>
      </c>
      <c r="CO730" s="15" t="n">
        <v>164</v>
      </c>
      <c r="DK730" s="15" t="n">
        <v>164</v>
      </c>
      <c r="EG730" s="15" t="n">
        <v>164</v>
      </c>
      <c r="FC730" s="15" t="n">
        <v>164</v>
      </c>
      <c r="FY730" s="15" t="n">
        <v>164</v>
      </c>
      <c r="GU730" s="15" t="n">
        <v>164</v>
      </c>
    </row>
    <row r="731">
      <c r="C731" s="15" t="n">
        <v>165</v>
      </c>
      <c r="AA731" s="15" t="n">
        <v>165</v>
      </c>
      <c r="AW731" s="15" t="n">
        <v>165</v>
      </c>
      <c r="BS731" s="15" t="n">
        <v>165</v>
      </c>
      <c r="CO731" s="15" t="n">
        <v>165</v>
      </c>
      <c r="DK731" s="15" t="n">
        <v>165</v>
      </c>
      <c r="EG731" s="15" t="n">
        <v>165</v>
      </c>
      <c r="FC731" s="15" t="n">
        <v>165</v>
      </c>
      <c r="FY731" s="15" t="n">
        <v>165</v>
      </c>
      <c r="GU731" s="15" t="n">
        <v>165</v>
      </c>
    </row>
    <row r="732">
      <c r="C732" s="15" t="n">
        <v>166</v>
      </c>
      <c r="AA732" s="15" t="n">
        <v>166</v>
      </c>
      <c r="AW732" s="15" t="n">
        <v>166</v>
      </c>
      <c r="BS732" s="15" t="n">
        <v>166</v>
      </c>
      <c r="CO732" s="15" t="n">
        <v>166</v>
      </c>
      <c r="DK732" s="15" t="n">
        <v>166</v>
      </c>
      <c r="EG732" s="15" t="n">
        <v>166</v>
      </c>
      <c r="FC732" s="15" t="n">
        <v>166</v>
      </c>
      <c r="FY732" s="15" t="n">
        <v>166</v>
      </c>
      <c r="GU732" s="15" t="n">
        <v>166</v>
      </c>
    </row>
    <row r="733">
      <c r="C733" s="15" t="n">
        <v>167</v>
      </c>
      <c r="AA733" s="15" t="n">
        <v>167</v>
      </c>
      <c r="AW733" s="15" t="n">
        <v>167</v>
      </c>
      <c r="BS733" s="15" t="n">
        <v>167</v>
      </c>
      <c r="CO733" s="15" t="n">
        <v>167</v>
      </c>
      <c r="DK733" s="15" t="n">
        <v>167</v>
      </c>
      <c r="EG733" s="15" t="n">
        <v>167</v>
      </c>
      <c r="FC733" s="15" t="n">
        <v>167</v>
      </c>
      <c r="FY733" s="15" t="n">
        <v>167</v>
      </c>
      <c r="GU733" s="15" t="n">
        <v>167</v>
      </c>
    </row>
    <row r="734">
      <c r="C734" s="15" t="n">
        <v>168</v>
      </c>
      <c r="AA734" s="15" t="n">
        <v>168</v>
      </c>
      <c r="AW734" s="15" t="n">
        <v>168</v>
      </c>
      <c r="BS734" s="15" t="n">
        <v>168</v>
      </c>
      <c r="CO734" s="15" t="n">
        <v>168</v>
      </c>
      <c r="DK734" s="15" t="n">
        <v>168</v>
      </c>
      <c r="EG734" s="15" t="n">
        <v>168</v>
      </c>
      <c r="FC734" s="15" t="n">
        <v>168</v>
      </c>
      <c r="FY734" s="15" t="n">
        <v>168</v>
      </c>
      <c r="GU734" s="15" t="n">
        <v>168</v>
      </c>
    </row>
    <row r="735">
      <c r="C735" s="15" t="n">
        <v>169</v>
      </c>
      <c r="AA735" s="15" t="n">
        <v>169</v>
      </c>
      <c r="AW735" s="15" t="n">
        <v>169</v>
      </c>
      <c r="BS735" s="15" t="n">
        <v>169</v>
      </c>
      <c r="CO735" s="15" t="n">
        <v>169</v>
      </c>
      <c r="DK735" s="15" t="n">
        <v>169</v>
      </c>
      <c r="EG735" s="15" t="n">
        <v>169</v>
      </c>
      <c r="FC735" s="15" t="n">
        <v>169</v>
      </c>
      <c r="FY735" s="15" t="n">
        <v>169</v>
      </c>
      <c r="GU735" s="15" t="n">
        <v>169</v>
      </c>
    </row>
    <row r="736">
      <c r="C736" s="15" t="n">
        <v>170</v>
      </c>
      <c r="AA736" s="15" t="n">
        <v>170</v>
      </c>
      <c r="AW736" s="15" t="n">
        <v>170</v>
      </c>
      <c r="BS736" s="15" t="n">
        <v>170</v>
      </c>
      <c r="CO736" s="15" t="n">
        <v>170</v>
      </c>
      <c r="DK736" s="15" t="n">
        <v>170</v>
      </c>
      <c r="EG736" s="15" t="n">
        <v>170</v>
      </c>
      <c r="FC736" s="15" t="n">
        <v>170</v>
      </c>
      <c r="FY736" s="15" t="n">
        <v>170</v>
      </c>
      <c r="GU736" s="15" t="n">
        <v>170</v>
      </c>
    </row>
    <row r="737">
      <c r="C737" s="15" t="n">
        <v>171</v>
      </c>
      <c r="AA737" s="15" t="n">
        <v>171</v>
      </c>
      <c r="AW737" s="15" t="n">
        <v>171</v>
      </c>
      <c r="BS737" s="15" t="n">
        <v>171</v>
      </c>
      <c r="CO737" s="15" t="n">
        <v>171</v>
      </c>
      <c r="DK737" s="15" t="n">
        <v>171</v>
      </c>
      <c r="EG737" s="15" t="n">
        <v>171</v>
      </c>
      <c r="FC737" s="15" t="n">
        <v>171</v>
      </c>
      <c r="FY737" s="15" t="n">
        <v>171</v>
      </c>
      <c r="GU737" s="15" t="n">
        <v>171</v>
      </c>
    </row>
    <row r="738">
      <c r="C738" s="15" t="n">
        <v>172</v>
      </c>
      <c r="AA738" s="15" t="n">
        <v>172</v>
      </c>
      <c r="AW738" s="15" t="n">
        <v>172</v>
      </c>
      <c r="BS738" s="15" t="n">
        <v>172</v>
      </c>
      <c r="CO738" s="15" t="n">
        <v>172</v>
      </c>
      <c r="DK738" s="15" t="n">
        <v>172</v>
      </c>
      <c r="EG738" s="15" t="n">
        <v>172</v>
      </c>
      <c r="FC738" s="15" t="n">
        <v>172</v>
      </c>
      <c r="FY738" s="15" t="n">
        <v>172</v>
      </c>
      <c r="GU738" s="15" t="n">
        <v>172</v>
      </c>
    </row>
    <row r="739">
      <c r="C739" s="15" t="n">
        <v>173</v>
      </c>
      <c r="AA739" s="15" t="n">
        <v>173</v>
      </c>
      <c r="AW739" s="15" t="n">
        <v>173</v>
      </c>
      <c r="BS739" s="15" t="n">
        <v>173</v>
      </c>
      <c r="CO739" s="15" t="n">
        <v>173</v>
      </c>
      <c r="DK739" s="15" t="n">
        <v>173</v>
      </c>
      <c r="EG739" s="15" t="n">
        <v>173</v>
      </c>
      <c r="FC739" s="15" t="n">
        <v>173</v>
      </c>
      <c r="FY739" s="15" t="n">
        <v>173</v>
      </c>
      <c r="GU739" s="15" t="n">
        <v>173</v>
      </c>
    </row>
    <row r="740">
      <c r="C740" s="15" t="n">
        <v>174</v>
      </c>
      <c r="AA740" s="15" t="n">
        <v>174</v>
      </c>
      <c r="AW740" s="15" t="n">
        <v>174</v>
      </c>
      <c r="BS740" s="15" t="n">
        <v>174</v>
      </c>
      <c r="CO740" s="15" t="n">
        <v>174</v>
      </c>
      <c r="DK740" s="15" t="n">
        <v>174</v>
      </c>
      <c r="EG740" s="15" t="n">
        <v>174</v>
      </c>
      <c r="FC740" s="15" t="n">
        <v>174</v>
      </c>
      <c r="FY740" s="15" t="n">
        <v>174</v>
      </c>
      <c r="GU740" s="15" t="n">
        <v>174</v>
      </c>
    </row>
    <row r="741">
      <c r="C741" s="15" t="n">
        <v>175</v>
      </c>
      <c r="AA741" s="15" t="n">
        <v>175</v>
      </c>
      <c r="AW741" s="15" t="n">
        <v>175</v>
      </c>
      <c r="BS741" s="15" t="n">
        <v>175</v>
      </c>
      <c r="CO741" s="15" t="n">
        <v>175</v>
      </c>
      <c r="DK741" s="15" t="n">
        <v>175</v>
      </c>
      <c r="EG741" s="15" t="n">
        <v>175</v>
      </c>
      <c r="FC741" s="15" t="n">
        <v>175</v>
      </c>
      <c r="FY741" s="15" t="n">
        <v>175</v>
      </c>
      <c r="GU741" s="15" t="n">
        <v>175</v>
      </c>
    </row>
    <row r="742">
      <c r="C742" s="15" t="n">
        <v>176</v>
      </c>
      <c r="AA742" s="15" t="n">
        <v>176</v>
      </c>
      <c r="AW742" s="15" t="n">
        <v>176</v>
      </c>
      <c r="BS742" s="15" t="n">
        <v>176</v>
      </c>
      <c r="CO742" s="15" t="n">
        <v>176</v>
      </c>
      <c r="DK742" s="15" t="n">
        <v>176</v>
      </c>
      <c r="EG742" s="15" t="n">
        <v>176</v>
      </c>
      <c r="FC742" s="15" t="n">
        <v>176</v>
      </c>
      <c r="FY742" s="15" t="n">
        <v>176</v>
      </c>
      <c r="GU742" s="15" t="n">
        <v>176</v>
      </c>
    </row>
    <row r="743">
      <c r="C743" s="15" t="n">
        <v>177</v>
      </c>
      <c r="AA743" s="15" t="n">
        <v>177</v>
      </c>
      <c r="AW743" s="15" t="n">
        <v>177</v>
      </c>
      <c r="BS743" s="15" t="n">
        <v>177</v>
      </c>
      <c r="CO743" s="15" t="n">
        <v>177</v>
      </c>
      <c r="DK743" s="15" t="n">
        <v>177</v>
      </c>
      <c r="EG743" s="15" t="n">
        <v>177</v>
      </c>
      <c r="FC743" s="15" t="n">
        <v>177</v>
      </c>
      <c r="FY743" s="15" t="n">
        <v>177</v>
      </c>
      <c r="GU743" s="15" t="n">
        <v>177</v>
      </c>
    </row>
    <row r="744">
      <c r="C744" s="15" t="n">
        <v>178</v>
      </c>
      <c r="AA744" s="15" t="n">
        <v>178</v>
      </c>
      <c r="AW744" s="15" t="n">
        <v>178</v>
      </c>
      <c r="BS744" s="15" t="n">
        <v>178</v>
      </c>
      <c r="CO744" s="15" t="n">
        <v>178</v>
      </c>
      <c r="DK744" s="15" t="n">
        <v>178</v>
      </c>
      <c r="EG744" s="15" t="n">
        <v>178</v>
      </c>
      <c r="FC744" s="15" t="n">
        <v>178</v>
      </c>
      <c r="FY744" s="15" t="n">
        <v>178</v>
      </c>
      <c r="GU744" s="15" t="n">
        <v>178</v>
      </c>
    </row>
    <row r="745">
      <c r="C745" s="15" t="n">
        <v>179</v>
      </c>
      <c r="AA745" s="15" t="n">
        <v>179</v>
      </c>
      <c r="AW745" s="15" t="n">
        <v>179</v>
      </c>
      <c r="BS745" s="15" t="n">
        <v>179</v>
      </c>
      <c r="CO745" s="15" t="n">
        <v>179</v>
      </c>
      <c r="DK745" s="15" t="n">
        <v>179</v>
      </c>
      <c r="EG745" s="15" t="n">
        <v>179</v>
      </c>
      <c r="FC745" s="15" t="n">
        <v>179</v>
      </c>
      <c r="FY745" s="15" t="n">
        <v>179</v>
      </c>
      <c r="GU745" s="15" t="n">
        <v>179</v>
      </c>
    </row>
    <row r="746">
      <c r="C746" s="15" t="n">
        <v>180</v>
      </c>
      <c r="AA746" s="15" t="n">
        <v>180</v>
      </c>
      <c r="AW746" s="15" t="n">
        <v>180</v>
      </c>
      <c r="BS746" s="15" t="n">
        <v>180</v>
      </c>
      <c r="CO746" s="15" t="n">
        <v>180</v>
      </c>
      <c r="DK746" s="15" t="n">
        <v>180</v>
      </c>
      <c r="EG746" s="15" t="n">
        <v>180</v>
      </c>
      <c r="FC746" s="15" t="n">
        <v>180</v>
      </c>
      <c r="FY746" s="15" t="n">
        <v>180</v>
      </c>
      <c r="GU746" s="15" t="n">
        <v>180</v>
      </c>
    </row>
    <row r="747">
      <c r="C747" s="15" t="n">
        <v>181</v>
      </c>
      <c r="AA747" s="15" t="n">
        <v>181</v>
      </c>
      <c r="AW747" s="15" t="n">
        <v>181</v>
      </c>
      <c r="BS747" s="15" t="n">
        <v>181</v>
      </c>
      <c r="CO747" s="15" t="n">
        <v>181</v>
      </c>
      <c r="DK747" s="15" t="n">
        <v>181</v>
      </c>
      <c r="EG747" s="15" t="n">
        <v>181</v>
      </c>
      <c r="FC747" s="15" t="n">
        <v>181</v>
      </c>
      <c r="FY747" s="15" t="n">
        <v>181</v>
      </c>
      <c r="GU747" s="15" t="n">
        <v>181</v>
      </c>
    </row>
    <row r="748">
      <c r="C748" s="15" t="n">
        <v>182</v>
      </c>
      <c r="AA748" s="15" t="n">
        <v>182</v>
      </c>
      <c r="AW748" s="15" t="n">
        <v>182</v>
      </c>
      <c r="BS748" s="15" t="n">
        <v>182</v>
      </c>
      <c r="CO748" s="15" t="n">
        <v>182</v>
      </c>
      <c r="DK748" s="15" t="n">
        <v>182</v>
      </c>
      <c r="EG748" s="15" t="n">
        <v>182</v>
      </c>
      <c r="FC748" s="15" t="n">
        <v>182</v>
      </c>
      <c r="FY748" s="15" t="n">
        <v>182</v>
      </c>
      <c r="GU748" s="15" t="n">
        <v>182</v>
      </c>
    </row>
    <row r="749">
      <c r="C749" s="15" t="n">
        <v>183</v>
      </c>
      <c r="AA749" s="15" t="n">
        <v>183</v>
      </c>
      <c r="AW749" s="15" t="n">
        <v>183</v>
      </c>
      <c r="BS749" s="15" t="n">
        <v>183</v>
      </c>
      <c r="CO749" s="15" t="n">
        <v>183</v>
      </c>
      <c r="DK749" s="15" t="n">
        <v>183</v>
      </c>
      <c r="EG749" s="15" t="n">
        <v>183</v>
      </c>
      <c r="FC749" s="15" t="n">
        <v>183</v>
      </c>
      <c r="FY749" s="15" t="n">
        <v>183</v>
      </c>
      <c r="GU749" s="15" t="n">
        <v>183</v>
      </c>
    </row>
    <row r="750">
      <c r="C750" s="15" t="n">
        <v>184</v>
      </c>
      <c r="AA750" s="15" t="n">
        <v>184</v>
      </c>
      <c r="AW750" s="15" t="n">
        <v>184</v>
      </c>
      <c r="BS750" s="15" t="n">
        <v>184</v>
      </c>
      <c r="CO750" s="15" t="n">
        <v>184</v>
      </c>
      <c r="DK750" s="15" t="n">
        <v>184</v>
      </c>
      <c r="EG750" s="15" t="n">
        <v>184</v>
      </c>
      <c r="FC750" s="15" t="n">
        <v>184</v>
      </c>
      <c r="FY750" s="15" t="n">
        <v>184</v>
      </c>
      <c r="GU750" s="15" t="n">
        <v>184</v>
      </c>
    </row>
    <row r="751">
      <c r="C751" s="15" t="n">
        <v>185</v>
      </c>
      <c r="AA751" s="15" t="n">
        <v>185</v>
      </c>
      <c r="AW751" s="15" t="n">
        <v>185</v>
      </c>
      <c r="BS751" s="15" t="n">
        <v>185</v>
      </c>
      <c r="CO751" s="15" t="n">
        <v>185</v>
      </c>
      <c r="DK751" s="15" t="n">
        <v>185</v>
      </c>
      <c r="EG751" s="15" t="n">
        <v>185</v>
      </c>
      <c r="FC751" s="15" t="n">
        <v>185</v>
      </c>
      <c r="FY751" s="15" t="n">
        <v>185</v>
      </c>
      <c r="GU751" s="15" t="n">
        <v>185</v>
      </c>
    </row>
    <row r="752">
      <c r="C752" s="15" t="n">
        <v>186</v>
      </c>
      <c r="AA752" s="15" t="n">
        <v>186</v>
      </c>
      <c r="AW752" s="15" t="n">
        <v>186</v>
      </c>
      <c r="BS752" s="15" t="n">
        <v>186</v>
      </c>
      <c r="CO752" s="15" t="n">
        <v>186</v>
      </c>
      <c r="DK752" s="15" t="n">
        <v>186</v>
      </c>
      <c r="EG752" s="15" t="n">
        <v>186</v>
      </c>
      <c r="FC752" s="15" t="n">
        <v>186</v>
      </c>
      <c r="FY752" s="15" t="n">
        <v>186</v>
      </c>
      <c r="GU752" s="15" t="n">
        <v>186</v>
      </c>
    </row>
    <row r="753">
      <c r="C753" s="15" t="n">
        <v>187</v>
      </c>
      <c r="AA753" s="15" t="n">
        <v>187</v>
      </c>
      <c r="AW753" s="15" t="n">
        <v>187</v>
      </c>
      <c r="BS753" s="15" t="n">
        <v>187</v>
      </c>
      <c r="CO753" s="15" t="n">
        <v>187</v>
      </c>
      <c r="DK753" s="15" t="n">
        <v>187</v>
      </c>
      <c r="EG753" s="15" t="n">
        <v>187</v>
      </c>
      <c r="FC753" s="15" t="n">
        <v>187</v>
      </c>
      <c r="FY753" s="15" t="n">
        <v>187</v>
      </c>
      <c r="GU753" s="15" t="n">
        <v>187</v>
      </c>
    </row>
    <row r="754">
      <c r="C754" s="15" t="n">
        <v>188</v>
      </c>
      <c r="AA754" s="15" t="n">
        <v>188</v>
      </c>
      <c r="AW754" s="15" t="n">
        <v>188</v>
      </c>
      <c r="BS754" s="15" t="n">
        <v>188</v>
      </c>
      <c r="CO754" s="15" t="n">
        <v>188</v>
      </c>
      <c r="DK754" s="15" t="n">
        <v>188</v>
      </c>
      <c r="EG754" s="15" t="n">
        <v>188</v>
      </c>
      <c r="FC754" s="15" t="n">
        <v>188</v>
      </c>
      <c r="FY754" s="15" t="n">
        <v>188</v>
      </c>
      <c r="GU754" s="15" t="n">
        <v>188</v>
      </c>
    </row>
    <row r="755">
      <c r="C755" s="15" t="n">
        <v>189</v>
      </c>
      <c r="AA755" s="15" t="n">
        <v>189</v>
      </c>
      <c r="AW755" s="15" t="n">
        <v>189</v>
      </c>
      <c r="BS755" s="15" t="n">
        <v>189</v>
      </c>
      <c r="CO755" s="15" t="n">
        <v>189</v>
      </c>
      <c r="DK755" s="15" t="n">
        <v>189</v>
      </c>
      <c r="EG755" s="15" t="n">
        <v>189</v>
      </c>
      <c r="FC755" s="15" t="n">
        <v>189</v>
      </c>
      <c r="FY755" s="15" t="n">
        <v>189</v>
      </c>
      <c r="GU755" s="15" t="n">
        <v>189</v>
      </c>
    </row>
    <row r="756">
      <c r="C756" s="15" t="n">
        <v>190</v>
      </c>
      <c r="AA756" s="15" t="n">
        <v>190</v>
      </c>
      <c r="AW756" s="15" t="n">
        <v>190</v>
      </c>
      <c r="BS756" s="15" t="n">
        <v>190</v>
      </c>
      <c r="CO756" s="15" t="n">
        <v>190</v>
      </c>
      <c r="DK756" s="15" t="n">
        <v>190</v>
      </c>
      <c r="EG756" s="15" t="n">
        <v>190</v>
      </c>
      <c r="FC756" s="15" t="n">
        <v>190</v>
      </c>
      <c r="FY756" s="15" t="n">
        <v>190</v>
      </c>
      <c r="GU756" s="15" t="n">
        <v>190</v>
      </c>
    </row>
    <row r="757">
      <c r="C757" s="15" t="n">
        <v>191</v>
      </c>
      <c r="AA757" s="15" t="n">
        <v>191</v>
      </c>
      <c r="AW757" s="15" t="n">
        <v>191</v>
      </c>
      <c r="BS757" s="15" t="n">
        <v>191</v>
      </c>
      <c r="CO757" s="15" t="n">
        <v>191</v>
      </c>
      <c r="DK757" s="15" t="n">
        <v>191</v>
      </c>
      <c r="EG757" s="15" t="n">
        <v>191</v>
      </c>
      <c r="FC757" s="15" t="n">
        <v>191</v>
      </c>
      <c r="FY757" s="15" t="n">
        <v>191</v>
      </c>
      <c r="GU757" s="15" t="n">
        <v>191</v>
      </c>
    </row>
    <row r="758">
      <c r="C758" s="15" t="n">
        <v>192</v>
      </c>
      <c r="AA758" s="15" t="n">
        <v>192</v>
      </c>
      <c r="AW758" s="15" t="n">
        <v>192</v>
      </c>
      <c r="BS758" s="15" t="n">
        <v>192</v>
      </c>
      <c r="CO758" s="15" t="n">
        <v>192</v>
      </c>
      <c r="DK758" s="15" t="n">
        <v>192</v>
      </c>
      <c r="EG758" s="15" t="n">
        <v>192</v>
      </c>
      <c r="FC758" s="15" t="n">
        <v>192</v>
      </c>
      <c r="FY758" s="15" t="n">
        <v>192</v>
      </c>
      <c r="GU758" s="15" t="n">
        <v>192</v>
      </c>
    </row>
    <row r="759">
      <c r="C759" s="15" t="n">
        <v>193</v>
      </c>
      <c r="AA759" s="15" t="n">
        <v>193</v>
      </c>
      <c r="AW759" s="15" t="n">
        <v>193</v>
      </c>
      <c r="BS759" s="15" t="n">
        <v>193</v>
      </c>
      <c r="CO759" s="15" t="n">
        <v>193</v>
      </c>
      <c r="DK759" s="15" t="n">
        <v>193</v>
      </c>
      <c r="EG759" s="15" t="n">
        <v>193</v>
      </c>
      <c r="FC759" s="15" t="n">
        <v>193</v>
      </c>
      <c r="FY759" s="15" t="n">
        <v>193</v>
      </c>
      <c r="GU759" s="15" t="n">
        <v>193</v>
      </c>
    </row>
    <row r="760">
      <c r="C760" s="15" t="n">
        <v>194</v>
      </c>
      <c r="AA760" s="15" t="n">
        <v>194</v>
      </c>
      <c r="AW760" s="15" t="n">
        <v>194</v>
      </c>
      <c r="BS760" s="15" t="n">
        <v>194</v>
      </c>
      <c r="CO760" s="15" t="n">
        <v>194</v>
      </c>
      <c r="DK760" s="15" t="n">
        <v>194</v>
      </c>
      <c r="EG760" s="15" t="n">
        <v>194</v>
      </c>
      <c r="FC760" s="15" t="n">
        <v>194</v>
      </c>
      <c r="FY760" s="15" t="n">
        <v>194</v>
      </c>
      <c r="GU760" s="15" t="n">
        <v>194</v>
      </c>
    </row>
    <row r="761">
      <c r="C761" s="15" t="n">
        <v>195</v>
      </c>
      <c r="AA761" s="15" t="n">
        <v>195</v>
      </c>
      <c r="AW761" s="15" t="n">
        <v>195</v>
      </c>
      <c r="BS761" s="15" t="n">
        <v>195</v>
      </c>
      <c r="CO761" s="15" t="n">
        <v>195</v>
      </c>
      <c r="DK761" s="15" t="n">
        <v>195</v>
      </c>
      <c r="EG761" s="15" t="n">
        <v>195</v>
      </c>
      <c r="FC761" s="15" t="n">
        <v>195</v>
      </c>
      <c r="FY761" s="15" t="n">
        <v>195</v>
      </c>
      <c r="GU761" s="15" t="n">
        <v>195</v>
      </c>
    </row>
    <row r="762">
      <c r="C762" s="15" t="n">
        <v>196</v>
      </c>
      <c r="AA762" s="15" t="n">
        <v>196</v>
      </c>
      <c r="AW762" s="15" t="n">
        <v>196</v>
      </c>
      <c r="BS762" s="15" t="n">
        <v>196</v>
      </c>
      <c r="CO762" s="15" t="n">
        <v>196</v>
      </c>
      <c r="DK762" s="15" t="n">
        <v>196</v>
      </c>
      <c r="EG762" s="15" t="n">
        <v>196</v>
      </c>
      <c r="FC762" s="15" t="n">
        <v>196</v>
      </c>
      <c r="FY762" s="15" t="n">
        <v>196</v>
      </c>
      <c r="GU762" s="15" t="n">
        <v>196</v>
      </c>
    </row>
    <row r="763">
      <c r="C763" s="15" t="n">
        <v>197</v>
      </c>
      <c r="AA763" s="15" t="n">
        <v>197</v>
      </c>
      <c r="AW763" s="15" t="n">
        <v>197</v>
      </c>
      <c r="BS763" s="15" t="n">
        <v>197</v>
      </c>
      <c r="CO763" s="15" t="n">
        <v>197</v>
      </c>
      <c r="DK763" s="15" t="n">
        <v>197</v>
      </c>
      <c r="EG763" s="15" t="n">
        <v>197</v>
      </c>
      <c r="FC763" s="15" t="n">
        <v>197</v>
      </c>
      <c r="FY763" s="15" t="n">
        <v>197</v>
      </c>
      <c r="GU763" s="15" t="n">
        <v>197</v>
      </c>
    </row>
    <row r="764">
      <c r="C764" s="15" t="n">
        <v>198</v>
      </c>
      <c r="AA764" s="15" t="n">
        <v>198</v>
      </c>
      <c r="AW764" s="15" t="n">
        <v>198</v>
      </c>
      <c r="BS764" s="15" t="n">
        <v>198</v>
      </c>
      <c r="CO764" s="15" t="n">
        <v>198</v>
      </c>
      <c r="DK764" s="15" t="n">
        <v>198</v>
      </c>
      <c r="EG764" s="15" t="n">
        <v>198</v>
      </c>
      <c r="FC764" s="15" t="n">
        <v>198</v>
      </c>
      <c r="FY764" s="15" t="n">
        <v>198</v>
      </c>
      <c r="GU764" s="15" t="n">
        <v>198</v>
      </c>
    </row>
    <row r="766">
      <c r="C766" s="15" t="inlineStr">
        <is>
          <t>Reorder</t>
        </is>
      </c>
      <c r="D766" s="15" t="n">
        <v>22</v>
      </c>
      <c r="E766" s="15" t="n">
        <v>23</v>
      </c>
      <c r="F766" s="15" t="n">
        <v>24</v>
      </c>
      <c r="AA766" s="15" t="inlineStr">
        <is>
          <t>Reorder</t>
        </is>
      </c>
      <c r="AB766" s="15" t="n">
        <v>22</v>
      </c>
      <c r="AC766" s="15" t="n">
        <v>23</v>
      </c>
      <c r="AD766" s="15" t="n">
        <v>24</v>
      </c>
      <c r="AW766" s="15" t="inlineStr">
        <is>
          <t>Reorder</t>
        </is>
      </c>
      <c r="AX766" s="15" t="n">
        <v>22</v>
      </c>
      <c r="AY766" s="15" t="n">
        <v>23</v>
      </c>
      <c r="AZ766" s="15" t="n">
        <v>24</v>
      </c>
      <c r="BS766" s="15" t="inlineStr">
        <is>
          <t>Reorder</t>
        </is>
      </c>
      <c r="BT766" s="15" t="n">
        <v>22</v>
      </c>
      <c r="BU766" s="15" t="n">
        <v>23</v>
      </c>
      <c r="BV766" s="15" t="n">
        <v>24</v>
      </c>
      <c r="CO766" s="15" t="inlineStr">
        <is>
          <t>Reorder</t>
        </is>
      </c>
      <c r="CP766" s="15" t="n">
        <v>22</v>
      </c>
      <c r="CQ766" s="15" t="n">
        <v>23</v>
      </c>
      <c r="CR766" s="15" t="n">
        <v>24</v>
      </c>
      <c r="DK766" s="15" t="inlineStr">
        <is>
          <t>Reorder</t>
        </is>
      </c>
      <c r="DL766" s="15" t="n">
        <v>22</v>
      </c>
      <c r="DM766" s="15" t="n">
        <v>23</v>
      </c>
      <c r="DN766" s="15" t="n">
        <v>24</v>
      </c>
      <c r="EG766" s="15" t="inlineStr">
        <is>
          <t>Reorder</t>
        </is>
      </c>
      <c r="EH766" s="15" t="n">
        <v>22</v>
      </c>
      <c r="EI766" s="15" t="n">
        <v>23</v>
      </c>
      <c r="EJ766" s="15" t="n">
        <v>24</v>
      </c>
      <c r="FC766" s="15" t="inlineStr">
        <is>
          <t>Reorder</t>
        </is>
      </c>
      <c r="FD766" s="15" t="n">
        <v>22</v>
      </c>
      <c r="FE766" s="15" t="n">
        <v>23</v>
      </c>
      <c r="FF766" s="15" t="n">
        <v>24</v>
      </c>
      <c r="FY766" s="15" t="inlineStr">
        <is>
          <t>Reorder</t>
        </is>
      </c>
      <c r="FZ766" s="15" t="n">
        <v>22</v>
      </c>
      <c r="GA766" s="15" t="n">
        <v>23</v>
      </c>
      <c r="GB766" s="15" t="n">
        <v>24</v>
      </c>
      <c r="GU766" s="15" t="inlineStr">
        <is>
          <t>Reorder</t>
        </is>
      </c>
      <c r="GV766" s="15" t="n">
        <v>22</v>
      </c>
      <c r="GW766" s="15" t="n">
        <v>23</v>
      </c>
      <c r="GX766" s="15" t="n">
        <v>24</v>
      </c>
    </row>
    <row r="767">
      <c r="C767" s="15" t="n">
        <v>9</v>
      </c>
      <c r="AA767" s="15" t="n">
        <v>9</v>
      </c>
      <c r="AW767" s="15" t="n">
        <v>9</v>
      </c>
      <c r="BS767" s="15" t="n">
        <v>9</v>
      </c>
      <c r="CO767" s="15" t="n">
        <v>9</v>
      </c>
      <c r="DK767" s="15" t="n">
        <v>9</v>
      </c>
      <c r="EG767" s="15" t="n">
        <v>9</v>
      </c>
      <c r="FC767" s="15" t="n">
        <v>9</v>
      </c>
      <c r="FY767" s="15" t="n">
        <v>9</v>
      </c>
      <c r="GU767" s="15" t="n">
        <v>9</v>
      </c>
    </row>
    <row r="768">
      <c r="C768" s="15" t="n">
        <v>10</v>
      </c>
      <c r="AA768" s="15" t="n">
        <v>10</v>
      </c>
      <c r="AW768" s="15" t="n">
        <v>10</v>
      </c>
      <c r="BS768" s="15" t="n">
        <v>10</v>
      </c>
      <c r="CO768" s="15" t="n">
        <v>10</v>
      </c>
      <c r="DK768" s="15" t="n">
        <v>10</v>
      </c>
      <c r="EG768" s="15" t="n">
        <v>10</v>
      </c>
      <c r="FC768" s="15" t="n">
        <v>10</v>
      </c>
      <c r="FY768" s="15" t="n">
        <v>10</v>
      </c>
      <c r="GU768" s="15" t="n">
        <v>10</v>
      </c>
    </row>
    <row r="769">
      <c r="C769" s="15" t="n">
        <v>11</v>
      </c>
      <c r="AA769" s="15" t="n">
        <v>11</v>
      </c>
      <c r="AW769" s="15" t="n">
        <v>11</v>
      </c>
      <c r="BS769" s="15" t="n">
        <v>11</v>
      </c>
      <c r="CO769" s="15" t="n">
        <v>11</v>
      </c>
      <c r="DK769" s="15" t="n">
        <v>11</v>
      </c>
      <c r="EG769" s="15" t="n">
        <v>11</v>
      </c>
      <c r="FC769" s="15" t="n">
        <v>11</v>
      </c>
      <c r="FY769" s="15" t="n">
        <v>11</v>
      </c>
      <c r="GU769" s="15" t="n">
        <v>11</v>
      </c>
    </row>
    <row r="770">
      <c r="C770" s="15" t="n">
        <v>12</v>
      </c>
      <c r="AA770" s="15" t="n">
        <v>12</v>
      </c>
      <c r="AW770" s="15" t="n">
        <v>12</v>
      </c>
      <c r="BS770" s="15" t="n">
        <v>12</v>
      </c>
      <c r="CO770" s="15" t="n">
        <v>12</v>
      </c>
      <c r="DK770" s="15" t="n">
        <v>12</v>
      </c>
      <c r="EG770" s="15" t="n">
        <v>12</v>
      </c>
      <c r="FC770" s="15" t="n">
        <v>12</v>
      </c>
      <c r="FY770" s="15" t="n">
        <v>12</v>
      </c>
      <c r="GU770" s="15" t="n">
        <v>12</v>
      </c>
    </row>
    <row r="771">
      <c r="C771" s="15" t="n">
        <v>13</v>
      </c>
      <c r="AA771" s="15" t="n">
        <v>13</v>
      </c>
      <c r="AW771" s="15" t="n">
        <v>13</v>
      </c>
      <c r="BS771" s="15" t="n">
        <v>13</v>
      </c>
      <c r="CO771" s="15" t="n">
        <v>13</v>
      </c>
      <c r="DK771" s="15" t="n">
        <v>13</v>
      </c>
      <c r="EG771" s="15" t="n">
        <v>13</v>
      </c>
      <c r="FC771" s="15" t="n">
        <v>13</v>
      </c>
      <c r="FY771" s="15" t="n">
        <v>13</v>
      </c>
      <c r="GU771" s="15" t="n">
        <v>13</v>
      </c>
    </row>
    <row r="772">
      <c r="C772" s="15" t="n">
        <v>14</v>
      </c>
      <c r="AA772" s="15" t="n">
        <v>14</v>
      </c>
      <c r="AW772" s="15" t="n">
        <v>14</v>
      </c>
      <c r="BS772" s="15" t="n">
        <v>14</v>
      </c>
      <c r="CO772" s="15" t="n">
        <v>14</v>
      </c>
      <c r="DK772" s="15" t="n">
        <v>14</v>
      </c>
      <c r="EG772" s="15" t="n">
        <v>14</v>
      </c>
      <c r="FC772" s="15" t="n">
        <v>14</v>
      </c>
      <c r="FY772" s="15" t="n">
        <v>14</v>
      </c>
      <c r="GU772" s="15" t="n">
        <v>14</v>
      </c>
    </row>
    <row r="773">
      <c r="C773" s="15" t="n">
        <v>15</v>
      </c>
      <c r="AA773" s="15" t="n">
        <v>15</v>
      </c>
      <c r="AW773" s="15" t="n">
        <v>15</v>
      </c>
      <c r="BS773" s="15" t="n">
        <v>15</v>
      </c>
      <c r="CO773" s="15" t="n">
        <v>15</v>
      </c>
      <c r="DK773" s="15" t="n">
        <v>15</v>
      </c>
      <c r="EG773" s="15" t="n">
        <v>15</v>
      </c>
      <c r="FC773" s="15" t="n">
        <v>15</v>
      </c>
      <c r="FY773" s="15" t="n">
        <v>15</v>
      </c>
      <c r="GU773" s="15" t="n">
        <v>15</v>
      </c>
    </row>
    <row r="774">
      <c r="C774" s="15" t="n">
        <v>16</v>
      </c>
      <c r="AA774" s="15" t="n">
        <v>16</v>
      </c>
      <c r="AW774" s="15" t="n">
        <v>16</v>
      </c>
      <c r="BS774" s="15" t="n">
        <v>16</v>
      </c>
      <c r="CO774" s="15" t="n">
        <v>16</v>
      </c>
      <c r="DK774" s="15" t="n">
        <v>16</v>
      </c>
      <c r="EG774" s="15" t="n">
        <v>16</v>
      </c>
      <c r="FC774" s="15" t="n">
        <v>16</v>
      </c>
      <c r="FY774" s="15" t="n">
        <v>16</v>
      </c>
      <c r="GU774" s="15" t="n">
        <v>16</v>
      </c>
    </row>
    <row r="775">
      <c r="C775" s="15" t="n">
        <v>17</v>
      </c>
      <c r="AA775" s="15" t="n">
        <v>17</v>
      </c>
      <c r="AW775" s="15" t="n">
        <v>17</v>
      </c>
      <c r="BS775" s="15" t="n">
        <v>17</v>
      </c>
      <c r="CO775" s="15" t="n">
        <v>17</v>
      </c>
      <c r="DK775" s="15" t="n">
        <v>17</v>
      </c>
      <c r="EG775" s="15" t="n">
        <v>17</v>
      </c>
      <c r="FC775" s="15" t="n">
        <v>17</v>
      </c>
      <c r="FY775" s="15" t="n">
        <v>17</v>
      </c>
      <c r="GU775" s="15" t="n">
        <v>17</v>
      </c>
    </row>
    <row r="776">
      <c r="C776" s="15" t="n">
        <v>18</v>
      </c>
      <c r="AA776" s="15" t="n">
        <v>18</v>
      </c>
      <c r="AW776" s="15" t="n">
        <v>18</v>
      </c>
      <c r="BS776" s="15" t="n">
        <v>18</v>
      </c>
      <c r="CO776" s="15" t="n">
        <v>18</v>
      </c>
      <c r="DK776" s="15" t="n">
        <v>18</v>
      </c>
      <c r="EG776" s="15" t="n">
        <v>18</v>
      </c>
      <c r="FC776" s="15" t="n">
        <v>18</v>
      </c>
      <c r="FY776" s="15" t="n">
        <v>18</v>
      </c>
      <c r="GU776" s="15" t="n">
        <v>18</v>
      </c>
    </row>
    <row r="777">
      <c r="C777" s="15" t="n">
        <v>19</v>
      </c>
      <c r="AA777" s="15" t="n">
        <v>19</v>
      </c>
      <c r="AW777" s="15" t="n">
        <v>19</v>
      </c>
      <c r="BS777" s="15" t="n">
        <v>19</v>
      </c>
      <c r="CO777" s="15" t="n">
        <v>19</v>
      </c>
      <c r="DK777" s="15" t="n">
        <v>19</v>
      </c>
      <c r="EG777" s="15" t="n">
        <v>19</v>
      </c>
      <c r="FC777" s="15" t="n">
        <v>19</v>
      </c>
      <c r="FY777" s="15" t="n">
        <v>19</v>
      </c>
      <c r="GU777" s="15" t="n">
        <v>19</v>
      </c>
    </row>
    <row r="778">
      <c r="C778" s="15" t="n">
        <v>20</v>
      </c>
      <c r="AA778" s="15" t="n">
        <v>20</v>
      </c>
      <c r="AW778" s="15" t="n">
        <v>20</v>
      </c>
      <c r="BS778" s="15" t="n">
        <v>20</v>
      </c>
      <c r="CO778" s="15" t="n">
        <v>20</v>
      </c>
      <c r="DK778" s="15" t="n">
        <v>20</v>
      </c>
      <c r="EG778" s="15" t="n">
        <v>20</v>
      </c>
      <c r="FC778" s="15" t="n">
        <v>20</v>
      </c>
      <c r="FY778" s="15" t="n">
        <v>20</v>
      </c>
      <c r="GU778" s="15" t="n">
        <v>20</v>
      </c>
    </row>
    <row r="779">
      <c r="C779" s="15" t="n">
        <v>21</v>
      </c>
      <c r="AA779" s="15" t="n">
        <v>21</v>
      </c>
      <c r="AW779" s="15" t="n">
        <v>21</v>
      </c>
      <c r="BS779" s="15" t="n">
        <v>21</v>
      </c>
      <c r="CO779" s="15" t="n">
        <v>21</v>
      </c>
      <c r="DK779" s="15" t="n">
        <v>21</v>
      </c>
      <c r="EG779" s="15" t="n">
        <v>21</v>
      </c>
      <c r="FC779" s="15" t="n">
        <v>21</v>
      </c>
      <c r="FY779" s="15" t="n">
        <v>21</v>
      </c>
      <c r="GU779" s="15" t="n">
        <v>21</v>
      </c>
    </row>
    <row r="780">
      <c r="C780" s="15" t="n">
        <v>22</v>
      </c>
      <c r="AA780" s="15" t="n">
        <v>22</v>
      </c>
      <c r="AW780" s="15" t="n">
        <v>22</v>
      </c>
      <c r="BS780" s="15" t="n">
        <v>22</v>
      </c>
      <c r="CO780" s="15" t="n">
        <v>22</v>
      </c>
      <c r="DK780" s="15" t="n">
        <v>22</v>
      </c>
      <c r="EG780" s="15" t="n">
        <v>22</v>
      </c>
      <c r="FC780" s="15" t="n">
        <v>22</v>
      </c>
      <c r="FY780" s="15" t="n">
        <v>22</v>
      </c>
      <c r="GU780" s="15" t="n">
        <v>22</v>
      </c>
    </row>
    <row r="781">
      <c r="C781" s="15" t="n">
        <v>23</v>
      </c>
      <c r="AA781" s="15" t="n">
        <v>23</v>
      </c>
      <c r="AW781" s="15" t="n">
        <v>23</v>
      </c>
      <c r="BS781" s="15" t="n">
        <v>23</v>
      </c>
      <c r="CO781" s="15" t="n">
        <v>23</v>
      </c>
      <c r="DK781" s="15" t="n">
        <v>23</v>
      </c>
      <c r="EG781" s="15" t="n">
        <v>23</v>
      </c>
      <c r="FC781" s="15" t="n">
        <v>23</v>
      </c>
      <c r="FY781" s="15" t="n">
        <v>23</v>
      </c>
      <c r="GU781" s="15" t="n">
        <v>23</v>
      </c>
    </row>
    <row r="782">
      <c r="C782" s="15" t="n">
        <v>24</v>
      </c>
      <c r="AA782" s="15" t="n">
        <v>24</v>
      </c>
      <c r="AW782" s="15" t="n">
        <v>24</v>
      </c>
      <c r="BS782" s="15" t="n">
        <v>24</v>
      </c>
      <c r="CO782" s="15" t="n">
        <v>24</v>
      </c>
      <c r="DK782" s="15" t="n">
        <v>24</v>
      </c>
      <c r="EG782" s="15" t="n">
        <v>24</v>
      </c>
      <c r="FC782" s="15" t="n">
        <v>24</v>
      </c>
      <c r="FY782" s="15" t="n">
        <v>24</v>
      </c>
      <c r="GU782" s="15" t="n">
        <v>24</v>
      </c>
    </row>
    <row r="783">
      <c r="C783" s="15" t="n">
        <v>25</v>
      </c>
      <c r="AA783" s="15" t="n">
        <v>25</v>
      </c>
      <c r="AW783" s="15" t="n">
        <v>25</v>
      </c>
      <c r="BS783" s="15" t="n">
        <v>25</v>
      </c>
      <c r="CO783" s="15" t="n">
        <v>25</v>
      </c>
      <c r="DK783" s="15" t="n">
        <v>25</v>
      </c>
      <c r="EG783" s="15" t="n">
        <v>25</v>
      </c>
      <c r="FC783" s="15" t="n">
        <v>25</v>
      </c>
      <c r="FY783" s="15" t="n">
        <v>25</v>
      </c>
      <c r="GU783" s="15" t="n">
        <v>25</v>
      </c>
    </row>
    <row r="784">
      <c r="C784" s="15" t="n">
        <v>26</v>
      </c>
      <c r="AA784" s="15" t="n">
        <v>26</v>
      </c>
      <c r="AW784" s="15" t="n">
        <v>26</v>
      </c>
      <c r="BS784" s="15" t="n">
        <v>26</v>
      </c>
      <c r="CO784" s="15" t="n">
        <v>26</v>
      </c>
      <c r="DK784" s="15" t="n">
        <v>26</v>
      </c>
      <c r="EG784" s="15" t="n">
        <v>26</v>
      </c>
      <c r="FC784" s="15" t="n">
        <v>26</v>
      </c>
      <c r="FY784" s="15" t="n">
        <v>26</v>
      </c>
      <c r="GU784" s="15" t="n">
        <v>26</v>
      </c>
    </row>
    <row r="785">
      <c r="C785" s="15" t="n">
        <v>27</v>
      </c>
      <c r="AA785" s="15" t="n">
        <v>27</v>
      </c>
      <c r="AW785" s="15" t="n">
        <v>27</v>
      </c>
      <c r="BS785" s="15" t="n">
        <v>27</v>
      </c>
      <c r="CO785" s="15" t="n">
        <v>27</v>
      </c>
      <c r="DK785" s="15" t="n">
        <v>27</v>
      </c>
      <c r="EG785" s="15" t="n">
        <v>27</v>
      </c>
      <c r="FC785" s="15" t="n">
        <v>27</v>
      </c>
      <c r="FY785" s="15" t="n">
        <v>27</v>
      </c>
      <c r="GU785" s="15" t="n">
        <v>27</v>
      </c>
    </row>
    <row r="786">
      <c r="C786" s="15" t="n">
        <v>28</v>
      </c>
      <c r="AA786" s="15" t="n">
        <v>28</v>
      </c>
      <c r="AW786" s="15" t="n">
        <v>28</v>
      </c>
      <c r="BS786" s="15" t="n">
        <v>28</v>
      </c>
      <c r="CO786" s="15" t="n">
        <v>28</v>
      </c>
      <c r="DK786" s="15" t="n">
        <v>28</v>
      </c>
      <c r="EG786" s="15" t="n">
        <v>28</v>
      </c>
      <c r="FC786" s="15" t="n">
        <v>28</v>
      </c>
      <c r="FY786" s="15" t="n">
        <v>28</v>
      </c>
      <c r="GU786" s="15" t="n">
        <v>28</v>
      </c>
    </row>
    <row r="787">
      <c r="C787" s="15" t="n">
        <v>29</v>
      </c>
      <c r="AA787" s="15" t="n">
        <v>29</v>
      </c>
      <c r="AW787" s="15" t="n">
        <v>29</v>
      </c>
      <c r="BS787" s="15" t="n">
        <v>29</v>
      </c>
      <c r="CO787" s="15" t="n">
        <v>29</v>
      </c>
      <c r="DK787" s="15" t="n">
        <v>29</v>
      </c>
      <c r="EG787" s="15" t="n">
        <v>29</v>
      </c>
      <c r="FC787" s="15" t="n">
        <v>29</v>
      </c>
      <c r="FY787" s="15" t="n">
        <v>29</v>
      </c>
      <c r="GU787" s="15" t="n">
        <v>29</v>
      </c>
    </row>
    <row r="788">
      <c r="C788" s="15" t="n">
        <v>30</v>
      </c>
      <c r="AA788" s="15" t="n">
        <v>30</v>
      </c>
      <c r="AW788" s="15" t="n">
        <v>30</v>
      </c>
      <c r="BS788" s="15" t="n">
        <v>30</v>
      </c>
      <c r="CO788" s="15" t="n">
        <v>30</v>
      </c>
      <c r="DK788" s="15" t="n">
        <v>30</v>
      </c>
      <c r="EG788" s="15" t="n">
        <v>30</v>
      </c>
      <c r="FC788" s="15" t="n">
        <v>30</v>
      </c>
      <c r="FY788" s="15" t="n">
        <v>30</v>
      </c>
      <c r="GU788" s="15" t="n">
        <v>30</v>
      </c>
    </row>
    <row r="789">
      <c r="C789" s="15" t="n">
        <v>31</v>
      </c>
      <c r="AA789" s="15" t="n">
        <v>31</v>
      </c>
      <c r="AW789" s="15" t="n">
        <v>31</v>
      </c>
      <c r="BS789" s="15" t="n">
        <v>31</v>
      </c>
      <c r="CO789" s="15" t="n">
        <v>31</v>
      </c>
      <c r="DK789" s="15" t="n">
        <v>31</v>
      </c>
      <c r="EG789" s="15" t="n">
        <v>31</v>
      </c>
      <c r="FC789" s="15" t="n">
        <v>31</v>
      </c>
      <c r="FY789" s="15" t="n">
        <v>31</v>
      </c>
      <c r="GU789" s="15" t="n">
        <v>31</v>
      </c>
    </row>
    <row r="790">
      <c r="C790" s="15" t="n">
        <v>32</v>
      </c>
      <c r="AA790" s="15" t="n">
        <v>32</v>
      </c>
      <c r="AW790" s="15" t="n">
        <v>32</v>
      </c>
      <c r="BS790" s="15" t="n">
        <v>32</v>
      </c>
      <c r="CO790" s="15" t="n">
        <v>32</v>
      </c>
      <c r="DK790" s="15" t="n">
        <v>32</v>
      </c>
      <c r="EG790" s="15" t="n">
        <v>32</v>
      </c>
      <c r="FC790" s="15" t="n">
        <v>32</v>
      </c>
      <c r="FY790" s="15" t="n">
        <v>32</v>
      </c>
      <c r="GU790" s="15" t="n">
        <v>32</v>
      </c>
    </row>
    <row r="791">
      <c r="C791" s="15" t="n">
        <v>33</v>
      </c>
      <c r="AA791" s="15" t="n">
        <v>33</v>
      </c>
      <c r="AW791" s="15" t="n">
        <v>33</v>
      </c>
      <c r="BS791" s="15" t="n">
        <v>33</v>
      </c>
      <c r="CO791" s="15" t="n">
        <v>33</v>
      </c>
      <c r="DK791" s="15" t="n">
        <v>33</v>
      </c>
      <c r="EG791" s="15" t="n">
        <v>33</v>
      </c>
      <c r="FC791" s="15" t="n">
        <v>33</v>
      </c>
      <c r="FY791" s="15" t="n">
        <v>33</v>
      </c>
      <c r="GU791" s="15" t="n">
        <v>33</v>
      </c>
    </row>
    <row r="792">
      <c r="C792" s="15" t="n">
        <v>34</v>
      </c>
      <c r="AA792" s="15" t="n">
        <v>34</v>
      </c>
      <c r="AW792" s="15" t="n">
        <v>34</v>
      </c>
      <c r="BS792" s="15" t="n">
        <v>34</v>
      </c>
      <c r="CO792" s="15" t="n">
        <v>34</v>
      </c>
      <c r="DK792" s="15" t="n">
        <v>34</v>
      </c>
      <c r="EG792" s="15" t="n">
        <v>34</v>
      </c>
      <c r="FC792" s="15" t="n">
        <v>34</v>
      </c>
      <c r="FY792" s="15" t="n">
        <v>34</v>
      </c>
      <c r="GU792" s="15" t="n">
        <v>34</v>
      </c>
    </row>
    <row r="793">
      <c r="C793" s="15" t="n">
        <v>35</v>
      </c>
      <c r="AA793" s="15" t="n">
        <v>35</v>
      </c>
      <c r="AW793" s="15" t="n">
        <v>35</v>
      </c>
      <c r="BS793" s="15" t="n">
        <v>35</v>
      </c>
      <c r="CO793" s="15" t="n">
        <v>35</v>
      </c>
      <c r="DK793" s="15" t="n">
        <v>35</v>
      </c>
      <c r="EG793" s="15" t="n">
        <v>35</v>
      </c>
      <c r="FC793" s="15" t="n">
        <v>35</v>
      </c>
      <c r="FY793" s="15" t="n">
        <v>35</v>
      </c>
      <c r="GU793" s="15" t="n">
        <v>35</v>
      </c>
    </row>
    <row r="794">
      <c r="C794" s="15" t="n">
        <v>36</v>
      </c>
      <c r="AA794" s="15" t="n">
        <v>36</v>
      </c>
      <c r="AW794" s="15" t="n">
        <v>36</v>
      </c>
      <c r="BS794" s="15" t="n">
        <v>36</v>
      </c>
      <c r="CO794" s="15" t="n">
        <v>36</v>
      </c>
      <c r="DK794" s="15" t="n">
        <v>36</v>
      </c>
      <c r="EG794" s="15" t="n">
        <v>36</v>
      </c>
      <c r="FC794" s="15" t="n">
        <v>36</v>
      </c>
      <c r="FY794" s="15" t="n">
        <v>36</v>
      </c>
      <c r="GU794" s="15" t="n">
        <v>36</v>
      </c>
    </row>
    <row r="795">
      <c r="C795" s="15" t="n">
        <v>37</v>
      </c>
      <c r="AA795" s="15" t="n">
        <v>37</v>
      </c>
      <c r="AW795" s="15" t="n">
        <v>37</v>
      </c>
      <c r="BS795" s="15" t="n">
        <v>37</v>
      </c>
      <c r="CO795" s="15" t="n">
        <v>37</v>
      </c>
      <c r="DK795" s="15" t="n">
        <v>37</v>
      </c>
      <c r="EG795" s="15" t="n">
        <v>37</v>
      </c>
      <c r="FC795" s="15" t="n">
        <v>37</v>
      </c>
      <c r="FY795" s="15" t="n">
        <v>37</v>
      </c>
      <c r="GU795" s="15" t="n">
        <v>37</v>
      </c>
    </row>
    <row r="796">
      <c r="C796" s="15" t="n">
        <v>38</v>
      </c>
      <c r="AA796" s="15" t="n">
        <v>38</v>
      </c>
      <c r="AW796" s="15" t="n">
        <v>38</v>
      </c>
      <c r="BS796" s="15" t="n">
        <v>38</v>
      </c>
      <c r="CO796" s="15" t="n">
        <v>38</v>
      </c>
      <c r="DK796" s="15" t="n">
        <v>38</v>
      </c>
      <c r="EG796" s="15" t="n">
        <v>38</v>
      </c>
      <c r="FC796" s="15" t="n">
        <v>38</v>
      </c>
      <c r="FY796" s="15" t="n">
        <v>38</v>
      </c>
      <c r="GU796" s="15" t="n">
        <v>38</v>
      </c>
    </row>
    <row r="797">
      <c r="C797" s="15" t="n">
        <v>39</v>
      </c>
      <c r="AA797" s="15" t="n">
        <v>39</v>
      </c>
      <c r="AW797" s="15" t="n">
        <v>39</v>
      </c>
      <c r="BS797" s="15" t="n">
        <v>39</v>
      </c>
      <c r="CO797" s="15" t="n">
        <v>39</v>
      </c>
      <c r="DK797" s="15" t="n">
        <v>39</v>
      </c>
      <c r="EG797" s="15" t="n">
        <v>39</v>
      </c>
      <c r="FC797" s="15" t="n">
        <v>39</v>
      </c>
      <c r="FY797" s="15" t="n">
        <v>39</v>
      </c>
      <c r="GU797" s="15" t="n">
        <v>39</v>
      </c>
    </row>
    <row r="798">
      <c r="C798" s="15" t="n">
        <v>40</v>
      </c>
      <c r="AA798" s="15" t="n">
        <v>40</v>
      </c>
      <c r="AW798" s="15" t="n">
        <v>40</v>
      </c>
      <c r="BS798" s="15" t="n">
        <v>40</v>
      </c>
      <c r="CO798" s="15" t="n">
        <v>40</v>
      </c>
      <c r="DK798" s="15" t="n">
        <v>40</v>
      </c>
      <c r="EG798" s="15" t="n">
        <v>40</v>
      </c>
      <c r="FC798" s="15" t="n">
        <v>40</v>
      </c>
      <c r="FY798" s="15" t="n">
        <v>40</v>
      </c>
      <c r="GU798" s="15" t="n">
        <v>40</v>
      </c>
    </row>
    <row r="799">
      <c r="C799" s="15" t="n">
        <v>41</v>
      </c>
      <c r="AA799" s="15" t="n">
        <v>41</v>
      </c>
      <c r="AW799" s="15" t="n">
        <v>41</v>
      </c>
      <c r="BS799" s="15" t="n">
        <v>41</v>
      </c>
      <c r="CO799" s="15" t="n">
        <v>41</v>
      </c>
      <c r="DK799" s="15" t="n">
        <v>41</v>
      </c>
      <c r="EG799" s="15" t="n">
        <v>41</v>
      </c>
      <c r="FC799" s="15" t="n">
        <v>41</v>
      </c>
      <c r="FY799" s="15" t="n">
        <v>41</v>
      </c>
      <c r="GU799" s="15" t="n">
        <v>41</v>
      </c>
    </row>
    <row r="800">
      <c r="C800" s="15" t="n">
        <v>42</v>
      </c>
      <c r="AA800" s="15" t="n">
        <v>42</v>
      </c>
      <c r="AW800" s="15" t="n">
        <v>42</v>
      </c>
      <c r="BS800" s="15" t="n">
        <v>42</v>
      </c>
      <c r="CO800" s="15" t="n">
        <v>42</v>
      </c>
      <c r="DK800" s="15" t="n">
        <v>42</v>
      </c>
      <c r="EG800" s="15" t="n">
        <v>42</v>
      </c>
      <c r="FC800" s="15" t="n">
        <v>42</v>
      </c>
      <c r="FY800" s="15" t="n">
        <v>42</v>
      </c>
      <c r="GU800" s="15" t="n">
        <v>42</v>
      </c>
    </row>
    <row r="801">
      <c r="C801" s="15" t="n">
        <v>43</v>
      </c>
      <c r="AA801" s="15" t="n">
        <v>43</v>
      </c>
      <c r="AW801" s="15" t="n">
        <v>43</v>
      </c>
      <c r="BS801" s="15" t="n">
        <v>43</v>
      </c>
      <c r="CO801" s="15" t="n">
        <v>43</v>
      </c>
      <c r="DK801" s="15" t="n">
        <v>43</v>
      </c>
      <c r="EG801" s="15" t="n">
        <v>43</v>
      </c>
      <c r="FC801" s="15" t="n">
        <v>43</v>
      </c>
      <c r="FY801" s="15" t="n">
        <v>43</v>
      </c>
      <c r="GU801" s="15" t="n">
        <v>43</v>
      </c>
    </row>
    <row r="802">
      <c r="C802" s="15" t="n">
        <v>44</v>
      </c>
      <c r="AA802" s="15" t="n">
        <v>44</v>
      </c>
      <c r="AW802" s="15" t="n">
        <v>44</v>
      </c>
      <c r="BS802" s="15" t="n">
        <v>44</v>
      </c>
      <c r="CO802" s="15" t="n">
        <v>44</v>
      </c>
      <c r="DK802" s="15" t="n">
        <v>44</v>
      </c>
      <c r="EG802" s="15" t="n">
        <v>44</v>
      </c>
      <c r="FC802" s="15" t="n">
        <v>44</v>
      </c>
      <c r="FY802" s="15" t="n">
        <v>44</v>
      </c>
      <c r="GU802" s="15" t="n">
        <v>44</v>
      </c>
    </row>
    <row r="803">
      <c r="C803" s="15" t="n">
        <v>45</v>
      </c>
      <c r="AA803" s="15" t="n">
        <v>45</v>
      </c>
      <c r="AW803" s="15" t="n">
        <v>45</v>
      </c>
      <c r="BS803" s="15" t="n">
        <v>45</v>
      </c>
      <c r="CO803" s="15" t="n">
        <v>45</v>
      </c>
      <c r="DK803" s="15" t="n">
        <v>45</v>
      </c>
      <c r="EG803" s="15" t="n">
        <v>45</v>
      </c>
      <c r="FC803" s="15" t="n">
        <v>45</v>
      </c>
      <c r="FY803" s="15" t="n">
        <v>45</v>
      </c>
      <c r="GU803" s="15" t="n">
        <v>45</v>
      </c>
    </row>
    <row r="804">
      <c r="C804" s="15" t="n">
        <v>46</v>
      </c>
      <c r="AA804" s="15" t="n">
        <v>46</v>
      </c>
      <c r="AW804" s="15" t="n">
        <v>46</v>
      </c>
      <c r="BS804" s="15" t="n">
        <v>46</v>
      </c>
      <c r="CO804" s="15" t="n">
        <v>46</v>
      </c>
      <c r="DK804" s="15" t="n">
        <v>46</v>
      </c>
      <c r="EG804" s="15" t="n">
        <v>46</v>
      </c>
      <c r="FC804" s="15" t="n">
        <v>46</v>
      </c>
      <c r="FY804" s="15" t="n">
        <v>46</v>
      </c>
      <c r="GU804" s="15" t="n">
        <v>46</v>
      </c>
    </row>
    <row r="805">
      <c r="C805" s="15" t="n">
        <v>47</v>
      </c>
      <c r="AA805" s="15" t="n">
        <v>47</v>
      </c>
      <c r="AW805" s="15" t="n">
        <v>47</v>
      </c>
      <c r="BS805" s="15" t="n">
        <v>47</v>
      </c>
      <c r="CO805" s="15" t="n">
        <v>47</v>
      </c>
      <c r="DK805" s="15" t="n">
        <v>47</v>
      </c>
      <c r="EG805" s="15" t="n">
        <v>47</v>
      </c>
      <c r="FC805" s="15" t="n">
        <v>47</v>
      </c>
      <c r="FY805" s="15" t="n">
        <v>47</v>
      </c>
      <c r="GU805" s="15" t="n">
        <v>47</v>
      </c>
    </row>
    <row r="806">
      <c r="C806" s="15" t="n">
        <v>48</v>
      </c>
      <c r="AA806" s="15" t="n">
        <v>48</v>
      </c>
      <c r="AW806" s="15" t="n">
        <v>48</v>
      </c>
      <c r="BS806" s="15" t="n">
        <v>48</v>
      </c>
      <c r="CO806" s="15" t="n">
        <v>48</v>
      </c>
      <c r="DK806" s="15" t="n">
        <v>48</v>
      </c>
      <c r="EG806" s="15" t="n">
        <v>48</v>
      </c>
      <c r="FC806" s="15" t="n">
        <v>48</v>
      </c>
      <c r="FY806" s="15" t="n">
        <v>48</v>
      </c>
      <c r="GU806" s="15" t="n">
        <v>48</v>
      </c>
    </row>
    <row r="807">
      <c r="C807" s="15" t="n">
        <v>49</v>
      </c>
      <c r="AA807" s="15" t="n">
        <v>49</v>
      </c>
      <c r="AW807" s="15" t="n">
        <v>49</v>
      </c>
      <c r="BS807" s="15" t="n">
        <v>49</v>
      </c>
      <c r="CO807" s="15" t="n">
        <v>49</v>
      </c>
      <c r="DK807" s="15" t="n">
        <v>49</v>
      </c>
      <c r="EG807" s="15" t="n">
        <v>49</v>
      </c>
      <c r="FC807" s="15" t="n">
        <v>49</v>
      </c>
      <c r="FY807" s="15" t="n">
        <v>49</v>
      </c>
      <c r="GU807" s="15" t="n">
        <v>49</v>
      </c>
    </row>
    <row r="808">
      <c r="C808" s="15" t="n">
        <v>50</v>
      </c>
      <c r="AA808" s="15" t="n">
        <v>50</v>
      </c>
      <c r="AW808" s="15" t="n">
        <v>50</v>
      </c>
      <c r="BS808" s="15" t="n">
        <v>50</v>
      </c>
      <c r="CO808" s="15" t="n">
        <v>50</v>
      </c>
      <c r="DK808" s="15" t="n">
        <v>50</v>
      </c>
      <c r="EG808" s="15" t="n">
        <v>50</v>
      </c>
      <c r="FC808" s="15" t="n">
        <v>50</v>
      </c>
      <c r="FY808" s="15" t="n">
        <v>50</v>
      </c>
      <c r="GU808" s="15" t="n">
        <v>50</v>
      </c>
    </row>
    <row r="809">
      <c r="C809" s="15" t="n">
        <v>51</v>
      </c>
      <c r="AA809" s="15" t="n">
        <v>51</v>
      </c>
      <c r="AW809" s="15" t="n">
        <v>51</v>
      </c>
      <c r="BS809" s="15" t="n">
        <v>51</v>
      </c>
      <c r="CO809" s="15" t="n">
        <v>51</v>
      </c>
      <c r="DK809" s="15" t="n">
        <v>51</v>
      </c>
      <c r="EG809" s="15" t="n">
        <v>51</v>
      </c>
      <c r="FC809" s="15" t="n">
        <v>51</v>
      </c>
      <c r="FY809" s="15" t="n">
        <v>51</v>
      </c>
      <c r="GU809" s="15" t="n">
        <v>51</v>
      </c>
    </row>
    <row r="810">
      <c r="C810" s="15" t="n">
        <v>52</v>
      </c>
      <c r="AA810" s="15" t="n">
        <v>52</v>
      </c>
      <c r="AW810" s="15" t="n">
        <v>52</v>
      </c>
      <c r="BS810" s="15" t="n">
        <v>52</v>
      </c>
      <c r="CO810" s="15" t="n">
        <v>52</v>
      </c>
      <c r="DK810" s="15" t="n">
        <v>52</v>
      </c>
      <c r="EG810" s="15" t="n">
        <v>52</v>
      </c>
      <c r="FC810" s="15" t="n">
        <v>52</v>
      </c>
      <c r="FY810" s="15" t="n">
        <v>52</v>
      </c>
      <c r="GU810" s="15" t="n">
        <v>52</v>
      </c>
    </row>
    <row r="811">
      <c r="C811" s="15" t="n">
        <v>53</v>
      </c>
      <c r="AA811" s="15" t="n">
        <v>53</v>
      </c>
      <c r="AW811" s="15" t="n">
        <v>53</v>
      </c>
      <c r="BS811" s="15" t="n">
        <v>53</v>
      </c>
      <c r="CO811" s="15" t="n">
        <v>53</v>
      </c>
      <c r="DK811" s="15" t="n">
        <v>53</v>
      </c>
      <c r="EG811" s="15" t="n">
        <v>53</v>
      </c>
      <c r="FC811" s="15" t="n">
        <v>53</v>
      </c>
      <c r="FY811" s="15" t="n">
        <v>53</v>
      </c>
      <c r="GU811" s="15" t="n">
        <v>53</v>
      </c>
    </row>
    <row r="812">
      <c r="C812" s="15" t="n">
        <v>54</v>
      </c>
      <c r="AA812" s="15" t="n">
        <v>54</v>
      </c>
      <c r="AW812" s="15" t="n">
        <v>54</v>
      </c>
      <c r="BS812" s="15" t="n">
        <v>54</v>
      </c>
      <c r="CO812" s="15" t="n">
        <v>54</v>
      </c>
      <c r="DK812" s="15" t="n">
        <v>54</v>
      </c>
      <c r="EG812" s="15" t="n">
        <v>54</v>
      </c>
      <c r="FC812" s="15" t="n">
        <v>54</v>
      </c>
      <c r="FY812" s="15" t="n">
        <v>54</v>
      </c>
      <c r="GU812" s="15" t="n">
        <v>54</v>
      </c>
    </row>
    <row r="813">
      <c r="C813" s="15" t="n">
        <v>55</v>
      </c>
      <c r="AA813" s="15" t="n">
        <v>55</v>
      </c>
      <c r="AW813" s="15" t="n">
        <v>55</v>
      </c>
      <c r="BS813" s="15" t="n">
        <v>55</v>
      </c>
      <c r="CO813" s="15" t="n">
        <v>55</v>
      </c>
      <c r="DK813" s="15" t="n">
        <v>55</v>
      </c>
      <c r="EG813" s="15" t="n">
        <v>55</v>
      </c>
      <c r="FC813" s="15" t="n">
        <v>55</v>
      </c>
      <c r="FY813" s="15" t="n">
        <v>55</v>
      </c>
      <c r="GU813" s="15" t="n">
        <v>55</v>
      </c>
    </row>
    <row r="814">
      <c r="C814" s="15" t="n">
        <v>56</v>
      </c>
      <c r="AA814" s="15" t="n">
        <v>56</v>
      </c>
      <c r="AW814" s="15" t="n">
        <v>56</v>
      </c>
      <c r="BS814" s="15" t="n">
        <v>56</v>
      </c>
      <c r="CO814" s="15" t="n">
        <v>56</v>
      </c>
      <c r="DK814" s="15" t="n">
        <v>56</v>
      </c>
      <c r="EG814" s="15" t="n">
        <v>56</v>
      </c>
      <c r="FC814" s="15" t="n">
        <v>56</v>
      </c>
      <c r="FY814" s="15" t="n">
        <v>56</v>
      </c>
      <c r="GU814" s="15" t="n">
        <v>56</v>
      </c>
    </row>
    <row r="815">
      <c r="C815" s="15" t="n">
        <v>57</v>
      </c>
      <c r="AA815" s="15" t="n">
        <v>57</v>
      </c>
      <c r="AW815" s="15" t="n">
        <v>57</v>
      </c>
      <c r="BS815" s="15" t="n">
        <v>57</v>
      </c>
      <c r="CO815" s="15" t="n">
        <v>57</v>
      </c>
      <c r="DK815" s="15" t="n">
        <v>57</v>
      </c>
      <c r="EG815" s="15" t="n">
        <v>57</v>
      </c>
      <c r="FC815" s="15" t="n">
        <v>57</v>
      </c>
      <c r="FY815" s="15" t="n">
        <v>57</v>
      </c>
      <c r="GU815" s="15" t="n">
        <v>57</v>
      </c>
    </row>
    <row r="816">
      <c r="C816" s="15" t="n">
        <v>58</v>
      </c>
      <c r="AA816" s="15" t="n">
        <v>58</v>
      </c>
      <c r="AW816" s="15" t="n">
        <v>58</v>
      </c>
      <c r="BS816" s="15" t="n">
        <v>58</v>
      </c>
      <c r="CO816" s="15" t="n">
        <v>58</v>
      </c>
      <c r="DK816" s="15" t="n">
        <v>58</v>
      </c>
      <c r="EG816" s="15" t="n">
        <v>58</v>
      </c>
      <c r="FC816" s="15" t="n">
        <v>58</v>
      </c>
      <c r="FY816" s="15" t="n">
        <v>58</v>
      </c>
      <c r="GU816" s="15" t="n">
        <v>58</v>
      </c>
    </row>
    <row r="817">
      <c r="C817" s="15" t="n">
        <v>59</v>
      </c>
      <c r="AA817" s="15" t="n">
        <v>59</v>
      </c>
      <c r="AW817" s="15" t="n">
        <v>59</v>
      </c>
      <c r="BS817" s="15" t="n">
        <v>59</v>
      </c>
      <c r="CO817" s="15" t="n">
        <v>59</v>
      </c>
      <c r="DK817" s="15" t="n">
        <v>59</v>
      </c>
      <c r="EG817" s="15" t="n">
        <v>59</v>
      </c>
      <c r="FC817" s="15" t="n">
        <v>59</v>
      </c>
      <c r="FY817" s="15" t="n">
        <v>59</v>
      </c>
      <c r="GU817" s="15" t="n">
        <v>59</v>
      </c>
    </row>
    <row r="818">
      <c r="C818" s="15" t="n">
        <v>60</v>
      </c>
      <c r="AA818" s="15" t="n">
        <v>60</v>
      </c>
      <c r="AW818" s="15" t="n">
        <v>60</v>
      </c>
      <c r="BS818" s="15" t="n">
        <v>60</v>
      </c>
      <c r="CO818" s="15" t="n">
        <v>60</v>
      </c>
      <c r="DK818" s="15" t="n">
        <v>60</v>
      </c>
      <c r="EG818" s="15" t="n">
        <v>60</v>
      </c>
      <c r="FC818" s="15" t="n">
        <v>60</v>
      </c>
      <c r="FY818" s="15" t="n">
        <v>60</v>
      </c>
      <c r="GU818" s="15" t="n">
        <v>60</v>
      </c>
    </row>
    <row r="819">
      <c r="C819" s="15" t="n">
        <v>61</v>
      </c>
      <c r="AA819" s="15" t="n">
        <v>61</v>
      </c>
      <c r="AW819" s="15" t="n">
        <v>61</v>
      </c>
      <c r="BS819" s="15" t="n">
        <v>61</v>
      </c>
      <c r="CO819" s="15" t="n">
        <v>61</v>
      </c>
      <c r="DK819" s="15" t="n">
        <v>61</v>
      </c>
      <c r="EG819" s="15" t="n">
        <v>61</v>
      </c>
      <c r="FC819" s="15" t="n">
        <v>61</v>
      </c>
      <c r="FY819" s="15" t="n">
        <v>61</v>
      </c>
      <c r="GU819" s="15" t="n">
        <v>61</v>
      </c>
    </row>
    <row r="820">
      <c r="C820" s="15" t="n">
        <v>62</v>
      </c>
      <c r="AA820" s="15" t="n">
        <v>62</v>
      </c>
      <c r="AW820" s="15" t="n">
        <v>62</v>
      </c>
      <c r="BS820" s="15" t="n">
        <v>62</v>
      </c>
      <c r="CO820" s="15" t="n">
        <v>62</v>
      </c>
      <c r="DK820" s="15" t="n">
        <v>62</v>
      </c>
      <c r="EG820" s="15" t="n">
        <v>62</v>
      </c>
      <c r="FC820" s="15" t="n">
        <v>62</v>
      </c>
      <c r="FY820" s="15" t="n">
        <v>62</v>
      </c>
      <c r="GU820" s="15" t="n">
        <v>62</v>
      </c>
    </row>
    <row r="821">
      <c r="C821" s="15" t="n">
        <v>63</v>
      </c>
      <c r="AA821" s="15" t="n">
        <v>63</v>
      </c>
      <c r="AW821" s="15" t="n">
        <v>63</v>
      </c>
      <c r="BS821" s="15" t="n">
        <v>63</v>
      </c>
      <c r="CO821" s="15" t="n">
        <v>63</v>
      </c>
      <c r="DK821" s="15" t="n">
        <v>63</v>
      </c>
      <c r="EG821" s="15" t="n">
        <v>63</v>
      </c>
      <c r="FC821" s="15" t="n">
        <v>63</v>
      </c>
      <c r="FY821" s="15" t="n">
        <v>63</v>
      </c>
      <c r="GU821" s="15" t="n">
        <v>63</v>
      </c>
    </row>
    <row r="822">
      <c r="C822" s="15" t="n">
        <v>64</v>
      </c>
      <c r="AA822" s="15" t="n">
        <v>64</v>
      </c>
      <c r="AW822" s="15" t="n">
        <v>64</v>
      </c>
      <c r="BS822" s="15" t="n">
        <v>64</v>
      </c>
      <c r="CO822" s="15" t="n">
        <v>64</v>
      </c>
      <c r="DK822" s="15" t="n">
        <v>64</v>
      </c>
      <c r="EG822" s="15" t="n">
        <v>64</v>
      </c>
      <c r="FC822" s="15" t="n">
        <v>64</v>
      </c>
      <c r="FY822" s="15" t="n">
        <v>64</v>
      </c>
      <c r="GU822" s="15" t="n">
        <v>64</v>
      </c>
    </row>
    <row r="823">
      <c r="C823" s="15" t="n">
        <v>65</v>
      </c>
      <c r="AA823" s="15" t="n">
        <v>65</v>
      </c>
      <c r="AW823" s="15" t="n">
        <v>65</v>
      </c>
      <c r="BS823" s="15" t="n">
        <v>65</v>
      </c>
      <c r="CO823" s="15" t="n">
        <v>65</v>
      </c>
      <c r="DK823" s="15" t="n">
        <v>65</v>
      </c>
      <c r="EG823" s="15" t="n">
        <v>65</v>
      </c>
      <c r="FC823" s="15" t="n">
        <v>65</v>
      </c>
      <c r="FY823" s="15" t="n">
        <v>65</v>
      </c>
      <c r="GU823" s="15" t="n">
        <v>65</v>
      </c>
    </row>
    <row r="824">
      <c r="C824" s="15" t="n">
        <v>66</v>
      </c>
      <c r="AA824" s="15" t="n">
        <v>66</v>
      </c>
      <c r="AW824" s="15" t="n">
        <v>66</v>
      </c>
      <c r="BS824" s="15" t="n">
        <v>66</v>
      </c>
      <c r="CO824" s="15" t="n">
        <v>66</v>
      </c>
      <c r="DK824" s="15" t="n">
        <v>66</v>
      </c>
      <c r="EG824" s="15" t="n">
        <v>66</v>
      </c>
      <c r="FC824" s="15" t="n">
        <v>66</v>
      </c>
      <c r="FY824" s="15" t="n">
        <v>66</v>
      </c>
      <c r="GU824" s="15" t="n">
        <v>66</v>
      </c>
    </row>
    <row r="825">
      <c r="C825" s="15" t="n">
        <v>67</v>
      </c>
      <c r="AA825" s="15" t="n">
        <v>67</v>
      </c>
      <c r="AW825" s="15" t="n">
        <v>67</v>
      </c>
      <c r="BS825" s="15" t="n">
        <v>67</v>
      </c>
      <c r="CO825" s="15" t="n">
        <v>67</v>
      </c>
      <c r="DK825" s="15" t="n">
        <v>67</v>
      </c>
      <c r="EG825" s="15" t="n">
        <v>67</v>
      </c>
      <c r="FC825" s="15" t="n">
        <v>67</v>
      </c>
      <c r="FY825" s="15" t="n">
        <v>67</v>
      </c>
      <c r="GU825" s="15" t="n">
        <v>67</v>
      </c>
    </row>
    <row r="826">
      <c r="C826" s="15" t="n">
        <v>68</v>
      </c>
      <c r="AA826" s="15" t="n">
        <v>68</v>
      </c>
      <c r="AW826" s="15" t="n">
        <v>68</v>
      </c>
      <c r="BS826" s="15" t="n">
        <v>68</v>
      </c>
      <c r="CO826" s="15" t="n">
        <v>68</v>
      </c>
      <c r="DK826" s="15" t="n">
        <v>68</v>
      </c>
      <c r="EG826" s="15" t="n">
        <v>68</v>
      </c>
      <c r="FC826" s="15" t="n">
        <v>68</v>
      </c>
      <c r="FY826" s="15" t="n">
        <v>68</v>
      </c>
      <c r="GU826" s="15" t="n">
        <v>68</v>
      </c>
    </row>
    <row r="827">
      <c r="C827" s="15" t="n">
        <v>69</v>
      </c>
      <c r="AA827" s="15" t="n">
        <v>69</v>
      </c>
      <c r="AW827" s="15" t="n">
        <v>69</v>
      </c>
      <c r="BS827" s="15" t="n">
        <v>69</v>
      </c>
      <c r="CO827" s="15" t="n">
        <v>69</v>
      </c>
      <c r="DK827" s="15" t="n">
        <v>69</v>
      </c>
      <c r="EG827" s="15" t="n">
        <v>69</v>
      </c>
      <c r="FC827" s="15" t="n">
        <v>69</v>
      </c>
      <c r="FY827" s="15" t="n">
        <v>69</v>
      </c>
      <c r="GU827" s="15" t="n">
        <v>69</v>
      </c>
    </row>
    <row r="828">
      <c r="C828" s="15" t="n">
        <v>70</v>
      </c>
      <c r="AA828" s="15" t="n">
        <v>70</v>
      </c>
      <c r="AW828" s="15" t="n">
        <v>70</v>
      </c>
      <c r="BS828" s="15" t="n">
        <v>70</v>
      </c>
      <c r="CO828" s="15" t="n">
        <v>70</v>
      </c>
      <c r="DK828" s="15" t="n">
        <v>70</v>
      </c>
      <c r="EG828" s="15" t="n">
        <v>70</v>
      </c>
      <c r="FC828" s="15" t="n">
        <v>70</v>
      </c>
      <c r="FY828" s="15" t="n">
        <v>70</v>
      </c>
      <c r="GU828" s="15" t="n">
        <v>70</v>
      </c>
    </row>
    <row r="829">
      <c r="C829" s="15" t="n">
        <v>71</v>
      </c>
      <c r="AA829" s="15" t="n">
        <v>71</v>
      </c>
      <c r="AW829" s="15" t="n">
        <v>71</v>
      </c>
      <c r="BS829" s="15" t="n">
        <v>71</v>
      </c>
      <c r="CO829" s="15" t="n">
        <v>71</v>
      </c>
      <c r="DK829" s="15" t="n">
        <v>71</v>
      </c>
      <c r="EG829" s="15" t="n">
        <v>71</v>
      </c>
      <c r="FC829" s="15" t="n">
        <v>71</v>
      </c>
      <c r="FY829" s="15" t="n">
        <v>71</v>
      </c>
      <c r="GU829" s="15" t="n">
        <v>71</v>
      </c>
    </row>
    <row r="830">
      <c r="C830" s="15" t="n">
        <v>72</v>
      </c>
      <c r="AA830" s="15" t="n">
        <v>72</v>
      </c>
      <c r="AW830" s="15" t="n">
        <v>72</v>
      </c>
      <c r="BS830" s="15" t="n">
        <v>72</v>
      </c>
      <c r="CO830" s="15" t="n">
        <v>72</v>
      </c>
      <c r="DK830" s="15" t="n">
        <v>72</v>
      </c>
      <c r="EG830" s="15" t="n">
        <v>72</v>
      </c>
      <c r="FC830" s="15" t="n">
        <v>72</v>
      </c>
      <c r="FY830" s="15" t="n">
        <v>72</v>
      </c>
      <c r="GU830" s="15" t="n">
        <v>72</v>
      </c>
    </row>
    <row r="831">
      <c r="C831" s="15" t="n">
        <v>73</v>
      </c>
      <c r="AA831" s="15" t="n">
        <v>73</v>
      </c>
      <c r="AW831" s="15" t="n">
        <v>73</v>
      </c>
      <c r="BS831" s="15" t="n">
        <v>73</v>
      </c>
      <c r="CO831" s="15" t="n">
        <v>73</v>
      </c>
      <c r="DK831" s="15" t="n">
        <v>73</v>
      </c>
      <c r="EG831" s="15" t="n">
        <v>73</v>
      </c>
      <c r="FC831" s="15" t="n">
        <v>73</v>
      </c>
      <c r="FY831" s="15" t="n">
        <v>73</v>
      </c>
      <c r="GU831" s="15" t="n">
        <v>73</v>
      </c>
    </row>
    <row r="832">
      <c r="C832" s="15" t="n">
        <v>74</v>
      </c>
      <c r="AA832" s="15" t="n">
        <v>74</v>
      </c>
      <c r="AW832" s="15" t="n">
        <v>74</v>
      </c>
      <c r="BS832" s="15" t="n">
        <v>74</v>
      </c>
      <c r="CO832" s="15" t="n">
        <v>74</v>
      </c>
      <c r="DK832" s="15" t="n">
        <v>74</v>
      </c>
      <c r="EG832" s="15" t="n">
        <v>74</v>
      </c>
      <c r="FC832" s="15" t="n">
        <v>74</v>
      </c>
      <c r="FY832" s="15" t="n">
        <v>74</v>
      </c>
      <c r="GU832" s="15" t="n">
        <v>74</v>
      </c>
    </row>
    <row r="833">
      <c r="C833" s="15" t="n">
        <v>75</v>
      </c>
      <c r="AA833" s="15" t="n">
        <v>75</v>
      </c>
      <c r="AW833" s="15" t="n">
        <v>75</v>
      </c>
      <c r="BS833" s="15" t="n">
        <v>75</v>
      </c>
      <c r="CO833" s="15" t="n">
        <v>75</v>
      </c>
      <c r="DK833" s="15" t="n">
        <v>75</v>
      </c>
      <c r="EG833" s="15" t="n">
        <v>75</v>
      </c>
      <c r="FC833" s="15" t="n">
        <v>75</v>
      </c>
      <c r="FY833" s="15" t="n">
        <v>75</v>
      </c>
      <c r="GU833" s="15" t="n">
        <v>75</v>
      </c>
    </row>
    <row r="834">
      <c r="C834" s="15" t="n">
        <v>76</v>
      </c>
      <c r="AA834" s="15" t="n">
        <v>76</v>
      </c>
      <c r="AW834" s="15" t="n">
        <v>76</v>
      </c>
      <c r="BS834" s="15" t="n">
        <v>76</v>
      </c>
      <c r="CO834" s="15" t="n">
        <v>76</v>
      </c>
      <c r="DK834" s="15" t="n">
        <v>76</v>
      </c>
      <c r="EG834" s="15" t="n">
        <v>76</v>
      </c>
      <c r="FC834" s="15" t="n">
        <v>76</v>
      </c>
      <c r="FY834" s="15" t="n">
        <v>76</v>
      </c>
      <c r="GU834" s="15" t="n">
        <v>76</v>
      </c>
    </row>
    <row r="835">
      <c r="C835" s="15" t="n">
        <v>77</v>
      </c>
      <c r="AA835" s="15" t="n">
        <v>77</v>
      </c>
      <c r="AW835" s="15" t="n">
        <v>77</v>
      </c>
      <c r="BS835" s="15" t="n">
        <v>77</v>
      </c>
      <c r="CO835" s="15" t="n">
        <v>77</v>
      </c>
      <c r="DK835" s="15" t="n">
        <v>77</v>
      </c>
      <c r="EG835" s="15" t="n">
        <v>77</v>
      </c>
      <c r="FC835" s="15" t="n">
        <v>77</v>
      </c>
      <c r="FY835" s="15" t="n">
        <v>77</v>
      </c>
      <c r="GU835" s="15" t="n">
        <v>77</v>
      </c>
    </row>
    <row r="836">
      <c r="C836" s="15" t="n">
        <v>78</v>
      </c>
      <c r="AA836" s="15" t="n">
        <v>78</v>
      </c>
      <c r="AW836" s="15" t="n">
        <v>78</v>
      </c>
      <c r="BS836" s="15" t="n">
        <v>78</v>
      </c>
      <c r="CO836" s="15" t="n">
        <v>78</v>
      </c>
      <c r="DK836" s="15" t="n">
        <v>78</v>
      </c>
      <c r="EG836" s="15" t="n">
        <v>78</v>
      </c>
      <c r="FC836" s="15" t="n">
        <v>78</v>
      </c>
      <c r="FY836" s="15" t="n">
        <v>78</v>
      </c>
      <c r="GU836" s="15" t="n">
        <v>78</v>
      </c>
    </row>
    <row r="837">
      <c r="C837" s="15" t="n">
        <v>79</v>
      </c>
      <c r="AA837" s="15" t="n">
        <v>79</v>
      </c>
      <c r="AW837" s="15" t="n">
        <v>79</v>
      </c>
      <c r="BS837" s="15" t="n">
        <v>79</v>
      </c>
      <c r="CO837" s="15" t="n">
        <v>79</v>
      </c>
      <c r="DK837" s="15" t="n">
        <v>79</v>
      </c>
      <c r="EG837" s="15" t="n">
        <v>79</v>
      </c>
      <c r="FC837" s="15" t="n">
        <v>79</v>
      </c>
      <c r="FY837" s="15" t="n">
        <v>79</v>
      </c>
      <c r="GU837" s="15" t="n">
        <v>79</v>
      </c>
    </row>
    <row r="838">
      <c r="C838" s="15" t="n">
        <v>80</v>
      </c>
      <c r="AA838" s="15" t="n">
        <v>80</v>
      </c>
      <c r="AW838" s="15" t="n">
        <v>80</v>
      </c>
      <c r="BS838" s="15" t="n">
        <v>80</v>
      </c>
      <c r="CO838" s="15" t="n">
        <v>80</v>
      </c>
      <c r="DK838" s="15" t="n">
        <v>80</v>
      </c>
      <c r="EG838" s="15" t="n">
        <v>80</v>
      </c>
      <c r="FC838" s="15" t="n">
        <v>80</v>
      </c>
      <c r="FY838" s="15" t="n">
        <v>80</v>
      </c>
      <c r="GU838" s="15" t="n">
        <v>80</v>
      </c>
    </row>
    <row r="839">
      <c r="C839" s="15" t="n">
        <v>81</v>
      </c>
      <c r="AA839" s="15" t="n">
        <v>81</v>
      </c>
      <c r="AW839" s="15" t="n">
        <v>81</v>
      </c>
      <c r="BS839" s="15" t="n">
        <v>81</v>
      </c>
      <c r="CO839" s="15" t="n">
        <v>81</v>
      </c>
      <c r="DK839" s="15" t="n">
        <v>81</v>
      </c>
      <c r="EG839" s="15" t="n">
        <v>81</v>
      </c>
      <c r="FC839" s="15" t="n">
        <v>81</v>
      </c>
      <c r="FY839" s="15" t="n">
        <v>81</v>
      </c>
      <c r="GU839" s="15" t="n">
        <v>81</v>
      </c>
    </row>
    <row r="840">
      <c r="C840" s="15" t="n">
        <v>82</v>
      </c>
      <c r="AA840" s="15" t="n">
        <v>82</v>
      </c>
      <c r="AW840" s="15" t="n">
        <v>82</v>
      </c>
      <c r="BS840" s="15" t="n">
        <v>82</v>
      </c>
      <c r="CO840" s="15" t="n">
        <v>82</v>
      </c>
      <c r="DK840" s="15" t="n">
        <v>82</v>
      </c>
      <c r="EG840" s="15" t="n">
        <v>82</v>
      </c>
      <c r="FC840" s="15" t="n">
        <v>82</v>
      </c>
      <c r="FY840" s="15" t="n">
        <v>82</v>
      </c>
      <c r="GU840" s="15" t="n">
        <v>82</v>
      </c>
    </row>
    <row r="841">
      <c r="C841" s="15" t="n">
        <v>83</v>
      </c>
      <c r="AA841" s="15" t="n">
        <v>83</v>
      </c>
      <c r="AW841" s="15" t="n">
        <v>83</v>
      </c>
      <c r="BS841" s="15" t="n">
        <v>83</v>
      </c>
      <c r="CO841" s="15" t="n">
        <v>83</v>
      </c>
      <c r="DK841" s="15" t="n">
        <v>83</v>
      </c>
      <c r="EG841" s="15" t="n">
        <v>83</v>
      </c>
      <c r="FC841" s="15" t="n">
        <v>83</v>
      </c>
      <c r="FY841" s="15" t="n">
        <v>83</v>
      </c>
      <c r="GU841" s="15" t="n">
        <v>83</v>
      </c>
    </row>
    <row r="842">
      <c r="C842" s="15" t="n">
        <v>84</v>
      </c>
      <c r="AA842" s="15" t="n">
        <v>84</v>
      </c>
      <c r="AW842" s="15" t="n">
        <v>84</v>
      </c>
      <c r="BS842" s="15" t="n">
        <v>84</v>
      </c>
      <c r="CO842" s="15" t="n">
        <v>84</v>
      </c>
      <c r="DK842" s="15" t="n">
        <v>84</v>
      </c>
      <c r="EG842" s="15" t="n">
        <v>84</v>
      </c>
      <c r="FC842" s="15" t="n">
        <v>84</v>
      </c>
      <c r="FY842" s="15" t="n">
        <v>84</v>
      </c>
      <c r="GU842" s="15" t="n">
        <v>84</v>
      </c>
    </row>
    <row r="843">
      <c r="C843" s="15" t="n">
        <v>85</v>
      </c>
      <c r="AA843" s="15" t="n">
        <v>85</v>
      </c>
      <c r="AW843" s="15" t="n">
        <v>85</v>
      </c>
      <c r="BS843" s="15" t="n">
        <v>85</v>
      </c>
      <c r="CO843" s="15" t="n">
        <v>85</v>
      </c>
      <c r="DK843" s="15" t="n">
        <v>85</v>
      </c>
      <c r="EG843" s="15" t="n">
        <v>85</v>
      </c>
      <c r="FC843" s="15" t="n">
        <v>85</v>
      </c>
      <c r="FY843" s="15" t="n">
        <v>85</v>
      </c>
      <c r="GU843" s="15" t="n">
        <v>85</v>
      </c>
    </row>
    <row r="844">
      <c r="C844" s="15" t="n">
        <v>86</v>
      </c>
      <c r="AA844" s="15" t="n">
        <v>86</v>
      </c>
      <c r="AW844" s="15" t="n">
        <v>86</v>
      </c>
      <c r="BS844" s="15" t="n">
        <v>86</v>
      </c>
      <c r="CO844" s="15" t="n">
        <v>86</v>
      </c>
      <c r="DK844" s="15" t="n">
        <v>86</v>
      </c>
      <c r="EG844" s="15" t="n">
        <v>86</v>
      </c>
      <c r="FC844" s="15" t="n">
        <v>86</v>
      </c>
      <c r="FY844" s="15" t="n">
        <v>86</v>
      </c>
      <c r="GU844" s="15" t="n">
        <v>86</v>
      </c>
    </row>
    <row r="845">
      <c r="C845" s="15" t="n">
        <v>87</v>
      </c>
      <c r="AA845" s="15" t="n">
        <v>87</v>
      </c>
      <c r="AW845" s="15" t="n">
        <v>87</v>
      </c>
      <c r="BS845" s="15" t="n">
        <v>87</v>
      </c>
      <c r="CO845" s="15" t="n">
        <v>87</v>
      </c>
      <c r="DK845" s="15" t="n">
        <v>87</v>
      </c>
      <c r="EG845" s="15" t="n">
        <v>87</v>
      </c>
      <c r="FC845" s="15" t="n">
        <v>87</v>
      </c>
      <c r="FY845" s="15" t="n">
        <v>87</v>
      </c>
      <c r="GU845" s="15" t="n">
        <v>87</v>
      </c>
    </row>
    <row r="846">
      <c r="C846" s="15" t="n">
        <v>88</v>
      </c>
      <c r="AA846" s="15" t="n">
        <v>88</v>
      </c>
      <c r="AW846" s="15" t="n">
        <v>88</v>
      </c>
      <c r="BS846" s="15" t="n">
        <v>88</v>
      </c>
      <c r="CO846" s="15" t="n">
        <v>88</v>
      </c>
      <c r="DK846" s="15" t="n">
        <v>88</v>
      </c>
      <c r="EG846" s="15" t="n">
        <v>88</v>
      </c>
      <c r="FC846" s="15" t="n">
        <v>88</v>
      </c>
      <c r="FY846" s="15" t="n">
        <v>88</v>
      </c>
      <c r="GU846" s="15" t="n">
        <v>88</v>
      </c>
    </row>
    <row r="847">
      <c r="C847" s="15" t="n">
        <v>89</v>
      </c>
      <c r="AA847" s="15" t="n">
        <v>89</v>
      </c>
      <c r="AW847" s="15" t="n">
        <v>89</v>
      </c>
      <c r="BS847" s="15" t="n">
        <v>89</v>
      </c>
      <c r="CO847" s="15" t="n">
        <v>89</v>
      </c>
      <c r="DK847" s="15" t="n">
        <v>89</v>
      </c>
      <c r="EG847" s="15" t="n">
        <v>89</v>
      </c>
      <c r="FC847" s="15" t="n">
        <v>89</v>
      </c>
      <c r="FY847" s="15" t="n">
        <v>89</v>
      </c>
      <c r="GU847" s="15" t="n">
        <v>89</v>
      </c>
    </row>
    <row r="848">
      <c r="C848" s="15" t="n">
        <v>90</v>
      </c>
      <c r="AA848" s="15" t="n">
        <v>90</v>
      </c>
      <c r="AW848" s="15" t="n">
        <v>90</v>
      </c>
      <c r="BS848" s="15" t="n">
        <v>90</v>
      </c>
      <c r="CO848" s="15" t="n">
        <v>90</v>
      </c>
      <c r="DK848" s="15" t="n">
        <v>90</v>
      </c>
      <c r="EG848" s="15" t="n">
        <v>90</v>
      </c>
      <c r="FC848" s="15" t="n">
        <v>90</v>
      </c>
      <c r="FY848" s="15" t="n">
        <v>90</v>
      </c>
      <c r="GU848" s="15" t="n">
        <v>90</v>
      </c>
    </row>
    <row r="849">
      <c r="C849" s="15" t="n">
        <v>91</v>
      </c>
      <c r="AA849" s="15" t="n">
        <v>91</v>
      </c>
      <c r="AW849" s="15" t="n">
        <v>91</v>
      </c>
      <c r="BS849" s="15" t="n">
        <v>91</v>
      </c>
      <c r="CO849" s="15" t="n">
        <v>91</v>
      </c>
      <c r="DK849" s="15" t="n">
        <v>91</v>
      </c>
      <c r="EG849" s="15" t="n">
        <v>91</v>
      </c>
      <c r="FC849" s="15" t="n">
        <v>91</v>
      </c>
      <c r="FY849" s="15" t="n">
        <v>91</v>
      </c>
      <c r="GU849" s="15" t="n">
        <v>91</v>
      </c>
    </row>
    <row r="850">
      <c r="C850" s="15" t="n">
        <v>92</v>
      </c>
      <c r="AA850" s="15" t="n">
        <v>92</v>
      </c>
      <c r="AW850" s="15" t="n">
        <v>92</v>
      </c>
      <c r="BS850" s="15" t="n">
        <v>92</v>
      </c>
      <c r="CO850" s="15" t="n">
        <v>92</v>
      </c>
      <c r="DK850" s="15" t="n">
        <v>92</v>
      </c>
      <c r="EG850" s="15" t="n">
        <v>92</v>
      </c>
      <c r="FC850" s="15" t="n">
        <v>92</v>
      </c>
      <c r="FY850" s="15" t="n">
        <v>92</v>
      </c>
      <c r="GU850" s="15" t="n">
        <v>92</v>
      </c>
    </row>
    <row r="851">
      <c r="C851" s="15" t="n">
        <v>93</v>
      </c>
      <c r="AA851" s="15" t="n">
        <v>93</v>
      </c>
      <c r="AW851" s="15" t="n">
        <v>93</v>
      </c>
      <c r="BS851" s="15" t="n">
        <v>93</v>
      </c>
      <c r="CO851" s="15" t="n">
        <v>93</v>
      </c>
      <c r="DK851" s="15" t="n">
        <v>93</v>
      </c>
      <c r="EG851" s="15" t="n">
        <v>93</v>
      </c>
      <c r="FC851" s="15" t="n">
        <v>93</v>
      </c>
      <c r="FY851" s="15" t="n">
        <v>93</v>
      </c>
      <c r="GU851" s="15" t="n">
        <v>93</v>
      </c>
    </row>
    <row r="852">
      <c r="C852" s="15" t="n">
        <v>94</v>
      </c>
      <c r="AA852" s="15" t="n">
        <v>94</v>
      </c>
      <c r="AW852" s="15" t="n">
        <v>94</v>
      </c>
      <c r="BS852" s="15" t="n">
        <v>94</v>
      </c>
      <c r="CO852" s="15" t="n">
        <v>94</v>
      </c>
      <c r="DK852" s="15" t="n">
        <v>94</v>
      </c>
      <c r="EG852" s="15" t="n">
        <v>94</v>
      </c>
      <c r="FC852" s="15" t="n">
        <v>94</v>
      </c>
      <c r="FY852" s="15" t="n">
        <v>94</v>
      </c>
      <c r="GU852" s="15" t="n">
        <v>94</v>
      </c>
    </row>
    <row r="853">
      <c r="C853" s="15" t="n">
        <v>95</v>
      </c>
      <c r="AA853" s="15" t="n">
        <v>95</v>
      </c>
      <c r="AW853" s="15" t="n">
        <v>95</v>
      </c>
      <c r="BS853" s="15" t="n">
        <v>95</v>
      </c>
      <c r="CO853" s="15" t="n">
        <v>95</v>
      </c>
      <c r="DK853" s="15" t="n">
        <v>95</v>
      </c>
      <c r="EG853" s="15" t="n">
        <v>95</v>
      </c>
      <c r="FC853" s="15" t="n">
        <v>95</v>
      </c>
      <c r="FY853" s="15" t="n">
        <v>95</v>
      </c>
      <c r="GU853" s="15" t="n">
        <v>95</v>
      </c>
    </row>
    <row r="854">
      <c r="C854" s="15" t="n">
        <v>96</v>
      </c>
      <c r="AA854" s="15" t="n">
        <v>96</v>
      </c>
      <c r="AW854" s="15" t="n">
        <v>96</v>
      </c>
      <c r="BS854" s="15" t="n">
        <v>96</v>
      </c>
      <c r="CO854" s="15" t="n">
        <v>96</v>
      </c>
      <c r="DK854" s="15" t="n">
        <v>96</v>
      </c>
      <c r="EG854" s="15" t="n">
        <v>96</v>
      </c>
      <c r="FC854" s="15" t="n">
        <v>96</v>
      </c>
      <c r="FY854" s="15" t="n">
        <v>96</v>
      </c>
      <c r="GU854" s="15" t="n">
        <v>96</v>
      </c>
    </row>
    <row r="855">
      <c r="C855" s="15" t="n">
        <v>97</v>
      </c>
      <c r="AA855" s="15" t="n">
        <v>97</v>
      </c>
      <c r="AW855" s="15" t="n">
        <v>97</v>
      </c>
      <c r="BS855" s="15" t="n">
        <v>97</v>
      </c>
      <c r="CO855" s="15" t="n">
        <v>97</v>
      </c>
      <c r="DK855" s="15" t="n">
        <v>97</v>
      </c>
      <c r="EG855" s="15" t="n">
        <v>97</v>
      </c>
      <c r="FC855" s="15" t="n">
        <v>97</v>
      </c>
      <c r="FY855" s="15" t="n">
        <v>97</v>
      </c>
      <c r="GU855" s="15" t="n">
        <v>97</v>
      </c>
    </row>
    <row r="856">
      <c r="C856" s="15" t="n">
        <v>98</v>
      </c>
      <c r="AA856" s="15" t="n">
        <v>98</v>
      </c>
      <c r="AW856" s="15" t="n">
        <v>98</v>
      </c>
      <c r="BS856" s="15" t="n">
        <v>98</v>
      </c>
      <c r="CO856" s="15" t="n">
        <v>98</v>
      </c>
      <c r="DK856" s="15" t="n">
        <v>98</v>
      </c>
      <c r="EG856" s="15" t="n">
        <v>98</v>
      </c>
      <c r="FC856" s="15" t="n">
        <v>98</v>
      </c>
      <c r="FY856" s="15" t="n">
        <v>98</v>
      </c>
      <c r="GU856" s="15" t="n">
        <v>98</v>
      </c>
    </row>
    <row r="857">
      <c r="C857" s="15" t="n">
        <v>99</v>
      </c>
      <c r="AA857" s="15" t="n">
        <v>99</v>
      </c>
      <c r="AW857" s="15" t="n">
        <v>99</v>
      </c>
      <c r="BS857" s="15" t="n">
        <v>99</v>
      </c>
      <c r="CO857" s="15" t="n">
        <v>99</v>
      </c>
      <c r="DK857" s="15" t="n">
        <v>99</v>
      </c>
      <c r="EG857" s="15" t="n">
        <v>99</v>
      </c>
      <c r="FC857" s="15" t="n">
        <v>99</v>
      </c>
      <c r="FY857" s="15" t="n">
        <v>99</v>
      </c>
      <c r="GU857" s="15" t="n">
        <v>99</v>
      </c>
    </row>
    <row r="858">
      <c r="C858" s="15" t="n">
        <v>100</v>
      </c>
      <c r="AA858" s="15" t="n">
        <v>100</v>
      </c>
      <c r="AW858" s="15" t="n">
        <v>100</v>
      </c>
      <c r="BS858" s="15" t="n">
        <v>100</v>
      </c>
      <c r="CO858" s="15" t="n">
        <v>100</v>
      </c>
      <c r="DK858" s="15" t="n">
        <v>100</v>
      </c>
      <c r="EG858" s="15" t="n">
        <v>100</v>
      </c>
      <c r="FC858" s="15" t="n">
        <v>100</v>
      </c>
      <c r="FY858" s="15" t="n">
        <v>100</v>
      </c>
      <c r="GU858" s="15" t="n">
        <v>100</v>
      </c>
    </row>
    <row r="859">
      <c r="C859" s="15" t="n">
        <v>101</v>
      </c>
      <c r="AA859" s="15" t="n">
        <v>101</v>
      </c>
      <c r="AW859" s="15" t="n">
        <v>101</v>
      </c>
      <c r="BS859" s="15" t="n">
        <v>101</v>
      </c>
      <c r="CO859" s="15" t="n">
        <v>101</v>
      </c>
      <c r="DK859" s="15" t="n">
        <v>101</v>
      </c>
      <c r="EG859" s="15" t="n">
        <v>101</v>
      </c>
      <c r="FC859" s="15" t="n">
        <v>101</v>
      </c>
      <c r="FY859" s="15" t="n">
        <v>101</v>
      </c>
      <c r="GU859" s="15" t="n">
        <v>101</v>
      </c>
    </row>
    <row r="860">
      <c r="C860" s="15" t="n">
        <v>102</v>
      </c>
      <c r="AA860" s="15" t="n">
        <v>102</v>
      </c>
      <c r="AW860" s="15" t="n">
        <v>102</v>
      </c>
      <c r="BS860" s="15" t="n">
        <v>102</v>
      </c>
      <c r="CO860" s="15" t="n">
        <v>102</v>
      </c>
      <c r="DK860" s="15" t="n">
        <v>102</v>
      </c>
      <c r="EG860" s="15" t="n">
        <v>102</v>
      </c>
      <c r="FC860" s="15" t="n">
        <v>102</v>
      </c>
      <c r="FY860" s="15" t="n">
        <v>102</v>
      </c>
      <c r="GU860" s="15" t="n">
        <v>102</v>
      </c>
    </row>
    <row r="861">
      <c r="C861" s="15" t="n">
        <v>103</v>
      </c>
      <c r="AA861" s="15" t="n">
        <v>103</v>
      </c>
      <c r="AW861" s="15" t="n">
        <v>103</v>
      </c>
      <c r="BS861" s="15" t="n">
        <v>103</v>
      </c>
      <c r="CO861" s="15" t="n">
        <v>103</v>
      </c>
      <c r="DK861" s="15" t="n">
        <v>103</v>
      </c>
      <c r="EG861" s="15" t="n">
        <v>103</v>
      </c>
      <c r="FC861" s="15" t="n">
        <v>103</v>
      </c>
      <c r="FY861" s="15" t="n">
        <v>103</v>
      </c>
      <c r="GU861" s="15" t="n">
        <v>103</v>
      </c>
    </row>
    <row r="862">
      <c r="C862" s="15" t="n">
        <v>104</v>
      </c>
      <c r="AA862" s="15" t="n">
        <v>104</v>
      </c>
      <c r="AW862" s="15" t="n">
        <v>104</v>
      </c>
      <c r="BS862" s="15" t="n">
        <v>104</v>
      </c>
      <c r="CO862" s="15" t="n">
        <v>104</v>
      </c>
      <c r="DK862" s="15" t="n">
        <v>104</v>
      </c>
      <c r="EG862" s="15" t="n">
        <v>104</v>
      </c>
      <c r="FC862" s="15" t="n">
        <v>104</v>
      </c>
      <c r="FY862" s="15" t="n">
        <v>104</v>
      </c>
      <c r="GU862" s="15" t="n">
        <v>104</v>
      </c>
    </row>
    <row r="863">
      <c r="C863" s="15" t="n">
        <v>105</v>
      </c>
      <c r="AA863" s="15" t="n">
        <v>105</v>
      </c>
      <c r="AW863" s="15" t="n">
        <v>105</v>
      </c>
      <c r="BS863" s="15" t="n">
        <v>105</v>
      </c>
      <c r="CO863" s="15" t="n">
        <v>105</v>
      </c>
      <c r="DK863" s="15" t="n">
        <v>105</v>
      </c>
      <c r="EG863" s="15" t="n">
        <v>105</v>
      </c>
      <c r="FC863" s="15" t="n">
        <v>105</v>
      </c>
      <c r="FY863" s="15" t="n">
        <v>105</v>
      </c>
      <c r="GU863" s="15" t="n">
        <v>105</v>
      </c>
    </row>
    <row r="864">
      <c r="C864" s="15" t="n">
        <v>106</v>
      </c>
      <c r="AA864" s="15" t="n">
        <v>106</v>
      </c>
      <c r="AW864" s="15" t="n">
        <v>106</v>
      </c>
      <c r="BS864" s="15" t="n">
        <v>106</v>
      </c>
      <c r="CO864" s="15" t="n">
        <v>106</v>
      </c>
      <c r="DK864" s="15" t="n">
        <v>106</v>
      </c>
      <c r="EG864" s="15" t="n">
        <v>106</v>
      </c>
      <c r="FC864" s="15" t="n">
        <v>106</v>
      </c>
      <c r="FY864" s="15" t="n">
        <v>106</v>
      </c>
      <c r="GU864" s="15" t="n">
        <v>106</v>
      </c>
    </row>
    <row r="865">
      <c r="C865" s="15" t="n">
        <v>107</v>
      </c>
      <c r="AA865" s="15" t="n">
        <v>107</v>
      </c>
      <c r="AW865" s="15" t="n">
        <v>107</v>
      </c>
      <c r="BS865" s="15" t="n">
        <v>107</v>
      </c>
      <c r="CO865" s="15" t="n">
        <v>107</v>
      </c>
      <c r="DK865" s="15" t="n">
        <v>107</v>
      </c>
      <c r="EG865" s="15" t="n">
        <v>107</v>
      </c>
      <c r="FC865" s="15" t="n">
        <v>107</v>
      </c>
      <c r="FY865" s="15" t="n">
        <v>107</v>
      </c>
      <c r="GU865" s="15" t="n">
        <v>107</v>
      </c>
    </row>
    <row r="866">
      <c r="C866" s="15" t="n">
        <v>108</v>
      </c>
      <c r="AA866" s="15" t="n">
        <v>108</v>
      </c>
      <c r="AW866" s="15" t="n">
        <v>108</v>
      </c>
      <c r="BS866" s="15" t="n">
        <v>108</v>
      </c>
      <c r="CO866" s="15" t="n">
        <v>108</v>
      </c>
      <c r="DK866" s="15" t="n">
        <v>108</v>
      </c>
      <c r="EG866" s="15" t="n">
        <v>108</v>
      </c>
      <c r="FC866" s="15" t="n">
        <v>108</v>
      </c>
      <c r="FY866" s="15" t="n">
        <v>108</v>
      </c>
      <c r="GU866" s="15" t="n">
        <v>108</v>
      </c>
    </row>
    <row r="867">
      <c r="C867" s="15" t="n">
        <v>109</v>
      </c>
      <c r="AA867" s="15" t="n">
        <v>109</v>
      </c>
      <c r="AW867" s="15" t="n">
        <v>109</v>
      </c>
      <c r="BS867" s="15" t="n">
        <v>109</v>
      </c>
      <c r="CO867" s="15" t="n">
        <v>109</v>
      </c>
      <c r="DK867" s="15" t="n">
        <v>109</v>
      </c>
      <c r="EG867" s="15" t="n">
        <v>109</v>
      </c>
      <c r="FC867" s="15" t="n">
        <v>109</v>
      </c>
      <c r="FY867" s="15" t="n">
        <v>109</v>
      </c>
      <c r="GU867" s="15" t="n">
        <v>109</v>
      </c>
    </row>
    <row r="868">
      <c r="C868" s="15" t="n">
        <v>110</v>
      </c>
      <c r="AA868" s="15" t="n">
        <v>110</v>
      </c>
      <c r="AW868" s="15" t="n">
        <v>110</v>
      </c>
      <c r="BS868" s="15" t="n">
        <v>110</v>
      </c>
      <c r="CO868" s="15" t="n">
        <v>110</v>
      </c>
      <c r="DK868" s="15" t="n">
        <v>110</v>
      </c>
      <c r="EG868" s="15" t="n">
        <v>110</v>
      </c>
      <c r="FC868" s="15" t="n">
        <v>110</v>
      </c>
      <c r="FY868" s="15" t="n">
        <v>110</v>
      </c>
      <c r="GU868" s="15" t="n">
        <v>110</v>
      </c>
    </row>
    <row r="869">
      <c r="C869" s="15" t="n">
        <v>111</v>
      </c>
      <c r="AA869" s="15" t="n">
        <v>111</v>
      </c>
      <c r="AW869" s="15" t="n">
        <v>111</v>
      </c>
      <c r="BS869" s="15" t="n">
        <v>111</v>
      </c>
      <c r="CO869" s="15" t="n">
        <v>111</v>
      </c>
      <c r="DK869" s="15" t="n">
        <v>111</v>
      </c>
      <c r="EG869" s="15" t="n">
        <v>111</v>
      </c>
      <c r="FC869" s="15" t="n">
        <v>111</v>
      </c>
      <c r="FY869" s="15" t="n">
        <v>111</v>
      </c>
      <c r="GU869" s="15" t="n">
        <v>111</v>
      </c>
    </row>
    <row r="870">
      <c r="C870" s="15" t="n">
        <v>112</v>
      </c>
      <c r="AA870" s="15" t="n">
        <v>112</v>
      </c>
      <c r="AW870" s="15" t="n">
        <v>112</v>
      </c>
      <c r="BS870" s="15" t="n">
        <v>112</v>
      </c>
      <c r="CO870" s="15" t="n">
        <v>112</v>
      </c>
      <c r="DK870" s="15" t="n">
        <v>112</v>
      </c>
      <c r="EG870" s="15" t="n">
        <v>112</v>
      </c>
      <c r="FC870" s="15" t="n">
        <v>112</v>
      </c>
      <c r="FY870" s="15" t="n">
        <v>112</v>
      </c>
      <c r="GU870" s="15" t="n">
        <v>112</v>
      </c>
    </row>
    <row r="871">
      <c r="C871" s="15" t="n">
        <v>113</v>
      </c>
      <c r="AA871" s="15" t="n">
        <v>113</v>
      </c>
      <c r="AW871" s="15" t="n">
        <v>113</v>
      </c>
      <c r="BS871" s="15" t="n">
        <v>113</v>
      </c>
      <c r="CO871" s="15" t="n">
        <v>113</v>
      </c>
      <c r="DK871" s="15" t="n">
        <v>113</v>
      </c>
      <c r="EG871" s="15" t="n">
        <v>113</v>
      </c>
      <c r="FC871" s="15" t="n">
        <v>113</v>
      </c>
      <c r="FY871" s="15" t="n">
        <v>113</v>
      </c>
      <c r="GU871" s="15" t="n">
        <v>113</v>
      </c>
    </row>
    <row r="872">
      <c r="C872" s="15" t="n">
        <v>114</v>
      </c>
      <c r="AA872" s="15" t="n">
        <v>114</v>
      </c>
      <c r="AW872" s="15" t="n">
        <v>114</v>
      </c>
      <c r="BS872" s="15" t="n">
        <v>114</v>
      </c>
      <c r="CO872" s="15" t="n">
        <v>114</v>
      </c>
      <c r="DK872" s="15" t="n">
        <v>114</v>
      </c>
      <c r="EG872" s="15" t="n">
        <v>114</v>
      </c>
      <c r="FC872" s="15" t="n">
        <v>114</v>
      </c>
      <c r="FY872" s="15" t="n">
        <v>114</v>
      </c>
      <c r="GU872" s="15" t="n">
        <v>114</v>
      </c>
    </row>
    <row r="873">
      <c r="C873" s="15" t="n">
        <v>115</v>
      </c>
      <c r="AA873" s="15" t="n">
        <v>115</v>
      </c>
      <c r="AW873" s="15" t="n">
        <v>115</v>
      </c>
      <c r="BS873" s="15" t="n">
        <v>115</v>
      </c>
      <c r="CO873" s="15" t="n">
        <v>115</v>
      </c>
      <c r="DK873" s="15" t="n">
        <v>115</v>
      </c>
      <c r="EG873" s="15" t="n">
        <v>115</v>
      </c>
      <c r="FC873" s="15" t="n">
        <v>115</v>
      </c>
      <c r="FY873" s="15" t="n">
        <v>115</v>
      </c>
      <c r="GU873" s="15" t="n">
        <v>115</v>
      </c>
    </row>
    <row r="874">
      <c r="C874" s="15" t="n">
        <v>116</v>
      </c>
      <c r="AA874" s="15" t="n">
        <v>116</v>
      </c>
      <c r="AW874" s="15" t="n">
        <v>116</v>
      </c>
      <c r="BS874" s="15" t="n">
        <v>116</v>
      </c>
      <c r="CO874" s="15" t="n">
        <v>116</v>
      </c>
      <c r="DK874" s="15" t="n">
        <v>116</v>
      </c>
      <c r="EG874" s="15" t="n">
        <v>116</v>
      </c>
      <c r="FC874" s="15" t="n">
        <v>116</v>
      </c>
      <c r="FY874" s="15" t="n">
        <v>116</v>
      </c>
      <c r="GU874" s="15" t="n">
        <v>116</v>
      </c>
    </row>
    <row r="875">
      <c r="C875" s="15" t="n">
        <v>117</v>
      </c>
      <c r="AA875" s="15" t="n">
        <v>117</v>
      </c>
      <c r="AW875" s="15" t="n">
        <v>117</v>
      </c>
      <c r="BS875" s="15" t="n">
        <v>117</v>
      </c>
      <c r="CO875" s="15" t="n">
        <v>117</v>
      </c>
      <c r="DK875" s="15" t="n">
        <v>117</v>
      </c>
      <c r="EG875" s="15" t="n">
        <v>117</v>
      </c>
      <c r="FC875" s="15" t="n">
        <v>117</v>
      </c>
      <c r="FY875" s="15" t="n">
        <v>117</v>
      </c>
      <c r="GU875" s="15" t="n">
        <v>117</v>
      </c>
    </row>
    <row r="876">
      <c r="C876" s="15" t="n">
        <v>118</v>
      </c>
      <c r="AA876" s="15" t="n">
        <v>118</v>
      </c>
      <c r="AW876" s="15" t="n">
        <v>118</v>
      </c>
      <c r="BS876" s="15" t="n">
        <v>118</v>
      </c>
      <c r="CO876" s="15" t="n">
        <v>118</v>
      </c>
      <c r="DK876" s="15" t="n">
        <v>118</v>
      </c>
      <c r="EG876" s="15" t="n">
        <v>118</v>
      </c>
      <c r="FC876" s="15" t="n">
        <v>118</v>
      </c>
      <c r="FY876" s="15" t="n">
        <v>118</v>
      </c>
      <c r="GU876" s="15" t="n">
        <v>118</v>
      </c>
    </row>
    <row r="877">
      <c r="C877" s="15" t="n">
        <v>119</v>
      </c>
      <c r="AA877" s="15" t="n">
        <v>119</v>
      </c>
      <c r="AW877" s="15" t="n">
        <v>119</v>
      </c>
      <c r="BS877" s="15" t="n">
        <v>119</v>
      </c>
      <c r="CO877" s="15" t="n">
        <v>119</v>
      </c>
      <c r="DK877" s="15" t="n">
        <v>119</v>
      </c>
      <c r="EG877" s="15" t="n">
        <v>119</v>
      </c>
      <c r="FC877" s="15" t="n">
        <v>119</v>
      </c>
      <c r="FY877" s="15" t="n">
        <v>119</v>
      </c>
      <c r="GU877" s="15" t="n">
        <v>119</v>
      </c>
    </row>
    <row r="878">
      <c r="C878" s="15" t="n">
        <v>120</v>
      </c>
      <c r="AA878" s="15" t="n">
        <v>120</v>
      </c>
      <c r="AW878" s="15" t="n">
        <v>120</v>
      </c>
      <c r="BS878" s="15" t="n">
        <v>120</v>
      </c>
      <c r="CO878" s="15" t="n">
        <v>120</v>
      </c>
      <c r="DK878" s="15" t="n">
        <v>120</v>
      </c>
      <c r="EG878" s="15" t="n">
        <v>120</v>
      </c>
      <c r="FC878" s="15" t="n">
        <v>120</v>
      </c>
      <c r="FY878" s="15" t="n">
        <v>120</v>
      </c>
      <c r="GU878" s="15" t="n">
        <v>120</v>
      </c>
    </row>
    <row r="879">
      <c r="C879" s="15" t="n">
        <v>121</v>
      </c>
      <c r="AA879" s="15" t="n">
        <v>121</v>
      </c>
      <c r="AW879" s="15" t="n">
        <v>121</v>
      </c>
      <c r="BS879" s="15" t="n">
        <v>121</v>
      </c>
      <c r="CO879" s="15" t="n">
        <v>121</v>
      </c>
      <c r="DK879" s="15" t="n">
        <v>121</v>
      </c>
      <c r="EG879" s="15" t="n">
        <v>121</v>
      </c>
      <c r="FC879" s="15" t="n">
        <v>121</v>
      </c>
      <c r="FY879" s="15" t="n">
        <v>121</v>
      </c>
      <c r="GU879" s="15" t="n">
        <v>121</v>
      </c>
    </row>
    <row r="880">
      <c r="C880" s="15" t="n">
        <v>122</v>
      </c>
      <c r="AA880" s="15" t="n">
        <v>122</v>
      </c>
      <c r="AW880" s="15" t="n">
        <v>122</v>
      </c>
      <c r="BS880" s="15" t="n">
        <v>122</v>
      </c>
      <c r="CO880" s="15" t="n">
        <v>122</v>
      </c>
      <c r="DK880" s="15" t="n">
        <v>122</v>
      </c>
      <c r="EG880" s="15" t="n">
        <v>122</v>
      </c>
      <c r="FC880" s="15" t="n">
        <v>122</v>
      </c>
      <c r="FY880" s="15" t="n">
        <v>122</v>
      </c>
      <c r="GU880" s="15" t="n">
        <v>122</v>
      </c>
    </row>
    <row r="881">
      <c r="C881" s="15" t="n">
        <v>123</v>
      </c>
      <c r="AA881" s="15" t="n">
        <v>123</v>
      </c>
      <c r="AW881" s="15" t="n">
        <v>123</v>
      </c>
      <c r="BS881" s="15" t="n">
        <v>123</v>
      </c>
      <c r="CO881" s="15" t="n">
        <v>123</v>
      </c>
      <c r="DK881" s="15" t="n">
        <v>123</v>
      </c>
      <c r="EG881" s="15" t="n">
        <v>123</v>
      </c>
      <c r="FC881" s="15" t="n">
        <v>123</v>
      </c>
      <c r="FY881" s="15" t="n">
        <v>123</v>
      </c>
      <c r="GU881" s="15" t="n">
        <v>123</v>
      </c>
    </row>
    <row r="882">
      <c r="C882" s="15" t="n">
        <v>124</v>
      </c>
      <c r="AA882" s="15" t="n">
        <v>124</v>
      </c>
      <c r="AW882" s="15" t="n">
        <v>124</v>
      </c>
      <c r="BS882" s="15" t="n">
        <v>124</v>
      </c>
      <c r="CO882" s="15" t="n">
        <v>124</v>
      </c>
      <c r="DK882" s="15" t="n">
        <v>124</v>
      </c>
      <c r="EG882" s="15" t="n">
        <v>124</v>
      </c>
      <c r="FC882" s="15" t="n">
        <v>124</v>
      </c>
      <c r="FY882" s="15" t="n">
        <v>124</v>
      </c>
      <c r="GU882" s="15" t="n">
        <v>124</v>
      </c>
    </row>
    <row r="883">
      <c r="C883" s="15" t="n">
        <v>125</v>
      </c>
      <c r="AA883" s="15" t="n">
        <v>125</v>
      </c>
      <c r="AW883" s="15" t="n">
        <v>125</v>
      </c>
      <c r="BS883" s="15" t="n">
        <v>125</v>
      </c>
      <c r="CO883" s="15" t="n">
        <v>125</v>
      </c>
      <c r="DK883" s="15" t="n">
        <v>125</v>
      </c>
      <c r="EG883" s="15" t="n">
        <v>125</v>
      </c>
      <c r="FC883" s="15" t="n">
        <v>125</v>
      </c>
      <c r="FY883" s="15" t="n">
        <v>125</v>
      </c>
      <c r="GU883" s="15" t="n">
        <v>125</v>
      </c>
    </row>
    <row r="884">
      <c r="C884" s="15" t="n">
        <v>126</v>
      </c>
      <c r="AA884" s="15" t="n">
        <v>126</v>
      </c>
      <c r="AW884" s="15" t="n">
        <v>126</v>
      </c>
      <c r="BS884" s="15" t="n">
        <v>126</v>
      </c>
      <c r="CO884" s="15" t="n">
        <v>126</v>
      </c>
      <c r="DK884" s="15" t="n">
        <v>126</v>
      </c>
      <c r="EG884" s="15" t="n">
        <v>126</v>
      </c>
      <c r="FC884" s="15" t="n">
        <v>126</v>
      </c>
      <c r="FY884" s="15" t="n">
        <v>126</v>
      </c>
      <c r="GU884" s="15" t="n">
        <v>126</v>
      </c>
    </row>
    <row r="885">
      <c r="C885" s="15" t="n">
        <v>127</v>
      </c>
      <c r="AA885" s="15" t="n">
        <v>127</v>
      </c>
      <c r="AW885" s="15" t="n">
        <v>127</v>
      </c>
      <c r="BS885" s="15" t="n">
        <v>127</v>
      </c>
      <c r="CO885" s="15" t="n">
        <v>127</v>
      </c>
      <c r="DK885" s="15" t="n">
        <v>127</v>
      </c>
      <c r="EG885" s="15" t="n">
        <v>127</v>
      </c>
      <c r="FC885" s="15" t="n">
        <v>127</v>
      </c>
      <c r="FY885" s="15" t="n">
        <v>127</v>
      </c>
      <c r="GU885" s="15" t="n">
        <v>127</v>
      </c>
    </row>
    <row r="886">
      <c r="C886" s="15" t="n">
        <v>128</v>
      </c>
      <c r="AA886" s="15" t="n">
        <v>128</v>
      </c>
      <c r="AW886" s="15" t="n">
        <v>128</v>
      </c>
      <c r="BS886" s="15" t="n">
        <v>128</v>
      </c>
      <c r="CO886" s="15" t="n">
        <v>128</v>
      </c>
      <c r="DK886" s="15" t="n">
        <v>128</v>
      </c>
      <c r="EG886" s="15" t="n">
        <v>128</v>
      </c>
      <c r="FC886" s="15" t="n">
        <v>128</v>
      </c>
      <c r="FY886" s="15" t="n">
        <v>128</v>
      </c>
      <c r="GU886" s="15" t="n">
        <v>128</v>
      </c>
    </row>
    <row r="887">
      <c r="C887" s="15" t="n">
        <v>129</v>
      </c>
      <c r="AA887" s="15" t="n">
        <v>129</v>
      </c>
      <c r="AW887" s="15" t="n">
        <v>129</v>
      </c>
      <c r="BS887" s="15" t="n">
        <v>129</v>
      </c>
      <c r="CO887" s="15" t="n">
        <v>129</v>
      </c>
      <c r="DK887" s="15" t="n">
        <v>129</v>
      </c>
      <c r="EG887" s="15" t="n">
        <v>129</v>
      </c>
      <c r="FC887" s="15" t="n">
        <v>129</v>
      </c>
      <c r="FY887" s="15" t="n">
        <v>129</v>
      </c>
      <c r="GU887" s="15" t="n">
        <v>129</v>
      </c>
    </row>
    <row r="888">
      <c r="C888" s="15" t="n">
        <v>130</v>
      </c>
      <c r="AA888" s="15" t="n">
        <v>130</v>
      </c>
      <c r="AW888" s="15" t="n">
        <v>130</v>
      </c>
      <c r="BS888" s="15" t="n">
        <v>130</v>
      </c>
      <c r="CO888" s="15" t="n">
        <v>130</v>
      </c>
      <c r="DK888" s="15" t="n">
        <v>130</v>
      </c>
      <c r="EG888" s="15" t="n">
        <v>130</v>
      </c>
      <c r="FC888" s="15" t="n">
        <v>130</v>
      </c>
      <c r="FY888" s="15" t="n">
        <v>130</v>
      </c>
      <c r="GU888" s="15" t="n">
        <v>130</v>
      </c>
    </row>
    <row r="889">
      <c r="C889" s="15" t="n">
        <v>131</v>
      </c>
      <c r="AA889" s="15" t="n">
        <v>131</v>
      </c>
      <c r="AW889" s="15" t="n">
        <v>131</v>
      </c>
      <c r="BS889" s="15" t="n">
        <v>131</v>
      </c>
      <c r="CO889" s="15" t="n">
        <v>131</v>
      </c>
      <c r="DK889" s="15" t="n">
        <v>131</v>
      </c>
      <c r="EG889" s="15" t="n">
        <v>131</v>
      </c>
      <c r="FC889" s="15" t="n">
        <v>131</v>
      </c>
      <c r="FY889" s="15" t="n">
        <v>131</v>
      </c>
      <c r="GU889" s="15" t="n">
        <v>131</v>
      </c>
    </row>
    <row r="890">
      <c r="C890" s="15" t="n">
        <v>132</v>
      </c>
      <c r="AA890" s="15" t="n">
        <v>132</v>
      </c>
      <c r="AW890" s="15" t="n">
        <v>132</v>
      </c>
      <c r="BS890" s="15" t="n">
        <v>132</v>
      </c>
      <c r="CO890" s="15" t="n">
        <v>132</v>
      </c>
      <c r="DK890" s="15" t="n">
        <v>132</v>
      </c>
      <c r="EG890" s="15" t="n">
        <v>132</v>
      </c>
      <c r="FC890" s="15" t="n">
        <v>132</v>
      </c>
      <c r="FY890" s="15" t="n">
        <v>132</v>
      </c>
      <c r="GU890" s="15" t="n">
        <v>132</v>
      </c>
    </row>
    <row r="891">
      <c r="C891" s="15" t="n">
        <v>133</v>
      </c>
      <c r="AA891" s="15" t="n">
        <v>133</v>
      </c>
      <c r="AW891" s="15" t="n">
        <v>133</v>
      </c>
      <c r="BS891" s="15" t="n">
        <v>133</v>
      </c>
      <c r="CO891" s="15" t="n">
        <v>133</v>
      </c>
      <c r="DK891" s="15" t="n">
        <v>133</v>
      </c>
      <c r="EG891" s="15" t="n">
        <v>133</v>
      </c>
      <c r="FC891" s="15" t="n">
        <v>133</v>
      </c>
      <c r="FY891" s="15" t="n">
        <v>133</v>
      </c>
      <c r="GU891" s="15" t="n">
        <v>133</v>
      </c>
    </row>
    <row r="892">
      <c r="C892" s="15" t="n">
        <v>134</v>
      </c>
      <c r="AA892" s="15" t="n">
        <v>134</v>
      </c>
      <c r="AW892" s="15" t="n">
        <v>134</v>
      </c>
      <c r="BS892" s="15" t="n">
        <v>134</v>
      </c>
      <c r="CO892" s="15" t="n">
        <v>134</v>
      </c>
      <c r="DK892" s="15" t="n">
        <v>134</v>
      </c>
      <c r="EG892" s="15" t="n">
        <v>134</v>
      </c>
      <c r="FC892" s="15" t="n">
        <v>134</v>
      </c>
      <c r="FY892" s="15" t="n">
        <v>134</v>
      </c>
      <c r="GU892" s="15" t="n">
        <v>134</v>
      </c>
    </row>
    <row r="893">
      <c r="C893" s="15" t="n">
        <v>135</v>
      </c>
      <c r="AA893" s="15" t="n">
        <v>135</v>
      </c>
      <c r="AW893" s="15" t="n">
        <v>135</v>
      </c>
      <c r="BS893" s="15" t="n">
        <v>135</v>
      </c>
      <c r="CO893" s="15" t="n">
        <v>135</v>
      </c>
      <c r="DK893" s="15" t="n">
        <v>135</v>
      </c>
      <c r="EG893" s="15" t="n">
        <v>135</v>
      </c>
      <c r="FC893" s="15" t="n">
        <v>135</v>
      </c>
      <c r="FY893" s="15" t="n">
        <v>135</v>
      </c>
      <c r="GU893" s="15" t="n">
        <v>135</v>
      </c>
    </row>
    <row r="894">
      <c r="C894" s="15" t="n">
        <v>136</v>
      </c>
      <c r="AA894" s="15" t="n">
        <v>136</v>
      </c>
      <c r="AW894" s="15" t="n">
        <v>136</v>
      </c>
      <c r="BS894" s="15" t="n">
        <v>136</v>
      </c>
      <c r="CO894" s="15" t="n">
        <v>136</v>
      </c>
      <c r="DK894" s="15" t="n">
        <v>136</v>
      </c>
      <c r="EG894" s="15" t="n">
        <v>136</v>
      </c>
      <c r="FC894" s="15" t="n">
        <v>136</v>
      </c>
      <c r="FY894" s="15" t="n">
        <v>136</v>
      </c>
      <c r="GU894" s="15" t="n">
        <v>136</v>
      </c>
    </row>
    <row r="895">
      <c r="C895" s="15" t="n">
        <v>137</v>
      </c>
      <c r="AA895" s="15" t="n">
        <v>137</v>
      </c>
      <c r="AW895" s="15" t="n">
        <v>137</v>
      </c>
      <c r="BS895" s="15" t="n">
        <v>137</v>
      </c>
      <c r="CO895" s="15" t="n">
        <v>137</v>
      </c>
      <c r="DK895" s="15" t="n">
        <v>137</v>
      </c>
      <c r="EG895" s="15" t="n">
        <v>137</v>
      </c>
      <c r="FC895" s="15" t="n">
        <v>137</v>
      </c>
      <c r="FY895" s="15" t="n">
        <v>137</v>
      </c>
      <c r="GU895" s="15" t="n">
        <v>137</v>
      </c>
    </row>
    <row r="896">
      <c r="C896" s="15" t="n">
        <v>138</v>
      </c>
      <c r="AA896" s="15" t="n">
        <v>138</v>
      </c>
      <c r="AW896" s="15" t="n">
        <v>138</v>
      </c>
      <c r="BS896" s="15" t="n">
        <v>138</v>
      </c>
      <c r="CO896" s="15" t="n">
        <v>138</v>
      </c>
      <c r="DK896" s="15" t="n">
        <v>138</v>
      </c>
      <c r="EG896" s="15" t="n">
        <v>138</v>
      </c>
      <c r="FC896" s="15" t="n">
        <v>138</v>
      </c>
      <c r="FY896" s="15" t="n">
        <v>138</v>
      </c>
      <c r="GU896" s="15" t="n">
        <v>138</v>
      </c>
    </row>
    <row r="897">
      <c r="C897" s="15" t="n">
        <v>139</v>
      </c>
      <c r="AA897" s="15" t="n">
        <v>139</v>
      </c>
      <c r="AW897" s="15" t="n">
        <v>139</v>
      </c>
      <c r="BS897" s="15" t="n">
        <v>139</v>
      </c>
      <c r="CO897" s="15" t="n">
        <v>139</v>
      </c>
      <c r="DK897" s="15" t="n">
        <v>139</v>
      </c>
      <c r="EG897" s="15" t="n">
        <v>139</v>
      </c>
      <c r="FC897" s="15" t="n">
        <v>139</v>
      </c>
      <c r="FY897" s="15" t="n">
        <v>139</v>
      </c>
      <c r="GU897" s="15" t="n">
        <v>139</v>
      </c>
    </row>
    <row r="898">
      <c r="C898" s="15" t="n">
        <v>140</v>
      </c>
      <c r="AA898" s="15" t="n">
        <v>140</v>
      </c>
      <c r="AW898" s="15" t="n">
        <v>140</v>
      </c>
      <c r="BS898" s="15" t="n">
        <v>140</v>
      </c>
      <c r="CO898" s="15" t="n">
        <v>140</v>
      </c>
      <c r="DK898" s="15" t="n">
        <v>140</v>
      </c>
      <c r="EG898" s="15" t="n">
        <v>140</v>
      </c>
      <c r="FC898" s="15" t="n">
        <v>140</v>
      </c>
      <c r="FY898" s="15" t="n">
        <v>140</v>
      </c>
      <c r="GU898" s="15" t="n">
        <v>140</v>
      </c>
    </row>
    <row r="899">
      <c r="C899" s="15" t="n">
        <v>141</v>
      </c>
      <c r="AA899" s="15" t="n">
        <v>141</v>
      </c>
      <c r="AW899" s="15" t="n">
        <v>141</v>
      </c>
      <c r="BS899" s="15" t="n">
        <v>141</v>
      </c>
      <c r="CO899" s="15" t="n">
        <v>141</v>
      </c>
      <c r="DK899" s="15" t="n">
        <v>141</v>
      </c>
      <c r="EG899" s="15" t="n">
        <v>141</v>
      </c>
      <c r="FC899" s="15" t="n">
        <v>141</v>
      </c>
      <c r="FY899" s="15" t="n">
        <v>141</v>
      </c>
      <c r="GU899" s="15" t="n">
        <v>141</v>
      </c>
    </row>
    <row r="900">
      <c r="C900" s="15" t="n">
        <v>142</v>
      </c>
      <c r="AA900" s="15" t="n">
        <v>142</v>
      </c>
      <c r="AW900" s="15" t="n">
        <v>142</v>
      </c>
      <c r="BS900" s="15" t="n">
        <v>142</v>
      </c>
      <c r="CO900" s="15" t="n">
        <v>142</v>
      </c>
      <c r="DK900" s="15" t="n">
        <v>142</v>
      </c>
      <c r="EG900" s="15" t="n">
        <v>142</v>
      </c>
      <c r="FC900" s="15" t="n">
        <v>142</v>
      </c>
      <c r="FY900" s="15" t="n">
        <v>142</v>
      </c>
      <c r="GU900" s="15" t="n">
        <v>142</v>
      </c>
    </row>
    <row r="901">
      <c r="C901" s="15" t="n">
        <v>143</v>
      </c>
      <c r="AA901" s="15" t="n">
        <v>143</v>
      </c>
      <c r="AW901" s="15" t="n">
        <v>143</v>
      </c>
      <c r="BS901" s="15" t="n">
        <v>143</v>
      </c>
      <c r="CO901" s="15" t="n">
        <v>143</v>
      </c>
      <c r="DK901" s="15" t="n">
        <v>143</v>
      </c>
      <c r="EG901" s="15" t="n">
        <v>143</v>
      </c>
      <c r="FC901" s="15" t="n">
        <v>143</v>
      </c>
      <c r="FY901" s="15" t="n">
        <v>143</v>
      </c>
      <c r="GU901" s="15" t="n">
        <v>143</v>
      </c>
    </row>
    <row r="902">
      <c r="C902" s="15" t="n">
        <v>144</v>
      </c>
      <c r="AA902" s="15" t="n">
        <v>144</v>
      </c>
      <c r="AW902" s="15" t="n">
        <v>144</v>
      </c>
      <c r="BS902" s="15" t="n">
        <v>144</v>
      </c>
      <c r="CO902" s="15" t="n">
        <v>144</v>
      </c>
      <c r="DK902" s="15" t="n">
        <v>144</v>
      </c>
      <c r="EG902" s="15" t="n">
        <v>144</v>
      </c>
      <c r="FC902" s="15" t="n">
        <v>144</v>
      </c>
      <c r="FY902" s="15" t="n">
        <v>144</v>
      </c>
      <c r="GU902" s="15" t="n">
        <v>144</v>
      </c>
    </row>
    <row r="903">
      <c r="C903" s="15" t="n">
        <v>145</v>
      </c>
      <c r="AA903" s="15" t="n">
        <v>145</v>
      </c>
      <c r="AW903" s="15" t="n">
        <v>145</v>
      </c>
      <c r="BS903" s="15" t="n">
        <v>145</v>
      </c>
      <c r="CO903" s="15" t="n">
        <v>145</v>
      </c>
      <c r="DK903" s="15" t="n">
        <v>145</v>
      </c>
      <c r="EG903" s="15" t="n">
        <v>145</v>
      </c>
      <c r="FC903" s="15" t="n">
        <v>145</v>
      </c>
      <c r="FY903" s="15" t="n">
        <v>145</v>
      </c>
      <c r="GU903" s="15" t="n">
        <v>145</v>
      </c>
    </row>
    <row r="904">
      <c r="C904" s="15" t="n">
        <v>146</v>
      </c>
      <c r="AA904" s="15" t="n">
        <v>146</v>
      </c>
      <c r="AW904" s="15" t="n">
        <v>146</v>
      </c>
      <c r="BS904" s="15" t="n">
        <v>146</v>
      </c>
      <c r="CO904" s="15" t="n">
        <v>146</v>
      </c>
      <c r="DK904" s="15" t="n">
        <v>146</v>
      </c>
      <c r="EG904" s="15" t="n">
        <v>146</v>
      </c>
      <c r="FC904" s="15" t="n">
        <v>146</v>
      </c>
      <c r="FY904" s="15" t="n">
        <v>146</v>
      </c>
      <c r="GU904" s="15" t="n">
        <v>146</v>
      </c>
    </row>
    <row r="905">
      <c r="C905" s="15" t="n">
        <v>147</v>
      </c>
      <c r="AA905" s="15" t="n">
        <v>147</v>
      </c>
      <c r="AW905" s="15" t="n">
        <v>147</v>
      </c>
      <c r="BS905" s="15" t="n">
        <v>147</v>
      </c>
      <c r="CO905" s="15" t="n">
        <v>147</v>
      </c>
      <c r="DK905" s="15" t="n">
        <v>147</v>
      </c>
      <c r="EG905" s="15" t="n">
        <v>147</v>
      </c>
      <c r="FC905" s="15" t="n">
        <v>147</v>
      </c>
      <c r="FY905" s="15" t="n">
        <v>147</v>
      </c>
      <c r="GU905" s="15" t="n">
        <v>147</v>
      </c>
    </row>
    <row r="906">
      <c r="C906" s="15" t="n">
        <v>148</v>
      </c>
      <c r="AA906" s="15" t="n">
        <v>148</v>
      </c>
      <c r="AW906" s="15" t="n">
        <v>148</v>
      </c>
      <c r="BS906" s="15" t="n">
        <v>148</v>
      </c>
      <c r="CO906" s="15" t="n">
        <v>148</v>
      </c>
      <c r="DK906" s="15" t="n">
        <v>148</v>
      </c>
      <c r="EG906" s="15" t="n">
        <v>148</v>
      </c>
      <c r="FC906" s="15" t="n">
        <v>148</v>
      </c>
      <c r="FY906" s="15" t="n">
        <v>148</v>
      </c>
      <c r="GU906" s="15" t="n">
        <v>148</v>
      </c>
    </row>
    <row r="907">
      <c r="C907" s="15" t="n">
        <v>149</v>
      </c>
      <c r="AA907" s="15" t="n">
        <v>149</v>
      </c>
      <c r="AW907" s="15" t="n">
        <v>149</v>
      </c>
      <c r="BS907" s="15" t="n">
        <v>149</v>
      </c>
      <c r="CO907" s="15" t="n">
        <v>149</v>
      </c>
      <c r="DK907" s="15" t="n">
        <v>149</v>
      </c>
      <c r="EG907" s="15" t="n">
        <v>149</v>
      </c>
      <c r="FC907" s="15" t="n">
        <v>149</v>
      </c>
      <c r="FY907" s="15" t="n">
        <v>149</v>
      </c>
      <c r="GU907" s="15" t="n">
        <v>149</v>
      </c>
    </row>
    <row r="908">
      <c r="C908" s="15" t="n">
        <v>150</v>
      </c>
      <c r="AA908" s="15" t="n">
        <v>150</v>
      </c>
      <c r="AW908" s="15" t="n">
        <v>150</v>
      </c>
      <c r="BS908" s="15" t="n">
        <v>150</v>
      </c>
      <c r="CO908" s="15" t="n">
        <v>150</v>
      </c>
      <c r="DK908" s="15" t="n">
        <v>150</v>
      </c>
      <c r="EG908" s="15" t="n">
        <v>150</v>
      </c>
      <c r="FC908" s="15" t="n">
        <v>150</v>
      </c>
      <c r="FY908" s="15" t="n">
        <v>150</v>
      </c>
      <c r="GU908" s="15" t="n">
        <v>150</v>
      </c>
    </row>
    <row r="909">
      <c r="C909" s="15" t="n">
        <v>151</v>
      </c>
      <c r="AA909" s="15" t="n">
        <v>151</v>
      </c>
      <c r="AW909" s="15" t="n">
        <v>151</v>
      </c>
      <c r="BS909" s="15" t="n">
        <v>151</v>
      </c>
      <c r="CO909" s="15" t="n">
        <v>151</v>
      </c>
      <c r="DK909" s="15" t="n">
        <v>151</v>
      </c>
      <c r="EG909" s="15" t="n">
        <v>151</v>
      </c>
      <c r="FC909" s="15" t="n">
        <v>151</v>
      </c>
      <c r="FY909" s="15" t="n">
        <v>151</v>
      </c>
      <c r="GU909" s="15" t="n">
        <v>151</v>
      </c>
    </row>
    <row r="910">
      <c r="C910" s="15" t="n">
        <v>152</v>
      </c>
      <c r="AA910" s="15" t="n">
        <v>152</v>
      </c>
      <c r="AW910" s="15" t="n">
        <v>152</v>
      </c>
      <c r="BS910" s="15" t="n">
        <v>152</v>
      </c>
      <c r="CO910" s="15" t="n">
        <v>152</v>
      </c>
      <c r="DK910" s="15" t="n">
        <v>152</v>
      </c>
      <c r="EG910" s="15" t="n">
        <v>152</v>
      </c>
      <c r="FC910" s="15" t="n">
        <v>152</v>
      </c>
      <c r="FY910" s="15" t="n">
        <v>152</v>
      </c>
      <c r="GU910" s="15" t="n">
        <v>152</v>
      </c>
    </row>
    <row r="911">
      <c r="C911" s="15" t="n">
        <v>153</v>
      </c>
      <c r="AA911" s="15" t="n">
        <v>153</v>
      </c>
      <c r="AW911" s="15" t="n">
        <v>153</v>
      </c>
      <c r="BS911" s="15" t="n">
        <v>153</v>
      </c>
      <c r="CO911" s="15" t="n">
        <v>153</v>
      </c>
      <c r="DK911" s="15" t="n">
        <v>153</v>
      </c>
      <c r="EG911" s="15" t="n">
        <v>153</v>
      </c>
      <c r="FC911" s="15" t="n">
        <v>153</v>
      </c>
      <c r="FY911" s="15" t="n">
        <v>153</v>
      </c>
      <c r="GU911" s="15" t="n">
        <v>153</v>
      </c>
    </row>
    <row r="912">
      <c r="C912" s="15" t="n">
        <v>154</v>
      </c>
      <c r="AA912" s="15" t="n">
        <v>154</v>
      </c>
      <c r="AW912" s="15" t="n">
        <v>154</v>
      </c>
      <c r="BS912" s="15" t="n">
        <v>154</v>
      </c>
      <c r="CO912" s="15" t="n">
        <v>154</v>
      </c>
      <c r="DK912" s="15" t="n">
        <v>154</v>
      </c>
      <c r="EG912" s="15" t="n">
        <v>154</v>
      </c>
      <c r="FC912" s="15" t="n">
        <v>154</v>
      </c>
      <c r="FY912" s="15" t="n">
        <v>154</v>
      </c>
      <c r="GU912" s="15" t="n">
        <v>154</v>
      </c>
    </row>
    <row r="913">
      <c r="C913" s="15" t="n">
        <v>155</v>
      </c>
      <c r="AA913" s="15" t="n">
        <v>155</v>
      </c>
      <c r="AW913" s="15" t="n">
        <v>155</v>
      </c>
      <c r="BS913" s="15" t="n">
        <v>155</v>
      </c>
      <c r="CO913" s="15" t="n">
        <v>155</v>
      </c>
      <c r="DK913" s="15" t="n">
        <v>155</v>
      </c>
      <c r="EG913" s="15" t="n">
        <v>155</v>
      </c>
      <c r="FC913" s="15" t="n">
        <v>155</v>
      </c>
      <c r="FY913" s="15" t="n">
        <v>155</v>
      </c>
      <c r="GU913" s="15" t="n">
        <v>155</v>
      </c>
    </row>
    <row r="914">
      <c r="C914" s="15" t="n">
        <v>156</v>
      </c>
      <c r="AA914" s="15" t="n">
        <v>156</v>
      </c>
      <c r="AW914" s="15" t="n">
        <v>156</v>
      </c>
      <c r="BS914" s="15" t="n">
        <v>156</v>
      </c>
      <c r="CO914" s="15" t="n">
        <v>156</v>
      </c>
      <c r="DK914" s="15" t="n">
        <v>156</v>
      </c>
      <c r="EG914" s="15" t="n">
        <v>156</v>
      </c>
      <c r="FC914" s="15" t="n">
        <v>156</v>
      </c>
      <c r="FY914" s="15" t="n">
        <v>156</v>
      </c>
      <c r="GU914" s="15" t="n">
        <v>156</v>
      </c>
    </row>
    <row r="915">
      <c r="C915" s="15" t="n">
        <v>157</v>
      </c>
      <c r="AA915" s="15" t="n">
        <v>157</v>
      </c>
      <c r="AW915" s="15" t="n">
        <v>157</v>
      </c>
      <c r="BS915" s="15" t="n">
        <v>157</v>
      </c>
      <c r="CO915" s="15" t="n">
        <v>157</v>
      </c>
      <c r="DK915" s="15" t="n">
        <v>157</v>
      </c>
      <c r="EG915" s="15" t="n">
        <v>157</v>
      </c>
      <c r="FC915" s="15" t="n">
        <v>157</v>
      </c>
      <c r="FY915" s="15" t="n">
        <v>157</v>
      </c>
      <c r="GU915" s="15" t="n">
        <v>157</v>
      </c>
    </row>
    <row r="916">
      <c r="C916" s="15" t="n">
        <v>158</v>
      </c>
      <c r="AA916" s="15" t="n">
        <v>158</v>
      </c>
      <c r="AW916" s="15" t="n">
        <v>158</v>
      </c>
      <c r="BS916" s="15" t="n">
        <v>158</v>
      </c>
      <c r="CO916" s="15" t="n">
        <v>158</v>
      </c>
      <c r="DK916" s="15" t="n">
        <v>158</v>
      </c>
      <c r="EG916" s="15" t="n">
        <v>158</v>
      </c>
      <c r="FC916" s="15" t="n">
        <v>158</v>
      </c>
      <c r="FY916" s="15" t="n">
        <v>158</v>
      </c>
      <c r="GU916" s="15" t="n">
        <v>158</v>
      </c>
    </row>
    <row r="917">
      <c r="C917" s="15" t="n">
        <v>159</v>
      </c>
      <c r="AA917" s="15" t="n">
        <v>159</v>
      </c>
      <c r="AW917" s="15" t="n">
        <v>159</v>
      </c>
      <c r="BS917" s="15" t="n">
        <v>159</v>
      </c>
      <c r="CO917" s="15" t="n">
        <v>159</v>
      </c>
      <c r="DK917" s="15" t="n">
        <v>159</v>
      </c>
      <c r="EG917" s="15" t="n">
        <v>159</v>
      </c>
      <c r="FC917" s="15" t="n">
        <v>159</v>
      </c>
      <c r="FY917" s="15" t="n">
        <v>159</v>
      </c>
      <c r="GU917" s="15" t="n">
        <v>159</v>
      </c>
    </row>
    <row r="918">
      <c r="C918" s="15" t="n">
        <v>160</v>
      </c>
      <c r="AA918" s="15" t="n">
        <v>160</v>
      </c>
      <c r="AW918" s="15" t="n">
        <v>160</v>
      </c>
      <c r="BS918" s="15" t="n">
        <v>160</v>
      </c>
      <c r="CO918" s="15" t="n">
        <v>160</v>
      </c>
      <c r="DK918" s="15" t="n">
        <v>160</v>
      </c>
      <c r="EG918" s="15" t="n">
        <v>160</v>
      </c>
      <c r="FC918" s="15" t="n">
        <v>160</v>
      </c>
      <c r="FY918" s="15" t="n">
        <v>160</v>
      </c>
      <c r="GU918" s="15" t="n">
        <v>160</v>
      </c>
    </row>
    <row r="919">
      <c r="C919" s="15" t="n">
        <v>161</v>
      </c>
      <c r="AA919" s="15" t="n">
        <v>161</v>
      </c>
      <c r="AW919" s="15" t="n">
        <v>161</v>
      </c>
      <c r="BS919" s="15" t="n">
        <v>161</v>
      </c>
      <c r="CO919" s="15" t="n">
        <v>161</v>
      </c>
      <c r="DK919" s="15" t="n">
        <v>161</v>
      </c>
      <c r="EG919" s="15" t="n">
        <v>161</v>
      </c>
      <c r="FC919" s="15" t="n">
        <v>161</v>
      </c>
      <c r="FY919" s="15" t="n">
        <v>161</v>
      </c>
      <c r="GU919" s="15" t="n">
        <v>161</v>
      </c>
    </row>
    <row r="920">
      <c r="C920" s="15" t="n">
        <v>162</v>
      </c>
      <c r="AA920" s="15" t="n">
        <v>162</v>
      </c>
      <c r="AW920" s="15" t="n">
        <v>162</v>
      </c>
      <c r="BS920" s="15" t="n">
        <v>162</v>
      </c>
      <c r="CO920" s="15" t="n">
        <v>162</v>
      </c>
      <c r="DK920" s="15" t="n">
        <v>162</v>
      </c>
      <c r="EG920" s="15" t="n">
        <v>162</v>
      </c>
      <c r="FC920" s="15" t="n">
        <v>162</v>
      </c>
      <c r="FY920" s="15" t="n">
        <v>162</v>
      </c>
      <c r="GU920" s="15" t="n">
        <v>162</v>
      </c>
    </row>
    <row r="921">
      <c r="C921" s="15" t="n">
        <v>163</v>
      </c>
      <c r="AA921" s="15" t="n">
        <v>163</v>
      </c>
      <c r="AW921" s="15" t="n">
        <v>163</v>
      </c>
      <c r="BS921" s="15" t="n">
        <v>163</v>
      </c>
      <c r="CO921" s="15" t="n">
        <v>163</v>
      </c>
      <c r="DK921" s="15" t="n">
        <v>163</v>
      </c>
      <c r="EG921" s="15" t="n">
        <v>163</v>
      </c>
      <c r="FC921" s="15" t="n">
        <v>163</v>
      </c>
      <c r="FY921" s="15" t="n">
        <v>163</v>
      </c>
      <c r="GU921" s="15" t="n">
        <v>163</v>
      </c>
    </row>
    <row r="922">
      <c r="C922" s="15" t="n">
        <v>164</v>
      </c>
      <c r="AA922" s="15" t="n">
        <v>164</v>
      </c>
      <c r="AW922" s="15" t="n">
        <v>164</v>
      </c>
      <c r="BS922" s="15" t="n">
        <v>164</v>
      </c>
      <c r="CO922" s="15" t="n">
        <v>164</v>
      </c>
      <c r="DK922" s="15" t="n">
        <v>164</v>
      </c>
      <c r="EG922" s="15" t="n">
        <v>164</v>
      </c>
      <c r="FC922" s="15" t="n">
        <v>164</v>
      </c>
      <c r="FY922" s="15" t="n">
        <v>164</v>
      </c>
      <c r="GU922" s="15" t="n">
        <v>164</v>
      </c>
    </row>
    <row r="923">
      <c r="C923" s="15" t="n">
        <v>165</v>
      </c>
      <c r="AA923" s="15" t="n">
        <v>165</v>
      </c>
      <c r="AW923" s="15" t="n">
        <v>165</v>
      </c>
      <c r="BS923" s="15" t="n">
        <v>165</v>
      </c>
      <c r="CO923" s="15" t="n">
        <v>165</v>
      </c>
      <c r="DK923" s="15" t="n">
        <v>165</v>
      </c>
      <c r="EG923" s="15" t="n">
        <v>165</v>
      </c>
      <c r="FC923" s="15" t="n">
        <v>165</v>
      </c>
      <c r="FY923" s="15" t="n">
        <v>165</v>
      </c>
      <c r="GU923" s="15" t="n">
        <v>165</v>
      </c>
    </row>
    <row r="924">
      <c r="C924" s="15" t="n">
        <v>166</v>
      </c>
      <c r="AA924" s="15" t="n">
        <v>166</v>
      </c>
      <c r="AW924" s="15" t="n">
        <v>166</v>
      </c>
      <c r="BS924" s="15" t="n">
        <v>166</v>
      </c>
      <c r="CO924" s="15" t="n">
        <v>166</v>
      </c>
      <c r="DK924" s="15" t="n">
        <v>166</v>
      </c>
      <c r="EG924" s="15" t="n">
        <v>166</v>
      </c>
      <c r="FC924" s="15" t="n">
        <v>166</v>
      </c>
      <c r="FY924" s="15" t="n">
        <v>166</v>
      </c>
      <c r="GU924" s="15" t="n">
        <v>166</v>
      </c>
    </row>
    <row r="925">
      <c r="C925" s="15" t="n">
        <v>167</v>
      </c>
      <c r="AA925" s="15" t="n">
        <v>167</v>
      </c>
      <c r="AW925" s="15" t="n">
        <v>167</v>
      </c>
      <c r="BS925" s="15" t="n">
        <v>167</v>
      </c>
      <c r="CO925" s="15" t="n">
        <v>167</v>
      </c>
      <c r="DK925" s="15" t="n">
        <v>167</v>
      </c>
      <c r="EG925" s="15" t="n">
        <v>167</v>
      </c>
      <c r="FC925" s="15" t="n">
        <v>167</v>
      </c>
      <c r="FY925" s="15" t="n">
        <v>167</v>
      </c>
      <c r="GU925" s="15" t="n">
        <v>167</v>
      </c>
    </row>
    <row r="926">
      <c r="C926" s="15" t="n">
        <v>168</v>
      </c>
      <c r="AA926" s="15" t="n">
        <v>168</v>
      </c>
      <c r="AW926" s="15" t="n">
        <v>168</v>
      </c>
      <c r="BS926" s="15" t="n">
        <v>168</v>
      </c>
      <c r="CO926" s="15" t="n">
        <v>168</v>
      </c>
      <c r="DK926" s="15" t="n">
        <v>168</v>
      </c>
      <c r="EG926" s="15" t="n">
        <v>168</v>
      </c>
      <c r="FC926" s="15" t="n">
        <v>168</v>
      </c>
      <c r="FY926" s="15" t="n">
        <v>168</v>
      </c>
      <c r="GU926" s="15" t="n">
        <v>168</v>
      </c>
    </row>
    <row r="927">
      <c r="C927" s="15" t="n">
        <v>169</v>
      </c>
      <c r="AA927" s="15" t="n">
        <v>169</v>
      </c>
      <c r="AW927" s="15" t="n">
        <v>169</v>
      </c>
      <c r="BS927" s="15" t="n">
        <v>169</v>
      </c>
      <c r="CO927" s="15" t="n">
        <v>169</v>
      </c>
      <c r="DK927" s="15" t="n">
        <v>169</v>
      </c>
      <c r="EG927" s="15" t="n">
        <v>169</v>
      </c>
      <c r="FC927" s="15" t="n">
        <v>169</v>
      </c>
      <c r="FY927" s="15" t="n">
        <v>169</v>
      </c>
      <c r="GU927" s="15" t="n">
        <v>169</v>
      </c>
    </row>
    <row r="928">
      <c r="C928" s="15" t="n">
        <v>170</v>
      </c>
      <c r="AA928" s="15" t="n">
        <v>170</v>
      </c>
      <c r="AW928" s="15" t="n">
        <v>170</v>
      </c>
      <c r="BS928" s="15" t="n">
        <v>170</v>
      </c>
      <c r="CO928" s="15" t="n">
        <v>170</v>
      </c>
      <c r="DK928" s="15" t="n">
        <v>170</v>
      </c>
      <c r="EG928" s="15" t="n">
        <v>170</v>
      </c>
      <c r="FC928" s="15" t="n">
        <v>170</v>
      </c>
      <c r="FY928" s="15" t="n">
        <v>170</v>
      </c>
      <c r="GU928" s="15" t="n">
        <v>170</v>
      </c>
    </row>
    <row r="929">
      <c r="C929" s="15" t="n">
        <v>171</v>
      </c>
      <c r="AA929" s="15" t="n">
        <v>171</v>
      </c>
      <c r="AW929" s="15" t="n">
        <v>171</v>
      </c>
      <c r="BS929" s="15" t="n">
        <v>171</v>
      </c>
      <c r="CO929" s="15" t="n">
        <v>171</v>
      </c>
      <c r="DK929" s="15" t="n">
        <v>171</v>
      </c>
      <c r="EG929" s="15" t="n">
        <v>171</v>
      </c>
      <c r="FC929" s="15" t="n">
        <v>171</v>
      </c>
      <c r="FY929" s="15" t="n">
        <v>171</v>
      </c>
      <c r="GU929" s="15" t="n">
        <v>171</v>
      </c>
    </row>
    <row r="930">
      <c r="C930" s="15" t="n">
        <v>172</v>
      </c>
      <c r="AA930" s="15" t="n">
        <v>172</v>
      </c>
      <c r="AW930" s="15" t="n">
        <v>172</v>
      </c>
      <c r="BS930" s="15" t="n">
        <v>172</v>
      </c>
      <c r="CO930" s="15" t="n">
        <v>172</v>
      </c>
      <c r="DK930" s="15" t="n">
        <v>172</v>
      </c>
      <c r="EG930" s="15" t="n">
        <v>172</v>
      </c>
      <c r="FC930" s="15" t="n">
        <v>172</v>
      </c>
      <c r="FY930" s="15" t="n">
        <v>172</v>
      </c>
      <c r="GU930" s="15" t="n">
        <v>172</v>
      </c>
    </row>
    <row r="931">
      <c r="C931" s="15" t="n">
        <v>173</v>
      </c>
      <c r="AA931" s="15" t="n">
        <v>173</v>
      </c>
      <c r="AW931" s="15" t="n">
        <v>173</v>
      </c>
      <c r="BS931" s="15" t="n">
        <v>173</v>
      </c>
      <c r="CO931" s="15" t="n">
        <v>173</v>
      </c>
      <c r="DK931" s="15" t="n">
        <v>173</v>
      </c>
      <c r="EG931" s="15" t="n">
        <v>173</v>
      </c>
      <c r="FC931" s="15" t="n">
        <v>173</v>
      </c>
      <c r="FY931" s="15" t="n">
        <v>173</v>
      </c>
      <c r="GU931" s="15" t="n">
        <v>173</v>
      </c>
    </row>
    <row r="932">
      <c r="C932" s="15" t="n">
        <v>174</v>
      </c>
      <c r="AA932" s="15" t="n">
        <v>174</v>
      </c>
      <c r="AW932" s="15" t="n">
        <v>174</v>
      </c>
      <c r="BS932" s="15" t="n">
        <v>174</v>
      </c>
      <c r="CO932" s="15" t="n">
        <v>174</v>
      </c>
      <c r="DK932" s="15" t="n">
        <v>174</v>
      </c>
      <c r="EG932" s="15" t="n">
        <v>174</v>
      </c>
      <c r="FC932" s="15" t="n">
        <v>174</v>
      </c>
      <c r="FY932" s="15" t="n">
        <v>174</v>
      </c>
      <c r="GU932" s="15" t="n">
        <v>174</v>
      </c>
    </row>
    <row r="933">
      <c r="C933" s="15" t="n">
        <v>175</v>
      </c>
      <c r="AA933" s="15" t="n">
        <v>175</v>
      </c>
      <c r="AW933" s="15" t="n">
        <v>175</v>
      </c>
      <c r="BS933" s="15" t="n">
        <v>175</v>
      </c>
      <c r="CO933" s="15" t="n">
        <v>175</v>
      </c>
      <c r="DK933" s="15" t="n">
        <v>175</v>
      </c>
      <c r="EG933" s="15" t="n">
        <v>175</v>
      </c>
      <c r="FC933" s="15" t="n">
        <v>175</v>
      </c>
      <c r="FY933" s="15" t="n">
        <v>175</v>
      </c>
      <c r="GU933" s="15" t="n">
        <v>175</v>
      </c>
    </row>
    <row r="934">
      <c r="C934" s="15" t="n">
        <v>176</v>
      </c>
      <c r="AA934" s="15" t="n">
        <v>176</v>
      </c>
      <c r="AW934" s="15" t="n">
        <v>176</v>
      </c>
      <c r="BS934" s="15" t="n">
        <v>176</v>
      </c>
      <c r="CO934" s="15" t="n">
        <v>176</v>
      </c>
      <c r="DK934" s="15" t="n">
        <v>176</v>
      </c>
      <c r="EG934" s="15" t="n">
        <v>176</v>
      </c>
      <c r="FC934" s="15" t="n">
        <v>176</v>
      </c>
      <c r="FY934" s="15" t="n">
        <v>176</v>
      </c>
      <c r="GU934" s="15" t="n">
        <v>176</v>
      </c>
    </row>
    <row r="935">
      <c r="C935" s="15" t="n">
        <v>177</v>
      </c>
      <c r="AA935" s="15" t="n">
        <v>177</v>
      </c>
      <c r="AW935" s="15" t="n">
        <v>177</v>
      </c>
      <c r="BS935" s="15" t="n">
        <v>177</v>
      </c>
      <c r="CO935" s="15" t="n">
        <v>177</v>
      </c>
      <c r="DK935" s="15" t="n">
        <v>177</v>
      </c>
      <c r="EG935" s="15" t="n">
        <v>177</v>
      </c>
      <c r="FC935" s="15" t="n">
        <v>177</v>
      </c>
      <c r="FY935" s="15" t="n">
        <v>177</v>
      </c>
      <c r="GU935" s="15" t="n">
        <v>177</v>
      </c>
    </row>
    <row r="936">
      <c r="C936" s="15" t="n">
        <v>178</v>
      </c>
      <c r="AA936" s="15" t="n">
        <v>178</v>
      </c>
      <c r="AW936" s="15" t="n">
        <v>178</v>
      </c>
      <c r="BS936" s="15" t="n">
        <v>178</v>
      </c>
      <c r="CO936" s="15" t="n">
        <v>178</v>
      </c>
      <c r="DK936" s="15" t="n">
        <v>178</v>
      </c>
      <c r="EG936" s="15" t="n">
        <v>178</v>
      </c>
      <c r="FC936" s="15" t="n">
        <v>178</v>
      </c>
      <c r="FY936" s="15" t="n">
        <v>178</v>
      </c>
      <c r="GU936" s="15" t="n">
        <v>178</v>
      </c>
    </row>
    <row r="937">
      <c r="C937" s="15" t="n">
        <v>179</v>
      </c>
      <c r="AA937" s="15" t="n">
        <v>179</v>
      </c>
      <c r="AW937" s="15" t="n">
        <v>179</v>
      </c>
      <c r="BS937" s="15" t="n">
        <v>179</v>
      </c>
      <c r="CO937" s="15" t="n">
        <v>179</v>
      </c>
      <c r="DK937" s="15" t="n">
        <v>179</v>
      </c>
      <c r="EG937" s="15" t="n">
        <v>179</v>
      </c>
      <c r="FC937" s="15" t="n">
        <v>179</v>
      </c>
      <c r="FY937" s="15" t="n">
        <v>179</v>
      </c>
      <c r="GU937" s="15" t="n">
        <v>179</v>
      </c>
    </row>
    <row r="938">
      <c r="C938" s="15" t="n">
        <v>180</v>
      </c>
      <c r="AA938" s="15" t="n">
        <v>180</v>
      </c>
      <c r="AW938" s="15" t="n">
        <v>180</v>
      </c>
      <c r="BS938" s="15" t="n">
        <v>180</v>
      </c>
      <c r="CO938" s="15" t="n">
        <v>180</v>
      </c>
      <c r="DK938" s="15" t="n">
        <v>180</v>
      </c>
      <c r="EG938" s="15" t="n">
        <v>180</v>
      </c>
      <c r="FC938" s="15" t="n">
        <v>180</v>
      </c>
      <c r="FY938" s="15" t="n">
        <v>180</v>
      </c>
      <c r="GU938" s="15" t="n">
        <v>180</v>
      </c>
    </row>
    <row r="939">
      <c r="C939" s="15" t="n">
        <v>181</v>
      </c>
      <c r="AA939" s="15" t="n">
        <v>181</v>
      </c>
      <c r="AW939" s="15" t="n">
        <v>181</v>
      </c>
      <c r="BS939" s="15" t="n">
        <v>181</v>
      </c>
      <c r="CO939" s="15" t="n">
        <v>181</v>
      </c>
      <c r="DK939" s="15" t="n">
        <v>181</v>
      </c>
      <c r="EG939" s="15" t="n">
        <v>181</v>
      </c>
      <c r="FC939" s="15" t="n">
        <v>181</v>
      </c>
      <c r="FY939" s="15" t="n">
        <v>181</v>
      </c>
      <c r="GU939" s="15" t="n">
        <v>181</v>
      </c>
    </row>
    <row r="940">
      <c r="C940" s="15" t="n">
        <v>182</v>
      </c>
      <c r="AA940" s="15" t="n">
        <v>182</v>
      </c>
      <c r="AW940" s="15" t="n">
        <v>182</v>
      </c>
      <c r="BS940" s="15" t="n">
        <v>182</v>
      </c>
      <c r="CO940" s="15" t="n">
        <v>182</v>
      </c>
      <c r="DK940" s="15" t="n">
        <v>182</v>
      </c>
      <c r="EG940" s="15" t="n">
        <v>182</v>
      </c>
      <c r="FC940" s="15" t="n">
        <v>182</v>
      </c>
      <c r="FY940" s="15" t="n">
        <v>182</v>
      </c>
      <c r="GU940" s="15" t="n">
        <v>182</v>
      </c>
    </row>
    <row r="941">
      <c r="C941" s="15" t="n">
        <v>183</v>
      </c>
      <c r="AA941" s="15" t="n">
        <v>183</v>
      </c>
      <c r="AW941" s="15" t="n">
        <v>183</v>
      </c>
      <c r="BS941" s="15" t="n">
        <v>183</v>
      </c>
      <c r="CO941" s="15" t="n">
        <v>183</v>
      </c>
      <c r="DK941" s="15" t="n">
        <v>183</v>
      </c>
      <c r="EG941" s="15" t="n">
        <v>183</v>
      </c>
      <c r="FC941" s="15" t="n">
        <v>183</v>
      </c>
      <c r="FY941" s="15" t="n">
        <v>183</v>
      </c>
      <c r="GU941" s="15" t="n">
        <v>183</v>
      </c>
    </row>
    <row r="942">
      <c r="C942" s="15" t="n">
        <v>184</v>
      </c>
      <c r="AA942" s="15" t="n">
        <v>184</v>
      </c>
      <c r="AW942" s="15" t="n">
        <v>184</v>
      </c>
      <c r="BS942" s="15" t="n">
        <v>184</v>
      </c>
      <c r="CO942" s="15" t="n">
        <v>184</v>
      </c>
      <c r="DK942" s="15" t="n">
        <v>184</v>
      </c>
      <c r="EG942" s="15" t="n">
        <v>184</v>
      </c>
      <c r="FC942" s="15" t="n">
        <v>184</v>
      </c>
      <c r="FY942" s="15" t="n">
        <v>184</v>
      </c>
      <c r="GU942" s="15" t="n">
        <v>184</v>
      </c>
    </row>
    <row r="943">
      <c r="C943" s="15" t="n">
        <v>185</v>
      </c>
      <c r="AA943" s="15" t="n">
        <v>185</v>
      </c>
      <c r="AW943" s="15" t="n">
        <v>185</v>
      </c>
      <c r="BS943" s="15" t="n">
        <v>185</v>
      </c>
      <c r="CO943" s="15" t="n">
        <v>185</v>
      </c>
      <c r="DK943" s="15" t="n">
        <v>185</v>
      </c>
      <c r="EG943" s="15" t="n">
        <v>185</v>
      </c>
      <c r="FC943" s="15" t="n">
        <v>185</v>
      </c>
      <c r="FY943" s="15" t="n">
        <v>185</v>
      </c>
      <c r="GU943" s="15" t="n">
        <v>185</v>
      </c>
    </row>
    <row r="944">
      <c r="C944" s="15" t="n">
        <v>186</v>
      </c>
      <c r="AA944" s="15" t="n">
        <v>186</v>
      </c>
      <c r="AW944" s="15" t="n">
        <v>186</v>
      </c>
      <c r="BS944" s="15" t="n">
        <v>186</v>
      </c>
      <c r="CO944" s="15" t="n">
        <v>186</v>
      </c>
      <c r="DK944" s="15" t="n">
        <v>186</v>
      </c>
      <c r="EG944" s="15" t="n">
        <v>186</v>
      </c>
      <c r="FC944" s="15" t="n">
        <v>186</v>
      </c>
      <c r="FY944" s="15" t="n">
        <v>186</v>
      </c>
      <c r="GU944" s="15" t="n">
        <v>186</v>
      </c>
    </row>
    <row r="945">
      <c r="C945" s="15" t="n">
        <v>187</v>
      </c>
      <c r="AA945" s="15" t="n">
        <v>187</v>
      </c>
      <c r="AW945" s="15" t="n">
        <v>187</v>
      </c>
      <c r="BS945" s="15" t="n">
        <v>187</v>
      </c>
      <c r="CO945" s="15" t="n">
        <v>187</v>
      </c>
      <c r="DK945" s="15" t="n">
        <v>187</v>
      </c>
      <c r="EG945" s="15" t="n">
        <v>187</v>
      </c>
      <c r="FC945" s="15" t="n">
        <v>187</v>
      </c>
      <c r="FY945" s="15" t="n">
        <v>187</v>
      </c>
      <c r="GU945" s="15" t="n">
        <v>187</v>
      </c>
    </row>
    <row r="946">
      <c r="C946" s="15" t="n">
        <v>188</v>
      </c>
      <c r="AA946" s="15" t="n">
        <v>188</v>
      </c>
      <c r="AW946" s="15" t="n">
        <v>188</v>
      </c>
      <c r="BS946" s="15" t="n">
        <v>188</v>
      </c>
      <c r="CO946" s="15" t="n">
        <v>188</v>
      </c>
      <c r="DK946" s="15" t="n">
        <v>188</v>
      </c>
      <c r="EG946" s="15" t="n">
        <v>188</v>
      </c>
      <c r="FC946" s="15" t="n">
        <v>188</v>
      </c>
      <c r="FY946" s="15" t="n">
        <v>188</v>
      </c>
      <c r="GU946" s="15" t="n">
        <v>188</v>
      </c>
    </row>
    <row r="947">
      <c r="C947" s="15" t="n">
        <v>189</v>
      </c>
      <c r="AA947" s="15" t="n">
        <v>189</v>
      </c>
      <c r="AW947" s="15" t="n">
        <v>189</v>
      </c>
      <c r="BS947" s="15" t="n">
        <v>189</v>
      </c>
      <c r="CO947" s="15" t="n">
        <v>189</v>
      </c>
      <c r="DK947" s="15" t="n">
        <v>189</v>
      </c>
      <c r="EG947" s="15" t="n">
        <v>189</v>
      </c>
      <c r="FC947" s="15" t="n">
        <v>189</v>
      </c>
      <c r="FY947" s="15" t="n">
        <v>189</v>
      </c>
      <c r="GU947" s="15" t="n">
        <v>189</v>
      </c>
    </row>
    <row r="948">
      <c r="C948" s="15" t="n">
        <v>190</v>
      </c>
      <c r="AA948" s="15" t="n">
        <v>190</v>
      </c>
      <c r="AW948" s="15" t="n">
        <v>190</v>
      </c>
      <c r="BS948" s="15" t="n">
        <v>190</v>
      </c>
      <c r="CO948" s="15" t="n">
        <v>190</v>
      </c>
      <c r="DK948" s="15" t="n">
        <v>190</v>
      </c>
      <c r="EG948" s="15" t="n">
        <v>190</v>
      </c>
      <c r="FC948" s="15" t="n">
        <v>190</v>
      </c>
      <c r="FY948" s="15" t="n">
        <v>190</v>
      </c>
      <c r="GU948" s="15" t="n">
        <v>190</v>
      </c>
    </row>
    <row r="949">
      <c r="C949" s="15" t="n">
        <v>191</v>
      </c>
      <c r="AA949" s="15" t="n">
        <v>191</v>
      </c>
      <c r="AW949" s="15" t="n">
        <v>191</v>
      </c>
      <c r="BS949" s="15" t="n">
        <v>191</v>
      </c>
      <c r="CO949" s="15" t="n">
        <v>191</v>
      </c>
      <c r="DK949" s="15" t="n">
        <v>191</v>
      </c>
      <c r="EG949" s="15" t="n">
        <v>191</v>
      </c>
      <c r="FC949" s="15" t="n">
        <v>191</v>
      </c>
      <c r="FY949" s="15" t="n">
        <v>191</v>
      </c>
      <c r="GU949" s="15" t="n">
        <v>191</v>
      </c>
    </row>
    <row r="950">
      <c r="C950" s="15" t="n">
        <v>192</v>
      </c>
      <c r="AA950" s="15" t="n">
        <v>192</v>
      </c>
      <c r="AW950" s="15" t="n">
        <v>192</v>
      </c>
      <c r="BS950" s="15" t="n">
        <v>192</v>
      </c>
      <c r="CO950" s="15" t="n">
        <v>192</v>
      </c>
      <c r="DK950" s="15" t="n">
        <v>192</v>
      </c>
      <c r="EG950" s="15" t="n">
        <v>192</v>
      </c>
      <c r="FC950" s="15" t="n">
        <v>192</v>
      </c>
      <c r="FY950" s="15" t="n">
        <v>192</v>
      </c>
      <c r="GU950" s="15" t="n">
        <v>192</v>
      </c>
    </row>
    <row r="951">
      <c r="C951" s="15" t="n">
        <v>193</v>
      </c>
      <c r="AA951" s="15" t="n">
        <v>193</v>
      </c>
      <c r="AW951" s="15" t="n">
        <v>193</v>
      </c>
      <c r="BS951" s="15" t="n">
        <v>193</v>
      </c>
      <c r="CO951" s="15" t="n">
        <v>193</v>
      </c>
      <c r="DK951" s="15" t="n">
        <v>193</v>
      </c>
      <c r="EG951" s="15" t="n">
        <v>193</v>
      </c>
      <c r="FC951" s="15" t="n">
        <v>193</v>
      </c>
      <c r="FY951" s="15" t="n">
        <v>193</v>
      </c>
      <c r="GU951" s="15" t="n">
        <v>193</v>
      </c>
    </row>
    <row r="952">
      <c r="C952" s="15" t="n">
        <v>194</v>
      </c>
      <c r="AA952" s="15" t="n">
        <v>194</v>
      </c>
      <c r="AW952" s="15" t="n">
        <v>194</v>
      </c>
      <c r="BS952" s="15" t="n">
        <v>194</v>
      </c>
      <c r="CO952" s="15" t="n">
        <v>194</v>
      </c>
      <c r="DK952" s="15" t="n">
        <v>194</v>
      </c>
      <c r="EG952" s="15" t="n">
        <v>194</v>
      </c>
      <c r="FC952" s="15" t="n">
        <v>194</v>
      </c>
      <c r="FY952" s="15" t="n">
        <v>194</v>
      </c>
      <c r="GU952" s="15" t="n">
        <v>194</v>
      </c>
    </row>
    <row r="953">
      <c r="C953" s="15" t="n">
        <v>195</v>
      </c>
      <c r="AA953" s="15" t="n">
        <v>195</v>
      </c>
      <c r="AW953" s="15" t="n">
        <v>195</v>
      </c>
      <c r="BS953" s="15" t="n">
        <v>195</v>
      </c>
      <c r="CO953" s="15" t="n">
        <v>195</v>
      </c>
      <c r="DK953" s="15" t="n">
        <v>195</v>
      </c>
      <c r="EG953" s="15" t="n">
        <v>195</v>
      </c>
      <c r="FC953" s="15" t="n">
        <v>195</v>
      </c>
      <c r="FY953" s="15" t="n">
        <v>195</v>
      </c>
      <c r="GU953" s="15" t="n">
        <v>195</v>
      </c>
    </row>
    <row r="954">
      <c r="C954" s="15" t="n">
        <v>196</v>
      </c>
      <c r="AA954" s="15" t="n">
        <v>196</v>
      </c>
      <c r="AW954" s="15" t="n">
        <v>196</v>
      </c>
      <c r="BS954" s="15" t="n">
        <v>196</v>
      </c>
      <c r="CO954" s="15" t="n">
        <v>196</v>
      </c>
      <c r="DK954" s="15" t="n">
        <v>196</v>
      </c>
      <c r="EG954" s="15" t="n">
        <v>196</v>
      </c>
      <c r="FC954" s="15" t="n">
        <v>196</v>
      </c>
      <c r="FY954" s="15" t="n">
        <v>196</v>
      </c>
      <c r="GU954" s="15" t="n">
        <v>196</v>
      </c>
    </row>
    <row r="955">
      <c r="C955" s="15" t="n">
        <v>197</v>
      </c>
      <c r="AA955" s="15" t="n">
        <v>197</v>
      </c>
      <c r="AW955" s="15" t="n">
        <v>197</v>
      </c>
      <c r="BS955" s="15" t="n">
        <v>197</v>
      </c>
      <c r="CO955" s="15" t="n">
        <v>197</v>
      </c>
      <c r="DK955" s="15" t="n">
        <v>197</v>
      </c>
      <c r="EG955" s="15" t="n">
        <v>197</v>
      </c>
      <c r="FC955" s="15" t="n">
        <v>197</v>
      </c>
      <c r="FY955" s="15" t="n">
        <v>197</v>
      </c>
      <c r="GU955" s="15" t="n">
        <v>197</v>
      </c>
    </row>
    <row r="956">
      <c r="C956" s="15" t="n">
        <v>198</v>
      </c>
      <c r="AA956" s="15" t="n">
        <v>198</v>
      </c>
      <c r="AW956" s="15" t="n">
        <v>198</v>
      </c>
      <c r="BS956" s="15" t="n">
        <v>198</v>
      </c>
      <c r="CO956" s="15" t="n">
        <v>198</v>
      </c>
      <c r="DK956" s="15" t="n">
        <v>198</v>
      </c>
      <c r="EG956" s="15" t="n">
        <v>198</v>
      </c>
      <c r="FC956" s="15" t="n">
        <v>198</v>
      </c>
      <c r="FY956" s="15" t="n">
        <v>198</v>
      </c>
      <c r="GU956" s="15" t="n">
        <v>198</v>
      </c>
    </row>
    <row r="958">
      <c r="C958" s="15" t="inlineStr">
        <is>
          <t>Var(Var(d))</t>
        </is>
      </c>
      <c r="D958" s="15" t="n">
        <v>22</v>
      </c>
      <c r="E958" s="15" t="n">
        <v>23</v>
      </c>
      <c r="F958" s="15" t="n">
        <v>24</v>
      </c>
      <c r="AA958" s="15" t="inlineStr">
        <is>
          <t>Var(Var(d))</t>
        </is>
      </c>
      <c r="AB958" s="15" t="n">
        <v>22</v>
      </c>
      <c r="AC958" s="15" t="n">
        <v>23</v>
      </c>
      <c r="AD958" s="15" t="n">
        <v>24</v>
      </c>
      <c r="AW958" s="15" t="inlineStr">
        <is>
          <t>Var(Var(d))</t>
        </is>
      </c>
      <c r="AX958" s="15" t="n">
        <v>22</v>
      </c>
      <c r="AY958" s="15" t="n">
        <v>23</v>
      </c>
      <c r="AZ958" s="15" t="n">
        <v>24</v>
      </c>
      <c r="BS958" s="15" t="inlineStr">
        <is>
          <t>Var(Var(d))</t>
        </is>
      </c>
      <c r="BT958" s="15" t="n">
        <v>22</v>
      </c>
      <c r="BU958" s="15" t="n">
        <v>23</v>
      </c>
      <c r="BV958" s="15" t="n">
        <v>24</v>
      </c>
      <c r="CO958" s="15" t="inlineStr">
        <is>
          <t>Var(Var(d))</t>
        </is>
      </c>
      <c r="CP958" s="15" t="n">
        <v>22</v>
      </c>
      <c r="CQ958" s="15" t="n">
        <v>23</v>
      </c>
      <c r="CR958" s="15" t="n">
        <v>24</v>
      </c>
      <c r="DK958" s="15" t="inlineStr">
        <is>
          <t>Var(Var(d))</t>
        </is>
      </c>
      <c r="DL958" s="15" t="n">
        <v>22</v>
      </c>
      <c r="DM958" s="15" t="n">
        <v>23</v>
      </c>
      <c r="DN958" s="15" t="n">
        <v>24</v>
      </c>
      <c r="EG958" s="15" t="inlineStr">
        <is>
          <t>Var(Var(d))</t>
        </is>
      </c>
      <c r="EH958" s="15" t="n">
        <v>22</v>
      </c>
      <c r="EI958" s="15" t="n">
        <v>23</v>
      </c>
      <c r="EJ958" s="15" t="n">
        <v>24</v>
      </c>
      <c r="FC958" s="15" t="inlineStr">
        <is>
          <t>Var(Var(d))</t>
        </is>
      </c>
      <c r="FD958" s="15" t="n">
        <v>22</v>
      </c>
      <c r="FE958" s="15" t="n">
        <v>23</v>
      </c>
      <c r="FF958" s="15" t="n">
        <v>24</v>
      </c>
      <c r="FY958" s="15" t="inlineStr">
        <is>
          <t>Var(Var(d))</t>
        </is>
      </c>
      <c r="FZ958" s="15" t="n">
        <v>22</v>
      </c>
      <c r="GA958" s="15" t="n">
        <v>23</v>
      </c>
      <c r="GB958" s="15" t="n">
        <v>24</v>
      </c>
      <c r="GU958" s="15" t="inlineStr">
        <is>
          <t>Var(Var(d))</t>
        </is>
      </c>
      <c r="GV958" s="15" t="n">
        <v>22</v>
      </c>
      <c r="GW958" s="15" t="n">
        <v>23</v>
      </c>
      <c r="GX958" s="15" t="n">
        <v>24</v>
      </c>
    </row>
    <row r="959">
      <c r="C959" s="15" t="n">
        <v>9</v>
      </c>
      <c r="AA959" s="15" t="n">
        <v>9</v>
      </c>
      <c r="AW959" s="15" t="n">
        <v>9</v>
      </c>
      <c r="BS959" s="15" t="n">
        <v>9</v>
      </c>
      <c r="CO959" s="15" t="n">
        <v>9</v>
      </c>
      <c r="DK959" s="15" t="n">
        <v>9</v>
      </c>
      <c r="EG959" s="15" t="n">
        <v>9</v>
      </c>
      <c r="FC959" s="15" t="n">
        <v>9</v>
      </c>
      <c r="FY959" s="15" t="n">
        <v>9</v>
      </c>
      <c r="GU959" s="15" t="n">
        <v>9</v>
      </c>
    </row>
    <row r="960">
      <c r="C960" s="15" t="n">
        <v>10</v>
      </c>
      <c r="AA960" s="15" t="n">
        <v>10</v>
      </c>
      <c r="AW960" s="15" t="n">
        <v>10</v>
      </c>
      <c r="BS960" s="15" t="n">
        <v>10</v>
      </c>
      <c r="CO960" s="15" t="n">
        <v>10</v>
      </c>
      <c r="DK960" s="15" t="n">
        <v>10</v>
      </c>
      <c r="EG960" s="15" t="n">
        <v>10</v>
      </c>
      <c r="FC960" s="15" t="n">
        <v>10</v>
      </c>
      <c r="FY960" s="15" t="n">
        <v>10</v>
      </c>
      <c r="GU960" s="15" t="n">
        <v>10</v>
      </c>
    </row>
    <row r="961">
      <c r="C961" s="15" t="n">
        <v>11</v>
      </c>
      <c r="AA961" s="15" t="n">
        <v>11</v>
      </c>
      <c r="AW961" s="15" t="n">
        <v>11</v>
      </c>
      <c r="BS961" s="15" t="n">
        <v>11</v>
      </c>
      <c r="CO961" s="15" t="n">
        <v>11</v>
      </c>
      <c r="DK961" s="15" t="n">
        <v>11</v>
      </c>
      <c r="EG961" s="15" t="n">
        <v>11</v>
      </c>
      <c r="FC961" s="15" t="n">
        <v>11</v>
      </c>
      <c r="FY961" s="15" t="n">
        <v>11</v>
      </c>
      <c r="GU961" s="15" t="n">
        <v>11</v>
      </c>
    </row>
    <row r="962">
      <c r="C962" s="15" t="n">
        <v>12</v>
      </c>
      <c r="AA962" s="15" t="n">
        <v>12</v>
      </c>
      <c r="AW962" s="15" t="n">
        <v>12</v>
      </c>
      <c r="BS962" s="15" t="n">
        <v>12</v>
      </c>
      <c r="CO962" s="15" t="n">
        <v>12</v>
      </c>
      <c r="DK962" s="15" t="n">
        <v>12</v>
      </c>
      <c r="EG962" s="15" t="n">
        <v>12</v>
      </c>
      <c r="FC962" s="15" t="n">
        <v>12</v>
      </c>
      <c r="FY962" s="15" t="n">
        <v>12</v>
      </c>
      <c r="GU962" s="15" t="n">
        <v>12</v>
      </c>
    </row>
    <row r="963">
      <c r="C963" s="15" t="n">
        <v>13</v>
      </c>
      <c r="AA963" s="15" t="n">
        <v>13</v>
      </c>
      <c r="AW963" s="15" t="n">
        <v>13</v>
      </c>
      <c r="BS963" s="15" t="n">
        <v>13</v>
      </c>
      <c r="CO963" s="15" t="n">
        <v>13</v>
      </c>
      <c r="DK963" s="15" t="n">
        <v>13</v>
      </c>
      <c r="EG963" s="15" t="n">
        <v>13</v>
      </c>
      <c r="FC963" s="15" t="n">
        <v>13</v>
      </c>
      <c r="FY963" s="15" t="n">
        <v>13</v>
      </c>
      <c r="GU963" s="15" t="n">
        <v>13</v>
      </c>
    </row>
    <row r="964">
      <c r="C964" s="15" t="n">
        <v>14</v>
      </c>
      <c r="AA964" s="15" t="n">
        <v>14</v>
      </c>
      <c r="AW964" s="15" t="n">
        <v>14</v>
      </c>
      <c r="BS964" s="15" t="n">
        <v>14</v>
      </c>
      <c r="CO964" s="15" t="n">
        <v>14</v>
      </c>
      <c r="DK964" s="15" t="n">
        <v>14</v>
      </c>
      <c r="EG964" s="15" t="n">
        <v>14</v>
      </c>
      <c r="FC964" s="15" t="n">
        <v>14</v>
      </c>
      <c r="FY964" s="15" t="n">
        <v>14</v>
      </c>
      <c r="GU964" s="15" t="n">
        <v>14</v>
      </c>
    </row>
    <row r="965">
      <c r="C965" s="15" t="n">
        <v>15</v>
      </c>
      <c r="AA965" s="15" t="n">
        <v>15</v>
      </c>
      <c r="AW965" s="15" t="n">
        <v>15</v>
      </c>
      <c r="BS965" s="15" t="n">
        <v>15</v>
      </c>
      <c r="CO965" s="15" t="n">
        <v>15</v>
      </c>
      <c r="DK965" s="15" t="n">
        <v>15</v>
      </c>
      <c r="EG965" s="15" t="n">
        <v>15</v>
      </c>
      <c r="FC965" s="15" t="n">
        <v>15</v>
      </c>
      <c r="FY965" s="15" t="n">
        <v>15</v>
      </c>
      <c r="GU965" s="15" t="n">
        <v>15</v>
      </c>
    </row>
    <row r="966">
      <c r="C966" s="15" t="n">
        <v>16</v>
      </c>
      <c r="AA966" s="15" t="n">
        <v>16</v>
      </c>
      <c r="AW966" s="15" t="n">
        <v>16</v>
      </c>
      <c r="BS966" s="15" t="n">
        <v>16</v>
      </c>
      <c r="CO966" s="15" t="n">
        <v>16</v>
      </c>
      <c r="DK966" s="15" t="n">
        <v>16</v>
      </c>
      <c r="EG966" s="15" t="n">
        <v>16</v>
      </c>
      <c r="FC966" s="15" t="n">
        <v>16</v>
      </c>
      <c r="FY966" s="15" t="n">
        <v>16</v>
      </c>
      <c r="GU966" s="15" t="n">
        <v>16</v>
      </c>
    </row>
    <row r="967">
      <c r="C967" s="15" t="n">
        <v>17</v>
      </c>
      <c r="AA967" s="15" t="n">
        <v>17</v>
      </c>
      <c r="AW967" s="15" t="n">
        <v>17</v>
      </c>
      <c r="BS967" s="15" t="n">
        <v>17</v>
      </c>
      <c r="CO967" s="15" t="n">
        <v>17</v>
      </c>
      <c r="DK967" s="15" t="n">
        <v>17</v>
      </c>
      <c r="EG967" s="15" t="n">
        <v>17</v>
      </c>
      <c r="FC967" s="15" t="n">
        <v>17</v>
      </c>
      <c r="FY967" s="15" t="n">
        <v>17</v>
      </c>
      <c r="GU967" s="15" t="n">
        <v>17</v>
      </c>
    </row>
    <row r="968">
      <c r="C968" s="15" t="n">
        <v>18</v>
      </c>
      <c r="AA968" s="15" t="n">
        <v>18</v>
      </c>
      <c r="AW968" s="15" t="n">
        <v>18</v>
      </c>
      <c r="BS968" s="15" t="n">
        <v>18</v>
      </c>
      <c r="CO968" s="15" t="n">
        <v>18</v>
      </c>
      <c r="DK968" s="15" t="n">
        <v>18</v>
      </c>
      <c r="EG968" s="15" t="n">
        <v>18</v>
      </c>
      <c r="FC968" s="15" t="n">
        <v>18</v>
      </c>
      <c r="FY968" s="15" t="n">
        <v>18</v>
      </c>
      <c r="GU968" s="15" t="n">
        <v>18</v>
      </c>
    </row>
    <row r="969">
      <c r="C969" s="15" t="n">
        <v>19</v>
      </c>
      <c r="AA969" s="15" t="n">
        <v>19</v>
      </c>
      <c r="AW969" s="15" t="n">
        <v>19</v>
      </c>
      <c r="BS969" s="15" t="n">
        <v>19</v>
      </c>
      <c r="CO969" s="15" t="n">
        <v>19</v>
      </c>
      <c r="DK969" s="15" t="n">
        <v>19</v>
      </c>
      <c r="EG969" s="15" t="n">
        <v>19</v>
      </c>
      <c r="FC969" s="15" t="n">
        <v>19</v>
      </c>
      <c r="FY969" s="15" t="n">
        <v>19</v>
      </c>
      <c r="GU969" s="15" t="n">
        <v>19</v>
      </c>
    </row>
    <row r="970">
      <c r="C970" s="15" t="n">
        <v>20</v>
      </c>
      <c r="AA970" s="15" t="n">
        <v>20</v>
      </c>
      <c r="AW970" s="15" t="n">
        <v>20</v>
      </c>
      <c r="BS970" s="15" t="n">
        <v>20</v>
      </c>
      <c r="CO970" s="15" t="n">
        <v>20</v>
      </c>
      <c r="DK970" s="15" t="n">
        <v>20</v>
      </c>
      <c r="EG970" s="15" t="n">
        <v>20</v>
      </c>
      <c r="FC970" s="15" t="n">
        <v>20</v>
      </c>
      <c r="FY970" s="15" t="n">
        <v>20</v>
      </c>
      <c r="GU970" s="15" t="n">
        <v>20</v>
      </c>
    </row>
    <row r="971">
      <c r="C971" s="15" t="n">
        <v>21</v>
      </c>
      <c r="AA971" s="15" t="n">
        <v>21</v>
      </c>
      <c r="AW971" s="15" t="n">
        <v>21</v>
      </c>
      <c r="BS971" s="15" t="n">
        <v>21</v>
      </c>
      <c r="CO971" s="15" t="n">
        <v>21</v>
      </c>
      <c r="DK971" s="15" t="n">
        <v>21</v>
      </c>
      <c r="EG971" s="15" t="n">
        <v>21</v>
      </c>
      <c r="FC971" s="15" t="n">
        <v>21</v>
      </c>
      <c r="FY971" s="15" t="n">
        <v>21</v>
      </c>
      <c r="GU971" s="15" t="n">
        <v>21</v>
      </c>
    </row>
    <row r="972">
      <c r="C972" s="15" t="n">
        <v>22</v>
      </c>
      <c r="AA972" s="15" t="n">
        <v>22</v>
      </c>
      <c r="AW972" s="15" t="n">
        <v>22</v>
      </c>
      <c r="BS972" s="15" t="n">
        <v>22</v>
      </c>
      <c r="CO972" s="15" t="n">
        <v>22</v>
      </c>
      <c r="DK972" s="15" t="n">
        <v>22</v>
      </c>
      <c r="EG972" s="15" t="n">
        <v>22</v>
      </c>
      <c r="FC972" s="15" t="n">
        <v>22</v>
      </c>
      <c r="FY972" s="15" t="n">
        <v>22</v>
      </c>
      <c r="GU972" s="15" t="n">
        <v>22</v>
      </c>
    </row>
    <row r="973">
      <c r="C973" s="15" t="n">
        <v>23</v>
      </c>
      <c r="AA973" s="15" t="n">
        <v>23</v>
      </c>
      <c r="AW973" s="15" t="n">
        <v>23</v>
      </c>
      <c r="BS973" s="15" t="n">
        <v>23</v>
      </c>
      <c r="CO973" s="15" t="n">
        <v>23</v>
      </c>
      <c r="DK973" s="15" t="n">
        <v>23</v>
      </c>
      <c r="EG973" s="15" t="n">
        <v>23</v>
      </c>
      <c r="FC973" s="15" t="n">
        <v>23</v>
      </c>
      <c r="FY973" s="15" t="n">
        <v>23</v>
      </c>
      <c r="GU973" s="15" t="n">
        <v>23</v>
      </c>
    </row>
    <row r="974">
      <c r="C974" s="15" t="n">
        <v>24</v>
      </c>
      <c r="AA974" s="15" t="n">
        <v>24</v>
      </c>
      <c r="AW974" s="15" t="n">
        <v>24</v>
      </c>
      <c r="BS974" s="15" t="n">
        <v>24</v>
      </c>
      <c r="CO974" s="15" t="n">
        <v>24</v>
      </c>
      <c r="DK974" s="15" t="n">
        <v>24</v>
      </c>
      <c r="EG974" s="15" t="n">
        <v>24</v>
      </c>
      <c r="FC974" s="15" t="n">
        <v>24</v>
      </c>
      <c r="FY974" s="15" t="n">
        <v>24</v>
      </c>
      <c r="GU974" s="15" t="n">
        <v>24</v>
      </c>
    </row>
    <row r="975">
      <c r="C975" s="15" t="n">
        <v>25</v>
      </c>
      <c r="AA975" s="15" t="n">
        <v>25</v>
      </c>
      <c r="AW975" s="15" t="n">
        <v>25</v>
      </c>
      <c r="BS975" s="15" t="n">
        <v>25</v>
      </c>
      <c r="CO975" s="15" t="n">
        <v>25</v>
      </c>
      <c r="DK975" s="15" t="n">
        <v>25</v>
      </c>
      <c r="EG975" s="15" t="n">
        <v>25</v>
      </c>
      <c r="FC975" s="15" t="n">
        <v>25</v>
      </c>
      <c r="FY975" s="15" t="n">
        <v>25</v>
      </c>
      <c r="GU975" s="15" t="n">
        <v>25</v>
      </c>
    </row>
    <row r="976">
      <c r="C976" s="15" t="n">
        <v>26</v>
      </c>
      <c r="AA976" s="15" t="n">
        <v>26</v>
      </c>
      <c r="AW976" s="15" t="n">
        <v>26</v>
      </c>
      <c r="BS976" s="15" t="n">
        <v>26</v>
      </c>
      <c r="CO976" s="15" t="n">
        <v>26</v>
      </c>
      <c r="DK976" s="15" t="n">
        <v>26</v>
      </c>
      <c r="EG976" s="15" t="n">
        <v>26</v>
      </c>
      <c r="FC976" s="15" t="n">
        <v>26</v>
      </c>
      <c r="FY976" s="15" t="n">
        <v>26</v>
      </c>
      <c r="GU976" s="15" t="n">
        <v>26</v>
      </c>
    </row>
    <row r="977">
      <c r="C977" s="15" t="n">
        <v>27</v>
      </c>
      <c r="AA977" s="15" t="n">
        <v>27</v>
      </c>
      <c r="AW977" s="15" t="n">
        <v>27</v>
      </c>
      <c r="BS977" s="15" t="n">
        <v>27</v>
      </c>
      <c r="CO977" s="15" t="n">
        <v>27</v>
      </c>
      <c r="DK977" s="15" t="n">
        <v>27</v>
      </c>
      <c r="EG977" s="15" t="n">
        <v>27</v>
      </c>
      <c r="FC977" s="15" t="n">
        <v>27</v>
      </c>
      <c r="FY977" s="15" t="n">
        <v>27</v>
      </c>
      <c r="GU977" s="15" t="n">
        <v>27</v>
      </c>
    </row>
    <row r="978">
      <c r="C978" s="15" t="n">
        <v>28</v>
      </c>
      <c r="AA978" s="15" t="n">
        <v>28</v>
      </c>
      <c r="AW978" s="15" t="n">
        <v>28</v>
      </c>
      <c r="BS978" s="15" t="n">
        <v>28</v>
      </c>
      <c r="CO978" s="15" t="n">
        <v>28</v>
      </c>
      <c r="DK978" s="15" t="n">
        <v>28</v>
      </c>
      <c r="EG978" s="15" t="n">
        <v>28</v>
      </c>
      <c r="FC978" s="15" t="n">
        <v>28</v>
      </c>
      <c r="FY978" s="15" t="n">
        <v>28</v>
      </c>
      <c r="GU978" s="15" t="n">
        <v>28</v>
      </c>
    </row>
    <row r="979">
      <c r="C979" s="15" t="n">
        <v>29</v>
      </c>
      <c r="AA979" s="15" t="n">
        <v>29</v>
      </c>
      <c r="AW979" s="15" t="n">
        <v>29</v>
      </c>
      <c r="BS979" s="15" t="n">
        <v>29</v>
      </c>
      <c r="CO979" s="15" t="n">
        <v>29</v>
      </c>
      <c r="DK979" s="15" t="n">
        <v>29</v>
      </c>
      <c r="EG979" s="15" t="n">
        <v>29</v>
      </c>
      <c r="FC979" s="15" t="n">
        <v>29</v>
      </c>
      <c r="FY979" s="15" t="n">
        <v>29</v>
      </c>
      <c r="GU979" s="15" t="n">
        <v>29</v>
      </c>
    </row>
    <row r="980">
      <c r="C980" s="15" t="n">
        <v>30</v>
      </c>
      <c r="AA980" s="15" t="n">
        <v>30</v>
      </c>
      <c r="AW980" s="15" t="n">
        <v>30</v>
      </c>
      <c r="BS980" s="15" t="n">
        <v>30</v>
      </c>
      <c r="CO980" s="15" t="n">
        <v>30</v>
      </c>
      <c r="DK980" s="15" t="n">
        <v>30</v>
      </c>
      <c r="EG980" s="15" t="n">
        <v>30</v>
      </c>
      <c r="FC980" s="15" t="n">
        <v>30</v>
      </c>
      <c r="FY980" s="15" t="n">
        <v>30</v>
      </c>
      <c r="GU980" s="15" t="n">
        <v>30</v>
      </c>
    </row>
    <row r="981">
      <c r="C981" s="15" t="n">
        <v>31</v>
      </c>
      <c r="AA981" s="15" t="n">
        <v>31</v>
      </c>
      <c r="AW981" s="15" t="n">
        <v>31</v>
      </c>
      <c r="BS981" s="15" t="n">
        <v>31</v>
      </c>
      <c r="CO981" s="15" t="n">
        <v>31</v>
      </c>
      <c r="DK981" s="15" t="n">
        <v>31</v>
      </c>
      <c r="EG981" s="15" t="n">
        <v>31</v>
      </c>
      <c r="FC981" s="15" t="n">
        <v>31</v>
      </c>
      <c r="FY981" s="15" t="n">
        <v>31</v>
      </c>
      <c r="GU981" s="15" t="n">
        <v>31</v>
      </c>
    </row>
    <row r="982">
      <c r="C982" s="15" t="n">
        <v>32</v>
      </c>
      <c r="AA982" s="15" t="n">
        <v>32</v>
      </c>
      <c r="AW982" s="15" t="n">
        <v>32</v>
      </c>
      <c r="BS982" s="15" t="n">
        <v>32</v>
      </c>
      <c r="CO982" s="15" t="n">
        <v>32</v>
      </c>
      <c r="DK982" s="15" t="n">
        <v>32</v>
      </c>
      <c r="EG982" s="15" t="n">
        <v>32</v>
      </c>
      <c r="FC982" s="15" t="n">
        <v>32</v>
      </c>
      <c r="FY982" s="15" t="n">
        <v>32</v>
      </c>
      <c r="GU982" s="15" t="n">
        <v>32</v>
      </c>
    </row>
    <row r="983">
      <c r="C983" s="15" t="n">
        <v>33</v>
      </c>
      <c r="AA983" s="15" t="n">
        <v>33</v>
      </c>
      <c r="AW983" s="15" t="n">
        <v>33</v>
      </c>
      <c r="BS983" s="15" t="n">
        <v>33</v>
      </c>
      <c r="CO983" s="15" t="n">
        <v>33</v>
      </c>
      <c r="DK983" s="15" t="n">
        <v>33</v>
      </c>
      <c r="EG983" s="15" t="n">
        <v>33</v>
      </c>
      <c r="FC983" s="15" t="n">
        <v>33</v>
      </c>
      <c r="FY983" s="15" t="n">
        <v>33</v>
      </c>
      <c r="GU983" s="15" t="n">
        <v>33</v>
      </c>
    </row>
    <row r="984">
      <c r="C984" s="15" t="n">
        <v>34</v>
      </c>
      <c r="AA984" s="15" t="n">
        <v>34</v>
      </c>
      <c r="AW984" s="15" t="n">
        <v>34</v>
      </c>
      <c r="BS984" s="15" t="n">
        <v>34</v>
      </c>
      <c r="CO984" s="15" t="n">
        <v>34</v>
      </c>
      <c r="DK984" s="15" t="n">
        <v>34</v>
      </c>
      <c r="EG984" s="15" t="n">
        <v>34</v>
      </c>
      <c r="FC984" s="15" t="n">
        <v>34</v>
      </c>
      <c r="FY984" s="15" t="n">
        <v>34</v>
      </c>
      <c r="GU984" s="15" t="n">
        <v>34</v>
      </c>
    </row>
    <row r="985">
      <c r="C985" s="15" t="n">
        <v>35</v>
      </c>
      <c r="AA985" s="15" t="n">
        <v>35</v>
      </c>
      <c r="AW985" s="15" t="n">
        <v>35</v>
      </c>
      <c r="BS985" s="15" t="n">
        <v>35</v>
      </c>
      <c r="CO985" s="15" t="n">
        <v>35</v>
      </c>
      <c r="DK985" s="15" t="n">
        <v>35</v>
      </c>
      <c r="EG985" s="15" t="n">
        <v>35</v>
      </c>
      <c r="FC985" s="15" t="n">
        <v>35</v>
      </c>
      <c r="FY985" s="15" t="n">
        <v>35</v>
      </c>
      <c r="GU985" s="15" t="n">
        <v>35</v>
      </c>
    </row>
    <row r="986">
      <c r="C986" s="15" t="n">
        <v>36</v>
      </c>
      <c r="AA986" s="15" t="n">
        <v>36</v>
      </c>
      <c r="AW986" s="15" t="n">
        <v>36</v>
      </c>
      <c r="BS986" s="15" t="n">
        <v>36</v>
      </c>
      <c r="CO986" s="15" t="n">
        <v>36</v>
      </c>
      <c r="DK986" s="15" t="n">
        <v>36</v>
      </c>
      <c r="EG986" s="15" t="n">
        <v>36</v>
      </c>
      <c r="FC986" s="15" t="n">
        <v>36</v>
      </c>
      <c r="FY986" s="15" t="n">
        <v>36</v>
      </c>
      <c r="GU986" s="15" t="n">
        <v>36</v>
      </c>
    </row>
    <row r="987">
      <c r="C987" s="15" t="n">
        <v>37</v>
      </c>
      <c r="AA987" s="15" t="n">
        <v>37</v>
      </c>
      <c r="AW987" s="15" t="n">
        <v>37</v>
      </c>
      <c r="BS987" s="15" t="n">
        <v>37</v>
      </c>
      <c r="CO987" s="15" t="n">
        <v>37</v>
      </c>
      <c r="DK987" s="15" t="n">
        <v>37</v>
      </c>
      <c r="EG987" s="15" t="n">
        <v>37</v>
      </c>
      <c r="FC987" s="15" t="n">
        <v>37</v>
      </c>
      <c r="FY987" s="15" t="n">
        <v>37</v>
      </c>
      <c r="GU987" s="15" t="n">
        <v>37</v>
      </c>
    </row>
    <row r="988">
      <c r="C988" s="15" t="n">
        <v>38</v>
      </c>
      <c r="AA988" s="15" t="n">
        <v>38</v>
      </c>
      <c r="AW988" s="15" t="n">
        <v>38</v>
      </c>
      <c r="BS988" s="15" t="n">
        <v>38</v>
      </c>
      <c r="CO988" s="15" t="n">
        <v>38</v>
      </c>
      <c r="DK988" s="15" t="n">
        <v>38</v>
      </c>
      <c r="EG988" s="15" t="n">
        <v>38</v>
      </c>
      <c r="FC988" s="15" t="n">
        <v>38</v>
      </c>
      <c r="FY988" s="15" t="n">
        <v>38</v>
      </c>
      <c r="GU988" s="15" t="n">
        <v>38</v>
      </c>
    </row>
    <row r="989">
      <c r="C989" s="15" t="n">
        <v>39</v>
      </c>
      <c r="AA989" s="15" t="n">
        <v>39</v>
      </c>
      <c r="AW989" s="15" t="n">
        <v>39</v>
      </c>
      <c r="BS989" s="15" t="n">
        <v>39</v>
      </c>
      <c r="CO989" s="15" t="n">
        <v>39</v>
      </c>
      <c r="DK989" s="15" t="n">
        <v>39</v>
      </c>
      <c r="EG989" s="15" t="n">
        <v>39</v>
      </c>
      <c r="FC989" s="15" t="n">
        <v>39</v>
      </c>
      <c r="FY989" s="15" t="n">
        <v>39</v>
      </c>
      <c r="GU989" s="15" t="n">
        <v>39</v>
      </c>
    </row>
    <row r="990">
      <c r="C990" s="15" t="n">
        <v>40</v>
      </c>
      <c r="AA990" s="15" t="n">
        <v>40</v>
      </c>
      <c r="AW990" s="15" t="n">
        <v>40</v>
      </c>
      <c r="BS990" s="15" t="n">
        <v>40</v>
      </c>
      <c r="CO990" s="15" t="n">
        <v>40</v>
      </c>
      <c r="DK990" s="15" t="n">
        <v>40</v>
      </c>
      <c r="EG990" s="15" t="n">
        <v>40</v>
      </c>
      <c r="FC990" s="15" t="n">
        <v>40</v>
      </c>
      <c r="FY990" s="15" t="n">
        <v>40</v>
      </c>
      <c r="GU990" s="15" t="n">
        <v>40</v>
      </c>
    </row>
    <row r="991">
      <c r="C991" s="15" t="n">
        <v>41</v>
      </c>
      <c r="AA991" s="15" t="n">
        <v>41</v>
      </c>
      <c r="AW991" s="15" t="n">
        <v>41</v>
      </c>
      <c r="BS991" s="15" t="n">
        <v>41</v>
      </c>
      <c r="CO991" s="15" t="n">
        <v>41</v>
      </c>
      <c r="DK991" s="15" t="n">
        <v>41</v>
      </c>
      <c r="EG991" s="15" t="n">
        <v>41</v>
      </c>
      <c r="FC991" s="15" t="n">
        <v>41</v>
      </c>
      <c r="FY991" s="15" t="n">
        <v>41</v>
      </c>
      <c r="GU991" s="15" t="n">
        <v>41</v>
      </c>
    </row>
    <row r="992">
      <c r="C992" s="15" t="n">
        <v>42</v>
      </c>
      <c r="AA992" s="15" t="n">
        <v>42</v>
      </c>
      <c r="AW992" s="15" t="n">
        <v>42</v>
      </c>
      <c r="BS992" s="15" t="n">
        <v>42</v>
      </c>
      <c r="CO992" s="15" t="n">
        <v>42</v>
      </c>
      <c r="DK992" s="15" t="n">
        <v>42</v>
      </c>
      <c r="EG992" s="15" t="n">
        <v>42</v>
      </c>
      <c r="FC992" s="15" t="n">
        <v>42</v>
      </c>
      <c r="FY992" s="15" t="n">
        <v>42</v>
      </c>
      <c r="GU992" s="15" t="n">
        <v>42</v>
      </c>
    </row>
    <row r="993">
      <c r="C993" s="15" t="n">
        <v>43</v>
      </c>
      <c r="AA993" s="15" t="n">
        <v>43</v>
      </c>
      <c r="AW993" s="15" t="n">
        <v>43</v>
      </c>
      <c r="BS993" s="15" t="n">
        <v>43</v>
      </c>
      <c r="CO993" s="15" t="n">
        <v>43</v>
      </c>
      <c r="DK993" s="15" t="n">
        <v>43</v>
      </c>
      <c r="EG993" s="15" t="n">
        <v>43</v>
      </c>
      <c r="FC993" s="15" t="n">
        <v>43</v>
      </c>
      <c r="FY993" s="15" t="n">
        <v>43</v>
      </c>
      <c r="GU993" s="15" t="n">
        <v>43</v>
      </c>
    </row>
    <row r="994">
      <c r="C994" s="15" t="n">
        <v>44</v>
      </c>
      <c r="AA994" s="15" t="n">
        <v>44</v>
      </c>
      <c r="AW994" s="15" t="n">
        <v>44</v>
      </c>
      <c r="BS994" s="15" t="n">
        <v>44</v>
      </c>
      <c r="CO994" s="15" t="n">
        <v>44</v>
      </c>
      <c r="DK994" s="15" t="n">
        <v>44</v>
      </c>
      <c r="EG994" s="15" t="n">
        <v>44</v>
      </c>
      <c r="FC994" s="15" t="n">
        <v>44</v>
      </c>
      <c r="FY994" s="15" t="n">
        <v>44</v>
      </c>
      <c r="GU994" s="15" t="n">
        <v>44</v>
      </c>
    </row>
    <row r="995">
      <c r="C995" s="15" t="n">
        <v>45</v>
      </c>
      <c r="AA995" s="15" t="n">
        <v>45</v>
      </c>
      <c r="AW995" s="15" t="n">
        <v>45</v>
      </c>
      <c r="BS995" s="15" t="n">
        <v>45</v>
      </c>
      <c r="CO995" s="15" t="n">
        <v>45</v>
      </c>
      <c r="DK995" s="15" t="n">
        <v>45</v>
      </c>
      <c r="EG995" s="15" t="n">
        <v>45</v>
      </c>
      <c r="FC995" s="15" t="n">
        <v>45</v>
      </c>
      <c r="FY995" s="15" t="n">
        <v>45</v>
      </c>
      <c r="GU995" s="15" t="n">
        <v>45</v>
      </c>
    </row>
    <row r="996">
      <c r="C996" s="15" t="n">
        <v>46</v>
      </c>
      <c r="AA996" s="15" t="n">
        <v>46</v>
      </c>
      <c r="AW996" s="15" t="n">
        <v>46</v>
      </c>
      <c r="BS996" s="15" t="n">
        <v>46</v>
      </c>
      <c r="CO996" s="15" t="n">
        <v>46</v>
      </c>
      <c r="DK996" s="15" t="n">
        <v>46</v>
      </c>
      <c r="EG996" s="15" t="n">
        <v>46</v>
      </c>
      <c r="FC996" s="15" t="n">
        <v>46</v>
      </c>
      <c r="FY996" s="15" t="n">
        <v>46</v>
      </c>
      <c r="GU996" s="15" t="n">
        <v>46</v>
      </c>
    </row>
    <row r="997">
      <c r="C997" s="15" t="n">
        <v>47</v>
      </c>
      <c r="AA997" s="15" t="n">
        <v>47</v>
      </c>
      <c r="AW997" s="15" t="n">
        <v>47</v>
      </c>
      <c r="BS997" s="15" t="n">
        <v>47</v>
      </c>
      <c r="CO997" s="15" t="n">
        <v>47</v>
      </c>
      <c r="DK997" s="15" t="n">
        <v>47</v>
      </c>
      <c r="EG997" s="15" t="n">
        <v>47</v>
      </c>
      <c r="FC997" s="15" t="n">
        <v>47</v>
      </c>
      <c r="FY997" s="15" t="n">
        <v>47</v>
      </c>
      <c r="GU997" s="15" t="n">
        <v>47</v>
      </c>
    </row>
    <row r="998">
      <c r="C998" s="15" t="n">
        <v>48</v>
      </c>
      <c r="AA998" s="15" t="n">
        <v>48</v>
      </c>
      <c r="AW998" s="15" t="n">
        <v>48</v>
      </c>
      <c r="BS998" s="15" t="n">
        <v>48</v>
      </c>
      <c r="CO998" s="15" t="n">
        <v>48</v>
      </c>
      <c r="DK998" s="15" t="n">
        <v>48</v>
      </c>
      <c r="EG998" s="15" t="n">
        <v>48</v>
      </c>
      <c r="FC998" s="15" t="n">
        <v>48</v>
      </c>
      <c r="FY998" s="15" t="n">
        <v>48</v>
      </c>
      <c r="GU998" s="15" t="n">
        <v>48</v>
      </c>
    </row>
    <row r="999">
      <c r="C999" s="15" t="n">
        <v>49</v>
      </c>
      <c r="AA999" s="15" t="n">
        <v>49</v>
      </c>
      <c r="AW999" s="15" t="n">
        <v>49</v>
      </c>
      <c r="BS999" s="15" t="n">
        <v>49</v>
      </c>
      <c r="CO999" s="15" t="n">
        <v>49</v>
      </c>
      <c r="DK999" s="15" t="n">
        <v>49</v>
      </c>
      <c r="EG999" s="15" t="n">
        <v>49</v>
      </c>
      <c r="FC999" s="15" t="n">
        <v>49</v>
      </c>
      <c r="FY999" s="15" t="n">
        <v>49</v>
      </c>
      <c r="GU999" s="15" t="n">
        <v>49</v>
      </c>
    </row>
    <row r="1000">
      <c r="C1000" s="15" t="n">
        <v>50</v>
      </c>
      <c r="AA1000" s="15" t="n">
        <v>50</v>
      </c>
      <c r="AW1000" s="15" t="n">
        <v>50</v>
      </c>
      <c r="BS1000" s="15" t="n">
        <v>50</v>
      </c>
      <c r="CO1000" s="15" t="n">
        <v>50</v>
      </c>
      <c r="DK1000" s="15" t="n">
        <v>50</v>
      </c>
      <c r="EG1000" s="15" t="n">
        <v>50</v>
      </c>
      <c r="FC1000" s="15" t="n">
        <v>50</v>
      </c>
      <c r="FY1000" s="15" t="n">
        <v>50</v>
      </c>
      <c r="GU1000" s="15" t="n">
        <v>50</v>
      </c>
    </row>
    <row r="1001">
      <c r="C1001" s="15" t="n">
        <v>51</v>
      </c>
      <c r="AA1001" s="15" t="n">
        <v>51</v>
      </c>
      <c r="AW1001" s="15" t="n">
        <v>51</v>
      </c>
      <c r="BS1001" s="15" t="n">
        <v>51</v>
      </c>
      <c r="CO1001" s="15" t="n">
        <v>51</v>
      </c>
      <c r="DK1001" s="15" t="n">
        <v>51</v>
      </c>
      <c r="EG1001" s="15" t="n">
        <v>51</v>
      </c>
      <c r="FC1001" s="15" t="n">
        <v>51</v>
      </c>
      <c r="FY1001" s="15" t="n">
        <v>51</v>
      </c>
      <c r="GU1001" s="15" t="n">
        <v>51</v>
      </c>
    </row>
    <row r="1002">
      <c r="C1002" s="15" t="n">
        <v>52</v>
      </c>
      <c r="AA1002" s="15" t="n">
        <v>52</v>
      </c>
      <c r="AW1002" s="15" t="n">
        <v>52</v>
      </c>
      <c r="BS1002" s="15" t="n">
        <v>52</v>
      </c>
      <c r="CO1002" s="15" t="n">
        <v>52</v>
      </c>
      <c r="DK1002" s="15" t="n">
        <v>52</v>
      </c>
      <c r="EG1002" s="15" t="n">
        <v>52</v>
      </c>
      <c r="FC1002" s="15" t="n">
        <v>52</v>
      </c>
      <c r="FY1002" s="15" t="n">
        <v>52</v>
      </c>
      <c r="GU1002" s="15" t="n">
        <v>52</v>
      </c>
    </row>
    <row r="1003">
      <c r="C1003" s="15" t="n">
        <v>53</v>
      </c>
      <c r="AA1003" s="15" t="n">
        <v>53</v>
      </c>
      <c r="AW1003" s="15" t="n">
        <v>53</v>
      </c>
      <c r="BS1003" s="15" t="n">
        <v>53</v>
      </c>
      <c r="CO1003" s="15" t="n">
        <v>53</v>
      </c>
      <c r="DK1003" s="15" t="n">
        <v>53</v>
      </c>
      <c r="EG1003" s="15" t="n">
        <v>53</v>
      </c>
      <c r="FC1003" s="15" t="n">
        <v>53</v>
      </c>
      <c r="FY1003" s="15" t="n">
        <v>53</v>
      </c>
      <c r="GU1003" s="15" t="n">
        <v>53</v>
      </c>
    </row>
    <row r="1004">
      <c r="C1004" s="15" t="n">
        <v>54</v>
      </c>
      <c r="AA1004" s="15" t="n">
        <v>54</v>
      </c>
      <c r="AW1004" s="15" t="n">
        <v>54</v>
      </c>
      <c r="BS1004" s="15" t="n">
        <v>54</v>
      </c>
      <c r="CO1004" s="15" t="n">
        <v>54</v>
      </c>
      <c r="DK1004" s="15" t="n">
        <v>54</v>
      </c>
      <c r="EG1004" s="15" t="n">
        <v>54</v>
      </c>
      <c r="FC1004" s="15" t="n">
        <v>54</v>
      </c>
      <c r="FY1004" s="15" t="n">
        <v>54</v>
      </c>
      <c r="GU1004" s="15" t="n">
        <v>54</v>
      </c>
    </row>
    <row r="1005">
      <c r="C1005" s="15" t="n">
        <v>55</v>
      </c>
      <c r="AA1005" s="15" t="n">
        <v>55</v>
      </c>
      <c r="AW1005" s="15" t="n">
        <v>55</v>
      </c>
      <c r="BS1005" s="15" t="n">
        <v>55</v>
      </c>
      <c r="CO1005" s="15" t="n">
        <v>55</v>
      </c>
      <c r="DK1005" s="15" t="n">
        <v>55</v>
      </c>
      <c r="EG1005" s="15" t="n">
        <v>55</v>
      </c>
      <c r="FC1005" s="15" t="n">
        <v>55</v>
      </c>
      <c r="FY1005" s="15" t="n">
        <v>55</v>
      </c>
      <c r="GU1005" s="15" t="n">
        <v>55</v>
      </c>
    </row>
    <row r="1006">
      <c r="C1006" s="15" t="n">
        <v>56</v>
      </c>
      <c r="AA1006" s="15" t="n">
        <v>56</v>
      </c>
      <c r="AW1006" s="15" t="n">
        <v>56</v>
      </c>
      <c r="BS1006" s="15" t="n">
        <v>56</v>
      </c>
      <c r="CO1006" s="15" t="n">
        <v>56</v>
      </c>
      <c r="DK1006" s="15" t="n">
        <v>56</v>
      </c>
      <c r="EG1006" s="15" t="n">
        <v>56</v>
      </c>
      <c r="FC1006" s="15" t="n">
        <v>56</v>
      </c>
      <c r="FY1006" s="15" t="n">
        <v>56</v>
      </c>
      <c r="GU1006" s="15" t="n">
        <v>56</v>
      </c>
    </row>
    <row r="1007">
      <c r="C1007" s="15" t="n">
        <v>57</v>
      </c>
      <c r="AA1007" s="15" t="n">
        <v>57</v>
      </c>
      <c r="AW1007" s="15" t="n">
        <v>57</v>
      </c>
      <c r="BS1007" s="15" t="n">
        <v>57</v>
      </c>
      <c r="CO1007" s="15" t="n">
        <v>57</v>
      </c>
      <c r="DK1007" s="15" t="n">
        <v>57</v>
      </c>
      <c r="EG1007" s="15" t="n">
        <v>57</v>
      </c>
      <c r="FC1007" s="15" t="n">
        <v>57</v>
      </c>
      <c r="FY1007" s="15" t="n">
        <v>57</v>
      </c>
      <c r="GU1007" s="15" t="n">
        <v>57</v>
      </c>
    </row>
    <row r="1008">
      <c r="C1008" s="15" t="n">
        <v>58</v>
      </c>
      <c r="AA1008" s="15" t="n">
        <v>58</v>
      </c>
      <c r="AW1008" s="15" t="n">
        <v>58</v>
      </c>
      <c r="BS1008" s="15" t="n">
        <v>58</v>
      </c>
      <c r="CO1008" s="15" t="n">
        <v>58</v>
      </c>
      <c r="DK1008" s="15" t="n">
        <v>58</v>
      </c>
      <c r="EG1008" s="15" t="n">
        <v>58</v>
      </c>
      <c r="FC1008" s="15" t="n">
        <v>58</v>
      </c>
      <c r="FY1008" s="15" t="n">
        <v>58</v>
      </c>
      <c r="GU1008" s="15" t="n">
        <v>58</v>
      </c>
    </row>
    <row r="1009">
      <c r="C1009" s="15" t="n">
        <v>59</v>
      </c>
      <c r="AA1009" s="15" t="n">
        <v>59</v>
      </c>
      <c r="AW1009" s="15" t="n">
        <v>59</v>
      </c>
      <c r="BS1009" s="15" t="n">
        <v>59</v>
      </c>
      <c r="CO1009" s="15" t="n">
        <v>59</v>
      </c>
      <c r="DK1009" s="15" t="n">
        <v>59</v>
      </c>
      <c r="EG1009" s="15" t="n">
        <v>59</v>
      </c>
      <c r="FC1009" s="15" t="n">
        <v>59</v>
      </c>
      <c r="FY1009" s="15" t="n">
        <v>59</v>
      </c>
      <c r="GU1009" s="15" t="n">
        <v>59</v>
      </c>
    </row>
    <row r="1010">
      <c r="C1010" s="15" t="n">
        <v>60</v>
      </c>
      <c r="AA1010" s="15" t="n">
        <v>60</v>
      </c>
      <c r="AW1010" s="15" t="n">
        <v>60</v>
      </c>
      <c r="BS1010" s="15" t="n">
        <v>60</v>
      </c>
      <c r="CO1010" s="15" t="n">
        <v>60</v>
      </c>
      <c r="DK1010" s="15" t="n">
        <v>60</v>
      </c>
      <c r="EG1010" s="15" t="n">
        <v>60</v>
      </c>
      <c r="FC1010" s="15" t="n">
        <v>60</v>
      </c>
      <c r="FY1010" s="15" t="n">
        <v>60</v>
      </c>
      <c r="GU1010" s="15" t="n">
        <v>60</v>
      </c>
    </row>
    <row r="1011">
      <c r="C1011" s="15" t="n">
        <v>61</v>
      </c>
      <c r="AA1011" s="15" t="n">
        <v>61</v>
      </c>
      <c r="AW1011" s="15" t="n">
        <v>61</v>
      </c>
      <c r="BS1011" s="15" t="n">
        <v>61</v>
      </c>
      <c r="CO1011" s="15" t="n">
        <v>61</v>
      </c>
      <c r="DK1011" s="15" t="n">
        <v>61</v>
      </c>
      <c r="EG1011" s="15" t="n">
        <v>61</v>
      </c>
      <c r="FC1011" s="15" t="n">
        <v>61</v>
      </c>
      <c r="FY1011" s="15" t="n">
        <v>61</v>
      </c>
      <c r="GU1011" s="15" t="n">
        <v>61</v>
      </c>
    </row>
    <row r="1012">
      <c r="C1012" s="15" t="n">
        <v>62</v>
      </c>
      <c r="AA1012" s="15" t="n">
        <v>62</v>
      </c>
      <c r="AW1012" s="15" t="n">
        <v>62</v>
      </c>
      <c r="BS1012" s="15" t="n">
        <v>62</v>
      </c>
      <c r="CO1012" s="15" t="n">
        <v>62</v>
      </c>
      <c r="DK1012" s="15" t="n">
        <v>62</v>
      </c>
      <c r="EG1012" s="15" t="n">
        <v>62</v>
      </c>
      <c r="FC1012" s="15" t="n">
        <v>62</v>
      </c>
      <c r="FY1012" s="15" t="n">
        <v>62</v>
      </c>
      <c r="GU1012" s="15" t="n">
        <v>62</v>
      </c>
    </row>
    <row r="1013">
      <c r="C1013" s="15" t="n">
        <v>63</v>
      </c>
      <c r="AA1013" s="15" t="n">
        <v>63</v>
      </c>
      <c r="AW1013" s="15" t="n">
        <v>63</v>
      </c>
      <c r="BS1013" s="15" t="n">
        <v>63</v>
      </c>
      <c r="CO1013" s="15" t="n">
        <v>63</v>
      </c>
      <c r="DK1013" s="15" t="n">
        <v>63</v>
      </c>
      <c r="EG1013" s="15" t="n">
        <v>63</v>
      </c>
      <c r="FC1013" s="15" t="n">
        <v>63</v>
      </c>
      <c r="FY1013" s="15" t="n">
        <v>63</v>
      </c>
      <c r="GU1013" s="15" t="n">
        <v>63</v>
      </c>
    </row>
    <row r="1014">
      <c r="C1014" s="15" t="n">
        <v>64</v>
      </c>
      <c r="AA1014" s="15" t="n">
        <v>64</v>
      </c>
      <c r="AW1014" s="15" t="n">
        <v>64</v>
      </c>
      <c r="BS1014" s="15" t="n">
        <v>64</v>
      </c>
      <c r="CO1014" s="15" t="n">
        <v>64</v>
      </c>
      <c r="DK1014" s="15" t="n">
        <v>64</v>
      </c>
      <c r="EG1014" s="15" t="n">
        <v>64</v>
      </c>
      <c r="FC1014" s="15" t="n">
        <v>64</v>
      </c>
      <c r="FY1014" s="15" t="n">
        <v>64</v>
      </c>
      <c r="GU1014" s="15" t="n">
        <v>64</v>
      </c>
    </row>
    <row r="1015">
      <c r="C1015" s="15" t="n">
        <v>65</v>
      </c>
      <c r="AA1015" s="15" t="n">
        <v>65</v>
      </c>
      <c r="AW1015" s="15" t="n">
        <v>65</v>
      </c>
      <c r="BS1015" s="15" t="n">
        <v>65</v>
      </c>
      <c r="CO1015" s="15" t="n">
        <v>65</v>
      </c>
      <c r="DK1015" s="15" t="n">
        <v>65</v>
      </c>
      <c r="EG1015" s="15" t="n">
        <v>65</v>
      </c>
      <c r="FC1015" s="15" t="n">
        <v>65</v>
      </c>
      <c r="FY1015" s="15" t="n">
        <v>65</v>
      </c>
      <c r="GU1015" s="15" t="n">
        <v>65</v>
      </c>
    </row>
    <row r="1016">
      <c r="C1016" s="15" t="n">
        <v>66</v>
      </c>
      <c r="AA1016" s="15" t="n">
        <v>66</v>
      </c>
      <c r="AW1016" s="15" t="n">
        <v>66</v>
      </c>
      <c r="BS1016" s="15" t="n">
        <v>66</v>
      </c>
      <c r="CO1016" s="15" t="n">
        <v>66</v>
      </c>
      <c r="DK1016" s="15" t="n">
        <v>66</v>
      </c>
      <c r="EG1016" s="15" t="n">
        <v>66</v>
      </c>
      <c r="FC1016" s="15" t="n">
        <v>66</v>
      </c>
      <c r="FY1016" s="15" t="n">
        <v>66</v>
      </c>
      <c r="GU1016" s="15" t="n">
        <v>66</v>
      </c>
    </row>
    <row r="1017">
      <c r="C1017" s="15" t="n">
        <v>67</v>
      </c>
      <c r="AA1017" s="15" t="n">
        <v>67</v>
      </c>
      <c r="AW1017" s="15" t="n">
        <v>67</v>
      </c>
      <c r="BS1017" s="15" t="n">
        <v>67</v>
      </c>
      <c r="CO1017" s="15" t="n">
        <v>67</v>
      </c>
      <c r="DK1017" s="15" t="n">
        <v>67</v>
      </c>
      <c r="EG1017" s="15" t="n">
        <v>67</v>
      </c>
      <c r="FC1017" s="15" t="n">
        <v>67</v>
      </c>
      <c r="FY1017" s="15" t="n">
        <v>67</v>
      </c>
      <c r="GU1017" s="15" t="n">
        <v>67</v>
      </c>
    </row>
    <row r="1018">
      <c r="C1018" s="15" t="n">
        <v>68</v>
      </c>
      <c r="AA1018" s="15" t="n">
        <v>68</v>
      </c>
      <c r="AW1018" s="15" t="n">
        <v>68</v>
      </c>
      <c r="BS1018" s="15" t="n">
        <v>68</v>
      </c>
      <c r="CO1018" s="15" t="n">
        <v>68</v>
      </c>
      <c r="DK1018" s="15" t="n">
        <v>68</v>
      </c>
      <c r="EG1018" s="15" t="n">
        <v>68</v>
      </c>
      <c r="FC1018" s="15" t="n">
        <v>68</v>
      </c>
      <c r="FY1018" s="15" t="n">
        <v>68</v>
      </c>
      <c r="GU1018" s="15" t="n">
        <v>68</v>
      </c>
    </row>
    <row r="1019">
      <c r="C1019" s="15" t="n">
        <v>69</v>
      </c>
      <c r="AA1019" s="15" t="n">
        <v>69</v>
      </c>
      <c r="AW1019" s="15" t="n">
        <v>69</v>
      </c>
      <c r="BS1019" s="15" t="n">
        <v>69</v>
      </c>
      <c r="CO1019" s="15" t="n">
        <v>69</v>
      </c>
      <c r="DK1019" s="15" t="n">
        <v>69</v>
      </c>
      <c r="EG1019" s="15" t="n">
        <v>69</v>
      </c>
      <c r="FC1019" s="15" t="n">
        <v>69</v>
      </c>
      <c r="FY1019" s="15" t="n">
        <v>69</v>
      </c>
      <c r="GU1019" s="15" t="n">
        <v>69</v>
      </c>
    </row>
    <row r="1020">
      <c r="C1020" s="15" t="n">
        <v>70</v>
      </c>
      <c r="AA1020" s="15" t="n">
        <v>70</v>
      </c>
      <c r="AW1020" s="15" t="n">
        <v>70</v>
      </c>
      <c r="BS1020" s="15" t="n">
        <v>70</v>
      </c>
      <c r="CO1020" s="15" t="n">
        <v>70</v>
      </c>
      <c r="DK1020" s="15" t="n">
        <v>70</v>
      </c>
      <c r="EG1020" s="15" t="n">
        <v>70</v>
      </c>
      <c r="FC1020" s="15" t="n">
        <v>70</v>
      </c>
      <c r="FY1020" s="15" t="n">
        <v>70</v>
      </c>
      <c r="GU1020" s="15" t="n">
        <v>70</v>
      </c>
    </row>
    <row r="1021">
      <c r="C1021" s="15" t="n">
        <v>71</v>
      </c>
      <c r="AA1021" s="15" t="n">
        <v>71</v>
      </c>
      <c r="AW1021" s="15" t="n">
        <v>71</v>
      </c>
      <c r="BS1021" s="15" t="n">
        <v>71</v>
      </c>
      <c r="CO1021" s="15" t="n">
        <v>71</v>
      </c>
      <c r="DK1021" s="15" t="n">
        <v>71</v>
      </c>
      <c r="EG1021" s="15" t="n">
        <v>71</v>
      </c>
      <c r="FC1021" s="15" t="n">
        <v>71</v>
      </c>
      <c r="FY1021" s="15" t="n">
        <v>71</v>
      </c>
      <c r="GU1021" s="15" t="n">
        <v>71</v>
      </c>
    </row>
    <row r="1022">
      <c r="C1022" s="15" t="n">
        <v>72</v>
      </c>
      <c r="AA1022" s="15" t="n">
        <v>72</v>
      </c>
      <c r="AW1022" s="15" t="n">
        <v>72</v>
      </c>
      <c r="BS1022" s="15" t="n">
        <v>72</v>
      </c>
      <c r="CO1022" s="15" t="n">
        <v>72</v>
      </c>
      <c r="DK1022" s="15" t="n">
        <v>72</v>
      </c>
      <c r="EG1022" s="15" t="n">
        <v>72</v>
      </c>
      <c r="FC1022" s="15" t="n">
        <v>72</v>
      </c>
      <c r="FY1022" s="15" t="n">
        <v>72</v>
      </c>
      <c r="GU1022" s="15" t="n">
        <v>72</v>
      </c>
    </row>
    <row r="1023">
      <c r="C1023" s="15" t="n">
        <v>73</v>
      </c>
      <c r="AA1023" s="15" t="n">
        <v>73</v>
      </c>
      <c r="AW1023" s="15" t="n">
        <v>73</v>
      </c>
      <c r="BS1023" s="15" t="n">
        <v>73</v>
      </c>
      <c r="CO1023" s="15" t="n">
        <v>73</v>
      </c>
      <c r="DK1023" s="15" t="n">
        <v>73</v>
      </c>
      <c r="EG1023" s="15" t="n">
        <v>73</v>
      </c>
      <c r="FC1023" s="15" t="n">
        <v>73</v>
      </c>
      <c r="FY1023" s="15" t="n">
        <v>73</v>
      </c>
      <c r="GU1023" s="15" t="n">
        <v>73</v>
      </c>
    </row>
    <row r="1024">
      <c r="C1024" s="15" t="n">
        <v>74</v>
      </c>
      <c r="AA1024" s="15" t="n">
        <v>74</v>
      </c>
      <c r="AW1024" s="15" t="n">
        <v>74</v>
      </c>
      <c r="BS1024" s="15" t="n">
        <v>74</v>
      </c>
      <c r="CO1024" s="15" t="n">
        <v>74</v>
      </c>
      <c r="DK1024" s="15" t="n">
        <v>74</v>
      </c>
      <c r="EG1024" s="15" t="n">
        <v>74</v>
      </c>
      <c r="FC1024" s="15" t="n">
        <v>74</v>
      </c>
      <c r="FY1024" s="15" t="n">
        <v>74</v>
      </c>
      <c r="GU1024" s="15" t="n">
        <v>74</v>
      </c>
    </row>
    <row r="1025">
      <c r="C1025" s="15" t="n">
        <v>75</v>
      </c>
      <c r="AA1025" s="15" t="n">
        <v>75</v>
      </c>
      <c r="AW1025" s="15" t="n">
        <v>75</v>
      </c>
      <c r="BS1025" s="15" t="n">
        <v>75</v>
      </c>
      <c r="CO1025" s="15" t="n">
        <v>75</v>
      </c>
      <c r="DK1025" s="15" t="n">
        <v>75</v>
      </c>
      <c r="EG1025" s="15" t="n">
        <v>75</v>
      </c>
      <c r="FC1025" s="15" t="n">
        <v>75</v>
      </c>
      <c r="FY1025" s="15" t="n">
        <v>75</v>
      </c>
      <c r="GU1025" s="15" t="n">
        <v>75</v>
      </c>
    </row>
    <row r="1026">
      <c r="C1026" s="15" t="n">
        <v>76</v>
      </c>
      <c r="AA1026" s="15" t="n">
        <v>76</v>
      </c>
      <c r="AW1026" s="15" t="n">
        <v>76</v>
      </c>
      <c r="BS1026" s="15" t="n">
        <v>76</v>
      </c>
      <c r="CO1026" s="15" t="n">
        <v>76</v>
      </c>
      <c r="DK1026" s="15" t="n">
        <v>76</v>
      </c>
      <c r="EG1026" s="15" t="n">
        <v>76</v>
      </c>
      <c r="FC1026" s="15" t="n">
        <v>76</v>
      </c>
      <c r="FY1026" s="15" t="n">
        <v>76</v>
      </c>
      <c r="GU1026" s="15" t="n">
        <v>76</v>
      </c>
    </row>
    <row r="1027">
      <c r="C1027" s="15" t="n">
        <v>77</v>
      </c>
      <c r="AA1027" s="15" t="n">
        <v>77</v>
      </c>
      <c r="AW1027" s="15" t="n">
        <v>77</v>
      </c>
      <c r="BS1027" s="15" t="n">
        <v>77</v>
      </c>
      <c r="CO1027" s="15" t="n">
        <v>77</v>
      </c>
      <c r="DK1027" s="15" t="n">
        <v>77</v>
      </c>
      <c r="EG1027" s="15" t="n">
        <v>77</v>
      </c>
      <c r="FC1027" s="15" t="n">
        <v>77</v>
      </c>
      <c r="FY1027" s="15" t="n">
        <v>77</v>
      </c>
      <c r="GU1027" s="15" t="n">
        <v>77</v>
      </c>
    </row>
    <row r="1028">
      <c r="C1028" s="15" t="n">
        <v>78</v>
      </c>
      <c r="AA1028" s="15" t="n">
        <v>78</v>
      </c>
      <c r="AW1028" s="15" t="n">
        <v>78</v>
      </c>
      <c r="BS1028" s="15" t="n">
        <v>78</v>
      </c>
      <c r="CO1028" s="15" t="n">
        <v>78</v>
      </c>
      <c r="DK1028" s="15" t="n">
        <v>78</v>
      </c>
      <c r="EG1028" s="15" t="n">
        <v>78</v>
      </c>
      <c r="FC1028" s="15" t="n">
        <v>78</v>
      </c>
      <c r="FY1028" s="15" t="n">
        <v>78</v>
      </c>
      <c r="GU1028" s="15" t="n">
        <v>78</v>
      </c>
    </row>
    <row r="1029">
      <c r="C1029" s="15" t="n">
        <v>79</v>
      </c>
      <c r="AA1029" s="15" t="n">
        <v>79</v>
      </c>
      <c r="AW1029" s="15" t="n">
        <v>79</v>
      </c>
      <c r="BS1029" s="15" t="n">
        <v>79</v>
      </c>
      <c r="CO1029" s="15" t="n">
        <v>79</v>
      </c>
      <c r="DK1029" s="15" t="n">
        <v>79</v>
      </c>
      <c r="EG1029" s="15" t="n">
        <v>79</v>
      </c>
      <c r="FC1029" s="15" t="n">
        <v>79</v>
      </c>
      <c r="FY1029" s="15" t="n">
        <v>79</v>
      </c>
      <c r="GU1029" s="15" t="n">
        <v>79</v>
      </c>
    </row>
    <row r="1030">
      <c r="C1030" s="15" t="n">
        <v>80</v>
      </c>
      <c r="AA1030" s="15" t="n">
        <v>80</v>
      </c>
      <c r="AW1030" s="15" t="n">
        <v>80</v>
      </c>
      <c r="BS1030" s="15" t="n">
        <v>80</v>
      </c>
      <c r="CO1030" s="15" t="n">
        <v>80</v>
      </c>
      <c r="DK1030" s="15" t="n">
        <v>80</v>
      </c>
      <c r="EG1030" s="15" t="n">
        <v>80</v>
      </c>
      <c r="FC1030" s="15" t="n">
        <v>80</v>
      </c>
      <c r="FY1030" s="15" t="n">
        <v>80</v>
      </c>
      <c r="GU1030" s="15" t="n">
        <v>80</v>
      </c>
    </row>
    <row r="1031">
      <c r="C1031" s="15" t="n">
        <v>81</v>
      </c>
      <c r="AA1031" s="15" t="n">
        <v>81</v>
      </c>
      <c r="AW1031" s="15" t="n">
        <v>81</v>
      </c>
      <c r="BS1031" s="15" t="n">
        <v>81</v>
      </c>
      <c r="CO1031" s="15" t="n">
        <v>81</v>
      </c>
      <c r="DK1031" s="15" t="n">
        <v>81</v>
      </c>
      <c r="EG1031" s="15" t="n">
        <v>81</v>
      </c>
      <c r="FC1031" s="15" t="n">
        <v>81</v>
      </c>
      <c r="FY1031" s="15" t="n">
        <v>81</v>
      </c>
      <c r="GU1031" s="15" t="n">
        <v>81</v>
      </c>
    </row>
    <row r="1032">
      <c r="C1032" s="15" t="n">
        <v>82</v>
      </c>
      <c r="AA1032" s="15" t="n">
        <v>82</v>
      </c>
      <c r="AW1032" s="15" t="n">
        <v>82</v>
      </c>
      <c r="BS1032" s="15" t="n">
        <v>82</v>
      </c>
      <c r="CO1032" s="15" t="n">
        <v>82</v>
      </c>
      <c r="DK1032" s="15" t="n">
        <v>82</v>
      </c>
      <c r="EG1032" s="15" t="n">
        <v>82</v>
      </c>
      <c r="FC1032" s="15" t="n">
        <v>82</v>
      </c>
      <c r="FY1032" s="15" t="n">
        <v>82</v>
      </c>
      <c r="GU1032" s="15" t="n">
        <v>82</v>
      </c>
    </row>
    <row r="1033">
      <c r="C1033" s="15" t="n">
        <v>83</v>
      </c>
      <c r="AA1033" s="15" t="n">
        <v>83</v>
      </c>
      <c r="AW1033" s="15" t="n">
        <v>83</v>
      </c>
      <c r="BS1033" s="15" t="n">
        <v>83</v>
      </c>
      <c r="CO1033" s="15" t="n">
        <v>83</v>
      </c>
      <c r="DK1033" s="15" t="n">
        <v>83</v>
      </c>
      <c r="EG1033" s="15" t="n">
        <v>83</v>
      </c>
      <c r="FC1033" s="15" t="n">
        <v>83</v>
      </c>
      <c r="FY1033" s="15" t="n">
        <v>83</v>
      </c>
      <c r="GU1033" s="15" t="n">
        <v>83</v>
      </c>
    </row>
    <row r="1034">
      <c r="C1034" s="15" t="n">
        <v>84</v>
      </c>
      <c r="AA1034" s="15" t="n">
        <v>84</v>
      </c>
      <c r="AW1034" s="15" t="n">
        <v>84</v>
      </c>
      <c r="BS1034" s="15" t="n">
        <v>84</v>
      </c>
      <c r="CO1034" s="15" t="n">
        <v>84</v>
      </c>
      <c r="DK1034" s="15" t="n">
        <v>84</v>
      </c>
      <c r="EG1034" s="15" t="n">
        <v>84</v>
      </c>
      <c r="FC1034" s="15" t="n">
        <v>84</v>
      </c>
      <c r="FY1034" s="15" t="n">
        <v>84</v>
      </c>
      <c r="GU1034" s="15" t="n">
        <v>84</v>
      </c>
    </row>
    <row r="1035">
      <c r="C1035" s="15" t="n">
        <v>85</v>
      </c>
      <c r="AA1035" s="15" t="n">
        <v>85</v>
      </c>
      <c r="AW1035" s="15" t="n">
        <v>85</v>
      </c>
      <c r="BS1035" s="15" t="n">
        <v>85</v>
      </c>
      <c r="CO1035" s="15" t="n">
        <v>85</v>
      </c>
      <c r="DK1035" s="15" t="n">
        <v>85</v>
      </c>
      <c r="EG1035" s="15" t="n">
        <v>85</v>
      </c>
      <c r="FC1035" s="15" t="n">
        <v>85</v>
      </c>
      <c r="FY1035" s="15" t="n">
        <v>85</v>
      </c>
      <c r="GU1035" s="15" t="n">
        <v>85</v>
      </c>
    </row>
    <row r="1036">
      <c r="C1036" s="15" t="n">
        <v>86</v>
      </c>
      <c r="AA1036" s="15" t="n">
        <v>86</v>
      </c>
      <c r="AW1036" s="15" t="n">
        <v>86</v>
      </c>
      <c r="BS1036" s="15" t="n">
        <v>86</v>
      </c>
      <c r="CO1036" s="15" t="n">
        <v>86</v>
      </c>
      <c r="DK1036" s="15" t="n">
        <v>86</v>
      </c>
      <c r="EG1036" s="15" t="n">
        <v>86</v>
      </c>
      <c r="FC1036" s="15" t="n">
        <v>86</v>
      </c>
      <c r="FY1036" s="15" t="n">
        <v>86</v>
      </c>
      <c r="GU1036" s="15" t="n">
        <v>86</v>
      </c>
    </row>
    <row r="1037">
      <c r="C1037" s="15" t="n">
        <v>87</v>
      </c>
      <c r="AA1037" s="15" t="n">
        <v>87</v>
      </c>
      <c r="AW1037" s="15" t="n">
        <v>87</v>
      </c>
      <c r="BS1037" s="15" t="n">
        <v>87</v>
      </c>
      <c r="CO1037" s="15" t="n">
        <v>87</v>
      </c>
      <c r="DK1037" s="15" t="n">
        <v>87</v>
      </c>
      <c r="EG1037" s="15" t="n">
        <v>87</v>
      </c>
      <c r="FC1037" s="15" t="n">
        <v>87</v>
      </c>
      <c r="FY1037" s="15" t="n">
        <v>87</v>
      </c>
      <c r="GU1037" s="15" t="n">
        <v>87</v>
      </c>
    </row>
    <row r="1038">
      <c r="C1038" s="15" t="n">
        <v>88</v>
      </c>
      <c r="AA1038" s="15" t="n">
        <v>88</v>
      </c>
      <c r="AW1038" s="15" t="n">
        <v>88</v>
      </c>
      <c r="BS1038" s="15" t="n">
        <v>88</v>
      </c>
      <c r="CO1038" s="15" t="n">
        <v>88</v>
      </c>
      <c r="DK1038" s="15" t="n">
        <v>88</v>
      </c>
      <c r="EG1038" s="15" t="n">
        <v>88</v>
      </c>
      <c r="FC1038" s="15" t="n">
        <v>88</v>
      </c>
      <c r="FY1038" s="15" t="n">
        <v>88</v>
      </c>
      <c r="GU1038" s="15" t="n">
        <v>88</v>
      </c>
    </row>
    <row r="1039">
      <c r="C1039" s="15" t="n">
        <v>89</v>
      </c>
      <c r="AA1039" s="15" t="n">
        <v>89</v>
      </c>
      <c r="AW1039" s="15" t="n">
        <v>89</v>
      </c>
      <c r="BS1039" s="15" t="n">
        <v>89</v>
      </c>
      <c r="CO1039" s="15" t="n">
        <v>89</v>
      </c>
      <c r="DK1039" s="15" t="n">
        <v>89</v>
      </c>
      <c r="EG1039" s="15" t="n">
        <v>89</v>
      </c>
      <c r="FC1039" s="15" t="n">
        <v>89</v>
      </c>
      <c r="FY1039" s="15" t="n">
        <v>89</v>
      </c>
      <c r="GU1039" s="15" t="n">
        <v>89</v>
      </c>
    </row>
    <row r="1040">
      <c r="C1040" s="15" t="n">
        <v>90</v>
      </c>
      <c r="AA1040" s="15" t="n">
        <v>90</v>
      </c>
      <c r="AW1040" s="15" t="n">
        <v>90</v>
      </c>
      <c r="BS1040" s="15" t="n">
        <v>90</v>
      </c>
      <c r="CO1040" s="15" t="n">
        <v>90</v>
      </c>
      <c r="DK1040" s="15" t="n">
        <v>90</v>
      </c>
      <c r="EG1040" s="15" t="n">
        <v>90</v>
      </c>
      <c r="FC1040" s="15" t="n">
        <v>90</v>
      </c>
      <c r="FY1040" s="15" t="n">
        <v>90</v>
      </c>
      <c r="GU1040" s="15" t="n">
        <v>90</v>
      </c>
    </row>
    <row r="1041">
      <c r="C1041" s="15" t="n">
        <v>91</v>
      </c>
      <c r="AA1041" s="15" t="n">
        <v>91</v>
      </c>
      <c r="AW1041" s="15" t="n">
        <v>91</v>
      </c>
      <c r="BS1041" s="15" t="n">
        <v>91</v>
      </c>
      <c r="CO1041" s="15" t="n">
        <v>91</v>
      </c>
      <c r="DK1041" s="15" t="n">
        <v>91</v>
      </c>
      <c r="EG1041" s="15" t="n">
        <v>91</v>
      </c>
      <c r="FC1041" s="15" t="n">
        <v>91</v>
      </c>
      <c r="FY1041" s="15" t="n">
        <v>91</v>
      </c>
      <c r="GU1041" s="15" t="n">
        <v>91</v>
      </c>
    </row>
    <row r="1042">
      <c r="C1042" s="15" t="n">
        <v>92</v>
      </c>
      <c r="AA1042" s="15" t="n">
        <v>92</v>
      </c>
      <c r="AW1042" s="15" t="n">
        <v>92</v>
      </c>
      <c r="BS1042" s="15" t="n">
        <v>92</v>
      </c>
      <c r="CO1042" s="15" t="n">
        <v>92</v>
      </c>
      <c r="DK1042" s="15" t="n">
        <v>92</v>
      </c>
      <c r="EG1042" s="15" t="n">
        <v>92</v>
      </c>
      <c r="FC1042" s="15" t="n">
        <v>92</v>
      </c>
      <c r="FY1042" s="15" t="n">
        <v>92</v>
      </c>
      <c r="GU1042" s="15" t="n">
        <v>92</v>
      </c>
    </row>
    <row r="1043">
      <c r="C1043" s="15" t="n">
        <v>93</v>
      </c>
      <c r="AA1043" s="15" t="n">
        <v>93</v>
      </c>
      <c r="AW1043" s="15" t="n">
        <v>93</v>
      </c>
      <c r="BS1043" s="15" t="n">
        <v>93</v>
      </c>
      <c r="CO1043" s="15" t="n">
        <v>93</v>
      </c>
      <c r="DK1043" s="15" t="n">
        <v>93</v>
      </c>
      <c r="EG1043" s="15" t="n">
        <v>93</v>
      </c>
      <c r="FC1043" s="15" t="n">
        <v>93</v>
      </c>
      <c r="FY1043" s="15" t="n">
        <v>93</v>
      </c>
      <c r="GU1043" s="15" t="n">
        <v>93</v>
      </c>
    </row>
    <row r="1044">
      <c r="C1044" s="15" t="n">
        <v>94</v>
      </c>
      <c r="AA1044" s="15" t="n">
        <v>94</v>
      </c>
      <c r="AW1044" s="15" t="n">
        <v>94</v>
      </c>
      <c r="BS1044" s="15" t="n">
        <v>94</v>
      </c>
      <c r="CO1044" s="15" t="n">
        <v>94</v>
      </c>
      <c r="DK1044" s="15" t="n">
        <v>94</v>
      </c>
      <c r="EG1044" s="15" t="n">
        <v>94</v>
      </c>
      <c r="FC1044" s="15" t="n">
        <v>94</v>
      </c>
      <c r="FY1044" s="15" t="n">
        <v>94</v>
      </c>
      <c r="GU1044" s="15" t="n">
        <v>94</v>
      </c>
    </row>
    <row r="1045">
      <c r="C1045" s="15" t="n">
        <v>95</v>
      </c>
      <c r="AA1045" s="15" t="n">
        <v>95</v>
      </c>
      <c r="AW1045" s="15" t="n">
        <v>95</v>
      </c>
      <c r="BS1045" s="15" t="n">
        <v>95</v>
      </c>
      <c r="CO1045" s="15" t="n">
        <v>95</v>
      </c>
      <c r="DK1045" s="15" t="n">
        <v>95</v>
      </c>
      <c r="EG1045" s="15" t="n">
        <v>95</v>
      </c>
      <c r="FC1045" s="15" t="n">
        <v>95</v>
      </c>
      <c r="FY1045" s="15" t="n">
        <v>95</v>
      </c>
      <c r="GU1045" s="15" t="n">
        <v>95</v>
      </c>
    </row>
    <row r="1046">
      <c r="C1046" s="15" t="n">
        <v>96</v>
      </c>
      <c r="AA1046" s="15" t="n">
        <v>96</v>
      </c>
      <c r="AW1046" s="15" t="n">
        <v>96</v>
      </c>
      <c r="BS1046" s="15" t="n">
        <v>96</v>
      </c>
      <c r="CO1046" s="15" t="n">
        <v>96</v>
      </c>
      <c r="DK1046" s="15" t="n">
        <v>96</v>
      </c>
      <c r="EG1046" s="15" t="n">
        <v>96</v>
      </c>
      <c r="FC1046" s="15" t="n">
        <v>96</v>
      </c>
      <c r="FY1046" s="15" t="n">
        <v>96</v>
      </c>
      <c r="GU1046" s="15" t="n">
        <v>96</v>
      </c>
    </row>
    <row r="1047">
      <c r="C1047" s="15" t="n">
        <v>97</v>
      </c>
      <c r="AA1047" s="15" t="n">
        <v>97</v>
      </c>
      <c r="AW1047" s="15" t="n">
        <v>97</v>
      </c>
      <c r="BS1047" s="15" t="n">
        <v>97</v>
      </c>
      <c r="CO1047" s="15" t="n">
        <v>97</v>
      </c>
      <c r="DK1047" s="15" t="n">
        <v>97</v>
      </c>
      <c r="EG1047" s="15" t="n">
        <v>97</v>
      </c>
      <c r="FC1047" s="15" t="n">
        <v>97</v>
      </c>
      <c r="FY1047" s="15" t="n">
        <v>97</v>
      </c>
      <c r="GU1047" s="15" t="n">
        <v>97</v>
      </c>
    </row>
    <row r="1048">
      <c r="C1048" s="15" t="n">
        <v>98</v>
      </c>
      <c r="AA1048" s="15" t="n">
        <v>98</v>
      </c>
      <c r="AW1048" s="15" t="n">
        <v>98</v>
      </c>
      <c r="BS1048" s="15" t="n">
        <v>98</v>
      </c>
      <c r="CO1048" s="15" t="n">
        <v>98</v>
      </c>
      <c r="DK1048" s="15" t="n">
        <v>98</v>
      </c>
      <c r="EG1048" s="15" t="n">
        <v>98</v>
      </c>
      <c r="FC1048" s="15" t="n">
        <v>98</v>
      </c>
      <c r="FY1048" s="15" t="n">
        <v>98</v>
      </c>
      <c r="GU1048" s="15" t="n">
        <v>98</v>
      </c>
    </row>
    <row r="1049">
      <c r="C1049" s="15" t="n">
        <v>99</v>
      </c>
      <c r="AA1049" s="15" t="n">
        <v>99</v>
      </c>
      <c r="AW1049" s="15" t="n">
        <v>99</v>
      </c>
      <c r="BS1049" s="15" t="n">
        <v>99</v>
      </c>
      <c r="CO1049" s="15" t="n">
        <v>99</v>
      </c>
      <c r="DK1049" s="15" t="n">
        <v>99</v>
      </c>
      <c r="EG1049" s="15" t="n">
        <v>99</v>
      </c>
      <c r="FC1049" s="15" t="n">
        <v>99</v>
      </c>
      <c r="FY1049" s="15" t="n">
        <v>99</v>
      </c>
      <c r="GU1049" s="15" t="n">
        <v>99</v>
      </c>
    </row>
    <row r="1050">
      <c r="C1050" s="15" t="n">
        <v>100</v>
      </c>
      <c r="AA1050" s="15" t="n">
        <v>100</v>
      </c>
      <c r="AW1050" s="15" t="n">
        <v>100</v>
      </c>
      <c r="BS1050" s="15" t="n">
        <v>100</v>
      </c>
      <c r="CO1050" s="15" t="n">
        <v>100</v>
      </c>
      <c r="DK1050" s="15" t="n">
        <v>100</v>
      </c>
      <c r="EG1050" s="15" t="n">
        <v>100</v>
      </c>
      <c r="FC1050" s="15" t="n">
        <v>100</v>
      </c>
      <c r="FY1050" s="15" t="n">
        <v>100</v>
      </c>
      <c r="GU1050" s="15" t="n">
        <v>100</v>
      </c>
    </row>
    <row r="1051">
      <c r="C1051" s="15" t="n">
        <v>101</v>
      </c>
      <c r="AA1051" s="15" t="n">
        <v>101</v>
      </c>
      <c r="AW1051" s="15" t="n">
        <v>101</v>
      </c>
      <c r="BS1051" s="15" t="n">
        <v>101</v>
      </c>
      <c r="CO1051" s="15" t="n">
        <v>101</v>
      </c>
      <c r="DK1051" s="15" t="n">
        <v>101</v>
      </c>
      <c r="EG1051" s="15" t="n">
        <v>101</v>
      </c>
      <c r="FC1051" s="15" t="n">
        <v>101</v>
      </c>
      <c r="FY1051" s="15" t="n">
        <v>101</v>
      </c>
      <c r="GU1051" s="15" t="n">
        <v>101</v>
      </c>
    </row>
    <row r="1052">
      <c r="C1052" s="15" t="n">
        <v>102</v>
      </c>
      <c r="AA1052" s="15" t="n">
        <v>102</v>
      </c>
      <c r="AW1052" s="15" t="n">
        <v>102</v>
      </c>
      <c r="BS1052" s="15" t="n">
        <v>102</v>
      </c>
      <c r="CO1052" s="15" t="n">
        <v>102</v>
      </c>
      <c r="DK1052" s="15" t="n">
        <v>102</v>
      </c>
      <c r="EG1052" s="15" t="n">
        <v>102</v>
      </c>
      <c r="FC1052" s="15" t="n">
        <v>102</v>
      </c>
      <c r="FY1052" s="15" t="n">
        <v>102</v>
      </c>
      <c r="GU1052" s="15" t="n">
        <v>102</v>
      </c>
    </row>
    <row r="1053">
      <c r="C1053" s="15" t="n">
        <v>103</v>
      </c>
      <c r="AA1053" s="15" t="n">
        <v>103</v>
      </c>
      <c r="AW1053" s="15" t="n">
        <v>103</v>
      </c>
      <c r="BS1053" s="15" t="n">
        <v>103</v>
      </c>
      <c r="CO1053" s="15" t="n">
        <v>103</v>
      </c>
      <c r="DK1053" s="15" t="n">
        <v>103</v>
      </c>
      <c r="EG1053" s="15" t="n">
        <v>103</v>
      </c>
      <c r="FC1053" s="15" t="n">
        <v>103</v>
      </c>
      <c r="FY1053" s="15" t="n">
        <v>103</v>
      </c>
      <c r="GU1053" s="15" t="n">
        <v>103</v>
      </c>
    </row>
    <row r="1054">
      <c r="C1054" s="15" t="n">
        <v>104</v>
      </c>
      <c r="AA1054" s="15" t="n">
        <v>104</v>
      </c>
      <c r="AW1054" s="15" t="n">
        <v>104</v>
      </c>
      <c r="BS1054" s="15" t="n">
        <v>104</v>
      </c>
      <c r="CO1054" s="15" t="n">
        <v>104</v>
      </c>
      <c r="DK1054" s="15" t="n">
        <v>104</v>
      </c>
      <c r="EG1054" s="15" t="n">
        <v>104</v>
      </c>
      <c r="FC1054" s="15" t="n">
        <v>104</v>
      </c>
      <c r="FY1054" s="15" t="n">
        <v>104</v>
      </c>
      <c r="GU1054" s="15" t="n">
        <v>104</v>
      </c>
    </row>
    <row r="1055">
      <c r="C1055" s="15" t="n">
        <v>105</v>
      </c>
      <c r="AA1055" s="15" t="n">
        <v>105</v>
      </c>
      <c r="AW1055" s="15" t="n">
        <v>105</v>
      </c>
      <c r="BS1055" s="15" t="n">
        <v>105</v>
      </c>
      <c r="CO1055" s="15" t="n">
        <v>105</v>
      </c>
      <c r="DK1055" s="15" t="n">
        <v>105</v>
      </c>
      <c r="EG1055" s="15" t="n">
        <v>105</v>
      </c>
      <c r="FC1055" s="15" t="n">
        <v>105</v>
      </c>
      <c r="FY1055" s="15" t="n">
        <v>105</v>
      </c>
      <c r="GU1055" s="15" t="n">
        <v>105</v>
      </c>
    </row>
    <row r="1056">
      <c r="C1056" s="15" t="n">
        <v>106</v>
      </c>
      <c r="AA1056" s="15" t="n">
        <v>106</v>
      </c>
      <c r="AW1056" s="15" t="n">
        <v>106</v>
      </c>
      <c r="BS1056" s="15" t="n">
        <v>106</v>
      </c>
      <c r="CO1056" s="15" t="n">
        <v>106</v>
      </c>
      <c r="DK1056" s="15" t="n">
        <v>106</v>
      </c>
      <c r="EG1056" s="15" t="n">
        <v>106</v>
      </c>
      <c r="FC1056" s="15" t="n">
        <v>106</v>
      </c>
      <c r="FY1056" s="15" t="n">
        <v>106</v>
      </c>
      <c r="GU1056" s="15" t="n">
        <v>106</v>
      </c>
    </row>
    <row r="1057">
      <c r="C1057" s="15" t="n">
        <v>107</v>
      </c>
      <c r="AA1057" s="15" t="n">
        <v>107</v>
      </c>
      <c r="AW1057" s="15" t="n">
        <v>107</v>
      </c>
      <c r="BS1057" s="15" t="n">
        <v>107</v>
      </c>
      <c r="CO1057" s="15" t="n">
        <v>107</v>
      </c>
      <c r="DK1057" s="15" t="n">
        <v>107</v>
      </c>
      <c r="EG1057" s="15" t="n">
        <v>107</v>
      </c>
      <c r="FC1057" s="15" t="n">
        <v>107</v>
      </c>
      <c r="FY1057" s="15" t="n">
        <v>107</v>
      </c>
      <c r="GU1057" s="15" t="n">
        <v>107</v>
      </c>
    </row>
    <row r="1058">
      <c r="C1058" s="15" t="n">
        <v>108</v>
      </c>
      <c r="AA1058" s="15" t="n">
        <v>108</v>
      </c>
      <c r="AW1058" s="15" t="n">
        <v>108</v>
      </c>
      <c r="BS1058" s="15" t="n">
        <v>108</v>
      </c>
      <c r="CO1058" s="15" t="n">
        <v>108</v>
      </c>
      <c r="DK1058" s="15" t="n">
        <v>108</v>
      </c>
      <c r="EG1058" s="15" t="n">
        <v>108</v>
      </c>
      <c r="FC1058" s="15" t="n">
        <v>108</v>
      </c>
      <c r="FY1058" s="15" t="n">
        <v>108</v>
      </c>
      <c r="GU1058" s="15" t="n">
        <v>108</v>
      </c>
    </row>
    <row r="1059">
      <c r="C1059" s="15" t="n">
        <v>109</v>
      </c>
      <c r="AA1059" s="15" t="n">
        <v>109</v>
      </c>
      <c r="AW1059" s="15" t="n">
        <v>109</v>
      </c>
      <c r="BS1059" s="15" t="n">
        <v>109</v>
      </c>
      <c r="CO1059" s="15" t="n">
        <v>109</v>
      </c>
      <c r="DK1059" s="15" t="n">
        <v>109</v>
      </c>
      <c r="EG1059" s="15" t="n">
        <v>109</v>
      </c>
      <c r="FC1059" s="15" t="n">
        <v>109</v>
      </c>
      <c r="FY1059" s="15" t="n">
        <v>109</v>
      </c>
      <c r="GU1059" s="15" t="n">
        <v>109</v>
      </c>
    </row>
    <row r="1060">
      <c r="C1060" s="15" t="n">
        <v>110</v>
      </c>
      <c r="AA1060" s="15" t="n">
        <v>110</v>
      </c>
      <c r="AW1060" s="15" t="n">
        <v>110</v>
      </c>
      <c r="BS1060" s="15" t="n">
        <v>110</v>
      </c>
      <c r="CO1060" s="15" t="n">
        <v>110</v>
      </c>
      <c r="DK1060" s="15" t="n">
        <v>110</v>
      </c>
      <c r="EG1060" s="15" t="n">
        <v>110</v>
      </c>
      <c r="FC1060" s="15" t="n">
        <v>110</v>
      </c>
      <c r="FY1060" s="15" t="n">
        <v>110</v>
      </c>
      <c r="GU1060" s="15" t="n">
        <v>110</v>
      </c>
    </row>
    <row r="1061">
      <c r="C1061" s="15" t="n">
        <v>111</v>
      </c>
      <c r="AA1061" s="15" t="n">
        <v>111</v>
      </c>
      <c r="AW1061" s="15" t="n">
        <v>111</v>
      </c>
      <c r="BS1061" s="15" t="n">
        <v>111</v>
      </c>
      <c r="CO1061" s="15" t="n">
        <v>111</v>
      </c>
      <c r="DK1061" s="15" t="n">
        <v>111</v>
      </c>
      <c r="EG1061" s="15" t="n">
        <v>111</v>
      </c>
      <c r="FC1061" s="15" t="n">
        <v>111</v>
      </c>
      <c r="FY1061" s="15" t="n">
        <v>111</v>
      </c>
      <c r="GU1061" s="15" t="n">
        <v>111</v>
      </c>
    </row>
    <row r="1062">
      <c r="C1062" s="15" t="n">
        <v>112</v>
      </c>
      <c r="AA1062" s="15" t="n">
        <v>112</v>
      </c>
      <c r="AW1062" s="15" t="n">
        <v>112</v>
      </c>
      <c r="BS1062" s="15" t="n">
        <v>112</v>
      </c>
      <c r="CO1062" s="15" t="n">
        <v>112</v>
      </c>
      <c r="DK1062" s="15" t="n">
        <v>112</v>
      </c>
      <c r="EG1062" s="15" t="n">
        <v>112</v>
      </c>
      <c r="FC1062" s="15" t="n">
        <v>112</v>
      </c>
      <c r="FY1062" s="15" t="n">
        <v>112</v>
      </c>
      <c r="GU1062" s="15" t="n">
        <v>112</v>
      </c>
    </row>
    <row r="1063">
      <c r="C1063" s="15" t="n">
        <v>113</v>
      </c>
      <c r="AA1063" s="15" t="n">
        <v>113</v>
      </c>
      <c r="AW1063" s="15" t="n">
        <v>113</v>
      </c>
      <c r="BS1063" s="15" t="n">
        <v>113</v>
      </c>
      <c r="CO1063" s="15" t="n">
        <v>113</v>
      </c>
      <c r="DK1063" s="15" t="n">
        <v>113</v>
      </c>
      <c r="EG1063" s="15" t="n">
        <v>113</v>
      </c>
      <c r="FC1063" s="15" t="n">
        <v>113</v>
      </c>
      <c r="FY1063" s="15" t="n">
        <v>113</v>
      </c>
      <c r="GU1063" s="15" t="n">
        <v>113</v>
      </c>
    </row>
    <row r="1064">
      <c r="C1064" s="15" t="n">
        <v>114</v>
      </c>
      <c r="AA1064" s="15" t="n">
        <v>114</v>
      </c>
      <c r="AW1064" s="15" t="n">
        <v>114</v>
      </c>
      <c r="BS1064" s="15" t="n">
        <v>114</v>
      </c>
      <c r="CO1064" s="15" t="n">
        <v>114</v>
      </c>
      <c r="DK1064" s="15" t="n">
        <v>114</v>
      </c>
      <c r="EG1064" s="15" t="n">
        <v>114</v>
      </c>
      <c r="FC1064" s="15" t="n">
        <v>114</v>
      </c>
      <c r="FY1064" s="15" t="n">
        <v>114</v>
      </c>
      <c r="GU1064" s="15" t="n">
        <v>114</v>
      </c>
    </row>
    <row r="1065">
      <c r="C1065" s="15" t="n">
        <v>115</v>
      </c>
      <c r="AA1065" s="15" t="n">
        <v>115</v>
      </c>
      <c r="AW1065" s="15" t="n">
        <v>115</v>
      </c>
      <c r="BS1065" s="15" t="n">
        <v>115</v>
      </c>
      <c r="CO1065" s="15" t="n">
        <v>115</v>
      </c>
      <c r="DK1065" s="15" t="n">
        <v>115</v>
      </c>
      <c r="EG1065" s="15" t="n">
        <v>115</v>
      </c>
      <c r="FC1065" s="15" t="n">
        <v>115</v>
      </c>
      <c r="FY1065" s="15" t="n">
        <v>115</v>
      </c>
      <c r="GU1065" s="15" t="n">
        <v>115</v>
      </c>
    </row>
    <row r="1066">
      <c r="C1066" s="15" t="n">
        <v>116</v>
      </c>
      <c r="AA1066" s="15" t="n">
        <v>116</v>
      </c>
      <c r="AW1066" s="15" t="n">
        <v>116</v>
      </c>
      <c r="BS1066" s="15" t="n">
        <v>116</v>
      </c>
      <c r="CO1066" s="15" t="n">
        <v>116</v>
      </c>
      <c r="DK1066" s="15" t="n">
        <v>116</v>
      </c>
      <c r="EG1066" s="15" t="n">
        <v>116</v>
      </c>
      <c r="FC1066" s="15" t="n">
        <v>116</v>
      </c>
      <c r="FY1066" s="15" t="n">
        <v>116</v>
      </c>
      <c r="GU1066" s="15" t="n">
        <v>116</v>
      </c>
    </row>
    <row r="1067">
      <c r="C1067" s="15" t="n">
        <v>117</v>
      </c>
      <c r="AA1067" s="15" t="n">
        <v>117</v>
      </c>
      <c r="AW1067" s="15" t="n">
        <v>117</v>
      </c>
      <c r="BS1067" s="15" t="n">
        <v>117</v>
      </c>
      <c r="CO1067" s="15" t="n">
        <v>117</v>
      </c>
      <c r="DK1067" s="15" t="n">
        <v>117</v>
      </c>
      <c r="EG1067" s="15" t="n">
        <v>117</v>
      </c>
      <c r="FC1067" s="15" t="n">
        <v>117</v>
      </c>
      <c r="FY1067" s="15" t="n">
        <v>117</v>
      </c>
      <c r="GU1067" s="15" t="n">
        <v>117</v>
      </c>
    </row>
    <row r="1068">
      <c r="C1068" s="15" t="n">
        <v>118</v>
      </c>
      <c r="AA1068" s="15" t="n">
        <v>118</v>
      </c>
      <c r="AW1068" s="15" t="n">
        <v>118</v>
      </c>
      <c r="BS1068" s="15" t="n">
        <v>118</v>
      </c>
      <c r="CO1068" s="15" t="n">
        <v>118</v>
      </c>
      <c r="DK1068" s="15" t="n">
        <v>118</v>
      </c>
      <c r="EG1068" s="15" t="n">
        <v>118</v>
      </c>
      <c r="FC1068" s="15" t="n">
        <v>118</v>
      </c>
      <c r="FY1068" s="15" t="n">
        <v>118</v>
      </c>
      <c r="GU1068" s="15" t="n">
        <v>118</v>
      </c>
    </row>
    <row r="1069">
      <c r="C1069" s="15" t="n">
        <v>119</v>
      </c>
      <c r="AA1069" s="15" t="n">
        <v>119</v>
      </c>
      <c r="AW1069" s="15" t="n">
        <v>119</v>
      </c>
      <c r="BS1069" s="15" t="n">
        <v>119</v>
      </c>
      <c r="CO1069" s="15" t="n">
        <v>119</v>
      </c>
      <c r="DK1069" s="15" t="n">
        <v>119</v>
      </c>
      <c r="EG1069" s="15" t="n">
        <v>119</v>
      </c>
      <c r="FC1069" s="15" t="n">
        <v>119</v>
      </c>
      <c r="FY1069" s="15" t="n">
        <v>119</v>
      </c>
      <c r="GU1069" s="15" t="n">
        <v>119</v>
      </c>
    </row>
    <row r="1070">
      <c r="C1070" s="15" t="n">
        <v>120</v>
      </c>
      <c r="AA1070" s="15" t="n">
        <v>120</v>
      </c>
      <c r="AW1070" s="15" t="n">
        <v>120</v>
      </c>
      <c r="BS1070" s="15" t="n">
        <v>120</v>
      </c>
      <c r="CO1070" s="15" t="n">
        <v>120</v>
      </c>
      <c r="DK1070" s="15" t="n">
        <v>120</v>
      </c>
      <c r="EG1070" s="15" t="n">
        <v>120</v>
      </c>
      <c r="FC1070" s="15" t="n">
        <v>120</v>
      </c>
      <c r="FY1070" s="15" t="n">
        <v>120</v>
      </c>
      <c r="GU1070" s="15" t="n">
        <v>120</v>
      </c>
    </row>
    <row r="1071">
      <c r="C1071" s="15" t="n">
        <v>121</v>
      </c>
      <c r="AA1071" s="15" t="n">
        <v>121</v>
      </c>
      <c r="AW1071" s="15" t="n">
        <v>121</v>
      </c>
      <c r="BS1071" s="15" t="n">
        <v>121</v>
      </c>
      <c r="CO1071" s="15" t="n">
        <v>121</v>
      </c>
      <c r="DK1071" s="15" t="n">
        <v>121</v>
      </c>
      <c r="EG1071" s="15" t="n">
        <v>121</v>
      </c>
      <c r="FC1071" s="15" t="n">
        <v>121</v>
      </c>
      <c r="FY1071" s="15" t="n">
        <v>121</v>
      </c>
      <c r="GU1071" s="15" t="n">
        <v>121</v>
      </c>
    </row>
    <row r="1072">
      <c r="C1072" s="15" t="n">
        <v>122</v>
      </c>
      <c r="AA1072" s="15" t="n">
        <v>122</v>
      </c>
      <c r="AW1072" s="15" t="n">
        <v>122</v>
      </c>
      <c r="BS1072" s="15" t="n">
        <v>122</v>
      </c>
      <c r="CO1072" s="15" t="n">
        <v>122</v>
      </c>
      <c r="DK1072" s="15" t="n">
        <v>122</v>
      </c>
      <c r="EG1072" s="15" t="n">
        <v>122</v>
      </c>
      <c r="FC1072" s="15" t="n">
        <v>122</v>
      </c>
      <c r="FY1072" s="15" t="n">
        <v>122</v>
      </c>
      <c r="GU1072" s="15" t="n">
        <v>122</v>
      </c>
    </row>
    <row r="1073">
      <c r="C1073" s="15" t="n">
        <v>123</v>
      </c>
      <c r="AA1073" s="15" t="n">
        <v>123</v>
      </c>
      <c r="AW1073" s="15" t="n">
        <v>123</v>
      </c>
      <c r="BS1073" s="15" t="n">
        <v>123</v>
      </c>
      <c r="CO1073" s="15" t="n">
        <v>123</v>
      </c>
      <c r="DK1073" s="15" t="n">
        <v>123</v>
      </c>
      <c r="EG1073" s="15" t="n">
        <v>123</v>
      </c>
      <c r="FC1073" s="15" t="n">
        <v>123</v>
      </c>
      <c r="FY1073" s="15" t="n">
        <v>123</v>
      </c>
      <c r="GU1073" s="15" t="n">
        <v>123</v>
      </c>
    </row>
    <row r="1074">
      <c r="C1074" s="15" t="n">
        <v>124</v>
      </c>
      <c r="AA1074" s="15" t="n">
        <v>124</v>
      </c>
      <c r="AW1074" s="15" t="n">
        <v>124</v>
      </c>
      <c r="BS1074" s="15" t="n">
        <v>124</v>
      </c>
      <c r="CO1074" s="15" t="n">
        <v>124</v>
      </c>
      <c r="DK1074" s="15" t="n">
        <v>124</v>
      </c>
      <c r="EG1074" s="15" t="n">
        <v>124</v>
      </c>
      <c r="FC1074" s="15" t="n">
        <v>124</v>
      </c>
      <c r="FY1074" s="15" t="n">
        <v>124</v>
      </c>
      <c r="GU1074" s="15" t="n">
        <v>124</v>
      </c>
    </row>
    <row r="1075">
      <c r="C1075" s="15" t="n">
        <v>125</v>
      </c>
      <c r="AA1075" s="15" t="n">
        <v>125</v>
      </c>
      <c r="AW1075" s="15" t="n">
        <v>125</v>
      </c>
      <c r="BS1075" s="15" t="n">
        <v>125</v>
      </c>
      <c r="CO1075" s="15" t="n">
        <v>125</v>
      </c>
      <c r="DK1075" s="15" t="n">
        <v>125</v>
      </c>
      <c r="EG1075" s="15" t="n">
        <v>125</v>
      </c>
      <c r="FC1075" s="15" t="n">
        <v>125</v>
      </c>
      <c r="FY1075" s="15" t="n">
        <v>125</v>
      </c>
      <c r="GU1075" s="15" t="n">
        <v>125</v>
      </c>
    </row>
    <row r="1076">
      <c r="C1076" s="15" t="n">
        <v>126</v>
      </c>
      <c r="AA1076" s="15" t="n">
        <v>126</v>
      </c>
      <c r="AW1076" s="15" t="n">
        <v>126</v>
      </c>
      <c r="BS1076" s="15" t="n">
        <v>126</v>
      </c>
      <c r="CO1076" s="15" t="n">
        <v>126</v>
      </c>
      <c r="DK1076" s="15" t="n">
        <v>126</v>
      </c>
      <c r="EG1076" s="15" t="n">
        <v>126</v>
      </c>
      <c r="FC1076" s="15" t="n">
        <v>126</v>
      </c>
      <c r="FY1076" s="15" t="n">
        <v>126</v>
      </c>
      <c r="GU1076" s="15" t="n">
        <v>126</v>
      </c>
    </row>
    <row r="1077">
      <c r="C1077" s="15" t="n">
        <v>127</v>
      </c>
      <c r="AA1077" s="15" t="n">
        <v>127</v>
      </c>
      <c r="AW1077" s="15" t="n">
        <v>127</v>
      </c>
      <c r="BS1077" s="15" t="n">
        <v>127</v>
      </c>
      <c r="CO1077" s="15" t="n">
        <v>127</v>
      </c>
      <c r="DK1077" s="15" t="n">
        <v>127</v>
      </c>
      <c r="EG1077" s="15" t="n">
        <v>127</v>
      </c>
      <c r="FC1077" s="15" t="n">
        <v>127</v>
      </c>
      <c r="FY1077" s="15" t="n">
        <v>127</v>
      </c>
      <c r="GU1077" s="15" t="n">
        <v>127</v>
      </c>
    </row>
    <row r="1078">
      <c r="C1078" s="15" t="n">
        <v>128</v>
      </c>
      <c r="AA1078" s="15" t="n">
        <v>128</v>
      </c>
      <c r="AW1078" s="15" t="n">
        <v>128</v>
      </c>
      <c r="BS1078" s="15" t="n">
        <v>128</v>
      </c>
      <c r="CO1078" s="15" t="n">
        <v>128</v>
      </c>
      <c r="DK1078" s="15" t="n">
        <v>128</v>
      </c>
      <c r="EG1078" s="15" t="n">
        <v>128</v>
      </c>
      <c r="FC1078" s="15" t="n">
        <v>128</v>
      </c>
      <c r="FY1078" s="15" t="n">
        <v>128</v>
      </c>
      <c r="GU1078" s="15" t="n">
        <v>128</v>
      </c>
    </row>
    <row r="1079">
      <c r="C1079" s="15" t="n">
        <v>129</v>
      </c>
      <c r="AA1079" s="15" t="n">
        <v>129</v>
      </c>
      <c r="AW1079" s="15" t="n">
        <v>129</v>
      </c>
      <c r="BS1079" s="15" t="n">
        <v>129</v>
      </c>
      <c r="CO1079" s="15" t="n">
        <v>129</v>
      </c>
      <c r="DK1079" s="15" t="n">
        <v>129</v>
      </c>
      <c r="EG1079" s="15" t="n">
        <v>129</v>
      </c>
      <c r="FC1079" s="15" t="n">
        <v>129</v>
      </c>
      <c r="FY1079" s="15" t="n">
        <v>129</v>
      </c>
      <c r="GU1079" s="15" t="n">
        <v>129</v>
      </c>
    </row>
    <row r="1080">
      <c r="C1080" s="15" t="n">
        <v>130</v>
      </c>
      <c r="AA1080" s="15" t="n">
        <v>130</v>
      </c>
      <c r="AW1080" s="15" t="n">
        <v>130</v>
      </c>
      <c r="BS1080" s="15" t="n">
        <v>130</v>
      </c>
      <c r="CO1080" s="15" t="n">
        <v>130</v>
      </c>
      <c r="DK1080" s="15" t="n">
        <v>130</v>
      </c>
      <c r="EG1080" s="15" t="n">
        <v>130</v>
      </c>
      <c r="FC1080" s="15" t="n">
        <v>130</v>
      </c>
      <c r="FY1080" s="15" t="n">
        <v>130</v>
      </c>
      <c r="GU1080" s="15" t="n">
        <v>130</v>
      </c>
    </row>
    <row r="1081">
      <c r="C1081" s="15" t="n">
        <v>131</v>
      </c>
      <c r="AA1081" s="15" t="n">
        <v>131</v>
      </c>
      <c r="AW1081" s="15" t="n">
        <v>131</v>
      </c>
      <c r="BS1081" s="15" t="n">
        <v>131</v>
      </c>
      <c r="CO1081" s="15" t="n">
        <v>131</v>
      </c>
      <c r="DK1081" s="15" t="n">
        <v>131</v>
      </c>
      <c r="EG1081" s="15" t="n">
        <v>131</v>
      </c>
      <c r="FC1081" s="15" t="n">
        <v>131</v>
      </c>
      <c r="FY1081" s="15" t="n">
        <v>131</v>
      </c>
      <c r="GU1081" s="15" t="n">
        <v>131</v>
      </c>
    </row>
    <row r="1082">
      <c r="C1082" s="15" t="n">
        <v>132</v>
      </c>
      <c r="AA1082" s="15" t="n">
        <v>132</v>
      </c>
      <c r="AW1082" s="15" t="n">
        <v>132</v>
      </c>
      <c r="BS1082" s="15" t="n">
        <v>132</v>
      </c>
      <c r="CO1082" s="15" t="n">
        <v>132</v>
      </c>
      <c r="DK1082" s="15" t="n">
        <v>132</v>
      </c>
      <c r="EG1082" s="15" t="n">
        <v>132</v>
      </c>
      <c r="FC1082" s="15" t="n">
        <v>132</v>
      </c>
      <c r="FY1082" s="15" t="n">
        <v>132</v>
      </c>
      <c r="GU1082" s="15" t="n">
        <v>132</v>
      </c>
    </row>
    <row r="1083">
      <c r="C1083" s="15" t="n">
        <v>133</v>
      </c>
      <c r="AA1083" s="15" t="n">
        <v>133</v>
      </c>
      <c r="AW1083" s="15" t="n">
        <v>133</v>
      </c>
      <c r="BS1083" s="15" t="n">
        <v>133</v>
      </c>
      <c r="CO1083" s="15" t="n">
        <v>133</v>
      </c>
      <c r="DK1083" s="15" t="n">
        <v>133</v>
      </c>
      <c r="EG1083" s="15" t="n">
        <v>133</v>
      </c>
      <c r="FC1083" s="15" t="n">
        <v>133</v>
      </c>
      <c r="FY1083" s="15" t="n">
        <v>133</v>
      </c>
      <c r="GU1083" s="15" t="n">
        <v>133</v>
      </c>
    </row>
    <row r="1084">
      <c r="C1084" s="15" t="n">
        <v>134</v>
      </c>
      <c r="AA1084" s="15" t="n">
        <v>134</v>
      </c>
      <c r="AW1084" s="15" t="n">
        <v>134</v>
      </c>
      <c r="BS1084" s="15" t="n">
        <v>134</v>
      </c>
      <c r="CO1084" s="15" t="n">
        <v>134</v>
      </c>
      <c r="DK1084" s="15" t="n">
        <v>134</v>
      </c>
      <c r="EG1084" s="15" t="n">
        <v>134</v>
      </c>
      <c r="FC1084" s="15" t="n">
        <v>134</v>
      </c>
      <c r="FY1084" s="15" t="n">
        <v>134</v>
      </c>
      <c r="GU1084" s="15" t="n">
        <v>134</v>
      </c>
    </row>
    <row r="1085">
      <c r="C1085" s="15" t="n">
        <v>135</v>
      </c>
      <c r="AA1085" s="15" t="n">
        <v>135</v>
      </c>
      <c r="AW1085" s="15" t="n">
        <v>135</v>
      </c>
      <c r="BS1085" s="15" t="n">
        <v>135</v>
      </c>
      <c r="CO1085" s="15" t="n">
        <v>135</v>
      </c>
      <c r="DK1085" s="15" t="n">
        <v>135</v>
      </c>
      <c r="EG1085" s="15" t="n">
        <v>135</v>
      </c>
      <c r="FC1085" s="15" t="n">
        <v>135</v>
      </c>
      <c r="FY1085" s="15" t="n">
        <v>135</v>
      </c>
      <c r="GU1085" s="15" t="n">
        <v>135</v>
      </c>
    </row>
    <row r="1086">
      <c r="C1086" s="15" t="n">
        <v>136</v>
      </c>
      <c r="AA1086" s="15" t="n">
        <v>136</v>
      </c>
      <c r="AW1086" s="15" t="n">
        <v>136</v>
      </c>
      <c r="BS1086" s="15" t="n">
        <v>136</v>
      </c>
      <c r="CO1086" s="15" t="n">
        <v>136</v>
      </c>
      <c r="DK1086" s="15" t="n">
        <v>136</v>
      </c>
      <c r="EG1086" s="15" t="n">
        <v>136</v>
      </c>
      <c r="FC1086" s="15" t="n">
        <v>136</v>
      </c>
      <c r="FY1086" s="15" t="n">
        <v>136</v>
      </c>
      <c r="GU1086" s="15" t="n">
        <v>136</v>
      </c>
    </row>
    <row r="1087">
      <c r="C1087" s="15" t="n">
        <v>137</v>
      </c>
      <c r="AA1087" s="15" t="n">
        <v>137</v>
      </c>
      <c r="AW1087" s="15" t="n">
        <v>137</v>
      </c>
      <c r="BS1087" s="15" t="n">
        <v>137</v>
      </c>
      <c r="CO1087" s="15" t="n">
        <v>137</v>
      </c>
      <c r="DK1087" s="15" t="n">
        <v>137</v>
      </c>
      <c r="EG1087" s="15" t="n">
        <v>137</v>
      </c>
      <c r="FC1087" s="15" t="n">
        <v>137</v>
      </c>
      <c r="FY1087" s="15" t="n">
        <v>137</v>
      </c>
      <c r="GU1087" s="15" t="n">
        <v>137</v>
      </c>
    </row>
    <row r="1088">
      <c r="C1088" s="15" t="n">
        <v>138</v>
      </c>
      <c r="AA1088" s="15" t="n">
        <v>138</v>
      </c>
      <c r="AW1088" s="15" t="n">
        <v>138</v>
      </c>
      <c r="BS1088" s="15" t="n">
        <v>138</v>
      </c>
      <c r="CO1088" s="15" t="n">
        <v>138</v>
      </c>
      <c r="DK1088" s="15" t="n">
        <v>138</v>
      </c>
      <c r="EG1088" s="15" t="n">
        <v>138</v>
      </c>
      <c r="FC1088" s="15" t="n">
        <v>138</v>
      </c>
      <c r="FY1088" s="15" t="n">
        <v>138</v>
      </c>
      <c r="GU1088" s="15" t="n">
        <v>138</v>
      </c>
    </row>
    <row r="1089">
      <c r="C1089" s="15" t="n">
        <v>139</v>
      </c>
      <c r="AA1089" s="15" t="n">
        <v>139</v>
      </c>
      <c r="AW1089" s="15" t="n">
        <v>139</v>
      </c>
      <c r="BS1089" s="15" t="n">
        <v>139</v>
      </c>
      <c r="CO1089" s="15" t="n">
        <v>139</v>
      </c>
      <c r="DK1089" s="15" t="n">
        <v>139</v>
      </c>
      <c r="EG1089" s="15" t="n">
        <v>139</v>
      </c>
      <c r="FC1089" s="15" t="n">
        <v>139</v>
      </c>
      <c r="FY1089" s="15" t="n">
        <v>139</v>
      </c>
      <c r="GU1089" s="15" t="n">
        <v>139</v>
      </c>
    </row>
    <row r="1090">
      <c r="C1090" s="15" t="n">
        <v>140</v>
      </c>
      <c r="AA1090" s="15" t="n">
        <v>140</v>
      </c>
      <c r="AW1090" s="15" t="n">
        <v>140</v>
      </c>
      <c r="BS1090" s="15" t="n">
        <v>140</v>
      </c>
      <c r="CO1090" s="15" t="n">
        <v>140</v>
      </c>
      <c r="DK1090" s="15" t="n">
        <v>140</v>
      </c>
      <c r="EG1090" s="15" t="n">
        <v>140</v>
      </c>
      <c r="FC1090" s="15" t="n">
        <v>140</v>
      </c>
      <c r="FY1090" s="15" t="n">
        <v>140</v>
      </c>
      <c r="GU1090" s="15" t="n">
        <v>140</v>
      </c>
    </row>
    <row r="1091">
      <c r="C1091" s="15" t="n">
        <v>141</v>
      </c>
      <c r="AA1091" s="15" t="n">
        <v>141</v>
      </c>
      <c r="AW1091" s="15" t="n">
        <v>141</v>
      </c>
      <c r="BS1091" s="15" t="n">
        <v>141</v>
      </c>
      <c r="CO1091" s="15" t="n">
        <v>141</v>
      </c>
      <c r="DK1091" s="15" t="n">
        <v>141</v>
      </c>
      <c r="EG1091" s="15" t="n">
        <v>141</v>
      </c>
      <c r="FC1091" s="15" t="n">
        <v>141</v>
      </c>
      <c r="FY1091" s="15" t="n">
        <v>141</v>
      </c>
      <c r="GU1091" s="15" t="n">
        <v>141</v>
      </c>
    </row>
    <row r="1092">
      <c r="C1092" s="15" t="n">
        <v>142</v>
      </c>
      <c r="AA1092" s="15" t="n">
        <v>142</v>
      </c>
      <c r="AW1092" s="15" t="n">
        <v>142</v>
      </c>
      <c r="BS1092" s="15" t="n">
        <v>142</v>
      </c>
      <c r="CO1092" s="15" t="n">
        <v>142</v>
      </c>
      <c r="DK1092" s="15" t="n">
        <v>142</v>
      </c>
      <c r="EG1092" s="15" t="n">
        <v>142</v>
      </c>
      <c r="FC1092" s="15" t="n">
        <v>142</v>
      </c>
      <c r="FY1092" s="15" t="n">
        <v>142</v>
      </c>
      <c r="GU1092" s="15" t="n">
        <v>142</v>
      </c>
    </row>
    <row r="1093">
      <c r="C1093" s="15" t="n">
        <v>143</v>
      </c>
      <c r="AA1093" s="15" t="n">
        <v>143</v>
      </c>
      <c r="AW1093" s="15" t="n">
        <v>143</v>
      </c>
      <c r="BS1093" s="15" t="n">
        <v>143</v>
      </c>
      <c r="CO1093" s="15" t="n">
        <v>143</v>
      </c>
      <c r="DK1093" s="15" t="n">
        <v>143</v>
      </c>
      <c r="EG1093" s="15" t="n">
        <v>143</v>
      </c>
      <c r="FC1093" s="15" t="n">
        <v>143</v>
      </c>
      <c r="FY1093" s="15" t="n">
        <v>143</v>
      </c>
      <c r="GU1093" s="15" t="n">
        <v>143</v>
      </c>
    </row>
    <row r="1094">
      <c r="C1094" s="15" t="n">
        <v>144</v>
      </c>
      <c r="AA1094" s="15" t="n">
        <v>144</v>
      </c>
      <c r="AW1094" s="15" t="n">
        <v>144</v>
      </c>
      <c r="BS1094" s="15" t="n">
        <v>144</v>
      </c>
      <c r="CO1094" s="15" t="n">
        <v>144</v>
      </c>
      <c r="DK1094" s="15" t="n">
        <v>144</v>
      </c>
      <c r="EG1094" s="15" t="n">
        <v>144</v>
      </c>
      <c r="FC1094" s="15" t="n">
        <v>144</v>
      </c>
      <c r="FY1094" s="15" t="n">
        <v>144</v>
      </c>
      <c r="GU1094" s="15" t="n">
        <v>144</v>
      </c>
    </row>
    <row r="1095">
      <c r="C1095" s="15" t="n">
        <v>145</v>
      </c>
      <c r="AA1095" s="15" t="n">
        <v>145</v>
      </c>
      <c r="AW1095" s="15" t="n">
        <v>145</v>
      </c>
      <c r="BS1095" s="15" t="n">
        <v>145</v>
      </c>
      <c r="CO1095" s="15" t="n">
        <v>145</v>
      </c>
      <c r="DK1095" s="15" t="n">
        <v>145</v>
      </c>
      <c r="EG1095" s="15" t="n">
        <v>145</v>
      </c>
      <c r="FC1095" s="15" t="n">
        <v>145</v>
      </c>
      <c r="FY1095" s="15" t="n">
        <v>145</v>
      </c>
      <c r="GU1095" s="15" t="n">
        <v>145</v>
      </c>
    </row>
    <row r="1096">
      <c r="C1096" s="15" t="n">
        <v>146</v>
      </c>
      <c r="AA1096" s="15" t="n">
        <v>146</v>
      </c>
      <c r="AW1096" s="15" t="n">
        <v>146</v>
      </c>
      <c r="BS1096" s="15" t="n">
        <v>146</v>
      </c>
      <c r="CO1096" s="15" t="n">
        <v>146</v>
      </c>
      <c r="DK1096" s="15" t="n">
        <v>146</v>
      </c>
      <c r="EG1096" s="15" t="n">
        <v>146</v>
      </c>
      <c r="FC1096" s="15" t="n">
        <v>146</v>
      </c>
      <c r="FY1096" s="15" t="n">
        <v>146</v>
      </c>
      <c r="GU1096" s="15" t="n">
        <v>146</v>
      </c>
    </row>
    <row r="1097">
      <c r="C1097" s="15" t="n">
        <v>147</v>
      </c>
      <c r="AA1097" s="15" t="n">
        <v>147</v>
      </c>
      <c r="AW1097" s="15" t="n">
        <v>147</v>
      </c>
      <c r="BS1097" s="15" t="n">
        <v>147</v>
      </c>
      <c r="CO1097" s="15" t="n">
        <v>147</v>
      </c>
      <c r="DK1097" s="15" t="n">
        <v>147</v>
      </c>
      <c r="EG1097" s="15" t="n">
        <v>147</v>
      </c>
      <c r="FC1097" s="15" t="n">
        <v>147</v>
      </c>
      <c r="FY1097" s="15" t="n">
        <v>147</v>
      </c>
      <c r="GU1097" s="15" t="n">
        <v>147</v>
      </c>
    </row>
    <row r="1098">
      <c r="C1098" s="15" t="n">
        <v>148</v>
      </c>
      <c r="AA1098" s="15" t="n">
        <v>148</v>
      </c>
      <c r="AW1098" s="15" t="n">
        <v>148</v>
      </c>
      <c r="BS1098" s="15" t="n">
        <v>148</v>
      </c>
      <c r="CO1098" s="15" t="n">
        <v>148</v>
      </c>
      <c r="DK1098" s="15" t="n">
        <v>148</v>
      </c>
      <c r="EG1098" s="15" t="n">
        <v>148</v>
      </c>
      <c r="FC1098" s="15" t="n">
        <v>148</v>
      </c>
      <c r="FY1098" s="15" t="n">
        <v>148</v>
      </c>
      <c r="GU1098" s="15" t="n">
        <v>148</v>
      </c>
    </row>
    <row r="1099">
      <c r="C1099" s="15" t="n">
        <v>149</v>
      </c>
      <c r="AA1099" s="15" t="n">
        <v>149</v>
      </c>
      <c r="AW1099" s="15" t="n">
        <v>149</v>
      </c>
      <c r="BS1099" s="15" t="n">
        <v>149</v>
      </c>
      <c r="CO1099" s="15" t="n">
        <v>149</v>
      </c>
      <c r="DK1099" s="15" t="n">
        <v>149</v>
      </c>
      <c r="EG1099" s="15" t="n">
        <v>149</v>
      </c>
      <c r="FC1099" s="15" t="n">
        <v>149</v>
      </c>
      <c r="FY1099" s="15" t="n">
        <v>149</v>
      </c>
      <c r="GU1099" s="15" t="n">
        <v>149</v>
      </c>
    </row>
    <row r="1100">
      <c r="C1100" s="15" t="n">
        <v>150</v>
      </c>
      <c r="AA1100" s="15" t="n">
        <v>150</v>
      </c>
      <c r="AW1100" s="15" t="n">
        <v>150</v>
      </c>
      <c r="BS1100" s="15" t="n">
        <v>150</v>
      </c>
      <c r="CO1100" s="15" t="n">
        <v>150</v>
      </c>
      <c r="DK1100" s="15" t="n">
        <v>150</v>
      </c>
      <c r="EG1100" s="15" t="n">
        <v>150</v>
      </c>
      <c r="FC1100" s="15" t="n">
        <v>150</v>
      </c>
      <c r="FY1100" s="15" t="n">
        <v>150</v>
      </c>
      <c r="GU1100" s="15" t="n">
        <v>150</v>
      </c>
    </row>
    <row r="1101">
      <c r="C1101" s="15" t="n">
        <v>151</v>
      </c>
      <c r="AA1101" s="15" t="n">
        <v>151</v>
      </c>
      <c r="AW1101" s="15" t="n">
        <v>151</v>
      </c>
      <c r="BS1101" s="15" t="n">
        <v>151</v>
      </c>
      <c r="CO1101" s="15" t="n">
        <v>151</v>
      </c>
      <c r="DK1101" s="15" t="n">
        <v>151</v>
      </c>
      <c r="EG1101" s="15" t="n">
        <v>151</v>
      </c>
      <c r="FC1101" s="15" t="n">
        <v>151</v>
      </c>
      <c r="FY1101" s="15" t="n">
        <v>151</v>
      </c>
      <c r="GU1101" s="15" t="n">
        <v>151</v>
      </c>
    </row>
    <row r="1102">
      <c r="C1102" s="15" t="n">
        <v>152</v>
      </c>
      <c r="AA1102" s="15" t="n">
        <v>152</v>
      </c>
      <c r="AW1102" s="15" t="n">
        <v>152</v>
      </c>
      <c r="BS1102" s="15" t="n">
        <v>152</v>
      </c>
      <c r="CO1102" s="15" t="n">
        <v>152</v>
      </c>
      <c r="DK1102" s="15" t="n">
        <v>152</v>
      </c>
      <c r="EG1102" s="15" t="n">
        <v>152</v>
      </c>
      <c r="FC1102" s="15" t="n">
        <v>152</v>
      </c>
      <c r="FY1102" s="15" t="n">
        <v>152</v>
      </c>
      <c r="GU1102" s="15" t="n">
        <v>152</v>
      </c>
    </row>
    <row r="1103">
      <c r="C1103" s="15" t="n">
        <v>153</v>
      </c>
      <c r="AA1103" s="15" t="n">
        <v>153</v>
      </c>
      <c r="AW1103" s="15" t="n">
        <v>153</v>
      </c>
      <c r="BS1103" s="15" t="n">
        <v>153</v>
      </c>
      <c r="CO1103" s="15" t="n">
        <v>153</v>
      </c>
      <c r="DK1103" s="15" t="n">
        <v>153</v>
      </c>
      <c r="EG1103" s="15" t="n">
        <v>153</v>
      </c>
      <c r="FC1103" s="15" t="n">
        <v>153</v>
      </c>
      <c r="FY1103" s="15" t="n">
        <v>153</v>
      </c>
      <c r="GU1103" s="15" t="n">
        <v>153</v>
      </c>
    </row>
    <row r="1104">
      <c r="C1104" s="15" t="n">
        <v>154</v>
      </c>
      <c r="AA1104" s="15" t="n">
        <v>154</v>
      </c>
      <c r="AW1104" s="15" t="n">
        <v>154</v>
      </c>
      <c r="BS1104" s="15" t="n">
        <v>154</v>
      </c>
      <c r="CO1104" s="15" t="n">
        <v>154</v>
      </c>
      <c r="DK1104" s="15" t="n">
        <v>154</v>
      </c>
      <c r="EG1104" s="15" t="n">
        <v>154</v>
      </c>
      <c r="FC1104" s="15" t="n">
        <v>154</v>
      </c>
      <c r="FY1104" s="15" t="n">
        <v>154</v>
      </c>
      <c r="GU1104" s="15" t="n">
        <v>154</v>
      </c>
    </row>
    <row r="1105">
      <c r="C1105" s="15" t="n">
        <v>155</v>
      </c>
      <c r="AA1105" s="15" t="n">
        <v>155</v>
      </c>
      <c r="AW1105" s="15" t="n">
        <v>155</v>
      </c>
      <c r="BS1105" s="15" t="n">
        <v>155</v>
      </c>
      <c r="CO1105" s="15" t="n">
        <v>155</v>
      </c>
      <c r="DK1105" s="15" t="n">
        <v>155</v>
      </c>
      <c r="EG1105" s="15" t="n">
        <v>155</v>
      </c>
      <c r="FC1105" s="15" t="n">
        <v>155</v>
      </c>
      <c r="FY1105" s="15" t="n">
        <v>155</v>
      </c>
      <c r="GU1105" s="15" t="n">
        <v>155</v>
      </c>
    </row>
    <row r="1106">
      <c r="C1106" s="15" t="n">
        <v>156</v>
      </c>
      <c r="AA1106" s="15" t="n">
        <v>156</v>
      </c>
      <c r="AW1106" s="15" t="n">
        <v>156</v>
      </c>
      <c r="BS1106" s="15" t="n">
        <v>156</v>
      </c>
      <c r="CO1106" s="15" t="n">
        <v>156</v>
      </c>
      <c r="DK1106" s="15" t="n">
        <v>156</v>
      </c>
      <c r="EG1106" s="15" t="n">
        <v>156</v>
      </c>
      <c r="FC1106" s="15" t="n">
        <v>156</v>
      </c>
      <c r="FY1106" s="15" t="n">
        <v>156</v>
      </c>
      <c r="GU1106" s="15" t="n">
        <v>156</v>
      </c>
    </row>
    <row r="1107">
      <c r="C1107" s="15" t="n">
        <v>157</v>
      </c>
      <c r="AA1107" s="15" t="n">
        <v>157</v>
      </c>
      <c r="AW1107" s="15" t="n">
        <v>157</v>
      </c>
      <c r="BS1107" s="15" t="n">
        <v>157</v>
      </c>
      <c r="CO1107" s="15" t="n">
        <v>157</v>
      </c>
      <c r="DK1107" s="15" t="n">
        <v>157</v>
      </c>
      <c r="EG1107" s="15" t="n">
        <v>157</v>
      </c>
      <c r="FC1107" s="15" t="n">
        <v>157</v>
      </c>
      <c r="FY1107" s="15" t="n">
        <v>157</v>
      </c>
      <c r="GU1107" s="15" t="n">
        <v>157</v>
      </c>
    </row>
    <row r="1108">
      <c r="C1108" s="15" t="n">
        <v>158</v>
      </c>
      <c r="AA1108" s="15" t="n">
        <v>158</v>
      </c>
      <c r="AW1108" s="15" t="n">
        <v>158</v>
      </c>
      <c r="BS1108" s="15" t="n">
        <v>158</v>
      </c>
      <c r="CO1108" s="15" t="n">
        <v>158</v>
      </c>
      <c r="DK1108" s="15" t="n">
        <v>158</v>
      </c>
      <c r="EG1108" s="15" t="n">
        <v>158</v>
      </c>
      <c r="FC1108" s="15" t="n">
        <v>158</v>
      </c>
      <c r="FY1108" s="15" t="n">
        <v>158</v>
      </c>
      <c r="GU1108" s="15" t="n">
        <v>158</v>
      </c>
    </row>
    <row r="1109">
      <c r="C1109" s="15" t="n">
        <v>159</v>
      </c>
      <c r="AA1109" s="15" t="n">
        <v>159</v>
      </c>
      <c r="AW1109" s="15" t="n">
        <v>159</v>
      </c>
      <c r="BS1109" s="15" t="n">
        <v>159</v>
      </c>
      <c r="CO1109" s="15" t="n">
        <v>159</v>
      </c>
      <c r="DK1109" s="15" t="n">
        <v>159</v>
      </c>
      <c r="EG1109" s="15" t="n">
        <v>159</v>
      </c>
      <c r="FC1109" s="15" t="n">
        <v>159</v>
      </c>
      <c r="FY1109" s="15" t="n">
        <v>159</v>
      </c>
      <c r="GU1109" s="15" t="n">
        <v>159</v>
      </c>
    </row>
    <row r="1110">
      <c r="C1110" s="15" t="n">
        <v>160</v>
      </c>
      <c r="AA1110" s="15" t="n">
        <v>160</v>
      </c>
      <c r="AW1110" s="15" t="n">
        <v>160</v>
      </c>
      <c r="BS1110" s="15" t="n">
        <v>160</v>
      </c>
      <c r="CO1110" s="15" t="n">
        <v>160</v>
      </c>
      <c r="DK1110" s="15" t="n">
        <v>160</v>
      </c>
      <c r="EG1110" s="15" t="n">
        <v>160</v>
      </c>
      <c r="FC1110" s="15" t="n">
        <v>160</v>
      </c>
      <c r="FY1110" s="15" t="n">
        <v>160</v>
      </c>
      <c r="GU1110" s="15" t="n">
        <v>160</v>
      </c>
    </row>
    <row r="1111">
      <c r="C1111" s="15" t="n">
        <v>161</v>
      </c>
      <c r="AA1111" s="15" t="n">
        <v>161</v>
      </c>
      <c r="AW1111" s="15" t="n">
        <v>161</v>
      </c>
      <c r="BS1111" s="15" t="n">
        <v>161</v>
      </c>
      <c r="CO1111" s="15" t="n">
        <v>161</v>
      </c>
      <c r="DK1111" s="15" t="n">
        <v>161</v>
      </c>
      <c r="EG1111" s="15" t="n">
        <v>161</v>
      </c>
      <c r="FC1111" s="15" t="n">
        <v>161</v>
      </c>
      <c r="FY1111" s="15" t="n">
        <v>161</v>
      </c>
      <c r="GU1111" s="15" t="n">
        <v>161</v>
      </c>
    </row>
    <row r="1112">
      <c r="C1112" s="15" t="n">
        <v>162</v>
      </c>
      <c r="AA1112" s="15" t="n">
        <v>162</v>
      </c>
      <c r="AW1112" s="15" t="n">
        <v>162</v>
      </c>
      <c r="BS1112" s="15" t="n">
        <v>162</v>
      </c>
      <c r="CO1112" s="15" t="n">
        <v>162</v>
      </c>
      <c r="DK1112" s="15" t="n">
        <v>162</v>
      </c>
      <c r="EG1112" s="15" t="n">
        <v>162</v>
      </c>
      <c r="FC1112" s="15" t="n">
        <v>162</v>
      </c>
      <c r="FY1112" s="15" t="n">
        <v>162</v>
      </c>
      <c r="GU1112" s="15" t="n">
        <v>162</v>
      </c>
    </row>
    <row r="1113">
      <c r="C1113" s="15" t="n">
        <v>163</v>
      </c>
      <c r="AA1113" s="15" t="n">
        <v>163</v>
      </c>
      <c r="AW1113" s="15" t="n">
        <v>163</v>
      </c>
      <c r="BS1113" s="15" t="n">
        <v>163</v>
      </c>
      <c r="CO1113" s="15" t="n">
        <v>163</v>
      </c>
      <c r="DK1113" s="15" t="n">
        <v>163</v>
      </c>
      <c r="EG1113" s="15" t="n">
        <v>163</v>
      </c>
      <c r="FC1113" s="15" t="n">
        <v>163</v>
      </c>
      <c r="FY1113" s="15" t="n">
        <v>163</v>
      </c>
      <c r="GU1113" s="15" t="n">
        <v>163</v>
      </c>
    </row>
    <row r="1114">
      <c r="C1114" s="15" t="n">
        <v>164</v>
      </c>
      <c r="AA1114" s="15" t="n">
        <v>164</v>
      </c>
      <c r="AW1114" s="15" t="n">
        <v>164</v>
      </c>
      <c r="BS1114" s="15" t="n">
        <v>164</v>
      </c>
      <c r="CO1114" s="15" t="n">
        <v>164</v>
      </c>
      <c r="DK1114" s="15" t="n">
        <v>164</v>
      </c>
      <c r="EG1114" s="15" t="n">
        <v>164</v>
      </c>
      <c r="FC1114" s="15" t="n">
        <v>164</v>
      </c>
      <c r="FY1114" s="15" t="n">
        <v>164</v>
      </c>
      <c r="GU1114" s="15" t="n">
        <v>164</v>
      </c>
    </row>
    <row r="1115">
      <c r="C1115" s="15" t="n">
        <v>165</v>
      </c>
      <c r="AA1115" s="15" t="n">
        <v>165</v>
      </c>
      <c r="AW1115" s="15" t="n">
        <v>165</v>
      </c>
      <c r="BS1115" s="15" t="n">
        <v>165</v>
      </c>
      <c r="CO1115" s="15" t="n">
        <v>165</v>
      </c>
      <c r="DK1115" s="15" t="n">
        <v>165</v>
      </c>
      <c r="EG1115" s="15" t="n">
        <v>165</v>
      </c>
      <c r="FC1115" s="15" t="n">
        <v>165</v>
      </c>
      <c r="FY1115" s="15" t="n">
        <v>165</v>
      </c>
      <c r="GU1115" s="15" t="n">
        <v>165</v>
      </c>
    </row>
    <row r="1116">
      <c r="C1116" s="15" t="n">
        <v>166</v>
      </c>
      <c r="AA1116" s="15" t="n">
        <v>166</v>
      </c>
      <c r="AW1116" s="15" t="n">
        <v>166</v>
      </c>
      <c r="BS1116" s="15" t="n">
        <v>166</v>
      </c>
      <c r="CO1116" s="15" t="n">
        <v>166</v>
      </c>
      <c r="DK1116" s="15" t="n">
        <v>166</v>
      </c>
      <c r="EG1116" s="15" t="n">
        <v>166</v>
      </c>
      <c r="FC1116" s="15" t="n">
        <v>166</v>
      </c>
      <c r="FY1116" s="15" t="n">
        <v>166</v>
      </c>
      <c r="GU1116" s="15" t="n">
        <v>166</v>
      </c>
    </row>
    <row r="1117">
      <c r="C1117" s="15" t="n">
        <v>167</v>
      </c>
      <c r="AA1117" s="15" t="n">
        <v>167</v>
      </c>
      <c r="AW1117" s="15" t="n">
        <v>167</v>
      </c>
      <c r="BS1117" s="15" t="n">
        <v>167</v>
      </c>
      <c r="CO1117" s="15" t="n">
        <v>167</v>
      </c>
      <c r="DK1117" s="15" t="n">
        <v>167</v>
      </c>
      <c r="EG1117" s="15" t="n">
        <v>167</v>
      </c>
      <c r="FC1117" s="15" t="n">
        <v>167</v>
      </c>
      <c r="FY1117" s="15" t="n">
        <v>167</v>
      </c>
      <c r="GU1117" s="15" t="n">
        <v>167</v>
      </c>
    </row>
    <row r="1118">
      <c r="C1118" s="15" t="n">
        <v>168</v>
      </c>
      <c r="AA1118" s="15" t="n">
        <v>168</v>
      </c>
      <c r="AW1118" s="15" t="n">
        <v>168</v>
      </c>
      <c r="BS1118" s="15" t="n">
        <v>168</v>
      </c>
      <c r="CO1118" s="15" t="n">
        <v>168</v>
      </c>
      <c r="DK1118" s="15" t="n">
        <v>168</v>
      </c>
      <c r="EG1118" s="15" t="n">
        <v>168</v>
      </c>
      <c r="FC1118" s="15" t="n">
        <v>168</v>
      </c>
      <c r="FY1118" s="15" t="n">
        <v>168</v>
      </c>
      <c r="GU1118" s="15" t="n">
        <v>168</v>
      </c>
    </row>
    <row r="1119">
      <c r="C1119" s="15" t="n">
        <v>169</v>
      </c>
      <c r="AA1119" s="15" t="n">
        <v>169</v>
      </c>
      <c r="AW1119" s="15" t="n">
        <v>169</v>
      </c>
      <c r="BS1119" s="15" t="n">
        <v>169</v>
      </c>
      <c r="CO1119" s="15" t="n">
        <v>169</v>
      </c>
      <c r="DK1119" s="15" t="n">
        <v>169</v>
      </c>
      <c r="EG1119" s="15" t="n">
        <v>169</v>
      </c>
      <c r="FC1119" s="15" t="n">
        <v>169</v>
      </c>
      <c r="FY1119" s="15" t="n">
        <v>169</v>
      </c>
      <c r="GU1119" s="15" t="n">
        <v>169</v>
      </c>
    </row>
    <row r="1120">
      <c r="C1120" s="15" t="n">
        <v>170</v>
      </c>
      <c r="AA1120" s="15" t="n">
        <v>170</v>
      </c>
      <c r="AW1120" s="15" t="n">
        <v>170</v>
      </c>
      <c r="BS1120" s="15" t="n">
        <v>170</v>
      </c>
      <c r="CO1120" s="15" t="n">
        <v>170</v>
      </c>
      <c r="DK1120" s="15" t="n">
        <v>170</v>
      </c>
      <c r="EG1120" s="15" t="n">
        <v>170</v>
      </c>
      <c r="FC1120" s="15" t="n">
        <v>170</v>
      </c>
      <c r="FY1120" s="15" t="n">
        <v>170</v>
      </c>
      <c r="GU1120" s="15" t="n">
        <v>170</v>
      </c>
    </row>
    <row r="1121">
      <c r="C1121" s="15" t="n">
        <v>171</v>
      </c>
      <c r="AA1121" s="15" t="n">
        <v>171</v>
      </c>
      <c r="AW1121" s="15" t="n">
        <v>171</v>
      </c>
      <c r="BS1121" s="15" t="n">
        <v>171</v>
      </c>
      <c r="CO1121" s="15" t="n">
        <v>171</v>
      </c>
      <c r="DK1121" s="15" t="n">
        <v>171</v>
      </c>
      <c r="EG1121" s="15" t="n">
        <v>171</v>
      </c>
      <c r="FC1121" s="15" t="n">
        <v>171</v>
      </c>
      <c r="FY1121" s="15" t="n">
        <v>171</v>
      </c>
      <c r="GU1121" s="15" t="n">
        <v>171</v>
      </c>
    </row>
    <row r="1122">
      <c r="C1122" s="15" t="n">
        <v>172</v>
      </c>
      <c r="AA1122" s="15" t="n">
        <v>172</v>
      </c>
      <c r="AW1122" s="15" t="n">
        <v>172</v>
      </c>
      <c r="BS1122" s="15" t="n">
        <v>172</v>
      </c>
      <c r="CO1122" s="15" t="n">
        <v>172</v>
      </c>
      <c r="DK1122" s="15" t="n">
        <v>172</v>
      </c>
      <c r="EG1122" s="15" t="n">
        <v>172</v>
      </c>
      <c r="FC1122" s="15" t="n">
        <v>172</v>
      </c>
      <c r="FY1122" s="15" t="n">
        <v>172</v>
      </c>
      <c r="GU1122" s="15" t="n">
        <v>172</v>
      </c>
    </row>
    <row r="1123">
      <c r="C1123" s="15" t="n">
        <v>173</v>
      </c>
      <c r="AA1123" s="15" t="n">
        <v>173</v>
      </c>
      <c r="AW1123" s="15" t="n">
        <v>173</v>
      </c>
      <c r="BS1123" s="15" t="n">
        <v>173</v>
      </c>
      <c r="CO1123" s="15" t="n">
        <v>173</v>
      </c>
      <c r="DK1123" s="15" t="n">
        <v>173</v>
      </c>
      <c r="EG1123" s="15" t="n">
        <v>173</v>
      </c>
      <c r="FC1123" s="15" t="n">
        <v>173</v>
      </c>
      <c r="FY1123" s="15" t="n">
        <v>173</v>
      </c>
      <c r="GU1123" s="15" t="n">
        <v>173</v>
      </c>
    </row>
    <row r="1124">
      <c r="C1124" s="15" t="n">
        <v>174</v>
      </c>
      <c r="AA1124" s="15" t="n">
        <v>174</v>
      </c>
      <c r="AW1124" s="15" t="n">
        <v>174</v>
      </c>
      <c r="BS1124" s="15" t="n">
        <v>174</v>
      </c>
      <c r="CO1124" s="15" t="n">
        <v>174</v>
      </c>
      <c r="DK1124" s="15" t="n">
        <v>174</v>
      </c>
      <c r="EG1124" s="15" t="n">
        <v>174</v>
      </c>
      <c r="FC1124" s="15" t="n">
        <v>174</v>
      </c>
      <c r="FY1124" s="15" t="n">
        <v>174</v>
      </c>
      <c r="GU1124" s="15" t="n">
        <v>174</v>
      </c>
    </row>
    <row r="1125">
      <c r="C1125" s="15" t="n">
        <v>175</v>
      </c>
      <c r="AA1125" s="15" t="n">
        <v>175</v>
      </c>
      <c r="AW1125" s="15" t="n">
        <v>175</v>
      </c>
      <c r="BS1125" s="15" t="n">
        <v>175</v>
      </c>
      <c r="CO1125" s="15" t="n">
        <v>175</v>
      </c>
      <c r="DK1125" s="15" t="n">
        <v>175</v>
      </c>
      <c r="EG1125" s="15" t="n">
        <v>175</v>
      </c>
      <c r="FC1125" s="15" t="n">
        <v>175</v>
      </c>
      <c r="FY1125" s="15" t="n">
        <v>175</v>
      </c>
      <c r="GU1125" s="15" t="n">
        <v>175</v>
      </c>
    </row>
    <row r="1126">
      <c r="C1126" s="15" t="n">
        <v>176</v>
      </c>
      <c r="AA1126" s="15" t="n">
        <v>176</v>
      </c>
      <c r="AW1126" s="15" t="n">
        <v>176</v>
      </c>
      <c r="BS1126" s="15" t="n">
        <v>176</v>
      </c>
      <c r="CO1126" s="15" t="n">
        <v>176</v>
      </c>
      <c r="DK1126" s="15" t="n">
        <v>176</v>
      </c>
      <c r="EG1126" s="15" t="n">
        <v>176</v>
      </c>
      <c r="FC1126" s="15" t="n">
        <v>176</v>
      </c>
      <c r="FY1126" s="15" t="n">
        <v>176</v>
      </c>
      <c r="GU1126" s="15" t="n">
        <v>176</v>
      </c>
    </row>
    <row r="1127">
      <c r="C1127" s="15" t="n">
        <v>177</v>
      </c>
      <c r="AA1127" s="15" t="n">
        <v>177</v>
      </c>
      <c r="AW1127" s="15" t="n">
        <v>177</v>
      </c>
      <c r="BS1127" s="15" t="n">
        <v>177</v>
      </c>
      <c r="CO1127" s="15" t="n">
        <v>177</v>
      </c>
      <c r="DK1127" s="15" t="n">
        <v>177</v>
      </c>
      <c r="EG1127" s="15" t="n">
        <v>177</v>
      </c>
      <c r="FC1127" s="15" t="n">
        <v>177</v>
      </c>
      <c r="FY1127" s="15" t="n">
        <v>177</v>
      </c>
      <c r="GU1127" s="15" t="n">
        <v>177</v>
      </c>
    </row>
    <row r="1128">
      <c r="C1128" s="15" t="n">
        <v>178</v>
      </c>
      <c r="AA1128" s="15" t="n">
        <v>178</v>
      </c>
      <c r="AW1128" s="15" t="n">
        <v>178</v>
      </c>
      <c r="BS1128" s="15" t="n">
        <v>178</v>
      </c>
      <c r="CO1128" s="15" t="n">
        <v>178</v>
      </c>
      <c r="DK1128" s="15" t="n">
        <v>178</v>
      </c>
      <c r="EG1128" s="15" t="n">
        <v>178</v>
      </c>
      <c r="FC1128" s="15" t="n">
        <v>178</v>
      </c>
      <c r="FY1128" s="15" t="n">
        <v>178</v>
      </c>
      <c r="GU1128" s="15" t="n">
        <v>178</v>
      </c>
    </row>
    <row r="1129">
      <c r="C1129" s="15" t="n">
        <v>179</v>
      </c>
      <c r="AA1129" s="15" t="n">
        <v>179</v>
      </c>
      <c r="AW1129" s="15" t="n">
        <v>179</v>
      </c>
      <c r="BS1129" s="15" t="n">
        <v>179</v>
      </c>
      <c r="CO1129" s="15" t="n">
        <v>179</v>
      </c>
      <c r="DK1129" s="15" t="n">
        <v>179</v>
      </c>
      <c r="EG1129" s="15" t="n">
        <v>179</v>
      </c>
      <c r="FC1129" s="15" t="n">
        <v>179</v>
      </c>
      <c r="FY1129" s="15" t="n">
        <v>179</v>
      </c>
      <c r="GU1129" s="15" t="n">
        <v>179</v>
      </c>
    </row>
    <row r="1130">
      <c r="C1130" s="15" t="n">
        <v>180</v>
      </c>
      <c r="AA1130" s="15" t="n">
        <v>180</v>
      </c>
      <c r="AW1130" s="15" t="n">
        <v>180</v>
      </c>
      <c r="BS1130" s="15" t="n">
        <v>180</v>
      </c>
      <c r="CO1130" s="15" t="n">
        <v>180</v>
      </c>
      <c r="DK1130" s="15" t="n">
        <v>180</v>
      </c>
      <c r="EG1130" s="15" t="n">
        <v>180</v>
      </c>
      <c r="FC1130" s="15" t="n">
        <v>180</v>
      </c>
      <c r="FY1130" s="15" t="n">
        <v>180</v>
      </c>
      <c r="GU1130" s="15" t="n">
        <v>180</v>
      </c>
    </row>
    <row r="1131">
      <c r="C1131" s="15" t="n">
        <v>181</v>
      </c>
      <c r="AA1131" s="15" t="n">
        <v>181</v>
      </c>
      <c r="AW1131" s="15" t="n">
        <v>181</v>
      </c>
      <c r="BS1131" s="15" t="n">
        <v>181</v>
      </c>
      <c r="CO1131" s="15" t="n">
        <v>181</v>
      </c>
      <c r="DK1131" s="15" t="n">
        <v>181</v>
      </c>
      <c r="EG1131" s="15" t="n">
        <v>181</v>
      </c>
      <c r="FC1131" s="15" t="n">
        <v>181</v>
      </c>
      <c r="FY1131" s="15" t="n">
        <v>181</v>
      </c>
      <c r="GU1131" s="15" t="n">
        <v>181</v>
      </c>
    </row>
    <row r="1132">
      <c r="C1132" s="15" t="n">
        <v>182</v>
      </c>
      <c r="AA1132" s="15" t="n">
        <v>182</v>
      </c>
      <c r="AW1132" s="15" t="n">
        <v>182</v>
      </c>
      <c r="BS1132" s="15" t="n">
        <v>182</v>
      </c>
      <c r="CO1132" s="15" t="n">
        <v>182</v>
      </c>
      <c r="DK1132" s="15" t="n">
        <v>182</v>
      </c>
      <c r="EG1132" s="15" t="n">
        <v>182</v>
      </c>
      <c r="FC1132" s="15" t="n">
        <v>182</v>
      </c>
      <c r="FY1132" s="15" t="n">
        <v>182</v>
      </c>
      <c r="GU1132" s="15" t="n">
        <v>182</v>
      </c>
    </row>
    <row r="1133">
      <c r="C1133" s="15" t="n">
        <v>183</v>
      </c>
      <c r="AA1133" s="15" t="n">
        <v>183</v>
      </c>
      <c r="AW1133" s="15" t="n">
        <v>183</v>
      </c>
      <c r="BS1133" s="15" t="n">
        <v>183</v>
      </c>
      <c r="CO1133" s="15" t="n">
        <v>183</v>
      </c>
      <c r="DK1133" s="15" t="n">
        <v>183</v>
      </c>
      <c r="EG1133" s="15" t="n">
        <v>183</v>
      </c>
      <c r="FC1133" s="15" t="n">
        <v>183</v>
      </c>
      <c r="FY1133" s="15" t="n">
        <v>183</v>
      </c>
      <c r="GU1133" s="15" t="n">
        <v>183</v>
      </c>
    </row>
    <row r="1134">
      <c r="C1134" s="15" t="n">
        <v>184</v>
      </c>
      <c r="AA1134" s="15" t="n">
        <v>184</v>
      </c>
      <c r="AW1134" s="15" t="n">
        <v>184</v>
      </c>
      <c r="BS1134" s="15" t="n">
        <v>184</v>
      </c>
      <c r="CO1134" s="15" t="n">
        <v>184</v>
      </c>
      <c r="DK1134" s="15" t="n">
        <v>184</v>
      </c>
      <c r="EG1134" s="15" t="n">
        <v>184</v>
      </c>
      <c r="FC1134" s="15" t="n">
        <v>184</v>
      </c>
      <c r="FY1134" s="15" t="n">
        <v>184</v>
      </c>
      <c r="GU1134" s="15" t="n">
        <v>184</v>
      </c>
    </row>
    <row r="1135">
      <c r="C1135" s="15" t="n">
        <v>185</v>
      </c>
      <c r="AA1135" s="15" t="n">
        <v>185</v>
      </c>
      <c r="AW1135" s="15" t="n">
        <v>185</v>
      </c>
      <c r="BS1135" s="15" t="n">
        <v>185</v>
      </c>
      <c r="CO1135" s="15" t="n">
        <v>185</v>
      </c>
      <c r="DK1135" s="15" t="n">
        <v>185</v>
      </c>
      <c r="EG1135" s="15" t="n">
        <v>185</v>
      </c>
      <c r="FC1135" s="15" t="n">
        <v>185</v>
      </c>
      <c r="FY1135" s="15" t="n">
        <v>185</v>
      </c>
      <c r="GU1135" s="15" t="n">
        <v>185</v>
      </c>
    </row>
    <row r="1136">
      <c r="C1136" s="15" t="n">
        <v>186</v>
      </c>
      <c r="AA1136" s="15" t="n">
        <v>186</v>
      </c>
      <c r="AW1136" s="15" t="n">
        <v>186</v>
      </c>
      <c r="BS1136" s="15" t="n">
        <v>186</v>
      </c>
      <c r="CO1136" s="15" t="n">
        <v>186</v>
      </c>
      <c r="DK1136" s="15" t="n">
        <v>186</v>
      </c>
      <c r="EG1136" s="15" t="n">
        <v>186</v>
      </c>
      <c r="FC1136" s="15" t="n">
        <v>186</v>
      </c>
      <c r="FY1136" s="15" t="n">
        <v>186</v>
      </c>
      <c r="GU1136" s="15" t="n">
        <v>186</v>
      </c>
    </row>
    <row r="1137">
      <c r="C1137" s="15" t="n">
        <v>187</v>
      </c>
      <c r="AA1137" s="15" t="n">
        <v>187</v>
      </c>
      <c r="AW1137" s="15" t="n">
        <v>187</v>
      </c>
      <c r="BS1137" s="15" t="n">
        <v>187</v>
      </c>
      <c r="CO1137" s="15" t="n">
        <v>187</v>
      </c>
      <c r="DK1137" s="15" t="n">
        <v>187</v>
      </c>
      <c r="EG1137" s="15" t="n">
        <v>187</v>
      </c>
      <c r="FC1137" s="15" t="n">
        <v>187</v>
      </c>
      <c r="FY1137" s="15" t="n">
        <v>187</v>
      </c>
      <c r="GU1137" s="15" t="n">
        <v>187</v>
      </c>
    </row>
    <row r="1138">
      <c r="C1138" s="15" t="n">
        <v>188</v>
      </c>
      <c r="AA1138" s="15" t="n">
        <v>188</v>
      </c>
      <c r="AW1138" s="15" t="n">
        <v>188</v>
      </c>
      <c r="BS1138" s="15" t="n">
        <v>188</v>
      </c>
      <c r="CO1138" s="15" t="n">
        <v>188</v>
      </c>
      <c r="DK1138" s="15" t="n">
        <v>188</v>
      </c>
      <c r="EG1138" s="15" t="n">
        <v>188</v>
      </c>
      <c r="FC1138" s="15" t="n">
        <v>188</v>
      </c>
      <c r="FY1138" s="15" t="n">
        <v>188</v>
      </c>
      <c r="GU1138" s="15" t="n">
        <v>188</v>
      </c>
    </row>
    <row r="1139">
      <c r="C1139" s="15" t="n">
        <v>189</v>
      </c>
      <c r="AA1139" s="15" t="n">
        <v>189</v>
      </c>
      <c r="AW1139" s="15" t="n">
        <v>189</v>
      </c>
      <c r="BS1139" s="15" t="n">
        <v>189</v>
      </c>
      <c r="CO1139" s="15" t="n">
        <v>189</v>
      </c>
      <c r="DK1139" s="15" t="n">
        <v>189</v>
      </c>
      <c r="EG1139" s="15" t="n">
        <v>189</v>
      </c>
      <c r="FC1139" s="15" t="n">
        <v>189</v>
      </c>
      <c r="FY1139" s="15" t="n">
        <v>189</v>
      </c>
      <c r="GU1139" s="15" t="n">
        <v>189</v>
      </c>
    </row>
    <row r="1140">
      <c r="C1140" s="15" t="n">
        <v>190</v>
      </c>
      <c r="AA1140" s="15" t="n">
        <v>190</v>
      </c>
      <c r="AW1140" s="15" t="n">
        <v>190</v>
      </c>
      <c r="BS1140" s="15" t="n">
        <v>190</v>
      </c>
      <c r="CO1140" s="15" t="n">
        <v>190</v>
      </c>
      <c r="DK1140" s="15" t="n">
        <v>190</v>
      </c>
      <c r="EG1140" s="15" t="n">
        <v>190</v>
      </c>
      <c r="FC1140" s="15" t="n">
        <v>190</v>
      </c>
      <c r="FY1140" s="15" t="n">
        <v>190</v>
      </c>
      <c r="GU1140" s="15" t="n">
        <v>190</v>
      </c>
    </row>
    <row r="1141">
      <c r="C1141" s="15" t="n">
        <v>191</v>
      </c>
      <c r="AA1141" s="15" t="n">
        <v>191</v>
      </c>
      <c r="AW1141" s="15" t="n">
        <v>191</v>
      </c>
      <c r="BS1141" s="15" t="n">
        <v>191</v>
      </c>
      <c r="CO1141" s="15" t="n">
        <v>191</v>
      </c>
      <c r="DK1141" s="15" t="n">
        <v>191</v>
      </c>
      <c r="EG1141" s="15" t="n">
        <v>191</v>
      </c>
      <c r="FC1141" s="15" t="n">
        <v>191</v>
      </c>
      <c r="FY1141" s="15" t="n">
        <v>191</v>
      </c>
      <c r="GU1141" s="15" t="n">
        <v>191</v>
      </c>
    </row>
    <row r="1142">
      <c r="C1142" s="15" t="n">
        <v>192</v>
      </c>
      <c r="AA1142" s="15" t="n">
        <v>192</v>
      </c>
      <c r="AW1142" s="15" t="n">
        <v>192</v>
      </c>
      <c r="BS1142" s="15" t="n">
        <v>192</v>
      </c>
      <c r="CO1142" s="15" t="n">
        <v>192</v>
      </c>
      <c r="DK1142" s="15" t="n">
        <v>192</v>
      </c>
      <c r="EG1142" s="15" t="n">
        <v>192</v>
      </c>
      <c r="FC1142" s="15" t="n">
        <v>192</v>
      </c>
      <c r="FY1142" s="15" t="n">
        <v>192</v>
      </c>
      <c r="GU1142" s="15" t="n">
        <v>192</v>
      </c>
    </row>
    <row r="1143">
      <c r="C1143" s="15" t="n">
        <v>193</v>
      </c>
      <c r="AA1143" s="15" t="n">
        <v>193</v>
      </c>
      <c r="AW1143" s="15" t="n">
        <v>193</v>
      </c>
      <c r="BS1143" s="15" t="n">
        <v>193</v>
      </c>
      <c r="CO1143" s="15" t="n">
        <v>193</v>
      </c>
      <c r="DK1143" s="15" t="n">
        <v>193</v>
      </c>
      <c r="EG1143" s="15" t="n">
        <v>193</v>
      </c>
      <c r="FC1143" s="15" t="n">
        <v>193</v>
      </c>
      <c r="FY1143" s="15" t="n">
        <v>193</v>
      </c>
      <c r="GU1143" s="15" t="n">
        <v>193</v>
      </c>
    </row>
    <row r="1144">
      <c r="C1144" s="15" t="n">
        <v>194</v>
      </c>
      <c r="AA1144" s="15" t="n">
        <v>194</v>
      </c>
      <c r="AW1144" s="15" t="n">
        <v>194</v>
      </c>
      <c r="BS1144" s="15" t="n">
        <v>194</v>
      </c>
      <c r="CO1144" s="15" t="n">
        <v>194</v>
      </c>
      <c r="DK1144" s="15" t="n">
        <v>194</v>
      </c>
      <c r="EG1144" s="15" t="n">
        <v>194</v>
      </c>
      <c r="FC1144" s="15" t="n">
        <v>194</v>
      </c>
      <c r="FY1144" s="15" t="n">
        <v>194</v>
      </c>
      <c r="GU1144" s="15" t="n">
        <v>194</v>
      </c>
    </row>
    <row r="1145">
      <c r="C1145" s="15" t="n">
        <v>195</v>
      </c>
      <c r="AA1145" s="15" t="n">
        <v>195</v>
      </c>
      <c r="AW1145" s="15" t="n">
        <v>195</v>
      </c>
      <c r="BS1145" s="15" t="n">
        <v>195</v>
      </c>
      <c r="CO1145" s="15" t="n">
        <v>195</v>
      </c>
      <c r="DK1145" s="15" t="n">
        <v>195</v>
      </c>
      <c r="EG1145" s="15" t="n">
        <v>195</v>
      </c>
      <c r="FC1145" s="15" t="n">
        <v>195</v>
      </c>
      <c r="FY1145" s="15" t="n">
        <v>195</v>
      </c>
      <c r="GU1145" s="15" t="n">
        <v>195</v>
      </c>
    </row>
    <row r="1146">
      <c r="C1146" s="15" t="n">
        <v>196</v>
      </c>
      <c r="AA1146" s="15" t="n">
        <v>196</v>
      </c>
      <c r="AW1146" s="15" t="n">
        <v>196</v>
      </c>
      <c r="BS1146" s="15" t="n">
        <v>196</v>
      </c>
      <c r="CO1146" s="15" t="n">
        <v>196</v>
      </c>
      <c r="DK1146" s="15" t="n">
        <v>196</v>
      </c>
      <c r="EG1146" s="15" t="n">
        <v>196</v>
      </c>
      <c r="FC1146" s="15" t="n">
        <v>196</v>
      </c>
      <c r="FY1146" s="15" t="n">
        <v>196</v>
      </c>
      <c r="GU1146" s="15" t="n">
        <v>196</v>
      </c>
    </row>
    <row r="1147">
      <c r="C1147" s="15" t="n">
        <v>197</v>
      </c>
      <c r="AA1147" s="15" t="n">
        <v>197</v>
      </c>
      <c r="AW1147" s="15" t="n">
        <v>197</v>
      </c>
      <c r="BS1147" s="15" t="n">
        <v>197</v>
      </c>
      <c r="CO1147" s="15" t="n">
        <v>197</v>
      </c>
      <c r="DK1147" s="15" t="n">
        <v>197</v>
      </c>
      <c r="EG1147" s="15" t="n">
        <v>197</v>
      </c>
      <c r="FC1147" s="15" t="n">
        <v>197</v>
      </c>
      <c r="FY1147" s="15" t="n">
        <v>197</v>
      </c>
      <c r="GU1147" s="15" t="n">
        <v>197</v>
      </c>
    </row>
    <row r="1148">
      <c r="C1148" s="15" t="n">
        <v>198</v>
      </c>
      <c r="AA1148" s="15" t="n">
        <v>198</v>
      </c>
      <c r="AW1148" s="15" t="n">
        <v>198</v>
      </c>
      <c r="BS1148" s="15" t="n">
        <v>198</v>
      </c>
      <c r="CO1148" s="15" t="n">
        <v>198</v>
      </c>
      <c r="DK1148" s="15" t="n">
        <v>198</v>
      </c>
      <c r="EG1148" s="15" t="n">
        <v>198</v>
      </c>
      <c r="FC1148" s="15" t="n">
        <v>198</v>
      </c>
      <c r="FY1148" s="15" t="n">
        <v>198</v>
      </c>
      <c r="GU1148" s="15" t="n">
        <v>198</v>
      </c>
    </row>
    <row r="1150">
      <c r="C1150" s="15" t="inlineStr">
        <is>
          <t>Var(Var(Cap))</t>
        </is>
      </c>
      <c r="D1150" s="15" t="n">
        <v>22</v>
      </c>
      <c r="E1150" s="15" t="n">
        <v>23</v>
      </c>
      <c r="F1150" s="15" t="n">
        <v>24</v>
      </c>
      <c r="AA1150" s="15" t="inlineStr">
        <is>
          <t>Var(Var(Cap))</t>
        </is>
      </c>
      <c r="AB1150" s="15" t="n">
        <v>22</v>
      </c>
      <c r="AC1150" s="15" t="n">
        <v>23</v>
      </c>
      <c r="AD1150" s="15" t="n">
        <v>24</v>
      </c>
      <c r="AW1150" s="15" t="inlineStr">
        <is>
          <t>Var(Var(Cap))</t>
        </is>
      </c>
      <c r="AX1150" s="15" t="n">
        <v>22</v>
      </c>
      <c r="AY1150" s="15" t="n">
        <v>23</v>
      </c>
      <c r="AZ1150" s="15" t="n">
        <v>24</v>
      </c>
      <c r="BS1150" s="15" t="inlineStr">
        <is>
          <t>Var(Var(Cap))</t>
        </is>
      </c>
      <c r="BT1150" s="15" t="n">
        <v>22</v>
      </c>
      <c r="BU1150" s="15" t="n">
        <v>23</v>
      </c>
      <c r="BV1150" s="15" t="n">
        <v>24</v>
      </c>
      <c r="CO1150" s="15" t="inlineStr">
        <is>
          <t>Var(Var(Cap))</t>
        </is>
      </c>
      <c r="CP1150" s="15" t="n">
        <v>22</v>
      </c>
      <c r="CQ1150" s="15" t="n">
        <v>23</v>
      </c>
      <c r="CR1150" s="15" t="n">
        <v>24</v>
      </c>
      <c r="DK1150" s="15" t="inlineStr">
        <is>
          <t>Var(Var(Cap))</t>
        </is>
      </c>
      <c r="DL1150" s="15" t="n">
        <v>22</v>
      </c>
      <c r="DM1150" s="15" t="n">
        <v>23</v>
      </c>
      <c r="DN1150" s="15" t="n">
        <v>24</v>
      </c>
      <c r="EG1150" s="15" t="inlineStr">
        <is>
          <t>Var(Var(Cap))</t>
        </is>
      </c>
      <c r="EH1150" s="15" t="n">
        <v>22</v>
      </c>
      <c r="EI1150" s="15" t="n">
        <v>23</v>
      </c>
      <c r="EJ1150" s="15" t="n">
        <v>24</v>
      </c>
      <c r="FC1150" s="15" t="inlineStr">
        <is>
          <t>Var(Var(Cap))</t>
        </is>
      </c>
      <c r="FD1150" s="15" t="n">
        <v>22</v>
      </c>
      <c r="FE1150" s="15" t="n">
        <v>23</v>
      </c>
      <c r="FF1150" s="15" t="n">
        <v>24</v>
      </c>
      <c r="FY1150" s="15" t="inlineStr">
        <is>
          <t>Var(Var(Cap))</t>
        </is>
      </c>
      <c r="FZ1150" s="15" t="n">
        <v>22</v>
      </c>
      <c r="GA1150" s="15" t="n">
        <v>23</v>
      </c>
      <c r="GB1150" s="15" t="n">
        <v>24</v>
      </c>
      <c r="GU1150" s="15" t="inlineStr">
        <is>
          <t>Var(Var(Cap))</t>
        </is>
      </c>
      <c r="GV1150" s="15" t="n">
        <v>22</v>
      </c>
      <c r="GW1150" s="15" t="n">
        <v>23</v>
      </c>
      <c r="GX1150" s="15" t="n">
        <v>24</v>
      </c>
    </row>
    <row r="1151">
      <c r="C1151" s="15" t="n">
        <v>9</v>
      </c>
      <c r="AA1151" s="15" t="n">
        <v>9</v>
      </c>
      <c r="AW1151" s="15" t="n">
        <v>9</v>
      </c>
      <c r="BS1151" s="15" t="n">
        <v>9</v>
      </c>
      <c r="CO1151" s="15" t="n">
        <v>9</v>
      </c>
      <c r="DK1151" s="15" t="n">
        <v>9</v>
      </c>
      <c r="EG1151" s="15" t="n">
        <v>9</v>
      </c>
      <c r="FC1151" s="15" t="n">
        <v>9</v>
      </c>
      <c r="FY1151" s="15" t="n">
        <v>9</v>
      </c>
      <c r="GU1151" s="15" t="n">
        <v>9</v>
      </c>
    </row>
    <row r="1152">
      <c r="C1152" s="15" t="n">
        <v>10</v>
      </c>
      <c r="AA1152" s="15" t="n">
        <v>10</v>
      </c>
      <c r="AW1152" s="15" t="n">
        <v>10</v>
      </c>
      <c r="BS1152" s="15" t="n">
        <v>10</v>
      </c>
      <c r="CO1152" s="15" t="n">
        <v>10</v>
      </c>
      <c r="DK1152" s="15" t="n">
        <v>10</v>
      </c>
      <c r="EG1152" s="15" t="n">
        <v>10</v>
      </c>
      <c r="FC1152" s="15" t="n">
        <v>10</v>
      </c>
      <c r="FY1152" s="15" t="n">
        <v>10</v>
      </c>
      <c r="GU1152" s="15" t="n">
        <v>10</v>
      </c>
    </row>
    <row r="1153">
      <c r="C1153" s="15" t="n">
        <v>11</v>
      </c>
      <c r="AA1153" s="15" t="n">
        <v>11</v>
      </c>
      <c r="AW1153" s="15" t="n">
        <v>11</v>
      </c>
      <c r="BS1153" s="15" t="n">
        <v>11</v>
      </c>
      <c r="CO1153" s="15" t="n">
        <v>11</v>
      </c>
      <c r="DK1153" s="15" t="n">
        <v>11</v>
      </c>
      <c r="EG1153" s="15" t="n">
        <v>11</v>
      </c>
      <c r="FC1153" s="15" t="n">
        <v>11</v>
      </c>
      <c r="FY1153" s="15" t="n">
        <v>11</v>
      </c>
      <c r="GU1153" s="15" t="n">
        <v>11</v>
      </c>
    </row>
    <row r="1154">
      <c r="C1154" s="15" t="n">
        <v>12</v>
      </c>
      <c r="AA1154" s="15" t="n">
        <v>12</v>
      </c>
      <c r="AW1154" s="15" t="n">
        <v>12</v>
      </c>
      <c r="BS1154" s="15" t="n">
        <v>12</v>
      </c>
      <c r="CO1154" s="15" t="n">
        <v>12</v>
      </c>
      <c r="DK1154" s="15" t="n">
        <v>12</v>
      </c>
      <c r="EG1154" s="15" t="n">
        <v>12</v>
      </c>
      <c r="FC1154" s="15" t="n">
        <v>12</v>
      </c>
      <c r="FY1154" s="15" t="n">
        <v>12</v>
      </c>
      <c r="GU1154" s="15" t="n">
        <v>12</v>
      </c>
    </row>
    <row r="1155">
      <c r="C1155" s="15" t="n">
        <v>13</v>
      </c>
      <c r="AA1155" s="15" t="n">
        <v>13</v>
      </c>
      <c r="AW1155" s="15" t="n">
        <v>13</v>
      </c>
      <c r="BS1155" s="15" t="n">
        <v>13</v>
      </c>
      <c r="CO1155" s="15" t="n">
        <v>13</v>
      </c>
      <c r="DK1155" s="15" t="n">
        <v>13</v>
      </c>
      <c r="EG1155" s="15" t="n">
        <v>13</v>
      </c>
      <c r="FC1155" s="15" t="n">
        <v>13</v>
      </c>
      <c r="FY1155" s="15" t="n">
        <v>13</v>
      </c>
      <c r="GU1155" s="15" t="n">
        <v>13</v>
      </c>
    </row>
    <row r="1156">
      <c r="C1156" s="15" t="n">
        <v>14</v>
      </c>
      <c r="AA1156" s="15" t="n">
        <v>14</v>
      </c>
      <c r="AW1156" s="15" t="n">
        <v>14</v>
      </c>
      <c r="BS1156" s="15" t="n">
        <v>14</v>
      </c>
      <c r="CO1156" s="15" t="n">
        <v>14</v>
      </c>
      <c r="DK1156" s="15" t="n">
        <v>14</v>
      </c>
      <c r="EG1156" s="15" t="n">
        <v>14</v>
      </c>
      <c r="FC1156" s="15" t="n">
        <v>14</v>
      </c>
      <c r="FY1156" s="15" t="n">
        <v>14</v>
      </c>
      <c r="GU1156" s="15" t="n">
        <v>14</v>
      </c>
    </row>
    <row r="1157">
      <c r="C1157" s="15" t="n">
        <v>15</v>
      </c>
      <c r="AA1157" s="15" t="n">
        <v>15</v>
      </c>
      <c r="AW1157" s="15" t="n">
        <v>15</v>
      </c>
      <c r="BS1157" s="15" t="n">
        <v>15</v>
      </c>
      <c r="CO1157" s="15" t="n">
        <v>15</v>
      </c>
      <c r="DK1157" s="15" t="n">
        <v>15</v>
      </c>
      <c r="EG1157" s="15" t="n">
        <v>15</v>
      </c>
      <c r="FC1157" s="15" t="n">
        <v>15</v>
      </c>
      <c r="FY1157" s="15" t="n">
        <v>15</v>
      </c>
      <c r="GU1157" s="15" t="n">
        <v>15</v>
      </c>
    </row>
    <row r="1158">
      <c r="C1158" s="15" t="n">
        <v>16</v>
      </c>
      <c r="AA1158" s="15" t="n">
        <v>16</v>
      </c>
      <c r="AW1158" s="15" t="n">
        <v>16</v>
      </c>
      <c r="BS1158" s="15" t="n">
        <v>16</v>
      </c>
      <c r="CO1158" s="15" t="n">
        <v>16</v>
      </c>
      <c r="DK1158" s="15" t="n">
        <v>16</v>
      </c>
      <c r="EG1158" s="15" t="n">
        <v>16</v>
      </c>
      <c r="FC1158" s="15" t="n">
        <v>16</v>
      </c>
      <c r="FY1158" s="15" t="n">
        <v>16</v>
      </c>
      <c r="GU1158" s="15" t="n">
        <v>16</v>
      </c>
    </row>
    <row r="1159">
      <c r="C1159" s="15" t="n">
        <v>17</v>
      </c>
      <c r="AA1159" s="15" t="n">
        <v>17</v>
      </c>
      <c r="AW1159" s="15" t="n">
        <v>17</v>
      </c>
      <c r="BS1159" s="15" t="n">
        <v>17</v>
      </c>
      <c r="CO1159" s="15" t="n">
        <v>17</v>
      </c>
      <c r="DK1159" s="15" t="n">
        <v>17</v>
      </c>
      <c r="EG1159" s="15" t="n">
        <v>17</v>
      </c>
      <c r="FC1159" s="15" t="n">
        <v>17</v>
      </c>
      <c r="FY1159" s="15" t="n">
        <v>17</v>
      </c>
      <c r="GU1159" s="15" t="n">
        <v>17</v>
      </c>
    </row>
    <row r="1160">
      <c r="C1160" s="15" t="n">
        <v>18</v>
      </c>
      <c r="AA1160" s="15" t="n">
        <v>18</v>
      </c>
      <c r="AW1160" s="15" t="n">
        <v>18</v>
      </c>
      <c r="BS1160" s="15" t="n">
        <v>18</v>
      </c>
      <c r="CO1160" s="15" t="n">
        <v>18</v>
      </c>
      <c r="DK1160" s="15" t="n">
        <v>18</v>
      </c>
      <c r="EG1160" s="15" t="n">
        <v>18</v>
      </c>
      <c r="FC1160" s="15" t="n">
        <v>18</v>
      </c>
      <c r="FY1160" s="15" t="n">
        <v>18</v>
      </c>
      <c r="GU1160" s="15" t="n">
        <v>18</v>
      </c>
    </row>
    <row r="1161">
      <c r="C1161" s="15" t="n">
        <v>19</v>
      </c>
      <c r="AA1161" s="15" t="n">
        <v>19</v>
      </c>
      <c r="AW1161" s="15" t="n">
        <v>19</v>
      </c>
      <c r="BS1161" s="15" t="n">
        <v>19</v>
      </c>
      <c r="CO1161" s="15" t="n">
        <v>19</v>
      </c>
      <c r="DK1161" s="15" t="n">
        <v>19</v>
      </c>
      <c r="EG1161" s="15" t="n">
        <v>19</v>
      </c>
      <c r="FC1161" s="15" t="n">
        <v>19</v>
      </c>
      <c r="FY1161" s="15" t="n">
        <v>19</v>
      </c>
      <c r="GU1161" s="15" t="n">
        <v>19</v>
      </c>
    </row>
    <row r="1162">
      <c r="C1162" s="15" t="n">
        <v>20</v>
      </c>
      <c r="AA1162" s="15" t="n">
        <v>20</v>
      </c>
      <c r="AW1162" s="15" t="n">
        <v>20</v>
      </c>
      <c r="BS1162" s="15" t="n">
        <v>20</v>
      </c>
      <c r="CO1162" s="15" t="n">
        <v>20</v>
      </c>
      <c r="DK1162" s="15" t="n">
        <v>20</v>
      </c>
      <c r="EG1162" s="15" t="n">
        <v>20</v>
      </c>
      <c r="FC1162" s="15" t="n">
        <v>20</v>
      </c>
      <c r="FY1162" s="15" t="n">
        <v>20</v>
      </c>
      <c r="GU1162" s="15" t="n">
        <v>20</v>
      </c>
    </row>
    <row r="1163">
      <c r="C1163" s="15" t="n">
        <v>21</v>
      </c>
      <c r="AA1163" s="15" t="n">
        <v>21</v>
      </c>
      <c r="AW1163" s="15" t="n">
        <v>21</v>
      </c>
      <c r="BS1163" s="15" t="n">
        <v>21</v>
      </c>
      <c r="CO1163" s="15" t="n">
        <v>21</v>
      </c>
      <c r="DK1163" s="15" t="n">
        <v>21</v>
      </c>
      <c r="EG1163" s="15" t="n">
        <v>21</v>
      </c>
      <c r="FC1163" s="15" t="n">
        <v>21</v>
      </c>
      <c r="FY1163" s="15" t="n">
        <v>21</v>
      </c>
      <c r="GU1163" s="15" t="n">
        <v>21</v>
      </c>
    </row>
    <row r="1164">
      <c r="C1164" s="15" t="n">
        <v>22</v>
      </c>
      <c r="AA1164" s="15" t="n">
        <v>22</v>
      </c>
      <c r="AW1164" s="15" t="n">
        <v>22</v>
      </c>
      <c r="BS1164" s="15" t="n">
        <v>22</v>
      </c>
      <c r="CO1164" s="15" t="n">
        <v>22</v>
      </c>
      <c r="DK1164" s="15" t="n">
        <v>22</v>
      </c>
      <c r="EG1164" s="15" t="n">
        <v>22</v>
      </c>
      <c r="FC1164" s="15" t="n">
        <v>22</v>
      </c>
      <c r="FY1164" s="15" t="n">
        <v>22</v>
      </c>
      <c r="GU1164" s="15" t="n">
        <v>22</v>
      </c>
    </row>
    <row r="1165">
      <c r="C1165" s="15" t="n">
        <v>23</v>
      </c>
      <c r="AA1165" s="15" t="n">
        <v>23</v>
      </c>
      <c r="AW1165" s="15" t="n">
        <v>23</v>
      </c>
      <c r="BS1165" s="15" t="n">
        <v>23</v>
      </c>
      <c r="CO1165" s="15" t="n">
        <v>23</v>
      </c>
      <c r="DK1165" s="15" t="n">
        <v>23</v>
      </c>
      <c r="EG1165" s="15" t="n">
        <v>23</v>
      </c>
      <c r="FC1165" s="15" t="n">
        <v>23</v>
      </c>
      <c r="FY1165" s="15" t="n">
        <v>23</v>
      </c>
      <c r="GU1165" s="15" t="n">
        <v>23</v>
      </c>
    </row>
    <row r="1166">
      <c r="C1166" s="15" t="n">
        <v>24</v>
      </c>
      <c r="AA1166" s="15" t="n">
        <v>24</v>
      </c>
      <c r="AW1166" s="15" t="n">
        <v>24</v>
      </c>
      <c r="BS1166" s="15" t="n">
        <v>24</v>
      </c>
      <c r="CO1166" s="15" t="n">
        <v>24</v>
      </c>
      <c r="DK1166" s="15" t="n">
        <v>24</v>
      </c>
      <c r="EG1166" s="15" t="n">
        <v>24</v>
      </c>
      <c r="FC1166" s="15" t="n">
        <v>24</v>
      </c>
      <c r="FY1166" s="15" t="n">
        <v>24</v>
      </c>
      <c r="GU1166" s="15" t="n">
        <v>24</v>
      </c>
    </row>
    <row r="1167">
      <c r="C1167" s="15" t="n">
        <v>25</v>
      </c>
      <c r="AA1167" s="15" t="n">
        <v>25</v>
      </c>
      <c r="AW1167" s="15" t="n">
        <v>25</v>
      </c>
      <c r="BS1167" s="15" t="n">
        <v>25</v>
      </c>
      <c r="CO1167" s="15" t="n">
        <v>25</v>
      </c>
      <c r="DK1167" s="15" t="n">
        <v>25</v>
      </c>
      <c r="EG1167" s="15" t="n">
        <v>25</v>
      </c>
      <c r="FC1167" s="15" t="n">
        <v>25</v>
      </c>
      <c r="FY1167" s="15" t="n">
        <v>25</v>
      </c>
      <c r="GU1167" s="15" t="n">
        <v>25</v>
      </c>
    </row>
    <row r="1168">
      <c r="C1168" s="15" t="n">
        <v>26</v>
      </c>
      <c r="AA1168" s="15" t="n">
        <v>26</v>
      </c>
      <c r="AW1168" s="15" t="n">
        <v>26</v>
      </c>
      <c r="BS1168" s="15" t="n">
        <v>26</v>
      </c>
      <c r="CO1168" s="15" t="n">
        <v>26</v>
      </c>
      <c r="DK1168" s="15" t="n">
        <v>26</v>
      </c>
      <c r="EG1168" s="15" t="n">
        <v>26</v>
      </c>
      <c r="FC1168" s="15" t="n">
        <v>26</v>
      </c>
      <c r="FY1168" s="15" t="n">
        <v>26</v>
      </c>
      <c r="GU1168" s="15" t="n">
        <v>26</v>
      </c>
    </row>
    <row r="1169">
      <c r="C1169" s="15" t="n">
        <v>27</v>
      </c>
      <c r="AA1169" s="15" t="n">
        <v>27</v>
      </c>
      <c r="AW1169" s="15" t="n">
        <v>27</v>
      </c>
      <c r="BS1169" s="15" t="n">
        <v>27</v>
      </c>
      <c r="CO1169" s="15" t="n">
        <v>27</v>
      </c>
      <c r="DK1169" s="15" t="n">
        <v>27</v>
      </c>
      <c r="EG1169" s="15" t="n">
        <v>27</v>
      </c>
      <c r="FC1169" s="15" t="n">
        <v>27</v>
      </c>
      <c r="FY1169" s="15" t="n">
        <v>27</v>
      </c>
      <c r="GU1169" s="15" t="n">
        <v>27</v>
      </c>
    </row>
    <row r="1170">
      <c r="C1170" s="15" t="n">
        <v>28</v>
      </c>
      <c r="AA1170" s="15" t="n">
        <v>28</v>
      </c>
      <c r="AW1170" s="15" t="n">
        <v>28</v>
      </c>
      <c r="BS1170" s="15" t="n">
        <v>28</v>
      </c>
      <c r="CO1170" s="15" t="n">
        <v>28</v>
      </c>
      <c r="DK1170" s="15" t="n">
        <v>28</v>
      </c>
      <c r="EG1170" s="15" t="n">
        <v>28</v>
      </c>
      <c r="FC1170" s="15" t="n">
        <v>28</v>
      </c>
      <c r="FY1170" s="15" t="n">
        <v>28</v>
      </c>
      <c r="GU1170" s="15" t="n">
        <v>28</v>
      </c>
    </row>
    <row r="1171">
      <c r="C1171" s="15" t="n">
        <v>29</v>
      </c>
      <c r="AA1171" s="15" t="n">
        <v>29</v>
      </c>
      <c r="AW1171" s="15" t="n">
        <v>29</v>
      </c>
      <c r="BS1171" s="15" t="n">
        <v>29</v>
      </c>
      <c r="CO1171" s="15" t="n">
        <v>29</v>
      </c>
      <c r="DK1171" s="15" t="n">
        <v>29</v>
      </c>
      <c r="EG1171" s="15" t="n">
        <v>29</v>
      </c>
      <c r="FC1171" s="15" t="n">
        <v>29</v>
      </c>
      <c r="FY1171" s="15" t="n">
        <v>29</v>
      </c>
      <c r="GU1171" s="15" t="n">
        <v>29</v>
      </c>
    </row>
    <row r="1172">
      <c r="C1172" s="15" t="n">
        <v>30</v>
      </c>
      <c r="AA1172" s="15" t="n">
        <v>30</v>
      </c>
      <c r="AW1172" s="15" t="n">
        <v>30</v>
      </c>
      <c r="BS1172" s="15" t="n">
        <v>30</v>
      </c>
      <c r="CO1172" s="15" t="n">
        <v>30</v>
      </c>
      <c r="DK1172" s="15" t="n">
        <v>30</v>
      </c>
      <c r="EG1172" s="15" t="n">
        <v>30</v>
      </c>
      <c r="FC1172" s="15" t="n">
        <v>30</v>
      </c>
      <c r="FY1172" s="15" t="n">
        <v>30</v>
      </c>
      <c r="GU1172" s="15" t="n">
        <v>30</v>
      </c>
    </row>
    <row r="1173">
      <c r="C1173" s="15" t="n">
        <v>31</v>
      </c>
      <c r="AA1173" s="15" t="n">
        <v>31</v>
      </c>
      <c r="AW1173" s="15" t="n">
        <v>31</v>
      </c>
      <c r="BS1173" s="15" t="n">
        <v>31</v>
      </c>
      <c r="CO1173" s="15" t="n">
        <v>31</v>
      </c>
      <c r="DK1173" s="15" t="n">
        <v>31</v>
      </c>
      <c r="EG1173" s="15" t="n">
        <v>31</v>
      </c>
      <c r="FC1173" s="15" t="n">
        <v>31</v>
      </c>
      <c r="FY1173" s="15" t="n">
        <v>31</v>
      </c>
      <c r="GU1173" s="15" t="n">
        <v>31</v>
      </c>
    </row>
    <row r="1174">
      <c r="C1174" s="15" t="n">
        <v>32</v>
      </c>
      <c r="AA1174" s="15" t="n">
        <v>32</v>
      </c>
      <c r="AW1174" s="15" t="n">
        <v>32</v>
      </c>
      <c r="BS1174" s="15" t="n">
        <v>32</v>
      </c>
      <c r="CO1174" s="15" t="n">
        <v>32</v>
      </c>
      <c r="DK1174" s="15" t="n">
        <v>32</v>
      </c>
      <c r="EG1174" s="15" t="n">
        <v>32</v>
      </c>
      <c r="FC1174" s="15" t="n">
        <v>32</v>
      </c>
      <c r="FY1174" s="15" t="n">
        <v>32</v>
      </c>
      <c r="GU1174" s="15" t="n">
        <v>32</v>
      </c>
    </row>
    <row r="1175">
      <c r="C1175" s="15" t="n">
        <v>33</v>
      </c>
      <c r="AA1175" s="15" t="n">
        <v>33</v>
      </c>
      <c r="AW1175" s="15" t="n">
        <v>33</v>
      </c>
      <c r="BS1175" s="15" t="n">
        <v>33</v>
      </c>
      <c r="CO1175" s="15" t="n">
        <v>33</v>
      </c>
      <c r="DK1175" s="15" t="n">
        <v>33</v>
      </c>
      <c r="EG1175" s="15" t="n">
        <v>33</v>
      </c>
      <c r="FC1175" s="15" t="n">
        <v>33</v>
      </c>
      <c r="FY1175" s="15" t="n">
        <v>33</v>
      </c>
      <c r="GU1175" s="15" t="n">
        <v>33</v>
      </c>
    </row>
    <row r="1176">
      <c r="C1176" s="15" t="n">
        <v>34</v>
      </c>
      <c r="AA1176" s="15" t="n">
        <v>34</v>
      </c>
      <c r="AW1176" s="15" t="n">
        <v>34</v>
      </c>
      <c r="BS1176" s="15" t="n">
        <v>34</v>
      </c>
      <c r="CO1176" s="15" t="n">
        <v>34</v>
      </c>
      <c r="DK1176" s="15" t="n">
        <v>34</v>
      </c>
      <c r="EG1176" s="15" t="n">
        <v>34</v>
      </c>
      <c r="FC1176" s="15" t="n">
        <v>34</v>
      </c>
      <c r="FY1176" s="15" t="n">
        <v>34</v>
      </c>
      <c r="GU1176" s="15" t="n">
        <v>34</v>
      </c>
    </row>
    <row r="1177">
      <c r="C1177" s="15" t="n">
        <v>35</v>
      </c>
      <c r="AA1177" s="15" t="n">
        <v>35</v>
      </c>
      <c r="AW1177" s="15" t="n">
        <v>35</v>
      </c>
      <c r="BS1177" s="15" t="n">
        <v>35</v>
      </c>
      <c r="CO1177" s="15" t="n">
        <v>35</v>
      </c>
      <c r="DK1177" s="15" t="n">
        <v>35</v>
      </c>
      <c r="EG1177" s="15" t="n">
        <v>35</v>
      </c>
      <c r="FC1177" s="15" t="n">
        <v>35</v>
      </c>
      <c r="FY1177" s="15" t="n">
        <v>35</v>
      </c>
      <c r="GU1177" s="15" t="n">
        <v>35</v>
      </c>
    </row>
    <row r="1178">
      <c r="C1178" s="15" t="n">
        <v>36</v>
      </c>
      <c r="AA1178" s="15" t="n">
        <v>36</v>
      </c>
      <c r="AW1178" s="15" t="n">
        <v>36</v>
      </c>
      <c r="BS1178" s="15" t="n">
        <v>36</v>
      </c>
      <c r="CO1178" s="15" t="n">
        <v>36</v>
      </c>
      <c r="DK1178" s="15" t="n">
        <v>36</v>
      </c>
      <c r="EG1178" s="15" t="n">
        <v>36</v>
      </c>
      <c r="FC1178" s="15" t="n">
        <v>36</v>
      </c>
      <c r="FY1178" s="15" t="n">
        <v>36</v>
      </c>
      <c r="GU1178" s="15" t="n">
        <v>36</v>
      </c>
    </row>
    <row r="1179">
      <c r="C1179" s="15" t="n">
        <v>37</v>
      </c>
      <c r="AA1179" s="15" t="n">
        <v>37</v>
      </c>
      <c r="AW1179" s="15" t="n">
        <v>37</v>
      </c>
      <c r="BS1179" s="15" t="n">
        <v>37</v>
      </c>
      <c r="CO1179" s="15" t="n">
        <v>37</v>
      </c>
      <c r="DK1179" s="15" t="n">
        <v>37</v>
      </c>
      <c r="EG1179" s="15" t="n">
        <v>37</v>
      </c>
      <c r="FC1179" s="15" t="n">
        <v>37</v>
      </c>
      <c r="FY1179" s="15" t="n">
        <v>37</v>
      </c>
      <c r="GU1179" s="15" t="n">
        <v>37</v>
      </c>
    </row>
    <row r="1180">
      <c r="C1180" s="15" t="n">
        <v>38</v>
      </c>
      <c r="AA1180" s="15" t="n">
        <v>38</v>
      </c>
      <c r="AW1180" s="15" t="n">
        <v>38</v>
      </c>
      <c r="BS1180" s="15" t="n">
        <v>38</v>
      </c>
      <c r="CO1180" s="15" t="n">
        <v>38</v>
      </c>
      <c r="DK1180" s="15" t="n">
        <v>38</v>
      </c>
      <c r="EG1180" s="15" t="n">
        <v>38</v>
      </c>
      <c r="FC1180" s="15" t="n">
        <v>38</v>
      </c>
      <c r="FY1180" s="15" t="n">
        <v>38</v>
      </c>
      <c r="GU1180" s="15" t="n">
        <v>38</v>
      </c>
    </row>
    <row r="1181">
      <c r="C1181" s="15" t="n">
        <v>39</v>
      </c>
      <c r="AA1181" s="15" t="n">
        <v>39</v>
      </c>
      <c r="AW1181" s="15" t="n">
        <v>39</v>
      </c>
      <c r="BS1181" s="15" t="n">
        <v>39</v>
      </c>
      <c r="CO1181" s="15" t="n">
        <v>39</v>
      </c>
      <c r="DK1181" s="15" t="n">
        <v>39</v>
      </c>
      <c r="EG1181" s="15" t="n">
        <v>39</v>
      </c>
      <c r="FC1181" s="15" t="n">
        <v>39</v>
      </c>
      <c r="FY1181" s="15" t="n">
        <v>39</v>
      </c>
      <c r="GU1181" s="15" t="n">
        <v>39</v>
      </c>
    </row>
    <row r="1182">
      <c r="C1182" s="15" t="n">
        <v>40</v>
      </c>
      <c r="AA1182" s="15" t="n">
        <v>40</v>
      </c>
      <c r="AW1182" s="15" t="n">
        <v>40</v>
      </c>
      <c r="BS1182" s="15" t="n">
        <v>40</v>
      </c>
      <c r="CO1182" s="15" t="n">
        <v>40</v>
      </c>
      <c r="DK1182" s="15" t="n">
        <v>40</v>
      </c>
      <c r="EG1182" s="15" t="n">
        <v>40</v>
      </c>
      <c r="FC1182" s="15" t="n">
        <v>40</v>
      </c>
      <c r="FY1182" s="15" t="n">
        <v>40</v>
      </c>
      <c r="GU1182" s="15" t="n">
        <v>40</v>
      </c>
    </row>
    <row r="1183">
      <c r="C1183" s="15" t="n">
        <v>41</v>
      </c>
      <c r="AA1183" s="15" t="n">
        <v>41</v>
      </c>
      <c r="AW1183" s="15" t="n">
        <v>41</v>
      </c>
      <c r="BS1183" s="15" t="n">
        <v>41</v>
      </c>
      <c r="CO1183" s="15" t="n">
        <v>41</v>
      </c>
      <c r="DK1183" s="15" t="n">
        <v>41</v>
      </c>
      <c r="EG1183" s="15" t="n">
        <v>41</v>
      </c>
      <c r="FC1183" s="15" t="n">
        <v>41</v>
      </c>
      <c r="FY1183" s="15" t="n">
        <v>41</v>
      </c>
      <c r="GU1183" s="15" t="n">
        <v>41</v>
      </c>
    </row>
    <row r="1184">
      <c r="C1184" s="15" t="n">
        <v>42</v>
      </c>
      <c r="AA1184" s="15" t="n">
        <v>42</v>
      </c>
      <c r="AW1184" s="15" t="n">
        <v>42</v>
      </c>
      <c r="BS1184" s="15" t="n">
        <v>42</v>
      </c>
      <c r="CO1184" s="15" t="n">
        <v>42</v>
      </c>
      <c r="DK1184" s="15" t="n">
        <v>42</v>
      </c>
      <c r="EG1184" s="15" t="n">
        <v>42</v>
      </c>
      <c r="FC1184" s="15" t="n">
        <v>42</v>
      </c>
      <c r="FY1184" s="15" t="n">
        <v>42</v>
      </c>
      <c r="GU1184" s="15" t="n">
        <v>42</v>
      </c>
    </row>
    <row r="1185">
      <c r="C1185" s="15" t="n">
        <v>43</v>
      </c>
      <c r="AA1185" s="15" t="n">
        <v>43</v>
      </c>
      <c r="AW1185" s="15" t="n">
        <v>43</v>
      </c>
      <c r="BS1185" s="15" t="n">
        <v>43</v>
      </c>
      <c r="CO1185" s="15" t="n">
        <v>43</v>
      </c>
      <c r="DK1185" s="15" t="n">
        <v>43</v>
      </c>
      <c r="EG1185" s="15" t="n">
        <v>43</v>
      </c>
      <c r="FC1185" s="15" t="n">
        <v>43</v>
      </c>
      <c r="FY1185" s="15" t="n">
        <v>43</v>
      </c>
      <c r="GU1185" s="15" t="n">
        <v>43</v>
      </c>
    </row>
    <row r="1186">
      <c r="C1186" s="15" t="n">
        <v>44</v>
      </c>
      <c r="AA1186" s="15" t="n">
        <v>44</v>
      </c>
      <c r="AW1186" s="15" t="n">
        <v>44</v>
      </c>
      <c r="BS1186" s="15" t="n">
        <v>44</v>
      </c>
      <c r="CO1186" s="15" t="n">
        <v>44</v>
      </c>
      <c r="DK1186" s="15" t="n">
        <v>44</v>
      </c>
      <c r="EG1186" s="15" t="n">
        <v>44</v>
      </c>
      <c r="FC1186" s="15" t="n">
        <v>44</v>
      </c>
      <c r="FY1186" s="15" t="n">
        <v>44</v>
      </c>
      <c r="GU1186" s="15" t="n">
        <v>44</v>
      </c>
    </row>
    <row r="1187">
      <c r="C1187" s="15" t="n">
        <v>45</v>
      </c>
      <c r="AA1187" s="15" t="n">
        <v>45</v>
      </c>
      <c r="AW1187" s="15" t="n">
        <v>45</v>
      </c>
      <c r="BS1187" s="15" t="n">
        <v>45</v>
      </c>
      <c r="CO1187" s="15" t="n">
        <v>45</v>
      </c>
      <c r="DK1187" s="15" t="n">
        <v>45</v>
      </c>
      <c r="EG1187" s="15" t="n">
        <v>45</v>
      </c>
      <c r="FC1187" s="15" t="n">
        <v>45</v>
      </c>
      <c r="FY1187" s="15" t="n">
        <v>45</v>
      </c>
      <c r="GU1187" s="15" t="n">
        <v>45</v>
      </c>
    </row>
    <row r="1188">
      <c r="C1188" s="15" t="n">
        <v>46</v>
      </c>
      <c r="AA1188" s="15" t="n">
        <v>46</v>
      </c>
      <c r="AW1188" s="15" t="n">
        <v>46</v>
      </c>
      <c r="BS1188" s="15" t="n">
        <v>46</v>
      </c>
      <c r="CO1188" s="15" t="n">
        <v>46</v>
      </c>
      <c r="DK1188" s="15" t="n">
        <v>46</v>
      </c>
      <c r="EG1188" s="15" t="n">
        <v>46</v>
      </c>
      <c r="FC1188" s="15" t="n">
        <v>46</v>
      </c>
      <c r="FY1188" s="15" t="n">
        <v>46</v>
      </c>
      <c r="GU1188" s="15" t="n">
        <v>46</v>
      </c>
    </row>
    <row r="1189">
      <c r="C1189" s="15" t="n">
        <v>47</v>
      </c>
      <c r="AA1189" s="15" t="n">
        <v>47</v>
      </c>
      <c r="AW1189" s="15" t="n">
        <v>47</v>
      </c>
      <c r="BS1189" s="15" t="n">
        <v>47</v>
      </c>
      <c r="CO1189" s="15" t="n">
        <v>47</v>
      </c>
      <c r="DK1189" s="15" t="n">
        <v>47</v>
      </c>
      <c r="EG1189" s="15" t="n">
        <v>47</v>
      </c>
      <c r="FC1189" s="15" t="n">
        <v>47</v>
      </c>
      <c r="FY1189" s="15" t="n">
        <v>47</v>
      </c>
      <c r="GU1189" s="15" t="n">
        <v>47</v>
      </c>
    </row>
    <row r="1190">
      <c r="C1190" s="15" t="n">
        <v>48</v>
      </c>
      <c r="AA1190" s="15" t="n">
        <v>48</v>
      </c>
      <c r="AW1190" s="15" t="n">
        <v>48</v>
      </c>
      <c r="BS1190" s="15" t="n">
        <v>48</v>
      </c>
      <c r="CO1190" s="15" t="n">
        <v>48</v>
      </c>
      <c r="DK1190" s="15" t="n">
        <v>48</v>
      </c>
      <c r="EG1190" s="15" t="n">
        <v>48</v>
      </c>
      <c r="FC1190" s="15" t="n">
        <v>48</v>
      </c>
      <c r="FY1190" s="15" t="n">
        <v>48</v>
      </c>
      <c r="GU1190" s="15" t="n">
        <v>48</v>
      </c>
    </row>
    <row r="1191">
      <c r="C1191" s="15" t="n">
        <v>49</v>
      </c>
      <c r="AA1191" s="15" t="n">
        <v>49</v>
      </c>
      <c r="AW1191" s="15" t="n">
        <v>49</v>
      </c>
      <c r="BS1191" s="15" t="n">
        <v>49</v>
      </c>
      <c r="CO1191" s="15" t="n">
        <v>49</v>
      </c>
      <c r="DK1191" s="15" t="n">
        <v>49</v>
      </c>
      <c r="EG1191" s="15" t="n">
        <v>49</v>
      </c>
      <c r="FC1191" s="15" t="n">
        <v>49</v>
      </c>
      <c r="FY1191" s="15" t="n">
        <v>49</v>
      </c>
      <c r="GU1191" s="15" t="n">
        <v>49</v>
      </c>
    </row>
    <row r="1192">
      <c r="C1192" s="15" t="n">
        <v>50</v>
      </c>
      <c r="AA1192" s="15" t="n">
        <v>50</v>
      </c>
      <c r="AW1192" s="15" t="n">
        <v>50</v>
      </c>
      <c r="BS1192" s="15" t="n">
        <v>50</v>
      </c>
      <c r="CO1192" s="15" t="n">
        <v>50</v>
      </c>
      <c r="DK1192" s="15" t="n">
        <v>50</v>
      </c>
      <c r="EG1192" s="15" t="n">
        <v>50</v>
      </c>
      <c r="FC1192" s="15" t="n">
        <v>50</v>
      </c>
      <c r="FY1192" s="15" t="n">
        <v>50</v>
      </c>
      <c r="GU1192" s="15" t="n">
        <v>50</v>
      </c>
    </row>
    <row r="1193">
      <c r="C1193" s="15" t="n">
        <v>51</v>
      </c>
      <c r="AA1193" s="15" t="n">
        <v>51</v>
      </c>
      <c r="AW1193" s="15" t="n">
        <v>51</v>
      </c>
      <c r="BS1193" s="15" t="n">
        <v>51</v>
      </c>
      <c r="CO1193" s="15" t="n">
        <v>51</v>
      </c>
      <c r="DK1193" s="15" t="n">
        <v>51</v>
      </c>
      <c r="EG1193" s="15" t="n">
        <v>51</v>
      </c>
      <c r="FC1193" s="15" t="n">
        <v>51</v>
      </c>
      <c r="FY1193" s="15" t="n">
        <v>51</v>
      </c>
      <c r="GU1193" s="15" t="n">
        <v>51</v>
      </c>
    </row>
    <row r="1194">
      <c r="C1194" s="15" t="n">
        <v>52</v>
      </c>
      <c r="AA1194" s="15" t="n">
        <v>52</v>
      </c>
      <c r="AW1194" s="15" t="n">
        <v>52</v>
      </c>
      <c r="BS1194" s="15" t="n">
        <v>52</v>
      </c>
      <c r="CO1194" s="15" t="n">
        <v>52</v>
      </c>
      <c r="DK1194" s="15" t="n">
        <v>52</v>
      </c>
      <c r="EG1194" s="15" t="n">
        <v>52</v>
      </c>
      <c r="FC1194" s="15" t="n">
        <v>52</v>
      </c>
      <c r="FY1194" s="15" t="n">
        <v>52</v>
      </c>
      <c r="GU1194" s="15" t="n">
        <v>52</v>
      </c>
    </row>
    <row r="1195">
      <c r="C1195" s="15" t="n">
        <v>53</v>
      </c>
      <c r="AA1195" s="15" t="n">
        <v>53</v>
      </c>
      <c r="AW1195" s="15" t="n">
        <v>53</v>
      </c>
      <c r="BS1195" s="15" t="n">
        <v>53</v>
      </c>
      <c r="CO1195" s="15" t="n">
        <v>53</v>
      </c>
      <c r="DK1195" s="15" t="n">
        <v>53</v>
      </c>
      <c r="EG1195" s="15" t="n">
        <v>53</v>
      </c>
      <c r="FC1195" s="15" t="n">
        <v>53</v>
      </c>
      <c r="FY1195" s="15" t="n">
        <v>53</v>
      </c>
      <c r="GU1195" s="15" t="n">
        <v>53</v>
      </c>
    </row>
    <row r="1196">
      <c r="C1196" s="15" t="n">
        <v>54</v>
      </c>
      <c r="AA1196" s="15" t="n">
        <v>54</v>
      </c>
      <c r="AW1196" s="15" t="n">
        <v>54</v>
      </c>
      <c r="BS1196" s="15" t="n">
        <v>54</v>
      </c>
      <c r="CO1196" s="15" t="n">
        <v>54</v>
      </c>
      <c r="DK1196" s="15" t="n">
        <v>54</v>
      </c>
      <c r="EG1196" s="15" t="n">
        <v>54</v>
      </c>
      <c r="FC1196" s="15" t="n">
        <v>54</v>
      </c>
      <c r="FY1196" s="15" t="n">
        <v>54</v>
      </c>
      <c r="GU1196" s="15" t="n">
        <v>54</v>
      </c>
    </row>
    <row r="1197">
      <c r="C1197" s="15" t="n">
        <v>55</v>
      </c>
      <c r="AA1197" s="15" t="n">
        <v>55</v>
      </c>
      <c r="AW1197" s="15" t="n">
        <v>55</v>
      </c>
      <c r="BS1197" s="15" t="n">
        <v>55</v>
      </c>
      <c r="CO1197" s="15" t="n">
        <v>55</v>
      </c>
      <c r="DK1197" s="15" t="n">
        <v>55</v>
      </c>
      <c r="EG1197" s="15" t="n">
        <v>55</v>
      </c>
      <c r="FC1197" s="15" t="n">
        <v>55</v>
      </c>
      <c r="FY1197" s="15" t="n">
        <v>55</v>
      </c>
      <c r="GU1197" s="15" t="n">
        <v>55</v>
      </c>
    </row>
    <row r="1198">
      <c r="C1198" s="15" t="n">
        <v>56</v>
      </c>
      <c r="AA1198" s="15" t="n">
        <v>56</v>
      </c>
      <c r="AW1198" s="15" t="n">
        <v>56</v>
      </c>
      <c r="BS1198" s="15" t="n">
        <v>56</v>
      </c>
      <c r="CO1198" s="15" t="n">
        <v>56</v>
      </c>
      <c r="DK1198" s="15" t="n">
        <v>56</v>
      </c>
      <c r="EG1198" s="15" t="n">
        <v>56</v>
      </c>
      <c r="FC1198" s="15" t="n">
        <v>56</v>
      </c>
      <c r="FY1198" s="15" t="n">
        <v>56</v>
      </c>
      <c r="GU1198" s="15" t="n">
        <v>56</v>
      </c>
    </row>
    <row r="1199">
      <c r="C1199" s="15" t="n">
        <v>57</v>
      </c>
      <c r="AA1199" s="15" t="n">
        <v>57</v>
      </c>
      <c r="AW1199" s="15" t="n">
        <v>57</v>
      </c>
      <c r="BS1199" s="15" t="n">
        <v>57</v>
      </c>
      <c r="CO1199" s="15" t="n">
        <v>57</v>
      </c>
      <c r="DK1199" s="15" t="n">
        <v>57</v>
      </c>
      <c r="EG1199" s="15" t="n">
        <v>57</v>
      </c>
      <c r="FC1199" s="15" t="n">
        <v>57</v>
      </c>
      <c r="FY1199" s="15" t="n">
        <v>57</v>
      </c>
      <c r="GU1199" s="15" t="n">
        <v>57</v>
      </c>
    </row>
    <row r="1200">
      <c r="C1200" s="15" t="n">
        <v>58</v>
      </c>
      <c r="AA1200" s="15" t="n">
        <v>58</v>
      </c>
      <c r="AW1200" s="15" t="n">
        <v>58</v>
      </c>
      <c r="BS1200" s="15" t="n">
        <v>58</v>
      </c>
      <c r="CO1200" s="15" t="n">
        <v>58</v>
      </c>
      <c r="DK1200" s="15" t="n">
        <v>58</v>
      </c>
      <c r="EG1200" s="15" t="n">
        <v>58</v>
      </c>
      <c r="FC1200" s="15" t="n">
        <v>58</v>
      </c>
      <c r="FY1200" s="15" t="n">
        <v>58</v>
      </c>
      <c r="GU1200" s="15" t="n">
        <v>58</v>
      </c>
    </row>
    <row r="1201">
      <c r="C1201" s="15" t="n">
        <v>59</v>
      </c>
      <c r="AA1201" s="15" t="n">
        <v>59</v>
      </c>
      <c r="AW1201" s="15" t="n">
        <v>59</v>
      </c>
      <c r="BS1201" s="15" t="n">
        <v>59</v>
      </c>
      <c r="CO1201" s="15" t="n">
        <v>59</v>
      </c>
      <c r="DK1201" s="15" t="n">
        <v>59</v>
      </c>
      <c r="EG1201" s="15" t="n">
        <v>59</v>
      </c>
      <c r="FC1201" s="15" t="n">
        <v>59</v>
      </c>
      <c r="FY1201" s="15" t="n">
        <v>59</v>
      </c>
      <c r="GU1201" s="15" t="n">
        <v>59</v>
      </c>
    </row>
    <row r="1202">
      <c r="C1202" s="15" t="n">
        <v>60</v>
      </c>
      <c r="AA1202" s="15" t="n">
        <v>60</v>
      </c>
      <c r="AW1202" s="15" t="n">
        <v>60</v>
      </c>
      <c r="BS1202" s="15" t="n">
        <v>60</v>
      </c>
      <c r="CO1202" s="15" t="n">
        <v>60</v>
      </c>
      <c r="DK1202" s="15" t="n">
        <v>60</v>
      </c>
      <c r="EG1202" s="15" t="n">
        <v>60</v>
      </c>
      <c r="FC1202" s="15" t="n">
        <v>60</v>
      </c>
      <c r="FY1202" s="15" t="n">
        <v>60</v>
      </c>
      <c r="GU1202" s="15" t="n">
        <v>60</v>
      </c>
    </row>
    <row r="1203">
      <c r="C1203" s="15" t="n">
        <v>61</v>
      </c>
      <c r="AA1203" s="15" t="n">
        <v>61</v>
      </c>
      <c r="AW1203" s="15" t="n">
        <v>61</v>
      </c>
      <c r="BS1203" s="15" t="n">
        <v>61</v>
      </c>
      <c r="CO1203" s="15" t="n">
        <v>61</v>
      </c>
      <c r="DK1203" s="15" t="n">
        <v>61</v>
      </c>
      <c r="EG1203" s="15" t="n">
        <v>61</v>
      </c>
      <c r="FC1203" s="15" t="n">
        <v>61</v>
      </c>
      <c r="FY1203" s="15" t="n">
        <v>61</v>
      </c>
      <c r="GU1203" s="15" t="n">
        <v>61</v>
      </c>
    </row>
    <row r="1204">
      <c r="C1204" s="15" t="n">
        <v>62</v>
      </c>
      <c r="AA1204" s="15" t="n">
        <v>62</v>
      </c>
      <c r="AW1204" s="15" t="n">
        <v>62</v>
      </c>
      <c r="BS1204" s="15" t="n">
        <v>62</v>
      </c>
      <c r="CO1204" s="15" t="n">
        <v>62</v>
      </c>
      <c r="DK1204" s="15" t="n">
        <v>62</v>
      </c>
      <c r="EG1204" s="15" t="n">
        <v>62</v>
      </c>
      <c r="FC1204" s="15" t="n">
        <v>62</v>
      </c>
      <c r="FY1204" s="15" t="n">
        <v>62</v>
      </c>
      <c r="GU1204" s="15" t="n">
        <v>62</v>
      </c>
    </row>
    <row r="1205">
      <c r="C1205" s="15" t="n">
        <v>63</v>
      </c>
      <c r="AA1205" s="15" t="n">
        <v>63</v>
      </c>
      <c r="AW1205" s="15" t="n">
        <v>63</v>
      </c>
      <c r="BS1205" s="15" t="n">
        <v>63</v>
      </c>
      <c r="CO1205" s="15" t="n">
        <v>63</v>
      </c>
      <c r="DK1205" s="15" t="n">
        <v>63</v>
      </c>
      <c r="EG1205" s="15" t="n">
        <v>63</v>
      </c>
      <c r="FC1205" s="15" t="n">
        <v>63</v>
      </c>
      <c r="FY1205" s="15" t="n">
        <v>63</v>
      </c>
      <c r="GU1205" s="15" t="n">
        <v>63</v>
      </c>
    </row>
    <row r="1206">
      <c r="C1206" s="15" t="n">
        <v>64</v>
      </c>
      <c r="AA1206" s="15" t="n">
        <v>64</v>
      </c>
      <c r="AW1206" s="15" t="n">
        <v>64</v>
      </c>
      <c r="BS1206" s="15" t="n">
        <v>64</v>
      </c>
      <c r="CO1206" s="15" t="n">
        <v>64</v>
      </c>
      <c r="DK1206" s="15" t="n">
        <v>64</v>
      </c>
      <c r="EG1206" s="15" t="n">
        <v>64</v>
      </c>
      <c r="FC1206" s="15" t="n">
        <v>64</v>
      </c>
      <c r="FY1206" s="15" t="n">
        <v>64</v>
      </c>
      <c r="GU1206" s="15" t="n">
        <v>64</v>
      </c>
    </row>
    <row r="1207">
      <c r="C1207" s="15" t="n">
        <v>65</v>
      </c>
      <c r="AA1207" s="15" t="n">
        <v>65</v>
      </c>
      <c r="AW1207" s="15" t="n">
        <v>65</v>
      </c>
      <c r="BS1207" s="15" t="n">
        <v>65</v>
      </c>
      <c r="CO1207" s="15" t="n">
        <v>65</v>
      </c>
      <c r="DK1207" s="15" t="n">
        <v>65</v>
      </c>
      <c r="EG1207" s="15" t="n">
        <v>65</v>
      </c>
      <c r="FC1207" s="15" t="n">
        <v>65</v>
      </c>
      <c r="FY1207" s="15" t="n">
        <v>65</v>
      </c>
      <c r="GU1207" s="15" t="n">
        <v>65</v>
      </c>
    </row>
    <row r="1208">
      <c r="C1208" s="15" t="n">
        <v>66</v>
      </c>
      <c r="AA1208" s="15" t="n">
        <v>66</v>
      </c>
      <c r="AW1208" s="15" t="n">
        <v>66</v>
      </c>
      <c r="BS1208" s="15" t="n">
        <v>66</v>
      </c>
      <c r="CO1208" s="15" t="n">
        <v>66</v>
      </c>
      <c r="DK1208" s="15" t="n">
        <v>66</v>
      </c>
      <c r="EG1208" s="15" t="n">
        <v>66</v>
      </c>
      <c r="FC1208" s="15" t="n">
        <v>66</v>
      </c>
      <c r="FY1208" s="15" t="n">
        <v>66</v>
      </c>
      <c r="GU1208" s="15" t="n">
        <v>66</v>
      </c>
    </row>
    <row r="1209">
      <c r="C1209" s="15" t="n">
        <v>67</v>
      </c>
      <c r="AA1209" s="15" t="n">
        <v>67</v>
      </c>
      <c r="AW1209" s="15" t="n">
        <v>67</v>
      </c>
      <c r="BS1209" s="15" t="n">
        <v>67</v>
      </c>
      <c r="CO1209" s="15" t="n">
        <v>67</v>
      </c>
      <c r="DK1209" s="15" t="n">
        <v>67</v>
      </c>
      <c r="EG1209" s="15" t="n">
        <v>67</v>
      </c>
      <c r="FC1209" s="15" t="n">
        <v>67</v>
      </c>
      <c r="FY1209" s="15" t="n">
        <v>67</v>
      </c>
      <c r="GU1209" s="15" t="n">
        <v>67</v>
      </c>
    </row>
    <row r="1210">
      <c r="C1210" s="15" t="n">
        <v>68</v>
      </c>
      <c r="AA1210" s="15" t="n">
        <v>68</v>
      </c>
      <c r="AW1210" s="15" t="n">
        <v>68</v>
      </c>
      <c r="BS1210" s="15" t="n">
        <v>68</v>
      </c>
      <c r="CO1210" s="15" t="n">
        <v>68</v>
      </c>
      <c r="DK1210" s="15" t="n">
        <v>68</v>
      </c>
      <c r="EG1210" s="15" t="n">
        <v>68</v>
      </c>
      <c r="FC1210" s="15" t="n">
        <v>68</v>
      </c>
      <c r="FY1210" s="15" t="n">
        <v>68</v>
      </c>
      <c r="GU1210" s="15" t="n">
        <v>68</v>
      </c>
    </row>
    <row r="1211">
      <c r="C1211" s="15" t="n">
        <v>69</v>
      </c>
      <c r="AA1211" s="15" t="n">
        <v>69</v>
      </c>
      <c r="AW1211" s="15" t="n">
        <v>69</v>
      </c>
      <c r="BS1211" s="15" t="n">
        <v>69</v>
      </c>
      <c r="CO1211" s="15" t="n">
        <v>69</v>
      </c>
      <c r="DK1211" s="15" t="n">
        <v>69</v>
      </c>
      <c r="EG1211" s="15" t="n">
        <v>69</v>
      </c>
      <c r="FC1211" s="15" t="n">
        <v>69</v>
      </c>
      <c r="FY1211" s="15" t="n">
        <v>69</v>
      </c>
      <c r="GU1211" s="15" t="n">
        <v>69</v>
      </c>
    </row>
    <row r="1212">
      <c r="C1212" s="15" t="n">
        <v>70</v>
      </c>
      <c r="AA1212" s="15" t="n">
        <v>70</v>
      </c>
      <c r="AW1212" s="15" t="n">
        <v>70</v>
      </c>
      <c r="BS1212" s="15" t="n">
        <v>70</v>
      </c>
      <c r="CO1212" s="15" t="n">
        <v>70</v>
      </c>
      <c r="DK1212" s="15" t="n">
        <v>70</v>
      </c>
      <c r="EG1212" s="15" t="n">
        <v>70</v>
      </c>
      <c r="FC1212" s="15" t="n">
        <v>70</v>
      </c>
      <c r="FY1212" s="15" t="n">
        <v>70</v>
      </c>
      <c r="GU1212" s="15" t="n">
        <v>70</v>
      </c>
    </row>
    <row r="1213">
      <c r="C1213" s="15" t="n">
        <v>71</v>
      </c>
      <c r="AA1213" s="15" t="n">
        <v>71</v>
      </c>
      <c r="AW1213" s="15" t="n">
        <v>71</v>
      </c>
      <c r="BS1213" s="15" t="n">
        <v>71</v>
      </c>
      <c r="CO1213" s="15" t="n">
        <v>71</v>
      </c>
      <c r="DK1213" s="15" t="n">
        <v>71</v>
      </c>
      <c r="EG1213" s="15" t="n">
        <v>71</v>
      </c>
      <c r="FC1213" s="15" t="n">
        <v>71</v>
      </c>
      <c r="FY1213" s="15" t="n">
        <v>71</v>
      </c>
      <c r="GU1213" s="15" t="n">
        <v>71</v>
      </c>
    </row>
    <row r="1214">
      <c r="C1214" s="15" t="n">
        <v>72</v>
      </c>
      <c r="AA1214" s="15" t="n">
        <v>72</v>
      </c>
      <c r="AW1214" s="15" t="n">
        <v>72</v>
      </c>
      <c r="BS1214" s="15" t="n">
        <v>72</v>
      </c>
      <c r="CO1214" s="15" t="n">
        <v>72</v>
      </c>
      <c r="DK1214" s="15" t="n">
        <v>72</v>
      </c>
      <c r="EG1214" s="15" t="n">
        <v>72</v>
      </c>
      <c r="FC1214" s="15" t="n">
        <v>72</v>
      </c>
      <c r="FY1214" s="15" t="n">
        <v>72</v>
      </c>
      <c r="GU1214" s="15" t="n">
        <v>72</v>
      </c>
    </row>
    <row r="1215">
      <c r="C1215" s="15" t="n">
        <v>73</v>
      </c>
      <c r="AA1215" s="15" t="n">
        <v>73</v>
      </c>
      <c r="AW1215" s="15" t="n">
        <v>73</v>
      </c>
      <c r="BS1215" s="15" t="n">
        <v>73</v>
      </c>
      <c r="CO1215" s="15" t="n">
        <v>73</v>
      </c>
      <c r="DK1215" s="15" t="n">
        <v>73</v>
      </c>
      <c r="EG1215" s="15" t="n">
        <v>73</v>
      </c>
      <c r="FC1215" s="15" t="n">
        <v>73</v>
      </c>
      <c r="FY1215" s="15" t="n">
        <v>73</v>
      </c>
      <c r="GU1215" s="15" t="n">
        <v>73</v>
      </c>
    </row>
    <row r="1216">
      <c r="C1216" s="15" t="n">
        <v>74</v>
      </c>
      <c r="AA1216" s="15" t="n">
        <v>74</v>
      </c>
      <c r="AW1216" s="15" t="n">
        <v>74</v>
      </c>
      <c r="BS1216" s="15" t="n">
        <v>74</v>
      </c>
      <c r="CO1216" s="15" t="n">
        <v>74</v>
      </c>
      <c r="DK1216" s="15" t="n">
        <v>74</v>
      </c>
      <c r="EG1216" s="15" t="n">
        <v>74</v>
      </c>
      <c r="FC1216" s="15" t="n">
        <v>74</v>
      </c>
      <c r="FY1216" s="15" t="n">
        <v>74</v>
      </c>
      <c r="GU1216" s="15" t="n">
        <v>74</v>
      </c>
    </row>
    <row r="1217">
      <c r="C1217" s="15" t="n">
        <v>75</v>
      </c>
      <c r="AA1217" s="15" t="n">
        <v>75</v>
      </c>
      <c r="AW1217" s="15" t="n">
        <v>75</v>
      </c>
      <c r="BS1217" s="15" t="n">
        <v>75</v>
      </c>
      <c r="CO1217" s="15" t="n">
        <v>75</v>
      </c>
      <c r="DK1217" s="15" t="n">
        <v>75</v>
      </c>
      <c r="EG1217" s="15" t="n">
        <v>75</v>
      </c>
      <c r="FC1217" s="15" t="n">
        <v>75</v>
      </c>
      <c r="FY1217" s="15" t="n">
        <v>75</v>
      </c>
      <c r="GU1217" s="15" t="n">
        <v>75</v>
      </c>
    </row>
    <row r="1218">
      <c r="C1218" s="15" t="n">
        <v>76</v>
      </c>
      <c r="AA1218" s="15" t="n">
        <v>76</v>
      </c>
      <c r="AW1218" s="15" t="n">
        <v>76</v>
      </c>
      <c r="BS1218" s="15" t="n">
        <v>76</v>
      </c>
      <c r="CO1218" s="15" t="n">
        <v>76</v>
      </c>
      <c r="DK1218" s="15" t="n">
        <v>76</v>
      </c>
      <c r="EG1218" s="15" t="n">
        <v>76</v>
      </c>
      <c r="FC1218" s="15" t="n">
        <v>76</v>
      </c>
      <c r="FY1218" s="15" t="n">
        <v>76</v>
      </c>
      <c r="GU1218" s="15" t="n">
        <v>76</v>
      </c>
    </row>
    <row r="1219">
      <c r="C1219" s="15" t="n">
        <v>77</v>
      </c>
      <c r="AA1219" s="15" t="n">
        <v>77</v>
      </c>
      <c r="AW1219" s="15" t="n">
        <v>77</v>
      </c>
      <c r="BS1219" s="15" t="n">
        <v>77</v>
      </c>
      <c r="CO1219" s="15" t="n">
        <v>77</v>
      </c>
      <c r="DK1219" s="15" t="n">
        <v>77</v>
      </c>
      <c r="EG1219" s="15" t="n">
        <v>77</v>
      </c>
      <c r="FC1219" s="15" t="n">
        <v>77</v>
      </c>
      <c r="FY1219" s="15" t="n">
        <v>77</v>
      </c>
      <c r="GU1219" s="15" t="n">
        <v>77</v>
      </c>
    </row>
    <row r="1220">
      <c r="C1220" s="15" t="n">
        <v>78</v>
      </c>
      <c r="AA1220" s="15" t="n">
        <v>78</v>
      </c>
      <c r="AW1220" s="15" t="n">
        <v>78</v>
      </c>
      <c r="BS1220" s="15" t="n">
        <v>78</v>
      </c>
      <c r="CO1220" s="15" t="n">
        <v>78</v>
      </c>
      <c r="DK1220" s="15" t="n">
        <v>78</v>
      </c>
      <c r="EG1220" s="15" t="n">
        <v>78</v>
      </c>
      <c r="FC1220" s="15" t="n">
        <v>78</v>
      </c>
      <c r="FY1220" s="15" t="n">
        <v>78</v>
      </c>
      <c r="GU1220" s="15" t="n">
        <v>78</v>
      </c>
    </row>
    <row r="1221">
      <c r="C1221" s="15" t="n">
        <v>79</v>
      </c>
      <c r="AA1221" s="15" t="n">
        <v>79</v>
      </c>
      <c r="AW1221" s="15" t="n">
        <v>79</v>
      </c>
      <c r="BS1221" s="15" t="n">
        <v>79</v>
      </c>
      <c r="CO1221" s="15" t="n">
        <v>79</v>
      </c>
      <c r="DK1221" s="15" t="n">
        <v>79</v>
      </c>
      <c r="EG1221" s="15" t="n">
        <v>79</v>
      </c>
      <c r="FC1221" s="15" t="n">
        <v>79</v>
      </c>
      <c r="FY1221" s="15" t="n">
        <v>79</v>
      </c>
      <c r="GU1221" s="15" t="n">
        <v>79</v>
      </c>
    </row>
    <row r="1222">
      <c r="C1222" s="15" t="n">
        <v>80</v>
      </c>
      <c r="AA1222" s="15" t="n">
        <v>80</v>
      </c>
      <c r="AW1222" s="15" t="n">
        <v>80</v>
      </c>
      <c r="BS1222" s="15" t="n">
        <v>80</v>
      </c>
      <c r="CO1222" s="15" t="n">
        <v>80</v>
      </c>
      <c r="DK1222" s="15" t="n">
        <v>80</v>
      </c>
      <c r="EG1222" s="15" t="n">
        <v>80</v>
      </c>
      <c r="FC1222" s="15" t="n">
        <v>80</v>
      </c>
      <c r="FY1222" s="15" t="n">
        <v>80</v>
      </c>
      <c r="GU1222" s="15" t="n">
        <v>80</v>
      </c>
    </row>
    <row r="1223">
      <c r="C1223" s="15" t="n">
        <v>81</v>
      </c>
      <c r="AA1223" s="15" t="n">
        <v>81</v>
      </c>
      <c r="AW1223" s="15" t="n">
        <v>81</v>
      </c>
      <c r="BS1223" s="15" t="n">
        <v>81</v>
      </c>
      <c r="CO1223" s="15" t="n">
        <v>81</v>
      </c>
      <c r="DK1223" s="15" t="n">
        <v>81</v>
      </c>
      <c r="EG1223" s="15" t="n">
        <v>81</v>
      </c>
      <c r="FC1223" s="15" t="n">
        <v>81</v>
      </c>
      <c r="FY1223" s="15" t="n">
        <v>81</v>
      </c>
      <c r="GU1223" s="15" t="n">
        <v>81</v>
      </c>
    </row>
    <row r="1224">
      <c r="C1224" s="15" t="n">
        <v>82</v>
      </c>
      <c r="AA1224" s="15" t="n">
        <v>82</v>
      </c>
      <c r="AW1224" s="15" t="n">
        <v>82</v>
      </c>
      <c r="BS1224" s="15" t="n">
        <v>82</v>
      </c>
      <c r="CO1224" s="15" t="n">
        <v>82</v>
      </c>
      <c r="DK1224" s="15" t="n">
        <v>82</v>
      </c>
      <c r="EG1224" s="15" t="n">
        <v>82</v>
      </c>
      <c r="FC1224" s="15" t="n">
        <v>82</v>
      </c>
      <c r="FY1224" s="15" t="n">
        <v>82</v>
      </c>
      <c r="GU1224" s="15" t="n">
        <v>82</v>
      </c>
    </row>
    <row r="1225">
      <c r="C1225" s="15" t="n">
        <v>83</v>
      </c>
      <c r="AA1225" s="15" t="n">
        <v>83</v>
      </c>
      <c r="AW1225" s="15" t="n">
        <v>83</v>
      </c>
      <c r="BS1225" s="15" t="n">
        <v>83</v>
      </c>
      <c r="CO1225" s="15" t="n">
        <v>83</v>
      </c>
      <c r="DK1225" s="15" t="n">
        <v>83</v>
      </c>
      <c r="EG1225" s="15" t="n">
        <v>83</v>
      </c>
      <c r="FC1225" s="15" t="n">
        <v>83</v>
      </c>
      <c r="FY1225" s="15" t="n">
        <v>83</v>
      </c>
      <c r="GU1225" s="15" t="n">
        <v>83</v>
      </c>
    </row>
    <row r="1226">
      <c r="C1226" s="15" t="n">
        <v>84</v>
      </c>
      <c r="AA1226" s="15" t="n">
        <v>84</v>
      </c>
      <c r="AW1226" s="15" t="n">
        <v>84</v>
      </c>
      <c r="BS1226" s="15" t="n">
        <v>84</v>
      </c>
      <c r="CO1226" s="15" t="n">
        <v>84</v>
      </c>
      <c r="DK1226" s="15" t="n">
        <v>84</v>
      </c>
      <c r="EG1226" s="15" t="n">
        <v>84</v>
      </c>
      <c r="FC1226" s="15" t="n">
        <v>84</v>
      </c>
      <c r="FY1226" s="15" t="n">
        <v>84</v>
      </c>
      <c r="GU1226" s="15" t="n">
        <v>84</v>
      </c>
    </row>
    <row r="1227">
      <c r="C1227" s="15" t="n">
        <v>85</v>
      </c>
      <c r="AA1227" s="15" t="n">
        <v>85</v>
      </c>
      <c r="AW1227" s="15" t="n">
        <v>85</v>
      </c>
      <c r="BS1227" s="15" t="n">
        <v>85</v>
      </c>
      <c r="CO1227" s="15" t="n">
        <v>85</v>
      </c>
      <c r="DK1227" s="15" t="n">
        <v>85</v>
      </c>
      <c r="EG1227" s="15" t="n">
        <v>85</v>
      </c>
      <c r="FC1227" s="15" t="n">
        <v>85</v>
      </c>
      <c r="FY1227" s="15" t="n">
        <v>85</v>
      </c>
      <c r="GU1227" s="15" t="n">
        <v>85</v>
      </c>
    </row>
    <row r="1228">
      <c r="C1228" s="15" t="n">
        <v>86</v>
      </c>
      <c r="AA1228" s="15" t="n">
        <v>86</v>
      </c>
      <c r="AW1228" s="15" t="n">
        <v>86</v>
      </c>
      <c r="BS1228" s="15" t="n">
        <v>86</v>
      </c>
      <c r="CO1228" s="15" t="n">
        <v>86</v>
      </c>
      <c r="DK1228" s="15" t="n">
        <v>86</v>
      </c>
      <c r="EG1228" s="15" t="n">
        <v>86</v>
      </c>
      <c r="FC1228" s="15" t="n">
        <v>86</v>
      </c>
      <c r="FY1228" s="15" t="n">
        <v>86</v>
      </c>
      <c r="GU1228" s="15" t="n">
        <v>86</v>
      </c>
    </row>
    <row r="1229">
      <c r="C1229" s="15" t="n">
        <v>87</v>
      </c>
      <c r="AA1229" s="15" t="n">
        <v>87</v>
      </c>
      <c r="AW1229" s="15" t="n">
        <v>87</v>
      </c>
      <c r="BS1229" s="15" t="n">
        <v>87</v>
      </c>
      <c r="CO1229" s="15" t="n">
        <v>87</v>
      </c>
      <c r="DK1229" s="15" t="n">
        <v>87</v>
      </c>
      <c r="EG1229" s="15" t="n">
        <v>87</v>
      </c>
      <c r="FC1229" s="15" t="n">
        <v>87</v>
      </c>
      <c r="FY1229" s="15" t="n">
        <v>87</v>
      </c>
      <c r="GU1229" s="15" t="n">
        <v>87</v>
      </c>
    </row>
    <row r="1230">
      <c r="C1230" s="15" t="n">
        <v>88</v>
      </c>
      <c r="AA1230" s="15" t="n">
        <v>88</v>
      </c>
      <c r="AW1230" s="15" t="n">
        <v>88</v>
      </c>
      <c r="BS1230" s="15" t="n">
        <v>88</v>
      </c>
      <c r="CO1230" s="15" t="n">
        <v>88</v>
      </c>
      <c r="DK1230" s="15" t="n">
        <v>88</v>
      </c>
      <c r="EG1230" s="15" t="n">
        <v>88</v>
      </c>
      <c r="FC1230" s="15" t="n">
        <v>88</v>
      </c>
      <c r="FY1230" s="15" t="n">
        <v>88</v>
      </c>
      <c r="GU1230" s="15" t="n">
        <v>88</v>
      </c>
    </row>
    <row r="1231">
      <c r="C1231" s="15" t="n">
        <v>89</v>
      </c>
      <c r="AA1231" s="15" t="n">
        <v>89</v>
      </c>
      <c r="AW1231" s="15" t="n">
        <v>89</v>
      </c>
      <c r="BS1231" s="15" t="n">
        <v>89</v>
      </c>
      <c r="CO1231" s="15" t="n">
        <v>89</v>
      </c>
      <c r="DK1231" s="15" t="n">
        <v>89</v>
      </c>
      <c r="EG1231" s="15" t="n">
        <v>89</v>
      </c>
      <c r="FC1231" s="15" t="n">
        <v>89</v>
      </c>
      <c r="FY1231" s="15" t="n">
        <v>89</v>
      </c>
      <c r="GU1231" s="15" t="n">
        <v>89</v>
      </c>
    </row>
    <row r="1232">
      <c r="C1232" s="15" t="n">
        <v>90</v>
      </c>
      <c r="AA1232" s="15" t="n">
        <v>90</v>
      </c>
      <c r="AW1232" s="15" t="n">
        <v>90</v>
      </c>
      <c r="BS1232" s="15" t="n">
        <v>90</v>
      </c>
      <c r="CO1232" s="15" t="n">
        <v>90</v>
      </c>
      <c r="DK1232" s="15" t="n">
        <v>90</v>
      </c>
      <c r="EG1232" s="15" t="n">
        <v>90</v>
      </c>
      <c r="FC1232" s="15" t="n">
        <v>90</v>
      </c>
      <c r="FY1232" s="15" t="n">
        <v>90</v>
      </c>
      <c r="GU1232" s="15" t="n">
        <v>90</v>
      </c>
    </row>
    <row r="1233">
      <c r="C1233" s="15" t="n">
        <v>91</v>
      </c>
      <c r="AA1233" s="15" t="n">
        <v>91</v>
      </c>
      <c r="AW1233" s="15" t="n">
        <v>91</v>
      </c>
      <c r="BS1233" s="15" t="n">
        <v>91</v>
      </c>
      <c r="CO1233" s="15" t="n">
        <v>91</v>
      </c>
      <c r="DK1233" s="15" t="n">
        <v>91</v>
      </c>
      <c r="EG1233" s="15" t="n">
        <v>91</v>
      </c>
      <c r="FC1233" s="15" t="n">
        <v>91</v>
      </c>
      <c r="FY1233" s="15" t="n">
        <v>91</v>
      </c>
      <c r="GU1233" s="15" t="n">
        <v>91</v>
      </c>
    </row>
    <row r="1234">
      <c r="C1234" s="15" t="n">
        <v>92</v>
      </c>
      <c r="AA1234" s="15" t="n">
        <v>92</v>
      </c>
      <c r="AW1234" s="15" t="n">
        <v>92</v>
      </c>
      <c r="BS1234" s="15" t="n">
        <v>92</v>
      </c>
      <c r="CO1234" s="15" t="n">
        <v>92</v>
      </c>
      <c r="DK1234" s="15" t="n">
        <v>92</v>
      </c>
      <c r="EG1234" s="15" t="n">
        <v>92</v>
      </c>
      <c r="FC1234" s="15" t="n">
        <v>92</v>
      </c>
      <c r="FY1234" s="15" t="n">
        <v>92</v>
      </c>
      <c r="GU1234" s="15" t="n">
        <v>92</v>
      </c>
    </row>
    <row r="1235">
      <c r="C1235" s="15" t="n">
        <v>93</v>
      </c>
      <c r="AA1235" s="15" t="n">
        <v>93</v>
      </c>
      <c r="AW1235" s="15" t="n">
        <v>93</v>
      </c>
      <c r="BS1235" s="15" t="n">
        <v>93</v>
      </c>
      <c r="CO1235" s="15" t="n">
        <v>93</v>
      </c>
      <c r="DK1235" s="15" t="n">
        <v>93</v>
      </c>
      <c r="EG1235" s="15" t="n">
        <v>93</v>
      </c>
      <c r="FC1235" s="15" t="n">
        <v>93</v>
      </c>
      <c r="FY1235" s="15" t="n">
        <v>93</v>
      </c>
      <c r="GU1235" s="15" t="n">
        <v>93</v>
      </c>
    </row>
    <row r="1236">
      <c r="C1236" s="15" t="n">
        <v>94</v>
      </c>
      <c r="AA1236" s="15" t="n">
        <v>94</v>
      </c>
      <c r="AW1236" s="15" t="n">
        <v>94</v>
      </c>
      <c r="BS1236" s="15" t="n">
        <v>94</v>
      </c>
      <c r="CO1236" s="15" t="n">
        <v>94</v>
      </c>
      <c r="DK1236" s="15" t="n">
        <v>94</v>
      </c>
      <c r="EG1236" s="15" t="n">
        <v>94</v>
      </c>
      <c r="FC1236" s="15" t="n">
        <v>94</v>
      </c>
      <c r="FY1236" s="15" t="n">
        <v>94</v>
      </c>
      <c r="GU1236" s="15" t="n">
        <v>94</v>
      </c>
    </row>
    <row r="1237">
      <c r="C1237" s="15" t="n">
        <v>95</v>
      </c>
      <c r="AA1237" s="15" t="n">
        <v>95</v>
      </c>
      <c r="AW1237" s="15" t="n">
        <v>95</v>
      </c>
      <c r="BS1237" s="15" t="n">
        <v>95</v>
      </c>
      <c r="CO1237" s="15" t="n">
        <v>95</v>
      </c>
      <c r="DK1237" s="15" t="n">
        <v>95</v>
      </c>
      <c r="EG1237" s="15" t="n">
        <v>95</v>
      </c>
      <c r="FC1237" s="15" t="n">
        <v>95</v>
      </c>
      <c r="FY1237" s="15" t="n">
        <v>95</v>
      </c>
      <c r="GU1237" s="15" t="n">
        <v>95</v>
      </c>
    </row>
    <row r="1238">
      <c r="C1238" s="15" t="n">
        <v>96</v>
      </c>
      <c r="AA1238" s="15" t="n">
        <v>96</v>
      </c>
      <c r="AW1238" s="15" t="n">
        <v>96</v>
      </c>
      <c r="BS1238" s="15" t="n">
        <v>96</v>
      </c>
      <c r="CO1238" s="15" t="n">
        <v>96</v>
      </c>
      <c r="DK1238" s="15" t="n">
        <v>96</v>
      </c>
      <c r="EG1238" s="15" t="n">
        <v>96</v>
      </c>
      <c r="FC1238" s="15" t="n">
        <v>96</v>
      </c>
      <c r="FY1238" s="15" t="n">
        <v>96</v>
      </c>
      <c r="GU1238" s="15" t="n">
        <v>96</v>
      </c>
    </row>
    <row r="1239">
      <c r="C1239" s="15" t="n">
        <v>97</v>
      </c>
      <c r="AA1239" s="15" t="n">
        <v>97</v>
      </c>
      <c r="AW1239" s="15" t="n">
        <v>97</v>
      </c>
      <c r="BS1239" s="15" t="n">
        <v>97</v>
      </c>
      <c r="CO1239" s="15" t="n">
        <v>97</v>
      </c>
      <c r="DK1239" s="15" t="n">
        <v>97</v>
      </c>
      <c r="EG1239" s="15" t="n">
        <v>97</v>
      </c>
      <c r="FC1239" s="15" t="n">
        <v>97</v>
      </c>
      <c r="FY1239" s="15" t="n">
        <v>97</v>
      </c>
      <c r="GU1239" s="15" t="n">
        <v>97</v>
      </c>
    </row>
    <row r="1240">
      <c r="C1240" s="15" t="n">
        <v>98</v>
      </c>
      <c r="AA1240" s="15" t="n">
        <v>98</v>
      </c>
      <c r="AW1240" s="15" t="n">
        <v>98</v>
      </c>
      <c r="BS1240" s="15" t="n">
        <v>98</v>
      </c>
      <c r="CO1240" s="15" t="n">
        <v>98</v>
      </c>
      <c r="DK1240" s="15" t="n">
        <v>98</v>
      </c>
      <c r="EG1240" s="15" t="n">
        <v>98</v>
      </c>
      <c r="FC1240" s="15" t="n">
        <v>98</v>
      </c>
      <c r="FY1240" s="15" t="n">
        <v>98</v>
      </c>
      <c r="GU1240" s="15" t="n">
        <v>98</v>
      </c>
    </row>
    <row r="1241">
      <c r="C1241" s="15" t="n">
        <v>99</v>
      </c>
      <c r="AA1241" s="15" t="n">
        <v>99</v>
      </c>
      <c r="AW1241" s="15" t="n">
        <v>99</v>
      </c>
      <c r="BS1241" s="15" t="n">
        <v>99</v>
      </c>
      <c r="CO1241" s="15" t="n">
        <v>99</v>
      </c>
      <c r="DK1241" s="15" t="n">
        <v>99</v>
      </c>
      <c r="EG1241" s="15" t="n">
        <v>99</v>
      </c>
      <c r="FC1241" s="15" t="n">
        <v>99</v>
      </c>
      <c r="FY1241" s="15" t="n">
        <v>99</v>
      </c>
      <c r="GU1241" s="15" t="n">
        <v>99</v>
      </c>
    </row>
    <row r="1242">
      <c r="C1242" s="15" t="n">
        <v>100</v>
      </c>
      <c r="AA1242" s="15" t="n">
        <v>100</v>
      </c>
      <c r="AW1242" s="15" t="n">
        <v>100</v>
      </c>
      <c r="BS1242" s="15" t="n">
        <v>100</v>
      </c>
      <c r="CO1242" s="15" t="n">
        <v>100</v>
      </c>
      <c r="DK1242" s="15" t="n">
        <v>100</v>
      </c>
      <c r="EG1242" s="15" t="n">
        <v>100</v>
      </c>
      <c r="FC1242" s="15" t="n">
        <v>100</v>
      </c>
      <c r="FY1242" s="15" t="n">
        <v>100</v>
      </c>
      <c r="GU1242" s="15" t="n">
        <v>100</v>
      </c>
    </row>
    <row r="1243">
      <c r="C1243" s="15" t="n">
        <v>101</v>
      </c>
      <c r="AA1243" s="15" t="n">
        <v>101</v>
      </c>
      <c r="AW1243" s="15" t="n">
        <v>101</v>
      </c>
      <c r="BS1243" s="15" t="n">
        <v>101</v>
      </c>
      <c r="CO1243" s="15" t="n">
        <v>101</v>
      </c>
      <c r="DK1243" s="15" t="n">
        <v>101</v>
      </c>
      <c r="EG1243" s="15" t="n">
        <v>101</v>
      </c>
      <c r="FC1243" s="15" t="n">
        <v>101</v>
      </c>
      <c r="FY1243" s="15" t="n">
        <v>101</v>
      </c>
      <c r="GU1243" s="15" t="n">
        <v>101</v>
      </c>
    </row>
    <row r="1244">
      <c r="C1244" s="15" t="n">
        <v>102</v>
      </c>
      <c r="AA1244" s="15" t="n">
        <v>102</v>
      </c>
      <c r="AW1244" s="15" t="n">
        <v>102</v>
      </c>
      <c r="BS1244" s="15" t="n">
        <v>102</v>
      </c>
      <c r="CO1244" s="15" t="n">
        <v>102</v>
      </c>
      <c r="DK1244" s="15" t="n">
        <v>102</v>
      </c>
      <c r="EG1244" s="15" t="n">
        <v>102</v>
      </c>
      <c r="FC1244" s="15" t="n">
        <v>102</v>
      </c>
      <c r="FY1244" s="15" t="n">
        <v>102</v>
      </c>
      <c r="GU1244" s="15" t="n">
        <v>102</v>
      </c>
    </row>
    <row r="1245">
      <c r="C1245" s="15" t="n">
        <v>103</v>
      </c>
      <c r="AA1245" s="15" t="n">
        <v>103</v>
      </c>
      <c r="AW1245" s="15" t="n">
        <v>103</v>
      </c>
      <c r="BS1245" s="15" t="n">
        <v>103</v>
      </c>
      <c r="CO1245" s="15" t="n">
        <v>103</v>
      </c>
      <c r="DK1245" s="15" t="n">
        <v>103</v>
      </c>
      <c r="EG1245" s="15" t="n">
        <v>103</v>
      </c>
      <c r="FC1245" s="15" t="n">
        <v>103</v>
      </c>
      <c r="FY1245" s="15" t="n">
        <v>103</v>
      </c>
      <c r="GU1245" s="15" t="n">
        <v>103</v>
      </c>
    </row>
    <row r="1246">
      <c r="C1246" s="15" t="n">
        <v>104</v>
      </c>
      <c r="AA1246" s="15" t="n">
        <v>104</v>
      </c>
      <c r="AW1246" s="15" t="n">
        <v>104</v>
      </c>
      <c r="BS1246" s="15" t="n">
        <v>104</v>
      </c>
      <c r="CO1246" s="15" t="n">
        <v>104</v>
      </c>
      <c r="DK1246" s="15" t="n">
        <v>104</v>
      </c>
      <c r="EG1246" s="15" t="n">
        <v>104</v>
      </c>
      <c r="FC1246" s="15" t="n">
        <v>104</v>
      </c>
      <c r="FY1246" s="15" t="n">
        <v>104</v>
      </c>
      <c r="GU1246" s="15" t="n">
        <v>104</v>
      </c>
    </row>
    <row r="1247">
      <c r="C1247" s="15" t="n">
        <v>105</v>
      </c>
      <c r="AA1247" s="15" t="n">
        <v>105</v>
      </c>
      <c r="AW1247" s="15" t="n">
        <v>105</v>
      </c>
      <c r="BS1247" s="15" t="n">
        <v>105</v>
      </c>
      <c r="CO1247" s="15" t="n">
        <v>105</v>
      </c>
      <c r="DK1247" s="15" t="n">
        <v>105</v>
      </c>
      <c r="EG1247" s="15" t="n">
        <v>105</v>
      </c>
      <c r="FC1247" s="15" t="n">
        <v>105</v>
      </c>
      <c r="FY1247" s="15" t="n">
        <v>105</v>
      </c>
      <c r="GU1247" s="15" t="n">
        <v>105</v>
      </c>
    </row>
    <row r="1248">
      <c r="C1248" s="15" t="n">
        <v>106</v>
      </c>
      <c r="AA1248" s="15" t="n">
        <v>106</v>
      </c>
      <c r="AW1248" s="15" t="n">
        <v>106</v>
      </c>
      <c r="BS1248" s="15" t="n">
        <v>106</v>
      </c>
      <c r="CO1248" s="15" t="n">
        <v>106</v>
      </c>
      <c r="DK1248" s="15" t="n">
        <v>106</v>
      </c>
      <c r="EG1248" s="15" t="n">
        <v>106</v>
      </c>
      <c r="FC1248" s="15" t="n">
        <v>106</v>
      </c>
      <c r="FY1248" s="15" t="n">
        <v>106</v>
      </c>
      <c r="GU1248" s="15" t="n">
        <v>106</v>
      </c>
    </row>
    <row r="1249">
      <c r="C1249" s="15" t="n">
        <v>107</v>
      </c>
      <c r="AA1249" s="15" t="n">
        <v>107</v>
      </c>
      <c r="AW1249" s="15" t="n">
        <v>107</v>
      </c>
      <c r="BS1249" s="15" t="n">
        <v>107</v>
      </c>
      <c r="CO1249" s="15" t="n">
        <v>107</v>
      </c>
      <c r="DK1249" s="15" t="n">
        <v>107</v>
      </c>
      <c r="EG1249" s="15" t="n">
        <v>107</v>
      </c>
      <c r="FC1249" s="15" t="n">
        <v>107</v>
      </c>
      <c r="FY1249" s="15" t="n">
        <v>107</v>
      </c>
      <c r="GU1249" s="15" t="n">
        <v>107</v>
      </c>
    </row>
    <row r="1250">
      <c r="C1250" s="15" t="n">
        <v>108</v>
      </c>
      <c r="AA1250" s="15" t="n">
        <v>108</v>
      </c>
      <c r="AW1250" s="15" t="n">
        <v>108</v>
      </c>
      <c r="BS1250" s="15" t="n">
        <v>108</v>
      </c>
      <c r="CO1250" s="15" t="n">
        <v>108</v>
      </c>
      <c r="DK1250" s="15" t="n">
        <v>108</v>
      </c>
      <c r="EG1250" s="15" t="n">
        <v>108</v>
      </c>
      <c r="FC1250" s="15" t="n">
        <v>108</v>
      </c>
      <c r="FY1250" s="15" t="n">
        <v>108</v>
      </c>
      <c r="GU1250" s="15" t="n">
        <v>108</v>
      </c>
    </row>
    <row r="1251">
      <c r="C1251" s="15" t="n">
        <v>109</v>
      </c>
      <c r="AA1251" s="15" t="n">
        <v>109</v>
      </c>
      <c r="AW1251" s="15" t="n">
        <v>109</v>
      </c>
      <c r="BS1251" s="15" t="n">
        <v>109</v>
      </c>
      <c r="CO1251" s="15" t="n">
        <v>109</v>
      </c>
      <c r="DK1251" s="15" t="n">
        <v>109</v>
      </c>
      <c r="EG1251" s="15" t="n">
        <v>109</v>
      </c>
      <c r="FC1251" s="15" t="n">
        <v>109</v>
      </c>
      <c r="FY1251" s="15" t="n">
        <v>109</v>
      </c>
      <c r="GU1251" s="15" t="n">
        <v>109</v>
      </c>
    </row>
    <row r="1252">
      <c r="C1252" s="15" t="n">
        <v>110</v>
      </c>
      <c r="AA1252" s="15" t="n">
        <v>110</v>
      </c>
      <c r="AW1252" s="15" t="n">
        <v>110</v>
      </c>
      <c r="BS1252" s="15" t="n">
        <v>110</v>
      </c>
      <c r="CO1252" s="15" t="n">
        <v>110</v>
      </c>
      <c r="DK1252" s="15" t="n">
        <v>110</v>
      </c>
      <c r="EG1252" s="15" t="n">
        <v>110</v>
      </c>
      <c r="FC1252" s="15" t="n">
        <v>110</v>
      </c>
      <c r="FY1252" s="15" t="n">
        <v>110</v>
      </c>
      <c r="GU1252" s="15" t="n">
        <v>110</v>
      </c>
    </row>
    <row r="1253">
      <c r="C1253" s="15" t="n">
        <v>111</v>
      </c>
      <c r="AA1253" s="15" t="n">
        <v>111</v>
      </c>
      <c r="AW1253" s="15" t="n">
        <v>111</v>
      </c>
      <c r="BS1253" s="15" t="n">
        <v>111</v>
      </c>
      <c r="CO1253" s="15" t="n">
        <v>111</v>
      </c>
      <c r="DK1253" s="15" t="n">
        <v>111</v>
      </c>
      <c r="EG1253" s="15" t="n">
        <v>111</v>
      </c>
      <c r="FC1253" s="15" t="n">
        <v>111</v>
      </c>
      <c r="FY1253" s="15" t="n">
        <v>111</v>
      </c>
      <c r="GU1253" s="15" t="n">
        <v>111</v>
      </c>
    </row>
    <row r="1254">
      <c r="C1254" s="15" t="n">
        <v>112</v>
      </c>
      <c r="AA1254" s="15" t="n">
        <v>112</v>
      </c>
      <c r="AW1254" s="15" t="n">
        <v>112</v>
      </c>
      <c r="BS1254" s="15" t="n">
        <v>112</v>
      </c>
      <c r="CO1254" s="15" t="n">
        <v>112</v>
      </c>
      <c r="DK1254" s="15" t="n">
        <v>112</v>
      </c>
      <c r="EG1254" s="15" t="n">
        <v>112</v>
      </c>
      <c r="FC1254" s="15" t="n">
        <v>112</v>
      </c>
      <c r="FY1254" s="15" t="n">
        <v>112</v>
      </c>
      <c r="GU1254" s="15" t="n">
        <v>112</v>
      </c>
    </row>
    <row r="1255">
      <c r="C1255" s="15" t="n">
        <v>113</v>
      </c>
      <c r="AA1255" s="15" t="n">
        <v>113</v>
      </c>
      <c r="AW1255" s="15" t="n">
        <v>113</v>
      </c>
      <c r="BS1255" s="15" t="n">
        <v>113</v>
      </c>
      <c r="CO1255" s="15" t="n">
        <v>113</v>
      </c>
      <c r="DK1255" s="15" t="n">
        <v>113</v>
      </c>
      <c r="EG1255" s="15" t="n">
        <v>113</v>
      </c>
      <c r="FC1255" s="15" t="n">
        <v>113</v>
      </c>
      <c r="FY1255" s="15" t="n">
        <v>113</v>
      </c>
      <c r="GU1255" s="15" t="n">
        <v>113</v>
      </c>
    </row>
    <row r="1256">
      <c r="C1256" s="15" t="n">
        <v>114</v>
      </c>
      <c r="AA1256" s="15" t="n">
        <v>114</v>
      </c>
      <c r="AW1256" s="15" t="n">
        <v>114</v>
      </c>
      <c r="BS1256" s="15" t="n">
        <v>114</v>
      </c>
      <c r="CO1256" s="15" t="n">
        <v>114</v>
      </c>
      <c r="DK1256" s="15" t="n">
        <v>114</v>
      </c>
      <c r="EG1256" s="15" t="n">
        <v>114</v>
      </c>
      <c r="FC1256" s="15" t="n">
        <v>114</v>
      </c>
      <c r="FY1256" s="15" t="n">
        <v>114</v>
      </c>
      <c r="GU1256" s="15" t="n">
        <v>114</v>
      </c>
    </row>
    <row r="1257">
      <c r="C1257" s="15" t="n">
        <v>115</v>
      </c>
      <c r="AA1257" s="15" t="n">
        <v>115</v>
      </c>
      <c r="AW1257" s="15" t="n">
        <v>115</v>
      </c>
      <c r="BS1257" s="15" t="n">
        <v>115</v>
      </c>
      <c r="CO1257" s="15" t="n">
        <v>115</v>
      </c>
      <c r="DK1257" s="15" t="n">
        <v>115</v>
      </c>
      <c r="EG1257" s="15" t="n">
        <v>115</v>
      </c>
      <c r="FC1257" s="15" t="n">
        <v>115</v>
      </c>
      <c r="FY1257" s="15" t="n">
        <v>115</v>
      </c>
      <c r="GU1257" s="15" t="n">
        <v>115</v>
      </c>
    </row>
    <row r="1258">
      <c r="C1258" s="15" t="n">
        <v>116</v>
      </c>
      <c r="AA1258" s="15" t="n">
        <v>116</v>
      </c>
      <c r="AW1258" s="15" t="n">
        <v>116</v>
      </c>
      <c r="BS1258" s="15" t="n">
        <v>116</v>
      </c>
      <c r="CO1258" s="15" t="n">
        <v>116</v>
      </c>
      <c r="DK1258" s="15" t="n">
        <v>116</v>
      </c>
      <c r="EG1258" s="15" t="n">
        <v>116</v>
      </c>
      <c r="FC1258" s="15" t="n">
        <v>116</v>
      </c>
      <c r="FY1258" s="15" t="n">
        <v>116</v>
      </c>
      <c r="GU1258" s="15" t="n">
        <v>116</v>
      </c>
    </row>
    <row r="1259">
      <c r="C1259" s="15" t="n">
        <v>117</v>
      </c>
      <c r="AA1259" s="15" t="n">
        <v>117</v>
      </c>
      <c r="AW1259" s="15" t="n">
        <v>117</v>
      </c>
      <c r="BS1259" s="15" t="n">
        <v>117</v>
      </c>
      <c r="CO1259" s="15" t="n">
        <v>117</v>
      </c>
      <c r="DK1259" s="15" t="n">
        <v>117</v>
      </c>
      <c r="EG1259" s="15" t="n">
        <v>117</v>
      </c>
      <c r="FC1259" s="15" t="n">
        <v>117</v>
      </c>
      <c r="FY1259" s="15" t="n">
        <v>117</v>
      </c>
      <c r="GU1259" s="15" t="n">
        <v>117</v>
      </c>
    </row>
    <row r="1260">
      <c r="C1260" s="15" t="n">
        <v>118</v>
      </c>
      <c r="AA1260" s="15" t="n">
        <v>118</v>
      </c>
      <c r="AW1260" s="15" t="n">
        <v>118</v>
      </c>
      <c r="BS1260" s="15" t="n">
        <v>118</v>
      </c>
      <c r="CO1260" s="15" t="n">
        <v>118</v>
      </c>
      <c r="DK1260" s="15" t="n">
        <v>118</v>
      </c>
      <c r="EG1260" s="15" t="n">
        <v>118</v>
      </c>
      <c r="FC1260" s="15" t="n">
        <v>118</v>
      </c>
      <c r="FY1260" s="15" t="n">
        <v>118</v>
      </c>
      <c r="GU1260" s="15" t="n">
        <v>118</v>
      </c>
    </row>
    <row r="1261">
      <c r="C1261" s="15" t="n">
        <v>119</v>
      </c>
      <c r="AA1261" s="15" t="n">
        <v>119</v>
      </c>
      <c r="AW1261" s="15" t="n">
        <v>119</v>
      </c>
      <c r="BS1261" s="15" t="n">
        <v>119</v>
      </c>
      <c r="CO1261" s="15" t="n">
        <v>119</v>
      </c>
      <c r="DK1261" s="15" t="n">
        <v>119</v>
      </c>
      <c r="EG1261" s="15" t="n">
        <v>119</v>
      </c>
      <c r="FC1261" s="15" t="n">
        <v>119</v>
      </c>
      <c r="FY1261" s="15" t="n">
        <v>119</v>
      </c>
      <c r="GU1261" s="15" t="n">
        <v>119</v>
      </c>
    </row>
    <row r="1262">
      <c r="C1262" s="15" t="n">
        <v>120</v>
      </c>
      <c r="AA1262" s="15" t="n">
        <v>120</v>
      </c>
      <c r="AW1262" s="15" t="n">
        <v>120</v>
      </c>
      <c r="BS1262" s="15" t="n">
        <v>120</v>
      </c>
      <c r="CO1262" s="15" t="n">
        <v>120</v>
      </c>
      <c r="DK1262" s="15" t="n">
        <v>120</v>
      </c>
      <c r="EG1262" s="15" t="n">
        <v>120</v>
      </c>
      <c r="FC1262" s="15" t="n">
        <v>120</v>
      </c>
      <c r="FY1262" s="15" t="n">
        <v>120</v>
      </c>
      <c r="GU1262" s="15" t="n">
        <v>120</v>
      </c>
    </row>
    <row r="1263">
      <c r="C1263" s="15" t="n">
        <v>121</v>
      </c>
      <c r="AA1263" s="15" t="n">
        <v>121</v>
      </c>
      <c r="AW1263" s="15" t="n">
        <v>121</v>
      </c>
      <c r="BS1263" s="15" t="n">
        <v>121</v>
      </c>
      <c r="CO1263" s="15" t="n">
        <v>121</v>
      </c>
      <c r="DK1263" s="15" t="n">
        <v>121</v>
      </c>
      <c r="EG1263" s="15" t="n">
        <v>121</v>
      </c>
      <c r="FC1263" s="15" t="n">
        <v>121</v>
      </c>
      <c r="FY1263" s="15" t="n">
        <v>121</v>
      </c>
      <c r="GU1263" s="15" t="n">
        <v>121</v>
      </c>
    </row>
    <row r="1264">
      <c r="C1264" s="15" t="n">
        <v>122</v>
      </c>
      <c r="AA1264" s="15" t="n">
        <v>122</v>
      </c>
      <c r="AW1264" s="15" t="n">
        <v>122</v>
      </c>
      <c r="BS1264" s="15" t="n">
        <v>122</v>
      </c>
      <c r="CO1264" s="15" t="n">
        <v>122</v>
      </c>
      <c r="DK1264" s="15" t="n">
        <v>122</v>
      </c>
      <c r="EG1264" s="15" t="n">
        <v>122</v>
      </c>
      <c r="FC1264" s="15" t="n">
        <v>122</v>
      </c>
      <c r="FY1264" s="15" t="n">
        <v>122</v>
      </c>
      <c r="GU1264" s="15" t="n">
        <v>122</v>
      </c>
    </row>
    <row r="1265">
      <c r="C1265" s="15" t="n">
        <v>123</v>
      </c>
      <c r="AA1265" s="15" t="n">
        <v>123</v>
      </c>
      <c r="AW1265" s="15" t="n">
        <v>123</v>
      </c>
      <c r="BS1265" s="15" t="n">
        <v>123</v>
      </c>
      <c r="CO1265" s="15" t="n">
        <v>123</v>
      </c>
      <c r="DK1265" s="15" t="n">
        <v>123</v>
      </c>
      <c r="EG1265" s="15" t="n">
        <v>123</v>
      </c>
      <c r="FC1265" s="15" t="n">
        <v>123</v>
      </c>
      <c r="FY1265" s="15" t="n">
        <v>123</v>
      </c>
      <c r="GU1265" s="15" t="n">
        <v>123</v>
      </c>
    </row>
    <row r="1266">
      <c r="C1266" s="15" t="n">
        <v>124</v>
      </c>
      <c r="AA1266" s="15" t="n">
        <v>124</v>
      </c>
      <c r="AW1266" s="15" t="n">
        <v>124</v>
      </c>
      <c r="BS1266" s="15" t="n">
        <v>124</v>
      </c>
      <c r="CO1266" s="15" t="n">
        <v>124</v>
      </c>
      <c r="DK1266" s="15" t="n">
        <v>124</v>
      </c>
      <c r="EG1266" s="15" t="n">
        <v>124</v>
      </c>
      <c r="FC1266" s="15" t="n">
        <v>124</v>
      </c>
      <c r="FY1266" s="15" t="n">
        <v>124</v>
      </c>
      <c r="GU1266" s="15" t="n">
        <v>124</v>
      </c>
    </row>
    <row r="1267">
      <c r="C1267" s="15" t="n">
        <v>125</v>
      </c>
      <c r="AA1267" s="15" t="n">
        <v>125</v>
      </c>
      <c r="AW1267" s="15" t="n">
        <v>125</v>
      </c>
      <c r="BS1267" s="15" t="n">
        <v>125</v>
      </c>
      <c r="CO1267" s="15" t="n">
        <v>125</v>
      </c>
      <c r="DK1267" s="15" t="n">
        <v>125</v>
      </c>
      <c r="EG1267" s="15" t="n">
        <v>125</v>
      </c>
      <c r="FC1267" s="15" t="n">
        <v>125</v>
      </c>
      <c r="FY1267" s="15" t="n">
        <v>125</v>
      </c>
      <c r="GU1267" s="15" t="n">
        <v>125</v>
      </c>
    </row>
    <row r="1268">
      <c r="C1268" s="15" t="n">
        <v>126</v>
      </c>
      <c r="AA1268" s="15" t="n">
        <v>126</v>
      </c>
      <c r="AW1268" s="15" t="n">
        <v>126</v>
      </c>
      <c r="BS1268" s="15" t="n">
        <v>126</v>
      </c>
      <c r="CO1268" s="15" t="n">
        <v>126</v>
      </c>
      <c r="DK1268" s="15" t="n">
        <v>126</v>
      </c>
      <c r="EG1268" s="15" t="n">
        <v>126</v>
      </c>
      <c r="FC1268" s="15" t="n">
        <v>126</v>
      </c>
      <c r="FY1268" s="15" t="n">
        <v>126</v>
      </c>
      <c r="GU1268" s="15" t="n">
        <v>126</v>
      </c>
    </row>
    <row r="1269">
      <c r="C1269" s="15" t="n">
        <v>127</v>
      </c>
      <c r="AA1269" s="15" t="n">
        <v>127</v>
      </c>
      <c r="AW1269" s="15" t="n">
        <v>127</v>
      </c>
      <c r="BS1269" s="15" t="n">
        <v>127</v>
      </c>
      <c r="CO1269" s="15" t="n">
        <v>127</v>
      </c>
      <c r="DK1269" s="15" t="n">
        <v>127</v>
      </c>
      <c r="EG1269" s="15" t="n">
        <v>127</v>
      </c>
      <c r="FC1269" s="15" t="n">
        <v>127</v>
      </c>
      <c r="FY1269" s="15" t="n">
        <v>127</v>
      </c>
      <c r="GU1269" s="15" t="n">
        <v>127</v>
      </c>
    </row>
    <row r="1270">
      <c r="C1270" s="15" t="n">
        <v>128</v>
      </c>
      <c r="AA1270" s="15" t="n">
        <v>128</v>
      </c>
      <c r="AW1270" s="15" t="n">
        <v>128</v>
      </c>
      <c r="BS1270" s="15" t="n">
        <v>128</v>
      </c>
      <c r="CO1270" s="15" t="n">
        <v>128</v>
      </c>
      <c r="DK1270" s="15" t="n">
        <v>128</v>
      </c>
      <c r="EG1270" s="15" t="n">
        <v>128</v>
      </c>
      <c r="FC1270" s="15" t="n">
        <v>128</v>
      </c>
      <c r="FY1270" s="15" t="n">
        <v>128</v>
      </c>
      <c r="GU1270" s="15" t="n">
        <v>128</v>
      </c>
    </row>
    <row r="1271">
      <c r="C1271" s="15" t="n">
        <v>129</v>
      </c>
      <c r="AA1271" s="15" t="n">
        <v>129</v>
      </c>
      <c r="AW1271" s="15" t="n">
        <v>129</v>
      </c>
      <c r="BS1271" s="15" t="n">
        <v>129</v>
      </c>
      <c r="CO1271" s="15" t="n">
        <v>129</v>
      </c>
      <c r="DK1271" s="15" t="n">
        <v>129</v>
      </c>
      <c r="EG1271" s="15" t="n">
        <v>129</v>
      </c>
      <c r="FC1271" s="15" t="n">
        <v>129</v>
      </c>
      <c r="FY1271" s="15" t="n">
        <v>129</v>
      </c>
      <c r="GU1271" s="15" t="n">
        <v>129</v>
      </c>
    </row>
    <row r="1272">
      <c r="C1272" s="15" t="n">
        <v>130</v>
      </c>
      <c r="AA1272" s="15" t="n">
        <v>130</v>
      </c>
      <c r="AW1272" s="15" t="n">
        <v>130</v>
      </c>
      <c r="BS1272" s="15" t="n">
        <v>130</v>
      </c>
      <c r="CO1272" s="15" t="n">
        <v>130</v>
      </c>
      <c r="DK1272" s="15" t="n">
        <v>130</v>
      </c>
      <c r="EG1272" s="15" t="n">
        <v>130</v>
      </c>
      <c r="FC1272" s="15" t="n">
        <v>130</v>
      </c>
      <c r="FY1272" s="15" t="n">
        <v>130</v>
      </c>
      <c r="GU1272" s="15" t="n">
        <v>130</v>
      </c>
    </row>
    <row r="1273">
      <c r="C1273" s="15" t="n">
        <v>131</v>
      </c>
      <c r="AA1273" s="15" t="n">
        <v>131</v>
      </c>
      <c r="AW1273" s="15" t="n">
        <v>131</v>
      </c>
      <c r="BS1273" s="15" t="n">
        <v>131</v>
      </c>
      <c r="CO1273" s="15" t="n">
        <v>131</v>
      </c>
      <c r="DK1273" s="15" t="n">
        <v>131</v>
      </c>
      <c r="EG1273" s="15" t="n">
        <v>131</v>
      </c>
      <c r="FC1273" s="15" t="n">
        <v>131</v>
      </c>
      <c r="FY1273" s="15" t="n">
        <v>131</v>
      </c>
      <c r="GU1273" s="15" t="n">
        <v>131</v>
      </c>
    </row>
    <row r="1274">
      <c r="C1274" s="15" t="n">
        <v>132</v>
      </c>
      <c r="AA1274" s="15" t="n">
        <v>132</v>
      </c>
      <c r="AW1274" s="15" t="n">
        <v>132</v>
      </c>
      <c r="BS1274" s="15" t="n">
        <v>132</v>
      </c>
      <c r="CO1274" s="15" t="n">
        <v>132</v>
      </c>
      <c r="DK1274" s="15" t="n">
        <v>132</v>
      </c>
      <c r="EG1274" s="15" t="n">
        <v>132</v>
      </c>
      <c r="FC1274" s="15" t="n">
        <v>132</v>
      </c>
      <c r="FY1274" s="15" t="n">
        <v>132</v>
      </c>
      <c r="GU1274" s="15" t="n">
        <v>132</v>
      </c>
    </row>
    <row r="1275">
      <c r="C1275" s="15" t="n">
        <v>133</v>
      </c>
      <c r="AA1275" s="15" t="n">
        <v>133</v>
      </c>
      <c r="AW1275" s="15" t="n">
        <v>133</v>
      </c>
      <c r="BS1275" s="15" t="n">
        <v>133</v>
      </c>
      <c r="CO1275" s="15" t="n">
        <v>133</v>
      </c>
      <c r="DK1275" s="15" t="n">
        <v>133</v>
      </c>
      <c r="EG1275" s="15" t="n">
        <v>133</v>
      </c>
      <c r="FC1275" s="15" t="n">
        <v>133</v>
      </c>
      <c r="FY1275" s="15" t="n">
        <v>133</v>
      </c>
      <c r="GU1275" s="15" t="n">
        <v>133</v>
      </c>
    </row>
    <row r="1276">
      <c r="C1276" s="15" t="n">
        <v>134</v>
      </c>
      <c r="AA1276" s="15" t="n">
        <v>134</v>
      </c>
      <c r="AW1276" s="15" t="n">
        <v>134</v>
      </c>
      <c r="BS1276" s="15" t="n">
        <v>134</v>
      </c>
      <c r="CO1276" s="15" t="n">
        <v>134</v>
      </c>
      <c r="DK1276" s="15" t="n">
        <v>134</v>
      </c>
      <c r="EG1276" s="15" t="n">
        <v>134</v>
      </c>
      <c r="FC1276" s="15" t="n">
        <v>134</v>
      </c>
      <c r="FY1276" s="15" t="n">
        <v>134</v>
      </c>
      <c r="GU1276" s="15" t="n">
        <v>134</v>
      </c>
    </row>
    <row r="1277">
      <c r="C1277" s="15" t="n">
        <v>135</v>
      </c>
      <c r="AA1277" s="15" t="n">
        <v>135</v>
      </c>
      <c r="AW1277" s="15" t="n">
        <v>135</v>
      </c>
      <c r="BS1277" s="15" t="n">
        <v>135</v>
      </c>
      <c r="CO1277" s="15" t="n">
        <v>135</v>
      </c>
      <c r="DK1277" s="15" t="n">
        <v>135</v>
      </c>
      <c r="EG1277" s="15" t="n">
        <v>135</v>
      </c>
      <c r="FC1277" s="15" t="n">
        <v>135</v>
      </c>
      <c r="FY1277" s="15" t="n">
        <v>135</v>
      </c>
      <c r="GU1277" s="15" t="n">
        <v>135</v>
      </c>
    </row>
    <row r="1278">
      <c r="C1278" s="15" t="n">
        <v>136</v>
      </c>
      <c r="AA1278" s="15" t="n">
        <v>136</v>
      </c>
      <c r="AW1278" s="15" t="n">
        <v>136</v>
      </c>
      <c r="BS1278" s="15" t="n">
        <v>136</v>
      </c>
      <c r="CO1278" s="15" t="n">
        <v>136</v>
      </c>
      <c r="DK1278" s="15" t="n">
        <v>136</v>
      </c>
      <c r="EG1278" s="15" t="n">
        <v>136</v>
      </c>
      <c r="FC1278" s="15" t="n">
        <v>136</v>
      </c>
      <c r="FY1278" s="15" t="n">
        <v>136</v>
      </c>
      <c r="GU1278" s="15" t="n">
        <v>136</v>
      </c>
    </row>
    <row r="1279">
      <c r="C1279" s="15" t="n">
        <v>137</v>
      </c>
      <c r="AA1279" s="15" t="n">
        <v>137</v>
      </c>
      <c r="AW1279" s="15" t="n">
        <v>137</v>
      </c>
      <c r="BS1279" s="15" t="n">
        <v>137</v>
      </c>
      <c r="CO1279" s="15" t="n">
        <v>137</v>
      </c>
      <c r="DK1279" s="15" t="n">
        <v>137</v>
      </c>
      <c r="EG1279" s="15" t="n">
        <v>137</v>
      </c>
      <c r="FC1279" s="15" t="n">
        <v>137</v>
      </c>
      <c r="FY1279" s="15" t="n">
        <v>137</v>
      </c>
      <c r="GU1279" s="15" t="n">
        <v>137</v>
      </c>
    </row>
    <row r="1280">
      <c r="C1280" s="15" t="n">
        <v>138</v>
      </c>
      <c r="AA1280" s="15" t="n">
        <v>138</v>
      </c>
      <c r="AW1280" s="15" t="n">
        <v>138</v>
      </c>
      <c r="BS1280" s="15" t="n">
        <v>138</v>
      </c>
      <c r="CO1280" s="15" t="n">
        <v>138</v>
      </c>
      <c r="DK1280" s="15" t="n">
        <v>138</v>
      </c>
      <c r="EG1280" s="15" t="n">
        <v>138</v>
      </c>
      <c r="FC1280" s="15" t="n">
        <v>138</v>
      </c>
      <c r="FY1280" s="15" t="n">
        <v>138</v>
      </c>
      <c r="GU1280" s="15" t="n">
        <v>138</v>
      </c>
    </row>
    <row r="1281">
      <c r="C1281" s="15" t="n">
        <v>139</v>
      </c>
      <c r="AA1281" s="15" t="n">
        <v>139</v>
      </c>
      <c r="AW1281" s="15" t="n">
        <v>139</v>
      </c>
      <c r="BS1281" s="15" t="n">
        <v>139</v>
      </c>
      <c r="CO1281" s="15" t="n">
        <v>139</v>
      </c>
      <c r="DK1281" s="15" t="n">
        <v>139</v>
      </c>
      <c r="EG1281" s="15" t="n">
        <v>139</v>
      </c>
      <c r="FC1281" s="15" t="n">
        <v>139</v>
      </c>
      <c r="FY1281" s="15" t="n">
        <v>139</v>
      </c>
      <c r="GU1281" s="15" t="n">
        <v>139</v>
      </c>
    </row>
    <row r="1282">
      <c r="C1282" s="15" t="n">
        <v>140</v>
      </c>
      <c r="AA1282" s="15" t="n">
        <v>140</v>
      </c>
      <c r="AW1282" s="15" t="n">
        <v>140</v>
      </c>
      <c r="BS1282" s="15" t="n">
        <v>140</v>
      </c>
      <c r="CO1282" s="15" t="n">
        <v>140</v>
      </c>
      <c r="DK1282" s="15" t="n">
        <v>140</v>
      </c>
      <c r="EG1282" s="15" t="n">
        <v>140</v>
      </c>
      <c r="FC1282" s="15" t="n">
        <v>140</v>
      </c>
      <c r="FY1282" s="15" t="n">
        <v>140</v>
      </c>
      <c r="GU1282" s="15" t="n">
        <v>140</v>
      </c>
    </row>
    <row r="1283">
      <c r="C1283" s="15" t="n">
        <v>141</v>
      </c>
      <c r="AA1283" s="15" t="n">
        <v>141</v>
      </c>
      <c r="AW1283" s="15" t="n">
        <v>141</v>
      </c>
      <c r="BS1283" s="15" t="n">
        <v>141</v>
      </c>
      <c r="CO1283" s="15" t="n">
        <v>141</v>
      </c>
      <c r="DK1283" s="15" t="n">
        <v>141</v>
      </c>
      <c r="EG1283" s="15" t="n">
        <v>141</v>
      </c>
      <c r="FC1283" s="15" t="n">
        <v>141</v>
      </c>
      <c r="FY1283" s="15" t="n">
        <v>141</v>
      </c>
      <c r="GU1283" s="15" t="n">
        <v>141</v>
      </c>
    </row>
    <row r="1284">
      <c r="C1284" s="15" t="n">
        <v>142</v>
      </c>
      <c r="AA1284" s="15" t="n">
        <v>142</v>
      </c>
      <c r="AW1284" s="15" t="n">
        <v>142</v>
      </c>
      <c r="BS1284" s="15" t="n">
        <v>142</v>
      </c>
      <c r="CO1284" s="15" t="n">
        <v>142</v>
      </c>
      <c r="DK1284" s="15" t="n">
        <v>142</v>
      </c>
      <c r="EG1284" s="15" t="n">
        <v>142</v>
      </c>
      <c r="FC1284" s="15" t="n">
        <v>142</v>
      </c>
      <c r="FY1284" s="15" t="n">
        <v>142</v>
      </c>
      <c r="GU1284" s="15" t="n">
        <v>142</v>
      </c>
    </row>
    <row r="1285">
      <c r="C1285" s="15" t="n">
        <v>143</v>
      </c>
      <c r="AA1285" s="15" t="n">
        <v>143</v>
      </c>
      <c r="AW1285" s="15" t="n">
        <v>143</v>
      </c>
      <c r="BS1285" s="15" t="n">
        <v>143</v>
      </c>
      <c r="CO1285" s="15" t="n">
        <v>143</v>
      </c>
      <c r="DK1285" s="15" t="n">
        <v>143</v>
      </c>
      <c r="EG1285" s="15" t="n">
        <v>143</v>
      </c>
      <c r="FC1285" s="15" t="n">
        <v>143</v>
      </c>
      <c r="FY1285" s="15" t="n">
        <v>143</v>
      </c>
      <c r="GU1285" s="15" t="n">
        <v>143</v>
      </c>
    </row>
    <row r="1286">
      <c r="C1286" s="15" t="n">
        <v>144</v>
      </c>
      <c r="AA1286" s="15" t="n">
        <v>144</v>
      </c>
      <c r="AW1286" s="15" t="n">
        <v>144</v>
      </c>
      <c r="BS1286" s="15" t="n">
        <v>144</v>
      </c>
      <c r="CO1286" s="15" t="n">
        <v>144</v>
      </c>
      <c r="DK1286" s="15" t="n">
        <v>144</v>
      </c>
      <c r="EG1286" s="15" t="n">
        <v>144</v>
      </c>
      <c r="FC1286" s="15" t="n">
        <v>144</v>
      </c>
      <c r="FY1286" s="15" t="n">
        <v>144</v>
      </c>
      <c r="GU1286" s="15" t="n">
        <v>144</v>
      </c>
    </row>
    <row r="1287">
      <c r="C1287" s="15" t="n">
        <v>145</v>
      </c>
      <c r="AA1287" s="15" t="n">
        <v>145</v>
      </c>
      <c r="AW1287" s="15" t="n">
        <v>145</v>
      </c>
      <c r="BS1287" s="15" t="n">
        <v>145</v>
      </c>
      <c r="CO1287" s="15" t="n">
        <v>145</v>
      </c>
      <c r="DK1287" s="15" t="n">
        <v>145</v>
      </c>
      <c r="EG1287" s="15" t="n">
        <v>145</v>
      </c>
      <c r="FC1287" s="15" t="n">
        <v>145</v>
      </c>
      <c r="FY1287" s="15" t="n">
        <v>145</v>
      </c>
      <c r="GU1287" s="15" t="n">
        <v>145</v>
      </c>
    </row>
    <row r="1288">
      <c r="C1288" s="15" t="n">
        <v>146</v>
      </c>
      <c r="AA1288" s="15" t="n">
        <v>146</v>
      </c>
      <c r="AW1288" s="15" t="n">
        <v>146</v>
      </c>
      <c r="BS1288" s="15" t="n">
        <v>146</v>
      </c>
      <c r="CO1288" s="15" t="n">
        <v>146</v>
      </c>
      <c r="DK1288" s="15" t="n">
        <v>146</v>
      </c>
      <c r="EG1288" s="15" t="n">
        <v>146</v>
      </c>
      <c r="FC1288" s="15" t="n">
        <v>146</v>
      </c>
      <c r="FY1288" s="15" t="n">
        <v>146</v>
      </c>
      <c r="GU1288" s="15" t="n">
        <v>146</v>
      </c>
    </row>
    <row r="1289">
      <c r="C1289" s="15" t="n">
        <v>147</v>
      </c>
      <c r="AA1289" s="15" t="n">
        <v>147</v>
      </c>
      <c r="AW1289" s="15" t="n">
        <v>147</v>
      </c>
      <c r="BS1289" s="15" t="n">
        <v>147</v>
      </c>
      <c r="CO1289" s="15" t="n">
        <v>147</v>
      </c>
      <c r="DK1289" s="15" t="n">
        <v>147</v>
      </c>
      <c r="EG1289" s="15" t="n">
        <v>147</v>
      </c>
      <c r="FC1289" s="15" t="n">
        <v>147</v>
      </c>
      <c r="FY1289" s="15" t="n">
        <v>147</v>
      </c>
      <c r="GU1289" s="15" t="n">
        <v>147</v>
      </c>
    </row>
    <row r="1290">
      <c r="C1290" s="15" t="n">
        <v>148</v>
      </c>
      <c r="AA1290" s="15" t="n">
        <v>148</v>
      </c>
      <c r="AW1290" s="15" t="n">
        <v>148</v>
      </c>
      <c r="BS1290" s="15" t="n">
        <v>148</v>
      </c>
      <c r="CO1290" s="15" t="n">
        <v>148</v>
      </c>
      <c r="DK1290" s="15" t="n">
        <v>148</v>
      </c>
      <c r="EG1290" s="15" t="n">
        <v>148</v>
      </c>
      <c r="FC1290" s="15" t="n">
        <v>148</v>
      </c>
      <c r="FY1290" s="15" t="n">
        <v>148</v>
      </c>
      <c r="GU1290" s="15" t="n">
        <v>148</v>
      </c>
    </row>
    <row r="1291">
      <c r="C1291" s="15" t="n">
        <v>149</v>
      </c>
      <c r="AA1291" s="15" t="n">
        <v>149</v>
      </c>
      <c r="AW1291" s="15" t="n">
        <v>149</v>
      </c>
      <c r="BS1291" s="15" t="n">
        <v>149</v>
      </c>
      <c r="CO1291" s="15" t="n">
        <v>149</v>
      </c>
      <c r="DK1291" s="15" t="n">
        <v>149</v>
      </c>
      <c r="EG1291" s="15" t="n">
        <v>149</v>
      </c>
      <c r="FC1291" s="15" t="n">
        <v>149</v>
      </c>
      <c r="FY1291" s="15" t="n">
        <v>149</v>
      </c>
      <c r="GU1291" s="15" t="n">
        <v>149</v>
      </c>
    </row>
    <row r="1292">
      <c r="C1292" s="15" t="n">
        <v>150</v>
      </c>
      <c r="AA1292" s="15" t="n">
        <v>150</v>
      </c>
      <c r="AW1292" s="15" t="n">
        <v>150</v>
      </c>
      <c r="BS1292" s="15" t="n">
        <v>150</v>
      </c>
      <c r="CO1292" s="15" t="n">
        <v>150</v>
      </c>
      <c r="DK1292" s="15" t="n">
        <v>150</v>
      </c>
      <c r="EG1292" s="15" t="n">
        <v>150</v>
      </c>
      <c r="FC1292" s="15" t="n">
        <v>150</v>
      </c>
      <c r="FY1292" s="15" t="n">
        <v>150</v>
      </c>
      <c r="GU1292" s="15" t="n">
        <v>150</v>
      </c>
    </row>
    <row r="1293">
      <c r="C1293" s="15" t="n">
        <v>151</v>
      </c>
      <c r="AA1293" s="15" t="n">
        <v>151</v>
      </c>
      <c r="AW1293" s="15" t="n">
        <v>151</v>
      </c>
      <c r="BS1293" s="15" t="n">
        <v>151</v>
      </c>
      <c r="CO1293" s="15" t="n">
        <v>151</v>
      </c>
      <c r="DK1293" s="15" t="n">
        <v>151</v>
      </c>
      <c r="EG1293" s="15" t="n">
        <v>151</v>
      </c>
      <c r="FC1293" s="15" t="n">
        <v>151</v>
      </c>
      <c r="FY1293" s="15" t="n">
        <v>151</v>
      </c>
      <c r="GU1293" s="15" t="n">
        <v>151</v>
      </c>
    </row>
    <row r="1294">
      <c r="C1294" s="15" t="n">
        <v>152</v>
      </c>
      <c r="AA1294" s="15" t="n">
        <v>152</v>
      </c>
      <c r="AW1294" s="15" t="n">
        <v>152</v>
      </c>
      <c r="BS1294" s="15" t="n">
        <v>152</v>
      </c>
      <c r="CO1294" s="15" t="n">
        <v>152</v>
      </c>
      <c r="DK1294" s="15" t="n">
        <v>152</v>
      </c>
      <c r="EG1294" s="15" t="n">
        <v>152</v>
      </c>
      <c r="FC1294" s="15" t="n">
        <v>152</v>
      </c>
      <c r="FY1294" s="15" t="n">
        <v>152</v>
      </c>
      <c r="GU1294" s="15" t="n">
        <v>152</v>
      </c>
    </row>
    <row r="1295">
      <c r="C1295" s="15" t="n">
        <v>153</v>
      </c>
      <c r="AA1295" s="15" t="n">
        <v>153</v>
      </c>
      <c r="AW1295" s="15" t="n">
        <v>153</v>
      </c>
      <c r="BS1295" s="15" t="n">
        <v>153</v>
      </c>
      <c r="CO1295" s="15" t="n">
        <v>153</v>
      </c>
      <c r="DK1295" s="15" t="n">
        <v>153</v>
      </c>
      <c r="EG1295" s="15" t="n">
        <v>153</v>
      </c>
      <c r="FC1295" s="15" t="n">
        <v>153</v>
      </c>
      <c r="FY1295" s="15" t="n">
        <v>153</v>
      </c>
      <c r="GU1295" s="15" t="n">
        <v>153</v>
      </c>
    </row>
    <row r="1296">
      <c r="C1296" s="15" t="n">
        <v>154</v>
      </c>
      <c r="AA1296" s="15" t="n">
        <v>154</v>
      </c>
      <c r="AW1296" s="15" t="n">
        <v>154</v>
      </c>
      <c r="BS1296" s="15" t="n">
        <v>154</v>
      </c>
      <c r="CO1296" s="15" t="n">
        <v>154</v>
      </c>
      <c r="DK1296" s="15" t="n">
        <v>154</v>
      </c>
      <c r="EG1296" s="15" t="n">
        <v>154</v>
      </c>
      <c r="FC1296" s="15" t="n">
        <v>154</v>
      </c>
      <c r="FY1296" s="15" t="n">
        <v>154</v>
      </c>
      <c r="GU1296" s="15" t="n">
        <v>154</v>
      </c>
    </row>
    <row r="1297">
      <c r="C1297" s="15" t="n">
        <v>155</v>
      </c>
      <c r="AA1297" s="15" t="n">
        <v>155</v>
      </c>
      <c r="AW1297" s="15" t="n">
        <v>155</v>
      </c>
      <c r="BS1297" s="15" t="n">
        <v>155</v>
      </c>
      <c r="CO1297" s="15" t="n">
        <v>155</v>
      </c>
      <c r="DK1297" s="15" t="n">
        <v>155</v>
      </c>
      <c r="EG1297" s="15" t="n">
        <v>155</v>
      </c>
      <c r="FC1297" s="15" t="n">
        <v>155</v>
      </c>
      <c r="FY1297" s="15" t="n">
        <v>155</v>
      </c>
      <c r="GU1297" s="15" t="n">
        <v>155</v>
      </c>
    </row>
    <row r="1298">
      <c r="C1298" s="15" t="n">
        <v>156</v>
      </c>
      <c r="AA1298" s="15" t="n">
        <v>156</v>
      </c>
      <c r="AW1298" s="15" t="n">
        <v>156</v>
      </c>
      <c r="BS1298" s="15" t="n">
        <v>156</v>
      </c>
      <c r="CO1298" s="15" t="n">
        <v>156</v>
      </c>
      <c r="DK1298" s="15" t="n">
        <v>156</v>
      </c>
      <c r="EG1298" s="15" t="n">
        <v>156</v>
      </c>
      <c r="FC1298" s="15" t="n">
        <v>156</v>
      </c>
      <c r="FY1298" s="15" t="n">
        <v>156</v>
      </c>
      <c r="GU1298" s="15" t="n">
        <v>156</v>
      </c>
    </row>
    <row r="1299">
      <c r="C1299" s="15" t="n">
        <v>157</v>
      </c>
      <c r="AA1299" s="15" t="n">
        <v>157</v>
      </c>
      <c r="AW1299" s="15" t="n">
        <v>157</v>
      </c>
      <c r="BS1299" s="15" t="n">
        <v>157</v>
      </c>
      <c r="CO1299" s="15" t="n">
        <v>157</v>
      </c>
      <c r="DK1299" s="15" t="n">
        <v>157</v>
      </c>
      <c r="EG1299" s="15" t="n">
        <v>157</v>
      </c>
      <c r="FC1299" s="15" t="n">
        <v>157</v>
      </c>
      <c r="FY1299" s="15" t="n">
        <v>157</v>
      </c>
      <c r="GU1299" s="15" t="n">
        <v>157</v>
      </c>
    </row>
    <row r="1300">
      <c r="C1300" s="15" t="n">
        <v>158</v>
      </c>
      <c r="AA1300" s="15" t="n">
        <v>158</v>
      </c>
      <c r="AW1300" s="15" t="n">
        <v>158</v>
      </c>
      <c r="BS1300" s="15" t="n">
        <v>158</v>
      </c>
      <c r="CO1300" s="15" t="n">
        <v>158</v>
      </c>
      <c r="DK1300" s="15" t="n">
        <v>158</v>
      </c>
      <c r="EG1300" s="15" t="n">
        <v>158</v>
      </c>
      <c r="FC1300" s="15" t="n">
        <v>158</v>
      </c>
      <c r="FY1300" s="15" t="n">
        <v>158</v>
      </c>
      <c r="GU1300" s="15" t="n">
        <v>158</v>
      </c>
    </row>
    <row r="1301">
      <c r="C1301" s="15" t="n">
        <v>159</v>
      </c>
      <c r="AA1301" s="15" t="n">
        <v>159</v>
      </c>
      <c r="AW1301" s="15" t="n">
        <v>159</v>
      </c>
      <c r="BS1301" s="15" t="n">
        <v>159</v>
      </c>
      <c r="CO1301" s="15" t="n">
        <v>159</v>
      </c>
      <c r="DK1301" s="15" t="n">
        <v>159</v>
      </c>
      <c r="EG1301" s="15" t="n">
        <v>159</v>
      </c>
      <c r="FC1301" s="15" t="n">
        <v>159</v>
      </c>
      <c r="FY1301" s="15" t="n">
        <v>159</v>
      </c>
      <c r="GU1301" s="15" t="n">
        <v>159</v>
      </c>
    </row>
    <row r="1302">
      <c r="C1302" s="15" t="n">
        <v>160</v>
      </c>
      <c r="AA1302" s="15" t="n">
        <v>160</v>
      </c>
      <c r="AW1302" s="15" t="n">
        <v>160</v>
      </c>
      <c r="BS1302" s="15" t="n">
        <v>160</v>
      </c>
      <c r="CO1302" s="15" t="n">
        <v>160</v>
      </c>
      <c r="DK1302" s="15" t="n">
        <v>160</v>
      </c>
      <c r="EG1302" s="15" t="n">
        <v>160</v>
      </c>
      <c r="FC1302" s="15" t="n">
        <v>160</v>
      </c>
      <c r="FY1302" s="15" t="n">
        <v>160</v>
      </c>
      <c r="GU1302" s="15" t="n">
        <v>160</v>
      </c>
    </row>
    <row r="1303">
      <c r="C1303" s="15" t="n">
        <v>161</v>
      </c>
      <c r="AA1303" s="15" t="n">
        <v>161</v>
      </c>
      <c r="AW1303" s="15" t="n">
        <v>161</v>
      </c>
      <c r="BS1303" s="15" t="n">
        <v>161</v>
      </c>
      <c r="CO1303" s="15" t="n">
        <v>161</v>
      </c>
      <c r="DK1303" s="15" t="n">
        <v>161</v>
      </c>
      <c r="EG1303" s="15" t="n">
        <v>161</v>
      </c>
      <c r="FC1303" s="15" t="n">
        <v>161</v>
      </c>
      <c r="FY1303" s="15" t="n">
        <v>161</v>
      </c>
      <c r="GU1303" s="15" t="n">
        <v>161</v>
      </c>
    </row>
    <row r="1304">
      <c r="C1304" s="15" t="n">
        <v>162</v>
      </c>
      <c r="AA1304" s="15" t="n">
        <v>162</v>
      </c>
      <c r="AW1304" s="15" t="n">
        <v>162</v>
      </c>
      <c r="BS1304" s="15" t="n">
        <v>162</v>
      </c>
      <c r="CO1304" s="15" t="n">
        <v>162</v>
      </c>
      <c r="DK1304" s="15" t="n">
        <v>162</v>
      </c>
      <c r="EG1304" s="15" t="n">
        <v>162</v>
      </c>
      <c r="FC1304" s="15" t="n">
        <v>162</v>
      </c>
      <c r="FY1304" s="15" t="n">
        <v>162</v>
      </c>
      <c r="GU1304" s="15" t="n">
        <v>162</v>
      </c>
    </row>
    <row r="1305">
      <c r="C1305" s="15" t="n">
        <v>163</v>
      </c>
      <c r="AA1305" s="15" t="n">
        <v>163</v>
      </c>
      <c r="AW1305" s="15" t="n">
        <v>163</v>
      </c>
      <c r="BS1305" s="15" t="n">
        <v>163</v>
      </c>
      <c r="CO1305" s="15" t="n">
        <v>163</v>
      </c>
      <c r="DK1305" s="15" t="n">
        <v>163</v>
      </c>
      <c r="EG1305" s="15" t="n">
        <v>163</v>
      </c>
      <c r="FC1305" s="15" t="n">
        <v>163</v>
      </c>
      <c r="FY1305" s="15" t="n">
        <v>163</v>
      </c>
      <c r="GU1305" s="15" t="n">
        <v>163</v>
      </c>
    </row>
    <row r="1306">
      <c r="C1306" s="15" t="n">
        <v>164</v>
      </c>
      <c r="AA1306" s="15" t="n">
        <v>164</v>
      </c>
      <c r="AW1306" s="15" t="n">
        <v>164</v>
      </c>
      <c r="BS1306" s="15" t="n">
        <v>164</v>
      </c>
      <c r="CO1306" s="15" t="n">
        <v>164</v>
      </c>
      <c r="DK1306" s="15" t="n">
        <v>164</v>
      </c>
      <c r="EG1306" s="15" t="n">
        <v>164</v>
      </c>
      <c r="FC1306" s="15" t="n">
        <v>164</v>
      </c>
      <c r="FY1306" s="15" t="n">
        <v>164</v>
      </c>
      <c r="GU1306" s="15" t="n">
        <v>164</v>
      </c>
    </row>
    <row r="1307">
      <c r="C1307" s="15" t="n">
        <v>165</v>
      </c>
      <c r="AA1307" s="15" t="n">
        <v>165</v>
      </c>
      <c r="AW1307" s="15" t="n">
        <v>165</v>
      </c>
      <c r="BS1307" s="15" t="n">
        <v>165</v>
      </c>
      <c r="CO1307" s="15" t="n">
        <v>165</v>
      </c>
      <c r="DK1307" s="15" t="n">
        <v>165</v>
      </c>
      <c r="EG1307" s="15" t="n">
        <v>165</v>
      </c>
      <c r="FC1307" s="15" t="n">
        <v>165</v>
      </c>
      <c r="FY1307" s="15" t="n">
        <v>165</v>
      </c>
      <c r="GU1307" s="15" t="n">
        <v>165</v>
      </c>
    </row>
    <row r="1308">
      <c r="C1308" s="15" t="n">
        <v>166</v>
      </c>
      <c r="AA1308" s="15" t="n">
        <v>166</v>
      </c>
      <c r="AW1308" s="15" t="n">
        <v>166</v>
      </c>
      <c r="BS1308" s="15" t="n">
        <v>166</v>
      </c>
      <c r="CO1308" s="15" t="n">
        <v>166</v>
      </c>
      <c r="DK1308" s="15" t="n">
        <v>166</v>
      </c>
      <c r="EG1308" s="15" t="n">
        <v>166</v>
      </c>
      <c r="FC1308" s="15" t="n">
        <v>166</v>
      </c>
      <c r="FY1308" s="15" t="n">
        <v>166</v>
      </c>
      <c r="GU1308" s="15" t="n">
        <v>166</v>
      </c>
    </row>
    <row r="1309">
      <c r="C1309" s="15" t="n">
        <v>167</v>
      </c>
      <c r="AA1309" s="15" t="n">
        <v>167</v>
      </c>
      <c r="AW1309" s="15" t="n">
        <v>167</v>
      </c>
      <c r="BS1309" s="15" t="n">
        <v>167</v>
      </c>
      <c r="CO1309" s="15" t="n">
        <v>167</v>
      </c>
      <c r="DK1309" s="15" t="n">
        <v>167</v>
      </c>
      <c r="EG1309" s="15" t="n">
        <v>167</v>
      </c>
      <c r="FC1309" s="15" t="n">
        <v>167</v>
      </c>
      <c r="FY1309" s="15" t="n">
        <v>167</v>
      </c>
      <c r="GU1309" s="15" t="n">
        <v>167</v>
      </c>
    </row>
    <row r="1310">
      <c r="C1310" s="15" t="n">
        <v>168</v>
      </c>
      <c r="AA1310" s="15" t="n">
        <v>168</v>
      </c>
      <c r="AW1310" s="15" t="n">
        <v>168</v>
      </c>
      <c r="BS1310" s="15" t="n">
        <v>168</v>
      </c>
      <c r="CO1310" s="15" t="n">
        <v>168</v>
      </c>
      <c r="DK1310" s="15" t="n">
        <v>168</v>
      </c>
      <c r="EG1310" s="15" t="n">
        <v>168</v>
      </c>
      <c r="FC1310" s="15" t="n">
        <v>168</v>
      </c>
      <c r="FY1310" s="15" t="n">
        <v>168</v>
      </c>
      <c r="GU1310" s="15" t="n">
        <v>168</v>
      </c>
    </row>
    <row r="1311">
      <c r="C1311" s="15" t="n">
        <v>169</v>
      </c>
      <c r="AA1311" s="15" t="n">
        <v>169</v>
      </c>
      <c r="AW1311" s="15" t="n">
        <v>169</v>
      </c>
      <c r="BS1311" s="15" t="n">
        <v>169</v>
      </c>
      <c r="CO1311" s="15" t="n">
        <v>169</v>
      </c>
      <c r="DK1311" s="15" t="n">
        <v>169</v>
      </c>
      <c r="EG1311" s="15" t="n">
        <v>169</v>
      </c>
      <c r="FC1311" s="15" t="n">
        <v>169</v>
      </c>
      <c r="FY1311" s="15" t="n">
        <v>169</v>
      </c>
      <c r="GU1311" s="15" t="n">
        <v>169</v>
      </c>
    </row>
    <row r="1312">
      <c r="C1312" s="15" t="n">
        <v>170</v>
      </c>
      <c r="AA1312" s="15" t="n">
        <v>170</v>
      </c>
      <c r="AW1312" s="15" t="n">
        <v>170</v>
      </c>
      <c r="BS1312" s="15" t="n">
        <v>170</v>
      </c>
      <c r="CO1312" s="15" t="n">
        <v>170</v>
      </c>
      <c r="DK1312" s="15" t="n">
        <v>170</v>
      </c>
      <c r="EG1312" s="15" t="n">
        <v>170</v>
      </c>
      <c r="FC1312" s="15" t="n">
        <v>170</v>
      </c>
      <c r="FY1312" s="15" t="n">
        <v>170</v>
      </c>
      <c r="GU1312" s="15" t="n">
        <v>170</v>
      </c>
    </row>
    <row r="1313">
      <c r="C1313" s="15" t="n">
        <v>171</v>
      </c>
      <c r="AA1313" s="15" t="n">
        <v>171</v>
      </c>
      <c r="AW1313" s="15" t="n">
        <v>171</v>
      </c>
      <c r="BS1313" s="15" t="n">
        <v>171</v>
      </c>
      <c r="CO1313" s="15" t="n">
        <v>171</v>
      </c>
      <c r="DK1313" s="15" t="n">
        <v>171</v>
      </c>
      <c r="EG1313" s="15" t="n">
        <v>171</v>
      </c>
      <c r="FC1313" s="15" t="n">
        <v>171</v>
      </c>
      <c r="FY1313" s="15" t="n">
        <v>171</v>
      </c>
      <c r="GU1313" s="15" t="n">
        <v>171</v>
      </c>
    </row>
    <row r="1314">
      <c r="C1314" s="15" t="n">
        <v>172</v>
      </c>
      <c r="AA1314" s="15" t="n">
        <v>172</v>
      </c>
      <c r="AW1314" s="15" t="n">
        <v>172</v>
      </c>
      <c r="BS1314" s="15" t="n">
        <v>172</v>
      </c>
      <c r="CO1314" s="15" t="n">
        <v>172</v>
      </c>
      <c r="DK1314" s="15" t="n">
        <v>172</v>
      </c>
      <c r="EG1314" s="15" t="n">
        <v>172</v>
      </c>
      <c r="FC1314" s="15" t="n">
        <v>172</v>
      </c>
      <c r="FY1314" s="15" t="n">
        <v>172</v>
      </c>
      <c r="GU1314" s="15" t="n">
        <v>172</v>
      </c>
    </row>
    <row r="1315">
      <c r="C1315" s="15" t="n">
        <v>173</v>
      </c>
      <c r="AA1315" s="15" t="n">
        <v>173</v>
      </c>
      <c r="AW1315" s="15" t="n">
        <v>173</v>
      </c>
      <c r="BS1315" s="15" t="n">
        <v>173</v>
      </c>
      <c r="CO1315" s="15" t="n">
        <v>173</v>
      </c>
      <c r="DK1315" s="15" t="n">
        <v>173</v>
      </c>
      <c r="EG1315" s="15" t="n">
        <v>173</v>
      </c>
      <c r="FC1315" s="15" t="n">
        <v>173</v>
      </c>
      <c r="FY1315" s="15" t="n">
        <v>173</v>
      </c>
      <c r="GU1315" s="15" t="n">
        <v>173</v>
      </c>
    </row>
    <row r="1316">
      <c r="C1316" s="15" t="n">
        <v>174</v>
      </c>
      <c r="AA1316" s="15" t="n">
        <v>174</v>
      </c>
      <c r="AW1316" s="15" t="n">
        <v>174</v>
      </c>
      <c r="BS1316" s="15" t="n">
        <v>174</v>
      </c>
      <c r="CO1316" s="15" t="n">
        <v>174</v>
      </c>
      <c r="DK1316" s="15" t="n">
        <v>174</v>
      </c>
      <c r="EG1316" s="15" t="n">
        <v>174</v>
      </c>
      <c r="FC1316" s="15" t="n">
        <v>174</v>
      </c>
      <c r="FY1316" s="15" t="n">
        <v>174</v>
      </c>
      <c r="GU1316" s="15" t="n">
        <v>174</v>
      </c>
    </row>
    <row r="1317">
      <c r="C1317" s="15" t="n">
        <v>175</v>
      </c>
      <c r="AA1317" s="15" t="n">
        <v>175</v>
      </c>
      <c r="AW1317" s="15" t="n">
        <v>175</v>
      </c>
      <c r="BS1317" s="15" t="n">
        <v>175</v>
      </c>
      <c r="CO1317" s="15" t="n">
        <v>175</v>
      </c>
      <c r="DK1317" s="15" t="n">
        <v>175</v>
      </c>
      <c r="EG1317" s="15" t="n">
        <v>175</v>
      </c>
      <c r="FC1317" s="15" t="n">
        <v>175</v>
      </c>
      <c r="FY1317" s="15" t="n">
        <v>175</v>
      </c>
      <c r="GU1317" s="15" t="n">
        <v>175</v>
      </c>
    </row>
    <row r="1318">
      <c r="C1318" s="15" t="n">
        <v>176</v>
      </c>
      <c r="AA1318" s="15" t="n">
        <v>176</v>
      </c>
      <c r="AW1318" s="15" t="n">
        <v>176</v>
      </c>
      <c r="BS1318" s="15" t="n">
        <v>176</v>
      </c>
      <c r="CO1318" s="15" t="n">
        <v>176</v>
      </c>
      <c r="DK1318" s="15" t="n">
        <v>176</v>
      </c>
      <c r="EG1318" s="15" t="n">
        <v>176</v>
      </c>
      <c r="FC1318" s="15" t="n">
        <v>176</v>
      </c>
      <c r="FY1318" s="15" t="n">
        <v>176</v>
      </c>
      <c r="GU1318" s="15" t="n">
        <v>176</v>
      </c>
    </row>
    <row r="1319">
      <c r="C1319" s="15" t="n">
        <v>177</v>
      </c>
      <c r="AA1319" s="15" t="n">
        <v>177</v>
      </c>
      <c r="AW1319" s="15" t="n">
        <v>177</v>
      </c>
      <c r="BS1319" s="15" t="n">
        <v>177</v>
      </c>
      <c r="CO1319" s="15" t="n">
        <v>177</v>
      </c>
      <c r="DK1319" s="15" t="n">
        <v>177</v>
      </c>
      <c r="EG1319" s="15" t="n">
        <v>177</v>
      </c>
      <c r="FC1319" s="15" t="n">
        <v>177</v>
      </c>
      <c r="FY1319" s="15" t="n">
        <v>177</v>
      </c>
      <c r="GU1319" s="15" t="n">
        <v>177</v>
      </c>
    </row>
    <row r="1320">
      <c r="C1320" s="15" t="n">
        <v>178</v>
      </c>
      <c r="AA1320" s="15" t="n">
        <v>178</v>
      </c>
      <c r="AW1320" s="15" t="n">
        <v>178</v>
      </c>
      <c r="BS1320" s="15" t="n">
        <v>178</v>
      </c>
      <c r="CO1320" s="15" t="n">
        <v>178</v>
      </c>
      <c r="DK1320" s="15" t="n">
        <v>178</v>
      </c>
      <c r="EG1320" s="15" t="n">
        <v>178</v>
      </c>
      <c r="FC1320" s="15" t="n">
        <v>178</v>
      </c>
      <c r="FY1320" s="15" t="n">
        <v>178</v>
      </c>
      <c r="GU1320" s="15" t="n">
        <v>178</v>
      </c>
    </row>
    <row r="1321">
      <c r="C1321" s="15" t="n">
        <v>179</v>
      </c>
      <c r="AA1321" s="15" t="n">
        <v>179</v>
      </c>
      <c r="AW1321" s="15" t="n">
        <v>179</v>
      </c>
      <c r="BS1321" s="15" t="n">
        <v>179</v>
      </c>
      <c r="CO1321" s="15" t="n">
        <v>179</v>
      </c>
      <c r="DK1321" s="15" t="n">
        <v>179</v>
      </c>
      <c r="EG1321" s="15" t="n">
        <v>179</v>
      </c>
      <c r="FC1321" s="15" t="n">
        <v>179</v>
      </c>
      <c r="FY1321" s="15" t="n">
        <v>179</v>
      </c>
      <c r="GU1321" s="15" t="n">
        <v>179</v>
      </c>
    </row>
    <row r="1322">
      <c r="C1322" s="15" t="n">
        <v>180</v>
      </c>
      <c r="AA1322" s="15" t="n">
        <v>180</v>
      </c>
      <c r="AW1322" s="15" t="n">
        <v>180</v>
      </c>
      <c r="BS1322" s="15" t="n">
        <v>180</v>
      </c>
      <c r="CO1322" s="15" t="n">
        <v>180</v>
      </c>
      <c r="DK1322" s="15" t="n">
        <v>180</v>
      </c>
      <c r="EG1322" s="15" t="n">
        <v>180</v>
      </c>
      <c r="FC1322" s="15" t="n">
        <v>180</v>
      </c>
      <c r="FY1322" s="15" t="n">
        <v>180</v>
      </c>
      <c r="GU1322" s="15" t="n">
        <v>180</v>
      </c>
    </row>
    <row r="1323">
      <c r="C1323" s="15" t="n">
        <v>181</v>
      </c>
      <c r="AA1323" s="15" t="n">
        <v>181</v>
      </c>
      <c r="AW1323" s="15" t="n">
        <v>181</v>
      </c>
      <c r="BS1323" s="15" t="n">
        <v>181</v>
      </c>
      <c r="CO1323" s="15" t="n">
        <v>181</v>
      </c>
      <c r="DK1323" s="15" t="n">
        <v>181</v>
      </c>
      <c r="EG1323" s="15" t="n">
        <v>181</v>
      </c>
      <c r="FC1323" s="15" t="n">
        <v>181</v>
      </c>
      <c r="FY1323" s="15" t="n">
        <v>181</v>
      </c>
      <c r="GU1323" s="15" t="n">
        <v>181</v>
      </c>
    </row>
    <row r="1324">
      <c r="C1324" s="15" t="n">
        <v>182</v>
      </c>
      <c r="AA1324" s="15" t="n">
        <v>182</v>
      </c>
      <c r="AW1324" s="15" t="n">
        <v>182</v>
      </c>
      <c r="BS1324" s="15" t="n">
        <v>182</v>
      </c>
      <c r="CO1324" s="15" t="n">
        <v>182</v>
      </c>
      <c r="DK1324" s="15" t="n">
        <v>182</v>
      </c>
      <c r="EG1324" s="15" t="n">
        <v>182</v>
      </c>
      <c r="FC1324" s="15" t="n">
        <v>182</v>
      </c>
      <c r="FY1324" s="15" t="n">
        <v>182</v>
      </c>
      <c r="GU1324" s="15" t="n">
        <v>182</v>
      </c>
    </row>
    <row r="1325">
      <c r="C1325" s="15" t="n">
        <v>183</v>
      </c>
      <c r="AA1325" s="15" t="n">
        <v>183</v>
      </c>
      <c r="AW1325" s="15" t="n">
        <v>183</v>
      </c>
      <c r="BS1325" s="15" t="n">
        <v>183</v>
      </c>
      <c r="CO1325" s="15" t="n">
        <v>183</v>
      </c>
      <c r="DK1325" s="15" t="n">
        <v>183</v>
      </c>
      <c r="EG1325" s="15" t="n">
        <v>183</v>
      </c>
      <c r="FC1325" s="15" t="n">
        <v>183</v>
      </c>
      <c r="FY1325" s="15" t="n">
        <v>183</v>
      </c>
      <c r="GU1325" s="15" t="n">
        <v>183</v>
      </c>
    </row>
    <row r="1326">
      <c r="C1326" s="15" t="n">
        <v>184</v>
      </c>
      <c r="AA1326" s="15" t="n">
        <v>184</v>
      </c>
      <c r="AW1326" s="15" t="n">
        <v>184</v>
      </c>
      <c r="BS1326" s="15" t="n">
        <v>184</v>
      </c>
      <c r="CO1326" s="15" t="n">
        <v>184</v>
      </c>
      <c r="DK1326" s="15" t="n">
        <v>184</v>
      </c>
      <c r="EG1326" s="15" t="n">
        <v>184</v>
      </c>
      <c r="FC1326" s="15" t="n">
        <v>184</v>
      </c>
      <c r="FY1326" s="15" t="n">
        <v>184</v>
      </c>
      <c r="GU1326" s="15" t="n">
        <v>184</v>
      </c>
    </row>
    <row r="1327">
      <c r="C1327" s="15" t="n">
        <v>185</v>
      </c>
      <c r="AA1327" s="15" t="n">
        <v>185</v>
      </c>
      <c r="AW1327" s="15" t="n">
        <v>185</v>
      </c>
      <c r="BS1327" s="15" t="n">
        <v>185</v>
      </c>
      <c r="CO1327" s="15" t="n">
        <v>185</v>
      </c>
      <c r="DK1327" s="15" t="n">
        <v>185</v>
      </c>
      <c r="EG1327" s="15" t="n">
        <v>185</v>
      </c>
      <c r="FC1327" s="15" t="n">
        <v>185</v>
      </c>
      <c r="FY1327" s="15" t="n">
        <v>185</v>
      </c>
      <c r="GU1327" s="15" t="n">
        <v>185</v>
      </c>
    </row>
    <row r="1328">
      <c r="C1328" s="15" t="n">
        <v>186</v>
      </c>
      <c r="AA1328" s="15" t="n">
        <v>186</v>
      </c>
      <c r="AW1328" s="15" t="n">
        <v>186</v>
      </c>
      <c r="BS1328" s="15" t="n">
        <v>186</v>
      </c>
      <c r="CO1328" s="15" t="n">
        <v>186</v>
      </c>
      <c r="DK1328" s="15" t="n">
        <v>186</v>
      </c>
      <c r="EG1328" s="15" t="n">
        <v>186</v>
      </c>
      <c r="FC1328" s="15" t="n">
        <v>186</v>
      </c>
      <c r="FY1328" s="15" t="n">
        <v>186</v>
      </c>
      <c r="GU1328" s="15" t="n">
        <v>186</v>
      </c>
    </row>
    <row r="1329">
      <c r="C1329" s="15" t="n">
        <v>187</v>
      </c>
      <c r="AA1329" s="15" t="n">
        <v>187</v>
      </c>
      <c r="AW1329" s="15" t="n">
        <v>187</v>
      </c>
      <c r="BS1329" s="15" t="n">
        <v>187</v>
      </c>
      <c r="CO1329" s="15" t="n">
        <v>187</v>
      </c>
      <c r="DK1329" s="15" t="n">
        <v>187</v>
      </c>
      <c r="EG1329" s="15" t="n">
        <v>187</v>
      </c>
      <c r="FC1329" s="15" t="n">
        <v>187</v>
      </c>
      <c r="FY1329" s="15" t="n">
        <v>187</v>
      </c>
      <c r="GU1329" s="15" t="n">
        <v>187</v>
      </c>
    </row>
    <row r="1330">
      <c r="C1330" s="15" t="n">
        <v>188</v>
      </c>
      <c r="AA1330" s="15" t="n">
        <v>188</v>
      </c>
      <c r="AW1330" s="15" t="n">
        <v>188</v>
      </c>
      <c r="BS1330" s="15" t="n">
        <v>188</v>
      </c>
      <c r="CO1330" s="15" t="n">
        <v>188</v>
      </c>
      <c r="DK1330" s="15" t="n">
        <v>188</v>
      </c>
      <c r="EG1330" s="15" t="n">
        <v>188</v>
      </c>
      <c r="FC1330" s="15" t="n">
        <v>188</v>
      </c>
      <c r="FY1330" s="15" t="n">
        <v>188</v>
      </c>
      <c r="GU1330" s="15" t="n">
        <v>188</v>
      </c>
    </row>
    <row r="1331">
      <c r="C1331" s="15" t="n">
        <v>189</v>
      </c>
      <c r="AA1331" s="15" t="n">
        <v>189</v>
      </c>
      <c r="AW1331" s="15" t="n">
        <v>189</v>
      </c>
      <c r="BS1331" s="15" t="n">
        <v>189</v>
      </c>
      <c r="CO1331" s="15" t="n">
        <v>189</v>
      </c>
      <c r="DK1331" s="15" t="n">
        <v>189</v>
      </c>
      <c r="EG1331" s="15" t="n">
        <v>189</v>
      </c>
      <c r="FC1331" s="15" t="n">
        <v>189</v>
      </c>
      <c r="FY1331" s="15" t="n">
        <v>189</v>
      </c>
      <c r="GU1331" s="15" t="n">
        <v>189</v>
      </c>
    </row>
    <row r="1332">
      <c r="C1332" s="15" t="n">
        <v>190</v>
      </c>
      <c r="AA1332" s="15" t="n">
        <v>190</v>
      </c>
      <c r="AW1332" s="15" t="n">
        <v>190</v>
      </c>
      <c r="BS1332" s="15" t="n">
        <v>190</v>
      </c>
      <c r="CO1332" s="15" t="n">
        <v>190</v>
      </c>
      <c r="DK1332" s="15" t="n">
        <v>190</v>
      </c>
      <c r="EG1332" s="15" t="n">
        <v>190</v>
      </c>
      <c r="FC1332" s="15" t="n">
        <v>190</v>
      </c>
      <c r="FY1332" s="15" t="n">
        <v>190</v>
      </c>
      <c r="GU1332" s="15" t="n">
        <v>190</v>
      </c>
    </row>
    <row r="1333">
      <c r="C1333" s="15" t="n">
        <v>191</v>
      </c>
      <c r="AA1333" s="15" t="n">
        <v>191</v>
      </c>
      <c r="AW1333" s="15" t="n">
        <v>191</v>
      </c>
      <c r="BS1333" s="15" t="n">
        <v>191</v>
      </c>
      <c r="CO1333" s="15" t="n">
        <v>191</v>
      </c>
      <c r="DK1333" s="15" t="n">
        <v>191</v>
      </c>
      <c r="EG1333" s="15" t="n">
        <v>191</v>
      </c>
      <c r="FC1333" s="15" t="n">
        <v>191</v>
      </c>
      <c r="FY1333" s="15" t="n">
        <v>191</v>
      </c>
      <c r="GU1333" s="15" t="n">
        <v>191</v>
      </c>
    </row>
    <row r="1334">
      <c r="C1334" s="15" t="n">
        <v>192</v>
      </c>
      <c r="AA1334" s="15" t="n">
        <v>192</v>
      </c>
      <c r="AW1334" s="15" t="n">
        <v>192</v>
      </c>
      <c r="BS1334" s="15" t="n">
        <v>192</v>
      </c>
      <c r="CO1334" s="15" t="n">
        <v>192</v>
      </c>
      <c r="DK1334" s="15" t="n">
        <v>192</v>
      </c>
      <c r="EG1334" s="15" t="n">
        <v>192</v>
      </c>
      <c r="FC1334" s="15" t="n">
        <v>192</v>
      </c>
      <c r="FY1334" s="15" t="n">
        <v>192</v>
      </c>
      <c r="GU1334" s="15" t="n">
        <v>192</v>
      </c>
    </row>
    <row r="1335">
      <c r="C1335" s="15" t="n">
        <v>193</v>
      </c>
      <c r="AA1335" s="15" t="n">
        <v>193</v>
      </c>
      <c r="AW1335" s="15" t="n">
        <v>193</v>
      </c>
      <c r="BS1335" s="15" t="n">
        <v>193</v>
      </c>
      <c r="CO1335" s="15" t="n">
        <v>193</v>
      </c>
      <c r="DK1335" s="15" t="n">
        <v>193</v>
      </c>
      <c r="EG1335" s="15" t="n">
        <v>193</v>
      </c>
      <c r="FC1335" s="15" t="n">
        <v>193</v>
      </c>
      <c r="FY1335" s="15" t="n">
        <v>193</v>
      </c>
      <c r="GU1335" s="15" t="n">
        <v>193</v>
      </c>
    </row>
    <row r="1336">
      <c r="C1336" s="15" t="n">
        <v>194</v>
      </c>
      <c r="AA1336" s="15" t="n">
        <v>194</v>
      </c>
      <c r="AW1336" s="15" t="n">
        <v>194</v>
      </c>
      <c r="BS1336" s="15" t="n">
        <v>194</v>
      </c>
      <c r="CO1336" s="15" t="n">
        <v>194</v>
      </c>
      <c r="DK1336" s="15" t="n">
        <v>194</v>
      </c>
      <c r="EG1336" s="15" t="n">
        <v>194</v>
      </c>
      <c r="FC1336" s="15" t="n">
        <v>194</v>
      </c>
      <c r="FY1336" s="15" t="n">
        <v>194</v>
      </c>
      <c r="GU1336" s="15" t="n">
        <v>194</v>
      </c>
    </row>
    <row r="1337">
      <c r="C1337" s="15" t="n">
        <v>195</v>
      </c>
      <c r="AA1337" s="15" t="n">
        <v>195</v>
      </c>
      <c r="AW1337" s="15" t="n">
        <v>195</v>
      </c>
      <c r="BS1337" s="15" t="n">
        <v>195</v>
      </c>
      <c r="CO1337" s="15" t="n">
        <v>195</v>
      </c>
      <c r="DK1337" s="15" t="n">
        <v>195</v>
      </c>
      <c r="EG1337" s="15" t="n">
        <v>195</v>
      </c>
      <c r="FC1337" s="15" t="n">
        <v>195</v>
      </c>
      <c r="FY1337" s="15" t="n">
        <v>195</v>
      </c>
      <c r="GU1337" s="15" t="n">
        <v>195</v>
      </c>
    </row>
    <row r="1338">
      <c r="C1338" s="15" t="n">
        <v>196</v>
      </c>
      <c r="AA1338" s="15" t="n">
        <v>196</v>
      </c>
      <c r="AW1338" s="15" t="n">
        <v>196</v>
      </c>
      <c r="BS1338" s="15" t="n">
        <v>196</v>
      </c>
      <c r="CO1338" s="15" t="n">
        <v>196</v>
      </c>
      <c r="DK1338" s="15" t="n">
        <v>196</v>
      </c>
      <c r="EG1338" s="15" t="n">
        <v>196</v>
      </c>
      <c r="FC1338" s="15" t="n">
        <v>196</v>
      </c>
      <c r="FY1338" s="15" t="n">
        <v>196</v>
      </c>
      <c r="GU1338" s="15" t="n">
        <v>196</v>
      </c>
    </row>
    <row r="1339">
      <c r="C1339" s="15" t="n">
        <v>197</v>
      </c>
      <c r="AA1339" s="15" t="n">
        <v>197</v>
      </c>
      <c r="AW1339" s="15" t="n">
        <v>197</v>
      </c>
      <c r="BS1339" s="15" t="n">
        <v>197</v>
      </c>
      <c r="CO1339" s="15" t="n">
        <v>197</v>
      </c>
      <c r="DK1339" s="15" t="n">
        <v>197</v>
      </c>
      <c r="EG1339" s="15" t="n">
        <v>197</v>
      </c>
      <c r="FC1339" s="15" t="n">
        <v>197</v>
      </c>
      <c r="FY1339" s="15" t="n">
        <v>197</v>
      </c>
      <c r="GU1339" s="15" t="n">
        <v>197</v>
      </c>
    </row>
    <row r="1340">
      <c r="C1340" s="15" t="n">
        <v>198</v>
      </c>
      <c r="AA1340" s="15" t="n">
        <v>198</v>
      </c>
      <c r="AW1340" s="15" t="n">
        <v>198</v>
      </c>
      <c r="BS1340" s="15" t="n">
        <v>198</v>
      </c>
      <c r="CO1340" s="15" t="n">
        <v>198</v>
      </c>
      <c r="DK1340" s="15" t="n">
        <v>198</v>
      </c>
      <c r="EG1340" s="15" t="n">
        <v>198</v>
      </c>
      <c r="FC1340" s="15" t="n">
        <v>198</v>
      </c>
      <c r="FY1340" s="15" t="n">
        <v>198</v>
      </c>
      <c r="GU1340" s="15" t="n">
        <v>198</v>
      </c>
    </row>
    <row r="1342">
      <c r="C1342" s="15" t="inlineStr">
        <is>
          <t>CV</t>
        </is>
      </c>
      <c r="D1342" s="15" t="n">
        <v>22</v>
      </c>
      <c r="E1342" s="15" t="n">
        <v>23</v>
      </c>
      <c r="F1342" s="15" t="n">
        <v>24</v>
      </c>
      <c r="AA1342" s="15" t="inlineStr">
        <is>
          <t>CV</t>
        </is>
      </c>
      <c r="AB1342" s="15" t="n">
        <v>22</v>
      </c>
      <c r="AC1342" s="15" t="n">
        <v>23</v>
      </c>
      <c r="AD1342" s="15" t="n">
        <v>24</v>
      </c>
      <c r="AW1342" s="15" t="inlineStr">
        <is>
          <t>CV</t>
        </is>
      </c>
      <c r="AX1342" s="15" t="n">
        <v>22</v>
      </c>
      <c r="AY1342" s="15" t="n">
        <v>23</v>
      </c>
      <c r="AZ1342" s="15" t="n">
        <v>24</v>
      </c>
      <c r="BS1342" s="15" t="inlineStr">
        <is>
          <t>CV</t>
        </is>
      </c>
      <c r="BT1342" s="15" t="n">
        <v>22</v>
      </c>
      <c r="BU1342" s="15" t="n">
        <v>23</v>
      </c>
      <c r="BV1342" s="15" t="n">
        <v>24</v>
      </c>
      <c r="CO1342" s="15" t="inlineStr">
        <is>
          <t>CV</t>
        </is>
      </c>
      <c r="CP1342" s="15" t="n">
        <v>22</v>
      </c>
      <c r="CQ1342" s="15" t="n">
        <v>23</v>
      </c>
      <c r="CR1342" s="15" t="n">
        <v>24</v>
      </c>
      <c r="DK1342" s="15" t="inlineStr">
        <is>
          <t>CV</t>
        </is>
      </c>
      <c r="DL1342" s="15" t="n">
        <v>22</v>
      </c>
      <c r="DM1342" s="15" t="n">
        <v>23</v>
      </c>
      <c r="DN1342" s="15" t="n">
        <v>24</v>
      </c>
      <c r="EG1342" s="15" t="inlineStr">
        <is>
          <t>CV</t>
        </is>
      </c>
      <c r="EH1342" s="15" t="n">
        <v>22</v>
      </c>
      <c r="EI1342" s="15" t="n">
        <v>23</v>
      </c>
      <c r="EJ1342" s="15" t="n">
        <v>24</v>
      </c>
      <c r="FC1342" s="15" t="inlineStr">
        <is>
          <t>CV</t>
        </is>
      </c>
      <c r="FD1342" s="15" t="n">
        <v>22</v>
      </c>
      <c r="FE1342" s="15" t="n">
        <v>23</v>
      </c>
      <c r="FF1342" s="15" t="n">
        <v>24</v>
      </c>
      <c r="FY1342" s="15" t="inlineStr">
        <is>
          <t>CV</t>
        </is>
      </c>
      <c r="FZ1342" s="15" t="n">
        <v>22</v>
      </c>
      <c r="GA1342" s="15" t="n">
        <v>23</v>
      </c>
      <c r="GB1342" s="15" t="n">
        <v>24</v>
      </c>
      <c r="GU1342" s="15" t="inlineStr">
        <is>
          <t>CV</t>
        </is>
      </c>
      <c r="GV1342" s="15" t="n">
        <v>22</v>
      </c>
      <c r="GW1342" s="15" t="n">
        <v>23</v>
      </c>
      <c r="GX1342" s="15" t="n">
        <v>24</v>
      </c>
    </row>
    <row r="1343">
      <c r="C1343" s="15" t="n">
        <v>9</v>
      </c>
      <c r="AA1343" s="15" t="n">
        <v>9</v>
      </c>
      <c r="AW1343" s="15" t="n">
        <v>9</v>
      </c>
      <c r="BS1343" s="15" t="n">
        <v>9</v>
      </c>
      <c r="CO1343" s="15" t="n">
        <v>9</v>
      </c>
      <c r="DK1343" s="15" t="n">
        <v>9</v>
      </c>
      <c r="EG1343" s="15" t="n">
        <v>9</v>
      </c>
      <c r="FC1343" s="15" t="n">
        <v>9</v>
      </c>
      <c r="FY1343" s="15" t="n">
        <v>9</v>
      </c>
      <c r="GU1343" s="15" t="n">
        <v>9</v>
      </c>
    </row>
    <row r="1344">
      <c r="C1344" s="15" t="n">
        <v>10</v>
      </c>
      <c r="AA1344" s="15" t="n">
        <v>10</v>
      </c>
      <c r="AW1344" s="15" t="n">
        <v>10</v>
      </c>
      <c r="BS1344" s="15" t="n">
        <v>10</v>
      </c>
      <c r="CO1344" s="15" t="n">
        <v>10</v>
      </c>
      <c r="DK1344" s="15" t="n">
        <v>10</v>
      </c>
      <c r="EG1344" s="15" t="n">
        <v>10</v>
      </c>
      <c r="FC1344" s="15" t="n">
        <v>10</v>
      </c>
      <c r="FY1344" s="15" t="n">
        <v>10</v>
      </c>
      <c r="GU1344" s="15" t="n">
        <v>10</v>
      </c>
    </row>
    <row r="1345">
      <c r="C1345" s="15" t="n">
        <v>11</v>
      </c>
      <c r="AA1345" s="15" t="n">
        <v>11</v>
      </c>
      <c r="AW1345" s="15" t="n">
        <v>11</v>
      </c>
      <c r="BS1345" s="15" t="n">
        <v>11</v>
      </c>
      <c r="CO1345" s="15" t="n">
        <v>11</v>
      </c>
      <c r="DK1345" s="15" t="n">
        <v>11</v>
      </c>
      <c r="EG1345" s="15" t="n">
        <v>11</v>
      </c>
      <c r="FC1345" s="15" t="n">
        <v>11</v>
      </c>
      <c r="FY1345" s="15" t="n">
        <v>11</v>
      </c>
      <c r="GU1345" s="15" t="n">
        <v>11</v>
      </c>
    </row>
    <row r="1346">
      <c r="C1346" s="15" t="n">
        <v>12</v>
      </c>
      <c r="AA1346" s="15" t="n">
        <v>12</v>
      </c>
      <c r="AW1346" s="15" t="n">
        <v>12</v>
      </c>
      <c r="BS1346" s="15" t="n">
        <v>12</v>
      </c>
      <c r="CO1346" s="15" t="n">
        <v>12</v>
      </c>
      <c r="DK1346" s="15" t="n">
        <v>12</v>
      </c>
      <c r="EG1346" s="15" t="n">
        <v>12</v>
      </c>
      <c r="FC1346" s="15" t="n">
        <v>12</v>
      </c>
      <c r="FY1346" s="15" t="n">
        <v>12</v>
      </c>
      <c r="GU1346" s="15" t="n">
        <v>12</v>
      </c>
    </row>
    <row r="1347">
      <c r="C1347" s="15" t="n">
        <v>13</v>
      </c>
      <c r="AA1347" s="15" t="n">
        <v>13</v>
      </c>
      <c r="AW1347" s="15" t="n">
        <v>13</v>
      </c>
      <c r="BS1347" s="15" t="n">
        <v>13</v>
      </c>
      <c r="CO1347" s="15" t="n">
        <v>13</v>
      </c>
      <c r="DK1347" s="15" t="n">
        <v>13</v>
      </c>
      <c r="EG1347" s="15" t="n">
        <v>13</v>
      </c>
      <c r="FC1347" s="15" t="n">
        <v>13</v>
      </c>
      <c r="FY1347" s="15" t="n">
        <v>13</v>
      </c>
      <c r="GU1347" s="15" t="n">
        <v>13</v>
      </c>
    </row>
    <row r="1348">
      <c r="C1348" s="15" t="n">
        <v>14</v>
      </c>
      <c r="AA1348" s="15" t="n">
        <v>14</v>
      </c>
      <c r="AW1348" s="15" t="n">
        <v>14</v>
      </c>
      <c r="BS1348" s="15" t="n">
        <v>14</v>
      </c>
      <c r="CO1348" s="15" t="n">
        <v>14</v>
      </c>
      <c r="DK1348" s="15" t="n">
        <v>14</v>
      </c>
      <c r="EG1348" s="15" t="n">
        <v>14</v>
      </c>
      <c r="FC1348" s="15" t="n">
        <v>14</v>
      </c>
      <c r="FY1348" s="15" t="n">
        <v>14</v>
      </c>
      <c r="GU1348" s="15" t="n">
        <v>14</v>
      </c>
    </row>
    <row r="1349">
      <c r="C1349" s="15" t="n">
        <v>15</v>
      </c>
      <c r="AA1349" s="15" t="n">
        <v>15</v>
      </c>
      <c r="AW1349" s="15" t="n">
        <v>15</v>
      </c>
      <c r="BS1349" s="15" t="n">
        <v>15</v>
      </c>
      <c r="CO1349" s="15" t="n">
        <v>15</v>
      </c>
      <c r="DK1349" s="15" t="n">
        <v>15</v>
      </c>
      <c r="EG1349" s="15" t="n">
        <v>15</v>
      </c>
      <c r="FC1349" s="15" t="n">
        <v>15</v>
      </c>
      <c r="FY1349" s="15" t="n">
        <v>15</v>
      </c>
      <c r="GU1349" s="15" t="n">
        <v>15</v>
      </c>
    </row>
    <row r="1350">
      <c r="C1350" s="15" t="n">
        <v>16</v>
      </c>
      <c r="AA1350" s="15" t="n">
        <v>16</v>
      </c>
      <c r="AW1350" s="15" t="n">
        <v>16</v>
      </c>
      <c r="BS1350" s="15" t="n">
        <v>16</v>
      </c>
      <c r="CO1350" s="15" t="n">
        <v>16</v>
      </c>
      <c r="DK1350" s="15" t="n">
        <v>16</v>
      </c>
      <c r="EG1350" s="15" t="n">
        <v>16</v>
      </c>
      <c r="FC1350" s="15" t="n">
        <v>16</v>
      </c>
      <c r="FY1350" s="15" t="n">
        <v>16</v>
      </c>
      <c r="GU1350" s="15" t="n">
        <v>16</v>
      </c>
    </row>
    <row r="1351">
      <c r="C1351" s="15" t="n">
        <v>17</v>
      </c>
      <c r="AA1351" s="15" t="n">
        <v>17</v>
      </c>
      <c r="AW1351" s="15" t="n">
        <v>17</v>
      </c>
      <c r="BS1351" s="15" t="n">
        <v>17</v>
      </c>
      <c r="CO1351" s="15" t="n">
        <v>17</v>
      </c>
      <c r="DK1351" s="15" t="n">
        <v>17</v>
      </c>
      <c r="EG1351" s="15" t="n">
        <v>17</v>
      </c>
      <c r="FC1351" s="15" t="n">
        <v>17</v>
      </c>
      <c r="FY1351" s="15" t="n">
        <v>17</v>
      </c>
      <c r="GU1351" s="15" t="n">
        <v>17</v>
      </c>
    </row>
    <row r="1352">
      <c r="C1352" s="15" t="n">
        <v>18</v>
      </c>
      <c r="AA1352" s="15" t="n">
        <v>18</v>
      </c>
      <c r="AW1352" s="15" t="n">
        <v>18</v>
      </c>
      <c r="BS1352" s="15" t="n">
        <v>18</v>
      </c>
      <c r="CO1352" s="15" t="n">
        <v>18</v>
      </c>
      <c r="DK1352" s="15" t="n">
        <v>18</v>
      </c>
      <c r="EG1352" s="15" t="n">
        <v>18</v>
      </c>
      <c r="FC1352" s="15" t="n">
        <v>18</v>
      </c>
      <c r="FY1352" s="15" t="n">
        <v>18</v>
      </c>
      <c r="GU1352" s="15" t="n">
        <v>18</v>
      </c>
    </row>
    <row r="1353">
      <c r="C1353" s="15" t="n">
        <v>19</v>
      </c>
      <c r="AA1353" s="15" t="n">
        <v>19</v>
      </c>
      <c r="AW1353" s="15" t="n">
        <v>19</v>
      </c>
      <c r="BS1353" s="15" t="n">
        <v>19</v>
      </c>
      <c r="CO1353" s="15" t="n">
        <v>19</v>
      </c>
      <c r="DK1353" s="15" t="n">
        <v>19</v>
      </c>
      <c r="EG1353" s="15" t="n">
        <v>19</v>
      </c>
      <c r="FC1353" s="15" t="n">
        <v>19</v>
      </c>
      <c r="FY1353" s="15" t="n">
        <v>19</v>
      </c>
      <c r="GU1353" s="15" t="n">
        <v>19</v>
      </c>
    </row>
    <row r="1354">
      <c r="C1354" s="15" t="n">
        <v>20</v>
      </c>
      <c r="AA1354" s="15" t="n">
        <v>20</v>
      </c>
      <c r="AW1354" s="15" t="n">
        <v>20</v>
      </c>
      <c r="BS1354" s="15" t="n">
        <v>20</v>
      </c>
      <c r="CO1354" s="15" t="n">
        <v>20</v>
      </c>
      <c r="DK1354" s="15" t="n">
        <v>20</v>
      </c>
      <c r="EG1354" s="15" t="n">
        <v>20</v>
      </c>
      <c r="FC1354" s="15" t="n">
        <v>20</v>
      </c>
      <c r="FY1354" s="15" t="n">
        <v>20</v>
      </c>
      <c r="GU1354" s="15" t="n">
        <v>20</v>
      </c>
    </row>
    <row r="1355">
      <c r="C1355" s="15" t="n">
        <v>21</v>
      </c>
      <c r="AA1355" s="15" t="n">
        <v>21</v>
      </c>
      <c r="AW1355" s="15" t="n">
        <v>21</v>
      </c>
      <c r="BS1355" s="15" t="n">
        <v>21</v>
      </c>
      <c r="CO1355" s="15" t="n">
        <v>21</v>
      </c>
      <c r="DK1355" s="15" t="n">
        <v>21</v>
      </c>
      <c r="EG1355" s="15" t="n">
        <v>21</v>
      </c>
      <c r="FC1355" s="15" t="n">
        <v>21</v>
      </c>
      <c r="FY1355" s="15" t="n">
        <v>21</v>
      </c>
      <c r="GU1355" s="15" t="n">
        <v>21</v>
      </c>
    </row>
    <row r="1356">
      <c r="C1356" s="15" t="n">
        <v>22</v>
      </c>
      <c r="AA1356" s="15" t="n">
        <v>22</v>
      </c>
      <c r="AW1356" s="15" t="n">
        <v>22</v>
      </c>
      <c r="BS1356" s="15" t="n">
        <v>22</v>
      </c>
      <c r="CO1356" s="15" t="n">
        <v>22</v>
      </c>
      <c r="DK1356" s="15" t="n">
        <v>22</v>
      </c>
      <c r="EG1356" s="15" t="n">
        <v>22</v>
      </c>
      <c r="FC1356" s="15" t="n">
        <v>22</v>
      </c>
      <c r="FY1356" s="15" t="n">
        <v>22</v>
      </c>
      <c r="GU1356" s="15" t="n">
        <v>22</v>
      </c>
    </row>
    <row r="1357">
      <c r="C1357" s="15" t="n">
        <v>23</v>
      </c>
      <c r="AA1357" s="15" t="n">
        <v>23</v>
      </c>
      <c r="AW1357" s="15" t="n">
        <v>23</v>
      </c>
      <c r="BS1357" s="15" t="n">
        <v>23</v>
      </c>
      <c r="CO1357" s="15" t="n">
        <v>23</v>
      </c>
      <c r="DK1357" s="15" t="n">
        <v>23</v>
      </c>
      <c r="EG1357" s="15" t="n">
        <v>23</v>
      </c>
      <c r="FC1357" s="15" t="n">
        <v>23</v>
      </c>
      <c r="FY1357" s="15" t="n">
        <v>23</v>
      </c>
      <c r="GU1357" s="15" t="n">
        <v>23</v>
      </c>
    </row>
    <row r="1358">
      <c r="C1358" s="15" t="n">
        <v>24</v>
      </c>
      <c r="AA1358" s="15" t="n">
        <v>24</v>
      </c>
      <c r="AW1358" s="15" t="n">
        <v>24</v>
      </c>
      <c r="BS1358" s="15" t="n">
        <v>24</v>
      </c>
      <c r="CO1358" s="15" t="n">
        <v>24</v>
      </c>
      <c r="DK1358" s="15" t="n">
        <v>24</v>
      </c>
      <c r="EG1358" s="15" t="n">
        <v>24</v>
      </c>
      <c r="FC1358" s="15" t="n">
        <v>24</v>
      </c>
      <c r="FY1358" s="15" t="n">
        <v>24</v>
      </c>
      <c r="GU1358" s="15" t="n">
        <v>24</v>
      </c>
    </row>
    <row r="1359">
      <c r="C1359" s="15" t="n">
        <v>25</v>
      </c>
      <c r="AA1359" s="15" t="n">
        <v>25</v>
      </c>
      <c r="AW1359" s="15" t="n">
        <v>25</v>
      </c>
      <c r="BS1359" s="15" t="n">
        <v>25</v>
      </c>
      <c r="CO1359" s="15" t="n">
        <v>25</v>
      </c>
      <c r="DK1359" s="15" t="n">
        <v>25</v>
      </c>
      <c r="EG1359" s="15" t="n">
        <v>25</v>
      </c>
      <c r="FC1359" s="15" t="n">
        <v>25</v>
      </c>
      <c r="FY1359" s="15" t="n">
        <v>25</v>
      </c>
      <c r="GU1359" s="15" t="n">
        <v>25</v>
      </c>
    </row>
    <row r="1360">
      <c r="C1360" s="15" t="n">
        <v>26</v>
      </c>
      <c r="AA1360" s="15" t="n">
        <v>26</v>
      </c>
      <c r="AW1360" s="15" t="n">
        <v>26</v>
      </c>
      <c r="BS1360" s="15" t="n">
        <v>26</v>
      </c>
      <c r="CO1360" s="15" t="n">
        <v>26</v>
      </c>
      <c r="DK1360" s="15" t="n">
        <v>26</v>
      </c>
      <c r="EG1360" s="15" t="n">
        <v>26</v>
      </c>
      <c r="FC1360" s="15" t="n">
        <v>26</v>
      </c>
      <c r="FY1360" s="15" t="n">
        <v>26</v>
      </c>
      <c r="GU1360" s="15" t="n">
        <v>26</v>
      </c>
    </row>
    <row r="1361">
      <c r="C1361" s="15" t="n">
        <v>27</v>
      </c>
      <c r="AA1361" s="15" t="n">
        <v>27</v>
      </c>
      <c r="AW1361" s="15" t="n">
        <v>27</v>
      </c>
      <c r="BS1361" s="15" t="n">
        <v>27</v>
      </c>
      <c r="CO1361" s="15" t="n">
        <v>27</v>
      </c>
      <c r="DK1361" s="15" t="n">
        <v>27</v>
      </c>
      <c r="EG1361" s="15" t="n">
        <v>27</v>
      </c>
      <c r="FC1361" s="15" t="n">
        <v>27</v>
      </c>
      <c r="FY1361" s="15" t="n">
        <v>27</v>
      </c>
      <c r="GU1361" s="15" t="n">
        <v>27</v>
      </c>
    </row>
    <row r="1362">
      <c r="C1362" s="15" t="n">
        <v>28</v>
      </c>
      <c r="AA1362" s="15" t="n">
        <v>28</v>
      </c>
      <c r="AW1362" s="15" t="n">
        <v>28</v>
      </c>
      <c r="BS1362" s="15" t="n">
        <v>28</v>
      </c>
      <c r="CO1362" s="15" t="n">
        <v>28</v>
      </c>
      <c r="DK1362" s="15" t="n">
        <v>28</v>
      </c>
      <c r="EG1362" s="15" t="n">
        <v>28</v>
      </c>
      <c r="FC1362" s="15" t="n">
        <v>28</v>
      </c>
      <c r="FY1362" s="15" t="n">
        <v>28</v>
      </c>
      <c r="GU1362" s="15" t="n">
        <v>28</v>
      </c>
    </row>
    <row r="1363">
      <c r="C1363" s="15" t="n">
        <v>29</v>
      </c>
      <c r="AA1363" s="15" t="n">
        <v>29</v>
      </c>
      <c r="AW1363" s="15" t="n">
        <v>29</v>
      </c>
      <c r="BS1363" s="15" t="n">
        <v>29</v>
      </c>
      <c r="CO1363" s="15" t="n">
        <v>29</v>
      </c>
      <c r="DK1363" s="15" t="n">
        <v>29</v>
      </c>
      <c r="EG1363" s="15" t="n">
        <v>29</v>
      </c>
      <c r="FC1363" s="15" t="n">
        <v>29</v>
      </c>
      <c r="FY1363" s="15" t="n">
        <v>29</v>
      </c>
      <c r="GU1363" s="15" t="n">
        <v>29</v>
      </c>
    </row>
    <row r="1364">
      <c r="C1364" s="15" t="n">
        <v>30</v>
      </c>
      <c r="AA1364" s="15" t="n">
        <v>30</v>
      </c>
      <c r="AW1364" s="15" t="n">
        <v>30</v>
      </c>
      <c r="BS1364" s="15" t="n">
        <v>30</v>
      </c>
      <c r="CO1364" s="15" t="n">
        <v>30</v>
      </c>
      <c r="DK1364" s="15" t="n">
        <v>30</v>
      </c>
      <c r="EG1364" s="15" t="n">
        <v>30</v>
      </c>
      <c r="FC1364" s="15" t="n">
        <v>30</v>
      </c>
      <c r="FY1364" s="15" t="n">
        <v>30</v>
      </c>
      <c r="GU1364" s="15" t="n">
        <v>30</v>
      </c>
    </row>
    <row r="1365">
      <c r="C1365" s="15" t="n">
        <v>31</v>
      </c>
      <c r="AA1365" s="15" t="n">
        <v>31</v>
      </c>
      <c r="AW1365" s="15" t="n">
        <v>31</v>
      </c>
      <c r="BS1365" s="15" t="n">
        <v>31</v>
      </c>
      <c r="CO1365" s="15" t="n">
        <v>31</v>
      </c>
      <c r="DK1365" s="15" t="n">
        <v>31</v>
      </c>
      <c r="EG1365" s="15" t="n">
        <v>31</v>
      </c>
      <c r="FC1365" s="15" t="n">
        <v>31</v>
      </c>
      <c r="FY1365" s="15" t="n">
        <v>31</v>
      </c>
      <c r="GU1365" s="15" t="n">
        <v>31</v>
      </c>
    </row>
    <row r="1366">
      <c r="C1366" s="15" t="n">
        <v>32</v>
      </c>
      <c r="AA1366" s="15" t="n">
        <v>32</v>
      </c>
      <c r="AW1366" s="15" t="n">
        <v>32</v>
      </c>
      <c r="BS1366" s="15" t="n">
        <v>32</v>
      </c>
      <c r="CO1366" s="15" t="n">
        <v>32</v>
      </c>
      <c r="DK1366" s="15" t="n">
        <v>32</v>
      </c>
      <c r="EG1366" s="15" t="n">
        <v>32</v>
      </c>
      <c r="FC1366" s="15" t="n">
        <v>32</v>
      </c>
      <c r="FY1366" s="15" t="n">
        <v>32</v>
      </c>
      <c r="GU1366" s="15" t="n">
        <v>32</v>
      </c>
    </row>
    <row r="1367">
      <c r="C1367" s="15" t="n">
        <v>33</v>
      </c>
      <c r="AA1367" s="15" t="n">
        <v>33</v>
      </c>
      <c r="AW1367" s="15" t="n">
        <v>33</v>
      </c>
      <c r="BS1367" s="15" t="n">
        <v>33</v>
      </c>
      <c r="CO1367" s="15" t="n">
        <v>33</v>
      </c>
      <c r="DK1367" s="15" t="n">
        <v>33</v>
      </c>
      <c r="EG1367" s="15" t="n">
        <v>33</v>
      </c>
      <c r="FC1367" s="15" t="n">
        <v>33</v>
      </c>
      <c r="FY1367" s="15" t="n">
        <v>33</v>
      </c>
      <c r="GU1367" s="15" t="n">
        <v>33</v>
      </c>
    </row>
    <row r="1368">
      <c r="C1368" s="15" t="n">
        <v>34</v>
      </c>
      <c r="AA1368" s="15" t="n">
        <v>34</v>
      </c>
      <c r="AW1368" s="15" t="n">
        <v>34</v>
      </c>
      <c r="BS1368" s="15" t="n">
        <v>34</v>
      </c>
      <c r="CO1368" s="15" t="n">
        <v>34</v>
      </c>
      <c r="DK1368" s="15" t="n">
        <v>34</v>
      </c>
      <c r="EG1368" s="15" t="n">
        <v>34</v>
      </c>
      <c r="FC1368" s="15" t="n">
        <v>34</v>
      </c>
      <c r="FY1368" s="15" t="n">
        <v>34</v>
      </c>
      <c r="GU1368" s="15" t="n">
        <v>34</v>
      </c>
    </row>
    <row r="1369">
      <c r="C1369" s="15" t="n">
        <v>35</v>
      </c>
      <c r="AA1369" s="15" t="n">
        <v>35</v>
      </c>
      <c r="AW1369" s="15" t="n">
        <v>35</v>
      </c>
      <c r="BS1369" s="15" t="n">
        <v>35</v>
      </c>
      <c r="CO1369" s="15" t="n">
        <v>35</v>
      </c>
      <c r="DK1369" s="15" t="n">
        <v>35</v>
      </c>
      <c r="EG1369" s="15" t="n">
        <v>35</v>
      </c>
      <c r="FC1369" s="15" t="n">
        <v>35</v>
      </c>
      <c r="FY1369" s="15" t="n">
        <v>35</v>
      </c>
      <c r="GU1369" s="15" t="n">
        <v>35</v>
      </c>
    </row>
    <row r="1370">
      <c r="C1370" s="15" t="n">
        <v>36</v>
      </c>
      <c r="AA1370" s="15" t="n">
        <v>36</v>
      </c>
      <c r="AW1370" s="15" t="n">
        <v>36</v>
      </c>
      <c r="BS1370" s="15" t="n">
        <v>36</v>
      </c>
      <c r="CO1370" s="15" t="n">
        <v>36</v>
      </c>
      <c r="DK1370" s="15" t="n">
        <v>36</v>
      </c>
      <c r="EG1370" s="15" t="n">
        <v>36</v>
      </c>
      <c r="FC1370" s="15" t="n">
        <v>36</v>
      </c>
      <c r="FY1370" s="15" t="n">
        <v>36</v>
      </c>
      <c r="GU1370" s="15" t="n">
        <v>36</v>
      </c>
    </row>
    <row r="1371">
      <c r="C1371" s="15" t="n">
        <v>37</v>
      </c>
      <c r="AA1371" s="15" t="n">
        <v>37</v>
      </c>
      <c r="AW1371" s="15" t="n">
        <v>37</v>
      </c>
      <c r="BS1371" s="15" t="n">
        <v>37</v>
      </c>
      <c r="CO1371" s="15" t="n">
        <v>37</v>
      </c>
      <c r="DK1371" s="15" t="n">
        <v>37</v>
      </c>
      <c r="EG1371" s="15" t="n">
        <v>37</v>
      </c>
      <c r="FC1371" s="15" t="n">
        <v>37</v>
      </c>
      <c r="FY1371" s="15" t="n">
        <v>37</v>
      </c>
      <c r="GU1371" s="15" t="n">
        <v>37</v>
      </c>
    </row>
    <row r="1372">
      <c r="C1372" s="15" t="n">
        <v>38</v>
      </c>
      <c r="AA1372" s="15" t="n">
        <v>38</v>
      </c>
      <c r="AW1372" s="15" t="n">
        <v>38</v>
      </c>
      <c r="BS1372" s="15" t="n">
        <v>38</v>
      </c>
      <c r="CO1372" s="15" t="n">
        <v>38</v>
      </c>
      <c r="DK1372" s="15" t="n">
        <v>38</v>
      </c>
      <c r="EG1372" s="15" t="n">
        <v>38</v>
      </c>
      <c r="FC1372" s="15" t="n">
        <v>38</v>
      </c>
      <c r="FY1372" s="15" t="n">
        <v>38</v>
      </c>
      <c r="GU1372" s="15" t="n">
        <v>38</v>
      </c>
    </row>
    <row r="1373">
      <c r="C1373" s="15" t="n">
        <v>39</v>
      </c>
      <c r="AA1373" s="15" t="n">
        <v>39</v>
      </c>
      <c r="AW1373" s="15" t="n">
        <v>39</v>
      </c>
      <c r="BS1373" s="15" t="n">
        <v>39</v>
      </c>
      <c r="CO1373" s="15" t="n">
        <v>39</v>
      </c>
      <c r="DK1373" s="15" t="n">
        <v>39</v>
      </c>
      <c r="EG1373" s="15" t="n">
        <v>39</v>
      </c>
      <c r="FC1373" s="15" t="n">
        <v>39</v>
      </c>
      <c r="FY1373" s="15" t="n">
        <v>39</v>
      </c>
      <c r="GU1373" s="15" t="n">
        <v>39</v>
      </c>
    </row>
    <row r="1374">
      <c r="C1374" s="15" t="n">
        <v>40</v>
      </c>
      <c r="AA1374" s="15" t="n">
        <v>40</v>
      </c>
      <c r="AW1374" s="15" t="n">
        <v>40</v>
      </c>
      <c r="BS1374" s="15" t="n">
        <v>40</v>
      </c>
      <c r="CO1374" s="15" t="n">
        <v>40</v>
      </c>
      <c r="DK1374" s="15" t="n">
        <v>40</v>
      </c>
      <c r="EG1374" s="15" t="n">
        <v>40</v>
      </c>
      <c r="FC1374" s="15" t="n">
        <v>40</v>
      </c>
      <c r="FY1374" s="15" t="n">
        <v>40</v>
      </c>
      <c r="GU1374" s="15" t="n">
        <v>40</v>
      </c>
    </row>
    <row r="1375">
      <c r="C1375" s="15" t="n">
        <v>41</v>
      </c>
      <c r="AA1375" s="15" t="n">
        <v>41</v>
      </c>
      <c r="AW1375" s="15" t="n">
        <v>41</v>
      </c>
      <c r="BS1375" s="15" t="n">
        <v>41</v>
      </c>
      <c r="CO1375" s="15" t="n">
        <v>41</v>
      </c>
      <c r="DK1375" s="15" t="n">
        <v>41</v>
      </c>
      <c r="EG1375" s="15" t="n">
        <v>41</v>
      </c>
      <c r="FC1375" s="15" t="n">
        <v>41</v>
      </c>
      <c r="FY1375" s="15" t="n">
        <v>41</v>
      </c>
      <c r="GU1375" s="15" t="n">
        <v>41</v>
      </c>
    </row>
    <row r="1376">
      <c r="C1376" s="15" t="n">
        <v>42</v>
      </c>
      <c r="AA1376" s="15" t="n">
        <v>42</v>
      </c>
      <c r="AW1376" s="15" t="n">
        <v>42</v>
      </c>
      <c r="BS1376" s="15" t="n">
        <v>42</v>
      </c>
      <c r="CO1376" s="15" t="n">
        <v>42</v>
      </c>
      <c r="DK1376" s="15" t="n">
        <v>42</v>
      </c>
      <c r="EG1376" s="15" t="n">
        <v>42</v>
      </c>
      <c r="FC1376" s="15" t="n">
        <v>42</v>
      </c>
      <c r="FY1376" s="15" t="n">
        <v>42</v>
      </c>
      <c r="GU1376" s="15" t="n">
        <v>42</v>
      </c>
    </row>
    <row r="1377">
      <c r="C1377" s="15" t="n">
        <v>43</v>
      </c>
      <c r="AA1377" s="15" t="n">
        <v>43</v>
      </c>
      <c r="AW1377" s="15" t="n">
        <v>43</v>
      </c>
      <c r="BS1377" s="15" t="n">
        <v>43</v>
      </c>
      <c r="CO1377" s="15" t="n">
        <v>43</v>
      </c>
      <c r="DK1377" s="15" t="n">
        <v>43</v>
      </c>
      <c r="EG1377" s="15" t="n">
        <v>43</v>
      </c>
      <c r="FC1377" s="15" t="n">
        <v>43</v>
      </c>
      <c r="FY1377" s="15" t="n">
        <v>43</v>
      </c>
      <c r="GU1377" s="15" t="n">
        <v>43</v>
      </c>
    </row>
    <row r="1378">
      <c r="C1378" s="15" t="n">
        <v>44</v>
      </c>
      <c r="AA1378" s="15" t="n">
        <v>44</v>
      </c>
      <c r="AW1378" s="15" t="n">
        <v>44</v>
      </c>
      <c r="BS1378" s="15" t="n">
        <v>44</v>
      </c>
      <c r="CO1378" s="15" t="n">
        <v>44</v>
      </c>
      <c r="DK1378" s="15" t="n">
        <v>44</v>
      </c>
      <c r="EG1378" s="15" t="n">
        <v>44</v>
      </c>
      <c r="FC1378" s="15" t="n">
        <v>44</v>
      </c>
      <c r="FY1378" s="15" t="n">
        <v>44</v>
      </c>
      <c r="GU1378" s="15" t="n">
        <v>44</v>
      </c>
    </row>
    <row r="1379">
      <c r="C1379" s="15" t="n">
        <v>45</v>
      </c>
      <c r="AA1379" s="15" t="n">
        <v>45</v>
      </c>
      <c r="AW1379" s="15" t="n">
        <v>45</v>
      </c>
      <c r="BS1379" s="15" t="n">
        <v>45</v>
      </c>
      <c r="CO1379" s="15" t="n">
        <v>45</v>
      </c>
      <c r="DK1379" s="15" t="n">
        <v>45</v>
      </c>
      <c r="EG1379" s="15" t="n">
        <v>45</v>
      </c>
      <c r="FC1379" s="15" t="n">
        <v>45</v>
      </c>
      <c r="FY1379" s="15" t="n">
        <v>45</v>
      </c>
      <c r="GU1379" s="15" t="n">
        <v>45</v>
      </c>
    </row>
    <row r="1380">
      <c r="C1380" s="15" t="n">
        <v>46</v>
      </c>
      <c r="AA1380" s="15" t="n">
        <v>46</v>
      </c>
      <c r="AW1380" s="15" t="n">
        <v>46</v>
      </c>
      <c r="BS1380" s="15" t="n">
        <v>46</v>
      </c>
      <c r="CO1380" s="15" t="n">
        <v>46</v>
      </c>
      <c r="DK1380" s="15" t="n">
        <v>46</v>
      </c>
      <c r="EG1380" s="15" t="n">
        <v>46</v>
      </c>
      <c r="FC1380" s="15" t="n">
        <v>46</v>
      </c>
      <c r="FY1380" s="15" t="n">
        <v>46</v>
      </c>
      <c r="GU1380" s="15" t="n">
        <v>46</v>
      </c>
    </row>
    <row r="1381">
      <c r="C1381" s="15" t="n">
        <v>47</v>
      </c>
      <c r="AA1381" s="15" t="n">
        <v>47</v>
      </c>
      <c r="AW1381" s="15" t="n">
        <v>47</v>
      </c>
      <c r="BS1381" s="15" t="n">
        <v>47</v>
      </c>
      <c r="CO1381" s="15" t="n">
        <v>47</v>
      </c>
      <c r="DK1381" s="15" t="n">
        <v>47</v>
      </c>
      <c r="EG1381" s="15" t="n">
        <v>47</v>
      </c>
      <c r="FC1381" s="15" t="n">
        <v>47</v>
      </c>
      <c r="FY1381" s="15" t="n">
        <v>47</v>
      </c>
      <c r="GU1381" s="15" t="n">
        <v>47</v>
      </c>
    </row>
    <row r="1382">
      <c r="C1382" s="15" t="n">
        <v>48</v>
      </c>
      <c r="AA1382" s="15" t="n">
        <v>48</v>
      </c>
      <c r="AW1382" s="15" t="n">
        <v>48</v>
      </c>
      <c r="BS1382" s="15" t="n">
        <v>48</v>
      </c>
      <c r="CO1382" s="15" t="n">
        <v>48</v>
      </c>
      <c r="DK1382" s="15" t="n">
        <v>48</v>
      </c>
      <c r="EG1382" s="15" t="n">
        <v>48</v>
      </c>
      <c r="FC1382" s="15" t="n">
        <v>48</v>
      </c>
      <c r="FY1382" s="15" t="n">
        <v>48</v>
      </c>
      <c r="GU1382" s="15" t="n">
        <v>48</v>
      </c>
    </row>
    <row r="1383">
      <c r="C1383" s="15" t="n">
        <v>49</v>
      </c>
      <c r="AA1383" s="15" t="n">
        <v>49</v>
      </c>
      <c r="AW1383" s="15" t="n">
        <v>49</v>
      </c>
      <c r="BS1383" s="15" t="n">
        <v>49</v>
      </c>
      <c r="CO1383" s="15" t="n">
        <v>49</v>
      </c>
      <c r="DK1383" s="15" t="n">
        <v>49</v>
      </c>
      <c r="EG1383" s="15" t="n">
        <v>49</v>
      </c>
      <c r="FC1383" s="15" t="n">
        <v>49</v>
      </c>
      <c r="FY1383" s="15" t="n">
        <v>49</v>
      </c>
      <c r="GU1383" s="15" t="n">
        <v>49</v>
      </c>
    </row>
    <row r="1384">
      <c r="C1384" s="15" t="n">
        <v>50</v>
      </c>
      <c r="AA1384" s="15" t="n">
        <v>50</v>
      </c>
      <c r="AW1384" s="15" t="n">
        <v>50</v>
      </c>
      <c r="BS1384" s="15" t="n">
        <v>50</v>
      </c>
      <c r="CO1384" s="15" t="n">
        <v>50</v>
      </c>
      <c r="DK1384" s="15" t="n">
        <v>50</v>
      </c>
      <c r="EG1384" s="15" t="n">
        <v>50</v>
      </c>
      <c r="FC1384" s="15" t="n">
        <v>50</v>
      </c>
      <c r="FY1384" s="15" t="n">
        <v>50</v>
      </c>
      <c r="GU1384" s="15" t="n">
        <v>50</v>
      </c>
    </row>
    <row r="1385">
      <c r="C1385" s="15" t="n">
        <v>51</v>
      </c>
      <c r="AA1385" s="15" t="n">
        <v>51</v>
      </c>
      <c r="AW1385" s="15" t="n">
        <v>51</v>
      </c>
      <c r="BS1385" s="15" t="n">
        <v>51</v>
      </c>
      <c r="CO1385" s="15" t="n">
        <v>51</v>
      </c>
      <c r="DK1385" s="15" t="n">
        <v>51</v>
      </c>
      <c r="EG1385" s="15" t="n">
        <v>51</v>
      </c>
      <c r="FC1385" s="15" t="n">
        <v>51</v>
      </c>
      <c r="FY1385" s="15" t="n">
        <v>51</v>
      </c>
      <c r="GU1385" s="15" t="n">
        <v>51</v>
      </c>
    </row>
    <row r="1386">
      <c r="C1386" s="15" t="n">
        <v>52</v>
      </c>
      <c r="AA1386" s="15" t="n">
        <v>52</v>
      </c>
      <c r="AW1386" s="15" t="n">
        <v>52</v>
      </c>
      <c r="BS1386" s="15" t="n">
        <v>52</v>
      </c>
      <c r="CO1386" s="15" t="n">
        <v>52</v>
      </c>
      <c r="DK1386" s="15" t="n">
        <v>52</v>
      </c>
      <c r="EG1386" s="15" t="n">
        <v>52</v>
      </c>
      <c r="FC1386" s="15" t="n">
        <v>52</v>
      </c>
      <c r="FY1386" s="15" t="n">
        <v>52</v>
      </c>
      <c r="GU1386" s="15" t="n">
        <v>52</v>
      </c>
    </row>
    <row r="1387">
      <c r="C1387" s="15" t="n">
        <v>53</v>
      </c>
      <c r="AA1387" s="15" t="n">
        <v>53</v>
      </c>
      <c r="AW1387" s="15" t="n">
        <v>53</v>
      </c>
      <c r="BS1387" s="15" t="n">
        <v>53</v>
      </c>
      <c r="CO1387" s="15" t="n">
        <v>53</v>
      </c>
      <c r="DK1387" s="15" t="n">
        <v>53</v>
      </c>
      <c r="EG1387" s="15" t="n">
        <v>53</v>
      </c>
      <c r="FC1387" s="15" t="n">
        <v>53</v>
      </c>
      <c r="FY1387" s="15" t="n">
        <v>53</v>
      </c>
      <c r="GU1387" s="15" t="n">
        <v>53</v>
      </c>
    </row>
    <row r="1388">
      <c r="C1388" s="15" t="n">
        <v>54</v>
      </c>
      <c r="AA1388" s="15" t="n">
        <v>54</v>
      </c>
      <c r="AW1388" s="15" t="n">
        <v>54</v>
      </c>
      <c r="BS1388" s="15" t="n">
        <v>54</v>
      </c>
      <c r="CO1388" s="15" t="n">
        <v>54</v>
      </c>
      <c r="DK1388" s="15" t="n">
        <v>54</v>
      </c>
      <c r="EG1388" s="15" t="n">
        <v>54</v>
      </c>
      <c r="FC1388" s="15" t="n">
        <v>54</v>
      </c>
      <c r="FY1388" s="15" t="n">
        <v>54</v>
      </c>
      <c r="GU1388" s="15" t="n">
        <v>54</v>
      </c>
    </row>
    <row r="1389">
      <c r="C1389" s="15" t="n">
        <v>55</v>
      </c>
      <c r="AA1389" s="15" t="n">
        <v>55</v>
      </c>
      <c r="AW1389" s="15" t="n">
        <v>55</v>
      </c>
      <c r="BS1389" s="15" t="n">
        <v>55</v>
      </c>
      <c r="CO1389" s="15" t="n">
        <v>55</v>
      </c>
      <c r="DK1389" s="15" t="n">
        <v>55</v>
      </c>
      <c r="EG1389" s="15" t="n">
        <v>55</v>
      </c>
      <c r="FC1389" s="15" t="n">
        <v>55</v>
      </c>
      <c r="FY1389" s="15" t="n">
        <v>55</v>
      </c>
      <c r="GU1389" s="15" t="n">
        <v>55</v>
      </c>
    </row>
    <row r="1390">
      <c r="C1390" s="15" t="n">
        <v>56</v>
      </c>
      <c r="AA1390" s="15" t="n">
        <v>56</v>
      </c>
      <c r="AW1390" s="15" t="n">
        <v>56</v>
      </c>
      <c r="BS1390" s="15" t="n">
        <v>56</v>
      </c>
      <c r="CO1390" s="15" t="n">
        <v>56</v>
      </c>
      <c r="DK1390" s="15" t="n">
        <v>56</v>
      </c>
      <c r="EG1390" s="15" t="n">
        <v>56</v>
      </c>
      <c r="FC1390" s="15" t="n">
        <v>56</v>
      </c>
      <c r="FY1390" s="15" t="n">
        <v>56</v>
      </c>
      <c r="GU1390" s="15" t="n">
        <v>56</v>
      </c>
    </row>
    <row r="1391">
      <c r="C1391" s="15" t="n">
        <v>57</v>
      </c>
      <c r="AA1391" s="15" t="n">
        <v>57</v>
      </c>
      <c r="AW1391" s="15" t="n">
        <v>57</v>
      </c>
      <c r="BS1391" s="15" t="n">
        <v>57</v>
      </c>
      <c r="CO1391" s="15" t="n">
        <v>57</v>
      </c>
      <c r="DK1391" s="15" t="n">
        <v>57</v>
      </c>
      <c r="EG1391" s="15" t="n">
        <v>57</v>
      </c>
      <c r="FC1391" s="15" t="n">
        <v>57</v>
      </c>
      <c r="FY1391" s="15" t="n">
        <v>57</v>
      </c>
      <c r="GU1391" s="15" t="n">
        <v>57</v>
      </c>
    </row>
    <row r="1392">
      <c r="C1392" s="15" t="n">
        <v>58</v>
      </c>
      <c r="AA1392" s="15" t="n">
        <v>58</v>
      </c>
      <c r="AW1392" s="15" t="n">
        <v>58</v>
      </c>
      <c r="BS1392" s="15" t="n">
        <v>58</v>
      </c>
      <c r="CO1392" s="15" t="n">
        <v>58</v>
      </c>
      <c r="DK1392" s="15" t="n">
        <v>58</v>
      </c>
      <c r="EG1392" s="15" t="n">
        <v>58</v>
      </c>
      <c r="FC1392" s="15" t="n">
        <v>58</v>
      </c>
      <c r="FY1392" s="15" t="n">
        <v>58</v>
      </c>
      <c r="GU1392" s="15" t="n">
        <v>58</v>
      </c>
    </row>
    <row r="1393">
      <c r="C1393" s="15" t="n">
        <v>59</v>
      </c>
      <c r="AA1393" s="15" t="n">
        <v>59</v>
      </c>
      <c r="AW1393" s="15" t="n">
        <v>59</v>
      </c>
      <c r="BS1393" s="15" t="n">
        <v>59</v>
      </c>
      <c r="CO1393" s="15" t="n">
        <v>59</v>
      </c>
      <c r="DK1393" s="15" t="n">
        <v>59</v>
      </c>
      <c r="EG1393" s="15" t="n">
        <v>59</v>
      </c>
      <c r="FC1393" s="15" t="n">
        <v>59</v>
      </c>
      <c r="FY1393" s="15" t="n">
        <v>59</v>
      </c>
      <c r="GU1393" s="15" t="n">
        <v>59</v>
      </c>
    </row>
    <row r="1394">
      <c r="C1394" s="15" t="n">
        <v>60</v>
      </c>
      <c r="AA1394" s="15" t="n">
        <v>60</v>
      </c>
      <c r="AW1394" s="15" t="n">
        <v>60</v>
      </c>
      <c r="BS1394" s="15" t="n">
        <v>60</v>
      </c>
      <c r="CO1394" s="15" t="n">
        <v>60</v>
      </c>
      <c r="DK1394" s="15" t="n">
        <v>60</v>
      </c>
      <c r="EG1394" s="15" t="n">
        <v>60</v>
      </c>
      <c r="FC1394" s="15" t="n">
        <v>60</v>
      </c>
      <c r="FY1394" s="15" t="n">
        <v>60</v>
      </c>
      <c r="GU1394" s="15" t="n">
        <v>60</v>
      </c>
    </row>
    <row r="1395">
      <c r="C1395" s="15" t="n">
        <v>61</v>
      </c>
      <c r="AA1395" s="15" t="n">
        <v>61</v>
      </c>
      <c r="AW1395" s="15" t="n">
        <v>61</v>
      </c>
      <c r="BS1395" s="15" t="n">
        <v>61</v>
      </c>
      <c r="CO1395" s="15" t="n">
        <v>61</v>
      </c>
      <c r="DK1395" s="15" t="n">
        <v>61</v>
      </c>
      <c r="EG1395" s="15" t="n">
        <v>61</v>
      </c>
      <c r="FC1395" s="15" t="n">
        <v>61</v>
      </c>
      <c r="FY1395" s="15" t="n">
        <v>61</v>
      </c>
      <c r="GU1395" s="15" t="n">
        <v>61</v>
      </c>
    </row>
    <row r="1396">
      <c r="C1396" s="15" t="n">
        <v>62</v>
      </c>
      <c r="AA1396" s="15" t="n">
        <v>62</v>
      </c>
      <c r="AW1396" s="15" t="n">
        <v>62</v>
      </c>
      <c r="BS1396" s="15" t="n">
        <v>62</v>
      </c>
      <c r="CO1396" s="15" t="n">
        <v>62</v>
      </c>
      <c r="DK1396" s="15" t="n">
        <v>62</v>
      </c>
      <c r="EG1396" s="15" t="n">
        <v>62</v>
      </c>
      <c r="FC1396" s="15" t="n">
        <v>62</v>
      </c>
      <c r="FY1396" s="15" t="n">
        <v>62</v>
      </c>
      <c r="GU1396" s="15" t="n">
        <v>62</v>
      </c>
    </row>
    <row r="1397">
      <c r="C1397" s="15" t="n">
        <v>63</v>
      </c>
      <c r="AA1397" s="15" t="n">
        <v>63</v>
      </c>
      <c r="AW1397" s="15" t="n">
        <v>63</v>
      </c>
      <c r="BS1397" s="15" t="n">
        <v>63</v>
      </c>
      <c r="CO1397" s="15" t="n">
        <v>63</v>
      </c>
      <c r="DK1397" s="15" t="n">
        <v>63</v>
      </c>
      <c r="EG1397" s="15" t="n">
        <v>63</v>
      </c>
      <c r="FC1397" s="15" t="n">
        <v>63</v>
      </c>
      <c r="FY1397" s="15" t="n">
        <v>63</v>
      </c>
      <c r="GU1397" s="15" t="n">
        <v>63</v>
      </c>
    </row>
    <row r="1398">
      <c r="C1398" s="15" t="n">
        <v>64</v>
      </c>
      <c r="AA1398" s="15" t="n">
        <v>64</v>
      </c>
      <c r="AW1398" s="15" t="n">
        <v>64</v>
      </c>
      <c r="BS1398" s="15" t="n">
        <v>64</v>
      </c>
      <c r="CO1398" s="15" t="n">
        <v>64</v>
      </c>
      <c r="DK1398" s="15" t="n">
        <v>64</v>
      </c>
      <c r="EG1398" s="15" t="n">
        <v>64</v>
      </c>
      <c r="FC1398" s="15" t="n">
        <v>64</v>
      </c>
      <c r="FY1398" s="15" t="n">
        <v>64</v>
      </c>
      <c r="GU1398" s="15" t="n">
        <v>64</v>
      </c>
    </row>
    <row r="1399">
      <c r="C1399" s="15" t="n">
        <v>65</v>
      </c>
      <c r="AA1399" s="15" t="n">
        <v>65</v>
      </c>
      <c r="AW1399" s="15" t="n">
        <v>65</v>
      </c>
      <c r="BS1399" s="15" t="n">
        <v>65</v>
      </c>
      <c r="CO1399" s="15" t="n">
        <v>65</v>
      </c>
      <c r="DK1399" s="15" t="n">
        <v>65</v>
      </c>
      <c r="EG1399" s="15" t="n">
        <v>65</v>
      </c>
      <c r="FC1399" s="15" t="n">
        <v>65</v>
      </c>
      <c r="FY1399" s="15" t="n">
        <v>65</v>
      </c>
      <c r="GU1399" s="15" t="n">
        <v>65</v>
      </c>
    </row>
    <row r="1400">
      <c r="C1400" s="15" t="n">
        <v>66</v>
      </c>
      <c r="AA1400" s="15" t="n">
        <v>66</v>
      </c>
      <c r="AW1400" s="15" t="n">
        <v>66</v>
      </c>
      <c r="BS1400" s="15" t="n">
        <v>66</v>
      </c>
      <c r="CO1400" s="15" t="n">
        <v>66</v>
      </c>
      <c r="DK1400" s="15" t="n">
        <v>66</v>
      </c>
      <c r="EG1400" s="15" t="n">
        <v>66</v>
      </c>
      <c r="FC1400" s="15" t="n">
        <v>66</v>
      </c>
      <c r="FY1400" s="15" t="n">
        <v>66</v>
      </c>
      <c r="GU1400" s="15" t="n">
        <v>66</v>
      </c>
    </row>
    <row r="1401">
      <c r="C1401" s="15" t="n">
        <v>67</v>
      </c>
      <c r="AA1401" s="15" t="n">
        <v>67</v>
      </c>
      <c r="AW1401" s="15" t="n">
        <v>67</v>
      </c>
      <c r="BS1401" s="15" t="n">
        <v>67</v>
      </c>
      <c r="CO1401" s="15" t="n">
        <v>67</v>
      </c>
      <c r="DK1401" s="15" t="n">
        <v>67</v>
      </c>
      <c r="EG1401" s="15" t="n">
        <v>67</v>
      </c>
      <c r="FC1401" s="15" t="n">
        <v>67</v>
      </c>
      <c r="FY1401" s="15" t="n">
        <v>67</v>
      </c>
      <c r="GU1401" s="15" t="n">
        <v>67</v>
      </c>
    </row>
    <row r="1402">
      <c r="C1402" s="15" t="n">
        <v>68</v>
      </c>
      <c r="AA1402" s="15" t="n">
        <v>68</v>
      </c>
      <c r="AW1402" s="15" t="n">
        <v>68</v>
      </c>
      <c r="BS1402" s="15" t="n">
        <v>68</v>
      </c>
      <c r="CO1402" s="15" t="n">
        <v>68</v>
      </c>
      <c r="DK1402" s="15" t="n">
        <v>68</v>
      </c>
      <c r="EG1402" s="15" t="n">
        <v>68</v>
      </c>
      <c r="FC1402" s="15" t="n">
        <v>68</v>
      </c>
      <c r="FY1402" s="15" t="n">
        <v>68</v>
      </c>
      <c r="GU1402" s="15" t="n">
        <v>68</v>
      </c>
    </row>
    <row r="1403">
      <c r="C1403" s="15" t="n">
        <v>69</v>
      </c>
      <c r="AA1403" s="15" t="n">
        <v>69</v>
      </c>
      <c r="AW1403" s="15" t="n">
        <v>69</v>
      </c>
      <c r="BS1403" s="15" t="n">
        <v>69</v>
      </c>
      <c r="CO1403" s="15" t="n">
        <v>69</v>
      </c>
      <c r="DK1403" s="15" t="n">
        <v>69</v>
      </c>
      <c r="EG1403" s="15" t="n">
        <v>69</v>
      </c>
      <c r="FC1403" s="15" t="n">
        <v>69</v>
      </c>
      <c r="FY1403" s="15" t="n">
        <v>69</v>
      </c>
      <c r="GU1403" s="15" t="n">
        <v>69</v>
      </c>
    </row>
    <row r="1404">
      <c r="C1404" s="15" t="n">
        <v>70</v>
      </c>
      <c r="AA1404" s="15" t="n">
        <v>70</v>
      </c>
      <c r="AW1404" s="15" t="n">
        <v>70</v>
      </c>
      <c r="BS1404" s="15" t="n">
        <v>70</v>
      </c>
      <c r="CO1404" s="15" t="n">
        <v>70</v>
      </c>
      <c r="DK1404" s="15" t="n">
        <v>70</v>
      </c>
      <c r="EG1404" s="15" t="n">
        <v>70</v>
      </c>
      <c r="FC1404" s="15" t="n">
        <v>70</v>
      </c>
      <c r="FY1404" s="15" t="n">
        <v>70</v>
      </c>
      <c r="GU1404" s="15" t="n">
        <v>70</v>
      </c>
    </row>
    <row r="1405">
      <c r="C1405" s="15" t="n">
        <v>71</v>
      </c>
      <c r="AA1405" s="15" t="n">
        <v>71</v>
      </c>
      <c r="AW1405" s="15" t="n">
        <v>71</v>
      </c>
      <c r="BS1405" s="15" t="n">
        <v>71</v>
      </c>
      <c r="CO1405" s="15" t="n">
        <v>71</v>
      </c>
      <c r="DK1405" s="15" t="n">
        <v>71</v>
      </c>
      <c r="EG1405" s="15" t="n">
        <v>71</v>
      </c>
      <c r="FC1405" s="15" t="n">
        <v>71</v>
      </c>
      <c r="FY1405" s="15" t="n">
        <v>71</v>
      </c>
      <c r="GU1405" s="15" t="n">
        <v>71</v>
      </c>
    </row>
    <row r="1406">
      <c r="C1406" s="15" t="n">
        <v>72</v>
      </c>
      <c r="AA1406" s="15" t="n">
        <v>72</v>
      </c>
      <c r="AW1406" s="15" t="n">
        <v>72</v>
      </c>
      <c r="BS1406" s="15" t="n">
        <v>72</v>
      </c>
      <c r="CO1406" s="15" t="n">
        <v>72</v>
      </c>
      <c r="DK1406" s="15" t="n">
        <v>72</v>
      </c>
      <c r="EG1406" s="15" t="n">
        <v>72</v>
      </c>
      <c r="FC1406" s="15" t="n">
        <v>72</v>
      </c>
      <c r="FY1406" s="15" t="n">
        <v>72</v>
      </c>
      <c r="GU1406" s="15" t="n">
        <v>72</v>
      </c>
    </row>
    <row r="1407">
      <c r="C1407" s="15" t="n">
        <v>73</v>
      </c>
      <c r="AA1407" s="15" t="n">
        <v>73</v>
      </c>
      <c r="AW1407" s="15" t="n">
        <v>73</v>
      </c>
      <c r="BS1407" s="15" t="n">
        <v>73</v>
      </c>
      <c r="CO1407" s="15" t="n">
        <v>73</v>
      </c>
      <c r="DK1407" s="15" t="n">
        <v>73</v>
      </c>
      <c r="EG1407" s="15" t="n">
        <v>73</v>
      </c>
      <c r="FC1407" s="15" t="n">
        <v>73</v>
      </c>
      <c r="FY1407" s="15" t="n">
        <v>73</v>
      </c>
      <c r="GU1407" s="15" t="n">
        <v>73</v>
      </c>
    </row>
    <row r="1408">
      <c r="C1408" s="15" t="n">
        <v>74</v>
      </c>
      <c r="AA1408" s="15" t="n">
        <v>74</v>
      </c>
      <c r="AW1408" s="15" t="n">
        <v>74</v>
      </c>
      <c r="BS1408" s="15" t="n">
        <v>74</v>
      </c>
      <c r="CO1408" s="15" t="n">
        <v>74</v>
      </c>
      <c r="DK1408" s="15" t="n">
        <v>74</v>
      </c>
      <c r="EG1408" s="15" t="n">
        <v>74</v>
      </c>
      <c r="FC1408" s="15" t="n">
        <v>74</v>
      </c>
      <c r="FY1408" s="15" t="n">
        <v>74</v>
      </c>
      <c r="GU1408" s="15" t="n">
        <v>74</v>
      </c>
    </row>
    <row r="1409">
      <c r="C1409" s="15" t="n">
        <v>75</v>
      </c>
      <c r="AA1409" s="15" t="n">
        <v>75</v>
      </c>
      <c r="AW1409" s="15" t="n">
        <v>75</v>
      </c>
      <c r="BS1409" s="15" t="n">
        <v>75</v>
      </c>
      <c r="CO1409" s="15" t="n">
        <v>75</v>
      </c>
      <c r="DK1409" s="15" t="n">
        <v>75</v>
      </c>
      <c r="EG1409" s="15" t="n">
        <v>75</v>
      </c>
      <c r="FC1409" s="15" t="n">
        <v>75</v>
      </c>
      <c r="FY1409" s="15" t="n">
        <v>75</v>
      </c>
      <c r="GU1409" s="15" t="n">
        <v>75</v>
      </c>
    </row>
    <row r="1410">
      <c r="C1410" s="15" t="n">
        <v>76</v>
      </c>
      <c r="AA1410" s="15" t="n">
        <v>76</v>
      </c>
      <c r="AW1410" s="15" t="n">
        <v>76</v>
      </c>
      <c r="BS1410" s="15" t="n">
        <v>76</v>
      </c>
      <c r="CO1410" s="15" t="n">
        <v>76</v>
      </c>
      <c r="DK1410" s="15" t="n">
        <v>76</v>
      </c>
      <c r="EG1410" s="15" t="n">
        <v>76</v>
      </c>
      <c r="FC1410" s="15" t="n">
        <v>76</v>
      </c>
      <c r="FY1410" s="15" t="n">
        <v>76</v>
      </c>
      <c r="GU1410" s="15" t="n">
        <v>76</v>
      </c>
    </row>
    <row r="1411">
      <c r="C1411" s="15" t="n">
        <v>77</v>
      </c>
      <c r="AA1411" s="15" t="n">
        <v>77</v>
      </c>
      <c r="AW1411" s="15" t="n">
        <v>77</v>
      </c>
      <c r="BS1411" s="15" t="n">
        <v>77</v>
      </c>
      <c r="CO1411" s="15" t="n">
        <v>77</v>
      </c>
      <c r="DK1411" s="15" t="n">
        <v>77</v>
      </c>
      <c r="EG1411" s="15" t="n">
        <v>77</v>
      </c>
      <c r="FC1411" s="15" t="n">
        <v>77</v>
      </c>
      <c r="FY1411" s="15" t="n">
        <v>77</v>
      </c>
      <c r="GU1411" s="15" t="n">
        <v>77</v>
      </c>
    </row>
    <row r="1412">
      <c r="C1412" s="15" t="n">
        <v>78</v>
      </c>
      <c r="AA1412" s="15" t="n">
        <v>78</v>
      </c>
      <c r="AW1412" s="15" t="n">
        <v>78</v>
      </c>
      <c r="BS1412" s="15" t="n">
        <v>78</v>
      </c>
      <c r="CO1412" s="15" t="n">
        <v>78</v>
      </c>
      <c r="DK1412" s="15" t="n">
        <v>78</v>
      </c>
      <c r="EG1412" s="15" t="n">
        <v>78</v>
      </c>
      <c r="FC1412" s="15" t="n">
        <v>78</v>
      </c>
      <c r="FY1412" s="15" t="n">
        <v>78</v>
      </c>
      <c r="GU1412" s="15" t="n">
        <v>78</v>
      </c>
    </row>
    <row r="1413">
      <c r="C1413" s="15" t="n">
        <v>79</v>
      </c>
      <c r="AA1413" s="15" t="n">
        <v>79</v>
      </c>
      <c r="AW1413" s="15" t="n">
        <v>79</v>
      </c>
      <c r="BS1413" s="15" t="n">
        <v>79</v>
      </c>
      <c r="CO1413" s="15" t="n">
        <v>79</v>
      </c>
      <c r="DK1413" s="15" t="n">
        <v>79</v>
      </c>
      <c r="EG1413" s="15" t="n">
        <v>79</v>
      </c>
      <c r="FC1413" s="15" t="n">
        <v>79</v>
      </c>
      <c r="FY1413" s="15" t="n">
        <v>79</v>
      </c>
      <c r="GU1413" s="15" t="n">
        <v>79</v>
      </c>
    </row>
    <row r="1414">
      <c r="C1414" s="15" t="n">
        <v>80</v>
      </c>
      <c r="AA1414" s="15" t="n">
        <v>80</v>
      </c>
      <c r="AW1414" s="15" t="n">
        <v>80</v>
      </c>
      <c r="BS1414" s="15" t="n">
        <v>80</v>
      </c>
      <c r="CO1414" s="15" t="n">
        <v>80</v>
      </c>
      <c r="DK1414" s="15" t="n">
        <v>80</v>
      </c>
      <c r="EG1414" s="15" t="n">
        <v>80</v>
      </c>
      <c r="FC1414" s="15" t="n">
        <v>80</v>
      </c>
      <c r="FY1414" s="15" t="n">
        <v>80</v>
      </c>
      <c r="GU1414" s="15" t="n">
        <v>80</v>
      </c>
    </row>
    <row r="1415">
      <c r="C1415" s="15" t="n">
        <v>81</v>
      </c>
      <c r="AA1415" s="15" t="n">
        <v>81</v>
      </c>
      <c r="AW1415" s="15" t="n">
        <v>81</v>
      </c>
      <c r="BS1415" s="15" t="n">
        <v>81</v>
      </c>
      <c r="CO1415" s="15" t="n">
        <v>81</v>
      </c>
      <c r="DK1415" s="15" t="n">
        <v>81</v>
      </c>
      <c r="EG1415" s="15" t="n">
        <v>81</v>
      </c>
      <c r="FC1415" s="15" t="n">
        <v>81</v>
      </c>
      <c r="FY1415" s="15" t="n">
        <v>81</v>
      </c>
      <c r="GU1415" s="15" t="n">
        <v>81</v>
      </c>
    </row>
    <row r="1416">
      <c r="C1416" s="15" t="n">
        <v>82</v>
      </c>
      <c r="AA1416" s="15" t="n">
        <v>82</v>
      </c>
      <c r="AW1416" s="15" t="n">
        <v>82</v>
      </c>
      <c r="BS1416" s="15" t="n">
        <v>82</v>
      </c>
      <c r="CO1416" s="15" t="n">
        <v>82</v>
      </c>
      <c r="DK1416" s="15" t="n">
        <v>82</v>
      </c>
      <c r="EG1416" s="15" t="n">
        <v>82</v>
      </c>
      <c r="FC1416" s="15" t="n">
        <v>82</v>
      </c>
      <c r="FY1416" s="15" t="n">
        <v>82</v>
      </c>
      <c r="GU1416" s="15" t="n">
        <v>82</v>
      </c>
    </row>
    <row r="1417">
      <c r="C1417" s="15" t="n">
        <v>83</v>
      </c>
      <c r="AA1417" s="15" t="n">
        <v>83</v>
      </c>
      <c r="AW1417" s="15" t="n">
        <v>83</v>
      </c>
      <c r="BS1417" s="15" t="n">
        <v>83</v>
      </c>
      <c r="CO1417" s="15" t="n">
        <v>83</v>
      </c>
      <c r="DK1417" s="15" t="n">
        <v>83</v>
      </c>
      <c r="EG1417" s="15" t="n">
        <v>83</v>
      </c>
      <c r="FC1417" s="15" t="n">
        <v>83</v>
      </c>
      <c r="FY1417" s="15" t="n">
        <v>83</v>
      </c>
      <c r="GU1417" s="15" t="n">
        <v>83</v>
      </c>
    </row>
    <row r="1418">
      <c r="C1418" s="15" t="n">
        <v>84</v>
      </c>
      <c r="AA1418" s="15" t="n">
        <v>84</v>
      </c>
      <c r="AW1418" s="15" t="n">
        <v>84</v>
      </c>
      <c r="BS1418" s="15" t="n">
        <v>84</v>
      </c>
      <c r="CO1418" s="15" t="n">
        <v>84</v>
      </c>
      <c r="DK1418" s="15" t="n">
        <v>84</v>
      </c>
      <c r="EG1418" s="15" t="n">
        <v>84</v>
      </c>
      <c r="FC1418" s="15" t="n">
        <v>84</v>
      </c>
      <c r="FY1418" s="15" t="n">
        <v>84</v>
      </c>
      <c r="GU1418" s="15" t="n">
        <v>84</v>
      </c>
    </row>
    <row r="1419">
      <c r="C1419" s="15" t="n">
        <v>85</v>
      </c>
      <c r="AA1419" s="15" t="n">
        <v>85</v>
      </c>
      <c r="AW1419" s="15" t="n">
        <v>85</v>
      </c>
      <c r="BS1419" s="15" t="n">
        <v>85</v>
      </c>
      <c r="CO1419" s="15" t="n">
        <v>85</v>
      </c>
      <c r="DK1419" s="15" t="n">
        <v>85</v>
      </c>
      <c r="EG1419" s="15" t="n">
        <v>85</v>
      </c>
      <c r="FC1419" s="15" t="n">
        <v>85</v>
      </c>
      <c r="FY1419" s="15" t="n">
        <v>85</v>
      </c>
      <c r="GU1419" s="15" t="n">
        <v>85</v>
      </c>
    </row>
    <row r="1420">
      <c r="C1420" s="15" t="n">
        <v>86</v>
      </c>
      <c r="AA1420" s="15" t="n">
        <v>86</v>
      </c>
      <c r="AW1420" s="15" t="n">
        <v>86</v>
      </c>
      <c r="BS1420" s="15" t="n">
        <v>86</v>
      </c>
      <c r="CO1420" s="15" t="n">
        <v>86</v>
      </c>
      <c r="DK1420" s="15" t="n">
        <v>86</v>
      </c>
      <c r="EG1420" s="15" t="n">
        <v>86</v>
      </c>
      <c r="FC1420" s="15" t="n">
        <v>86</v>
      </c>
      <c r="FY1420" s="15" t="n">
        <v>86</v>
      </c>
      <c r="GU1420" s="15" t="n">
        <v>86</v>
      </c>
    </row>
    <row r="1421">
      <c r="C1421" s="15" t="n">
        <v>87</v>
      </c>
      <c r="AA1421" s="15" t="n">
        <v>87</v>
      </c>
      <c r="AW1421" s="15" t="n">
        <v>87</v>
      </c>
      <c r="BS1421" s="15" t="n">
        <v>87</v>
      </c>
      <c r="CO1421" s="15" t="n">
        <v>87</v>
      </c>
      <c r="DK1421" s="15" t="n">
        <v>87</v>
      </c>
      <c r="EG1421" s="15" t="n">
        <v>87</v>
      </c>
      <c r="FC1421" s="15" t="n">
        <v>87</v>
      </c>
      <c r="FY1421" s="15" t="n">
        <v>87</v>
      </c>
      <c r="GU1421" s="15" t="n">
        <v>87</v>
      </c>
    </row>
    <row r="1422">
      <c r="C1422" s="15" t="n">
        <v>88</v>
      </c>
      <c r="AA1422" s="15" t="n">
        <v>88</v>
      </c>
      <c r="AW1422" s="15" t="n">
        <v>88</v>
      </c>
      <c r="BS1422" s="15" t="n">
        <v>88</v>
      </c>
      <c r="CO1422" s="15" t="n">
        <v>88</v>
      </c>
      <c r="DK1422" s="15" t="n">
        <v>88</v>
      </c>
      <c r="EG1422" s="15" t="n">
        <v>88</v>
      </c>
      <c r="FC1422" s="15" t="n">
        <v>88</v>
      </c>
      <c r="FY1422" s="15" t="n">
        <v>88</v>
      </c>
      <c r="GU1422" s="15" t="n">
        <v>88</v>
      </c>
    </row>
    <row r="1423">
      <c r="C1423" s="15" t="n">
        <v>89</v>
      </c>
      <c r="AA1423" s="15" t="n">
        <v>89</v>
      </c>
      <c r="AW1423" s="15" t="n">
        <v>89</v>
      </c>
      <c r="BS1423" s="15" t="n">
        <v>89</v>
      </c>
      <c r="CO1423" s="15" t="n">
        <v>89</v>
      </c>
      <c r="DK1423" s="15" t="n">
        <v>89</v>
      </c>
      <c r="EG1423" s="15" t="n">
        <v>89</v>
      </c>
      <c r="FC1423" s="15" t="n">
        <v>89</v>
      </c>
      <c r="FY1423" s="15" t="n">
        <v>89</v>
      </c>
      <c r="GU1423" s="15" t="n">
        <v>89</v>
      </c>
    </row>
    <row r="1424">
      <c r="C1424" s="15" t="n">
        <v>90</v>
      </c>
      <c r="AA1424" s="15" t="n">
        <v>90</v>
      </c>
      <c r="AW1424" s="15" t="n">
        <v>90</v>
      </c>
      <c r="BS1424" s="15" t="n">
        <v>90</v>
      </c>
      <c r="CO1424" s="15" t="n">
        <v>90</v>
      </c>
      <c r="DK1424" s="15" t="n">
        <v>90</v>
      </c>
      <c r="EG1424" s="15" t="n">
        <v>90</v>
      </c>
      <c r="FC1424" s="15" t="n">
        <v>90</v>
      </c>
      <c r="FY1424" s="15" t="n">
        <v>90</v>
      </c>
      <c r="GU1424" s="15" t="n">
        <v>90</v>
      </c>
    </row>
    <row r="1425">
      <c r="C1425" s="15" t="n">
        <v>91</v>
      </c>
      <c r="AA1425" s="15" t="n">
        <v>91</v>
      </c>
      <c r="AW1425" s="15" t="n">
        <v>91</v>
      </c>
      <c r="BS1425" s="15" t="n">
        <v>91</v>
      </c>
      <c r="CO1425" s="15" t="n">
        <v>91</v>
      </c>
      <c r="DK1425" s="15" t="n">
        <v>91</v>
      </c>
      <c r="EG1425" s="15" t="n">
        <v>91</v>
      </c>
      <c r="FC1425" s="15" t="n">
        <v>91</v>
      </c>
      <c r="FY1425" s="15" t="n">
        <v>91</v>
      </c>
      <c r="GU1425" s="15" t="n">
        <v>91</v>
      </c>
    </row>
    <row r="1426">
      <c r="C1426" s="15" t="n">
        <v>92</v>
      </c>
      <c r="AA1426" s="15" t="n">
        <v>92</v>
      </c>
      <c r="AW1426" s="15" t="n">
        <v>92</v>
      </c>
      <c r="BS1426" s="15" t="n">
        <v>92</v>
      </c>
      <c r="CO1426" s="15" t="n">
        <v>92</v>
      </c>
      <c r="DK1426" s="15" t="n">
        <v>92</v>
      </c>
      <c r="EG1426" s="15" t="n">
        <v>92</v>
      </c>
      <c r="FC1426" s="15" t="n">
        <v>92</v>
      </c>
      <c r="FY1426" s="15" t="n">
        <v>92</v>
      </c>
      <c r="GU1426" s="15" t="n">
        <v>92</v>
      </c>
    </row>
    <row r="1427">
      <c r="C1427" s="15" t="n">
        <v>93</v>
      </c>
      <c r="AA1427" s="15" t="n">
        <v>93</v>
      </c>
      <c r="AW1427" s="15" t="n">
        <v>93</v>
      </c>
      <c r="BS1427" s="15" t="n">
        <v>93</v>
      </c>
      <c r="CO1427" s="15" t="n">
        <v>93</v>
      </c>
      <c r="DK1427" s="15" t="n">
        <v>93</v>
      </c>
      <c r="EG1427" s="15" t="n">
        <v>93</v>
      </c>
      <c r="FC1427" s="15" t="n">
        <v>93</v>
      </c>
      <c r="FY1427" s="15" t="n">
        <v>93</v>
      </c>
      <c r="GU1427" s="15" t="n">
        <v>93</v>
      </c>
    </row>
    <row r="1428">
      <c r="C1428" s="15" t="n">
        <v>94</v>
      </c>
      <c r="AA1428" s="15" t="n">
        <v>94</v>
      </c>
      <c r="AW1428" s="15" t="n">
        <v>94</v>
      </c>
      <c r="BS1428" s="15" t="n">
        <v>94</v>
      </c>
      <c r="CO1428" s="15" t="n">
        <v>94</v>
      </c>
      <c r="DK1428" s="15" t="n">
        <v>94</v>
      </c>
      <c r="EG1428" s="15" t="n">
        <v>94</v>
      </c>
      <c r="FC1428" s="15" t="n">
        <v>94</v>
      </c>
      <c r="FY1428" s="15" t="n">
        <v>94</v>
      </c>
      <c r="GU1428" s="15" t="n">
        <v>94</v>
      </c>
    </row>
    <row r="1429">
      <c r="C1429" s="15" t="n">
        <v>95</v>
      </c>
      <c r="AA1429" s="15" t="n">
        <v>95</v>
      </c>
      <c r="AW1429" s="15" t="n">
        <v>95</v>
      </c>
      <c r="BS1429" s="15" t="n">
        <v>95</v>
      </c>
      <c r="CO1429" s="15" t="n">
        <v>95</v>
      </c>
      <c r="DK1429" s="15" t="n">
        <v>95</v>
      </c>
      <c r="EG1429" s="15" t="n">
        <v>95</v>
      </c>
      <c r="FC1429" s="15" t="n">
        <v>95</v>
      </c>
      <c r="FY1429" s="15" t="n">
        <v>95</v>
      </c>
      <c r="GU1429" s="15" t="n">
        <v>95</v>
      </c>
    </row>
    <row r="1430">
      <c r="C1430" s="15" t="n">
        <v>96</v>
      </c>
      <c r="AA1430" s="15" t="n">
        <v>96</v>
      </c>
      <c r="AW1430" s="15" t="n">
        <v>96</v>
      </c>
      <c r="BS1430" s="15" t="n">
        <v>96</v>
      </c>
      <c r="CO1430" s="15" t="n">
        <v>96</v>
      </c>
      <c r="DK1430" s="15" t="n">
        <v>96</v>
      </c>
      <c r="EG1430" s="15" t="n">
        <v>96</v>
      </c>
      <c r="FC1430" s="15" t="n">
        <v>96</v>
      </c>
      <c r="FY1430" s="15" t="n">
        <v>96</v>
      </c>
      <c r="GU1430" s="15" t="n">
        <v>96</v>
      </c>
    </row>
    <row r="1431">
      <c r="C1431" s="15" t="n">
        <v>97</v>
      </c>
      <c r="AA1431" s="15" t="n">
        <v>97</v>
      </c>
      <c r="AW1431" s="15" t="n">
        <v>97</v>
      </c>
      <c r="BS1431" s="15" t="n">
        <v>97</v>
      </c>
      <c r="CO1431" s="15" t="n">
        <v>97</v>
      </c>
      <c r="DK1431" s="15" t="n">
        <v>97</v>
      </c>
      <c r="EG1431" s="15" t="n">
        <v>97</v>
      </c>
      <c r="FC1431" s="15" t="n">
        <v>97</v>
      </c>
      <c r="FY1431" s="15" t="n">
        <v>97</v>
      </c>
      <c r="GU1431" s="15" t="n">
        <v>97</v>
      </c>
    </row>
    <row r="1432">
      <c r="C1432" s="15" t="n">
        <v>98</v>
      </c>
      <c r="AA1432" s="15" t="n">
        <v>98</v>
      </c>
      <c r="AW1432" s="15" t="n">
        <v>98</v>
      </c>
      <c r="BS1432" s="15" t="n">
        <v>98</v>
      </c>
      <c r="CO1432" s="15" t="n">
        <v>98</v>
      </c>
      <c r="DK1432" s="15" t="n">
        <v>98</v>
      </c>
      <c r="EG1432" s="15" t="n">
        <v>98</v>
      </c>
      <c r="FC1432" s="15" t="n">
        <v>98</v>
      </c>
      <c r="FY1432" s="15" t="n">
        <v>98</v>
      </c>
      <c r="GU1432" s="15" t="n">
        <v>98</v>
      </c>
    </row>
    <row r="1433">
      <c r="C1433" s="15" t="n">
        <v>99</v>
      </c>
      <c r="AA1433" s="15" t="n">
        <v>99</v>
      </c>
      <c r="AW1433" s="15" t="n">
        <v>99</v>
      </c>
      <c r="BS1433" s="15" t="n">
        <v>99</v>
      </c>
      <c r="CO1433" s="15" t="n">
        <v>99</v>
      </c>
      <c r="DK1433" s="15" t="n">
        <v>99</v>
      </c>
      <c r="EG1433" s="15" t="n">
        <v>99</v>
      </c>
      <c r="FC1433" s="15" t="n">
        <v>99</v>
      </c>
      <c r="FY1433" s="15" t="n">
        <v>99</v>
      </c>
      <c r="GU1433" s="15" t="n">
        <v>99</v>
      </c>
    </row>
    <row r="1434">
      <c r="C1434" s="15" t="n">
        <v>100</v>
      </c>
      <c r="AA1434" s="15" t="n">
        <v>100</v>
      </c>
      <c r="AW1434" s="15" t="n">
        <v>100</v>
      </c>
      <c r="BS1434" s="15" t="n">
        <v>100</v>
      </c>
      <c r="CO1434" s="15" t="n">
        <v>100</v>
      </c>
      <c r="DK1434" s="15" t="n">
        <v>100</v>
      </c>
      <c r="EG1434" s="15" t="n">
        <v>100</v>
      </c>
      <c r="FC1434" s="15" t="n">
        <v>100</v>
      </c>
      <c r="FY1434" s="15" t="n">
        <v>100</v>
      </c>
      <c r="GU1434" s="15" t="n">
        <v>100</v>
      </c>
    </row>
    <row r="1435">
      <c r="C1435" s="15" t="n">
        <v>101</v>
      </c>
      <c r="AA1435" s="15" t="n">
        <v>101</v>
      </c>
      <c r="AW1435" s="15" t="n">
        <v>101</v>
      </c>
      <c r="BS1435" s="15" t="n">
        <v>101</v>
      </c>
      <c r="CO1435" s="15" t="n">
        <v>101</v>
      </c>
      <c r="DK1435" s="15" t="n">
        <v>101</v>
      </c>
      <c r="EG1435" s="15" t="n">
        <v>101</v>
      </c>
      <c r="FC1435" s="15" t="n">
        <v>101</v>
      </c>
      <c r="FY1435" s="15" t="n">
        <v>101</v>
      </c>
      <c r="GU1435" s="15" t="n">
        <v>101</v>
      </c>
    </row>
    <row r="1436">
      <c r="C1436" s="15" t="n">
        <v>102</v>
      </c>
      <c r="AA1436" s="15" t="n">
        <v>102</v>
      </c>
      <c r="AW1436" s="15" t="n">
        <v>102</v>
      </c>
      <c r="BS1436" s="15" t="n">
        <v>102</v>
      </c>
      <c r="CO1436" s="15" t="n">
        <v>102</v>
      </c>
      <c r="DK1436" s="15" t="n">
        <v>102</v>
      </c>
      <c r="EG1436" s="15" t="n">
        <v>102</v>
      </c>
      <c r="FC1436" s="15" t="n">
        <v>102</v>
      </c>
      <c r="FY1436" s="15" t="n">
        <v>102</v>
      </c>
      <c r="GU1436" s="15" t="n">
        <v>102</v>
      </c>
    </row>
    <row r="1437">
      <c r="C1437" s="15" t="n">
        <v>103</v>
      </c>
      <c r="AA1437" s="15" t="n">
        <v>103</v>
      </c>
      <c r="AW1437" s="15" t="n">
        <v>103</v>
      </c>
      <c r="BS1437" s="15" t="n">
        <v>103</v>
      </c>
      <c r="CO1437" s="15" t="n">
        <v>103</v>
      </c>
      <c r="DK1437" s="15" t="n">
        <v>103</v>
      </c>
      <c r="EG1437" s="15" t="n">
        <v>103</v>
      </c>
      <c r="FC1437" s="15" t="n">
        <v>103</v>
      </c>
      <c r="FY1437" s="15" t="n">
        <v>103</v>
      </c>
      <c r="GU1437" s="15" t="n">
        <v>103</v>
      </c>
    </row>
    <row r="1438">
      <c r="C1438" s="15" t="n">
        <v>104</v>
      </c>
      <c r="AA1438" s="15" t="n">
        <v>104</v>
      </c>
      <c r="AW1438" s="15" t="n">
        <v>104</v>
      </c>
      <c r="BS1438" s="15" t="n">
        <v>104</v>
      </c>
      <c r="CO1438" s="15" t="n">
        <v>104</v>
      </c>
      <c r="DK1438" s="15" t="n">
        <v>104</v>
      </c>
      <c r="EG1438" s="15" t="n">
        <v>104</v>
      </c>
      <c r="FC1438" s="15" t="n">
        <v>104</v>
      </c>
      <c r="FY1438" s="15" t="n">
        <v>104</v>
      </c>
      <c r="GU1438" s="15" t="n">
        <v>104</v>
      </c>
    </row>
    <row r="1439">
      <c r="C1439" s="15" t="n">
        <v>105</v>
      </c>
      <c r="AA1439" s="15" t="n">
        <v>105</v>
      </c>
      <c r="AW1439" s="15" t="n">
        <v>105</v>
      </c>
      <c r="BS1439" s="15" t="n">
        <v>105</v>
      </c>
      <c r="CO1439" s="15" t="n">
        <v>105</v>
      </c>
      <c r="DK1439" s="15" t="n">
        <v>105</v>
      </c>
      <c r="EG1439" s="15" t="n">
        <v>105</v>
      </c>
      <c r="FC1439" s="15" t="n">
        <v>105</v>
      </c>
      <c r="FY1439" s="15" t="n">
        <v>105</v>
      </c>
      <c r="GU1439" s="15" t="n">
        <v>105</v>
      </c>
    </row>
    <row r="1440">
      <c r="C1440" s="15" t="n">
        <v>106</v>
      </c>
      <c r="AA1440" s="15" t="n">
        <v>106</v>
      </c>
      <c r="AW1440" s="15" t="n">
        <v>106</v>
      </c>
      <c r="BS1440" s="15" t="n">
        <v>106</v>
      </c>
      <c r="CO1440" s="15" t="n">
        <v>106</v>
      </c>
      <c r="DK1440" s="15" t="n">
        <v>106</v>
      </c>
      <c r="EG1440" s="15" t="n">
        <v>106</v>
      </c>
      <c r="FC1440" s="15" t="n">
        <v>106</v>
      </c>
      <c r="FY1440" s="15" t="n">
        <v>106</v>
      </c>
      <c r="GU1440" s="15" t="n">
        <v>106</v>
      </c>
    </row>
    <row r="1441">
      <c r="C1441" s="15" t="n">
        <v>107</v>
      </c>
      <c r="AA1441" s="15" t="n">
        <v>107</v>
      </c>
      <c r="AW1441" s="15" t="n">
        <v>107</v>
      </c>
      <c r="BS1441" s="15" t="n">
        <v>107</v>
      </c>
      <c r="CO1441" s="15" t="n">
        <v>107</v>
      </c>
      <c r="DK1441" s="15" t="n">
        <v>107</v>
      </c>
      <c r="EG1441" s="15" t="n">
        <v>107</v>
      </c>
      <c r="FC1441" s="15" t="n">
        <v>107</v>
      </c>
      <c r="FY1441" s="15" t="n">
        <v>107</v>
      </c>
      <c r="GU1441" s="15" t="n">
        <v>107</v>
      </c>
    </row>
    <row r="1442">
      <c r="C1442" s="15" t="n">
        <v>108</v>
      </c>
      <c r="AA1442" s="15" t="n">
        <v>108</v>
      </c>
      <c r="AW1442" s="15" t="n">
        <v>108</v>
      </c>
      <c r="BS1442" s="15" t="n">
        <v>108</v>
      </c>
      <c r="CO1442" s="15" t="n">
        <v>108</v>
      </c>
      <c r="DK1442" s="15" t="n">
        <v>108</v>
      </c>
      <c r="EG1442" s="15" t="n">
        <v>108</v>
      </c>
      <c r="FC1442" s="15" t="n">
        <v>108</v>
      </c>
      <c r="FY1442" s="15" t="n">
        <v>108</v>
      </c>
      <c r="GU1442" s="15" t="n">
        <v>108</v>
      </c>
    </row>
    <row r="1443">
      <c r="C1443" s="15" t="n">
        <v>109</v>
      </c>
      <c r="AA1443" s="15" t="n">
        <v>109</v>
      </c>
      <c r="AW1443" s="15" t="n">
        <v>109</v>
      </c>
      <c r="BS1443" s="15" t="n">
        <v>109</v>
      </c>
      <c r="CO1443" s="15" t="n">
        <v>109</v>
      </c>
      <c r="DK1443" s="15" t="n">
        <v>109</v>
      </c>
      <c r="EG1443" s="15" t="n">
        <v>109</v>
      </c>
      <c r="FC1443" s="15" t="n">
        <v>109</v>
      </c>
      <c r="FY1443" s="15" t="n">
        <v>109</v>
      </c>
      <c r="GU1443" s="15" t="n">
        <v>109</v>
      </c>
    </row>
    <row r="1444">
      <c r="C1444" s="15" t="n">
        <v>110</v>
      </c>
      <c r="AA1444" s="15" t="n">
        <v>110</v>
      </c>
      <c r="AW1444" s="15" t="n">
        <v>110</v>
      </c>
      <c r="BS1444" s="15" t="n">
        <v>110</v>
      </c>
      <c r="CO1444" s="15" t="n">
        <v>110</v>
      </c>
      <c r="DK1444" s="15" t="n">
        <v>110</v>
      </c>
      <c r="EG1444" s="15" t="n">
        <v>110</v>
      </c>
      <c r="FC1444" s="15" t="n">
        <v>110</v>
      </c>
      <c r="FY1444" s="15" t="n">
        <v>110</v>
      </c>
      <c r="GU1444" s="15" t="n">
        <v>110</v>
      </c>
    </row>
    <row r="1445">
      <c r="C1445" s="15" t="n">
        <v>111</v>
      </c>
      <c r="AA1445" s="15" t="n">
        <v>111</v>
      </c>
      <c r="AW1445" s="15" t="n">
        <v>111</v>
      </c>
      <c r="BS1445" s="15" t="n">
        <v>111</v>
      </c>
      <c r="CO1445" s="15" t="n">
        <v>111</v>
      </c>
      <c r="DK1445" s="15" t="n">
        <v>111</v>
      </c>
      <c r="EG1445" s="15" t="n">
        <v>111</v>
      </c>
      <c r="FC1445" s="15" t="n">
        <v>111</v>
      </c>
      <c r="FY1445" s="15" t="n">
        <v>111</v>
      </c>
      <c r="GU1445" s="15" t="n">
        <v>111</v>
      </c>
    </row>
    <row r="1446">
      <c r="C1446" s="15" t="n">
        <v>112</v>
      </c>
      <c r="AA1446" s="15" t="n">
        <v>112</v>
      </c>
      <c r="AW1446" s="15" t="n">
        <v>112</v>
      </c>
      <c r="BS1446" s="15" t="n">
        <v>112</v>
      </c>
      <c r="CO1446" s="15" t="n">
        <v>112</v>
      </c>
      <c r="DK1446" s="15" t="n">
        <v>112</v>
      </c>
      <c r="EG1446" s="15" t="n">
        <v>112</v>
      </c>
      <c r="FC1446" s="15" t="n">
        <v>112</v>
      </c>
      <c r="FY1446" s="15" t="n">
        <v>112</v>
      </c>
      <c r="GU1446" s="15" t="n">
        <v>112</v>
      </c>
    </row>
    <row r="1447">
      <c r="C1447" s="15" t="n">
        <v>113</v>
      </c>
      <c r="AA1447" s="15" t="n">
        <v>113</v>
      </c>
      <c r="AW1447" s="15" t="n">
        <v>113</v>
      </c>
      <c r="BS1447" s="15" t="n">
        <v>113</v>
      </c>
      <c r="CO1447" s="15" t="n">
        <v>113</v>
      </c>
      <c r="DK1447" s="15" t="n">
        <v>113</v>
      </c>
      <c r="EG1447" s="15" t="n">
        <v>113</v>
      </c>
      <c r="FC1447" s="15" t="n">
        <v>113</v>
      </c>
      <c r="FY1447" s="15" t="n">
        <v>113</v>
      </c>
      <c r="GU1447" s="15" t="n">
        <v>113</v>
      </c>
    </row>
    <row r="1448">
      <c r="C1448" s="15" t="n">
        <v>114</v>
      </c>
      <c r="AA1448" s="15" t="n">
        <v>114</v>
      </c>
      <c r="AW1448" s="15" t="n">
        <v>114</v>
      </c>
      <c r="BS1448" s="15" t="n">
        <v>114</v>
      </c>
      <c r="CO1448" s="15" t="n">
        <v>114</v>
      </c>
      <c r="DK1448" s="15" t="n">
        <v>114</v>
      </c>
      <c r="EG1448" s="15" t="n">
        <v>114</v>
      </c>
      <c r="FC1448" s="15" t="n">
        <v>114</v>
      </c>
      <c r="FY1448" s="15" t="n">
        <v>114</v>
      </c>
      <c r="GU1448" s="15" t="n">
        <v>114</v>
      </c>
    </row>
    <row r="1449">
      <c r="C1449" s="15" t="n">
        <v>115</v>
      </c>
      <c r="AA1449" s="15" t="n">
        <v>115</v>
      </c>
      <c r="AW1449" s="15" t="n">
        <v>115</v>
      </c>
      <c r="BS1449" s="15" t="n">
        <v>115</v>
      </c>
      <c r="CO1449" s="15" t="n">
        <v>115</v>
      </c>
      <c r="DK1449" s="15" t="n">
        <v>115</v>
      </c>
      <c r="EG1449" s="15" t="n">
        <v>115</v>
      </c>
      <c r="FC1449" s="15" t="n">
        <v>115</v>
      </c>
      <c r="FY1449" s="15" t="n">
        <v>115</v>
      </c>
      <c r="GU1449" s="15" t="n">
        <v>115</v>
      </c>
    </row>
    <row r="1450">
      <c r="C1450" s="15" t="n">
        <v>116</v>
      </c>
      <c r="AA1450" s="15" t="n">
        <v>116</v>
      </c>
      <c r="AW1450" s="15" t="n">
        <v>116</v>
      </c>
      <c r="BS1450" s="15" t="n">
        <v>116</v>
      </c>
      <c r="CO1450" s="15" t="n">
        <v>116</v>
      </c>
      <c r="DK1450" s="15" t="n">
        <v>116</v>
      </c>
      <c r="EG1450" s="15" t="n">
        <v>116</v>
      </c>
      <c r="FC1450" s="15" t="n">
        <v>116</v>
      </c>
      <c r="FY1450" s="15" t="n">
        <v>116</v>
      </c>
      <c r="GU1450" s="15" t="n">
        <v>116</v>
      </c>
    </row>
    <row r="1451">
      <c r="C1451" s="15" t="n">
        <v>117</v>
      </c>
      <c r="AA1451" s="15" t="n">
        <v>117</v>
      </c>
      <c r="AW1451" s="15" t="n">
        <v>117</v>
      </c>
      <c r="BS1451" s="15" t="n">
        <v>117</v>
      </c>
      <c r="CO1451" s="15" t="n">
        <v>117</v>
      </c>
      <c r="DK1451" s="15" t="n">
        <v>117</v>
      </c>
      <c r="EG1451" s="15" t="n">
        <v>117</v>
      </c>
      <c r="FC1451" s="15" t="n">
        <v>117</v>
      </c>
      <c r="FY1451" s="15" t="n">
        <v>117</v>
      </c>
      <c r="GU1451" s="15" t="n">
        <v>117</v>
      </c>
    </row>
    <row r="1452">
      <c r="C1452" s="15" t="n">
        <v>118</v>
      </c>
      <c r="AA1452" s="15" t="n">
        <v>118</v>
      </c>
      <c r="AW1452" s="15" t="n">
        <v>118</v>
      </c>
      <c r="BS1452" s="15" t="n">
        <v>118</v>
      </c>
      <c r="CO1452" s="15" t="n">
        <v>118</v>
      </c>
      <c r="DK1452" s="15" t="n">
        <v>118</v>
      </c>
      <c r="EG1452" s="15" t="n">
        <v>118</v>
      </c>
      <c r="FC1452" s="15" t="n">
        <v>118</v>
      </c>
      <c r="FY1452" s="15" t="n">
        <v>118</v>
      </c>
      <c r="GU1452" s="15" t="n">
        <v>118</v>
      </c>
    </row>
    <row r="1453">
      <c r="C1453" s="15" t="n">
        <v>119</v>
      </c>
      <c r="AA1453" s="15" t="n">
        <v>119</v>
      </c>
      <c r="AW1453" s="15" t="n">
        <v>119</v>
      </c>
      <c r="BS1453" s="15" t="n">
        <v>119</v>
      </c>
      <c r="CO1453" s="15" t="n">
        <v>119</v>
      </c>
      <c r="DK1453" s="15" t="n">
        <v>119</v>
      </c>
      <c r="EG1453" s="15" t="n">
        <v>119</v>
      </c>
      <c r="FC1453" s="15" t="n">
        <v>119</v>
      </c>
      <c r="FY1453" s="15" t="n">
        <v>119</v>
      </c>
      <c r="GU1453" s="15" t="n">
        <v>119</v>
      </c>
    </row>
    <row r="1454">
      <c r="C1454" s="15" t="n">
        <v>120</v>
      </c>
      <c r="AA1454" s="15" t="n">
        <v>120</v>
      </c>
      <c r="AW1454" s="15" t="n">
        <v>120</v>
      </c>
      <c r="BS1454" s="15" t="n">
        <v>120</v>
      </c>
      <c r="CO1454" s="15" t="n">
        <v>120</v>
      </c>
      <c r="DK1454" s="15" t="n">
        <v>120</v>
      </c>
      <c r="EG1454" s="15" t="n">
        <v>120</v>
      </c>
      <c r="FC1454" s="15" t="n">
        <v>120</v>
      </c>
      <c r="FY1454" s="15" t="n">
        <v>120</v>
      </c>
      <c r="GU1454" s="15" t="n">
        <v>120</v>
      </c>
    </row>
    <row r="1455">
      <c r="C1455" s="15" t="n">
        <v>121</v>
      </c>
      <c r="AA1455" s="15" t="n">
        <v>121</v>
      </c>
      <c r="AW1455" s="15" t="n">
        <v>121</v>
      </c>
      <c r="BS1455" s="15" t="n">
        <v>121</v>
      </c>
      <c r="CO1455" s="15" t="n">
        <v>121</v>
      </c>
      <c r="DK1455" s="15" t="n">
        <v>121</v>
      </c>
      <c r="EG1455" s="15" t="n">
        <v>121</v>
      </c>
      <c r="FC1455" s="15" t="n">
        <v>121</v>
      </c>
      <c r="FY1455" s="15" t="n">
        <v>121</v>
      </c>
      <c r="GU1455" s="15" t="n">
        <v>121</v>
      </c>
    </row>
    <row r="1456">
      <c r="C1456" s="15" t="n">
        <v>122</v>
      </c>
      <c r="AA1456" s="15" t="n">
        <v>122</v>
      </c>
      <c r="AW1456" s="15" t="n">
        <v>122</v>
      </c>
      <c r="BS1456" s="15" t="n">
        <v>122</v>
      </c>
      <c r="CO1456" s="15" t="n">
        <v>122</v>
      </c>
      <c r="DK1456" s="15" t="n">
        <v>122</v>
      </c>
      <c r="EG1456" s="15" t="n">
        <v>122</v>
      </c>
      <c r="FC1456" s="15" t="n">
        <v>122</v>
      </c>
      <c r="FY1456" s="15" t="n">
        <v>122</v>
      </c>
      <c r="GU1456" s="15" t="n">
        <v>122</v>
      </c>
    </row>
    <row r="1457">
      <c r="C1457" s="15" t="n">
        <v>123</v>
      </c>
      <c r="AA1457" s="15" t="n">
        <v>123</v>
      </c>
      <c r="AW1457" s="15" t="n">
        <v>123</v>
      </c>
      <c r="BS1457" s="15" t="n">
        <v>123</v>
      </c>
      <c r="CO1457" s="15" t="n">
        <v>123</v>
      </c>
      <c r="DK1457" s="15" t="n">
        <v>123</v>
      </c>
      <c r="EG1457" s="15" t="n">
        <v>123</v>
      </c>
      <c r="FC1457" s="15" t="n">
        <v>123</v>
      </c>
      <c r="FY1457" s="15" t="n">
        <v>123</v>
      </c>
      <c r="GU1457" s="15" t="n">
        <v>123</v>
      </c>
    </row>
    <row r="1458">
      <c r="C1458" s="15" t="n">
        <v>124</v>
      </c>
      <c r="AA1458" s="15" t="n">
        <v>124</v>
      </c>
      <c r="AW1458" s="15" t="n">
        <v>124</v>
      </c>
      <c r="BS1458" s="15" t="n">
        <v>124</v>
      </c>
      <c r="CO1458" s="15" t="n">
        <v>124</v>
      </c>
      <c r="DK1458" s="15" t="n">
        <v>124</v>
      </c>
      <c r="EG1458" s="15" t="n">
        <v>124</v>
      </c>
      <c r="FC1458" s="15" t="n">
        <v>124</v>
      </c>
      <c r="FY1458" s="15" t="n">
        <v>124</v>
      </c>
      <c r="GU1458" s="15" t="n">
        <v>124</v>
      </c>
    </row>
    <row r="1459">
      <c r="C1459" s="15" t="n">
        <v>125</v>
      </c>
      <c r="AA1459" s="15" t="n">
        <v>125</v>
      </c>
      <c r="AW1459" s="15" t="n">
        <v>125</v>
      </c>
      <c r="BS1459" s="15" t="n">
        <v>125</v>
      </c>
      <c r="CO1459" s="15" t="n">
        <v>125</v>
      </c>
      <c r="DK1459" s="15" t="n">
        <v>125</v>
      </c>
      <c r="EG1459" s="15" t="n">
        <v>125</v>
      </c>
      <c r="FC1459" s="15" t="n">
        <v>125</v>
      </c>
      <c r="FY1459" s="15" t="n">
        <v>125</v>
      </c>
      <c r="GU1459" s="15" t="n">
        <v>125</v>
      </c>
    </row>
    <row r="1460">
      <c r="C1460" s="15" t="n">
        <v>126</v>
      </c>
      <c r="AA1460" s="15" t="n">
        <v>126</v>
      </c>
      <c r="AW1460" s="15" t="n">
        <v>126</v>
      </c>
      <c r="BS1460" s="15" t="n">
        <v>126</v>
      </c>
      <c r="CO1460" s="15" t="n">
        <v>126</v>
      </c>
      <c r="DK1460" s="15" t="n">
        <v>126</v>
      </c>
      <c r="EG1460" s="15" t="n">
        <v>126</v>
      </c>
      <c r="FC1460" s="15" t="n">
        <v>126</v>
      </c>
      <c r="FY1460" s="15" t="n">
        <v>126</v>
      </c>
      <c r="GU1460" s="15" t="n">
        <v>126</v>
      </c>
    </row>
    <row r="1461">
      <c r="C1461" s="15" t="n">
        <v>127</v>
      </c>
      <c r="AA1461" s="15" t="n">
        <v>127</v>
      </c>
      <c r="AW1461" s="15" t="n">
        <v>127</v>
      </c>
      <c r="BS1461" s="15" t="n">
        <v>127</v>
      </c>
      <c r="CO1461" s="15" t="n">
        <v>127</v>
      </c>
      <c r="DK1461" s="15" t="n">
        <v>127</v>
      </c>
      <c r="EG1461" s="15" t="n">
        <v>127</v>
      </c>
      <c r="FC1461" s="15" t="n">
        <v>127</v>
      </c>
      <c r="FY1461" s="15" t="n">
        <v>127</v>
      </c>
      <c r="GU1461" s="15" t="n">
        <v>127</v>
      </c>
    </row>
    <row r="1462">
      <c r="C1462" s="15" t="n">
        <v>128</v>
      </c>
      <c r="AA1462" s="15" t="n">
        <v>128</v>
      </c>
      <c r="AW1462" s="15" t="n">
        <v>128</v>
      </c>
      <c r="BS1462" s="15" t="n">
        <v>128</v>
      </c>
      <c r="CO1462" s="15" t="n">
        <v>128</v>
      </c>
      <c r="DK1462" s="15" t="n">
        <v>128</v>
      </c>
      <c r="EG1462" s="15" t="n">
        <v>128</v>
      </c>
      <c r="FC1462" s="15" t="n">
        <v>128</v>
      </c>
      <c r="FY1462" s="15" t="n">
        <v>128</v>
      </c>
      <c r="GU1462" s="15" t="n">
        <v>128</v>
      </c>
    </row>
    <row r="1463">
      <c r="C1463" s="15" t="n">
        <v>129</v>
      </c>
      <c r="AA1463" s="15" t="n">
        <v>129</v>
      </c>
      <c r="AW1463" s="15" t="n">
        <v>129</v>
      </c>
      <c r="BS1463" s="15" t="n">
        <v>129</v>
      </c>
      <c r="CO1463" s="15" t="n">
        <v>129</v>
      </c>
      <c r="DK1463" s="15" t="n">
        <v>129</v>
      </c>
      <c r="EG1463" s="15" t="n">
        <v>129</v>
      </c>
      <c r="FC1463" s="15" t="n">
        <v>129</v>
      </c>
      <c r="FY1463" s="15" t="n">
        <v>129</v>
      </c>
      <c r="GU1463" s="15" t="n">
        <v>129</v>
      </c>
    </row>
    <row r="1464">
      <c r="C1464" s="15" t="n">
        <v>130</v>
      </c>
      <c r="AA1464" s="15" t="n">
        <v>130</v>
      </c>
      <c r="AW1464" s="15" t="n">
        <v>130</v>
      </c>
      <c r="BS1464" s="15" t="n">
        <v>130</v>
      </c>
      <c r="CO1464" s="15" t="n">
        <v>130</v>
      </c>
      <c r="DK1464" s="15" t="n">
        <v>130</v>
      </c>
      <c r="EG1464" s="15" t="n">
        <v>130</v>
      </c>
      <c r="FC1464" s="15" t="n">
        <v>130</v>
      </c>
      <c r="FY1464" s="15" t="n">
        <v>130</v>
      </c>
      <c r="GU1464" s="15" t="n">
        <v>130</v>
      </c>
    </row>
    <row r="1465">
      <c r="C1465" s="15" t="n">
        <v>131</v>
      </c>
      <c r="AA1465" s="15" t="n">
        <v>131</v>
      </c>
      <c r="AW1465" s="15" t="n">
        <v>131</v>
      </c>
      <c r="BS1465" s="15" t="n">
        <v>131</v>
      </c>
      <c r="CO1465" s="15" t="n">
        <v>131</v>
      </c>
      <c r="DK1465" s="15" t="n">
        <v>131</v>
      </c>
      <c r="EG1465" s="15" t="n">
        <v>131</v>
      </c>
      <c r="FC1465" s="15" t="n">
        <v>131</v>
      </c>
      <c r="FY1465" s="15" t="n">
        <v>131</v>
      </c>
      <c r="GU1465" s="15" t="n">
        <v>131</v>
      </c>
    </row>
    <row r="1466">
      <c r="C1466" s="15" t="n">
        <v>132</v>
      </c>
      <c r="AA1466" s="15" t="n">
        <v>132</v>
      </c>
      <c r="AW1466" s="15" t="n">
        <v>132</v>
      </c>
      <c r="BS1466" s="15" t="n">
        <v>132</v>
      </c>
      <c r="CO1466" s="15" t="n">
        <v>132</v>
      </c>
      <c r="DK1466" s="15" t="n">
        <v>132</v>
      </c>
      <c r="EG1466" s="15" t="n">
        <v>132</v>
      </c>
      <c r="FC1466" s="15" t="n">
        <v>132</v>
      </c>
      <c r="FY1466" s="15" t="n">
        <v>132</v>
      </c>
      <c r="GU1466" s="15" t="n">
        <v>132</v>
      </c>
    </row>
    <row r="1467">
      <c r="C1467" s="15" t="n">
        <v>133</v>
      </c>
      <c r="AA1467" s="15" t="n">
        <v>133</v>
      </c>
      <c r="AW1467" s="15" t="n">
        <v>133</v>
      </c>
      <c r="BS1467" s="15" t="n">
        <v>133</v>
      </c>
      <c r="CO1467" s="15" t="n">
        <v>133</v>
      </c>
      <c r="DK1467" s="15" t="n">
        <v>133</v>
      </c>
      <c r="EG1467" s="15" t="n">
        <v>133</v>
      </c>
      <c r="FC1467" s="15" t="n">
        <v>133</v>
      </c>
      <c r="FY1467" s="15" t="n">
        <v>133</v>
      </c>
      <c r="GU1467" s="15" t="n">
        <v>133</v>
      </c>
    </row>
    <row r="1468">
      <c r="C1468" s="15" t="n">
        <v>134</v>
      </c>
      <c r="AA1468" s="15" t="n">
        <v>134</v>
      </c>
      <c r="AW1468" s="15" t="n">
        <v>134</v>
      </c>
      <c r="BS1468" s="15" t="n">
        <v>134</v>
      </c>
      <c r="CO1468" s="15" t="n">
        <v>134</v>
      </c>
      <c r="DK1468" s="15" t="n">
        <v>134</v>
      </c>
      <c r="EG1468" s="15" t="n">
        <v>134</v>
      </c>
      <c r="FC1468" s="15" t="n">
        <v>134</v>
      </c>
      <c r="FY1468" s="15" t="n">
        <v>134</v>
      </c>
      <c r="GU1468" s="15" t="n">
        <v>134</v>
      </c>
    </row>
    <row r="1469">
      <c r="C1469" s="15" t="n">
        <v>135</v>
      </c>
      <c r="AA1469" s="15" t="n">
        <v>135</v>
      </c>
      <c r="AW1469" s="15" t="n">
        <v>135</v>
      </c>
      <c r="BS1469" s="15" t="n">
        <v>135</v>
      </c>
      <c r="CO1469" s="15" t="n">
        <v>135</v>
      </c>
      <c r="DK1469" s="15" t="n">
        <v>135</v>
      </c>
      <c r="EG1469" s="15" t="n">
        <v>135</v>
      </c>
      <c r="FC1469" s="15" t="n">
        <v>135</v>
      </c>
      <c r="FY1469" s="15" t="n">
        <v>135</v>
      </c>
      <c r="GU1469" s="15" t="n">
        <v>135</v>
      </c>
    </row>
    <row r="1470">
      <c r="C1470" s="15" t="n">
        <v>136</v>
      </c>
      <c r="AA1470" s="15" t="n">
        <v>136</v>
      </c>
      <c r="AW1470" s="15" t="n">
        <v>136</v>
      </c>
      <c r="BS1470" s="15" t="n">
        <v>136</v>
      </c>
      <c r="CO1470" s="15" t="n">
        <v>136</v>
      </c>
      <c r="DK1470" s="15" t="n">
        <v>136</v>
      </c>
      <c r="EG1470" s="15" t="n">
        <v>136</v>
      </c>
      <c r="FC1470" s="15" t="n">
        <v>136</v>
      </c>
      <c r="FY1470" s="15" t="n">
        <v>136</v>
      </c>
      <c r="GU1470" s="15" t="n">
        <v>136</v>
      </c>
    </row>
    <row r="1471">
      <c r="C1471" s="15" t="n">
        <v>137</v>
      </c>
      <c r="AA1471" s="15" t="n">
        <v>137</v>
      </c>
      <c r="AW1471" s="15" t="n">
        <v>137</v>
      </c>
      <c r="BS1471" s="15" t="n">
        <v>137</v>
      </c>
      <c r="CO1471" s="15" t="n">
        <v>137</v>
      </c>
      <c r="DK1471" s="15" t="n">
        <v>137</v>
      </c>
      <c r="EG1471" s="15" t="n">
        <v>137</v>
      </c>
      <c r="FC1471" s="15" t="n">
        <v>137</v>
      </c>
      <c r="FY1471" s="15" t="n">
        <v>137</v>
      </c>
      <c r="GU1471" s="15" t="n">
        <v>137</v>
      </c>
    </row>
    <row r="1472">
      <c r="C1472" s="15" t="n">
        <v>138</v>
      </c>
      <c r="AA1472" s="15" t="n">
        <v>138</v>
      </c>
      <c r="AW1472" s="15" t="n">
        <v>138</v>
      </c>
      <c r="BS1472" s="15" t="n">
        <v>138</v>
      </c>
      <c r="CO1472" s="15" t="n">
        <v>138</v>
      </c>
      <c r="DK1472" s="15" t="n">
        <v>138</v>
      </c>
      <c r="EG1472" s="15" t="n">
        <v>138</v>
      </c>
      <c r="FC1472" s="15" t="n">
        <v>138</v>
      </c>
      <c r="FY1472" s="15" t="n">
        <v>138</v>
      </c>
      <c r="GU1472" s="15" t="n">
        <v>138</v>
      </c>
    </row>
    <row r="1473">
      <c r="C1473" s="15" t="n">
        <v>139</v>
      </c>
      <c r="AA1473" s="15" t="n">
        <v>139</v>
      </c>
      <c r="AW1473" s="15" t="n">
        <v>139</v>
      </c>
      <c r="BS1473" s="15" t="n">
        <v>139</v>
      </c>
      <c r="CO1473" s="15" t="n">
        <v>139</v>
      </c>
      <c r="DK1473" s="15" t="n">
        <v>139</v>
      </c>
      <c r="EG1473" s="15" t="n">
        <v>139</v>
      </c>
      <c r="FC1473" s="15" t="n">
        <v>139</v>
      </c>
      <c r="FY1473" s="15" t="n">
        <v>139</v>
      </c>
      <c r="GU1473" s="15" t="n">
        <v>139</v>
      </c>
    </row>
    <row r="1474">
      <c r="C1474" s="15" t="n">
        <v>140</v>
      </c>
      <c r="AA1474" s="15" t="n">
        <v>140</v>
      </c>
      <c r="AW1474" s="15" t="n">
        <v>140</v>
      </c>
      <c r="BS1474" s="15" t="n">
        <v>140</v>
      </c>
      <c r="CO1474" s="15" t="n">
        <v>140</v>
      </c>
      <c r="DK1474" s="15" t="n">
        <v>140</v>
      </c>
      <c r="EG1474" s="15" t="n">
        <v>140</v>
      </c>
      <c r="FC1474" s="15" t="n">
        <v>140</v>
      </c>
      <c r="FY1474" s="15" t="n">
        <v>140</v>
      </c>
      <c r="GU1474" s="15" t="n">
        <v>140</v>
      </c>
    </row>
    <row r="1475">
      <c r="C1475" s="15" t="n">
        <v>141</v>
      </c>
      <c r="AA1475" s="15" t="n">
        <v>141</v>
      </c>
      <c r="AW1475" s="15" t="n">
        <v>141</v>
      </c>
      <c r="BS1475" s="15" t="n">
        <v>141</v>
      </c>
      <c r="CO1475" s="15" t="n">
        <v>141</v>
      </c>
      <c r="DK1475" s="15" t="n">
        <v>141</v>
      </c>
      <c r="EG1475" s="15" t="n">
        <v>141</v>
      </c>
      <c r="FC1475" s="15" t="n">
        <v>141</v>
      </c>
      <c r="FY1475" s="15" t="n">
        <v>141</v>
      </c>
      <c r="GU1475" s="15" t="n">
        <v>141</v>
      </c>
    </row>
    <row r="1476">
      <c r="C1476" s="15" t="n">
        <v>142</v>
      </c>
      <c r="AA1476" s="15" t="n">
        <v>142</v>
      </c>
      <c r="AW1476" s="15" t="n">
        <v>142</v>
      </c>
      <c r="BS1476" s="15" t="n">
        <v>142</v>
      </c>
      <c r="CO1476" s="15" t="n">
        <v>142</v>
      </c>
      <c r="DK1476" s="15" t="n">
        <v>142</v>
      </c>
      <c r="EG1476" s="15" t="n">
        <v>142</v>
      </c>
      <c r="FC1476" s="15" t="n">
        <v>142</v>
      </c>
      <c r="FY1476" s="15" t="n">
        <v>142</v>
      </c>
      <c r="GU1476" s="15" t="n">
        <v>142</v>
      </c>
    </row>
    <row r="1477">
      <c r="C1477" s="15" t="n">
        <v>143</v>
      </c>
      <c r="AA1477" s="15" t="n">
        <v>143</v>
      </c>
      <c r="AW1477" s="15" t="n">
        <v>143</v>
      </c>
      <c r="BS1477" s="15" t="n">
        <v>143</v>
      </c>
      <c r="CO1477" s="15" t="n">
        <v>143</v>
      </c>
      <c r="DK1477" s="15" t="n">
        <v>143</v>
      </c>
      <c r="EG1477" s="15" t="n">
        <v>143</v>
      </c>
      <c r="FC1477" s="15" t="n">
        <v>143</v>
      </c>
      <c r="FY1477" s="15" t="n">
        <v>143</v>
      </c>
      <c r="GU1477" s="15" t="n">
        <v>143</v>
      </c>
    </row>
    <row r="1478">
      <c r="C1478" s="15" t="n">
        <v>144</v>
      </c>
      <c r="AA1478" s="15" t="n">
        <v>144</v>
      </c>
      <c r="AW1478" s="15" t="n">
        <v>144</v>
      </c>
      <c r="BS1478" s="15" t="n">
        <v>144</v>
      </c>
      <c r="CO1478" s="15" t="n">
        <v>144</v>
      </c>
      <c r="DK1478" s="15" t="n">
        <v>144</v>
      </c>
      <c r="EG1478" s="15" t="n">
        <v>144</v>
      </c>
      <c r="FC1478" s="15" t="n">
        <v>144</v>
      </c>
      <c r="FY1478" s="15" t="n">
        <v>144</v>
      </c>
      <c r="GU1478" s="15" t="n">
        <v>144</v>
      </c>
    </row>
    <row r="1479">
      <c r="C1479" s="15" t="n">
        <v>145</v>
      </c>
      <c r="AA1479" s="15" t="n">
        <v>145</v>
      </c>
      <c r="AW1479" s="15" t="n">
        <v>145</v>
      </c>
      <c r="BS1479" s="15" t="n">
        <v>145</v>
      </c>
      <c r="CO1479" s="15" t="n">
        <v>145</v>
      </c>
      <c r="DK1479" s="15" t="n">
        <v>145</v>
      </c>
      <c r="EG1479" s="15" t="n">
        <v>145</v>
      </c>
      <c r="FC1479" s="15" t="n">
        <v>145</v>
      </c>
      <c r="FY1479" s="15" t="n">
        <v>145</v>
      </c>
      <c r="GU1479" s="15" t="n">
        <v>145</v>
      </c>
    </row>
    <row r="1480">
      <c r="C1480" s="15" t="n">
        <v>146</v>
      </c>
      <c r="AA1480" s="15" t="n">
        <v>146</v>
      </c>
      <c r="AW1480" s="15" t="n">
        <v>146</v>
      </c>
      <c r="BS1480" s="15" t="n">
        <v>146</v>
      </c>
      <c r="CO1480" s="15" t="n">
        <v>146</v>
      </c>
      <c r="DK1480" s="15" t="n">
        <v>146</v>
      </c>
      <c r="EG1480" s="15" t="n">
        <v>146</v>
      </c>
      <c r="FC1480" s="15" t="n">
        <v>146</v>
      </c>
      <c r="FY1480" s="15" t="n">
        <v>146</v>
      </c>
      <c r="GU1480" s="15" t="n">
        <v>146</v>
      </c>
    </row>
    <row r="1481">
      <c r="C1481" s="15" t="n">
        <v>147</v>
      </c>
      <c r="AA1481" s="15" t="n">
        <v>147</v>
      </c>
      <c r="AW1481" s="15" t="n">
        <v>147</v>
      </c>
      <c r="BS1481" s="15" t="n">
        <v>147</v>
      </c>
      <c r="CO1481" s="15" t="n">
        <v>147</v>
      </c>
      <c r="DK1481" s="15" t="n">
        <v>147</v>
      </c>
      <c r="EG1481" s="15" t="n">
        <v>147</v>
      </c>
      <c r="FC1481" s="15" t="n">
        <v>147</v>
      </c>
      <c r="FY1481" s="15" t="n">
        <v>147</v>
      </c>
      <c r="GU1481" s="15" t="n">
        <v>147</v>
      </c>
    </row>
    <row r="1482">
      <c r="C1482" s="15" t="n">
        <v>148</v>
      </c>
      <c r="AA1482" s="15" t="n">
        <v>148</v>
      </c>
      <c r="AW1482" s="15" t="n">
        <v>148</v>
      </c>
      <c r="BS1482" s="15" t="n">
        <v>148</v>
      </c>
      <c r="CO1482" s="15" t="n">
        <v>148</v>
      </c>
      <c r="DK1482" s="15" t="n">
        <v>148</v>
      </c>
      <c r="EG1482" s="15" t="n">
        <v>148</v>
      </c>
      <c r="FC1482" s="15" t="n">
        <v>148</v>
      </c>
      <c r="FY1482" s="15" t="n">
        <v>148</v>
      </c>
      <c r="GU1482" s="15" t="n">
        <v>148</v>
      </c>
    </row>
    <row r="1483">
      <c r="C1483" s="15" t="n">
        <v>149</v>
      </c>
      <c r="AA1483" s="15" t="n">
        <v>149</v>
      </c>
      <c r="AW1483" s="15" t="n">
        <v>149</v>
      </c>
      <c r="BS1483" s="15" t="n">
        <v>149</v>
      </c>
      <c r="CO1483" s="15" t="n">
        <v>149</v>
      </c>
      <c r="DK1483" s="15" t="n">
        <v>149</v>
      </c>
      <c r="EG1483" s="15" t="n">
        <v>149</v>
      </c>
      <c r="FC1483" s="15" t="n">
        <v>149</v>
      </c>
      <c r="FY1483" s="15" t="n">
        <v>149</v>
      </c>
      <c r="GU1483" s="15" t="n">
        <v>149</v>
      </c>
    </row>
    <row r="1484">
      <c r="C1484" s="15" t="n">
        <v>150</v>
      </c>
      <c r="AA1484" s="15" t="n">
        <v>150</v>
      </c>
      <c r="AW1484" s="15" t="n">
        <v>150</v>
      </c>
      <c r="BS1484" s="15" t="n">
        <v>150</v>
      </c>
      <c r="CO1484" s="15" t="n">
        <v>150</v>
      </c>
      <c r="DK1484" s="15" t="n">
        <v>150</v>
      </c>
      <c r="EG1484" s="15" t="n">
        <v>150</v>
      </c>
      <c r="FC1484" s="15" t="n">
        <v>150</v>
      </c>
      <c r="FY1484" s="15" t="n">
        <v>150</v>
      </c>
      <c r="GU1484" s="15" t="n">
        <v>150</v>
      </c>
    </row>
    <row r="1485">
      <c r="C1485" s="15" t="n">
        <v>151</v>
      </c>
      <c r="AA1485" s="15" t="n">
        <v>151</v>
      </c>
      <c r="AW1485" s="15" t="n">
        <v>151</v>
      </c>
      <c r="BS1485" s="15" t="n">
        <v>151</v>
      </c>
      <c r="CO1485" s="15" t="n">
        <v>151</v>
      </c>
      <c r="DK1485" s="15" t="n">
        <v>151</v>
      </c>
      <c r="EG1485" s="15" t="n">
        <v>151</v>
      </c>
      <c r="FC1485" s="15" t="n">
        <v>151</v>
      </c>
      <c r="FY1485" s="15" t="n">
        <v>151</v>
      </c>
      <c r="GU1485" s="15" t="n">
        <v>151</v>
      </c>
    </row>
    <row r="1486">
      <c r="C1486" s="15" t="n">
        <v>152</v>
      </c>
      <c r="AA1486" s="15" t="n">
        <v>152</v>
      </c>
      <c r="AW1486" s="15" t="n">
        <v>152</v>
      </c>
      <c r="BS1486" s="15" t="n">
        <v>152</v>
      </c>
      <c r="CO1486" s="15" t="n">
        <v>152</v>
      </c>
      <c r="DK1486" s="15" t="n">
        <v>152</v>
      </c>
      <c r="EG1486" s="15" t="n">
        <v>152</v>
      </c>
      <c r="FC1486" s="15" t="n">
        <v>152</v>
      </c>
      <c r="FY1486" s="15" t="n">
        <v>152</v>
      </c>
      <c r="GU1486" s="15" t="n">
        <v>152</v>
      </c>
    </row>
    <row r="1487">
      <c r="C1487" s="15" t="n">
        <v>153</v>
      </c>
      <c r="AA1487" s="15" t="n">
        <v>153</v>
      </c>
      <c r="AW1487" s="15" t="n">
        <v>153</v>
      </c>
      <c r="BS1487" s="15" t="n">
        <v>153</v>
      </c>
      <c r="CO1487" s="15" t="n">
        <v>153</v>
      </c>
      <c r="DK1487" s="15" t="n">
        <v>153</v>
      </c>
      <c r="EG1487" s="15" t="n">
        <v>153</v>
      </c>
      <c r="FC1487" s="15" t="n">
        <v>153</v>
      </c>
      <c r="FY1487" s="15" t="n">
        <v>153</v>
      </c>
      <c r="GU1487" s="15" t="n">
        <v>153</v>
      </c>
    </row>
    <row r="1488">
      <c r="C1488" s="15" t="n">
        <v>154</v>
      </c>
      <c r="AA1488" s="15" t="n">
        <v>154</v>
      </c>
      <c r="AW1488" s="15" t="n">
        <v>154</v>
      </c>
      <c r="BS1488" s="15" t="n">
        <v>154</v>
      </c>
      <c r="CO1488" s="15" t="n">
        <v>154</v>
      </c>
      <c r="DK1488" s="15" t="n">
        <v>154</v>
      </c>
      <c r="EG1488" s="15" t="n">
        <v>154</v>
      </c>
      <c r="FC1488" s="15" t="n">
        <v>154</v>
      </c>
      <c r="FY1488" s="15" t="n">
        <v>154</v>
      </c>
      <c r="GU1488" s="15" t="n">
        <v>154</v>
      </c>
    </row>
    <row r="1489">
      <c r="C1489" s="15" t="n">
        <v>155</v>
      </c>
      <c r="AA1489" s="15" t="n">
        <v>155</v>
      </c>
      <c r="AW1489" s="15" t="n">
        <v>155</v>
      </c>
      <c r="BS1489" s="15" t="n">
        <v>155</v>
      </c>
      <c r="CO1489" s="15" t="n">
        <v>155</v>
      </c>
      <c r="DK1489" s="15" t="n">
        <v>155</v>
      </c>
      <c r="EG1489" s="15" t="n">
        <v>155</v>
      </c>
      <c r="FC1489" s="15" t="n">
        <v>155</v>
      </c>
      <c r="FY1489" s="15" t="n">
        <v>155</v>
      </c>
      <c r="GU1489" s="15" t="n">
        <v>155</v>
      </c>
    </row>
    <row r="1490">
      <c r="C1490" s="15" t="n">
        <v>156</v>
      </c>
      <c r="AA1490" s="15" t="n">
        <v>156</v>
      </c>
      <c r="AW1490" s="15" t="n">
        <v>156</v>
      </c>
      <c r="BS1490" s="15" t="n">
        <v>156</v>
      </c>
      <c r="CO1490" s="15" t="n">
        <v>156</v>
      </c>
      <c r="DK1490" s="15" t="n">
        <v>156</v>
      </c>
      <c r="EG1490" s="15" t="n">
        <v>156</v>
      </c>
      <c r="FC1490" s="15" t="n">
        <v>156</v>
      </c>
      <c r="FY1490" s="15" t="n">
        <v>156</v>
      </c>
      <c r="GU1490" s="15" t="n">
        <v>156</v>
      </c>
    </row>
    <row r="1491">
      <c r="C1491" s="15" t="n">
        <v>157</v>
      </c>
      <c r="AA1491" s="15" t="n">
        <v>157</v>
      </c>
      <c r="AW1491" s="15" t="n">
        <v>157</v>
      </c>
      <c r="BS1491" s="15" t="n">
        <v>157</v>
      </c>
      <c r="CO1491" s="15" t="n">
        <v>157</v>
      </c>
      <c r="DK1491" s="15" t="n">
        <v>157</v>
      </c>
      <c r="EG1491" s="15" t="n">
        <v>157</v>
      </c>
      <c r="FC1491" s="15" t="n">
        <v>157</v>
      </c>
      <c r="FY1491" s="15" t="n">
        <v>157</v>
      </c>
      <c r="GU1491" s="15" t="n">
        <v>157</v>
      </c>
    </row>
    <row r="1492">
      <c r="C1492" s="15" t="n">
        <v>158</v>
      </c>
      <c r="AA1492" s="15" t="n">
        <v>158</v>
      </c>
      <c r="AW1492" s="15" t="n">
        <v>158</v>
      </c>
      <c r="BS1492" s="15" t="n">
        <v>158</v>
      </c>
      <c r="CO1492" s="15" t="n">
        <v>158</v>
      </c>
      <c r="DK1492" s="15" t="n">
        <v>158</v>
      </c>
      <c r="EG1492" s="15" t="n">
        <v>158</v>
      </c>
      <c r="FC1492" s="15" t="n">
        <v>158</v>
      </c>
      <c r="FY1492" s="15" t="n">
        <v>158</v>
      </c>
      <c r="GU1492" s="15" t="n">
        <v>158</v>
      </c>
    </row>
    <row r="1493">
      <c r="C1493" s="15" t="n">
        <v>159</v>
      </c>
      <c r="AA1493" s="15" t="n">
        <v>159</v>
      </c>
      <c r="AW1493" s="15" t="n">
        <v>159</v>
      </c>
      <c r="BS1493" s="15" t="n">
        <v>159</v>
      </c>
      <c r="CO1493" s="15" t="n">
        <v>159</v>
      </c>
      <c r="DK1493" s="15" t="n">
        <v>159</v>
      </c>
      <c r="EG1493" s="15" t="n">
        <v>159</v>
      </c>
      <c r="FC1493" s="15" t="n">
        <v>159</v>
      </c>
      <c r="FY1493" s="15" t="n">
        <v>159</v>
      </c>
      <c r="GU1493" s="15" t="n">
        <v>159</v>
      </c>
    </row>
    <row r="1494">
      <c r="C1494" s="15" t="n">
        <v>160</v>
      </c>
      <c r="AA1494" s="15" t="n">
        <v>160</v>
      </c>
      <c r="AW1494" s="15" t="n">
        <v>160</v>
      </c>
      <c r="BS1494" s="15" t="n">
        <v>160</v>
      </c>
      <c r="CO1494" s="15" t="n">
        <v>160</v>
      </c>
      <c r="DK1494" s="15" t="n">
        <v>160</v>
      </c>
      <c r="EG1494" s="15" t="n">
        <v>160</v>
      </c>
      <c r="FC1494" s="15" t="n">
        <v>160</v>
      </c>
      <c r="FY1494" s="15" t="n">
        <v>160</v>
      </c>
      <c r="GU1494" s="15" t="n">
        <v>160</v>
      </c>
    </row>
    <row r="1495">
      <c r="C1495" s="15" t="n">
        <v>161</v>
      </c>
      <c r="AA1495" s="15" t="n">
        <v>161</v>
      </c>
      <c r="AW1495" s="15" t="n">
        <v>161</v>
      </c>
      <c r="BS1495" s="15" t="n">
        <v>161</v>
      </c>
      <c r="CO1495" s="15" t="n">
        <v>161</v>
      </c>
      <c r="DK1495" s="15" t="n">
        <v>161</v>
      </c>
      <c r="EG1495" s="15" t="n">
        <v>161</v>
      </c>
      <c r="FC1495" s="15" t="n">
        <v>161</v>
      </c>
      <c r="FY1495" s="15" t="n">
        <v>161</v>
      </c>
      <c r="GU1495" s="15" t="n">
        <v>161</v>
      </c>
    </row>
    <row r="1496">
      <c r="C1496" s="15" t="n">
        <v>162</v>
      </c>
      <c r="AA1496" s="15" t="n">
        <v>162</v>
      </c>
      <c r="AW1496" s="15" t="n">
        <v>162</v>
      </c>
      <c r="BS1496" s="15" t="n">
        <v>162</v>
      </c>
      <c r="CO1496" s="15" t="n">
        <v>162</v>
      </c>
      <c r="DK1496" s="15" t="n">
        <v>162</v>
      </c>
      <c r="EG1496" s="15" t="n">
        <v>162</v>
      </c>
      <c r="FC1496" s="15" t="n">
        <v>162</v>
      </c>
      <c r="FY1496" s="15" t="n">
        <v>162</v>
      </c>
      <c r="GU1496" s="15" t="n">
        <v>162</v>
      </c>
    </row>
    <row r="1497">
      <c r="C1497" s="15" t="n">
        <v>163</v>
      </c>
      <c r="AA1497" s="15" t="n">
        <v>163</v>
      </c>
      <c r="AW1497" s="15" t="n">
        <v>163</v>
      </c>
      <c r="BS1497" s="15" t="n">
        <v>163</v>
      </c>
      <c r="CO1497" s="15" t="n">
        <v>163</v>
      </c>
      <c r="DK1497" s="15" t="n">
        <v>163</v>
      </c>
      <c r="EG1497" s="15" t="n">
        <v>163</v>
      </c>
      <c r="FC1497" s="15" t="n">
        <v>163</v>
      </c>
      <c r="FY1497" s="15" t="n">
        <v>163</v>
      </c>
      <c r="GU1497" s="15" t="n">
        <v>163</v>
      </c>
    </row>
    <row r="1498">
      <c r="C1498" s="15" t="n">
        <v>164</v>
      </c>
      <c r="AA1498" s="15" t="n">
        <v>164</v>
      </c>
      <c r="AW1498" s="15" t="n">
        <v>164</v>
      </c>
      <c r="BS1498" s="15" t="n">
        <v>164</v>
      </c>
      <c r="CO1498" s="15" t="n">
        <v>164</v>
      </c>
      <c r="DK1498" s="15" t="n">
        <v>164</v>
      </c>
      <c r="EG1498" s="15" t="n">
        <v>164</v>
      </c>
      <c r="FC1498" s="15" t="n">
        <v>164</v>
      </c>
      <c r="FY1498" s="15" t="n">
        <v>164</v>
      </c>
      <c r="GU1498" s="15" t="n">
        <v>164</v>
      </c>
    </row>
    <row r="1499">
      <c r="C1499" s="15" t="n">
        <v>165</v>
      </c>
      <c r="AA1499" s="15" t="n">
        <v>165</v>
      </c>
      <c r="AW1499" s="15" t="n">
        <v>165</v>
      </c>
      <c r="BS1499" s="15" t="n">
        <v>165</v>
      </c>
      <c r="CO1499" s="15" t="n">
        <v>165</v>
      </c>
      <c r="DK1499" s="15" t="n">
        <v>165</v>
      </c>
      <c r="EG1499" s="15" t="n">
        <v>165</v>
      </c>
      <c r="FC1499" s="15" t="n">
        <v>165</v>
      </c>
      <c r="FY1499" s="15" t="n">
        <v>165</v>
      </c>
      <c r="GU1499" s="15" t="n">
        <v>165</v>
      </c>
    </row>
    <row r="1500">
      <c r="C1500" s="15" t="n">
        <v>166</v>
      </c>
      <c r="AA1500" s="15" t="n">
        <v>166</v>
      </c>
      <c r="AW1500" s="15" t="n">
        <v>166</v>
      </c>
      <c r="BS1500" s="15" t="n">
        <v>166</v>
      </c>
      <c r="CO1500" s="15" t="n">
        <v>166</v>
      </c>
      <c r="DK1500" s="15" t="n">
        <v>166</v>
      </c>
      <c r="EG1500" s="15" t="n">
        <v>166</v>
      </c>
      <c r="FC1500" s="15" t="n">
        <v>166</v>
      </c>
      <c r="FY1500" s="15" t="n">
        <v>166</v>
      </c>
      <c r="GU1500" s="15" t="n">
        <v>166</v>
      </c>
    </row>
    <row r="1501">
      <c r="C1501" s="15" t="n">
        <v>167</v>
      </c>
      <c r="AA1501" s="15" t="n">
        <v>167</v>
      </c>
      <c r="AW1501" s="15" t="n">
        <v>167</v>
      </c>
      <c r="BS1501" s="15" t="n">
        <v>167</v>
      </c>
      <c r="CO1501" s="15" t="n">
        <v>167</v>
      </c>
      <c r="DK1501" s="15" t="n">
        <v>167</v>
      </c>
      <c r="EG1501" s="15" t="n">
        <v>167</v>
      </c>
      <c r="FC1501" s="15" t="n">
        <v>167</v>
      </c>
      <c r="FY1501" s="15" t="n">
        <v>167</v>
      </c>
      <c r="GU1501" s="15" t="n">
        <v>167</v>
      </c>
    </row>
    <row r="1502">
      <c r="C1502" s="15" t="n">
        <v>168</v>
      </c>
      <c r="AA1502" s="15" t="n">
        <v>168</v>
      </c>
      <c r="AW1502" s="15" t="n">
        <v>168</v>
      </c>
      <c r="BS1502" s="15" t="n">
        <v>168</v>
      </c>
      <c r="CO1502" s="15" t="n">
        <v>168</v>
      </c>
      <c r="DK1502" s="15" t="n">
        <v>168</v>
      </c>
      <c r="EG1502" s="15" t="n">
        <v>168</v>
      </c>
      <c r="FC1502" s="15" t="n">
        <v>168</v>
      </c>
      <c r="FY1502" s="15" t="n">
        <v>168</v>
      </c>
      <c r="GU1502" s="15" t="n">
        <v>168</v>
      </c>
    </row>
    <row r="1503">
      <c r="C1503" s="15" t="n">
        <v>169</v>
      </c>
      <c r="AA1503" s="15" t="n">
        <v>169</v>
      </c>
      <c r="AW1503" s="15" t="n">
        <v>169</v>
      </c>
      <c r="BS1503" s="15" t="n">
        <v>169</v>
      </c>
      <c r="CO1503" s="15" t="n">
        <v>169</v>
      </c>
      <c r="DK1503" s="15" t="n">
        <v>169</v>
      </c>
      <c r="EG1503" s="15" t="n">
        <v>169</v>
      </c>
      <c r="FC1503" s="15" t="n">
        <v>169</v>
      </c>
      <c r="FY1503" s="15" t="n">
        <v>169</v>
      </c>
      <c r="GU1503" s="15" t="n">
        <v>169</v>
      </c>
    </row>
    <row r="1504">
      <c r="C1504" s="15" t="n">
        <v>170</v>
      </c>
      <c r="AA1504" s="15" t="n">
        <v>170</v>
      </c>
      <c r="AW1504" s="15" t="n">
        <v>170</v>
      </c>
      <c r="BS1504" s="15" t="n">
        <v>170</v>
      </c>
      <c r="CO1504" s="15" t="n">
        <v>170</v>
      </c>
      <c r="DK1504" s="15" t="n">
        <v>170</v>
      </c>
      <c r="EG1504" s="15" t="n">
        <v>170</v>
      </c>
      <c r="FC1504" s="15" t="n">
        <v>170</v>
      </c>
      <c r="FY1504" s="15" t="n">
        <v>170</v>
      </c>
      <c r="GU1504" s="15" t="n">
        <v>170</v>
      </c>
    </row>
    <row r="1505">
      <c r="C1505" s="15" t="n">
        <v>171</v>
      </c>
      <c r="AA1505" s="15" t="n">
        <v>171</v>
      </c>
      <c r="AW1505" s="15" t="n">
        <v>171</v>
      </c>
      <c r="BS1505" s="15" t="n">
        <v>171</v>
      </c>
      <c r="CO1505" s="15" t="n">
        <v>171</v>
      </c>
      <c r="DK1505" s="15" t="n">
        <v>171</v>
      </c>
      <c r="EG1505" s="15" t="n">
        <v>171</v>
      </c>
      <c r="FC1505" s="15" t="n">
        <v>171</v>
      </c>
      <c r="FY1505" s="15" t="n">
        <v>171</v>
      </c>
      <c r="GU1505" s="15" t="n">
        <v>171</v>
      </c>
    </row>
    <row r="1506">
      <c r="C1506" s="15" t="n">
        <v>172</v>
      </c>
      <c r="AA1506" s="15" t="n">
        <v>172</v>
      </c>
      <c r="AW1506" s="15" t="n">
        <v>172</v>
      </c>
      <c r="BS1506" s="15" t="n">
        <v>172</v>
      </c>
      <c r="CO1506" s="15" t="n">
        <v>172</v>
      </c>
      <c r="DK1506" s="15" t="n">
        <v>172</v>
      </c>
      <c r="EG1506" s="15" t="n">
        <v>172</v>
      </c>
      <c r="FC1506" s="15" t="n">
        <v>172</v>
      </c>
      <c r="FY1506" s="15" t="n">
        <v>172</v>
      </c>
      <c r="GU1506" s="15" t="n">
        <v>172</v>
      </c>
    </row>
    <row r="1507">
      <c r="C1507" s="15" t="n">
        <v>173</v>
      </c>
      <c r="AA1507" s="15" t="n">
        <v>173</v>
      </c>
      <c r="AW1507" s="15" t="n">
        <v>173</v>
      </c>
      <c r="BS1507" s="15" t="n">
        <v>173</v>
      </c>
      <c r="CO1507" s="15" t="n">
        <v>173</v>
      </c>
      <c r="DK1507" s="15" t="n">
        <v>173</v>
      </c>
      <c r="EG1507" s="15" t="n">
        <v>173</v>
      </c>
      <c r="FC1507" s="15" t="n">
        <v>173</v>
      </c>
      <c r="FY1507" s="15" t="n">
        <v>173</v>
      </c>
      <c r="GU1507" s="15" t="n">
        <v>173</v>
      </c>
    </row>
    <row r="1508">
      <c r="C1508" s="15" t="n">
        <v>174</v>
      </c>
      <c r="AA1508" s="15" t="n">
        <v>174</v>
      </c>
      <c r="AW1508" s="15" t="n">
        <v>174</v>
      </c>
      <c r="BS1508" s="15" t="n">
        <v>174</v>
      </c>
      <c r="CO1508" s="15" t="n">
        <v>174</v>
      </c>
      <c r="DK1508" s="15" t="n">
        <v>174</v>
      </c>
      <c r="EG1508" s="15" t="n">
        <v>174</v>
      </c>
      <c r="FC1508" s="15" t="n">
        <v>174</v>
      </c>
      <c r="FY1508" s="15" t="n">
        <v>174</v>
      </c>
      <c r="GU1508" s="15" t="n">
        <v>174</v>
      </c>
    </row>
    <row r="1509">
      <c r="C1509" s="15" t="n">
        <v>175</v>
      </c>
      <c r="AA1509" s="15" t="n">
        <v>175</v>
      </c>
      <c r="AW1509" s="15" t="n">
        <v>175</v>
      </c>
      <c r="BS1509" s="15" t="n">
        <v>175</v>
      </c>
      <c r="CO1509" s="15" t="n">
        <v>175</v>
      </c>
      <c r="DK1509" s="15" t="n">
        <v>175</v>
      </c>
      <c r="EG1509" s="15" t="n">
        <v>175</v>
      </c>
      <c r="FC1509" s="15" t="n">
        <v>175</v>
      </c>
      <c r="FY1509" s="15" t="n">
        <v>175</v>
      </c>
      <c r="GU1509" s="15" t="n">
        <v>175</v>
      </c>
    </row>
    <row r="1510">
      <c r="C1510" s="15" t="n">
        <v>176</v>
      </c>
      <c r="AA1510" s="15" t="n">
        <v>176</v>
      </c>
      <c r="AW1510" s="15" t="n">
        <v>176</v>
      </c>
      <c r="BS1510" s="15" t="n">
        <v>176</v>
      </c>
      <c r="CO1510" s="15" t="n">
        <v>176</v>
      </c>
      <c r="DK1510" s="15" t="n">
        <v>176</v>
      </c>
      <c r="EG1510" s="15" t="n">
        <v>176</v>
      </c>
      <c r="FC1510" s="15" t="n">
        <v>176</v>
      </c>
      <c r="FY1510" s="15" t="n">
        <v>176</v>
      </c>
      <c r="GU1510" s="15" t="n">
        <v>176</v>
      </c>
    </row>
    <row r="1511">
      <c r="C1511" s="15" t="n">
        <v>177</v>
      </c>
      <c r="AA1511" s="15" t="n">
        <v>177</v>
      </c>
      <c r="AW1511" s="15" t="n">
        <v>177</v>
      </c>
      <c r="BS1511" s="15" t="n">
        <v>177</v>
      </c>
      <c r="CO1511" s="15" t="n">
        <v>177</v>
      </c>
      <c r="DK1511" s="15" t="n">
        <v>177</v>
      </c>
      <c r="EG1511" s="15" t="n">
        <v>177</v>
      </c>
      <c r="FC1511" s="15" t="n">
        <v>177</v>
      </c>
      <c r="FY1511" s="15" t="n">
        <v>177</v>
      </c>
      <c r="GU1511" s="15" t="n">
        <v>177</v>
      </c>
    </row>
    <row r="1512">
      <c r="C1512" s="15" t="n">
        <v>178</v>
      </c>
      <c r="AA1512" s="15" t="n">
        <v>178</v>
      </c>
      <c r="AW1512" s="15" t="n">
        <v>178</v>
      </c>
      <c r="BS1512" s="15" t="n">
        <v>178</v>
      </c>
      <c r="CO1512" s="15" t="n">
        <v>178</v>
      </c>
      <c r="DK1512" s="15" t="n">
        <v>178</v>
      </c>
      <c r="EG1512" s="15" t="n">
        <v>178</v>
      </c>
      <c r="FC1512" s="15" t="n">
        <v>178</v>
      </c>
      <c r="FY1512" s="15" t="n">
        <v>178</v>
      </c>
      <c r="GU1512" s="15" t="n">
        <v>178</v>
      </c>
    </row>
    <row r="1513">
      <c r="C1513" s="15" t="n">
        <v>179</v>
      </c>
      <c r="AA1513" s="15" t="n">
        <v>179</v>
      </c>
      <c r="AW1513" s="15" t="n">
        <v>179</v>
      </c>
      <c r="BS1513" s="15" t="n">
        <v>179</v>
      </c>
      <c r="CO1513" s="15" t="n">
        <v>179</v>
      </c>
      <c r="DK1513" s="15" t="n">
        <v>179</v>
      </c>
      <c r="EG1513" s="15" t="n">
        <v>179</v>
      </c>
      <c r="FC1513" s="15" t="n">
        <v>179</v>
      </c>
      <c r="FY1513" s="15" t="n">
        <v>179</v>
      </c>
      <c r="GU1513" s="15" t="n">
        <v>179</v>
      </c>
    </row>
    <row r="1514">
      <c r="C1514" s="15" t="n">
        <v>180</v>
      </c>
      <c r="AA1514" s="15" t="n">
        <v>180</v>
      </c>
      <c r="AW1514" s="15" t="n">
        <v>180</v>
      </c>
      <c r="BS1514" s="15" t="n">
        <v>180</v>
      </c>
      <c r="CO1514" s="15" t="n">
        <v>180</v>
      </c>
      <c r="DK1514" s="15" t="n">
        <v>180</v>
      </c>
      <c r="EG1514" s="15" t="n">
        <v>180</v>
      </c>
      <c r="FC1514" s="15" t="n">
        <v>180</v>
      </c>
      <c r="FY1514" s="15" t="n">
        <v>180</v>
      </c>
      <c r="GU1514" s="15" t="n">
        <v>180</v>
      </c>
    </row>
    <row r="1515">
      <c r="C1515" s="15" t="n">
        <v>181</v>
      </c>
      <c r="AA1515" s="15" t="n">
        <v>181</v>
      </c>
      <c r="AW1515" s="15" t="n">
        <v>181</v>
      </c>
      <c r="BS1515" s="15" t="n">
        <v>181</v>
      </c>
      <c r="CO1515" s="15" t="n">
        <v>181</v>
      </c>
      <c r="DK1515" s="15" t="n">
        <v>181</v>
      </c>
      <c r="EG1515" s="15" t="n">
        <v>181</v>
      </c>
      <c r="FC1515" s="15" t="n">
        <v>181</v>
      </c>
      <c r="FY1515" s="15" t="n">
        <v>181</v>
      </c>
      <c r="GU1515" s="15" t="n">
        <v>181</v>
      </c>
    </row>
    <row r="1516">
      <c r="C1516" s="15" t="n">
        <v>182</v>
      </c>
      <c r="AA1516" s="15" t="n">
        <v>182</v>
      </c>
      <c r="AW1516" s="15" t="n">
        <v>182</v>
      </c>
      <c r="BS1516" s="15" t="n">
        <v>182</v>
      </c>
      <c r="CO1516" s="15" t="n">
        <v>182</v>
      </c>
      <c r="DK1516" s="15" t="n">
        <v>182</v>
      </c>
      <c r="EG1516" s="15" t="n">
        <v>182</v>
      </c>
      <c r="FC1516" s="15" t="n">
        <v>182</v>
      </c>
      <c r="FY1516" s="15" t="n">
        <v>182</v>
      </c>
      <c r="GU1516" s="15" t="n">
        <v>182</v>
      </c>
    </row>
    <row r="1517">
      <c r="C1517" s="15" t="n">
        <v>183</v>
      </c>
      <c r="AA1517" s="15" t="n">
        <v>183</v>
      </c>
      <c r="AW1517" s="15" t="n">
        <v>183</v>
      </c>
      <c r="BS1517" s="15" t="n">
        <v>183</v>
      </c>
      <c r="CO1517" s="15" t="n">
        <v>183</v>
      </c>
      <c r="DK1517" s="15" t="n">
        <v>183</v>
      </c>
      <c r="EG1517" s="15" t="n">
        <v>183</v>
      </c>
      <c r="FC1517" s="15" t="n">
        <v>183</v>
      </c>
      <c r="FY1517" s="15" t="n">
        <v>183</v>
      </c>
      <c r="GU1517" s="15" t="n">
        <v>183</v>
      </c>
    </row>
    <row r="1518">
      <c r="C1518" s="15" t="n">
        <v>184</v>
      </c>
      <c r="AA1518" s="15" t="n">
        <v>184</v>
      </c>
      <c r="AW1518" s="15" t="n">
        <v>184</v>
      </c>
      <c r="BS1518" s="15" t="n">
        <v>184</v>
      </c>
      <c r="CO1518" s="15" t="n">
        <v>184</v>
      </c>
      <c r="DK1518" s="15" t="n">
        <v>184</v>
      </c>
      <c r="EG1518" s="15" t="n">
        <v>184</v>
      </c>
      <c r="FC1518" s="15" t="n">
        <v>184</v>
      </c>
      <c r="FY1518" s="15" t="n">
        <v>184</v>
      </c>
      <c r="GU1518" s="15" t="n">
        <v>184</v>
      </c>
    </row>
    <row r="1519">
      <c r="C1519" s="15" t="n">
        <v>185</v>
      </c>
      <c r="AA1519" s="15" t="n">
        <v>185</v>
      </c>
      <c r="AW1519" s="15" t="n">
        <v>185</v>
      </c>
      <c r="BS1519" s="15" t="n">
        <v>185</v>
      </c>
      <c r="CO1519" s="15" t="n">
        <v>185</v>
      </c>
      <c r="DK1519" s="15" t="n">
        <v>185</v>
      </c>
      <c r="EG1519" s="15" t="n">
        <v>185</v>
      </c>
      <c r="FC1519" s="15" t="n">
        <v>185</v>
      </c>
      <c r="FY1519" s="15" t="n">
        <v>185</v>
      </c>
      <c r="GU1519" s="15" t="n">
        <v>185</v>
      </c>
    </row>
    <row r="1520">
      <c r="C1520" s="15" t="n">
        <v>186</v>
      </c>
      <c r="AA1520" s="15" t="n">
        <v>186</v>
      </c>
      <c r="AW1520" s="15" t="n">
        <v>186</v>
      </c>
      <c r="BS1520" s="15" t="n">
        <v>186</v>
      </c>
      <c r="CO1520" s="15" t="n">
        <v>186</v>
      </c>
      <c r="DK1520" s="15" t="n">
        <v>186</v>
      </c>
      <c r="EG1520" s="15" t="n">
        <v>186</v>
      </c>
      <c r="FC1520" s="15" t="n">
        <v>186</v>
      </c>
      <c r="FY1520" s="15" t="n">
        <v>186</v>
      </c>
      <c r="GU1520" s="15" t="n">
        <v>186</v>
      </c>
    </row>
    <row r="1521">
      <c r="C1521" s="15" t="n">
        <v>187</v>
      </c>
      <c r="AA1521" s="15" t="n">
        <v>187</v>
      </c>
      <c r="AW1521" s="15" t="n">
        <v>187</v>
      </c>
      <c r="BS1521" s="15" t="n">
        <v>187</v>
      </c>
      <c r="CO1521" s="15" t="n">
        <v>187</v>
      </c>
      <c r="DK1521" s="15" t="n">
        <v>187</v>
      </c>
      <c r="EG1521" s="15" t="n">
        <v>187</v>
      </c>
      <c r="FC1521" s="15" t="n">
        <v>187</v>
      </c>
      <c r="FY1521" s="15" t="n">
        <v>187</v>
      </c>
      <c r="GU1521" s="15" t="n">
        <v>187</v>
      </c>
    </row>
    <row r="1522">
      <c r="C1522" s="15" t="n">
        <v>188</v>
      </c>
      <c r="AA1522" s="15" t="n">
        <v>188</v>
      </c>
      <c r="AW1522" s="15" t="n">
        <v>188</v>
      </c>
      <c r="BS1522" s="15" t="n">
        <v>188</v>
      </c>
      <c r="CO1522" s="15" t="n">
        <v>188</v>
      </c>
      <c r="DK1522" s="15" t="n">
        <v>188</v>
      </c>
      <c r="EG1522" s="15" t="n">
        <v>188</v>
      </c>
      <c r="FC1522" s="15" t="n">
        <v>188</v>
      </c>
      <c r="FY1522" s="15" t="n">
        <v>188</v>
      </c>
      <c r="GU1522" s="15" t="n">
        <v>188</v>
      </c>
    </row>
    <row r="1523">
      <c r="C1523" s="15" t="n">
        <v>189</v>
      </c>
      <c r="AA1523" s="15" t="n">
        <v>189</v>
      </c>
      <c r="AW1523" s="15" t="n">
        <v>189</v>
      </c>
      <c r="BS1523" s="15" t="n">
        <v>189</v>
      </c>
      <c r="CO1523" s="15" t="n">
        <v>189</v>
      </c>
      <c r="DK1523" s="15" t="n">
        <v>189</v>
      </c>
      <c r="EG1523" s="15" t="n">
        <v>189</v>
      </c>
      <c r="FC1523" s="15" t="n">
        <v>189</v>
      </c>
      <c r="FY1523" s="15" t="n">
        <v>189</v>
      </c>
      <c r="GU1523" s="15" t="n">
        <v>189</v>
      </c>
    </row>
    <row r="1524">
      <c r="C1524" s="15" t="n">
        <v>190</v>
      </c>
      <c r="AA1524" s="15" t="n">
        <v>190</v>
      </c>
      <c r="AW1524" s="15" t="n">
        <v>190</v>
      </c>
      <c r="BS1524" s="15" t="n">
        <v>190</v>
      </c>
      <c r="CO1524" s="15" t="n">
        <v>190</v>
      </c>
      <c r="DK1524" s="15" t="n">
        <v>190</v>
      </c>
      <c r="EG1524" s="15" t="n">
        <v>190</v>
      </c>
      <c r="FC1524" s="15" t="n">
        <v>190</v>
      </c>
      <c r="FY1524" s="15" t="n">
        <v>190</v>
      </c>
      <c r="GU1524" s="15" t="n">
        <v>190</v>
      </c>
    </row>
    <row r="1525">
      <c r="C1525" s="15" t="n">
        <v>191</v>
      </c>
      <c r="AA1525" s="15" t="n">
        <v>191</v>
      </c>
      <c r="AW1525" s="15" t="n">
        <v>191</v>
      </c>
      <c r="BS1525" s="15" t="n">
        <v>191</v>
      </c>
      <c r="CO1525" s="15" t="n">
        <v>191</v>
      </c>
      <c r="DK1525" s="15" t="n">
        <v>191</v>
      </c>
      <c r="EG1525" s="15" t="n">
        <v>191</v>
      </c>
      <c r="FC1525" s="15" t="n">
        <v>191</v>
      </c>
      <c r="FY1525" s="15" t="n">
        <v>191</v>
      </c>
      <c r="GU1525" s="15" t="n">
        <v>191</v>
      </c>
    </row>
    <row r="1526">
      <c r="C1526" s="15" t="n">
        <v>192</v>
      </c>
      <c r="AA1526" s="15" t="n">
        <v>192</v>
      </c>
      <c r="AW1526" s="15" t="n">
        <v>192</v>
      </c>
      <c r="BS1526" s="15" t="n">
        <v>192</v>
      </c>
      <c r="CO1526" s="15" t="n">
        <v>192</v>
      </c>
      <c r="DK1526" s="15" t="n">
        <v>192</v>
      </c>
      <c r="EG1526" s="15" t="n">
        <v>192</v>
      </c>
      <c r="FC1526" s="15" t="n">
        <v>192</v>
      </c>
      <c r="FY1526" s="15" t="n">
        <v>192</v>
      </c>
      <c r="GU1526" s="15" t="n">
        <v>192</v>
      </c>
    </row>
    <row r="1527">
      <c r="C1527" s="15" t="n">
        <v>193</v>
      </c>
      <c r="AA1527" s="15" t="n">
        <v>193</v>
      </c>
      <c r="AW1527" s="15" t="n">
        <v>193</v>
      </c>
      <c r="BS1527" s="15" t="n">
        <v>193</v>
      </c>
      <c r="CO1527" s="15" t="n">
        <v>193</v>
      </c>
      <c r="DK1527" s="15" t="n">
        <v>193</v>
      </c>
      <c r="EG1527" s="15" t="n">
        <v>193</v>
      </c>
      <c r="FC1527" s="15" t="n">
        <v>193</v>
      </c>
      <c r="FY1527" s="15" t="n">
        <v>193</v>
      </c>
      <c r="GU1527" s="15" t="n">
        <v>193</v>
      </c>
    </row>
    <row r="1528">
      <c r="C1528" s="15" t="n">
        <v>194</v>
      </c>
      <c r="AA1528" s="15" t="n">
        <v>194</v>
      </c>
      <c r="AW1528" s="15" t="n">
        <v>194</v>
      </c>
      <c r="BS1528" s="15" t="n">
        <v>194</v>
      </c>
      <c r="CO1528" s="15" t="n">
        <v>194</v>
      </c>
      <c r="DK1528" s="15" t="n">
        <v>194</v>
      </c>
      <c r="EG1528" s="15" t="n">
        <v>194</v>
      </c>
      <c r="FC1528" s="15" t="n">
        <v>194</v>
      </c>
      <c r="FY1528" s="15" t="n">
        <v>194</v>
      </c>
      <c r="GU1528" s="15" t="n">
        <v>194</v>
      </c>
    </row>
    <row r="1529">
      <c r="C1529" s="15" t="n">
        <v>195</v>
      </c>
      <c r="AA1529" s="15" t="n">
        <v>195</v>
      </c>
      <c r="AW1529" s="15" t="n">
        <v>195</v>
      </c>
      <c r="BS1529" s="15" t="n">
        <v>195</v>
      </c>
      <c r="CO1529" s="15" t="n">
        <v>195</v>
      </c>
      <c r="DK1529" s="15" t="n">
        <v>195</v>
      </c>
      <c r="EG1529" s="15" t="n">
        <v>195</v>
      </c>
      <c r="FC1529" s="15" t="n">
        <v>195</v>
      </c>
      <c r="FY1529" s="15" t="n">
        <v>195</v>
      </c>
      <c r="GU1529" s="15" t="n">
        <v>195</v>
      </c>
    </row>
    <row r="1530">
      <c r="C1530" s="15" t="n">
        <v>196</v>
      </c>
      <c r="AA1530" s="15" t="n">
        <v>196</v>
      </c>
      <c r="AW1530" s="15" t="n">
        <v>196</v>
      </c>
      <c r="BS1530" s="15" t="n">
        <v>196</v>
      </c>
      <c r="CO1530" s="15" t="n">
        <v>196</v>
      </c>
      <c r="DK1530" s="15" t="n">
        <v>196</v>
      </c>
      <c r="EG1530" s="15" t="n">
        <v>196</v>
      </c>
      <c r="FC1530" s="15" t="n">
        <v>196</v>
      </c>
      <c r="FY1530" s="15" t="n">
        <v>196</v>
      </c>
      <c r="GU1530" s="15" t="n">
        <v>196</v>
      </c>
    </row>
    <row r="1531">
      <c r="C1531" s="15" t="n">
        <v>197</v>
      </c>
      <c r="AA1531" s="15" t="n">
        <v>197</v>
      </c>
      <c r="AW1531" s="15" t="n">
        <v>197</v>
      </c>
      <c r="BS1531" s="15" t="n">
        <v>197</v>
      </c>
      <c r="CO1531" s="15" t="n">
        <v>197</v>
      </c>
      <c r="DK1531" s="15" t="n">
        <v>197</v>
      </c>
      <c r="EG1531" s="15" t="n">
        <v>197</v>
      </c>
      <c r="FC1531" s="15" t="n">
        <v>197</v>
      </c>
      <c r="FY1531" s="15" t="n">
        <v>197</v>
      </c>
      <c r="GU1531" s="15" t="n">
        <v>197</v>
      </c>
    </row>
    <row r="1532">
      <c r="C1532" s="15" t="n">
        <v>198</v>
      </c>
      <c r="AA1532" s="15" t="n">
        <v>198</v>
      </c>
      <c r="AW1532" s="15" t="n">
        <v>198</v>
      </c>
      <c r="BS1532" s="15" t="n">
        <v>198</v>
      </c>
      <c r="CO1532" s="15" t="n">
        <v>198</v>
      </c>
      <c r="DK1532" s="15" t="n">
        <v>198</v>
      </c>
      <c r="EG1532" s="15" t="n">
        <v>198</v>
      </c>
      <c r="FC1532" s="15" t="n">
        <v>198</v>
      </c>
      <c r="FY1532" s="15" t="n">
        <v>198</v>
      </c>
      <c r="GU1532" s="15" t="n">
        <v>198</v>
      </c>
    </row>
    <row r="1534">
      <c r="C1534" s="15" t="inlineStr">
        <is>
          <t>Planned Stock</t>
        </is>
      </c>
      <c r="D1534" s="15" t="n">
        <v>22</v>
      </c>
      <c r="E1534" s="15" t="n">
        <v>23</v>
      </c>
      <c r="F1534" s="15" t="n">
        <v>24</v>
      </c>
      <c r="AA1534" s="15" t="inlineStr">
        <is>
          <t>Planned Stock</t>
        </is>
      </c>
      <c r="AB1534" s="15" t="n">
        <v>22</v>
      </c>
      <c r="AC1534" s="15" t="n">
        <v>23</v>
      </c>
      <c r="AD1534" s="15" t="n">
        <v>24</v>
      </c>
      <c r="AW1534" s="15" t="inlineStr">
        <is>
          <t>Planned Stock</t>
        </is>
      </c>
      <c r="AX1534" s="15" t="n">
        <v>22</v>
      </c>
      <c r="AY1534" s="15" t="n">
        <v>23</v>
      </c>
      <c r="AZ1534" s="15" t="n">
        <v>24</v>
      </c>
      <c r="BS1534" s="15" t="inlineStr">
        <is>
          <t>Planned Stock</t>
        </is>
      </c>
      <c r="BT1534" s="15" t="n">
        <v>22</v>
      </c>
      <c r="BU1534" s="15" t="n">
        <v>23</v>
      </c>
      <c r="BV1534" s="15" t="n">
        <v>24</v>
      </c>
      <c r="CO1534" s="15" t="inlineStr">
        <is>
          <t>Planned Stock</t>
        </is>
      </c>
      <c r="CP1534" s="15" t="n">
        <v>22</v>
      </c>
      <c r="CQ1534" s="15" t="n">
        <v>23</v>
      </c>
      <c r="CR1534" s="15" t="n">
        <v>24</v>
      </c>
      <c r="DK1534" s="15" t="inlineStr">
        <is>
          <t>Planned Stock</t>
        </is>
      </c>
      <c r="DL1534" s="15" t="n">
        <v>22</v>
      </c>
      <c r="DM1534" s="15" t="n">
        <v>23</v>
      </c>
      <c r="DN1534" s="15" t="n">
        <v>24</v>
      </c>
      <c r="EG1534" s="15" t="inlineStr">
        <is>
          <t>Planned Stock</t>
        </is>
      </c>
      <c r="EH1534" s="15" t="n">
        <v>22</v>
      </c>
      <c r="EI1534" s="15" t="n">
        <v>23</v>
      </c>
      <c r="EJ1534" s="15" t="n">
        <v>24</v>
      </c>
      <c r="FC1534" s="15" t="inlineStr">
        <is>
          <t>Planned Stock</t>
        </is>
      </c>
      <c r="FD1534" s="15" t="n">
        <v>22</v>
      </c>
      <c r="FE1534" s="15" t="n">
        <v>23</v>
      </c>
      <c r="FF1534" s="15" t="n">
        <v>24</v>
      </c>
      <c r="FY1534" s="15" t="inlineStr">
        <is>
          <t>Planned Stock</t>
        </is>
      </c>
      <c r="FZ1534" s="15" t="n">
        <v>22</v>
      </c>
      <c r="GA1534" s="15" t="n">
        <v>23</v>
      </c>
      <c r="GB1534" s="15" t="n">
        <v>24</v>
      </c>
      <c r="GU1534" s="15" t="inlineStr">
        <is>
          <t>Planned Stock</t>
        </is>
      </c>
      <c r="GV1534" s="15" t="n">
        <v>22</v>
      </c>
      <c r="GW1534" s="15" t="n">
        <v>23</v>
      </c>
      <c r="GX1534" s="15" t="n">
        <v>24</v>
      </c>
    </row>
    <row r="1535">
      <c r="C1535" s="15" t="n">
        <v>9</v>
      </c>
      <c r="AA1535" s="15" t="n">
        <v>9</v>
      </c>
      <c r="AW1535" s="15" t="n">
        <v>9</v>
      </c>
      <c r="BS1535" s="15" t="n">
        <v>9</v>
      </c>
      <c r="CO1535" s="15" t="n">
        <v>9</v>
      </c>
      <c r="DK1535" s="15" t="n">
        <v>9</v>
      </c>
      <c r="EG1535" s="15" t="n">
        <v>9</v>
      </c>
      <c r="FC1535" s="15" t="n">
        <v>9</v>
      </c>
      <c r="FY1535" s="15" t="n">
        <v>9</v>
      </c>
      <c r="GU1535" s="15" t="n">
        <v>9</v>
      </c>
    </row>
    <row r="1536">
      <c r="C1536" s="15" t="n">
        <v>10</v>
      </c>
      <c r="AA1536" s="15" t="n">
        <v>10</v>
      </c>
      <c r="AW1536" s="15" t="n">
        <v>10</v>
      </c>
      <c r="BS1536" s="15" t="n">
        <v>10</v>
      </c>
      <c r="CO1536" s="15" t="n">
        <v>10</v>
      </c>
      <c r="DK1536" s="15" t="n">
        <v>10</v>
      </c>
      <c r="EG1536" s="15" t="n">
        <v>10</v>
      </c>
      <c r="FC1536" s="15" t="n">
        <v>10</v>
      </c>
      <c r="FY1536" s="15" t="n">
        <v>10</v>
      </c>
      <c r="GU1536" s="15" t="n">
        <v>10</v>
      </c>
    </row>
    <row r="1537">
      <c r="C1537" s="15" t="n">
        <v>11</v>
      </c>
      <c r="AA1537" s="15" t="n">
        <v>11</v>
      </c>
      <c r="AW1537" s="15" t="n">
        <v>11</v>
      </c>
      <c r="BS1537" s="15" t="n">
        <v>11</v>
      </c>
      <c r="CO1537" s="15" t="n">
        <v>11</v>
      </c>
      <c r="DK1537" s="15" t="n">
        <v>11</v>
      </c>
      <c r="EG1537" s="15" t="n">
        <v>11</v>
      </c>
      <c r="FC1537" s="15" t="n">
        <v>11</v>
      </c>
      <c r="FY1537" s="15" t="n">
        <v>11</v>
      </c>
      <c r="GU1537" s="15" t="n">
        <v>11</v>
      </c>
    </row>
    <row r="1538">
      <c r="C1538" s="15" t="n">
        <v>12</v>
      </c>
      <c r="AA1538" s="15" t="n">
        <v>12</v>
      </c>
      <c r="AW1538" s="15" t="n">
        <v>12</v>
      </c>
      <c r="BS1538" s="15" t="n">
        <v>12</v>
      </c>
      <c r="CO1538" s="15" t="n">
        <v>12</v>
      </c>
      <c r="DK1538" s="15" t="n">
        <v>12</v>
      </c>
      <c r="EG1538" s="15" t="n">
        <v>12</v>
      </c>
      <c r="FC1538" s="15" t="n">
        <v>12</v>
      </c>
      <c r="FY1538" s="15" t="n">
        <v>12</v>
      </c>
      <c r="GU1538" s="15" t="n">
        <v>12</v>
      </c>
    </row>
    <row r="1539">
      <c r="C1539" s="15" t="n">
        <v>13</v>
      </c>
      <c r="AA1539" s="15" t="n">
        <v>13</v>
      </c>
      <c r="AW1539" s="15" t="n">
        <v>13</v>
      </c>
      <c r="BS1539" s="15" t="n">
        <v>13</v>
      </c>
      <c r="CO1539" s="15" t="n">
        <v>13</v>
      </c>
      <c r="DK1539" s="15" t="n">
        <v>13</v>
      </c>
      <c r="EG1539" s="15" t="n">
        <v>13</v>
      </c>
      <c r="FC1539" s="15" t="n">
        <v>13</v>
      </c>
      <c r="FY1539" s="15" t="n">
        <v>13</v>
      </c>
      <c r="GU1539" s="15" t="n">
        <v>13</v>
      </c>
    </row>
    <row r="1540">
      <c r="C1540" s="15" t="n">
        <v>14</v>
      </c>
      <c r="AA1540" s="15" t="n">
        <v>14</v>
      </c>
      <c r="AW1540" s="15" t="n">
        <v>14</v>
      </c>
      <c r="BS1540" s="15" t="n">
        <v>14</v>
      </c>
      <c r="CO1540" s="15" t="n">
        <v>14</v>
      </c>
      <c r="DK1540" s="15" t="n">
        <v>14</v>
      </c>
      <c r="EG1540" s="15" t="n">
        <v>14</v>
      </c>
      <c r="FC1540" s="15" t="n">
        <v>14</v>
      </c>
      <c r="FY1540" s="15" t="n">
        <v>14</v>
      </c>
      <c r="GU1540" s="15" t="n">
        <v>14</v>
      </c>
    </row>
    <row r="1541">
      <c r="C1541" s="15" t="n">
        <v>15</v>
      </c>
      <c r="AA1541" s="15" t="n">
        <v>15</v>
      </c>
      <c r="AW1541" s="15" t="n">
        <v>15</v>
      </c>
      <c r="BS1541" s="15" t="n">
        <v>15</v>
      </c>
      <c r="CO1541" s="15" t="n">
        <v>15</v>
      </c>
      <c r="DK1541" s="15" t="n">
        <v>15</v>
      </c>
      <c r="EG1541" s="15" t="n">
        <v>15</v>
      </c>
      <c r="FC1541" s="15" t="n">
        <v>15</v>
      </c>
      <c r="FY1541" s="15" t="n">
        <v>15</v>
      </c>
      <c r="GU1541" s="15" t="n">
        <v>15</v>
      </c>
    </row>
    <row r="1542">
      <c r="C1542" s="15" t="n">
        <v>16</v>
      </c>
      <c r="AA1542" s="15" t="n">
        <v>16</v>
      </c>
      <c r="AW1542" s="15" t="n">
        <v>16</v>
      </c>
      <c r="BS1542" s="15" t="n">
        <v>16</v>
      </c>
      <c r="CO1542" s="15" t="n">
        <v>16</v>
      </c>
      <c r="DK1542" s="15" t="n">
        <v>16</v>
      </c>
      <c r="EG1542" s="15" t="n">
        <v>16</v>
      </c>
      <c r="FC1542" s="15" t="n">
        <v>16</v>
      </c>
      <c r="FY1542" s="15" t="n">
        <v>16</v>
      </c>
      <c r="GU1542" s="15" t="n">
        <v>16</v>
      </c>
    </row>
    <row r="1543">
      <c r="C1543" s="15" t="n">
        <v>17</v>
      </c>
      <c r="AA1543" s="15" t="n">
        <v>17</v>
      </c>
      <c r="AW1543" s="15" t="n">
        <v>17</v>
      </c>
      <c r="BS1543" s="15" t="n">
        <v>17</v>
      </c>
      <c r="CO1543" s="15" t="n">
        <v>17</v>
      </c>
      <c r="DK1543" s="15" t="n">
        <v>17</v>
      </c>
      <c r="EG1543" s="15" t="n">
        <v>17</v>
      </c>
      <c r="FC1543" s="15" t="n">
        <v>17</v>
      </c>
      <c r="FY1543" s="15" t="n">
        <v>17</v>
      </c>
      <c r="GU1543" s="15" t="n">
        <v>17</v>
      </c>
    </row>
    <row r="1544">
      <c r="C1544" s="15" t="n">
        <v>18</v>
      </c>
      <c r="AA1544" s="15" t="n">
        <v>18</v>
      </c>
      <c r="AW1544" s="15" t="n">
        <v>18</v>
      </c>
      <c r="BS1544" s="15" t="n">
        <v>18</v>
      </c>
      <c r="CO1544" s="15" t="n">
        <v>18</v>
      </c>
      <c r="DK1544" s="15" t="n">
        <v>18</v>
      </c>
      <c r="EG1544" s="15" t="n">
        <v>18</v>
      </c>
      <c r="FC1544" s="15" t="n">
        <v>18</v>
      </c>
      <c r="FY1544" s="15" t="n">
        <v>18</v>
      </c>
      <c r="GU1544" s="15" t="n">
        <v>18</v>
      </c>
    </row>
    <row r="1545">
      <c r="C1545" s="15" t="n">
        <v>19</v>
      </c>
      <c r="AA1545" s="15" t="n">
        <v>19</v>
      </c>
      <c r="AW1545" s="15" t="n">
        <v>19</v>
      </c>
      <c r="BS1545" s="15" t="n">
        <v>19</v>
      </c>
      <c r="CO1545" s="15" t="n">
        <v>19</v>
      </c>
      <c r="DK1545" s="15" t="n">
        <v>19</v>
      </c>
      <c r="EG1545" s="15" t="n">
        <v>19</v>
      </c>
      <c r="FC1545" s="15" t="n">
        <v>19</v>
      </c>
      <c r="FY1545" s="15" t="n">
        <v>19</v>
      </c>
      <c r="GU1545" s="15" t="n">
        <v>19</v>
      </c>
    </row>
    <row r="1546">
      <c r="C1546" s="15" t="n">
        <v>20</v>
      </c>
      <c r="AA1546" s="15" t="n">
        <v>20</v>
      </c>
      <c r="AW1546" s="15" t="n">
        <v>20</v>
      </c>
      <c r="BS1546" s="15" t="n">
        <v>20</v>
      </c>
      <c r="CO1546" s="15" t="n">
        <v>20</v>
      </c>
      <c r="DK1546" s="15" t="n">
        <v>20</v>
      </c>
      <c r="EG1546" s="15" t="n">
        <v>20</v>
      </c>
      <c r="FC1546" s="15" t="n">
        <v>20</v>
      </c>
      <c r="FY1546" s="15" t="n">
        <v>20</v>
      </c>
      <c r="GU1546" s="15" t="n">
        <v>20</v>
      </c>
    </row>
    <row r="1547">
      <c r="C1547" s="15" t="n">
        <v>21</v>
      </c>
      <c r="AA1547" s="15" t="n">
        <v>21</v>
      </c>
      <c r="AW1547" s="15" t="n">
        <v>21</v>
      </c>
      <c r="BS1547" s="15" t="n">
        <v>21</v>
      </c>
      <c r="CO1547" s="15" t="n">
        <v>21</v>
      </c>
      <c r="DK1547" s="15" t="n">
        <v>21</v>
      </c>
      <c r="EG1547" s="15" t="n">
        <v>21</v>
      </c>
      <c r="FC1547" s="15" t="n">
        <v>21</v>
      </c>
      <c r="FY1547" s="15" t="n">
        <v>21</v>
      </c>
      <c r="GU1547" s="15" t="n">
        <v>21</v>
      </c>
    </row>
    <row r="1548">
      <c r="C1548" s="15" t="n">
        <v>22</v>
      </c>
      <c r="AA1548" s="15" t="n">
        <v>22</v>
      </c>
      <c r="AW1548" s="15" t="n">
        <v>22</v>
      </c>
      <c r="BS1548" s="15" t="n">
        <v>22</v>
      </c>
      <c r="CO1548" s="15" t="n">
        <v>22</v>
      </c>
      <c r="DK1548" s="15" t="n">
        <v>22</v>
      </c>
      <c r="EG1548" s="15" t="n">
        <v>22</v>
      </c>
      <c r="FC1548" s="15" t="n">
        <v>22</v>
      </c>
      <c r="FY1548" s="15" t="n">
        <v>22</v>
      </c>
      <c r="GU1548" s="15" t="n">
        <v>22</v>
      </c>
    </row>
    <row r="1549">
      <c r="C1549" s="15" t="n">
        <v>23</v>
      </c>
      <c r="AA1549" s="15" t="n">
        <v>23</v>
      </c>
      <c r="AW1549" s="15" t="n">
        <v>23</v>
      </c>
      <c r="BS1549" s="15" t="n">
        <v>23</v>
      </c>
      <c r="CO1549" s="15" t="n">
        <v>23</v>
      </c>
      <c r="DK1549" s="15" t="n">
        <v>23</v>
      </c>
      <c r="EG1549" s="15" t="n">
        <v>23</v>
      </c>
      <c r="FC1549" s="15" t="n">
        <v>23</v>
      </c>
      <c r="FY1549" s="15" t="n">
        <v>23</v>
      </c>
      <c r="GU1549" s="15" t="n">
        <v>23</v>
      </c>
    </row>
    <row r="1550">
      <c r="C1550" s="15" t="n">
        <v>24</v>
      </c>
      <c r="AA1550" s="15" t="n">
        <v>24</v>
      </c>
      <c r="AW1550" s="15" t="n">
        <v>24</v>
      </c>
      <c r="BS1550" s="15" t="n">
        <v>24</v>
      </c>
      <c r="CO1550" s="15" t="n">
        <v>24</v>
      </c>
      <c r="DK1550" s="15" t="n">
        <v>24</v>
      </c>
      <c r="EG1550" s="15" t="n">
        <v>24</v>
      </c>
      <c r="FC1550" s="15" t="n">
        <v>24</v>
      </c>
      <c r="FY1550" s="15" t="n">
        <v>24</v>
      </c>
      <c r="GU1550" s="15" t="n">
        <v>24</v>
      </c>
    </row>
    <row r="1551">
      <c r="C1551" s="15" t="n">
        <v>25</v>
      </c>
      <c r="AA1551" s="15" t="n">
        <v>25</v>
      </c>
      <c r="AW1551" s="15" t="n">
        <v>25</v>
      </c>
      <c r="BS1551" s="15" t="n">
        <v>25</v>
      </c>
      <c r="CO1551" s="15" t="n">
        <v>25</v>
      </c>
      <c r="DK1551" s="15" t="n">
        <v>25</v>
      </c>
      <c r="EG1551" s="15" t="n">
        <v>25</v>
      </c>
      <c r="FC1551" s="15" t="n">
        <v>25</v>
      </c>
      <c r="FY1551" s="15" t="n">
        <v>25</v>
      </c>
      <c r="GU1551" s="15" t="n">
        <v>25</v>
      </c>
    </row>
    <row r="1552">
      <c r="C1552" s="15" t="n">
        <v>26</v>
      </c>
      <c r="AA1552" s="15" t="n">
        <v>26</v>
      </c>
      <c r="AW1552" s="15" t="n">
        <v>26</v>
      </c>
      <c r="BS1552" s="15" t="n">
        <v>26</v>
      </c>
      <c r="CO1552" s="15" t="n">
        <v>26</v>
      </c>
      <c r="DK1552" s="15" t="n">
        <v>26</v>
      </c>
      <c r="EG1552" s="15" t="n">
        <v>26</v>
      </c>
      <c r="FC1552" s="15" t="n">
        <v>26</v>
      </c>
      <c r="FY1552" s="15" t="n">
        <v>26</v>
      </c>
      <c r="GU1552" s="15" t="n">
        <v>26</v>
      </c>
    </row>
    <row r="1553">
      <c r="C1553" s="15" t="n">
        <v>27</v>
      </c>
      <c r="AA1553" s="15" t="n">
        <v>27</v>
      </c>
      <c r="AW1553" s="15" t="n">
        <v>27</v>
      </c>
      <c r="BS1553" s="15" t="n">
        <v>27</v>
      </c>
      <c r="CO1553" s="15" t="n">
        <v>27</v>
      </c>
      <c r="DK1553" s="15" t="n">
        <v>27</v>
      </c>
      <c r="EG1553" s="15" t="n">
        <v>27</v>
      </c>
      <c r="FC1553" s="15" t="n">
        <v>27</v>
      </c>
      <c r="FY1553" s="15" t="n">
        <v>27</v>
      </c>
      <c r="GU1553" s="15" t="n">
        <v>27</v>
      </c>
    </row>
    <row r="1554">
      <c r="C1554" s="15" t="n">
        <v>28</v>
      </c>
      <c r="AA1554" s="15" t="n">
        <v>28</v>
      </c>
      <c r="AW1554" s="15" t="n">
        <v>28</v>
      </c>
      <c r="BS1554" s="15" t="n">
        <v>28</v>
      </c>
      <c r="CO1554" s="15" t="n">
        <v>28</v>
      </c>
      <c r="DK1554" s="15" t="n">
        <v>28</v>
      </c>
      <c r="EG1554" s="15" t="n">
        <v>28</v>
      </c>
      <c r="FC1554" s="15" t="n">
        <v>28</v>
      </c>
      <c r="FY1554" s="15" t="n">
        <v>28</v>
      </c>
      <c r="GU1554" s="15" t="n">
        <v>28</v>
      </c>
    </row>
    <row r="1555">
      <c r="C1555" s="15" t="n">
        <v>29</v>
      </c>
      <c r="AA1555" s="15" t="n">
        <v>29</v>
      </c>
      <c r="AW1555" s="15" t="n">
        <v>29</v>
      </c>
      <c r="BS1555" s="15" t="n">
        <v>29</v>
      </c>
      <c r="CO1555" s="15" t="n">
        <v>29</v>
      </c>
      <c r="DK1555" s="15" t="n">
        <v>29</v>
      </c>
      <c r="EG1555" s="15" t="n">
        <v>29</v>
      </c>
      <c r="FC1555" s="15" t="n">
        <v>29</v>
      </c>
      <c r="FY1555" s="15" t="n">
        <v>29</v>
      </c>
      <c r="GU1555" s="15" t="n">
        <v>29</v>
      </c>
    </row>
    <row r="1556">
      <c r="C1556" s="15" t="n">
        <v>30</v>
      </c>
      <c r="AA1556" s="15" t="n">
        <v>30</v>
      </c>
      <c r="AW1556" s="15" t="n">
        <v>30</v>
      </c>
      <c r="BS1556" s="15" t="n">
        <v>30</v>
      </c>
      <c r="CO1556" s="15" t="n">
        <v>30</v>
      </c>
      <c r="DK1556" s="15" t="n">
        <v>30</v>
      </c>
      <c r="EG1556" s="15" t="n">
        <v>30</v>
      </c>
      <c r="FC1556" s="15" t="n">
        <v>30</v>
      </c>
      <c r="FY1556" s="15" t="n">
        <v>30</v>
      </c>
      <c r="GU1556" s="15" t="n">
        <v>30</v>
      </c>
    </row>
    <row r="1557">
      <c r="C1557" s="15" t="n">
        <v>31</v>
      </c>
      <c r="AA1557" s="15" t="n">
        <v>31</v>
      </c>
      <c r="AW1557" s="15" t="n">
        <v>31</v>
      </c>
      <c r="BS1557" s="15" t="n">
        <v>31</v>
      </c>
      <c r="CO1557" s="15" t="n">
        <v>31</v>
      </c>
      <c r="DK1557" s="15" t="n">
        <v>31</v>
      </c>
      <c r="EG1557" s="15" t="n">
        <v>31</v>
      </c>
      <c r="FC1557" s="15" t="n">
        <v>31</v>
      </c>
      <c r="FY1557" s="15" t="n">
        <v>31</v>
      </c>
      <c r="GU1557" s="15" t="n">
        <v>31</v>
      </c>
    </row>
    <row r="1558">
      <c r="C1558" s="15" t="n">
        <v>32</v>
      </c>
      <c r="AA1558" s="15" t="n">
        <v>32</v>
      </c>
      <c r="AW1558" s="15" t="n">
        <v>32</v>
      </c>
      <c r="BS1558" s="15" t="n">
        <v>32</v>
      </c>
      <c r="CO1558" s="15" t="n">
        <v>32</v>
      </c>
      <c r="DK1558" s="15" t="n">
        <v>32</v>
      </c>
      <c r="EG1558" s="15" t="n">
        <v>32</v>
      </c>
      <c r="FC1558" s="15" t="n">
        <v>32</v>
      </c>
      <c r="FY1558" s="15" t="n">
        <v>32</v>
      </c>
      <c r="GU1558" s="15" t="n">
        <v>32</v>
      </c>
    </row>
    <row r="1559">
      <c r="C1559" s="15" t="n">
        <v>33</v>
      </c>
      <c r="AA1559" s="15" t="n">
        <v>33</v>
      </c>
      <c r="AW1559" s="15" t="n">
        <v>33</v>
      </c>
      <c r="BS1559" s="15" t="n">
        <v>33</v>
      </c>
      <c r="CO1559" s="15" t="n">
        <v>33</v>
      </c>
      <c r="DK1559" s="15" t="n">
        <v>33</v>
      </c>
      <c r="EG1559" s="15" t="n">
        <v>33</v>
      </c>
      <c r="FC1559" s="15" t="n">
        <v>33</v>
      </c>
      <c r="FY1559" s="15" t="n">
        <v>33</v>
      </c>
      <c r="GU1559" s="15" t="n">
        <v>33</v>
      </c>
    </row>
    <row r="1560">
      <c r="C1560" s="15" t="n">
        <v>34</v>
      </c>
      <c r="AA1560" s="15" t="n">
        <v>34</v>
      </c>
      <c r="AW1560" s="15" t="n">
        <v>34</v>
      </c>
      <c r="BS1560" s="15" t="n">
        <v>34</v>
      </c>
      <c r="CO1560" s="15" t="n">
        <v>34</v>
      </c>
      <c r="DK1560" s="15" t="n">
        <v>34</v>
      </c>
      <c r="EG1560" s="15" t="n">
        <v>34</v>
      </c>
      <c r="FC1560" s="15" t="n">
        <v>34</v>
      </c>
      <c r="FY1560" s="15" t="n">
        <v>34</v>
      </c>
      <c r="GU1560" s="15" t="n">
        <v>34</v>
      </c>
    </row>
    <row r="1561">
      <c r="C1561" s="15" t="n">
        <v>35</v>
      </c>
      <c r="AA1561" s="15" t="n">
        <v>35</v>
      </c>
      <c r="AW1561" s="15" t="n">
        <v>35</v>
      </c>
      <c r="BS1561" s="15" t="n">
        <v>35</v>
      </c>
      <c r="CO1561" s="15" t="n">
        <v>35</v>
      </c>
      <c r="DK1561" s="15" t="n">
        <v>35</v>
      </c>
      <c r="EG1561" s="15" t="n">
        <v>35</v>
      </c>
      <c r="FC1561" s="15" t="n">
        <v>35</v>
      </c>
      <c r="FY1561" s="15" t="n">
        <v>35</v>
      </c>
      <c r="GU1561" s="15" t="n">
        <v>35</v>
      </c>
    </row>
    <row r="1562">
      <c r="C1562" s="15" t="n">
        <v>36</v>
      </c>
      <c r="AA1562" s="15" t="n">
        <v>36</v>
      </c>
      <c r="AW1562" s="15" t="n">
        <v>36</v>
      </c>
      <c r="BS1562" s="15" t="n">
        <v>36</v>
      </c>
      <c r="CO1562" s="15" t="n">
        <v>36</v>
      </c>
      <c r="DK1562" s="15" t="n">
        <v>36</v>
      </c>
      <c r="EG1562" s="15" t="n">
        <v>36</v>
      </c>
      <c r="FC1562" s="15" t="n">
        <v>36</v>
      </c>
      <c r="FY1562" s="15" t="n">
        <v>36</v>
      </c>
      <c r="GU1562" s="15" t="n">
        <v>36</v>
      </c>
    </row>
    <row r="1563">
      <c r="C1563" s="15" t="n">
        <v>37</v>
      </c>
      <c r="AA1563" s="15" t="n">
        <v>37</v>
      </c>
      <c r="AW1563" s="15" t="n">
        <v>37</v>
      </c>
      <c r="BS1563" s="15" t="n">
        <v>37</v>
      </c>
      <c r="CO1563" s="15" t="n">
        <v>37</v>
      </c>
      <c r="DK1563" s="15" t="n">
        <v>37</v>
      </c>
      <c r="EG1563" s="15" t="n">
        <v>37</v>
      </c>
      <c r="FC1563" s="15" t="n">
        <v>37</v>
      </c>
      <c r="FY1563" s="15" t="n">
        <v>37</v>
      </c>
      <c r="GU1563" s="15" t="n">
        <v>37</v>
      </c>
    </row>
    <row r="1564">
      <c r="C1564" s="15" t="n">
        <v>38</v>
      </c>
      <c r="AA1564" s="15" t="n">
        <v>38</v>
      </c>
      <c r="AW1564" s="15" t="n">
        <v>38</v>
      </c>
      <c r="BS1564" s="15" t="n">
        <v>38</v>
      </c>
      <c r="CO1564" s="15" t="n">
        <v>38</v>
      </c>
      <c r="DK1564" s="15" t="n">
        <v>38</v>
      </c>
      <c r="EG1564" s="15" t="n">
        <v>38</v>
      </c>
      <c r="FC1564" s="15" t="n">
        <v>38</v>
      </c>
      <c r="FY1564" s="15" t="n">
        <v>38</v>
      </c>
      <c r="GU1564" s="15" t="n">
        <v>38</v>
      </c>
    </row>
    <row r="1565">
      <c r="C1565" s="15" t="n">
        <v>39</v>
      </c>
      <c r="AA1565" s="15" t="n">
        <v>39</v>
      </c>
      <c r="AW1565" s="15" t="n">
        <v>39</v>
      </c>
      <c r="BS1565" s="15" t="n">
        <v>39</v>
      </c>
      <c r="CO1565" s="15" t="n">
        <v>39</v>
      </c>
      <c r="DK1565" s="15" t="n">
        <v>39</v>
      </c>
      <c r="EG1565" s="15" t="n">
        <v>39</v>
      </c>
      <c r="FC1565" s="15" t="n">
        <v>39</v>
      </c>
      <c r="FY1565" s="15" t="n">
        <v>39</v>
      </c>
      <c r="GU1565" s="15" t="n">
        <v>39</v>
      </c>
    </row>
    <row r="1566">
      <c r="C1566" s="15" t="n">
        <v>40</v>
      </c>
      <c r="AA1566" s="15" t="n">
        <v>40</v>
      </c>
      <c r="AW1566" s="15" t="n">
        <v>40</v>
      </c>
      <c r="BS1566" s="15" t="n">
        <v>40</v>
      </c>
      <c r="CO1566" s="15" t="n">
        <v>40</v>
      </c>
      <c r="DK1566" s="15" t="n">
        <v>40</v>
      </c>
      <c r="EG1566" s="15" t="n">
        <v>40</v>
      </c>
      <c r="FC1566" s="15" t="n">
        <v>40</v>
      </c>
      <c r="FY1566" s="15" t="n">
        <v>40</v>
      </c>
      <c r="GU1566" s="15" t="n">
        <v>40</v>
      </c>
    </row>
    <row r="1567">
      <c r="C1567" s="15" t="n">
        <v>41</v>
      </c>
      <c r="AA1567" s="15" t="n">
        <v>41</v>
      </c>
      <c r="AW1567" s="15" t="n">
        <v>41</v>
      </c>
      <c r="BS1567" s="15" t="n">
        <v>41</v>
      </c>
      <c r="CO1567" s="15" t="n">
        <v>41</v>
      </c>
      <c r="DK1567" s="15" t="n">
        <v>41</v>
      </c>
      <c r="EG1567" s="15" t="n">
        <v>41</v>
      </c>
      <c r="FC1567" s="15" t="n">
        <v>41</v>
      </c>
      <c r="FY1567" s="15" t="n">
        <v>41</v>
      </c>
      <c r="GU1567" s="15" t="n">
        <v>41</v>
      </c>
    </row>
    <row r="1568">
      <c r="C1568" s="15" t="n">
        <v>42</v>
      </c>
      <c r="AA1568" s="15" t="n">
        <v>42</v>
      </c>
      <c r="AW1568" s="15" t="n">
        <v>42</v>
      </c>
      <c r="BS1568" s="15" t="n">
        <v>42</v>
      </c>
      <c r="CO1568" s="15" t="n">
        <v>42</v>
      </c>
      <c r="DK1568" s="15" t="n">
        <v>42</v>
      </c>
      <c r="EG1568" s="15" t="n">
        <v>42</v>
      </c>
      <c r="FC1568" s="15" t="n">
        <v>42</v>
      </c>
      <c r="FY1568" s="15" t="n">
        <v>42</v>
      </c>
      <c r="GU1568" s="15" t="n">
        <v>42</v>
      </c>
    </row>
    <row r="1569">
      <c r="C1569" s="15" t="n">
        <v>43</v>
      </c>
      <c r="AA1569" s="15" t="n">
        <v>43</v>
      </c>
      <c r="AW1569" s="15" t="n">
        <v>43</v>
      </c>
      <c r="BS1569" s="15" t="n">
        <v>43</v>
      </c>
      <c r="CO1569" s="15" t="n">
        <v>43</v>
      </c>
      <c r="DK1569" s="15" t="n">
        <v>43</v>
      </c>
      <c r="EG1569" s="15" t="n">
        <v>43</v>
      </c>
      <c r="FC1569" s="15" t="n">
        <v>43</v>
      </c>
      <c r="FY1569" s="15" t="n">
        <v>43</v>
      </c>
      <c r="GU1569" s="15" t="n">
        <v>43</v>
      </c>
    </row>
    <row r="1570">
      <c r="C1570" s="15" t="n">
        <v>44</v>
      </c>
      <c r="AA1570" s="15" t="n">
        <v>44</v>
      </c>
      <c r="AW1570" s="15" t="n">
        <v>44</v>
      </c>
      <c r="BS1570" s="15" t="n">
        <v>44</v>
      </c>
      <c r="CO1570" s="15" t="n">
        <v>44</v>
      </c>
      <c r="DK1570" s="15" t="n">
        <v>44</v>
      </c>
      <c r="EG1570" s="15" t="n">
        <v>44</v>
      </c>
      <c r="FC1570" s="15" t="n">
        <v>44</v>
      </c>
      <c r="FY1570" s="15" t="n">
        <v>44</v>
      </c>
      <c r="GU1570" s="15" t="n">
        <v>44</v>
      </c>
    </row>
    <row r="1571">
      <c r="C1571" s="15" t="n">
        <v>45</v>
      </c>
      <c r="AA1571" s="15" t="n">
        <v>45</v>
      </c>
      <c r="AW1571" s="15" t="n">
        <v>45</v>
      </c>
      <c r="BS1571" s="15" t="n">
        <v>45</v>
      </c>
      <c r="CO1571" s="15" t="n">
        <v>45</v>
      </c>
      <c r="DK1571" s="15" t="n">
        <v>45</v>
      </c>
      <c r="EG1571" s="15" t="n">
        <v>45</v>
      </c>
      <c r="FC1571" s="15" t="n">
        <v>45</v>
      </c>
      <c r="FY1571" s="15" t="n">
        <v>45</v>
      </c>
      <c r="GU1571" s="15" t="n">
        <v>45</v>
      </c>
    </row>
    <row r="1572">
      <c r="C1572" s="15" t="n">
        <v>46</v>
      </c>
      <c r="AA1572" s="15" t="n">
        <v>46</v>
      </c>
      <c r="AW1572" s="15" t="n">
        <v>46</v>
      </c>
      <c r="BS1572" s="15" t="n">
        <v>46</v>
      </c>
      <c r="CO1572" s="15" t="n">
        <v>46</v>
      </c>
      <c r="DK1572" s="15" t="n">
        <v>46</v>
      </c>
      <c r="EG1572" s="15" t="n">
        <v>46</v>
      </c>
      <c r="FC1572" s="15" t="n">
        <v>46</v>
      </c>
      <c r="FY1572" s="15" t="n">
        <v>46</v>
      </c>
      <c r="GU1572" s="15" t="n">
        <v>46</v>
      </c>
    </row>
    <row r="1573">
      <c r="C1573" s="15" t="n">
        <v>47</v>
      </c>
      <c r="AA1573" s="15" t="n">
        <v>47</v>
      </c>
      <c r="AW1573" s="15" t="n">
        <v>47</v>
      </c>
      <c r="BS1573" s="15" t="n">
        <v>47</v>
      </c>
      <c r="CO1573" s="15" t="n">
        <v>47</v>
      </c>
      <c r="DK1573" s="15" t="n">
        <v>47</v>
      </c>
      <c r="EG1573" s="15" t="n">
        <v>47</v>
      </c>
      <c r="FC1573" s="15" t="n">
        <v>47</v>
      </c>
      <c r="FY1573" s="15" t="n">
        <v>47</v>
      </c>
      <c r="GU1573" s="15" t="n">
        <v>47</v>
      </c>
    </row>
    <row r="1574">
      <c r="C1574" s="15" t="n">
        <v>48</v>
      </c>
      <c r="AA1574" s="15" t="n">
        <v>48</v>
      </c>
      <c r="AW1574" s="15" t="n">
        <v>48</v>
      </c>
      <c r="BS1574" s="15" t="n">
        <v>48</v>
      </c>
      <c r="CO1574" s="15" t="n">
        <v>48</v>
      </c>
      <c r="DK1574" s="15" t="n">
        <v>48</v>
      </c>
      <c r="EG1574" s="15" t="n">
        <v>48</v>
      </c>
      <c r="FC1574" s="15" t="n">
        <v>48</v>
      </c>
      <c r="FY1574" s="15" t="n">
        <v>48</v>
      </c>
      <c r="GU1574" s="15" t="n">
        <v>48</v>
      </c>
    </row>
    <row r="1575">
      <c r="C1575" s="15" t="n">
        <v>49</v>
      </c>
      <c r="AA1575" s="15" t="n">
        <v>49</v>
      </c>
      <c r="AW1575" s="15" t="n">
        <v>49</v>
      </c>
      <c r="BS1575" s="15" t="n">
        <v>49</v>
      </c>
      <c r="CO1575" s="15" t="n">
        <v>49</v>
      </c>
      <c r="DK1575" s="15" t="n">
        <v>49</v>
      </c>
      <c r="EG1575" s="15" t="n">
        <v>49</v>
      </c>
      <c r="FC1575" s="15" t="n">
        <v>49</v>
      </c>
      <c r="FY1575" s="15" t="n">
        <v>49</v>
      </c>
      <c r="GU1575" s="15" t="n">
        <v>49</v>
      </c>
    </row>
    <row r="1576">
      <c r="C1576" s="15" t="n">
        <v>50</v>
      </c>
      <c r="AA1576" s="15" t="n">
        <v>50</v>
      </c>
      <c r="AW1576" s="15" t="n">
        <v>50</v>
      </c>
      <c r="BS1576" s="15" t="n">
        <v>50</v>
      </c>
      <c r="CO1576" s="15" t="n">
        <v>50</v>
      </c>
      <c r="DK1576" s="15" t="n">
        <v>50</v>
      </c>
      <c r="EG1576" s="15" t="n">
        <v>50</v>
      </c>
      <c r="FC1576" s="15" t="n">
        <v>50</v>
      </c>
      <c r="FY1576" s="15" t="n">
        <v>50</v>
      </c>
      <c r="GU1576" s="15" t="n">
        <v>50</v>
      </c>
    </row>
    <row r="1577">
      <c r="C1577" s="15" t="n">
        <v>51</v>
      </c>
      <c r="AA1577" s="15" t="n">
        <v>51</v>
      </c>
      <c r="AW1577" s="15" t="n">
        <v>51</v>
      </c>
      <c r="BS1577" s="15" t="n">
        <v>51</v>
      </c>
      <c r="CO1577" s="15" t="n">
        <v>51</v>
      </c>
      <c r="DK1577" s="15" t="n">
        <v>51</v>
      </c>
      <c r="EG1577" s="15" t="n">
        <v>51</v>
      </c>
      <c r="FC1577" s="15" t="n">
        <v>51</v>
      </c>
      <c r="FY1577" s="15" t="n">
        <v>51</v>
      </c>
      <c r="GU1577" s="15" t="n">
        <v>51</v>
      </c>
    </row>
    <row r="1578">
      <c r="C1578" s="15" t="n">
        <v>52</v>
      </c>
      <c r="AA1578" s="15" t="n">
        <v>52</v>
      </c>
      <c r="AW1578" s="15" t="n">
        <v>52</v>
      </c>
      <c r="BS1578" s="15" t="n">
        <v>52</v>
      </c>
      <c r="CO1578" s="15" t="n">
        <v>52</v>
      </c>
      <c r="DK1578" s="15" t="n">
        <v>52</v>
      </c>
      <c r="EG1578" s="15" t="n">
        <v>52</v>
      </c>
      <c r="FC1578" s="15" t="n">
        <v>52</v>
      </c>
      <c r="FY1578" s="15" t="n">
        <v>52</v>
      </c>
      <c r="GU1578" s="15" t="n">
        <v>52</v>
      </c>
    </row>
    <row r="1579">
      <c r="C1579" s="15" t="n">
        <v>53</v>
      </c>
      <c r="AA1579" s="15" t="n">
        <v>53</v>
      </c>
      <c r="AW1579" s="15" t="n">
        <v>53</v>
      </c>
      <c r="BS1579" s="15" t="n">
        <v>53</v>
      </c>
      <c r="CO1579" s="15" t="n">
        <v>53</v>
      </c>
      <c r="DK1579" s="15" t="n">
        <v>53</v>
      </c>
      <c r="EG1579" s="15" t="n">
        <v>53</v>
      </c>
      <c r="FC1579" s="15" t="n">
        <v>53</v>
      </c>
      <c r="FY1579" s="15" t="n">
        <v>53</v>
      </c>
      <c r="GU1579" s="15" t="n">
        <v>53</v>
      </c>
    </row>
    <row r="1580">
      <c r="C1580" s="15" t="n">
        <v>54</v>
      </c>
      <c r="AA1580" s="15" t="n">
        <v>54</v>
      </c>
      <c r="AW1580" s="15" t="n">
        <v>54</v>
      </c>
      <c r="BS1580" s="15" t="n">
        <v>54</v>
      </c>
      <c r="CO1580" s="15" t="n">
        <v>54</v>
      </c>
      <c r="DK1580" s="15" t="n">
        <v>54</v>
      </c>
      <c r="EG1580" s="15" t="n">
        <v>54</v>
      </c>
      <c r="FC1580" s="15" t="n">
        <v>54</v>
      </c>
      <c r="FY1580" s="15" t="n">
        <v>54</v>
      </c>
      <c r="GU1580" s="15" t="n">
        <v>54</v>
      </c>
    </row>
    <row r="1581">
      <c r="C1581" s="15" t="n">
        <v>55</v>
      </c>
      <c r="AA1581" s="15" t="n">
        <v>55</v>
      </c>
      <c r="AW1581" s="15" t="n">
        <v>55</v>
      </c>
      <c r="BS1581" s="15" t="n">
        <v>55</v>
      </c>
      <c r="CO1581" s="15" t="n">
        <v>55</v>
      </c>
      <c r="DK1581" s="15" t="n">
        <v>55</v>
      </c>
      <c r="EG1581" s="15" t="n">
        <v>55</v>
      </c>
      <c r="FC1581" s="15" t="n">
        <v>55</v>
      </c>
      <c r="FY1581" s="15" t="n">
        <v>55</v>
      </c>
      <c r="GU1581" s="15" t="n">
        <v>55</v>
      </c>
    </row>
    <row r="1582">
      <c r="C1582" s="15" t="n">
        <v>56</v>
      </c>
      <c r="AA1582" s="15" t="n">
        <v>56</v>
      </c>
      <c r="AW1582" s="15" t="n">
        <v>56</v>
      </c>
      <c r="BS1582" s="15" t="n">
        <v>56</v>
      </c>
      <c r="CO1582" s="15" t="n">
        <v>56</v>
      </c>
      <c r="DK1582" s="15" t="n">
        <v>56</v>
      </c>
      <c r="EG1582" s="15" t="n">
        <v>56</v>
      </c>
      <c r="FC1582" s="15" t="n">
        <v>56</v>
      </c>
      <c r="FY1582" s="15" t="n">
        <v>56</v>
      </c>
      <c r="GU1582" s="15" t="n">
        <v>56</v>
      </c>
    </row>
    <row r="1583">
      <c r="C1583" s="15" t="n">
        <v>57</v>
      </c>
      <c r="AA1583" s="15" t="n">
        <v>57</v>
      </c>
      <c r="AW1583" s="15" t="n">
        <v>57</v>
      </c>
      <c r="BS1583" s="15" t="n">
        <v>57</v>
      </c>
      <c r="CO1583" s="15" t="n">
        <v>57</v>
      </c>
      <c r="DK1583" s="15" t="n">
        <v>57</v>
      </c>
      <c r="EG1583" s="15" t="n">
        <v>57</v>
      </c>
      <c r="FC1583" s="15" t="n">
        <v>57</v>
      </c>
      <c r="FY1583" s="15" t="n">
        <v>57</v>
      </c>
      <c r="GU1583" s="15" t="n">
        <v>57</v>
      </c>
    </row>
    <row r="1584">
      <c r="C1584" s="15" t="n">
        <v>58</v>
      </c>
      <c r="AA1584" s="15" t="n">
        <v>58</v>
      </c>
      <c r="AW1584" s="15" t="n">
        <v>58</v>
      </c>
      <c r="BS1584" s="15" t="n">
        <v>58</v>
      </c>
      <c r="CO1584" s="15" t="n">
        <v>58</v>
      </c>
      <c r="DK1584" s="15" t="n">
        <v>58</v>
      </c>
      <c r="EG1584" s="15" t="n">
        <v>58</v>
      </c>
      <c r="FC1584" s="15" t="n">
        <v>58</v>
      </c>
      <c r="FY1584" s="15" t="n">
        <v>58</v>
      </c>
      <c r="GU1584" s="15" t="n">
        <v>58</v>
      </c>
    </row>
    <row r="1585">
      <c r="C1585" s="15" t="n">
        <v>59</v>
      </c>
      <c r="AA1585" s="15" t="n">
        <v>59</v>
      </c>
      <c r="AW1585" s="15" t="n">
        <v>59</v>
      </c>
      <c r="BS1585" s="15" t="n">
        <v>59</v>
      </c>
      <c r="CO1585" s="15" t="n">
        <v>59</v>
      </c>
      <c r="DK1585" s="15" t="n">
        <v>59</v>
      </c>
      <c r="EG1585" s="15" t="n">
        <v>59</v>
      </c>
      <c r="FC1585" s="15" t="n">
        <v>59</v>
      </c>
      <c r="FY1585" s="15" t="n">
        <v>59</v>
      </c>
      <c r="GU1585" s="15" t="n">
        <v>59</v>
      </c>
    </row>
    <row r="1586">
      <c r="C1586" s="15" t="n">
        <v>60</v>
      </c>
      <c r="AA1586" s="15" t="n">
        <v>60</v>
      </c>
      <c r="AW1586" s="15" t="n">
        <v>60</v>
      </c>
      <c r="BS1586" s="15" t="n">
        <v>60</v>
      </c>
      <c r="CO1586" s="15" t="n">
        <v>60</v>
      </c>
      <c r="DK1586" s="15" t="n">
        <v>60</v>
      </c>
      <c r="EG1586" s="15" t="n">
        <v>60</v>
      </c>
      <c r="FC1586" s="15" t="n">
        <v>60</v>
      </c>
      <c r="FY1586" s="15" t="n">
        <v>60</v>
      </c>
      <c r="GU1586" s="15" t="n">
        <v>60</v>
      </c>
    </row>
    <row r="1587">
      <c r="C1587" s="15" t="n">
        <v>61</v>
      </c>
      <c r="AA1587" s="15" t="n">
        <v>61</v>
      </c>
      <c r="AW1587" s="15" t="n">
        <v>61</v>
      </c>
      <c r="BS1587" s="15" t="n">
        <v>61</v>
      </c>
      <c r="CO1587" s="15" t="n">
        <v>61</v>
      </c>
      <c r="DK1587" s="15" t="n">
        <v>61</v>
      </c>
      <c r="EG1587" s="15" t="n">
        <v>61</v>
      </c>
      <c r="FC1587" s="15" t="n">
        <v>61</v>
      </c>
      <c r="FY1587" s="15" t="n">
        <v>61</v>
      </c>
      <c r="GU1587" s="15" t="n">
        <v>61</v>
      </c>
    </row>
    <row r="1588">
      <c r="C1588" s="15" t="n">
        <v>62</v>
      </c>
      <c r="AA1588" s="15" t="n">
        <v>62</v>
      </c>
      <c r="AW1588" s="15" t="n">
        <v>62</v>
      </c>
      <c r="BS1588" s="15" t="n">
        <v>62</v>
      </c>
      <c r="CO1588" s="15" t="n">
        <v>62</v>
      </c>
      <c r="DK1588" s="15" t="n">
        <v>62</v>
      </c>
      <c r="EG1588" s="15" t="n">
        <v>62</v>
      </c>
      <c r="FC1588" s="15" t="n">
        <v>62</v>
      </c>
      <c r="FY1588" s="15" t="n">
        <v>62</v>
      </c>
      <c r="GU1588" s="15" t="n">
        <v>62</v>
      </c>
    </row>
    <row r="1589">
      <c r="C1589" s="15" t="n">
        <v>63</v>
      </c>
      <c r="AA1589" s="15" t="n">
        <v>63</v>
      </c>
      <c r="AW1589" s="15" t="n">
        <v>63</v>
      </c>
      <c r="BS1589" s="15" t="n">
        <v>63</v>
      </c>
      <c r="CO1589" s="15" t="n">
        <v>63</v>
      </c>
      <c r="DK1589" s="15" t="n">
        <v>63</v>
      </c>
      <c r="EG1589" s="15" t="n">
        <v>63</v>
      </c>
      <c r="FC1589" s="15" t="n">
        <v>63</v>
      </c>
      <c r="FY1589" s="15" t="n">
        <v>63</v>
      </c>
      <c r="GU1589" s="15" t="n">
        <v>63</v>
      </c>
    </row>
    <row r="1590">
      <c r="C1590" s="15" t="n">
        <v>64</v>
      </c>
      <c r="AA1590" s="15" t="n">
        <v>64</v>
      </c>
      <c r="AW1590" s="15" t="n">
        <v>64</v>
      </c>
      <c r="BS1590" s="15" t="n">
        <v>64</v>
      </c>
      <c r="CO1590" s="15" t="n">
        <v>64</v>
      </c>
      <c r="DK1590" s="15" t="n">
        <v>64</v>
      </c>
      <c r="EG1590" s="15" t="n">
        <v>64</v>
      </c>
      <c r="FC1590" s="15" t="n">
        <v>64</v>
      </c>
      <c r="FY1590" s="15" t="n">
        <v>64</v>
      </c>
      <c r="GU1590" s="15" t="n">
        <v>64</v>
      </c>
    </row>
    <row r="1591">
      <c r="C1591" s="15" t="n">
        <v>65</v>
      </c>
      <c r="AA1591" s="15" t="n">
        <v>65</v>
      </c>
      <c r="AW1591" s="15" t="n">
        <v>65</v>
      </c>
      <c r="BS1591" s="15" t="n">
        <v>65</v>
      </c>
      <c r="CO1591" s="15" t="n">
        <v>65</v>
      </c>
      <c r="DK1591" s="15" t="n">
        <v>65</v>
      </c>
      <c r="EG1591" s="15" t="n">
        <v>65</v>
      </c>
      <c r="FC1591" s="15" t="n">
        <v>65</v>
      </c>
      <c r="FY1591" s="15" t="n">
        <v>65</v>
      </c>
      <c r="GU1591" s="15" t="n">
        <v>65</v>
      </c>
    </row>
    <row r="1592">
      <c r="C1592" s="15" t="n">
        <v>66</v>
      </c>
      <c r="AA1592" s="15" t="n">
        <v>66</v>
      </c>
      <c r="AW1592" s="15" t="n">
        <v>66</v>
      </c>
      <c r="BS1592" s="15" t="n">
        <v>66</v>
      </c>
      <c r="CO1592" s="15" t="n">
        <v>66</v>
      </c>
      <c r="DK1592" s="15" t="n">
        <v>66</v>
      </c>
      <c r="EG1592" s="15" t="n">
        <v>66</v>
      </c>
      <c r="FC1592" s="15" t="n">
        <v>66</v>
      </c>
      <c r="FY1592" s="15" t="n">
        <v>66</v>
      </c>
      <c r="GU1592" s="15" t="n">
        <v>66</v>
      </c>
    </row>
    <row r="1593">
      <c r="C1593" s="15" t="n">
        <v>67</v>
      </c>
      <c r="AA1593" s="15" t="n">
        <v>67</v>
      </c>
      <c r="AW1593" s="15" t="n">
        <v>67</v>
      </c>
      <c r="BS1593" s="15" t="n">
        <v>67</v>
      </c>
      <c r="CO1593" s="15" t="n">
        <v>67</v>
      </c>
      <c r="DK1593" s="15" t="n">
        <v>67</v>
      </c>
      <c r="EG1593" s="15" t="n">
        <v>67</v>
      </c>
      <c r="FC1593" s="15" t="n">
        <v>67</v>
      </c>
      <c r="FY1593" s="15" t="n">
        <v>67</v>
      </c>
      <c r="GU1593" s="15" t="n">
        <v>67</v>
      </c>
    </row>
    <row r="1594">
      <c r="C1594" s="15" t="n">
        <v>68</v>
      </c>
      <c r="AA1594" s="15" t="n">
        <v>68</v>
      </c>
      <c r="AW1594" s="15" t="n">
        <v>68</v>
      </c>
      <c r="BS1594" s="15" t="n">
        <v>68</v>
      </c>
      <c r="CO1594" s="15" t="n">
        <v>68</v>
      </c>
      <c r="DK1594" s="15" t="n">
        <v>68</v>
      </c>
      <c r="EG1594" s="15" t="n">
        <v>68</v>
      </c>
      <c r="FC1594" s="15" t="n">
        <v>68</v>
      </c>
      <c r="FY1594" s="15" t="n">
        <v>68</v>
      </c>
      <c r="GU1594" s="15" t="n">
        <v>68</v>
      </c>
    </row>
    <row r="1595">
      <c r="C1595" s="15" t="n">
        <v>69</v>
      </c>
      <c r="AA1595" s="15" t="n">
        <v>69</v>
      </c>
      <c r="AW1595" s="15" t="n">
        <v>69</v>
      </c>
      <c r="BS1595" s="15" t="n">
        <v>69</v>
      </c>
      <c r="CO1595" s="15" t="n">
        <v>69</v>
      </c>
      <c r="DK1595" s="15" t="n">
        <v>69</v>
      </c>
      <c r="EG1595" s="15" t="n">
        <v>69</v>
      </c>
      <c r="FC1595" s="15" t="n">
        <v>69</v>
      </c>
      <c r="FY1595" s="15" t="n">
        <v>69</v>
      </c>
      <c r="GU1595" s="15" t="n">
        <v>69</v>
      </c>
    </row>
    <row r="1596">
      <c r="C1596" s="15" t="n">
        <v>70</v>
      </c>
      <c r="AA1596" s="15" t="n">
        <v>70</v>
      </c>
      <c r="AW1596" s="15" t="n">
        <v>70</v>
      </c>
      <c r="BS1596" s="15" t="n">
        <v>70</v>
      </c>
      <c r="CO1596" s="15" t="n">
        <v>70</v>
      </c>
      <c r="DK1596" s="15" t="n">
        <v>70</v>
      </c>
      <c r="EG1596" s="15" t="n">
        <v>70</v>
      </c>
      <c r="FC1596" s="15" t="n">
        <v>70</v>
      </c>
      <c r="FY1596" s="15" t="n">
        <v>70</v>
      </c>
      <c r="GU1596" s="15" t="n">
        <v>70</v>
      </c>
    </row>
    <row r="1597">
      <c r="C1597" s="15" t="n">
        <v>71</v>
      </c>
      <c r="AA1597" s="15" t="n">
        <v>71</v>
      </c>
      <c r="AW1597" s="15" t="n">
        <v>71</v>
      </c>
      <c r="BS1597" s="15" t="n">
        <v>71</v>
      </c>
      <c r="CO1597" s="15" t="n">
        <v>71</v>
      </c>
      <c r="DK1597" s="15" t="n">
        <v>71</v>
      </c>
      <c r="EG1597" s="15" t="n">
        <v>71</v>
      </c>
      <c r="FC1597" s="15" t="n">
        <v>71</v>
      </c>
      <c r="FY1597" s="15" t="n">
        <v>71</v>
      </c>
      <c r="GU1597" s="15" t="n">
        <v>71</v>
      </c>
    </row>
    <row r="1598">
      <c r="C1598" s="15" t="n">
        <v>72</v>
      </c>
      <c r="AA1598" s="15" t="n">
        <v>72</v>
      </c>
      <c r="AW1598" s="15" t="n">
        <v>72</v>
      </c>
      <c r="BS1598" s="15" t="n">
        <v>72</v>
      </c>
      <c r="CO1598" s="15" t="n">
        <v>72</v>
      </c>
      <c r="DK1598" s="15" t="n">
        <v>72</v>
      </c>
      <c r="EG1598" s="15" t="n">
        <v>72</v>
      </c>
      <c r="FC1598" s="15" t="n">
        <v>72</v>
      </c>
      <c r="FY1598" s="15" t="n">
        <v>72</v>
      </c>
      <c r="GU1598" s="15" t="n">
        <v>72</v>
      </c>
    </row>
    <row r="1599">
      <c r="C1599" s="15" t="n">
        <v>73</v>
      </c>
      <c r="AA1599" s="15" t="n">
        <v>73</v>
      </c>
      <c r="AW1599" s="15" t="n">
        <v>73</v>
      </c>
      <c r="BS1599" s="15" t="n">
        <v>73</v>
      </c>
      <c r="CO1599" s="15" t="n">
        <v>73</v>
      </c>
      <c r="DK1599" s="15" t="n">
        <v>73</v>
      </c>
      <c r="EG1599" s="15" t="n">
        <v>73</v>
      </c>
      <c r="FC1599" s="15" t="n">
        <v>73</v>
      </c>
      <c r="FY1599" s="15" t="n">
        <v>73</v>
      </c>
      <c r="GU1599" s="15" t="n">
        <v>73</v>
      </c>
    </row>
    <row r="1600">
      <c r="C1600" s="15" t="n">
        <v>74</v>
      </c>
      <c r="AA1600" s="15" t="n">
        <v>74</v>
      </c>
      <c r="AW1600" s="15" t="n">
        <v>74</v>
      </c>
      <c r="BS1600" s="15" t="n">
        <v>74</v>
      </c>
      <c r="CO1600" s="15" t="n">
        <v>74</v>
      </c>
      <c r="DK1600" s="15" t="n">
        <v>74</v>
      </c>
      <c r="EG1600" s="15" t="n">
        <v>74</v>
      </c>
      <c r="FC1600" s="15" t="n">
        <v>74</v>
      </c>
      <c r="FY1600" s="15" t="n">
        <v>74</v>
      </c>
      <c r="GU1600" s="15" t="n">
        <v>74</v>
      </c>
    </row>
    <row r="1601">
      <c r="C1601" s="15" t="n">
        <v>75</v>
      </c>
      <c r="AA1601" s="15" t="n">
        <v>75</v>
      </c>
      <c r="AW1601" s="15" t="n">
        <v>75</v>
      </c>
      <c r="BS1601" s="15" t="n">
        <v>75</v>
      </c>
      <c r="CO1601" s="15" t="n">
        <v>75</v>
      </c>
      <c r="DK1601" s="15" t="n">
        <v>75</v>
      </c>
      <c r="EG1601" s="15" t="n">
        <v>75</v>
      </c>
      <c r="FC1601" s="15" t="n">
        <v>75</v>
      </c>
      <c r="FY1601" s="15" t="n">
        <v>75</v>
      </c>
      <c r="GU1601" s="15" t="n">
        <v>75</v>
      </c>
    </row>
    <row r="1602">
      <c r="C1602" s="15" t="n">
        <v>76</v>
      </c>
      <c r="AA1602" s="15" t="n">
        <v>76</v>
      </c>
      <c r="AW1602" s="15" t="n">
        <v>76</v>
      </c>
      <c r="BS1602" s="15" t="n">
        <v>76</v>
      </c>
      <c r="CO1602" s="15" t="n">
        <v>76</v>
      </c>
      <c r="DK1602" s="15" t="n">
        <v>76</v>
      </c>
      <c r="EG1602" s="15" t="n">
        <v>76</v>
      </c>
      <c r="FC1602" s="15" t="n">
        <v>76</v>
      </c>
      <c r="FY1602" s="15" t="n">
        <v>76</v>
      </c>
      <c r="GU1602" s="15" t="n">
        <v>76</v>
      </c>
    </row>
    <row r="1603">
      <c r="C1603" s="15" t="n">
        <v>77</v>
      </c>
      <c r="AA1603" s="15" t="n">
        <v>77</v>
      </c>
      <c r="AW1603" s="15" t="n">
        <v>77</v>
      </c>
      <c r="BS1603" s="15" t="n">
        <v>77</v>
      </c>
      <c r="CO1603" s="15" t="n">
        <v>77</v>
      </c>
      <c r="DK1603" s="15" t="n">
        <v>77</v>
      </c>
      <c r="EG1603" s="15" t="n">
        <v>77</v>
      </c>
      <c r="FC1603" s="15" t="n">
        <v>77</v>
      </c>
      <c r="FY1603" s="15" t="n">
        <v>77</v>
      </c>
      <c r="GU1603" s="15" t="n">
        <v>77</v>
      </c>
    </row>
    <row r="1604">
      <c r="C1604" s="15" t="n">
        <v>78</v>
      </c>
      <c r="AA1604" s="15" t="n">
        <v>78</v>
      </c>
      <c r="AW1604" s="15" t="n">
        <v>78</v>
      </c>
      <c r="BS1604" s="15" t="n">
        <v>78</v>
      </c>
      <c r="CO1604" s="15" t="n">
        <v>78</v>
      </c>
      <c r="DK1604" s="15" t="n">
        <v>78</v>
      </c>
      <c r="EG1604" s="15" t="n">
        <v>78</v>
      </c>
      <c r="FC1604" s="15" t="n">
        <v>78</v>
      </c>
      <c r="FY1604" s="15" t="n">
        <v>78</v>
      </c>
      <c r="GU1604" s="15" t="n">
        <v>78</v>
      </c>
    </row>
    <row r="1605">
      <c r="C1605" s="15" t="n">
        <v>79</v>
      </c>
      <c r="AA1605" s="15" t="n">
        <v>79</v>
      </c>
      <c r="AW1605" s="15" t="n">
        <v>79</v>
      </c>
      <c r="BS1605" s="15" t="n">
        <v>79</v>
      </c>
      <c r="CO1605" s="15" t="n">
        <v>79</v>
      </c>
      <c r="DK1605" s="15" t="n">
        <v>79</v>
      </c>
      <c r="EG1605" s="15" t="n">
        <v>79</v>
      </c>
      <c r="FC1605" s="15" t="n">
        <v>79</v>
      </c>
      <c r="FY1605" s="15" t="n">
        <v>79</v>
      </c>
      <c r="GU1605" s="15" t="n">
        <v>79</v>
      </c>
    </row>
    <row r="1606">
      <c r="C1606" s="15" t="n">
        <v>80</v>
      </c>
      <c r="AA1606" s="15" t="n">
        <v>80</v>
      </c>
      <c r="AW1606" s="15" t="n">
        <v>80</v>
      </c>
      <c r="BS1606" s="15" t="n">
        <v>80</v>
      </c>
      <c r="CO1606" s="15" t="n">
        <v>80</v>
      </c>
      <c r="DK1606" s="15" t="n">
        <v>80</v>
      </c>
      <c r="EG1606" s="15" t="n">
        <v>80</v>
      </c>
      <c r="FC1606" s="15" t="n">
        <v>80</v>
      </c>
      <c r="FY1606" s="15" t="n">
        <v>80</v>
      </c>
      <c r="GU1606" s="15" t="n">
        <v>80</v>
      </c>
    </row>
    <row r="1607">
      <c r="C1607" s="15" t="n">
        <v>81</v>
      </c>
      <c r="AA1607" s="15" t="n">
        <v>81</v>
      </c>
      <c r="AW1607" s="15" t="n">
        <v>81</v>
      </c>
      <c r="BS1607" s="15" t="n">
        <v>81</v>
      </c>
      <c r="CO1607" s="15" t="n">
        <v>81</v>
      </c>
      <c r="DK1607" s="15" t="n">
        <v>81</v>
      </c>
      <c r="EG1607" s="15" t="n">
        <v>81</v>
      </c>
      <c r="FC1607" s="15" t="n">
        <v>81</v>
      </c>
      <c r="FY1607" s="15" t="n">
        <v>81</v>
      </c>
      <c r="GU1607" s="15" t="n">
        <v>81</v>
      </c>
    </row>
    <row r="1608">
      <c r="C1608" s="15" t="n">
        <v>82</v>
      </c>
      <c r="AA1608" s="15" t="n">
        <v>82</v>
      </c>
      <c r="AW1608" s="15" t="n">
        <v>82</v>
      </c>
      <c r="BS1608" s="15" t="n">
        <v>82</v>
      </c>
      <c r="CO1608" s="15" t="n">
        <v>82</v>
      </c>
      <c r="DK1608" s="15" t="n">
        <v>82</v>
      </c>
      <c r="EG1608" s="15" t="n">
        <v>82</v>
      </c>
      <c r="FC1608" s="15" t="n">
        <v>82</v>
      </c>
      <c r="FY1608" s="15" t="n">
        <v>82</v>
      </c>
      <c r="GU1608" s="15" t="n">
        <v>82</v>
      </c>
    </row>
    <row r="1609">
      <c r="C1609" s="15" t="n">
        <v>83</v>
      </c>
      <c r="AA1609" s="15" t="n">
        <v>83</v>
      </c>
      <c r="AW1609" s="15" t="n">
        <v>83</v>
      </c>
      <c r="BS1609" s="15" t="n">
        <v>83</v>
      </c>
      <c r="CO1609" s="15" t="n">
        <v>83</v>
      </c>
      <c r="DK1609" s="15" t="n">
        <v>83</v>
      </c>
      <c r="EG1609" s="15" t="n">
        <v>83</v>
      </c>
      <c r="FC1609" s="15" t="n">
        <v>83</v>
      </c>
      <c r="FY1609" s="15" t="n">
        <v>83</v>
      </c>
      <c r="GU1609" s="15" t="n">
        <v>83</v>
      </c>
    </row>
    <row r="1610">
      <c r="C1610" s="15" t="n">
        <v>84</v>
      </c>
      <c r="AA1610" s="15" t="n">
        <v>84</v>
      </c>
      <c r="AW1610" s="15" t="n">
        <v>84</v>
      </c>
      <c r="BS1610" s="15" t="n">
        <v>84</v>
      </c>
      <c r="CO1610" s="15" t="n">
        <v>84</v>
      </c>
      <c r="DK1610" s="15" t="n">
        <v>84</v>
      </c>
      <c r="EG1610" s="15" t="n">
        <v>84</v>
      </c>
      <c r="FC1610" s="15" t="n">
        <v>84</v>
      </c>
      <c r="FY1610" s="15" t="n">
        <v>84</v>
      </c>
      <c r="GU1610" s="15" t="n">
        <v>84</v>
      </c>
    </row>
    <row r="1611">
      <c r="C1611" s="15" t="n">
        <v>85</v>
      </c>
      <c r="AA1611" s="15" t="n">
        <v>85</v>
      </c>
      <c r="AW1611" s="15" t="n">
        <v>85</v>
      </c>
      <c r="BS1611" s="15" t="n">
        <v>85</v>
      </c>
      <c r="CO1611" s="15" t="n">
        <v>85</v>
      </c>
      <c r="DK1611" s="15" t="n">
        <v>85</v>
      </c>
      <c r="EG1611" s="15" t="n">
        <v>85</v>
      </c>
      <c r="FC1611" s="15" t="n">
        <v>85</v>
      </c>
      <c r="FY1611" s="15" t="n">
        <v>85</v>
      </c>
      <c r="GU1611" s="15" t="n">
        <v>85</v>
      </c>
    </row>
    <row r="1612">
      <c r="C1612" s="15" t="n">
        <v>86</v>
      </c>
      <c r="AA1612" s="15" t="n">
        <v>86</v>
      </c>
      <c r="AW1612" s="15" t="n">
        <v>86</v>
      </c>
      <c r="BS1612" s="15" t="n">
        <v>86</v>
      </c>
      <c r="CO1612" s="15" t="n">
        <v>86</v>
      </c>
      <c r="DK1612" s="15" t="n">
        <v>86</v>
      </c>
      <c r="EG1612" s="15" t="n">
        <v>86</v>
      </c>
      <c r="FC1612" s="15" t="n">
        <v>86</v>
      </c>
      <c r="FY1612" s="15" t="n">
        <v>86</v>
      </c>
      <c r="GU1612" s="15" t="n">
        <v>86</v>
      </c>
    </row>
    <row r="1613">
      <c r="C1613" s="15" t="n">
        <v>87</v>
      </c>
      <c r="AA1613" s="15" t="n">
        <v>87</v>
      </c>
      <c r="AW1613" s="15" t="n">
        <v>87</v>
      </c>
      <c r="BS1613" s="15" t="n">
        <v>87</v>
      </c>
      <c r="CO1613" s="15" t="n">
        <v>87</v>
      </c>
      <c r="DK1613" s="15" t="n">
        <v>87</v>
      </c>
      <c r="EG1613" s="15" t="n">
        <v>87</v>
      </c>
      <c r="FC1613" s="15" t="n">
        <v>87</v>
      </c>
      <c r="FY1613" s="15" t="n">
        <v>87</v>
      </c>
      <c r="GU1613" s="15" t="n">
        <v>87</v>
      </c>
    </row>
    <row r="1614">
      <c r="C1614" s="15" t="n">
        <v>88</v>
      </c>
      <c r="AA1614" s="15" t="n">
        <v>88</v>
      </c>
      <c r="AW1614" s="15" t="n">
        <v>88</v>
      </c>
      <c r="BS1614" s="15" t="n">
        <v>88</v>
      </c>
      <c r="CO1614" s="15" t="n">
        <v>88</v>
      </c>
      <c r="DK1614" s="15" t="n">
        <v>88</v>
      </c>
      <c r="EG1614" s="15" t="n">
        <v>88</v>
      </c>
      <c r="FC1614" s="15" t="n">
        <v>88</v>
      </c>
      <c r="FY1614" s="15" t="n">
        <v>88</v>
      </c>
      <c r="GU1614" s="15" t="n">
        <v>88</v>
      </c>
    </row>
    <row r="1615">
      <c r="C1615" s="15" t="n">
        <v>89</v>
      </c>
      <c r="AA1615" s="15" t="n">
        <v>89</v>
      </c>
      <c r="AW1615" s="15" t="n">
        <v>89</v>
      </c>
      <c r="BS1615" s="15" t="n">
        <v>89</v>
      </c>
      <c r="CO1615" s="15" t="n">
        <v>89</v>
      </c>
      <c r="DK1615" s="15" t="n">
        <v>89</v>
      </c>
      <c r="EG1615" s="15" t="n">
        <v>89</v>
      </c>
      <c r="FC1615" s="15" t="n">
        <v>89</v>
      </c>
      <c r="FY1615" s="15" t="n">
        <v>89</v>
      </c>
      <c r="GU1615" s="15" t="n">
        <v>89</v>
      </c>
    </row>
    <row r="1616">
      <c r="C1616" s="15" t="n">
        <v>90</v>
      </c>
      <c r="AA1616" s="15" t="n">
        <v>90</v>
      </c>
      <c r="AW1616" s="15" t="n">
        <v>90</v>
      </c>
      <c r="BS1616" s="15" t="n">
        <v>90</v>
      </c>
      <c r="CO1616" s="15" t="n">
        <v>90</v>
      </c>
      <c r="DK1616" s="15" t="n">
        <v>90</v>
      </c>
      <c r="EG1616" s="15" t="n">
        <v>90</v>
      </c>
      <c r="FC1616" s="15" t="n">
        <v>90</v>
      </c>
      <c r="FY1616" s="15" t="n">
        <v>90</v>
      </c>
      <c r="GU1616" s="15" t="n">
        <v>90</v>
      </c>
    </row>
    <row r="1617">
      <c r="C1617" s="15" t="n">
        <v>91</v>
      </c>
      <c r="AA1617" s="15" t="n">
        <v>91</v>
      </c>
      <c r="AW1617" s="15" t="n">
        <v>91</v>
      </c>
      <c r="BS1617" s="15" t="n">
        <v>91</v>
      </c>
      <c r="CO1617" s="15" t="n">
        <v>91</v>
      </c>
      <c r="DK1617" s="15" t="n">
        <v>91</v>
      </c>
      <c r="EG1617" s="15" t="n">
        <v>91</v>
      </c>
      <c r="FC1617" s="15" t="n">
        <v>91</v>
      </c>
      <c r="FY1617" s="15" t="n">
        <v>91</v>
      </c>
      <c r="GU1617" s="15" t="n">
        <v>91</v>
      </c>
    </row>
    <row r="1618">
      <c r="C1618" s="15" t="n">
        <v>92</v>
      </c>
      <c r="AA1618" s="15" t="n">
        <v>92</v>
      </c>
      <c r="AW1618" s="15" t="n">
        <v>92</v>
      </c>
      <c r="BS1618" s="15" t="n">
        <v>92</v>
      </c>
      <c r="CO1618" s="15" t="n">
        <v>92</v>
      </c>
      <c r="DK1618" s="15" t="n">
        <v>92</v>
      </c>
      <c r="EG1618" s="15" t="n">
        <v>92</v>
      </c>
      <c r="FC1618" s="15" t="n">
        <v>92</v>
      </c>
      <c r="FY1618" s="15" t="n">
        <v>92</v>
      </c>
      <c r="GU1618" s="15" t="n">
        <v>92</v>
      </c>
    </row>
    <row r="1619">
      <c r="C1619" s="15" t="n">
        <v>93</v>
      </c>
      <c r="AA1619" s="15" t="n">
        <v>93</v>
      </c>
      <c r="AW1619" s="15" t="n">
        <v>93</v>
      </c>
      <c r="BS1619" s="15" t="n">
        <v>93</v>
      </c>
      <c r="CO1619" s="15" t="n">
        <v>93</v>
      </c>
      <c r="DK1619" s="15" t="n">
        <v>93</v>
      </c>
      <c r="EG1619" s="15" t="n">
        <v>93</v>
      </c>
      <c r="FC1619" s="15" t="n">
        <v>93</v>
      </c>
      <c r="FY1619" s="15" t="n">
        <v>93</v>
      </c>
      <c r="GU1619" s="15" t="n">
        <v>93</v>
      </c>
    </row>
    <row r="1620">
      <c r="C1620" s="15" t="n">
        <v>94</v>
      </c>
      <c r="AA1620" s="15" t="n">
        <v>94</v>
      </c>
      <c r="AW1620" s="15" t="n">
        <v>94</v>
      </c>
      <c r="BS1620" s="15" t="n">
        <v>94</v>
      </c>
      <c r="CO1620" s="15" t="n">
        <v>94</v>
      </c>
      <c r="DK1620" s="15" t="n">
        <v>94</v>
      </c>
      <c r="EG1620" s="15" t="n">
        <v>94</v>
      </c>
      <c r="FC1620" s="15" t="n">
        <v>94</v>
      </c>
      <c r="FY1620" s="15" t="n">
        <v>94</v>
      </c>
      <c r="GU1620" s="15" t="n">
        <v>94</v>
      </c>
    </row>
    <row r="1621">
      <c r="C1621" s="15" t="n">
        <v>95</v>
      </c>
      <c r="AA1621" s="15" t="n">
        <v>95</v>
      </c>
      <c r="AW1621" s="15" t="n">
        <v>95</v>
      </c>
      <c r="BS1621" s="15" t="n">
        <v>95</v>
      </c>
      <c r="CO1621" s="15" t="n">
        <v>95</v>
      </c>
      <c r="DK1621" s="15" t="n">
        <v>95</v>
      </c>
      <c r="EG1621" s="15" t="n">
        <v>95</v>
      </c>
      <c r="FC1621" s="15" t="n">
        <v>95</v>
      </c>
      <c r="FY1621" s="15" t="n">
        <v>95</v>
      </c>
      <c r="GU1621" s="15" t="n">
        <v>95</v>
      </c>
    </row>
    <row r="1622">
      <c r="C1622" s="15" t="n">
        <v>96</v>
      </c>
      <c r="AA1622" s="15" t="n">
        <v>96</v>
      </c>
      <c r="AW1622" s="15" t="n">
        <v>96</v>
      </c>
      <c r="BS1622" s="15" t="n">
        <v>96</v>
      </c>
      <c r="CO1622" s="15" t="n">
        <v>96</v>
      </c>
      <c r="DK1622" s="15" t="n">
        <v>96</v>
      </c>
      <c r="EG1622" s="15" t="n">
        <v>96</v>
      </c>
      <c r="FC1622" s="15" t="n">
        <v>96</v>
      </c>
      <c r="FY1622" s="15" t="n">
        <v>96</v>
      </c>
      <c r="GU1622" s="15" t="n">
        <v>96</v>
      </c>
    </row>
    <row r="1623">
      <c r="C1623" s="15" t="n">
        <v>97</v>
      </c>
      <c r="AA1623" s="15" t="n">
        <v>97</v>
      </c>
      <c r="AW1623" s="15" t="n">
        <v>97</v>
      </c>
      <c r="BS1623" s="15" t="n">
        <v>97</v>
      </c>
      <c r="CO1623" s="15" t="n">
        <v>97</v>
      </c>
      <c r="DK1623" s="15" t="n">
        <v>97</v>
      </c>
      <c r="EG1623" s="15" t="n">
        <v>97</v>
      </c>
      <c r="FC1623" s="15" t="n">
        <v>97</v>
      </c>
      <c r="FY1623" s="15" t="n">
        <v>97</v>
      </c>
      <c r="GU1623" s="15" t="n">
        <v>97</v>
      </c>
    </row>
    <row r="1624">
      <c r="C1624" s="15" t="n">
        <v>98</v>
      </c>
      <c r="AA1624" s="15" t="n">
        <v>98</v>
      </c>
      <c r="AW1624" s="15" t="n">
        <v>98</v>
      </c>
      <c r="BS1624" s="15" t="n">
        <v>98</v>
      </c>
      <c r="CO1624" s="15" t="n">
        <v>98</v>
      </c>
      <c r="DK1624" s="15" t="n">
        <v>98</v>
      </c>
      <c r="EG1624" s="15" t="n">
        <v>98</v>
      </c>
      <c r="FC1624" s="15" t="n">
        <v>98</v>
      </c>
      <c r="FY1624" s="15" t="n">
        <v>98</v>
      </c>
      <c r="GU1624" s="15" t="n">
        <v>98</v>
      </c>
    </row>
    <row r="1625">
      <c r="C1625" s="15" t="n">
        <v>99</v>
      </c>
      <c r="AA1625" s="15" t="n">
        <v>99</v>
      </c>
      <c r="AW1625" s="15" t="n">
        <v>99</v>
      </c>
      <c r="BS1625" s="15" t="n">
        <v>99</v>
      </c>
      <c r="CO1625" s="15" t="n">
        <v>99</v>
      </c>
      <c r="DK1625" s="15" t="n">
        <v>99</v>
      </c>
      <c r="EG1625" s="15" t="n">
        <v>99</v>
      </c>
      <c r="FC1625" s="15" t="n">
        <v>99</v>
      </c>
      <c r="FY1625" s="15" t="n">
        <v>99</v>
      </c>
      <c r="GU1625" s="15" t="n">
        <v>99</v>
      </c>
    </row>
    <row r="1626">
      <c r="C1626" s="15" t="n">
        <v>100</v>
      </c>
      <c r="AA1626" s="15" t="n">
        <v>100</v>
      </c>
      <c r="AW1626" s="15" t="n">
        <v>100</v>
      </c>
      <c r="BS1626" s="15" t="n">
        <v>100</v>
      </c>
      <c r="CO1626" s="15" t="n">
        <v>100</v>
      </c>
      <c r="DK1626" s="15" t="n">
        <v>100</v>
      </c>
      <c r="EG1626" s="15" t="n">
        <v>100</v>
      </c>
      <c r="FC1626" s="15" t="n">
        <v>100</v>
      </c>
      <c r="FY1626" s="15" t="n">
        <v>100</v>
      </c>
      <c r="GU1626" s="15" t="n">
        <v>100</v>
      </c>
    </row>
    <row r="1627">
      <c r="C1627" s="15" t="n">
        <v>101</v>
      </c>
      <c r="AA1627" s="15" t="n">
        <v>101</v>
      </c>
      <c r="AW1627" s="15" t="n">
        <v>101</v>
      </c>
      <c r="BS1627" s="15" t="n">
        <v>101</v>
      </c>
      <c r="CO1627" s="15" t="n">
        <v>101</v>
      </c>
      <c r="DK1627" s="15" t="n">
        <v>101</v>
      </c>
      <c r="EG1627" s="15" t="n">
        <v>101</v>
      </c>
      <c r="FC1627" s="15" t="n">
        <v>101</v>
      </c>
      <c r="FY1627" s="15" t="n">
        <v>101</v>
      </c>
      <c r="GU1627" s="15" t="n">
        <v>101</v>
      </c>
    </row>
    <row r="1628">
      <c r="C1628" s="15" t="n">
        <v>102</v>
      </c>
      <c r="AA1628" s="15" t="n">
        <v>102</v>
      </c>
      <c r="AW1628" s="15" t="n">
        <v>102</v>
      </c>
      <c r="BS1628" s="15" t="n">
        <v>102</v>
      </c>
      <c r="CO1628" s="15" t="n">
        <v>102</v>
      </c>
      <c r="DK1628" s="15" t="n">
        <v>102</v>
      </c>
      <c r="EG1628" s="15" t="n">
        <v>102</v>
      </c>
      <c r="FC1628" s="15" t="n">
        <v>102</v>
      </c>
      <c r="FY1628" s="15" t="n">
        <v>102</v>
      </c>
      <c r="GU1628" s="15" t="n">
        <v>102</v>
      </c>
    </row>
    <row r="1629">
      <c r="C1629" s="15" t="n">
        <v>103</v>
      </c>
      <c r="AA1629" s="15" t="n">
        <v>103</v>
      </c>
      <c r="AW1629" s="15" t="n">
        <v>103</v>
      </c>
      <c r="BS1629" s="15" t="n">
        <v>103</v>
      </c>
      <c r="CO1629" s="15" t="n">
        <v>103</v>
      </c>
      <c r="DK1629" s="15" t="n">
        <v>103</v>
      </c>
      <c r="EG1629" s="15" t="n">
        <v>103</v>
      </c>
      <c r="FC1629" s="15" t="n">
        <v>103</v>
      </c>
      <c r="FY1629" s="15" t="n">
        <v>103</v>
      </c>
      <c r="GU1629" s="15" t="n">
        <v>103</v>
      </c>
    </row>
    <row r="1630">
      <c r="C1630" s="15" t="n">
        <v>104</v>
      </c>
      <c r="AA1630" s="15" t="n">
        <v>104</v>
      </c>
      <c r="AW1630" s="15" t="n">
        <v>104</v>
      </c>
      <c r="BS1630" s="15" t="n">
        <v>104</v>
      </c>
      <c r="CO1630" s="15" t="n">
        <v>104</v>
      </c>
      <c r="DK1630" s="15" t="n">
        <v>104</v>
      </c>
      <c r="EG1630" s="15" t="n">
        <v>104</v>
      </c>
      <c r="FC1630" s="15" t="n">
        <v>104</v>
      </c>
      <c r="FY1630" s="15" t="n">
        <v>104</v>
      </c>
      <c r="GU1630" s="15" t="n">
        <v>104</v>
      </c>
    </row>
    <row r="1631">
      <c r="C1631" s="15" t="n">
        <v>105</v>
      </c>
      <c r="AA1631" s="15" t="n">
        <v>105</v>
      </c>
      <c r="AW1631" s="15" t="n">
        <v>105</v>
      </c>
      <c r="BS1631" s="15" t="n">
        <v>105</v>
      </c>
      <c r="CO1631" s="15" t="n">
        <v>105</v>
      </c>
      <c r="DK1631" s="15" t="n">
        <v>105</v>
      </c>
      <c r="EG1631" s="15" t="n">
        <v>105</v>
      </c>
      <c r="FC1631" s="15" t="n">
        <v>105</v>
      </c>
      <c r="FY1631" s="15" t="n">
        <v>105</v>
      </c>
      <c r="GU1631" s="15" t="n">
        <v>105</v>
      </c>
    </row>
    <row r="1632">
      <c r="C1632" s="15" t="n">
        <v>106</v>
      </c>
      <c r="AA1632" s="15" t="n">
        <v>106</v>
      </c>
      <c r="AW1632" s="15" t="n">
        <v>106</v>
      </c>
      <c r="BS1632" s="15" t="n">
        <v>106</v>
      </c>
      <c r="CO1632" s="15" t="n">
        <v>106</v>
      </c>
      <c r="DK1632" s="15" t="n">
        <v>106</v>
      </c>
      <c r="EG1632" s="15" t="n">
        <v>106</v>
      </c>
      <c r="FC1632" s="15" t="n">
        <v>106</v>
      </c>
      <c r="FY1632" s="15" t="n">
        <v>106</v>
      </c>
      <c r="GU1632" s="15" t="n">
        <v>106</v>
      </c>
    </row>
    <row r="1633">
      <c r="C1633" s="15" t="n">
        <v>107</v>
      </c>
      <c r="AA1633" s="15" t="n">
        <v>107</v>
      </c>
      <c r="AW1633" s="15" t="n">
        <v>107</v>
      </c>
      <c r="BS1633" s="15" t="n">
        <v>107</v>
      </c>
      <c r="CO1633" s="15" t="n">
        <v>107</v>
      </c>
      <c r="DK1633" s="15" t="n">
        <v>107</v>
      </c>
      <c r="EG1633" s="15" t="n">
        <v>107</v>
      </c>
      <c r="FC1633" s="15" t="n">
        <v>107</v>
      </c>
      <c r="FY1633" s="15" t="n">
        <v>107</v>
      </c>
      <c r="GU1633" s="15" t="n">
        <v>107</v>
      </c>
    </row>
    <row r="1634">
      <c r="C1634" s="15" t="n">
        <v>108</v>
      </c>
      <c r="AA1634" s="15" t="n">
        <v>108</v>
      </c>
      <c r="AW1634" s="15" t="n">
        <v>108</v>
      </c>
      <c r="BS1634" s="15" t="n">
        <v>108</v>
      </c>
      <c r="CO1634" s="15" t="n">
        <v>108</v>
      </c>
      <c r="DK1634" s="15" t="n">
        <v>108</v>
      </c>
      <c r="EG1634" s="15" t="n">
        <v>108</v>
      </c>
      <c r="FC1634" s="15" t="n">
        <v>108</v>
      </c>
      <c r="FY1634" s="15" t="n">
        <v>108</v>
      </c>
      <c r="GU1634" s="15" t="n">
        <v>108</v>
      </c>
    </row>
    <row r="1635">
      <c r="C1635" s="15" t="n">
        <v>109</v>
      </c>
      <c r="AA1635" s="15" t="n">
        <v>109</v>
      </c>
      <c r="AW1635" s="15" t="n">
        <v>109</v>
      </c>
      <c r="BS1635" s="15" t="n">
        <v>109</v>
      </c>
      <c r="CO1635" s="15" t="n">
        <v>109</v>
      </c>
      <c r="DK1635" s="15" t="n">
        <v>109</v>
      </c>
      <c r="EG1635" s="15" t="n">
        <v>109</v>
      </c>
      <c r="FC1635" s="15" t="n">
        <v>109</v>
      </c>
      <c r="FY1635" s="15" t="n">
        <v>109</v>
      </c>
      <c r="GU1635" s="15" t="n">
        <v>109</v>
      </c>
    </row>
    <row r="1636">
      <c r="C1636" s="15" t="n">
        <v>110</v>
      </c>
      <c r="AA1636" s="15" t="n">
        <v>110</v>
      </c>
      <c r="AW1636" s="15" t="n">
        <v>110</v>
      </c>
      <c r="BS1636" s="15" t="n">
        <v>110</v>
      </c>
      <c r="CO1636" s="15" t="n">
        <v>110</v>
      </c>
      <c r="DK1636" s="15" t="n">
        <v>110</v>
      </c>
      <c r="EG1636" s="15" t="n">
        <v>110</v>
      </c>
      <c r="FC1636" s="15" t="n">
        <v>110</v>
      </c>
      <c r="FY1636" s="15" t="n">
        <v>110</v>
      </c>
      <c r="GU1636" s="15" t="n">
        <v>110</v>
      </c>
    </row>
    <row r="1637">
      <c r="C1637" s="15" t="n">
        <v>111</v>
      </c>
      <c r="AA1637" s="15" t="n">
        <v>111</v>
      </c>
      <c r="AW1637" s="15" t="n">
        <v>111</v>
      </c>
      <c r="BS1637" s="15" t="n">
        <v>111</v>
      </c>
      <c r="CO1637" s="15" t="n">
        <v>111</v>
      </c>
      <c r="DK1637" s="15" t="n">
        <v>111</v>
      </c>
      <c r="EG1637" s="15" t="n">
        <v>111</v>
      </c>
      <c r="FC1637" s="15" t="n">
        <v>111</v>
      </c>
      <c r="FY1637" s="15" t="n">
        <v>111</v>
      </c>
      <c r="GU1637" s="15" t="n">
        <v>111</v>
      </c>
    </row>
    <row r="1638">
      <c r="C1638" s="15" t="n">
        <v>112</v>
      </c>
      <c r="AA1638" s="15" t="n">
        <v>112</v>
      </c>
      <c r="AW1638" s="15" t="n">
        <v>112</v>
      </c>
      <c r="BS1638" s="15" t="n">
        <v>112</v>
      </c>
      <c r="CO1638" s="15" t="n">
        <v>112</v>
      </c>
      <c r="DK1638" s="15" t="n">
        <v>112</v>
      </c>
      <c r="EG1638" s="15" t="n">
        <v>112</v>
      </c>
      <c r="FC1638" s="15" t="n">
        <v>112</v>
      </c>
      <c r="FY1638" s="15" t="n">
        <v>112</v>
      </c>
      <c r="GU1638" s="15" t="n">
        <v>112</v>
      </c>
    </row>
    <row r="1639">
      <c r="C1639" s="15" t="n">
        <v>113</v>
      </c>
      <c r="AA1639" s="15" t="n">
        <v>113</v>
      </c>
      <c r="AW1639" s="15" t="n">
        <v>113</v>
      </c>
      <c r="BS1639" s="15" t="n">
        <v>113</v>
      </c>
      <c r="CO1639" s="15" t="n">
        <v>113</v>
      </c>
      <c r="DK1639" s="15" t="n">
        <v>113</v>
      </c>
      <c r="EG1639" s="15" t="n">
        <v>113</v>
      </c>
      <c r="FC1639" s="15" t="n">
        <v>113</v>
      </c>
      <c r="FY1639" s="15" t="n">
        <v>113</v>
      </c>
      <c r="GU1639" s="15" t="n">
        <v>113</v>
      </c>
    </row>
    <row r="1640">
      <c r="C1640" s="15" t="n">
        <v>114</v>
      </c>
      <c r="AA1640" s="15" t="n">
        <v>114</v>
      </c>
      <c r="AW1640" s="15" t="n">
        <v>114</v>
      </c>
      <c r="BS1640" s="15" t="n">
        <v>114</v>
      </c>
      <c r="CO1640" s="15" t="n">
        <v>114</v>
      </c>
      <c r="DK1640" s="15" t="n">
        <v>114</v>
      </c>
      <c r="EG1640" s="15" t="n">
        <v>114</v>
      </c>
      <c r="FC1640" s="15" t="n">
        <v>114</v>
      </c>
      <c r="FY1640" s="15" t="n">
        <v>114</v>
      </c>
      <c r="GU1640" s="15" t="n">
        <v>114</v>
      </c>
    </row>
    <row r="1641">
      <c r="C1641" s="15" t="n">
        <v>115</v>
      </c>
      <c r="AA1641" s="15" t="n">
        <v>115</v>
      </c>
      <c r="AW1641" s="15" t="n">
        <v>115</v>
      </c>
      <c r="BS1641" s="15" t="n">
        <v>115</v>
      </c>
      <c r="CO1641" s="15" t="n">
        <v>115</v>
      </c>
      <c r="DK1641" s="15" t="n">
        <v>115</v>
      </c>
      <c r="EG1641" s="15" t="n">
        <v>115</v>
      </c>
      <c r="FC1641" s="15" t="n">
        <v>115</v>
      </c>
      <c r="FY1641" s="15" t="n">
        <v>115</v>
      </c>
      <c r="GU1641" s="15" t="n">
        <v>115</v>
      </c>
    </row>
    <row r="1642">
      <c r="C1642" s="15" t="n">
        <v>116</v>
      </c>
      <c r="AA1642" s="15" t="n">
        <v>116</v>
      </c>
      <c r="AW1642" s="15" t="n">
        <v>116</v>
      </c>
      <c r="BS1642" s="15" t="n">
        <v>116</v>
      </c>
      <c r="CO1642" s="15" t="n">
        <v>116</v>
      </c>
      <c r="DK1642" s="15" t="n">
        <v>116</v>
      </c>
      <c r="EG1642" s="15" t="n">
        <v>116</v>
      </c>
      <c r="FC1642" s="15" t="n">
        <v>116</v>
      </c>
      <c r="FY1642" s="15" t="n">
        <v>116</v>
      </c>
      <c r="GU1642" s="15" t="n">
        <v>116</v>
      </c>
    </row>
    <row r="1643">
      <c r="C1643" s="15" t="n">
        <v>117</v>
      </c>
      <c r="AA1643" s="15" t="n">
        <v>117</v>
      </c>
      <c r="AW1643" s="15" t="n">
        <v>117</v>
      </c>
      <c r="BS1643" s="15" t="n">
        <v>117</v>
      </c>
      <c r="CO1643" s="15" t="n">
        <v>117</v>
      </c>
      <c r="DK1643" s="15" t="n">
        <v>117</v>
      </c>
      <c r="EG1643" s="15" t="n">
        <v>117</v>
      </c>
      <c r="FC1643" s="15" t="n">
        <v>117</v>
      </c>
      <c r="FY1643" s="15" t="n">
        <v>117</v>
      </c>
      <c r="GU1643" s="15" t="n">
        <v>117</v>
      </c>
    </row>
    <row r="1644">
      <c r="C1644" s="15" t="n">
        <v>118</v>
      </c>
      <c r="AA1644" s="15" t="n">
        <v>118</v>
      </c>
      <c r="AW1644" s="15" t="n">
        <v>118</v>
      </c>
      <c r="BS1644" s="15" t="n">
        <v>118</v>
      </c>
      <c r="CO1644" s="15" t="n">
        <v>118</v>
      </c>
      <c r="DK1644" s="15" t="n">
        <v>118</v>
      </c>
      <c r="EG1644" s="15" t="n">
        <v>118</v>
      </c>
      <c r="FC1644" s="15" t="n">
        <v>118</v>
      </c>
      <c r="FY1644" s="15" t="n">
        <v>118</v>
      </c>
      <c r="GU1644" s="15" t="n">
        <v>118</v>
      </c>
    </row>
    <row r="1645">
      <c r="C1645" s="15" t="n">
        <v>119</v>
      </c>
      <c r="AA1645" s="15" t="n">
        <v>119</v>
      </c>
      <c r="AW1645" s="15" t="n">
        <v>119</v>
      </c>
      <c r="BS1645" s="15" t="n">
        <v>119</v>
      </c>
      <c r="CO1645" s="15" t="n">
        <v>119</v>
      </c>
      <c r="DK1645" s="15" t="n">
        <v>119</v>
      </c>
      <c r="EG1645" s="15" t="n">
        <v>119</v>
      </c>
      <c r="FC1645" s="15" t="n">
        <v>119</v>
      </c>
      <c r="FY1645" s="15" t="n">
        <v>119</v>
      </c>
      <c r="GU1645" s="15" t="n">
        <v>119</v>
      </c>
    </row>
    <row r="1646">
      <c r="C1646" s="15" t="n">
        <v>120</v>
      </c>
      <c r="AA1646" s="15" t="n">
        <v>120</v>
      </c>
      <c r="AW1646" s="15" t="n">
        <v>120</v>
      </c>
      <c r="BS1646" s="15" t="n">
        <v>120</v>
      </c>
      <c r="CO1646" s="15" t="n">
        <v>120</v>
      </c>
      <c r="DK1646" s="15" t="n">
        <v>120</v>
      </c>
      <c r="EG1646" s="15" t="n">
        <v>120</v>
      </c>
      <c r="FC1646" s="15" t="n">
        <v>120</v>
      </c>
      <c r="FY1646" s="15" t="n">
        <v>120</v>
      </c>
      <c r="GU1646" s="15" t="n">
        <v>120</v>
      </c>
    </row>
    <row r="1647">
      <c r="C1647" s="15" t="n">
        <v>121</v>
      </c>
      <c r="AA1647" s="15" t="n">
        <v>121</v>
      </c>
      <c r="AW1647" s="15" t="n">
        <v>121</v>
      </c>
      <c r="BS1647" s="15" t="n">
        <v>121</v>
      </c>
      <c r="CO1647" s="15" t="n">
        <v>121</v>
      </c>
      <c r="DK1647" s="15" t="n">
        <v>121</v>
      </c>
      <c r="EG1647" s="15" t="n">
        <v>121</v>
      </c>
      <c r="FC1647" s="15" t="n">
        <v>121</v>
      </c>
      <c r="FY1647" s="15" t="n">
        <v>121</v>
      </c>
      <c r="GU1647" s="15" t="n">
        <v>121</v>
      </c>
    </row>
    <row r="1648">
      <c r="C1648" s="15" t="n">
        <v>122</v>
      </c>
      <c r="AA1648" s="15" t="n">
        <v>122</v>
      </c>
      <c r="AW1648" s="15" t="n">
        <v>122</v>
      </c>
      <c r="BS1648" s="15" t="n">
        <v>122</v>
      </c>
      <c r="CO1648" s="15" t="n">
        <v>122</v>
      </c>
      <c r="DK1648" s="15" t="n">
        <v>122</v>
      </c>
      <c r="EG1648" s="15" t="n">
        <v>122</v>
      </c>
      <c r="FC1648" s="15" t="n">
        <v>122</v>
      </c>
      <c r="FY1648" s="15" t="n">
        <v>122</v>
      </c>
      <c r="GU1648" s="15" t="n">
        <v>122</v>
      </c>
    </row>
    <row r="1649">
      <c r="C1649" s="15" t="n">
        <v>123</v>
      </c>
      <c r="AA1649" s="15" t="n">
        <v>123</v>
      </c>
      <c r="AW1649" s="15" t="n">
        <v>123</v>
      </c>
      <c r="BS1649" s="15" t="n">
        <v>123</v>
      </c>
      <c r="CO1649" s="15" t="n">
        <v>123</v>
      </c>
      <c r="DK1649" s="15" t="n">
        <v>123</v>
      </c>
      <c r="EG1649" s="15" t="n">
        <v>123</v>
      </c>
      <c r="FC1649" s="15" t="n">
        <v>123</v>
      </c>
      <c r="FY1649" s="15" t="n">
        <v>123</v>
      </c>
      <c r="GU1649" s="15" t="n">
        <v>123</v>
      </c>
    </row>
    <row r="1650">
      <c r="C1650" s="15" t="n">
        <v>124</v>
      </c>
      <c r="AA1650" s="15" t="n">
        <v>124</v>
      </c>
      <c r="AW1650" s="15" t="n">
        <v>124</v>
      </c>
      <c r="BS1650" s="15" t="n">
        <v>124</v>
      </c>
      <c r="CO1650" s="15" t="n">
        <v>124</v>
      </c>
      <c r="DK1650" s="15" t="n">
        <v>124</v>
      </c>
      <c r="EG1650" s="15" t="n">
        <v>124</v>
      </c>
      <c r="FC1650" s="15" t="n">
        <v>124</v>
      </c>
      <c r="FY1650" s="15" t="n">
        <v>124</v>
      </c>
      <c r="GU1650" s="15" t="n">
        <v>124</v>
      </c>
    </row>
    <row r="1651">
      <c r="C1651" s="15" t="n">
        <v>125</v>
      </c>
      <c r="AA1651" s="15" t="n">
        <v>125</v>
      </c>
      <c r="AW1651" s="15" t="n">
        <v>125</v>
      </c>
      <c r="BS1651" s="15" t="n">
        <v>125</v>
      </c>
      <c r="CO1651" s="15" t="n">
        <v>125</v>
      </c>
      <c r="DK1651" s="15" t="n">
        <v>125</v>
      </c>
      <c r="EG1651" s="15" t="n">
        <v>125</v>
      </c>
      <c r="FC1651" s="15" t="n">
        <v>125</v>
      </c>
      <c r="FY1651" s="15" t="n">
        <v>125</v>
      </c>
      <c r="GU1651" s="15" t="n">
        <v>125</v>
      </c>
    </row>
    <row r="1652">
      <c r="C1652" s="15" t="n">
        <v>126</v>
      </c>
      <c r="AA1652" s="15" t="n">
        <v>126</v>
      </c>
      <c r="AW1652" s="15" t="n">
        <v>126</v>
      </c>
      <c r="BS1652" s="15" t="n">
        <v>126</v>
      </c>
      <c r="CO1652" s="15" t="n">
        <v>126</v>
      </c>
      <c r="DK1652" s="15" t="n">
        <v>126</v>
      </c>
      <c r="EG1652" s="15" t="n">
        <v>126</v>
      </c>
      <c r="FC1652" s="15" t="n">
        <v>126</v>
      </c>
      <c r="FY1652" s="15" t="n">
        <v>126</v>
      </c>
      <c r="GU1652" s="15" t="n">
        <v>126</v>
      </c>
    </row>
    <row r="1653">
      <c r="C1653" s="15" t="n">
        <v>127</v>
      </c>
      <c r="AA1653" s="15" t="n">
        <v>127</v>
      </c>
      <c r="AW1653" s="15" t="n">
        <v>127</v>
      </c>
      <c r="BS1653" s="15" t="n">
        <v>127</v>
      </c>
      <c r="CO1653" s="15" t="n">
        <v>127</v>
      </c>
      <c r="DK1653" s="15" t="n">
        <v>127</v>
      </c>
      <c r="EG1653" s="15" t="n">
        <v>127</v>
      </c>
      <c r="FC1653" s="15" t="n">
        <v>127</v>
      </c>
      <c r="FY1653" s="15" t="n">
        <v>127</v>
      </c>
      <c r="GU1653" s="15" t="n">
        <v>127</v>
      </c>
    </row>
    <row r="1654">
      <c r="C1654" s="15" t="n">
        <v>128</v>
      </c>
      <c r="AA1654" s="15" t="n">
        <v>128</v>
      </c>
      <c r="AW1654" s="15" t="n">
        <v>128</v>
      </c>
      <c r="BS1654" s="15" t="n">
        <v>128</v>
      </c>
      <c r="CO1654" s="15" t="n">
        <v>128</v>
      </c>
      <c r="DK1654" s="15" t="n">
        <v>128</v>
      </c>
      <c r="EG1654" s="15" t="n">
        <v>128</v>
      </c>
      <c r="FC1654" s="15" t="n">
        <v>128</v>
      </c>
      <c r="FY1654" s="15" t="n">
        <v>128</v>
      </c>
      <c r="GU1654" s="15" t="n">
        <v>128</v>
      </c>
    </row>
    <row r="1655">
      <c r="C1655" s="15" t="n">
        <v>129</v>
      </c>
      <c r="AA1655" s="15" t="n">
        <v>129</v>
      </c>
      <c r="AW1655" s="15" t="n">
        <v>129</v>
      </c>
      <c r="BS1655" s="15" t="n">
        <v>129</v>
      </c>
      <c r="CO1655" s="15" t="n">
        <v>129</v>
      </c>
      <c r="DK1655" s="15" t="n">
        <v>129</v>
      </c>
      <c r="EG1655" s="15" t="n">
        <v>129</v>
      </c>
      <c r="FC1655" s="15" t="n">
        <v>129</v>
      </c>
      <c r="FY1655" s="15" t="n">
        <v>129</v>
      </c>
      <c r="GU1655" s="15" t="n">
        <v>129</v>
      </c>
    </row>
    <row r="1656">
      <c r="C1656" s="15" t="n">
        <v>130</v>
      </c>
      <c r="AA1656" s="15" t="n">
        <v>130</v>
      </c>
      <c r="AW1656" s="15" t="n">
        <v>130</v>
      </c>
      <c r="BS1656" s="15" t="n">
        <v>130</v>
      </c>
      <c r="CO1656" s="15" t="n">
        <v>130</v>
      </c>
      <c r="DK1656" s="15" t="n">
        <v>130</v>
      </c>
      <c r="EG1656" s="15" t="n">
        <v>130</v>
      </c>
      <c r="FC1656" s="15" t="n">
        <v>130</v>
      </c>
      <c r="FY1656" s="15" t="n">
        <v>130</v>
      </c>
      <c r="GU1656" s="15" t="n">
        <v>130</v>
      </c>
    </row>
    <row r="1657">
      <c r="C1657" s="15" t="n">
        <v>131</v>
      </c>
      <c r="AA1657" s="15" t="n">
        <v>131</v>
      </c>
      <c r="AW1657" s="15" t="n">
        <v>131</v>
      </c>
      <c r="BS1657" s="15" t="n">
        <v>131</v>
      </c>
      <c r="CO1657" s="15" t="n">
        <v>131</v>
      </c>
      <c r="DK1657" s="15" t="n">
        <v>131</v>
      </c>
      <c r="EG1657" s="15" t="n">
        <v>131</v>
      </c>
      <c r="FC1657" s="15" t="n">
        <v>131</v>
      </c>
      <c r="FY1657" s="15" t="n">
        <v>131</v>
      </c>
      <c r="GU1657" s="15" t="n">
        <v>131</v>
      </c>
    </row>
    <row r="1658">
      <c r="C1658" s="15" t="n">
        <v>132</v>
      </c>
      <c r="AA1658" s="15" t="n">
        <v>132</v>
      </c>
      <c r="AW1658" s="15" t="n">
        <v>132</v>
      </c>
      <c r="BS1658" s="15" t="n">
        <v>132</v>
      </c>
      <c r="CO1658" s="15" t="n">
        <v>132</v>
      </c>
      <c r="DK1658" s="15" t="n">
        <v>132</v>
      </c>
      <c r="EG1658" s="15" t="n">
        <v>132</v>
      </c>
      <c r="FC1658" s="15" t="n">
        <v>132</v>
      </c>
      <c r="FY1658" s="15" t="n">
        <v>132</v>
      </c>
      <c r="GU1658" s="15" t="n">
        <v>132</v>
      </c>
    </row>
    <row r="1659">
      <c r="C1659" s="15" t="n">
        <v>133</v>
      </c>
      <c r="AA1659" s="15" t="n">
        <v>133</v>
      </c>
      <c r="AW1659" s="15" t="n">
        <v>133</v>
      </c>
      <c r="BS1659" s="15" t="n">
        <v>133</v>
      </c>
      <c r="CO1659" s="15" t="n">
        <v>133</v>
      </c>
      <c r="DK1659" s="15" t="n">
        <v>133</v>
      </c>
      <c r="EG1659" s="15" t="n">
        <v>133</v>
      </c>
      <c r="FC1659" s="15" t="n">
        <v>133</v>
      </c>
      <c r="FY1659" s="15" t="n">
        <v>133</v>
      </c>
      <c r="GU1659" s="15" t="n">
        <v>133</v>
      </c>
    </row>
    <row r="1660">
      <c r="C1660" s="15" t="n">
        <v>134</v>
      </c>
      <c r="AA1660" s="15" t="n">
        <v>134</v>
      </c>
      <c r="AW1660" s="15" t="n">
        <v>134</v>
      </c>
      <c r="BS1660" s="15" t="n">
        <v>134</v>
      </c>
      <c r="CO1660" s="15" t="n">
        <v>134</v>
      </c>
      <c r="DK1660" s="15" t="n">
        <v>134</v>
      </c>
      <c r="EG1660" s="15" t="n">
        <v>134</v>
      </c>
      <c r="FC1660" s="15" t="n">
        <v>134</v>
      </c>
      <c r="FY1660" s="15" t="n">
        <v>134</v>
      </c>
      <c r="GU1660" s="15" t="n">
        <v>134</v>
      </c>
    </row>
    <row r="1661">
      <c r="C1661" s="15" t="n">
        <v>135</v>
      </c>
      <c r="AA1661" s="15" t="n">
        <v>135</v>
      </c>
      <c r="AW1661" s="15" t="n">
        <v>135</v>
      </c>
      <c r="BS1661" s="15" t="n">
        <v>135</v>
      </c>
      <c r="CO1661" s="15" t="n">
        <v>135</v>
      </c>
      <c r="DK1661" s="15" t="n">
        <v>135</v>
      </c>
      <c r="EG1661" s="15" t="n">
        <v>135</v>
      </c>
      <c r="FC1661" s="15" t="n">
        <v>135</v>
      </c>
      <c r="FY1661" s="15" t="n">
        <v>135</v>
      </c>
      <c r="GU1661" s="15" t="n">
        <v>135</v>
      </c>
    </row>
    <row r="1662">
      <c r="C1662" s="15" t="n">
        <v>136</v>
      </c>
      <c r="AA1662" s="15" t="n">
        <v>136</v>
      </c>
      <c r="AW1662" s="15" t="n">
        <v>136</v>
      </c>
      <c r="BS1662" s="15" t="n">
        <v>136</v>
      </c>
      <c r="CO1662" s="15" t="n">
        <v>136</v>
      </c>
      <c r="DK1662" s="15" t="n">
        <v>136</v>
      </c>
      <c r="EG1662" s="15" t="n">
        <v>136</v>
      </c>
      <c r="FC1662" s="15" t="n">
        <v>136</v>
      </c>
      <c r="FY1662" s="15" t="n">
        <v>136</v>
      </c>
      <c r="GU1662" s="15" t="n">
        <v>136</v>
      </c>
    </row>
    <row r="1663">
      <c r="C1663" s="15" t="n">
        <v>137</v>
      </c>
      <c r="AA1663" s="15" t="n">
        <v>137</v>
      </c>
      <c r="AW1663" s="15" t="n">
        <v>137</v>
      </c>
      <c r="BS1663" s="15" t="n">
        <v>137</v>
      </c>
      <c r="CO1663" s="15" t="n">
        <v>137</v>
      </c>
      <c r="DK1663" s="15" t="n">
        <v>137</v>
      </c>
      <c r="EG1663" s="15" t="n">
        <v>137</v>
      </c>
      <c r="FC1663" s="15" t="n">
        <v>137</v>
      </c>
      <c r="FY1663" s="15" t="n">
        <v>137</v>
      </c>
      <c r="GU1663" s="15" t="n">
        <v>137</v>
      </c>
    </row>
    <row r="1664">
      <c r="C1664" s="15" t="n">
        <v>138</v>
      </c>
      <c r="AA1664" s="15" t="n">
        <v>138</v>
      </c>
      <c r="AW1664" s="15" t="n">
        <v>138</v>
      </c>
      <c r="BS1664" s="15" t="n">
        <v>138</v>
      </c>
      <c r="CO1664" s="15" t="n">
        <v>138</v>
      </c>
      <c r="DK1664" s="15" t="n">
        <v>138</v>
      </c>
      <c r="EG1664" s="15" t="n">
        <v>138</v>
      </c>
      <c r="FC1664" s="15" t="n">
        <v>138</v>
      </c>
      <c r="FY1664" s="15" t="n">
        <v>138</v>
      </c>
      <c r="GU1664" s="15" t="n">
        <v>138</v>
      </c>
    </row>
    <row r="1665">
      <c r="C1665" s="15" t="n">
        <v>139</v>
      </c>
      <c r="AA1665" s="15" t="n">
        <v>139</v>
      </c>
      <c r="AW1665" s="15" t="n">
        <v>139</v>
      </c>
      <c r="BS1665" s="15" t="n">
        <v>139</v>
      </c>
      <c r="CO1665" s="15" t="n">
        <v>139</v>
      </c>
      <c r="DK1665" s="15" t="n">
        <v>139</v>
      </c>
      <c r="EG1665" s="15" t="n">
        <v>139</v>
      </c>
      <c r="FC1665" s="15" t="n">
        <v>139</v>
      </c>
      <c r="FY1665" s="15" t="n">
        <v>139</v>
      </c>
      <c r="GU1665" s="15" t="n">
        <v>139</v>
      </c>
    </row>
    <row r="1666">
      <c r="C1666" s="15" t="n">
        <v>140</v>
      </c>
      <c r="AA1666" s="15" t="n">
        <v>140</v>
      </c>
      <c r="AW1666" s="15" t="n">
        <v>140</v>
      </c>
      <c r="BS1666" s="15" t="n">
        <v>140</v>
      </c>
      <c r="CO1666" s="15" t="n">
        <v>140</v>
      </c>
      <c r="DK1666" s="15" t="n">
        <v>140</v>
      </c>
      <c r="EG1666" s="15" t="n">
        <v>140</v>
      </c>
      <c r="FC1666" s="15" t="n">
        <v>140</v>
      </c>
      <c r="FY1666" s="15" t="n">
        <v>140</v>
      </c>
      <c r="GU1666" s="15" t="n">
        <v>140</v>
      </c>
    </row>
    <row r="1667">
      <c r="C1667" s="15" t="n">
        <v>141</v>
      </c>
      <c r="AA1667" s="15" t="n">
        <v>141</v>
      </c>
      <c r="AW1667" s="15" t="n">
        <v>141</v>
      </c>
      <c r="BS1667" s="15" t="n">
        <v>141</v>
      </c>
      <c r="CO1667" s="15" t="n">
        <v>141</v>
      </c>
      <c r="DK1667" s="15" t="n">
        <v>141</v>
      </c>
      <c r="EG1667" s="15" t="n">
        <v>141</v>
      </c>
      <c r="FC1667" s="15" t="n">
        <v>141</v>
      </c>
      <c r="FY1667" s="15" t="n">
        <v>141</v>
      </c>
      <c r="GU1667" s="15" t="n">
        <v>141</v>
      </c>
    </row>
    <row r="1668">
      <c r="C1668" s="15" t="n">
        <v>142</v>
      </c>
      <c r="AA1668" s="15" t="n">
        <v>142</v>
      </c>
      <c r="AW1668" s="15" t="n">
        <v>142</v>
      </c>
      <c r="BS1668" s="15" t="n">
        <v>142</v>
      </c>
      <c r="CO1668" s="15" t="n">
        <v>142</v>
      </c>
      <c r="DK1668" s="15" t="n">
        <v>142</v>
      </c>
      <c r="EG1668" s="15" t="n">
        <v>142</v>
      </c>
      <c r="FC1668" s="15" t="n">
        <v>142</v>
      </c>
      <c r="FY1668" s="15" t="n">
        <v>142</v>
      </c>
      <c r="GU1668" s="15" t="n">
        <v>142</v>
      </c>
    </row>
    <row r="1669">
      <c r="C1669" s="15" t="n">
        <v>143</v>
      </c>
      <c r="AA1669" s="15" t="n">
        <v>143</v>
      </c>
      <c r="AW1669" s="15" t="n">
        <v>143</v>
      </c>
      <c r="BS1669" s="15" t="n">
        <v>143</v>
      </c>
      <c r="CO1669" s="15" t="n">
        <v>143</v>
      </c>
      <c r="DK1669" s="15" t="n">
        <v>143</v>
      </c>
      <c r="EG1669" s="15" t="n">
        <v>143</v>
      </c>
      <c r="FC1669" s="15" t="n">
        <v>143</v>
      </c>
      <c r="FY1669" s="15" t="n">
        <v>143</v>
      </c>
      <c r="GU1669" s="15" t="n">
        <v>143</v>
      </c>
    </row>
    <row r="1670">
      <c r="C1670" s="15" t="n">
        <v>144</v>
      </c>
      <c r="AA1670" s="15" t="n">
        <v>144</v>
      </c>
      <c r="AW1670" s="15" t="n">
        <v>144</v>
      </c>
      <c r="BS1670" s="15" t="n">
        <v>144</v>
      </c>
      <c r="CO1670" s="15" t="n">
        <v>144</v>
      </c>
      <c r="DK1670" s="15" t="n">
        <v>144</v>
      </c>
      <c r="EG1670" s="15" t="n">
        <v>144</v>
      </c>
      <c r="FC1670" s="15" t="n">
        <v>144</v>
      </c>
      <c r="FY1670" s="15" t="n">
        <v>144</v>
      </c>
      <c r="GU1670" s="15" t="n">
        <v>144</v>
      </c>
    </row>
    <row r="1671">
      <c r="C1671" s="15" t="n">
        <v>145</v>
      </c>
      <c r="AA1671" s="15" t="n">
        <v>145</v>
      </c>
      <c r="AW1671" s="15" t="n">
        <v>145</v>
      </c>
      <c r="BS1671" s="15" t="n">
        <v>145</v>
      </c>
      <c r="CO1671" s="15" t="n">
        <v>145</v>
      </c>
      <c r="DK1671" s="15" t="n">
        <v>145</v>
      </c>
      <c r="EG1671" s="15" t="n">
        <v>145</v>
      </c>
      <c r="FC1671" s="15" t="n">
        <v>145</v>
      </c>
      <c r="FY1671" s="15" t="n">
        <v>145</v>
      </c>
      <c r="GU1671" s="15" t="n">
        <v>145</v>
      </c>
    </row>
    <row r="1672">
      <c r="C1672" s="15" t="n">
        <v>146</v>
      </c>
      <c r="AA1672" s="15" t="n">
        <v>146</v>
      </c>
      <c r="AW1672" s="15" t="n">
        <v>146</v>
      </c>
      <c r="BS1672" s="15" t="n">
        <v>146</v>
      </c>
      <c r="CO1672" s="15" t="n">
        <v>146</v>
      </c>
      <c r="DK1672" s="15" t="n">
        <v>146</v>
      </c>
      <c r="EG1672" s="15" t="n">
        <v>146</v>
      </c>
      <c r="FC1672" s="15" t="n">
        <v>146</v>
      </c>
      <c r="FY1672" s="15" t="n">
        <v>146</v>
      </c>
      <c r="GU1672" s="15" t="n">
        <v>146</v>
      </c>
    </row>
    <row r="1673">
      <c r="C1673" s="15" t="n">
        <v>147</v>
      </c>
      <c r="AA1673" s="15" t="n">
        <v>147</v>
      </c>
      <c r="AW1673" s="15" t="n">
        <v>147</v>
      </c>
      <c r="BS1673" s="15" t="n">
        <v>147</v>
      </c>
      <c r="CO1673" s="15" t="n">
        <v>147</v>
      </c>
      <c r="DK1673" s="15" t="n">
        <v>147</v>
      </c>
      <c r="EG1673" s="15" t="n">
        <v>147</v>
      </c>
      <c r="FC1673" s="15" t="n">
        <v>147</v>
      </c>
      <c r="FY1673" s="15" t="n">
        <v>147</v>
      </c>
      <c r="GU1673" s="15" t="n">
        <v>147</v>
      </c>
    </row>
    <row r="1674">
      <c r="C1674" s="15" t="n">
        <v>148</v>
      </c>
      <c r="AA1674" s="15" t="n">
        <v>148</v>
      </c>
      <c r="AW1674" s="15" t="n">
        <v>148</v>
      </c>
      <c r="BS1674" s="15" t="n">
        <v>148</v>
      </c>
      <c r="CO1674" s="15" t="n">
        <v>148</v>
      </c>
      <c r="DK1674" s="15" t="n">
        <v>148</v>
      </c>
      <c r="EG1674" s="15" t="n">
        <v>148</v>
      </c>
      <c r="FC1674" s="15" t="n">
        <v>148</v>
      </c>
      <c r="FY1674" s="15" t="n">
        <v>148</v>
      </c>
      <c r="GU1674" s="15" t="n">
        <v>148</v>
      </c>
    </row>
    <row r="1675">
      <c r="C1675" s="15" t="n">
        <v>149</v>
      </c>
      <c r="AA1675" s="15" t="n">
        <v>149</v>
      </c>
      <c r="AW1675" s="15" t="n">
        <v>149</v>
      </c>
      <c r="BS1675" s="15" t="n">
        <v>149</v>
      </c>
      <c r="CO1675" s="15" t="n">
        <v>149</v>
      </c>
      <c r="DK1675" s="15" t="n">
        <v>149</v>
      </c>
      <c r="EG1675" s="15" t="n">
        <v>149</v>
      </c>
      <c r="FC1675" s="15" t="n">
        <v>149</v>
      </c>
      <c r="FY1675" s="15" t="n">
        <v>149</v>
      </c>
      <c r="GU1675" s="15" t="n">
        <v>149</v>
      </c>
    </row>
    <row r="1676">
      <c r="C1676" s="15" t="n">
        <v>150</v>
      </c>
      <c r="AA1676" s="15" t="n">
        <v>150</v>
      </c>
      <c r="AW1676" s="15" t="n">
        <v>150</v>
      </c>
      <c r="BS1676" s="15" t="n">
        <v>150</v>
      </c>
      <c r="CO1676" s="15" t="n">
        <v>150</v>
      </c>
      <c r="DK1676" s="15" t="n">
        <v>150</v>
      </c>
      <c r="EG1676" s="15" t="n">
        <v>150</v>
      </c>
      <c r="FC1676" s="15" t="n">
        <v>150</v>
      </c>
      <c r="FY1676" s="15" t="n">
        <v>150</v>
      </c>
      <c r="GU1676" s="15" t="n">
        <v>150</v>
      </c>
    </row>
    <row r="1677">
      <c r="C1677" s="15" t="n">
        <v>151</v>
      </c>
      <c r="AA1677" s="15" t="n">
        <v>151</v>
      </c>
      <c r="AW1677" s="15" t="n">
        <v>151</v>
      </c>
      <c r="BS1677" s="15" t="n">
        <v>151</v>
      </c>
      <c r="CO1677" s="15" t="n">
        <v>151</v>
      </c>
      <c r="DK1677" s="15" t="n">
        <v>151</v>
      </c>
      <c r="EG1677" s="15" t="n">
        <v>151</v>
      </c>
      <c r="FC1677" s="15" t="n">
        <v>151</v>
      </c>
      <c r="FY1677" s="15" t="n">
        <v>151</v>
      </c>
      <c r="GU1677" s="15" t="n">
        <v>151</v>
      </c>
    </row>
    <row r="1678">
      <c r="C1678" s="15" t="n">
        <v>152</v>
      </c>
      <c r="AA1678" s="15" t="n">
        <v>152</v>
      </c>
      <c r="AW1678" s="15" t="n">
        <v>152</v>
      </c>
      <c r="BS1678" s="15" t="n">
        <v>152</v>
      </c>
      <c r="CO1678" s="15" t="n">
        <v>152</v>
      </c>
      <c r="DK1678" s="15" t="n">
        <v>152</v>
      </c>
      <c r="EG1678" s="15" t="n">
        <v>152</v>
      </c>
      <c r="FC1678" s="15" t="n">
        <v>152</v>
      </c>
      <c r="FY1678" s="15" t="n">
        <v>152</v>
      </c>
      <c r="GU1678" s="15" t="n">
        <v>152</v>
      </c>
    </row>
    <row r="1679">
      <c r="C1679" s="15" t="n">
        <v>153</v>
      </c>
      <c r="AA1679" s="15" t="n">
        <v>153</v>
      </c>
      <c r="AW1679" s="15" t="n">
        <v>153</v>
      </c>
      <c r="BS1679" s="15" t="n">
        <v>153</v>
      </c>
      <c r="CO1679" s="15" t="n">
        <v>153</v>
      </c>
      <c r="DK1679" s="15" t="n">
        <v>153</v>
      </c>
      <c r="EG1679" s="15" t="n">
        <v>153</v>
      </c>
      <c r="FC1679" s="15" t="n">
        <v>153</v>
      </c>
      <c r="FY1679" s="15" t="n">
        <v>153</v>
      </c>
      <c r="GU1679" s="15" t="n">
        <v>153</v>
      </c>
    </row>
    <row r="1680">
      <c r="C1680" s="15" t="n">
        <v>154</v>
      </c>
      <c r="AA1680" s="15" t="n">
        <v>154</v>
      </c>
      <c r="AW1680" s="15" t="n">
        <v>154</v>
      </c>
      <c r="BS1680" s="15" t="n">
        <v>154</v>
      </c>
      <c r="CO1680" s="15" t="n">
        <v>154</v>
      </c>
      <c r="DK1680" s="15" t="n">
        <v>154</v>
      </c>
      <c r="EG1680" s="15" t="n">
        <v>154</v>
      </c>
      <c r="FC1680" s="15" t="n">
        <v>154</v>
      </c>
      <c r="FY1680" s="15" t="n">
        <v>154</v>
      </c>
      <c r="GU1680" s="15" t="n">
        <v>154</v>
      </c>
    </row>
    <row r="1681">
      <c r="C1681" s="15" t="n">
        <v>155</v>
      </c>
      <c r="AA1681" s="15" t="n">
        <v>155</v>
      </c>
      <c r="AW1681" s="15" t="n">
        <v>155</v>
      </c>
      <c r="BS1681" s="15" t="n">
        <v>155</v>
      </c>
      <c r="CO1681" s="15" t="n">
        <v>155</v>
      </c>
      <c r="DK1681" s="15" t="n">
        <v>155</v>
      </c>
      <c r="EG1681" s="15" t="n">
        <v>155</v>
      </c>
      <c r="FC1681" s="15" t="n">
        <v>155</v>
      </c>
      <c r="FY1681" s="15" t="n">
        <v>155</v>
      </c>
      <c r="GU1681" s="15" t="n">
        <v>155</v>
      </c>
    </row>
    <row r="1682">
      <c r="C1682" s="15" t="n">
        <v>156</v>
      </c>
      <c r="AA1682" s="15" t="n">
        <v>156</v>
      </c>
      <c r="AW1682" s="15" t="n">
        <v>156</v>
      </c>
      <c r="BS1682" s="15" t="n">
        <v>156</v>
      </c>
      <c r="CO1682" s="15" t="n">
        <v>156</v>
      </c>
      <c r="DK1682" s="15" t="n">
        <v>156</v>
      </c>
      <c r="EG1682" s="15" t="n">
        <v>156</v>
      </c>
      <c r="FC1682" s="15" t="n">
        <v>156</v>
      </c>
      <c r="FY1682" s="15" t="n">
        <v>156</v>
      </c>
      <c r="GU1682" s="15" t="n">
        <v>156</v>
      </c>
    </row>
    <row r="1683">
      <c r="C1683" s="15" t="n">
        <v>157</v>
      </c>
      <c r="AA1683" s="15" t="n">
        <v>157</v>
      </c>
      <c r="AW1683" s="15" t="n">
        <v>157</v>
      </c>
      <c r="BS1683" s="15" t="n">
        <v>157</v>
      </c>
      <c r="CO1683" s="15" t="n">
        <v>157</v>
      </c>
      <c r="DK1683" s="15" t="n">
        <v>157</v>
      </c>
      <c r="EG1683" s="15" t="n">
        <v>157</v>
      </c>
      <c r="FC1683" s="15" t="n">
        <v>157</v>
      </c>
      <c r="FY1683" s="15" t="n">
        <v>157</v>
      </c>
      <c r="GU1683" s="15" t="n">
        <v>157</v>
      </c>
    </row>
    <row r="1684">
      <c r="C1684" s="15" t="n">
        <v>158</v>
      </c>
      <c r="AA1684" s="15" t="n">
        <v>158</v>
      </c>
      <c r="AW1684" s="15" t="n">
        <v>158</v>
      </c>
      <c r="BS1684" s="15" t="n">
        <v>158</v>
      </c>
      <c r="CO1684" s="15" t="n">
        <v>158</v>
      </c>
      <c r="DK1684" s="15" t="n">
        <v>158</v>
      </c>
      <c r="EG1684" s="15" t="n">
        <v>158</v>
      </c>
      <c r="FC1684" s="15" t="n">
        <v>158</v>
      </c>
      <c r="FY1684" s="15" t="n">
        <v>158</v>
      </c>
      <c r="GU1684" s="15" t="n">
        <v>158</v>
      </c>
    </row>
    <row r="1685">
      <c r="C1685" s="15" t="n">
        <v>159</v>
      </c>
      <c r="AA1685" s="15" t="n">
        <v>159</v>
      </c>
      <c r="AW1685" s="15" t="n">
        <v>159</v>
      </c>
      <c r="BS1685" s="15" t="n">
        <v>159</v>
      </c>
      <c r="CO1685" s="15" t="n">
        <v>159</v>
      </c>
      <c r="DK1685" s="15" t="n">
        <v>159</v>
      </c>
      <c r="EG1685" s="15" t="n">
        <v>159</v>
      </c>
      <c r="FC1685" s="15" t="n">
        <v>159</v>
      </c>
      <c r="FY1685" s="15" t="n">
        <v>159</v>
      </c>
      <c r="GU1685" s="15" t="n">
        <v>159</v>
      </c>
    </row>
    <row r="1686">
      <c r="C1686" s="15" t="n">
        <v>160</v>
      </c>
      <c r="AA1686" s="15" t="n">
        <v>160</v>
      </c>
      <c r="AW1686" s="15" t="n">
        <v>160</v>
      </c>
      <c r="BS1686" s="15" t="n">
        <v>160</v>
      </c>
      <c r="CO1686" s="15" t="n">
        <v>160</v>
      </c>
      <c r="DK1686" s="15" t="n">
        <v>160</v>
      </c>
      <c r="EG1686" s="15" t="n">
        <v>160</v>
      </c>
      <c r="FC1686" s="15" t="n">
        <v>160</v>
      </c>
      <c r="FY1686" s="15" t="n">
        <v>160</v>
      </c>
      <c r="GU1686" s="15" t="n">
        <v>160</v>
      </c>
    </row>
    <row r="1687">
      <c r="C1687" s="15" t="n">
        <v>161</v>
      </c>
      <c r="AA1687" s="15" t="n">
        <v>161</v>
      </c>
      <c r="AW1687" s="15" t="n">
        <v>161</v>
      </c>
      <c r="BS1687" s="15" t="n">
        <v>161</v>
      </c>
      <c r="CO1687" s="15" t="n">
        <v>161</v>
      </c>
      <c r="DK1687" s="15" t="n">
        <v>161</v>
      </c>
      <c r="EG1687" s="15" t="n">
        <v>161</v>
      </c>
      <c r="FC1687" s="15" t="n">
        <v>161</v>
      </c>
      <c r="FY1687" s="15" t="n">
        <v>161</v>
      </c>
      <c r="GU1687" s="15" t="n">
        <v>161</v>
      </c>
    </row>
    <row r="1688">
      <c r="C1688" s="15" t="n">
        <v>162</v>
      </c>
      <c r="AA1688" s="15" t="n">
        <v>162</v>
      </c>
      <c r="AW1688" s="15" t="n">
        <v>162</v>
      </c>
      <c r="BS1688" s="15" t="n">
        <v>162</v>
      </c>
      <c r="CO1688" s="15" t="n">
        <v>162</v>
      </c>
      <c r="DK1688" s="15" t="n">
        <v>162</v>
      </c>
      <c r="EG1688" s="15" t="n">
        <v>162</v>
      </c>
      <c r="FC1688" s="15" t="n">
        <v>162</v>
      </c>
      <c r="FY1688" s="15" t="n">
        <v>162</v>
      </c>
      <c r="GU1688" s="15" t="n">
        <v>162</v>
      </c>
    </row>
    <row r="1689">
      <c r="C1689" s="15" t="n">
        <v>163</v>
      </c>
      <c r="AA1689" s="15" t="n">
        <v>163</v>
      </c>
      <c r="AW1689" s="15" t="n">
        <v>163</v>
      </c>
      <c r="BS1689" s="15" t="n">
        <v>163</v>
      </c>
      <c r="CO1689" s="15" t="n">
        <v>163</v>
      </c>
      <c r="DK1689" s="15" t="n">
        <v>163</v>
      </c>
      <c r="EG1689" s="15" t="n">
        <v>163</v>
      </c>
      <c r="FC1689" s="15" t="n">
        <v>163</v>
      </c>
      <c r="FY1689" s="15" t="n">
        <v>163</v>
      </c>
      <c r="GU1689" s="15" t="n">
        <v>163</v>
      </c>
    </row>
    <row r="1690">
      <c r="C1690" s="15" t="n">
        <v>164</v>
      </c>
      <c r="AA1690" s="15" t="n">
        <v>164</v>
      </c>
      <c r="AW1690" s="15" t="n">
        <v>164</v>
      </c>
      <c r="BS1690" s="15" t="n">
        <v>164</v>
      </c>
      <c r="CO1690" s="15" t="n">
        <v>164</v>
      </c>
      <c r="DK1690" s="15" t="n">
        <v>164</v>
      </c>
      <c r="EG1690" s="15" t="n">
        <v>164</v>
      </c>
      <c r="FC1690" s="15" t="n">
        <v>164</v>
      </c>
      <c r="FY1690" s="15" t="n">
        <v>164</v>
      </c>
      <c r="GU1690" s="15" t="n">
        <v>164</v>
      </c>
    </row>
    <row r="1691">
      <c r="C1691" s="15" t="n">
        <v>165</v>
      </c>
      <c r="AA1691" s="15" t="n">
        <v>165</v>
      </c>
      <c r="AW1691" s="15" t="n">
        <v>165</v>
      </c>
      <c r="BS1691" s="15" t="n">
        <v>165</v>
      </c>
      <c r="CO1691" s="15" t="n">
        <v>165</v>
      </c>
      <c r="DK1691" s="15" t="n">
        <v>165</v>
      </c>
      <c r="EG1691" s="15" t="n">
        <v>165</v>
      </c>
      <c r="FC1691" s="15" t="n">
        <v>165</v>
      </c>
      <c r="FY1691" s="15" t="n">
        <v>165</v>
      </c>
      <c r="GU1691" s="15" t="n">
        <v>165</v>
      </c>
    </row>
    <row r="1692">
      <c r="C1692" s="15" t="n">
        <v>166</v>
      </c>
      <c r="AA1692" s="15" t="n">
        <v>166</v>
      </c>
      <c r="AW1692" s="15" t="n">
        <v>166</v>
      </c>
      <c r="BS1692" s="15" t="n">
        <v>166</v>
      </c>
      <c r="CO1692" s="15" t="n">
        <v>166</v>
      </c>
      <c r="DK1692" s="15" t="n">
        <v>166</v>
      </c>
      <c r="EG1692" s="15" t="n">
        <v>166</v>
      </c>
      <c r="FC1692" s="15" t="n">
        <v>166</v>
      </c>
      <c r="FY1692" s="15" t="n">
        <v>166</v>
      </c>
      <c r="GU1692" s="15" t="n">
        <v>166</v>
      </c>
    </row>
    <row r="1693">
      <c r="C1693" s="15" t="n">
        <v>167</v>
      </c>
      <c r="AA1693" s="15" t="n">
        <v>167</v>
      </c>
      <c r="AW1693" s="15" t="n">
        <v>167</v>
      </c>
      <c r="BS1693" s="15" t="n">
        <v>167</v>
      </c>
      <c r="CO1693" s="15" t="n">
        <v>167</v>
      </c>
      <c r="DK1693" s="15" t="n">
        <v>167</v>
      </c>
      <c r="EG1693" s="15" t="n">
        <v>167</v>
      </c>
      <c r="FC1693" s="15" t="n">
        <v>167</v>
      </c>
      <c r="FY1693" s="15" t="n">
        <v>167</v>
      </c>
      <c r="GU1693" s="15" t="n">
        <v>167</v>
      </c>
    </row>
    <row r="1694">
      <c r="C1694" s="15" t="n">
        <v>168</v>
      </c>
      <c r="AA1694" s="15" t="n">
        <v>168</v>
      </c>
      <c r="AW1694" s="15" t="n">
        <v>168</v>
      </c>
      <c r="BS1694" s="15" t="n">
        <v>168</v>
      </c>
      <c r="CO1694" s="15" t="n">
        <v>168</v>
      </c>
      <c r="DK1694" s="15" t="n">
        <v>168</v>
      </c>
      <c r="EG1694" s="15" t="n">
        <v>168</v>
      </c>
      <c r="FC1694" s="15" t="n">
        <v>168</v>
      </c>
      <c r="FY1694" s="15" t="n">
        <v>168</v>
      </c>
      <c r="GU1694" s="15" t="n">
        <v>168</v>
      </c>
    </row>
    <row r="1695">
      <c r="C1695" s="15" t="n">
        <v>169</v>
      </c>
      <c r="AA1695" s="15" t="n">
        <v>169</v>
      </c>
      <c r="AW1695" s="15" t="n">
        <v>169</v>
      </c>
      <c r="BS1695" s="15" t="n">
        <v>169</v>
      </c>
      <c r="CO1695" s="15" t="n">
        <v>169</v>
      </c>
      <c r="DK1695" s="15" t="n">
        <v>169</v>
      </c>
      <c r="EG1695" s="15" t="n">
        <v>169</v>
      </c>
      <c r="FC1695" s="15" t="n">
        <v>169</v>
      </c>
      <c r="FY1695" s="15" t="n">
        <v>169</v>
      </c>
      <c r="GU1695" s="15" t="n">
        <v>169</v>
      </c>
    </row>
    <row r="1696">
      <c r="C1696" s="15" t="n">
        <v>170</v>
      </c>
      <c r="AA1696" s="15" t="n">
        <v>170</v>
      </c>
      <c r="AW1696" s="15" t="n">
        <v>170</v>
      </c>
      <c r="BS1696" s="15" t="n">
        <v>170</v>
      </c>
      <c r="CO1696" s="15" t="n">
        <v>170</v>
      </c>
      <c r="DK1696" s="15" t="n">
        <v>170</v>
      </c>
      <c r="EG1696" s="15" t="n">
        <v>170</v>
      </c>
      <c r="FC1696" s="15" t="n">
        <v>170</v>
      </c>
      <c r="FY1696" s="15" t="n">
        <v>170</v>
      </c>
      <c r="GU1696" s="15" t="n">
        <v>170</v>
      </c>
    </row>
    <row r="1697">
      <c r="C1697" s="15" t="n">
        <v>171</v>
      </c>
      <c r="AA1697" s="15" t="n">
        <v>171</v>
      </c>
      <c r="AW1697" s="15" t="n">
        <v>171</v>
      </c>
      <c r="BS1697" s="15" t="n">
        <v>171</v>
      </c>
      <c r="CO1697" s="15" t="n">
        <v>171</v>
      </c>
      <c r="DK1697" s="15" t="n">
        <v>171</v>
      </c>
      <c r="EG1697" s="15" t="n">
        <v>171</v>
      </c>
      <c r="FC1697" s="15" t="n">
        <v>171</v>
      </c>
      <c r="FY1697" s="15" t="n">
        <v>171</v>
      </c>
      <c r="GU1697" s="15" t="n">
        <v>171</v>
      </c>
    </row>
    <row r="1698">
      <c r="C1698" s="15" t="n">
        <v>172</v>
      </c>
      <c r="AA1698" s="15" t="n">
        <v>172</v>
      </c>
      <c r="AW1698" s="15" t="n">
        <v>172</v>
      </c>
      <c r="BS1698" s="15" t="n">
        <v>172</v>
      </c>
      <c r="CO1698" s="15" t="n">
        <v>172</v>
      </c>
      <c r="DK1698" s="15" t="n">
        <v>172</v>
      </c>
      <c r="EG1698" s="15" t="n">
        <v>172</v>
      </c>
      <c r="FC1698" s="15" t="n">
        <v>172</v>
      </c>
      <c r="FY1698" s="15" t="n">
        <v>172</v>
      </c>
      <c r="GU1698" s="15" t="n">
        <v>172</v>
      </c>
    </row>
    <row r="1699">
      <c r="C1699" s="15" t="n">
        <v>173</v>
      </c>
      <c r="AA1699" s="15" t="n">
        <v>173</v>
      </c>
      <c r="AW1699" s="15" t="n">
        <v>173</v>
      </c>
      <c r="BS1699" s="15" t="n">
        <v>173</v>
      </c>
      <c r="CO1699" s="15" t="n">
        <v>173</v>
      </c>
      <c r="DK1699" s="15" t="n">
        <v>173</v>
      </c>
      <c r="EG1699" s="15" t="n">
        <v>173</v>
      </c>
      <c r="FC1699" s="15" t="n">
        <v>173</v>
      </c>
      <c r="FY1699" s="15" t="n">
        <v>173</v>
      </c>
      <c r="GU1699" s="15" t="n">
        <v>173</v>
      </c>
    </row>
    <row r="1700">
      <c r="C1700" s="15" t="n">
        <v>174</v>
      </c>
      <c r="AA1700" s="15" t="n">
        <v>174</v>
      </c>
      <c r="AW1700" s="15" t="n">
        <v>174</v>
      </c>
      <c r="BS1700" s="15" t="n">
        <v>174</v>
      </c>
      <c r="CO1700" s="15" t="n">
        <v>174</v>
      </c>
      <c r="DK1700" s="15" t="n">
        <v>174</v>
      </c>
      <c r="EG1700" s="15" t="n">
        <v>174</v>
      </c>
      <c r="FC1700" s="15" t="n">
        <v>174</v>
      </c>
      <c r="FY1700" s="15" t="n">
        <v>174</v>
      </c>
      <c r="GU1700" s="15" t="n">
        <v>174</v>
      </c>
    </row>
    <row r="1701">
      <c r="C1701" s="15" t="n">
        <v>175</v>
      </c>
      <c r="AA1701" s="15" t="n">
        <v>175</v>
      </c>
      <c r="AW1701" s="15" t="n">
        <v>175</v>
      </c>
      <c r="BS1701" s="15" t="n">
        <v>175</v>
      </c>
      <c r="CO1701" s="15" t="n">
        <v>175</v>
      </c>
      <c r="DK1701" s="15" t="n">
        <v>175</v>
      </c>
      <c r="EG1701" s="15" t="n">
        <v>175</v>
      </c>
      <c r="FC1701" s="15" t="n">
        <v>175</v>
      </c>
      <c r="FY1701" s="15" t="n">
        <v>175</v>
      </c>
      <c r="GU1701" s="15" t="n">
        <v>175</v>
      </c>
    </row>
    <row r="1702">
      <c r="C1702" s="15" t="n">
        <v>176</v>
      </c>
      <c r="AA1702" s="15" t="n">
        <v>176</v>
      </c>
      <c r="AW1702" s="15" t="n">
        <v>176</v>
      </c>
      <c r="BS1702" s="15" t="n">
        <v>176</v>
      </c>
      <c r="CO1702" s="15" t="n">
        <v>176</v>
      </c>
      <c r="DK1702" s="15" t="n">
        <v>176</v>
      </c>
      <c r="EG1702" s="15" t="n">
        <v>176</v>
      </c>
      <c r="FC1702" s="15" t="n">
        <v>176</v>
      </c>
      <c r="FY1702" s="15" t="n">
        <v>176</v>
      </c>
      <c r="GU1702" s="15" t="n">
        <v>176</v>
      </c>
    </row>
    <row r="1703">
      <c r="C1703" s="15" t="n">
        <v>177</v>
      </c>
      <c r="AA1703" s="15" t="n">
        <v>177</v>
      </c>
      <c r="AW1703" s="15" t="n">
        <v>177</v>
      </c>
      <c r="BS1703" s="15" t="n">
        <v>177</v>
      </c>
      <c r="CO1703" s="15" t="n">
        <v>177</v>
      </c>
      <c r="DK1703" s="15" t="n">
        <v>177</v>
      </c>
      <c r="EG1703" s="15" t="n">
        <v>177</v>
      </c>
      <c r="FC1703" s="15" t="n">
        <v>177</v>
      </c>
      <c r="FY1703" s="15" t="n">
        <v>177</v>
      </c>
      <c r="GU1703" s="15" t="n">
        <v>177</v>
      </c>
    </row>
    <row r="1704">
      <c r="C1704" s="15" t="n">
        <v>178</v>
      </c>
      <c r="AA1704" s="15" t="n">
        <v>178</v>
      </c>
      <c r="AW1704" s="15" t="n">
        <v>178</v>
      </c>
      <c r="BS1704" s="15" t="n">
        <v>178</v>
      </c>
      <c r="CO1704" s="15" t="n">
        <v>178</v>
      </c>
      <c r="DK1704" s="15" t="n">
        <v>178</v>
      </c>
      <c r="EG1704" s="15" t="n">
        <v>178</v>
      </c>
      <c r="FC1704" s="15" t="n">
        <v>178</v>
      </c>
      <c r="FY1704" s="15" t="n">
        <v>178</v>
      </c>
      <c r="GU1704" s="15" t="n">
        <v>178</v>
      </c>
    </row>
    <row r="1705">
      <c r="C1705" s="15" t="n">
        <v>179</v>
      </c>
      <c r="AA1705" s="15" t="n">
        <v>179</v>
      </c>
      <c r="AW1705" s="15" t="n">
        <v>179</v>
      </c>
      <c r="BS1705" s="15" t="n">
        <v>179</v>
      </c>
      <c r="CO1705" s="15" t="n">
        <v>179</v>
      </c>
      <c r="DK1705" s="15" t="n">
        <v>179</v>
      </c>
      <c r="EG1705" s="15" t="n">
        <v>179</v>
      </c>
      <c r="FC1705" s="15" t="n">
        <v>179</v>
      </c>
      <c r="FY1705" s="15" t="n">
        <v>179</v>
      </c>
      <c r="GU1705" s="15" t="n">
        <v>179</v>
      </c>
    </row>
    <row r="1706">
      <c r="C1706" s="15" t="n">
        <v>180</v>
      </c>
      <c r="AA1706" s="15" t="n">
        <v>180</v>
      </c>
      <c r="AW1706" s="15" t="n">
        <v>180</v>
      </c>
      <c r="BS1706" s="15" t="n">
        <v>180</v>
      </c>
      <c r="CO1706" s="15" t="n">
        <v>180</v>
      </c>
      <c r="DK1706" s="15" t="n">
        <v>180</v>
      </c>
      <c r="EG1706" s="15" t="n">
        <v>180</v>
      </c>
      <c r="FC1706" s="15" t="n">
        <v>180</v>
      </c>
      <c r="FY1706" s="15" t="n">
        <v>180</v>
      </c>
      <c r="GU1706" s="15" t="n">
        <v>180</v>
      </c>
    </row>
    <row r="1707">
      <c r="C1707" s="15" t="n">
        <v>181</v>
      </c>
      <c r="AA1707" s="15" t="n">
        <v>181</v>
      </c>
      <c r="AW1707" s="15" t="n">
        <v>181</v>
      </c>
      <c r="BS1707" s="15" t="n">
        <v>181</v>
      </c>
      <c r="CO1707" s="15" t="n">
        <v>181</v>
      </c>
      <c r="DK1707" s="15" t="n">
        <v>181</v>
      </c>
      <c r="EG1707" s="15" t="n">
        <v>181</v>
      </c>
      <c r="FC1707" s="15" t="n">
        <v>181</v>
      </c>
      <c r="FY1707" s="15" t="n">
        <v>181</v>
      </c>
      <c r="GU1707" s="15" t="n">
        <v>181</v>
      </c>
    </row>
    <row r="1708">
      <c r="C1708" s="15" t="n">
        <v>182</v>
      </c>
      <c r="AA1708" s="15" t="n">
        <v>182</v>
      </c>
      <c r="AW1708" s="15" t="n">
        <v>182</v>
      </c>
      <c r="BS1708" s="15" t="n">
        <v>182</v>
      </c>
      <c r="CO1708" s="15" t="n">
        <v>182</v>
      </c>
      <c r="DK1708" s="15" t="n">
        <v>182</v>
      </c>
      <c r="EG1708" s="15" t="n">
        <v>182</v>
      </c>
      <c r="FC1708" s="15" t="n">
        <v>182</v>
      </c>
      <c r="FY1708" s="15" t="n">
        <v>182</v>
      </c>
      <c r="GU1708" s="15" t="n">
        <v>182</v>
      </c>
    </row>
    <row r="1709">
      <c r="C1709" s="15" t="n">
        <v>183</v>
      </c>
      <c r="AA1709" s="15" t="n">
        <v>183</v>
      </c>
      <c r="AW1709" s="15" t="n">
        <v>183</v>
      </c>
      <c r="BS1709" s="15" t="n">
        <v>183</v>
      </c>
      <c r="CO1709" s="15" t="n">
        <v>183</v>
      </c>
      <c r="DK1709" s="15" t="n">
        <v>183</v>
      </c>
      <c r="EG1709" s="15" t="n">
        <v>183</v>
      </c>
      <c r="FC1709" s="15" t="n">
        <v>183</v>
      </c>
      <c r="FY1709" s="15" t="n">
        <v>183</v>
      </c>
      <c r="GU1709" s="15" t="n">
        <v>183</v>
      </c>
    </row>
    <row r="1710">
      <c r="C1710" s="15" t="n">
        <v>184</v>
      </c>
      <c r="AA1710" s="15" t="n">
        <v>184</v>
      </c>
      <c r="AW1710" s="15" t="n">
        <v>184</v>
      </c>
      <c r="BS1710" s="15" t="n">
        <v>184</v>
      </c>
      <c r="CO1710" s="15" t="n">
        <v>184</v>
      </c>
      <c r="DK1710" s="15" t="n">
        <v>184</v>
      </c>
      <c r="EG1710" s="15" t="n">
        <v>184</v>
      </c>
      <c r="FC1710" s="15" t="n">
        <v>184</v>
      </c>
      <c r="FY1710" s="15" t="n">
        <v>184</v>
      </c>
      <c r="GU1710" s="15" t="n">
        <v>184</v>
      </c>
    </row>
    <row r="1711">
      <c r="C1711" s="15" t="n">
        <v>185</v>
      </c>
      <c r="AA1711" s="15" t="n">
        <v>185</v>
      </c>
      <c r="AW1711" s="15" t="n">
        <v>185</v>
      </c>
      <c r="BS1711" s="15" t="n">
        <v>185</v>
      </c>
      <c r="CO1711" s="15" t="n">
        <v>185</v>
      </c>
      <c r="DK1711" s="15" t="n">
        <v>185</v>
      </c>
      <c r="EG1711" s="15" t="n">
        <v>185</v>
      </c>
      <c r="FC1711" s="15" t="n">
        <v>185</v>
      </c>
      <c r="FY1711" s="15" t="n">
        <v>185</v>
      </c>
      <c r="GU1711" s="15" t="n">
        <v>185</v>
      </c>
    </row>
    <row r="1712">
      <c r="C1712" s="15" t="n">
        <v>186</v>
      </c>
      <c r="AA1712" s="15" t="n">
        <v>186</v>
      </c>
      <c r="AW1712" s="15" t="n">
        <v>186</v>
      </c>
      <c r="BS1712" s="15" t="n">
        <v>186</v>
      </c>
      <c r="CO1712" s="15" t="n">
        <v>186</v>
      </c>
      <c r="DK1712" s="15" t="n">
        <v>186</v>
      </c>
      <c r="EG1712" s="15" t="n">
        <v>186</v>
      </c>
      <c r="FC1712" s="15" t="n">
        <v>186</v>
      </c>
      <c r="FY1712" s="15" t="n">
        <v>186</v>
      </c>
      <c r="GU1712" s="15" t="n">
        <v>186</v>
      </c>
    </row>
    <row r="1713">
      <c r="C1713" s="15" t="n">
        <v>187</v>
      </c>
      <c r="AA1713" s="15" t="n">
        <v>187</v>
      </c>
      <c r="AW1713" s="15" t="n">
        <v>187</v>
      </c>
      <c r="BS1713" s="15" t="n">
        <v>187</v>
      </c>
      <c r="CO1713" s="15" t="n">
        <v>187</v>
      </c>
      <c r="DK1713" s="15" t="n">
        <v>187</v>
      </c>
      <c r="EG1713" s="15" t="n">
        <v>187</v>
      </c>
      <c r="FC1713" s="15" t="n">
        <v>187</v>
      </c>
      <c r="FY1713" s="15" t="n">
        <v>187</v>
      </c>
      <c r="GU1713" s="15" t="n">
        <v>187</v>
      </c>
    </row>
    <row r="1714">
      <c r="C1714" s="15" t="n">
        <v>188</v>
      </c>
      <c r="AA1714" s="15" t="n">
        <v>188</v>
      </c>
      <c r="AW1714" s="15" t="n">
        <v>188</v>
      </c>
      <c r="BS1714" s="15" t="n">
        <v>188</v>
      </c>
      <c r="CO1714" s="15" t="n">
        <v>188</v>
      </c>
      <c r="DK1714" s="15" t="n">
        <v>188</v>
      </c>
      <c r="EG1714" s="15" t="n">
        <v>188</v>
      </c>
      <c r="FC1714" s="15" t="n">
        <v>188</v>
      </c>
      <c r="FY1714" s="15" t="n">
        <v>188</v>
      </c>
      <c r="GU1714" s="15" t="n">
        <v>188</v>
      </c>
    </row>
    <row r="1715">
      <c r="C1715" s="15" t="n">
        <v>189</v>
      </c>
      <c r="AA1715" s="15" t="n">
        <v>189</v>
      </c>
      <c r="AW1715" s="15" t="n">
        <v>189</v>
      </c>
      <c r="BS1715" s="15" t="n">
        <v>189</v>
      </c>
      <c r="CO1715" s="15" t="n">
        <v>189</v>
      </c>
      <c r="DK1715" s="15" t="n">
        <v>189</v>
      </c>
      <c r="EG1715" s="15" t="n">
        <v>189</v>
      </c>
      <c r="FC1715" s="15" t="n">
        <v>189</v>
      </c>
      <c r="FY1715" s="15" t="n">
        <v>189</v>
      </c>
      <c r="GU1715" s="15" t="n">
        <v>189</v>
      </c>
    </row>
    <row r="1716">
      <c r="C1716" s="15" t="n">
        <v>190</v>
      </c>
      <c r="AA1716" s="15" t="n">
        <v>190</v>
      </c>
      <c r="AW1716" s="15" t="n">
        <v>190</v>
      </c>
      <c r="BS1716" s="15" t="n">
        <v>190</v>
      </c>
      <c r="CO1716" s="15" t="n">
        <v>190</v>
      </c>
      <c r="DK1716" s="15" t="n">
        <v>190</v>
      </c>
      <c r="EG1716" s="15" t="n">
        <v>190</v>
      </c>
      <c r="FC1716" s="15" t="n">
        <v>190</v>
      </c>
      <c r="FY1716" s="15" t="n">
        <v>190</v>
      </c>
      <c r="GU1716" s="15" t="n">
        <v>190</v>
      </c>
    </row>
    <row r="1717">
      <c r="C1717" s="15" t="n">
        <v>191</v>
      </c>
      <c r="AA1717" s="15" t="n">
        <v>191</v>
      </c>
      <c r="AW1717" s="15" t="n">
        <v>191</v>
      </c>
      <c r="BS1717" s="15" t="n">
        <v>191</v>
      </c>
      <c r="CO1717" s="15" t="n">
        <v>191</v>
      </c>
      <c r="DK1717" s="15" t="n">
        <v>191</v>
      </c>
      <c r="EG1717" s="15" t="n">
        <v>191</v>
      </c>
      <c r="FC1717" s="15" t="n">
        <v>191</v>
      </c>
      <c r="FY1717" s="15" t="n">
        <v>191</v>
      </c>
      <c r="GU1717" s="15" t="n">
        <v>191</v>
      </c>
    </row>
    <row r="1718">
      <c r="C1718" s="15" t="n">
        <v>192</v>
      </c>
      <c r="AA1718" s="15" t="n">
        <v>192</v>
      </c>
      <c r="AW1718" s="15" t="n">
        <v>192</v>
      </c>
      <c r="BS1718" s="15" t="n">
        <v>192</v>
      </c>
      <c r="CO1718" s="15" t="n">
        <v>192</v>
      </c>
      <c r="DK1718" s="15" t="n">
        <v>192</v>
      </c>
      <c r="EG1718" s="15" t="n">
        <v>192</v>
      </c>
      <c r="FC1718" s="15" t="n">
        <v>192</v>
      </c>
      <c r="FY1718" s="15" t="n">
        <v>192</v>
      </c>
      <c r="GU1718" s="15" t="n">
        <v>192</v>
      </c>
    </row>
    <row r="1719">
      <c r="C1719" s="15" t="n">
        <v>193</v>
      </c>
      <c r="AA1719" s="15" t="n">
        <v>193</v>
      </c>
      <c r="AW1719" s="15" t="n">
        <v>193</v>
      </c>
      <c r="BS1719" s="15" t="n">
        <v>193</v>
      </c>
      <c r="CO1719" s="15" t="n">
        <v>193</v>
      </c>
      <c r="DK1719" s="15" t="n">
        <v>193</v>
      </c>
      <c r="EG1719" s="15" t="n">
        <v>193</v>
      </c>
      <c r="FC1719" s="15" t="n">
        <v>193</v>
      </c>
      <c r="FY1719" s="15" t="n">
        <v>193</v>
      </c>
      <c r="GU1719" s="15" t="n">
        <v>193</v>
      </c>
    </row>
    <row r="1720">
      <c r="C1720" s="15" t="n">
        <v>194</v>
      </c>
      <c r="AA1720" s="15" t="n">
        <v>194</v>
      </c>
      <c r="AW1720" s="15" t="n">
        <v>194</v>
      </c>
      <c r="BS1720" s="15" t="n">
        <v>194</v>
      </c>
      <c r="CO1720" s="15" t="n">
        <v>194</v>
      </c>
      <c r="DK1720" s="15" t="n">
        <v>194</v>
      </c>
      <c r="EG1720" s="15" t="n">
        <v>194</v>
      </c>
      <c r="FC1720" s="15" t="n">
        <v>194</v>
      </c>
      <c r="FY1720" s="15" t="n">
        <v>194</v>
      </c>
      <c r="GU1720" s="15" t="n">
        <v>194</v>
      </c>
    </row>
    <row r="1721">
      <c r="C1721" s="15" t="n">
        <v>195</v>
      </c>
      <c r="AA1721" s="15" t="n">
        <v>195</v>
      </c>
      <c r="AW1721" s="15" t="n">
        <v>195</v>
      </c>
      <c r="BS1721" s="15" t="n">
        <v>195</v>
      </c>
      <c r="CO1721" s="15" t="n">
        <v>195</v>
      </c>
      <c r="DK1721" s="15" t="n">
        <v>195</v>
      </c>
      <c r="EG1721" s="15" t="n">
        <v>195</v>
      </c>
      <c r="FC1721" s="15" t="n">
        <v>195</v>
      </c>
      <c r="FY1721" s="15" t="n">
        <v>195</v>
      </c>
      <c r="GU1721" s="15" t="n">
        <v>195</v>
      </c>
    </row>
    <row r="1722">
      <c r="C1722" s="15" t="n">
        <v>196</v>
      </c>
      <c r="AA1722" s="15" t="n">
        <v>196</v>
      </c>
      <c r="AW1722" s="15" t="n">
        <v>196</v>
      </c>
      <c r="BS1722" s="15" t="n">
        <v>196</v>
      </c>
      <c r="CO1722" s="15" t="n">
        <v>196</v>
      </c>
      <c r="DK1722" s="15" t="n">
        <v>196</v>
      </c>
      <c r="EG1722" s="15" t="n">
        <v>196</v>
      </c>
      <c r="FC1722" s="15" t="n">
        <v>196</v>
      </c>
      <c r="FY1722" s="15" t="n">
        <v>196</v>
      </c>
      <c r="GU1722" s="15" t="n">
        <v>196</v>
      </c>
    </row>
    <row r="1723">
      <c r="C1723" s="15" t="n">
        <v>197</v>
      </c>
      <c r="AA1723" s="15" t="n">
        <v>197</v>
      </c>
      <c r="AW1723" s="15" t="n">
        <v>197</v>
      </c>
      <c r="BS1723" s="15" t="n">
        <v>197</v>
      </c>
      <c r="CO1723" s="15" t="n">
        <v>197</v>
      </c>
      <c r="DK1723" s="15" t="n">
        <v>197</v>
      </c>
      <c r="EG1723" s="15" t="n">
        <v>197</v>
      </c>
      <c r="FC1723" s="15" t="n">
        <v>197</v>
      </c>
      <c r="FY1723" s="15" t="n">
        <v>197</v>
      </c>
      <c r="GU1723" s="15" t="n">
        <v>197</v>
      </c>
    </row>
    <row r="1724">
      <c r="C1724" s="15" t="n">
        <v>198</v>
      </c>
      <c r="AA1724" s="15" t="n">
        <v>198</v>
      </c>
      <c r="AW1724" s="15" t="n">
        <v>198</v>
      </c>
      <c r="BS1724" s="15" t="n">
        <v>198</v>
      </c>
      <c r="CO1724" s="15" t="n">
        <v>198</v>
      </c>
      <c r="DK1724" s="15" t="n">
        <v>198</v>
      </c>
      <c r="EG1724" s="15" t="n">
        <v>198</v>
      </c>
      <c r="FC1724" s="15" t="n">
        <v>198</v>
      </c>
      <c r="FY1724" s="15" t="n">
        <v>198</v>
      </c>
      <c r="GU1724" s="15" t="n">
        <v>198</v>
      </c>
    </row>
    <row r="1726" ht="16.2" customHeight="1">
      <c r="C1726" s="15" t="inlineStr">
        <is>
          <t>Variance coeff - z(S2nd)</t>
        </is>
      </c>
      <c r="D1726" s="15" t="n">
        <v>22</v>
      </c>
      <c r="E1726" s="15" t="n">
        <v>23</v>
      </c>
      <c r="F1726" s="15" t="n">
        <v>24</v>
      </c>
      <c r="AA1726" s="15" t="inlineStr">
        <is>
          <t>Variance coeff - z(S2nd)</t>
        </is>
      </c>
      <c r="AB1726" s="15" t="n">
        <v>22</v>
      </c>
      <c r="AC1726" s="15" t="n">
        <v>23</v>
      </c>
      <c r="AD1726" s="15" t="n">
        <v>24</v>
      </c>
      <c r="AW1726" s="15" t="inlineStr">
        <is>
          <t>Variance coeff - z(S2nd)</t>
        </is>
      </c>
      <c r="AX1726" s="15" t="n">
        <v>22</v>
      </c>
      <c r="AY1726" s="15" t="n">
        <v>23</v>
      </c>
      <c r="AZ1726" s="15" t="n">
        <v>24</v>
      </c>
      <c r="BS1726" s="15" t="inlineStr">
        <is>
          <t>Variance coeff - z(S2nd)</t>
        </is>
      </c>
      <c r="BT1726" s="15" t="n">
        <v>22</v>
      </c>
      <c r="BU1726" s="15" t="n">
        <v>23</v>
      </c>
      <c r="BV1726" s="15" t="n">
        <v>24</v>
      </c>
      <c r="CO1726" s="15" t="inlineStr">
        <is>
          <t>Variance coeff - z(S2nd)</t>
        </is>
      </c>
      <c r="CP1726" s="15" t="n">
        <v>22</v>
      </c>
      <c r="CQ1726" s="15" t="n">
        <v>23</v>
      </c>
      <c r="CR1726" s="15" t="n">
        <v>24</v>
      </c>
      <c r="DK1726" s="15" t="inlineStr">
        <is>
          <t>Variance coeff - z(S2nd)</t>
        </is>
      </c>
      <c r="DL1726" s="15" t="n">
        <v>22</v>
      </c>
      <c r="DM1726" s="15" t="n">
        <v>23</v>
      </c>
      <c r="DN1726" s="15" t="n">
        <v>24</v>
      </c>
      <c r="EG1726" s="15" t="inlineStr">
        <is>
          <t>Variance coeff - z(S2nd)</t>
        </is>
      </c>
      <c r="EH1726" s="15" t="n">
        <v>22</v>
      </c>
      <c r="EI1726" s="15" t="n">
        <v>23</v>
      </c>
      <c r="EJ1726" s="15" t="n">
        <v>24</v>
      </c>
      <c r="FC1726" s="15" t="inlineStr">
        <is>
          <t>Variance coeff - z(S2nd)</t>
        </is>
      </c>
      <c r="FD1726" s="15" t="n">
        <v>22</v>
      </c>
      <c r="FE1726" s="15" t="n">
        <v>23</v>
      </c>
      <c r="FF1726" s="15" t="n">
        <v>24</v>
      </c>
      <c r="FY1726" s="15" t="inlineStr">
        <is>
          <t>Variance coeff - z(S2nd)</t>
        </is>
      </c>
      <c r="FZ1726" s="15" t="n">
        <v>22</v>
      </c>
      <c r="GA1726" s="15" t="n">
        <v>23</v>
      </c>
      <c r="GB1726" s="15" t="n">
        <v>24</v>
      </c>
      <c r="GU1726" s="15" t="inlineStr">
        <is>
          <t>Variance coeff - z(S2nd)</t>
        </is>
      </c>
      <c r="GV1726" s="15" t="n">
        <v>22</v>
      </c>
      <c r="GW1726" s="15" t="n">
        <v>23</v>
      </c>
      <c r="GX1726" s="15" t="n">
        <v>24</v>
      </c>
    </row>
    <row r="1727">
      <c r="C1727" s="15" t="n">
        <v>9</v>
      </c>
      <c r="AA1727" s="15" t="n">
        <v>9</v>
      </c>
      <c r="AW1727" s="15" t="n">
        <v>9</v>
      </c>
      <c r="BS1727" s="15" t="n">
        <v>9</v>
      </c>
      <c r="CO1727" s="15" t="n">
        <v>9</v>
      </c>
      <c r="DK1727" s="15" t="n">
        <v>9</v>
      </c>
      <c r="EG1727" s="15" t="n">
        <v>9</v>
      </c>
      <c r="FC1727" s="15" t="n">
        <v>9</v>
      </c>
      <c r="FY1727" s="15" t="n">
        <v>9</v>
      </c>
      <c r="GU1727" s="15" t="n">
        <v>9</v>
      </c>
    </row>
    <row r="1728">
      <c r="C1728" s="15" t="n">
        <v>10</v>
      </c>
      <c r="AA1728" s="15" t="n">
        <v>10</v>
      </c>
      <c r="AW1728" s="15" t="n">
        <v>10</v>
      </c>
      <c r="BS1728" s="15" t="n">
        <v>10</v>
      </c>
      <c r="CO1728" s="15" t="n">
        <v>10</v>
      </c>
      <c r="DK1728" s="15" t="n">
        <v>10</v>
      </c>
      <c r="EG1728" s="15" t="n">
        <v>10</v>
      </c>
      <c r="FC1728" s="15" t="n">
        <v>10</v>
      </c>
      <c r="FY1728" s="15" t="n">
        <v>10</v>
      </c>
      <c r="GU1728" s="15" t="n">
        <v>10</v>
      </c>
    </row>
    <row r="1729">
      <c r="C1729" s="15" t="n">
        <v>11</v>
      </c>
      <c r="AA1729" s="15" t="n">
        <v>11</v>
      </c>
      <c r="AW1729" s="15" t="n">
        <v>11</v>
      </c>
      <c r="BS1729" s="15" t="n">
        <v>11</v>
      </c>
      <c r="CO1729" s="15" t="n">
        <v>11</v>
      </c>
      <c r="DK1729" s="15" t="n">
        <v>11</v>
      </c>
      <c r="EG1729" s="15" t="n">
        <v>11</v>
      </c>
      <c r="FC1729" s="15" t="n">
        <v>11</v>
      </c>
      <c r="FY1729" s="15" t="n">
        <v>11</v>
      </c>
      <c r="GU1729" s="15" t="n">
        <v>11</v>
      </c>
    </row>
    <row r="1730">
      <c r="C1730" s="15" t="n">
        <v>12</v>
      </c>
      <c r="AA1730" s="15" t="n">
        <v>12</v>
      </c>
      <c r="AW1730" s="15" t="n">
        <v>12</v>
      </c>
      <c r="BS1730" s="15" t="n">
        <v>12</v>
      </c>
      <c r="CO1730" s="15" t="n">
        <v>12</v>
      </c>
      <c r="DK1730" s="15" t="n">
        <v>12</v>
      </c>
      <c r="EG1730" s="15" t="n">
        <v>12</v>
      </c>
      <c r="FC1730" s="15" t="n">
        <v>12</v>
      </c>
      <c r="FY1730" s="15" t="n">
        <v>12</v>
      </c>
      <c r="GU1730" s="15" t="n">
        <v>12</v>
      </c>
    </row>
    <row r="1731">
      <c r="C1731" s="15" t="n">
        <v>13</v>
      </c>
      <c r="AA1731" s="15" t="n">
        <v>13</v>
      </c>
      <c r="AW1731" s="15" t="n">
        <v>13</v>
      </c>
      <c r="BS1731" s="15" t="n">
        <v>13</v>
      </c>
      <c r="CO1731" s="15" t="n">
        <v>13</v>
      </c>
      <c r="DK1731" s="15" t="n">
        <v>13</v>
      </c>
      <c r="EG1731" s="15" t="n">
        <v>13</v>
      </c>
      <c r="FC1731" s="15" t="n">
        <v>13</v>
      </c>
      <c r="FY1731" s="15" t="n">
        <v>13</v>
      </c>
      <c r="GU1731" s="15" t="n">
        <v>13</v>
      </c>
    </row>
    <row r="1732">
      <c r="C1732" s="15" t="n">
        <v>14</v>
      </c>
      <c r="AA1732" s="15" t="n">
        <v>14</v>
      </c>
      <c r="AW1732" s="15" t="n">
        <v>14</v>
      </c>
      <c r="BS1732" s="15" t="n">
        <v>14</v>
      </c>
      <c r="CO1732" s="15" t="n">
        <v>14</v>
      </c>
      <c r="DK1732" s="15" t="n">
        <v>14</v>
      </c>
      <c r="EG1732" s="15" t="n">
        <v>14</v>
      </c>
      <c r="FC1732" s="15" t="n">
        <v>14</v>
      </c>
      <c r="FY1732" s="15" t="n">
        <v>14</v>
      </c>
      <c r="GU1732" s="15" t="n">
        <v>14</v>
      </c>
    </row>
    <row r="1733">
      <c r="C1733" s="15" t="n">
        <v>15</v>
      </c>
      <c r="AA1733" s="15" t="n">
        <v>15</v>
      </c>
      <c r="AW1733" s="15" t="n">
        <v>15</v>
      </c>
      <c r="BS1733" s="15" t="n">
        <v>15</v>
      </c>
      <c r="CO1733" s="15" t="n">
        <v>15</v>
      </c>
      <c r="DK1733" s="15" t="n">
        <v>15</v>
      </c>
      <c r="EG1733" s="15" t="n">
        <v>15</v>
      </c>
      <c r="FC1733" s="15" t="n">
        <v>15</v>
      </c>
      <c r="FY1733" s="15" t="n">
        <v>15</v>
      </c>
      <c r="GU1733" s="15" t="n">
        <v>15</v>
      </c>
    </row>
    <row r="1734">
      <c r="C1734" s="15" t="n">
        <v>16</v>
      </c>
      <c r="AA1734" s="15" t="n">
        <v>16</v>
      </c>
      <c r="AW1734" s="15" t="n">
        <v>16</v>
      </c>
      <c r="BS1734" s="15" t="n">
        <v>16</v>
      </c>
      <c r="CO1734" s="15" t="n">
        <v>16</v>
      </c>
      <c r="DK1734" s="15" t="n">
        <v>16</v>
      </c>
      <c r="EG1734" s="15" t="n">
        <v>16</v>
      </c>
      <c r="FC1734" s="15" t="n">
        <v>16</v>
      </c>
      <c r="FY1734" s="15" t="n">
        <v>16</v>
      </c>
      <c r="GU1734" s="15" t="n">
        <v>16</v>
      </c>
    </row>
    <row r="1735">
      <c r="C1735" s="15" t="n">
        <v>17</v>
      </c>
      <c r="AA1735" s="15" t="n">
        <v>17</v>
      </c>
      <c r="AW1735" s="15" t="n">
        <v>17</v>
      </c>
      <c r="BS1735" s="15" t="n">
        <v>17</v>
      </c>
      <c r="CO1735" s="15" t="n">
        <v>17</v>
      </c>
      <c r="DK1735" s="15" t="n">
        <v>17</v>
      </c>
      <c r="EG1735" s="15" t="n">
        <v>17</v>
      </c>
      <c r="FC1735" s="15" t="n">
        <v>17</v>
      </c>
      <c r="FY1735" s="15" t="n">
        <v>17</v>
      </c>
      <c r="GU1735" s="15" t="n">
        <v>17</v>
      </c>
    </row>
    <row r="1736">
      <c r="C1736" s="15" t="n">
        <v>18</v>
      </c>
      <c r="AA1736" s="15" t="n">
        <v>18</v>
      </c>
      <c r="AW1736" s="15" t="n">
        <v>18</v>
      </c>
      <c r="BS1736" s="15" t="n">
        <v>18</v>
      </c>
      <c r="CO1736" s="15" t="n">
        <v>18</v>
      </c>
      <c r="DK1736" s="15" t="n">
        <v>18</v>
      </c>
      <c r="EG1736" s="15" t="n">
        <v>18</v>
      </c>
      <c r="FC1736" s="15" t="n">
        <v>18</v>
      </c>
      <c r="FY1736" s="15" t="n">
        <v>18</v>
      </c>
      <c r="GU1736" s="15" t="n">
        <v>18</v>
      </c>
    </row>
    <row r="1737">
      <c r="C1737" s="15" t="n">
        <v>19</v>
      </c>
      <c r="AA1737" s="15" t="n">
        <v>19</v>
      </c>
      <c r="AW1737" s="15" t="n">
        <v>19</v>
      </c>
      <c r="BS1737" s="15" t="n">
        <v>19</v>
      </c>
      <c r="CO1737" s="15" t="n">
        <v>19</v>
      </c>
      <c r="DK1737" s="15" t="n">
        <v>19</v>
      </c>
      <c r="EG1737" s="15" t="n">
        <v>19</v>
      </c>
      <c r="FC1737" s="15" t="n">
        <v>19</v>
      </c>
      <c r="FY1737" s="15" t="n">
        <v>19</v>
      </c>
      <c r="GU1737" s="15" t="n">
        <v>19</v>
      </c>
    </row>
    <row r="1738">
      <c r="C1738" s="15" t="n">
        <v>20</v>
      </c>
      <c r="AA1738" s="15" t="n">
        <v>20</v>
      </c>
      <c r="AW1738" s="15" t="n">
        <v>20</v>
      </c>
      <c r="BS1738" s="15" t="n">
        <v>20</v>
      </c>
      <c r="CO1738" s="15" t="n">
        <v>20</v>
      </c>
      <c r="DK1738" s="15" t="n">
        <v>20</v>
      </c>
      <c r="EG1738" s="15" t="n">
        <v>20</v>
      </c>
      <c r="FC1738" s="15" t="n">
        <v>20</v>
      </c>
      <c r="FY1738" s="15" t="n">
        <v>20</v>
      </c>
      <c r="GU1738" s="15" t="n">
        <v>20</v>
      </c>
    </row>
    <row r="1739">
      <c r="C1739" s="15" t="n">
        <v>21</v>
      </c>
      <c r="AA1739" s="15" t="n">
        <v>21</v>
      </c>
      <c r="AW1739" s="15" t="n">
        <v>21</v>
      </c>
      <c r="BS1739" s="15" t="n">
        <v>21</v>
      </c>
      <c r="CO1739" s="15" t="n">
        <v>21</v>
      </c>
      <c r="DK1739" s="15" t="n">
        <v>21</v>
      </c>
      <c r="EG1739" s="15" t="n">
        <v>21</v>
      </c>
      <c r="FC1739" s="15" t="n">
        <v>21</v>
      </c>
      <c r="FY1739" s="15" t="n">
        <v>21</v>
      </c>
      <c r="GU1739" s="15" t="n">
        <v>21</v>
      </c>
    </row>
    <row r="1740">
      <c r="C1740" s="15" t="n">
        <v>22</v>
      </c>
      <c r="AA1740" s="15" t="n">
        <v>22</v>
      </c>
      <c r="AW1740" s="15" t="n">
        <v>22</v>
      </c>
      <c r="BS1740" s="15" t="n">
        <v>22</v>
      </c>
      <c r="CO1740" s="15" t="n">
        <v>22</v>
      </c>
      <c r="DK1740" s="15" t="n">
        <v>22</v>
      </c>
      <c r="EG1740" s="15" t="n">
        <v>22</v>
      </c>
      <c r="FC1740" s="15" t="n">
        <v>22</v>
      </c>
      <c r="FY1740" s="15" t="n">
        <v>22</v>
      </c>
      <c r="GU1740" s="15" t="n">
        <v>22</v>
      </c>
    </row>
    <row r="1741">
      <c r="C1741" s="15" t="n">
        <v>23</v>
      </c>
      <c r="AA1741" s="15" t="n">
        <v>23</v>
      </c>
      <c r="AW1741" s="15" t="n">
        <v>23</v>
      </c>
      <c r="BS1741" s="15" t="n">
        <v>23</v>
      </c>
      <c r="CO1741" s="15" t="n">
        <v>23</v>
      </c>
      <c r="DK1741" s="15" t="n">
        <v>23</v>
      </c>
      <c r="EG1741" s="15" t="n">
        <v>23</v>
      </c>
      <c r="FC1741" s="15" t="n">
        <v>23</v>
      </c>
      <c r="FY1741" s="15" t="n">
        <v>23</v>
      </c>
      <c r="GU1741" s="15" t="n">
        <v>23</v>
      </c>
    </row>
    <row r="1742">
      <c r="C1742" s="15" t="n">
        <v>24</v>
      </c>
      <c r="AA1742" s="15" t="n">
        <v>24</v>
      </c>
      <c r="AW1742" s="15" t="n">
        <v>24</v>
      </c>
      <c r="BS1742" s="15" t="n">
        <v>24</v>
      </c>
      <c r="CO1742" s="15" t="n">
        <v>24</v>
      </c>
      <c r="DK1742" s="15" t="n">
        <v>24</v>
      </c>
      <c r="EG1742" s="15" t="n">
        <v>24</v>
      </c>
      <c r="FC1742" s="15" t="n">
        <v>24</v>
      </c>
      <c r="FY1742" s="15" t="n">
        <v>24</v>
      </c>
      <c r="GU1742" s="15" t="n">
        <v>24</v>
      </c>
    </row>
    <row r="1743">
      <c r="C1743" s="15" t="n">
        <v>25</v>
      </c>
      <c r="AA1743" s="15" t="n">
        <v>25</v>
      </c>
      <c r="AW1743" s="15" t="n">
        <v>25</v>
      </c>
      <c r="BS1743" s="15" t="n">
        <v>25</v>
      </c>
      <c r="CO1743" s="15" t="n">
        <v>25</v>
      </c>
      <c r="DK1743" s="15" t="n">
        <v>25</v>
      </c>
      <c r="EG1743" s="15" t="n">
        <v>25</v>
      </c>
      <c r="FC1743" s="15" t="n">
        <v>25</v>
      </c>
      <c r="FY1743" s="15" t="n">
        <v>25</v>
      </c>
      <c r="GU1743" s="15" t="n">
        <v>25</v>
      </c>
    </row>
    <row r="1744">
      <c r="C1744" s="15" t="n">
        <v>26</v>
      </c>
      <c r="AA1744" s="15" t="n">
        <v>26</v>
      </c>
      <c r="AW1744" s="15" t="n">
        <v>26</v>
      </c>
      <c r="BS1744" s="15" t="n">
        <v>26</v>
      </c>
      <c r="CO1744" s="15" t="n">
        <v>26</v>
      </c>
      <c r="DK1744" s="15" t="n">
        <v>26</v>
      </c>
      <c r="EG1744" s="15" t="n">
        <v>26</v>
      </c>
      <c r="FC1744" s="15" t="n">
        <v>26</v>
      </c>
      <c r="FY1744" s="15" t="n">
        <v>26</v>
      </c>
      <c r="GU1744" s="15" t="n">
        <v>26</v>
      </c>
    </row>
    <row r="1745">
      <c r="C1745" s="15" t="n">
        <v>27</v>
      </c>
      <c r="AA1745" s="15" t="n">
        <v>27</v>
      </c>
      <c r="AW1745" s="15" t="n">
        <v>27</v>
      </c>
      <c r="BS1745" s="15" t="n">
        <v>27</v>
      </c>
      <c r="CO1745" s="15" t="n">
        <v>27</v>
      </c>
      <c r="DK1745" s="15" t="n">
        <v>27</v>
      </c>
      <c r="EG1745" s="15" t="n">
        <v>27</v>
      </c>
      <c r="FC1745" s="15" t="n">
        <v>27</v>
      </c>
      <c r="FY1745" s="15" t="n">
        <v>27</v>
      </c>
      <c r="GU1745" s="15" t="n">
        <v>27</v>
      </c>
    </row>
    <row r="1746">
      <c r="C1746" s="15" t="n">
        <v>28</v>
      </c>
      <c r="AA1746" s="15" t="n">
        <v>28</v>
      </c>
      <c r="AW1746" s="15" t="n">
        <v>28</v>
      </c>
      <c r="BS1746" s="15" t="n">
        <v>28</v>
      </c>
      <c r="CO1746" s="15" t="n">
        <v>28</v>
      </c>
      <c r="DK1746" s="15" t="n">
        <v>28</v>
      </c>
      <c r="EG1746" s="15" t="n">
        <v>28</v>
      </c>
      <c r="FC1746" s="15" t="n">
        <v>28</v>
      </c>
      <c r="FY1746" s="15" t="n">
        <v>28</v>
      </c>
      <c r="GU1746" s="15" t="n">
        <v>28</v>
      </c>
    </row>
    <row r="1747">
      <c r="C1747" s="15" t="n">
        <v>29</v>
      </c>
      <c r="AA1747" s="15" t="n">
        <v>29</v>
      </c>
      <c r="AW1747" s="15" t="n">
        <v>29</v>
      </c>
      <c r="BS1747" s="15" t="n">
        <v>29</v>
      </c>
      <c r="CO1747" s="15" t="n">
        <v>29</v>
      </c>
      <c r="DK1747" s="15" t="n">
        <v>29</v>
      </c>
      <c r="EG1747" s="15" t="n">
        <v>29</v>
      </c>
      <c r="FC1747" s="15" t="n">
        <v>29</v>
      </c>
      <c r="FY1747" s="15" t="n">
        <v>29</v>
      </c>
      <c r="GU1747" s="15" t="n">
        <v>29</v>
      </c>
    </row>
    <row r="1748">
      <c r="C1748" s="15" t="n">
        <v>30</v>
      </c>
      <c r="AA1748" s="15" t="n">
        <v>30</v>
      </c>
      <c r="AW1748" s="15" t="n">
        <v>30</v>
      </c>
      <c r="BS1748" s="15" t="n">
        <v>30</v>
      </c>
      <c r="CO1748" s="15" t="n">
        <v>30</v>
      </c>
      <c r="DK1748" s="15" t="n">
        <v>30</v>
      </c>
      <c r="EG1748" s="15" t="n">
        <v>30</v>
      </c>
      <c r="FC1748" s="15" t="n">
        <v>30</v>
      </c>
      <c r="FY1748" s="15" t="n">
        <v>30</v>
      </c>
      <c r="GU1748" s="15" t="n">
        <v>30</v>
      </c>
    </row>
    <row r="1749">
      <c r="C1749" s="15" t="n">
        <v>31</v>
      </c>
      <c r="AA1749" s="15" t="n">
        <v>31</v>
      </c>
      <c r="AW1749" s="15" t="n">
        <v>31</v>
      </c>
      <c r="BS1749" s="15" t="n">
        <v>31</v>
      </c>
      <c r="CO1749" s="15" t="n">
        <v>31</v>
      </c>
      <c r="DK1749" s="15" t="n">
        <v>31</v>
      </c>
      <c r="EG1749" s="15" t="n">
        <v>31</v>
      </c>
      <c r="FC1749" s="15" t="n">
        <v>31</v>
      </c>
      <c r="FY1749" s="15" t="n">
        <v>31</v>
      </c>
      <c r="GU1749" s="15" t="n">
        <v>31</v>
      </c>
    </row>
    <row r="1750">
      <c r="C1750" s="15" t="n">
        <v>32</v>
      </c>
      <c r="AA1750" s="15" t="n">
        <v>32</v>
      </c>
      <c r="AW1750" s="15" t="n">
        <v>32</v>
      </c>
      <c r="BS1750" s="15" t="n">
        <v>32</v>
      </c>
      <c r="CO1750" s="15" t="n">
        <v>32</v>
      </c>
      <c r="DK1750" s="15" t="n">
        <v>32</v>
      </c>
      <c r="EG1750" s="15" t="n">
        <v>32</v>
      </c>
      <c r="FC1750" s="15" t="n">
        <v>32</v>
      </c>
      <c r="FY1750" s="15" t="n">
        <v>32</v>
      </c>
      <c r="GU1750" s="15" t="n">
        <v>32</v>
      </c>
    </row>
    <row r="1751">
      <c r="C1751" s="15" t="n">
        <v>33</v>
      </c>
      <c r="AA1751" s="15" t="n">
        <v>33</v>
      </c>
      <c r="AW1751" s="15" t="n">
        <v>33</v>
      </c>
      <c r="BS1751" s="15" t="n">
        <v>33</v>
      </c>
      <c r="CO1751" s="15" t="n">
        <v>33</v>
      </c>
      <c r="DK1751" s="15" t="n">
        <v>33</v>
      </c>
      <c r="EG1751" s="15" t="n">
        <v>33</v>
      </c>
      <c r="FC1751" s="15" t="n">
        <v>33</v>
      </c>
      <c r="FY1751" s="15" t="n">
        <v>33</v>
      </c>
      <c r="GU1751" s="15" t="n">
        <v>33</v>
      </c>
    </row>
    <row r="1752">
      <c r="C1752" s="15" t="n">
        <v>34</v>
      </c>
      <c r="AA1752" s="15" t="n">
        <v>34</v>
      </c>
      <c r="AW1752" s="15" t="n">
        <v>34</v>
      </c>
      <c r="BS1752" s="15" t="n">
        <v>34</v>
      </c>
      <c r="CO1752" s="15" t="n">
        <v>34</v>
      </c>
      <c r="DK1752" s="15" t="n">
        <v>34</v>
      </c>
      <c r="EG1752" s="15" t="n">
        <v>34</v>
      </c>
      <c r="FC1752" s="15" t="n">
        <v>34</v>
      </c>
      <c r="FY1752" s="15" t="n">
        <v>34</v>
      </c>
      <c r="GU1752" s="15" t="n">
        <v>34</v>
      </c>
    </row>
    <row r="1753">
      <c r="C1753" s="15" t="n">
        <v>35</v>
      </c>
      <c r="AA1753" s="15" t="n">
        <v>35</v>
      </c>
      <c r="AW1753" s="15" t="n">
        <v>35</v>
      </c>
      <c r="BS1753" s="15" t="n">
        <v>35</v>
      </c>
      <c r="CO1753" s="15" t="n">
        <v>35</v>
      </c>
      <c r="DK1753" s="15" t="n">
        <v>35</v>
      </c>
      <c r="EG1753" s="15" t="n">
        <v>35</v>
      </c>
      <c r="FC1753" s="15" t="n">
        <v>35</v>
      </c>
      <c r="FY1753" s="15" t="n">
        <v>35</v>
      </c>
      <c r="GU1753" s="15" t="n">
        <v>35</v>
      </c>
    </row>
    <row r="1754">
      <c r="C1754" s="15" t="n">
        <v>36</v>
      </c>
      <c r="AA1754" s="15" t="n">
        <v>36</v>
      </c>
      <c r="AW1754" s="15" t="n">
        <v>36</v>
      </c>
      <c r="BS1754" s="15" t="n">
        <v>36</v>
      </c>
      <c r="CO1754" s="15" t="n">
        <v>36</v>
      </c>
      <c r="DK1754" s="15" t="n">
        <v>36</v>
      </c>
      <c r="EG1754" s="15" t="n">
        <v>36</v>
      </c>
      <c r="FC1754" s="15" t="n">
        <v>36</v>
      </c>
      <c r="FY1754" s="15" t="n">
        <v>36</v>
      </c>
      <c r="GU1754" s="15" t="n">
        <v>36</v>
      </c>
    </row>
    <row r="1755">
      <c r="C1755" s="15" t="n">
        <v>37</v>
      </c>
      <c r="AA1755" s="15" t="n">
        <v>37</v>
      </c>
      <c r="AW1755" s="15" t="n">
        <v>37</v>
      </c>
      <c r="BS1755" s="15" t="n">
        <v>37</v>
      </c>
      <c r="CO1755" s="15" t="n">
        <v>37</v>
      </c>
      <c r="DK1755" s="15" t="n">
        <v>37</v>
      </c>
      <c r="EG1755" s="15" t="n">
        <v>37</v>
      </c>
      <c r="FC1755" s="15" t="n">
        <v>37</v>
      </c>
      <c r="FY1755" s="15" t="n">
        <v>37</v>
      </c>
      <c r="GU1755" s="15" t="n">
        <v>37</v>
      </c>
    </row>
    <row r="1756">
      <c r="C1756" s="15" t="n">
        <v>38</v>
      </c>
      <c r="AA1756" s="15" t="n">
        <v>38</v>
      </c>
      <c r="AW1756" s="15" t="n">
        <v>38</v>
      </c>
      <c r="BS1756" s="15" t="n">
        <v>38</v>
      </c>
      <c r="CO1756" s="15" t="n">
        <v>38</v>
      </c>
      <c r="DK1756" s="15" t="n">
        <v>38</v>
      </c>
      <c r="EG1756" s="15" t="n">
        <v>38</v>
      </c>
      <c r="FC1756" s="15" t="n">
        <v>38</v>
      </c>
      <c r="FY1756" s="15" t="n">
        <v>38</v>
      </c>
      <c r="GU1756" s="15" t="n">
        <v>38</v>
      </c>
    </row>
    <row r="1757">
      <c r="C1757" s="15" t="n">
        <v>39</v>
      </c>
      <c r="AA1757" s="15" t="n">
        <v>39</v>
      </c>
      <c r="AW1757" s="15" t="n">
        <v>39</v>
      </c>
      <c r="BS1757" s="15" t="n">
        <v>39</v>
      </c>
      <c r="CO1757" s="15" t="n">
        <v>39</v>
      </c>
      <c r="DK1757" s="15" t="n">
        <v>39</v>
      </c>
      <c r="EG1757" s="15" t="n">
        <v>39</v>
      </c>
      <c r="FC1757" s="15" t="n">
        <v>39</v>
      </c>
      <c r="FY1757" s="15" t="n">
        <v>39</v>
      </c>
      <c r="GU1757" s="15" t="n">
        <v>39</v>
      </c>
    </row>
    <row r="1758">
      <c r="C1758" s="15" t="n">
        <v>40</v>
      </c>
      <c r="AA1758" s="15" t="n">
        <v>40</v>
      </c>
      <c r="AW1758" s="15" t="n">
        <v>40</v>
      </c>
      <c r="BS1758" s="15" t="n">
        <v>40</v>
      </c>
      <c r="CO1758" s="15" t="n">
        <v>40</v>
      </c>
      <c r="DK1758" s="15" t="n">
        <v>40</v>
      </c>
      <c r="EG1758" s="15" t="n">
        <v>40</v>
      </c>
      <c r="FC1758" s="15" t="n">
        <v>40</v>
      </c>
      <c r="FY1758" s="15" t="n">
        <v>40</v>
      </c>
      <c r="GU1758" s="15" t="n">
        <v>40</v>
      </c>
    </row>
    <row r="1759">
      <c r="C1759" s="15" t="n">
        <v>41</v>
      </c>
      <c r="AA1759" s="15" t="n">
        <v>41</v>
      </c>
      <c r="AW1759" s="15" t="n">
        <v>41</v>
      </c>
      <c r="BS1759" s="15" t="n">
        <v>41</v>
      </c>
      <c r="CO1759" s="15" t="n">
        <v>41</v>
      </c>
      <c r="DK1759" s="15" t="n">
        <v>41</v>
      </c>
      <c r="EG1759" s="15" t="n">
        <v>41</v>
      </c>
      <c r="FC1759" s="15" t="n">
        <v>41</v>
      </c>
      <c r="FY1759" s="15" t="n">
        <v>41</v>
      </c>
      <c r="GU1759" s="15" t="n">
        <v>41</v>
      </c>
    </row>
    <row r="1760">
      <c r="C1760" s="15" t="n">
        <v>42</v>
      </c>
      <c r="AA1760" s="15" t="n">
        <v>42</v>
      </c>
      <c r="AW1760" s="15" t="n">
        <v>42</v>
      </c>
      <c r="BS1760" s="15" t="n">
        <v>42</v>
      </c>
      <c r="CO1760" s="15" t="n">
        <v>42</v>
      </c>
      <c r="DK1760" s="15" t="n">
        <v>42</v>
      </c>
      <c r="EG1760" s="15" t="n">
        <v>42</v>
      </c>
      <c r="FC1760" s="15" t="n">
        <v>42</v>
      </c>
      <c r="FY1760" s="15" t="n">
        <v>42</v>
      </c>
      <c r="GU1760" s="15" t="n">
        <v>42</v>
      </c>
    </row>
    <row r="1761">
      <c r="C1761" s="15" t="n">
        <v>43</v>
      </c>
      <c r="AA1761" s="15" t="n">
        <v>43</v>
      </c>
      <c r="AW1761" s="15" t="n">
        <v>43</v>
      </c>
      <c r="BS1761" s="15" t="n">
        <v>43</v>
      </c>
      <c r="CO1761" s="15" t="n">
        <v>43</v>
      </c>
      <c r="DK1761" s="15" t="n">
        <v>43</v>
      </c>
      <c r="EG1761" s="15" t="n">
        <v>43</v>
      </c>
      <c r="FC1761" s="15" t="n">
        <v>43</v>
      </c>
      <c r="FY1761" s="15" t="n">
        <v>43</v>
      </c>
      <c r="GU1761" s="15" t="n">
        <v>43</v>
      </c>
    </row>
    <row r="1762">
      <c r="C1762" s="15" t="n">
        <v>44</v>
      </c>
      <c r="AA1762" s="15" t="n">
        <v>44</v>
      </c>
      <c r="AW1762" s="15" t="n">
        <v>44</v>
      </c>
      <c r="BS1762" s="15" t="n">
        <v>44</v>
      </c>
      <c r="CO1762" s="15" t="n">
        <v>44</v>
      </c>
      <c r="DK1762" s="15" t="n">
        <v>44</v>
      </c>
      <c r="EG1762" s="15" t="n">
        <v>44</v>
      </c>
      <c r="FC1762" s="15" t="n">
        <v>44</v>
      </c>
      <c r="FY1762" s="15" t="n">
        <v>44</v>
      </c>
      <c r="GU1762" s="15" t="n">
        <v>44</v>
      </c>
    </row>
    <row r="1763">
      <c r="C1763" s="15" t="n">
        <v>45</v>
      </c>
      <c r="AA1763" s="15" t="n">
        <v>45</v>
      </c>
      <c r="AW1763" s="15" t="n">
        <v>45</v>
      </c>
      <c r="BS1763" s="15" t="n">
        <v>45</v>
      </c>
      <c r="CO1763" s="15" t="n">
        <v>45</v>
      </c>
      <c r="DK1763" s="15" t="n">
        <v>45</v>
      </c>
      <c r="EG1763" s="15" t="n">
        <v>45</v>
      </c>
      <c r="FC1763" s="15" t="n">
        <v>45</v>
      </c>
      <c r="FY1763" s="15" t="n">
        <v>45</v>
      </c>
      <c r="GU1763" s="15" t="n">
        <v>45</v>
      </c>
    </row>
    <row r="1764">
      <c r="C1764" s="15" t="n">
        <v>46</v>
      </c>
      <c r="AA1764" s="15" t="n">
        <v>46</v>
      </c>
      <c r="AW1764" s="15" t="n">
        <v>46</v>
      </c>
      <c r="BS1764" s="15" t="n">
        <v>46</v>
      </c>
      <c r="CO1764" s="15" t="n">
        <v>46</v>
      </c>
      <c r="DK1764" s="15" t="n">
        <v>46</v>
      </c>
      <c r="EG1764" s="15" t="n">
        <v>46</v>
      </c>
      <c r="FC1764" s="15" t="n">
        <v>46</v>
      </c>
      <c r="FY1764" s="15" t="n">
        <v>46</v>
      </c>
      <c r="GU1764" s="15" t="n">
        <v>46</v>
      </c>
    </row>
    <row r="1765">
      <c r="C1765" s="15" t="n">
        <v>47</v>
      </c>
      <c r="AA1765" s="15" t="n">
        <v>47</v>
      </c>
      <c r="AW1765" s="15" t="n">
        <v>47</v>
      </c>
      <c r="BS1765" s="15" t="n">
        <v>47</v>
      </c>
      <c r="CO1765" s="15" t="n">
        <v>47</v>
      </c>
      <c r="DK1765" s="15" t="n">
        <v>47</v>
      </c>
      <c r="EG1765" s="15" t="n">
        <v>47</v>
      </c>
      <c r="FC1765" s="15" t="n">
        <v>47</v>
      </c>
      <c r="FY1765" s="15" t="n">
        <v>47</v>
      </c>
      <c r="GU1765" s="15" t="n">
        <v>47</v>
      </c>
    </row>
    <row r="1766">
      <c r="C1766" s="15" t="n">
        <v>48</v>
      </c>
      <c r="AA1766" s="15" t="n">
        <v>48</v>
      </c>
      <c r="AW1766" s="15" t="n">
        <v>48</v>
      </c>
      <c r="BS1766" s="15" t="n">
        <v>48</v>
      </c>
      <c r="CO1766" s="15" t="n">
        <v>48</v>
      </c>
      <c r="DK1766" s="15" t="n">
        <v>48</v>
      </c>
      <c r="EG1766" s="15" t="n">
        <v>48</v>
      </c>
      <c r="FC1766" s="15" t="n">
        <v>48</v>
      </c>
      <c r="FY1766" s="15" t="n">
        <v>48</v>
      </c>
      <c r="GU1766" s="15" t="n">
        <v>48</v>
      </c>
    </row>
    <row r="1767">
      <c r="C1767" s="15" t="n">
        <v>49</v>
      </c>
      <c r="AA1767" s="15" t="n">
        <v>49</v>
      </c>
      <c r="AW1767" s="15" t="n">
        <v>49</v>
      </c>
      <c r="BS1767" s="15" t="n">
        <v>49</v>
      </c>
      <c r="CO1767" s="15" t="n">
        <v>49</v>
      </c>
      <c r="DK1767" s="15" t="n">
        <v>49</v>
      </c>
      <c r="EG1767" s="15" t="n">
        <v>49</v>
      </c>
      <c r="FC1767" s="15" t="n">
        <v>49</v>
      </c>
      <c r="FY1767" s="15" t="n">
        <v>49</v>
      </c>
      <c r="GU1767" s="15" t="n">
        <v>49</v>
      </c>
    </row>
    <row r="1768">
      <c r="C1768" s="15" t="n">
        <v>50</v>
      </c>
      <c r="AA1768" s="15" t="n">
        <v>50</v>
      </c>
      <c r="AW1768" s="15" t="n">
        <v>50</v>
      </c>
      <c r="BS1768" s="15" t="n">
        <v>50</v>
      </c>
      <c r="CO1768" s="15" t="n">
        <v>50</v>
      </c>
      <c r="DK1768" s="15" t="n">
        <v>50</v>
      </c>
      <c r="EG1768" s="15" t="n">
        <v>50</v>
      </c>
      <c r="FC1768" s="15" t="n">
        <v>50</v>
      </c>
      <c r="FY1768" s="15" t="n">
        <v>50</v>
      </c>
      <c r="GU1768" s="15" t="n">
        <v>50</v>
      </c>
    </row>
    <row r="1769">
      <c r="C1769" s="15" t="n">
        <v>51</v>
      </c>
      <c r="AA1769" s="15" t="n">
        <v>51</v>
      </c>
      <c r="AW1769" s="15" t="n">
        <v>51</v>
      </c>
      <c r="BS1769" s="15" t="n">
        <v>51</v>
      </c>
      <c r="CO1769" s="15" t="n">
        <v>51</v>
      </c>
      <c r="DK1769" s="15" t="n">
        <v>51</v>
      </c>
      <c r="EG1769" s="15" t="n">
        <v>51</v>
      </c>
      <c r="FC1769" s="15" t="n">
        <v>51</v>
      </c>
      <c r="FY1769" s="15" t="n">
        <v>51</v>
      </c>
      <c r="GU1769" s="15" t="n">
        <v>51</v>
      </c>
    </row>
    <row r="1770">
      <c r="C1770" s="15" t="n">
        <v>52</v>
      </c>
      <c r="AA1770" s="15" t="n">
        <v>52</v>
      </c>
      <c r="AW1770" s="15" t="n">
        <v>52</v>
      </c>
      <c r="BS1770" s="15" t="n">
        <v>52</v>
      </c>
      <c r="CO1770" s="15" t="n">
        <v>52</v>
      </c>
      <c r="DK1770" s="15" t="n">
        <v>52</v>
      </c>
      <c r="EG1770" s="15" t="n">
        <v>52</v>
      </c>
      <c r="FC1770" s="15" t="n">
        <v>52</v>
      </c>
      <c r="FY1770" s="15" t="n">
        <v>52</v>
      </c>
      <c r="GU1770" s="15" t="n">
        <v>52</v>
      </c>
    </row>
    <row r="1771">
      <c r="C1771" s="15" t="n">
        <v>53</v>
      </c>
      <c r="AA1771" s="15" t="n">
        <v>53</v>
      </c>
      <c r="AW1771" s="15" t="n">
        <v>53</v>
      </c>
      <c r="BS1771" s="15" t="n">
        <v>53</v>
      </c>
      <c r="CO1771" s="15" t="n">
        <v>53</v>
      </c>
      <c r="DK1771" s="15" t="n">
        <v>53</v>
      </c>
      <c r="EG1771" s="15" t="n">
        <v>53</v>
      </c>
      <c r="FC1771" s="15" t="n">
        <v>53</v>
      </c>
      <c r="FY1771" s="15" t="n">
        <v>53</v>
      </c>
      <c r="GU1771" s="15" t="n">
        <v>53</v>
      </c>
    </row>
    <row r="1772">
      <c r="C1772" s="15" t="n">
        <v>54</v>
      </c>
      <c r="AA1772" s="15" t="n">
        <v>54</v>
      </c>
      <c r="AW1772" s="15" t="n">
        <v>54</v>
      </c>
      <c r="BS1772" s="15" t="n">
        <v>54</v>
      </c>
      <c r="CO1772" s="15" t="n">
        <v>54</v>
      </c>
      <c r="DK1772" s="15" t="n">
        <v>54</v>
      </c>
      <c r="EG1772" s="15" t="n">
        <v>54</v>
      </c>
      <c r="FC1772" s="15" t="n">
        <v>54</v>
      </c>
      <c r="FY1772" s="15" t="n">
        <v>54</v>
      </c>
      <c r="GU1772" s="15" t="n">
        <v>54</v>
      </c>
    </row>
    <row r="1773">
      <c r="C1773" s="15" t="n">
        <v>55</v>
      </c>
      <c r="AA1773" s="15" t="n">
        <v>55</v>
      </c>
      <c r="AW1773" s="15" t="n">
        <v>55</v>
      </c>
      <c r="BS1773" s="15" t="n">
        <v>55</v>
      </c>
      <c r="CO1773" s="15" t="n">
        <v>55</v>
      </c>
      <c r="DK1773" s="15" t="n">
        <v>55</v>
      </c>
      <c r="EG1773" s="15" t="n">
        <v>55</v>
      </c>
      <c r="FC1773" s="15" t="n">
        <v>55</v>
      </c>
      <c r="FY1773" s="15" t="n">
        <v>55</v>
      </c>
      <c r="GU1773" s="15" t="n">
        <v>55</v>
      </c>
    </row>
    <row r="1774">
      <c r="C1774" s="15" t="n">
        <v>56</v>
      </c>
      <c r="AA1774" s="15" t="n">
        <v>56</v>
      </c>
      <c r="AW1774" s="15" t="n">
        <v>56</v>
      </c>
      <c r="BS1774" s="15" t="n">
        <v>56</v>
      </c>
      <c r="CO1774" s="15" t="n">
        <v>56</v>
      </c>
      <c r="DK1774" s="15" t="n">
        <v>56</v>
      </c>
      <c r="EG1774" s="15" t="n">
        <v>56</v>
      </c>
      <c r="FC1774" s="15" t="n">
        <v>56</v>
      </c>
      <c r="FY1774" s="15" t="n">
        <v>56</v>
      </c>
      <c r="GU1774" s="15" t="n">
        <v>56</v>
      </c>
    </row>
    <row r="1775">
      <c r="C1775" s="15" t="n">
        <v>57</v>
      </c>
      <c r="AA1775" s="15" t="n">
        <v>57</v>
      </c>
      <c r="AW1775" s="15" t="n">
        <v>57</v>
      </c>
      <c r="BS1775" s="15" t="n">
        <v>57</v>
      </c>
      <c r="CO1775" s="15" t="n">
        <v>57</v>
      </c>
      <c r="DK1775" s="15" t="n">
        <v>57</v>
      </c>
      <c r="EG1775" s="15" t="n">
        <v>57</v>
      </c>
      <c r="FC1775" s="15" t="n">
        <v>57</v>
      </c>
      <c r="FY1775" s="15" t="n">
        <v>57</v>
      </c>
      <c r="GU1775" s="15" t="n">
        <v>57</v>
      </c>
    </row>
    <row r="1776">
      <c r="C1776" s="15" t="n">
        <v>58</v>
      </c>
      <c r="AA1776" s="15" t="n">
        <v>58</v>
      </c>
      <c r="AW1776" s="15" t="n">
        <v>58</v>
      </c>
      <c r="BS1776" s="15" t="n">
        <v>58</v>
      </c>
      <c r="CO1776" s="15" t="n">
        <v>58</v>
      </c>
      <c r="DK1776" s="15" t="n">
        <v>58</v>
      </c>
      <c r="EG1776" s="15" t="n">
        <v>58</v>
      </c>
      <c r="FC1776" s="15" t="n">
        <v>58</v>
      </c>
      <c r="FY1776" s="15" t="n">
        <v>58</v>
      </c>
      <c r="GU1776" s="15" t="n">
        <v>58</v>
      </c>
    </row>
    <row r="1777">
      <c r="C1777" s="15" t="n">
        <v>59</v>
      </c>
      <c r="AA1777" s="15" t="n">
        <v>59</v>
      </c>
      <c r="AW1777" s="15" t="n">
        <v>59</v>
      </c>
      <c r="BS1777" s="15" t="n">
        <v>59</v>
      </c>
      <c r="CO1777" s="15" t="n">
        <v>59</v>
      </c>
      <c r="DK1777" s="15" t="n">
        <v>59</v>
      </c>
      <c r="EG1777" s="15" t="n">
        <v>59</v>
      </c>
      <c r="FC1777" s="15" t="n">
        <v>59</v>
      </c>
      <c r="FY1777" s="15" t="n">
        <v>59</v>
      </c>
      <c r="GU1777" s="15" t="n">
        <v>59</v>
      </c>
    </row>
    <row r="1778">
      <c r="C1778" s="15" t="n">
        <v>60</v>
      </c>
      <c r="AA1778" s="15" t="n">
        <v>60</v>
      </c>
      <c r="AW1778" s="15" t="n">
        <v>60</v>
      </c>
      <c r="BS1778" s="15" t="n">
        <v>60</v>
      </c>
      <c r="CO1778" s="15" t="n">
        <v>60</v>
      </c>
      <c r="DK1778" s="15" t="n">
        <v>60</v>
      </c>
      <c r="EG1778" s="15" t="n">
        <v>60</v>
      </c>
      <c r="FC1778" s="15" t="n">
        <v>60</v>
      </c>
      <c r="FY1778" s="15" t="n">
        <v>60</v>
      </c>
      <c r="GU1778" s="15" t="n">
        <v>60</v>
      </c>
    </row>
    <row r="1779">
      <c r="C1779" s="15" t="n">
        <v>61</v>
      </c>
      <c r="AA1779" s="15" t="n">
        <v>61</v>
      </c>
      <c r="AW1779" s="15" t="n">
        <v>61</v>
      </c>
      <c r="BS1779" s="15" t="n">
        <v>61</v>
      </c>
      <c r="CO1779" s="15" t="n">
        <v>61</v>
      </c>
      <c r="DK1779" s="15" t="n">
        <v>61</v>
      </c>
      <c r="EG1779" s="15" t="n">
        <v>61</v>
      </c>
      <c r="FC1779" s="15" t="n">
        <v>61</v>
      </c>
      <c r="FY1779" s="15" t="n">
        <v>61</v>
      </c>
      <c r="GU1779" s="15" t="n">
        <v>61</v>
      </c>
    </row>
    <row r="1780">
      <c r="C1780" s="15" t="n">
        <v>62</v>
      </c>
      <c r="AA1780" s="15" t="n">
        <v>62</v>
      </c>
      <c r="AW1780" s="15" t="n">
        <v>62</v>
      </c>
      <c r="BS1780" s="15" t="n">
        <v>62</v>
      </c>
      <c r="CO1780" s="15" t="n">
        <v>62</v>
      </c>
      <c r="DK1780" s="15" t="n">
        <v>62</v>
      </c>
      <c r="EG1780" s="15" t="n">
        <v>62</v>
      </c>
      <c r="FC1780" s="15" t="n">
        <v>62</v>
      </c>
      <c r="FY1780" s="15" t="n">
        <v>62</v>
      </c>
      <c r="GU1780" s="15" t="n">
        <v>62</v>
      </c>
    </row>
    <row r="1781">
      <c r="C1781" s="15" t="n">
        <v>63</v>
      </c>
      <c r="AA1781" s="15" t="n">
        <v>63</v>
      </c>
      <c r="AW1781" s="15" t="n">
        <v>63</v>
      </c>
      <c r="BS1781" s="15" t="n">
        <v>63</v>
      </c>
      <c r="CO1781" s="15" t="n">
        <v>63</v>
      </c>
      <c r="DK1781" s="15" t="n">
        <v>63</v>
      </c>
      <c r="EG1781" s="15" t="n">
        <v>63</v>
      </c>
      <c r="FC1781" s="15" t="n">
        <v>63</v>
      </c>
      <c r="FY1781" s="15" t="n">
        <v>63</v>
      </c>
      <c r="GU1781" s="15" t="n">
        <v>63</v>
      </c>
    </row>
    <row r="1782">
      <c r="C1782" s="15" t="n">
        <v>64</v>
      </c>
      <c r="AA1782" s="15" t="n">
        <v>64</v>
      </c>
      <c r="AW1782" s="15" t="n">
        <v>64</v>
      </c>
      <c r="BS1782" s="15" t="n">
        <v>64</v>
      </c>
      <c r="CO1782" s="15" t="n">
        <v>64</v>
      </c>
      <c r="DK1782" s="15" t="n">
        <v>64</v>
      </c>
      <c r="EG1782" s="15" t="n">
        <v>64</v>
      </c>
      <c r="FC1782" s="15" t="n">
        <v>64</v>
      </c>
      <c r="FY1782" s="15" t="n">
        <v>64</v>
      </c>
      <c r="GU1782" s="15" t="n">
        <v>64</v>
      </c>
    </row>
    <row r="1783">
      <c r="C1783" s="15" t="n">
        <v>65</v>
      </c>
      <c r="AA1783" s="15" t="n">
        <v>65</v>
      </c>
      <c r="AW1783" s="15" t="n">
        <v>65</v>
      </c>
      <c r="BS1783" s="15" t="n">
        <v>65</v>
      </c>
      <c r="CO1783" s="15" t="n">
        <v>65</v>
      </c>
      <c r="DK1783" s="15" t="n">
        <v>65</v>
      </c>
      <c r="EG1783" s="15" t="n">
        <v>65</v>
      </c>
      <c r="FC1783" s="15" t="n">
        <v>65</v>
      </c>
      <c r="FY1783" s="15" t="n">
        <v>65</v>
      </c>
      <c r="GU1783" s="15" t="n">
        <v>65</v>
      </c>
    </row>
    <row r="1784">
      <c r="C1784" s="15" t="n">
        <v>66</v>
      </c>
      <c r="AA1784" s="15" t="n">
        <v>66</v>
      </c>
      <c r="AW1784" s="15" t="n">
        <v>66</v>
      </c>
      <c r="BS1784" s="15" t="n">
        <v>66</v>
      </c>
      <c r="CO1784" s="15" t="n">
        <v>66</v>
      </c>
      <c r="DK1784" s="15" t="n">
        <v>66</v>
      </c>
      <c r="EG1784" s="15" t="n">
        <v>66</v>
      </c>
      <c r="FC1784" s="15" t="n">
        <v>66</v>
      </c>
      <c r="FY1784" s="15" t="n">
        <v>66</v>
      </c>
      <c r="GU1784" s="15" t="n">
        <v>66</v>
      </c>
    </row>
    <row r="1785">
      <c r="C1785" s="15" t="n">
        <v>67</v>
      </c>
      <c r="AA1785" s="15" t="n">
        <v>67</v>
      </c>
      <c r="AW1785" s="15" t="n">
        <v>67</v>
      </c>
      <c r="BS1785" s="15" t="n">
        <v>67</v>
      </c>
      <c r="CO1785" s="15" t="n">
        <v>67</v>
      </c>
      <c r="DK1785" s="15" t="n">
        <v>67</v>
      </c>
      <c r="EG1785" s="15" t="n">
        <v>67</v>
      </c>
      <c r="FC1785" s="15" t="n">
        <v>67</v>
      </c>
      <c r="FY1785" s="15" t="n">
        <v>67</v>
      </c>
      <c r="GU1785" s="15" t="n">
        <v>67</v>
      </c>
    </row>
    <row r="1786">
      <c r="C1786" s="15" t="n">
        <v>68</v>
      </c>
      <c r="AA1786" s="15" t="n">
        <v>68</v>
      </c>
      <c r="AW1786" s="15" t="n">
        <v>68</v>
      </c>
      <c r="BS1786" s="15" t="n">
        <v>68</v>
      </c>
      <c r="CO1786" s="15" t="n">
        <v>68</v>
      </c>
      <c r="DK1786" s="15" t="n">
        <v>68</v>
      </c>
      <c r="EG1786" s="15" t="n">
        <v>68</v>
      </c>
      <c r="FC1786" s="15" t="n">
        <v>68</v>
      </c>
      <c r="FY1786" s="15" t="n">
        <v>68</v>
      </c>
      <c r="GU1786" s="15" t="n">
        <v>68</v>
      </c>
    </row>
    <row r="1787">
      <c r="C1787" s="15" t="n">
        <v>69</v>
      </c>
      <c r="AA1787" s="15" t="n">
        <v>69</v>
      </c>
      <c r="AW1787" s="15" t="n">
        <v>69</v>
      </c>
      <c r="BS1787" s="15" t="n">
        <v>69</v>
      </c>
      <c r="CO1787" s="15" t="n">
        <v>69</v>
      </c>
      <c r="DK1787" s="15" t="n">
        <v>69</v>
      </c>
      <c r="EG1787" s="15" t="n">
        <v>69</v>
      </c>
      <c r="FC1787" s="15" t="n">
        <v>69</v>
      </c>
      <c r="FY1787" s="15" t="n">
        <v>69</v>
      </c>
      <c r="GU1787" s="15" t="n">
        <v>69</v>
      </c>
    </row>
    <row r="1788">
      <c r="C1788" s="15" t="n">
        <v>70</v>
      </c>
      <c r="AA1788" s="15" t="n">
        <v>70</v>
      </c>
      <c r="AW1788" s="15" t="n">
        <v>70</v>
      </c>
      <c r="BS1788" s="15" t="n">
        <v>70</v>
      </c>
      <c r="CO1788" s="15" t="n">
        <v>70</v>
      </c>
      <c r="DK1788" s="15" t="n">
        <v>70</v>
      </c>
      <c r="EG1788" s="15" t="n">
        <v>70</v>
      </c>
      <c r="FC1788" s="15" t="n">
        <v>70</v>
      </c>
      <c r="FY1788" s="15" t="n">
        <v>70</v>
      </c>
      <c r="GU1788" s="15" t="n">
        <v>70</v>
      </c>
    </row>
    <row r="1789">
      <c r="C1789" s="15" t="n">
        <v>71</v>
      </c>
      <c r="AA1789" s="15" t="n">
        <v>71</v>
      </c>
      <c r="AW1789" s="15" t="n">
        <v>71</v>
      </c>
      <c r="BS1789" s="15" t="n">
        <v>71</v>
      </c>
      <c r="CO1789" s="15" t="n">
        <v>71</v>
      </c>
      <c r="DK1789" s="15" t="n">
        <v>71</v>
      </c>
      <c r="EG1789" s="15" t="n">
        <v>71</v>
      </c>
      <c r="FC1789" s="15" t="n">
        <v>71</v>
      </c>
      <c r="FY1789" s="15" t="n">
        <v>71</v>
      </c>
      <c r="GU1789" s="15" t="n">
        <v>71</v>
      </c>
    </row>
    <row r="1790">
      <c r="C1790" s="15" t="n">
        <v>72</v>
      </c>
      <c r="AA1790" s="15" t="n">
        <v>72</v>
      </c>
      <c r="AW1790" s="15" t="n">
        <v>72</v>
      </c>
      <c r="BS1790" s="15" t="n">
        <v>72</v>
      </c>
      <c r="CO1790" s="15" t="n">
        <v>72</v>
      </c>
      <c r="DK1790" s="15" t="n">
        <v>72</v>
      </c>
      <c r="EG1790" s="15" t="n">
        <v>72</v>
      </c>
      <c r="FC1790" s="15" t="n">
        <v>72</v>
      </c>
      <c r="FY1790" s="15" t="n">
        <v>72</v>
      </c>
      <c r="GU1790" s="15" t="n">
        <v>72</v>
      </c>
    </row>
    <row r="1791">
      <c r="C1791" s="15" t="n">
        <v>73</v>
      </c>
      <c r="AA1791" s="15" t="n">
        <v>73</v>
      </c>
      <c r="AW1791" s="15" t="n">
        <v>73</v>
      </c>
      <c r="BS1791" s="15" t="n">
        <v>73</v>
      </c>
      <c r="CO1791" s="15" t="n">
        <v>73</v>
      </c>
      <c r="DK1791" s="15" t="n">
        <v>73</v>
      </c>
      <c r="EG1791" s="15" t="n">
        <v>73</v>
      </c>
      <c r="FC1791" s="15" t="n">
        <v>73</v>
      </c>
      <c r="FY1791" s="15" t="n">
        <v>73</v>
      </c>
      <c r="GU1791" s="15" t="n">
        <v>73</v>
      </c>
    </row>
    <row r="1792">
      <c r="C1792" s="15" t="n">
        <v>74</v>
      </c>
      <c r="AA1792" s="15" t="n">
        <v>74</v>
      </c>
      <c r="AW1792" s="15" t="n">
        <v>74</v>
      </c>
      <c r="BS1792" s="15" t="n">
        <v>74</v>
      </c>
      <c r="CO1792" s="15" t="n">
        <v>74</v>
      </c>
      <c r="DK1792" s="15" t="n">
        <v>74</v>
      </c>
      <c r="EG1792" s="15" t="n">
        <v>74</v>
      </c>
      <c r="FC1792" s="15" t="n">
        <v>74</v>
      </c>
      <c r="FY1792" s="15" t="n">
        <v>74</v>
      </c>
      <c r="GU1792" s="15" t="n">
        <v>74</v>
      </c>
    </row>
    <row r="1793">
      <c r="C1793" s="15" t="n">
        <v>75</v>
      </c>
      <c r="AA1793" s="15" t="n">
        <v>75</v>
      </c>
      <c r="AW1793" s="15" t="n">
        <v>75</v>
      </c>
      <c r="BS1793" s="15" t="n">
        <v>75</v>
      </c>
      <c r="CO1793" s="15" t="n">
        <v>75</v>
      </c>
      <c r="DK1793" s="15" t="n">
        <v>75</v>
      </c>
      <c r="EG1793" s="15" t="n">
        <v>75</v>
      </c>
      <c r="FC1793" s="15" t="n">
        <v>75</v>
      </c>
      <c r="FY1793" s="15" t="n">
        <v>75</v>
      </c>
      <c r="GU1793" s="15" t="n">
        <v>75</v>
      </c>
    </row>
    <row r="1794">
      <c r="C1794" s="15" t="n">
        <v>76</v>
      </c>
      <c r="AA1794" s="15" t="n">
        <v>76</v>
      </c>
      <c r="AW1794" s="15" t="n">
        <v>76</v>
      </c>
      <c r="BS1794" s="15" t="n">
        <v>76</v>
      </c>
      <c r="CO1794" s="15" t="n">
        <v>76</v>
      </c>
      <c r="DK1794" s="15" t="n">
        <v>76</v>
      </c>
      <c r="EG1794" s="15" t="n">
        <v>76</v>
      </c>
      <c r="FC1794" s="15" t="n">
        <v>76</v>
      </c>
      <c r="FY1794" s="15" t="n">
        <v>76</v>
      </c>
      <c r="GU1794" s="15" t="n">
        <v>76</v>
      </c>
    </row>
    <row r="1795">
      <c r="C1795" s="15" t="n">
        <v>77</v>
      </c>
      <c r="AA1795" s="15" t="n">
        <v>77</v>
      </c>
      <c r="AW1795" s="15" t="n">
        <v>77</v>
      </c>
      <c r="BS1795" s="15" t="n">
        <v>77</v>
      </c>
      <c r="CO1795" s="15" t="n">
        <v>77</v>
      </c>
      <c r="DK1795" s="15" t="n">
        <v>77</v>
      </c>
      <c r="EG1795" s="15" t="n">
        <v>77</v>
      </c>
      <c r="FC1795" s="15" t="n">
        <v>77</v>
      </c>
      <c r="FY1795" s="15" t="n">
        <v>77</v>
      </c>
      <c r="GU1795" s="15" t="n">
        <v>77</v>
      </c>
    </row>
    <row r="1796">
      <c r="C1796" s="15" t="n">
        <v>78</v>
      </c>
      <c r="AA1796" s="15" t="n">
        <v>78</v>
      </c>
      <c r="AW1796" s="15" t="n">
        <v>78</v>
      </c>
      <c r="BS1796" s="15" t="n">
        <v>78</v>
      </c>
      <c r="CO1796" s="15" t="n">
        <v>78</v>
      </c>
      <c r="DK1796" s="15" t="n">
        <v>78</v>
      </c>
      <c r="EG1796" s="15" t="n">
        <v>78</v>
      </c>
      <c r="FC1796" s="15" t="n">
        <v>78</v>
      </c>
      <c r="FY1796" s="15" t="n">
        <v>78</v>
      </c>
      <c r="GU1796" s="15" t="n">
        <v>78</v>
      </c>
    </row>
    <row r="1797">
      <c r="C1797" s="15" t="n">
        <v>79</v>
      </c>
      <c r="AA1797" s="15" t="n">
        <v>79</v>
      </c>
      <c r="AW1797" s="15" t="n">
        <v>79</v>
      </c>
      <c r="BS1797" s="15" t="n">
        <v>79</v>
      </c>
      <c r="CO1797" s="15" t="n">
        <v>79</v>
      </c>
      <c r="DK1797" s="15" t="n">
        <v>79</v>
      </c>
      <c r="EG1797" s="15" t="n">
        <v>79</v>
      </c>
      <c r="FC1797" s="15" t="n">
        <v>79</v>
      </c>
      <c r="FY1797" s="15" t="n">
        <v>79</v>
      </c>
      <c r="GU1797" s="15" t="n">
        <v>79</v>
      </c>
    </row>
    <row r="1798">
      <c r="C1798" s="15" t="n">
        <v>80</v>
      </c>
      <c r="AA1798" s="15" t="n">
        <v>80</v>
      </c>
      <c r="AW1798" s="15" t="n">
        <v>80</v>
      </c>
      <c r="BS1798" s="15" t="n">
        <v>80</v>
      </c>
      <c r="CO1798" s="15" t="n">
        <v>80</v>
      </c>
      <c r="DK1798" s="15" t="n">
        <v>80</v>
      </c>
      <c r="EG1798" s="15" t="n">
        <v>80</v>
      </c>
      <c r="FC1798" s="15" t="n">
        <v>80</v>
      </c>
      <c r="FY1798" s="15" t="n">
        <v>80</v>
      </c>
      <c r="GU1798" s="15" t="n">
        <v>80</v>
      </c>
    </row>
    <row r="1799">
      <c r="C1799" s="15" t="n">
        <v>81</v>
      </c>
      <c r="AA1799" s="15" t="n">
        <v>81</v>
      </c>
      <c r="AW1799" s="15" t="n">
        <v>81</v>
      </c>
      <c r="BS1799" s="15" t="n">
        <v>81</v>
      </c>
      <c r="CO1799" s="15" t="n">
        <v>81</v>
      </c>
      <c r="DK1799" s="15" t="n">
        <v>81</v>
      </c>
      <c r="EG1799" s="15" t="n">
        <v>81</v>
      </c>
      <c r="FC1799" s="15" t="n">
        <v>81</v>
      </c>
      <c r="FY1799" s="15" t="n">
        <v>81</v>
      </c>
      <c r="GU1799" s="15" t="n">
        <v>81</v>
      </c>
    </row>
    <row r="1800">
      <c r="C1800" s="15" t="n">
        <v>82</v>
      </c>
      <c r="AA1800" s="15" t="n">
        <v>82</v>
      </c>
      <c r="AW1800" s="15" t="n">
        <v>82</v>
      </c>
      <c r="BS1800" s="15" t="n">
        <v>82</v>
      </c>
      <c r="CO1800" s="15" t="n">
        <v>82</v>
      </c>
      <c r="DK1800" s="15" t="n">
        <v>82</v>
      </c>
      <c r="EG1800" s="15" t="n">
        <v>82</v>
      </c>
      <c r="FC1800" s="15" t="n">
        <v>82</v>
      </c>
      <c r="FY1800" s="15" t="n">
        <v>82</v>
      </c>
      <c r="GU1800" s="15" t="n">
        <v>82</v>
      </c>
    </row>
    <row r="1801">
      <c r="C1801" s="15" t="n">
        <v>83</v>
      </c>
      <c r="AA1801" s="15" t="n">
        <v>83</v>
      </c>
      <c r="AW1801" s="15" t="n">
        <v>83</v>
      </c>
      <c r="BS1801" s="15" t="n">
        <v>83</v>
      </c>
      <c r="CO1801" s="15" t="n">
        <v>83</v>
      </c>
      <c r="DK1801" s="15" t="n">
        <v>83</v>
      </c>
      <c r="EG1801" s="15" t="n">
        <v>83</v>
      </c>
      <c r="FC1801" s="15" t="n">
        <v>83</v>
      </c>
      <c r="FY1801" s="15" t="n">
        <v>83</v>
      </c>
      <c r="GU1801" s="15" t="n">
        <v>83</v>
      </c>
    </row>
    <row r="1802">
      <c r="C1802" s="15" t="n">
        <v>84</v>
      </c>
      <c r="AA1802" s="15" t="n">
        <v>84</v>
      </c>
      <c r="AW1802" s="15" t="n">
        <v>84</v>
      </c>
      <c r="BS1802" s="15" t="n">
        <v>84</v>
      </c>
      <c r="CO1802" s="15" t="n">
        <v>84</v>
      </c>
      <c r="DK1802" s="15" t="n">
        <v>84</v>
      </c>
      <c r="EG1802" s="15" t="n">
        <v>84</v>
      </c>
      <c r="FC1802" s="15" t="n">
        <v>84</v>
      </c>
      <c r="FY1802" s="15" t="n">
        <v>84</v>
      </c>
      <c r="GU1802" s="15" t="n">
        <v>84</v>
      </c>
    </row>
    <row r="1803">
      <c r="C1803" s="15" t="n">
        <v>85</v>
      </c>
      <c r="AA1803" s="15" t="n">
        <v>85</v>
      </c>
      <c r="AW1803" s="15" t="n">
        <v>85</v>
      </c>
      <c r="BS1803" s="15" t="n">
        <v>85</v>
      </c>
      <c r="CO1803" s="15" t="n">
        <v>85</v>
      </c>
      <c r="DK1803" s="15" t="n">
        <v>85</v>
      </c>
      <c r="EG1803" s="15" t="n">
        <v>85</v>
      </c>
      <c r="FC1803" s="15" t="n">
        <v>85</v>
      </c>
      <c r="FY1803" s="15" t="n">
        <v>85</v>
      </c>
      <c r="GU1803" s="15" t="n">
        <v>85</v>
      </c>
    </row>
    <row r="1804">
      <c r="C1804" s="15" t="n">
        <v>86</v>
      </c>
      <c r="AA1804" s="15" t="n">
        <v>86</v>
      </c>
      <c r="AW1804" s="15" t="n">
        <v>86</v>
      </c>
      <c r="BS1804" s="15" t="n">
        <v>86</v>
      </c>
      <c r="CO1804" s="15" t="n">
        <v>86</v>
      </c>
      <c r="DK1804" s="15" t="n">
        <v>86</v>
      </c>
      <c r="EG1804" s="15" t="n">
        <v>86</v>
      </c>
      <c r="FC1804" s="15" t="n">
        <v>86</v>
      </c>
      <c r="FY1804" s="15" t="n">
        <v>86</v>
      </c>
      <c r="GU1804" s="15" t="n">
        <v>86</v>
      </c>
    </row>
    <row r="1805">
      <c r="C1805" s="15" t="n">
        <v>87</v>
      </c>
      <c r="AA1805" s="15" t="n">
        <v>87</v>
      </c>
      <c r="AW1805" s="15" t="n">
        <v>87</v>
      </c>
      <c r="BS1805" s="15" t="n">
        <v>87</v>
      </c>
      <c r="CO1805" s="15" t="n">
        <v>87</v>
      </c>
      <c r="DK1805" s="15" t="n">
        <v>87</v>
      </c>
      <c r="EG1805" s="15" t="n">
        <v>87</v>
      </c>
      <c r="FC1805" s="15" t="n">
        <v>87</v>
      </c>
      <c r="FY1805" s="15" t="n">
        <v>87</v>
      </c>
      <c r="GU1805" s="15" t="n">
        <v>87</v>
      </c>
    </row>
    <row r="1806">
      <c r="C1806" s="15" t="n">
        <v>88</v>
      </c>
      <c r="AA1806" s="15" t="n">
        <v>88</v>
      </c>
      <c r="AW1806" s="15" t="n">
        <v>88</v>
      </c>
      <c r="BS1806" s="15" t="n">
        <v>88</v>
      </c>
      <c r="CO1806" s="15" t="n">
        <v>88</v>
      </c>
      <c r="DK1806" s="15" t="n">
        <v>88</v>
      </c>
      <c r="EG1806" s="15" t="n">
        <v>88</v>
      </c>
      <c r="FC1806" s="15" t="n">
        <v>88</v>
      </c>
      <c r="FY1806" s="15" t="n">
        <v>88</v>
      </c>
      <c r="GU1806" s="15" t="n">
        <v>88</v>
      </c>
    </row>
    <row r="1807">
      <c r="C1807" s="15" t="n">
        <v>89</v>
      </c>
      <c r="AA1807" s="15" t="n">
        <v>89</v>
      </c>
      <c r="AW1807" s="15" t="n">
        <v>89</v>
      </c>
      <c r="BS1807" s="15" t="n">
        <v>89</v>
      </c>
      <c r="CO1807" s="15" t="n">
        <v>89</v>
      </c>
      <c r="DK1807" s="15" t="n">
        <v>89</v>
      </c>
      <c r="EG1807" s="15" t="n">
        <v>89</v>
      </c>
      <c r="FC1807" s="15" t="n">
        <v>89</v>
      </c>
      <c r="FY1807" s="15" t="n">
        <v>89</v>
      </c>
      <c r="GU1807" s="15" t="n">
        <v>89</v>
      </c>
    </row>
    <row r="1808">
      <c r="C1808" s="15" t="n">
        <v>90</v>
      </c>
      <c r="AA1808" s="15" t="n">
        <v>90</v>
      </c>
      <c r="AW1808" s="15" t="n">
        <v>90</v>
      </c>
      <c r="BS1808" s="15" t="n">
        <v>90</v>
      </c>
      <c r="CO1808" s="15" t="n">
        <v>90</v>
      </c>
      <c r="DK1808" s="15" t="n">
        <v>90</v>
      </c>
      <c r="EG1808" s="15" t="n">
        <v>90</v>
      </c>
      <c r="FC1808" s="15" t="n">
        <v>90</v>
      </c>
      <c r="FY1808" s="15" t="n">
        <v>90</v>
      </c>
      <c r="GU1808" s="15" t="n">
        <v>90</v>
      </c>
    </row>
    <row r="1809">
      <c r="C1809" s="15" t="n">
        <v>91</v>
      </c>
      <c r="AA1809" s="15" t="n">
        <v>91</v>
      </c>
      <c r="AW1809" s="15" t="n">
        <v>91</v>
      </c>
      <c r="BS1809" s="15" t="n">
        <v>91</v>
      </c>
      <c r="CO1809" s="15" t="n">
        <v>91</v>
      </c>
      <c r="DK1809" s="15" t="n">
        <v>91</v>
      </c>
      <c r="EG1809" s="15" t="n">
        <v>91</v>
      </c>
      <c r="FC1809" s="15" t="n">
        <v>91</v>
      </c>
      <c r="FY1809" s="15" t="n">
        <v>91</v>
      </c>
      <c r="GU1809" s="15" t="n">
        <v>91</v>
      </c>
    </row>
    <row r="1810">
      <c r="C1810" s="15" t="n">
        <v>92</v>
      </c>
      <c r="AA1810" s="15" t="n">
        <v>92</v>
      </c>
      <c r="AW1810" s="15" t="n">
        <v>92</v>
      </c>
      <c r="BS1810" s="15" t="n">
        <v>92</v>
      </c>
      <c r="CO1810" s="15" t="n">
        <v>92</v>
      </c>
      <c r="DK1810" s="15" t="n">
        <v>92</v>
      </c>
      <c r="EG1810" s="15" t="n">
        <v>92</v>
      </c>
      <c r="FC1810" s="15" t="n">
        <v>92</v>
      </c>
      <c r="FY1810" s="15" t="n">
        <v>92</v>
      </c>
      <c r="GU1810" s="15" t="n">
        <v>92</v>
      </c>
    </row>
    <row r="1811">
      <c r="C1811" s="15" t="n">
        <v>93</v>
      </c>
      <c r="AA1811" s="15" t="n">
        <v>93</v>
      </c>
      <c r="AW1811" s="15" t="n">
        <v>93</v>
      </c>
      <c r="BS1811" s="15" t="n">
        <v>93</v>
      </c>
      <c r="CO1811" s="15" t="n">
        <v>93</v>
      </c>
      <c r="DK1811" s="15" t="n">
        <v>93</v>
      </c>
      <c r="EG1811" s="15" t="n">
        <v>93</v>
      </c>
      <c r="FC1811" s="15" t="n">
        <v>93</v>
      </c>
      <c r="FY1811" s="15" t="n">
        <v>93</v>
      </c>
      <c r="GU1811" s="15" t="n">
        <v>93</v>
      </c>
    </row>
    <row r="1812">
      <c r="C1812" s="15" t="n">
        <v>94</v>
      </c>
      <c r="AA1812" s="15" t="n">
        <v>94</v>
      </c>
      <c r="AW1812" s="15" t="n">
        <v>94</v>
      </c>
      <c r="BS1812" s="15" t="n">
        <v>94</v>
      </c>
      <c r="CO1812" s="15" t="n">
        <v>94</v>
      </c>
      <c r="DK1812" s="15" t="n">
        <v>94</v>
      </c>
      <c r="EG1812" s="15" t="n">
        <v>94</v>
      </c>
      <c r="FC1812" s="15" t="n">
        <v>94</v>
      </c>
      <c r="FY1812" s="15" t="n">
        <v>94</v>
      </c>
      <c r="GU1812" s="15" t="n">
        <v>94</v>
      </c>
    </row>
    <row r="1813">
      <c r="C1813" s="15" t="n">
        <v>95</v>
      </c>
      <c r="AA1813" s="15" t="n">
        <v>95</v>
      </c>
      <c r="AW1813" s="15" t="n">
        <v>95</v>
      </c>
      <c r="BS1813" s="15" t="n">
        <v>95</v>
      </c>
      <c r="CO1813" s="15" t="n">
        <v>95</v>
      </c>
      <c r="DK1813" s="15" t="n">
        <v>95</v>
      </c>
      <c r="EG1813" s="15" t="n">
        <v>95</v>
      </c>
      <c r="FC1813" s="15" t="n">
        <v>95</v>
      </c>
      <c r="FY1813" s="15" t="n">
        <v>95</v>
      </c>
      <c r="GU1813" s="15" t="n">
        <v>95</v>
      </c>
    </row>
    <row r="1814">
      <c r="C1814" s="15" t="n">
        <v>96</v>
      </c>
      <c r="AA1814" s="15" t="n">
        <v>96</v>
      </c>
      <c r="AW1814" s="15" t="n">
        <v>96</v>
      </c>
      <c r="BS1814" s="15" t="n">
        <v>96</v>
      </c>
      <c r="CO1814" s="15" t="n">
        <v>96</v>
      </c>
      <c r="DK1814" s="15" t="n">
        <v>96</v>
      </c>
      <c r="EG1814" s="15" t="n">
        <v>96</v>
      </c>
      <c r="FC1814" s="15" t="n">
        <v>96</v>
      </c>
      <c r="FY1814" s="15" t="n">
        <v>96</v>
      </c>
      <c r="GU1814" s="15" t="n">
        <v>96</v>
      </c>
    </row>
    <row r="1815">
      <c r="C1815" s="15" t="n">
        <v>97</v>
      </c>
      <c r="AA1815" s="15" t="n">
        <v>97</v>
      </c>
      <c r="AW1815" s="15" t="n">
        <v>97</v>
      </c>
      <c r="BS1815" s="15" t="n">
        <v>97</v>
      </c>
      <c r="CO1815" s="15" t="n">
        <v>97</v>
      </c>
      <c r="DK1815" s="15" t="n">
        <v>97</v>
      </c>
      <c r="EG1815" s="15" t="n">
        <v>97</v>
      </c>
      <c r="FC1815" s="15" t="n">
        <v>97</v>
      </c>
      <c r="FY1815" s="15" t="n">
        <v>97</v>
      </c>
      <c r="GU1815" s="15" t="n">
        <v>97</v>
      </c>
    </row>
    <row r="1816">
      <c r="C1816" s="15" t="n">
        <v>98</v>
      </c>
      <c r="AA1816" s="15" t="n">
        <v>98</v>
      </c>
      <c r="AW1816" s="15" t="n">
        <v>98</v>
      </c>
      <c r="BS1816" s="15" t="n">
        <v>98</v>
      </c>
      <c r="CO1816" s="15" t="n">
        <v>98</v>
      </c>
      <c r="DK1816" s="15" t="n">
        <v>98</v>
      </c>
      <c r="EG1816" s="15" t="n">
        <v>98</v>
      </c>
      <c r="FC1816" s="15" t="n">
        <v>98</v>
      </c>
      <c r="FY1816" s="15" t="n">
        <v>98</v>
      </c>
      <c r="GU1816" s="15" t="n">
        <v>98</v>
      </c>
    </row>
    <row r="1817">
      <c r="C1817" s="15" t="n">
        <v>99</v>
      </c>
      <c r="AA1817" s="15" t="n">
        <v>99</v>
      </c>
      <c r="AW1817" s="15" t="n">
        <v>99</v>
      </c>
      <c r="BS1817" s="15" t="n">
        <v>99</v>
      </c>
      <c r="CO1817" s="15" t="n">
        <v>99</v>
      </c>
      <c r="DK1817" s="15" t="n">
        <v>99</v>
      </c>
      <c r="EG1817" s="15" t="n">
        <v>99</v>
      </c>
      <c r="FC1817" s="15" t="n">
        <v>99</v>
      </c>
      <c r="FY1817" s="15" t="n">
        <v>99</v>
      </c>
      <c r="GU1817" s="15" t="n">
        <v>99</v>
      </c>
    </row>
    <row r="1818">
      <c r="C1818" s="15" t="n">
        <v>100</v>
      </c>
      <c r="AA1818" s="15" t="n">
        <v>100</v>
      </c>
      <c r="AW1818" s="15" t="n">
        <v>100</v>
      </c>
      <c r="BS1818" s="15" t="n">
        <v>100</v>
      </c>
      <c r="CO1818" s="15" t="n">
        <v>100</v>
      </c>
      <c r="DK1818" s="15" t="n">
        <v>100</v>
      </c>
      <c r="EG1818" s="15" t="n">
        <v>100</v>
      </c>
      <c r="FC1818" s="15" t="n">
        <v>100</v>
      </c>
      <c r="FY1818" s="15" t="n">
        <v>100</v>
      </c>
      <c r="GU1818" s="15" t="n">
        <v>100</v>
      </c>
    </row>
    <row r="1819">
      <c r="C1819" s="15" t="n">
        <v>101</v>
      </c>
      <c r="AA1819" s="15" t="n">
        <v>101</v>
      </c>
      <c r="AW1819" s="15" t="n">
        <v>101</v>
      </c>
      <c r="BS1819" s="15" t="n">
        <v>101</v>
      </c>
      <c r="CO1819" s="15" t="n">
        <v>101</v>
      </c>
      <c r="DK1819" s="15" t="n">
        <v>101</v>
      </c>
      <c r="EG1819" s="15" t="n">
        <v>101</v>
      </c>
      <c r="FC1819" s="15" t="n">
        <v>101</v>
      </c>
      <c r="FY1819" s="15" t="n">
        <v>101</v>
      </c>
      <c r="GU1819" s="15" t="n">
        <v>101</v>
      </c>
    </row>
    <row r="1820">
      <c r="C1820" s="15" t="n">
        <v>102</v>
      </c>
      <c r="AA1820" s="15" t="n">
        <v>102</v>
      </c>
      <c r="AW1820" s="15" t="n">
        <v>102</v>
      </c>
      <c r="BS1820" s="15" t="n">
        <v>102</v>
      </c>
      <c r="CO1820" s="15" t="n">
        <v>102</v>
      </c>
      <c r="DK1820" s="15" t="n">
        <v>102</v>
      </c>
      <c r="EG1820" s="15" t="n">
        <v>102</v>
      </c>
      <c r="FC1820" s="15" t="n">
        <v>102</v>
      </c>
      <c r="FY1820" s="15" t="n">
        <v>102</v>
      </c>
      <c r="GU1820" s="15" t="n">
        <v>102</v>
      </c>
    </row>
    <row r="1821">
      <c r="C1821" s="15" t="n">
        <v>103</v>
      </c>
      <c r="AA1821" s="15" t="n">
        <v>103</v>
      </c>
      <c r="AW1821" s="15" t="n">
        <v>103</v>
      </c>
      <c r="BS1821" s="15" t="n">
        <v>103</v>
      </c>
      <c r="CO1821" s="15" t="n">
        <v>103</v>
      </c>
      <c r="DK1821" s="15" t="n">
        <v>103</v>
      </c>
      <c r="EG1821" s="15" t="n">
        <v>103</v>
      </c>
      <c r="FC1821" s="15" t="n">
        <v>103</v>
      </c>
      <c r="FY1821" s="15" t="n">
        <v>103</v>
      </c>
      <c r="GU1821" s="15" t="n">
        <v>103</v>
      </c>
    </row>
    <row r="1822">
      <c r="C1822" s="15" t="n">
        <v>104</v>
      </c>
      <c r="AA1822" s="15" t="n">
        <v>104</v>
      </c>
      <c r="AW1822" s="15" t="n">
        <v>104</v>
      </c>
      <c r="BS1822" s="15" t="n">
        <v>104</v>
      </c>
      <c r="CO1822" s="15" t="n">
        <v>104</v>
      </c>
      <c r="DK1822" s="15" t="n">
        <v>104</v>
      </c>
      <c r="EG1822" s="15" t="n">
        <v>104</v>
      </c>
      <c r="FC1822" s="15" t="n">
        <v>104</v>
      </c>
      <c r="FY1822" s="15" t="n">
        <v>104</v>
      </c>
      <c r="GU1822" s="15" t="n">
        <v>104</v>
      </c>
    </row>
    <row r="1823">
      <c r="C1823" s="15" t="n">
        <v>105</v>
      </c>
      <c r="AA1823" s="15" t="n">
        <v>105</v>
      </c>
      <c r="AW1823" s="15" t="n">
        <v>105</v>
      </c>
      <c r="BS1823" s="15" t="n">
        <v>105</v>
      </c>
      <c r="CO1823" s="15" t="n">
        <v>105</v>
      </c>
      <c r="DK1823" s="15" t="n">
        <v>105</v>
      </c>
      <c r="EG1823" s="15" t="n">
        <v>105</v>
      </c>
      <c r="FC1823" s="15" t="n">
        <v>105</v>
      </c>
      <c r="FY1823" s="15" t="n">
        <v>105</v>
      </c>
      <c r="GU1823" s="15" t="n">
        <v>105</v>
      </c>
    </row>
    <row r="1824">
      <c r="C1824" s="15" t="n">
        <v>106</v>
      </c>
      <c r="AA1824" s="15" t="n">
        <v>106</v>
      </c>
      <c r="AW1824" s="15" t="n">
        <v>106</v>
      </c>
      <c r="BS1824" s="15" t="n">
        <v>106</v>
      </c>
      <c r="CO1824" s="15" t="n">
        <v>106</v>
      </c>
      <c r="DK1824" s="15" t="n">
        <v>106</v>
      </c>
      <c r="EG1824" s="15" t="n">
        <v>106</v>
      </c>
      <c r="FC1824" s="15" t="n">
        <v>106</v>
      </c>
      <c r="FY1824" s="15" t="n">
        <v>106</v>
      </c>
      <c r="GU1824" s="15" t="n">
        <v>106</v>
      </c>
    </row>
    <row r="1825">
      <c r="C1825" s="15" t="n">
        <v>107</v>
      </c>
      <c r="AA1825" s="15" t="n">
        <v>107</v>
      </c>
      <c r="AW1825" s="15" t="n">
        <v>107</v>
      </c>
      <c r="BS1825" s="15" t="n">
        <v>107</v>
      </c>
      <c r="CO1825" s="15" t="n">
        <v>107</v>
      </c>
      <c r="DK1825" s="15" t="n">
        <v>107</v>
      </c>
      <c r="EG1825" s="15" t="n">
        <v>107</v>
      </c>
      <c r="FC1825" s="15" t="n">
        <v>107</v>
      </c>
      <c r="FY1825" s="15" t="n">
        <v>107</v>
      </c>
      <c r="GU1825" s="15" t="n">
        <v>107</v>
      </c>
    </row>
    <row r="1826">
      <c r="C1826" s="15" t="n">
        <v>108</v>
      </c>
      <c r="AA1826" s="15" t="n">
        <v>108</v>
      </c>
      <c r="AW1826" s="15" t="n">
        <v>108</v>
      </c>
      <c r="BS1826" s="15" t="n">
        <v>108</v>
      </c>
      <c r="CO1826" s="15" t="n">
        <v>108</v>
      </c>
      <c r="DK1826" s="15" t="n">
        <v>108</v>
      </c>
      <c r="EG1826" s="15" t="n">
        <v>108</v>
      </c>
      <c r="FC1826" s="15" t="n">
        <v>108</v>
      </c>
      <c r="FY1826" s="15" t="n">
        <v>108</v>
      </c>
      <c r="GU1826" s="15" t="n">
        <v>108</v>
      </c>
    </row>
    <row r="1827">
      <c r="C1827" s="15" t="n">
        <v>109</v>
      </c>
      <c r="AA1827" s="15" t="n">
        <v>109</v>
      </c>
      <c r="AW1827" s="15" t="n">
        <v>109</v>
      </c>
      <c r="BS1827" s="15" t="n">
        <v>109</v>
      </c>
      <c r="CO1827" s="15" t="n">
        <v>109</v>
      </c>
      <c r="DK1827" s="15" t="n">
        <v>109</v>
      </c>
      <c r="EG1827" s="15" t="n">
        <v>109</v>
      </c>
      <c r="FC1827" s="15" t="n">
        <v>109</v>
      </c>
      <c r="FY1827" s="15" t="n">
        <v>109</v>
      </c>
      <c r="GU1827" s="15" t="n">
        <v>109</v>
      </c>
    </row>
    <row r="1828">
      <c r="C1828" s="15" t="n">
        <v>110</v>
      </c>
      <c r="AA1828" s="15" t="n">
        <v>110</v>
      </c>
      <c r="AW1828" s="15" t="n">
        <v>110</v>
      </c>
      <c r="BS1828" s="15" t="n">
        <v>110</v>
      </c>
      <c r="CO1828" s="15" t="n">
        <v>110</v>
      </c>
      <c r="DK1828" s="15" t="n">
        <v>110</v>
      </c>
      <c r="EG1828" s="15" t="n">
        <v>110</v>
      </c>
      <c r="FC1828" s="15" t="n">
        <v>110</v>
      </c>
      <c r="FY1828" s="15" t="n">
        <v>110</v>
      </c>
      <c r="GU1828" s="15" t="n">
        <v>110</v>
      </c>
    </row>
    <row r="1829">
      <c r="C1829" s="15" t="n">
        <v>111</v>
      </c>
      <c r="AA1829" s="15" t="n">
        <v>111</v>
      </c>
      <c r="AW1829" s="15" t="n">
        <v>111</v>
      </c>
      <c r="BS1829" s="15" t="n">
        <v>111</v>
      </c>
      <c r="CO1829" s="15" t="n">
        <v>111</v>
      </c>
      <c r="DK1829" s="15" t="n">
        <v>111</v>
      </c>
      <c r="EG1829" s="15" t="n">
        <v>111</v>
      </c>
      <c r="FC1829" s="15" t="n">
        <v>111</v>
      </c>
      <c r="FY1829" s="15" t="n">
        <v>111</v>
      </c>
      <c r="GU1829" s="15" t="n">
        <v>111</v>
      </c>
    </row>
    <row r="1830">
      <c r="C1830" s="15" t="n">
        <v>112</v>
      </c>
      <c r="AA1830" s="15" t="n">
        <v>112</v>
      </c>
      <c r="AW1830" s="15" t="n">
        <v>112</v>
      </c>
      <c r="BS1830" s="15" t="n">
        <v>112</v>
      </c>
      <c r="CO1830" s="15" t="n">
        <v>112</v>
      </c>
      <c r="DK1830" s="15" t="n">
        <v>112</v>
      </c>
      <c r="EG1830" s="15" t="n">
        <v>112</v>
      </c>
      <c r="FC1830" s="15" t="n">
        <v>112</v>
      </c>
      <c r="FY1830" s="15" t="n">
        <v>112</v>
      </c>
      <c r="GU1830" s="15" t="n">
        <v>112</v>
      </c>
    </row>
    <row r="1831">
      <c r="C1831" s="15" t="n">
        <v>113</v>
      </c>
      <c r="AA1831" s="15" t="n">
        <v>113</v>
      </c>
      <c r="AW1831" s="15" t="n">
        <v>113</v>
      </c>
      <c r="BS1831" s="15" t="n">
        <v>113</v>
      </c>
      <c r="CO1831" s="15" t="n">
        <v>113</v>
      </c>
      <c r="DK1831" s="15" t="n">
        <v>113</v>
      </c>
      <c r="EG1831" s="15" t="n">
        <v>113</v>
      </c>
      <c r="FC1831" s="15" t="n">
        <v>113</v>
      </c>
      <c r="FY1831" s="15" t="n">
        <v>113</v>
      </c>
      <c r="GU1831" s="15" t="n">
        <v>113</v>
      </c>
    </row>
    <row r="1832">
      <c r="C1832" s="15" t="n">
        <v>114</v>
      </c>
      <c r="AA1832" s="15" t="n">
        <v>114</v>
      </c>
      <c r="AW1832" s="15" t="n">
        <v>114</v>
      </c>
      <c r="BS1832" s="15" t="n">
        <v>114</v>
      </c>
      <c r="CO1832" s="15" t="n">
        <v>114</v>
      </c>
      <c r="DK1832" s="15" t="n">
        <v>114</v>
      </c>
      <c r="EG1832" s="15" t="n">
        <v>114</v>
      </c>
      <c r="FC1832" s="15" t="n">
        <v>114</v>
      </c>
      <c r="FY1832" s="15" t="n">
        <v>114</v>
      </c>
      <c r="GU1832" s="15" t="n">
        <v>114</v>
      </c>
    </row>
    <row r="1833">
      <c r="C1833" s="15" t="n">
        <v>115</v>
      </c>
      <c r="AA1833" s="15" t="n">
        <v>115</v>
      </c>
      <c r="AW1833" s="15" t="n">
        <v>115</v>
      </c>
      <c r="BS1833" s="15" t="n">
        <v>115</v>
      </c>
      <c r="CO1833" s="15" t="n">
        <v>115</v>
      </c>
      <c r="DK1833" s="15" t="n">
        <v>115</v>
      </c>
      <c r="EG1833" s="15" t="n">
        <v>115</v>
      </c>
      <c r="FC1833" s="15" t="n">
        <v>115</v>
      </c>
      <c r="FY1833" s="15" t="n">
        <v>115</v>
      </c>
      <c r="GU1833" s="15" t="n">
        <v>115</v>
      </c>
    </row>
    <row r="1834">
      <c r="C1834" s="15" t="n">
        <v>116</v>
      </c>
      <c r="AA1834" s="15" t="n">
        <v>116</v>
      </c>
      <c r="AW1834" s="15" t="n">
        <v>116</v>
      </c>
      <c r="BS1834" s="15" t="n">
        <v>116</v>
      </c>
      <c r="CO1834" s="15" t="n">
        <v>116</v>
      </c>
      <c r="DK1834" s="15" t="n">
        <v>116</v>
      </c>
      <c r="EG1834" s="15" t="n">
        <v>116</v>
      </c>
      <c r="FC1834" s="15" t="n">
        <v>116</v>
      </c>
      <c r="FY1834" s="15" t="n">
        <v>116</v>
      </c>
      <c r="GU1834" s="15" t="n">
        <v>116</v>
      </c>
    </row>
    <row r="1835">
      <c r="C1835" s="15" t="n">
        <v>117</v>
      </c>
      <c r="AA1835" s="15" t="n">
        <v>117</v>
      </c>
      <c r="AW1835" s="15" t="n">
        <v>117</v>
      </c>
      <c r="BS1835" s="15" t="n">
        <v>117</v>
      </c>
      <c r="CO1835" s="15" t="n">
        <v>117</v>
      </c>
      <c r="DK1835" s="15" t="n">
        <v>117</v>
      </c>
      <c r="EG1835" s="15" t="n">
        <v>117</v>
      </c>
      <c r="FC1835" s="15" t="n">
        <v>117</v>
      </c>
      <c r="FY1835" s="15" t="n">
        <v>117</v>
      </c>
      <c r="GU1835" s="15" t="n">
        <v>117</v>
      </c>
    </row>
    <row r="1836">
      <c r="C1836" s="15" t="n">
        <v>118</v>
      </c>
      <c r="AA1836" s="15" t="n">
        <v>118</v>
      </c>
      <c r="AW1836" s="15" t="n">
        <v>118</v>
      </c>
      <c r="BS1836" s="15" t="n">
        <v>118</v>
      </c>
      <c r="CO1836" s="15" t="n">
        <v>118</v>
      </c>
      <c r="DK1836" s="15" t="n">
        <v>118</v>
      </c>
      <c r="EG1836" s="15" t="n">
        <v>118</v>
      </c>
      <c r="FC1836" s="15" t="n">
        <v>118</v>
      </c>
      <c r="FY1836" s="15" t="n">
        <v>118</v>
      </c>
      <c r="GU1836" s="15" t="n">
        <v>118</v>
      </c>
    </row>
    <row r="1837">
      <c r="C1837" s="15" t="n">
        <v>119</v>
      </c>
      <c r="AA1837" s="15" t="n">
        <v>119</v>
      </c>
      <c r="AW1837" s="15" t="n">
        <v>119</v>
      </c>
      <c r="BS1837" s="15" t="n">
        <v>119</v>
      </c>
      <c r="CO1837" s="15" t="n">
        <v>119</v>
      </c>
      <c r="DK1837" s="15" t="n">
        <v>119</v>
      </c>
      <c r="EG1837" s="15" t="n">
        <v>119</v>
      </c>
      <c r="FC1837" s="15" t="n">
        <v>119</v>
      </c>
      <c r="FY1837" s="15" t="n">
        <v>119</v>
      </c>
      <c r="GU1837" s="15" t="n">
        <v>119</v>
      </c>
    </row>
    <row r="1838">
      <c r="C1838" s="15" t="n">
        <v>120</v>
      </c>
      <c r="AA1838" s="15" t="n">
        <v>120</v>
      </c>
      <c r="AW1838" s="15" t="n">
        <v>120</v>
      </c>
      <c r="BS1838" s="15" t="n">
        <v>120</v>
      </c>
      <c r="CO1838" s="15" t="n">
        <v>120</v>
      </c>
      <c r="DK1838" s="15" t="n">
        <v>120</v>
      </c>
      <c r="EG1838" s="15" t="n">
        <v>120</v>
      </c>
      <c r="FC1838" s="15" t="n">
        <v>120</v>
      </c>
      <c r="FY1838" s="15" t="n">
        <v>120</v>
      </c>
      <c r="GU1838" s="15" t="n">
        <v>120</v>
      </c>
    </row>
    <row r="1839">
      <c r="C1839" s="15" t="n">
        <v>121</v>
      </c>
      <c r="AA1839" s="15" t="n">
        <v>121</v>
      </c>
      <c r="AW1839" s="15" t="n">
        <v>121</v>
      </c>
      <c r="BS1839" s="15" t="n">
        <v>121</v>
      </c>
      <c r="CO1839" s="15" t="n">
        <v>121</v>
      </c>
      <c r="DK1839" s="15" t="n">
        <v>121</v>
      </c>
      <c r="EG1839" s="15" t="n">
        <v>121</v>
      </c>
      <c r="FC1839" s="15" t="n">
        <v>121</v>
      </c>
      <c r="FY1839" s="15" t="n">
        <v>121</v>
      </c>
      <c r="GU1839" s="15" t="n">
        <v>121</v>
      </c>
    </row>
    <row r="1840">
      <c r="C1840" s="15" t="n">
        <v>122</v>
      </c>
      <c r="AA1840" s="15" t="n">
        <v>122</v>
      </c>
      <c r="AW1840" s="15" t="n">
        <v>122</v>
      </c>
      <c r="BS1840" s="15" t="n">
        <v>122</v>
      </c>
      <c r="CO1840" s="15" t="n">
        <v>122</v>
      </c>
      <c r="DK1840" s="15" t="n">
        <v>122</v>
      </c>
      <c r="EG1840" s="15" t="n">
        <v>122</v>
      </c>
      <c r="FC1840" s="15" t="n">
        <v>122</v>
      </c>
      <c r="FY1840" s="15" t="n">
        <v>122</v>
      </c>
      <c r="GU1840" s="15" t="n">
        <v>122</v>
      </c>
    </row>
    <row r="1841">
      <c r="C1841" s="15" t="n">
        <v>123</v>
      </c>
      <c r="AA1841" s="15" t="n">
        <v>123</v>
      </c>
      <c r="AW1841" s="15" t="n">
        <v>123</v>
      </c>
      <c r="BS1841" s="15" t="n">
        <v>123</v>
      </c>
      <c r="CO1841" s="15" t="n">
        <v>123</v>
      </c>
      <c r="DK1841" s="15" t="n">
        <v>123</v>
      </c>
      <c r="EG1841" s="15" t="n">
        <v>123</v>
      </c>
      <c r="FC1841" s="15" t="n">
        <v>123</v>
      </c>
      <c r="FY1841" s="15" t="n">
        <v>123</v>
      </c>
      <c r="GU1841" s="15" t="n">
        <v>123</v>
      </c>
    </row>
    <row r="1842">
      <c r="C1842" s="15" t="n">
        <v>124</v>
      </c>
      <c r="AA1842" s="15" t="n">
        <v>124</v>
      </c>
      <c r="AW1842" s="15" t="n">
        <v>124</v>
      </c>
      <c r="BS1842" s="15" t="n">
        <v>124</v>
      </c>
      <c r="CO1842" s="15" t="n">
        <v>124</v>
      </c>
      <c r="DK1842" s="15" t="n">
        <v>124</v>
      </c>
      <c r="EG1842" s="15" t="n">
        <v>124</v>
      </c>
      <c r="FC1842" s="15" t="n">
        <v>124</v>
      </c>
      <c r="FY1842" s="15" t="n">
        <v>124</v>
      </c>
      <c r="GU1842" s="15" t="n">
        <v>124</v>
      </c>
    </row>
    <row r="1843">
      <c r="C1843" s="15" t="n">
        <v>125</v>
      </c>
      <c r="AA1843" s="15" t="n">
        <v>125</v>
      </c>
      <c r="AW1843" s="15" t="n">
        <v>125</v>
      </c>
      <c r="BS1843" s="15" t="n">
        <v>125</v>
      </c>
      <c r="CO1843" s="15" t="n">
        <v>125</v>
      </c>
      <c r="DK1843" s="15" t="n">
        <v>125</v>
      </c>
      <c r="EG1843" s="15" t="n">
        <v>125</v>
      </c>
      <c r="FC1843" s="15" t="n">
        <v>125</v>
      </c>
      <c r="FY1843" s="15" t="n">
        <v>125</v>
      </c>
      <c r="GU1843" s="15" t="n">
        <v>125</v>
      </c>
    </row>
    <row r="1844">
      <c r="C1844" s="15" t="n">
        <v>126</v>
      </c>
      <c r="AA1844" s="15" t="n">
        <v>126</v>
      </c>
      <c r="AW1844" s="15" t="n">
        <v>126</v>
      </c>
      <c r="BS1844" s="15" t="n">
        <v>126</v>
      </c>
      <c r="CO1844" s="15" t="n">
        <v>126</v>
      </c>
      <c r="DK1844" s="15" t="n">
        <v>126</v>
      </c>
      <c r="EG1844" s="15" t="n">
        <v>126</v>
      </c>
      <c r="FC1844" s="15" t="n">
        <v>126</v>
      </c>
      <c r="FY1844" s="15" t="n">
        <v>126</v>
      </c>
      <c r="GU1844" s="15" t="n">
        <v>126</v>
      </c>
    </row>
    <row r="1845">
      <c r="C1845" s="15" t="n">
        <v>127</v>
      </c>
      <c r="AA1845" s="15" t="n">
        <v>127</v>
      </c>
      <c r="AW1845" s="15" t="n">
        <v>127</v>
      </c>
      <c r="BS1845" s="15" t="n">
        <v>127</v>
      </c>
      <c r="CO1845" s="15" t="n">
        <v>127</v>
      </c>
      <c r="DK1845" s="15" t="n">
        <v>127</v>
      </c>
      <c r="EG1845" s="15" t="n">
        <v>127</v>
      </c>
      <c r="FC1845" s="15" t="n">
        <v>127</v>
      </c>
      <c r="FY1845" s="15" t="n">
        <v>127</v>
      </c>
      <c r="GU1845" s="15" t="n">
        <v>127</v>
      </c>
    </row>
    <row r="1846">
      <c r="C1846" s="15" t="n">
        <v>128</v>
      </c>
      <c r="AA1846" s="15" t="n">
        <v>128</v>
      </c>
      <c r="AW1846" s="15" t="n">
        <v>128</v>
      </c>
      <c r="BS1846" s="15" t="n">
        <v>128</v>
      </c>
      <c r="CO1846" s="15" t="n">
        <v>128</v>
      </c>
      <c r="DK1846" s="15" t="n">
        <v>128</v>
      </c>
      <c r="EG1846" s="15" t="n">
        <v>128</v>
      </c>
      <c r="FC1846" s="15" t="n">
        <v>128</v>
      </c>
      <c r="FY1846" s="15" t="n">
        <v>128</v>
      </c>
      <c r="GU1846" s="15" t="n">
        <v>128</v>
      </c>
    </row>
    <row r="1847">
      <c r="C1847" s="15" t="n">
        <v>129</v>
      </c>
      <c r="AA1847" s="15" t="n">
        <v>129</v>
      </c>
      <c r="AW1847" s="15" t="n">
        <v>129</v>
      </c>
      <c r="BS1847" s="15" t="n">
        <v>129</v>
      </c>
      <c r="CO1847" s="15" t="n">
        <v>129</v>
      </c>
      <c r="DK1847" s="15" t="n">
        <v>129</v>
      </c>
      <c r="EG1847" s="15" t="n">
        <v>129</v>
      </c>
      <c r="FC1847" s="15" t="n">
        <v>129</v>
      </c>
      <c r="FY1847" s="15" t="n">
        <v>129</v>
      </c>
      <c r="GU1847" s="15" t="n">
        <v>129</v>
      </c>
    </row>
    <row r="1848">
      <c r="C1848" s="15" t="n">
        <v>130</v>
      </c>
      <c r="AA1848" s="15" t="n">
        <v>130</v>
      </c>
      <c r="AW1848" s="15" t="n">
        <v>130</v>
      </c>
      <c r="BS1848" s="15" t="n">
        <v>130</v>
      </c>
      <c r="CO1848" s="15" t="n">
        <v>130</v>
      </c>
      <c r="DK1848" s="15" t="n">
        <v>130</v>
      </c>
      <c r="EG1848" s="15" t="n">
        <v>130</v>
      </c>
      <c r="FC1848" s="15" t="n">
        <v>130</v>
      </c>
      <c r="FY1848" s="15" t="n">
        <v>130</v>
      </c>
      <c r="GU1848" s="15" t="n">
        <v>130</v>
      </c>
    </row>
    <row r="1849">
      <c r="C1849" s="15" t="n">
        <v>131</v>
      </c>
      <c r="AA1849" s="15" t="n">
        <v>131</v>
      </c>
      <c r="AW1849" s="15" t="n">
        <v>131</v>
      </c>
      <c r="BS1849" s="15" t="n">
        <v>131</v>
      </c>
      <c r="CO1849" s="15" t="n">
        <v>131</v>
      </c>
      <c r="DK1849" s="15" t="n">
        <v>131</v>
      </c>
      <c r="EG1849" s="15" t="n">
        <v>131</v>
      </c>
      <c r="FC1849" s="15" t="n">
        <v>131</v>
      </c>
      <c r="FY1849" s="15" t="n">
        <v>131</v>
      </c>
      <c r="GU1849" s="15" t="n">
        <v>131</v>
      </c>
    </row>
    <row r="1850">
      <c r="C1850" s="15" t="n">
        <v>132</v>
      </c>
      <c r="AA1850" s="15" t="n">
        <v>132</v>
      </c>
      <c r="AW1850" s="15" t="n">
        <v>132</v>
      </c>
      <c r="BS1850" s="15" t="n">
        <v>132</v>
      </c>
      <c r="CO1850" s="15" t="n">
        <v>132</v>
      </c>
      <c r="DK1850" s="15" t="n">
        <v>132</v>
      </c>
      <c r="EG1850" s="15" t="n">
        <v>132</v>
      </c>
      <c r="FC1850" s="15" t="n">
        <v>132</v>
      </c>
      <c r="FY1850" s="15" t="n">
        <v>132</v>
      </c>
      <c r="GU1850" s="15" t="n">
        <v>132</v>
      </c>
    </row>
    <row r="1851">
      <c r="C1851" s="15" t="n">
        <v>133</v>
      </c>
      <c r="AA1851" s="15" t="n">
        <v>133</v>
      </c>
      <c r="AW1851" s="15" t="n">
        <v>133</v>
      </c>
      <c r="BS1851" s="15" t="n">
        <v>133</v>
      </c>
      <c r="CO1851" s="15" t="n">
        <v>133</v>
      </c>
      <c r="DK1851" s="15" t="n">
        <v>133</v>
      </c>
      <c r="EG1851" s="15" t="n">
        <v>133</v>
      </c>
      <c r="FC1851" s="15" t="n">
        <v>133</v>
      </c>
      <c r="FY1851" s="15" t="n">
        <v>133</v>
      </c>
      <c r="GU1851" s="15" t="n">
        <v>133</v>
      </c>
    </row>
    <row r="1852">
      <c r="C1852" s="15" t="n">
        <v>134</v>
      </c>
      <c r="AA1852" s="15" t="n">
        <v>134</v>
      </c>
      <c r="AW1852" s="15" t="n">
        <v>134</v>
      </c>
      <c r="BS1852" s="15" t="n">
        <v>134</v>
      </c>
      <c r="CO1852" s="15" t="n">
        <v>134</v>
      </c>
      <c r="DK1852" s="15" t="n">
        <v>134</v>
      </c>
      <c r="EG1852" s="15" t="n">
        <v>134</v>
      </c>
      <c r="FC1852" s="15" t="n">
        <v>134</v>
      </c>
      <c r="FY1852" s="15" t="n">
        <v>134</v>
      </c>
      <c r="GU1852" s="15" t="n">
        <v>134</v>
      </c>
    </row>
    <row r="1853">
      <c r="C1853" s="15" t="n">
        <v>135</v>
      </c>
      <c r="AA1853" s="15" t="n">
        <v>135</v>
      </c>
      <c r="AW1853" s="15" t="n">
        <v>135</v>
      </c>
      <c r="BS1853" s="15" t="n">
        <v>135</v>
      </c>
      <c r="CO1853" s="15" t="n">
        <v>135</v>
      </c>
      <c r="DK1853" s="15" t="n">
        <v>135</v>
      </c>
      <c r="EG1853" s="15" t="n">
        <v>135</v>
      </c>
      <c r="FC1853" s="15" t="n">
        <v>135</v>
      </c>
      <c r="FY1853" s="15" t="n">
        <v>135</v>
      </c>
      <c r="GU1853" s="15" t="n">
        <v>135</v>
      </c>
    </row>
    <row r="1854">
      <c r="C1854" s="15" t="n">
        <v>136</v>
      </c>
      <c r="AA1854" s="15" t="n">
        <v>136</v>
      </c>
      <c r="AW1854" s="15" t="n">
        <v>136</v>
      </c>
      <c r="BS1854" s="15" t="n">
        <v>136</v>
      </c>
      <c r="CO1854" s="15" t="n">
        <v>136</v>
      </c>
      <c r="DK1854" s="15" t="n">
        <v>136</v>
      </c>
      <c r="EG1854" s="15" t="n">
        <v>136</v>
      </c>
      <c r="FC1854" s="15" t="n">
        <v>136</v>
      </c>
      <c r="FY1854" s="15" t="n">
        <v>136</v>
      </c>
      <c r="GU1854" s="15" t="n">
        <v>136</v>
      </c>
    </row>
    <row r="1855">
      <c r="C1855" s="15" t="n">
        <v>137</v>
      </c>
      <c r="AA1855" s="15" t="n">
        <v>137</v>
      </c>
      <c r="AW1855" s="15" t="n">
        <v>137</v>
      </c>
      <c r="BS1855" s="15" t="n">
        <v>137</v>
      </c>
      <c r="CO1855" s="15" t="n">
        <v>137</v>
      </c>
      <c r="DK1855" s="15" t="n">
        <v>137</v>
      </c>
      <c r="EG1855" s="15" t="n">
        <v>137</v>
      </c>
      <c r="FC1855" s="15" t="n">
        <v>137</v>
      </c>
      <c r="FY1855" s="15" t="n">
        <v>137</v>
      </c>
      <c r="GU1855" s="15" t="n">
        <v>137</v>
      </c>
    </row>
    <row r="1856">
      <c r="C1856" s="15" t="n">
        <v>138</v>
      </c>
      <c r="AA1856" s="15" t="n">
        <v>138</v>
      </c>
      <c r="AW1856" s="15" t="n">
        <v>138</v>
      </c>
      <c r="BS1856" s="15" t="n">
        <v>138</v>
      </c>
      <c r="CO1856" s="15" t="n">
        <v>138</v>
      </c>
      <c r="DK1856" s="15" t="n">
        <v>138</v>
      </c>
      <c r="EG1856" s="15" t="n">
        <v>138</v>
      </c>
      <c r="FC1856" s="15" t="n">
        <v>138</v>
      </c>
      <c r="FY1856" s="15" t="n">
        <v>138</v>
      </c>
      <c r="GU1856" s="15" t="n">
        <v>138</v>
      </c>
    </row>
    <row r="1857">
      <c r="C1857" s="15" t="n">
        <v>139</v>
      </c>
      <c r="AA1857" s="15" t="n">
        <v>139</v>
      </c>
      <c r="AW1857" s="15" t="n">
        <v>139</v>
      </c>
      <c r="BS1857" s="15" t="n">
        <v>139</v>
      </c>
      <c r="CO1857" s="15" t="n">
        <v>139</v>
      </c>
      <c r="DK1857" s="15" t="n">
        <v>139</v>
      </c>
      <c r="EG1857" s="15" t="n">
        <v>139</v>
      </c>
      <c r="FC1857" s="15" t="n">
        <v>139</v>
      </c>
      <c r="FY1857" s="15" t="n">
        <v>139</v>
      </c>
      <c r="GU1857" s="15" t="n">
        <v>139</v>
      </c>
    </row>
    <row r="1858">
      <c r="C1858" s="15" t="n">
        <v>140</v>
      </c>
      <c r="AA1858" s="15" t="n">
        <v>140</v>
      </c>
      <c r="AW1858" s="15" t="n">
        <v>140</v>
      </c>
      <c r="BS1858" s="15" t="n">
        <v>140</v>
      </c>
      <c r="CO1858" s="15" t="n">
        <v>140</v>
      </c>
      <c r="DK1858" s="15" t="n">
        <v>140</v>
      </c>
      <c r="EG1858" s="15" t="n">
        <v>140</v>
      </c>
      <c r="FC1858" s="15" t="n">
        <v>140</v>
      </c>
      <c r="FY1858" s="15" t="n">
        <v>140</v>
      </c>
      <c r="GU1858" s="15" t="n">
        <v>140</v>
      </c>
    </row>
    <row r="1859">
      <c r="C1859" s="15" t="n">
        <v>141</v>
      </c>
      <c r="AA1859" s="15" t="n">
        <v>141</v>
      </c>
      <c r="AW1859" s="15" t="n">
        <v>141</v>
      </c>
      <c r="BS1859" s="15" t="n">
        <v>141</v>
      </c>
      <c r="CO1859" s="15" t="n">
        <v>141</v>
      </c>
      <c r="DK1859" s="15" t="n">
        <v>141</v>
      </c>
      <c r="EG1859" s="15" t="n">
        <v>141</v>
      </c>
      <c r="FC1859" s="15" t="n">
        <v>141</v>
      </c>
      <c r="FY1859" s="15" t="n">
        <v>141</v>
      </c>
      <c r="GU1859" s="15" t="n">
        <v>141</v>
      </c>
    </row>
    <row r="1860">
      <c r="C1860" s="15" t="n">
        <v>142</v>
      </c>
      <c r="AA1860" s="15" t="n">
        <v>142</v>
      </c>
      <c r="AW1860" s="15" t="n">
        <v>142</v>
      </c>
      <c r="BS1860" s="15" t="n">
        <v>142</v>
      </c>
      <c r="CO1860" s="15" t="n">
        <v>142</v>
      </c>
      <c r="DK1860" s="15" t="n">
        <v>142</v>
      </c>
      <c r="EG1860" s="15" t="n">
        <v>142</v>
      </c>
      <c r="FC1860" s="15" t="n">
        <v>142</v>
      </c>
      <c r="FY1860" s="15" t="n">
        <v>142</v>
      </c>
      <c r="GU1860" s="15" t="n">
        <v>142</v>
      </c>
    </row>
    <row r="1861">
      <c r="C1861" s="15" t="n">
        <v>143</v>
      </c>
      <c r="AA1861" s="15" t="n">
        <v>143</v>
      </c>
      <c r="AW1861" s="15" t="n">
        <v>143</v>
      </c>
      <c r="BS1861" s="15" t="n">
        <v>143</v>
      </c>
      <c r="CO1861" s="15" t="n">
        <v>143</v>
      </c>
      <c r="DK1861" s="15" t="n">
        <v>143</v>
      </c>
      <c r="EG1861" s="15" t="n">
        <v>143</v>
      </c>
      <c r="FC1861" s="15" t="n">
        <v>143</v>
      </c>
      <c r="FY1861" s="15" t="n">
        <v>143</v>
      </c>
      <c r="GU1861" s="15" t="n">
        <v>143</v>
      </c>
    </row>
    <row r="1862">
      <c r="C1862" s="15" t="n">
        <v>144</v>
      </c>
      <c r="AA1862" s="15" t="n">
        <v>144</v>
      </c>
      <c r="AW1862" s="15" t="n">
        <v>144</v>
      </c>
      <c r="BS1862" s="15" t="n">
        <v>144</v>
      </c>
      <c r="CO1862" s="15" t="n">
        <v>144</v>
      </c>
      <c r="DK1862" s="15" t="n">
        <v>144</v>
      </c>
      <c r="EG1862" s="15" t="n">
        <v>144</v>
      </c>
      <c r="FC1862" s="15" t="n">
        <v>144</v>
      </c>
      <c r="FY1862" s="15" t="n">
        <v>144</v>
      </c>
      <c r="GU1862" s="15" t="n">
        <v>144</v>
      </c>
    </row>
    <row r="1863">
      <c r="C1863" s="15" t="n">
        <v>145</v>
      </c>
      <c r="AA1863" s="15" t="n">
        <v>145</v>
      </c>
      <c r="AW1863" s="15" t="n">
        <v>145</v>
      </c>
      <c r="BS1863" s="15" t="n">
        <v>145</v>
      </c>
      <c r="CO1863" s="15" t="n">
        <v>145</v>
      </c>
      <c r="DK1863" s="15" t="n">
        <v>145</v>
      </c>
      <c r="EG1863" s="15" t="n">
        <v>145</v>
      </c>
      <c r="FC1863" s="15" t="n">
        <v>145</v>
      </c>
      <c r="FY1863" s="15" t="n">
        <v>145</v>
      </c>
      <c r="GU1863" s="15" t="n">
        <v>145</v>
      </c>
    </row>
    <row r="1864">
      <c r="C1864" s="15" t="n">
        <v>146</v>
      </c>
      <c r="AA1864" s="15" t="n">
        <v>146</v>
      </c>
      <c r="AW1864" s="15" t="n">
        <v>146</v>
      </c>
      <c r="BS1864" s="15" t="n">
        <v>146</v>
      </c>
      <c r="CO1864" s="15" t="n">
        <v>146</v>
      </c>
      <c r="DK1864" s="15" t="n">
        <v>146</v>
      </c>
      <c r="EG1864" s="15" t="n">
        <v>146</v>
      </c>
      <c r="FC1864" s="15" t="n">
        <v>146</v>
      </c>
      <c r="FY1864" s="15" t="n">
        <v>146</v>
      </c>
      <c r="GU1864" s="15" t="n">
        <v>146</v>
      </c>
    </row>
    <row r="1865">
      <c r="C1865" s="15" t="n">
        <v>147</v>
      </c>
      <c r="AA1865" s="15" t="n">
        <v>147</v>
      </c>
      <c r="AW1865" s="15" t="n">
        <v>147</v>
      </c>
      <c r="BS1865" s="15" t="n">
        <v>147</v>
      </c>
      <c r="CO1865" s="15" t="n">
        <v>147</v>
      </c>
      <c r="DK1865" s="15" t="n">
        <v>147</v>
      </c>
      <c r="EG1865" s="15" t="n">
        <v>147</v>
      </c>
      <c r="FC1865" s="15" t="n">
        <v>147</v>
      </c>
      <c r="FY1865" s="15" t="n">
        <v>147</v>
      </c>
      <c r="GU1865" s="15" t="n">
        <v>147</v>
      </c>
    </row>
    <row r="1866">
      <c r="C1866" s="15" t="n">
        <v>148</v>
      </c>
      <c r="AA1866" s="15" t="n">
        <v>148</v>
      </c>
      <c r="AW1866" s="15" t="n">
        <v>148</v>
      </c>
      <c r="BS1866" s="15" t="n">
        <v>148</v>
      </c>
      <c r="CO1866" s="15" t="n">
        <v>148</v>
      </c>
      <c r="DK1866" s="15" t="n">
        <v>148</v>
      </c>
      <c r="EG1866" s="15" t="n">
        <v>148</v>
      </c>
      <c r="FC1866" s="15" t="n">
        <v>148</v>
      </c>
      <c r="FY1866" s="15" t="n">
        <v>148</v>
      </c>
      <c r="GU1866" s="15" t="n">
        <v>148</v>
      </c>
    </row>
    <row r="1867">
      <c r="C1867" s="15" t="n">
        <v>149</v>
      </c>
      <c r="AA1867" s="15" t="n">
        <v>149</v>
      </c>
      <c r="AW1867" s="15" t="n">
        <v>149</v>
      </c>
      <c r="BS1867" s="15" t="n">
        <v>149</v>
      </c>
      <c r="CO1867" s="15" t="n">
        <v>149</v>
      </c>
      <c r="DK1867" s="15" t="n">
        <v>149</v>
      </c>
      <c r="EG1867" s="15" t="n">
        <v>149</v>
      </c>
      <c r="FC1867" s="15" t="n">
        <v>149</v>
      </c>
      <c r="FY1867" s="15" t="n">
        <v>149</v>
      </c>
      <c r="GU1867" s="15" t="n">
        <v>149</v>
      </c>
    </row>
    <row r="1868">
      <c r="C1868" s="15" t="n">
        <v>150</v>
      </c>
      <c r="AA1868" s="15" t="n">
        <v>150</v>
      </c>
      <c r="AW1868" s="15" t="n">
        <v>150</v>
      </c>
      <c r="BS1868" s="15" t="n">
        <v>150</v>
      </c>
      <c r="CO1868" s="15" t="n">
        <v>150</v>
      </c>
      <c r="DK1868" s="15" t="n">
        <v>150</v>
      </c>
      <c r="EG1868" s="15" t="n">
        <v>150</v>
      </c>
      <c r="FC1868" s="15" t="n">
        <v>150</v>
      </c>
      <c r="FY1868" s="15" t="n">
        <v>150</v>
      </c>
      <c r="GU1868" s="15" t="n">
        <v>150</v>
      </c>
    </row>
    <row r="1869">
      <c r="C1869" s="15" t="n">
        <v>151</v>
      </c>
      <c r="AA1869" s="15" t="n">
        <v>151</v>
      </c>
      <c r="AW1869" s="15" t="n">
        <v>151</v>
      </c>
      <c r="BS1869" s="15" t="n">
        <v>151</v>
      </c>
      <c r="CO1869" s="15" t="n">
        <v>151</v>
      </c>
      <c r="DK1869" s="15" t="n">
        <v>151</v>
      </c>
      <c r="EG1869" s="15" t="n">
        <v>151</v>
      </c>
      <c r="FC1869" s="15" t="n">
        <v>151</v>
      </c>
      <c r="FY1869" s="15" t="n">
        <v>151</v>
      </c>
      <c r="GU1869" s="15" t="n">
        <v>151</v>
      </c>
    </row>
    <row r="1870">
      <c r="C1870" s="15" t="n">
        <v>152</v>
      </c>
      <c r="AA1870" s="15" t="n">
        <v>152</v>
      </c>
      <c r="AW1870" s="15" t="n">
        <v>152</v>
      </c>
      <c r="BS1870" s="15" t="n">
        <v>152</v>
      </c>
      <c r="CO1870" s="15" t="n">
        <v>152</v>
      </c>
      <c r="DK1870" s="15" t="n">
        <v>152</v>
      </c>
      <c r="EG1870" s="15" t="n">
        <v>152</v>
      </c>
      <c r="FC1870" s="15" t="n">
        <v>152</v>
      </c>
      <c r="FY1870" s="15" t="n">
        <v>152</v>
      </c>
      <c r="GU1870" s="15" t="n">
        <v>152</v>
      </c>
    </row>
    <row r="1871">
      <c r="C1871" s="15" t="n">
        <v>153</v>
      </c>
      <c r="AA1871" s="15" t="n">
        <v>153</v>
      </c>
      <c r="AW1871" s="15" t="n">
        <v>153</v>
      </c>
      <c r="BS1871" s="15" t="n">
        <v>153</v>
      </c>
      <c r="CO1871" s="15" t="n">
        <v>153</v>
      </c>
      <c r="DK1871" s="15" t="n">
        <v>153</v>
      </c>
      <c r="EG1871" s="15" t="n">
        <v>153</v>
      </c>
      <c r="FC1871" s="15" t="n">
        <v>153</v>
      </c>
      <c r="FY1871" s="15" t="n">
        <v>153</v>
      </c>
      <c r="GU1871" s="15" t="n">
        <v>153</v>
      </c>
    </row>
    <row r="1872">
      <c r="C1872" s="15" t="n">
        <v>154</v>
      </c>
      <c r="AA1872" s="15" t="n">
        <v>154</v>
      </c>
      <c r="AW1872" s="15" t="n">
        <v>154</v>
      </c>
      <c r="BS1872" s="15" t="n">
        <v>154</v>
      </c>
      <c r="CO1872" s="15" t="n">
        <v>154</v>
      </c>
      <c r="DK1872" s="15" t="n">
        <v>154</v>
      </c>
      <c r="EG1872" s="15" t="n">
        <v>154</v>
      </c>
      <c r="FC1872" s="15" t="n">
        <v>154</v>
      </c>
      <c r="FY1872" s="15" t="n">
        <v>154</v>
      </c>
      <c r="GU1872" s="15" t="n">
        <v>154</v>
      </c>
    </row>
    <row r="1873">
      <c r="C1873" s="15" t="n">
        <v>155</v>
      </c>
      <c r="AA1873" s="15" t="n">
        <v>155</v>
      </c>
      <c r="AW1873" s="15" t="n">
        <v>155</v>
      </c>
      <c r="BS1873" s="15" t="n">
        <v>155</v>
      </c>
      <c r="CO1873" s="15" t="n">
        <v>155</v>
      </c>
      <c r="DK1873" s="15" t="n">
        <v>155</v>
      </c>
      <c r="EG1873" s="15" t="n">
        <v>155</v>
      </c>
      <c r="FC1873" s="15" t="n">
        <v>155</v>
      </c>
      <c r="FY1873" s="15" t="n">
        <v>155</v>
      </c>
      <c r="GU1873" s="15" t="n">
        <v>155</v>
      </c>
    </row>
    <row r="1874">
      <c r="C1874" s="15" t="n">
        <v>156</v>
      </c>
      <c r="AA1874" s="15" t="n">
        <v>156</v>
      </c>
      <c r="AW1874" s="15" t="n">
        <v>156</v>
      </c>
      <c r="BS1874" s="15" t="n">
        <v>156</v>
      </c>
      <c r="CO1874" s="15" t="n">
        <v>156</v>
      </c>
      <c r="DK1874" s="15" t="n">
        <v>156</v>
      </c>
      <c r="EG1874" s="15" t="n">
        <v>156</v>
      </c>
      <c r="FC1874" s="15" t="n">
        <v>156</v>
      </c>
      <c r="FY1874" s="15" t="n">
        <v>156</v>
      </c>
      <c r="GU1874" s="15" t="n">
        <v>156</v>
      </c>
    </row>
    <row r="1875">
      <c r="C1875" s="15" t="n">
        <v>157</v>
      </c>
      <c r="AA1875" s="15" t="n">
        <v>157</v>
      </c>
      <c r="AW1875" s="15" t="n">
        <v>157</v>
      </c>
      <c r="BS1875" s="15" t="n">
        <v>157</v>
      </c>
      <c r="CO1875" s="15" t="n">
        <v>157</v>
      </c>
      <c r="DK1875" s="15" t="n">
        <v>157</v>
      </c>
      <c r="EG1875" s="15" t="n">
        <v>157</v>
      </c>
      <c r="FC1875" s="15" t="n">
        <v>157</v>
      </c>
      <c r="FY1875" s="15" t="n">
        <v>157</v>
      </c>
      <c r="GU1875" s="15" t="n">
        <v>157</v>
      </c>
    </row>
    <row r="1876">
      <c r="C1876" s="15" t="n">
        <v>158</v>
      </c>
      <c r="AA1876" s="15" t="n">
        <v>158</v>
      </c>
      <c r="AW1876" s="15" t="n">
        <v>158</v>
      </c>
      <c r="BS1876" s="15" t="n">
        <v>158</v>
      </c>
      <c r="CO1876" s="15" t="n">
        <v>158</v>
      </c>
      <c r="DK1876" s="15" t="n">
        <v>158</v>
      </c>
      <c r="EG1876" s="15" t="n">
        <v>158</v>
      </c>
      <c r="FC1876" s="15" t="n">
        <v>158</v>
      </c>
      <c r="FY1876" s="15" t="n">
        <v>158</v>
      </c>
      <c r="GU1876" s="15" t="n">
        <v>158</v>
      </c>
    </row>
    <row r="1877">
      <c r="C1877" s="15" t="n">
        <v>159</v>
      </c>
      <c r="AA1877" s="15" t="n">
        <v>159</v>
      </c>
      <c r="AW1877" s="15" t="n">
        <v>159</v>
      </c>
      <c r="BS1877" s="15" t="n">
        <v>159</v>
      </c>
      <c r="CO1877" s="15" t="n">
        <v>159</v>
      </c>
      <c r="DK1877" s="15" t="n">
        <v>159</v>
      </c>
      <c r="EG1877" s="15" t="n">
        <v>159</v>
      </c>
      <c r="FC1877" s="15" t="n">
        <v>159</v>
      </c>
      <c r="FY1877" s="15" t="n">
        <v>159</v>
      </c>
      <c r="GU1877" s="15" t="n">
        <v>159</v>
      </c>
    </row>
    <row r="1878">
      <c r="C1878" s="15" t="n">
        <v>160</v>
      </c>
      <c r="AA1878" s="15" t="n">
        <v>160</v>
      </c>
      <c r="AW1878" s="15" t="n">
        <v>160</v>
      </c>
      <c r="BS1878" s="15" t="n">
        <v>160</v>
      </c>
      <c r="CO1878" s="15" t="n">
        <v>160</v>
      </c>
      <c r="DK1878" s="15" t="n">
        <v>160</v>
      </c>
      <c r="EG1878" s="15" t="n">
        <v>160</v>
      </c>
      <c r="FC1878" s="15" t="n">
        <v>160</v>
      </c>
      <c r="FY1878" s="15" t="n">
        <v>160</v>
      </c>
      <c r="GU1878" s="15" t="n">
        <v>160</v>
      </c>
    </row>
    <row r="1879">
      <c r="C1879" s="15" t="n">
        <v>161</v>
      </c>
      <c r="AA1879" s="15" t="n">
        <v>161</v>
      </c>
      <c r="AW1879" s="15" t="n">
        <v>161</v>
      </c>
      <c r="BS1879" s="15" t="n">
        <v>161</v>
      </c>
      <c r="CO1879" s="15" t="n">
        <v>161</v>
      </c>
      <c r="DK1879" s="15" t="n">
        <v>161</v>
      </c>
      <c r="EG1879" s="15" t="n">
        <v>161</v>
      </c>
      <c r="FC1879" s="15" t="n">
        <v>161</v>
      </c>
      <c r="FY1879" s="15" t="n">
        <v>161</v>
      </c>
      <c r="GU1879" s="15" t="n">
        <v>161</v>
      </c>
    </row>
    <row r="1880">
      <c r="C1880" s="15" t="n">
        <v>162</v>
      </c>
      <c r="AA1880" s="15" t="n">
        <v>162</v>
      </c>
      <c r="AW1880" s="15" t="n">
        <v>162</v>
      </c>
      <c r="BS1880" s="15" t="n">
        <v>162</v>
      </c>
      <c r="CO1880" s="15" t="n">
        <v>162</v>
      </c>
      <c r="DK1880" s="15" t="n">
        <v>162</v>
      </c>
      <c r="EG1880" s="15" t="n">
        <v>162</v>
      </c>
      <c r="FC1880" s="15" t="n">
        <v>162</v>
      </c>
      <c r="FY1880" s="15" t="n">
        <v>162</v>
      </c>
      <c r="GU1880" s="15" t="n">
        <v>162</v>
      </c>
    </row>
    <row r="1881">
      <c r="C1881" s="15" t="n">
        <v>163</v>
      </c>
      <c r="AA1881" s="15" t="n">
        <v>163</v>
      </c>
      <c r="AW1881" s="15" t="n">
        <v>163</v>
      </c>
      <c r="BS1881" s="15" t="n">
        <v>163</v>
      </c>
      <c r="CO1881" s="15" t="n">
        <v>163</v>
      </c>
      <c r="DK1881" s="15" t="n">
        <v>163</v>
      </c>
      <c r="EG1881" s="15" t="n">
        <v>163</v>
      </c>
      <c r="FC1881" s="15" t="n">
        <v>163</v>
      </c>
      <c r="FY1881" s="15" t="n">
        <v>163</v>
      </c>
      <c r="GU1881" s="15" t="n">
        <v>163</v>
      </c>
    </row>
    <row r="1882">
      <c r="C1882" s="15" t="n">
        <v>164</v>
      </c>
      <c r="AA1882" s="15" t="n">
        <v>164</v>
      </c>
      <c r="AW1882" s="15" t="n">
        <v>164</v>
      </c>
      <c r="BS1882" s="15" t="n">
        <v>164</v>
      </c>
      <c r="CO1882" s="15" t="n">
        <v>164</v>
      </c>
      <c r="DK1882" s="15" t="n">
        <v>164</v>
      </c>
      <c r="EG1882" s="15" t="n">
        <v>164</v>
      </c>
      <c r="FC1882" s="15" t="n">
        <v>164</v>
      </c>
      <c r="FY1882" s="15" t="n">
        <v>164</v>
      </c>
      <c r="GU1882" s="15" t="n">
        <v>164</v>
      </c>
    </row>
    <row r="1883">
      <c r="C1883" s="15" t="n">
        <v>165</v>
      </c>
      <c r="AA1883" s="15" t="n">
        <v>165</v>
      </c>
      <c r="AW1883" s="15" t="n">
        <v>165</v>
      </c>
      <c r="BS1883" s="15" t="n">
        <v>165</v>
      </c>
      <c r="CO1883" s="15" t="n">
        <v>165</v>
      </c>
      <c r="DK1883" s="15" t="n">
        <v>165</v>
      </c>
      <c r="EG1883" s="15" t="n">
        <v>165</v>
      </c>
      <c r="FC1883" s="15" t="n">
        <v>165</v>
      </c>
      <c r="FY1883" s="15" t="n">
        <v>165</v>
      </c>
      <c r="GU1883" s="15" t="n">
        <v>165</v>
      </c>
    </row>
    <row r="1884">
      <c r="C1884" s="15" t="n">
        <v>166</v>
      </c>
      <c r="AA1884" s="15" t="n">
        <v>166</v>
      </c>
      <c r="AW1884" s="15" t="n">
        <v>166</v>
      </c>
      <c r="BS1884" s="15" t="n">
        <v>166</v>
      </c>
      <c r="CO1884" s="15" t="n">
        <v>166</v>
      </c>
      <c r="DK1884" s="15" t="n">
        <v>166</v>
      </c>
      <c r="EG1884" s="15" t="n">
        <v>166</v>
      </c>
      <c r="FC1884" s="15" t="n">
        <v>166</v>
      </c>
      <c r="FY1884" s="15" t="n">
        <v>166</v>
      </c>
      <c r="GU1884" s="15" t="n">
        <v>166</v>
      </c>
    </row>
    <row r="1885">
      <c r="C1885" s="15" t="n">
        <v>167</v>
      </c>
      <c r="AA1885" s="15" t="n">
        <v>167</v>
      </c>
      <c r="AW1885" s="15" t="n">
        <v>167</v>
      </c>
      <c r="BS1885" s="15" t="n">
        <v>167</v>
      </c>
      <c r="CO1885" s="15" t="n">
        <v>167</v>
      </c>
      <c r="DK1885" s="15" t="n">
        <v>167</v>
      </c>
      <c r="EG1885" s="15" t="n">
        <v>167</v>
      </c>
      <c r="FC1885" s="15" t="n">
        <v>167</v>
      </c>
      <c r="FY1885" s="15" t="n">
        <v>167</v>
      </c>
      <c r="GU1885" s="15" t="n">
        <v>167</v>
      </c>
    </row>
    <row r="1886">
      <c r="C1886" s="15" t="n">
        <v>168</v>
      </c>
      <c r="AA1886" s="15" t="n">
        <v>168</v>
      </c>
      <c r="AW1886" s="15" t="n">
        <v>168</v>
      </c>
      <c r="BS1886" s="15" t="n">
        <v>168</v>
      </c>
      <c r="CO1886" s="15" t="n">
        <v>168</v>
      </c>
      <c r="DK1886" s="15" t="n">
        <v>168</v>
      </c>
      <c r="EG1886" s="15" t="n">
        <v>168</v>
      </c>
      <c r="FC1886" s="15" t="n">
        <v>168</v>
      </c>
      <c r="FY1886" s="15" t="n">
        <v>168</v>
      </c>
      <c r="GU1886" s="15" t="n">
        <v>168</v>
      </c>
    </row>
    <row r="1887">
      <c r="C1887" s="15" t="n">
        <v>169</v>
      </c>
      <c r="AA1887" s="15" t="n">
        <v>169</v>
      </c>
      <c r="AW1887" s="15" t="n">
        <v>169</v>
      </c>
      <c r="BS1887" s="15" t="n">
        <v>169</v>
      </c>
      <c r="CO1887" s="15" t="n">
        <v>169</v>
      </c>
      <c r="DK1887" s="15" t="n">
        <v>169</v>
      </c>
      <c r="EG1887" s="15" t="n">
        <v>169</v>
      </c>
      <c r="FC1887" s="15" t="n">
        <v>169</v>
      </c>
      <c r="FY1887" s="15" t="n">
        <v>169</v>
      </c>
      <c r="GU1887" s="15" t="n">
        <v>169</v>
      </c>
    </row>
    <row r="1888">
      <c r="C1888" s="15" t="n">
        <v>170</v>
      </c>
      <c r="AA1888" s="15" t="n">
        <v>170</v>
      </c>
      <c r="AW1888" s="15" t="n">
        <v>170</v>
      </c>
      <c r="BS1888" s="15" t="n">
        <v>170</v>
      </c>
      <c r="CO1888" s="15" t="n">
        <v>170</v>
      </c>
      <c r="DK1888" s="15" t="n">
        <v>170</v>
      </c>
      <c r="EG1888" s="15" t="n">
        <v>170</v>
      </c>
      <c r="FC1888" s="15" t="n">
        <v>170</v>
      </c>
      <c r="FY1888" s="15" t="n">
        <v>170</v>
      </c>
      <c r="GU1888" s="15" t="n">
        <v>170</v>
      </c>
    </row>
    <row r="1889">
      <c r="C1889" s="15" t="n">
        <v>171</v>
      </c>
      <c r="AA1889" s="15" t="n">
        <v>171</v>
      </c>
      <c r="AW1889" s="15" t="n">
        <v>171</v>
      </c>
      <c r="BS1889" s="15" t="n">
        <v>171</v>
      </c>
      <c r="CO1889" s="15" t="n">
        <v>171</v>
      </c>
      <c r="DK1889" s="15" t="n">
        <v>171</v>
      </c>
      <c r="EG1889" s="15" t="n">
        <v>171</v>
      </c>
      <c r="FC1889" s="15" t="n">
        <v>171</v>
      </c>
      <c r="FY1889" s="15" t="n">
        <v>171</v>
      </c>
      <c r="GU1889" s="15" t="n">
        <v>171</v>
      </c>
    </row>
    <row r="1890">
      <c r="C1890" s="15" t="n">
        <v>172</v>
      </c>
      <c r="AA1890" s="15" t="n">
        <v>172</v>
      </c>
      <c r="AW1890" s="15" t="n">
        <v>172</v>
      </c>
      <c r="BS1890" s="15" t="n">
        <v>172</v>
      </c>
      <c r="CO1890" s="15" t="n">
        <v>172</v>
      </c>
      <c r="DK1890" s="15" t="n">
        <v>172</v>
      </c>
      <c r="EG1890" s="15" t="n">
        <v>172</v>
      </c>
      <c r="FC1890" s="15" t="n">
        <v>172</v>
      </c>
      <c r="FY1890" s="15" t="n">
        <v>172</v>
      </c>
      <c r="GU1890" s="15" t="n">
        <v>172</v>
      </c>
    </row>
    <row r="1891">
      <c r="C1891" s="15" t="n">
        <v>173</v>
      </c>
      <c r="AA1891" s="15" t="n">
        <v>173</v>
      </c>
      <c r="AW1891" s="15" t="n">
        <v>173</v>
      </c>
      <c r="BS1891" s="15" t="n">
        <v>173</v>
      </c>
      <c r="CO1891" s="15" t="n">
        <v>173</v>
      </c>
      <c r="DK1891" s="15" t="n">
        <v>173</v>
      </c>
      <c r="EG1891" s="15" t="n">
        <v>173</v>
      </c>
      <c r="FC1891" s="15" t="n">
        <v>173</v>
      </c>
      <c r="FY1891" s="15" t="n">
        <v>173</v>
      </c>
      <c r="GU1891" s="15" t="n">
        <v>173</v>
      </c>
    </row>
    <row r="1892">
      <c r="C1892" s="15" t="n">
        <v>174</v>
      </c>
      <c r="AA1892" s="15" t="n">
        <v>174</v>
      </c>
      <c r="AW1892" s="15" t="n">
        <v>174</v>
      </c>
      <c r="BS1892" s="15" t="n">
        <v>174</v>
      </c>
      <c r="CO1892" s="15" t="n">
        <v>174</v>
      </c>
      <c r="DK1892" s="15" t="n">
        <v>174</v>
      </c>
      <c r="EG1892" s="15" t="n">
        <v>174</v>
      </c>
      <c r="FC1892" s="15" t="n">
        <v>174</v>
      </c>
      <c r="FY1892" s="15" t="n">
        <v>174</v>
      </c>
      <c r="GU1892" s="15" t="n">
        <v>174</v>
      </c>
    </row>
    <row r="1893">
      <c r="C1893" s="15" t="n">
        <v>175</v>
      </c>
      <c r="AA1893" s="15" t="n">
        <v>175</v>
      </c>
      <c r="AW1893" s="15" t="n">
        <v>175</v>
      </c>
      <c r="BS1893" s="15" t="n">
        <v>175</v>
      </c>
      <c r="CO1893" s="15" t="n">
        <v>175</v>
      </c>
      <c r="DK1893" s="15" t="n">
        <v>175</v>
      </c>
      <c r="EG1893" s="15" t="n">
        <v>175</v>
      </c>
      <c r="FC1893" s="15" t="n">
        <v>175</v>
      </c>
      <c r="FY1893" s="15" t="n">
        <v>175</v>
      </c>
      <c r="GU1893" s="15" t="n">
        <v>175</v>
      </c>
    </row>
    <row r="1894">
      <c r="C1894" s="15" t="n">
        <v>176</v>
      </c>
      <c r="AA1894" s="15" t="n">
        <v>176</v>
      </c>
      <c r="AW1894" s="15" t="n">
        <v>176</v>
      </c>
      <c r="BS1894" s="15" t="n">
        <v>176</v>
      </c>
      <c r="CO1894" s="15" t="n">
        <v>176</v>
      </c>
      <c r="DK1894" s="15" t="n">
        <v>176</v>
      </c>
      <c r="EG1894" s="15" t="n">
        <v>176</v>
      </c>
      <c r="FC1894" s="15" t="n">
        <v>176</v>
      </c>
      <c r="FY1894" s="15" t="n">
        <v>176</v>
      </c>
      <c r="GU1894" s="15" t="n">
        <v>176</v>
      </c>
    </row>
    <row r="1895">
      <c r="C1895" s="15" t="n">
        <v>177</v>
      </c>
      <c r="AA1895" s="15" t="n">
        <v>177</v>
      </c>
      <c r="AW1895" s="15" t="n">
        <v>177</v>
      </c>
      <c r="BS1895" s="15" t="n">
        <v>177</v>
      </c>
      <c r="CO1895" s="15" t="n">
        <v>177</v>
      </c>
      <c r="DK1895" s="15" t="n">
        <v>177</v>
      </c>
      <c r="EG1895" s="15" t="n">
        <v>177</v>
      </c>
      <c r="FC1895" s="15" t="n">
        <v>177</v>
      </c>
      <c r="FY1895" s="15" t="n">
        <v>177</v>
      </c>
      <c r="GU1895" s="15" t="n">
        <v>177</v>
      </c>
    </row>
    <row r="1896">
      <c r="C1896" s="15" t="n">
        <v>178</v>
      </c>
      <c r="AA1896" s="15" t="n">
        <v>178</v>
      </c>
      <c r="AW1896" s="15" t="n">
        <v>178</v>
      </c>
      <c r="BS1896" s="15" t="n">
        <v>178</v>
      </c>
      <c r="CO1896" s="15" t="n">
        <v>178</v>
      </c>
      <c r="DK1896" s="15" t="n">
        <v>178</v>
      </c>
      <c r="EG1896" s="15" t="n">
        <v>178</v>
      </c>
      <c r="FC1896" s="15" t="n">
        <v>178</v>
      </c>
      <c r="FY1896" s="15" t="n">
        <v>178</v>
      </c>
      <c r="GU1896" s="15" t="n">
        <v>178</v>
      </c>
    </row>
    <row r="1897">
      <c r="C1897" s="15" t="n">
        <v>179</v>
      </c>
      <c r="AA1897" s="15" t="n">
        <v>179</v>
      </c>
      <c r="AW1897" s="15" t="n">
        <v>179</v>
      </c>
      <c r="BS1897" s="15" t="n">
        <v>179</v>
      </c>
      <c r="CO1897" s="15" t="n">
        <v>179</v>
      </c>
      <c r="DK1897" s="15" t="n">
        <v>179</v>
      </c>
      <c r="EG1897" s="15" t="n">
        <v>179</v>
      </c>
      <c r="FC1897" s="15" t="n">
        <v>179</v>
      </c>
      <c r="FY1897" s="15" t="n">
        <v>179</v>
      </c>
      <c r="GU1897" s="15" t="n">
        <v>179</v>
      </c>
    </row>
    <row r="1898">
      <c r="C1898" s="15" t="n">
        <v>180</v>
      </c>
      <c r="AA1898" s="15" t="n">
        <v>180</v>
      </c>
      <c r="AW1898" s="15" t="n">
        <v>180</v>
      </c>
      <c r="BS1898" s="15" t="n">
        <v>180</v>
      </c>
      <c r="CO1898" s="15" t="n">
        <v>180</v>
      </c>
      <c r="DK1898" s="15" t="n">
        <v>180</v>
      </c>
      <c r="EG1898" s="15" t="n">
        <v>180</v>
      </c>
      <c r="FC1898" s="15" t="n">
        <v>180</v>
      </c>
      <c r="FY1898" s="15" t="n">
        <v>180</v>
      </c>
      <c r="GU1898" s="15" t="n">
        <v>180</v>
      </c>
    </row>
    <row r="1899">
      <c r="C1899" s="15" t="n">
        <v>181</v>
      </c>
      <c r="AA1899" s="15" t="n">
        <v>181</v>
      </c>
      <c r="AW1899" s="15" t="n">
        <v>181</v>
      </c>
      <c r="BS1899" s="15" t="n">
        <v>181</v>
      </c>
      <c r="CO1899" s="15" t="n">
        <v>181</v>
      </c>
      <c r="DK1899" s="15" t="n">
        <v>181</v>
      </c>
      <c r="EG1899" s="15" t="n">
        <v>181</v>
      </c>
      <c r="FC1899" s="15" t="n">
        <v>181</v>
      </c>
      <c r="FY1899" s="15" t="n">
        <v>181</v>
      </c>
      <c r="GU1899" s="15" t="n">
        <v>181</v>
      </c>
    </row>
    <row r="1900">
      <c r="C1900" s="15" t="n">
        <v>182</v>
      </c>
      <c r="AA1900" s="15" t="n">
        <v>182</v>
      </c>
      <c r="AW1900" s="15" t="n">
        <v>182</v>
      </c>
      <c r="BS1900" s="15" t="n">
        <v>182</v>
      </c>
      <c r="CO1900" s="15" t="n">
        <v>182</v>
      </c>
      <c r="DK1900" s="15" t="n">
        <v>182</v>
      </c>
      <c r="EG1900" s="15" t="n">
        <v>182</v>
      </c>
      <c r="FC1900" s="15" t="n">
        <v>182</v>
      </c>
      <c r="FY1900" s="15" t="n">
        <v>182</v>
      </c>
      <c r="GU1900" s="15" t="n">
        <v>182</v>
      </c>
    </row>
    <row r="1901">
      <c r="C1901" s="15" t="n">
        <v>183</v>
      </c>
      <c r="AA1901" s="15" t="n">
        <v>183</v>
      </c>
      <c r="AW1901" s="15" t="n">
        <v>183</v>
      </c>
      <c r="BS1901" s="15" t="n">
        <v>183</v>
      </c>
      <c r="CO1901" s="15" t="n">
        <v>183</v>
      </c>
      <c r="DK1901" s="15" t="n">
        <v>183</v>
      </c>
      <c r="EG1901" s="15" t="n">
        <v>183</v>
      </c>
      <c r="FC1901" s="15" t="n">
        <v>183</v>
      </c>
      <c r="FY1901" s="15" t="n">
        <v>183</v>
      </c>
      <c r="GU1901" s="15" t="n">
        <v>183</v>
      </c>
    </row>
    <row r="1902">
      <c r="C1902" s="15" t="n">
        <v>184</v>
      </c>
      <c r="AA1902" s="15" t="n">
        <v>184</v>
      </c>
      <c r="AW1902" s="15" t="n">
        <v>184</v>
      </c>
      <c r="BS1902" s="15" t="n">
        <v>184</v>
      </c>
      <c r="CO1902" s="15" t="n">
        <v>184</v>
      </c>
      <c r="DK1902" s="15" t="n">
        <v>184</v>
      </c>
      <c r="EG1902" s="15" t="n">
        <v>184</v>
      </c>
      <c r="FC1902" s="15" t="n">
        <v>184</v>
      </c>
      <c r="FY1902" s="15" t="n">
        <v>184</v>
      </c>
      <c r="GU1902" s="15" t="n">
        <v>184</v>
      </c>
    </row>
    <row r="1903">
      <c r="C1903" s="15" t="n">
        <v>185</v>
      </c>
      <c r="AA1903" s="15" t="n">
        <v>185</v>
      </c>
      <c r="AW1903" s="15" t="n">
        <v>185</v>
      </c>
      <c r="BS1903" s="15" t="n">
        <v>185</v>
      </c>
      <c r="CO1903" s="15" t="n">
        <v>185</v>
      </c>
      <c r="DK1903" s="15" t="n">
        <v>185</v>
      </c>
      <c r="EG1903" s="15" t="n">
        <v>185</v>
      </c>
      <c r="FC1903" s="15" t="n">
        <v>185</v>
      </c>
      <c r="FY1903" s="15" t="n">
        <v>185</v>
      </c>
      <c r="GU1903" s="15" t="n">
        <v>185</v>
      </c>
    </row>
    <row r="1904">
      <c r="C1904" s="15" t="n">
        <v>186</v>
      </c>
      <c r="AA1904" s="15" t="n">
        <v>186</v>
      </c>
      <c r="AW1904" s="15" t="n">
        <v>186</v>
      </c>
      <c r="BS1904" s="15" t="n">
        <v>186</v>
      </c>
      <c r="CO1904" s="15" t="n">
        <v>186</v>
      </c>
      <c r="DK1904" s="15" t="n">
        <v>186</v>
      </c>
      <c r="EG1904" s="15" t="n">
        <v>186</v>
      </c>
      <c r="FC1904" s="15" t="n">
        <v>186</v>
      </c>
      <c r="FY1904" s="15" t="n">
        <v>186</v>
      </c>
      <c r="GU1904" s="15" t="n">
        <v>186</v>
      </c>
    </row>
    <row r="1905">
      <c r="C1905" s="15" t="n">
        <v>187</v>
      </c>
      <c r="AA1905" s="15" t="n">
        <v>187</v>
      </c>
      <c r="AW1905" s="15" t="n">
        <v>187</v>
      </c>
      <c r="BS1905" s="15" t="n">
        <v>187</v>
      </c>
      <c r="CO1905" s="15" t="n">
        <v>187</v>
      </c>
      <c r="DK1905" s="15" t="n">
        <v>187</v>
      </c>
      <c r="EG1905" s="15" t="n">
        <v>187</v>
      </c>
      <c r="FC1905" s="15" t="n">
        <v>187</v>
      </c>
      <c r="FY1905" s="15" t="n">
        <v>187</v>
      </c>
      <c r="GU1905" s="15" t="n">
        <v>187</v>
      </c>
    </row>
    <row r="1906">
      <c r="C1906" s="15" t="n">
        <v>188</v>
      </c>
      <c r="AA1906" s="15" t="n">
        <v>188</v>
      </c>
      <c r="AW1906" s="15" t="n">
        <v>188</v>
      </c>
      <c r="BS1906" s="15" t="n">
        <v>188</v>
      </c>
      <c r="CO1906" s="15" t="n">
        <v>188</v>
      </c>
      <c r="DK1906" s="15" t="n">
        <v>188</v>
      </c>
      <c r="EG1906" s="15" t="n">
        <v>188</v>
      </c>
      <c r="FC1906" s="15" t="n">
        <v>188</v>
      </c>
      <c r="FY1906" s="15" t="n">
        <v>188</v>
      </c>
      <c r="GU1906" s="15" t="n">
        <v>188</v>
      </c>
    </row>
    <row r="1907">
      <c r="C1907" s="15" t="n">
        <v>189</v>
      </c>
      <c r="AA1907" s="15" t="n">
        <v>189</v>
      </c>
      <c r="AW1907" s="15" t="n">
        <v>189</v>
      </c>
      <c r="BS1907" s="15" t="n">
        <v>189</v>
      </c>
      <c r="CO1907" s="15" t="n">
        <v>189</v>
      </c>
      <c r="DK1907" s="15" t="n">
        <v>189</v>
      </c>
      <c r="EG1907" s="15" t="n">
        <v>189</v>
      </c>
      <c r="FC1907" s="15" t="n">
        <v>189</v>
      </c>
      <c r="FY1907" s="15" t="n">
        <v>189</v>
      </c>
      <c r="GU1907" s="15" t="n">
        <v>189</v>
      </c>
    </row>
    <row r="1908">
      <c r="C1908" s="15" t="n">
        <v>190</v>
      </c>
      <c r="AA1908" s="15" t="n">
        <v>190</v>
      </c>
      <c r="AW1908" s="15" t="n">
        <v>190</v>
      </c>
      <c r="BS1908" s="15" t="n">
        <v>190</v>
      </c>
      <c r="CO1908" s="15" t="n">
        <v>190</v>
      </c>
      <c r="DK1908" s="15" t="n">
        <v>190</v>
      </c>
      <c r="EG1908" s="15" t="n">
        <v>190</v>
      </c>
      <c r="FC1908" s="15" t="n">
        <v>190</v>
      </c>
      <c r="FY1908" s="15" t="n">
        <v>190</v>
      </c>
      <c r="GU1908" s="15" t="n">
        <v>190</v>
      </c>
    </row>
    <row r="1909">
      <c r="C1909" s="15" t="n">
        <v>191</v>
      </c>
      <c r="AA1909" s="15" t="n">
        <v>191</v>
      </c>
      <c r="AW1909" s="15" t="n">
        <v>191</v>
      </c>
      <c r="BS1909" s="15" t="n">
        <v>191</v>
      </c>
      <c r="CO1909" s="15" t="n">
        <v>191</v>
      </c>
      <c r="DK1909" s="15" t="n">
        <v>191</v>
      </c>
      <c r="EG1909" s="15" t="n">
        <v>191</v>
      </c>
      <c r="FC1909" s="15" t="n">
        <v>191</v>
      </c>
      <c r="FY1909" s="15" t="n">
        <v>191</v>
      </c>
      <c r="GU1909" s="15" t="n">
        <v>191</v>
      </c>
    </row>
    <row r="1910">
      <c r="C1910" s="15" t="n">
        <v>192</v>
      </c>
      <c r="AA1910" s="15" t="n">
        <v>192</v>
      </c>
      <c r="AW1910" s="15" t="n">
        <v>192</v>
      </c>
      <c r="BS1910" s="15" t="n">
        <v>192</v>
      </c>
      <c r="CO1910" s="15" t="n">
        <v>192</v>
      </c>
      <c r="DK1910" s="15" t="n">
        <v>192</v>
      </c>
      <c r="EG1910" s="15" t="n">
        <v>192</v>
      </c>
      <c r="FC1910" s="15" t="n">
        <v>192</v>
      </c>
      <c r="FY1910" s="15" t="n">
        <v>192</v>
      </c>
      <c r="GU1910" s="15" t="n">
        <v>192</v>
      </c>
    </row>
    <row r="1911">
      <c r="C1911" s="15" t="n">
        <v>193</v>
      </c>
      <c r="AA1911" s="15" t="n">
        <v>193</v>
      </c>
      <c r="AW1911" s="15" t="n">
        <v>193</v>
      </c>
      <c r="BS1911" s="15" t="n">
        <v>193</v>
      </c>
      <c r="CO1911" s="15" t="n">
        <v>193</v>
      </c>
      <c r="DK1911" s="15" t="n">
        <v>193</v>
      </c>
      <c r="EG1911" s="15" t="n">
        <v>193</v>
      </c>
      <c r="FC1911" s="15" t="n">
        <v>193</v>
      </c>
      <c r="FY1911" s="15" t="n">
        <v>193</v>
      </c>
      <c r="GU1911" s="15" t="n">
        <v>193</v>
      </c>
    </row>
    <row r="1912">
      <c r="C1912" s="15" t="n">
        <v>194</v>
      </c>
      <c r="AA1912" s="15" t="n">
        <v>194</v>
      </c>
      <c r="AW1912" s="15" t="n">
        <v>194</v>
      </c>
      <c r="BS1912" s="15" t="n">
        <v>194</v>
      </c>
      <c r="CO1912" s="15" t="n">
        <v>194</v>
      </c>
      <c r="DK1912" s="15" t="n">
        <v>194</v>
      </c>
      <c r="EG1912" s="15" t="n">
        <v>194</v>
      </c>
      <c r="FC1912" s="15" t="n">
        <v>194</v>
      </c>
      <c r="FY1912" s="15" t="n">
        <v>194</v>
      </c>
      <c r="GU1912" s="15" t="n">
        <v>194</v>
      </c>
    </row>
    <row r="1913">
      <c r="C1913" s="15" t="n">
        <v>195</v>
      </c>
      <c r="AA1913" s="15" t="n">
        <v>195</v>
      </c>
      <c r="AW1913" s="15" t="n">
        <v>195</v>
      </c>
      <c r="BS1913" s="15" t="n">
        <v>195</v>
      </c>
      <c r="CO1913" s="15" t="n">
        <v>195</v>
      </c>
      <c r="DK1913" s="15" t="n">
        <v>195</v>
      </c>
      <c r="EG1913" s="15" t="n">
        <v>195</v>
      </c>
      <c r="FC1913" s="15" t="n">
        <v>195</v>
      </c>
      <c r="FY1913" s="15" t="n">
        <v>195</v>
      </c>
      <c r="GU1913" s="15" t="n">
        <v>195</v>
      </c>
    </row>
    <row r="1914">
      <c r="C1914" s="15" t="n">
        <v>196</v>
      </c>
      <c r="AA1914" s="15" t="n">
        <v>196</v>
      </c>
      <c r="AW1914" s="15" t="n">
        <v>196</v>
      </c>
      <c r="BS1914" s="15" t="n">
        <v>196</v>
      </c>
      <c r="CO1914" s="15" t="n">
        <v>196</v>
      </c>
      <c r="DK1914" s="15" t="n">
        <v>196</v>
      </c>
      <c r="EG1914" s="15" t="n">
        <v>196</v>
      </c>
      <c r="FC1914" s="15" t="n">
        <v>196</v>
      </c>
      <c r="FY1914" s="15" t="n">
        <v>196</v>
      </c>
      <c r="GU1914" s="15" t="n">
        <v>196</v>
      </c>
    </row>
    <row r="1915">
      <c r="C1915" s="15" t="n">
        <v>197</v>
      </c>
      <c r="AA1915" s="15" t="n">
        <v>197</v>
      </c>
      <c r="AW1915" s="15" t="n">
        <v>197</v>
      </c>
      <c r="BS1915" s="15" t="n">
        <v>197</v>
      </c>
      <c r="CO1915" s="15" t="n">
        <v>197</v>
      </c>
      <c r="DK1915" s="15" t="n">
        <v>197</v>
      </c>
      <c r="EG1915" s="15" t="n">
        <v>197</v>
      </c>
      <c r="FC1915" s="15" t="n">
        <v>197</v>
      </c>
      <c r="FY1915" s="15" t="n">
        <v>197</v>
      </c>
      <c r="GU1915" s="15" t="n">
        <v>197</v>
      </c>
    </row>
    <row r="1916">
      <c r="C1916" s="15" t="n">
        <v>198</v>
      </c>
      <c r="AA1916" s="15" t="n">
        <v>198</v>
      </c>
      <c r="AW1916" s="15" t="n">
        <v>198</v>
      </c>
      <c r="BS1916" s="15" t="n">
        <v>198</v>
      </c>
      <c r="CO1916" s="15" t="n">
        <v>198</v>
      </c>
      <c r="DK1916" s="15" t="n">
        <v>198</v>
      </c>
      <c r="EG1916" s="15" t="n">
        <v>198</v>
      </c>
      <c r="FC1916" s="15" t="n">
        <v>198</v>
      </c>
      <c r="FY1916" s="15" t="n">
        <v>198</v>
      </c>
      <c r="GU1916" s="15" t="n">
        <v>198</v>
      </c>
    </row>
    <row r="1918">
      <c r="C1918" s="15" t="inlineStr">
        <is>
          <t>demand</t>
        </is>
      </c>
      <c r="D1918" s="15" t="n">
        <v>22</v>
      </c>
      <c r="E1918" s="15" t="n">
        <v>23</v>
      </c>
      <c r="F1918" s="15" t="n">
        <v>24</v>
      </c>
      <c r="AA1918" s="15" t="inlineStr">
        <is>
          <t>demand</t>
        </is>
      </c>
      <c r="AB1918" s="15" t="n">
        <v>22</v>
      </c>
      <c r="AC1918" s="15" t="n">
        <v>23</v>
      </c>
      <c r="AD1918" s="15" t="n">
        <v>24</v>
      </c>
      <c r="AW1918" s="15" t="inlineStr">
        <is>
          <t>demand</t>
        </is>
      </c>
      <c r="AX1918" s="15" t="n">
        <v>22</v>
      </c>
      <c r="AY1918" s="15" t="n">
        <v>23</v>
      </c>
      <c r="AZ1918" s="15" t="n">
        <v>24</v>
      </c>
      <c r="BS1918" s="15" t="inlineStr">
        <is>
          <t>demand</t>
        </is>
      </c>
      <c r="BT1918" s="15" t="n">
        <v>22</v>
      </c>
      <c r="BU1918" s="15" t="n">
        <v>23</v>
      </c>
      <c r="BV1918" s="15" t="n">
        <v>24</v>
      </c>
      <c r="CO1918" s="15" t="inlineStr">
        <is>
          <t>demand</t>
        </is>
      </c>
      <c r="CP1918" s="15" t="n">
        <v>22</v>
      </c>
      <c r="CQ1918" s="15" t="n">
        <v>23</v>
      </c>
      <c r="CR1918" s="15" t="n">
        <v>24</v>
      </c>
      <c r="DK1918" s="15" t="inlineStr">
        <is>
          <t>demand</t>
        </is>
      </c>
      <c r="DL1918" s="15" t="n">
        <v>22</v>
      </c>
      <c r="DM1918" s="15" t="n">
        <v>23</v>
      </c>
      <c r="DN1918" s="15" t="n">
        <v>24</v>
      </c>
      <c r="EG1918" s="15" t="inlineStr">
        <is>
          <t>demand</t>
        </is>
      </c>
      <c r="EH1918" s="15" t="n">
        <v>22</v>
      </c>
      <c r="EI1918" s="15" t="n">
        <v>23</v>
      </c>
      <c r="EJ1918" s="15" t="n">
        <v>24</v>
      </c>
      <c r="FC1918" s="15" t="inlineStr">
        <is>
          <t>demand</t>
        </is>
      </c>
      <c r="FD1918" s="15" t="n">
        <v>22</v>
      </c>
      <c r="FE1918" s="15" t="n">
        <v>23</v>
      </c>
      <c r="FF1918" s="15" t="n">
        <v>24</v>
      </c>
      <c r="FY1918" s="15" t="inlineStr">
        <is>
          <t>demand</t>
        </is>
      </c>
      <c r="FZ1918" s="15" t="n">
        <v>22</v>
      </c>
      <c r="GA1918" s="15" t="n">
        <v>23</v>
      </c>
      <c r="GB1918" s="15" t="n">
        <v>24</v>
      </c>
      <c r="GU1918" s="15" t="inlineStr">
        <is>
          <t>demand</t>
        </is>
      </c>
      <c r="GV1918" s="15" t="n">
        <v>22</v>
      </c>
      <c r="GW1918" s="15" t="n">
        <v>23</v>
      </c>
      <c r="GX1918" s="15" t="n">
        <v>24</v>
      </c>
    </row>
    <row r="1919">
      <c r="C1919" s="15" t="n">
        <v>9</v>
      </c>
      <c r="AA1919" s="15" t="n">
        <v>9</v>
      </c>
      <c r="AW1919" s="15" t="n">
        <v>9</v>
      </c>
      <c r="BS1919" s="15" t="n">
        <v>9</v>
      </c>
      <c r="CO1919" s="15" t="n">
        <v>9</v>
      </c>
      <c r="DK1919" s="15" t="n">
        <v>9</v>
      </c>
      <c r="EG1919" s="15" t="n">
        <v>9</v>
      </c>
      <c r="FC1919" s="15" t="n">
        <v>9</v>
      </c>
      <c r="FY1919" s="15" t="n">
        <v>9</v>
      </c>
      <c r="GU1919" s="15" t="n">
        <v>9</v>
      </c>
    </row>
    <row r="1920">
      <c r="C1920" s="15" t="n">
        <v>10</v>
      </c>
      <c r="AA1920" s="15" t="n">
        <v>10</v>
      </c>
      <c r="AW1920" s="15" t="n">
        <v>10</v>
      </c>
      <c r="BS1920" s="15" t="n">
        <v>10</v>
      </c>
      <c r="CO1920" s="15" t="n">
        <v>10</v>
      </c>
      <c r="DK1920" s="15" t="n">
        <v>10</v>
      </c>
      <c r="EG1920" s="15" t="n">
        <v>10</v>
      </c>
      <c r="FC1920" s="15" t="n">
        <v>10</v>
      </c>
      <c r="FY1920" s="15" t="n">
        <v>10</v>
      </c>
      <c r="GU1920" s="15" t="n">
        <v>10</v>
      </c>
    </row>
    <row r="1921">
      <c r="C1921" s="15" t="n">
        <v>11</v>
      </c>
      <c r="AA1921" s="15" t="n">
        <v>11</v>
      </c>
      <c r="AW1921" s="15" t="n">
        <v>11</v>
      </c>
      <c r="BS1921" s="15" t="n">
        <v>11</v>
      </c>
      <c r="CO1921" s="15" t="n">
        <v>11</v>
      </c>
      <c r="DK1921" s="15" t="n">
        <v>11</v>
      </c>
      <c r="EG1921" s="15" t="n">
        <v>11</v>
      </c>
      <c r="FC1921" s="15" t="n">
        <v>11</v>
      </c>
      <c r="FY1921" s="15" t="n">
        <v>11</v>
      </c>
      <c r="GU1921" s="15" t="n">
        <v>11</v>
      </c>
    </row>
    <row r="1922">
      <c r="C1922" s="15" t="n">
        <v>12</v>
      </c>
      <c r="AA1922" s="15" t="n">
        <v>12</v>
      </c>
      <c r="AW1922" s="15" t="n">
        <v>12</v>
      </c>
      <c r="BS1922" s="15" t="n">
        <v>12</v>
      </c>
      <c r="CO1922" s="15" t="n">
        <v>12</v>
      </c>
      <c r="DK1922" s="15" t="n">
        <v>12</v>
      </c>
      <c r="EG1922" s="15" t="n">
        <v>12</v>
      </c>
      <c r="FC1922" s="15" t="n">
        <v>12</v>
      </c>
      <c r="FY1922" s="15" t="n">
        <v>12</v>
      </c>
      <c r="GU1922" s="15" t="n">
        <v>12</v>
      </c>
    </row>
    <row r="1923">
      <c r="C1923" s="15" t="n">
        <v>13</v>
      </c>
      <c r="AA1923" s="15" t="n">
        <v>13</v>
      </c>
      <c r="AW1923" s="15" t="n">
        <v>13</v>
      </c>
      <c r="BS1923" s="15" t="n">
        <v>13</v>
      </c>
      <c r="CO1923" s="15" t="n">
        <v>13</v>
      </c>
      <c r="DK1923" s="15" t="n">
        <v>13</v>
      </c>
      <c r="EG1923" s="15" t="n">
        <v>13</v>
      </c>
      <c r="FC1923" s="15" t="n">
        <v>13</v>
      </c>
      <c r="FY1923" s="15" t="n">
        <v>13</v>
      </c>
      <c r="GU1923" s="15" t="n">
        <v>13</v>
      </c>
    </row>
    <row r="1924">
      <c r="C1924" s="15" t="n">
        <v>14</v>
      </c>
      <c r="AA1924" s="15" t="n">
        <v>14</v>
      </c>
      <c r="AW1924" s="15" t="n">
        <v>14</v>
      </c>
      <c r="BS1924" s="15" t="n">
        <v>14</v>
      </c>
      <c r="CO1924" s="15" t="n">
        <v>14</v>
      </c>
      <c r="DK1924" s="15" t="n">
        <v>14</v>
      </c>
      <c r="EG1924" s="15" t="n">
        <v>14</v>
      </c>
      <c r="FC1924" s="15" t="n">
        <v>14</v>
      </c>
      <c r="FY1924" s="15" t="n">
        <v>14</v>
      </c>
      <c r="GU1924" s="15" t="n">
        <v>14</v>
      </c>
    </row>
    <row r="1925">
      <c r="C1925" s="15" t="n">
        <v>15</v>
      </c>
      <c r="AA1925" s="15" t="n">
        <v>15</v>
      </c>
      <c r="AW1925" s="15" t="n">
        <v>15</v>
      </c>
      <c r="BS1925" s="15" t="n">
        <v>15</v>
      </c>
      <c r="CO1925" s="15" t="n">
        <v>15</v>
      </c>
      <c r="DK1925" s="15" t="n">
        <v>15</v>
      </c>
      <c r="EG1925" s="15" t="n">
        <v>15</v>
      </c>
      <c r="FC1925" s="15" t="n">
        <v>15</v>
      </c>
      <c r="FY1925" s="15" t="n">
        <v>15</v>
      </c>
      <c r="GU1925" s="15" t="n">
        <v>15</v>
      </c>
    </row>
    <row r="1926">
      <c r="C1926" s="15" t="n">
        <v>16</v>
      </c>
      <c r="AA1926" s="15" t="n">
        <v>16</v>
      </c>
      <c r="AW1926" s="15" t="n">
        <v>16</v>
      </c>
      <c r="BS1926" s="15" t="n">
        <v>16</v>
      </c>
      <c r="CO1926" s="15" t="n">
        <v>16</v>
      </c>
      <c r="DK1926" s="15" t="n">
        <v>16</v>
      </c>
      <c r="EG1926" s="15" t="n">
        <v>16</v>
      </c>
      <c r="FC1926" s="15" t="n">
        <v>16</v>
      </c>
      <c r="FY1926" s="15" t="n">
        <v>16</v>
      </c>
      <c r="GU1926" s="15" t="n">
        <v>16</v>
      </c>
    </row>
    <row r="1927">
      <c r="C1927" s="15" t="n">
        <v>17</v>
      </c>
      <c r="AA1927" s="15" t="n">
        <v>17</v>
      </c>
      <c r="AW1927" s="15" t="n">
        <v>17</v>
      </c>
      <c r="BS1927" s="15" t="n">
        <v>17</v>
      </c>
      <c r="CO1927" s="15" t="n">
        <v>17</v>
      </c>
      <c r="DK1927" s="15" t="n">
        <v>17</v>
      </c>
      <c r="EG1927" s="15" t="n">
        <v>17</v>
      </c>
      <c r="FC1927" s="15" t="n">
        <v>17</v>
      </c>
      <c r="FY1927" s="15" t="n">
        <v>17</v>
      </c>
      <c r="GU1927" s="15" t="n">
        <v>17</v>
      </c>
    </row>
    <row r="1928">
      <c r="C1928" s="15" t="n">
        <v>18</v>
      </c>
      <c r="AA1928" s="15" t="n">
        <v>18</v>
      </c>
      <c r="AW1928" s="15" t="n">
        <v>18</v>
      </c>
      <c r="BS1928" s="15" t="n">
        <v>18</v>
      </c>
      <c r="CO1928" s="15" t="n">
        <v>18</v>
      </c>
      <c r="DK1928" s="15" t="n">
        <v>18</v>
      </c>
      <c r="EG1928" s="15" t="n">
        <v>18</v>
      </c>
      <c r="FC1928" s="15" t="n">
        <v>18</v>
      </c>
      <c r="FY1928" s="15" t="n">
        <v>18</v>
      </c>
      <c r="GU1928" s="15" t="n">
        <v>18</v>
      </c>
    </row>
    <row r="1929">
      <c r="C1929" s="15" t="n">
        <v>19</v>
      </c>
      <c r="AA1929" s="15" t="n">
        <v>19</v>
      </c>
      <c r="AW1929" s="15" t="n">
        <v>19</v>
      </c>
      <c r="BS1929" s="15" t="n">
        <v>19</v>
      </c>
      <c r="CO1929" s="15" t="n">
        <v>19</v>
      </c>
      <c r="DK1929" s="15" t="n">
        <v>19</v>
      </c>
      <c r="EG1929" s="15" t="n">
        <v>19</v>
      </c>
      <c r="FC1929" s="15" t="n">
        <v>19</v>
      </c>
      <c r="FY1929" s="15" t="n">
        <v>19</v>
      </c>
      <c r="GU1929" s="15" t="n">
        <v>19</v>
      </c>
    </row>
    <row r="1930">
      <c r="C1930" s="15" t="n">
        <v>20</v>
      </c>
      <c r="AA1930" s="15" t="n">
        <v>20</v>
      </c>
      <c r="AW1930" s="15" t="n">
        <v>20</v>
      </c>
      <c r="BS1930" s="15" t="n">
        <v>20</v>
      </c>
      <c r="CO1930" s="15" t="n">
        <v>20</v>
      </c>
      <c r="DK1930" s="15" t="n">
        <v>20</v>
      </c>
      <c r="EG1930" s="15" t="n">
        <v>20</v>
      </c>
      <c r="FC1930" s="15" t="n">
        <v>20</v>
      </c>
      <c r="FY1930" s="15" t="n">
        <v>20</v>
      </c>
      <c r="GU1930" s="15" t="n">
        <v>20</v>
      </c>
    </row>
    <row r="1931">
      <c r="C1931" s="15" t="n">
        <v>21</v>
      </c>
      <c r="AA1931" s="15" t="n">
        <v>21</v>
      </c>
      <c r="AW1931" s="15" t="n">
        <v>21</v>
      </c>
      <c r="BS1931" s="15" t="n">
        <v>21</v>
      </c>
      <c r="CO1931" s="15" t="n">
        <v>21</v>
      </c>
      <c r="DK1931" s="15" t="n">
        <v>21</v>
      </c>
      <c r="EG1931" s="15" t="n">
        <v>21</v>
      </c>
      <c r="FC1931" s="15" t="n">
        <v>21</v>
      </c>
      <c r="FY1931" s="15" t="n">
        <v>21</v>
      </c>
      <c r="GU1931" s="15" t="n">
        <v>21</v>
      </c>
    </row>
    <row r="1932">
      <c r="C1932" s="15" t="n">
        <v>22</v>
      </c>
      <c r="AA1932" s="15" t="n">
        <v>22</v>
      </c>
      <c r="AW1932" s="15" t="n">
        <v>22</v>
      </c>
      <c r="BS1932" s="15" t="n">
        <v>22</v>
      </c>
      <c r="CO1932" s="15" t="n">
        <v>22</v>
      </c>
      <c r="DK1932" s="15" t="n">
        <v>22</v>
      </c>
      <c r="EG1932" s="15" t="n">
        <v>22</v>
      </c>
      <c r="FC1932" s="15" t="n">
        <v>22</v>
      </c>
      <c r="FY1932" s="15" t="n">
        <v>22</v>
      </c>
      <c r="GU1932" s="15" t="n">
        <v>22</v>
      </c>
    </row>
    <row r="1933">
      <c r="C1933" s="15" t="n">
        <v>23</v>
      </c>
      <c r="AA1933" s="15" t="n">
        <v>23</v>
      </c>
      <c r="AW1933" s="15" t="n">
        <v>23</v>
      </c>
      <c r="BS1933" s="15" t="n">
        <v>23</v>
      </c>
      <c r="CO1933" s="15" t="n">
        <v>23</v>
      </c>
      <c r="DK1933" s="15" t="n">
        <v>23</v>
      </c>
      <c r="EG1933" s="15" t="n">
        <v>23</v>
      </c>
      <c r="FC1933" s="15" t="n">
        <v>23</v>
      </c>
      <c r="FY1933" s="15" t="n">
        <v>23</v>
      </c>
      <c r="GU1933" s="15" t="n">
        <v>23</v>
      </c>
    </row>
    <row r="1934">
      <c r="C1934" s="15" t="n">
        <v>24</v>
      </c>
      <c r="AA1934" s="15" t="n">
        <v>24</v>
      </c>
      <c r="AW1934" s="15" t="n">
        <v>24</v>
      </c>
      <c r="BS1934" s="15" t="n">
        <v>24</v>
      </c>
      <c r="CO1934" s="15" t="n">
        <v>24</v>
      </c>
      <c r="DK1934" s="15" t="n">
        <v>24</v>
      </c>
      <c r="EG1934" s="15" t="n">
        <v>24</v>
      </c>
      <c r="FC1934" s="15" t="n">
        <v>24</v>
      </c>
      <c r="FY1934" s="15" t="n">
        <v>24</v>
      </c>
      <c r="GU1934" s="15" t="n">
        <v>24</v>
      </c>
    </row>
    <row r="1935">
      <c r="C1935" s="15" t="n">
        <v>25</v>
      </c>
      <c r="AA1935" s="15" t="n">
        <v>25</v>
      </c>
      <c r="AW1935" s="15" t="n">
        <v>25</v>
      </c>
      <c r="BS1935" s="15" t="n">
        <v>25</v>
      </c>
      <c r="CO1935" s="15" t="n">
        <v>25</v>
      </c>
      <c r="DK1935" s="15" t="n">
        <v>25</v>
      </c>
      <c r="EG1935" s="15" t="n">
        <v>25</v>
      </c>
      <c r="FC1935" s="15" t="n">
        <v>25</v>
      </c>
      <c r="FY1935" s="15" t="n">
        <v>25</v>
      </c>
      <c r="GU1935" s="15" t="n">
        <v>25</v>
      </c>
    </row>
    <row r="1936">
      <c r="C1936" s="15" t="n">
        <v>26</v>
      </c>
      <c r="AA1936" s="15" t="n">
        <v>26</v>
      </c>
      <c r="AW1936" s="15" t="n">
        <v>26</v>
      </c>
      <c r="BS1936" s="15" t="n">
        <v>26</v>
      </c>
      <c r="CO1936" s="15" t="n">
        <v>26</v>
      </c>
      <c r="DK1936" s="15" t="n">
        <v>26</v>
      </c>
      <c r="EG1936" s="15" t="n">
        <v>26</v>
      </c>
      <c r="FC1936" s="15" t="n">
        <v>26</v>
      </c>
      <c r="FY1936" s="15" t="n">
        <v>26</v>
      </c>
      <c r="GU1936" s="15" t="n">
        <v>26</v>
      </c>
    </row>
    <row r="1937">
      <c r="C1937" s="15" t="n">
        <v>27</v>
      </c>
      <c r="AA1937" s="15" t="n">
        <v>27</v>
      </c>
      <c r="AW1937" s="15" t="n">
        <v>27</v>
      </c>
      <c r="BS1937" s="15" t="n">
        <v>27</v>
      </c>
      <c r="CO1937" s="15" t="n">
        <v>27</v>
      </c>
      <c r="DK1937" s="15" t="n">
        <v>27</v>
      </c>
      <c r="EG1937" s="15" t="n">
        <v>27</v>
      </c>
      <c r="FC1937" s="15" t="n">
        <v>27</v>
      </c>
      <c r="FY1937" s="15" t="n">
        <v>27</v>
      </c>
      <c r="GU1937" s="15" t="n">
        <v>27</v>
      </c>
    </row>
    <row r="1938">
      <c r="C1938" s="15" t="n">
        <v>28</v>
      </c>
      <c r="AA1938" s="15" t="n">
        <v>28</v>
      </c>
      <c r="AW1938" s="15" t="n">
        <v>28</v>
      </c>
      <c r="BS1938" s="15" t="n">
        <v>28</v>
      </c>
      <c r="CO1938" s="15" t="n">
        <v>28</v>
      </c>
      <c r="DK1938" s="15" t="n">
        <v>28</v>
      </c>
      <c r="EG1938" s="15" t="n">
        <v>28</v>
      </c>
      <c r="FC1938" s="15" t="n">
        <v>28</v>
      </c>
      <c r="FY1938" s="15" t="n">
        <v>28</v>
      </c>
      <c r="GU1938" s="15" t="n">
        <v>28</v>
      </c>
    </row>
    <row r="1939">
      <c r="C1939" s="15" t="n">
        <v>29</v>
      </c>
      <c r="AA1939" s="15" t="n">
        <v>29</v>
      </c>
      <c r="AW1939" s="15" t="n">
        <v>29</v>
      </c>
      <c r="BS1939" s="15" t="n">
        <v>29</v>
      </c>
      <c r="CO1939" s="15" t="n">
        <v>29</v>
      </c>
      <c r="DK1939" s="15" t="n">
        <v>29</v>
      </c>
      <c r="EG1939" s="15" t="n">
        <v>29</v>
      </c>
      <c r="FC1939" s="15" t="n">
        <v>29</v>
      </c>
      <c r="FY1939" s="15" t="n">
        <v>29</v>
      </c>
      <c r="GU1939" s="15" t="n">
        <v>29</v>
      </c>
    </row>
    <row r="1940">
      <c r="C1940" s="15" t="n">
        <v>30</v>
      </c>
      <c r="AA1940" s="15" t="n">
        <v>30</v>
      </c>
      <c r="AW1940" s="15" t="n">
        <v>30</v>
      </c>
      <c r="BS1940" s="15" t="n">
        <v>30</v>
      </c>
      <c r="CO1940" s="15" t="n">
        <v>30</v>
      </c>
      <c r="DK1940" s="15" t="n">
        <v>30</v>
      </c>
      <c r="EG1940" s="15" t="n">
        <v>30</v>
      </c>
      <c r="FC1940" s="15" t="n">
        <v>30</v>
      </c>
      <c r="FY1940" s="15" t="n">
        <v>30</v>
      </c>
      <c r="GU1940" s="15" t="n">
        <v>30</v>
      </c>
    </row>
    <row r="1941">
      <c r="C1941" s="15" t="n">
        <v>31</v>
      </c>
      <c r="AA1941" s="15" t="n">
        <v>31</v>
      </c>
      <c r="AW1941" s="15" t="n">
        <v>31</v>
      </c>
      <c r="BS1941" s="15" t="n">
        <v>31</v>
      </c>
      <c r="CO1941" s="15" t="n">
        <v>31</v>
      </c>
      <c r="DK1941" s="15" t="n">
        <v>31</v>
      </c>
      <c r="EG1941" s="15" t="n">
        <v>31</v>
      </c>
      <c r="FC1941" s="15" t="n">
        <v>31</v>
      </c>
      <c r="FY1941" s="15" t="n">
        <v>31</v>
      </c>
      <c r="GU1941" s="15" t="n">
        <v>31</v>
      </c>
    </row>
    <row r="1942">
      <c r="C1942" s="15" t="n">
        <v>32</v>
      </c>
      <c r="AA1942" s="15" t="n">
        <v>32</v>
      </c>
      <c r="AW1942" s="15" t="n">
        <v>32</v>
      </c>
      <c r="BS1942" s="15" t="n">
        <v>32</v>
      </c>
      <c r="CO1942" s="15" t="n">
        <v>32</v>
      </c>
      <c r="DK1942" s="15" t="n">
        <v>32</v>
      </c>
      <c r="EG1942" s="15" t="n">
        <v>32</v>
      </c>
      <c r="FC1942" s="15" t="n">
        <v>32</v>
      </c>
      <c r="FY1942" s="15" t="n">
        <v>32</v>
      </c>
      <c r="GU1942" s="15" t="n">
        <v>32</v>
      </c>
    </row>
    <row r="1943">
      <c r="C1943" s="15" t="n">
        <v>33</v>
      </c>
      <c r="AA1943" s="15" t="n">
        <v>33</v>
      </c>
      <c r="AW1943" s="15" t="n">
        <v>33</v>
      </c>
      <c r="BS1943" s="15" t="n">
        <v>33</v>
      </c>
      <c r="CO1943" s="15" t="n">
        <v>33</v>
      </c>
      <c r="DK1943" s="15" t="n">
        <v>33</v>
      </c>
      <c r="EG1943" s="15" t="n">
        <v>33</v>
      </c>
      <c r="FC1943" s="15" t="n">
        <v>33</v>
      </c>
      <c r="FY1943" s="15" t="n">
        <v>33</v>
      </c>
      <c r="GU1943" s="15" t="n">
        <v>33</v>
      </c>
    </row>
    <row r="1944">
      <c r="C1944" s="15" t="n">
        <v>34</v>
      </c>
      <c r="AA1944" s="15" t="n">
        <v>34</v>
      </c>
      <c r="AW1944" s="15" t="n">
        <v>34</v>
      </c>
      <c r="BS1944" s="15" t="n">
        <v>34</v>
      </c>
      <c r="CO1944" s="15" t="n">
        <v>34</v>
      </c>
      <c r="DK1944" s="15" t="n">
        <v>34</v>
      </c>
      <c r="EG1944" s="15" t="n">
        <v>34</v>
      </c>
      <c r="FC1944" s="15" t="n">
        <v>34</v>
      </c>
      <c r="FY1944" s="15" t="n">
        <v>34</v>
      </c>
      <c r="GU1944" s="15" t="n">
        <v>34</v>
      </c>
    </row>
    <row r="1945">
      <c r="C1945" s="15" t="n">
        <v>35</v>
      </c>
      <c r="AA1945" s="15" t="n">
        <v>35</v>
      </c>
      <c r="AW1945" s="15" t="n">
        <v>35</v>
      </c>
      <c r="BS1945" s="15" t="n">
        <v>35</v>
      </c>
      <c r="CO1945" s="15" t="n">
        <v>35</v>
      </c>
      <c r="DK1945" s="15" t="n">
        <v>35</v>
      </c>
      <c r="EG1945" s="15" t="n">
        <v>35</v>
      </c>
      <c r="FC1945" s="15" t="n">
        <v>35</v>
      </c>
      <c r="FY1945" s="15" t="n">
        <v>35</v>
      </c>
      <c r="GU1945" s="15" t="n">
        <v>35</v>
      </c>
    </row>
    <row r="1946">
      <c r="C1946" s="15" t="n">
        <v>36</v>
      </c>
      <c r="AA1946" s="15" t="n">
        <v>36</v>
      </c>
      <c r="AW1946" s="15" t="n">
        <v>36</v>
      </c>
      <c r="BS1946" s="15" t="n">
        <v>36</v>
      </c>
      <c r="CO1946" s="15" t="n">
        <v>36</v>
      </c>
      <c r="DK1946" s="15" t="n">
        <v>36</v>
      </c>
      <c r="EG1946" s="15" t="n">
        <v>36</v>
      </c>
      <c r="FC1946" s="15" t="n">
        <v>36</v>
      </c>
      <c r="FY1946" s="15" t="n">
        <v>36</v>
      </c>
      <c r="GU1946" s="15" t="n">
        <v>36</v>
      </c>
    </row>
    <row r="1947">
      <c r="C1947" s="15" t="n">
        <v>37</v>
      </c>
      <c r="AA1947" s="15" t="n">
        <v>37</v>
      </c>
      <c r="AW1947" s="15" t="n">
        <v>37</v>
      </c>
      <c r="BS1947" s="15" t="n">
        <v>37</v>
      </c>
      <c r="CO1947" s="15" t="n">
        <v>37</v>
      </c>
      <c r="DK1947" s="15" t="n">
        <v>37</v>
      </c>
      <c r="EG1947" s="15" t="n">
        <v>37</v>
      </c>
      <c r="FC1947" s="15" t="n">
        <v>37</v>
      </c>
      <c r="FY1947" s="15" t="n">
        <v>37</v>
      </c>
      <c r="GU1947" s="15" t="n">
        <v>37</v>
      </c>
    </row>
    <row r="1948">
      <c r="C1948" s="15" t="n">
        <v>38</v>
      </c>
      <c r="AA1948" s="15" t="n">
        <v>38</v>
      </c>
      <c r="AW1948" s="15" t="n">
        <v>38</v>
      </c>
      <c r="BS1948" s="15" t="n">
        <v>38</v>
      </c>
      <c r="CO1948" s="15" t="n">
        <v>38</v>
      </c>
      <c r="DK1948" s="15" t="n">
        <v>38</v>
      </c>
      <c r="EG1948" s="15" t="n">
        <v>38</v>
      </c>
      <c r="FC1948" s="15" t="n">
        <v>38</v>
      </c>
      <c r="FY1948" s="15" t="n">
        <v>38</v>
      </c>
      <c r="GU1948" s="15" t="n">
        <v>38</v>
      </c>
    </row>
    <row r="1949">
      <c r="C1949" s="15" t="n">
        <v>39</v>
      </c>
      <c r="AA1949" s="15" t="n">
        <v>39</v>
      </c>
      <c r="AW1949" s="15" t="n">
        <v>39</v>
      </c>
      <c r="BS1949" s="15" t="n">
        <v>39</v>
      </c>
      <c r="CO1949" s="15" t="n">
        <v>39</v>
      </c>
      <c r="DK1949" s="15" t="n">
        <v>39</v>
      </c>
      <c r="EG1949" s="15" t="n">
        <v>39</v>
      </c>
      <c r="FC1949" s="15" t="n">
        <v>39</v>
      </c>
      <c r="FY1949" s="15" t="n">
        <v>39</v>
      </c>
      <c r="GU1949" s="15" t="n">
        <v>39</v>
      </c>
    </row>
    <row r="1950">
      <c r="C1950" s="15" t="n">
        <v>40</v>
      </c>
      <c r="AA1950" s="15" t="n">
        <v>40</v>
      </c>
      <c r="AW1950" s="15" t="n">
        <v>40</v>
      </c>
      <c r="BS1950" s="15" t="n">
        <v>40</v>
      </c>
      <c r="CO1950" s="15" t="n">
        <v>40</v>
      </c>
      <c r="DK1950" s="15" t="n">
        <v>40</v>
      </c>
      <c r="EG1950" s="15" t="n">
        <v>40</v>
      </c>
      <c r="FC1950" s="15" t="n">
        <v>40</v>
      </c>
      <c r="FY1950" s="15" t="n">
        <v>40</v>
      </c>
      <c r="GU1950" s="15" t="n">
        <v>40</v>
      </c>
    </row>
    <row r="1951">
      <c r="C1951" s="15" t="n">
        <v>41</v>
      </c>
      <c r="AA1951" s="15" t="n">
        <v>41</v>
      </c>
      <c r="AW1951" s="15" t="n">
        <v>41</v>
      </c>
      <c r="BS1951" s="15" t="n">
        <v>41</v>
      </c>
      <c r="CO1951" s="15" t="n">
        <v>41</v>
      </c>
      <c r="DK1951" s="15" t="n">
        <v>41</v>
      </c>
      <c r="EG1951" s="15" t="n">
        <v>41</v>
      </c>
      <c r="FC1951" s="15" t="n">
        <v>41</v>
      </c>
      <c r="FY1951" s="15" t="n">
        <v>41</v>
      </c>
      <c r="GU1951" s="15" t="n">
        <v>41</v>
      </c>
    </row>
    <row r="1952">
      <c r="C1952" s="15" t="n">
        <v>42</v>
      </c>
      <c r="AA1952" s="15" t="n">
        <v>42</v>
      </c>
      <c r="AW1952" s="15" t="n">
        <v>42</v>
      </c>
      <c r="BS1952" s="15" t="n">
        <v>42</v>
      </c>
      <c r="CO1952" s="15" t="n">
        <v>42</v>
      </c>
      <c r="DK1952" s="15" t="n">
        <v>42</v>
      </c>
      <c r="EG1952" s="15" t="n">
        <v>42</v>
      </c>
      <c r="FC1952" s="15" t="n">
        <v>42</v>
      </c>
      <c r="FY1952" s="15" t="n">
        <v>42</v>
      </c>
      <c r="GU1952" s="15" t="n">
        <v>42</v>
      </c>
    </row>
    <row r="1953">
      <c r="C1953" s="15" t="n">
        <v>43</v>
      </c>
      <c r="AA1953" s="15" t="n">
        <v>43</v>
      </c>
      <c r="AW1953" s="15" t="n">
        <v>43</v>
      </c>
      <c r="BS1953" s="15" t="n">
        <v>43</v>
      </c>
      <c r="CO1953" s="15" t="n">
        <v>43</v>
      </c>
      <c r="DK1953" s="15" t="n">
        <v>43</v>
      </c>
      <c r="EG1953" s="15" t="n">
        <v>43</v>
      </c>
      <c r="FC1953" s="15" t="n">
        <v>43</v>
      </c>
      <c r="FY1953" s="15" t="n">
        <v>43</v>
      </c>
      <c r="GU1953" s="15" t="n">
        <v>43</v>
      </c>
    </row>
    <row r="1954">
      <c r="C1954" s="15" t="n">
        <v>44</v>
      </c>
      <c r="AA1954" s="15" t="n">
        <v>44</v>
      </c>
      <c r="AW1954" s="15" t="n">
        <v>44</v>
      </c>
      <c r="BS1954" s="15" t="n">
        <v>44</v>
      </c>
      <c r="CO1954" s="15" t="n">
        <v>44</v>
      </c>
      <c r="DK1954" s="15" t="n">
        <v>44</v>
      </c>
      <c r="EG1954" s="15" t="n">
        <v>44</v>
      </c>
      <c r="FC1954" s="15" t="n">
        <v>44</v>
      </c>
      <c r="FY1954" s="15" t="n">
        <v>44</v>
      </c>
      <c r="GU1954" s="15" t="n">
        <v>44</v>
      </c>
    </row>
    <row r="1955">
      <c r="C1955" s="15" t="n">
        <v>45</v>
      </c>
      <c r="AA1955" s="15" t="n">
        <v>45</v>
      </c>
      <c r="AW1955" s="15" t="n">
        <v>45</v>
      </c>
      <c r="BS1955" s="15" t="n">
        <v>45</v>
      </c>
      <c r="CO1955" s="15" t="n">
        <v>45</v>
      </c>
      <c r="DK1955" s="15" t="n">
        <v>45</v>
      </c>
      <c r="EG1955" s="15" t="n">
        <v>45</v>
      </c>
      <c r="FC1955" s="15" t="n">
        <v>45</v>
      </c>
      <c r="FY1955" s="15" t="n">
        <v>45</v>
      </c>
      <c r="GU1955" s="15" t="n">
        <v>45</v>
      </c>
    </row>
    <row r="1956">
      <c r="C1956" s="15" t="n">
        <v>46</v>
      </c>
      <c r="AA1956" s="15" t="n">
        <v>46</v>
      </c>
      <c r="AW1956" s="15" t="n">
        <v>46</v>
      </c>
      <c r="BS1956" s="15" t="n">
        <v>46</v>
      </c>
      <c r="CO1956" s="15" t="n">
        <v>46</v>
      </c>
      <c r="DK1956" s="15" t="n">
        <v>46</v>
      </c>
      <c r="EG1956" s="15" t="n">
        <v>46</v>
      </c>
      <c r="FC1956" s="15" t="n">
        <v>46</v>
      </c>
      <c r="FY1956" s="15" t="n">
        <v>46</v>
      </c>
      <c r="GU1956" s="15" t="n">
        <v>46</v>
      </c>
    </row>
    <row r="1957">
      <c r="C1957" s="15" t="n">
        <v>47</v>
      </c>
      <c r="AA1957" s="15" t="n">
        <v>47</v>
      </c>
      <c r="AW1957" s="15" t="n">
        <v>47</v>
      </c>
      <c r="BS1957" s="15" t="n">
        <v>47</v>
      </c>
      <c r="CO1957" s="15" t="n">
        <v>47</v>
      </c>
      <c r="DK1957" s="15" t="n">
        <v>47</v>
      </c>
      <c r="EG1957" s="15" t="n">
        <v>47</v>
      </c>
      <c r="FC1957" s="15" t="n">
        <v>47</v>
      </c>
      <c r="FY1957" s="15" t="n">
        <v>47</v>
      </c>
      <c r="GU1957" s="15" t="n">
        <v>47</v>
      </c>
    </row>
    <row r="1958">
      <c r="C1958" s="15" t="n">
        <v>48</v>
      </c>
      <c r="AA1958" s="15" t="n">
        <v>48</v>
      </c>
      <c r="AW1958" s="15" t="n">
        <v>48</v>
      </c>
      <c r="BS1958" s="15" t="n">
        <v>48</v>
      </c>
      <c r="CO1958" s="15" t="n">
        <v>48</v>
      </c>
      <c r="DK1958" s="15" t="n">
        <v>48</v>
      </c>
      <c r="EG1958" s="15" t="n">
        <v>48</v>
      </c>
      <c r="FC1958" s="15" t="n">
        <v>48</v>
      </c>
      <c r="FY1958" s="15" t="n">
        <v>48</v>
      </c>
      <c r="GU1958" s="15" t="n">
        <v>48</v>
      </c>
    </row>
    <row r="1959">
      <c r="C1959" s="15" t="n">
        <v>49</v>
      </c>
      <c r="AA1959" s="15" t="n">
        <v>49</v>
      </c>
      <c r="AW1959" s="15" t="n">
        <v>49</v>
      </c>
      <c r="BS1959" s="15" t="n">
        <v>49</v>
      </c>
      <c r="CO1959" s="15" t="n">
        <v>49</v>
      </c>
      <c r="DK1959" s="15" t="n">
        <v>49</v>
      </c>
      <c r="EG1959" s="15" t="n">
        <v>49</v>
      </c>
      <c r="FC1959" s="15" t="n">
        <v>49</v>
      </c>
      <c r="FY1959" s="15" t="n">
        <v>49</v>
      </c>
      <c r="GU1959" s="15" t="n">
        <v>49</v>
      </c>
    </row>
    <row r="1960">
      <c r="C1960" s="15" t="n">
        <v>50</v>
      </c>
      <c r="AA1960" s="15" t="n">
        <v>50</v>
      </c>
      <c r="AW1960" s="15" t="n">
        <v>50</v>
      </c>
      <c r="BS1960" s="15" t="n">
        <v>50</v>
      </c>
      <c r="CO1960" s="15" t="n">
        <v>50</v>
      </c>
      <c r="DK1960" s="15" t="n">
        <v>50</v>
      </c>
      <c r="EG1960" s="15" t="n">
        <v>50</v>
      </c>
      <c r="FC1960" s="15" t="n">
        <v>50</v>
      </c>
      <c r="FY1960" s="15" t="n">
        <v>50</v>
      </c>
      <c r="GU1960" s="15" t="n">
        <v>50</v>
      </c>
    </row>
    <row r="1961">
      <c r="C1961" s="15" t="n">
        <v>51</v>
      </c>
      <c r="AA1961" s="15" t="n">
        <v>51</v>
      </c>
      <c r="AW1961" s="15" t="n">
        <v>51</v>
      </c>
      <c r="BS1961" s="15" t="n">
        <v>51</v>
      </c>
      <c r="CO1961" s="15" t="n">
        <v>51</v>
      </c>
      <c r="DK1961" s="15" t="n">
        <v>51</v>
      </c>
      <c r="EG1961" s="15" t="n">
        <v>51</v>
      </c>
      <c r="FC1961" s="15" t="n">
        <v>51</v>
      </c>
      <c r="FY1961" s="15" t="n">
        <v>51</v>
      </c>
      <c r="GU1961" s="15" t="n">
        <v>51</v>
      </c>
    </row>
    <row r="1962">
      <c r="C1962" s="15" t="n">
        <v>52</v>
      </c>
      <c r="AA1962" s="15" t="n">
        <v>52</v>
      </c>
      <c r="AW1962" s="15" t="n">
        <v>52</v>
      </c>
      <c r="BS1962" s="15" t="n">
        <v>52</v>
      </c>
      <c r="CO1962" s="15" t="n">
        <v>52</v>
      </c>
      <c r="DK1962" s="15" t="n">
        <v>52</v>
      </c>
      <c r="EG1962" s="15" t="n">
        <v>52</v>
      </c>
      <c r="FC1962" s="15" t="n">
        <v>52</v>
      </c>
      <c r="FY1962" s="15" t="n">
        <v>52</v>
      </c>
      <c r="GU1962" s="15" t="n">
        <v>52</v>
      </c>
    </row>
    <row r="1963">
      <c r="C1963" s="15" t="n">
        <v>53</v>
      </c>
      <c r="AA1963" s="15" t="n">
        <v>53</v>
      </c>
      <c r="AW1963" s="15" t="n">
        <v>53</v>
      </c>
      <c r="BS1963" s="15" t="n">
        <v>53</v>
      </c>
      <c r="CO1963" s="15" t="n">
        <v>53</v>
      </c>
      <c r="DK1963" s="15" t="n">
        <v>53</v>
      </c>
      <c r="EG1963" s="15" t="n">
        <v>53</v>
      </c>
      <c r="FC1963" s="15" t="n">
        <v>53</v>
      </c>
      <c r="FY1963" s="15" t="n">
        <v>53</v>
      </c>
      <c r="GU1963" s="15" t="n">
        <v>53</v>
      </c>
    </row>
    <row r="1964">
      <c r="C1964" s="15" t="n">
        <v>54</v>
      </c>
      <c r="AA1964" s="15" t="n">
        <v>54</v>
      </c>
      <c r="AW1964" s="15" t="n">
        <v>54</v>
      </c>
      <c r="BS1964" s="15" t="n">
        <v>54</v>
      </c>
      <c r="CO1964" s="15" t="n">
        <v>54</v>
      </c>
      <c r="DK1964" s="15" t="n">
        <v>54</v>
      </c>
      <c r="EG1964" s="15" t="n">
        <v>54</v>
      </c>
      <c r="FC1964" s="15" t="n">
        <v>54</v>
      </c>
      <c r="FY1964" s="15" t="n">
        <v>54</v>
      </c>
      <c r="GU1964" s="15" t="n">
        <v>54</v>
      </c>
    </row>
    <row r="1965">
      <c r="C1965" s="15" t="n">
        <v>55</v>
      </c>
      <c r="AA1965" s="15" t="n">
        <v>55</v>
      </c>
      <c r="AW1965" s="15" t="n">
        <v>55</v>
      </c>
      <c r="BS1965" s="15" t="n">
        <v>55</v>
      </c>
      <c r="CO1965" s="15" t="n">
        <v>55</v>
      </c>
      <c r="DK1965" s="15" t="n">
        <v>55</v>
      </c>
      <c r="EG1965" s="15" t="n">
        <v>55</v>
      </c>
      <c r="FC1965" s="15" t="n">
        <v>55</v>
      </c>
      <c r="FY1965" s="15" t="n">
        <v>55</v>
      </c>
      <c r="GU1965" s="15" t="n">
        <v>55</v>
      </c>
    </row>
    <row r="1966">
      <c r="C1966" s="15" t="n">
        <v>56</v>
      </c>
      <c r="AA1966" s="15" t="n">
        <v>56</v>
      </c>
      <c r="AW1966" s="15" t="n">
        <v>56</v>
      </c>
      <c r="BS1966" s="15" t="n">
        <v>56</v>
      </c>
      <c r="CO1966" s="15" t="n">
        <v>56</v>
      </c>
      <c r="DK1966" s="15" t="n">
        <v>56</v>
      </c>
      <c r="EG1966" s="15" t="n">
        <v>56</v>
      </c>
      <c r="FC1966" s="15" t="n">
        <v>56</v>
      </c>
      <c r="FY1966" s="15" t="n">
        <v>56</v>
      </c>
      <c r="GU1966" s="15" t="n">
        <v>56</v>
      </c>
    </row>
    <row r="1967">
      <c r="C1967" s="15" t="n">
        <v>57</v>
      </c>
      <c r="AA1967" s="15" t="n">
        <v>57</v>
      </c>
      <c r="AW1967" s="15" t="n">
        <v>57</v>
      </c>
      <c r="BS1967" s="15" t="n">
        <v>57</v>
      </c>
      <c r="CO1967" s="15" t="n">
        <v>57</v>
      </c>
      <c r="DK1967" s="15" t="n">
        <v>57</v>
      </c>
      <c r="EG1967" s="15" t="n">
        <v>57</v>
      </c>
      <c r="FC1967" s="15" t="n">
        <v>57</v>
      </c>
      <c r="FY1967" s="15" t="n">
        <v>57</v>
      </c>
      <c r="GU1967" s="15" t="n">
        <v>57</v>
      </c>
    </row>
    <row r="1968">
      <c r="C1968" s="15" t="n">
        <v>58</v>
      </c>
      <c r="AA1968" s="15" t="n">
        <v>58</v>
      </c>
      <c r="AW1968" s="15" t="n">
        <v>58</v>
      </c>
      <c r="BS1968" s="15" t="n">
        <v>58</v>
      </c>
      <c r="CO1968" s="15" t="n">
        <v>58</v>
      </c>
      <c r="DK1968" s="15" t="n">
        <v>58</v>
      </c>
      <c r="EG1968" s="15" t="n">
        <v>58</v>
      </c>
      <c r="FC1968" s="15" t="n">
        <v>58</v>
      </c>
      <c r="FY1968" s="15" t="n">
        <v>58</v>
      </c>
      <c r="GU1968" s="15" t="n">
        <v>58</v>
      </c>
    </row>
    <row r="1969">
      <c r="C1969" s="15" t="n">
        <v>59</v>
      </c>
      <c r="AA1969" s="15" t="n">
        <v>59</v>
      </c>
      <c r="AW1969" s="15" t="n">
        <v>59</v>
      </c>
      <c r="BS1969" s="15" t="n">
        <v>59</v>
      </c>
      <c r="CO1969" s="15" t="n">
        <v>59</v>
      </c>
      <c r="DK1969" s="15" t="n">
        <v>59</v>
      </c>
      <c r="EG1969" s="15" t="n">
        <v>59</v>
      </c>
      <c r="FC1969" s="15" t="n">
        <v>59</v>
      </c>
      <c r="FY1969" s="15" t="n">
        <v>59</v>
      </c>
      <c r="GU1969" s="15" t="n">
        <v>59</v>
      </c>
    </row>
    <row r="1970">
      <c r="C1970" s="15" t="n">
        <v>60</v>
      </c>
      <c r="AA1970" s="15" t="n">
        <v>60</v>
      </c>
      <c r="AW1970" s="15" t="n">
        <v>60</v>
      </c>
      <c r="BS1970" s="15" t="n">
        <v>60</v>
      </c>
      <c r="CO1970" s="15" t="n">
        <v>60</v>
      </c>
      <c r="DK1970" s="15" t="n">
        <v>60</v>
      </c>
      <c r="EG1970" s="15" t="n">
        <v>60</v>
      </c>
      <c r="FC1970" s="15" t="n">
        <v>60</v>
      </c>
      <c r="FY1970" s="15" t="n">
        <v>60</v>
      </c>
      <c r="GU1970" s="15" t="n">
        <v>60</v>
      </c>
    </row>
    <row r="1971">
      <c r="C1971" s="15" t="n">
        <v>61</v>
      </c>
      <c r="AA1971" s="15" t="n">
        <v>61</v>
      </c>
      <c r="AW1971" s="15" t="n">
        <v>61</v>
      </c>
      <c r="BS1971" s="15" t="n">
        <v>61</v>
      </c>
      <c r="CO1971" s="15" t="n">
        <v>61</v>
      </c>
      <c r="DK1971" s="15" t="n">
        <v>61</v>
      </c>
      <c r="EG1971" s="15" t="n">
        <v>61</v>
      </c>
      <c r="FC1971" s="15" t="n">
        <v>61</v>
      </c>
      <c r="FY1971" s="15" t="n">
        <v>61</v>
      </c>
      <c r="GU1971" s="15" t="n">
        <v>61</v>
      </c>
    </row>
    <row r="1972">
      <c r="C1972" s="15" t="n">
        <v>62</v>
      </c>
      <c r="AA1972" s="15" t="n">
        <v>62</v>
      </c>
      <c r="AW1972" s="15" t="n">
        <v>62</v>
      </c>
      <c r="BS1972" s="15" t="n">
        <v>62</v>
      </c>
      <c r="CO1972" s="15" t="n">
        <v>62</v>
      </c>
      <c r="DK1972" s="15" t="n">
        <v>62</v>
      </c>
      <c r="EG1972" s="15" t="n">
        <v>62</v>
      </c>
      <c r="FC1972" s="15" t="n">
        <v>62</v>
      </c>
      <c r="FY1972" s="15" t="n">
        <v>62</v>
      </c>
      <c r="GU1972" s="15" t="n">
        <v>62</v>
      </c>
    </row>
    <row r="1973">
      <c r="C1973" s="15" t="n">
        <v>63</v>
      </c>
      <c r="AA1973" s="15" t="n">
        <v>63</v>
      </c>
      <c r="AW1973" s="15" t="n">
        <v>63</v>
      </c>
      <c r="BS1973" s="15" t="n">
        <v>63</v>
      </c>
      <c r="CO1973" s="15" t="n">
        <v>63</v>
      </c>
      <c r="DK1973" s="15" t="n">
        <v>63</v>
      </c>
      <c r="EG1973" s="15" t="n">
        <v>63</v>
      </c>
      <c r="FC1973" s="15" t="n">
        <v>63</v>
      </c>
      <c r="FY1973" s="15" t="n">
        <v>63</v>
      </c>
      <c r="GU1973" s="15" t="n">
        <v>63</v>
      </c>
    </row>
    <row r="1974">
      <c r="C1974" s="15" t="n">
        <v>64</v>
      </c>
      <c r="AA1974" s="15" t="n">
        <v>64</v>
      </c>
      <c r="AW1974" s="15" t="n">
        <v>64</v>
      </c>
      <c r="BS1974" s="15" t="n">
        <v>64</v>
      </c>
      <c r="CO1974" s="15" t="n">
        <v>64</v>
      </c>
      <c r="DK1974" s="15" t="n">
        <v>64</v>
      </c>
      <c r="EG1974" s="15" t="n">
        <v>64</v>
      </c>
      <c r="FC1974" s="15" t="n">
        <v>64</v>
      </c>
      <c r="FY1974" s="15" t="n">
        <v>64</v>
      </c>
      <c r="GU1974" s="15" t="n">
        <v>64</v>
      </c>
    </row>
    <row r="1975">
      <c r="C1975" s="15" t="n">
        <v>65</v>
      </c>
      <c r="AA1975" s="15" t="n">
        <v>65</v>
      </c>
      <c r="AW1975" s="15" t="n">
        <v>65</v>
      </c>
      <c r="BS1975" s="15" t="n">
        <v>65</v>
      </c>
      <c r="CO1975" s="15" t="n">
        <v>65</v>
      </c>
      <c r="DK1975" s="15" t="n">
        <v>65</v>
      </c>
      <c r="EG1975" s="15" t="n">
        <v>65</v>
      </c>
      <c r="FC1975" s="15" t="n">
        <v>65</v>
      </c>
      <c r="FY1975" s="15" t="n">
        <v>65</v>
      </c>
      <c r="GU1975" s="15" t="n">
        <v>65</v>
      </c>
    </row>
    <row r="1976">
      <c r="C1976" s="15" t="n">
        <v>66</v>
      </c>
      <c r="AA1976" s="15" t="n">
        <v>66</v>
      </c>
      <c r="AW1976" s="15" t="n">
        <v>66</v>
      </c>
      <c r="BS1976" s="15" t="n">
        <v>66</v>
      </c>
      <c r="CO1976" s="15" t="n">
        <v>66</v>
      </c>
      <c r="DK1976" s="15" t="n">
        <v>66</v>
      </c>
      <c r="EG1976" s="15" t="n">
        <v>66</v>
      </c>
      <c r="FC1976" s="15" t="n">
        <v>66</v>
      </c>
      <c r="FY1976" s="15" t="n">
        <v>66</v>
      </c>
      <c r="GU1976" s="15" t="n">
        <v>66</v>
      </c>
    </row>
    <row r="1977">
      <c r="C1977" s="15" t="n">
        <v>67</v>
      </c>
      <c r="AA1977" s="15" t="n">
        <v>67</v>
      </c>
      <c r="AW1977" s="15" t="n">
        <v>67</v>
      </c>
      <c r="BS1977" s="15" t="n">
        <v>67</v>
      </c>
      <c r="CO1977" s="15" t="n">
        <v>67</v>
      </c>
      <c r="DK1977" s="15" t="n">
        <v>67</v>
      </c>
      <c r="EG1977" s="15" t="n">
        <v>67</v>
      </c>
      <c r="FC1977" s="15" t="n">
        <v>67</v>
      </c>
      <c r="FY1977" s="15" t="n">
        <v>67</v>
      </c>
      <c r="GU1977" s="15" t="n">
        <v>67</v>
      </c>
    </row>
    <row r="1978">
      <c r="C1978" s="15" t="n">
        <v>68</v>
      </c>
      <c r="AA1978" s="15" t="n">
        <v>68</v>
      </c>
      <c r="AW1978" s="15" t="n">
        <v>68</v>
      </c>
      <c r="BS1978" s="15" t="n">
        <v>68</v>
      </c>
      <c r="CO1978" s="15" t="n">
        <v>68</v>
      </c>
      <c r="DK1978" s="15" t="n">
        <v>68</v>
      </c>
      <c r="EG1978" s="15" t="n">
        <v>68</v>
      </c>
      <c r="FC1978" s="15" t="n">
        <v>68</v>
      </c>
      <c r="FY1978" s="15" t="n">
        <v>68</v>
      </c>
      <c r="GU1978" s="15" t="n">
        <v>68</v>
      </c>
    </row>
    <row r="1979">
      <c r="C1979" s="15" t="n">
        <v>69</v>
      </c>
      <c r="AA1979" s="15" t="n">
        <v>69</v>
      </c>
      <c r="AW1979" s="15" t="n">
        <v>69</v>
      </c>
      <c r="BS1979" s="15" t="n">
        <v>69</v>
      </c>
      <c r="CO1979" s="15" t="n">
        <v>69</v>
      </c>
      <c r="DK1979" s="15" t="n">
        <v>69</v>
      </c>
      <c r="EG1979" s="15" t="n">
        <v>69</v>
      </c>
      <c r="FC1979" s="15" t="n">
        <v>69</v>
      </c>
      <c r="FY1979" s="15" t="n">
        <v>69</v>
      </c>
      <c r="GU1979" s="15" t="n">
        <v>69</v>
      </c>
    </row>
    <row r="1980">
      <c r="C1980" s="15" t="n">
        <v>70</v>
      </c>
      <c r="AA1980" s="15" t="n">
        <v>70</v>
      </c>
      <c r="AW1980" s="15" t="n">
        <v>70</v>
      </c>
      <c r="BS1980" s="15" t="n">
        <v>70</v>
      </c>
      <c r="CO1980" s="15" t="n">
        <v>70</v>
      </c>
      <c r="DK1980" s="15" t="n">
        <v>70</v>
      </c>
      <c r="EG1980" s="15" t="n">
        <v>70</v>
      </c>
      <c r="FC1980" s="15" t="n">
        <v>70</v>
      </c>
      <c r="FY1980" s="15" t="n">
        <v>70</v>
      </c>
      <c r="GU1980" s="15" t="n">
        <v>70</v>
      </c>
    </row>
    <row r="1981">
      <c r="C1981" s="15" t="n">
        <v>71</v>
      </c>
      <c r="AA1981" s="15" t="n">
        <v>71</v>
      </c>
      <c r="AW1981" s="15" t="n">
        <v>71</v>
      </c>
      <c r="BS1981" s="15" t="n">
        <v>71</v>
      </c>
      <c r="CO1981" s="15" t="n">
        <v>71</v>
      </c>
      <c r="DK1981" s="15" t="n">
        <v>71</v>
      </c>
      <c r="EG1981" s="15" t="n">
        <v>71</v>
      </c>
      <c r="FC1981" s="15" t="n">
        <v>71</v>
      </c>
      <c r="FY1981" s="15" t="n">
        <v>71</v>
      </c>
      <c r="GU1981" s="15" t="n">
        <v>71</v>
      </c>
    </row>
    <row r="1982">
      <c r="C1982" s="15" t="n">
        <v>72</v>
      </c>
      <c r="AA1982" s="15" t="n">
        <v>72</v>
      </c>
      <c r="AW1982" s="15" t="n">
        <v>72</v>
      </c>
      <c r="BS1982" s="15" t="n">
        <v>72</v>
      </c>
      <c r="CO1982" s="15" t="n">
        <v>72</v>
      </c>
      <c r="DK1982" s="15" t="n">
        <v>72</v>
      </c>
      <c r="EG1982" s="15" t="n">
        <v>72</v>
      </c>
      <c r="FC1982" s="15" t="n">
        <v>72</v>
      </c>
      <c r="FY1982" s="15" t="n">
        <v>72</v>
      </c>
      <c r="GU1982" s="15" t="n">
        <v>72</v>
      </c>
    </row>
    <row r="1983">
      <c r="C1983" s="15" t="n">
        <v>73</v>
      </c>
      <c r="AA1983" s="15" t="n">
        <v>73</v>
      </c>
      <c r="AW1983" s="15" t="n">
        <v>73</v>
      </c>
      <c r="BS1983" s="15" t="n">
        <v>73</v>
      </c>
      <c r="CO1983" s="15" t="n">
        <v>73</v>
      </c>
      <c r="DK1983" s="15" t="n">
        <v>73</v>
      </c>
      <c r="EG1983" s="15" t="n">
        <v>73</v>
      </c>
      <c r="FC1983" s="15" t="n">
        <v>73</v>
      </c>
      <c r="FY1983" s="15" t="n">
        <v>73</v>
      </c>
      <c r="GU1983" s="15" t="n">
        <v>73</v>
      </c>
    </row>
    <row r="1984">
      <c r="C1984" s="15" t="n">
        <v>74</v>
      </c>
      <c r="AA1984" s="15" t="n">
        <v>74</v>
      </c>
      <c r="AW1984" s="15" t="n">
        <v>74</v>
      </c>
      <c r="BS1984" s="15" t="n">
        <v>74</v>
      </c>
      <c r="CO1984" s="15" t="n">
        <v>74</v>
      </c>
      <c r="DK1984" s="15" t="n">
        <v>74</v>
      </c>
      <c r="EG1984" s="15" t="n">
        <v>74</v>
      </c>
      <c r="FC1984" s="15" t="n">
        <v>74</v>
      </c>
      <c r="FY1984" s="15" t="n">
        <v>74</v>
      </c>
      <c r="GU1984" s="15" t="n">
        <v>74</v>
      </c>
    </row>
    <row r="1985">
      <c r="C1985" s="15" t="n">
        <v>75</v>
      </c>
      <c r="AA1985" s="15" t="n">
        <v>75</v>
      </c>
      <c r="AW1985" s="15" t="n">
        <v>75</v>
      </c>
      <c r="BS1985" s="15" t="n">
        <v>75</v>
      </c>
      <c r="CO1985" s="15" t="n">
        <v>75</v>
      </c>
      <c r="DK1985" s="15" t="n">
        <v>75</v>
      </c>
      <c r="EG1985" s="15" t="n">
        <v>75</v>
      </c>
      <c r="FC1985" s="15" t="n">
        <v>75</v>
      </c>
      <c r="FY1985" s="15" t="n">
        <v>75</v>
      </c>
      <c r="GU1985" s="15" t="n">
        <v>75</v>
      </c>
    </row>
    <row r="1986">
      <c r="C1986" s="15" t="n">
        <v>76</v>
      </c>
      <c r="AA1986" s="15" t="n">
        <v>76</v>
      </c>
      <c r="AW1986" s="15" t="n">
        <v>76</v>
      </c>
      <c r="BS1986" s="15" t="n">
        <v>76</v>
      </c>
      <c r="CO1986" s="15" t="n">
        <v>76</v>
      </c>
      <c r="DK1986" s="15" t="n">
        <v>76</v>
      </c>
      <c r="EG1986" s="15" t="n">
        <v>76</v>
      </c>
      <c r="FC1986" s="15" t="n">
        <v>76</v>
      </c>
      <c r="FY1986" s="15" t="n">
        <v>76</v>
      </c>
      <c r="GU1986" s="15" t="n">
        <v>76</v>
      </c>
    </row>
    <row r="1987">
      <c r="C1987" s="15" t="n">
        <v>77</v>
      </c>
      <c r="AA1987" s="15" t="n">
        <v>77</v>
      </c>
      <c r="AW1987" s="15" t="n">
        <v>77</v>
      </c>
      <c r="BS1987" s="15" t="n">
        <v>77</v>
      </c>
      <c r="CO1987" s="15" t="n">
        <v>77</v>
      </c>
      <c r="DK1987" s="15" t="n">
        <v>77</v>
      </c>
      <c r="EG1987" s="15" t="n">
        <v>77</v>
      </c>
      <c r="FC1987" s="15" t="n">
        <v>77</v>
      </c>
      <c r="FY1987" s="15" t="n">
        <v>77</v>
      </c>
      <c r="GU1987" s="15" t="n">
        <v>77</v>
      </c>
    </row>
    <row r="1988">
      <c r="C1988" s="15" t="n">
        <v>78</v>
      </c>
      <c r="AA1988" s="15" t="n">
        <v>78</v>
      </c>
      <c r="AW1988" s="15" t="n">
        <v>78</v>
      </c>
      <c r="BS1988" s="15" t="n">
        <v>78</v>
      </c>
      <c r="CO1988" s="15" t="n">
        <v>78</v>
      </c>
      <c r="DK1988" s="15" t="n">
        <v>78</v>
      </c>
      <c r="EG1988" s="15" t="n">
        <v>78</v>
      </c>
      <c r="FC1988" s="15" t="n">
        <v>78</v>
      </c>
      <c r="FY1988" s="15" t="n">
        <v>78</v>
      </c>
      <c r="GU1988" s="15" t="n">
        <v>78</v>
      </c>
    </row>
    <row r="1989">
      <c r="C1989" s="15" t="n">
        <v>79</v>
      </c>
      <c r="AA1989" s="15" t="n">
        <v>79</v>
      </c>
      <c r="AW1989" s="15" t="n">
        <v>79</v>
      </c>
      <c r="BS1989" s="15" t="n">
        <v>79</v>
      </c>
      <c r="CO1989" s="15" t="n">
        <v>79</v>
      </c>
      <c r="DK1989" s="15" t="n">
        <v>79</v>
      </c>
      <c r="EG1989" s="15" t="n">
        <v>79</v>
      </c>
      <c r="FC1989" s="15" t="n">
        <v>79</v>
      </c>
      <c r="FY1989" s="15" t="n">
        <v>79</v>
      </c>
      <c r="GU1989" s="15" t="n">
        <v>79</v>
      </c>
    </row>
    <row r="1990">
      <c r="C1990" s="15" t="n">
        <v>80</v>
      </c>
      <c r="AA1990" s="15" t="n">
        <v>80</v>
      </c>
      <c r="AW1990" s="15" t="n">
        <v>80</v>
      </c>
      <c r="BS1990" s="15" t="n">
        <v>80</v>
      </c>
      <c r="CO1990" s="15" t="n">
        <v>80</v>
      </c>
      <c r="DK1990" s="15" t="n">
        <v>80</v>
      </c>
      <c r="EG1990" s="15" t="n">
        <v>80</v>
      </c>
      <c r="FC1990" s="15" t="n">
        <v>80</v>
      </c>
      <c r="FY1990" s="15" t="n">
        <v>80</v>
      </c>
      <c r="GU1990" s="15" t="n">
        <v>80</v>
      </c>
    </row>
    <row r="1991">
      <c r="C1991" s="15" t="n">
        <v>81</v>
      </c>
      <c r="AA1991" s="15" t="n">
        <v>81</v>
      </c>
      <c r="AW1991" s="15" t="n">
        <v>81</v>
      </c>
      <c r="BS1991" s="15" t="n">
        <v>81</v>
      </c>
      <c r="CO1991" s="15" t="n">
        <v>81</v>
      </c>
      <c r="DK1991" s="15" t="n">
        <v>81</v>
      </c>
      <c r="EG1991" s="15" t="n">
        <v>81</v>
      </c>
      <c r="FC1991" s="15" t="n">
        <v>81</v>
      </c>
      <c r="FY1991" s="15" t="n">
        <v>81</v>
      </c>
      <c r="GU1991" s="15" t="n">
        <v>81</v>
      </c>
    </row>
    <row r="1992">
      <c r="C1992" s="15" t="n">
        <v>82</v>
      </c>
      <c r="AA1992" s="15" t="n">
        <v>82</v>
      </c>
      <c r="AW1992" s="15" t="n">
        <v>82</v>
      </c>
      <c r="BS1992" s="15" t="n">
        <v>82</v>
      </c>
      <c r="CO1992" s="15" t="n">
        <v>82</v>
      </c>
      <c r="DK1992" s="15" t="n">
        <v>82</v>
      </c>
      <c r="EG1992" s="15" t="n">
        <v>82</v>
      </c>
      <c r="FC1992" s="15" t="n">
        <v>82</v>
      </c>
      <c r="FY1992" s="15" t="n">
        <v>82</v>
      </c>
      <c r="GU1992" s="15" t="n">
        <v>82</v>
      </c>
    </row>
    <row r="1993">
      <c r="C1993" s="15" t="n">
        <v>83</v>
      </c>
      <c r="AA1993" s="15" t="n">
        <v>83</v>
      </c>
      <c r="AW1993" s="15" t="n">
        <v>83</v>
      </c>
      <c r="BS1993" s="15" t="n">
        <v>83</v>
      </c>
      <c r="CO1993" s="15" t="n">
        <v>83</v>
      </c>
      <c r="DK1993" s="15" t="n">
        <v>83</v>
      </c>
      <c r="EG1993" s="15" t="n">
        <v>83</v>
      </c>
      <c r="FC1993" s="15" t="n">
        <v>83</v>
      </c>
      <c r="FY1993" s="15" t="n">
        <v>83</v>
      </c>
      <c r="GU1993" s="15" t="n">
        <v>83</v>
      </c>
    </row>
    <row r="1994">
      <c r="C1994" s="15" t="n">
        <v>84</v>
      </c>
      <c r="AA1994" s="15" t="n">
        <v>84</v>
      </c>
      <c r="AW1994" s="15" t="n">
        <v>84</v>
      </c>
      <c r="BS1994" s="15" t="n">
        <v>84</v>
      </c>
      <c r="CO1994" s="15" t="n">
        <v>84</v>
      </c>
      <c r="DK1994" s="15" t="n">
        <v>84</v>
      </c>
      <c r="EG1994" s="15" t="n">
        <v>84</v>
      </c>
      <c r="FC1994" s="15" t="n">
        <v>84</v>
      </c>
      <c r="FY1994" s="15" t="n">
        <v>84</v>
      </c>
      <c r="GU1994" s="15" t="n">
        <v>84</v>
      </c>
    </row>
    <row r="1995">
      <c r="C1995" s="15" t="n">
        <v>85</v>
      </c>
      <c r="AA1995" s="15" t="n">
        <v>85</v>
      </c>
      <c r="AW1995" s="15" t="n">
        <v>85</v>
      </c>
      <c r="BS1995" s="15" t="n">
        <v>85</v>
      </c>
      <c r="CO1995" s="15" t="n">
        <v>85</v>
      </c>
      <c r="DK1995" s="15" t="n">
        <v>85</v>
      </c>
      <c r="EG1995" s="15" t="n">
        <v>85</v>
      </c>
      <c r="FC1995" s="15" t="n">
        <v>85</v>
      </c>
      <c r="FY1995" s="15" t="n">
        <v>85</v>
      </c>
      <c r="GU1995" s="15" t="n">
        <v>85</v>
      </c>
    </row>
    <row r="1996">
      <c r="C1996" s="15" t="n">
        <v>86</v>
      </c>
      <c r="AA1996" s="15" t="n">
        <v>86</v>
      </c>
      <c r="AW1996" s="15" t="n">
        <v>86</v>
      </c>
      <c r="BS1996" s="15" t="n">
        <v>86</v>
      </c>
      <c r="CO1996" s="15" t="n">
        <v>86</v>
      </c>
      <c r="DK1996" s="15" t="n">
        <v>86</v>
      </c>
      <c r="EG1996" s="15" t="n">
        <v>86</v>
      </c>
      <c r="FC1996" s="15" t="n">
        <v>86</v>
      </c>
      <c r="FY1996" s="15" t="n">
        <v>86</v>
      </c>
      <c r="GU1996" s="15" t="n">
        <v>86</v>
      </c>
    </row>
    <row r="1997">
      <c r="C1997" s="15" t="n">
        <v>87</v>
      </c>
      <c r="AA1997" s="15" t="n">
        <v>87</v>
      </c>
      <c r="AW1997" s="15" t="n">
        <v>87</v>
      </c>
      <c r="BS1997" s="15" t="n">
        <v>87</v>
      </c>
      <c r="CO1997" s="15" t="n">
        <v>87</v>
      </c>
      <c r="DK1997" s="15" t="n">
        <v>87</v>
      </c>
      <c r="EG1997" s="15" t="n">
        <v>87</v>
      </c>
      <c r="FC1997" s="15" t="n">
        <v>87</v>
      </c>
      <c r="FY1997" s="15" t="n">
        <v>87</v>
      </c>
      <c r="GU1997" s="15" t="n">
        <v>87</v>
      </c>
    </row>
    <row r="1998">
      <c r="C1998" s="15" t="n">
        <v>88</v>
      </c>
      <c r="AA1998" s="15" t="n">
        <v>88</v>
      </c>
      <c r="AW1998" s="15" t="n">
        <v>88</v>
      </c>
      <c r="BS1998" s="15" t="n">
        <v>88</v>
      </c>
      <c r="CO1998" s="15" t="n">
        <v>88</v>
      </c>
      <c r="DK1998" s="15" t="n">
        <v>88</v>
      </c>
      <c r="EG1998" s="15" t="n">
        <v>88</v>
      </c>
      <c r="FC1998" s="15" t="n">
        <v>88</v>
      </c>
      <c r="FY1998" s="15" t="n">
        <v>88</v>
      </c>
      <c r="GU1998" s="15" t="n">
        <v>88</v>
      </c>
    </row>
    <row r="1999">
      <c r="C1999" s="15" t="n">
        <v>89</v>
      </c>
      <c r="AA1999" s="15" t="n">
        <v>89</v>
      </c>
      <c r="AW1999" s="15" t="n">
        <v>89</v>
      </c>
      <c r="BS1999" s="15" t="n">
        <v>89</v>
      </c>
      <c r="CO1999" s="15" t="n">
        <v>89</v>
      </c>
      <c r="DK1999" s="15" t="n">
        <v>89</v>
      </c>
      <c r="EG1999" s="15" t="n">
        <v>89</v>
      </c>
      <c r="FC1999" s="15" t="n">
        <v>89</v>
      </c>
      <c r="FY1999" s="15" t="n">
        <v>89</v>
      </c>
      <c r="GU1999" s="15" t="n">
        <v>89</v>
      </c>
    </row>
    <row r="2000">
      <c r="C2000" s="15" t="n">
        <v>90</v>
      </c>
      <c r="AA2000" s="15" t="n">
        <v>90</v>
      </c>
      <c r="AW2000" s="15" t="n">
        <v>90</v>
      </c>
      <c r="BS2000" s="15" t="n">
        <v>90</v>
      </c>
      <c r="CO2000" s="15" t="n">
        <v>90</v>
      </c>
      <c r="DK2000" s="15" t="n">
        <v>90</v>
      </c>
      <c r="EG2000" s="15" t="n">
        <v>90</v>
      </c>
      <c r="FC2000" s="15" t="n">
        <v>90</v>
      </c>
      <c r="FY2000" s="15" t="n">
        <v>90</v>
      </c>
      <c r="GU2000" s="15" t="n">
        <v>90</v>
      </c>
    </row>
    <row r="2001">
      <c r="C2001" s="15" t="n">
        <v>91</v>
      </c>
      <c r="AA2001" s="15" t="n">
        <v>91</v>
      </c>
      <c r="AW2001" s="15" t="n">
        <v>91</v>
      </c>
      <c r="BS2001" s="15" t="n">
        <v>91</v>
      </c>
      <c r="CO2001" s="15" t="n">
        <v>91</v>
      </c>
      <c r="DK2001" s="15" t="n">
        <v>91</v>
      </c>
      <c r="EG2001" s="15" t="n">
        <v>91</v>
      </c>
      <c r="FC2001" s="15" t="n">
        <v>91</v>
      </c>
      <c r="FY2001" s="15" t="n">
        <v>91</v>
      </c>
      <c r="GU2001" s="15" t="n">
        <v>91</v>
      </c>
    </row>
    <row r="2002">
      <c r="C2002" s="15" t="n">
        <v>92</v>
      </c>
      <c r="AA2002" s="15" t="n">
        <v>92</v>
      </c>
      <c r="AW2002" s="15" t="n">
        <v>92</v>
      </c>
      <c r="BS2002" s="15" t="n">
        <v>92</v>
      </c>
      <c r="CO2002" s="15" t="n">
        <v>92</v>
      </c>
      <c r="DK2002" s="15" t="n">
        <v>92</v>
      </c>
      <c r="EG2002" s="15" t="n">
        <v>92</v>
      </c>
      <c r="FC2002" s="15" t="n">
        <v>92</v>
      </c>
      <c r="FY2002" s="15" t="n">
        <v>92</v>
      </c>
      <c r="GU2002" s="15" t="n">
        <v>92</v>
      </c>
    </row>
    <row r="2003">
      <c r="C2003" s="15" t="n">
        <v>93</v>
      </c>
      <c r="AA2003" s="15" t="n">
        <v>93</v>
      </c>
      <c r="AW2003" s="15" t="n">
        <v>93</v>
      </c>
      <c r="BS2003" s="15" t="n">
        <v>93</v>
      </c>
      <c r="CO2003" s="15" t="n">
        <v>93</v>
      </c>
      <c r="DK2003" s="15" t="n">
        <v>93</v>
      </c>
      <c r="EG2003" s="15" t="n">
        <v>93</v>
      </c>
      <c r="FC2003" s="15" t="n">
        <v>93</v>
      </c>
      <c r="FY2003" s="15" t="n">
        <v>93</v>
      </c>
      <c r="GU2003" s="15" t="n">
        <v>93</v>
      </c>
    </row>
    <row r="2004">
      <c r="C2004" s="15" t="n">
        <v>94</v>
      </c>
      <c r="AA2004" s="15" t="n">
        <v>94</v>
      </c>
      <c r="AW2004" s="15" t="n">
        <v>94</v>
      </c>
      <c r="BS2004" s="15" t="n">
        <v>94</v>
      </c>
      <c r="CO2004" s="15" t="n">
        <v>94</v>
      </c>
      <c r="DK2004" s="15" t="n">
        <v>94</v>
      </c>
      <c r="EG2004" s="15" t="n">
        <v>94</v>
      </c>
      <c r="FC2004" s="15" t="n">
        <v>94</v>
      </c>
      <c r="FY2004" s="15" t="n">
        <v>94</v>
      </c>
      <c r="GU2004" s="15" t="n">
        <v>94</v>
      </c>
    </row>
    <row r="2005">
      <c r="C2005" s="15" t="n">
        <v>95</v>
      </c>
      <c r="AA2005" s="15" t="n">
        <v>95</v>
      </c>
      <c r="AW2005" s="15" t="n">
        <v>95</v>
      </c>
      <c r="BS2005" s="15" t="n">
        <v>95</v>
      </c>
      <c r="CO2005" s="15" t="n">
        <v>95</v>
      </c>
      <c r="DK2005" s="15" t="n">
        <v>95</v>
      </c>
      <c r="EG2005" s="15" t="n">
        <v>95</v>
      </c>
      <c r="FC2005" s="15" t="n">
        <v>95</v>
      </c>
      <c r="FY2005" s="15" t="n">
        <v>95</v>
      </c>
      <c r="GU2005" s="15" t="n">
        <v>95</v>
      </c>
    </row>
    <row r="2006">
      <c r="C2006" s="15" t="n">
        <v>96</v>
      </c>
      <c r="AA2006" s="15" t="n">
        <v>96</v>
      </c>
      <c r="AW2006" s="15" t="n">
        <v>96</v>
      </c>
      <c r="BS2006" s="15" t="n">
        <v>96</v>
      </c>
      <c r="CO2006" s="15" t="n">
        <v>96</v>
      </c>
      <c r="DK2006" s="15" t="n">
        <v>96</v>
      </c>
      <c r="EG2006" s="15" t="n">
        <v>96</v>
      </c>
      <c r="FC2006" s="15" t="n">
        <v>96</v>
      </c>
      <c r="FY2006" s="15" t="n">
        <v>96</v>
      </c>
      <c r="GU2006" s="15" t="n">
        <v>96</v>
      </c>
    </row>
    <row r="2007">
      <c r="C2007" s="15" t="n">
        <v>97</v>
      </c>
      <c r="AA2007" s="15" t="n">
        <v>97</v>
      </c>
      <c r="AW2007" s="15" t="n">
        <v>97</v>
      </c>
      <c r="BS2007" s="15" t="n">
        <v>97</v>
      </c>
      <c r="CO2007" s="15" t="n">
        <v>97</v>
      </c>
      <c r="DK2007" s="15" t="n">
        <v>97</v>
      </c>
      <c r="EG2007" s="15" t="n">
        <v>97</v>
      </c>
      <c r="FC2007" s="15" t="n">
        <v>97</v>
      </c>
      <c r="FY2007" s="15" t="n">
        <v>97</v>
      </c>
      <c r="GU2007" s="15" t="n">
        <v>97</v>
      </c>
    </row>
    <row r="2008">
      <c r="C2008" s="15" t="n">
        <v>98</v>
      </c>
      <c r="AA2008" s="15" t="n">
        <v>98</v>
      </c>
      <c r="AW2008" s="15" t="n">
        <v>98</v>
      </c>
      <c r="BS2008" s="15" t="n">
        <v>98</v>
      </c>
      <c r="CO2008" s="15" t="n">
        <v>98</v>
      </c>
      <c r="DK2008" s="15" t="n">
        <v>98</v>
      </c>
      <c r="EG2008" s="15" t="n">
        <v>98</v>
      </c>
      <c r="FC2008" s="15" t="n">
        <v>98</v>
      </c>
      <c r="FY2008" s="15" t="n">
        <v>98</v>
      </c>
      <c r="GU2008" s="15" t="n">
        <v>98</v>
      </c>
    </row>
    <row r="2009">
      <c r="C2009" s="15" t="n">
        <v>99</v>
      </c>
      <c r="AA2009" s="15" t="n">
        <v>99</v>
      </c>
      <c r="AW2009" s="15" t="n">
        <v>99</v>
      </c>
      <c r="BS2009" s="15" t="n">
        <v>99</v>
      </c>
      <c r="CO2009" s="15" t="n">
        <v>99</v>
      </c>
      <c r="DK2009" s="15" t="n">
        <v>99</v>
      </c>
      <c r="EG2009" s="15" t="n">
        <v>99</v>
      </c>
      <c r="FC2009" s="15" t="n">
        <v>99</v>
      </c>
      <c r="FY2009" s="15" t="n">
        <v>99</v>
      </c>
      <c r="GU2009" s="15" t="n">
        <v>99</v>
      </c>
    </row>
    <row r="2010">
      <c r="C2010" s="15" t="n">
        <v>100</v>
      </c>
      <c r="AA2010" s="15" t="n">
        <v>100</v>
      </c>
      <c r="AW2010" s="15" t="n">
        <v>100</v>
      </c>
      <c r="BS2010" s="15" t="n">
        <v>100</v>
      </c>
      <c r="CO2010" s="15" t="n">
        <v>100</v>
      </c>
      <c r="DK2010" s="15" t="n">
        <v>100</v>
      </c>
      <c r="EG2010" s="15" t="n">
        <v>100</v>
      </c>
      <c r="FC2010" s="15" t="n">
        <v>100</v>
      </c>
      <c r="FY2010" s="15" t="n">
        <v>100</v>
      </c>
      <c r="GU2010" s="15" t="n">
        <v>100</v>
      </c>
    </row>
    <row r="2011">
      <c r="C2011" s="15" t="n">
        <v>101</v>
      </c>
      <c r="AA2011" s="15" t="n">
        <v>101</v>
      </c>
      <c r="AW2011" s="15" t="n">
        <v>101</v>
      </c>
      <c r="BS2011" s="15" t="n">
        <v>101</v>
      </c>
      <c r="CO2011" s="15" t="n">
        <v>101</v>
      </c>
      <c r="DK2011" s="15" t="n">
        <v>101</v>
      </c>
      <c r="EG2011" s="15" t="n">
        <v>101</v>
      </c>
      <c r="FC2011" s="15" t="n">
        <v>101</v>
      </c>
      <c r="FY2011" s="15" t="n">
        <v>101</v>
      </c>
      <c r="GU2011" s="15" t="n">
        <v>101</v>
      </c>
    </row>
    <row r="2012">
      <c r="C2012" s="15" t="n">
        <v>102</v>
      </c>
      <c r="AA2012" s="15" t="n">
        <v>102</v>
      </c>
      <c r="AW2012" s="15" t="n">
        <v>102</v>
      </c>
      <c r="BS2012" s="15" t="n">
        <v>102</v>
      </c>
      <c r="CO2012" s="15" t="n">
        <v>102</v>
      </c>
      <c r="DK2012" s="15" t="n">
        <v>102</v>
      </c>
      <c r="EG2012" s="15" t="n">
        <v>102</v>
      </c>
      <c r="FC2012" s="15" t="n">
        <v>102</v>
      </c>
      <c r="FY2012" s="15" t="n">
        <v>102</v>
      </c>
      <c r="GU2012" s="15" t="n">
        <v>102</v>
      </c>
    </row>
    <row r="2013">
      <c r="C2013" s="15" t="n">
        <v>103</v>
      </c>
      <c r="AA2013" s="15" t="n">
        <v>103</v>
      </c>
      <c r="AW2013" s="15" t="n">
        <v>103</v>
      </c>
      <c r="BS2013" s="15" t="n">
        <v>103</v>
      </c>
      <c r="CO2013" s="15" t="n">
        <v>103</v>
      </c>
      <c r="DK2013" s="15" t="n">
        <v>103</v>
      </c>
      <c r="EG2013" s="15" t="n">
        <v>103</v>
      </c>
      <c r="FC2013" s="15" t="n">
        <v>103</v>
      </c>
      <c r="FY2013" s="15" t="n">
        <v>103</v>
      </c>
      <c r="GU2013" s="15" t="n">
        <v>103</v>
      </c>
    </row>
    <row r="2014">
      <c r="C2014" s="15" t="n">
        <v>104</v>
      </c>
      <c r="AA2014" s="15" t="n">
        <v>104</v>
      </c>
      <c r="AW2014" s="15" t="n">
        <v>104</v>
      </c>
      <c r="BS2014" s="15" t="n">
        <v>104</v>
      </c>
      <c r="CO2014" s="15" t="n">
        <v>104</v>
      </c>
      <c r="DK2014" s="15" t="n">
        <v>104</v>
      </c>
      <c r="EG2014" s="15" t="n">
        <v>104</v>
      </c>
      <c r="FC2014" s="15" t="n">
        <v>104</v>
      </c>
      <c r="FY2014" s="15" t="n">
        <v>104</v>
      </c>
      <c r="GU2014" s="15" t="n">
        <v>104</v>
      </c>
    </row>
    <row r="2015">
      <c r="C2015" s="15" t="n">
        <v>105</v>
      </c>
      <c r="AA2015" s="15" t="n">
        <v>105</v>
      </c>
      <c r="AW2015" s="15" t="n">
        <v>105</v>
      </c>
      <c r="BS2015" s="15" t="n">
        <v>105</v>
      </c>
      <c r="CO2015" s="15" t="n">
        <v>105</v>
      </c>
      <c r="DK2015" s="15" t="n">
        <v>105</v>
      </c>
      <c r="EG2015" s="15" t="n">
        <v>105</v>
      </c>
      <c r="FC2015" s="15" t="n">
        <v>105</v>
      </c>
      <c r="FY2015" s="15" t="n">
        <v>105</v>
      </c>
      <c r="GU2015" s="15" t="n">
        <v>105</v>
      </c>
    </row>
    <row r="2016">
      <c r="C2016" s="15" t="n">
        <v>106</v>
      </c>
      <c r="AA2016" s="15" t="n">
        <v>106</v>
      </c>
      <c r="AW2016" s="15" t="n">
        <v>106</v>
      </c>
      <c r="BS2016" s="15" t="n">
        <v>106</v>
      </c>
      <c r="CO2016" s="15" t="n">
        <v>106</v>
      </c>
      <c r="DK2016" s="15" t="n">
        <v>106</v>
      </c>
      <c r="EG2016" s="15" t="n">
        <v>106</v>
      </c>
      <c r="FC2016" s="15" t="n">
        <v>106</v>
      </c>
      <c r="FY2016" s="15" t="n">
        <v>106</v>
      </c>
      <c r="GU2016" s="15" t="n">
        <v>106</v>
      </c>
    </row>
    <row r="2017">
      <c r="C2017" s="15" t="n">
        <v>107</v>
      </c>
      <c r="AA2017" s="15" t="n">
        <v>107</v>
      </c>
      <c r="AW2017" s="15" t="n">
        <v>107</v>
      </c>
      <c r="BS2017" s="15" t="n">
        <v>107</v>
      </c>
      <c r="CO2017" s="15" t="n">
        <v>107</v>
      </c>
      <c r="DK2017" s="15" t="n">
        <v>107</v>
      </c>
      <c r="EG2017" s="15" t="n">
        <v>107</v>
      </c>
      <c r="FC2017" s="15" t="n">
        <v>107</v>
      </c>
      <c r="FY2017" s="15" t="n">
        <v>107</v>
      </c>
      <c r="GU2017" s="15" t="n">
        <v>107</v>
      </c>
    </row>
    <row r="2018">
      <c r="C2018" s="15" t="n">
        <v>108</v>
      </c>
      <c r="AA2018" s="15" t="n">
        <v>108</v>
      </c>
      <c r="AW2018" s="15" t="n">
        <v>108</v>
      </c>
      <c r="BS2018" s="15" t="n">
        <v>108</v>
      </c>
      <c r="CO2018" s="15" t="n">
        <v>108</v>
      </c>
      <c r="DK2018" s="15" t="n">
        <v>108</v>
      </c>
      <c r="EG2018" s="15" t="n">
        <v>108</v>
      </c>
      <c r="FC2018" s="15" t="n">
        <v>108</v>
      </c>
      <c r="FY2018" s="15" t="n">
        <v>108</v>
      </c>
      <c r="GU2018" s="15" t="n">
        <v>108</v>
      </c>
    </row>
    <row r="2019">
      <c r="C2019" s="15" t="n">
        <v>109</v>
      </c>
      <c r="AA2019" s="15" t="n">
        <v>109</v>
      </c>
      <c r="AW2019" s="15" t="n">
        <v>109</v>
      </c>
      <c r="BS2019" s="15" t="n">
        <v>109</v>
      </c>
      <c r="CO2019" s="15" t="n">
        <v>109</v>
      </c>
      <c r="DK2019" s="15" t="n">
        <v>109</v>
      </c>
      <c r="EG2019" s="15" t="n">
        <v>109</v>
      </c>
      <c r="FC2019" s="15" t="n">
        <v>109</v>
      </c>
      <c r="FY2019" s="15" t="n">
        <v>109</v>
      </c>
      <c r="GU2019" s="15" t="n">
        <v>109</v>
      </c>
    </row>
    <row r="2020">
      <c r="C2020" s="15" t="n">
        <v>110</v>
      </c>
      <c r="AA2020" s="15" t="n">
        <v>110</v>
      </c>
      <c r="AW2020" s="15" t="n">
        <v>110</v>
      </c>
      <c r="BS2020" s="15" t="n">
        <v>110</v>
      </c>
      <c r="CO2020" s="15" t="n">
        <v>110</v>
      </c>
      <c r="DK2020" s="15" t="n">
        <v>110</v>
      </c>
      <c r="EG2020" s="15" t="n">
        <v>110</v>
      </c>
      <c r="FC2020" s="15" t="n">
        <v>110</v>
      </c>
      <c r="FY2020" s="15" t="n">
        <v>110</v>
      </c>
      <c r="GU2020" s="15" t="n">
        <v>110</v>
      </c>
    </row>
    <row r="2021">
      <c r="C2021" s="15" t="n">
        <v>111</v>
      </c>
      <c r="AA2021" s="15" t="n">
        <v>111</v>
      </c>
      <c r="AW2021" s="15" t="n">
        <v>111</v>
      </c>
      <c r="BS2021" s="15" t="n">
        <v>111</v>
      </c>
      <c r="CO2021" s="15" t="n">
        <v>111</v>
      </c>
      <c r="DK2021" s="15" t="n">
        <v>111</v>
      </c>
      <c r="EG2021" s="15" t="n">
        <v>111</v>
      </c>
      <c r="FC2021" s="15" t="n">
        <v>111</v>
      </c>
      <c r="FY2021" s="15" t="n">
        <v>111</v>
      </c>
      <c r="GU2021" s="15" t="n">
        <v>111</v>
      </c>
    </row>
    <row r="2022">
      <c r="C2022" s="15" t="n">
        <v>112</v>
      </c>
      <c r="AA2022" s="15" t="n">
        <v>112</v>
      </c>
      <c r="AW2022" s="15" t="n">
        <v>112</v>
      </c>
      <c r="BS2022" s="15" t="n">
        <v>112</v>
      </c>
      <c r="CO2022" s="15" t="n">
        <v>112</v>
      </c>
      <c r="DK2022" s="15" t="n">
        <v>112</v>
      </c>
      <c r="EG2022" s="15" t="n">
        <v>112</v>
      </c>
      <c r="FC2022" s="15" t="n">
        <v>112</v>
      </c>
      <c r="FY2022" s="15" t="n">
        <v>112</v>
      </c>
      <c r="GU2022" s="15" t="n">
        <v>112</v>
      </c>
    </row>
    <row r="2023">
      <c r="C2023" s="15" t="n">
        <v>113</v>
      </c>
      <c r="AA2023" s="15" t="n">
        <v>113</v>
      </c>
      <c r="AW2023" s="15" t="n">
        <v>113</v>
      </c>
      <c r="BS2023" s="15" t="n">
        <v>113</v>
      </c>
      <c r="CO2023" s="15" t="n">
        <v>113</v>
      </c>
      <c r="DK2023" s="15" t="n">
        <v>113</v>
      </c>
      <c r="EG2023" s="15" t="n">
        <v>113</v>
      </c>
      <c r="FC2023" s="15" t="n">
        <v>113</v>
      </c>
      <c r="FY2023" s="15" t="n">
        <v>113</v>
      </c>
      <c r="GU2023" s="15" t="n">
        <v>113</v>
      </c>
    </row>
    <row r="2024">
      <c r="C2024" s="15" t="n">
        <v>114</v>
      </c>
      <c r="AA2024" s="15" t="n">
        <v>114</v>
      </c>
      <c r="AW2024" s="15" t="n">
        <v>114</v>
      </c>
      <c r="BS2024" s="15" t="n">
        <v>114</v>
      </c>
      <c r="CO2024" s="15" t="n">
        <v>114</v>
      </c>
      <c r="DK2024" s="15" t="n">
        <v>114</v>
      </c>
      <c r="EG2024" s="15" t="n">
        <v>114</v>
      </c>
      <c r="FC2024" s="15" t="n">
        <v>114</v>
      </c>
      <c r="FY2024" s="15" t="n">
        <v>114</v>
      </c>
      <c r="GU2024" s="15" t="n">
        <v>114</v>
      </c>
    </row>
    <row r="2025">
      <c r="C2025" s="15" t="n">
        <v>115</v>
      </c>
      <c r="AA2025" s="15" t="n">
        <v>115</v>
      </c>
      <c r="AW2025" s="15" t="n">
        <v>115</v>
      </c>
      <c r="BS2025" s="15" t="n">
        <v>115</v>
      </c>
      <c r="CO2025" s="15" t="n">
        <v>115</v>
      </c>
      <c r="DK2025" s="15" t="n">
        <v>115</v>
      </c>
      <c r="EG2025" s="15" t="n">
        <v>115</v>
      </c>
      <c r="FC2025" s="15" t="n">
        <v>115</v>
      </c>
      <c r="FY2025" s="15" t="n">
        <v>115</v>
      </c>
      <c r="GU2025" s="15" t="n">
        <v>115</v>
      </c>
    </row>
    <row r="2026">
      <c r="C2026" s="15" t="n">
        <v>116</v>
      </c>
      <c r="AA2026" s="15" t="n">
        <v>116</v>
      </c>
      <c r="AW2026" s="15" t="n">
        <v>116</v>
      </c>
      <c r="BS2026" s="15" t="n">
        <v>116</v>
      </c>
      <c r="CO2026" s="15" t="n">
        <v>116</v>
      </c>
      <c r="DK2026" s="15" t="n">
        <v>116</v>
      </c>
      <c r="EG2026" s="15" t="n">
        <v>116</v>
      </c>
      <c r="FC2026" s="15" t="n">
        <v>116</v>
      </c>
      <c r="FY2026" s="15" t="n">
        <v>116</v>
      </c>
      <c r="GU2026" s="15" t="n">
        <v>116</v>
      </c>
    </row>
    <row r="2027">
      <c r="C2027" s="15" t="n">
        <v>117</v>
      </c>
      <c r="AA2027" s="15" t="n">
        <v>117</v>
      </c>
      <c r="AW2027" s="15" t="n">
        <v>117</v>
      </c>
      <c r="BS2027" s="15" t="n">
        <v>117</v>
      </c>
      <c r="CO2027" s="15" t="n">
        <v>117</v>
      </c>
      <c r="DK2027" s="15" t="n">
        <v>117</v>
      </c>
      <c r="EG2027" s="15" t="n">
        <v>117</v>
      </c>
      <c r="FC2027" s="15" t="n">
        <v>117</v>
      </c>
      <c r="FY2027" s="15" t="n">
        <v>117</v>
      </c>
      <c r="GU2027" s="15" t="n">
        <v>117</v>
      </c>
    </row>
    <row r="2028">
      <c r="C2028" s="15" t="n">
        <v>118</v>
      </c>
      <c r="AA2028" s="15" t="n">
        <v>118</v>
      </c>
      <c r="AW2028" s="15" t="n">
        <v>118</v>
      </c>
      <c r="BS2028" s="15" t="n">
        <v>118</v>
      </c>
      <c r="CO2028" s="15" t="n">
        <v>118</v>
      </c>
      <c r="DK2028" s="15" t="n">
        <v>118</v>
      </c>
      <c r="EG2028" s="15" t="n">
        <v>118</v>
      </c>
      <c r="FC2028" s="15" t="n">
        <v>118</v>
      </c>
      <c r="FY2028" s="15" t="n">
        <v>118</v>
      </c>
      <c r="GU2028" s="15" t="n">
        <v>118</v>
      </c>
    </row>
    <row r="2029">
      <c r="C2029" s="15" t="n">
        <v>119</v>
      </c>
      <c r="AA2029" s="15" t="n">
        <v>119</v>
      </c>
      <c r="AW2029" s="15" t="n">
        <v>119</v>
      </c>
      <c r="BS2029" s="15" t="n">
        <v>119</v>
      </c>
      <c r="CO2029" s="15" t="n">
        <v>119</v>
      </c>
      <c r="DK2029" s="15" t="n">
        <v>119</v>
      </c>
      <c r="EG2029" s="15" t="n">
        <v>119</v>
      </c>
      <c r="FC2029" s="15" t="n">
        <v>119</v>
      </c>
      <c r="FY2029" s="15" t="n">
        <v>119</v>
      </c>
      <c r="GU2029" s="15" t="n">
        <v>119</v>
      </c>
    </row>
    <row r="2030">
      <c r="C2030" s="15" t="n">
        <v>120</v>
      </c>
      <c r="AA2030" s="15" t="n">
        <v>120</v>
      </c>
      <c r="AW2030" s="15" t="n">
        <v>120</v>
      </c>
      <c r="BS2030" s="15" t="n">
        <v>120</v>
      </c>
      <c r="CO2030" s="15" t="n">
        <v>120</v>
      </c>
      <c r="DK2030" s="15" t="n">
        <v>120</v>
      </c>
      <c r="EG2030" s="15" t="n">
        <v>120</v>
      </c>
      <c r="FC2030" s="15" t="n">
        <v>120</v>
      </c>
      <c r="FY2030" s="15" t="n">
        <v>120</v>
      </c>
      <c r="GU2030" s="15" t="n">
        <v>120</v>
      </c>
    </row>
    <row r="2031">
      <c r="C2031" s="15" t="n">
        <v>121</v>
      </c>
      <c r="AA2031" s="15" t="n">
        <v>121</v>
      </c>
      <c r="AW2031" s="15" t="n">
        <v>121</v>
      </c>
      <c r="BS2031" s="15" t="n">
        <v>121</v>
      </c>
      <c r="CO2031" s="15" t="n">
        <v>121</v>
      </c>
      <c r="DK2031" s="15" t="n">
        <v>121</v>
      </c>
      <c r="EG2031" s="15" t="n">
        <v>121</v>
      </c>
      <c r="FC2031" s="15" t="n">
        <v>121</v>
      </c>
      <c r="FY2031" s="15" t="n">
        <v>121</v>
      </c>
      <c r="GU2031" s="15" t="n">
        <v>121</v>
      </c>
    </row>
    <row r="2032">
      <c r="C2032" s="15" t="n">
        <v>122</v>
      </c>
      <c r="AA2032" s="15" t="n">
        <v>122</v>
      </c>
      <c r="AW2032" s="15" t="n">
        <v>122</v>
      </c>
      <c r="BS2032" s="15" t="n">
        <v>122</v>
      </c>
      <c r="CO2032" s="15" t="n">
        <v>122</v>
      </c>
      <c r="DK2032" s="15" t="n">
        <v>122</v>
      </c>
      <c r="EG2032" s="15" t="n">
        <v>122</v>
      </c>
      <c r="FC2032" s="15" t="n">
        <v>122</v>
      </c>
      <c r="FY2032" s="15" t="n">
        <v>122</v>
      </c>
      <c r="GU2032" s="15" t="n">
        <v>122</v>
      </c>
    </row>
    <row r="2033">
      <c r="C2033" s="15" t="n">
        <v>123</v>
      </c>
      <c r="AA2033" s="15" t="n">
        <v>123</v>
      </c>
      <c r="AW2033" s="15" t="n">
        <v>123</v>
      </c>
      <c r="BS2033" s="15" t="n">
        <v>123</v>
      </c>
      <c r="CO2033" s="15" t="n">
        <v>123</v>
      </c>
      <c r="DK2033" s="15" t="n">
        <v>123</v>
      </c>
      <c r="EG2033" s="15" t="n">
        <v>123</v>
      </c>
      <c r="FC2033" s="15" t="n">
        <v>123</v>
      </c>
      <c r="FY2033" s="15" t="n">
        <v>123</v>
      </c>
      <c r="GU2033" s="15" t="n">
        <v>123</v>
      </c>
    </row>
    <row r="2034">
      <c r="C2034" s="15" t="n">
        <v>124</v>
      </c>
      <c r="AA2034" s="15" t="n">
        <v>124</v>
      </c>
      <c r="AW2034" s="15" t="n">
        <v>124</v>
      </c>
      <c r="BS2034" s="15" t="n">
        <v>124</v>
      </c>
      <c r="CO2034" s="15" t="n">
        <v>124</v>
      </c>
      <c r="DK2034" s="15" t="n">
        <v>124</v>
      </c>
      <c r="EG2034" s="15" t="n">
        <v>124</v>
      </c>
      <c r="FC2034" s="15" t="n">
        <v>124</v>
      </c>
      <c r="FY2034" s="15" t="n">
        <v>124</v>
      </c>
      <c r="GU2034" s="15" t="n">
        <v>124</v>
      </c>
    </row>
    <row r="2035">
      <c r="C2035" s="15" t="n">
        <v>125</v>
      </c>
      <c r="AA2035" s="15" t="n">
        <v>125</v>
      </c>
      <c r="AW2035" s="15" t="n">
        <v>125</v>
      </c>
      <c r="BS2035" s="15" t="n">
        <v>125</v>
      </c>
      <c r="CO2035" s="15" t="n">
        <v>125</v>
      </c>
      <c r="DK2035" s="15" t="n">
        <v>125</v>
      </c>
      <c r="EG2035" s="15" t="n">
        <v>125</v>
      </c>
      <c r="FC2035" s="15" t="n">
        <v>125</v>
      </c>
      <c r="FY2035" s="15" t="n">
        <v>125</v>
      </c>
      <c r="GU2035" s="15" t="n">
        <v>125</v>
      </c>
    </row>
    <row r="2036">
      <c r="C2036" s="15" t="n">
        <v>126</v>
      </c>
      <c r="AA2036" s="15" t="n">
        <v>126</v>
      </c>
      <c r="AW2036" s="15" t="n">
        <v>126</v>
      </c>
      <c r="BS2036" s="15" t="n">
        <v>126</v>
      </c>
      <c r="CO2036" s="15" t="n">
        <v>126</v>
      </c>
      <c r="DK2036" s="15" t="n">
        <v>126</v>
      </c>
      <c r="EG2036" s="15" t="n">
        <v>126</v>
      </c>
      <c r="FC2036" s="15" t="n">
        <v>126</v>
      </c>
      <c r="FY2036" s="15" t="n">
        <v>126</v>
      </c>
      <c r="GU2036" s="15" t="n">
        <v>126</v>
      </c>
    </row>
    <row r="2037">
      <c r="C2037" s="15" t="n">
        <v>127</v>
      </c>
      <c r="AA2037" s="15" t="n">
        <v>127</v>
      </c>
      <c r="AW2037" s="15" t="n">
        <v>127</v>
      </c>
      <c r="BS2037" s="15" t="n">
        <v>127</v>
      </c>
      <c r="CO2037" s="15" t="n">
        <v>127</v>
      </c>
      <c r="DK2037" s="15" t="n">
        <v>127</v>
      </c>
      <c r="EG2037" s="15" t="n">
        <v>127</v>
      </c>
      <c r="FC2037" s="15" t="n">
        <v>127</v>
      </c>
      <c r="FY2037" s="15" t="n">
        <v>127</v>
      </c>
      <c r="GU2037" s="15" t="n">
        <v>127</v>
      </c>
    </row>
    <row r="2038">
      <c r="C2038" s="15" t="n">
        <v>128</v>
      </c>
      <c r="AA2038" s="15" t="n">
        <v>128</v>
      </c>
      <c r="AW2038" s="15" t="n">
        <v>128</v>
      </c>
      <c r="BS2038" s="15" t="n">
        <v>128</v>
      </c>
      <c r="CO2038" s="15" t="n">
        <v>128</v>
      </c>
      <c r="DK2038" s="15" t="n">
        <v>128</v>
      </c>
      <c r="EG2038" s="15" t="n">
        <v>128</v>
      </c>
      <c r="FC2038" s="15" t="n">
        <v>128</v>
      </c>
      <c r="FY2038" s="15" t="n">
        <v>128</v>
      </c>
      <c r="GU2038" s="15" t="n">
        <v>128</v>
      </c>
    </row>
    <row r="2039">
      <c r="C2039" s="15" t="n">
        <v>129</v>
      </c>
      <c r="AA2039" s="15" t="n">
        <v>129</v>
      </c>
      <c r="AW2039" s="15" t="n">
        <v>129</v>
      </c>
      <c r="BS2039" s="15" t="n">
        <v>129</v>
      </c>
      <c r="CO2039" s="15" t="n">
        <v>129</v>
      </c>
      <c r="DK2039" s="15" t="n">
        <v>129</v>
      </c>
      <c r="EG2039" s="15" t="n">
        <v>129</v>
      </c>
      <c r="FC2039" s="15" t="n">
        <v>129</v>
      </c>
      <c r="FY2039" s="15" t="n">
        <v>129</v>
      </c>
      <c r="GU2039" s="15" t="n">
        <v>129</v>
      </c>
    </row>
    <row r="2040">
      <c r="C2040" s="15" t="n">
        <v>130</v>
      </c>
      <c r="AA2040" s="15" t="n">
        <v>130</v>
      </c>
      <c r="AW2040" s="15" t="n">
        <v>130</v>
      </c>
      <c r="BS2040" s="15" t="n">
        <v>130</v>
      </c>
      <c r="CO2040" s="15" t="n">
        <v>130</v>
      </c>
      <c r="DK2040" s="15" t="n">
        <v>130</v>
      </c>
      <c r="EG2040" s="15" t="n">
        <v>130</v>
      </c>
      <c r="FC2040" s="15" t="n">
        <v>130</v>
      </c>
      <c r="FY2040" s="15" t="n">
        <v>130</v>
      </c>
      <c r="GU2040" s="15" t="n">
        <v>130</v>
      </c>
    </row>
    <row r="2041">
      <c r="C2041" s="15" t="n">
        <v>131</v>
      </c>
      <c r="AA2041" s="15" t="n">
        <v>131</v>
      </c>
      <c r="AW2041" s="15" t="n">
        <v>131</v>
      </c>
      <c r="BS2041" s="15" t="n">
        <v>131</v>
      </c>
      <c r="CO2041" s="15" t="n">
        <v>131</v>
      </c>
      <c r="DK2041" s="15" t="n">
        <v>131</v>
      </c>
      <c r="EG2041" s="15" t="n">
        <v>131</v>
      </c>
      <c r="FC2041" s="15" t="n">
        <v>131</v>
      </c>
      <c r="FY2041" s="15" t="n">
        <v>131</v>
      </c>
      <c r="GU2041" s="15" t="n">
        <v>131</v>
      </c>
    </row>
    <row r="2042">
      <c r="C2042" s="15" t="n">
        <v>132</v>
      </c>
      <c r="AA2042" s="15" t="n">
        <v>132</v>
      </c>
      <c r="AW2042" s="15" t="n">
        <v>132</v>
      </c>
      <c r="BS2042" s="15" t="n">
        <v>132</v>
      </c>
      <c r="CO2042" s="15" t="n">
        <v>132</v>
      </c>
      <c r="DK2042" s="15" t="n">
        <v>132</v>
      </c>
      <c r="EG2042" s="15" t="n">
        <v>132</v>
      </c>
      <c r="FC2042" s="15" t="n">
        <v>132</v>
      </c>
      <c r="FY2042" s="15" t="n">
        <v>132</v>
      </c>
      <c r="GU2042" s="15" t="n">
        <v>132</v>
      </c>
    </row>
    <row r="2043">
      <c r="C2043" s="15" t="n">
        <v>133</v>
      </c>
      <c r="AA2043" s="15" t="n">
        <v>133</v>
      </c>
      <c r="AW2043" s="15" t="n">
        <v>133</v>
      </c>
      <c r="BS2043" s="15" t="n">
        <v>133</v>
      </c>
      <c r="CO2043" s="15" t="n">
        <v>133</v>
      </c>
      <c r="DK2043" s="15" t="n">
        <v>133</v>
      </c>
      <c r="EG2043" s="15" t="n">
        <v>133</v>
      </c>
      <c r="FC2043" s="15" t="n">
        <v>133</v>
      </c>
      <c r="FY2043" s="15" t="n">
        <v>133</v>
      </c>
      <c r="GU2043" s="15" t="n">
        <v>133</v>
      </c>
    </row>
    <row r="2044">
      <c r="C2044" s="15" t="n">
        <v>134</v>
      </c>
      <c r="AA2044" s="15" t="n">
        <v>134</v>
      </c>
      <c r="AW2044" s="15" t="n">
        <v>134</v>
      </c>
      <c r="BS2044" s="15" t="n">
        <v>134</v>
      </c>
      <c r="CO2044" s="15" t="n">
        <v>134</v>
      </c>
      <c r="DK2044" s="15" t="n">
        <v>134</v>
      </c>
      <c r="EG2044" s="15" t="n">
        <v>134</v>
      </c>
      <c r="FC2044" s="15" t="n">
        <v>134</v>
      </c>
      <c r="FY2044" s="15" t="n">
        <v>134</v>
      </c>
      <c r="GU2044" s="15" t="n">
        <v>134</v>
      </c>
    </row>
    <row r="2045">
      <c r="C2045" s="15" t="n">
        <v>135</v>
      </c>
      <c r="AA2045" s="15" t="n">
        <v>135</v>
      </c>
      <c r="AW2045" s="15" t="n">
        <v>135</v>
      </c>
      <c r="BS2045" s="15" t="n">
        <v>135</v>
      </c>
      <c r="CO2045" s="15" t="n">
        <v>135</v>
      </c>
      <c r="DK2045" s="15" t="n">
        <v>135</v>
      </c>
      <c r="EG2045" s="15" t="n">
        <v>135</v>
      </c>
      <c r="FC2045" s="15" t="n">
        <v>135</v>
      </c>
      <c r="FY2045" s="15" t="n">
        <v>135</v>
      </c>
      <c r="GU2045" s="15" t="n">
        <v>135</v>
      </c>
    </row>
    <row r="2046">
      <c r="C2046" s="15" t="n">
        <v>136</v>
      </c>
      <c r="AA2046" s="15" t="n">
        <v>136</v>
      </c>
      <c r="AW2046" s="15" t="n">
        <v>136</v>
      </c>
      <c r="BS2046" s="15" t="n">
        <v>136</v>
      </c>
      <c r="CO2046" s="15" t="n">
        <v>136</v>
      </c>
      <c r="DK2046" s="15" t="n">
        <v>136</v>
      </c>
      <c r="EG2046" s="15" t="n">
        <v>136</v>
      </c>
      <c r="FC2046" s="15" t="n">
        <v>136</v>
      </c>
      <c r="FY2046" s="15" t="n">
        <v>136</v>
      </c>
      <c r="GU2046" s="15" t="n">
        <v>136</v>
      </c>
    </row>
    <row r="2047">
      <c r="C2047" s="15" t="n">
        <v>137</v>
      </c>
      <c r="AA2047" s="15" t="n">
        <v>137</v>
      </c>
      <c r="AW2047" s="15" t="n">
        <v>137</v>
      </c>
      <c r="BS2047" s="15" t="n">
        <v>137</v>
      </c>
      <c r="CO2047" s="15" t="n">
        <v>137</v>
      </c>
      <c r="DK2047" s="15" t="n">
        <v>137</v>
      </c>
      <c r="EG2047" s="15" t="n">
        <v>137</v>
      </c>
      <c r="FC2047" s="15" t="n">
        <v>137</v>
      </c>
      <c r="FY2047" s="15" t="n">
        <v>137</v>
      </c>
      <c r="GU2047" s="15" t="n">
        <v>137</v>
      </c>
    </row>
    <row r="2048">
      <c r="C2048" s="15" t="n">
        <v>138</v>
      </c>
      <c r="AA2048" s="15" t="n">
        <v>138</v>
      </c>
      <c r="AW2048" s="15" t="n">
        <v>138</v>
      </c>
      <c r="BS2048" s="15" t="n">
        <v>138</v>
      </c>
      <c r="CO2048" s="15" t="n">
        <v>138</v>
      </c>
      <c r="DK2048" s="15" t="n">
        <v>138</v>
      </c>
      <c r="EG2048" s="15" t="n">
        <v>138</v>
      </c>
      <c r="FC2048" s="15" t="n">
        <v>138</v>
      </c>
      <c r="FY2048" s="15" t="n">
        <v>138</v>
      </c>
      <c r="GU2048" s="15" t="n">
        <v>138</v>
      </c>
    </row>
    <row r="2049">
      <c r="C2049" s="15" t="n">
        <v>139</v>
      </c>
      <c r="AA2049" s="15" t="n">
        <v>139</v>
      </c>
      <c r="AW2049" s="15" t="n">
        <v>139</v>
      </c>
      <c r="BS2049" s="15" t="n">
        <v>139</v>
      </c>
      <c r="CO2049" s="15" t="n">
        <v>139</v>
      </c>
      <c r="DK2049" s="15" t="n">
        <v>139</v>
      </c>
      <c r="EG2049" s="15" t="n">
        <v>139</v>
      </c>
      <c r="FC2049" s="15" t="n">
        <v>139</v>
      </c>
      <c r="FY2049" s="15" t="n">
        <v>139</v>
      </c>
      <c r="GU2049" s="15" t="n">
        <v>139</v>
      </c>
    </row>
    <row r="2050">
      <c r="C2050" s="15" t="n">
        <v>140</v>
      </c>
      <c r="AA2050" s="15" t="n">
        <v>140</v>
      </c>
      <c r="AW2050" s="15" t="n">
        <v>140</v>
      </c>
      <c r="BS2050" s="15" t="n">
        <v>140</v>
      </c>
      <c r="CO2050" s="15" t="n">
        <v>140</v>
      </c>
      <c r="DK2050" s="15" t="n">
        <v>140</v>
      </c>
      <c r="EG2050" s="15" t="n">
        <v>140</v>
      </c>
      <c r="FC2050" s="15" t="n">
        <v>140</v>
      </c>
      <c r="FY2050" s="15" t="n">
        <v>140</v>
      </c>
      <c r="GU2050" s="15" t="n">
        <v>140</v>
      </c>
    </row>
    <row r="2051">
      <c r="C2051" s="15" t="n">
        <v>141</v>
      </c>
      <c r="AA2051" s="15" t="n">
        <v>141</v>
      </c>
      <c r="AW2051" s="15" t="n">
        <v>141</v>
      </c>
      <c r="BS2051" s="15" t="n">
        <v>141</v>
      </c>
      <c r="CO2051" s="15" t="n">
        <v>141</v>
      </c>
      <c r="DK2051" s="15" t="n">
        <v>141</v>
      </c>
      <c r="EG2051" s="15" t="n">
        <v>141</v>
      </c>
      <c r="FC2051" s="15" t="n">
        <v>141</v>
      </c>
      <c r="FY2051" s="15" t="n">
        <v>141</v>
      </c>
      <c r="GU2051" s="15" t="n">
        <v>141</v>
      </c>
    </row>
    <row r="2052">
      <c r="C2052" s="15" t="n">
        <v>142</v>
      </c>
      <c r="AA2052" s="15" t="n">
        <v>142</v>
      </c>
      <c r="AW2052" s="15" t="n">
        <v>142</v>
      </c>
      <c r="BS2052" s="15" t="n">
        <v>142</v>
      </c>
      <c r="CO2052" s="15" t="n">
        <v>142</v>
      </c>
      <c r="DK2052" s="15" t="n">
        <v>142</v>
      </c>
      <c r="EG2052" s="15" t="n">
        <v>142</v>
      </c>
      <c r="FC2052" s="15" t="n">
        <v>142</v>
      </c>
      <c r="FY2052" s="15" t="n">
        <v>142</v>
      </c>
      <c r="GU2052" s="15" t="n">
        <v>142</v>
      </c>
    </row>
    <row r="2053">
      <c r="C2053" s="15" t="n">
        <v>143</v>
      </c>
      <c r="AA2053" s="15" t="n">
        <v>143</v>
      </c>
      <c r="AW2053" s="15" t="n">
        <v>143</v>
      </c>
      <c r="BS2053" s="15" t="n">
        <v>143</v>
      </c>
      <c r="CO2053" s="15" t="n">
        <v>143</v>
      </c>
      <c r="DK2053" s="15" t="n">
        <v>143</v>
      </c>
      <c r="EG2053" s="15" t="n">
        <v>143</v>
      </c>
      <c r="FC2053" s="15" t="n">
        <v>143</v>
      </c>
      <c r="FY2053" s="15" t="n">
        <v>143</v>
      </c>
      <c r="GU2053" s="15" t="n">
        <v>143</v>
      </c>
    </row>
    <row r="2054">
      <c r="C2054" s="15" t="n">
        <v>144</v>
      </c>
      <c r="AA2054" s="15" t="n">
        <v>144</v>
      </c>
      <c r="AW2054" s="15" t="n">
        <v>144</v>
      </c>
      <c r="BS2054" s="15" t="n">
        <v>144</v>
      </c>
      <c r="CO2054" s="15" t="n">
        <v>144</v>
      </c>
      <c r="DK2054" s="15" t="n">
        <v>144</v>
      </c>
      <c r="EG2054" s="15" t="n">
        <v>144</v>
      </c>
      <c r="FC2054" s="15" t="n">
        <v>144</v>
      </c>
      <c r="FY2054" s="15" t="n">
        <v>144</v>
      </c>
      <c r="GU2054" s="15" t="n">
        <v>144</v>
      </c>
    </row>
    <row r="2055">
      <c r="C2055" s="15" t="n">
        <v>145</v>
      </c>
      <c r="AA2055" s="15" t="n">
        <v>145</v>
      </c>
      <c r="AW2055" s="15" t="n">
        <v>145</v>
      </c>
      <c r="BS2055" s="15" t="n">
        <v>145</v>
      </c>
      <c r="CO2055" s="15" t="n">
        <v>145</v>
      </c>
      <c r="DK2055" s="15" t="n">
        <v>145</v>
      </c>
      <c r="EG2055" s="15" t="n">
        <v>145</v>
      </c>
      <c r="FC2055" s="15" t="n">
        <v>145</v>
      </c>
      <c r="FY2055" s="15" t="n">
        <v>145</v>
      </c>
      <c r="GU2055" s="15" t="n">
        <v>145</v>
      </c>
    </row>
    <row r="2056">
      <c r="C2056" s="15" t="n">
        <v>146</v>
      </c>
      <c r="AA2056" s="15" t="n">
        <v>146</v>
      </c>
      <c r="AW2056" s="15" t="n">
        <v>146</v>
      </c>
      <c r="BS2056" s="15" t="n">
        <v>146</v>
      </c>
      <c r="CO2056" s="15" t="n">
        <v>146</v>
      </c>
      <c r="DK2056" s="15" t="n">
        <v>146</v>
      </c>
      <c r="EG2056" s="15" t="n">
        <v>146</v>
      </c>
      <c r="FC2056" s="15" t="n">
        <v>146</v>
      </c>
      <c r="FY2056" s="15" t="n">
        <v>146</v>
      </c>
      <c r="GU2056" s="15" t="n">
        <v>146</v>
      </c>
    </row>
    <row r="2057">
      <c r="C2057" s="15" t="n">
        <v>147</v>
      </c>
      <c r="AA2057" s="15" t="n">
        <v>147</v>
      </c>
      <c r="AW2057" s="15" t="n">
        <v>147</v>
      </c>
      <c r="BS2057" s="15" t="n">
        <v>147</v>
      </c>
      <c r="CO2057" s="15" t="n">
        <v>147</v>
      </c>
      <c r="DK2057" s="15" t="n">
        <v>147</v>
      </c>
      <c r="EG2057" s="15" t="n">
        <v>147</v>
      </c>
      <c r="FC2057" s="15" t="n">
        <v>147</v>
      </c>
      <c r="FY2057" s="15" t="n">
        <v>147</v>
      </c>
      <c r="GU2057" s="15" t="n">
        <v>147</v>
      </c>
    </row>
    <row r="2058">
      <c r="C2058" s="15" t="n">
        <v>148</v>
      </c>
      <c r="AA2058" s="15" t="n">
        <v>148</v>
      </c>
      <c r="AW2058" s="15" t="n">
        <v>148</v>
      </c>
      <c r="BS2058" s="15" t="n">
        <v>148</v>
      </c>
      <c r="CO2058" s="15" t="n">
        <v>148</v>
      </c>
      <c r="DK2058" s="15" t="n">
        <v>148</v>
      </c>
      <c r="EG2058" s="15" t="n">
        <v>148</v>
      </c>
      <c r="FC2058" s="15" t="n">
        <v>148</v>
      </c>
      <c r="FY2058" s="15" t="n">
        <v>148</v>
      </c>
      <c r="GU2058" s="15" t="n">
        <v>148</v>
      </c>
    </row>
    <row r="2059">
      <c r="C2059" s="15" t="n">
        <v>149</v>
      </c>
      <c r="AA2059" s="15" t="n">
        <v>149</v>
      </c>
      <c r="AW2059" s="15" t="n">
        <v>149</v>
      </c>
      <c r="BS2059" s="15" t="n">
        <v>149</v>
      </c>
      <c r="CO2059" s="15" t="n">
        <v>149</v>
      </c>
      <c r="DK2059" s="15" t="n">
        <v>149</v>
      </c>
      <c r="EG2059" s="15" t="n">
        <v>149</v>
      </c>
      <c r="FC2059" s="15" t="n">
        <v>149</v>
      </c>
      <c r="FY2059" s="15" t="n">
        <v>149</v>
      </c>
      <c r="GU2059" s="15" t="n">
        <v>149</v>
      </c>
    </row>
    <row r="2060">
      <c r="C2060" s="15" t="n">
        <v>150</v>
      </c>
      <c r="AA2060" s="15" t="n">
        <v>150</v>
      </c>
      <c r="AW2060" s="15" t="n">
        <v>150</v>
      </c>
      <c r="BS2060" s="15" t="n">
        <v>150</v>
      </c>
      <c r="CO2060" s="15" t="n">
        <v>150</v>
      </c>
      <c r="DK2060" s="15" t="n">
        <v>150</v>
      </c>
      <c r="EG2060" s="15" t="n">
        <v>150</v>
      </c>
      <c r="FC2060" s="15" t="n">
        <v>150</v>
      </c>
      <c r="FY2060" s="15" t="n">
        <v>150</v>
      </c>
      <c r="GU2060" s="15" t="n">
        <v>150</v>
      </c>
    </row>
    <row r="2061">
      <c r="C2061" s="15" t="n">
        <v>151</v>
      </c>
      <c r="AA2061" s="15" t="n">
        <v>151</v>
      </c>
      <c r="AW2061" s="15" t="n">
        <v>151</v>
      </c>
      <c r="BS2061" s="15" t="n">
        <v>151</v>
      </c>
      <c r="CO2061" s="15" t="n">
        <v>151</v>
      </c>
      <c r="DK2061" s="15" t="n">
        <v>151</v>
      </c>
      <c r="EG2061" s="15" t="n">
        <v>151</v>
      </c>
      <c r="FC2061" s="15" t="n">
        <v>151</v>
      </c>
      <c r="FY2061" s="15" t="n">
        <v>151</v>
      </c>
      <c r="GU2061" s="15" t="n">
        <v>151</v>
      </c>
    </row>
    <row r="2062">
      <c r="C2062" s="15" t="n">
        <v>152</v>
      </c>
      <c r="AA2062" s="15" t="n">
        <v>152</v>
      </c>
      <c r="AW2062" s="15" t="n">
        <v>152</v>
      </c>
      <c r="BS2062" s="15" t="n">
        <v>152</v>
      </c>
      <c r="CO2062" s="15" t="n">
        <v>152</v>
      </c>
      <c r="DK2062" s="15" t="n">
        <v>152</v>
      </c>
      <c r="EG2062" s="15" t="n">
        <v>152</v>
      </c>
      <c r="FC2062" s="15" t="n">
        <v>152</v>
      </c>
      <c r="FY2062" s="15" t="n">
        <v>152</v>
      </c>
      <c r="GU2062" s="15" t="n">
        <v>152</v>
      </c>
    </row>
    <row r="2063">
      <c r="C2063" s="15" t="n">
        <v>153</v>
      </c>
      <c r="AA2063" s="15" t="n">
        <v>153</v>
      </c>
      <c r="AW2063" s="15" t="n">
        <v>153</v>
      </c>
      <c r="BS2063" s="15" t="n">
        <v>153</v>
      </c>
      <c r="CO2063" s="15" t="n">
        <v>153</v>
      </c>
      <c r="DK2063" s="15" t="n">
        <v>153</v>
      </c>
      <c r="EG2063" s="15" t="n">
        <v>153</v>
      </c>
      <c r="FC2063" s="15" t="n">
        <v>153</v>
      </c>
      <c r="FY2063" s="15" t="n">
        <v>153</v>
      </c>
      <c r="GU2063" s="15" t="n">
        <v>153</v>
      </c>
    </row>
    <row r="2064">
      <c r="C2064" s="15" t="n">
        <v>154</v>
      </c>
      <c r="AA2064" s="15" t="n">
        <v>154</v>
      </c>
      <c r="AW2064" s="15" t="n">
        <v>154</v>
      </c>
      <c r="BS2064" s="15" t="n">
        <v>154</v>
      </c>
      <c r="CO2064" s="15" t="n">
        <v>154</v>
      </c>
      <c r="DK2064" s="15" t="n">
        <v>154</v>
      </c>
      <c r="EG2064" s="15" t="n">
        <v>154</v>
      </c>
      <c r="FC2064" s="15" t="n">
        <v>154</v>
      </c>
      <c r="FY2064" s="15" t="n">
        <v>154</v>
      </c>
      <c r="GU2064" s="15" t="n">
        <v>154</v>
      </c>
    </row>
    <row r="2065">
      <c r="C2065" s="15" t="n">
        <v>155</v>
      </c>
      <c r="AA2065" s="15" t="n">
        <v>155</v>
      </c>
      <c r="AW2065" s="15" t="n">
        <v>155</v>
      </c>
      <c r="BS2065" s="15" t="n">
        <v>155</v>
      </c>
      <c r="CO2065" s="15" t="n">
        <v>155</v>
      </c>
      <c r="DK2065" s="15" t="n">
        <v>155</v>
      </c>
      <c r="EG2065" s="15" t="n">
        <v>155</v>
      </c>
      <c r="FC2065" s="15" t="n">
        <v>155</v>
      </c>
      <c r="FY2065" s="15" t="n">
        <v>155</v>
      </c>
      <c r="GU2065" s="15" t="n">
        <v>155</v>
      </c>
    </row>
    <row r="2066">
      <c r="C2066" s="15" t="n">
        <v>156</v>
      </c>
      <c r="AA2066" s="15" t="n">
        <v>156</v>
      </c>
      <c r="AW2066" s="15" t="n">
        <v>156</v>
      </c>
      <c r="BS2066" s="15" t="n">
        <v>156</v>
      </c>
      <c r="CO2066" s="15" t="n">
        <v>156</v>
      </c>
      <c r="DK2066" s="15" t="n">
        <v>156</v>
      </c>
      <c r="EG2066" s="15" t="n">
        <v>156</v>
      </c>
      <c r="FC2066" s="15" t="n">
        <v>156</v>
      </c>
      <c r="FY2066" s="15" t="n">
        <v>156</v>
      </c>
      <c r="GU2066" s="15" t="n">
        <v>156</v>
      </c>
    </row>
    <row r="2067">
      <c r="C2067" s="15" t="n">
        <v>157</v>
      </c>
      <c r="AA2067" s="15" t="n">
        <v>157</v>
      </c>
      <c r="AW2067" s="15" t="n">
        <v>157</v>
      </c>
      <c r="BS2067" s="15" t="n">
        <v>157</v>
      </c>
      <c r="CO2067" s="15" t="n">
        <v>157</v>
      </c>
      <c r="DK2067" s="15" t="n">
        <v>157</v>
      </c>
      <c r="EG2067" s="15" t="n">
        <v>157</v>
      </c>
      <c r="FC2067" s="15" t="n">
        <v>157</v>
      </c>
      <c r="FY2067" s="15" t="n">
        <v>157</v>
      </c>
      <c r="GU2067" s="15" t="n">
        <v>157</v>
      </c>
    </row>
    <row r="2068">
      <c r="C2068" s="15" t="n">
        <v>158</v>
      </c>
      <c r="AA2068" s="15" t="n">
        <v>158</v>
      </c>
      <c r="AW2068" s="15" t="n">
        <v>158</v>
      </c>
      <c r="BS2068" s="15" t="n">
        <v>158</v>
      </c>
      <c r="CO2068" s="15" t="n">
        <v>158</v>
      </c>
      <c r="DK2068" s="15" t="n">
        <v>158</v>
      </c>
      <c r="EG2068" s="15" t="n">
        <v>158</v>
      </c>
      <c r="FC2068" s="15" t="n">
        <v>158</v>
      </c>
      <c r="FY2068" s="15" t="n">
        <v>158</v>
      </c>
      <c r="GU2068" s="15" t="n">
        <v>158</v>
      </c>
    </row>
    <row r="2069">
      <c r="C2069" s="15" t="n">
        <v>159</v>
      </c>
      <c r="AA2069" s="15" t="n">
        <v>159</v>
      </c>
      <c r="AW2069" s="15" t="n">
        <v>159</v>
      </c>
      <c r="BS2069" s="15" t="n">
        <v>159</v>
      </c>
      <c r="CO2069" s="15" t="n">
        <v>159</v>
      </c>
      <c r="DK2069" s="15" t="n">
        <v>159</v>
      </c>
      <c r="EG2069" s="15" t="n">
        <v>159</v>
      </c>
      <c r="FC2069" s="15" t="n">
        <v>159</v>
      </c>
      <c r="FY2069" s="15" t="n">
        <v>159</v>
      </c>
      <c r="GU2069" s="15" t="n">
        <v>159</v>
      </c>
    </row>
    <row r="2070">
      <c r="C2070" s="15" t="n">
        <v>160</v>
      </c>
      <c r="AA2070" s="15" t="n">
        <v>160</v>
      </c>
      <c r="AW2070" s="15" t="n">
        <v>160</v>
      </c>
      <c r="BS2070" s="15" t="n">
        <v>160</v>
      </c>
      <c r="CO2070" s="15" t="n">
        <v>160</v>
      </c>
      <c r="DK2070" s="15" t="n">
        <v>160</v>
      </c>
      <c r="EG2070" s="15" t="n">
        <v>160</v>
      </c>
      <c r="FC2070" s="15" t="n">
        <v>160</v>
      </c>
      <c r="FY2070" s="15" t="n">
        <v>160</v>
      </c>
      <c r="GU2070" s="15" t="n">
        <v>160</v>
      </c>
    </row>
    <row r="2071">
      <c r="C2071" s="15" t="n">
        <v>161</v>
      </c>
      <c r="AA2071" s="15" t="n">
        <v>161</v>
      </c>
      <c r="AW2071" s="15" t="n">
        <v>161</v>
      </c>
      <c r="BS2071" s="15" t="n">
        <v>161</v>
      </c>
      <c r="CO2071" s="15" t="n">
        <v>161</v>
      </c>
      <c r="DK2071" s="15" t="n">
        <v>161</v>
      </c>
      <c r="EG2071" s="15" t="n">
        <v>161</v>
      </c>
      <c r="FC2071" s="15" t="n">
        <v>161</v>
      </c>
      <c r="FY2071" s="15" t="n">
        <v>161</v>
      </c>
      <c r="GU2071" s="15" t="n">
        <v>161</v>
      </c>
    </row>
    <row r="2072">
      <c r="C2072" s="15" t="n">
        <v>162</v>
      </c>
      <c r="AA2072" s="15" t="n">
        <v>162</v>
      </c>
      <c r="AW2072" s="15" t="n">
        <v>162</v>
      </c>
      <c r="BS2072" s="15" t="n">
        <v>162</v>
      </c>
      <c r="CO2072" s="15" t="n">
        <v>162</v>
      </c>
      <c r="DK2072" s="15" t="n">
        <v>162</v>
      </c>
      <c r="EG2072" s="15" t="n">
        <v>162</v>
      </c>
      <c r="FC2072" s="15" t="n">
        <v>162</v>
      </c>
      <c r="FY2072" s="15" t="n">
        <v>162</v>
      </c>
      <c r="GU2072" s="15" t="n">
        <v>162</v>
      </c>
    </row>
    <row r="2073">
      <c r="C2073" s="15" t="n">
        <v>163</v>
      </c>
      <c r="AA2073" s="15" t="n">
        <v>163</v>
      </c>
      <c r="AW2073" s="15" t="n">
        <v>163</v>
      </c>
      <c r="BS2073" s="15" t="n">
        <v>163</v>
      </c>
      <c r="CO2073" s="15" t="n">
        <v>163</v>
      </c>
      <c r="DK2073" s="15" t="n">
        <v>163</v>
      </c>
      <c r="EG2073" s="15" t="n">
        <v>163</v>
      </c>
      <c r="FC2073" s="15" t="n">
        <v>163</v>
      </c>
      <c r="FY2073" s="15" t="n">
        <v>163</v>
      </c>
      <c r="GU2073" s="15" t="n">
        <v>163</v>
      </c>
    </row>
    <row r="2074">
      <c r="C2074" s="15" t="n">
        <v>164</v>
      </c>
      <c r="AA2074" s="15" t="n">
        <v>164</v>
      </c>
      <c r="AW2074" s="15" t="n">
        <v>164</v>
      </c>
      <c r="BS2074" s="15" t="n">
        <v>164</v>
      </c>
      <c r="CO2074" s="15" t="n">
        <v>164</v>
      </c>
      <c r="DK2074" s="15" t="n">
        <v>164</v>
      </c>
      <c r="EG2074" s="15" t="n">
        <v>164</v>
      </c>
      <c r="FC2074" s="15" t="n">
        <v>164</v>
      </c>
      <c r="FY2074" s="15" t="n">
        <v>164</v>
      </c>
      <c r="GU2074" s="15" t="n">
        <v>164</v>
      </c>
    </row>
    <row r="2075">
      <c r="C2075" s="15" t="n">
        <v>165</v>
      </c>
      <c r="AA2075" s="15" t="n">
        <v>165</v>
      </c>
      <c r="AW2075" s="15" t="n">
        <v>165</v>
      </c>
      <c r="BS2075" s="15" t="n">
        <v>165</v>
      </c>
      <c r="CO2075" s="15" t="n">
        <v>165</v>
      </c>
      <c r="DK2075" s="15" t="n">
        <v>165</v>
      </c>
      <c r="EG2075" s="15" t="n">
        <v>165</v>
      </c>
      <c r="FC2075" s="15" t="n">
        <v>165</v>
      </c>
      <c r="FY2075" s="15" t="n">
        <v>165</v>
      </c>
      <c r="GU2075" s="15" t="n">
        <v>165</v>
      </c>
    </row>
    <row r="2076">
      <c r="C2076" s="15" t="n">
        <v>166</v>
      </c>
      <c r="AA2076" s="15" t="n">
        <v>166</v>
      </c>
      <c r="AW2076" s="15" t="n">
        <v>166</v>
      </c>
      <c r="BS2076" s="15" t="n">
        <v>166</v>
      </c>
      <c r="CO2076" s="15" t="n">
        <v>166</v>
      </c>
      <c r="DK2076" s="15" t="n">
        <v>166</v>
      </c>
      <c r="EG2076" s="15" t="n">
        <v>166</v>
      </c>
      <c r="FC2076" s="15" t="n">
        <v>166</v>
      </c>
      <c r="FY2076" s="15" t="n">
        <v>166</v>
      </c>
      <c r="GU2076" s="15" t="n">
        <v>166</v>
      </c>
    </row>
    <row r="2077">
      <c r="C2077" s="15" t="n">
        <v>167</v>
      </c>
      <c r="AA2077" s="15" t="n">
        <v>167</v>
      </c>
      <c r="AW2077" s="15" t="n">
        <v>167</v>
      </c>
      <c r="BS2077" s="15" t="n">
        <v>167</v>
      </c>
      <c r="CO2077" s="15" t="n">
        <v>167</v>
      </c>
      <c r="DK2077" s="15" t="n">
        <v>167</v>
      </c>
      <c r="EG2077" s="15" t="n">
        <v>167</v>
      </c>
      <c r="FC2077" s="15" t="n">
        <v>167</v>
      </c>
      <c r="FY2077" s="15" t="n">
        <v>167</v>
      </c>
      <c r="GU2077" s="15" t="n">
        <v>167</v>
      </c>
    </row>
    <row r="2078">
      <c r="C2078" s="15" t="n">
        <v>168</v>
      </c>
      <c r="AA2078" s="15" t="n">
        <v>168</v>
      </c>
      <c r="AW2078" s="15" t="n">
        <v>168</v>
      </c>
      <c r="BS2078" s="15" t="n">
        <v>168</v>
      </c>
      <c r="CO2078" s="15" t="n">
        <v>168</v>
      </c>
      <c r="DK2078" s="15" t="n">
        <v>168</v>
      </c>
      <c r="EG2078" s="15" t="n">
        <v>168</v>
      </c>
      <c r="FC2078" s="15" t="n">
        <v>168</v>
      </c>
      <c r="FY2078" s="15" t="n">
        <v>168</v>
      </c>
      <c r="GU2078" s="15" t="n">
        <v>168</v>
      </c>
    </row>
    <row r="2079">
      <c r="C2079" s="15" t="n">
        <v>169</v>
      </c>
      <c r="AA2079" s="15" t="n">
        <v>169</v>
      </c>
      <c r="AW2079" s="15" t="n">
        <v>169</v>
      </c>
      <c r="BS2079" s="15" t="n">
        <v>169</v>
      </c>
      <c r="CO2079" s="15" t="n">
        <v>169</v>
      </c>
      <c r="DK2079" s="15" t="n">
        <v>169</v>
      </c>
      <c r="EG2079" s="15" t="n">
        <v>169</v>
      </c>
      <c r="FC2079" s="15" t="n">
        <v>169</v>
      </c>
      <c r="FY2079" s="15" t="n">
        <v>169</v>
      </c>
      <c r="GU2079" s="15" t="n">
        <v>169</v>
      </c>
    </row>
    <row r="2080">
      <c r="C2080" s="15" t="n">
        <v>170</v>
      </c>
      <c r="AA2080" s="15" t="n">
        <v>170</v>
      </c>
      <c r="AW2080" s="15" t="n">
        <v>170</v>
      </c>
      <c r="BS2080" s="15" t="n">
        <v>170</v>
      </c>
      <c r="CO2080" s="15" t="n">
        <v>170</v>
      </c>
      <c r="DK2080" s="15" t="n">
        <v>170</v>
      </c>
      <c r="EG2080" s="15" t="n">
        <v>170</v>
      </c>
      <c r="FC2080" s="15" t="n">
        <v>170</v>
      </c>
      <c r="FY2080" s="15" t="n">
        <v>170</v>
      </c>
      <c r="GU2080" s="15" t="n">
        <v>170</v>
      </c>
    </row>
    <row r="2081">
      <c r="C2081" s="15" t="n">
        <v>171</v>
      </c>
      <c r="AA2081" s="15" t="n">
        <v>171</v>
      </c>
      <c r="AW2081" s="15" t="n">
        <v>171</v>
      </c>
      <c r="BS2081" s="15" t="n">
        <v>171</v>
      </c>
      <c r="CO2081" s="15" t="n">
        <v>171</v>
      </c>
      <c r="DK2081" s="15" t="n">
        <v>171</v>
      </c>
      <c r="EG2081" s="15" t="n">
        <v>171</v>
      </c>
      <c r="FC2081" s="15" t="n">
        <v>171</v>
      </c>
      <c r="FY2081" s="15" t="n">
        <v>171</v>
      </c>
      <c r="GU2081" s="15" t="n">
        <v>171</v>
      </c>
    </row>
    <row r="2082">
      <c r="C2082" s="15" t="n">
        <v>172</v>
      </c>
      <c r="AA2082" s="15" t="n">
        <v>172</v>
      </c>
      <c r="AW2082" s="15" t="n">
        <v>172</v>
      </c>
      <c r="BS2082" s="15" t="n">
        <v>172</v>
      </c>
      <c r="CO2082" s="15" t="n">
        <v>172</v>
      </c>
      <c r="DK2082" s="15" t="n">
        <v>172</v>
      </c>
      <c r="EG2082" s="15" t="n">
        <v>172</v>
      </c>
      <c r="FC2082" s="15" t="n">
        <v>172</v>
      </c>
      <c r="FY2082" s="15" t="n">
        <v>172</v>
      </c>
      <c r="GU2082" s="15" t="n">
        <v>172</v>
      </c>
    </row>
    <row r="2083">
      <c r="C2083" s="15" t="n">
        <v>173</v>
      </c>
      <c r="AA2083" s="15" t="n">
        <v>173</v>
      </c>
      <c r="AW2083" s="15" t="n">
        <v>173</v>
      </c>
      <c r="BS2083" s="15" t="n">
        <v>173</v>
      </c>
      <c r="CO2083" s="15" t="n">
        <v>173</v>
      </c>
      <c r="DK2083" s="15" t="n">
        <v>173</v>
      </c>
      <c r="EG2083" s="15" t="n">
        <v>173</v>
      </c>
      <c r="FC2083" s="15" t="n">
        <v>173</v>
      </c>
      <c r="FY2083" s="15" t="n">
        <v>173</v>
      </c>
      <c r="GU2083" s="15" t="n">
        <v>173</v>
      </c>
    </row>
    <row r="2084">
      <c r="C2084" s="15" t="n">
        <v>174</v>
      </c>
      <c r="AA2084" s="15" t="n">
        <v>174</v>
      </c>
      <c r="AW2084" s="15" t="n">
        <v>174</v>
      </c>
      <c r="BS2084" s="15" t="n">
        <v>174</v>
      </c>
      <c r="CO2084" s="15" t="n">
        <v>174</v>
      </c>
      <c r="DK2084" s="15" t="n">
        <v>174</v>
      </c>
      <c r="EG2084" s="15" t="n">
        <v>174</v>
      </c>
      <c r="FC2084" s="15" t="n">
        <v>174</v>
      </c>
      <c r="FY2084" s="15" t="n">
        <v>174</v>
      </c>
      <c r="GU2084" s="15" t="n">
        <v>174</v>
      </c>
    </row>
    <row r="2085">
      <c r="C2085" s="15" t="n">
        <v>175</v>
      </c>
      <c r="AA2085" s="15" t="n">
        <v>175</v>
      </c>
      <c r="AW2085" s="15" t="n">
        <v>175</v>
      </c>
      <c r="BS2085" s="15" t="n">
        <v>175</v>
      </c>
      <c r="CO2085" s="15" t="n">
        <v>175</v>
      </c>
      <c r="DK2085" s="15" t="n">
        <v>175</v>
      </c>
      <c r="EG2085" s="15" t="n">
        <v>175</v>
      </c>
      <c r="FC2085" s="15" t="n">
        <v>175</v>
      </c>
      <c r="FY2085" s="15" t="n">
        <v>175</v>
      </c>
      <c r="GU2085" s="15" t="n">
        <v>175</v>
      </c>
    </row>
    <row r="2086">
      <c r="C2086" s="15" t="n">
        <v>176</v>
      </c>
      <c r="AA2086" s="15" t="n">
        <v>176</v>
      </c>
      <c r="AW2086" s="15" t="n">
        <v>176</v>
      </c>
      <c r="BS2086" s="15" t="n">
        <v>176</v>
      </c>
      <c r="CO2086" s="15" t="n">
        <v>176</v>
      </c>
      <c r="DK2086" s="15" t="n">
        <v>176</v>
      </c>
      <c r="EG2086" s="15" t="n">
        <v>176</v>
      </c>
      <c r="FC2086" s="15" t="n">
        <v>176</v>
      </c>
      <c r="FY2086" s="15" t="n">
        <v>176</v>
      </c>
      <c r="GU2086" s="15" t="n">
        <v>176</v>
      </c>
    </row>
    <row r="2087">
      <c r="C2087" s="15" t="n">
        <v>177</v>
      </c>
      <c r="AA2087" s="15" t="n">
        <v>177</v>
      </c>
      <c r="AW2087" s="15" t="n">
        <v>177</v>
      </c>
      <c r="BS2087" s="15" t="n">
        <v>177</v>
      </c>
      <c r="CO2087" s="15" t="n">
        <v>177</v>
      </c>
      <c r="DK2087" s="15" t="n">
        <v>177</v>
      </c>
      <c r="EG2087" s="15" t="n">
        <v>177</v>
      </c>
      <c r="FC2087" s="15" t="n">
        <v>177</v>
      </c>
      <c r="FY2087" s="15" t="n">
        <v>177</v>
      </c>
      <c r="GU2087" s="15" t="n">
        <v>177</v>
      </c>
    </row>
    <row r="2088">
      <c r="C2088" s="15" t="n">
        <v>178</v>
      </c>
      <c r="AA2088" s="15" t="n">
        <v>178</v>
      </c>
      <c r="AW2088" s="15" t="n">
        <v>178</v>
      </c>
      <c r="BS2088" s="15" t="n">
        <v>178</v>
      </c>
      <c r="CO2088" s="15" t="n">
        <v>178</v>
      </c>
      <c r="DK2088" s="15" t="n">
        <v>178</v>
      </c>
      <c r="EG2088" s="15" t="n">
        <v>178</v>
      </c>
      <c r="FC2088" s="15" t="n">
        <v>178</v>
      </c>
      <c r="FY2088" s="15" t="n">
        <v>178</v>
      </c>
      <c r="GU2088" s="15" t="n">
        <v>178</v>
      </c>
    </row>
    <row r="2089">
      <c r="C2089" s="15" t="n">
        <v>179</v>
      </c>
      <c r="AA2089" s="15" t="n">
        <v>179</v>
      </c>
      <c r="AW2089" s="15" t="n">
        <v>179</v>
      </c>
      <c r="BS2089" s="15" t="n">
        <v>179</v>
      </c>
      <c r="CO2089" s="15" t="n">
        <v>179</v>
      </c>
      <c r="DK2089" s="15" t="n">
        <v>179</v>
      </c>
      <c r="EG2089" s="15" t="n">
        <v>179</v>
      </c>
      <c r="FC2089" s="15" t="n">
        <v>179</v>
      </c>
      <c r="FY2089" s="15" t="n">
        <v>179</v>
      </c>
      <c r="GU2089" s="15" t="n">
        <v>179</v>
      </c>
    </row>
    <row r="2090">
      <c r="C2090" s="15" t="n">
        <v>180</v>
      </c>
      <c r="AA2090" s="15" t="n">
        <v>180</v>
      </c>
      <c r="AW2090" s="15" t="n">
        <v>180</v>
      </c>
      <c r="BS2090" s="15" t="n">
        <v>180</v>
      </c>
      <c r="CO2090" s="15" t="n">
        <v>180</v>
      </c>
      <c r="DK2090" s="15" t="n">
        <v>180</v>
      </c>
      <c r="EG2090" s="15" t="n">
        <v>180</v>
      </c>
      <c r="FC2090" s="15" t="n">
        <v>180</v>
      </c>
      <c r="FY2090" s="15" t="n">
        <v>180</v>
      </c>
      <c r="GU2090" s="15" t="n">
        <v>180</v>
      </c>
    </row>
    <row r="2091">
      <c r="C2091" s="15" t="n">
        <v>181</v>
      </c>
      <c r="AA2091" s="15" t="n">
        <v>181</v>
      </c>
      <c r="AW2091" s="15" t="n">
        <v>181</v>
      </c>
      <c r="BS2091" s="15" t="n">
        <v>181</v>
      </c>
      <c r="CO2091" s="15" t="n">
        <v>181</v>
      </c>
      <c r="DK2091" s="15" t="n">
        <v>181</v>
      </c>
      <c r="EG2091" s="15" t="n">
        <v>181</v>
      </c>
      <c r="FC2091" s="15" t="n">
        <v>181</v>
      </c>
      <c r="FY2091" s="15" t="n">
        <v>181</v>
      </c>
      <c r="GU2091" s="15" t="n">
        <v>181</v>
      </c>
    </row>
    <row r="2092">
      <c r="C2092" s="15" t="n">
        <v>182</v>
      </c>
      <c r="AA2092" s="15" t="n">
        <v>182</v>
      </c>
      <c r="AW2092" s="15" t="n">
        <v>182</v>
      </c>
      <c r="BS2092" s="15" t="n">
        <v>182</v>
      </c>
      <c r="CO2092" s="15" t="n">
        <v>182</v>
      </c>
      <c r="DK2092" s="15" t="n">
        <v>182</v>
      </c>
      <c r="EG2092" s="15" t="n">
        <v>182</v>
      </c>
      <c r="FC2092" s="15" t="n">
        <v>182</v>
      </c>
      <c r="FY2092" s="15" t="n">
        <v>182</v>
      </c>
      <c r="GU2092" s="15" t="n">
        <v>182</v>
      </c>
    </row>
    <row r="2093">
      <c r="C2093" s="15" t="n">
        <v>183</v>
      </c>
      <c r="AA2093" s="15" t="n">
        <v>183</v>
      </c>
      <c r="AW2093" s="15" t="n">
        <v>183</v>
      </c>
      <c r="BS2093" s="15" t="n">
        <v>183</v>
      </c>
      <c r="CO2093" s="15" t="n">
        <v>183</v>
      </c>
      <c r="DK2093" s="15" t="n">
        <v>183</v>
      </c>
      <c r="EG2093" s="15" t="n">
        <v>183</v>
      </c>
      <c r="FC2093" s="15" t="n">
        <v>183</v>
      </c>
      <c r="FY2093" s="15" t="n">
        <v>183</v>
      </c>
      <c r="GU2093" s="15" t="n">
        <v>183</v>
      </c>
    </row>
    <row r="2094">
      <c r="C2094" s="15" t="n">
        <v>184</v>
      </c>
      <c r="AA2094" s="15" t="n">
        <v>184</v>
      </c>
      <c r="AW2094" s="15" t="n">
        <v>184</v>
      </c>
      <c r="BS2094" s="15" t="n">
        <v>184</v>
      </c>
      <c r="CO2094" s="15" t="n">
        <v>184</v>
      </c>
      <c r="DK2094" s="15" t="n">
        <v>184</v>
      </c>
      <c r="EG2094" s="15" t="n">
        <v>184</v>
      </c>
      <c r="FC2094" s="15" t="n">
        <v>184</v>
      </c>
      <c r="FY2094" s="15" t="n">
        <v>184</v>
      </c>
      <c r="GU2094" s="15" t="n">
        <v>184</v>
      </c>
    </row>
    <row r="2095">
      <c r="C2095" s="15" t="n">
        <v>185</v>
      </c>
      <c r="AA2095" s="15" t="n">
        <v>185</v>
      </c>
      <c r="AW2095" s="15" t="n">
        <v>185</v>
      </c>
      <c r="BS2095" s="15" t="n">
        <v>185</v>
      </c>
      <c r="CO2095" s="15" t="n">
        <v>185</v>
      </c>
      <c r="DK2095" s="15" t="n">
        <v>185</v>
      </c>
      <c r="EG2095" s="15" t="n">
        <v>185</v>
      </c>
      <c r="FC2095" s="15" t="n">
        <v>185</v>
      </c>
      <c r="FY2095" s="15" t="n">
        <v>185</v>
      </c>
      <c r="GU2095" s="15" t="n">
        <v>185</v>
      </c>
    </row>
    <row r="2096">
      <c r="C2096" s="15" t="n">
        <v>186</v>
      </c>
      <c r="AA2096" s="15" t="n">
        <v>186</v>
      </c>
      <c r="AW2096" s="15" t="n">
        <v>186</v>
      </c>
      <c r="BS2096" s="15" t="n">
        <v>186</v>
      </c>
      <c r="CO2096" s="15" t="n">
        <v>186</v>
      </c>
      <c r="DK2096" s="15" t="n">
        <v>186</v>
      </c>
      <c r="EG2096" s="15" t="n">
        <v>186</v>
      </c>
      <c r="FC2096" s="15" t="n">
        <v>186</v>
      </c>
      <c r="FY2096" s="15" t="n">
        <v>186</v>
      </c>
      <c r="GU2096" s="15" t="n">
        <v>186</v>
      </c>
    </row>
    <row r="2097">
      <c r="C2097" s="15" t="n">
        <v>187</v>
      </c>
      <c r="AA2097" s="15" t="n">
        <v>187</v>
      </c>
      <c r="AW2097" s="15" t="n">
        <v>187</v>
      </c>
      <c r="BS2097" s="15" t="n">
        <v>187</v>
      </c>
      <c r="CO2097" s="15" t="n">
        <v>187</v>
      </c>
      <c r="DK2097" s="15" t="n">
        <v>187</v>
      </c>
      <c r="EG2097" s="15" t="n">
        <v>187</v>
      </c>
      <c r="FC2097" s="15" t="n">
        <v>187</v>
      </c>
      <c r="FY2097" s="15" t="n">
        <v>187</v>
      </c>
      <c r="GU2097" s="15" t="n">
        <v>187</v>
      </c>
    </row>
    <row r="2098">
      <c r="C2098" s="15" t="n">
        <v>188</v>
      </c>
      <c r="AA2098" s="15" t="n">
        <v>188</v>
      </c>
      <c r="AW2098" s="15" t="n">
        <v>188</v>
      </c>
      <c r="BS2098" s="15" t="n">
        <v>188</v>
      </c>
      <c r="CO2098" s="15" t="n">
        <v>188</v>
      </c>
      <c r="DK2098" s="15" t="n">
        <v>188</v>
      </c>
      <c r="EG2098" s="15" t="n">
        <v>188</v>
      </c>
      <c r="FC2098" s="15" t="n">
        <v>188</v>
      </c>
      <c r="FY2098" s="15" t="n">
        <v>188</v>
      </c>
      <c r="GU2098" s="15" t="n">
        <v>188</v>
      </c>
    </row>
    <row r="2099">
      <c r="C2099" s="15" t="n">
        <v>189</v>
      </c>
      <c r="AA2099" s="15" t="n">
        <v>189</v>
      </c>
      <c r="AW2099" s="15" t="n">
        <v>189</v>
      </c>
      <c r="BS2099" s="15" t="n">
        <v>189</v>
      </c>
      <c r="CO2099" s="15" t="n">
        <v>189</v>
      </c>
      <c r="DK2099" s="15" t="n">
        <v>189</v>
      </c>
      <c r="EG2099" s="15" t="n">
        <v>189</v>
      </c>
      <c r="FC2099" s="15" t="n">
        <v>189</v>
      </c>
      <c r="FY2099" s="15" t="n">
        <v>189</v>
      </c>
      <c r="GU2099" s="15" t="n">
        <v>189</v>
      </c>
    </row>
    <row r="2100">
      <c r="C2100" s="15" t="n">
        <v>190</v>
      </c>
      <c r="AA2100" s="15" t="n">
        <v>190</v>
      </c>
      <c r="AW2100" s="15" t="n">
        <v>190</v>
      </c>
      <c r="BS2100" s="15" t="n">
        <v>190</v>
      </c>
      <c r="CO2100" s="15" t="n">
        <v>190</v>
      </c>
      <c r="DK2100" s="15" t="n">
        <v>190</v>
      </c>
      <c r="EG2100" s="15" t="n">
        <v>190</v>
      </c>
      <c r="FC2100" s="15" t="n">
        <v>190</v>
      </c>
      <c r="FY2100" s="15" t="n">
        <v>190</v>
      </c>
      <c r="GU2100" s="15" t="n">
        <v>190</v>
      </c>
    </row>
    <row r="2101">
      <c r="C2101" s="15" t="n">
        <v>191</v>
      </c>
      <c r="AA2101" s="15" t="n">
        <v>191</v>
      </c>
      <c r="AW2101" s="15" t="n">
        <v>191</v>
      </c>
      <c r="BS2101" s="15" t="n">
        <v>191</v>
      </c>
      <c r="CO2101" s="15" t="n">
        <v>191</v>
      </c>
      <c r="DK2101" s="15" t="n">
        <v>191</v>
      </c>
      <c r="EG2101" s="15" t="n">
        <v>191</v>
      </c>
      <c r="FC2101" s="15" t="n">
        <v>191</v>
      </c>
      <c r="FY2101" s="15" t="n">
        <v>191</v>
      </c>
      <c r="GU2101" s="15" t="n">
        <v>191</v>
      </c>
    </row>
    <row r="2102">
      <c r="C2102" s="15" t="n">
        <v>192</v>
      </c>
      <c r="AA2102" s="15" t="n">
        <v>192</v>
      </c>
      <c r="AW2102" s="15" t="n">
        <v>192</v>
      </c>
      <c r="BS2102" s="15" t="n">
        <v>192</v>
      </c>
      <c r="CO2102" s="15" t="n">
        <v>192</v>
      </c>
      <c r="DK2102" s="15" t="n">
        <v>192</v>
      </c>
      <c r="EG2102" s="15" t="n">
        <v>192</v>
      </c>
      <c r="FC2102" s="15" t="n">
        <v>192</v>
      </c>
      <c r="FY2102" s="15" t="n">
        <v>192</v>
      </c>
      <c r="GU2102" s="15" t="n">
        <v>192</v>
      </c>
    </row>
    <row r="2103">
      <c r="C2103" s="15" t="n">
        <v>193</v>
      </c>
      <c r="AA2103" s="15" t="n">
        <v>193</v>
      </c>
      <c r="AW2103" s="15" t="n">
        <v>193</v>
      </c>
      <c r="BS2103" s="15" t="n">
        <v>193</v>
      </c>
      <c r="CO2103" s="15" t="n">
        <v>193</v>
      </c>
      <c r="DK2103" s="15" t="n">
        <v>193</v>
      </c>
      <c r="EG2103" s="15" t="n">
        <v>193</v>
      </c>
      <c r="FC2103" s="15" t="n">
        <v>193</v>
      </c>
      <c r="FY2103" s="15" t="n">
        <v>193</v>
      </c>
      <c r="GU2103" s="15" t="n">
        <v>193</v>
      </c>
    </row>
    <row r="2104">
      <c r="C2104" s="15" t="n">
        <v>194</v>
      </c>
      <c r="AA2104" s="15" t="n">
        <v>194</v>
      </c>
      <c r="AW2104" s="15" t="n">
        <v>194</v>
      </c>
      <c r="BS2104" s="15" t="n">
        <v>194</v>
      </c>
      <c r="CO2104" s="15" t="n">
        <v>194</v>
      </c>
      <c r="DK2104" s="15" t="n">
        <v>194</v>
      </c>
      <c r="EG2104" s="15" t="n">
        <v>194</v>
      </c>
      <c r="FC2104" s="15" t="n">
        <v>194</v>
      </c>
      <c r="FY2104" s="15" t="n">
        <v>194</v>
      </c>
      <c r="GU2104" s="15" t="n">
        <v>194</v>
      </c>
    </row>
    <row r="2105">
      <c r="C2105" s="15" t="n">
        <v>195</v>
      </c>
      <c r="AA2105" s="15" t="n">
        <v>195</v>
      </c>
      <c r="AW2105" s="15" t="n">
        <v>195</v>
      </c>
      <c r="BS2105" s="15" t="n">
        <v>195</v>
      </c>
      <c r="CO2105" s="15" t="n">
        <v>195</v>
      </c>
      <c r="DK2105" s="15" t="n">
        <v>195</v>
      </c>
      <c r="EG2105" s="15" t="n">
        <v>195</v>
      </c>
      <c r="FC2105" s="15" t="n">
        <v>195</v>
      </c>
      <c r="FY2105" s="15" t="n">
        <v>195</v>
      </c>
      <c r="GU2105" s="15" t="n">
        <v>195</v>
      </c>
    </row>
    <row r="2106">
      <c r="C2106" s="15" t="n">
        <v>196</v>
      </c>
      <c r="AA2106" s="15" t="n">
        <v>196</v>
      </c>
      <c r="AW2106" s="15" t="n">
        <v>196</v>
      </c>
      <c r="BS2106" s="15" t="n">
        <v>196</v>
      </c>
      <c r="CO2106" s="15" t="n">
        <v>196</v>
      </c>
      <c r="DK2106" s="15" t="n">
        <v>196</v>
      </c>
      <c r="EG2106" s="15" t="n">
        <v>196</v>
      </c>
      <c r="FC2106" s="15" t="n">
        <v>196</v>
      </c>
      <c r="FY2106" s="15" t="n">
        <v>196</v>
      </c>
      <c r="GU2106" s="15" t="n">
        <v>196</v>
      </c>
    </row>
    <row r="2107">
      <c r="C2107" s="15" t="n">
        <v>197</v>
      </c>
      <c r="AA2107" s="15" t="n">
        <v>197</v>
      </c>
      <c r="AW2107" s="15" t="n">
        <v>197</v>
      </c>
      <c r="BS2107" s="15" t="n">
        <v>197</v>
      </c>
      <c r="CO2107" s="15" t="n">
        <v>197</v>
      </c>
      <c r="DK2107" s="15" t="n">
        <v>197</v>
      </c>
      <c r="EG2107" s="15" t="n">
        <v>197</v>
      </c>
      <c r="FC2107" s="15" t="n">
        <v>197</v>
      </c>
      <c r="FY2107" s="15" t="n">
        <v>197</v>
      </c>
      <c r="GU2107" s="15" t="n">
        <v>197</v>
      </c>
    </row>
    <row r="2108">
      <c r="C2108" s="15" t="n">
        <v>198</v>
      </c>
      <c r="AA2108" s="15" t="n">
        <v>198</v>
      </c>
      <c r="AW2108" s="15" t="n">
        <v>198</v>
      </c>
      <c r="BS2108" s="15" t="n">
        <v>198</v>
      </c>
      <c r="CO2108" s="15" t="n">
        <v>198</v>
      </c>
      <c r="DK2108" s="15" t="n">
        <v>198</v>
      </c>
      <c r="EG2108" s="15" t="n">
        <v>198</v>
      </c>
      <c r="FC2108" s="15" t="n">
        <v>198</v>
      </c>
      <c r="FY2108" s="15" t="n">
        <v>198</v>
      </c>
      <c r="GU2108" s="15" t="n">
        <v>198</v>
      </c>
    </row>
    <row r="2110">
      <c r="B2110" s="15" t="inlineStr">
        <is>
          <t>Parâmetros p/ μy</t>
        </is>
      </c>
      <c r="C2110" s="15" t="inlineStr">
        <is>
          <t>Média(E(RLT))</t>
        </is>
      </c>
      <c r="D2110" s="15" t="n">
        <v>22</v>
      </c>
      <c r="E2110" s="15" t="n">
        <v>23</v>
      </c>
      <c r="F2110" s="15" t="n">
        <v>24</v>
      </c>
      <c r="Z2110" s="15" t="inlineStr">
        <is>
          <t>Parâmetros p/ μy</t>
        </is>
      </c>
      <c r="AA2110" s="15" t="inlineStr">
        <is>
          <t>Média(E(RLT))</t>
        </is>
      </c>
      <c r="AB2110" s="15" t="n">
        <v>22</v>
      </c>
      <c r="AC2110" s="15" t="n">
        <v>23</v>
      </c>
      <c r="AD2110" s="15" t="n">
        <v>24</v>
      </c>
      <c r="AV2110" s="15" t="inlineStr">
        <is>
          <t>Parâmetros p/ μy</t>
        </is>
      </c>
      <c r="AW2110" s="15" t="inlineStr">
        <is>
          <t>Média(E(RLT))</t>
        </is>
      </c>
      <c r="AX2110" s="15" t="n">
        <v>22</v>
      </c>
      <c r="AY2110" s="15" t="n">
        <v>23</v>
      </c>
      <c r="AZ2110" s="15" t="n">
        <v>24</v>
      </c>
      <c r="BR2110" s="15" t="inlineStr">
        <is>
          <t>Parâmetros p/ μy</t>
        </is>
      </c>
      <c r="BS2110" s="15" t="inlineStr">
        <is>
          <t>Média(E(RLT))</t>
        </is>
      </c>
      <c r="BT2110" s="15" t="n">
        <v>22</v>
      </c>
      <c r="BU2110" s="15" t="n">
        <v>23</v>
      </c>
      <c r="BV2110" s="15" t="n">
        <v>24</v>
      </c>
      <c r="CN2110" s="15" t="inlineStr">
        <is>
          <t>Parâmetros p/ μy</t>
        </is>
      </c>
      <c r="CO2110" s="15" t="inlineStr">
        <is>
          <t>Média(E(RLT))</t>
        </is>
      </c>
      <c r="CP2110" s="15" t="n">
        <v>22</v>
      </c>
      <c r="CQ2110" s="15" t="n">
        <v>23</v>
      </c>
      <c r="CR2110" s="15" t="n">
        <v>24</v>
      </c>
      <c r="DJ2110" s="15" t="inlineStr">
        <is>
          <t>Parâmetros p/ μy</t>
        </is>
      </c>
      <c r="DK2110" s="15" t="inlineStr">
        <is>
          <t>Média(E(RLT))</t>
        </is>
      </c>
      <c r="DL2110" s="15" t="n">
        <v>22</v>
      </c>
      <c r="DM2110" s="15" t="n">
        <v>23</v>
      </c>
      <c r="DN2110" s="15" t="n">
        <v>24</v>
      </c>
      <c r="EF2110" s="15" t="inlineStr">
        <is>
          <t>Parâmetros p/ μy</t>
        </is>
      </c>
      <c r="EG2110" s="15" t="inlineStr">
        <is>
          <t>Média(E(RLT))</t>
        </is>
      </c>
      <c r="EH2110" s="15" t="n">
        <v>22</v>
      </c>
      <c r="EI2110" s="15" t="n">
        <v>23</v>
      </c>
      <c r="EJ2110" s="15" t="n">
        <v>24</v>
      </c>
      <c r="FB2110" s="15" t="inlineStr">
        <is>
          <t>Parâmetros p/ μy</t>
        </is>
      </c>
      <c r="FC2110" s="15" t="inlineStr">
        <is>
          <t>Média(E(RLT))</t>
        </is>
      </c>
      <c r="FD2110" s="15" t="n">
        <v>22</v>
      </c>
      <c r="FE2110" s="15" t="n">
        <v>23</v>
      </c>
      <c r="FF2110" s="15" t="n">
        <v>24</v>
      </c>
      <c r="FX2110" s="15" t="inlineStr">
        <is>
          <t>Parâmetros p/ μy</t>
        </is>
      </c>
      <c r="FY2110" s="15" t="inlineStr">
        <is>
          <t>Média(E(RLT))</t>
        </is>
      </c>
      <c r="FZ2110" s="15" t="n">
        <v>22</v>
      </c>
      <c r="GA2110" s="15" t="n">
        <v>23</v>
      </c>
      <c r="GB2110" s="15" t="n">
        <v>24</v>
      </c>
      <c r="GT2110" s="15" t="inlineStr">
        <is>
          <t>Parâmetros p/ μy</t>
        </is>
      </c>
      <c r="GU2110" s="15" t="inlineStr">
        <is>
          <t>Média(E(RLT))</t>
        </is>
      </c>
      <c r="GV2110" s="15" t="n">
        <v>22</v>
      </c>
      <c r="GW2110" s="15" t="n">
        <v>23</v>
      </c>
      <c r="GX2110" s="15" t="n">
        <v>24</v>
      </c>
    </row>
    <row r="2111" ht="16.2" customHeight="1">
      <c r="B2111" s="15" t="inlineStr">
        <is>
          <t>ND*RLT e S2nd</t>
        </is>
      </c>
      <c r="C2111" s="15" t="n">
        <v>9</v>
      </c>
      <c r="Z2111" s="15" t="inlineStr">
        <is>
          <t>ND*RLT e S2nd</t>
        </is>
      </c>
      <c r="AA2111" s="15" t="n">
        <v>9</v>
      </c>
      <c r="AV2111" s="15" t="inlineStr">
        <is>
          <t>ND*RLT e S2nd</t>
        </is>
      </c>
      <c r="AW2111" s="15" t="n">
        <v>9</v>
      </c>
      <c r="BR2111" s="15" t="inlineStr">
        <is>
          <t>ND*RLT e S2nd</t>
        </is>
      </c>
      <c r="BS2111" s="15" t="n">
        <v>9</v>
      </c>
      <c r="CN2111" s="15" t="inlineStr">
        <is>
          <t>ND*RLT e S2nd</t>
        </is>
      </c>
      <c r="CO2111" s="15" t="n">
        <v>9</v>
      </c>
      <c r="DJ2111" s="15" t="inlineStr">
        <is>
          <t>ND*RLT e S2nd</t>
        </is>
      </c>
      <c r="DK2111" s="15" t="n">
        <v>9</v>
      </c>
      <c r="EF2111" s="15" t="inlineStr">
        <is>
          <t>ND*RLT e S2nd</t>
        </is>
      </c>
      <c r="EG2111" s="15" t="n">
        <v>9</v>
      </c>
      <c r="FB2111" s="15" t="inlineStr">
        <is>
          <t>ND*RLT e S2nd</t>
        </is>
      </c>
      <c r="FC2111" s="15" t="n">
        <v>9</v>
      </c>
      <c r="FX2111" s="15" t="inlineStr">
        <is>
          <t>ND*RLT e S2nd</t>
        </is>
      </c>
      <c r="FY2111" s="15" t="n">
        <v>9</v>
      </c>
      <c r="GT2111" s="15" t="inlineStr">
        <is>
          <t>ND*RLT e S2nd</t>
        </is>
      </c>
      <c r="GU2111" s="15" t="n">
        <v>9</v>
      </c>
    </row>
    <row r="2112">
      <c r="C2112" s="15" t="n">
        <v>10</v>
      </c>
      <c r="AA2112" s="15" t="n">
        <v>10</v>
      </c>
      <c r="AW2112" s="15" t="n">
        <v>10</v>
      </c>
      <c r="BS2112" s="15" t="n">
        <v>10</v>
      </c>
      <c r="CO2112" s="15" t="n">
        <v>10</v>
      </c>
      <c r="DK2112" s="15" t="n">
        <v>10</v>
      </c>
      <c r="EG2112" s="15" t="n">
        <v>10</v>
      </c>
      <c r="FC2112" s="15" t="n">
        <v>10</v>
      </c>
      <c r="FY2112" s="15" t="n">
        <v>10</v>
      </c>
      <c r="GU2112" s="15" t="n">
        <v>10</v>
      </c>
    </row>
    <row r="2113">
      <c r="C2113" s="15" t="n">
        <v>11</v>
      </c>
      <c r="AA2113" s="15" t="n">
        <v>11</v>
      </c>
      <c r="AW2113" s="15" t="n">
        <v>11</v>
      </c>
      <c r="BS2113" s="15" t="n">
        <v>11</v>
      </c>
      <c r="CO2113" s="15" t="n">
        <v>11</v>
      </c>
      <c r="DK2113" s="15" t="n">
        <v>11</v>
      </c>
      <c r="EG2113" s="15" t="n">
        <v>11</v>
      </c>
      <c r="FC2113" s="15" t="n">
        <v>11</v>
      </c>
      <c r="FY2113" s="15" t="n">
        <v>11</v>
      </c>
      <c r="GU2113" s="15" t="n">
        <v>11</v>
      </c>
    </row>
    <row r="2114">
      <c r="C2114" s="15" t="n">
        <v>12</v>
      </c>
      <c r="AA2114" s="15" t="n">
        <v>12</v>
      </c>
      <c r="AW2114" s="15" t="n">
        <v>12</v>
      </c>
      <c r="BS2114" s="15" t="n">
        <v>12</v>
      </c>
      <c r="CO2114" s="15" t="n">
        <v>12</v>
      </c>
      <c r="DK2114" s="15" t="n">
        <v>12</v>
      </c>
      <c r="EG2114" s="15" t="n">
        <v>12</v>
      </c>
      <c r="FC2114" s="15" t="n">
        <v>12</v>
      </c>
      <c r="FY2114" s="15" t="n">
        <v>12</v>
      </c>
      <c r="GU2114" s="15" t="n">
        <v>12</v>
      </c>
    </row>
    <row r="2115">
      <c r="C2115" s="15" t="n">
        <v>13</v>
      </c>
      <c r="AA2115" s="15" t="n">
        <v>13</v>
      </c>
      <c r="AW2115" s="15" t="n">
        <v>13</v>
      </c>
      <c r="BS2115" s="15" t="n">
        <v>13</v>
      </c>
      <c r="CO2115" s="15" t="n">
        <v>13</v>
      </c>
      <c r="DK2115" s="15" t="n">
        <v>13</v>
      </c>
      <c r="EG2115" s="15" t="n">
        <v>13</v>
      </c>
      <c r="FC2115" s="15" t="n">
        <v>13</v>
      </c>
      <c r="FY2115" s="15" t="n">
        <v>13</v>
      </c>
      <c r="GU2115" s="15" t="n">
        <v>13</v>
      </c>
    </row>
    <row r="2116">
      <c r="C2116" s="15" t="n">
        <v>14</v>
      </c>
      <c r="AA2116" s="15" t="n">
        <v>14</v>
      </c>
      <c r="AW2116" s="15" t="n">
        <v>14</v>
      </c>
      <c r="BS2116" s="15" t="n">
        <v>14</v>
      </c>
      <c r="CO2116" s="15" t="n">
        <v>14</v>
      </c>
      <c r="DK2116" s="15" t="n">
        <v>14</v>
      </c>
      <c r="EG2116" s="15" t="n">
        <v>14</v>
      </c>
      <c r="FC2116" s="15" t="n">
        <v>14</v>
      </c>
      <c r="FY2116" s="15" t="n">
        <v>14</v>
      </c>
      <c r="GU2116" s="15" t="n">
        <v>14</v>
      </c>
    </row>
    <row r="2117">
      <c r="C2117" s="15" t="n">
        <v>15</v>
      </c>
      <c r="AA2117" s="15" t="n">
        <v>15</v>
      </c>
      <c r="AW2117" s="15" t="n">
        <v>15</v>
      </c>
      <c r="BS2117" s="15" t="n">
        <v>15</v>
      </c>
      <c r="CO2117" s="15" t="n">
        <v>15</v>
      </c>
      <c r="DK2117" s="15" t="n">
        <v>15</v>
      </c>
      <c r="EG2117" s="15" t="n">
        <v>15</v>
      </c>
      <c r="FC2117" s="15" t="n">
        <v>15</v>
      </c>
      <c r="FY2117" s="15" t="n">
        <v>15</v>
      </c>
      <c r="GU2117" s="15" t="n">
        <v>15</v>
      </c>
    </row>
    <row r="2118">
      <c r="C2118" s="15" t="n">
        <v>16</v>
      </c>
      <c r="AA2118" s="15" t="n">
        <v>16</v>
      </c>
      <c r="AW2118" s="15" t="n">
        <v>16</v>
      </c>
      <c r="BS2118" s="15" t="n">
        <v>16</v>
      </c>
      <c r="CO2118" s="15" t="n">
        <v>16</v>
      </c>
      <c r="DK2118" s="15" t="n">
        <v>16</v>
      </c>
      <c r="EG2118" s="15" t="n">
        <v>16</v>
      </c>
      <c r="FC2118" s="15" t="n">
        <v>16</v>
      </c>
      <c r="FY2118" s="15" t="n">
        <v>16</v>
      </c>
      <c r="GU2118" s="15" t="n">
        <v>16</v>
      </c>
    </row>
    <row r="2119">
      <c r="C2119" s="15" t="n">
        <v>17</v>
      </c>
      <c r="AA2119" s="15" t="n">
        <v>17</v>
      </c>
      <c r="AW2119" s="15" t="n">
        <v>17</v>
      </c>
      <c r="BS2119" s="15" t="n">
        <v>17</v>
      </c>
      <c r="CO2119" s="15" t="n">
        <v>17</v>
      </c>
      <c r="DK2119" s="15" t="n">
        <v>17</v>
      </c>
      <c r="EG2119" s="15" t="n">
        <v>17</v>
      </c>
      <c r="FC2119" s="15" t="n">
        <v>17</v>
      </c>
      <c r="FY2119" s="15" t="n">
        <v>17</v>
      </c>
      <c r="GU2119" s="15" t="n">
        <v>17</v>
      </c>
    </row>
    <row r="2120">
      <c r="C2120" s="15" t="n">
        <v>18</v>
      </c>
      <c r="AA2120" s="15" t="n">
        <v>18</v>
      </c>
      <c r="AW2120" s="15" t="n">
        <v>18</v>
      </c>
      <c r="BS2120" s="15" t="n">
        <v>18</v>
      </c>
      <c r="CO2120" s="15" t="n">
        <v>18</v>
      </c>
      <c r="DK2120" s="15" t="n">
        <v>18</v>
      </c>
      <c r="EG2120" s="15" t="n">
        <v>18</v>
      </c>
      <c r="FC2120" s="15" t="n">
        <v>18</v>
      </c>
      <c r="FY2120" s="15" t="n">
        <v>18</v>
      </c>
      <c r="GU2120" s="15" t="n">
        <v>18</v>
      </c>
    </row>
    <row r="2121">
      <c r="C2121" s="15" t="n">
        <v>19</v>
      </c>
      <c r="AA2121" s="15" t="n">
        <v>19</v>
      </c>
      <c r="AW2121" s="15" t="n">
        <v>19</v>
      </c>
      <c r="BS2121" s="15" t="n">
        <v>19</v>
      </c>
      <c r="CO2121" s="15" t="n">
        <v>19</v>
      </c>
      <c r="DK2121" s="15" t="n">
        <v>19</v>
      </c>
      <c r="EG2121" s="15" t="n">
        <v>19</v>
      </c>
      <c r="FC2121" s="15" t="n">
        <v>19</v>
      </c>
      <c r="FY2121" s="15" t="n">
        <v>19</v>
      </c>
      <c r="GU2121" s="15" t="n">
        <v>19</v>
      </c>
    </row>
    <row r="2122">
      <c r="C2122" s="15" t="n">
        <v>20</v>
      </c>
      <c r="AA2122" s="15" t="n">
        <v>20</v>
      </c>
      <c r="AW2122" s="15" t="n">
        <v>20</v>
      </c>
      <c r="BS2122" s="15" t="n">
        <v>20</v>
      </c>
      <c r="CO2122" s="15" t="n">
        <v>20</v>
      </c>
      <c r="DK2122" s="15" t="n">
        <v>20</v>
      </c>
      <c r="EG2122" s="15" t="n">
        <v>20</v>
      </c>
      <c r="FC2122" s="15" t="n">
        <v>20</v>
      </c>
      <c r="FY2122" s="15" t="n">
        <v>20</v>
      </c>
      <c r="GU2122" s="15" t="n">
        <v>20</v>
      </c>
    </row>
    <row r="2123">
      <c r="C2123" s="15" t="n">
        <v>21</v>
      </c>
      <c r="AA2123" s="15" t="n">
        <v>21</v>
      </c>
      <c r="AW2123" s="15" t="n">
        <v>21</v>
      </c>
      <c r="BS2123" s="15" t="n">
        <v>21</v>
      </c>
      <c r="CO2123" s="15" t="n">
        <v>21</v>
      </c>
      <c r="DK2123" s="15" t="n">
        <v>21</v>
      </c>
      <c r="EG2123" s="15" t="n">
        <v>21</v>
      </c>
      <c r="FC2123" s="15" t="n">
        <v>21</v>
      </c>
      <c r="FY2123" s="15" t="n">
        <v>21</v>
      </c>
      <c r="GU2123" s="15" t="n">
        <v>21</v>
      </c>
    </row>
    <row r="2124">
      <c r="C2124" s="15" t="n">
        <v>22</v>
      </c>
      <c r="AA2124" s="15" t="n">
        <v>22</v>
      </c>
      <c r="AW2124" s="15" t="n">
        <v>22</v>
      </c>
      <c r="BS2124" s="15" t="n">
        <v>22</v>
      </c>
      <c r="CO2124" s="15" t="n">
        <v>22</v>
      </c>
      <c r="DK2124" s="15" t="n">
        <v>22</v>
      </c>
      <c r="EG2124" s="15" t="n">
        <v>22</v>
      </c>
      <c r="FC2124" s="15" t="n">
        <v>22</v>
      </c>
      <c r="FY2124" s="15" t="n">
        <v>22</v>
      </c>
      <c r="GU2124" s="15" t="n">
        <v>22</v>
      </c>
    </row>
    <row r="2125">
      <c r="C2125" s="15" t="n">
        <v>23</v>
      </c>
      <c r="AA2125" s="15" t="n">
        <v>23</v>
      </c>
      <c r="AW2125" s="15" t="n">
        <v>23</v>
      </c>
      <c r="BS2125" s="15" t="n">
        <v>23</v>
      </c>
      <c r="CO2125" s="15" t="n">
        <v>23</v>
      </c>
      <c r="DK2125" s="15" t="n">
        <v>23</v>
      </c>
      <c r="EG2125" s="15" t="n">
        <v>23</v>
      </c>
      <c r="FC2125" s="15" t="n">
        <v>23</v>
      </c>
      <c r="FY2125" s="15" t="n">
        <v>23</v>
      </c>
      <c r="GU2125" s="15" t="n">
        <v>23</v>
      </c>
    </row>
    <row r="2126">
      <c r="C2126" s="15" t="n">
        <v>24</v>
      </c>
      <c r="AA2126" s="15" t="n">
        <v>24</v>
      </c>
      <c r="AW2126" s="15" t="n">
        <v>24</v>
      </c>
      <c r="BS2126" s="15" t="n">
        <v>24</v>
      </c>
      <c r="CO2126" s="15" t="n">
        <v>24</v>
      </c>
      <c r="DK2126" s="15" t="n">
        <v>24</v>
      </c>
      <c r="EG2126" s="15" t="n">
        <v>24</v>
      </c>
      <c r="FC2126" s="15" t="n">
        <v>24</v>
      </c>
      <c r="FY2126" s="15" t="n">
        <v>24</v>
      </c>
      <c r="GU2126" s="15" t="n">
        <v>24</v>
      </c>
    </row>
    <row r="2127">
      <c r="C2127" s="15" t="n">
        <v>25</v>
      </c>
      <c r="AA2127" s="15" t="n">
        <v>25</v>
      </c>
      <c r="AW2127" s="15" t="n">
        <v>25</v>
      </c>
      <c r="BS2127" s="15" t="n">
        <v>25</v>
      </c>
      <c r="CO2127" s="15" t="n">
        <v>25</v>
      </c>
      <c r="DK2127" s="15" t="n">
        <v>25</v>
      </c>
      <c r="EG2127" s="15" t="n">
        <v>25</v>
      </c>
      <c r="FC2127" s="15" t="n">
        <v>25</v>
      </c>
      <c r="FY2127" s="15" t="n">
        <v>25</v>
      </c>
      <c r="GU2127" s="15" t="n">
        <v>25</v>
      </c>
    </row>
    <row r="2128">
      <c r="C2128" s="15" t="n">
        <v>26</v>
      </c>
      <c r="AA2128" s="15" t="n">
        <v>26</v>
      </c>
      <c r="AW2128" s="15" t="n">
        <v>26</v>
      </c>
      <c r="BS2128" s="15" t="n">
        <v>26</v>
      </c>
      <c r="CO2128" s="15" t="n">
        <v>26</v>
      </c>
      <c r="DK2128" s="15" t="n">
        <v>26</v>
      </c>
      <c r="EG2128" s="15" t="n">
        <v>26</v>
      </c>
      <c r="FC2128" s="15" t="n">
        <v>26</v>
      </c>
      <c r="FY2128" s="15" t="n">
        <v>26</v>
      </c>
      <c r="GU2128" s="15" t="n">
        <v>26</v>
      </c>
    </row>
    <row r="2129">
      <c r="C2129" s="15" t="n">
        <v>27</v>
      </c>
      <c r="AA2129" s="15" t="n">
        <v>27</v>
      </c>
      <c r="AW2129" s="15" t="n">
        <v>27</v>
      </c>
      <c r="BS2129" s="15" t="n">
        <v>27</v>
      </c>
      <c r="CO2129" s="15" t="n">
        <v>27</v>
      </c>
      <c r="DK2129" s="15" t="n">
        <v>27</v>
      </c>
      <c r="EG2129" s="15" t="n">
        <v>27</v>
      </c>
      <c r="FC2129" s="15" t="n">
        <v>27</v>
      </c>
      <c r="FY2129" s="15" t="n">
        <v>27</v>
      </c>
      <c r="GU2129" s="15" t="n">
        <v>27</v>
      </c>
    </row>
    <row r="2130">
      <c r="C2130" s="15" t="n">
        <v>28</v>
      </c>
      <c r="AA2130" s="15" t="n">
        <v>28</v>
      </c>
      <c r="AW2130" s="15" t="n">
        <v>28</v>
      </c>
      <c r="BS2130" s="15" t="n">
        <v>28</v>
      </c>
      <c r="CO2130" s="15" t="n">
        <v>28</v>
      </c>
      <c r="DK2130" s="15" t="n">
        <v>28</v>
      </c>
      <c r="EG2130" s="15" t="n">
        <v>28</v>
      </c>
      <c r="FC2130" s="15" t="n">
        <v>28</v>
      </c>
      <c r="FY2130" s="15" t="n">
        <v>28</v>
      </c>
      <c r="GU2130" s="15" t="n">
        <v>28</v>
      </c>
    </row>
    <row r="2131">
      <c r="C2131" s="15" t="n">
        <v>29</v>
      </c>
      <c r="AA2131" s="15" t="n">
        <v>29</v>
      </c>
      <c r="AW2131" s="15" t="n">
        <v>29</v>
      </c>
      <c r="BS2131" s="15" t="n">
        <v>29</v>
      </c>
      <c r="CO2131" s="15" t="n">
        <v>29</v>
      </c>
      <c r="DK2131" s="15" t="n">
        <v>29</v>
      </c>
      <c r="EG2131" s="15" t="n">
        <v>29</v>
      </c>
      <c r="FC2131" s="15" t="n">
        <v>29</v>
      </c>
      <c r="FY2131" s="15" t="n">
        <v>29</v>
      </c>
      <c r="GU2131" s="15" t="n">
        <v>29</v>
      </c>
    </row>
    <row r="2132">
      <c r="C2132" s="15" t="n">
        <v>30</v>
      </c>
      <c r="AA2132" s="15" t="n">
        <v>30</v>
      </c>
      <c r="AW2132" s="15" t="n">
        <v>30</v>
      </c>
      <c r="BS2132" s="15" t="n">
        <v>30</v>
      </c>
      <c r="CO2132" s="15" t="n">
        <v>30</v>
      </c>
      <c r="DK2132" s="15" t="n">
        <v>30</v>
      </c>
      <c r="EG2132" s="15" t="n">
        <v>30</v>
      </c>
      <c r="FC2132" s="15" t="n">
        <v>30</v>
      </c>
      <c r="FY2132" s="15" t="n">
        <v>30</v>
      </c>
      <c r="GU2132" s="15" t="n">
        <v>30</v>
      </c>
    </row>
    <row r="2133">
      <c r="C2133" s="15" t="n">
        <v>31</v>
      </c>
      <c r="AA2133" s="15" t="n">
        <v>31</v>
      </c>
      <c r="AW2133" s="15" t="n">
        <v>31</v>
      </c>
      <c r="BS2133" s="15" t="n">
        <v>31</v>
      </c>
      <c r="CO2133" s="15" t="n">
        <v>31</v>
      </c>
      <c r="DK2133" s="15" t="n">
        <v>31</v>
      </c>
      <c r="EG2133" s="15" t="n">
        <v>31</v>
      </c>
      <c r="FC2133" s="15" t="n">
        <v>31</v>
      </c>
      <c r="FY2133" s="15" t="n">
        <v>31</v>
      </c>
      <c r="GU2133" s="15" t="n">
        <v>31</v>
      </c>
    </row>
    <row r="2134">
      <c r="C2134" s="15" t="n">
        <v>32</v>
      </c>
      <c r="AA2134" s="15" t="n">
        <v>32</v>
      </c>
      <c r="AW2134" s="15" t="n">
        <v>32</v>
      </c>
      <c r="BS2134" s="15" t="n">
        <v>32</v>
      </c>
      <c r="CO2134" s="15" t="n">
        <v>32</v>
      </c>
      <c r="DK2134" s="15" t="n">
        <v>32</v>
      </c>
      <c r="EG2134" s="15" t="n">
        <v>32</v>
      </c>
      <c r="FC2134" s="15" t="n">
        <v>32</v>
      </c>
      <c r="FY2134" s="15" t="n">
        <v>32</v>
      </c>
      <c r="GU2134" s="15" t="n">
        <v>32</v>
      </c>
    </row>
    <row r="2135">
      <c r="C2135" s="15" t="n">
        <v>33</v>
      </c>
      <c r="AA2135" s="15" t="n">
        <v>33</v>
      </c>
      <c r="AW2135" s="15" t="n">
        <v>33</v>
      </c>
      <c r="BS2135" s="15" t="n">
        <v>33</v>
      </c>
      <c r="CO2135" s="15" t="n">
        <v>33</v>
      </c>
      <c r="DK2135" s="15" t="n">
        <v>33</v>
      </c>
      <c r="EG2135" s="15" t="n">
        <v>33</v>
      </c>
      <c r="FC2135" s="15" t="n">
        <v>33</v>
      </c>
      <c r="FY2135" s="15" t="n">
        <v>33</v>
      </c>
      <c r="GU2135" s="15" t="n">
        <v>33</v>
      </c>
    </row>
    <row r="2136">
      <c r="C2136" s="15" t="n">
        <v>34</v>
      </c>
      <c r="AA2136" s="15" t="n">
        <v>34</v>
      </c>
      <c r="AW2136" s="15" t="n">
        <v>34</v>
      </c>
      <c r="BS2136" s="15" t="n">
        <v>34</v>
      </c>
      <c r="CO2136" s="15" t="n">
        <v>34</v>
      </c>
      <c r="DK2136" s="15" t="n">
        <v>34</v>
      </c>
      <c r="EG2136" s="15" t="n">
        <v>34</v>
      </c>
      <c r="FC2136" s="15" t="n">
        <v>34</v>
      </c>
      <c r="FY2136" s="15" t="n">
        <v>34</v>
      </c>
      <c r="GU2136" s="15" t="n">
        <v>34</v>
      </c>
    </row>
    <row r="2137">
      <c r="C2137" s="15" t="n">
        <v>35</v>
      </c>
      <c r="AA2137" s="15" t="n">
        <v>35</v>
      </c>
      <c r="AW2137" s="15" t="n">
        <v>35</v>
      </c>
      <c r="BS2137" s="15" t="n">
        <v>35</v>
      </c>
      <c r="CO2137" s="15" t="n">
        <v>35</v>
      </c>
      <c r="DK2137" s="15" t="n">
        <v>35</v>
      </c>
      <c r="EG2137" s="15" t="n">
        <v>35</v>
      </c>
      <c r="FC2137" s="15" t="n">
        <v>35</v>
      </c>
      <c r="FY2137" s="15" t="n">
        <v>35</v>
      </c>
      <c r="GU2137" s="15" t="n">
        <v>35</v>
      </c>
    </row>
    <row r="2138">
      <c r="C2138" s="15" t="n">
        <v>36</v>
      </c>
      <c r="AA2138" s="15" t="n">
        <v>36</v>
      </c>
      <c r="AW2138" s="15" t="n">
        <v>36</v>
      </c>
      <c r="BS2138" s="15" t="n">
        <v>36</v>
      </c>
      <c r="CO2138" s="15" t="n">
        <v>36</v>
      </c>
      <c r="DK2138" s="15" t="n">
        <v>36</v>
      </c>
      <c r="EG2138" s="15" t="n">
        <v>36</v>
      </c>
      <c r="FC2138" s="15" t="n">
        <v>36</v>
      </c>
      <c r="FY2138" s="15" t="n">
        <v>36</v>
      </c>
      <c r="GU2138" s="15" t="n">
        <v>36</v>
      </c>
    </row>
    <row r="2139">
      <c r="C2139" s="15" t="n">
        <v>37</v>
      </c>
      <c r="AA2139" s="15" t="n">
        <v>37</v>
      </c>
      <c r="AW2139" s="15" t="n">
        <v>37</v>
      </c>
      <c r="BS2139" s="15" t="n">
        <v>37</v>
      </c>
      <c r="CO2139" s="15" t="n">
        <v>37</v>
      </c>
      <c r="DK2139" s="15" t="n">
        <v>37</v>
      </c>
      <c r="EG2139" s="15" t="n">
        <v>37</v>
      </c>
      <c r="FC2139" s="15" t="n">
        <v>37</v>
      </c>
      <c r="FY2139" s="15" t="n">
        <v>37</v>
      </c>
      <c r="GU2139" s="15" t="n">
        <v>37</v>
      </c>
    </row>
    <row r="2140">
      <c r="C2140" s="15" t="n">
        <v>38</v>
      </c>
      <c r="AA2140" s="15" t="n">
        <v>38</v>
      </c>
      <c r="AW2140" s="15" t="n">
        <v>38</v>
      </c>
      <c r="BS2140" s="15" t="n">
        <v>38</v>
      </c>
      <c r="CO2140" s="15" t="n">
        <v>38</v>
      </c>
      <c r="DK2140" s="15" t="n">
        <v>38</v>
      </c>
      <c r="EG2140" s="15" t="n">
        <v>38</v>
      </c>
      <c r="FC2140" s="15" t="n">
        <v>38</v>
      </c>
      <c r="FY2140" s="15" t="n">
        <v>38</v>
      </c>
      <c r="GU2140" s="15" t="n">
        <v>38</v>
      </c>
    </row>
    <row r="2141">
      <c r="C2141" s="15" t="n">
        <v>39</v>
      </c>
      <c r="AA2141" s="15" t="n">
        <v>39</v>
      </c>
      <c r="AW2141" s="15" t="n">
        <v>39</v>
      </c>
      <c r="BS2141" s="15" t="n">
        <v>39</v>
      </c>
      <c r="CO2141" s="15" t="n">
        <v>39</v>
      </c>
      <c r="DK2141" s="15" t="n">
        <v>39</v>
      </c>
      <c r="EG2141" s="15" t="n">
        <v>39</v>
      </c>
      <c r="FC2141" s="15" t="n">
        <v>39</v>
      </c>
      <c r="FY2141" s="15" t="n">
        <v>39</v>
      </c>
      <c r="GU2141" s="15" t="n">
        <v>39</v>
      </c>
    </row>
    <row r="2142">
      <c r="C2142" s="15" t="n">
        <v>40</v>
      </c>
      <c r="AA2142" s="15" t="n">
        <v>40</v>
      </c>
      <c r="AW2142" s="15" t="n">
        <v>40</v>
      </c>
      <c r="BS2142" s="15" t="n">
        <v>40</v>
      </c>
      <c r="CO2142" s="15" t="n">
        <v>40</v>
      </c>
      <c r="DK2142" s="15" t="n">
        <v>40</v>
      </c>
      <c r="EG2142" s="15" t="n">
        <v>40</v>
      </c>
      <c r="FC2142" s="15" t="n">
        <v>40</v>
      </c>
      <c r="FY2142" s="15" t="n">
        <v>40</v>
      </c>
      <c r="GU2142" s="15" t="n">
        <v>40</v>
      </c>
    </row>
    <row r="2143">
      <c r="C2143" s="15" t="n">
        <v>41</v>
      </c>
      <c r="AA2143" s="15" t="n">
        <v>41</v>
      </c>
      <c r="AW2143" s="15" t="n">
        <v>41</v>
      </c>
      <c r="BS2143" s="15" t="n">
        <v>41</v>
      </c>
      <c r="CO2143" s="15" t="n">
        <v>41</v>
      </c>
      <c r="DK2143" s="15" t="n">
        <v>41</v>
      </c>
      <c r="EG2143" s="15" t="n">
        <v>41</v>
      </c>
      <c r="FC2143" s="15" t="n">
        <v>41</v>
      </c>
      <c r="FY2143" s="15" t="n">
        <v>41</v>
      </c>
      <c r="GU2143" s="15" t="n">
        <v>41</v>
      </c>
    </row>
    <row r="2144">
      <c r="C2144" s="15" t="n">
        <v>42</v>
      </c>
      <c r="AA2144" s="15" t="n">
        <v>42</v>
      </c>
      <c r="AW2144" s="15" t="n">
        <v>42</v>
      </c>
      <c r="BS2144" s="15" t="n">
        <v>42</v>
      </c>
      <c r="CO2144" s="15" t="n">
        <v>42</v>
      </c>
      <c r="DK2144" s="15" t="n">
        <v>42</v>
      </c>
      <c r="EG2144" s="15" t="n">
        <v>42</v>
      </c>
      <c r="FC2144" s="15" t="n">
        <v>42</v>
      </c>
      <c r="FY2144" s="15" t="n">
        <v>42</v>
      </c>
      <c r="GU2144" s="15" t="n">
        <v>42</v>
      </c>
    </row>
    <row r="2145">
      <c r="C2145" s="15" t="n">
        <v>43</v>
      </c>
      <c r="AA2145" s="15" t="n">
        <v>43</v>
      </c>
      <c r="AW2145" s="15" t="n">
        <v>43</v>
      </c>
      <c r="BS2145" s="15" t="n">
        <v>43</v>
      </c>
      <c r="CO2145" s="15" t="n">
        <v>43</v>
      </c>
      <c r="DK2145" s="15" t="n">
        <v>43</v>
      </c>
      <c r="EG2145" s="15" t="n">
        <v>43</v>
      </c>
      <c r="FC2145" s="15" t="n">
        <v>43</v>
      </c>
      <c r="FY2145" s="15" t="n">
        <v>43</v>
      </c>
      <c r="GU2145" s="15" t="n">
        <v>43</v>
      </c>
    </row>
    <row r="2146">
      <c r="C2146" s="15" t="n">
        <v>44</v>
      </c>
      <c r="AA2146" s="15" t="n">
        <v>44</v>
      </c>
      <c r="AW2146" s="15" t="n">
        <v>44</v>
      </c>
      <c r="BS2146" s="15" t="n">
        <v>44</v>
      </c>
      <c r="CO2146" s="15" t="n">
        <v>44</v>
      </c>
      <c r="DK2146" s="15" t="n">
        <v>44</v>
      </c>
      <c r="EG2146" s="15" t="n">
        <v>44</v>
      </c>
      <c r="FC2146" s="15" t="n">
        <v>44</v>
      </c>
      <c r="FY2146" s="15" t="n">
        <v>44</v>
      </c>
      <c r="GU2146" s="15" t="n">
        <v>44</v>
      </c>
    </row>
    <row r="2147">
      <c r="C2147" s="15" t="n">
        <v>45</v>
      </c>
      <c r="AA2147" s="15" t="n">
        <v>45</v>
      </c>
      <c r="AW2147" s="15" t="n">
        <v>45</v>
      </c>
      <c r="BS2147" s="15" t="n">
        <v>45</v>
      </c>
      <c r="CO2147" s="15" t="n">
        <v>45</v>
      </c>
      <c r="DK2147" s="15" t="n">
        <v>45</v>
      </c>
      <c r="EG2147" s="15" t="n">
        <v>45</v>
      </c>
      <c r="FC2147" s="15" t="n">
        <v>45</v>
      </c>
      <c r="FY2147" s="15" t="n">
        <v>45</v>
      </c>
      <c r="GU2147" s="15" t="n">
        <v>45</v>
      </c>
    </row>
    <row r="2148">
      <c r="C2148" s="15" t="n">
        <v>46</v>
      </c>
      <c r="AA2148" s="15" t="n">
        <v>46</v>
      </c>
      <c r="AW2148" s="15" t="n">
        <v>46</v>
      </c>
      <c r="BS2148" s="15" t="n">
        <v>46</v>
      </c>
      <c r="CO2148" s="15" t="n">
        <v>46</v>
      </c>
      <c r="DK2148" s="15" t="n">
        <v>46</v>
      </c>
      <c r="EG2148" s="15" t="n">
        <v>46</v>
      </c>
      <c r="FC2148" s="15" t="n">
        <v>46</v>
      </c>
      <c r="FY2148" s="15" t="n">
        <v>46</v>
      </c>
      <c r="GU2148" s="15" t="n">
        <v>46</v>
      </c>
    </row>
    <row r="2149">
      <c r="C2149" s="15" t="n">
        <v>47</v>
      </c>
      <c r="AA2149" s="15" t="n">
        <v>47</v>
      </c>
      <c r="AW2149" s="15" t="n">
        <v>47</v>
      </c>
      <c r="BS2149" s="15" t="n">
        <v>47</v>
      </c>
      <c r="CO2149" s="15" t="n">
        <v>47</v>
      </c>
      <c r="DK2149" s="15" t="n">
        <v>47</v>
      </c>
      <c r="EG2149" s="15" t="n">
        <v>47</v>
      </c>
      <c r="FC2149" s="15" t="n">
        <v>47</v>
      </c>
      <c r="FY2149" s="15" t="n">
        <v>47</v>
      </c>
      <c r="GU2149" s="15" t="n">
        <v>47</v>
      </c>
    </row>
    <row r="2150">
      <c r="C2150" s="15" t="n">
        <v>48</v>
      </c>
      <c r="AA2150" s="15" t="n">
        <v>48</v>
      </c>
      <c r="AW2150" s="15" t="n">
        <v>48</v>
      </c>
      <c r="BS2150" s="15" t="n">
        <v>48</v>
      </c>
      <c r="CO2150" s="15" t="n">
        <v>48</v>
      </c>
      <c r="DK2150" s="15" t="n">
        <v>48</v>
      </c>
      <c r="EG2150" s="15" t="n">
        <v>48</v>
      </c>
      <c r="FC2150" s="15" t="n">
        <v>48</v>
      </c>
      <c r="FY2150" s="15" t="n">
        <v>48</v>
      </c>
      <c r="GU2150" s="15" t="n">
        <v>48</v>
      </c>
    </row>
    <row r="2151">
      <c r="C2151" s="15" t="n">
        <v>49</v>
      </c>
      <c r="AA2151" s="15" t="n">
        <v>49</v>
      </c>
      <c r="AW2151" s="15" t="n">
        <v>49</v>
      </c>
      <c r="BS2151" s="15" t="n">
        <v>49</v>
      </c>
      <c r="CO2151" s="15" t="n">
        <v>49</v>
      </c>
      <c r="DK2151" s="15" t="n">
        <v>49</v>
      </c>
      <c r="EG2151" s="15" t="n">
        <v>49</v>
      </c>
      <c r="FC2151" s="15" t="n">
        <v>49</v>
      </c>
      <c r="FY2151" s="15" t="n">
        <v>49</v>
      </c>
      <c r="GU2151" s="15" t="n">
        <v>49</v>
      </c>
    </row>
    <row r="2152">
      <c r="C2152" s="15" t="n">
        <v>50</v>
      </c>
      <c r="AA2152" s="15" t="n">
        <v>50</v>
      </c>
      <c r="AW2152" s="15" t="n">
        <v>50</v>
      </c>
      <c r="BS2152" s="15" t="n">
        <v>50</v>
      </c>
      <c r="CO2152" s="15" t="n">
        <v>50</v>
      </c>
      <c r="DK2152" s="15" t="n">
        <v>50</v>
      </c>
      <c r="EG2152" s="15" t="n">
        <v>50</v>
      </c>
      <c r="FC2152" s="15" t="n">
        <v>50</v>
      </c>
      <c r="FY2152" s="15" t="n">
        <v>50</v>
      </c>
      <c r="GU2152" s="15" t="n">
        <v>50</v>
      </c>
    </row>
    <row r="2153">
      <c r="C2153" s="15" t="n">
        <v>51</v>
      </c>
      <c r="AA2153" s="15" t="n">
        <v>51</v>
      </c>
      <c r="AW2153" s="15" t="n">
        <v>51</v>
      </c>
      <c r="BS2153" s="15" t="n">
        <v>51</v>
      </c>
      <c r="CO2153" s="15" t="n">
        <v>51</v>
      </c>
      <c r="DK2153" s="15" t="n">
        <v>51</v>
      </c>
      <c r="EG2153" s="15" t="n">
        <v>51</v>
      </c>
      <c r="FC2153" s="15" t="n">
        <v>51</v>
      </c>
      <c r="FY2153" s="15" t="n">
        <v>51</v>
      </c>
      <c r="GU2153" s="15" t="n">
        <v>51</v>
      </c>
    </row>
    <row r="2154">
      <c r="C2154" s="15" t="n">
        <v>52</v>
      </c>
      <c r="AA2154" s="15" t="n">
        <v>52</v>
      </c>
      <c r="AW2154" s="15" t="n">
        <v>52</v>
      </c>
      <c r="BS2154" s="15" t="n">
        <v>52</v>
      </c>
      <c r="CO2154" s="15" t="n">
        <v>52</v>
      </c>
      <c r="DK2154" s="15" t="n">
        <v>52</v>
      </c>
      <c r="EG2154" s="15" t="n">
        <v>52</v>
      </c>
      <c r="FC2154" s="15" t="n">
        <v>52</v>
      </c>
      <c r="FY2154" s="15" t="n">
        <v>52</v>
      </c>
      <c r="GU2154" s="15" t="n">
        <v>52</v>
      </c>
    </row>
    <row r="2155">
      <c r="C2155" s="15" t="n">
        <v>53</v>
      </c>
      <c r="AA2155" s="15" t="n">
        <v>53</v>
      </c>
      <c r="AW2155" s="15" t="n">
        <v>53</v>
      </c>
      <c r="BS2155" s="15" t="n">
        <v>53</v>
      </c>
      <c r="CO2155" s="15" t="n">
        <v>53</v>
      </c>
      <c r="DK2155" s="15" t="n">
        <v>53</v>
      </c>
      <c r="EG2155" s="15" t="n">
        <v>53</v>
      </c>
      <c r="FC2155" s="15" t="n">
        <v>53</v>
      </c>
      <c r="FY2155" s="15" t="n">
        <v>53</v>
      </c>
      <c r="GU2155" s="15" t="n">
        <v>53</v>
      </c>
    </row>
    <row r="2156">
      <c r="C2156" s="15" t="n">
        <v>54</v>
      </c>
      <c r="AA2156" s="15" t="n">
        <v>54</v>
      </c>
      <c r="AW2156" s="15" t="n">
        <v>54</v>
      </c>
      <c r="BS2156" s="15" t="n">
        <v>54</v>
      </c>
      <c r="CO2156" s="15" t="n">
        <v>54</v>
      </c>
      <c r="DK2156" s="15" t="n">
        <v>54</v>
      </c>
      <c r="EG2156" s="15" t="n">
        <v>54</v>
      </c>
      <c r="FC2156" s="15" t="n">
        <v>54</v>
      </c>
      <c r="FY2156" s="15" t="n">
        <v>54</v>
      </c>
      <c r="GU2156" s="15" t="n">
        <v>54</v>
      </c>
    </row>
    <row r="2157">
      <c r="C2157" s="15" t="n">
        <v>55</v>
      </c>
      <c r="AA2157" s="15" t="n">
        <v>55</v>
      </c>
      <c r="AW2157" s="15" t="n">
        <v>55</v>
      </c>
      <c r="BS2157" s="15" t="n">
        <v>55</v>
      </c>
      <c r="CO2157" s="15" t="n">
        <v>55</v>
      </c>
      <c r="DK2157" s="15" t="n">
        <v>55</v>
      </c>
      <c r="EG2157" s="15" t="n">
        <v>55</v>
      </c>
      <c r="FC2157" s="15" t="n">
        <v>55</v>
      </c>
      <c r="FY2157" s="15" t="n">
        <v>55</v>
      </c>
      <c r="GU2157" s="15" t="n">
        <v>55</v>
      </c>
    </row>
    <row r="2158">
      <c r="C2158" s="15" t="n">
        <v>56</v>
      </c>
      <c r="AA2158" s="15" t="n">
        <v>56</v>
      </c>
      <c r="AW2158" s="15" t="n">
        <v>56</v>
      </c>
      <c r="BS2158" s="15" t="n">
        <v>56</v>
      </c>
      <c r="CO2158" s="15" t="n">
        <v>56</v>
      </c>
      <c r="DK2158" s="15" t="n">
        <v>56</v>
      </c>
      <c r="EG2158" s="15" t="n">
        <v>56</v>
      </c>
      <c r="FC2158" s="15" t="n">
        <v>56</v>
      </c>
      <c r="FY2158" s="15" t="n">
        <v>56</v>
      </c>
      <c r="GU2158" s="15" t="n">
        <v>56</v>
      </c>
    </row>
    <row r="2159">
      <c r="C2159" s="15" t="n">
        <v>57</v>
      </c>
      <c r="AA2159" s="15" t="n">
        <v>57</v>
      </c>
      <c r="AW2159" s="15" t="n">
        <v>57</v>
      </c>
      <c r="BS2159" s="15" t="n">
        <v>57</v>
      </c>
      <c r="CO2159" s="15" t="n">
        <v>57</v>
      </c>
      <c r="DK2159" s="15" t="n">
        <v>57</v>
      </c>
      <c r="EG2159" s="15" t="n">
        <v>57</v>
      </c>
      <c r="FC2159" s="15" t="n">
        <v>57</v>
      </c>
      <c r="FY2159" s="15" t="n">
        <v>57</v>
      </c>
      <c r="GU2159" s="15" t="n">
        <v>57</v>
      </c>
    </row>
    <row r="2160">
      <c r="C2160" s="15" t="n">
        <v>58</v>
      </c>
      <c r="AA2160" s="15" t="n">
        <v>58</v>
      </c>
      <c r="AW2160" s="15" t="n">
        <v>58</v>
      </c>
      <c r="BS2160" s="15" t="n">
        <v>58</v>
      </c>
      <c r="CO2160" s="15" t="n">
        <v>58</v>
      </c>
      <c r="DK2160" s="15" t="n">
        <v>58</v>
      </c>
      <c r="EG2160" s="15" t="n">
        <v>58</v>
      </c>
      <c r="FC2160" s="15" t="n">
        <v>58</v>
      </c>
      <c r="FY2160" s="15" t="n">
        <v>58</v>
      </c>
      <c r="GU2160" s="15" t="n">
        <v>58</v>
      </c>
    </row>
    <row r="2161">
      <c r="C2161" s="15" t="n">
        <v>59</v>
      </c>
      <c r="AA2161" s="15" t="n">
        <v>59</v>
      </c>
      <c r="AW2161" s="15" t="n">
        <v>59</v>
      </c>
      <c r="BS2161" s="15" t="n">
        <v>59</v>
      </c>
      <c r="CO2161" s="15" t="n">
        <v>59</v>
      </c>
      <c r="DK2161" s="15" t="n">
        <v>59</v>
      </c>
      <c r="EG2161" s="15" t="n">
        <v>59</v>
      </c>
      <c r="FC2161" s="15" t="n">
        <v>59</v>
      </c>
      <c r="FY2161" s="15" t="n">
        <v>59</v>
      </c>
      <c r="GU2161" s="15" t="n">
        <v>59</v>
      </c>
    </row>
    <row r="2162">
      <c r="C2162" s="15" t="n">
        <v>60</v>
      </c>
      <c r="AA2162" s="15" t="n">
        <v>60</v>
      </c>
      <c r="AW2162" s="15" t="n">
        <v>60</v>
      </c>
      <c r="BS2162" s="15" t="n">
        <v>60</v>
      </c>
      <c r="CO2162" s="15" t="n">
        <v>60</v>
      </c>
      <c r="DK2162" s="15" t="n">
        <v>60</v>
      </c>
      <c r="EG2162" s="15" t="n">
        <v>60</v>
      </c>
      <c r="FC2162" s="15" t="n">
        <v>60</v>
      </c>
      <c r="FY2162" s="15" t="n">
        <v>60</v>
      </c>
      <c r="GU2162" s="15" t="n">
        <v>60</v>
      </c>
    </row>
    <row r="2163">
      <c r="C2163" s="15" t="n">
        <v>61</v>
      </c>
      <c r="AA2163" s="15" t="n">
        <v>61</v>
      </c>
      <c r="AW2163" s="15" t="n">
        <v>61</v>
      </c>
      <c r="BS2163" s="15" t="n">
        <v>61</v>
      </c>
      <c r="CO2163" s="15" t="n">
        <v>61</v>
      </c>
      <c r="DK2163" s="15" t="n">
        <v>61</v>
      </c>
      <c r="EG2163" s="15" t="n">
        <v>61</v>
      </c>
      <c r="FC2163" s="15" t="n">
        <v>61</v>
      </c>
      <c r="FY2163" s="15" t="n">
        <v>61</v>
      </c>
      <c r="GU2163" s="15" t="n">
        <v>61</v>
      </c>
    </row>
    <row r="2164">
      <c r="C2164" s="15" t="n">
        <v>62</v>
      </c>
      <c r="AA2164" s="15" t="n">
        <v>62</v>
      </c>
      <c r="AW2164" s="15" t="n">
        <v>62</v>
      </c>
      <c r="BS2164" s="15" t="n">
        <v>62</v>
      </c>
      <c r="CO2164" s="15" t="n">
        <v>62</v>
      </c>
      <c r="DK2164" s="15" t="n">
        <v>62</v>
      </c>
      <c r="EG2164" s="15" t="n">
        <v>62</v>
      </c>
      <c r="FC2164" s="15" t="n">
        <v>62</v>
      </c>
      <c r="FY2164" s="15" t="n">
        <v>62</v>
      </c>
      <c r="GU2164" s="15" t="n">
        <v>62</v>
      </c>
    </row>
    <row r="2165">
      <c r="C2165" s="15" t="n">
        <v>63</v>
      </c>
      <c r="AA2165" s="15" t="n">
        <v>63</v>
      </c>
      <c r="AW2165" s="15" t="n">
        <v>63</v>
      </c>
      <c r="BS2165" s="15" t="n">
        <v>63</v>
      </c>
      <c r="CO2165" s="15" t="n">
        <v>63</v>
      </c>
      <c r="DK2165" s="15" t="n">
        <v>63</v>
      </c>
      <c r="EG2165" s="15" t="n">
        <v>63</v>
      </c>
      <c r="FC2165" s="15" t="n">
        <v>63</v>
      </c>
      <c r="FY2165" s="15" t="n">
        <v>63</v>
      </c>
      <c r="GU2165" s="15" t="n">
        <v>63</v>
      </c>
    </row>
    <row r="2166">
      <c r="C2166" s="15" t="n">
        <v>64</v>
      </c>
      <c r="AA2166" s="15" t="n">
        <v>64</v>
      </c>
      <c r="AW2166" s="15" t="n">
        <v>64</v>
      </c>
      <c r="BS2166" s="15" t="n">
        <v>64</v>
      </c>
      <c r="CO2166" s="15" t="n">
        <v>64</v>
      </c>
      <c r="DK2166" s="15" t="n">
        <v>64</v>
      </c>
      <c r="EG2166" s="15" t="n">
        <v>64</v>
      </c>
      <c r="FC2166" s="15" t="n">
        <v>64</v>
      </c>
      <c r="FY2166" s="15" t="n">
        <v>64</v>
      </c>
      <c r="GU2166" s="15" t="n">
        <v>64</v>
      </c>
    </row>
    <row r="2167">
      <c r="C2167" s="15" t="n">
        <v>65</v>
      </c>
      <c r="AA2167" s="15" t="n">
        <v>65</v>
      </c>
      <c r="AW2167" s="15" t="n">
        <v>65</v>
      </c>
      <c r="BS2167" s="15" t="n">
        <v>65</v>
      </c>
      <c r="CO2167" s="15" t="n">
        <v>65</v>
      </c>
      <c r="DK2167" s="15" t="n">
        <v>65</v>
      </c>
      <c r="EG2167" s="15" t="n">
        <v>65</v>
      </c>
      <c r="FC2167" s="15" t="n">
        <v>65</v>
      </c>
      <c r="FY2167" s="15" t="n">
        <v>65</v>
      </c>
      <c r="GU2167" s="15" t="n">
        <v>65</v>
      </c>
    </row>
    <row r="2168">
      <c r="C2168" s="15" t="n">
        <v>66</v>
      </c>
      <c r="AA2168" s="15" t="n">
        <v>66</v>
      </c>
      <c r="AW2168" s="15" t="n">
        <v>66</v>
      </c>
      <c r="BS2168" s="15" t="n">
        <v>66</v>
      </c>
      <c r="CO2168" s="15" t="n">
        <v>66</v>
      </c>
      <c r="DK2168" s="15" t="n">
        <v>66</v>
      </c>
      <c r="EG2168" s="15" t="n">
        <v>66</v>
      </c>
      <c r="FC2168" s="15" t="n">
        <v>66</v>
      </c>
      <c r="FY2168" s="15" t="n">
        <v>66</v>
      </c>
      <c r="GU2168" s="15" t="n">
        <v>66</v>
      </c>
    </row>
    <row r="2169">
      <c r="C2169" s="15" t="n">
        <v>67</v>
      </c>
      <c r="AA2169" s="15" t="n">
        <v>67</v>
      </c>
      <c r="AW2169" s="15" t="n">
        <v>67</v>
      </c>
      <c r="BS2169" s="15" t="n">
        <v>67</v>
      </c>
      <c r="CO2169" s="15" t="n">
        <v>67</v>
      </c>
      <c r="DK2169" s="15" t="n">
        <v>67</v>
      </c>
      <c r="EG2169" s="15" t="n">
        <v>67</v>
      </c>
      <c r="FC2169" s="15" t="n">
        <v>67</v>
      </c>
      <c r="FY2169" s="15" t="n">
        <v>67</v>
      </c>
      <c r="GU2169" s="15" t="n">
        <v>67</v>
      </c>
    </row>
    <row r="2170">
      <c r="C2170" s="15" t="n">
        <v>68</v>
      </c>
      <c r="AA2170" s="15" t="n">
        <v>68</v>
      </c>
      <c r="AW2170" s="15" t="n">
        <v>68</v>
      </c>
      <c r="BS2170" s="15" t="n">
        <v>68</v>
      </c>
      <c r="CO2170" s="15" t="n">
        <v>68</v>
      </c>
      <c r="DK2170" s="15" t="n">
        <v>68</v>
      </c>
      <c r="EG2170" s="15" t="n">
        <v>68</v>
      </c>
      <c r="FC2170" s="15" t="n">
        <v>68</v>
      </c>
      <c r="FY2170" s="15" t="n">
        <v>68</v>
      </c>
      <c r="GU2170" s="15" t="n">
        <v>68</v>
      </c>
    </row>
    <row r="2171">
      <c r="C2171" s="15" t="n">
        <v>69</v>
      </c>
      <c r="AA2171" s="15" t="n">
        <v>69</v>
      </c>
      <c r="AW2171" s="15" t="n">
        <v>69</v>
      </c>
      <c r="BS2171" s="15" t="n">
        <v>69</v>
      </c>
      <c r="CO2171" s="15" t="n">
        <v>69</v>
      </c>
      <c r="DK2171" s="15" t="n">
        <v>69</v>
      </c>
      <c r="EG2171" s="15" t="n">
        <v>69</v>
      </c>
      <c r="FC2171" s="15" t="n">
        <v>69</v>
      </c>
      <c r="FY2171" s="15" t="n">
        <v>69</v>
      </c>
      <c r="GU2171" s="15" t="n">
        <v>69</v>
      </c>
    </row>
    <row r="2172">
      <c r="C2172" s="15" t="n">
        <v>70</v>
      </c>
      <c r="AA2172" s="15" t="n">
        <v>70</v>
      </c>
      <c r="AW2172" s="15" t="n">
        <v>70</v>
      </c>
      <c r="BS2172" s="15" t="n">
        <v>70</v>
      </c>
      <c r="CO2172" s="15" t="n">
        <v>70</v>
      </c>
      <c r="DK2172" s="15" t="n">
        <v>70</v>
      </c>
      <c r="EG2172" s="15" t="n">
        <v>70</v>
      </c>
      <c r="FC2172" s="15" t="n">
        <v>70</v>
      </c>
      <c r="FY2172" s="15" t="n">
        <v>70</v>
      </c>
      <c r="GU2172" s="15" t="n">
        <v>70</v>
      </c>
    </row>
    <row r="2173">
      <c r="C2173" s="15" t="n">
        <v>71</v>
      </c>
      <c r="AA2173" s="15" t="n">
        <v>71</v>
      </c>
      <c r="AW2173" s="15" t="n">
        <v>71</v>
      </c>
      <c r="BS2173" s="15" t="n">
        <v>71</v>
      </c>
      <c r="CO2173" s="15" t="n">
        <v>71</v>
      </c>
      <c r="DK2173" s="15" t="n">
        <v>71</v>
      </c>
      <c r="EG2173" s="15" t="n">
        <v>71</v>
      </c>
      <c r="FC2173" s="15" t="n">
        <v>71</v>
      </c>
      <c r="FY2173" s="15" t="n">
        <v>71</v>
      </c>
      <c r="GU2173" s="15" t="n">
        <v>71</v>
      </c>
    </row>
    <row r="2174">
      <c r="C2174" s="15" t="n">
        <v>72</v>
      </c>
      <c r="AA2174" s="15" t="n">
        <v>72</v>
      </c>
      <c r="AW2174" s="15" t="n">
        <v>72</v>
      </c>
      <c r="BS2174" s="15" t="n">
        <v>72</v>
      </c>
      <c r="CO2174" s="15" t="n">
        <v>72</v>
      </c>
      <c r="DK2174" s="15" t="n">
        <v>72</v>
      </c>
      <c r="EG2174" s="15" t="n">
        <v>72</v>
      </c>
      <c r="FC2174" s="15" t="n">
        <v>72</v>
      </c>
      <c r="FY2174" s="15" t="n">
        <v>72</v>
      </c>
      <c r="GU2174" s="15" t="n">
        <v>72</v>
      </c>
    </row>
    <row r="2175">
      <c r="C2175" s="15" t="n">
        <v>73</v>
      </c>
      <c r="AA2175" s="15" t="n">
        <v>73</v>
      </c>
      <c r="AW2175" s="15" t="n">
        <v>73</v>
      </c>
      <c r="BS2175" s="15" t="n">
        <v>73</v>
      </c>
      <c r="CO2175" s="15" t="n">
        <v>73</v>
      </c>
      <c r="DK2175" s="15" t="n">
        <v>73</v>
      </c>
      <c r="EG2175" s="15" t="n">
        <v>73</v>
      </c>
      <c r="FC2175" s="15" t="n">
        <v>73</v>
      </c>
      <c r="FY2175" s="15" t="n">
        <v>73</v>
      </c>
      <c r="GU2175" s="15" t="n">
        <v>73</v>
      </c>
    </row>
    <row r="2176">
      <c r="C2176" s="15" t="n">
        <v>74</v>
      </c>
      <c r="AA2176" s="15" t="n">
        <v>74</v>
      </c>
      <c r="AW2176" s="15" t="n">
        <v>74</v>
      </c>
      <c r="BS2176" s="15" t="n">
        <v>74</v>
      </c>
      <c r="CO2176" s="15" t="n">
        <v>74</v>
      </c>
      <c r="DK2176" s="15" t="n">
        <v>74</v>
      </c>
      <c r="EG2176" s="15" t="n">
        <v>74</v>
      </c>
      <c r="FC2176" s="15" t="n">
        <v>74</v>
      </c>
      <c r="FY2176" s="15" t="n">
        <v>74</v>
      </c>
      <c r="GU2176" s="15" t="n">
        <v>74</v>
      </c>
    </row>
    <row r="2177">
      <c r="C2177" s="15" t="n">
        <v>75</v>
      </c>
      <c r="AA2177" s="15" t="n">
        <v>75</v>
      </c>
      <c r="AW2177" s="15" t="n">
        <v>75</v>
      </c>
      <c r="BS2177" s="15" t="n">
        <v>75</v>
      </c>
      <c r="CO2177" s="15" t="n">
        <v>75</v>
      </c>
      <c r="DK2177" s="15" t="n">
        <v>75</v>
      </c>
      <c r="EG2177" s="15" t="n">
        <v>75</v>
      </c>
      <c r="FC2177" s="15" t="n">
        <v>75</v>
      </c>
      <c r="FY2177" s="15" t="n">
        <v>75</v>
      </c>
      <c r="GU2177" s="15" t="n">
        <v>75</v>
      </c>
    </row>
    <row r="2178">
      <c r="C2178" s="15" t="n">
        <v>76</v>
      </c>
      <c r="AA2178" s="15" t="n">
        <v>76</v>
      </c>
      <c r="AW2178" s="15" t="n">
        <v>76</v>
      </c>
      <c r="BS2178" s="15" t="n">
        <v>76</v>
      </c>
      <c r="CO2178" s="15" t="n">
        <v>76</v>
      </c>
      <c r="DK2178" s="15" t="n">
        <v>76</v>
      </c>
      <c r="EG2178" s="15" t="n">
        <v>76</v>
      </c>
      <c r="FC2178" s="15" t="n">
        <v>76</v>
      </c>
      <c r="FY2178" s="15" t="n">
        <v>76</v>
      </c>
      <c r="GU2178" s="15" t="n">
        <v>76</v>
      </c>
    </row>
    <row r="2179">
      <c r="C2179" s="15" t="n">
        <v>77</v>
      </c>
      <c r="AA2179" s="15" t="n">
        <v>77</v>
      </c>
      <c r="AW2179" s="15" t="n">
        <v>77</v>
      </c>
      <c r="BS2179" s="15" t="n">
        <v>77</v>
      </c>
      <c r="CO2179" s="15" t="n">
        <v>77</v>
      </c>
      <c r="DK2179" s="15" t="n">
        <v>77</v>
      </c>
      <c r="EG2179" s="15" t="n">
        <v>77</v>
      </c>
      <c r="FC2179" s="15" t="n">
        <v>77</v>
      </c>
      <c r="FY2179" s="15" t="n">
        <v>77</v>
      </c>
      <c r="GU2179" s="15" t="n">
        <v>77</v>
      </c>
    </row>
    <row r="2180">
      <c r="C2180" s="15" t="n">
        <v>78</v>
      </c>
      <c r="AA2180" s="15" t="n">
        <v>78</v>
      </c>
      <c r="AW2180" s="15" t="n">
        <v>78</v>
      </c>
      <c r="BS2180" s="15" t="n">
        <v>78</v>
      </c>
      <c r="CO2180" s="15" t="n">
        <v>78</v>
      </c>
      <c r="DK2180" s="15" t="n">
        <v>78</v>
      </c>
      <c r="EG2180" s="15" t="n">
        <v>78</v>
      </c>
      <c r="FC2180" s="15" t="n">
        <v>78</v>
      </c>
      <c r="FY2180" s="15" t="n">
        <v>78</v>
      </c>
      <c r="GU2180" s="15" t="n">
        <v>78</v>
      </c>
    </row>
    <row r="2181">
      <c r="C2181" s="15" t="n">
        <v>79</v>
      </c>
      <c r="AA2181" s="15" t="n">
        <v>79</v>
      </c>
      <c r="AW2181" s="15" t="n">
        <v>79</v>
      </c>
      <c r="BS2181" s="15" t="n">
        <v>79</v>
      </c>
      <c r="CO2181" s="15" t="n">
        <v>79</v>
      </c>
      <c r="DK2181" s="15" t="n">
        <v>79</v>
      </c>
      <c r="EG2181" s="15" t="n">
        <v>79</v>
      </c>
      <c r="FC2181" s="15" t="n">
        <v>79</v>
      </c>
      <c r="FY2181" s="15" t="n">
        <v>79</v>
      </c>
      <c r="GU2181" s="15" t="n">
        <v>79</v>
      </c>
    </row>
    <row r="2182">
      <c r="C2182" s="15" t="n">
        <v>80</v>
      </c>
      <c r="AA2182" s="15" t="n">
        <v>80</v>
      </c>
      <c r="AW2182" s="15" t="n">
        <v>80</v>
      </c>
      <c r="BS2182" s="15" t="n">
        <v>80</v>
      </c>
      <c r="CO2182" s="15" t="n">
        <v>80</v>
      </c>
      <c r="DK2182" s="15" t="n">
        <v>80</v>
      </c>
      <c r="EG2182" s="15" t="n">
        <v>80</v>
      </c>
      <c r="FC2182" s="15" t="n">
        <v>80</v>
      </c>
      <c r="FY2182" s="15" t="n">
        <v>80</v>
      </c>
      <c r="GU2182" s="15" t="n">
        <v>80</v>
      </c>
    </row>
    <row r="2183">
      <c r="C2183" s="15" t="n">
        <v>81</v>
      </c>
      <c r="AA2183" s="15" t="n">
        <v>81</v>
      </c>
      <c r="AW2183" s="15" t="n">
        <v>81</v>
      </c>
      <c r="BS2183" s="15" t="n">
        <v>81</v>
      </c>
      <c r="CO2183" s="15" t="n">
        <v>81</v>
      </c>
      <c r="DK2183" s="15" t="n">
        <v>81</v>
      </c>
      <c r="EG2183" s="15" t="n">
        <v>81</v>
      </c>
      <c r="FC2183" s="15" t="n">
        <v>81</v>
      </c>
      <c r="FY2183" s="15" t="n">
        <v>81</v>
      </c>
      <c r="GU2183" s="15" t="n">
        <v>81</v>
      </c>
    </row>
    <row r="2184">
      <c r="C2184" s="15" t="n">
        <v>82</v>
      </c>
      <c r="AA2184" s="15" t="n">
        <v>82</v>
      </c>
      <c r="AW2184" s="15" t="n">
        <v>82</v>
      </c>
      <c r="BS2184" s="15" t="n">
        <v>82</v>
      </c>
      <c r="CO2184" s="15" t="n">
        <v>82</v>
      </c>
      <c r="DK2184" s="15" t="n">
        <v>82</v>
      </c>
      <c r="EG2184" s="15" t="n">
        <v>82</v>
      </c>
      <c r="FC2184" s="15" t="n">
        <v>82</v>
      </c>
      <c r="FY2184" s="15" t="n">
        <v>82</v>
      </c>
      <c r="GU2184" s="15" t="n">
        <v>82</v>
      </c>
    </row>
    <row r="2185">
      <c r="C2185" s="15" t="n">
        <v>83</v>
      </c>
      <c r="AA2185" s="15" t="n">
        <v>83</v>
      </c>
      <c r="AW2185" s="15" t="n">
        <v>83</v>
      </c>
      <c r="BS2185" s="15" t="n">
        <v>83</v>
      </c>
      <c r="CO2185" s="15" t="n">
        <v>83</v>
      </c>
      <c r="DK2185" s="15" t="n">
        <v>83</v>
      </c>
      <c r="EG2185" s="15" t="n">
        <v>83</v>
      </c>
      <c r="FC2185" s="15" t="n">
        <v>83</v>
      </c>
      <c r="FY2185" s="15" t="n">
        <v>83</v>
      </c>
      <c r="GU2185" s="15" t="n">
        <v>83</v>
      </c>
    </row>
    <row r="2186">
      <c r="C2186" s="15" t="n">
        <v>84</v>
      </c>
      <c r="AA2186" s="15" t="n">
        <v>84</v>
      </c>
      <c r="AW2186" s="15" t="n">
        <v>84</v>
      </c>
      <c r="BS2186" s="15" t="n">
        <v>84</v>
      </c>
      <c r="CO2186" s="15" t="n">
        <v>84</v>
      </c>
      <c r="DK2186" s="15" t="n">
        <v>84</v>
      </c>
      <c r="EG2186" s="15" t="n">
        <v>84</v>
      </c>
      <c r="FC2186" s="15" t="n">
        <v>84</v>
      </c>
      <c r="FY2186" s="15" t="n">
        <v>84</v>
      </c>
      <c r="GU2186" s="15" t="n">
        <v>84</v>
      </c>
    </row>
    <row r="2187">
      <c r="C2187" s="15" t="n">
        <v>85</v>
      </c>
      <c r="AA2187" s="15" t="n">
        <v>85</v>
      </c>
      <c r="AW2187" s="15" t="n">
        <v>85</v>
      </c>
      <c r="BS2187" s="15" t="n">
        <v>85</v>
      </c>
      <c r="CO2187" s="15" t="n">
        <v>85</v>
      </c>
      <c r="DK2187" s="15" t="n">
        <v>85</v>
      </c>
      <c r="EG2187" s="15" t="n">
        <v>85</v>
      </c>
      <c r="FC2187" s="15" t="n">
        <v>85</v>
      </c>
      <c r="FY2187" s="15" t="n">
        <v>85</v>
      </c>
      <c r="GU2187" s="15" t="n">
        <v>85</v>
      </c>
    </row>
    <row r="2188">
      <c r="C2188" s="15" t="n">
        <v>86</v>
      </c>
      <c r="AA2188" s="15" t="n">
        <v>86</v>
      </c>
      <c r="AW2188" s="15" t="n">
        <v>86</v>
      </c>
      <c r="BS2188" s="15" t="n">
        <v>86</v>
      </c>
      <c r="CO2188" s="15" t="n">
        <v>86</v>
      </c>
      <c r="DK2188" s="15" t="n">
        <v>86</v>
      </c>
      <c r="EG2188" s="15" t="n">
        <v>86</v>
      </c>
      <c r="FC2188" s="15" t="n">
        <v>86</v>
      </c>
      <c r="FY2188" s="15" t="n">
        <v>86</v>
      </c>
      <c r="GU2188" s="15" t="n">
        <v>86</v>
      </c>
    </row>
    <row r="2189">
      <c r="C2189" s="15" t="n">
        <v>87</v>
      </c>
      <c r="AA2189" s="15" t="n">
        <v>87</v>
      </c>
      <c r="AW2189" s="15" t="n">
        <v>87</v>
      </c>
      <c r="BS2189" s="15" t="n">
        <v>87</v>
      </c>
      <c r="CO2189" s="15" t="n">
        <v>87</v>
      </c>
      <c r="DK2189" s="15" t="n">
        <v>87</v>
      </c>
      <c r="EG2189" s="15" t="n">
        <v>87</v>
      </c>
      <c r="FC2189" s="15" t="n">
        <v>87</v>
      </c>
      <c r="FY2189" s="15" t="n">
        <v>87</v>
      </c>
      <c r="GU2189" s="15" t="n">
        <v>87</v>
      </c>
    </row>
    <row r="2190">
      <c r="C2190" s="15" t="n">
        <v>88</v>
      </c>
      <c r="AA2190" s="15" t="n">
        <v>88</v>
      </c>
      <c r="AW2190" s="15" t="n">
        <v>88</v>
      </c>
      <c r="BS2190" s="15" t="n">
        <v>88</v>
      </c>
      <c r="CO2190" s="15" t="n">
        <v>88</v>
      </c>
      <c r="DK2190" s="15" t="n">
        <v>88</v>
      </c>
      <c r="EG2190" s="15" t="n">
        <v>88</v>
      </c>
      <c r="FC2190" s="15" t="n">
        <v>88</v>
      </c>
      <c r="FY2190" s="15" t="n">
        <v>88</v>
      </c>
      <c r="GU2190" s="15" t="n">
        <v>88</v>
      </c>
    </row>
    <row r="2191">
      <c r="C2191" s="15" t="n">
        <v>89</v>
      </c>
      <c r="AA2191" s="15" t="n">
        <v>89</v>
      </c>
      <c r="AW2191" s="15" t="n">
        <v>89</v>
      </c>
      <c r="BS2191" s="15" t="n">
        <v>89</v>
      </c>
      <c r="CO2191" s="15" t="n">
        <v>89</v>
      </c>
      <c r="DK2191" s="15" t="n">
        <v>89</v>
      </c>
      <c r="EG2191" s="15" t="n">
        <v>89</v>
      </c>
      <c r="FC2191" s="15" t="n">
        <v>89</v>
      </c>
      <c r="FY2191" s="15" t="n">
        <v>89</v>
      </c>
      <c r="GU2191" s="15" t="n">
        <v>89</v>
      </c>
    </row>
    <row r="2192">
      <c r="C2192" s="15" t="n">
        <v>90</v>
      </c>
      <c r="AA2192" s="15" t="n">
        <v>90</v>
      </c>
      <c r="AW2192" s="15" t="n">
        <v>90</v>
      </c>
      <c r="BS2192" s="15" t="n">
        <v>90</v>
      </c>
      <c r="CO2192" s="15" t="n">
        <v>90</v>
      </c>
      <c r="DK2192" s="15" t="n">
        <v>90</v>
      </c>
      <c r="EG2192" s="15" t="n">
        <v>90</v>
      </c>
      <c r="FC2192" s="15" t="n">
        <v>90</v>
      </c>
      <c r="FY2192" s="15" t="n">
        <v>90</v>
      </c>
      <c r="GU2192" s="15" t="n">
        <v>90</v>
      </c>
    </row>
    <row r="2193">
      <c r="C2193" s="15" t="n">
        <v>91</v>
      </c>
      <c r="AA2193" s="15" t="n">
        <v>91</v>
      </c>
      <c r="AW2193" s="15" t="n">
        <v>91</v>
      </c>
      <c r="BS2193" s="15" t="n">
        <v>91</v>
      </c>
      <c r="CO2193" s="15" t="n">
        <v>91</v>
      </c>
      <c r="DK2193" s="15" t="n">
        <v>91</v>
      </c>
      <c r="EG2193" s="15" t="n">
        <v>91</v>
      </c>
      <c r="FC2193" s="15" t="n">
        <v>91</v>
      </c>
      <c r="FY2193" s="15" t="n">
        <v>91</v>
      </c>
      <c r="GU2193" s="15" t="n">
        <v>91</v>
      </c>
    </row>
    <row r="2194">
      <c r="C2194" s="15" t="n">
        <v>92</v>
      </c>
      <c r="AA2194" s="15" t="n">
        <v>92</v>
      </c>
      <c r="AW2194" s="15" t="n">
        <v>92</v>
      </c>
      <c r="BS2194" s="15" t="n">
        <v>92</v>
      </c>
      <c r="CO2194" s="15" t="n">
        <v>92</v>
      </c>
      <c r="DK2194" s="15" t="n">
        <v>92</v>
      </c>
      <c r="EG2194" s="15" t="n">
        <v>92</v>
      </c>
      <c r="FC2194" s="15" t="n">
        <v>92</v>
      </c>
      <c r="FY2194" s="15" t="n">
        <v>92</v>
      </c>
      <c r="GU2194" s="15" t="n">
        <v>92</v>
      </c>
    </row>
    <row r="2195">
      <c r="C2195" s="15" t="n">
        <v>93</v>
      </c>
      <c r="AA2195" s="15" t="n">
        <v>93</v>
      </c>
      <c r="AW2195" s="15" t="n">
        <v>93</v>
      </c>
      <c r="BS2195" s="15" t="n">
        <v>93</v>
      </c>
      <c r="CO2195" s="15" t="n">
        <v>93</v>
      </c>
      <c r="DK2195" s="15" t="n">
        <v>93</v>
      </c>
      <c r="EG2195" s="15" t="n">
        <v>93</v>
      </c>
      <c r="FC2195" s="15" t="n">
        <v>93</v>
      </c>
      <c r="FY2195" s="15" t="n">
        <v>93</v>
      </c>
      <c r="GU2195" s="15" t="n">
        <v>93</v>
      </c>
    </row>
    <row r="2196">
      <c r="C2196" s="15" t="n">
        <v>94</v>
      </c>
      <c r="AA2196" s="15" t="n">
        <v>94</v>
      </c>
      <c r="AW2196" s="15" t="n">
        <v>94</v>
      </c>
      <c r="BS2196" s="15" t="n">
        <v>94</v>
      </c>
      <c r="CO2196" s="15" t="n">
        <v>94</v>
      </c>
      <c r="DK2196" s="15" t="n">
        <v>94</v>
      </c>
      <c r="EG2196" s="15" t="n">
        <v>94</v>
      </c>
      <c r="FC2196" s="15" t="n">
        <v>94</v>
      </c>
      <c r="FY2196" s="15" t="n">
        <v>94</v>
      </c>
      <c r="GU2196" s="15" t="n">
        <v>94</v>
      </c>
    </row>
    <row r="2197">
      <c r="C2197" s="15" t="n">
        <v>95</v>
      </c>
      <c r="AA2197" s="15" t="n">
        <v>95</v>
      </c>
      <c r="AW2197" s="15" t="n">
        <v>95</v>
      </c>
      <c r="BS2197" s="15" t="n">
        <v>95</v>
      </c>
      <c r="CO2197" s="15" t="n">
        <v>95</v>
      </c>
      <c r="DK2197" s="15" t="n">
        <v>95</v>
      </c>
      <c r="EG2197" s="15" t="n">
        <v>95</v>
      </c>
      <c r="FC2197" s="15" t="n">
        <v>95</v>
      </c>
      <c r="FY2197" s="15" t="n">
        <v>95</v>
      </c>
      <c r="GU2197" s="15" t="n">
        <v>95</v>
      </c>
    </row>
    <row r="2198">
      <c r="C2198" s="15" t="n">
        <v>96</v>
      </c>
      <c r="AA2198" s="15" t="n">
        <v>96</v>
      </c>
      <c r="AW2198" s="15" t="n">
        <v>96</v>
      </c>
      <c r="BS2198" s="15" t="n">
        <v>96</v>
      </c>
      <c r="CO2198" s="15" t="n">
        <v>96</v>
      </c>
      <c r="DK2198" s="15" t="n">
        <v>96</v>
      </c>
      <c r="EG2198" s="15" t="n">
        <v>96</v>
      </c>
      <c r="FC2198" s="15" t="n">
        <v>96</v>
      </c>
      <c r="FY2198" s="15" t="n">
        <v>96</v>
      </c>
      <c r="GU2198" s="15" t="n">
        <v>96</v>
      </c>
    </row>
    <row r="2199">
      <c r="C2199" s="15" t="n">
        <v>97</v>
      </c>
      <c r="AA2199" s="15" t="n">
        <v>97</v>
      </c>
      <c r="AW2199" s="15" t="n">
        <v>97</v>
      </c>
      <c r="BS2199" s="15" t="n">
        <v>97</v>
      </c>
      <c r="CO2199" s="15" t="n">
        <v>97</v>
      </c>
      <c r="DK2199" s="15" t="n">
        <v>97</v>
      </c>
      <c r="EG2199" s="15" t="n">
        <v>97</v>
      </c>
      <c r="FC2199" s="15" t="n">
        <v>97</v>
      </c>
      <c r="FY2199" s="15" t="n">
        <v>97</v>
      </c>
      <c r="GU2199" s="15" t="n">
        <v>97</v>
      </c>
    </row>
    <row r="2200">
      <c r="C2200" s="15" t="n">
        <v>98</v>
      </c>
      <c r="AA2200" s="15" t="n">
        <v>98</v>
      </c>
      <c r="AW2200" s="15" t="n">
        <v>98</v>
      </c>
      <c r="BS2200" s="15" t="n">
        <v>98</v>
      </c>
      <c r="CO2200" s="15" t="n">
        <v>98</v>
      </c>
      <c r="DK2200" s="15" t="n">
        <v>98</v>
      </c>
      <c r="EG2200" s="15" t="n">
        <v>98</v>
      </c>
      <c r="FC2200" s="15" t="n">
        <v>98</v>
      </c>
      <c r="FY2200" s="15" t="n">
        <v>98</v>
      </c>
      <c r="GU2200" s="15" t="n">
        <v>98</v>
      </c>
    </row>
    <row r="2201">
      <c r="C2201" s="15" t="n">
        <v>99</v>
      </c>
      <c r="AA2201" s="15" t="n">
        <v>99</v>
      </c>
      <c r="AW2201" s="15" t="n">
        <v>99</v>
      </c>
      <c r="BS2201" s="15" t="n">
        <v>99</v>
      </c>
      <c r="CO2201" s="15" t="n">
        <v>99</v>
      </c>
      <c r="DK2201" s="15" t="n">
        <v>99</v>
      </c>
      <c r="EG2201" s="15" t="n">
        <v>99</v>
      </c>
      <c r="FC2201" s="15" t="n">
        <v>99</v>
      </c>
      <c r="FY2201" s="15" t="n">
        <v>99</v>
      </c>
      <c r="GU2201" s="15" t="n">
        <v>99</v>
      </c>
    </row>
    <row r="2202">
      <c r="C2202" s="15" t="n">
        <v>100</v>
      </c>
      <c r="AA2202" s="15" t="n">
        <v>100</v>
      </c>
      <c r="AW2202" s="15" t="n">
        <v>100</v>
      </c>
      <c r="BS2202" s="15" t="n">
        <v>100</v>
      </c>
      <c r="CO2202" s="15" t="n">
        <v>100</v>
      </c>
      <c r="DK2202" s="15" t="n">
        <v>100</v>
      </c>
      <c r="EG2202" s="15" t="n">
        <v>100</v>
      </c>
      <c r="FC2202" s="15" t="n">
        <v>100</v>
      </c>
      <c r="FY2202" s="15" t="n">
        <v>100</v>
      </c>
      <c r="GU2202" s="15" t="n">
        <v>100</v>
      </c>
    </row>
    <row r="2203">
      <c r="C2203" s="15" t="n">
        <v>101</v>
      </c>
      <c r="AA2203" s="15" t="n">
        <v>101</v>
      </c>
      <c r="AW2203" s="15" t="n">
        <v>101</v>
      </c>
      <c r="BS2203" s="15" t="n">
        <v>101</v>
      </c>
      <c r="CO2203" s="15" t="n">
        <v>101</v>
      </c>
      <c r="DK2203" s="15" t="n">
        <v>101</v>
      </c>
      <c r="EG2203" s="15" t="n">
        <v>101</v>
      </c>
      <c r="FC2203" s="15" t="n">
        <v>101</v>
      </c>
      <c r="FY2203" s="15" t="n">
        <v>101</v>
      </c>
      <c r="GU2203" s="15" t="n">
        <v>101</v>
      </c>
    </row>
    <row r="2204">
      <c r="C2204" s="15" t="n">
        <v>102</v>
      </c>
      <c r="AA2204" s="15" t="n">
        <v>102</v>
      </c>
      <c r="AW2204" s="15" t="n">
        <v>102</v>
      </c>
      <c r="BS2204" s="15" t="n">
        <v>102</v>
      </c>
      <c r="CO2204" s="15" t="n">
        <v>102</v>
      </c>
      <c r="DK2204" s="15" t="n">
        <v>102</v>
      </c>
      <c r="EG2204" s="15" t="n">
        <v>102</v>
      </c>
      <c r="FC2204" s="15" t="n">
        <v>102</v>
      </c>
      <c r="FY2204" s="15" t="n">
        <v>102</v>
      </c>
      <c r="GU2204" s="15" t="n">
        <v>102</v>
      </c>
    </row>
    <row r="2205">
      <c r="C2205" s="15" t="n">
        <v>103</v>
      </c>
      <c r="AA2205" s="15" t="n">
        <v>103</v>
      </c>
      <c r="AW2205" s="15" t="n">
        <v>103</v>
      </c>
      <c r="BS2205" s="15" t="n">
        <v>103</v>
      </c>
      <c r="CO2205" s="15" t="n">
        <v>103</v>
      </c>
      <c r="DK2205" s="15" t="n">
        <v>103</v>
      </c>
      <c r="EG2205" s="15" t="n">
        <v>103</v>
      </c>
      <c r="FC2205" s="15" t="n">
        <v>103</v>
      </c>
      <c r="FY2205" s="15" t="n">
        <v>103</v>
      </c>
      <c r="GU2205" s="15" t="n">
        <v>103</v>
      </c>
    </row>
    <row r="2206">
      <c r="C2206" s="15" t="n">
        <v>104</v>
      </c>
      <c r="AA2206" s="15" t="n">
        <v>104</v>
      </c>
      <c r="AW2206" s="15" t="n">
        <v>104</v>
      </c>
      <c r="BS2206" s="15" t="n">
        <v>104</v>
      </c>
      <c r="CO2206" s="15" t="n">
        <v>104</v>
      </c>
      <c r="DK2206" s="15" t="n">
        <v>104</v>
      </c>
      <c r="EG2206" s="15" t="n">
        <v>104</v>
      </c>
      <c r="FC2206" s="15" t="n">
        <v>104</v>
      </c>
      <c r="FY2206" s="15" t="n">
        <v>104</v>
      </c>
      <c r="GU2206" s="15" t="n">
        <v>104</v>
      </c>
    </row>
    <row r="2207">
      <c r="C2207" s="15" t="n">
        <v>105</v>
      </c>
      <c r="AA2207" s="15" t="n">
        <v>105</v>
      </c>
      <c r="AW2207" s="15" t="n">
        <v>105</v>
      </c>
      <c r="BS2207" s="15" t="n">
        <v>105</v>
      </c>
      <c r="CO2207" s="15" t="n">
        <v>105</v>
      </c>
      <c r="DK2207" s="15" t="n">
        <v>105</v>
      </c>
      <c r="EG2207" s="15" t="n">
        <v>105</v>
      </c>
      <c r="FC2207" s="15" t="n">
        <v>105</v>
      </c>
      <c r="FY2207" s="15" t="n">
        <v>105</v>
      </c>
      <c r="GU2207" s="15" t="n">
        <v>105</v>
      </c>
    </row>
    <row r="2208">
      <c r="C2208" s="15" t="n">
        <v>106</v>
      </c>
      <c r="AA2208" s="15" t="n">
        <v>106</v>
      </c>
      <c r="AW2208" s="15" t="n">
        <v>106</v>
      </c>
      <c r="BS2208" s="15" t="n">
        <v>106</v>
      </c>
      <c r="CO2208" s="15" t="n">
        <v>106</v>
      </c>
      <c r="DK2208" s="15" t="n">
        <v>106</v>
      </c>
      <c r="EG2208" s="15" t="n">
        <v>106</v>
      </c>
      <c r="FC2208" s="15" t="n">
        <v>106</v>
      </c>
      <c r="FY2208" s="15" t="n">
        <v>106</v>
      </c>
      <c r="GU2208" s="15" t="n">
        <v>106</v>
      </c>
    </row>
    <row r="2209">
      <c r="C2209" s="15" t="n">
        <v>107</v>
      </c>
      <c r="AA2209" s="15" t="n">
        <v>107</v>
      </c>
      <c r="AW2209" s="15" t="n">
        <v>107</v>
      </c>
      <c r="BS2209" s="15" t="n">
        <v>107</v>
      </c>
      <c r="CO2209" s="15" t="n">
        <v>107</v>
      </c>
      <c r="DK2209" s="15" t="n">
        <v>107</v>
      </c>
      <c r="EG2209" s="15" t="n">
        <v>107</v>
      </c>
      <c r="FC2209" s="15" t="n">
        <v>107</v>
      </c>
      <c r="FY2209" s="15" t="n">
        <v>107</v>
      </c>
      <c r="GU2209" s="15" t="n">
        <v>107</v>
      </c>
    </row>
    <row r="2210">
      <c r="C2210" s="15" t="n">
        <v>108</v>
      </c>
      <c r="AA2210" s="15" t="n">
        <v>108</v>
      </c>
      <c r="AW2210" s="15" t="n">
        <v>108</v>
      </c>
      <c r="BS2210" s="15" t="n">
        <v>108</v>
      </c>
      <c r="CO2210" s="15" t="n">
        <v>108</v>
      </c>
      <c r="DK2210" s="15" t="n">
        <v>108</v>
      </c>
      <c r="EG2210" s="15" t="n">
        <v>108</v>
      </c>
      <c r="FC2210" s="15" t="n">
        <v>108</v>
      </c>
      <c r="FY2210" s="15" t="n">
        <v>108</v>
      </c>
      <c r="GU2210" s="15" t="n">
        <v>108</v>
      </c>
    </row>
    <row r="2211">
      <c r="C2211" s="15" t="n">
        <v>109</v>
      </c>
      <c r="AA2211" s="15" t="n">
        <v>109</v>
      </c>
      <c r="AW2211" s="15" t="n">
        <v>109</v>
      </c>
      <c r="BS2211" s="15" t="n">
        <v>109</v>
      </c>
      <c r="CO2211" s="15" t="n">
        <v>109</v>
      </c>
      <c r="DK2211" s="15" t="n">
        <v>109</v>
      </c>
      <c r="EG2211" s="15" t="n">
        <v>109</v>
      </c>
      <c r="FC2211" s="15" t="n">
        <v>109</v>
      </c>
      <c r="FY2211" s="15" t="n">
        <v>109</v>
      </c>
      <c r="GU2211" s="15" t="n">
        <v>109</v>
      </c>
    </row>
    <row r="2212">
      <c r="C2212" s="15" t="n">
        <v>110</v>
      </c>
      <c r="AA2212" s="15" t="n">
        <v>110</v>
      </c>
      <c r="AW2212" s="15" t="n">
        <v>110</v>
      </c>
      <c r="BS2212" s="15" t="n">
        <v>110</v>
      </c>
      <c r="CO2212" s="15" t="n">
        <v>110</v>
      </c>
      <c r="DK2212" s="15" t="n">
        <v>110</v>
      </c>
      <c r="EG2212" s="15" t="n">
        <v>110</v>
      </c>
      <c r="FC2212" s="15" t="n">
        <v>110</v>
      </c>
      <c r="FY2212" s="15" t="n">
        <v>110</v>
      </c>
      <c r="GU2212" s="15" t="n">
        <v>110</v>
      </c>
    </row>
    <row r="2213">
      <c r="C2213" s="15" t="n">
        <v>111</v>
      </c>
      <c r="AA2213" s="15" t="n">
        <v>111</v>
      </c>
      <c r="AW2213" s="15" t="n">
        <v>111</v>
      </c>
      <c r="BS2213" s="15" t="n">
        <v>111</v>
      </c>
      <c r="CO2213" s="15" t="n">
        <v>111</v>
      </c>
      <c r="DK2213" s="15" t="n">
        <v>111</v>
      </c>
      <c r="EG2213" s="15" t="n">
        <v>111</v>
      </c>
      <c r="FC2213" s="15" t="n">
        <v>111</v>
      </c>
      <c r="FY2213" s="15" t="n">
        <v>111</v>
      </c>
      <c r="GU2213" s="15" t="n">
        <v>111</v>
      </c>
    </row>
    <row r="2214">
      <c r="C2214" s="15" t="n">
        <v>112</v>
      </c>
      <c r="AA2214" s="15" t="n">
        <v>112</v>
      </c>
      <c r="AW2214" s="15" t="n">
        <v>112</v>
      </c>
      <c r="BS2214" s="15" t="n">
        <v>112</v>
      </c>
      <c r="CO2214" s="15" t="n">
        <v>112</v>
      </c>
      <c r="DK2214" s="15" t="n">
        <v>112</v>
      </c>
      <c r="EG2214" s="15" t="n">
        <v>112</v>
      </c>
      <c r="FC2214" s="15" t="n">
        <v>112</v>
      </c>
      <c r="FY2214" s="15" t="n">
        <v>112</v>
      </c>
      <c r="GU2214" s="15" t="n">
        <v>112</v>
      </c>
    </row>
    <row r="2215">
      <c r="C2215" s="15" t="n">
        <v>113</v>
      </c>
      <c r="AA2215" s="15" t="n">
        <v>113</v>
      </c>
      <c r="AW2215" s="15" t="n">
        <v>113</v>
      </c>
      <c r="BS2215" s="15" t="n">
        <v>113</v>
      </c>
      <c r="CO2215" s="15" t="n">
        <v>113</v>
      </c>
      <c r="DK2215" s="15" t="n">
        <v>113</v>
      </c>
      <c r="EG2215" s="15" t="n">
        <v>113</v>
      </c>
      <c r="FC2215" s="15" t="n">
        <v>113</v>
      </c>
      <c r="FY2215" s="15" t="n">
        <v>113</v>
      </c>
      <c r="GU2215" s="15" t="n">
        <v>113</v>
      </c>
    </row>
    <row r="2216">
      <c r="C2216" s="15" t="n">
        <v>114</v>
      </c>
      <c r="AA2216" s="15" t="n">
        <v>114</v>
      </c>
      <c r="AW2216" s="15" t="n">
        <v>114</v>
      </c>
      <c r="BS2216" s="15" t="n">
        <v>114</v>
      </c>
      <c r="CO2216" s="15" t="n">
        <v>114</v>
      </c>
      <c r="DK2216" s="15" t="n">
        <v>114</v>
      </c>
      <c r="EG2216" s="15" t="n">
        <v>114</v>
      </c>
      <c r="FC2216" s="15" t="n">
        <v>114</v>
      </c>
      <c r="FY2216" s="15" t="n">
        <v>114</v>
      </c>
      <c r="GU2216" s="15" t="n">
        <v>114</v>
      </c>
    </row>
    <row r="2217">
      <c r="C2217" s="15" t="n">
        <v>115</v>
      </c>
      <c r="AA2217" s="15" t="n">
        <v>115</v>
      </c>
      <c r="AW2217" s="15" t="n">
        <v>115</v>
      </c>
      <c r="BS2217" s="15" t="n">
        <v>115</v>
      </c>
      <c r="CO2217" s="15" t="n">
        <v>115</v>
      </c>
      <c r="DK2217" s="15" t="n">
        <v>115</v>
      </c>
      <c r="EG2217" s="15" t="n">
        <v>115</v>
      </c>
      <c r="FC2217" s="15" t="n">
        <v>115</v>
      </c>
      <c r="FY2217" s="15" t="n">
        <v>115</v>
      </c>
      <c r="GU2217" s="15" t="n">
        <v>115</v>
      </c>
    </row>
    <row r="2218">
      <c r="C2218" s="15" t="n">
        <v>116</v>
      </c>
      <c r="AA2218" s="15" t="n">
        <v>116</v>
      </c>
      <c r="AW2218" s="15" t="n">
        <v>116</v>
      </c>
      <c r="BS2218" s="15" t="n">
        <v>116</v>
      </c>
      <c r="CO2218" s="15" t="n">
        <v>116</v>
      </c>
      <c r="DK2218" s="15" t="n">
        <v>116</v>
      </c>
      <c r="EG2218" s="15" t="n">
        <v>116</v>
      </c>
      <c r="FC2218" s="15" t="n">
        <v>116</v>
      </c>
      <c r="FY2218" s="15" t="n">
        <v>116</v>
      </c>
      <c r="GU2218" s="15" t="n">
        <v>116</v>
      </c>
    </row>
    <row r="2219">
      <c r="C2219" s="15" t="n">
        <v>117</v>
      </c>
      <c r="AA2219" s="15" t="n">
        <v>117</v>
      </c>
      <c r="AW2219" s="15" t="n">
        <v>117</v>
      </c>
      <c r="BS2219" s="15" t="n">
        <v>117</v>
      </c>
      <c r="CO2219" s="15" t="n">
        <v>117</v>
      </c>
      <c r="DK2219" s="15" t="n">
        <v>117</v>
      </c>
      <c r="EG2219" s="15" t="n">
        <v>117</v>
      </c>
      <c r="FC2219" s="15" t="n">
        <v>117</v>
      </c>
      <c r="FY2219" s="15" t="n">
        <v>117</v>
      </c>
      <c r="GU2219" s="15" t="n">
        <v>117</v>
      </c>
    </row>
    <row r="2220">
      <c r="C2220" s="15" t="n">
        <v>118</v>
      </c>
      <c r="AA2220" s="15" t="n">
        <v>118</v>
      </c>
      <c r="AW2220" s="15" t="n">
        <v>118</v>
      </c>
      <c r="BS2220" s="15" t="n">
        <v>118</v>
      </c>
      <c r="CO2220" s="15" t="n">
        <v>118</v>
      </c>
      <c r="DK2220" s="15" t="n">
        <v>118</v>
      </c>
      <c r="EG2220" s="15" t="n">
        <v>118</v>
      </c>
      <c r="FC2220" s="15" t="n">
        <v>118</v>
      </c>
      <c r="FY2220" s="15" t="n">
        <v>118</v>
      </c>
      <c r="GU2220" s="15" t="n">
        <v>118</v>
      </c>
    </row>
    <row r="2221">
      <c r="C2221" s="15" t="n">
        <v>119</v>
      </c>
      <c r="AA2221" s="15" t="n">
        <v>119</v>
      </c>
      <c r="AW2221" s="15" t="n">
        <v>119</v>
      </c>
      <c r="BS2221" s="15" t="n">
        <v>119</v>
      </c>
      <c r="CO2221" s="15" t="n">
        <v>119</v>
      </c>
      <c r="DK2221" s="15" t="n">
        <v>119</v>
      </c>
      <c r="EG2221" s="15" t="n">
        <v>119</v>
      </c>
      <c r="FC2221" s="15" t="n">
        <v>119</v>
      </c>
      <c r="FY2221" s="15" t="n">
        <v>119</v>
      </c>
      <c r="GU2221" s="15" t="n">
        <v>119</v>
      </c>
    </row>
    <row r="2222">
      <c r="C2222" s="15" t="n">
        <v>120</v>
      </c>
      <c r="AA2222" s="15" t="n">
        <v>120</v>
      </c>
      <c r="AW2222" s="15" t="n">
        <v>120</v>
      </c>
      <c r="BS2222" s="15" t="n">
        <v>120</v>
      </c>
      <c r="CO2222" s="15" t="n">
        <v>120</v>
      </c>
      <c r="DK2222" s="15" t="n">
        <v>120</v>
      </c>
      <c r="EG2222" s="15" t="n">
        <v>120</v>
      </c>
      <c r="FC2222" s="15" t="n">
        <v>120</v>
      </c>
      <c r="FY2222" s="15" t="n">
        <v>120</v>
      </c>
      <c r="GU2222" s="15" t="n">
        <v>120</v>
      </c>
    </row>
    <row r="2223">
      <c r="C2223" s="15" t="n">
        <v>121</v>
      </c>
      <c r="AA2223" s="15" t="n">
        <v>121</v>
      </c>
      <c r="AW2223" s="15" t="n">
        <v>121</v>
      </c>
      <c r="BS2223" s="15" t="n">
        <v>121</v>
      </c>
      <c r="CO2223" s="15" t="n">
        <v>121</v>
      </c>
      <c r="DK2223" s="15" t="n">
        <v>121</v>
      </c>
      <c r="EG2223" s="15" t="n">
        <v>121</v>
      </c>
      <c r="FC2223" s="15" t="n">
        <v>121</v>
      </c>
      <c r="FY2223" s="15" t="n">
        <v>121</v>
      </c>
      <c r="GU2223" s="15" t="n">
        <v>121</v>
      </c>
    </row>
    <row r="2224">
      <c r="C2224" s="15" t="n">
        <v>122</v>
      </c>
      <c r="AA2224" s="15" t="n">
        <v>122</v>
      </c>
      <c r="AW2224" s="15" t="n">
        <v>122</v>
      </c>
      <c r="BS2224" s="15" t="n">
        <v>122</v>
      </c>
      <c r="CO2224" s="15" t="n">
        <v>122</v>
      </c>
      <c r="DK2224" s="15" t="n">
        <v>122</v>
      </c>
      <c r="EG2224" s="15" t="n">
        <v>122</v>
      </c>
      <c r="FC2224" s="15" t="n">
        <v>122</v>
      </c>
      <c r="FY2224" s="15" t="n">
        <v>122</v>
      </c>
      <c r="GU2224" s="15" t="n">
        <v>122</v>
      </c>
    </row>
    <row r="2225">
      <c r="C2225" s="15" t="n">
        <v>123</v>
      </c>
      <c r="AA2225" s="15" t="n">
        <v>123</v>
      </c>
      <c r="AW2225" s="15" t="n">
        <v>123</v>
      </c>
      <c r="BS2225" s="15" t="n">
        <v>123</v>
      </c>
      <c r="CO2225" s="15" t="n">
        <v>123</v>
      </c>
      <c r="DK2225" s="15" t="n">
        <v>123</v>
      </c>
      <c r="EG2225" s="15" t="n">
        <v>123</v>
      </c>
      <c r="FC2225" s="15" t="n">
        <v>123</v>
      </c>
      <c r="FY2225" s="15" t="n">
        <v>123</v>
      </c>
      <c r="GU2225" s="15" t="n">
        <v>123</v>
      </c>
    </row>
    <row r="2226">
      <c r="C2226" s="15" t="n">
        <v>124</v>
      </c>
      <c r="AA2226" s="15" t="n">
        <v>124</v>
      </c>
      <c r="AW2226" s="15" t="n">
        <v>124</v>
      </c>
      <c r="BS2226" s="15" t="n">
        <v>124</v>
      </c>
      <c r="CO2226" s="15" t="n">
        <v>124</v>
      </c>
      <c r="DK2226" s="15" t="n">
        <v>124</v>
      </c>
      <c r="EG2226" s="15" t="n">
        <v>124</v>
      </c>
      <c r="FC2226" s="15" t="n">
        <v>124</v>
      </c>
      <c r="FY2226" s="15" t="n">
        <v>124</v>
      </c>
      <c r="GU2226" s="15" t="n">
        <v>124</v>
      </c>
    </row>
    <row r="2227">
      <c r="C2227" s="15" t="n">
        <v>125</v>
      </c>
      <c r="AA2227" s="15" t="n">
        <v>125</v>
      </c>
      <c r="AW2227" s="15" t="n">
        <v>125</v>
      </c>
      <c r="BS2227" s="15" t="n">
        <v>125</v>
      </c>
      <c r="CO2227" s="15" t="n">
        <v>125</v>
      </c>
      <c r="DK2227" s="15" t="n">
        <v>125</v>
      </c>
      <c r="EG2227" s="15" t="n">
        <v>125</v>
      </c>
      <c r="FC2227" s="15" t="n">
        <v>125</v>
      </c>
      <c r="FY2227" s="15" t="n">
        <v>125</v>
      </c>
      <c r="GU2227" s="15" t="n">
        <v>125</v>
      </c>
    </row>
    <row r="2228">
      <c r="C2228" s="15" t="n">
        <v>126</v>
      </c>
      <c r="AA2228" s="15" t="n">
        <v>126</v>
      </c>
      <c r="AW2228" s="15" t="n">
        <v>126</v>
      </c>
      <c r="BS2228" s="15" t="n">
        <v>126</v>
      </c>
      <c r="CO2228" s="15" t="n">
        <v>126</v>
      </c>
      <c r="DK2228" s="15" t="n">
        <v>126</v>
      </c>
      <c r="EG2228" s="15" t="n">
        <v>126</v>
      </c>
      <c r="FC2228" s="15" t="n">
        <v>126</v>
      </c>
      <c r="FY2228" s="15" t="n">
        <v>126</v>
      </c>
      <c r="GU2228" s="15" t="n">
        <v>126</v>
      </c>
    </row>
    <row r="2229">
      <c r="C2229" s="15" t="n">
        <v>127</v>
      </c>
      <c r="AA2229" s="15" t="n">
        <v>127</v>
      </c>
      <c r="AW2229" s="15" t="n">
        <v>127</v>
      </c>
      <c r="BS2229" s="15" t="n">
        <v>127</v>
      </c>
      <c r="CO2229" s="15" t="n">
        <v>127</v>
      </c>
      <c r="DK2229" s="15" t="n">
        <v>127</v>
      </c>
      <c r="EG2229" s="15" t="n">
        <v>127</v>
      </c>
      <c r="FC2229" s="15" t="n">
        <v>127</v>
      </c>
      <c r="FY2229" s="15" t="n">
        <v>127</v>
      </c>
      <c r="GU2229" s="15" t="n">
        <v>127</v>
      </c>
    </row>
    <row r="2230">
      <c r="C2230" s="15" t="n">
        <v>128</v>
      </c>
      <c r="AA2230" s="15" t="n">
        <v>128</v>
      </c>
      <c r="AW2230" s="15" t="n">
        <v>128</v>
      </c>
      <c r="BS2230" s="15" t="n">
        <v>128</v>
      </c>
      <c r="CO2230" s="15" t="n">
        <v>128</v>
      </c>
      <c r="DK2230" s="15" t="n">
        <v>128</v>
      </c>
      <c r="EG2230" s="15" t="n">
        <v>128</v>
      </c>
      <c r="FC2230" s="15" t="n">
        <v>128</v>
      </c>
      <c r="FY2230" s="15" t="n">
        <v>128</v>
      </c>
      <c r="GU2230" s="15" t="n">
        <v>128</v>
      </c>
    </row>
    <row r="2231">
      <c r="C2231" s="15" t="n">
        <v>129</v>
      </c>
      <c r="AA2231" s="15" t="n">
        <v>129</v>
      </c>
      <c r="AW2231" s="15" t="n">
        <v>129</v>
      </c>
      <c r="BS2231" s="15" t="n">
        <v>129</v>
      </c>
      <c r="CO2231" s="15" t="n">
        <v>129</v>
      </c>
      <c r="DK2231" s="15" t="n">
        <v>129</v>
      </c>
      <c r="EG2231" s="15" t="n">
        <v>129</v>
      </c>
      <c r="FC2231" s="15" t="n">
        <v>129</v>
      </c>
      <c r="FY2231" s="15" t="n">
        <v>129</v>
      </c>
      <c r="GU2231" s="15" t="n">
        <v>129</v>
      </c>
    </row>
    <row r="2232">
      <c r="C2232" s="15" t="n">
        <v>130</v>
      </c>
      <c r="AA2232" s="15" t="n">
        <v>130</v>
      </c>
      <c r="AW2232" s="15" t="n">
        <v>130</v>
      </c>
      <c r="BS2232" s="15" t="n">
        <v>130</v>
      </c>
      <c r="CO2232" s="15" t="n">
        <v>130</v>
      </c>
      <c r="DK2232" s="15" t="n">
        <v>130</v>
      </c>
      <c r="EG2232" s="15" t="n">
        <v>130</v>
      </c>
      <c r="FC2232" s="15" t="n">
        <v>130</v>
      </c>
      <c r="FY2232" s="15" t="n">
        <v>130</v>
      </c>
      <c r="GU2232" s="15" t="n">
        <v>130</v>
      </c>
    </row>
    <row r="2233">
      <c r="C2233" s="15" t="n">
        <v>131</v>
      </c>
      <c r="AA2233" s="15" t="n">
        <v>131</v>
      </c>
      <c r="AW2233" s="15" t="n">
        <v>131</v>
      </c>
      <c r="BS2233" s="15" t="n">
        <v>131</v>
      </c>
      <c r="CO2233" s="15" t="n">
        <v>131</v>
      </c>
      <c r="DK2233" s="15" t="n">
        <v>131</v>
      </c>
      <c r="EG2233" s="15" t="n">
        <v>131</v>
      </c>
      <c r="FC2233" s="15" t="n">
        <v>131</v>
      </c>
      <c r="FY2233" s="15" t="n">
        <v>131</v>
      </c>
      <c r="GU2233" s="15" t="n">
        <v>131</v>
      </c>
    </row>
    <row r="2234">
      <c r="C2234" s="15" t="n">
        <v>132</v>
      </c>
      <c r="AA2234" s="15" t="n">
        <v>132</v>
      </c>
      <c r="AW2234" s="15" t="n">
        <v>132</v>
      </c>
      <c r="BS2234" s="15" t="n">
        <v>132</v>
      </c>
      <c r="CO2234" s="15" t="n">
        <v>132</v>
      </c>
      <c r="DK2234" s="15" t="n">
        <v>132</v>
      </c>
      <c r="EG2234" s="15" t="n">
        <v>132</v>
      </c>
      <c r="FC2234" s="15" t="n">
        <v>132</v>
      </c>
      <c r="FY2234" s="15" t="n">
        <v>132</v>
      </c>
      <c r="GU2234" s="15" t="n">
        <v>132</v>
      </c>
    </row>
    <row r="2235">
      <c r="C2235" s="15" t="n">
        <v>133</v>
      </c>
      <c r="AA2235" s="15" t="n">
        <v>133</v>
      </c>
      <c r="AW2235" s="15" t="n">
        <v>133</v>
      </c>
      <c r="BS2235" s="15" t="n">
        <v>133</v>
      </c>
      <c r="CO2235" s="15" t="n">
        <v>133</v>
      </c>
      <c r="DK2235" s="15" t="n">
        <v>133</v>
      </c>
      <c r="EG2235" s="15" t="n">
        <v>133</v>
      </c>
      <c r="FC2235" s="15" t="n">
        <v>133</v>
      </c>
      <c r="FY2235" s="15" t="n">
        <v>133</v>
      </c>
      <c r="GU2235" s="15" t="n">
        <v>133</v>
      </c>
    </row>
    <row r="2236">
      <c r="C2236" s="15" t="n">
        <v>134</v>
      </c>
      <c r="AA2236" s="15" t="n">
        <v>134</v>
      </c>
      <c r="AW2236" s="15" t="n">
        <v>134</v>
      </c>
      <c r="BS2236" s="15" t="n">
        <v>134</v>
      </c>
      <c r="CO2236" s="15" t="n">
        <v>134</v>
      </c>
      <c r="DK2236" s="15" t="n">
        <v>134</v>
      </c>
      <c r="EG2236" s="15" t="n">
        <v>134</v>
      </c>
      <c r="FC2236" s="15" t="n">
        <v>134</v>
      </c>
      <c r="FY2236" s="15" t="n">
        <v>134</v>
      </c>
      <c r="GU2236" s="15" t="n">
        <v>134</v>
      </c>
    </row>
    <row r="2237">
      <c r="C2237" s="15" t="n">
        <v>135</v>
      </c>
      <c r="AA2237" s="15" t="n">
        <v>135</v>
      </c>
      <c r="AW2237" s="15" t="n">
        <v>135</v>
      </c>
      <c r="BS2237" s="15" t="n">
        <v>135</v>
      </c>
      <c r="CO2237" s="15" t="n">
        <v>135</v>
      </c>
      <c r="DK2237" s="15" t="n">
        <v>135</v>
      </c>
      <c r="EG2237" s="15" t="n">
        <v>135</v>
      </c>
      <c r="FC2237" s="15" t="n">
        <v>135</v>
      </c>
      <c r="FY2237" s="15" t="n">
        <v>135</v>
      </c>
      <c r="GU2237" s="15" t="n">
        <v>135</v>
      </c>
    </row>
    <row r="2238">
      <c r="C2238" s="15" t="n">
        <v>136</v>
      </c>
      <c r="AA2238" s="15" t="n">
        <v>136</v>
      </c>
      <c r="AW2238" s="15" t="n">
        <v>136</v>
      </c>
      <c r="BS2238" s="15" t="n">
        <v>136</v>
      </c>
      <c r="CO2238" s="15" t="n">
        <v>136</v>
      </c>
      <c r="DK2238" s="15" t="n">
        <v>136</v>
      </c>
      <c r="EG2238" s="15" t="n">
        <v>136</v>
      </c>
      <c r="FC2238" s="15" t="n">
        <v>136</v>
      </c>
      <c r="FY2238" s="15" t="n">
        <v>136</v>
      </c>
      <c r="GU2238" s="15" t="n">
        <v>136</v>
      </c>
    </row>
    <row r="2239">
      <c r="C2239" s="15" t="n">
        <v>137</v>
      </c>
      <c r="AA2239" s="15" t="n">
        <v>137</v>
      </c>
      <c r="AW2239" s="15" t="n">
        <v>137</v>
      </c>
      <c r="BS2239" s="15" t="n">
        <v>137</v>
      </c>
      <c r="CO2239" s="15" t="n">
        <v>137</v>
      </c>
      <c r="DK2239" s="15" t="n">
        <v>137</v>
      </c>
      <c r="EG2239" s="15" t="n">
        <v>137</v>
      </c>
      <c r="FC2239" s="15" t="n">
        <v>137</v>
      </c>
      <c r="FY2239" s="15" t="n">
        <v>137</v>
      </c>
      <c r="GU2239" s="15" t="n">
        <v>137</v>
      </c>
    </row>
    <row r="2240">
      <c r="C2240" s="15" t="n">
        <v>138</v>
      </c>
      <c r="AA2240" s="15" t="n">
        <v>138</v>
      </c>
      <c r="AW2240" s="15" t="n">
        <v>138</v>
      </c>
      <c r="BS2240" s="15" t="n">
        <v>138</v>
      </c>
      <c r="CO2240" s="15" t="n">
        <v>138</v>
      </c>
      <c r="DK2240" s="15" t="n">
        <v>138</v>
      </c>
      <c r="EG2240" s="15" t="n">
        <v>138</v>
      </c>
      <c r="FC2240" s="15" t="n">
        <v>138</v>
      </c>
      <c r="FY2240" s="15" t="n">
        <v>138</v>
      </c>
      <c r="GU2240" s="15" t="n">
        <v>138</v>
      </c>
    </row>
    <row r="2241">
      <c r="C2241" s="15" t="n">
        <v>139</v>
      </c>
      <c r="AA2241" s="15" t="n">
        <v>139</v>
      </c>
      <c r="AW2241" s="15" t="n">
        <v>139</v>
      </c>
      <c r="BS2241" s="15" t="n">
        <v>139</v>
      </c>
      <c r="CO2241" s="15" t="n">
        <v>139</v>
      </c>
      <c r="DK2241" s="15" t="n">
        <v>139</v>
      </c>
      <c r="EG2241" s="15" t="n">
        <v>139</v>
      </c>
      <c r="FC2241" s="15" t="n">
        <v>139</v>
      </c>
      <c r="FY2241" s="15" t="n">
        <v>139</v>
      </c>
      <c r="GU2241" s="15" t="n">
        <v>139</v>
      </c>
    </row>
    <row r="2242">
      <c r="C2242" s="15" t="n">
        <v>140</v>
      </c>
      <c r="AA2242" s="15" t="n">
        <v>140</v>
      </c>
      <c r="AW2242" s="15" t="n">
        <v>140</v>
      </c>
      <c r="BS2242" s="15" t="n">
        <v>140</v>
      </c>
      <c r="CO2242" s="15" t="n">
        <v>140</v>
      </c>
      <c r="DK2242" s="15" t="n">
        <v>140</v>
      </c>
      <c r="EG2242" s="15" t="n">
        <v>140</v>
      </c>
      <c r="FC2242" s="15" t="n">
        <v>140</v>
      </c>
      <c r="FY2242" s="15" t="n">
        <v>140</v>
      </c>
      <c r="GU2242" s="15" t="n">
        <v>140</v>
      </c>
    </row>
    <row r="2243">
      <c r="C2243" s="15" t="n">
        <v>141</v>
      </c>
      <c r="AA2243" s="15" t="n">
        <v>141</v>
      </c>
      <c r="AW2243" s="15" t="n">
        <v>141</v>
      </c>
      <c r="BS2243" s="15" t="n">
        <v>141</v>
      </c>
      <c r="CO2243" s="15" t="n">
        <v>141</v>
      </c>
      <c r="DK2243" s="15" t="n">
        <v>141</v>
      </c>
      <c r="EG2243" s="15" t="n">
        <v>141</v>
      </c>
      <c r="FC2243" s="15" t="n">
        <v>141</v>
      </c>
      <c r="FY2243" s="15" t="n">
        <v>141</v>
      </c>
      <c r="GU2243" s="15" t="n">
        <v>141</v>
      </c>
    </row>
    <row r="2244">
      <c r="C2244" s="15" t="n">
        <v>142</v>
      </c>
      <c r="AA2244" s="15" t="n">
        <v>142</v>
      </c>
      <c r="AW2244" s="15" t="n">
        <v>142</v>
      </c>
      <c r="BS2244" s="15" t="n">
        <v>142</v>
      </c>
      <c r="CO2244" s="15" t="n">
        <v>142</v>
      </c>
      <c r="DK2244" s="15" t="n">
        <v>142</v>
      </c>
      <c r="EG2244" s="15" t="n">
        <v>142</v>
      </c>
      <c r="FC2244" s="15" t="n">
        <v>142</v>
      </c>
      <c r="FY2244" s="15" t="n">
        <v>142</v>
      </c>
      <c r="GU2244" s="15" t="n">
        <v>142</v>
      </c>
    </row>
    <row r="2245">
      <c r="C2245" s="15" t="n">
        <v>143</v>
      </c>
      <c r="AA2245" s="15" t="n">
        <v>143</v>
      </c>
      <c r="AW2245" s="15" t="n">
        <v>143</v>
      </c>
      <c r="BS2245" s="15" t="n">
        <v>143</v>
      </c>
      <c r="CO2245" s="15" t="n">
        <v>143</v>
      </c>
      <c r="DK2245" s="15" t="n">
        <v>143</v>
      </c>
      <c r="EG2245" s="15" t="n">
        <v>143</v>
      </c>
      <c r="FC2245" s="15" t="n">
        <v>143</v>
      </c>
      <c r="FY2245" s="15" t="n">
        <v>143</v>
      </c>
      <c r="GU2245" s="15" t="n">
        <v>143</v>
      </c>
    </row>
    <row r="2246">
      <c r="C2246" s="15" t="n">
        <v>144</v>
      </c>
      <c r="AA2246" s="15" t="n">
        <v>144</v>
      </c>
      <c r="AW2246" s="15" t="n">
        <v>144</v>
      </c>
      <c r="BS2246" s="15" t="n">
        <v>144</v>
      </c>
      <c r="CO2246" s="15" t="n">
        <v>144</v>
      </c>
      <c r="DK2246" s="15" t="n">
        <v>144</v>
      </c>
      <c r="EG2246" s="15" t="n">
        <v>144</v>
      </c>
      <c r="FC2246" s="15" t="n">
        <v>144</v>
      </c>
      <c r="FY2246" s="15" t="n">
        <v>144</v>
      </c>
      <c r="GU2246" s="15" t="n">
        <v>144</v>
      </c>
    </row>
    <row r="2247">
      <c r="C2247" s="15" t="n">
        <v>145</v>
      </c>
      <c r="AA2247" s="15" t="n">
        <v>145</v>
      </c>
      <c r="AW2247" s="15" t="n">
        <v>145</v>
      </c>
      <c r="BS2247" s="15" t="n">
        <v>145</v>
      </c>
      <c r="CO2247" s="15" t="n">
        <v>145</v>
      </c>
      <c r="DK2247" s="15" t="n">
        <v>145</v>
      </c>
      <c r="EG2247" s="15" t="n">
        <v>145</v>
      </c>
      <c r="FC2247" s="15" t="n">
        <v>145</v>
      </c>
      <c r="FY2247" s="15" t="n">
        <v>145</v>
      </c>
      <c r="GU2247" s="15" t="n">
        <v>145</v>
      </c>
    </row>
    <row r="2248">
      <c r="C2248" s="15" t="n">
        <v>146</v>
      </c>
      <c r="AA2248" s="15" t="n">
        <v>146</v>
      </c>
      <c r="AW2248" s="15" t="n">
        <v>146</v>
      </c>
      <c r="BS2248" s="15" t="n">
        <v>146</v>
      </c>
      <c r="CO2248" s="15" t="n">
        <v>146</v>
      </c>
      <c r="DK2248" s="15" t="n">
        <v>146</v>
      </c>
      <c r="EG2248" s="15" t="n">
        <v>146</v>
      </c>
      <c r="FC2248" s="15" t="n">
        <v>146</v>
      </c>
      <c r="FY2248" s="15" t="n">
        <v>146</v>
      </c>
      <c r="GU2248" s="15" t="n">
        <v>146</v>
      </c>
    </row>
    <row r="2249">
      <c r="C2249" s="15" t="n">
        <v>147</v>
      </c>
      <c r="AA2249" s="15" t="n">
        <v>147</v>
      </c>
      <c r="AW2249" s="15" t="n">
        <v>147</v>
      </c>
      <c r="BS2249" s="15" t="n">
        <v>147</v>
      </c>
      <c r="CO2249" s="15" t="n">
        <v>147</v>
      </c>
      <c r="DK2249" s="15" t="n">
        <v>147</v>
      </c>
      <c r="EG2249" s="15" t="n">
        <v>147</v>
      </c>
      <c r="FC2249" s="15" t="n">
        <v>147</v>
      </c>
      <c r="FY2249" s="15" t="n">
        <v>147</v>
      </c>
      <c r="GU2249" s="15" t="n">
        <v>147</v>
      </c>
    </row>
    <row r="2250">
      <c r="C2250" s="15" t="n">
        <v>148</v>
      </c>
      <c r="AA2250" s="15" t="n">
        <v>148</v>
      </c>
      <c r="AW2250" s="15" t="n">
        <v>148</v>
      </c>
      <c r="BS2250" s="15" t="n">
        <v>148</v>
      </c>
      <c r="CO2250" s="15" t="n">
        <v>148</v>
      </c>
      <c r="DK2250" s="15" t="n">
        <v>148</v>
      </c>
      <c r="EG2250" s="15" t="n">
        <v>148</v>
      </c>
      <c r="FC2250" s="15" t="n">
        <v>148</v>
      </c>
      <c r="FY2250" s="15" t="n">
        <v>148</v>
      </c>
      <c r="GU2250" s="15" t="n">
        <v>148</v>
      </c>
    </row>
    <row r="2251">
      <c r="C2251" s="15" t="n">
        <v>149</v>
      </c>
      <c r="AA2251" s="15" t="n">
        <v>149</v>
      </c>
      <c r="AW2251" s="15" t="n">
        <v>149</v>
      </c>
      <c r="BS2251" s="15" t="n">
        <v>149</v>
      </c>
      <c r="CO2251" s="15" t="n">
        <v>149</v>
      </c>
      <c r="DK2251" s="15" t="n">
        <v>149</v>
      </c>
      <c r="EG2251" s="15" t="n">
        <v>149</v>
      </c>
      <c r="FC2251" s="15" t="n">
        <v>149</v>
      </c>
      <c r="FY2251" s="15" t="n">
        <v>149</v>
      </c>
      <c r="GU2251" s="15" t="n">
        <v>149</v>
      </c>
    </row>
    <row r="2252">
      <c r="C2252" s="15" t="n">
        <v>150</v>
      </c>
      <c r="AA2252" s="15" t="n">
        <v>150</v>
      </c>
      <c r="AW2252" s="15" t="n">
        <v>150</v>
      </c>
      <c r="BS2252" s="15" t="n">
        <v>150</v>
      </c>
      <c r="CO2252" s="15" t="n">
        <v>150</v>
      </c>
      <c r="DK2252" s="15" t="n">
        <v>150</v>
      </c>
      <c r="EG2252" s="15" t="n">
        <v>150</v>
      </c>
      <c r="FC2252" s="15" t="n">
        <v>150</v>
      </c>
      <c r="FY2252" s="15" t="n">
        <v>150</v>
      </c>
      <c r="GU2252" s="15" t="n">
        <v>150</v>
      </c>
    </row>
    <row r="2253">
      <c r="C2253" s="15" t="n">
        <v>151</v>
      </c>
      <c r="AA2253" s="15" t="n">
        <v>151</v>
      </c>
      <c r="AW2253" s="15" t="n">
        <v>151</v>
      </c>
      <c r="BS2253" s="15" t="n">
        <v>151</v>
      </c>
      <c r="CO2253" s="15" t="n">
        <v>151</v>
      </c>
      <c r="DK2253" s="15" t="n">
        <v>151</v>
      </c>
      <c r="EG2253" s="15" t="n">
        <v>151</v>
      </c>
      <c r="FC2253" s="15" t="n">
        <v>151</v>
      </c>
      <c r="FY2253" s="15" t="n">
        <v>151</v>
      </c>
      <c r="GU2253" s="15" t="n">
        <v>151</v>
      </c>
    </row>
    <row r="2254">
      <c r="C2254" s="15" t="n">
        <v>152</v>
      </c>
      <c r="AA2254" s="15" t="n">
        <v>152</v>
      </c>
      <c r="AW2254" s="15" t="n">
        <v>152</v>
      </c>
      <c r="BS2254" s="15" t="n">
        <v>152</v>
      </c>
      <c r="CO2254" s="15" t="n">
        <v>152</v>
      </c>
      <c r="DK2254" s="15" t="n">
        <v>152</v>
      </c>
      <c r="EG2254" s="15" t="n">
        <v>152</v>
      </c>
      <c r="FC2254" s="15" t="n">
        <v>152</v>
      </c>
      <c r="FY2254" s="15" t="n">
        <v>152</v>
      </c>
      <c r="GU2254" s="15" t="n">
        <v>152</v>
      </c>
    </row>
    <row r="2255">
      <c r="C2255" s="15" t="n">
        <v>153</v>
      </c>
      <c r="AA2255" s="15" t="n">
        <v>153</v>
      </c>
      <c r="AW2255" s="15" t="n">
        <v>153</v>
      </c>
      <c r="BS2255" s="15" t="n">
        <v>153</v>
      </c>
      <c r="CO2255" s="15" t="n">
        <v>153</v>
      </c>
      <c r="DK2255" s="15" t="n">
        <v>153</v>
      </c>
      <c r="EG2255" s="15" t="n">
        <v>153</v>
      </c>
      <c r="FC2255" s="15" t="n">
        <v>153</v>
      </c>
      <c r="FY2255" s="15" t="n">
        <v>153</v>
      </c>
      <c r="GU2255" s="15" t="n">
        <v>153</v>
      </c>
    </row>
    <row r="2256">
      <c r="C2256" s="15" t="n">
        <v>154</v>
      </c>
      <c r="AA2256" s="15" t="n">
        <v>154</v>
      </c>
      <c r="AW2256" s="15" t="n">
        <v>154</v>
      </c>
      <c r="BS2256" s="15" t="n">
        <v>154</v>
      </c>
      <c r="CO2256" s="15" t="n">
        <v>154</v>
      </c>
      <c r="DK2256" s="15" t="n">
        <v>154</v>
      </c>
      <c r="EG2256" s="15" t="n">
        <v>154</v>
      </c>
      <c r="FC2256" s="15" t="n">
        <v>154</v>
      </c>
      <c r="FY2256" s="15" t="n">
        <v>154</v>
      </c>
      <c r="GU2256" s="15" t="n">
        <v>154</v>
      </c>
    </row>
    <row r="2257">
      <c r="C2257" s="15" t="n">
        <v>155</v>
      </c>
      <c r="AA2257" s="15" t="n">
        <v>155</v>
      </c>
      <c r="AW2257" s="15" t="n">
        <v>155</v>
      </c>
      <c r="BS2257" s="15" t="n">
        <v>155</v>
      </c>
      <c r="CO2257" s="15" t="n">
        <v>155</v>
      </c>
      <c r="DK2257" s="15" t="n">
        <v>155</v>
      </c>
      <c r="EG2257" s="15" t="n">
        <v>155</v>
      </c>
      <c r="FC2257" s="15" t="n">
        <v>155</v>
      </c>
      <c r="FY2257" s="15" t="n">
        <v>155</v>
      </c>
      <c r="GU2257" s="15" t="n">
        <v>155</v>
      </c>
    </row>
    <row r="2258">
      <c r="C2258" s="15" t="n">
        <v>156</v>
      </c>
      <c r="AA2258" s="15" t="n">
        <v>156</v>
      </c>
      <c r="AW2258" s="15" t="n">
        <v>156</v>
      </c>
      <c r="BS2258" s="15" t="n">
        <v>156</v>
      </c>
      <c r="CO2258" s="15" t="n">
        <v>156</v>
      </c>
      <c r="DK2258" s="15" t="n">
        <v>156</v>
      </c>
      <c r="EG2258" s="15" t="n">
        <v>156</v>
      </c>
      <c r="FC2258" s="15" t="n">
        <v>156</v>
      </c>
      <c r="FY2258" s="15" t="n">
        <v>156</v>
      </c>
      <c r="GU2258" s="15" t="n">
        <v>156</v>
      </c>
    </row>
    <row r="2259">
      <c r="C2259" s="15" t="n">
        <v>157</v>
      </c>
      <c r="AA2259" s="15" t="n">
        <v>157</v>
      </c>
      <c r="AW2259" s="15" t="n">
        <v>157</v>
      </c>
      <c r="BS2259" s="15" t="n">
        <v>157</v>
      </c>
      <c r="CO2259" s="15" t="n">
        <v>157</v>
      </c>
      <c r="DK2259" s="15" t="n">
        <v>157</v>
      </c>
      <c r="EG2259" s="15" t="n">
        <v>157</v>
      </c>
      <c r="FC2259" s="15" t="n">
        <v>157</v>
      </c>
      <c r="FY2259" s="15" t="n">
        <v>157</v>
      </c>
      <c r="GU2259" s="15" t="n">
        <v>157</v>
      </c>
    </row>
    <row r="2260">
      <c r="C2260" s="15" t="n">
        <v>158</v>
      </c>
      <c r="AA2260" s="15" t="n">
        <v>158</v>
      </c>
      <c r="AW2260" s="15" t="n">
        <v>158</v>
      </c>
      <c r="BS2260" s="15" t="n">
        <v>158</v>
      </c>
      <c r="CO2260" s="15" t="n">
        <v>158</v>
      </c>
      <c r="DK2260" s="15" t="n">
        <v>158</v>
      </c>
      <c r="EG2260" s="15" t="n">
        <v>158</v>
      </c>
      <c r="FC2260" s="15" t="n">
        <v>158</v>
      </c>
      <c r="FY2260" s="15" t="n">
        <v>158</v>
      </c>
      <c r="GU2260" s="15" t="n">
        <v>158</v>
      </c>
    </row>
    <row r="2261">
      <c r="C2261" s="15" t="n">
        <v>159</v>
      </c>
      <c r="AA2261" s="15" t="n">
        <v>159</v>
      </c>
      <c r="AW2261" s="15" t="n">
        <v>159</v>
      </c>
      <c r="BS2261" s="15" t="n">
        <v>159</v>
      </c>
      <c r="CO2261" s="15" t="n">
        <v>159</v>
      </c>
      <c r="DK2261" s="15" t="n">
        <v>159</v>
      </c>
      <c r="EG2261" s="15" t="n">
        <v>159</v>
      </c>
      <c r="FC2261" s="15" t="n">
        <v>159</v>
      </c>
      <c r="FY2261" s="15" t="n">
        <v>159</v>
      </c>
      <c r="GU2261" s="15" t="n">
        <v>159</v>
      </c>
    </row>
    <row r="2262">
      <c r="C2262" s="15" t="n">
        <v>160</v>
      </c>
      <c r="AA2262" s="15" t="n">
        <v>160</v>
      </c>
      <c r="AW2262" s="15" t="n">
        <v>160</v>
      </c>
      <c r="BS2262" s="15" t="n">
        <v>160</v>
      </c>
      <c r="CO2262" s="15" t="n">
        <v>160</v>
      </c>
      <c r="DK2262" s="15" t="n">
        <v>160</v>
      </c>
      <c r="EG2262" s="15" t="n">
        <v>160</v>
      </c>
      <c r="FC2262" s="15" t="n">
        <v>160</v>
      </c>
      <c r="FY2262" s="15" t="n">
        <v>160</v>
      </c>
      <c r="GU2262" s="15" t="n">
        <v>160</v>
      </c>
    </row>
    <row r="2263">
      <c r="C2263" s="15" t="n">
        <v>161</v>
      </c>
      <c r="AA2263" s="15" t="n">
        <v>161</v>
      </c>
      <c r="AW2263" s="15" t="n">
        <v>161</v>
      </c>
      <c r="BS2263" s="15" t="n">
        <v>161</v>
      </c>
      <c r="CO2263" s="15" t="n">
        <v>161</v>
      </c>
      <c r="DK2263" s="15" t="n">
        <v>161</v>
      </c>
      <c r="EG2263" s="15" t="n">
        <v>161</v>
      </c>
      <c r="FC2263" s="15" t="n">
        <v>161</v>
      </c>
      <c r="FY2263" s="15" t="n">
        <v>161</v>
      </c>
      <c r="GU2263" s="15" t="n">
        <v>161</v>
      </c>
    </row>
    <row r="2264">
      <c r="C2264" s="15" t="n">
        <v>162</v>
      </c>
      <c r="AA2264" s="15" t="n">
        <v>162</v>
      </c>
      <c r="AW2264" s="15" t="n">
        <v>162</v>
      </c>
      <c r="BS2264" s="15" t="n">
        <v>162</v>
      </c>
      <c r="CO2264" s="15" t="n">
        <v>162</v>
      </c>
      <c r="DK2264" s="15" t="n">
        <v>162</v>
      </c>
      <c r="EG2264" s="15" t="n">
        <v>162</v>
      </c>
      <c r="FC2264" s="15" t="n">
        <v>162</v>
      </c>
      <c r="FY2264" s="15" t="n">
        <v>162</v>
      </c>
      <c r="GU2264" s="15" t="n">
        <v>162</v>
      </c>
    </row>
    <row r="2265">
      <c r="C2265" s="15" t="n">
        <v>163</v>
      </c>
      <c r="AA2265" s="15" t="n">
        <v>163</v>
      </c>
      <c r="AW2265" s="15" t="n">
        <v>163</v>
      </c>
      <c r="BS2265" s="15" t="n">
        <v>163</v>
      </c>
      <c r="CO2265" s="15" t="n">
        <v>163</v>
      </c>
      <c r="DK2265" s="15" t="n">
        <v>163</v>
      </c>
      <c r="EG2265" s="15" t="n">
        <v>163</v>
      </c>
      <c r="FC2265" s="15" t="n">
        <v>163</v>
      </c>
      <c r="FY2265" s="15" t="n">
        <v>163</v>
      </c>
      <c r="GU2265" s="15" t="n">
        <v>163</v>
      </c>
    </row>
    <row r="2266">
      <c r="C2266" s="15" t="n">
        <v>164</v>
      </c>
      <c r="AA2266" s="15" t="n">
        <v>164</v>
      </c>
      <c r="AW2266" s="15" t="n">
        <v>164</v>
      </c>
      <c r="BS2266" s="15" t="n">
        <v>164</v>
      </c>
      <c r="CO2266" s="15" t="n">
        <v>164</v>
      </c>
      <c r="DK2266" s="15" t="n">
        <v>164</v>
      </c>
      <c r="EG2266" s="15" t="n">
        <v>164</v>
      </c>
      <c r="FC2266" s="15" t="n">
        <v>164</v>
      </c>
      <c r="FY2266" s="15" t="n">
        <v>164</v>
      </c>
      <c r="GU2266" s="15" t="n">
        <v>164</v>
      </c>
    </row>
    <row r="2267">
      <c r="C2267" s="15" t="n">
        <v>165</v>
      </c>
      <c r="AA2267" s="15" t="n">
        <v>165</v>
      </c>
      <c r="AW2267" s="15" t="n">
        <v>165</v>
      </c>
      <c r="BS2267" s="15" t="n">
        <v>165</v>
      </c>
      <c r="CO2267" s="15" t="n">
        <v>165</v>
      </c>
      <c r="DK2267" s="15" t="n">
        <v>165</v>
      </c>
      <c r="EG2267" s="15" t="n">
        <v>165</v>
      </c>
      <c r="FC2267" s="15" t="n">
        <v>165</v>
      </c>
      <c r="FY2267" s="15" t="n">
        <v>165</v>
      </c>
      <c r="GU2267" s="15" t="n">
        <v>165</v>
      </c>
    </row>
    <row r="2268">
      <c r="C2268" s="15" t="n">
        <v>166</v>
      </c>
      <c r="AA2268" s="15" t="n">
        <v>166</v>
      </c>
      <c r="AW2268" s="15" t="n">
        <v>166</v>
      </c>
      <c r="BS2268" s="15" t="n">
        <v>166</v>
      </c>
      <c r="CO2268" s="15" t="n">
        <v>166</v>
      </c>
      <c r="DK2268" s="15" t="n">
        <v>166</v>
      </c>
      <c r="EG2268" s="15" t="n">
        <v>166</v>
      </c>
      <c r="FC2268" s="15" t="n">
        <v>166</v>
      </c>
      <c r="FY2268" s="15" t="n">
        <v>166</v>
      </c>
      <c r="GU2268" s="15" t="n">
        <v>166</v>
      </c>
    </row>
    <row r="2269">
      <c r="C2269" s="15" t="n">
        <v>167</v>
      </c>
      <c r="AA2269" s="15" t="n">
        <v>167</v>
      </c>
      <c r="AW2269" s="15" t="n">
        <v>167</v>
      </c>
      <c r="BS2269" s="15" t="n">
        <v>167</v>
      </c>
      <c r="CO2269" s="15" t="n">
        <v>167</v>
      </c>
      <c r="DK2269" s="15" t="n">
        <v>167</v>
      </c>
      <c r="EG2269" s="15" t="n">
        <v>167</v>
      </c>
      <c r="FC2269" s="15" t="n">
        <v>167</v>
      </c>
      <c r="FY2269" s="15" t="n">
        <v>167</v>
      </c>
      <c r="GU2269" s="15" t="n">
        <v>167</v>
      </c>
    </row>
    <row r="2270">
      <c r="C2270" s="15" t="n">
        <v>168</v>
      </c>
      <c r="AA2270" s="15" t="n">
        <v>168</v>
      </c>
      <c r="AW2270" s="15" t="n">
        <v>168</v>
      </c>
      <c r="BS2270" s="15" t="n">
        <v>168</v>
      </c>
      <c r="CO2270" s="15" t="n">
        <v>168</v>
      </c>
      <c r="DK2270" s="15" t="n">
        <v>168</v>
      </c>
      <c r="EG2270" s="15" t="n">
        <v>168</v>
      </c>
      <c r="FC2270" s="15" t="n">
        <v>168</v>
      </c>
      <c r="FY2270" s="15" t="n">
        <v>168</v>
      </c>
      <c r="GU2270" s="15" t="n">
        <v>168</v>
      </c>
    </row>
    <row r="2271">
      <c r="C2271" s="15" t="n">
        <v>169</v>
      </c>
      <c r="AA2271" s="15" t="n">
        <v>169</v>
      </c>
      <c r="AW2271" s="15" t="n">
        <v>169</v>
      </c>
      <c r="BS2271" s="15" t="n">
        <v>169</v>
      </c>
      <c r="CO2271" s="15" t="n">
        <v>169</v>
      </c>
      <c r="DK2271" s="15" t="n">
        <v>169</v>
      </c>
      <c r="EG2271" s="15" t="n">
        <v>169</v>
      </c>
      <c r="FC2271" s="15" t="n">
        <v>169</v>
      </c>
      <c r="FY2271" s="15" t="n">
        <v>169</v>
      </c>
      <c r="GU2271" s="15" t="n">
        <v>169</v>
      </c>
    </row>
    <row r="2272">
      <c r="C2272" s="15" t="n">
        <v>170</v>
      </c>
      <c r="AA2272" s="15" t="n">
        <v>170</v>
      </c>
      <c r="AW2272" s="15" t="n">
        <v>170</v>
      </c>
      <c r="BS2272" s="15" t="n">
        <v>170</v>
      </c>
      <c r="CO2272" s="15" t="n">
        <v>170</v>
      </c>
      <c r="DK2272" s="15" t="n">
        <v>170</v>
      </c>
      <c r="EG2272" s="15" t="n">
        <v>170</v>
      </c>
      <c r="FC2272" s="15" t="n">
        <v>170</v>
      </c>
      <c r="FY2272" s="15" t="n">
        <v>170</v>
      </c>
      <c r="GU2272" s="15" t="n">
        <v>170</v>
      </c>
    </row>
    <row r="2273">
      <c r="C2273" s="15" t="n">
        <v>171</v>
      </c>
      <c r="AA2273" s="15" t="n">
        <v>171</v>
      </c>
      <c r="AW2273" s="15" t="n">
        <v>171</v>
      </c>
      <c r="BS2273" s="15" t="n">
        <v>171</v>
      </c>
      <c r="CO2273" s="15" t="n">
        <v>171</v>
      </c>
      <c r="DK2273" s="15" t="n">
        <v>171</v>
      </c>
      <c r="EG2273" s="15" t="n">
        <v>171</v>
      </c>
      <c r="FC2273" s="15" t="n">
        <v>171</v>
      </c>
      <c r="FY2273" s="15" t="n">
        <v>171</v>
      </c>
      <c r="GU2273" s="15" t="n">
        <v>171</v>
      </c>
    </row>
    <row r="2274">
      <c r="C2274" s="15" t="n">
        <v>172</v>
      </c>
      <c r="AA2274" s="15" t="n">
        <v>172</v>
      </c>
      <c r="AW2274" s="15" t="n">
        <v>172</v>
      </c>
      <c r="BS2274" s="15" t="n">
        <v>172</v>
      </c>
      <c r="CO2274" s="15" t="n">
        <v>172</v>
      </c>
      <c r="DK2274" s="15" t="n">
        <v>172</v>
      </c>
      <c r="EG2274" s="15" t="n">
        <v>172</v>
      </c>
      <c r="FC2274" s="15" t="n">
        <v>172</v>
      </c>
      <c r="FY2274" s="15" t="n">
        <v>172</v>
      </c>
      <c r="GU2274" s="15" t="n">
        <v>172</v>
      </c>
    </row>
    <row r="2275">
      <c r="C2275" s="15" t="n">
        <v>173</v>
      </c>
      <c r="AA2275" s="15" t="n">
        <v>173</v>
      </c>
      <c r="AW2275" s="15" t="n">
        <v>173</v>
      </c>
      <c r="BS2275" s="15" t="n">
        <v>173</v>
      </c>
      <c r="CO2275" s="15" t="n">
        <v>173</v>
      </c>
      <c r="DK2275" s="15" t="n">
        <v>173</v>
      </c>
      <c r="EG2275" s="15" t="n">
        <v>173</v>
      </c>
      <c r="FC2275" s="15" t="n">
        <v>173</v>
      </c>
      <c r="FY2275" s="15" t="n">
        <v>173</v>
      </c>
      <c r="GU2275" s="15" t="n">
        <v>173</v>
      </c>
    </row>
    <row r="2276">
      <c r="C2276" s="15" t="n">
        <v>174</v>
      </c>
      <c r="AA2276" s="15" t="n">
        <v>174</v>
      </c>
      <c r="AW2276" s="15" t="n">
        <v>174</v>
      </c>
      <c r="BS2276" s="15" t="n">
        <v>174</v>
      </c>
      <c r="CO2276" s="15" t="n">
        <v>174</v>
      </c>
      <c r="DK2276" s="15" t="n">
        <v>174</v>
      </c>
      <c r="EG2276" s="15" t="n">
        <v>174</v>
      </c>
      <c r="FC2276" s="15" t="n">
        <v>174</v>
      </c>
      <c r="FY2276" s="15" t="n">
        <v>174</v>
      </c>
      <c r="GU2276" s="15" t="n">
        <v>174</v>
      </c>
    </row>
    <row r="2277">
      <c r="C2277" s="15" t="n">
        <v>175</v>
      </c>
      <c r="AA2277" s="15" t="n">
        <v>175</v>
      </c>
      <c r="AW2277" s="15" t="n">
        <v>175</v>
      </c>
      <c r="BS2277" s="15" t="n">
        <v>175</v>
      </c>
      <c r="CO2277" s="15" t="n">
        <v>175</v>
      </c>
      <c r="DK2277" s="15" t="n">
        <v>175</v>
      </c>
      <c r="EG2277" s="15" t="n">
        <v>175</v>
      </c>
      <c r="FC2277" s="15" t="n">
        <v>175</v>
      </c>
      <c r="FY2277" s="15" t="n">
        <v>175</v>
      </c>
      <c r="GU2277" s="15" t="n">
        <v>175</v>
      </c>
    </row>
    <row r="2278">
      <c r="C2278" s="15" t="n">
        <v>176</v>
      </c>
      <c r="AA2278" s="15" t="n">
        <v>176</v>
      </c>
      <c r="AW2278" s="15" t="n">
        <v>176</v>
      </c>
      <c r="BS2278" s="15" t="n">
        <v>176</v>
      </c>
      <c r="CO2278" s="15" t="n">
        <v>176</v>
      </c>
      <c r="DK2278" s="15" t="n">
        <v>176</v>
      </c>
      <c r="EG2278" s="15" t="n">
        <v>176</v>
      </c>
      <c r="FC2278" s="15" t="n">
        <v>176</v>
      </c>
      <c r="FY2278" s="15" t="n">
        <v>176</v>
      </c>
      <c r="GU2278" s="15" t="n">
        <v>176</v>
      </c>
    </row>
    <row r="2279">
      <c r="C2279" s="15" t="n">
        <v>177</v>
      </c>
      <c r="AA2279" s="15" t="n">
        <v>177</v>
      </c>
      <c r="AW2279" s="15" t="n">
        <v>177</v>
      </c>
      <c r="BS2279" s="15" t="n">
        <v>177</v>
      </c>
      <c r="CO2279" s="15" t="n">
        <v>177</v>
      </c>
      <c r="DK2279" s="15" t="n">
        <v>177</v>
      </c>
      <c r="EG2279" s="15" t="n">
        <v>177</v>
      </c>
      <c r="FC2279" s="15" t="n">
        <v>177</v>
      </c>
      <c r="FY2279" s="15" t="n">
        <v>177</v>
      </c>
      <c r="GU2279" s="15" t="n">
        <v>177</v>
      </c>
    </row>
    <row r="2280">
      <c r="C2280" s="15" t="n">
        <v>178</v>
      </c>
      <c r="AA2280" s="15" t="n">
        <v>178</v>
      </c>
      <c r="AW2280" s="15" t="n">
        <v>178</v>
      </c>
      <c r="BS2280" s="15" t="n">
        <v>178</v>
      </c>
      <c r="CO2280" s="15" t="n">
        <v>178</v>
      </c>
      <c r="DK2280" s="15" t="n">
        <v>178</v>
      </c>
      <c r="EG2280" s="15" t="n">
        <v>178</v>
      </c>
      <c r="FC2280" s="15" t="n">
        <v>178</v>
      </c>
      <c r="FY2280" s="15" t="n">
        <v>178</v>
      </c>
      <c r="GU2280" s="15" t="n">
        <v>178</v>
      </c>
    </row>
    <row r="2281">
      <c r="C2281" s="15" t="n">
        <v>179</v>
      </c>
      <c r="AA2281" s="15" t="n">
        <v>179</v>
      </c>
      <c r="AW2281" s="15" t="n">
        <v>179</v>
      </c>
      <c r="BS2281" s="15" t="n">
        <v>179</v>
      </c>
      <c r="CO2281" s="15" t="n">
        <v>179</v>
      </c>
      <c r="DK2281" s="15" t="n">
        <v>179</v>
      </c>
      <c r="EG2281" s="15" t="n">
        <v>179</v>
      </c>
      <c r="FC2281" s="15" t="n">
        <v>179</v>
      </c>
      <c r="FY2281" s="15" t="n">
        <v>179</v>
      </c>
      <c r="GU2281" s="15" t="n">
        <v>179</v>
      </c>
    </row>
    <row r="2282">
      <c r="C2282" s="15" t="n">
        <v>180</v>
      </c>
      <c r="AA2282" s="15" t="n">
        <v>180</v>
      </c>
      <c r="AW2282" s="15" t="n">
        <v>180</v>
      </c>
      <c r="BS2282" s="15" t="n">
        <v>180</v>
      </c>
      <c r="CO2282" s="15" t="n">
        <v>180</v>
      </c>
      <c r="DK2282" s="15" t="n">
        <v>180</v>
      </c>
      <c r="EG2282" s="15" t="n">
        <v>180</v>
      </c>
      <c r="FC2282" s="15" t="n">
        <v>180</v>
      </c>
      <c r="FY2282" s="15" t="n">
        <v>180</v>
      </c>
      <c r="GU2282" s="15" t="n">
        <v>180</v>
      </c>
    </row>
    <row r="2283">
      <c r="C2283" s="15" t="n">
        <v>181</v>
      </c>
      <c r="AA2283" s="15" t="n">
        <v>181</v>
      </c>
      <c r="AW2283" s="15" t="n">
        <v>181</v>
      </c>
      <c r="BS2283" s="15" t="n">
        <v>181</v>
      </c>
      <c r="CO2283" s="15" t="n">
        <v>181</v>
      </c>
      <c r="DK2283" s="15" t="n">
        <v>181</v>
      </c>
      <c r="EG2283" s="15" t="n">
        <v>181</v>
      </c>
      <c r="FC2283" s="15" t="n">
        <v>181</v>
      </c>
      <c r="FY2283" s="15" t="n">
        <v>181</v>
      </c>
      <c r="GU2283" s="15" t="n">
        <v>181</v>
      </c>
    </row>
    <row r="2284">
      <c r="C2284" s="15" t="n">
        <v>182</v>
      </c>
      <c r="AA2284" s="15" t="n">
        <v>182</v>
      </c>
      <c r="AW2284" s="15" t="n">
        <v>182</v>
      </c>
      <c r="BS2284" s="15" t="n">
        <v>182</v>
      </c>
      <c r="CO2284" s="15" t="n">
        <v>182</v>
      </c>
      <c r="DK2284" s="15" t="n">
        <v>182</v>
      </c>
      <c r="EG2284" s="15" t="n">
        <v>182</v>
      </c>
      <c r="FC2284" s="15" t="n">
        <v>182</v>
      </c>
      <c r="FY2284" s="15" t="n">
        <v>182</v>
      </c>
      <c r="GU2284" s="15" t="n">
        <v>182</v>
      </c>
    </row>
    <row r="2285">
      <c r="C2285" s="15" t="n">
        <v>183</v>
      </c>
      <c r="AA2285" s="15" t="n">
        <v>183</v>
      </c>
      <c r="AW2285" s="15" t="n">
        <v>183</v>
      </c>
      <c r="BS2285" s="15" t="n">
        <v>183</v>
      </c>
      <c r="CO2285" s="15" t="n">
        <v>183</v>
      </c>
      <c r="DK2285" s="15" t="n">
        <v>183</v>
      </c>
      <c r="EG2285" s="15" t="n">
        <v>183</v>
      </c>
      <c r="FC2285" s="15" t="n">
        <v>183</v>
      </c>
      <c r="FY2285" s="15" t="n">
        <v>183</v>
      </c>
      <c r="GU2285" s="15" t="n">
        <v>183</v>
      </c>
    </row>
    <row r="2286">
      <c r="C2286" s="15" t="n">
        <v>184</v>
      </c>
      <c r="AA2286" s="15" t="n">
        <v>184</v>
      </c>
      <c r="AW2286" s="15" t="n">
        <v>184</v>
      </c>
      <c r="BS2286" s="15" t="n">
        <v>184</v>
      </c>
      <c r="CO2286" s="15" t="n">
        <v>184</v>
      </c>
      <c r="DK2286" s="15" t="n">
        <v>184</v>
      </c>
      <c r="EG2286" s="15" t="n">
        <v>184</v>
      </c>
      <c r="FC2286" s="15" t="n">
        <v>184</v>
      </c>
      <c r="FY2286" s="15" t="n">
        <v>184</v>
      </c>
      <c r="GU2286" s="15" t="n">
        <v>184</v>
      </c>
    </row>
    <row r="2287">
      <c r="C2287" s="15" t="n">
        <v>185</v>
      </c>
      <c r="AA2287" s="15" t="n">
        <v>185</v>
      </c>
      <c r="AW2287" s="15" t="n">
        <v>185</v>
      </c>
      <c r="BS2287" s="15" t="n">
        <v>185</v>
      </c>
      <c r="CO2287" s="15" t="n">
        <v>185</v>
      </c>
      <c r="DK2287" s="15" t="n">
        <v>185</v>
      </c>
      <c r="EG2287" s="15" t="n">
        <v>185</v>
      </c>
      <c r="FC2287" s="15" t="n">
        <v>185</v>
      </c>
      <c r="FY2287" s="15" t="n">
        <v>185</v>
      </c>
      <c r="GU2287" s="15" t="n">
        <v>185</v>
      </c>
    </row>
    <row r="2288">
      <c r="C2288" s="15" t="n">
        <v>186</v>
      </c>
      <c r="AA2288" s="15" t="n">
        <v>186</v>
      </c>
      <c r="AW2288" s="15" t="n">
        <v>186</v>
      </c>
      <c r="BS2288" s="15" t="n">
        <v>186</v>
      </c>
      <c r="CO2288" s="15" t="n">
        <v>186</v>
      </c>
      <c r="DK2288" s="15" t="n">
        <v>186</v>
      </c>
      <c r="EG2288" s="15" t="n">
        <v>186</v>
      </c>
      <c r="FC2288" s="15" t="n">
        <v>186</v>
      </c>
      <c r="FY2288" s="15" t="n">
        <v>186</v>
      </c>
      <c r="GU2288" s="15" t="n">
        <v>186</v>
      </c>
    </row>
    <row r="2289">
      <c r="C2289" s="15" t="n">
        <v>187</v>
      </c>
      <c r="AA2289" s="15" t="n">
        <v>187</v>
      </c>
      <c r="AW2289" s="15" t="n">
        <v>187</v>
      </c>
      <c r="BS2289" s="15" t="n">
        <v>187</v>
      </c>
      <c r="CO2289" s="15" t="n">
        <v>187</v>
      </c>
      <c r="DK2289" s="15" t="n">
        <v>187</v>
      </c>
      <c r="EG2289" s="15" t="n">
        <v>187</v>
      </c>
      <c r="FC2289" s="15" t="n">
        <v>187</v>
      </c>
      <c r="FY2289" s="15" t="n">
        <v>187</v>
      </c>
      <c r="GU2289" s="15" t="n">
        <v>187</v>
      </c>
    </row>
    <row r="2290">
      <c r="C2290" s="15" t="n">
        <v>188</v>
      </c>
      <c r="AA2290" s="15" t="n">
        <v>188</v>
      </c>
      <c r="AW2290" s="15" t="n">
        <v>188</v>
      </c>
      <c r="BS2290" s="15" t="n">
        <v>188</v>
      </c>
      <c r="CO2290" s="15" t="n">
        <v>188</v>
      </c>
      <c r="DK2290" s="15" t="n">
        <v>188</v>
      </c>
      <c r="EG2290" s="15" t="n">
        <v>188</v>
      </c>
      <c r="FC2290" s="15" t="n">
        <v>188</v>
      </c>
      <c r="FY2290" s="15" t="n">
        <v>188</v>
      </c>
      <c r="GU2290" s="15" t="n">
        <v>188</v>
      </c>
    </row>
    <row r="2291">
      <c r="C2291" s="15" t="n">
        <v>189</v>
      </c>
      <c r="AA2291" s="15" t="n">
        <v>189</v>
      </c>
      <c r="AW2291" s="15" t="n">
        <v>189</v>
      </c>
      <c r="BS2291" s="15" t="n">
        <v>189</v>
      </c>
      <c r="CO2291" s="15" t="n">
        <v>189</v>
      </c>
      <c r="DK2291" s="15" t="n">
        <v>189</v>
      </c>
      <c r="EG2291" s="15" t="n">
        <v>189</v>
      </c>
      <c r="FC2291" s="15" t="n">
        <v>189</v>
      </c>
      <c r="FY2291" s="15" t="n">
        <v>189</v>
      </c>
      <c r="GU2291" s="15" t="n">
        <v>189</v>
      </c>
    </row>
    <row r="2292">
      <c r="C2292" s="15" t="n">
        <v>190</v>
      </c>
      <c r="AA2292" s="15" t="n">
        <v>190</v>
      </c>
      <c r="AW2292" s="15" t="n">
        <v>190</v>
      </c>
      <c r="BS2292" s="15" t="n">
        <v>190</v>
      </c>
      <c r="CO2292" s="15" t="n">
        <v>190</v>
      </c>
      <c r="DK2292" s="15" t="n">
        <v>190</v>
      </c>
      <c r="EG2292" s="15" t="n">
        <v>190</v>
      </c>
      <c r="FC2292" s="15" t="n">
        <v>190</v>
      </c>
      <c r="FY2292" s="15" t="n">
        <v>190</v>
      </c>
      <c r="GU2292" s="15" t="n">
        <v>190</v>
      </c>
    </row>
    <row r="2293">
      <c r="C2293" s="15" t="n">
        <v>191</v>
      </c>
      <c r="AA2293" s="15" t="n">
        <v>191</v>
      </c>
      <c r="AW2293" s="15" t="n">
        <v>191</v>
      </c>
      <c r="BS2293" s="15" t="n">
        <v>191</v>
      </c>
      <c r="CO2293" s="15" t="n">
        <v>191</v>
      </c>
      <c r="DK2293" s="15" t="n">
        <v>191</v>
      </c>
      <c r="EG2293" s="15" t="n">
        <v>191</v>
      </c>
      <c r="FC2293" s="15" t="n">
        <v>191</v>
      </c>
      <c r="FY2293" s="15" t="n">
        <v>191</v>
      </c>
      <c r="GU2293" s="15" t="n">
        <v>191</v>
      </c>
    </row>
    <row r="2294">
      <c r="C2294" s="15" t="n">
        <v>192</v>
      </c>
      <c r="AA2294" s="15" t="n">
        <v>192</v>
      </c>
      <c r="AW2294" s="15" t="n">
        <v>192</v>
      </c>
      <c r="BS2294" s="15" t="n">
        <v>192</v>
      </c>
      <c r="CO2294" s="15" t="n">
        <v>192</v>
      </c>
      <c r="DK2294" s="15" t="n">
        <v>192</v>
      </c>
      <c r="EG2294" s="15" t="n">
        <v>192</v>
      </c>
      <c r="FC2294" s="15" t="n">
        <v>192</v>
      </c>
      <c r="FY2294" s="15" t="n">
        <v>192</v>
      </c>
      <c r="GU2294" s="15" t="n">
        <v>192</v>
      </c>
    </row>
    <row r="2295">
      <c r="C2295" s="15" t="n">
        <v>193</v>
      </c>
      <c r="AA2295" s="15" t="n">
        <v>193</v>
      </c>
      <c r="AW2295" s="15" t="n">
        <v>193</v>
      </c>
      <c r="BS2295" s="15" t="n">
        <v>193</v>
      </c>
      <c r="CO2295" s="15" t="n">
        <v>193</v>
      </c>
      <c r="DK2295" s="15" t="n">
        <v>193</v>
      </c>
      <c r="EG2295" s="15" t="n">
        <v>193</v>
      </c>
      <c r="FC2295" s="15" t="n">
        <v>193</v>
      </c>
      <c r="FY2295" s="15" t="n">
        <v>193</v>
      </c>
      <c r="GU2295" s="15" t="n">
        <v>193</v>
      </c>
    </row>
    <row r="2296">
      <c r="C2296" s="15" t="n">
        <v>194</v>
      </c>
      <c r="AA2296" s="15" t="n">
        <v>194</v>
      </c>
      <c r="AW2296" s="15" t="n">
        <v>194</v>
      </c>
      <c r="BS2296" s="15" t="n">
        <v>194</v>
      </c>
      <c r="CO2296" s="15" t="n">
        <v>194</v>
      </c>
      <c r="DK2296" s="15" t="n">
        <v>194</v>
      </c>
      <c r="EG2296" s="15" t="n">
        <v>194</v>
      </c>
      <c r="FC2296" s="15" t="n">
        <v>194</v>
      </c>
      <c r="FY2296" s="15" t="n">
        <v>194</v>
      </c>
      <c r="GU2296" s="15" t="n">
        <v>194</v>
      </c>
    </row>
    <row r="2297">
      <c r="C2297" s="15" t="n">
        <v>195</v>
      </c>
      <c r="AA2297" s="15" t="n">
        <v>195</v>
      </c>
      <c r="AW2297" s="15" t="n">
        <v>195</v>
      </c>
      <c r="BS2297" s="15" t="n">
        <v>195</v>
      </c>
      <c r="CO2297" s="15" t="n">
        <v>195</v>
      </c>
      <c r="DK2297" s="15" t="n">
        <v>195</v>
      </c>
      <c r="EG2297" s="15" t="n">
        <v>195</v>
      </c>
      <c r="FC2297" s="15" t="n">
        <v>195</v>
      </c>
      <c r="FY2297" s="15" t="n">
        <v>195</v>
      </c>
      <c r="GU2297" s="15" t="n">
        <v>195</v>
      </c>
    </row>
    <row r="2298">
      <c r="C2298" s="15" t="n">
        <v>196</v>
      </c>
      <c r="AA2298" s="15" t="n">
        <v>196</v>
      </c>
      <c r="AW2298" s="15" t="n">
        <v>196</v>
      </c>
      <c r="BS2298" s="15" t="n">
        <v>196</v>
      </c>
      <c r="CO2298" s="15" t="n">
        <v>196</v>
      </c>
      <c r="DK2298" s="15" t="n">
        <v>196</v>
      </c>
      <c r="EG2298" s="15" t="n">
        <v>196</v>
      </c>
      <c r="FC2298" s="15" t="n">
        <v>196</v>
      </c>
      <c r="FY2298" s="15" t="n">
        <v>196</v>
      </c>
      <c r="GU2298" s="15" t="n">
        <v>196</v>
      </c>
    </row>
    <row r="2299">
      <c r="C2299" s="15" t="n">
        <v>197</v>
      </c>
      <c r="AA2299" s="15" t="n">
        <v>197</v>
      </c>
      <c r="AW2299" s="15" t="n">
        <v>197</v>
      </c>
      <c r="BS2299" s="15" t="n">
        <v>197</v>
      </c>
      <c r="CO2299" s="15" t="n">
        <v>197</v>
      </c>
      <c r="DK2299" s="15" t="n">
        <v>197</v>
      </c>
      <c r="EG2299" s="15" t="n">
        <v>197</v>
      </c>
      <c r="FC2299" s="15" t="n">
        <v>197</v>
      </c>
      <c r="FY2299" s="15" t="n">
        <v>197</v>
      </c>
      <c r="GU2299" s="15" t="n">
        <v>197</v>
      </c>
    </row>
    <row r="2300">
      <c r="C2300" s="15" t="n">
        <v>198</v>
      </c>
      <c r="AA2300" s="15" t="n">
        <v>198</v>
      </c>
      <c r="AW2300" s="15" t="n">
        <v>198</v>
      </c>
      <c r="BS2300" s="15" t="n">
        <v>198</v>
      </c>
      <c r="CO2300" s="15" t="n">
        <v>198</v>
      </c>
      <c r="DK2300" s="15" t="n">
        <v>198</v>
      </c>
      <c r="EG2300" s="15" t="n">
        <v>198</v>
      </c>
      <c r="FC2300" s="15" t="n">
        <v>198</v>
      </c>
      <c r="FY2300" s="15" t="n">
        <v>198</v>
      </c>
      <c r="GU2300" s="15" t="n">
        <v>198</v>
      </c>
    </row>
    <row r="2302">
      <c r="C2302" s="15" t="inlineStr">
        <is>
          <t>Cap</t>
        </is>
      </c>
      <c r="D2302" s="15" t="n">
        <v>22</v>
      </c>
      <c r="E2302" s="15" t="n">
        <v>23</v>
      </c>
      <c r="F2302" s="15" t="n">
        <v>24</v>
      </c>
      <c r="AA2302" s="15" t="inlineStr">
        <is>
          <t>Cap</t>
        </is>
      </c>
      <c r="AB2302" s="15" t="n">
        <v>22</v>
      </c>
      <c r="AC2302" s="15" t="n">
        <v>23</v>
      </c>
      <c r="AD2302" s="15" t="n">
        <v>24</v>
      </c>
      <c r="AW2302" s="15" t="inlineStr">
        <is>
          <t>Cap</t>
        </is>
      </c>
      <c r="AX2302" s="15" t="n">
        <v>22</v>
      </c>
      <c r="AY2302" s="15" t="n">
        <v>23</v>
      </c>
      <c r="AZ2302" s="15" t="n">
        <v>24</v>
      </c>
      <c r="BS2302" s="15" t="inlineStr">
        <is>
          <t>Cap</t>
        </is>
      </c>
      <c r="BT2302" s="15" t="n">
        <v>22</v>
      </c>
      <c r="BU2302" s="15" t="n">
        <v>23</v>
      </c>
      <c r="BV2302" s="15" t="n">
        <v>24</v>
      </c>
      <c r="CO2302" s="15" t="inlineStr">
        <is>
          <t>Cap</t>
        </is>
      </c>
      <c r="CP2302" s="15" t="n">
        <v>22</v>
      </c>
      <c r="CQ2302" s="15" t="n">
        <v>23</v>
      </c>
      <c r="CR2302" s="15" t="n">
        <v>24</v>
      </c>
      <c r="DK2302" s="15" t="inlineStr">
        <is>
          <t>Cap</t>
        </is>
      </c>
      <c r="DL2302" s="15" t="n">
        <v>22</v>
      </c>
      <c r="DM2302" s="15" t="n">
        <v>23</v>
      </c>
      <c r="DN2302" s="15" t="n">
        <v>24</v>
      </c>
      <c r="EG2302" s="15" t="inlineStr">
        <is>
          <t>Cap</t>
        </is>
      </c>
      <c r="EH2302" s="15" t="n">
        <v>22</v>
      </c>
      <c r="EI2302" s="15" t="n">
        <v>23</v>
      </c>
      <c r="EJ2302" s="15" t="n">
        <v>24</v>
      </c>
      <c r="FC2302" s="15" t="inlineStr">
        <is>
          <t>Cap</t>
        </is>
      </c>
      <c r="FD2302" s="15" t="n">
        <v>22</v>
      </c>
      <c r="FE2302" s="15" t="n">
        <v>23</v>
      </c>
      <c r="FF2302" s="15" t="n">
        <v>24</v>
      </c>
      <c r="FY2302" s="15" t="inlineStr">
        <is>
          <t>Cap</t>
        </is>
      </c>
      <c r="FZ2302" s="15" t="n">
        <v>22</v>
      </c>
      <c r="GA2302" s="15" t="n">
        <v>23</v>
      </c>
      <c r="GB2302" s="15" t="n">
        <v>24</v>
      </c>
      <c r="GU2302" s="15" t="inlineStr">
        <is>
          <t>Cap</t>
        </is>
      </c>
      <c r="GV2302" s="15" t="n">
        <v>22</v>
      </c>
      <c r="GW2302" s="15" t="n">
        <v>23</v>
      </c>
      <c r="GX2302" s="15" t="n">
        <v>24</v>
      </c>
    </row>
    <row r="2303">
      <c r="C2303" s="15" t="n">
        <v>9</v>
      </c>
      <c r="AA2303" s="15" t="n">
        <v>9</v>
      </c>
      <c r="AW2303" s="15" t="n">
        <v>9</v>
      </c>
      <c r="BS2303" s="15" t="n">
        <v>9</v>
      </c>
      <c r="CO2303" s="15" t="n">
        <v>9</v>
      </c>
      <c r="DK2303" s="15" t="n">
        <v>9</v>
      </c>
      <c r="EG2303" s="15" t="n">
        <v>9</v>
      </c>
      <c r="FC2303" s="15" t="n">
        <v>9</v>
      </c>
      <c r="FY2303" s="15" t="n">
        <v>9</v>
      </c>
      <c r="GU2303" s="15" t="n">
        <v>9</v>
      </c>
    </row>
    <row r="2304">
      <c r="C2304" s="15" t="n">
        <v>10</v>
      </c>
      <c r="AA2304" s="15" t="n">
        <v>10</v>
      </c>
      <c r="AW2304" s="15" t="n">
        <v>10</v>
      </c>
      <c r="BS2304" s="15" t="n">
        <v>10</v>
      </c>
      <c r="CO2304" s="15" t="n">
        <v>10</v>
      </c>
      <c r="DK2304" s="15" t="n">
        <v>10</v>
      </c>
      <c r="EG2304" s="15" t="n">
        <v>10</v>
      </c>
      <c r="FC2304" s="15" t="n">
        <v>10</v>
      </c>
      <c r="FY2304" s="15" t="n">
        <v>10</v>
      </c>
      <c r="GU2304" s="15" t="n">
        <v>10</v>
      </c>
    </row>
    <row r="2305">
      <c r="C2305" s="15" t="n">
        <v>11</v>
      </c>
      <c r="AA2305" s="15" t="n">
        <v>11</v>
      </c>
      <c r="AW2305" s="15" t="n">
        <v>11</v>
      </c>
      <c r="BS2305" s="15" t="n">
        <v>11</v>
      </c>
      <c r="CO2305" s="15" t="n">
        <v>11</v>
      </c>
      <c r="DK2305" s="15" t="n">
        <v>11</v>
      </c>
      <c r="EG2305" s="15" t="n">
        <v>11</v>
      </c>
      <c r="FC2305" s="15" t="n">
        <v>11</v>
      </c>
      <c r="FY2305" s="15" t="n">
        <v>11</v>
      </c>
      <c r="GU2305" s="15" t="n">
        <v>11</v>
      </c>
    </row>
    <row r="2306">
      <c r="C2306" s="15" t="n">
        <v>12</v>
      </c>
      <c r="AA2306" s="15" t="n">
        <v>12</v>
      </c>
      <c r="AW2306" s="15" t="n">
        <v>12</v>
      </c>
      <c r="BS2306" s="15" t="n">
        <v>12</v>
      </c>
      <c r="CO2306" s="15" t="n">
        <v>12</v>
      </c>
      <c r="DK2306" s="15" t="n">
        <v>12</v>
      </c>
      <c r="EG2306" s="15" t="n">
        <v>12</v>
      </c>
      <c r="FC2306" s="15" t="n">
        <v>12</v>
      </c>
      <c r="FY2306" s="15" t="n">
        <v>12</v>
      </c>
      <c r="GU2306" s="15" t="n">
        <v>12</v>
      </c>
    </row>
    <row r="2307">
      <c r="C2307" s="15" t="n">
        <v>13</v>
      </c>
      <c r="AA2307" s="15" t="n">
        <v>13</v>
      </c>
      <c r="AW2307" s="15" t="n">
        <v>13</v>
      </c>
      <c r="BS2307" s="15" t="n">
        <v>13</v>
      </c>
      <c r="CO2307" s="15" t="n">
        <v>13</v>
      </c>
      <c r="DK2307" s="15" t="n">
        <v>13</v>
      </c>
      <c r="EG2307" s="15" t="n">
        <v>13</v>
      </c>
      <c r="FC2307" s="15" t="n">
        <v>13</v>
      </c>
      <c r="FY2307" s="15" t="n">
        <v>13</v>
      </c>
      <c r="GU2307" s="15" t="n">
        <v>13</v>
      </c>
    </row>
    <row r="2308">
      <c r="C2308" s="15" t="n">
        <v>14</v>
      </c>
      <c r="AA2308" s="15" t="n">
        <v>14</v>
      </c>
      <c r="AW2308" s="15" t="n">
        <v>14</v>
      </c>
      <c r="BS2308" s="15" t="n">
        <v>14</v>
      </c>
      <c r="CO2308" s="15" t="n">
        <v>14</v>
      </c>
      <c r="DK2308" s="15" t="n">
        <v>14</v>
      </c>
      <c r="EG2308" s="15" t="n">
        <v>14</v>
      </c>
      <c r="FC2308" s="15" t="n">
        <v>14</v>
      </c>
      <c r="FY2308" s="15" t="n">
        <v>14</v>
      </c>
      <c r="GU2308" s="15" t="n">
        <v>14</v>
      </c>
    </row>
    <row r="2309">
      <c r="C2309" s="15" t="n">
        <v>15</v>
      </c>
      <c r="AA2309" s="15" t="n">
        <v>15</v>
      </c>
      <c r="AW2309" s="15" t="n">
        <v>15</v>
      </c>
      <c r="BS2309" s="15" t="n">
        <v>15</v>
      </c>
      <c r="CO2309" s="15" t="n">
        <v>15</v>
      </c>
      <c r="DK2309" s="15" t="n">
        <v>15</v>
      </c>
      <c r="EG2309" s="15" t="n">
        <v>15</v>
      </c>
      <c r="FC2309" s="15" t="n">
        <v>15</v>
      </c>
      <c r="FY2309" s="15" t="n">
        <v>15</v>
      </c>
      <c r="GU2309" s="15" t="n">
        <v>15</v>
      </c>
    </row>
    <row r="2310">
      <c r="C2310" s="15" t="n">
        <v>16</v>
      </c>
      <c r="AA2310" s="15" t="n">
        <v>16</v>
      </c>
      <c r="AW2310" s="15" t="n">
        <v>16</v>
      </c>
      <c r="BS2310" s="15" t="n">
        <v>16</v>
      </c>
      <c r="CO2310" s="15" t="n">
        <v>16</v>
      </c>
      <c r="DK2310" s="15" t="n">
        <v>16</v>
      </c>
      <c r="EG2310" s="15" t="n">
        <v>16</v>
      </c>
      <c r="FC2310" s="15" t="n">
        <v>16</v>
      </c>
      <c r="FY2310" s="15" t="n">
        <v>16</v>
      </c>
      <c r="GU2310" s="15" t="n">
        <v>16</v>
      </c>
    </row>
    <row r="2311">
      <c r="C2311" s="15" t="n">
        <v>17</v>
      </c>
      <c r="AA2311" s="15" t="n">
        <v>17</v>
      </c>
      <c r="AW2311" s="15" t="n">
        <v>17</v>
      </c>
      <c r="BS2311" s="15" t="n">
        <v>17</v>
      </c>
      <c r="CO2311" s="15" t="n">
        <v>17</v>
      </c>
      <c r="DK2311" s="15" t="n">
        <v>17</v>
      </c>
      <c r="EG2311" s="15" t="n">
        <v>17</v>
      </c>
      <c r="FC2311" s="15" t="n">
        <v>17</v>
      </c>
      <c r="FY2311" s="15" t="n">
        <v>17</v>
      </c>
      <c r="GU2311" s="15" t="n">
        <v>17</v>
      </c>
    </row>
    <row r="2312">
      <c r="C2312" s="15" t="n">
        <v>18</v>
      </c>
      <c r="AA2312" s="15" t="n">
        <v>18</v>
      </c>
      <c r="AW2312" s="15" t="n">
        <v>18</v>
      </c>
      <c r="BS2312" s="15" t="n">
        <v>18</v>
      </c>
      <c r="CO2312" s="15" t="n">
        <v>18</v>
      </c>
      <c r="DK2312" s="15" t="n">
        <v>18</v>
      </c>
      <c r="EG2312" s="15" t="n">
        <v>18</v>
      </c>
      <c r="FC2312" s="15" t="n">
        <v>18</v>
      </c>
      <c r="FY2312" s="15" t="n">
        <v>18</v>
      </c>
      <c r="GU2312" s="15" t="n">
        <v>18</v>
      </c>
    </row>
    <row r="2313">
      <c r="C2313" s="15" t="n">
        <v>19</v>
      </c>
      <c r="AA2313" s="15" t="n">
        <v>19</v>
      </c>
      <c r="AW2313" s="15" t="n">
        <v>19</v>
      </c>
      <c r="BS2313" s="15" t="n">
        <v>19</v>
      </c>
      <c r="CO2313" s="15" t="n">
        <v>19</v>
      </c>
      <c r="DK2313" s="15" t="n">
        <v>19</v>
      </c>
      <c r="EG2313" s="15" t="n">
        <v>19</v>
      </c>
      <c r="FC2313" s="15" t="n">
        <v>19</v>
      </c>
      <c r="FY2313" s="15" t="n">
        <v>19</v>
      </c>
      <c r="GU2313" s="15" t="n">
        <v>19</v>
      </c>
    </row>
    <row r="2314">
      <c r="C2314" s="15" t="n">
        <v>20</v>
      </c>
      <c r="AA2314" s="15" t="n">
        <v>20</v>
      </c>
      <c r="AW2314" s="15" t="n">
        <v>20</v>
      </c>
      <c r="BS2314" s="15" t="n">
        <v>20</v>
      </c>
      <c r="CO2314" s="15" t="n">
        <v>20</v>
      </c>
      <c r="DK2314" s="15" t="n">
        <v>20</v>
      </c>
      <c r="EG2314" s="15" t="n">
        <v>20</v>
      </c>
      <c r="FC2314" s="15" t="n">
        <v>20</v>
      </c>
      <c r="FY2314" s="15" t="n">
        <v>20</v>
      </c>
      <c r="GU2314" s="15" t="n">
        <v>20</v>
      </c>
    </row>
    <row r="2315">
      <c r="C2315" s="15" t="n">
        <v>21</v>
      </c>
      <c r="AA2315" s="15" t="n">
        <v>21</v>
      </c>
      <c r="AW2315" s="15" t="n">
        <v>21</v>
      </c>
      <c r="BS2315" s="15" t="n">
        <v>21</v>
      </c>
      <c r="CO2315" s="15" t="n">
        <v>21</v>
      </c>
      <c r="DK2315" s="15" t="n">
        <v>21</v>
      </c>
      <c r="EG2315" s="15" t="n">
        <v>21</v>
      </c>
      <c r="FC2315" s="15" t="n">
        <v>21</v>
      </c>
      <c r="FY2315" s="15" t="n">
        <v>21</v>
      </c>
      <c r="GU2315" s="15" t="n">
        <v>21</v>
      </c>
    </row>
    <row r="2316">
      <c r="C2316" s="15" t="n">
        <v>22</v>
      </c>
      <c r="AA2316" s="15" t="n">
        <v>22</v>
      </c>
      <c r="AW2316" s="15" t="n">
        <v>22</v>
      </c>
      <c r="BS2316" s="15" t="n">
        <v>22</v>
      </c>
      <c r="CO2316" s="15" t="n">
        <v>22</v>
      </c>
      <c r="DK2316" s="15" t="n">
        <v>22</v>
      </c>
      <c r="EG2316" s="15" t="n">
        <v>22</v>
      </c>
      <c r="FC2316" s="15" t="n">
        <v>22</v>
      </c>
      <c r="FY2316" s="15" t="n">
        <v>22</v>
      </c>
      <c r="GU2316" s="15" t="n">
        <v>22</v>
      </c>
    </row>
    <row r="2317">
      <c r="C2317" s="15" t="n">
        <v>23</v>
      </c>
      <c r="AA2317" s="15" t="n">
        <v>23</v>
      </c>
      <c r="AW2317" s="15" t="n">
        <v>23</v>
      </c>
      <c r="BS2317" s="15" t="n">
        <v>23</v>
      </c>
      <c r="CO2317" s="15" t="n">
        <v>23</v>
      </c>
      <c r="DK2317" s="15" t="n">
        <v>23</v>
      </c>
      <c r="EG2317" s="15" t="n">
        <v>23</v>
      </c>
      <c r="FC2317" s="15" t="n">
        <v>23</v>
      </c>
      <c r="FY2317" s="15" t="n">
        <v>23</v>
      </c>
      <c r="GU2317" s="15" t="n">
        <v>23</v>
      </c>
    </row>
    <row r="2318">
      <c r="C2318" s="15" t="n">
        <v>24</v>
      </c>
      <c r="AA2318" s="15" t="n">
        <v>24</v>
      </c>
      <c r="AW2318" s="15" t="n">
        <v>24</v>
      </c>
      <c r="BS2318" s="15" t="n">
        <v>24</v>
      </c>
      <c r="CO2318" s="15" t="n">
        <v>24</v>
      </c>
      <c r="DK2318" s="15" t="n">
        <v>24</v>
      </c>
      <c r="EG2318" s="15" t="n">
        <v>24</v>
      </c>
      <c r="FC2318" s="15" t="n">
        <v>24</v>
      </c>
      <c r="FY2318" s="15" t="n">
        <v>24</v>
      </c>
      <c r="GU2318" s="15" t="n">
        <v>24</v>
      </c>
    </row>
    <row r="2319">
      <c r="C2319" s="15" t="n">
        <v>25</v>
      </c>
      <c r="AA2319" s="15" t="n">
        <v>25</v>
      </c>
      <c r="AW2319" s="15" t="n">
        <v>25</v>
      </c>
      <c r="BS2319" s="15" t="n">
        <v>25</v>
      </c>
      <c r="CO2319" s="15" t="n">
        <v>25</v>
      </c>
      <c r="DK2319" s="15" t="n">
        <v>25</v>
      </c>
      <c r="EG2319" s="15" t="n">
        <v>25</v>
      </c>
      <c r="FC2319" s="15" t="n">
        <v>25</v>
      </c>
      <c r="FY2319" s="15" t="n">
        <v>25</v>
      </c>
      <c r="GU2319" s="15" t="n">
        <v>25</v>
      </c>
    </row>
    <row r="2320">
      <c r="C2320" s="15" t="n">
        <v>26</v>
      </c>
      <c r="AA2320" s="15" t="n">
        <v>26</v>
      </c>
      <c r="AW2320" s="15" t="n">
        <v>26</v>
      </c>
      <c r="BS2320" s="15" t="n">
        <v>26</v>
      </c>
      <c r="CO2320" s="15" t="n">
        <v>26</v>
      </c>
      <c r="DK2320" s="15" t="n">
        <v>26</v>
      </c>
      <c r="EG2320" s="15" t="n">
        <v>26</v>
      </c>
      <c r="FC2320" s="15" t="n">
        <v>26</v>
      </c>
      <c r="FY2320" s="15" t="n">
        <v>26</v>
      </c>
      <c r="GU2320" s="15" t="n">
        <v>26</v>
      </c>
    </row>
    <row r="2321">
      <c r="C2321" s="15" t="n">
        <v>27</v>
      </c>
      <c r="AA2321" s="15" t="n">
        <v>27</v>
      </c>
      <c r="AW2321" s="15" t="n">
        <v>27</v>
      </c>
      <c r="BS2321" s="15" t="n">
        <v>27</v>
      </c>
      <c r="CO2321" s="15" t="n">
        <v>27</v>
      </c>
      <c r="DK2321" s="15" t="n">
        <v>27</v>
      </c>
      <c r="EG2321" s="15" t="n">
        <v>27</v>
      </c>
      <c r="FC2321" s="15" t="n">
        <v>27</v>
      </c>
      <c r="FY2321" s="15" t="n">
        <v>27</v>
      </c>
      <c r="GU2321" s="15" t="n">
        <v>27</v>
      </c>
    </row>
    <row r="2322">
      <c r="C2322" s="15" t="n">
        <v>28</v>
      </c>
      <c r="AA2322" s="15" t="n">
        <v>28</v>
      </c>
      <c r="AW2322" s="15" t="n">
        <v>28</v>
      </c>
      <c r="BS2322" s="15" t="n">
        <v>28</v>
      </c>
      <c r="CO2322" s="15" t="n">
        <v>28</v>
      </c>
      <c r="DK2322" s="15" t="n">
        <v>28</v>
      </c>
      <c r="EG2322" s="15" t="n">
        <v>28</v>
      </c>
      <c r="FC2322" s="15" t="n">
        <v>28</v>
      </c>
      <c r="FY2322" s="15" t="n">
        <v>28</v>
      </c>
      <c r="GU2322" s="15" t="n">
        <v>28</v>
      </c>
    </row>
    <row r="2323">
      <c r="C2323" s="15" t="n">
        <v>29</v>
      </c>
      <c r="AA2323" s="15" t="n">
        <v>29</v>
      </c>
      <c r="AW2323" s="15" t="n">
        <v>29</v>
      </c>
      <c r="BS2323" s="15" t="n">
        <v>29</v>
      </c>
      <c r="CO2323" s="15" t="n">
        <v>29</v>
      </c>
      <c r="DK2323" s="15" t="n">
        <v>29</v>
      </c>
      <c r="EG2323" s="15" t="n">
        <v>29</v>
      </c>
      <c r="FC2323" s="15" t="n">
        <v>29</v>
      </c>
      <c r="FY2323" s="15" t="n">
        <v>29</v>
      </c>
      <c r="GU2323" s="15" t="n">
        <v>29</v>
      </c>
    </row>
    <row r="2324">
      <c r="C2324" s="15" t="n">
        <v>30</v>
      </c>
      <c r="AA2324" s="15" t="n">
        <v>30</v>
      </c>
      <c r="AW2324" s="15" t="n">
        <v>30</v>
      </c>
      <c r="BS2324" s="15" t="n">
        <v>30</v>
      </c>
      <c r="CO2324" s="15" t="n">
        <v>30</v>
      </c>
      <c r="DK2324" s="15" t="n">
        <v>30</v>
      </c>
      <c r="EG2324" s="15" t="n">
        <v>30</v>
      </c>
      <c r="FC2324" s="15" t="n">
        <v>30</v>
      </c>
      <c r="FY2324" s="15" t="n">
        <v>30</v>
      </c>
      <c r="GU2324" s="15" t="n">
        <v>30</v>
      </c>
    </row>
    <row r="2325">
      <c r="C2325" s="15" t="n">
        <v>31</v>
      </c>
      <c r="AA2325" s="15" t="n">
        <v>31</v>
      </c>
      <c r="AW2325" s="15" t="n">
        <v>31</v>
      </c>
      <c r="BS2325" s="15" t="n">
        <v>31</v>
      </c>
      <c r="CO2325" s="15" t="n">
        <v>31</v>
      </c>
      <c r="DK2325" s="15" t="n">
        <v>31</v>
      </c>
      <c r="EG2325" s="15" t="n">
        <v>31</v>
      </c>
      <c r="FC2325" s="15" t="n">
        <v>31</v>
      </c>
      <c r="FY2325" s="15" t="n">
        <v>31</v>
      </c>
      <c r="GU2325" s="15" t="n">
        <v>31</v>
      </c>
    </row>
    <row r="2326">
      <c r="C2326" s="15" t="n">
        <v>32</v>
      </c>
      <c r="AA2326" s="15" t="n">
        <v>32</v>
      </c>
      <c r="AW2326" s="15" t="n">
        <v>32</v>
      </c>
      <c r="BS2326" s="15" t="n">
        <v>32</v>
      </c>
      <c r="CO2326" s="15" t="n">
        <v>32</v>
      </c>
      <c r="DK2326" s="15" t="n">
        <v>32</v>
      </c>
      <c r="EG2326" s="15" t="n">
        <v>32</v>
      </c>
      <c r="FC2326" s="15" t="n">
        <v>32</v>
      </c>
      <c r="FY2326" s="15" t="n">
        <v>32</v>
      </c>
      <c r="GU2326" s="15" t="n">
        <v>32</v>
      </c>
    </row>
    <row r="2327">
      <c r="C2327" s="15" t="n">
        <v>33</v>
      </c>
      <c r="AA2327" s="15" t="n">
        <v>33</v>
      </c>
      <c r="AW2327" s="15" t="n">
        <v>33</v>
      </c>
      <c r="BS2327" s="15" t="n">
        <v>33</v>
      </c>
      <c r="CO2327" s="15" t="n">
        <v>33</v>
      </c>
      <c r="DK2327" s="15" t="n">
        <v>33</v>
      </c>
      <c r="EG2327" s="15" t="n">
        <v>33</v>
      </c>
      <c r="FC2327" s="15" t="n">
        <v>33</v>
      </c>
      <c r="FY2327" s="15" t="n">
        <v>33</v>
      </c>
      <c r="GU2327" s="15" t="n">
        <v>33</v>
      </c>
    </row>
    <row r="2328">
      <c r="C2328" s="15" t="n">
        <v>34</v>
      </c>
      <c r="AA2328" s="15" t="n">
        <v>34</v>
      </c>
      <c r="AW2328" s="15" t="n">
        <v>34</v>
      </c>
      <c r="BS2328" s="15" t="n">
        <v>34</v>
      </c>
      <c r="CO2328" s="15" t="n">
        <v>34</v>
      </c>
      <c r="DK2328" s="15" t="n">
        <v>34</v>
      </c>
      <c r="EG2328" s="15" t="n">
        <v>34</v>
      </c>
      <c r="FC2328" s="15" t="n">
        <v>34</v>
      </c>
      <c r="FY2328" s="15" t="n">
        <v>34</v>
      </c>
      <c r="GU2328" s="15" t="n">
        <v>34</v>
      </c>
    </row>
    <row r="2329">
      <c r="C2329" s="15" t="n">
        <v>35</v>
      </c>
      <c r="AA2329" s="15" t="n">
        <v>35</v>
      </c>
      <c r="AW2329" s="15" t="n">
        <v>35</v>
      </c>
      <c r="BS2329" s="15" t="n">
        <v>35</v>
      </c>
      <c r="CO2329" s="15" t="n">
        <v>35</v>
      </c>
      <c r="DK2329" s="15" t="n">
        <v>35</v>
      </c>
      <c r="EG2329" s="15" t="n">
        <v>35</v>
      </c>
      <c r="FC2329" s="15" t="n">
        <v>35</v>
      </c>
      <c r="FY2329" s="15" t="n">
        <v>35</v>
      </c>
      <c r="GU2329" s="15" t="n">
        <v>35</v>
      </c>
    </row>
    <row r="2330">
      <c r="C2330" s="15" t="n">
        <v>36</v>
      </c>
      <c r="AA2330" s="15" t="n">
        <v>36</v>
      </c>
      <c r="AW2330" s="15" t="n">
        <v>36</v>
      </c>
      <c r="BS2330" s="15" t="n">
        <v>36</v>
      </c>
      <c r="CO2330" s="15" t="n">
        <v>36</v>
      </c>
      <c r="DK2330" s="15" t="n">
        <v>36</v>
      </c>
      <c r="EG2330" s="15" t="n">
        <v>36</v>
      </c>
      <c r="FC2330" s="15" t="n">
        <v>36</v>
      </c>
      <c r="FY2330" s="15" t="n">
        <v>36</v>
      </c>
      <c r="GU2330" s="15" t="n">
        <v>36</v>
      </c>
    </row>
    <row r="2331">
      <c r="C2331" s="15" t="n">
        <v>37</v>
      </c>
      <c r="AA2331" s="15" t="n">
        <v>37</v>
      </c>
      <c r="AW2331" s="15" t="n">
        <v>37</v>
      </c>
      <c r="BS2331" s="15" t="n">
        <v>37</v>
      </c>
      <c r="CO2331" s="15" t="n">
        <v>37</v>
      </c>
      <c r="DK2331" s="15" t="n">
        <v>37</v>
      </c>
      <c r="EG2331" s="15" t="n">
        <v>37</v>
      </c>
      <c r="FC2331" s="15" t="n">
        <v>37</v>
      </c>
      <c r="FY2331" s="15" t="n">
        <v>37</v>
      </c>
      <c r="GU2331" s="15" t="n">
        <v>37</v>
      </c>
    </row>
    <row r="2332">
      <c r="C2332" s="15" t="n">
        <v>38</v>
      </c>
      <c r="AA2332" s="15" t="n">
        <v>38</v>
      </c>
      <c r="AW2332" s="15" t="n">
        <v>38</v>
      </c>
      <c r="BS2332" s="15" t="n">
        <v>38</v>
      </c>
      <c r="CO2332" s="15" t="n">
        <v>38</v>
      </c>
      <c r="DK2332" s="15" t="n">
        <v>38</v>
      </c>
      <c r="EG2332" s="15" t="n">
        <v>38</v>
      </c>
      <c r="FC2332" s="15" t="n">
        <v>38</v>
      </c>
      <c r="FY2332" s="15" t="n">
        <v>38</v>
      </c>
      <c r="GU2332" s="15" t="n">
        <v>38</v>
      </c>
    </row>
    <row r="2333">
      <c r="C2333" s="15" t="n">
        <v>39</v>
      </c>
      <c r="AA2333" s="15" t="n">
        <v>39</v>
      </c>
      <c r="AW2333" s="15" t="n">
        <v>39</v>
      </c>
      <c r="BS2333" s="15" t="n">
        <v>39</v>
      </c>
      <c r="CO2333" s="15" t="n">
        <v>39</v>
      </c>
      <c r="DK2333" s="15" t="n">
        <v>39</v>
      </c>
      <c r="EG2333" s="15" t="n">
        <v>39</v>
      </c>
      <c r="FC2333" s="15" t="n">
        <v>39</v>
      </c>
      <c r="FY2333" s="15" t="n">
        <v>39</v>
      </c>
      <c r="GU2333" s="15" t="n">
        <v>39</v>
      </c>
    </row>
    <row r="2334">
      <c r="C2334" s="15" t="n">
        <v>40</v>
      </c>
      <c r="AA2334" s="15" t="n">
        <v>40</v>
      </c>
      <c r="AW2334" s="15" t="n">
        <v>40</v>
      </c>
      <c r="BS2334" s="15" t="n">
        <v>40</v>
      </c>
      <c r="CO2334" s="15" t="n">
        <v>40</v>
      </c>
      <c r="DK2334" s="15" t="n">
        <v>40</v>
      </c>
      <c r="EG2334" s="15" t="n">
        <v>40</v>
      </c>
      <c r="FC2334" s="15" t="n">
        <v>40</v>
      </c>
      <c r="FY2334" s="15" t="n">
        <v>40</v>
      </c>
      <c r="GU2334" s="15" t="n">
        <v>40</v>
      </c>
    </row>
    <row r="2335">
      <c r="C2335" s="15" t="n">
        <v>41</v>
      </c>
      <c r="AA2335" s="15" t="n">
        <v>41</v>
      </c>
      <c r="AW2335" s="15" t="n">
        <v>41</v>
      </c>
      <c r="BS2335" s="15" t="n">
        <v>41</v>
      </c>
      <c r="CO2335" s="15" t="n">
        <v>41</v>
      </c>
      <c r="DK2335" s="15" t="n">
        <v>41</v>
      </c>
      <c r="EG2335" s="15" t="n">
        <v>41</v>
      </c>
      <c r="FC2335" s="15" t="n">
        <v>41</v>
      </c>
      <c r="FY2335" s="15" t="n">
        <v>41</v>
      </c>
      <c r="GU2335" s="15" t="n">
        <v>41</v>
      </c>
    </row>
    <row r="2336">
      <c r="C2336" s="15" t="n">
        <v>42</v>
      </c>
      <c r="AA2336" s="15" t="n">
        <v>42</v>
      </c>
      <c r="AW2336" s="15" t="n">
        <v>42</v>
      </c>
      <c r="BS2336" s="15" t="n">
        <v>42</v>
      </c>
      <c r="CO2336" s="15" t="n">
        <v>42</v>
      </c>
      <c r="DK2336" s="15" t="n">
        <v>42</v>
      </c>
      <c r="EG2336" s="15" t="n">
        <v>42</v>
      </c>
      <c r="FC2336" s="15" t="n">
        <v>42</v>
      </c>
      <c r="FY2336" s="15" t="n">
        <v>42</v>
      </c>
      <c r="GU2336" s="15" t="n">
        <v>42</v>
      </c>
    </row>
    <row r="2337">
      <c r="C2337" s="15" t="n">
        <v>43</v>
      </c>
      <c r="AA2337" s="15" t="n">
        <v>43</v>
      </c>
      <c r="AW2337" s="15" t="n">
        <v>43</v>
      </c>
      <c r="BS2337" s="15" t="n">
        <v>43</v>
      </c>
      <c r="CO2337" s="15" t="n">
        <v>43</v>
      </c>
      <c r="DK2337" s="15" t="n">
        <v>43</v>
      </c>
      <c r="EG2337" s="15" t="n">
        <v>43</v>
      </c>
      <c r="FC2337" s="15" t="n">
        <v>43</v>
      </c>
      <c r="FY2337" s="15" t="n">
        <v>43</v>
      </c>
      <c r="GU2337" s="15" t="n">
        <v>43</v>
      </c>
    </row>
    <row r="2338">
      <c r="C2338" s="15" t="n">
        <v>44</v>
      </c>
      <c r="AA2338" s="15" t="n">
        <v>44</v>
      </c>
      <c r="AW2338" s="15" t="n">
        <v>44</v>
      </c>
      <c r="BS2338" s="15" t="n">
        <v>44</v>
      </c>
      <c r="CO2338" s="15" t="n">
        <v>44</v>
      </c>
      <c r="DK2338" s="15" t="n">
        <v>44</v>
      </c>
      <c r="EG2338" s="15" t="n">
        <v>44</v>
      </c>
      <c r="FC2338" s="15" t="n">
        <v>44</v>
      </c>
      <c r="FY2338" s="15" t="n">
        <v>44</v>
      </c>
      <c r="GU2338" s="15" t="n">
        <v>44</v>
      </c>
    </row>
    <row r="2339">
      <c r="C2339" s="15" t="n">
        <v>45</v>
      </c>
      <c r="AA2339" s="15" t="n">
        <v>45</v>
      </c>
      <c r="AW2339" s="15" t="n">
        <v>45</v>
      </c>
      <c r="BS2339" s="15" t="n">
        <v>45</v>
      </c>
      <c r="CO2339" s="15" t="n">
        <v>45</v>
      </c>
      <c r="DK2339" s="15" t="n">
        <v>45</v>
      </c>
      <c r="EG2339" s="15" t="n">
        <v>45</v>
      </c>
      <c r="FC2339" s="15" t="n">
        <v>45</v>
      </c>
      <c r="FY2339" s="15" t="n">
        <v>45</v>
      </c>
      <c r="GU2339" s="15" t="n">
        <v>45</v>
      </c>
    </row>
    <row r="2340">
      <c r="C2340" s="15" t="n">
        <v>46</v>
      </c>
      <c r="AA2340" s="15" t="n">
        <v>46</v>
      </c>
      <c r="AW2340" s="15" t="n">
        <v>46</v>
      </c>
      <c r="BS2340" s="15" t="n">
        <v>46</v>
      </c>
      <c r="CO2340" s="15" t="n">
        <v>46</v>
      </c>
      <c r="DK2340" s="15" t="n">
        <v>46</v>
      </c>
      <c r="EG2340" s="15" t="n">
        <v>46</v>
      </c>
      <c r="FC2340" s="15" t="n">
        <v>46</v>
      </c>
      <c r="FY2340" s="15" t="n">
        <v>46</v>
      </c>
      <c r="GU2340" s="15" t="n">
        <v>46</v>
      </c>
    </row>
    <row r="2341">
      <c r="C2341" s="15" t="n">
        <v>47</v>
      </c>
      <c r="AA2341" s="15" t="n">
        <v>47</v>
      </c>
      <c r="AW2341" s="15" t="n">
        <v>47</v>
      </c>
      <c r="BS2341" s="15" t="n">
        <v>47</v>
      </c>
      <c r="CO2341" s="15" t="n">
        <v>47</v>
      </c>
      <c r="DK2341" s="15" t="n">
        <v>47</v>
      </c>
      <c r="EG2341" s="15" t="n">
        <v>47</v>
      </c>
      <c r="FC2341" s="15" t="n">
        <v>47</v>
      </c>
      <c r="FY2341" s="15" t="n">
        <v>47</v>
      </c>
      <c r="GU2341" s="15" t="n">
        <v>47</v>
      </c>
    </row>
    <row r="2342">
      <c r="C2342" s="15" t="n">
        <v>48</v>
      </c>
      <c r="AA2342" s="15" t="n">
        <v>48</v>
      </c>
      <c r="AW2342" s="15" t="n">
        <v>48</v>
      </c>
      <c r="BS2342" s="15" t="n">
        <v>48</v>
      </c>
      <c r="CO2342" s="15" t="n">
        <v>48</v>
      </c>
      <c r="DK2342" s="15" t="n">
        <v>48</v>
      </c>
      <c r="EG2342" s="15" t="n">
        <v>48</v>
      </c>
      <c r="FC2342" s="15" t="n">
        <v>48</v>
      </c>
      <c r="FY2342" s="15" t="n">
        <v>48</v>
      </c>
      <c r="GU2342" s="15" t="n">
        <v>48</v>
      </c>
    </row>
    <row r="2343">
      <c r="C2343" s="15" t="n">
        <v>49</v>
      </c>
      <c r="AA2343" s="15" t="n">
        <v>49</v>
      </c>
      <c r="AW2343" s="15" t="n">
        <v>49</v>
      </c>
      <c r="BS2343" s="15" t="n">
        <v>49</v>
      </c>
      <c r="CO2343" s="15" t="n">
        <v>49</v>
      </c>
      <c r="DK2343" s="15" t="n">
        <v>49</v>
      </c>
      <c r="EG2343" s="15" t="n">
        <v>49</v>
      </c>
      <c r="FC2343" s="15" t="n">
        <v>49</v>
      </c>
      <c r="FY2343" s="15" t="n">
        <v>49</v>
      </c>
      <c r="GU2343" s="15" t="n">
        <v>49</v>
      </c>
    </row>
    <row r="2344">
      <c r="C2344" s="15" t="n">
        <v>50</v>
      </c>
      <c r="AA2344" s="15" t="n">
        <v>50</v>
      </c>
      <c r="AW2344" s="15" t="n">
        <v>50</v>
      </c>
      <c r="BS2344" s="15" t="n">
        <v>50</v>
      </c>
      <c r="CO2344" s="15" t="n">
        <v>50</v>
      </c>
      <c r="DK2344" s="15" t="n">
        <v>50</v>
      </c>
      <c r="EG2344" s="15" t="n">
        <v>50</v>
      </c>
      <c r="FC2344" s="15" t="n">
        <v>50</v>
      </c>
      <c r="FY2344" s="15" t="n">
        <v>50</v>
      </c>
      <c r="GU2344" s="15" t="n">
        <v>50</v>
      </c>
    </row>
    <row r="2345">
      <c r="C2345" s="15" t="n">
        <v>51</v>
      </c>
      <c r="AA2345" s="15" t="n">
        <v>51</v>
      </c>
      <c r="AW2345" s="15" t="n">
        <v>51</v>
      </c>
      <c r="BS2345" s="15" t="n">
        <v>51</v>
      </c>
      <c r="CO2345" s="15" t="n">
        <v>51</v>
      </c>
      <c r="DK2345" s="15" t="n">
        <v>51</v>
      </c>
      <c r="EG2345" s="15" t="n">
        <v>51</v>
      </c>
      <c r="FC2345" s="15" t="n">
        <v>51</v>
      </c>
      <c r="FY2345" s="15" t="n">
        <v>51</v>
      </c>
      <c r="GU2345" s="15" t="n">
        <v>51</v>
      </c>
    </row>
    <row r="2346">
      <c r="C2346" s="15" t="n">
        <v>52</v>
      </c>
      <c r="AA2346" s="15" t="n">
        <v>52</v>
      </c>
      <c r="AW2346" s="15" t="n">
        <v>52</v>
      </c>
      <c r="BS2346" s="15" t="n">
        <v>52</v>
      </c>
      <c r="CO2346" s="15" t="n">
        <v>52</v>
      </c>
      <c r="DK2346" s="15" t="n">
        <v>52</v>
      </c>
      <c r="EG2346" s="15" t="n">
        <v>52</v>
      </c>
      <c r="FC2346" s="15" t="n">
        <v>52</v>
      </c>
      <c r="FY2346" s="15" t="n">
        <v>52</v>
      </c>
      <c r="GU2346" s="15" t="n">
        <v>52</v>
      </c>
    </row>
    <row r="2347">
      <c r="C2347" s="15" t="n">
        <v>53</v>
      </c>
      <c r="AA2347" s="15" t="n">
        <v>53</v>
      </c>
      <c r="AW2347" s="15" t="n">
        <v>53</v>
      </c>
      <c r="BS2347" s="15" t="n">
        <v>53</v>
      </c>
      <c r="CO2347" s="15" t="n">
        <v>53</v>
      </c>
      <c r="DK2347" s="15" t="n">
        <v>53</v>
      </c>
      <c r="EG2347" s="15" t="n">
        <v>53</v>
      </c>
      <c r="FC2347" s="15" t="n">
        <v>53</v>
      </c>
      <c r="FY2347" s="15" t="n">
        <v>53</v>
      </c>
      <c r="GU2347" s="15" t="n">
        <v>53</v>
      </c>
    </row>
    <row r="2348">
      <c r="C2348" s="15" t="n">
        <v>54</v>
      </c>
      <c r="AA2348" s="15" t="n">
        <v>54</v>
      </c>
      <c r="AW2348" s="15" t="n">
        <v>54</v>
      </c>
      <c r="BS2348" s="15" t="n">
        <v>54</v>
      </c>
      <c r="CO2348" s="15" t="n">
        <v>54</v>
      </c>
      <c r="DK2348" s="15" t="n">
        <v>54</v>
      </c>
      <c r="EG2348" s="15" t="n">
        <v>54</v>
      </c>
      <c r="FC2348" s="15" t="n">
        <v>54</v>
      </c>
      <c r="FY2348" s="15" t="n">
        <v>54</v>
      </c>
      <c r="GU2348" s="15" t="n">
        <v>54</v>
      </c>
    </row>
    <row r="2349">
      <c r="C2349" s="15" t="n">
        <v>55</v>
      </c>
      <c r="AA2349" s="15" t="n">
        <v>55</v>
      </c>
      <c r="AW2349" s="15" t="n">
        <v>55</v>
      </c>
      <c r="BS2349" s="15" t="n">
        <v>55</v>
      </c>
      <c r="CO2349" s="15" t="n">
        <v>55</v>
      </c>
      <c r="DK2349" s="15" t="n">
        <v>55</v>
      </c>
      <c r="EG2349" s="15" t="n">
        <v>55</v>
      </c>
      <c r="FC2349" s="15" t="n">
        <v>55</v>
      </c>
      <c r="FY2349" s="15" t="n">
        <v>55</v>
      </c>
      <c r="GU2349" s="15" t="n">
        <v>55</v>
      </c>
    </row>
    <row r="2350">
      <c r="C2350" s="15" t="n">
        <v>56</v>
      </c>
      <c r="AA2350" s="15" t="n">
        <v>56</v>
      </c>
      <c r="AW2350" s="15" t="n">
        <v>56</v>
      </c>
      <c r="BS2350" s="15" t="n">
        <v>56</v>
      </c>
      <c r="CO2350" s="15" t="n">
        <v>56</v>
      </c>
      <c r="DK2350" s="15" t="n">
        <v>56</v>
      </c>
      <c r="EG2350" s="15" t="n">
        <v>56</v>
      </c>
      <c r="FC2350" s="15" t="n">
        <v>56</v>
      </c>
      <c r="FY2350" s="15" t="n">
        <v>56</v>
      </c>
      <c r="GU2350" s="15" t="n">
        <v>56</v>
      </c>
    </row>
    <row r="2351">
      <c r="C2351" s="15" t="n">
        <v>57</v>
      </c>
      <c r="AA2351" s="15" t="n">
        <v>57</v>
      </c>
      <c r="AW2351" s="15" t="n">
        <v>57</v>
      </c>
      <c r="BS2351" s="15" t="n">
        <v>57</v>
      </c>
      <c r="CO2351" s="15" t="n">
        <v>57</v>
      </c>
      <c r="DK2351" s="15" t="n">
        <v>57</v>
      </c>
      <c r="EG2351" s="15" t="n">
        <v>57</v>
      </c>
      <c r="FC2351" s="15" t="n">
        <v>57</v>
      </c>
      <c r="FY2351" s="15" t="n">
        <v>57</v>
      </c>
      <c r="GU2351" s="15" t="n">
        <v>57</v>
      </c>
    </row>
    <row r="2352">
      <c r="C2352" s="15" t="n">
        <v>58</v>
      </c>
      <c r="AA2352" s="15" t="n">
        <v>58</v>
      </c>
      <c r="AW2352" s="15" t="n">
        <v>58</v>
      </c>
      <c r="BS2352" s="15" t="n">
        <v>58</v>
      </c>
      <c r="CO2352" s="15" t="n">
        <v>58</v>
      </c>
      <c r="DK2352" s="15" t="n">
        <v>58</v>
      </c>
      <c r="EG2352" s="15" t="n">
        <v>58</v>
      </c>
      <c r="FC2352" s="15" t="n">
        <v>58</v>
      </c>
      <c r="FY2352" s="15" t="n">
        <v>58</v>
      </c>
      <c r="GU2352" s="15" t="n">
        <v>58</v>
      </c>
    </row>
    <row r="2353">
      <c r="C2353" s="15" t="n">
        <v>59</v>
      </c>
      <c r="AA2353" s="15" t="n">
        <v>59</v>
      </c>
      <c r="AW2353" s="15" t="n">
        <v>59</v>
      </c>
      <c r="BS2353" s="15" t="n">
        <v>59</v>
      </c>
      <c r="CO2353" s="15" t="n">
        <v>59</v>
      </c>
      <c r="DK2353" s="15" t="n">
        <v>59</v>
      </c>
      <c r="EG2353" s="15" t="n">
        <v>59</v>
      </c>
      <c r="FC2353" s="15" t="n">
        <v>59</v>
      </c>
      <c r="FY2353" s="15" t="n">
        <v>59</v>
      </c>
      <c r="GU2353" s="15" t="n">
        <v>59</v>
      </c>
    </row>
    <row r="2354">
      <c r="C2354" s="15" t="n">
        <v>60</v>
      </c>
      <c r="AA2354" s="15" t="n">
        <v>60</v>
      </c>
      <c r="AW2354" s="15" t="n">
        <v>60</v>
      </c>
      <c r="BS2354" s="15" t="n">
        <v>60</v>
      </c>
      <c r="CO2354" s="15" t="n">
        <v>60</v>
      </c>
      <c r="DK2354" s="15" t="n">
        <v>60</v>
      </c>
      <c r="EG2354" s="15" t="n">
        <v>60</v>
      </c>
      <c r="FC2354" s="15" t="n">
        <v>60</v>
      </c>
      <c r="FY2354" s="15" t="n">
        <v>60</v>
      </c>
      <c r="GU2354" s="15" t="n">
        <v>60</v>
      </c>
    </row>
    <row r="2355">
      <c r="C2355" s="15" t="n">
        <v>61</v>
      </c>
      <c r="AA2355" s="15" t="n">
        <v>61</v>
      </c>
      <c r="AW2355" s="15" t="n">
        <v>61</v>
      </c>
      <c r="BS2355" s="15" t="n">
        <v>61</v>
      </c>
      <c r="CO2355" s="15" t="n">
        <v>61</v>
      </c>
      <c r="DK2355" s="15" t="n">
        <v>61</v>
      </c>
      <c r="EG2355" s="15" t="n">
        <v>61</v>
      </c>
      <c r="FC2355" s="15" t="n">
        <v>61</v>
      </c>
      <c r="FY2355" s="15" t="n">
        <v>61</v>
      </c>
      <c r="GU2355" s="15" t="n">
        <v>61</v>
      </c>
    </row>
    <row r="2356">
      <c r="C2356" s="15" t="n">
        <v>62</v>
      </c>
      <c r="AA2356" s="15" t="n">
        <v>62</v>
      </c>
      <c r="AW2356" s="15" t="n">
        <v>62</v>
      </c>
      <c r="BS2356" s="15" t="n">
        <v>62</v>
      </c>
      <c r="CO2356" s="15" t="n">
        <v>62</v>
      </c>
      <c r="DK2356" s="15" t="n">
        <v>62</v>
      </c>
      <c r="EG2356" s="15" t="n">
        <v>62</v>
      </c>
      <c r="FC2356" s="15" t="n">
        <v>62</v>
      </c>
      <c r="FY2356" s="15" t="n">
        <v>62</v>
      </c>
      <c r="GU2356" s="15" t="n">
        <v>62</v>
      </c>
    </row>
    <row r="2357">
      <c r="C2357" s="15" t="n">
        <v>63</v>
      </c>
      <c r="AA2357" s="15" t="n">
        <v>63</v>
      </c>
      <c r="AW2357" s="15" t="n">
        <v>63</v>
      </c>
      <c r="BS2357" s="15" t="n">
        <v>63</v>
      </c>
      <c r="CO2357" s="15" t="n">
        <v>63</v>
      </c>
      <c r="DK2357" s="15" t="n">
        <v>63</v>
      </c>
      <c r="EG2357" s="15" t="n">
        <v>63</v>
      </c>
      <c r="FC2357" s="15" t="n">
        <v>63</v>
      </c>
      <c r="FY2357" s="15" t="n">
        <v>63</v>
      </c>
      <c r="GU2357" s="15" t="n">
        <v>63</v>
      </c>
    </row>
    <row r="2358">
      <c r="C2358" s="15" t="n">
        <v>64</v>
      </c>
      <c r="AA2358" s="15" t="n">
        <v>64</v>
      </c>
      <c r="AW2358" s="15" t="n">
        <v>64</v>
      </c>
      <c r="BS2358" s="15" t="n">
        <v>64</v>
      </c>
      <c r="CO2358" s="15" t="n">
        <v>64</v>
      </c>
      <c r="DK2358" s="15" t="n">
        <v>64</v>
      </c>
      <c r="EG2358" s="15" t="n">
        <v>64</v>
      </c>
      <c r="FC2358" s="15" t="n">
        <v>64</v>
      </c>
      <c r="FY2358" s="15" t="n">
        <v>64</v>
      </c>
      <c r="GU2358" s="15" t="n">
        <v>64</v>
      </c>
    </row>
    <row r="2359">
      <c r="C2359" s="15" t="n">
        <v>65</v>
      </c>
      <c r="AA2359" s="15" t="n">
        <v>65</v>
      </c>
      <c r="AW2359" s="15" t="n">
        <v>65</v>
      </c>
      <c r="BS2359" s="15" t="n">
        <v>65</v>
      </c>
      <c r="CO2359" s="15" t="n">
        <v>65</v>
      </c>
      <c r="DK2359" s="15" t="n">
        <v>65</v>
      </c>
      <c r="EG2359" s="15" t="n">
        <v>65</v>
      </c>
      <c r="FC2359" s="15" t="n">
        <v>65</v>
      </c>
      <c r="FY2359" s="15" t="n">
        <v>65</v>
      </c>
      <c r="GU2359" s="15" t="n">
        <v>65</v>
      </c>
    </row>
    <row r="2360">
      <c r="C2360" s="15" t="n">
        <v>66</v>
      </c>
      <c r="AA2360" s="15" t="n">
        <v>66</v>
      </c>
      <c r="AW2360" s="15" t="n">
        <v>66</v>
      </c>
      <c r="BS2360" s="15" t="n">
        <v>66</v>
      </c>
      <c r="CO2360" s="15" t="n">
        <v>66</v>
      </c>
      <c r="DK2360" s="15" t="n">
        <v>66</v>
      </c>
      <c r="EG2360" s="15" t="n">
        <v>66</v>
      </c>
      <c r="FC2360" s="15" t="n">
        <v>66</v>
      </c>
      <c r="FY2360" s="15" t="n">
        <v>66</v>
      </c>
      <c r="GU2360" s="15" t="n">
        <v>66</v>
      </c>
    </row>
    <row r="2361">
      <c r="C2361" s="15" t="n">
        <v>67</v>
      </c>
      <c r="AA2361" s="15" t="n">
        <v>67</v>
      </c>
      <c r="AW2361" s="15" t="n">
        <v>67</v>
      </c>
      <c r="BS2361" s="15" t="n">
        <v>67</v>
      </c>
      <c r="CO2361" s="15" t="n">
        <v>67</v>
      </c>
      <c r="DK2361" s="15" t="n">
        <v>67</v>
      </c>
      <c r="EG2361" s="15" t="n">
        <v>67</v>
      </c>
      <c r="FC2361" s="15" t="n">
        <v>67</v>
      </c>
      <c r="FY2361" s="15" t="n">
        <v>67</v>
      </c>
      <c r="GU2361" s="15" t="n">
        <v>67</v>
      </c>
    </row>
    <row r="2362">
      <c r="C2362" s="15" t="n">
        <v>68</v>
      </c>
      <c r="AA2362" s="15" t="n">
        <v>68</v>
      </c>
      <c r="AW2362" s="15" t="n">
        <v>68</v>
      </c>
      <c r="BS2362" s="15" t="n">
        <v>68</v>
      </c>
      <c r="CO2362" s="15" t="n">
        <v>68</v>
      </c>
      <c r="DK2362" s="15" t="n">
        <v>68</v>
      </c>
      <c r="EG2362" s="15" t="n">
        <v>68</v>
      </c>
      <c r="FC2362" s="15" t="n">
        <v>68</v>
      </c>
      <c r="FY2362" s="15" t="n">
        <v>68</v>
      </c>
      <c r="GU2362" s="15" t="n">
        <v>68</v>
      </c>
    </row>
    <row r="2363">
      <c r="C2363" s="15" t="n">
        <v>69</v>
      </c>
      <c r="AA2363" s="15" t="n">
        <v>69</v>
      </c>
      <c r="AW2363" s="15" t="n">
        <v>69</v>
      </c>
      <c r="BS2363" s="15" t="n">
        <v>69</v>
      </c>
      <c r="CO2363" s="15" t="n">
        <v>69</v>
      </c>
      <c r="DK2363" s="15" t="n">
        <v>69</v>
      </c>
      <c r="EG2363" s="15" t="n">
        <v>69</v>
      </c>
      <c r="FC2363" s="15" t="n">
        <v>69</v>
      </c>
      <c r="FY2363" s="15" t="n">
        <v>69</v>
      </c>
      <c r="GU2363" s="15" t="n">
        <v>69</v>
      </c>
    </row>
    <row r="2364">
      <c r="C2364" s="15" t="n">
        <v>70</v>
      </c>
      <c r="AA2364" s="15" t="n">
        <v>70</v>
      </c>
      <c r="AW2364" s="15" t="n">
        <v>70</v>
      </c>
      <c r="BS2364" s="15" t="n">
        <v>70</v>
      </c>
      <c r="CO2364" s="15" t="n">
        <v>70</v>
      </c>
      <c r="DK2364" s="15" t="n">
        <v>70</v>
      </c>
      <c r="EG2364" s="15" t="n">
        <v>70</v>
      </c>
      <c r="FC2364" s="15" t="n">
        <v>70</v>
      </c>
      <c r="FY2364" s="15" t="n">
        <v>70</v>
      </c>
      <c r="GU2364" s="15" t="n">
        <v>70</v>
      </c>
    </row>
    <row r="2365">
      <c r="C2365" s="15" t="n">
        <v>71</v>
      </c>
      <c r="AA2365" s="15" t="n">
        <v>71</v>
      </c>
      <c r="AW2365" s="15" t="n">
        <v>71</v>
      </c>
      <c r="BS2365" s="15" t="n">
        <v>71</v>
      </c>
      <c r="CO2365" s="15" t="n">
        <v>71</v>
      </c>
      <c r="DK2365" s="15" t="n">
        <v>71</v>
      </c>
      <c r="EG2365" s="15" t="n">
        <v>71</v>
      </c>
      <c r="FC2365" s="15" t="n">
        <v>71</v>
      </c>
      <c r="FY2365" s="15" t="n">
        <v>71</v>
      </c>
      <c r="GU2365" s="15" t="n">
        <v>71</v>
      </c>
    </row>
    <row r="2366">
      <c r="C2366" s="15" t="n">
        <v>72</v>
      </c>
      <c r="AA2366" s="15" t="n">
        <v>72</v>
      </c>
      <c r="AW2366" s="15" t="n">
        <v>72</v>
      </c>
      <c r="BS2366" s="15" t="n">
        <v>72</v>
      </c>
      <c r="CO2366" s="15" t="n">
        <v>72</v>
      </c>
      <c r="DK2366" s="15" t="n">
        <v>72</v>
      </c>
      <c r="EG2366" s="15" t="n">
        <v>72</v>
      </c>
      <c r="FC2366" s="15" t="n">
        <v>72</v>
      </c>
      <c r="FY2366" s="15" t="n">
        <v>72</v>
      </c>
      <c r="GU2366" s="15" t="n">
        <v>72</v>
      </c>
    </row>
    <row r="2367">
      <c r="C2367" s="15" t="n">
        <v>73</v>
      </c>
      <c r="AA2367" s="15" t="n">
        <v>73</v>
      </c>
      <c r="AW2367" s="15" t="n">
        <v>73</v>
      </c>
      <c r="BS2367" s="15" t="n">
        <v>73</v>
      </c>
      <c r="CO2367" s="15" t="n">
        <v>73</v>
      </c>
      <c r="DK2367" s="15" t="n">
        <v>73</v>
      </c>
      <c r="EG2367" s="15" t="n">
        <v>73</v>
      </c>
      <c r="FC2367" s="15" t="n">
        <v>73</v>
      </c>
      <c r="FY2367" s="15" t="n">
        <v>73</v>
      </c>
      <c r="GU2367" s="15" t="n">
        <v>73</v>
      </c>
    </row>
    <row r="2368">
      <c r="C2368" s="15" t="n">
        <v>74</v>
      </c>
      <c r="AA2368" s="15" t="n">
        <v>74</v>
      </c>
      <c r="AW2368" s="15" t="n">
        <v>74</v>
      </c>
      <c r="BS2368" s="15" t="n">
        <v>74</v>
      </c>
      <c r="CO2368" s="15" t="n">
        <v>74</v>
      </c>
      <c r="DK2368" s="15" t="n">
        <v>74</v>
      </c>
      <c r="EG2368" s="15" t="n">
        <v>74</v>
      </c>
      <c r="FC2368" s="15" t="n">
        <v>74</v>
      </c>
      <c r="FY2368" s="15" t="n">
        <v>74</v>
      </c>
      <c r="GU2368" s="15" t="n">
        <v>74</v>
      </c>
    </row>
    <row r="2369">
      <c r="C2369" s="15" t="n">
        <v>75</v>
      </c>
      <c r="AA2369" s="15" t="n">
        <v>75</v>
      </c>
      <c r="AW2369" s="15" t="n">
        <v>75</v>
      </c>
      <c r="BS2369" s="15" t="n">
        <v>75</v>
      </c>
      <c r="CO2369" s="15" t="n">
        <v>75</v>
      </c>
      <c r="DK2369" s="15" t="n">
        <v>75</v>
      </c>
      <c r="EG2369" s="15" t="n">
        <v>75</v>
      </c>
      <c r="FC2369" s="15" t="n">
        <v>75</v>
      </c>
      <c r="FY2369" s="15" t="n">
        <v>75</v>
      </c>
      <c r="GU2369" s="15" t="n">
        <v>75</v>
      </c>
    </row>
    <row r="2370">
      <c r="C2370" s="15" t="n">
        <v>76</v>
      </c>
      <c r="AA2370" s="15" t="n">
        <v>76</v>
      </c>
      <c r="AW2370" s="15" t="n">
        <v>76</v>
      </c>
      <c r="BS2370" s="15" t="n">
        <v>76</v>
      </c>
      <c r="CO2370" s="15" t="n">
        <v>76</v>
      </c>
      <c r="DK2370" s="15" t="n">
        <v>76</v>
      </c>
      <c r="EG2370" s="15" t="n">
        <v>76</v>
      </c>
      <c r="FC2370" s="15" t="n">
        <v>76</v>
      </c>
      <c r="FY2370" s="15" t="n">
        <v>76</v>
      </c>
      <c r="GU2370" s="15" t="n">
        <v>76</v>
      </c>
    </row>
    <row r="2371">
      <c r="C2371" s="15" t="n">
        <v>77</v>
      </c>
      <c r="AA2371" s="15" t="n">
        <v>77</v>
      </c>
      <c r="AW2371" s="15" t="n">
        <v>77</v>
      </c>
      <c r="BS2371" s="15" t="n">
        <v>77</v>
      </c>
      <c r="CO2371" s="15" t="n">
        <v>77</v>
      </c>
      <c r="DK2371" s="15" t="n">
        <v>77</v>
      </c>
      <c r="EG2371" s="15" t="n">
        <v>77</v>
      </c>
      <c r="FC2371" s="15" t="n">
        <v>77</v>
      </c>
      <c r="FY2371" s="15" t="n">
        <v>77</v>
      </c>
      <c r="GU2371" s="15" t="n">
        <v>77</v>
      </c>
    </row>
    <row r="2372">
      <c r="C2372" s="15" t="n">
        <v>78</v>
      </c>
      <c r="AA2372" s="15" t="n">
        <v>78</v>
      </c>
      <c r="AW2372" s="15" t="n">
        <v>78</v>
      </c>
      <c r="BS2372" s="15" t="n">
        <v>78</v>
      </c>
      <c r="CO2372" s="15" t="n">
        <v>78</v>
      </c>
      <c r="DK2372" s="15" t="n">
        <v>78</v>
      </c>
      <c r="EG2372" s="15" t="n">
        <v>78</v>
      </c>
      <c r="FC2372" s="15" t="n">
        <v>78</v>
      </c>
      <c r="FY2372" s="15" t="n">
        <v>78</v>
      </c>
      <c r="GU2372" s="15" t="n">
        <v>78</v>
      </c>
    </row>
    <row r="2373">
      <c r="C2373" s="15" t="n">
        <v>79</v>
      </c>
      <c r="AA2373" s="15" t="n">
        <v>79</v>
      </c>
      <c r="AW2373" s="15" t="n">
        <v>79</v>
      </c>
      <c r="BS2373" s="15" t="n">
        <v>79</v>
      </c>
      <c r="CO2373" s="15" t="n">
        <v>79</v>
      </c>
      <c r="DK2373" s="15" t="n">
        <v>79</v>
      </c>
      <c r="EG2373" s="15" t="n">
        <v>79</v>
      </c>
      <c r="FC2373" s="15" t="n">
        <v>79</v>
      </c>
      <c r="FY2373" s="15" t="n">
        <v>79</v>
      </c>
      <c r="GU2373" s="15" t="n">
        <v>79</v>
      </c>
    </row>
    <row r="2374">
      <c r="C2374" s="15" t="n">
        <v>80</v>
      </c>
      <c r="AA2374" s="15" t="n">
        <v>80</v>
      </c>
      <c r="AW2374" s="15" t="n">
        <v>80</v>
      </c>
      <c r="BS2374" s="15" t="n">
        <v>80</v>
      </c>
      <c r="CO2374" s="15" t="n">
        <v>80</v>
      </c>
      <c r="DK2374" s="15" t="n">
        <v>80</v>
      </c>
      <c r="EG2374" s="15" t="n">
        <v>80</v>
      </c>
      <c r="FC2374" s="15" t="n">
        <v>80</v>
      </c>
      <c r="FY2374" s="15" t="n">
        <v>80</v>
      </c>
      <c r="GU2374" s="15" t="n">
        <v>80</v>
      </c>
    </row>
    <row r="2375">
      <c r="C2375" s="15" t="n">
        <v>81</v>
      </c>
      <c r="AA2375" s="15" t="n">
        <v>81</v>
      </c>
      <c r="AW2375" s="15" t="n">
        <v>81</v>
      </c>
      <c r="BS2375" s="15" t="n">
        <v>81</v>
      </c>
      <c r="CO2375" s="15" t="n">
        <v>81</v>
      </c>
      <c r="DK2375" s="15" t="n">
        <v>81</v>
      </c>
      <c r="EG2375" s="15" t="n">
        <v>81</v>
      </c>
      <c r="FC2375" s="15" t="n">
        <v>81</v>
      </c>
      <c r="FY2375" s="15" t="n">
        <v>81</v>
      </c>
      <c r="GU2375" s="15" t="n">
        <v>81</v>
      </c>
    </row>
    <row r="2376">
      <c r="C2376" s="15" t="n">
        <v>82</v>
      </c>
      <c r="AA2376" s="15" t="n">
        <v>82</v>
      </c>
      <c r="AW2376" s="15" t="n">
        <v>82</v>
      </c>
      <c r="BS2376" s="15" t="n">
        <v>82</v>
      </c>
      <c r="CO2376" s="15" t="n">
        <v>82</v>
      </c>
      <c r="DK2376" s="15" t="n">
        <v>82</v>
      </c>
      <c r="EG2376" s="15" t="n">
        <v>82</v>
      </c>
      <c r="FC2376" s="15" t="n">
        <v>82</v>
      </c>
      <c r="FY2376" s="15" t="n">
        <v>82</v>
      </c>
      <c r="GU2376" s="15" t="n">
        <v>82</v>
      </c>
    </row>
    <row r="2377">
      <c r="C2377" s="15" t="n">
        <v>83</v>
      </c>
      <c r="AA2377" s="15" t="n">
        <v>83</v>
      </c>
      <c r="AW2377" s="15" t="n">
        <v>83</v>
      </c>
      <c r="BS2377" s="15" t="n">
        <v>83</v>
      </c>
      <c r="CO2377" s="15" t="n">
        <v>83</v>
      </c>
      <c r="DK2377" s="15" t="n">
        <v>83</v>
      </c>
      <c r="EG2377" s="15" t="n">
        <v>83</v>
      </c>
      <c r="FC2377" s="15" t="n">
        <v>83</v>
      </c>
      <c r="FY2377" s="15" t="n">
        <v>83</v>
      </c>
      <c r="GU2377" s="15" t="n">
        <v>83</v>
      </c>
    </row>
    <row r="2378">
      <c r="C2378" s="15" t="n">
        <v>84</v>
      </c>
      <c r="AA2378" s="15" t="n">
        <v>84</v>
      </c>
      <c r="AW2378" s="15" t="n">
        <v>84</v>
      </c>
      <c r="BS2378" s="15" t="n">
        <v>84</v>
      </c>
      <c r="CO2378" s="15" t="n">
        <v>84</v>
      </c>
      <c r="DK2378" s="15" t="n">
        <v>84</v>
      </c>
      <c r="EG2378" s="15" t="n">
        <v>84</v>
      </c>
      <c r="FC2378" s="15" t="n">
        <v>84</v>
      </c>
      <c r="FY2378" s="15" t="n">
        <v>84</v>
      </c>
      <c r="GU2378" s="15" t="n">
        <v>84</v>
      </c>
    </row>
    <row r="2379">
      <c r="C2379" s="15" t="n">
        <v>85</v>
      </c>
      <c r="AA2379" s="15" t="n">
        <v>85</v>
      </c>
      <c r="AW2379" s="15" t="n">
        <v>85</v>
      </c>
      <c r="BS2379" s="15" t="n">
        <v>85</v>
      </c>
      <c r="CO2379" s="15" t="n">
        <v>85</v>
      </c>
      <c r="DK2379" s="15" t="n">
        <v>85</v>
      </c>
      <c r="EG2379" s="15" t="n">
        <v>85</v>
      </c>
      <c r="FC2379" s="15" t="n">
        <v>85</v>
      </c>
      <c r="FY2379" s="15" t="n">
        <v>85</v>
      </c>
      <c r="GU2379" s="15" t="n">
        <v>85</v>
      </c>
    </row>
    <row r="2380">
      <c r="C2380" s="15" t="n">
        <v>86</v>
      </c>
      <c r="AA2380" s="15" t="n">
        <v>86</v>
      </c>
      <c r="AW2380" s="15" t="n">
        <v>86</v>
      </c>
      <c r="BS2380" s="15" t="n">
        <v>86</v>
      </c>
      <c r="CO2380" s="15" t="n">
        <v>86</v>
      </c>
      <c r="DK2380" s="15" t="n">
        <v>86</v>
      </c>
      <c r="EG2380" s="15" t="n">
        <v>86</v>
      </c>
      <c r="FC2380" s="15" t="n">
        <v>86</v>
      </c>
      <c r="FY2380" s="15" t="n">
        <v>86</v>
      </c>
      <c r="GU2380" s="15" t="n">
        <v>86</v>
      </c>
    </row>
    <row r="2381">
      <c r="C2381" s="15" t="n">
        <v>87</v>
      </c>
      <c r="AA2381" s="15" t="n">
        <v>87</v>
      </c>
      <c r="AW2381" s="15" t="n">
        <v>87</v>
      </c>
      <c r="BS2381" s="15" t="n">
        <v>87</v>
      </c>
      <c r="CO2381" s="15" t="n">
        <v>87</v>
      </c>
      <c r="DK2381" s="15" t="n">
        <v>87</v>
      </c>
      <c r="EG2381" s="15" t="n">
        <v>87</v>
      </c>
      <c r="FC2381" s="15" t="n">
        <v>87</v>
      </c>
      <c r="FY2381" s="15" t="n">
        <v>87</v>
      </c>
      <c r="GU2381" s="15" t="n">
        <v>87</v>
      </c>
    </row>
    <row r="2382">
      <c r="C2382" s="15" t="n">
        <v>88</v>
      </c>
      <c r="AA2382" s="15" t="n">
        <v>88</v>
      </c>
      <c r="AW2382" s="15" t="n">
        <v>88</v>
      </c>
      <c r="BS2382" s="15" t="n">
        <v>88</v>
      </c>
      <c r="CO2382" s="15" t="n">
        <v>88</v>
      </c>
      <c r="DK2382" s="15" t="n">
        <v>88</v>
      </c>
      <c r="EG2382" s="15" t="n">
        <v>88</v>
      </c>
      <c r="FC2382" s="15" t="n">
        <v>88</v>
      </c>
      <c r="FY2382" s="15" t="n">
        <v>88</v>
      </c>
      <c r="GU2382" s="15" t="n">
        <v>88</v>
      </c>
    </row>
    <row r="2383">
      <c r="C2383" s="15" t="n">
        <v>89</v>
      </c>
      <c r="AA2383" s="15" t="n">
        <v>89</v>
      </c>
      <c r="AW2383" s="15" t="n">
        <v>89</v>
      </c>
      <c r="BS2383" s="15" t="n">
        <v>89</v>
      </c>
      <c r="CO2383" s="15" t="n">
        <v>89</v>
      </c>
      <c r="DK2383" s="15" t="n">
        <v>89</v>
      </c>
      <c r="EG2383" s="15" t="n">
        <v>89</v>
      </c>
      <c r="FC2383" s="15" t="n">
        <v>89</v>
      </c>
      <c r="FY2383" s="15" t="n">
        <v>89</v>
      </c>
      <c r="GU2383" s="15" t="n">
        <v>89</v>
      </c>
    </row>
    <row r="2384">
      <c r="C2384" s="15" t="n">
        <v>90</v>
      </c>
      <c r="AA2384" s="15" t="n">
        <v>90</v>
      </c>
      <c r="AW2384" s="15" t="n">
        <v>90</v>
      </c>
      <c r="BS2384" s="15" t="n">
        <v>90</v>
      </c>
      <c r="CO2384" s="15" t="n">
        <v>90</v>
      </c>
      <c r="DK2384" s="15" t="n">
        <v>90</v>
      </c>
      <c r="EG2384" s="15" t="n">
        <v>90</v>
      </c>
      <c r="FC2384" s="15" t="n">
        <v>90</v>
      </c>
      <c r="FY2384" s="15" t="n">
        <v>90</v>
      </c>
      <c r="GU2384" s="15" t="n">
        <v>90</v>
      </c>
    </row>
    <row r="2385">
      <c r="C2385" s="15" t="n">
        <v>91</v>
      </c>
      <c r="AA2385" s="15" t="n">
        <v>91</v>
      </c>
      <c r="AW2385" s="15" t="n">
        <v>91</v>
      </c>
      <c r="BS2385" s="15" t="n">
        <v>91</v>
      </c>
      <c r="CO2385" s="15" t="n">
        <v>91</v>
      </c>
      <c r="DK2385" s="15" t="n">
        <v>91</v>
      </c>
      <c r="EG2385" s="15" t="n">
        <v>91</v>
      </c>
      <c r="FC2385" s="15" t="n">
        <v>91</v>
      </c>
      <c r="FY2385" s="15" t="n">
        <v>91</v>
      </c>
      <c r="GU2385" s="15" t="n">
        <v>91</v>
      </c>
    </row>
    <row r="2386">
      <c r="C2386" s="15" t="n">
        <v>92</v>
      </c>
      <c r="AA2386" s="15" t="n">
        <v>92</v>
      </c>
      <c r="AW2386" s="15" t="n">
        <v>92</v>
      </c>
      <c r="BS2386" s="15" t="n">
        <v>92</v>
      </c>
      <c r="CO2386" s="15" t="n">
        <v>92</v>
      </c>
      <c r="DK2386" s="15" t="n">
        <v>92</v>
      </c>
      <c r="EG2386" s="15" t="n">
        <v>92</v>
      </c>
      <c r="FC2386" s="15" t="n">
        <v>92</v>
      </c>
      <c r="FY2386" s="15" t="n">
        <v>92</v>
      </c>
      <c r="GU2386" s="15" t="n">
        <v>92</v>
      </c>
    </row>
    <row r="2387">
      <c r="C2387" s="15" t="n">
        <v>93</v>
      </c>
      <c r="AA2387" s="15" t="n">
        <v>93</v>
      </c>
      <c r="AW2387" s="15" t="n">
        <v>93</v>
      </c>
      <c r="BS2387" s="15" t="n">
        <v>93</v>
      </c>
      <c r="CO2387" s="15" t="n">
        <v>93</v>
      </c>
      <c r="DK2387" s="15" t="n">
        <v>93</v>
      </c>
      <c r="EG2387" s="15" t="n">
        <v>93</v>
      </c>
      <c r="FC2387" s="15" t="n">
        <v>93</v>
      </c>
      <c r="FY2387" s="15" t="n">
        <v>93</v>
      </c>
      <c r="GU2387" s="15" t="n">
        <v>93</v>
      </c>
    </row>
    <row r="2388">
      <c r="C2388" s="15" t="n">
        <v>94</v>
      </c>
      <c r="AA2388" s="15" t="n">
        <v>94</v>
      </c>
      <c r="AW2388" s="15" t="n">
        <v>94</v>
      </c>
      <c r="BS2388" s="15" t="n">
        <v>94</v>
      </c>
      <c r="CO2388" s="15" t="n">
        <v>94</v>
      </c>
      <c r="DK2388" s="15" t="n">
        <v>94</v>
      </c>
      <c r="EG2388" s="15" t="n">
        <v>94</v>
      </c>
      <c r="FC2388" s="15" t="n">
        <v>94</v>
      </c>
      <c r="FY2388" s="15" t="n">
        <v>94</v>
      </c>
      <c r="GU2388" s="15" t="n">
        <v>94</v>
      </c>
    </row>
    <row r="2389">
      <c r="C2389" s="15" t="n">
        <v>95</v>
      </c>
      <c r="AA2389" s="15" t="n">
        <v>95</v>
      </c>
      <c r="AW2389" s="15" t="n">
        <v>95</v>
      </c>
      <c r="BS2389" s="15" t="n">
        <v>95</v>
      </c>
      <c r="CO2389" s="15" t="n">
        <v>95</v>
      </c>
      <c r="DK2389" s="15" t="n">
        <v>95</v>
      </c>
      <c r="EG2389" s="15" t="n">
        <v>95</v>
      </c>
      <c r="FC2389" s="15" t="n">
        <v>95</v>
      </c>
      <c r="FY2389" s="15" t="n">
        <v>95</v>
      </c>
      <c r="GU2389" s="15" t="n">
        <v>95</v>
      </c>
    </row>
    <row r="2390">
      <c r="C2390" s="15" t="n">
        <v>96</v>
      </c>
      <c r="AA2390" s="15" t="n">
        <v>96</v>
      </c>
      <c r="AW2390" s="15" t="n">
        <v>96</v>
      </c>
      <c r="BS2390" s="15" t="n">
        <v>96</v>
      </c>
      <c r="CO2390" s="15" t="n">
        <v>96</v>
      </c>
      <c r="DK2390" s="15" t="n">
        <v>96</v>
      </c>
      <c r="EG2390" s="15" t="n">
        <v>96</v>
      </c>
      <c r="FC2390" s="15" t="n">
        <v>96</v>
      </c>
      <c r="FY2390" s="15" t="n">
        <v>96</v>
      </c>
      <c r="GU2390" s="15" t="n">
        <v>96</v>
      </c>
    </row>
    <row r="2391">
      <c r="C2391" s="15" t="n">
        <v>97</v>
      </c>
      <c r="AA2391" s="15" t="n">
        <v>97</v>
      </c>
      <c r="AW2391" s="15" t="n">
        <v>97</v>
      </c>
      <c r="BS2391" s="15" t="n">
        <v>97</v>
      </c>
      <c r="CO2391" s="15" t="n">
        <v>97</v>
      </c>
      <c r="DK2391" s="15" t="n">
        <v>97</v>
      </c>
      <c r="EG2391" s="15" t="n">
        <v>97</v>
      </c>
      <c r="FC2391" s="15" t="n">
        <v>97</v>
      </c>
      <c r="FY2391" s="15" t="n">
        <v>97</v>
      </c>
      <c r="GU2391" s="15" t="n">
        <v>97</v>
      </c>
    </row>
    <row r="2392">
      <c r="C2392" s="15" t="n">
        <v>98</v>
      </c>
      <c r="AA2392" s="15" t="n">
        <v>98</v>
      </c>
      <c r="AW2392" s="15" t="n">
        <v>98</v>
      </c>
      <c r="BS2392" s="15" t="n">
        <v>98</v>
      </c>
      <c r="CO2392" s="15" t="n">
        <v>98</v>
      </c>
      <c r="DK2392" s="15" t="n">
        <v>98</v>
      </c>
      <c r="EG2392" s="15" t="n">
        <v>98</v>
      </c>
      <c r="FC2392" s="15" t="n">
        <v>98</v>
      </c>
      <c r="FY2392" s="15" t="n">
        <v>98</v>
      </c>
      <c r="GU2392" s="15" t="n">
        <v>98</v>
      </c>
    </row>
    <row r="2393">
      <c r="C2393" s="15" t="n">
        <v>99</v>
      </c>
      <c r="AA2393" s="15" t="n">
        <v>99</v>
      </c>
      <c r="AW2393" s="15" t="n">
        <v>99</v>
      </c>
      <c r="BS2393" s="15" t="n">
        <v>99</v>
      </c>
      <c r="CO2393" s="15" t="n">
        <v>99</v>
      </c>
      <c r="DK2393" s="15" t="n">
        <v>99</v>
      </c>
      <c r="EG2393" s="15" t="n">
        <v>99</v>
      </c>
      <c r="FC2393" s="15" t="n">
        <v>99</v>
      </c>
      <c r="FY2393" s="15" t="n">
        <v>99</v>
      </c>
      <c r="GU2393" s="15" t="n">
        <v>99</v>
      </c>
    </row>
    <row r="2394">
      <c r="C2394" s="15" t="n">
        <v>100</v>
      </c>
      <c r="AA2394" s="15" t="n">
        <v>100</v>
      </c>
      <c r="AW2394" s="15" t="n">
        <v>100</v>
      </c>
      <c r="BS2394" s="15" t="n">
        <v>100</v>
      </c>
      <c r="CO2394" s="15" t="n">
        <v>100</v>
      </c>
      <c r="DK2394" s="15" t="n">
        <v>100</v>
      </c>
      <c r="EG2394" s="15" t="n">
        <v>100</v>
      </c>
      <c r="FC2394" s="15" t="n">
        <v>100</v>
      </c>
      <c r="FY2394" s="15" t="n">
        <v>100</v>
      </c>
      <c r="GU2394" s="15" t="n">
        <v>100</v>
      </c>
    </row>
    <row r="2395">
      <c r="C2395" s="15" t="n">
        <v>101</v>
      </c>
      <c r="AA2395" s="15" t="n">
        <v>101</v>
      </c>
      <c r="AW2395" s="15" t="n">
        <v>101</v>
      </c>
      <c r="BS2395" s="15" t="n">
        <v>101</v>
      </c>
      <c r="CO2395" s="15" t="n">
        <v>101</v>
      </c>
      <c r="DK2395" s="15" t="n">
        <v>101</v>
      </c>
      <c r="EG2395" s="15" t="n">
        <v>101</v>
      </c>
      <c r="FC2395" s="15" t="n">
        <v>101</v>
      </c>
      <c r="FY2395" s="15" t="n">
        <v>101</v>
      </c>
      <c r="GU2395" s="15" t="n">
        <v>101</v>
      </c>
    </row>
    <row r="2396">
      <c r="C2396" s="15" t="n">
        <v>102</v>
      </c>
      <c r="AA2396" s="15" t="n">
        <v>102</v>
      </c>
      <c r="AW2396" s="15" t="n">
        <v>102</v>
      </c>
      <c r="BS2396" s="15" t="n">
        <v>102</v>
      </c>
      <c r="CO2396" s="15" t="n">
        <v>102</v>
      </c>
      <c r="DK2396" s="15" t="n">
        <v>102</v>
      </c>
      <c r="EG2396" s="15" t="n">
        <v>102</v>
      </c>
      <c r="FC2396" s="15" t="n">
        <v>102</v>
      </c>
      <c r="FY2396" s="15" t="n">
        <v>102</v>
      </c>
      <c r="GU2396" s="15" t="n">
        <v>102</v>
      </c>
    </row>
    <row r="2397">
      <c r="C2397" s="15" t="n">
        <v>103</v>
      </c>
      <c r="AA2397" s="15" t="n">
        <v>103</v>
      </c>
      <c r="AW2397" s="15" t="n">
        <v>103</v>
      </c>
      <c r="BS2397" s="15" t="n">
        <v>103</v>
      </c>
      <c r="CO2397" s="15" t="n">
        <v>103</v>
      </c>
      <c r="DK2397" s="15" t="n">
        <v>103</v>
      </c>
      <c r="EG2397" s="15" t="n">
        <v>103</v>
      </c>
      <c r="FC2397" s="15" t="n">
        <v>103</v>
      </c>
      <c r="FY2397" s="15" t="n">
        <v>103</v>
      </c>
      <c r="GU2397" s="15" t="n">
        <v>103</v>
      </c>
    </row>
    <row r="2398">
      <c r="C2398" s="15" t="n">
        <v>104</v>
      </c>
      <c r="AA2398" s="15" t="n">
        <v>104</v>
      </c>
      <c r="AW2398" s="15" t="n">
        <v>104</v>
      </c>
      <c r="BS2398" s="15" t="n">
        <v>104</v>
      </c>
      <c r="CO2398" s="15" t="n">
        <v>104</v>
      </c>
      <c r="DK2398" s="15" t="n">
        <v>104</v>
      </c>
      <c r="EG2398" s="15" t="n">
        <v>104</v>
      </c>
      <c r="FC2398" s="15" t="n">
        <v>104</v>
      </c>
      <c r="FY2398" s="15" t="n">
        <v>104</v>
      </c>
      <c r="GU2398" s="15" t="n">
        <v>104</v>
      </c>
    </row>
    <row r="2399">
      <c r="C2399" s="15" t="n">
        <v>105</v>
      </c>
      <c r="AA2399" s="15" t="n">
        <v>105</v>
      </c>
      <c r="AW2399" s="15" t="n">
        <v>105</v>
      </c>
      <c r="BS2399" s="15" t="n">
        <v>105</v>
      </c>
      <c r="CO2399" s="15" t="n">
        <v>105</v>
      </c>
      <c r="DK2399" s="15" t="n">
        <v>105</v>
      </c>
      <c r="EG2399" s="15" t="n">
        <v>105</v>
      </c>
      <c r="FC2399" s="15" t="n">
        <v>105</v>
      </c>
      <c r="FY2399" s="15" t="n">
        <v>105</v>
      </c>
      <c r="GU2399" s="15" t="n">
        <v>105</v>
      </c>
    </row>
    <row r="2400">
      <c r="C2400" s="15" t="n">
        <v>106</v>
      </c>
      <c r="AA2400" s="15" t="n">
        <v>106</v>
      </c>
      <c r="AW2400" s="15" t="n">
        <v>106</v>
      </c>
      <c r="BS2400" s="15" t="n">
        <v>106</v>
      </c>
      <c r="CO2400" s="15" t="n">
        <v>106</v>
      </c>
      <c r="DK2400" s="15" t="n">
        <v>106</v>
      </c>
      <c r="EG2400" s="15" t="n">
        <v>106</v>
      </c>
      <c r="FC2400" s="15" t="n">
        <v>106</v>
      </c>
      <c r="FY2400" s="15" t="n">
        <v>106</v>
      </c>
      <c r="GU2400" s="15" t="n">
        <v>106</v>
      </c>
    </row>
    <row r="2401">
      <c r="C2401" s="15" t="n">
        <v>107</v>
      </c>
      <c r="AA2401" s="15" t="n">
        <v>107</v>
      </c>
      <c r="AW2401" s="15" t="n">
        <v>107</v>
      </c>
      <c r="BS2401" s="15" t="n">
        <v>107</v>
      </c>
      <c r="CO2401" s="15" t="n">
        <v>107</v>
      </c>
      <c r="DK2401" s="15" t="n">
        <v>107</v>
      </c>
      <c r="EG2401" s="15" t="n">
        <v>107</v>
      </c>
      <c r="FC2401" s="15" t="n">
        <v>107</v>
      </c>
      <c r="FY2401" s="15" t="n">
        <v>107</v>
      </c>
      <c r="GU2401" s="15" t="n">
        <v>107</v>
      </c>
    </row>
    <row r="2402">
      <c r="C2402" s="15" t="n">
        <v>108</v>
      </c>
      <c r="AA2402" s="15" t="n">
        <v>108</v>
      </c>
      <c r="AW2402" s="15" t="n">
        <v>108</v>
      </c>
      <c r="BS2402" s="15" t="n">
        <v>108</v>
      </c>
      <c r="CO2402" s="15" t="n">
        <v>108</v>
      </c>
      <c r="DK2402" s="15" t="n">
        <v>108</v>
      </c>
      <c r="EG2402" s="15" t="n">
        <v>108</v>
      </c>
      <c r="FC2402" s="15" t="n">
        <v>108</v>
      </c>
      <c r="FY2402" s="15" t="n">
        <v>108</v>
      </c>
      <c r="GU2402" s="15" t="n">
        <v>108</v>
      </c>
    </row>
    <row r="2403">
      <c r="C2403" s="15" t="n">
        <v>109</v>
      </c>
      <c r="AA2403" s="15" t="n">
        <v>109</v>
      </c>
      <c r="AW2403" s="15" t="n">
        <v>109</v>
      </c>
      <c r="BS2403" s="15" t="n">
        <v>109</v>
      </c>
      <c r="CO2403" s="15" t="n">
        <v>109</v>
      </c>
      <c r="DK2403" s="15" t="n">
        <v>109</v>
      </c>
      <c r="EG2403" s="15" t="n">
        <v>109</v>
      </c>
      <c r="FC2403" s="15" t="n">
        <v>109</v>
      </c>
      <c r="FY2403" s="15" t="n">
        <v>109</v>
      </c>
      <c r="GU2403" s="15" t="n">
        <v>109</v>
      </c>
    </row>
    <row r="2404">
      <c r="C2404" s="15" t="n">
        <v>110</v>
      </c>
      <c r="AA2404" s="15" t="n">
        <v>110</v>
      </c>
      <c r="AW2404" s="15" t="n">
        <v>110</v>
      </c>
      <c r="BS2404" s="15" t="n">
        <v>110</v>
      </c>
      <c r="CO2404" s="15" t="n">
        <v>110</v>
      </c>
      <c r="DK2404" s="15" t="n">
        <v>110</v>
      </c>
      <c r="EG2404" s="15" t="n">
        <v>110</v>
      </c>
      <c r="FC2404" s="15" t="n">
        <v>110</v>
      </c>
      <c r="FY2404" s="15" t="n">
        <v>110</v>
      </c>
      <c r="GU2404" s="15" t="n">
        <v>110</v>
      </c>
    </row>
    <row r="2405">
      <c r="C2405" s="15" t="n">
        <v>111</v>
      </c>
      <c r="AA2405" s="15" t="n">
        <v>111</v>
      </c>
      <c r="AW2405" s="15" t="n">
        <v>111</v>
      </c>
      <c r="BS2405" s="15" t="n">
        <v>111</v>
      </c>
      <c r="CO2405" s="15" t="n">
        <v>111</v>
      </c>
      <c r="DK2405" s="15" t="n">
        <v>111</v>
      </c>
      <c r="EG2405" s="15" t="n">
        <v>111</v>
      </c>
      <c r="FC2405" s="15" t="n">
        <v>111</v>
      </c>
      <c r="FY2405" s="15" t="n">
        <v>111</v>
      </c>
      <c r="GU2405" s="15" t="n">
        <v>111</v>
      </c>
    </row>
    <row r="2406">
      <c r="C2406" s="15" t="n">
        <v>112</v>
      </c>
      <c r="AA2406" s="15" t="n">
        <v>112</v>
      </c>
      <c r="AW2406" s="15" t="n">
        <v>112</v>
      </c>
      <c r="BS2406" s="15" t="n">
        <v>112</v>
      </c>
      <c r="CO2406" s="15" t="n">
        <v>112</v>
      </c>
      <c r="DK2406" s="15" t="n">
        <v>112</v>
      </c>
      <c r="EG2406" s="15" t="n">
        <v>112</v>
      </c>
      <c r="FC2406" s="15" t="n">
        <v>112</v>
      </c>
      <c r="FY2406" s="15" t="n">
        <v>112</v>
      </c>
      <c r="GU2406" s="15" t="n">
        <v>112</v>
      </c>
    </row>
    <row r="2407">
      <c r="C2407" s="15" t="n">
        <v>113</v>
      </c>
      <c r="AA2407" s="15" t="n">
        <v>113</v>
      </c>
      <c r="AW2407" s="15" t="n">
        <v>113</v>
      </c>
      <c r="BS2407" s="15" t="n">
        <v>113</v>
      </c>
      <c r="CO2407" s="15" t="n">
        <v>113</v>
      </c>
      <c r="DK2407" s="15" t="n">
        <v>113</v>
      </c>
      <c r="EG2407" s="15" t="n">
        <v>113</v>
      </c>
      <c r="FC2407" s="15" t="n">
        <v>113</v>
      </c>
      <c r="FY2407" s="15" t="n">
        <v>113</v>
      </c>
      <c r="GU2407" s="15" t="n">
        <v>113</v>
      </c>
    </row>
    <row r="2408">
      <c r="C2408" s="15" t="n">
        <v>114</v>
      </c>
      <c r="AA2408" s="15" t="n">
        <v>114</v>
      </c>
      <c r="AW2408" s="15" t="n">
        <v>114</v>
      </c>
      <c r="BS2408" s="15" t="n">
        <v>114</v>
      </c>
      <c r="CO2408" s="15" t="n">
        <v>114</v>
      </c>
      <c r="DK2408" s="15" t="n">
        <v>114</v>
      </c>
      <c r="EG2408" s="15" t="n">
        <v>114</v>
      </c>
      <c r="FC2408" s="15" t="n">
        <v>114</v>
      </c>
      <c r="FY2408" s="15" t="n">
        <v>114</v>
      </c>
      <c r="GU2408" s="15" t="n">
        <v>114</v>
      </c>
    </row>
    <row r="2409">
      <c r="C2409" s="15" t="n">
        <v>115</v>
      </c>
      <c r="AA2409" s="15" t="n">
        <v>115</v>
      </c>
      <c r="AW2409" s="15" t="n">
        <v>115</v>
      </c>
      <c r="BS2409" s="15" t="n">
        <v>115</v>
      </c>
      <c r="CO2409" s="15" t="n">
        <v>115</v>
      </c>
      <c r="DK2409" s="15" t="n">
        <v>115</v>
      </c>
      <c r="EG2409" s="15" t="n">
        <v>115</v>
      </c>
      <c r="FC2409" s="15" t="n">
        <v>115</v>
      </c>
      <c r="FY2409" s="15" t="n">
        <v>115</v>
      </c>
      <c r="GU2409" s="15" t="n">
        <v>115</v>
      </c>
    </row>
    <row r="2410">
      <c r="C2410" s="15" t="n">
        <v>116</v>
      </c>
      <c r="AA2410" s="15" t="n">
        <v>116</v>
      </c>
      <c r="AW2410" s="15" t="n">
        <v>116</v>
      </c>
      <c r="BS2410" s="15" t="n">
        <v>116</v>
      </c>
      <c r="CO2410" s="15" t="n">
        <v>116</v>
      </c>
      <c r="DK2410" s="15" t="n">
        <v>116</v>
      </c>
      <c r="EG2410" s="15" t="n">
        <v>116</v>
      </c>
      <c r="FC2410" s="15" t="n">
        <v>116</v>
      </c>
      <c r="FY2410" s="15" t="n">
        <v>116</v>
      </c>
      <c r="GU2410" s="15" t="n">
        <v>116</v>
      </c>
    </row>
    <row r="2411">
      <c r="C2411" s="15" t="n">
        <v>117</v>
      </c>
      <c r="AA2411" s="15" t="n">
        <v>117</v>
      </c>
      <c r="AW2411" s="15" t="n">
        <v>117</v>
      </c>
      <c r="BS2411" s="15" t="n">
        <v>117</v>
      </c>
      <c r="CO2411" s="15" t="n">
        <v>117</v>
      </c>
      <c r="DK2411" s="15" t="n">
        <v>117</v>
      </c>
      <c r="EG2411" s="15" t="n">
        <v>117</v>
      </c>
      <c r="FC2411" s="15" t="n">
        <v>117</v>
      </c>
      <c r="FY2411" s="15" t="n">
        <v>117</v>
      </c>
      <c r="GU2411" s="15" t="n">
        <v>117</v>
      </c>
    </row>
    <row r="2412">
      <c r="C2412" s="15" t="n">
        <v>118</v>
      </c>
      <c r="AA2412" s="15" t="n">
        <v>118</v>
      </c>
      <c r="AW2412" s="15" t="n">
        <v>118</v>
      </c>
      <c r="BS2412" s="15" t="n">
        <v>118</v>
      </c>
      <c r="CO2412" s="15" t="n">
        <v>118</v>
      </c>
      <c r="DK2412" s="15" t="n">
        <v>118</v>
      </c>
      <c r="EG2412" s="15" t="n">
        <v>118</v>
      </c>
      <c r="FC2412" s="15" t="n">
        <v>118</v>
      </c>
      <c r="FY2412" s="15" t="n">
        <v>118</v>
      </c>
      <c r="GU2412" s="15" t="n">
        <v>118</v>
      </c>
    </row>
    <row r="2413">
      <c r="C2413" s="15" t="n">
        <v>119</v>
      </c>
      <c r="AA2413" s="15" t="n">
        <v>119</v>
      </c>
      <c r="AW2413" s="15" t="n">
        <v>119</v>
      </c>
      <c r="BS2413" s="15" t="n">
        <v>119</v>
      </c>
      <c r="CO2413" s="15" t="n">
        <v>119</v>
      </c>
      <c r="DK2413" s="15" t="n">
        <v>119</v>
      </c>
      <c r="EG2413" s="15" t="n">
        <v>119</v>
      </c>
      <c r="FC2413" s="15" t="n">
        <v>119</v>
      </c>
      <c r="FY2413" s="15" t="n">
        <v>119</v>
      </c>
      <c r="GU2413" s="15" t="n">
        <v>119</v>
      </c>
    </row>
    <row r="2414">
      <c r="C2414" s="15" t="n">
        <v>120</v>
      </c>
      <c r="AA2414" s="15" t="n">
        <v>120</v>
      </c>
      <c r="AW2414" s="15" t="n">
        <v>120</v>
      </c>
      <c r="BS2414" s="15" t="n">
        <v>120</v>
      </c>
      <c r="CO2414" s="15" t="n">
        <v>120</v>
      </c>
      <c r="DK2414" s="15" t="n">
        <v>120</v>
      </c>
      <c r="EG2414" s="15" t="n">
        <v>120</v>
      </c>
      <c r="FC2414" s="15" t="n">
        <v>120</v>
      </c>
      <c r="FY2414" s="15" t="n">
        <v>120</v>
      </c>
      <c r="GU2414" s="15" t="n">
        <v>120</v>
      </c>
    </row>
    <row r="2415">
      <c r="C2415" s="15" t="n">
        <v>121</v>
      </c>
      <c r="AA2415" s="15" t="n">
        <v>121</v>
      </c>
      <c r="AW2415" s="15" t="n">
        <v>121</v>
      </c>
      <c r="BS2415" s="15" t="n">
        <v>121</v>
      </c>
      <c r="CO2415" s="15" t="n">
        <v>121</v>
      </c>
      <c r="DK2415" s="15" t="n">
        <v>121</v>
      </c>
      <c r="EG2415" s="15" t="n">
        <v>121</v>
      </c>
      <c r="FC2415" s="15" t="n">
        <v>121</v>
      </c>
      <c r="FY2415" s="15" t="n">
        <v>121</v>
      </c>
      <c r="GU2415" s="15" t="n">
        <v>121</v>
      </c>
    </row>
    <row r="2416">
      <c r="C2416" s="15" t="n">
        <v>122</v>
      </c>
      <c r="AA2416" s="15" t="n">
        <v>122</v>
      </c>
      <c r="AW2416" s="15" t="n">
        <v>122</v>
      </c>
      <c r="BS2416" s="15" t="n">
        <v>122</v>
      </c>
      <c r="CO2416" s="15" t="n">
        <v>122</v>
      </c>
      <c r="DK2416" s="15" t="n">
        <v>122</v>
      </c>
      <c r="EG2416" s="15" t="n">
        <v>122</v>
      </c>
      <c r="FC2416" s="15" t="n">
        <v>122</v>
      </c>
      <c r="FY2416" s="15" t="n">
        <v>122</v>
      </c>
      <c r="GU2416" s="15" t="n">
        <v>122</v>
      </c>
    </row>
    <row r="2417">
      <c r="C2417" s="15" t="n">
        <v>123</v>
      </c>
      <c r="AA2417" s="15" t="n">
        <v>123</v>
      </c>
      <c r="AW2417" s="15" t="n">
        <v>123</v>
      </c>
      <c r="BS2417" s="15" t="n">
        <v>123</v>
      </c>
      <c r="CO2417" s="15" t="n">
        <v>123</v>
      </c>
      <c r="DK2417" s="15" t="n">
        <v>123</v>
      </c>
      <c r="EG2417" s="15" t="n">
        <v>123</v>
      </c>
      <c r="FC2417" s="15" t="n">
        <v>123</v>
      </c>
      <c r="FY2417" s="15" t="n">
        <v>123</v>
      </c>
      <c r="GU2417" s="15" t="n">
        <v>123</v>
      </c>
    </row>
    <row r="2418">
      <c r="C2418" s="15" t="n">
        <v>124</v>
      </c>
      <c r="AA2418" s="15" t="n">
        <v>124</v>
      </c>
      <c r="AW2418" s="15" t="n">
        <v>124</v>
      </c>
      <c r="BS2418" s="15" t="n">
        <v>124</v>
      </c>
      <c r="CO2418" s="15" t="n">
        <v>124</v>
      </c>
      <c r="DK2418" s="15" t="n">
        <v>124</v>
      </c>
      <c r="EG2418" s="15" t="n">
        <v>124</v>
      </c>
      <c r="FC2418" s="15" t="n">
        <v>124</v>
      </c>
      <c r="FY2418" s="15" t="n">
        <v>124</v>
      </c>
      <c r="GU2418" s="15" t="n">
        <v>124</v>
      </c>
    </row>
    <row r="2419">
      <c r="C2419" s="15" t="n">
        <v>125</v>
      </c>
      <c r="AA2419" s="15" t="n">
        <v>125</v>
      </c>
      <c r="AW2419" s="15" t="n">
        <v>125</v>
      </c>
      <c r="BS2419" s="15" t="n">
        <v>125</v>
      </c>
      <c r="CO2419" s="15" t="n">
        <v>125</v>
      </c>
      <c r="DK2419" s="15" t="n">
        <v>125</v>
      </c>
      <c r="EG2419" s="15" t="n">
        <v>125</v>
      </c>
      <c r="FC2419" s="15" t="n">
        <v>125</v>
      </c>
      <c r="FY2419" s="15" t="n">
        <v>125</v>
      </c>
      <c r="GU2419" s="15" t="n">
        <v>125</v>
      </c>
    </row>
    <row r="2420">
      <c r="C2420" s="15" t="n">
        <v>126</v>
      </c>
      <c r="AA2420" s="15" t="n">
        <v>126</v>
      </c>
      <c r="AW2420" s="15" t="n">
        <v>126</v>
      </c>
      <c r="BS2420" s="15" t="n">
        <v>126</v>
      </c>
      <c r="CO2420" s="15" t="n">
        <v>126</v>
      </c>
      <c r="DK2420" s="15" t="n">
        <v>126</v>
      </c>
      <c r="EG2420" s="15" t="n">
        <v>126</v>
      </c>
      <c r="FC2420" s="15" t="n">
        <v>126</v>
      </c>
      <c r="FY2420" s="15" t="n">
        <v>126</v>
      </c>
      <c r="GU2420" s="15" t="n">
        <v>126</v>
      </c>
    </row>
    <row r="2421">
      <c r="C2421" s="15" t="n">
        <v>127</v>
      </c>
      <c r="AA2421" s="15" t="n">
        <v>127</v>
      </c>
      <c r="AW2421" s="15" t="n">
        <v>127</v>
      </c>
      <c r="BS2421" s="15" t="n">
        <v>127</v>
      </c>
      <c r="CO2421" s="15" t="n">
        <v>127</v>
      </c>
      <c r="DK2421" s="15" t="n">
        <v>127</v>
      </c>
      <c r="EG2421" s="15" t="n">
        <v>127</v>
      </c>
      <c r="FC2421" s="15" t="n">
        <v>127</v>
      </c>
      <c r="FY2421" s="15" t="n">
        <v>127</v>
      </c>
      <c r="GU2421" s="15" t="n">
        <v>127</v>
      </c>
    </row>
    <row r="2422">
      <c r="C2422" s="15" t="n">
        <v>128</v>
      </c>
      <c r="AA2422" s="15" t="n">
        <v>128</v>
      </c>
      <c r="AW2422" s="15" t="n">
        <v>128</v>
      </c>
      <c r="BS2422" s="15" t="n">
        <v>128</v>
      </c>
      <c r="CO2422" s="15" t="n">
        <v>128</v>
      </c>
      <c r="DK2422" s="15" t="n">
        <v>128</v>
      </c>
      <c r="EG2422" s="15" t="n">
        <v>128</v>
      </c>
      <c r="FC2422" s="15" t="n">
        <v>128</v>
      </c>
      <c r="FY2422" s="15" t="n">
        <v>128</v>
      </c>
      <c r="GU2422" s="15" t="n">
        <v>128</v>
      </c>
    </row>
    <row r="2423">
      <c r="C2423" s="15" t="n">
        <v>129</v>
      </c>
      <c r="AA2423" s="15" t="n">
        <v>129</v>
      </c>
      <c r="AW2423" s="15" t="n">
        <v>129</v>
      </c>
      <c r="BS2423" s="15" t="n">
        <v>129</v>
      </c>
      <c r="CO2423" s="15" t="n">
        <v>129</v>
      </c>
      <c r="DK2423" s="15" t="n">
        <v>129</v>
      </c>
      <c r="EG2423" s="15" t="n">
        <v>129</v>
      </c>
      <c r="FC2423" s="15" t="n">
        <v>129</v>
      </c>
      <c r="FY2423" s="15" t="n">
        <v>129</v>
      </c>
      <c r="GU2423" s="15" t="n">
        <v>129</v>
      </c>
    </row>
    <row r="2424">
      <c r="C2424" s="15" t="n">
        <v>130</v>
      </c>
      <c r="AA2424" s="15" t="n">
        <v>130</v>
      </c>
      <c r="AW2424" s="15" t="n">
        <v>130</v>
      </c>
      <c r="BS2424" s="15" t="n">
        <v>130</v>
      </c>
      <c r="CO2424" s="15" t="n">
        <v>130</v>
      </c>
      <c r="DK2424" s="15" t="n">
        <v>130</v>
      </c>
      <c r="EG2424" s="15" t="n">
        <v>130</v>
      </c>
      <c r="FC2424" s="15" t="n">
        <v>130</v>
      </c>
      <c r="FY2424" s="15" t="n">
        <v>130</v>
      </c>
      <c r="GU2424" s="15" t="n">
        <v>130</v>
      </c>
    </row>
    <row r="2425">
      <c r="C2425" s="15" t="n">
        <v>131</v>
      </c>
      <c r="AA2425" s="15" t="n">
        <v>131</v>
      </c>
      <c r="AW2425" s="15" t="n">
        <v>131</v>
      </c>
      <c r="BS2425" s="15" t="n">
        <v>131</v>
      </c>
      <c r="CO2425" s="15" t="n">
        <v>131</v>
      </c>
      <c r="DK2425" s="15" t="n">
        <v>131</v>
      </c>
      <c r="EG2425" s="15" t="n">
        <v>131</v>
      </c>
      <c r="FC2425" s="15" t="n">
        <v>131</v>
      </c>
      <c r="FY2425" s="15" t="n">
        <v>131</v>
      </c>
      <c r="GU2425" s="15" t="n">
        <v>131</v>
      </c>
    </row>
    <row r="2426">
      <c r="C2426" s="15" t="n">
        <v>132</v>
      </c>
      <c r="AA2426" s="15" t="n">
        <v>132</v>
      </c>
      <c r="AW2426" s="15" t="n">
        <v>132</v>
      </c>
      <c r="BS2426" s="15" t="n">
        <v>132</v>
      </c>
      <c r="CO2426" s="15" t="n">
        <v>132</v>
      </c>
      <c r="DK2426" s="15" t="n">
        <v>132</v>
      </c>
      <c r="EG2426" s="15" t="n">
        <v>132</v>
      </c>
      <c r="FC2426" s="15" t="n">
        <v>132</v>
      </c>
      <c r="FY2426" s="15" t="n">
        <v>132</v>
      </c>
      <c r="GU2426" s="15" t="n">
        <v>132</v>
      </c>
    </row>
    <row r="2427">
      <c r="C2427" s="15" t="n">
        <v>133</v>
      </c>
      <c r="AA2427" s="15" t="n">
        <v>133</v>
      </c>
      <c r="AW2427" s="15" t="n">
        <v>133</v>
      </c>
      <c r="BS2427" s="15" t="n">
        <v>133</v>
      </c>
      <c r="CO2427" s="15" t="n">
        <v>133</v>
      </c>
      <c r="DK2427" s="15" t="n">
        <v>133</v>
      </c>
      <c r="EG2427" s="15" t="n">
        <v>133</v>
      </c>
      <c r="FC2427" s="15" t="n">
        <v>133</v>
      </c>
      <c r="FY2427" s="15" t="n">
        <v>133</v>
      </c>
      <c r="GU2427" s="15" t="n">
        <v>133</v>
      </c>
    </row>
    <row r="2428">
      <c r="C2428" s="15" t="n">
        <v>134</v>
      </c>
      <c r="AA2428" s="15" t="n">
        <v>134</v>
      </c>
      <c r="AW2428" s="15" t="n">
        <v>134</v>
      </c>
      <c r="BS2428" s="15" t="n">
        <v>134</v>
      </c>
      <c r="CO2428" s="15" t="n">
        <v>134</v>
      </c>
      <c r="DK2428" s="15" t="n">
        <v>134</v>
      </c>
      <c r="EG2428" s="15" t="n">
        <v>134</v>
      </c>
      <c r="FC2428" s="15" t="n">
        <v>134</v>
      </c>
      <c r="FY2428" s="15" t="n">
        <v>134</v>
      </c>
      <c r="GU2428" s="15" t="n">
        <v>134</v>
      </c>
    </row>
    <row r="2429">
      <c r="C2429" s="15" t="n">
        <v>135</v>
      </c>
      <c r="AA2429" s="15" t="n">
        <v>135</v>
      </c>
      <c r="AW2429" s="15" t="n">
        <v>135</v>
      </c>
      <c r="BS2429" s="15" t="n">
        <v>135</v>
      </c>
      <c r="CO2429" s="15" t="n">
        <v>135</v>
      </c>
      <c r="DK2429" s="15" t="n">
        <v>135</v>
      </c>
      <c r="EG2429" s="15" t="n">
        <v>135</v>
      </c>
      <c r="FC2429" s="15" t="n">
        <v>135</v>
      </c>
      <c r="FY2429" s="15" t="n">
        <v>135</v>
      </c>
      <c r="GU2429" s="15" t="n">
        <v>135</v>
      </c>
    </row>
    <row r="2430">
      <c r="C2430" s="15" t="n">
        <v>136</v>
      </c>
      <c r="AA2430" s="15" t="n">
        <v>136</v>
      </c>
      <c r="AW2430" s="15" t="n">
        <v>136</v>
      </c>
      <c r="BS2430" s="15" t="n">
        <v>136</v>
      </c>
      <c r="CO2430" s="15" t="n">
        <v>136</v>
      </c>
      <c r="DK2430" s="15" t="n">
        <v>136</v>
      </c>
      <c r="EG2430" s="15" t="n">
        <v>136</v>
      </c>
      <c r="FC2430" s="15" t="n">
        <v>136</v>
      </c>
      <c r="FY2430" s="15" t="n">
        <v>136</v>
      </c>
      <c r="GU2430" s="15" t="n">
        <v>136</v>
      </c>
    </row>
    <row r="2431">
      <c r="C2431" s="15" t="n">
        <v>137</v>
      </c>
      <c r="AA2431" s="15" t="n">
        <v>137</v>
      </c>
      <c r="AW2431" s="15" t="n">
        <v>137</v>
      </c>
      <c r="BS2431" s="15" t="n">
        <v>137</v>
      </c>
      <c r="CO2431" s="15" t="n">
        <v>137</v>
      </c>
      <c r="DK2431" s="15" t="n">
        <v>137</v>
      </c>
      <c r="EG2431" s="15" t="n">
        <v>137</v>
      </c>
      <c r="FC2431" s="15" t="n">
        <v>137</v>
      </c>
      <c r="FY2431" s="15" t="n">
        <v>137</v>
      </c>
      <c r="GU2431" s="15" t="n">
        <v>137</v>
      </c>
    </row>
    <row r="2432">
      <c r="C2432" s="15" t="n">
        <v>138</v>
      </c>
      <c r="AA2432" s="15" t="n">
        <v>138</v>
      </c>
      <c r="AW2432" s="15" t="n">
        <v>138</v>
      </c>
      <c r="BS2432" s="15" t="n">
        <v>138</v>
      </c>
      <c r="CO2432" s="15" t="n">
        <v>138</v>
      </c>
      <c r="DK2432" s="15" t="n">
        <v>138</v>
      </c>
      <c r="EG2432" s="15" t="n">
        <v>138</v>
      </c>
      <c r="FC2432" s="15" t="n">
        <v>138</v>
      </c>
      <c r="FY2432" s="15" t="n">
        <v>138</v>
      </c>
      <c r="GU2432" s="15" t="n">
        <v>138</v>
      </c>
    </row>
    <row r="2433">
      <c r="C2433" s="15" t="n">
        <v>139</v>
      </c>
      <c r="AA2433" s="15" t="n">
        <v>139</v>
      </c>
      <c r="AW2433" s="15" t="n">
        <v>139</v>
      </c>
      <c r="BS2433" s="15" t="n">
        <v>139</v>
      </c>
      <c r="CO2433" s="15" t="n">
        <v>139</v>
      </c>
      <c r="DK2433" s="15" t="n">
        <v>139</v>
      </c>
      <c r="EG2433" s="15" t="n">
        <v>139</v>
      </c>
      <c r="FC2433" s="15" t="n">
        <v>139</v>
      </c>
      <c r="FY2433" s="15" t="n">
        <v>139</v>
      </c>
      <c r="GU2433" s="15" t="n">
        <v>139</v>
      </c>
    </row>
    <row r="2434">
      <c r="C2434" s="15" t="n">
        <v>140</v>
      </c>
      <c r="AA2434" s="15" t="n">
        <v>140</v>
      </c>
      <c r="AW2434" s="15" t="n">
        <v>140</v>
      </c>
      <c r="BS2434" s="15" t="n">
        <v>140</v>
      </c>
      <c r="CO2434" s="15" t="n">
        <v>140</v>
      </c>
      <c r="DK2434" s="15" t="n">
        <v>140</v>
      </c>
      <c r="EG2434" s="15" t="n">
        <v>140</v>
      </c>
      <c r="FC2434" s="15" t="n">
        <v>140</v>
      </c>
      <c r="FY2434" s="15" t="n">
        <v>140</v>
      </c>
      <c r="GU2434" s="15" t="n">
        <v>140</v>
      </c>
    </row>
    <row r="2435">
      <c r="C2435" s="15" t="n">
        <v>141</v>
      </c>
      <c r="AA2435" s="15" t="n">
        <v>141</v>
      </c>
      <c r="AW2435" s="15" t="n">
        <v>141</v>
      </c>
      <c r="BS2435" s="15" t="n">
        <v>141</v>
      </c>
      <c r="CO2435" s="15" t="n">
        <v>141</v>
      </c>
      <c r="DK2435" s="15" t="n">
        <v>141</v>
      </c>
      <c r="EG2435" s="15" t="n">
        <v>141</v>
      </c>
      <c r="FC2435" s="15" t="n">
        <v>141</v>
      </c>
      <c r="FY2435" s="15" t="n">
        <v>141</v>
      </c>
      <c r="GU2435" s="15" t="n">
        <v>141</v>
      </c>
    </row>
    <row r="2436">
      <c r="C2436" s="15" t="n">
        <v>142</v>
      </c>
      <c r="AA2436" s="15" t="n">
        <v>142</v>
      </c>
      <c r="AW2436" s="15" t="n">
        <v>142</v>
      </c>
      <c r="BS2436" s="15" t="n">
        <v>142</v>
      </c>
      <c r="CO2436" s="15" t="n">
        <v>142</v>
      </c>
      <c r="DK2436" s="15" t="n">
        <v>142</v>
      </c>
      <c r="EG2436" s="15" t="n">
        <v>142</v>
      </c>
      <c r="FC2436" s="15" t="n">
        <v>142</v>
      </c>
      <c r="FY2436" s="15" t="n">
        <v>142</v>
      </c>
      <c r="GU2436" s="15" t="n">
        <v>142</v>
      </c>
    </row>
    <row r="2437">
      <c r="C2437" s="15" t="n">
        <v>143</v>
      </c>
      <c r="AA2437" s="15" t="n">
        <v>143</v>
      </c>
      <c r="AW2437" s="15" t="n">
        <v>143</v>
      </c>
      <c r="BS2437" s="15" t="n">
        <v>143</v>
      </c>
      <c r="CO2437" s="15" t="n">
        <v>143</v>
      </c>
      <c r="DK2437" s="15" t="n">
        <v>143</v>
      </c>
      <c r="EG2437" s="15" t="n">
        <v>143</v>
      </c>
      <c r="FC2437" s="15" t="n">
        <v>143</v>
      </c>
      <c r="FY2437" s="15" t="n">
        <v>143</v>
      </c>
      <c r="GU2437" s="15" t="n">
        <v>143</v>
      </c>
    </row>
    <row r="2438">
      <c r="C2438" s="15" t="n">
        <v>144</v>
      </c>
      <c r="AA2438" s="15" t="n">
        <v>144</v>
      </c>
      <c r="AW2438" s="15" t="n">
        <v>144</v>
      </c>
      <c r="BS2438" s="15" t="n">
        <v>144</v>
      </c>
      <c r="CO2438" s="15" t="n">
        <v>144</v>
      </c>
      <c r="DK2438" s="15" t="n">
        <v>144</v>
      </c>
      <c r="EG2438" s="15" t="n">
        <v>144</v>
      </c>
      <c r="FC2438" s="15" t="n">
        <v>144</v>
      </c>
      <c r="FY2438" s="15" t="n">
        <v>144</v>
      </c>
      <c r="GU2438" s="15" t="n">
        <v>144</v>
      </c>
    </row>
    <row r="2439">
      <c r="C2439" s="15" t="n">
        <v>145</v>
      </c>
      <c r="AA2439" s="15" t="n">
        <v>145</v>
      </c>
      <c r="AW2439" s="15" t="n">
        <v>145</v>
      </c>
      <c r="BS2439" s="15" t="n">
        <v>145</v>
      </c>
      <c r="CO2439" s="15" t="n">
        <v>145</v>
      </c>
      <c r="DK2439" s="15" t="n">
        <v>145</v>
      </c>
      <c r="EG2439" s="15" t="n">
        <v>145</v>
      </c>
      <c r="FC2439" s="15" t="n">
        <v>145</v>
      </c>
      <c r="FY2439" s="15" t="n">
        <v>145</v>
      </c>
      <c r="GU2439" s="15" t="n">
        <v>145</v>
      </c>
    </row>
    <row r="2440">
      <c r="C2440" s="15" t="n">
        <v>146</v>
      </c>
      <c r="AA2440" s="15" t="n">
        <v>146</v>
      </c>
      <c r="AW2440" s="15" t="n">
        <v>146</v>
      </c>
      <c r="BS2440" s="15" t="n">
        <v>146</v>
      </c>
      <c r="CO2440" s="15" t="n">
        <v>146</v>
      </c>
      <c r="DK2440" s="15" t="n">
        <v>146</v>
      </c>
      <c r="EG2440" s="15" t="n">
        <v>146</v>
      </c>
      <c r="FC2440" s="15" t="n">
        <v>146</v>
      </c>
      <c r="FY2440" s="15" t="n">
        <v>146</v>
      </c>
      <c r="GU2440" s="15" t="n">
        <v>146</v>
      </c>
    </row>
    <row r="2441">
      <c r="C2441" s="15" t="n">
        <v>147</v>
      </c>
      <c r="AA2441" s="15" t="n">
        <v>147</v>
      </c>
      <c r="AW2441" s="15" t="n">
        <v>147</v>
      </c>
      <c r="BS2441" s="15" t="n">
        <v>147</v>
      </c>
      <c r="CO2441" s="15" t="n">
        <v>147</v>
      </c>
      <c r="DK2441" s="15" t="n">
        <v>147</v>
      </c>
      <c r="EG2441" s="15" t="n">
        <v>147</v>
      </c>
      <c r="FC2441" s="15" t="n">
        <v>147</v>
      </c>
      <c r="FY2441" s="15" t="n">
        <v>147</v>
      </c>
      <c r="GU2441" s="15" t="n">
        <v>147</v>
      </c>
    </row>
    <row r="2442">
      <c r="C2442" s="15" t="n">
        <v>148</v>
      </c>
      <c r="AA2442" s="15" t="n">
        <v>148</v>
      </c>
      <c r="AW2442" s="15" t="n">
        <v>148</v>
      </c>
      <c r="BS2442" s="15" t="n">
        <v>148</v>
      </c>
      <c r="CO2442" s="15" t="n">
        <v>148</v>
      </c>
      <c r="DK2442" s="15" t="n">
        <v>148</v>
      </c>
      <c r="EG2442" s="15" t="n">
        <v>148</v>
      </c>
      <c r="FC2442" s="15" t="n">
        <v>148</v>
      </c>
      <c r="FY2442" s="15" t="n">
        <v>148</v>
      </c>
      <c r="GU2442" s="15" t="n">
        <v>148</v>
      </c>
    </row>
    <row r="2443">
      <c r="C2443" s="15" t="n">
        <v>149</v>
      </c>
      <c r="AA2443" s="15" t="n">
        <v>149</v>
      </c>
      <c r="AW2443" s="15" t="n">
        <v>149</v>
      </c>
      <c r="BS2443" s="15" t="n">
        <v>149</v>
      </c>
      <c r="CO2443" s="15" t="n">
        <v>149</v>
      </c>
      <c r="DK2443" s="15" t="n">
        <v>149</v>
      </c>
      <c r="EG2443" s="15" t="n">
        <v>149</v>
      </c>
      <c r="FC2443" s="15" t="n">
        <v>149</v>
      </c>
      <c r="FY2443" s="15" t="n">
        <v>149</v>
      </c>
      <c r="GU2443" s="15" t="n">
        <v>149</v>
      </c>
    </row>
    <row r="2444">
      <c r="C2444" s="15" t="n">
        <v>150</v>
      </c>
      <c r="AA2444" s="15" t="n">
        <v>150</v>
      </c>
      <c r="AW2444" s="15" t="n">
        <v>150</v>
      </c>
      <c r="BS2444" s="15" t="n">
        <v>150</v>
      </c>
      <c r="CO2444" s="15" t="n">
        <v>150</v>
      </c>
      <c r="DK2444" s="15" t="n">
        <v>150</v>
      </c>
      <c r="EG2444" s="15" t="n">
        <v>150</v>
      </c>
      <c r="FC2444" s="15" t="n">
        <v>150</v>
      </c>
      <c r="FY2444" s="15" t="n">
        <v>150</v>
      </c>
      <c r="GU2444" s="15" t="n">
        <v>150</v>
      </c>
    </row>
    <row r="2445">
      <c r="C2445" s="15" t="n">
        <v>151</v>
      </c>
      <c r="AA2445" s="15" t="n">
        <v>151</v>
      </c>
      <c r="AW2445" s="15" t="n">
        <v>151</v>
      </c>
      <c r="BS2445" s="15" t="n">
        <v>151</v>
      </c>
      <c r="CO2445" s="15" t="n">
        <v>151</v>
      </c>
      <c r="DK2445" s="15" t="n">
        <v>151</v>
      </c>
      <c r="EG2445" s="15" t="n">
        <v>151</v>
      </c>
      <c r="FC2445" s="15" t="n">
        <v>151</v>
      </c>
      <c r="FY2445" s="15" t="n">
        <v>151</v>
      </c>
      <c r="GU2445" s="15" t="n">
        <v>151</v>
      </c>
    </row>
    <row r="2446">
      <c r="C2446" s="15" t="n">
        <v>152</v>
      </c>
      <c r="AA2446" s="15" t="n">
        <v>152</v>
      </c>
      <c r="AW2446" s="15" t="n">
        <v>152</v>
      </c>
      <c r="BS2446" s="15" t="n">
        <v>152</v>
      </c>
      <c r="CO2446" s="15" t="n">
        <v>152</v>
      </c>
      <c r="DK2446" s="15" t="n">
        <v>152</v>
      </c>
      <c r="EG2446" s="15" t="n">
        <v>152</v>
      </c>
      <c r="FC2446" s="15" t="n">
        <v>152</v>
      </c>
      <c r="FY2446" s="15" t="n">
        <v>152</v>
      </c>
      <c r="GU2446" s="15" t="n">
        <v>152</v>
      </c>
    </row>
    <row r="2447">
      <c r="C2447" s="15" t="n">
        <v>153</v>
      </c>
      <c r="AA2447" s="15" t="n">
        <v>153</v>
      </c>
      <c r="AW2447" s="15" t="n">
        <v>153</v>
      </c>
      <c r="BS2447" s="15" t="n">
        <v>153</v>
      </c>
      <c r="CO2447" s="15" t="n">
        <v>153</v>
      </c>
      <c r="DK2447" s="15" t="n">
        <v>153</v>
      </c>
      <c r="EG2447" s="15" t="n">
        <v>153</v>
      </c>
      <c r="FC2447" s="15" t="n">
        <v>153</v>
      </c>
      <c r="FY2447" s="15" t="n">
        <v>153</v>
      </c>
      <c r="GU2447" s="15" t="n">
        <v>153</v>
      </c>
    </row>
    <row r="2448">
      <c r="C2448" s="15" t="n">
        <v>154</v>
      </c>
      <c r="AA2448" s="15" t="n">
        <v>154</v>
      </c>
      <c r="AW2448" s="15" t="n">
        <v>154</v>
      </c>
      <c r="BS2448" s="15" t="n">
        <v>154</v>
      </c>
      <c r="CO2448" s="15" t="n">
        <v>154</v>
      </c>
      <c r="DK2448" s="15" t="n">
        <v>154</v>
      </c>
      <c r="EG2448" s="15" t="n">
        <v>154</v>
      </c>
      <c r="FC2448" s="15" t="n">
        <v>154</v>
      </c>
      <c r="FY2448" s="15" t="n">
        <v>154</v>
      </c>
      <c r="GU2448" s="15" t="n">
        <v>154</v>
      </c>
    </row>
    <row r="2449">
      <c r="C2449" s="15" t="n">
        <v>155</v>
      </c>
      <c r="AA2449" s="15" t="n">
        <v>155</v>
      </c>
      <c r="AW2449" s="15" t="n">
        <v>155</v>
      </c>
      <c r="BS2449" s="15" t="n">
        <v>155</v>
      </c>
      <c r="CO2449" s="15" t="n">
        <v>155</v>
      </c>
      <c r="DK2449" s="15" t="n">
        <v>155</v>
      </c>
      <c r="EG2449" s="15" t="n">
        <v>155</v>
      </c>
      <c r="FC2449" s="15" t="n">
        <v>155</v>
      </c>
      <c r="FY2449" s="15" t="n">
        <v>155</v>
      </c>
      <c r="GU2449" s="15" t="n">
        <v>155</v>
      </c>
    </row>
    <row r="2450">
      <c r="C2450" s="15" t="n">
        <v>156</v>
      </c>
      <c r="AA2450" s="15" t="n">
        <v>156</v>
      </c>
      <c r="AW2450" s="15" t="n">
        <v>156</v>
      </c>
      <c r="BS2450" s="15" t="n">
        <v>156</v>
      </c>
      <c r="CO2450" s="15" t="n">
        <v>156</v>
      </c>
      <c r="DK2450" s="15" t="n">
        <v>156</v>
      </c>
      <c r="EG2450" s="15" t="n">
        <v>156</v>
      </c>
      <c r="FC2450" s="15" t="n">
        <v>156</v>
      </c>
      <c r="FY2450" s="15" t="n">
        <v>156</v>
      </c>
      <c r="GU2450" s="15" t="n">
        <v>156</v>
      </c>
    </row>
    <row r="2451">
      <c r="C2451" s="15" t="n">
        <v>157</v>
      </c>
      <c r="AA2451" s="15" t="n">
        <v>157</v>
      </c>
      <c r="AW2451" s="15" t="n">
        <v>157</v>
      </c>
      <c r="BS2451" s="15" t="n">
        <v>157</v>
      </c>
      <c r="CO2451" s="15" t="n">
        <v>157</v>
      </c>
      <c r="DK2451" s="15" t="n">
        <v>157</v>
      </c>
      <c r="EG2451" s="15" t="n">
        <v>157</v>
      </c>
      <c r="FC2451" s="15" t="n">
        <v>157</v>
      </c>
      <c r="FY2451" s="15" t="n">
        <v>157</v>
      </c>
      <c r="GU2451" s="15" t="n">
        <v>157</v>
      </c>
    </row>
    <row r="2452">
      <c r="C2452" s="15" t="n">
        <v>158</v>
      </c>
      <c r="AA2452" s="15" t="n">
        <v>158</v>
      </c>
      <c r="AW2452" s="15" t="n">
        <v>158</v>
      </c>
      <c r="BS2452" s="15" t="n">
        <v>158</v>
      </c>
      <c r="CO2452" s="15" t="n">
        <v>158</v>
      </c>
      <c r="DK2452" s="15" t="n">
        <v>158</v>
      </c>
      <c r="EG2452" s="15" t="n">
        <v>158</v>
      </c>
      <c r="FC2452" s="15" t="n">
        <v>158</v>
      </c>
      <c r="FY2452" s="15" t="n">
        <v>158</v>
      </c>
      <c r="GU2452" s="15" t="n">
        <v>158</v>
      </c>
    </row>
    <row r="2453">
      <c r="C2453" s="15" t="n">
        <v>159</v>
      </c>
      <c r="AA2453" s="15" t="n">
        <v>159</v>
      </c>
      <c r="AW2453" s="15" t="n">
        <v>159</v>
      </c>
      <c r="BS2453" s="15" t="n">
        <v>159</v>
      </c>
      <c r="CO2453" s="15" t="n">
        <v>159</v>
      </c>
      <c r="DK2453" s="15" t="n">
        <v>159</v>
      </c>
      <c r="EG2453" s="15" t="n">
        <v>159</v>
      </c>
      <c r="FC2453" s="15" t="n">
        <v>159</v>
      </c>
      <c r="FY2453" s="15" t="n">
        <v>159</v>
      </c>
      <c r="GU2453" s="15" t="n">
        <v>159</v>
      </c>
    </row>
    <row r="2454">
      <c r="C2454" s="15" t="n">
        <v>160</v>
      </c>
      <c r="AA2454" s="15" t="n">
        <v>160</v>
      </c>
      <c r="AW2454" s="15" t="n">
        <v>160</v>
      </c>
      <c r="BS2454" s="15" t="n">
        <v>160</v>
      </c>
      <c r="CO2454" s="15" t="n">
        <v>160</v>
      </c>
      <c r="DK2454" s="15" t="n">
        <v>160</v>
      </c>
      <c r="EG2454" s="15" t="n">
        <v>160</v>
      </c>
      <c r="FC2454" s="15" t="n">
        <v>160</v>
      </c>
      <c r="FY2454" s="15" t="n">
        <v>160</v>
      </c>
      <c r="GU2454" s="15" t="n">
        <v>160</v>
      </c>
    </row>
    <row r="2455">
      <c r="C2455" s="15" t="n">
        <v>161</v>
      </c>
      <c r="AA2455" s="15" t="n">
        <v>161</v>
      </c>
      <c r="AW2455" s="15" t="n">
        <v>161</v>
      </c>
      <c r="BS2455" s="15" t="n">
        <v>161</v>
      </c>
      <c r="CO2455" s="15" t="n">
        <v>161</v>
      </c>
      <c r="DK2455" s="15" t="n">
        <v>161</v>
      </c>
      <c r="EG2455" s="15" t="n">
        <v>161</v>
      </c>
      <c r="FC2455" s="15" t="n">
        <v>161</v>
      </c>
      <c r="FY2455" s="15" t="n">
        <v>161</v>
      </c>
      <c r="GU2455" s="15" t="n">
        <v>161</v>
      </c>
    </row>
    <row r="2456">
      <c r="C2456" s="15" t="n">
        <v>162</v>
      </c>
      <c r="AA2456" s="15" t="n">
        <v>162</v>
      </c>
      <c r="AW2456" s="15" t="n">
        <v>162</v>
      </c>
      <c r="BS2456" s="15" t="n">
        <v>162</v>
      </c>
      <c r="CO2456" s="15" t="n">
        <v>162</v>
      </c>
      <c r="DK2456" s="15" t="n">
        <v>162</v>
      </c>
      <c r="EG2456" s="15" t="n">
        <v>162</v>
      </c>
      <c r="FC2456" s="15" t="n">
        <v>162</v>
      </c>
      <c r="FY2456" s="15" t="n">
        <v>162</v>
      </c>
      <c r="GU2456" s="15" t="n">
        <v>162</v>
      </c>
    </row>
    <row r="2457">
      <c r="C2457" s="15" t="n">
        <v>163</v>
      </c>
      <c r="AA2457" s="15" t="n">
        <v>163</v>
      </c>
      <c r="AW2457" s="15" t="n">
        <v>163</v>
      </c>
      <c r="BS2457" s="15" t="n">
        <v>163</v>
      </c>
      <c r="CO2457" s="15" t="n">
        <v>163</v>
      </c>
      <c r="DK2457" s="15" t="n">
        <v>163</v>
      </c>
      <c r="EG2457" s="15" t="n">
        <v>163</v>
      </c>
      <c r="FC2457" s="15" t="n">
        <v>163</v>
      </c>
      <c r="FY2457" s="15" t="n">
        <v>163</v>
      </c>
      <c r="GU2457" s="15" t="n">
        <v>163</v>
      </c>
    </row>
    <row r="2458">
      <c r="C2458" s="15" t="n">
        <v>164</v>
      </c>
      <c r="AA2458" s="15" t="n">
        <v>164</v>
      </c>
      <c r="AW2458" s="15" t="n">
        <v>164</v>
      </c>
      <c r="BS2458" s="15" t="n">
        <v>164</v>
      </c>
      <c r="CO2458" s="15" t="n">
        <v>164</v>
      </c>
      <c r="DK2458" s="15" t="n">
        <v>164</v>
      </c>
      <c r="EG2458" s="15" t="n">
        <v>164</v>
      </c>
      <c r="FC2458" s="15" t="n">
        <v>164</v>
      </c>
      <c r="FY2458" s="15" t="n">
        <v>164</v>
      </c>
      <c r="GU2458" s="15" t="n">
        <v>164</v>
      </c>
    </row>
    <row r="2459">
      <c r="C2459" s="15" t="n">
        <v>165</v>
      </c>
      <c r="AA2459" s="15" t="n">
        <v>165</v>
      </c>
      <c r="AW2459" s="15" t="n">
        <v>165</v>
      </c>
      <c r="BS2459" s="15" t="n">
        <v>165</v>
      </c>
      <c r="CO2459" s="15" t="n">
        <v>165</v>
      </c>
      <c r="DK2459" s="15" t="n">
        <v>165</v>
      </c>
      <c r="EG2459" s="15" t="n">
        <v>165</v>
      </c>
      <c r="FC2459" s="15" t="n">
        <v>165</v>
      </c>
      <c r="FY2459" s="15" t="n">
        <v>165</v>
      </c>
      <c r="GU2459" s="15" t="n">
        <v>165</v>
      </c>
    </row>
    <row r="2460">
      <c r="C2460" s="15" t="n">
        <v>166</v>
      </c>
      <c r="AA2460" s="15" t="n">
        <v>166</v>
      </c>
      <c r="AW2460" s="15" t="n">
        <v>166</v>
      </c>
      <c r="BS2460" s="15" t="n">
        <v>166</v>
      </c>
      <c r="CO2460" s="15" t="n">
        <v>166</v>
      </c>
      <c r="DK2460" s="15" t="n">
        <v>166</v>
      </c>
      <c r="EG2460" s="15" t="n">
        <v>166</v>
      </c>
      <c r="FC2460" s="15" t="n">
        <v>166</v>
      </c>
      <c r="FY2460" s="15" t="n">
        <v>166</v>
      </c>
      <c r="GU2460" s="15" t="n">
        <v>166</v>
      </c>
    </row>
    <row r="2461">
      <c r="C2461" s="15" t="n">
        <v>167</v>
      </c>
      <c r="AA2461" s="15" t="n">
        <v>167</v>
      </c>
      <c r="AW2461" s="15" t="n">
        <v>167</v>
      </c>
      <c r="BS2461" s="15" t="n">
        <v>167</v>
      </c>
      <c r="CO2461" s="15" t="n">
        <v>167</v>
      </c>
      <c r="DK2461" s="15" t="n">
        <v>167</v>
      </c>
      <c r="EG2461" s="15" t="n">
        <v>167</v>
      </c>
      <c r="FC2461" s="15" t="n">
        <v>167</v>
      </c>
      <c r="FY2461" s="15" t="n">
        <v>167</v>
      </c>
      <c r="GU2461" s="15" t="n">
        <v>167</v>
      </c>
    </row>
    <row r="2462">
      <c r="C2462" s="15" t="n">
        <v>168</v>
      </c>
      <c r="AA2462" s="15" t="n">
        <v>168</v>
      </c>
      <c r="AW2462" s="15" t="n">
        <v>168</v>
      </c>
      <c r="BS2462" s="15" t="n">
        <v>168</v>
      </c>
      <c r="CO2462" s="15" t="n">
        <v>168</v>
      </c>
      <c r="DK2462" s="15" t="n">
        <v>168</v>
      </c>
      <c r="EG2462" s="15" t="n">
        <v>168</v>
      </c>
      <c r="FC2462" s="15" t="n">
        <v>168</v>
      </c>
      <c r="FY2462" s="15" t="n">
        <v>168</v>
      </c>
      <c r="GU2462" s="15" t="n">
        <v>168</v>
      </c>
    </row>
    <row r="2463">
      <c r="C2463" s="15" t="n">
        <v>169</v>
      </c>
      <c r="AA2463" s="15" t="n">
        <v>169</v>
      </c>
      <c r="AW2463" s="15" t="n">
        <v>169</v>
      </c>
      <c r="BS2463" s="15" t="n">
        <v>169</v>
      </c>
      <c r="CO2463" s="15" t="n">
        <v>169</v>
      </c>
      <c r="DK2463" s="15" t="n">
        <v>169</v>
      </c>
      <c r="EG2463" s="15" t="n">
        <v>169</v>
      </c>
      <c r="FC2463" s="15" t="n">
        <v>169</v>
      </c>
      <c r="FY2463" s="15" t="n">
        <v>169</v>
      </c>
      <c r="GU2463" s="15" t="n">
        <v>169</v>
      </c>
    </row>
    <row r="2464">
      <c r="C2464" s="15" t="n">
        <v>170</v>
      </c>
      <c r="AA2464" s="15" t="n">
        <v>170</v>
      </c>
      <c r="AW2464" s="15" t="n">
        <v>170</v>
      </c>
      <c r="BS2464" s="15" t="n">
        <v>170</v>
      </c>
      <c r="CO2464" s="15" t="n">
        <v>170</v>
      </c>
      <c r="DK2464" s="15" t="n">
        <v>170</v>
      </c>
      <c r="EG2464" s="15" t="n">
        <v>170</v>
      </c>
      <c r="FC2464" s="15" t="n">
        <v>170</v>
      </c>
      <c r="FY2464" s="15" t="n">
        <v>170</v>
      </c>
      <c r="GU2464" s="15" t="n">
        <v>170</v>
      </c>
    </row>
    <row r="2465">
      <c r="C2465" s="15" t="n">
        <v>171</v>
      </c>
      <c r="AA2465" s="15" t="n">
        <v>171</v>
      </c>
      <c r="AW2465" s="15" t="n">
        <v>171</v>
      </c>
      <c r="BS2465" s="15" t="n">
        <v>171</v>
      </c>
      <c r="CO2465" s="15" t="n">
        <v>171</v>
      </c>
      <c r="DK2465" s="15" t="n">
        <v>171</v>
      </c>
      <c r="EG2465" s="15" t="n">
        <v>171</v>
      </c>
      <c r="FC2465" s="15" t="n">
        <v>171</v>
      </c>
      <c r="FY2465" s="15" t="n">
        <v>171</v>
      </c>
      <c r="GU2465" s="15" t="n">
        <v>171</v>
      </c>
    </row>
    <row r="2466">
      <c r="C2466" s="15" t="n">
        <v>172</v>
      </c>
      <c r="AA2466" s="15" t="n">
        <v>172</v>
      </c>
      <c r="AW2466" s="15" t="n">
        <v>172</v>
      </c>
      <c r="BS2466" s="15" t="n">
        <v>172</v>
      </c>
      <c r="CO2466" s="15" t="n">
        <v>172</v>
      </c>
      <c r="DK2466" s="15" t="n">
        <v>172</v>
      </c>
      <c r="EG2466" s="15" t="n">
        <v>172</v>
      </c>
      <c r="FC2466" s="15" t="n">
        <v>172</v>
      </c>
      <c r="FY2466" s="15" t="n">
        <v>172</v>
      </c>
      <c r="GU2466" s="15" t="n">
        <v>172</v>
      </c>
    </row>
    <row r="2467">
      <c r="C2467" s="15" t="n">
        <v>173</v>
      </c>
      <c r="AA2467" s="15" t="n">
        <v>173</v>
      </c>
      <c r="AW2467" s="15" t="n">
        <v>173</v>
      </c>
      <c r="BS2467" s="15" t="n">
        <v>173</v>
      </c>
      <c r="CO2467" s="15" t="n">
        <v>173</v>
      </c>
      <c r="DK2467" s="15" t="n">
        <v>173</v>
      </c>
      <c r="EG2467" s="15" t="n">
        <v>173</v>
      </c>
      <c r="FC2467" s="15" t="n">
        <v>173</v>
      </c>
      <c r="FY2467" s="15" t="n">
        <v>173</v>
      </c>
      <c r="GU2467" s="15" t="n">
        <v>173</v>
      </c>
    </row>
    <row r="2468">
      <c r="C2468" s="15" t="n">
        <v>174</v>
      </c>
      <c r="AA2468" s="15" t="n">
        <v>174</v>
      </c>
      <c r="AW2468" s="15" t="n">
        <v>174</v>
      </c>
      <c r="BS2468" s="15" t="n">
        <v>174</v>
      </c>
      <c r="CO2468" s="15" t="n">
        <v>174</v>
      </c>
      <c r="DK2468" s="15" t="n">
        <v>174</v>
      </c>
      <c r="EG2468" s="15" t="n">
        <v>174</v>
      </c>
      <c r="FC2468" s="15" t="n">
        <v>174</v>
      </c>
      <c r="FY2468" s="15" t="n">
        <v>174</v>
      </c>
      <c r="GU2468" s="15" t="n">
        <v>174</v>
      </c>
    </row>
    <row r="2469">
      <c r="C2469" s="15" t="n">
        <v>175</v>
      </c>
      <c r="AA2469" s="15" t="n">
        <v>175</v>
      </c>
      <c r="AW2469" s="15" t="n">
        <v>175</v>
      </c>
      <c r="BS2469" s="15" t="n">
        <v>175</v>
      </c>
      <c r="CO2469" s="15" t="n">
        <v>175</v>
      </c>
      <c r="DK2469" s="15" t="n">
        <v>175</v>
      </c>
      <c r="EG2469" s="15" t="n">
        <v>175</v>
      </c>
      <c r="FC2469" s="15" t="n">
        <v>175</v>
      </c>
      <c r="FY2469" s="15" t="n">
        <v>175</v>
      </c>
      <c r="GU2469" s="15" t="n">
        <v>175</v>
      </c>
    </row>
    <row r="2470">
      <c r="C2470" s="15" t="n">
        <v>176</v>
      </c>
      <c r="AA2470" s="15" t="n">
        <v>176</v>
      </c>
      <c r="AW2470" s="15" t="n">
        <v>176</v>
      </c>
      <c r="BS2470" s="15" t="n">
        <v>176</v>
      </c>
      <c r="CO2470" s="15" t="n">
        <v>176</v>
      </c>
      <c r="DK2470" s="15" t="n">
        <v>176</v>
      </c>
      <c r="EG2470" s="15" t="n">
        <v>176</v>
      </c>
      <c r="FC2470" s="15" t="n">
        <v>176</v>
      </c>
      <c r="FY2470" s="15" t="n">
        <v>176</v>
      </c>
      <c r="GU2470" s="15" t="n">
        <v>176</v>
      </c>
    </row>
    <row r="2471">
      <c r="C2471" s="15" t="n">
        <v>177</v>
      </c>
      <c r="AA2471" s="15" t="n">
        <v>177</v>
      </c>
      <c r="AW2471" s="15" t="n">
        <v>177</v>
      </c>
      <c r="BS2471" s="15" t="n">
        <v>177</v>
      </c>
      <c r="CO2471" s="15" t="n">
        <v>177</v>
      </c>
      <c r="DK2471" s="15" t="n">
        <v>177</v>
      </c>
      <c r="EG2471" s="15" t="n">
        <v>177</v>
      </c>
      <c r="FC2471" s="15" t="n">
        <v>177</v>
      </c>
      <c r="FY2471" s="15" t="n">
        <v>177</v>
      </c>
      <c r="GU2471" s="15" t="n">
        <v>177</v>
      </c>
    </row>
    <row r="2472">
      <c r="C2472" s="15" t="n">
        <v>178</v>
      </c>
      <c r="AA2472" s="15" t="n">
        <v>178</v>
      </c>
      <c r="AW2472" s="15" t="n">
        <v>178</v>
      </c>
      <c r="BS2472" s="15" t="n">
        <v>178</v>
      </c>
      <c r="CO2472" s="15" t="n">
        <v>178</v>
      </c>
      <c r="DK2472" s="15" t="n">
        <v>178</v>
      </c>
      <c r="EG2472" s="15" t="n">
        <v>178</v>
      </c>
      <c r="FC2472" s="15" t="n">
        <v>178</v>
      </c>
      <c r="FY2472" s="15" t="n">
        <v>178</v>
      </c>
      <c r="GU2472" s="15" t="n">
        <v>178</v>
      </c>
    </row>
    <row r="2473">
      <c r="C2473" s="15" t="n">
        <v>179</v>
      </c>
      <c r="AA2473" s="15" t="n">
        <v>179</v>
      </c>
      <c r="AW2473" s="15" t="n">
        <v>179</v>
      </c>
      <c r="BS2473" s="15" t="n">
        <v>179</v>
      </c>
      <c r="CO2473" s="15" t="n">
        <v>179</v>
      </c>
      <c r="DK2473" s="15" t="n">
        <v>179</v>
      </c>
      <c r="EG2473" s="15" t="n">
        <v>179</v>
      </c>
      <c r="FC2473" s="15" t="n">
        <v>179</v>
      </c>
      <c r="FY2473" s="15" t="n">
        <v>179</v>
      </c>
      <c r="GU2473" s="15" t="n">
        <v>179</v>
      </c>
    </row>
    <row r="2474">
      <c r="C2474" s="15" t="n">
        <v>180</v>
      </c>
      <c r="AA2474" s="15" t="n">
        <v>180</v>
      </c>
      <c r="AW2474" s="15" t="n">
        <v>180</v>
      </c>
      <c r="BS2474" s="15" t="n">
        <v>180</v>
      </c>
      <c r="CO2474" s="15" t="n">
        <v>180</v>
      </c>
      <c r="DK2474" s="15" t="n">
        <v>180</v>
      </c>
      <c r="EG2474" s="15" t="n">
        <v>180</v>
      </c>
      <c r="FC2474" s="15" t="n">
        <v>180</v>
      </c>
      <c r="FY2474" s="15" t="n">
        <v>180</v>
      </c>
      <c r="GU2474" s="15" t="n">
        <v>180</v>
      </c>
    </row>
    <row r="2475">
      <c r="C2475" s="15" t="n">
        <v>181</v>
      </c>
      <c r="AA2475" s="15" t="n">
        <v>181</v>
      </c>
      <c r="AW2475" s="15" t="n">
        <v>181</v>
      </c>
      <c r="BS2475" s="15" t="n">
        <v>181</v>
      </c>
      <c r="CO2475" s="15" t="n">
        <v>181</v>
      </c>
      <c r="DK2475" s="15" t="n">
        <v>181</v>
      </c>
      <c r="EG2475" s="15" t="n">
        <v>181</v>
      </c>
      <c r="FC2475" s="15" t="n">
        <v>181</v>
      </c>
      <c r="FY2475" s="15" t="n">
        <v>181</v>
      </c>
      <c r="GU2475" s="15" t="n">
        <v>181</v>
      </c>
    </row>
    <row r="2476">
      <c r="C2476" s="15" t="n">
        <v>182</v>
      </c>
      <c r="AA2476" s="15" t="n">
        <v>182</v>
      </c>
      <c r="AW2476" s="15" t="n">
        <v>182</v>
      </c>
      <c r="BS2476" s="15" t="n">
        <v>182</v>
      </c>
      <c r="CO2476" s="15" t="n">
        <v>182</v>
      </c>
      <c r="DK2476" s="15" t="n">
        <v>182</v>
      </c>
      <c r="EG2476" s="15" t="n">
        <v>182</v>
      </c>
      <c r="FC2476" s="15" t="n">
        <v>182</v>
      </c>
      <c r="FY2476" s="15" t="n">
        <v>182</v>
      </c>
      <c r="GU2476" s="15" t="n">
        <v>182</v>
      </c>
    </row>
    <row r="2477">
      <c r="C2477" s="15" t="n">
        <v>183</v>
      </c>
      <c r="AA2477" s="15" t="n">
        <v>183</v>
      </c>
      <c r="AW2477" s="15" t="n">
        <v>183</v>
      </c>
      <c r="BS2477" s="15" t="n">
        <v>183</v>
      </c>
      <c r="CO2477" s="15" t="n">
        <v>183</v>
      </c>
      <c r="DK2477" s="15" t="n">
        <v>183</v>
      </c>
      <c r="EG2477" s="15" t="n">
        <v>183</v>
      </c>
      <c r="FC2477" s="15" t="n">
        <v>183</v>
      </c>
      <c r="FY2477" s="15" t="n">
        <v>183</v>
      </c>
      <c r="GU2477" s="15" t="n">
        <v>183</v>
      </c>
    </row>
    <row r="2478">
      <c r="C2478" s="15" t="n">
        <v>184</v>
      </c>
      <c r="AA2478" s="15" t="n">
        <v>184</v>
      </c>
      <c r="AW2478" s="15" t="n">
        <v>184</v>
      </c>
      <c r="BS2478" s="15" t="n">
        <v>184</v>
      </c>
      <c r="CO2478" s="15" t="n">
        <v>184</v>
      </c>
      <c r="DK2478" s="15" t="n">
        <v>184</v>
      </c>
      <c r="EG2478" s="15" t="n">
        <v>184</v>
      </c>
      <c r="FC2478" s="15" t="n">
        <v>184</v>
      </c>
      <c r="FY2478" s="15" t="n">
        <v>184</v>
      </c>
      <c r="GU2478" s="15" t="n">
        <v>184</v>
      </c>
    </row>
    <row r="2479">
      <c r="C2479" s="15" t="n">
        <v>185</v>
      </c>
      <c r="AA2479" s="15" t="n">
        <v>185</v>
      </c>
      <c r="AW2479" s="15" t="n">
        <v>185</v>
      </c>
      <c r="BS2479" s="15" t="n">
        <v>185</v>
      </c>
      <c r="CO2479" s="15" t="n">
        <v>185</v>
      </c>
      <c r="DK2479" s="15" t="n">
        <v>185</v>
      </c>
      <c r="EG2479" s="15" t="n">
        <v>185</v>
      </c>
      <c r="FC2479" s="15" t="n">
        <v>185</v>
      </c>
      <c r="FY2479" s="15" t="n">
        <v>185</v>
      </c>
      <c r="GU2479" s="15" t="n">
        <v>185</v>
      </c>
    </row>
    <row r="2480">
      <c r="C2480" s="15" t="n">
        <v>186</v>
      </c>
      <c r="AA2480" s="15" t="n">
        <v>186</v>
      </c>
      <c r="AW2480" s="15" t="n">
        <v>186</v>
      </c>
      <c r="BS2480" s="15" t="n">
        <v>186</v>
      </c>
      <c r="CO2480" s="15" t="n">
        <v>186</v>
      </c>
      <c r="DK2480" s="15" t="n">
        <v>186</v>
      </c>
      <c r="EG2480" s="15" t="n">
        <v>186</v>
      </c>
      <c r="FC2480" s="15" t="n">
        <v>186</v>
      </c>
      <c r="FY2480" s="15" t="n">
        <v>186</v>
      </c>
      <c r="GU2480" s="15" t="n">
        <v>186</v>
      </c>
    </row>
    <row r="2481">
      <c r="C2481" s="15" t="n">
        <v>187</v>
      </c>
      <c r="AA2481" s="15" t="n">
        <v>187</v>
      </c>
      <c r="AW2481" s="15" t="n">
        <v>187</v>
      </c>
      <c r="BS2481" s="15" t="n">
        <v>187</v>
      </c>
      <c r="CO2481" s="15" t="n">
        <v>187</v>
      </c>
      <c r="DK2481" s="15" t="n">
        <v>187</v>
      </c>
      <c r="EG2481" s="15" t="n">
        <v>187</v>
      </c>
      <c r="FC2481" s="15" t="n">
        <v>187</v>
      </c>
      <c r="FY2481" s="15" t="n">
        <v>187</v>
      </c>
      <c r="GU2481" s="15" t="n">
        <v>187</v>
      </c>
    </row>
    <row r="2482">
      <c r="C2482" s="15" t="n">
        <v>188</v>
      </c>
      <c r="AA2482" s="15" t="n">
        <v>188</v>
      </c>
      <c r="AW2482" s="15" t="n">
        <v>188</v>
      </c>
      <c r="BS2482" s="15" t="n">
        <v>188</v>
      </c>
      <c r="CO2482" s="15" t="n">
        <v>188</v>
      </c>
      <c r="DK2482" s="15" t="n">
        <v>188</v>
      </c>
      <c r="EG2482" s="15" t="n">
        <v>188</v>
      </c>
      <c r="FC2482" s="15" t="n">
        <v>188</v>
      </c>
      <c r="FY2482" s="15" t="n">
        <v>188</v>
      </c>
      <c r="GU2482" s="15" t="n">
        <v>188</v>
      </c>
    </row>
    <row r="2483">
      <c r="C2483" s="15" t="n">
        <v>189</v>
      </c>
      <c r="AA2483" s="15" t="n">
        <v>189</v>
      </c>
      <c r="AW2483" s="15" t="n">
        <v>189</v>
      </c>
      <c r="BS2483" s="15" t="n">
        <v>189</v>
      </c>
      <c r="CO2483" s="15" t="n">
        <v>189</v>
      </c>
      <c r="DK2483" s="15" t="n">
        <v>189</v>
      </c>
      <c r="EG2483" s="15" t="n">
        <v>189</v>
      </c>
      <c r="FC2483" s="15" t="n">
        <v>189</v>
      </c>
      <c r="FY2483" s="15" t="n">
        <v>189</v>
      </c>
      <c r="GU2483" s="15" t="n">
        <v>189</v>
      </c>
    </row>
    <row r="2484">
      <c r="C2484" s="15" t="n">
        <v>190</v>
      </c>
      <c r="AA2484" s="15" t="n">
        <v>190</v>
      </c>
      <c r="AW2484" s="15" t="n">
        <v>190</v>
      </c>
      <c r="BS2484" s="15" t="n">
        <v>190</v>
      </c>
      <c r="CO2484" s="15" t="n">
        <v>190</v>
      </c>
      <c r="DK2484" s="15" t="n">
        <v>190</v>
      </c>
      <c r="EG2484" s="15" t="n">
        <v>190</v>
      </c>
      <c r="FC2484" s="15" t="n">
        <v>190</v>
      </c>
      <c r="FY2484" s="15" t="n">
        <v>190</v>
      </c>
      <c r="GU2484" s="15" t="n">
        <v>190</v>
      </c>
    </row>
    <row r="2485">
      <c r="C2485" s="15" t="n">
        <v>191</v>
      </c>
      <c r="AA2485" s="15" t="n">
        <v>191</v>
      </c>
      <c r="AW2485" s="15" t="n">
        <v>191</v>
      </c>
      <c r="BS2485" s="15" t="n">
        <v>191</v>
      </c>
      <c r="CO2485" s="15" t="n">
        <v>191</v>
      </c>
      <c r="DK2485" s="15" t="n">
        <v>191</v>
      </c>
      <c r="EG2485" s="15" t="n">
        <v>191</v>
      </c>
      <c r="FC2485" s="15" t="n">
        <v>191</v>
      </c>
      <c r="FY2485" s="15" t="n">
        <v>191</v>
      </c>
      <c r="GU2485" s="15" t="n">
        <v>191</v>
      </c>
    </row>
    <row r="2486">
      <c r="C2486" s="15" t="n">
        <v>192</v>
      </c>
      <c r="AA2486" s="15" t="n">
        <v>192</v>
      </c>
      <c r="AW2486" s="15" t="n">
        <v>192</v>
      </c>
      <c r="BS2486" s="15" t="n">
        <v>192</v>
      </c>
      <c r="CO2486" s="15" t="n">
        <v>192</v>
      </c>
      <c r="DK2486" s="15" t="n">
        <v>192</v>
      </c>
      <c r="EG2486" s="15" t="n">
        <v>192</v>
      </c>
      <c r="FC2486" s="15" t="n">
        <v>192</v>
      </c>
      <c r="FY2486" s="15" t="n">
        <v>192</v>
      </c>
      <c r="GU2486" s="15" t="n">
        <v>192</v>
      </c>
    </row>
    <row r="2487">
      <c r="C2487" s="15" t="n">
        <v>193</v>
      </c>
      <c r="AA2487" s="15" t="n">
        <v>193</v>
      </c>
      <c r="AW2487" s="15" t="n">
        <v>193</v>
      </c>
      <c r="BS2487" s="15" t="n">
        <v>193</v>
      </c>
      <c r="CO2487" s="15" t="n">
        <v>193</v>
      </c>
      <c r="DK2487" s="15" t="n">
        <v>193</v>
      </c>
      <c r="EG2487" s="15" t="n">
        <v>193</v>
      </c>
      <c r="FC2487" s="15" t="n">
        <v>193</v>
      </c>
      <c r="FY2487" s="15" t="n">
        <v>193</v>
      </c>
      <c r="GU2487" s="15" t="n">
        <v>193</v>
      </c>
    </row>
    <row r="2488">
      <c r="C2488" s="15" t="n">
        <v>194</v>
      </c>
      <c r="AA2488" s="15" t="n">
        <v>194</v>
      </c>
      <c r="AW2488" s="15" t="n">
        <v>194</v>
      </c>
      <c r="BS2488" s="15" t="n">
        <v>194</v>
      </c>
      <c r="CO2488" s="15" t="n">
        <v>194</v>
      </c>
      <c r="DK2488" s="15" t="n">
        <v>194</v>
      </c>
      <c r="EG2488" s="15" t="n">
        <v>194</v>
      </c>
      <c r="FC2488" s="15" t="n">
        <v>194</v>
      </c>
      <c r="FY2488" s="15" t="n">
        <v>194</v>
      </c>
      <c r="GU2488" s="15" t="n">
        <v>194</v>
      </c>
    </row>
    <row r="2489">
      <c r="C2489" s="15" t="n">
        <v>195</v>
      </c>
      <c r="AA2489" s="15" t="n">
        <v>195</v>
      </c>
      <c r="AW2489" s="15" t="n">
        <v>195</v>
      </c>
      <c r="BS2489" s="15" t="n">
        <v>195</v>
      </c>
      <c r="CO2489" s="15" t="n">
        <v>195</v>
      </c>
      <c r="DK2489" s="15" t="n">
        <v>195</v>
      </c>
      <c r="EG2489" s="15" t="n">
        <v>195</v>
      </c>
      <c r="FC2489" s="15" t="n">
        <v>195</v>
      </c>
      <c r="FY2489" s="15" t="n">
        <v>195</v>
      </c>
      <c r="GU2489" s="15" t="n">
        <v>195</v>
      </c>
    </row>
    <row r="2490">
      <c r="C2490" s="15" t="n">
        <v>196</v>
      </c>
      <c r="AA2490" s="15" t="n">
        <v>196</v>
      </c>
      <c r="AW2490" s="15" t="n">
        <v>196</v>
      </c>
      <c r="BS2490" s="15" t="n">
        <v>196</v>
      </c>
      <c r="CO2490" s="15" t="n">
        <v>196</v>
      </c>
      <c r="DK2490" s="15" t="n">
        <v>196</v>
      </c>
      <c r="EG2490" s="15" t="n">
        <v>196</v>
      </c>
      <c r="FC2490" s="15" t="n">
        <v>196</v>
      </c>
      <c r="FY2490" s="15" t="n">
        <v>196</v>
      </c>
      <c r="GU2490" s="15" t="n">
        <v>196</v>
      </c>
    </row>
    <row r="2491">
      <c r="C2491" s="15" t="n">
        <v>197</v>
      </c>
      <c r="AA2491" s="15" t="n">
        <v>197</v>
      </c>
      <c r="AW2491" s="15" t="n">
        <v>197</v>
      </c>
      <c r="BS2491" s="15" t="n">
        <v>197</v>
      </c>
      <c r="CO2491" s="15" t="n">
        <v>197</v>
      </c>
      <c r="DK2491" s="15" t="n">
        <v>197</v>
      </c>
      <c r="EG2491" s="15" t="n">
        <v>197</v>
      </c>
      <c r="FC2491" s="15" t="n">
        <v>197</v>
      </c>
      <c r="FY2491" s="15" t="n">
        <v>197</v>
      </c>
      <c r="GU2491" s="15" t="n">
        <v>197</v>
      </c>
    </row>
    <row r="2492">
      <c r="C2492" s="15" t="n">
        <v>198</v>
      </c>
      <c r="AA2492" s="15" t="n">
        <v>198</v>
      </c>
      <c r="AW2492" s="15" t="n">
        <v>198</v>
      </c>
      <c r="BS2492" s="15" t="n">
        <v>198</v>
      </c>
      <c r="CO2492" s="15" t="n">
        <v>198</v>
      </c>
      <c r="DK2492" s="15" t="n">
        <v>198</v>
      </c>
      <c r="EG2492" s="15" t="n">
        <v>198</v>
      </c>
      <c r="FC2492" s="15" t="n">
        <v>198</v>
      </c>
      <c r="FY2492" s="15" t="n">
        <v>198</v>
      </c>
      <c r="GU2492" s="15" t="n">
        <v>198</v>
      </c>
    </row>
    <row r="2494">
      <c r="B2494" s="15" t="inlineStr">
        <is>
          <t>Parâmetros p/ μx</t>
        </is>
      </c>
      <c r="C2494" s="15" t="inlineStr">
        <is>
          <t>Var(d-cap)</t>
        </is>
      </c>
      <c r="D2494" s="15" t="n">
        <v>22</v>
      </c>
      <c r="E2494" s="15" t="n">
        <v>23</v>
      </c>
      <c r="F2494" s="15" t="n">
        <v>24</v>
      </c>
      <c r="Z2494" s="15" t="inlineStr">
        <is>
          <t>Parâmetros p/ μx</t>
        </is>
      </c>
      <c r="AA2494" s="15" t="inlineStr">
        <is>
          <t>Var(d-cap)</t>
        </is>
      </c>
      <c r="AB2494" s="15" t="n">
        <v>22</v>
      </c>
      <c r="AC2494" s="15" t="n">
        <v>23</v>
      </c>
      <c r="AD2494" s="15" t="n">
        <v>24</v>
      </c>
      <c r="AV2494" s="15" t="inlineStr">
        <is>
          <t>Parâmetros p/ μx</t>
        </is>
      </c>
      <c r="AW2494" s="15" t="inlineStr">
        <is>
          <t>Var(d-cap)</t>
        </is>
      </c>
      <c r="AX2494" s="15" t="n">
        <v>22</v>
      </c>
      <c r="AY2494" s="15" t="n">
        <v>23</v>
      </c>
      <c r="AZ2494" s="15" t="n">
        <v>24</v>
      </c>
      <c r="BR2494" s="15" t="inlineStr">
        <is>
          <t>Parâmetros p/ μx</t>
        </is>
      </c>
      <c r="BS2494" s="15" t="inlineStr">
        <is>
          <t>Var(d-cap)</t>
        </is>
      </c>
      <c r="BT2494" s="15" t="n">
        <v>22</v>
      </c>
      <c r="BU2494" s="15" t="n">
        <v>23</v>
      </c>
      <c r="BV2494" s="15" t="n">
        <v>24</v>
      </c>
      <c r="CN2494" s="15" t="inlineStr">
        <is>
          <t>Parâmetros p/ μx</t>
        </is>
      </c>
      <c r="CO2494" s="15" t="inlineStr">
        <is>
          <t>Var(d-cap)</t>
        </is>
      </c>
      <c r="CP2494" s="15" t="n">
        <v>22</v>
      </c>
      <c r="CQ2494" s="15" t="n">
        <v>23</v>
      </c>
      <c r="CR2494" s="15" t="n">
        <v>24</v>
      </c>
      <c r="DJ2494" s="15" t="inlineStr">
        <is>
          <t>Parâmetros p/ μx</t>
        </is>
      </c>
      <c r="DK2494" s="15" t="inlineStr">
        <is>
          <t>Var(d-cap)</t>
        </is>
      </c>
      <c r="DL2494" s="15" t="n">
        <v>22</v>
      </c>
      <c r="DM2494" s="15" t="n">
        <v>23</v>
      </c>
      <c r="DN2494" s="15" t="n">
        <v>24</v>
      </c>
      <c r="EF2494" s="15" t="inlineStr">
        <is>
          <t>Parâmetros p/ μx</t>
        </is>
      </c>
      <c r="EG2494" s="15" t="inlineStr">
        <is>
          <t>Var(d-cap)</t>
        </is>
      </c>
      <c r="EH2494" s="15" t="n">
        <v>22</v>
      </c>
      <c r="EI2494" s="15" t="n">
        <v>23</v>
      </c>
      <c r="EJ2494" s="15" t="n">
        <v>24</v>
      </c>
      <c r="FB2494" s="15" t="inlineStr">
        <is>
          <t>Parâmetros p/ μx</t>
        </is>
      </c>
      <c r="FC2494" s="15" t="inlineStr">
        <is>
          <t>Var(d-cap)</t>
        </is>
      </c>
      <c r="FD2494" s="15" t="n">
        <v>22</v>
      </c>
      <c r="FE2494" s="15" t="n">
        <v>23</v>
      </c>
      <c r="FF2494" s="15" t="n">
        <v>24</v>
      </c>
      <c r="FX2494" s="15" t="inlineStr">
        <is>
          <t>Parâmetros p/ μx</t>
        </is>
      </c>
      <c r="FY2494" s="15" t="inlineStr">
        <is>
          <t>Var(d-cap)</t>
        </is>
      </c>
      <c r="FZ2494" s="15" t="n">
        <v>22</v>
      </c>
      <c r="GA2494" s="15" t="n">
        <v>23</v>
      </c>
      <c r="GB2494" s="15" t="n">
        <v>24</v>
      </c>
      <c r="GT2494" s="15" t="inlineStr">
        <is>
          <t>Parâmetros p/ μx</t>
        </is>
      </c>
      <c r="GU2494" s="15" t="inlineStr">
        <is>
          <t>Var(d-cap)</t>
        </is>
      </c>
      <c r="GV2494" s="15" t="n">
        <v>22</v>
      </c>
      <c r="GW2494" s="15" t="n">
        <v>23</v>
      </c>
      <c r="GX2494" s="15" t="n">
        <v>24</v>
      </c>
    </row>
    <row r="2495" ht="16.2" customHeight="1">
      <c r="B2495" s="15" t="inlineStr">
        <is>
          <t>S2nd</t>
        </is>
      </c>
      <c r="C2495" s="15" t="n">
        <v>9</v>
      </c>
      <c r="Z2495" s="15" t="inlineStr">
        <is>
          <t>S2nd</t>
        </is>
      </c>
      <c r="AA2495" s="15" t="n">
        <v>9</v>
      </c>
      <c r="AV2495" s="15" t="inlineStr">
        <is>
          <t>S2nd</t>
        </is>
      </c>
      <c r="AW2495" s="15" t="n">
        <v>9</v>
      </c>
      <c r="BR2495" s="15" t="inlineStr">
        <is>
          <t>S2nd</t>
        </is>
      </c>
      <c r="BS2495" s="15" t="n">
        <v>9</v>
      </c>
      <c r="CN2495" s="15" t="inlineStr">
        <is>
          <t>S2nd</t>
        </is>
      </c>
      <c r="CO2495" s="15" t="n">
        <v>9</v>
      </c>
      <c r="DJ2495" s="15" t="inlineStr">
        <is>
          <t>S2nd</t>
        </is>
      </c>
      <c r="DK2495" s="15" t="n">
        <v>9</v>
      </c>
      <c r="EF2495" s="15" t="inlineStr">
        <is>
          <t>S2nd</t>
        </is>
      </c>
      <c r="EG2495" s="15" t="n">
        <v>9</v>
      </c>
      <c r="FB2495" s="15" t="inlineStr">
        <is>
          <t>S2nd</t>
        </is>
      </c>
      <c r="FC2495" s="15" t="n">
        <v>9</v>
      </c>
      <c r="FX2495" s="15" t="inlineStr">
        <is>
          <t>S2nd</t>
        </is>
      </c>
      <c r="FY2495" s="15" t="n">
        <v>9</v>
      </c>
      <c r="GT2495" s="15" t="inlineStr">
        <is>
          <t>S2nd</t>
        </is>
      </c>
      <c r="GU2495" s="15" t="n">
        <v>9</v>
      </c>
    </row>
    <row r="2496">
      <c r="C2496" s="15" t="n">
        <v>10</v>
      </c>
      <c r="AA2496" s="15" t="n">
        <v>10</v>
      </c>
      <c r="AW2496" s="15" t="n">
        <v>10</v>
      </c>
      <c r="BS2496" s="15" t="n">
        <v>10</v>
      </c>
      <c r="CO2496" s="15" t="n">
        <v>10</v>
      </c>
      <c r="DK2496" s="15" t="n">
        <v>10</v>
      </c>
      <c r="EG2496" s="15" t="n">
        <v>10</v>
      </c>
      <c r="FC2496" s="15" t="n">
        <v>10</v>
      </c>
      <c r="FY2496" s="15" t="n">
        <v>10</v>
      </c>
      <c r="GU2496" s="15" t="n">
        <v>10</v>
      </c>
    </row>
    <row r="2497">
      <c r="C2497" s="15" t="n">
        <v>11</v>
      </c>
      <c r="AA2497" s="15" t="n">
        <v>11</v>
      </c>
      <c r="AW2497" s="15" t="n">
        <v>11</v>
      </c>
      <c r="BS2497" s="15" t="n">
        <v>11</v>
      </c>
      <c r="CO2497" s="15" t="n">
        <v>11</v>
      </c>
      <c r="DK2497" s="15" t="n">
        <v>11</v>
      </c>
      <c r="EG2497" s="15" t="n">
        <v>11</v>
      </c>
      <c r="FC2497" s="15" t="n">
        <v>11</v>
      </c>
      <c r="FY2497" s="15" t="n">
        <v>11</v>
      </c>
      <c r="GU2497" s="15" t="n">
        <v>11</v>
      </c>
    </row>
    <row r="2498">
      <c r="C2498" s="15" t="n">
        <v>12</v>
      </c>
      <c r="AA2498" s="15" t="n">
        <v>12</v>
      </c>
      <c r="AW2498" s="15" t="n">
        <v>12</v>
      </c>
      <c r="BS2498" s="15" t="n">
        <v>12</v>
      </c>
      <c r="CO2498" s="15" t="n">
        <v>12</v>
      </c>
      <c r="DK2498" s="15" t="n">
        <v>12</v>
      </c>
      <c r="EG2498" s="15" t="n">
        <v>12</v>
      </c>
      <c r="FC2498" s="15" t="n">
        <v>12</v>
      </c>
      <c r="FY2498" s="15" t="n">
        <v>12</v>
      </c>
      <c r="GU2498" s="15" t="n">
        <v>12</v>
      </c>
    </row>
    <row r="2499">
      <c r="C2499" s="15" t="n">
        <v>13</v>
      </c>
      <c r="AA2499" s="15" t="n">
        <v>13</v>
      </c>
      <c r="AW2499" s="15" t="n">
        <v>13</v>
      </c>
      <c r="BS2499" s="15" t="n">
        <v>13</v>
      </c>
      <c r="CO2499" s="15" t="n">
        <v>13</v>
      </c>
      <c r="DK2499" s="15" t="n">
        <v>13</v>
      </c>
      <c r="EG2499" s="15" t="n">
        <v>13</v>
      </c>
      <c r="FC2499" s="15" t="n">
        <v>13</v>
      </c>
      <c r="FY2499" s="15" t="n">
        <v>13</v>
      </c>
      <c r="GU2499" s="15" t="n">
        <v>13</v>
      </c>
    </row>
    <row r="2500">
      <c r="C2500" s="15" t="n">
        <v>14</v>
      </c>
      <c r="AA2500" s="15" t="n">
        <v>14</v>
      </c>
      <c r="AW2500" s="15" t="n">
        <v>14</v>
      </c>
      <c r="BS2500" s="15" t="n">
        <v>14</v>
      </c>
      <c r="CO2500" s="15" t="n">
        <v>14</v>
      </c>
      <c r="DK2500" s="15" t="n">
        <v>14</v>
      </c>
      <c r="EG2500" s="15" t="n">
        <v>14</v>
      </c>
      <c r="FC2500" s="15" t="n">
        <v>14</v>
      </c>
      <c r="FY2500" s="15" t="n">
        <v>14</v>
      </c>
      <c r="GU2500" s="15" t="n">
        <v>14</v>
      </c>
    </row>
    <row r="2501">
      <c r="C2501" s="15" t="n">
        <v>15</v>
      </c>
      <c r="AA2501" s="15" t="n">
        <v>15</v>
      </c>
      <c r="AW2501" s="15" t="n">
        <v>15</v>
      </c>
      <c r="BS2501" s="15" t="n">
        <v>15</v>
      </c>
      <c r="CO2501" s="15" t="n">
        <v>15</v>
      </c>
      <c r="DK2501" s="15" t="n">
        <v>15</v>
      </c>
      <c r="EG2501" s="15" t="n">
        <v>15</v>
      </c>
      <c r="FC2501" s="15" t="n">
        <v>15</v>
      </c>
      <c r="FY2501" s="15" t="n">
        <v>15</v>
      </c>
      <c r="GU2501" s="15" t="n">
        <v>15</v>
      </c>
    </row>
    <row r="2502">
      <c r="C2502" s="15" t="n">
        <v>16</v>
      </c>
      <c r="AA2502" s="15" t="n">
        <v>16</v>
      </c>
      <c r="AW2502" s="15" t="n">
        <v>16</v>
      </c>
      <c r="BS2502" s="15" t="n">
        <v>16</v>
      </c>
      <c r="CO2502" s="15" t="n">
        <v>16</v>
      </c>
      <c r="DK2502" s="15" t="n">
        <v>16</v>
      </c>
      <c r="EG2502" s="15" t="n">
        <v>16</v>
      </c>
      <c r="FC2502" s="15" t="n">
        <v>16</v>
      </c>
      <c r="FY2502" s="15" t="n">
        <v>16</v>
      </c>
      <c r="GU2502" s="15" t="n">
        <v>16</v>
      </c>
    </row>
    <row r="2503">
      <c r="C2503" s="15" t="n">
        <v>17</v>
      </c>
      <c r="AA2503" s="15" t="n">
        <v>17</v>
      </c>
      <c r="AW2503" s="15" t="n">
        <v>17</v>
      </c>
      <c r="BS2503" s="15" t="n">
        <v>17</v>
      </c>
      <c r="CO2503" s="15" t="n">
        <v>17</v>
      </c>
      <c r="DK2503" s="15" t="n">
        <v>17</v>
      </c>
      <c r="EG2503" s="15" t="n">
        <v>17</v>
      </c>
      <c r="FC2503" s="15" t="n">
        <v>17</v>
      </c>
      <c r="FY2503" s="15" t="n">
        <v>17</v>
      </c>
      <c r="GU2503" s="15" t="n">
        <v>17</v>
      </c>
    </row>
    <row r="2504">
      <c r="C2504" s="15" t="n">
        <v>18</v>
      </c>
      <c r="AA2504" s="15" t="n">
        <v>18</v>
      </c>
      <c r="AW2504" s="15" t="n">
        <v>18</v>
      </c>
      <c r="BS2504" s="15" t="n">
        <v>18</v>
      </c>
      <c r="CO2504" s="15" t="n">
        <v>18</v>
      </c>
      <c r="DK2504" s="15" t="n">
        <v>18</v>
      </c>
      <c r="EG2504" s="15" t="n">
        <v>18</v>
      </c>
      <c r="FC2504" s="15" t="n">
        <v>18</v>
      </c>
      <c r="FY2504" s="15" t="n">
        <v>18</v>
      </c>
      <c r="GU2504" s="15" t="n">
        <v>18</v>
      </c>
    </row>
    <row r="2505">
      <c r="C2505" s="15" t="n">
        <v>19</v>
      </c>
      <c r="AA2505" s="15" t="n">
        <v>19</v>
      </c>
      <c r="AW2505" s="15" t="n">
        <v>19</v>
      </c>
      <c r="BS2505" s="15" t="n">
        <v>19</v>
      </c>
      <c r="CO2505" s="15" t="n">
        <v>19</v>
      </c>
      <c r="DK2505" s="15" t="n">
        <v>19</v>
      </c>
      <c r="EG2505" s="15" t="n">
        <v>19</v>
      </c>
      <c r="FC2505" s="15" t="n">
        <v>19</v>
      </c>
      <c r="FY2505" s="15" t="n">
        <v>19</v>
      </c>
      <c r="GU2505" s="15" t="n">
        <v>19</v>
      </c>
    </row>
    <row r="2506">
      <c r="C2506" s="15" t="n">
        <v>20</v>
      </c>
      <c r="AA2506" s="15" t="n">
        <v>20</v>
      </c>
      <c r="AW2506" s="15" t="n">
        <v>20</v>
      </c>
      <c r="BS2506" s="15" t="n">
        <v>20</v>
      </c>
      <c r="CO2506" s="15" t="n">
        <v>20</v>
      </c>
      <c r="DK2506" s="15" t="n">
        <v>20</v>
      </c>
      <c r="EG2506" s="15" t="n">
        <v>20</v>
      </c>
      <c r="FC2506" s="15" t="n">
        <v>20</v>
      </c>
      <c r="FY2506" s="15" t="n">
        <v>20</v>
      </c>
      <c r="GU2506" s="15" t="n">
        <v>20</v>
      </c>
    </row>
    <row r="2507">
      <c r="C2507" s="15" t="n">
        <v>21</v>
      </c>
      <c r="AA2507" s="15" t="n">
        <v>21</v>
      </c>
      <c r="AW2507" s="15" t="n">
        <v>21</v>
      </c>
      <c r="BS2507" s="15" t="n">
        <v>21</v>
      </c>
      <c r="CO2507" s="15" t="n">
        <v>21</v>
      </c>
      <c r="DK2507" s="15" t="n">
        <v>21</v>
      </c>
      <c r="EG2507" s="15" t="n">
        <v>21</v>
      </c>
      <c r="FC2507" s="15" t="n">
        <v>21</v>
      </c>
      <c r="FY2507" s="15" t="n">
        <v>21</v>
      </c>
      <c r="GU2507" s="15" t="n">
        <v>21</v>
      </c>
    </row>
    <row r="2508">
      <c r="C2508" s="15" t="n">
        <v>22</v>
      </c>
      <c r="AA2508" s="15" t="n">
        <v>22</v>
      </c>
      <c r="AW2508" s="15" t="n">
        <v>22</v>
      </c>
      <c r="BS2508" s="15" t="n">
        <v>22</v>
      </c>
      <c r="CO2508" s="15" t="n">
        <v>22</v>
      </c>
      <c r="DK2508" s="15" t="n">
        <v>22</v>
      </c>
      <c r="EG2508" s="15" t="n">
        <v>22</v>
      </c>
      <c r="FC2508" s="15" t="n">
        <v>22</v>
      </c>
      <c r="FY2508" s="15" t="n">
        <v>22</v>
      </c>
      <c r="GU2508" s="15" t="n">
        <v>22</v>
      </c>
    </row>
    <row r="2509">
      <c r="C2509" s="15" t="n">
        <v>23</v>
      </c>
      <c r="AA2509" s="15" t="n">
        <v>23</v>
      </c>
      <c r="AW2509" s="15" t="n">
        <v>23</v>
      </c>
      <c r="BS2509" s="15" t="n">
        <v>23</v>
      </c>
      <c r="CO2509" s="15" t="n">
        <v>23</v>
      </c>
      <c r="DK2509" s="15" t="n">
        <v>23</v>
      </c>
      <c r="EG2509" s="15" t="n">
        <v>23</v>
      </c>
      <c r="FC2509" s="15" t="n">
        <v>23</v>
      </c>
      <c r="FY2509" s="15" t="n">
        <v>23</v>
      </c>
      <c r="GU2509" s="15" t="n">
        <v>23</v>
      </c>
    </row>
    <row r="2510">
      <c r="C2510" s="15" t="n">
        <v>24</v>
      </c>
      <c r="AA2510" s="15" t="n">
        <v>24</v>
      </c>
      <c r="AW2510" s="15" t="n">
        <v>24</v>
      </c>
      <c r="BS2510" s="15" t="n">
        <v>24</v>
      </c>
      <c r="CO2510" s="15" t="n">
        <v>24</v>
      </c>
      <c r="DK2510" s="15" t="n">
        <v>24</v>
      </c>
      <c r="EG2510" s="15" t="n">
        <v>24</v>
      </c>
      <c r="FC2510" s="15" t="n">
        <v>24</v>
      </c>
      <c r="FY2510" s="15" t="n">
        <v>24</v>
      </c>
      <c r="GU2510" s="15" t="n">
        <v>24</v>
      </c>
    </row>
    <row r="2511">
      <c r="C2511" s="15" t="n">
        <v>25</v>
      </c>
      <c r="AA2511" s="15" t="n">
        <v>25</v>
      </c>
      <c r="AW2511" s="15" t="n">
        <v>25</v>
      </c>
      <c r="BS2511" s="15" t="n">
        <v>25</v>
      </c>
      <c r="CO2511" s="15" t="n">
        <v>25</v>
      </c>
      <c r="DK2511" s="15" t="n">
        <v>25</v>
      </c>
      <c r="EG2511" s="15" t="n">
        <v>25</v>
      </c>
      <c r="FC2511" s="15" t="n">
        <v>25</v>
      </c>
      <c r="FY2511" s="15" t="n">
        <v>25</v>
      </c>
      <c r="GU2511" s="15" t="n">
        <v>25</v>
      </c>
    </row>
    <row r="2512">
      <c r="C2512" s="15" t="n">
        <v>26</v>
      </c>
      <c r="AA2512" s="15" t="n">
        <v>26</v>
      </c>
      <c r="AW2512" s="15" t="n">
        <v>26</v>
      </c>
      <c r="BS2512" s="15" t="n">
        <v>26</v>
      </c>
      <c r="CO2512" s="15" t="n">
        <v>26</v>
      </c>
      <c r="DK2512" s="15" t="n">
        <v>26</v>
      </c>
      <c r="EG2512" s="15" t="n">
        <v>26</v>
      </c>
      <c r="FC2512" s="15" t="n">
        <v>26</v>
      </c>
      <c r="FY2512" s="15" t="n">
        <v>26</v>
      </c>
      <c r="GU2512" s="15" t="n">
        <v>26</v>
      </c>
    </row>
    <row r="2513">
      <c r="C2513" s="15" t="n">
        <v>27</v>
      </c>
      <c r="AA2513" s="15" t="n">
        <v>27</v>
      </c>
      <c r="AW2513" s="15" t="n">
        <v>27</v>
      </c>
      <c r="BS2513" s="15" t="n">
        <v>27</v>
      </c>
      <c r="CO2513" s="15" t="n">
        <v>27</v>
      </c>
      <c r="DK2513" s="15" t="n">
        <v>27</v>
      </c>
      <c r="EG2513" s="15" t="n">
        <v>27</v>
      </c>
      <c r="FC2513" s="15" t="n">
        <v>27</v>
      </c>
      <c r="FY2513" s="15" t="n">
        <v>27</v>
      </c>
      <c r="GU2513" s="15" t="n">
        <v>27</v>
      </c>
    </row>
    <row r="2514">
      <c r="C2514" s="15" t="n">
        <v>28</v>
      </c>
      <c r="AA2514" s="15" t="n">
        <v>28</v>
      </c>
      <c r="AW2514" s="15" t="n">
        <v>28</v>
      </c>
      <c r="BS2514" s="15" t="n">
        <v>28</v>
      </c>
      <c r="CO2514" s="15" t="n">
        <v>28</v>
      </c>
      <c r="DK2514" s="15" t="n">
        <v>28</v>
      </c>
      <c r="EG2514" s="15" t="n">
        <v>28</v>
      </c>
      <c r="FC2514" s="15" t="n">
        <v>28</v>
      </c>
      <c r="FY2514" s="15" t="n">
        <v>28</v>
      </c>
      <c r="GU2514" s="15" t="n">
        <v>28</v>
      </c>
    </row>
    <row r="2515">
      <c r="C2515" s="15" t="n">
        <v>29</v>
      </c>
      <c r="AA2515" s="15" t="n">
        <v>29</v>
      </c>
      <c r="AW2515" s="15" t="n">
        <v>29</v>
      </c>
      <c r="BS2515" s="15" t="n">
        <v>29</v>
      </c>
      <c r="CO2515" s="15" t="n">
        <v>29</v>
      </c>
      <c r="DK2515" s="15" t="n">
        <v>29</v>
      </c>
      <c r="EG2515" s="15" t="n">
        <v>29</v>
      </c>
      <c r="FC2515" s="15" t="n">
        <v>29</v>
      </c>
      <c r="FY2515" s="15" t="n">
        <v>29</v>
      </c>
      <c r="GU2515" s="15" t="n">
        <v>29</v>
      </c>
    </row>
    <row r="2516">
      <c r="C2516" s="15" t="n">
        <v>30</v>
      </c>
      <c r="AA2516" s="15" t="n">
        <v>30</v>
      </c>
      <c r="AW2516" s="15" t="n">
        <v>30</v>
      </c>
      <c r="BS2516" s="15" t="n">
        <v>30</v>
      </c>
      <c r="CO2516" s="15" t="n">
        <v>30</v>
      </c>
      <c r="DK2516" s="15" t="n">
        <v>30</v>
      </c>
      <c r="EG2516" s="15" t="n">
        <v>30</v>
      </c>
      <c r="FC2516" s="15" t="n">
        <v>30</v>
      </c>
      <c r="FY2516" s="15" t="n">
        <v>30</v>
      </c>
      <c r="GU2516" s="15" t="n">
        <v>30</v>
      </c>
    </row>
    <row r="2517">
      <c r="C2517" s="15" t="n">
        <v>31</v>
      </c>
      <c r="AA2517" s="15" t="n">
        <v>31</v>
      </c>
      <c r="AW2517" s="15" t="n">
        <v>31</v>
      </c>
      <c r="BS2517" s="15" t="n">
        <v>31</v>
      </c>
      <c r="CO2517" s="15" t="n">
        <v>31</v>
      </c>
      <c r="DK2517" s="15" t="n">
        <v>31</v>
      </c>
      <c r="EG2517" s="15" t="n">
        <v>31</v>
      </c>
      <c r="FC2517" s="15" t="n">
        <v>31</v>
      </c>
      <c r="FY2517" s="15" t="n">
        <v>31</v>
      </c>
      <c r="GU2517" s="15" t="n">
        <v>31</v>
      </c>
    </row>
    <row r="2518">
      <c r="C2518" s="15" t="n">
        <v>32</v>
      </c>
      <c r="AA2518" s="15" t="n">
        <v>32</v>
      </c>
      <c r="AW2518" s="15" t="n">
        <v>32</v>
      </c>
      <c r="BS2518" s="15" t="n">
        <v>32</v>
      </c>
      <c r="CO2518" s="15" t="n">
        <v>32</v>
      </c>
      <c r="DK2518" s="15" t="n">
        <v>32</v>
      </c>
      <c r="EG2518" s="15" t="n">
        <v>32</v>
      </c>
      <c r="FC2518" s="15" t="n">
        <v>32</v>
      </c>
      <c r="FY2518" s="15" t="n">
        <v>32</v>
      </c>
      <c r="GU2518" s="15" t="n">
        <v>32</v>
      </c>
    </row>
    <row r="2519">
      <c r="C2519" s="15" t="n">
        <v>33</v>
      </c>
      <c r="AA2519" s="15" t="n">
        <v>33</v>
      </c>
      <c r="AW2519" s="15" t="n">
        <v>33</v>
      </c>
      <c r="BS2519" s="15" t="n">
        <v>33</v>
      </c>
      <c r="CO2519" s="15" t="n">
        <v>33</v>
      </c>
      <c r="DK2519" s="15" t="n">
        <v>33</v>
      </c>
      <c r="EG2519" s="15" t="n">
        <v>33</v>
      </c>
      <c r="FC2519" s="15" t="n">
        <v>33</v>
      </c>
      <c r="FY2519" s="15" t="n">
        <v>33</v>
      </c>
      <c r="GU2519" s="15" t="n">
        <v>33</v>
      </c>
    </row>
    <row r="2520">
      <c r="C2520" s="15" t="n">
        <v>34</v>
      </c>
      <c r="AA2520" s="15" t="n">
        <v>34</v>
      </c>
      <c r="AW2520" s="15" t="n">
        <v>34</v>
      </c>
      <c r="BS2520" s="15" t="n">
        <v>34</v>
      </c>
      <c r="CO2520" s="15" t="n">
        <v>34</v>
      </c>
      <c r="DK2520" s="15" t="n">
        <v>34</v>
      </c>
      <c r="EG2520" s="15" t="n">
        <v>34</v>
      </c>
      <c r="FC2520" s="15" t="n">
        <v>34</v>
      </c>
      <c r="FY2520" s="15" t="n">
        <v>34</v>
      </c>
      <c r="GU2520" s="15" t="n">
        <v>34</v>
      </c>
    </row>
    <row r="2521">
      <c r="C2521" s="15" t="n">
        <v>35</v>
      </c>
      <c r="AA2521" s="15" t="n">
        <v>35</v>
      </c>
      <c r="AW2521" s="15" t="n">
        <v>35</v>
      </c>
      <c r="BS2521" s="15" t="n">
        <v>35</v>
      </c>
      <c r="CO2521" s="15" t="n">
        <v>35</v>
      </c>
      <c r="DK2521" s="15" t="n">
        <v>35</v>
      </c>
      <c r="EG2521" s="15" t="n">
        <v>35</v>
      </c>
      <c r="FC2521" s="15" t="n">
        <v>35</v>
      </c>
      <c r="FY2521" s="15" t="n">
        <v>35</v>
      </c>
      <c r="GU2521" s="15" t="n">
        <v>35</v>
      </c>
    </row>
    <row r="2522">
      <c r="C2522" s="15" t="n">
        <v>36</v>
      </c>
      <c r="AA2522" s="15" t="n">
        <v>36</v>
      </c>
      <c r="AW2522" s="15" t="n">
        <v>36</v>
      </c>
      <c r="BS2522" s="15" t="n">
        <v>36</v>
      </c>
      <c r="CO2522" s="15" t="n">
        <v>36</v>
      </c>
      <c r="DK2522" s="15" t="n">
        <v>36</v>
      </c>
      <c r="EG2522" s="15" t="n">
        <v>36</v>
      </c>
      <c r="FC2522" s="15" t="n">
        <v>36</v>
      </c>
      <c r="FY2522" s="15" t="n">
        <v>36</v>
      </c>
      <c r="GU2522" s="15" t="n">
        <v>36</v>
      </c>
    </row>
    <row r="2523">
      <c r="C2523" s="15" t="n">
        <v>37</v>
      </c>
      <c r="AA2523" s="15" t="n">
        <v>37</v>
      </c>
      <c r="AW2523" s="15" t="n">
        <v>37</v>
      </c>
      <c r="BS2523" s="15" t="n">
        <v>37</v>
      </c>
      <c r="CO2523" s="15" t="n">
        <v>37</v>
      </c>
      <c r="DK2523" s="15" t="n">
        <v>37</v>
      </c>
      <c r="EG2523" s="15" t="n">
        <v>37</v>
      </c>
      <c r="FC2523" s="15" t="n">
        <v>37</v>
      </c>
      <c r="FY2523" s="15" t="n">
        <v>37</v>
      </c>
      <c r="GU2523" s="15" t="n">
        <v>37</v>
      </c>
    </row>
    <row r="2524">
      <c r="C2524" s="15" t="n">
        <v>38</v>
      </c>
      <c r="AA2524" s="15" t="n">
        <v>38</v>
      </c>
      <c r="AW2524" s="15" t="n">
        <v>38</v>
      </c>
      <c r="BS2524" s="15" t="n">
        <v>38</v>
      </c>
      <c r="CO2524" s="15" t="n">
        <v>38</v>
      </c>
      <c r="DK2524" s="15" t="n">
        <v>38</v>
      </c>
      <c r="EG2524" s="15" t="n">
        <v>38</v>
      </c>
      <c r="FC2524" s="15" t="n">
        <v>38</v>
      </c>
      <c r="FY2524" s="15" t="n">
        <v>38</v>
      </c>
      <c r="GU2524" s="15" t="n">
        <v>38</v>
      </c>
    </row>
    <row r="2525">
      <c r="C2525" s="15" t="n">
        <v>39</v>
      </c>
      <c r="AA2525" s="15" t="n">
        <v>39</v>
      </c>
      <c r="AW2525" s="15" t="n">
        <v>39</v>
      </c>
      <c r="BS2525" s="15" t="n">
        <v>39</v>
      </c>
      <c r="CO2525" s="15" t="n">
        <v>39</v>
      </c>
      <c r="DK2525" s="15" t="n">
        <v>39</v>
      </c>
      <c r="EG2525" s="15" t="n">
        <v>39</v>
      </c>
      <c r="FC2525" s="15" t="n">
        <v>39</v>
      </c>
      <c r="FY2525" s="15" t="n">
        <v>39</v>
      </c>
      <c r="GU2525" s="15" t="n">
        <v>39</v>
      </c>
    </row>
    <row r="2526">
      <c r="C2526" s="15" t="n">
        <v>40</v>
      </c>
      <c r="AA2526" s="15" t="n">
        <v>40</v>
      </c>
      <c r="AW2526" s="15" t="n">
        <v>40</v>
      </c>
      <c r="BS2526" s="15" t="n">
        <v>40</v>
      </c>
      <c r="CO2526" s="15" t="n">
        <v>40</v>
      </c>
      <c r="DK2526" s="15" t="n">
        <v>40</v>
      </c>
      <c r="EG2526" s="15" t="n">
        <v>40</v>
      </c>
      <c r="FC2526" s="15" t="n">
        <v>40</v>
      </c>
      <c r="FY2526" s="15" t="n">
        <v>40</v>
      </c>
      <c r="GU2526" s="15" t="n">
        <v>40</v>
      </c>
    </row>
    <row r="2527">
      <c r="C2527" s="15" t="n">
        <v>41</v>
      </c>
      <c r="AA2527" s="15" t="n">
        <v>41</v>
      </c>
      <c r="AW2527" s="15" t="n">
        <v>41</v>
      </c>
      <c r="BS2527" s="15" t="n">
        <v>41</v>
      </c>
      <c r="CO2527" s="15" t="n">
        <v>41</v>
      </c>
      <c r="DK2527" s="15" t="n">
        <v>41</v>
      </c>
      <c r="EG2527" s="15" t="n">
        <v>41</v>
      </c>
      <c r="FC2527" s="15" t="n">
        <v>41</v>
      </c>
      <c r="FY2527" s="15" t="n">
        <v>41</v>
      </c>
      <c r="GU2527" s="15" t="n">
        <v>41</v>
      </c>
    </row>
    <row r="2528">
      <c r="C2528" s="15" t="n">
        <v>42</v>
      </c>
      <c r="AA2528" s="15" t="n">
        <v>42</v>
      </c>
      <c r="AW2528" s="15" t="n">
        <v>42</v>
      </c>
      <c r="BS2528" s="15" t="n">
        <v>42</v>
      </c>
      <c r="CO2528" s="15" t="n">
        <v>42</v>
      </c>
      <c r="DK2528" s="15" t="n">
        <v>42</v>
      </c>
      <c r="EG2528" s="15" t="n">
        <v>42</v>
      </c>
      <c r="FC2528" s="15" t="n">
        <v>42</v>
      </c>
      <c r="FY2528" s="15" t="n">
        <v>42</v>
      </c>
      <c r="GU2528" s="15" t="n">
        <v>42</v>
      </c>
    </row>
    <row r="2529">
      <c r="C2529" s="15" t="n">
        <v>43</v>
      </c>
      <c r="AA2529" s="15" t="n">
        <v>43</v>
      </c>
      <c r="AW2529" s="15" t="n">
        <v>43</v>
      </c>
      <c r="BS2529" s="15" t="n">
        <v>43</v>
      </c>
      <c r="CO2529" s="15" t="n">
        <v>43</v>
      </c>
      <c r="DK2529" s="15" t="n">
        <v>43</v>
      </c>
      <c r="EG2529" s="15" t="n">
        <v>43</v>
      </c>
      <c r="FC2529" s="15" t="n">
        <v>43</v>
      </c>
      <c r="FY2529" s="15" t="n">
        <v>43</v>
      </c>
      <c r="GU2529" s="15" t="n">
        <v>43</v>
      </c>
    </row>
    <row r="2530">
      <c r="C2530" s="15" t="n">
        <v>44</v>
      </c>
      <c r="AA2530" s="15" t="n">
        <v>44</v>
      </c>
      <c r="AW2530" s="15" t="n">
        <v>44</v>
      </c>
      <c r="BS2530" s="15" t="n">
        <v>44</v>
      </c>
      <c r="CO2530" s="15" t="n">
        <v>44</v>
      </c>
      <c r="DK2530" s="15" t="n">
        <v>44</v>
      </c>
      <c r="EG2530" s="15" t="n">
        <v>44</v>
      </c>
      <c r="FC2530" s="15" t="n">
        <v>44</v>
      </c>
      <c r="FY2530" s="15" t="n">
        <v>44</v>
      </c>
      <c r="GU2530" s="15" t="n">
        <v>44</v>
      </c>
    </row>
    <row r="2531">
      <c r="C2531" s="15" t="n">
        <v>45</v>
      </c>
      <c r="AA2531" s="15" t="n">
        <v>45</v>
      </c>
      <c r="AW2531" s="15" t="n">
        <v>45</v>
      </c>
      <c r="BS2531" s="15" t="n">
        <v>45</v>
      </c>
      <c r="CO2531" s="15" t="n">
        <v>45</v>
      </c>
      <c r="DK2531" s="15" t="n">
        <v>45</v>
      </c>
      <c r="EG2531" s="15" t="n">
        <v>45</v>
      </c>
      <c r="FC2531" s="15" t="n">
        <v>45</v>
      </c>
      <c r="FY2531" s="15" t="n">
        <v>45</v>
      </c>
      <c r="GU2531" s="15" t="n">
        <v>45</v>
      </c>
    </row>
    <row r="2532">
      <c r="C2532" s="15" t="n">
        <v>46</v>
      </c>
      <c r="AA2532" s="15" t="n">
        <v>46</v>
      </c>
      <c r="AW2532" s="15" t="n">
        <v>46</v>
      </c>
      <c r="BS2532" s="15" t="n">
        <v>46</v>
      </c>
      <c r="CO2532" s="15" t="n">
        <v>46</v>
      </c>
      <c r="DK2532" s="15" t="n">
        <v>46</v>
      </c>
      <c r="EG2532" s="15" t="n">
        <v>46</v>
      </c>
      <c r="FC2532" s="15" t="n">
        <v>46</v>
      </c>
      <c r="FY2532" s="15" t="n">
        <v>46</v>
      </c>
      <c r="GU2532" s="15" t="n">
        <v>46</v>
      </c>
    </row>
    <row r="2533">
      <c r="C2533" s="15" t="n">
        <v>47</v>
      </c>
      <c r="AA2533" s="15" t="n">
        <v>47</v>
      </c>
      <c r="AW2533" s="15" t="n">
        <v>47</v>
      </c>
      <c r="BS2533" s="15" t="n">
        <v>47</v>
      </c>
      <c r="CO2533" s="15" t="n">
        <v>47</v>
      </c>
      <c r="DK2533" s="15" t="n">
        <v>47</v>
      </c>
      <c r="EG2533" s="15" t="n">
        <v>47</v>
      </c>
      <c r="FC2533" s="15" t="n">
        <v>47</v>
      </c>
      <c r="FY2533" s="15" t="n">
        <v>47</v>
      </c>
      <c r="GU2533" s="15" t="n">
        <v>47</v>
      </c>
    </row>
    <row r="2534">
      <c r="C2534" s="15" t="n">
        <v>48</v>
      </c>
      <c r="AA2534" s="15" t="n">
        <v>48</v>
      </c>
      <c r="AW2534" s="15" t="n">
        <v>48</v>
      </c>
      <c r="BS2534" s="15" t="n">
        <v>48</v>
      </c>
      <c r="CO2534" s="15" t="n">
        <v>48</v>
      </c>
      <c r="DK2534" s="15" t="n">
        <v>48</v>
      </c>
      <c r="EG2534" s="15" t="n">
        <v>48</v>
      </c>
      <c r="FC2534" s="15" t="n">
        <v>48</v>
      </c>
      <c r="FY2534" s="15" t="n">
        <v>48</v>
      </c>
      <c r="GU2534" s="15" t="n">
        <v>48</v>
      </c>
    </row>
    <row r="2535">
      <c r="C2535" s="15" t="n">
        <v>49</v>
      </c>
      <c r="AA2535" s="15" t="n">
        <v>49</v>
      </c>
      <c r="AW2535" s="15" t="n">
        <v>49</v>
      </c>
      <c r="BS2535" s="15" t="n">
        <v>49</v>
      </c>
      <c r="CO2535" s="15" t="n">
        <v>49</v>
      </c>
      <c r="DK2535" s="15" t="n">
        <v>49</v>
      </c>
      <c r="EG2535" s="15" t="n">
        <v>49</v>
      </c>
      <c r="FC2535" s="15" t="n">
        <v>49</v>
      </c>
      <c r="FY2535" s="15" t="n">
        <v>49</v>
      </c>
      <c r="GU2535" s="15" t="n">
        <v>49</v>
      </c>
    </row>
    <row r="2536">
      <c r="C2536" s="15" t="n">
        <v>50</v>
      </c>
      <c r="AA2536" s="15" t="n">
        <v>50</v>
      </c>
      <c r="AW2536" s="15" t="n">
        <v>50</v>
      </c>
      <c r="BS2536" s="15" t="n">
        <v>50</v>
      </c>
      <c r="CO2536" s="15" t="n">
        <v>50</v>
      </c>
      <c r="DK2536" s="15" t="n">
        <v>50</v>
      </c>
      <c r="EG2536" s="15" t="n">
        <v>50</v>
      </c>
      <c r="FC2536" s="15" t="n">
        <v>50</v>
      </c>
      <c r="FY2536" s="15" t="n">
        <v>50</v>
      </c>
      <c r="GU2536" s="15" t="n">
        <v>50</v>
      </c>
    </row>
    <row r="2537">
      <c r="C2537" s="15" t="n">
        <v>51</v>
      </c>
      <c r="AA2537" s="15" t="n">
        <v>51</v>
      </c>
      <c r="AW2537" s="15" t="n">
        <v>51</v>
      </c>
      <c r="BS2537" s="15" t="n">
        <v>51</v>
      </c>
      <c r="CO2537" s="15" t="n">
        <v>51</v>
      </c>
      <c r="DK2537" s="15" t="n">
        <v>51</v>
      </c>
      <c r="EG2537" s="15" t="n">
        <v>51</v>
      </c>
      <c r="FC2537" s="15" t="n">
        <v>51</v>
      </c>
      <c r="FY2537" s="15" t="n">
        <v>51</v>
      </c>
      <c r="GU2537" s="15" t="n">
        <v>51</v>
      </c>
    </row>
    <row r="2538">
      <c r="C2538" s="15" t="n">
        <v>52</v>
      </c>
      <c r="AA2538" s="15" t="n">
        <v>52</v>
      </c>
      <c r="AW2538" s="15" t="n">
        <v>52</v>
      </c>
      <c r="BS2538" s="15" t="n">
        <v>52</v>
      </c>
      <c r="CO2538" s="15" t="n">
        <v>52</v>
      </c>
      <c r="DK2538" s="15" t="n">
        <v>52</v>
      </c>
      <c r="EG2538" s="15" t="n">
        <v>52</v>
      </c>
      <c r="FC2538" s="15" t="n">
        <v>52</v>
      </c>
      <c r="FY2538" s="15" t="n">
        <v>52</v>
      </c>
      <c r="GU2538" s="15" t="n">
        <v>52</v>
      </c>
    </row>
    <row r="2539">
      <c r="C2539" s="15" t="n">
        <v>53</v>
      </c>
      <c r="AA2539" s="15" t="n">
        <v>53</v>
      </c>
      <c r="AW2539" s="15" t="n">
        <v>53</v>
      </c>
      <c r="BS2539" s="15" t="n">
        <v>53</v>
      </c>
      <c r="CO2539" s="15" t="n">
        <v>53</v>
      </c>
      <c r="DK2539" s="15" t="n">
        <v>53</v>
      </c>
      <c r="EG2539" s="15" t="n">
        <v>53</v>
      </c>
      <c r="FC2539" s="15" t="n">
        <v>53</v>
      </c>
      <c r="FY2539" s="15" t="n">
        <v>53</v>
      </c>
      <c r="GU2539" s="15" t="n">
        <v>53</v>
      </c>
    </row>
    <row r="2540">
      <c r="C2540" s="15" t="n">
        <v>54</v>
      </c>
      <c r="AA2540" s="15" t="n">
        <v>54</v>
      </c>
      <c r="AW2540" s="15" t="n">
        <v>54</v>
      </c>
      <c r="BS2540" s="15" t="n">
        <v>54</v>
      </c>
      <c r="CO2540" s="15" t="n">
        <v>54</v>
      </c>
      <c r="DK2540" s="15" t="n">
        <v>54</v>
      </c>
      <c r="EG2540" s="15" t="n">
        <v>54</v>
      </c>
      <c r="FC2540" s="15" t="n">
        <v>54</v>
      </c>
      <c r="FY2540" s="15" t="n">
        <v>54</v>
      </c>
      <c r="GU2540" s="15" t="n">
        <v>54</v>
      </c>
    </row>
    <row r="2541">
      <c r="C2541" s="15" t="n">
        <v>55</v>
      </c>
      <c r="AA2541" s="15" t="n">
        <v>55</v>
      </c>
      <c r="AW2541" s="15" t="n">
        <v>55</v>
      </c>
      <c r="BS2541" s="15" t="n">
        <v>55</v>
      </c>
      <c r="CO2541" s="15" t="n">
        <v>55</v>
      </c>
      <c r="DK2541" s="15" t="n">
        <v>55</v>
      </c>
      <c r="EG2541" s="15" t="n">
        <v>55</v>
      </c>
      <c r="FC2541" s="15" t="n">
        <v>55</v>
      </c>
      <c r="FY2541" s="15" t="n">
        <v>55</v>
      </c>
      <c r="GU2541" s="15" t="n">
        <v>55</v>
      </c>
    </row>
    <row r="2542">
      <c r="C2542" s="15" t="n">
        <v>56</v>
      </c>
      <c r="AA2542" s="15" t="n">
        <v>56</v>
      </c>
      <c r="AW2542" s="15" t="n">
        <v>56</v>
      </c>
      <c r="BS2542" s="15" t="n">
        <v>56</v>
      </c>
      <c r="CO2542" s="15" t="n">
        <v>56</v>
      </c>
      <c r="DK2542" s="15" t="n">
        <v>56</v>
      </c>
      <c r="EG2542" s="15" t="n">
        <v>56</v>
      </c>
      <c r="FC2542" s="15" t="n">
        <v>56</v>
      </c>
      <c r="FY2542" s="15" t="n">
        <v>56</v>
      </c>
      <c r="GU2542" s="15" t="n">
        <v>56</v>
      </c>
    </row>
    <row r="2543">
      <c r="C2543" s="15" t="n">
        <v>57</v>
      </c>
      <c r="AA2543" s="15" t="n">
        <v>57</v>
      </c>
      <c r="AW2543" s="15" t="n">
        <v>57</v>
      </c>
      <c r="BS2543" s="15" t="n">
        <v>57</v>
      </c>
      <c r="CO2543" s="15" t="n">
        <v>57</v>
      </c>
      <c r="DK2543" s="15" t="n">
        <v>57</v>
      </c>
      <c r="EG2543" s="15" t="n">
        <v>57</v>
      </c>
      <c r="FC2543" s="15" t="n">
        <v>57</v>
      </c>
      <c r="FY2543" s="15" t="n">
        <v>57</v>
      </c>
      <c r="GU2543" s="15" t="n">
        <v>57</v>
      </c>
    </row>
    <row r="2544">
      <c r="C2544" s="15" t="n">
        <v>58</v>
      </c>
      <c r="AA2544" s="15" t="n">
        <v>58</v>
      </c>
      <c r="AW2544" s="15" t="n">
        <v>58</v>
      </c>
      <c r="BS2544" s="15" t="n">
        <v>58</v>
      </c>
      <c r="CO2544" s="15" t="n">
        <v>58</v>
      </c>
      <c r="DK2544" s="15" t="n">
        <v>58</v>
      </c>
      <c r="EG2544" s="15" t="n">
        <v>58</v>
      </c>
      <c r="FC2544" s="15" t="n">
        <v>58</v>
      </c>
      <c r="FY2544" s="15" t="n">
        <v>58</v>
      </c>
      <c r="GU2544" s="15" t="n">
        <v>58</v>
      </c>
    </row>
    <row r="2545">
      <c r="C2545" s="15" t="n">
        <v>59</v>
      </c>
      <c r="AA2545" s="15" t="n">
        <v>59</v>
      </c>
      <c r="AW2545" s="15" t="n">
        <v>59</v>
      </c>
      <c r="BS2545" s="15" t="n">
        <v>59</v>
      </c>
      <c r="CO2545" s="15" t="n">
        <v>59</v>
      </c>
      <c r="DK2545" s="15" t="n">
        <v>59</v>
      </c>
      <c r="EG2545" s="15" t="n">
        <v>59</v>
      </c>
      <c r="FC2545" s="15" t="n">
        <v>59</v>
      </c>
      <c r="FY2545" s="15" t="n">
        <v>59</v>
      </c>
      <c r="GU2545" s="15" t="n">
        <v>59</v>
      </c>
    </row>
    <row r="2546">
      <c r="C2546" s="15" t="n">
        <v>60</v>
      </c>
      <c r="AA2546" s="15" t="n">
        <v>60</v>
      </c>
      <c r="AW2546" s="15" t="n">
        <v>60</v>
      </c>
      <c r="BS2546" s="15" t="n">
        <v>60</v>
      </c>
      <c r="CO2546" s="15" t="n">
        <v>60</v>
      </c>
      <c r="DK2546" s="15" t="n">
        <v>60</v>
      </c>
      <c r="EG2546" s="15" t="n">
        <v>60</v>
      </c>
      <c r="FC2546" s="15" t="n">
        <v>60</v>
      </c>
      <c r="FY2546" s="15" t="n">
        <v>60</v>
      </c>
      <c r="GU2546" s="15" t="n">
        <v>60</v>
      </c>
    </row>
    <row r="2547">
      <c r="C2547" s="15" t="n">
        <v>61</v>
      </c>
      <c r="AA2547" s="15" t="n">
        <v>61</v>
      </c>
      <c r="AW2547" s="15" t="n">
        <v>61</v>
      </c>
      <c r="BS2547" s="15" t="n">
        <v>61</v>
      </c>
      <c r="CO2547" s="15" t="n">
        <v>61</v>
      </c>
      <c r="DK2547" s="15" t="n">
        <v>61</v>
      </c>
      <c r="EG2547" s="15" t="n">
        <v>61</v>
      </c>
      <c r="FC2547" s="15" t="n">
        <v>61</v>
      </c>
      <c r="FY2547" s="15" t="n">
        <v>61</v>
      </c>
      <c r="GU2547" s="15" t="n">
        <v>61</v>
      </c>
    </row>
    <row r="2548">
      <c r="C2548" s="15" t="n">
        <v>62</v>
      </c>
      <c r="AA2548" s="15" t="n">
        <v>62</v>
      </c>
      <c r="AW2548" s="15" t="n">
        <v>62</v>
      </c>
      <c r="BS2548" s="15" t="n">
        <v>62</v>
      </c>
      <c r="CO2548" s="15" t="n">
        <v>62</v>
      </c>
      <c r="DK2548" s="15" t="n">
        <v>62</v>
      </c>
      <c r="EG2548" s="15" t="n">
        <v>62</v>
      </c>
      <c r="FC2548" s="15" t="n">
        <v>62</v>
      </c>
      <c r="FY2548" s="15" t="n">
        <v>62</v>
      </c>
      <c r="GU2548" s="15" t="n">
        <v>62</v>
      </c>
    </row>
    <row r="2549">
      <c r="C2549" s="15" t="n">
        <v>63</v>
      </c>
      <c r="AA2549" s="15" t="n">
        <v>63</v>
      </c>
      <c r="AW2549" s="15" t="n">
        <v>63</v>
      </c>
      <c r="BS2549" s="15" t="n">
        <v>63</v>
      </c>
      <c r="CO2549" s="15" t="n">
        <v>63</v>
      </c>
      <c r="DK2549" s="15" t="n">
        <v>63</v>
      </c>
      <c r="EG2549" s="15" t="n">
        <v>63</v>
      </c>
      <c r="FC2549" s="15" t="n">
        <v>63</v>
      </c>
      <c r="FY2549" s="15" t="n">
        <v>63</v>
      </c>
      <c r="GU2549" s="15" t="n">
        <v>63</v>
      </c>
    </row>
    <row r="2550">
      <c r="C2550" s="15" t="n">
        <v>64</v>
      </c>
      <c r="AA2550" s="15" t="n">
        <v>64</v>
      </c>
      <c r="AW2550" s="15" t="n">
        <v>64</v>
      </c>
      <c r="BS2550" s="15" t="n">
        <v>64</v>
      </c>
      <c r="CO2550" s="15" t="n">
        <v>64</v>
      </c>
      <c r="DK2550" s="15" t="n">
        <v>64</v>
      </c>
      <c r="EG2550" s="15" t="n">
        <v>64</v>
      </c>
      <c r="FC2550" s="15" t="n">
        <v>64</v>
      </c>
      <c r="FY2550" s="15" t="n">
        <v>64</v>
      </c>
      <c r="GU2550" s="15" t="n">
        <v>64</v>
      </c>
    </row>
    <row r="2551">
      <c r="C2551" s="15" t="n">
        <v>65</v>
      </c>
      <c r="AA2551" s="15" t="n">
        <v>65</v>
      </c>
      <c r="AW2551" s="15" t="n">
        <v>65</v>
      </c>
      <c r="BS2551" s="15" t="n">
        <v>65</v>
      </c>
      <c r="CO2551" s="15" t="n">
        <v>65</v>
      </c>
      <c r="DK2551" s="15" t="n">
        <v>65</v>
      </c>
      <c r="EG2551" s="15" t="n">
        <v>65</v>
      </c>
      <c r="FC2551" s="15" t="n">
        <v>65</v>
      </c>
      <c r="FY2551" s="15" t="n">
        <v>65</v>
      </c>
      <c r="GU2551" s="15" t="n">
        <v>65</v>
      </c>
    </row>
    <row r="2552">
      <c r="C2552" s="15" t="n">
        <v>66</v>
      </c>
      <c r="AA2552" s="15" t="n">
        <v>66</v>
      </c>
      <c r="AW2552" s="15" t="n">
        <v>66</v>
      </c>
      <c r="BS2552" s="15" t="n">
        <v>66</v>
      </c>
      <c r="CO2552" s="15" t="n">
        <v>66</v>
      </c>
      <c r="DK2552" s="15" t="n">
        <v>66</v>
      </c>
      <c r="EG2552" s="15" t="n">
        <v>66</v>
      </c>
      <c r="FC2552" s="15" t="n">
        <v>66</v>
      </c>
      <c r="FY2552" s="15" t="n">
        <v>66</v>
      </c>
      <c r="GU2552" s="15" t="n">
        <v>66</v>
      </c>
    </row>
    <row r="2553">
      <c r="C2553" s="15" t="n">
        <v>67</v>
      </c>
      <c r="AA2553" s="15" t="n">
        <v>67</v>
      </c>
      <c r="AW2553" s="15" t="n">
        <v>67</v>
      </c>
      <c r="BS2553" s="15" t="n">
        <v>67</v>
      </c>
      <c r="CO2553" s="15" t="n">
        <v>67</v>
      </c>
      <c r="DK2553" s="15" t="n">
        <v>67</v>
      </c>
      <c r="EG2553" s="15" t="n">
        <v>67</v>
      </c>
      <c r="FC2553" s="15" t="n">
        <v>67</v>
      </c>
      <c r="FY2553" s="15" t="n">
        <v>67</v>
      </c>
      <c r="GU2553" s="15" t="n">
        <v>67</v>
      </c>
    </row>
    <row r="2554">
      <c r="C2554" s="15" t="n">
        <v>68</v>
      </c>
      <c r="AA2554" s="15" t="n">
        <v>68</v>
      </c>
      <c r="AW2554" s="15" t="n">
        <v>68</v>
      </c>
      <c r="BS2554" s="15" t="n">
        <v>68</v>
      </c>
      <c r="CO2554" s="15" t="n">
        <v>68</v>
      </c>
      <c r="DK2554" s="15" t="n">
        <v>68</v>
      </c>
      <c r="EG2554" s="15" t="n">
        <v>68</v>
      </c>
      <c r="FC2554" s="15" t="n">
        <v>68</v>
      </c>
      <c r="FY2554" s="15" t="n">
        <v>68</v>
      </c>
      <c r="GU2554" s="15" t="n">
        <v>68</v>
      </c>
    </row>
    <row r="2555">
      <c r="C2555" s="15" t="n">
        <v>69</v>
      </c>
      <c r="AA2555" s="15" t="n">
        <v>69</v>
      </c>
      <c r="AW2555" s="15" t="n">
        <v>69</v>
      </c>
      <c r="BS2555" s="15" t="n">
        <v>69</v>
      </c>
      <c r="CO2555" s="15" t="n">
        <v>69</v>
      </c>
      <c r="DK2555" s="15" t="n">
        <v>69</v>
      </c>
      <c r="EG2555" s="15" t="n">
        <v>69</v>
      </c>
      <c r="FC2555" s="15" t="n">
        <v>69</v>
      </c>
      <c r="FY2555" s="15" t="n">
        <v>69</v>
      </c>
      <c r="GU2555" s="15" t="n">
        <v>69</v>
      </c>
    </row>
    <row r="2556">
      <c r="C2556" s="15" t="n">
        <v>70</v>
      </c>
      <c r="AA2556" s="15" t="n">
        <v>70</v>
      </c>
      <c r="AW2556" s="15" t="n">
        <v>70</v>
      </c>
      <c r="BS2556" s="15" t="n">
        <v>70</v>
      </c>
      <c r="CO2556" s="15" t="n">
        <v>70</v>
      </c>
      <c r="DK2556" s="15" t="n">
        <v>70</v>
      </c>
      <c r="EG2556" s="15" t="n">
        <v>70</v>
      </c>
      <c r="FC2556" s="15" t="n">
        <v>70</v>
      </c>
      <c r="FY2556" s="15" t="n">
        <v>70</v>
      </c>
      <c r="GU2556" s="15" t="n">
        <v>70</v>
      </c>
    </row>
    <row r="2557">
      <c r="C2557" s="15" t="n">
        <v>71</v>
      </c>
      <c r="AA2557" s="15" t="n">
        <v>71</v>
      </c>
      <c r="AW2557" s="15" t="n">
        <v>71</v>
      </c>
      <c r="BS2557" s="15" t="n">
        <v>71</v>
      </c>
      <c r="CO2557" s="15" t="n">
        <v>71</v>
      </c>
      <c r="DK2557" s="15" t="n">
        <v>71</v>
      </c>
      <c r="EG2557" s="15" t="n">
        <v>71</v>
      </c>
      <c r="FC2557" s="15" t="n">
        <v>71</v>
      </c>
      <c r="FY2557" s="15" t="n">
        <v>71</v>
      </c>
      <c r="GU2557" s="15" t="n">
        <v>71</v>
      </c>
    </row>
    <row r="2558">
      <c r="C2558" s="15" t="n">
        <v>72</v>
      </c>
      <c r="AA2558" s="15" t="n">
        <v>72</v>
      </c>
      <c r="AW2558" s="15" t="n">
        <v>72</v>
      </c>
      <c r="BS2558" s="15" t="n">
        <v>72</v>
      </c>
      <c r="CO2558" s="15" t="n">
        <v>72</v>
      </c>
      <c r="DK2558" s="15" t="n">
        <v>72</v>
      </c>
      <c r="EG2558" s="15" t="n">
        <v>72</v>
      </c>
      <c r="FC2558" s="15" t="n">
        <v>72</v>
      </c>
      <c r="FY2558" s="15" t="n">
        <v>72</v>
      </c>
      <c r="GU2558" s="15" t="n">
        <v>72</v>
      </c>
    </row>
    <row r="2559">
      <c r="C2559" s="15" t="n">
        <v>73</v>
      </c>
      <c r="AA2559" s="15" t="n">
        <v>73</v>
      </c>
      <c r="AW2559" s="15" t="n">
        <v>73</v>
      </c>
      <c r="BS2559" s="15" t="n">
        <v>73</v>
      </c>
      <c r="CO2559" s="15" t="n">
        <v>73</v>
      </c>
      <c r="DK2559" s="15" t="n">
        <v>73</v>
      </c>
      <c r="EG2559" s="15" t="n">
        <v>73</v>
      </c>
      <c r="FC2559" s="15" t="n">
        <v>73</v>
      </c>
      <c r="FY2559" s="15" t="n">
        <v>73</v>
      </c>
      <c r="GU2559" s="15" t="n">
        <v>73</v>
      </c>
    </row>
    <row r="2560">
      <c r="C2560" s="15" t="n">
        <v>74</v>
      </c>
      <c r="AA2560" s="15" t="n">
        <v>74</v>
      </c>
      <c r="AW2560" s="15" t="n">
        <v>74</v>
      </c>
      <c r="BS2560" s="15" t="n">
        <v>74</v>
      </c>
      <c r="CO2560" s="15" t="n">
        <v>74</v>
      </c>
      <c r="DK2560" s="15" t="n">
        <v>74</v>
      </c>
      <c r="EG2560" s="15" t="n">
        <v>74</v>
      </c>
      <c r="FC2560" s="15" t="n">
        <v>74</v>
      </c>
      <c r="FY2560" s="15" t="n">
        <v>74</v>
      </c>
      <c r="GU2560" s="15" t="n">
        <v>74</v>
      </c>
    </row>
    <row r="2561">
      <c r="C2561" s="15" t="n">
        <v>75</v>
      </c>
      <c r="AA2561" s="15" t="n">
        <v>75</v>
      </c>
      <c r="AW2561" s="15" t="n">
        <v>75</v>
      </c>
      <c r="BS2561" s="15" t="n">
        <v>75</v>
      </c>
      <c r="CO2561" s="15" t="n">
        <v>75</v>
      </c>
      <c r="DK2561" s="15" t="n">
        <v>75</v>
      </c>
      <c r="EG2561" s="15" t="n">
        <v>75</v>
      </c>
      <c r="FC2561" s="15" t="n">
        <v>75</v>
      </c>
      <c r="FY2561" s="15" t="n">
        <v>75</v>
      </c>
      <c r="GU2561" s="15" t="n">
        <v>75</v>
      </c>
    </row>
    <row r="2562">
      <c r="C2562" s="15" t="n">
        <v>76</v>
      </c>
      <c r="AA2562" s="15" t="n">
        <v>76</v>
      </c>
      <c r="AW2562" s="15" t="n">
        <v>76</v>
      </c>
      <c r="BS2562" s="15" t="n">
        <v>76</v>
      </c>
      <c r="CO2562" s="15" t="n">
        <v>76</v>
      </c>
      <c r="DK2562" s="15" t="n">
        <v>76</v>
      </c>
      <c r="EG2562" s="15" t="n">
        <v>76</v>
      </c>
      <c r="FC2562" s="15" t="n">
        <v>76</v>
      </c>
      <c r="FY2562" s="15" t="n">
        <v>76</v>
      </c>
      <c r="GU2562" s="15" t="n">
        <v>76</v>
      </c>
    </row>
    <row r="2563">
      <c r="C2563" s="15" t="n">
        <v>77</v>
      </c>
      <c r="AA2563" s="15" t="n">
        <v>77</v>
      </c>
      <c r="AW2563" s="15" t="n">
        <v>77</v>
      </c>
      <c r="BS2563" s="15" t="n">
        <v>77</v>
      </c>
      <c r="CO2563" s="15" t="n">
        <v>77</v>
      </c>
      <c r="DK2563" s="15" t="n">
        <v>77</v>
      </c>
      <c r="EG2563" s="15" t="n">
        <v>77</v>
      </c>
      <c r="FC2563" s="15" t="n">
        <v>77</v>
      </c>
      <c r="FY2563" s="15" t="n">
        <v>77</v>
      </c>
      <c r="GU2563" s="15" t="n">
        <v>77</v>
      </c>
    </row>
    <row r="2564">
      <c r="C2564" s="15" t="n">
        <v>78</v>
      </c>
      <c r="AA2564" s="15" t="n">
        <v>78</v>
      </c>
      <c r="AW2564" s="15" t="n">
        <v>78</v>
      </c>
      <c r="BS2564" s="15" t="n">
        <v>78</v>
      </c>
      <c r="CO2564" s="15" t="n">
        <v>78</v>
      </c>
      <c r="DK2564" s="15" t="n">
        <v>78</v>
      </c>
      <c r="EG2564" s="15" t="n">
        <v>78</v>
      </c>
      <c r="FC2564" s="15" t="n">
        <v>78</v>
      </c>
      <c r="FY2564" s="15" t="n">
        <v>78</v>
      </c>
      <c r="GU2564" s="15" t="n">
        <v>78</v>
      </c>
    </row>
    <row r="2565">
      <c r="C2565" s="15" t="n">
        <v>79</v>
      </c>
      <c r="AA2565" s="15" t="n">
        <v>79</v>
      </c>
      <c r="AW2565" s="15" t="n">
        <v>79</v>
      </c>
      <c r="BS2565" s="15" t="n">
        <v>79</v>
      </c>
      <c r="CO2565" s="15" t="n">
        <v>79</v>
      </c>
      <c r="DK2565" s="15" t="n">
        <v>79</v>
      </c>
      <c r="EG2565" s="15" t="n">
        <v>79</v>
      </c>
      <c r="FC2565" s="15" t="n">
        <v>79</v>
      </c>
      <c r="FY2565" s="15" t="n">
        <v>79</v>
      </c>
      <c r="GU2565" s="15" t="n">
        <v>79</v>
      </c>
    </row>
    <row r="2566">
      <c r="C2566" s="15" t="n">
        <v>80</v>
      </c>
      <c r="AA2566" s="15" t="n">
        <v>80</v>
      </c>
      <c r="AW2566" s="15" t="n">
        <v>80</v>
      </c>
      <c r="BS2566" s="15" t="n">
        <v>80</v>
      </c>
      <c r="CO2566" s="15" t="n">
        <v>80</v>
      </c>
      <c r="DK2566" s="15" t="n">
        <v>80</v>
      </c>
      <c r="EG2566" s="15" t="n">
        <v>80</v>
      </c>
      <c r="FC2566" s="15" t="n">
        <v>80</v>
      </c>
      <c r="FY2566" s="15" t="n">
        <v>80</v>
      </c>
      <c r="GU2566" s="15" t="n">
        <v>80</v>
      </c>
    </row>
    <row r="2567">
      <c r="C2567" s="15" t="n">
        <v>81</v>
      </c>
      <c r="AA2567" s="15" t="n">
        <v>81</v>
      </c>
      <c r="AW2567" s="15" t="n">
        <v>81</v>
      </c>
      <c r="BS2567" s="15" t="n">
        <v>81</v>
      </c>
      <c r="CO2567" s="15" t="n">
        <v>81</v>
      </c>
      <c r="DK2567" s="15" t="n">
        <v>81</v>
      </c>
      <c r="EG2567" s="15" t="n">
        <v>81</v>
      </c>
      <c r="FC2567" s="15" t="n">
        <v>81</v>
      </c>
      <c r="FY2567" s="15" t="n">
        <v>81</v>
      </c>
      <c r="GU2567" s="15" t="n">
        <v>81</v>
      </c>
    </row>
    <row r="2568">
      <c r="C2568" s="15" t="n">
        <v>82</v>
      </c>
      <c r="AA2568" s="15" t="n">
        <v>82</v>
      </c>
      <c r="AW2568" s="15" t="n">
        <v>82</v>
      </c>
      <c r="BS2568" s="15" t="n">
        <v>82</v>
      </c>
      <c r="CO2568" s="15" t="n">
        <v>82</v>
      </c>
      <c r="DK2568" s="15" t="n">
        <v>82</v>
      </c>
      <c r="EG2568" s="15" t="n">
        <v>82</v>
      </c>
      <c r="FC2568" s="15" t="n">
        <v>82</v>
      </c>
      <c r="FY2568" s="15" t="n">
        <v>82</v>
      </c>
      <c r="GU2568" s="15" t="n">
        <v>82</v>
      </c>
    </row>
    <row r="2569">
      <c r="C2569" s="15" t="n">
        <v>83</v>
      </c>
      <c r="AA2569" s="15" t="n">
        <v>83</v>
      </c>
      <c r="AW2569" s="15" t="n">
        <v>83</v>
      </c>
      <c r="BS2569" s="15" t="n">
        <v>83</v>
      </c>
      <c r="CO2569" s="15" t="n">
        <v>83</v>
      </c>
      <c r="DK2569" s="15" t="n">
        <v>83</v>
      </c>
      <c r="EG2569" s="15" t="n">
        <v>83</v>
      </c>
      <c r="FC2569" s="15" t="n">
        <v>83</v>
      </c>
      <c r="FY2569" s="15" t="n">
        <v>83</v>
      </c>
      <c r="GU2569" s="15" t="n">
        <v>83</v>
      </c>
    </row>
    <row r="2570">
      <c r="C2570" s="15" t="n">
        <v>84</v>
      </c>
      <c r="AA2570" s="15" t="n">
        <v>84</v>
      </c>
      <c r="AW2570" s="15" t="n">
        <v>84</v>
      </c>
      <c r="BS2570" s="15" t="n">
        <v>84</v>
      </c>
      <c r="CO2570" s="15" t="n">
        <v>84</v>
      </c>
      <c r="DK2570" s="15" t="n">
        <v>84</v>
      </c>
      <c r="EG2570" s="15" t="n">
        <v>84</v>
      </c>
      <c r="FC2570" s="15" t="n">
        <v>84</v>
      </c>
      <c r="FY2570" s="15" t="n">
        <v>84</v>
      </c>
      <c r="GU2570" s="15" t="n">
        <v>84</v>
      </c>
    </row>
    <row r="2571">
      <c r="C2571" s="15" t="n">
        <v>85</v>
      </c>
      <c r="AA2571" s="15" t="n">
        <v>85</v>
      </c>
      <c r="AW2571" s="15" t="n">
        <v>85</v>
      </c>
      <c r="BS2571" s="15" t="n">
        <v>85</v>
      </c>
      <c r="CO2571" s="15" t="n">
        <v>85</v>
      </c>
      <c r="DK2571" s="15" t="n">
        <v>85</v>
      </c>
      <c r="EG2571" s="15" t="n">
        <v>85</v>
      </c>
      <c r="FC2571" s="15" t="n">
        <v>85</v>
      </c>
      <c r="FY2571" s="15" t="n">
        <v>85</v>
      </c>
      <c r="GU2571" s="15" t="n">
        <v>85</v>
      </c>
    </row>
    <row r="2572">
      <c r="C2572" s="15" t="n">
        <v>86</v>
      </c>
      <c r="AA2572" s="15" t="n">
        <v>86</v>
      </c>
      <c r="AW2572" s="15" t="n">
        <v>86</v>
      </c>
      <c r="BS2572" s="15" t="n">
        <v>86</v>
      </c>
      <c r="CO2572" s="15" t="n">
        <v>86</v>
      </c>
      <c r="DK2572" s="15" t="n">
        <v>86</v>
      </c>
      <c r="EG2572" s="15" t="n">
        <v>86</v>
      </c>
      <c r="FC2572" s="15" t="n">
        <v>86</v>
      </c>
      <c r="FY2572" s="15" t="n">
        <v>86</v>
      </c>
      <c r="GU2572" s="15" t="n">
        <v>86</v>
      </c>
    </row>
    <row r="2573">
      <c r="C2573" s="15" t="n">
        <v>87</v>
      </c>
      <c r="AA2573" s="15" t="n">
        <v>87</v>
      </c>
      <c r="AW2573" s="15" t="n">
        <v>87</v>
      </c>
      <c r="BS2573" s="15" t="n">
        <v>87</v>
      </c>
      <c r="CO2573" s="15" t="n">
        <v>87</v>
      </c>
      <c r="DK2573" s="15" t="n">
        <v>87</v>
      </c>
      <c r="EG2573" s="15" t="n">
        <v>87</v>
      </c>
      <c r="FC2573" s="15" t="n">
        <v>87</v>
      </c>
      <c r="FY2573" s="15" t="n">
        <v>87</v>
      </c>
      <c r="GU2573" s="15" t="n">
        <v>87</v>
      </c>
    </row>
    <row r="2574">
      <c r="C2574" s="15" t="n">
        <v>88</v>
      </c>
      <c r="AA2574" s="15" t="n">
        <v>88</v>
      </c>
      <c r="AW2574" s="15" t="n">
        <v>88</v>
      </c>
      <c r="BS2574" s="15" t="n">
        <v>88</v>
      </c>
      <c r="CO2574" s="15" t="n">
        <v>88</v>
      </c>
      <c r="DK2574" s="15" t="n">
        <v>88</v>
      </c>
      <c r="EG2574" s="15" t="n">
        <v>88</v>
      </c>
      <c r="FC2574" s="15" t="n">
        <v>88</v>
      </c>
      <c r="FY2574" s="15" t="n">
        <v>88</v>
      </c>
      <c r="GU2574" s="15" t="n">
        <v>88</v>
      </c>
    </row>
    <row r="2575">
      <c r="C2575" s="15" t="n">
        <v>89</v>
      </c>
      <c r="AA2575" s="15" t="n">
        <v>89</v>
      </c>
      <c r="AW2575" s="15" t="n">
        <v>89</v>
      </c>
      <c r="BS2575" s="15" t="n">
        <v>89</v>
      </c>
      <c r="CO2575" s="15" t="n">
        <v>89</v>
      </c>
      <c r="DK2575" s="15" t="n">
        <v>89</v>
      </c>
      <c r="EG2575" s="15" t="n">
        <v>89</v>
      </c>
      <c r="FC2575" s="15" t="n">
        <v>89</v>
      </c>
      <c r="FY2575" s="15" t="n">
        <v>89</v>
      </c>
      <c r="GU2575" s="15" t="n">
        <v>89</v>
      </c>
    </row>
    <row r="2576">
      <c r="C2576" s="15" t="n">
        <v>90</v>
      </c>
      <c r="AA2576" s="15" t="n">
        <v>90</v>
      </c>
      <c r="AW2576" s="15" t="n">
        <v>90</v>
      </c>
      <c r="BS2576" s="15" t="n">
        <v>90</v>
      </c>
      <c r="CO2576" s="15" t="n">
        <v>90</v>
      </c>
      <c r="DK2576" s="15" t="n">
        <v>90</v>
      </c>
      <c r="EG2576" s="15" t="n">
        <v>90</v>
      </c>
      <c r="FC2576" s="15" t="n">
        <v>90</v>
      </c>
      <c r="FY2576" s="15" t="n">
        <v>90</v>
      </c>
      <c r="GU2576" s="15" t="n">
        <v>90</v>
      </c>
    </row>
    <row r="2577">
      <c r="C2577" s="15" t="n">
        <v>91</v>
      </c>
      <c r="AA2577" s="15" t="n">
        <v>91</v>
      </c>
      <c r="AW2577" s="15" t="n">
        <v>91</v>
      </c>
      <c r="BS2577" s="15" t="n">
        <v>91</v>
      </c>
      <c r="CO2577" s="15" t="n">
        <v>91</v>
      </c>
      <c r="DK2577" s="15" t="n">
        <v>91</v>
      </c>
      <c r="EG2577" s="15" t="n">
        <v>91</v>
      </c>
      <c r="FC2577" s="15" t="n">
        <v>91</v>
      </c>
      <c r="FY2577" s="15" t="n">
        <v>91</v>
      </c>
      <c r="GU2577" s="15" t="n">
        <v>91</v>
      </c>
    </row>
    <row r="2578">
      <c r="C2578" s="15" t="n">
        <v>92</v>
      </c>
      <c r="AA2578" s="15" t="n">
        <v>92</v>
      </c>
      <c r="AW2578" s="15" t="n">
        <v>92</v>
      </c>
      <c r="BS2578" s="15" t="n">
        <v>92</v>
      </c>
      <c r="CO2578" s="15" t="n">
        <v>92</v>
      </c>
      <c r="DK2578" s="15" t="n">
        <v>92</v>
      </c>
      <c r="EG2578" s="15" t="n">
        <v>92</v>
      </c>
      <c r="FC2578" s="15" t="n">
        <v>92</v>
      </c>
      <c r="FY2578" s="15" t="n">
        <v>92</v>
      </c>
      <c r="GU2578" s="15" t="n">
        <v>92</v>
      </c>
    </row>
    <row r="2579">
      <c r="C2579" s="15" t="n">
        <v>93</v>
      </c>
      <c r="AA2579" s="15" t="n">
        <v>93</v>
      </c>
      <c r="AW2579" s="15" t="n">
        <v>93</v>
      </c>
      <c r="BS2579" s="15" t="n">
        <v>93</v>
      </c>
      <c r="CO2579" s="15" t="n">
        <v>93</v>
      </c>
      <c r="DK2579" s="15" t="n">
        <v>93</v>
      </c>
      <c r="EG2579" s="15" t="n">
        <v>93</v>
      </c>
      <c r="FC2579" s="15" t="n">
        <v>93</v>
      </c>
      <c r="FY2579" s="15" t="n">
        <v>93</v>
      </c>
      <c r="GU2579" s="15" t="n">
        <v>93</v>
      </c>
    </row>
    <row r="2580">
      <c r="C2580" s="15" t="n">
        <v>94</v>
      </c>
      <c r="AA2580" s="15" t="n">
        <v>94</v>
      </c>
      <c r="AW2580" s="15" t="n">
        <v>94</v>
      </c>
      <c r="BS2580" s="15" t="n">
        <v>94</v>
      </c>
      <c r="CO2580" s="15" t="n">
        <v>94</v>
      </c>
      <c r="DK2580" s="15" t="n">
        <v>94</v>
      </c>
      <c r="EG2580" s="15" t="n">
        <v>94</v>
      </c>
      <c r="FC2580" s="15" t="n">
        <v>94</v>
      </c>
      <c r="FY2580" s="15" t="n">
        <v>94</v>
      </c>
      <c r="GU2580" s="15" t="n">
        <v>94</v>
      </c>
    </row>
    <row r="2581">
      <c r="C2581" s="15" t="n">
        <v>95</v>
      </c>
      <c r="AA2581" s="15" t="n">
        <v>95</v>
      </c>
      <c r="AW2581" s="15" t="n">
        <v>95</v>
      </c>
      <c r="BS2581" s="15" t="n">
        <v>95</v>
      </c>
      <c r="CO2581" s="15" t="n">
        <v>95</v>
      </c>
      <c r="DK2581" s="15" t="n">
        <v>95</v>
      </c>
      <c r="EG2581" s="15" t="n">
        <v>95</v>
      </c>
      <c r="FC2581" s="15" t="n">
        <v>95</v>
      </c>
      <c r="FY2581" s="15" t="n">
        <v>95</v>
      </c>
      <c r="GU2581" s="15" t="n">
        <v>95</v>
      </c>
    </row>
    <row r="2582">
      <c r="C2582" s="15" t="n">
        <v>96</v>
      </c>
      <c r="AA2582" s="15" t="n">
        <v>96</v>
      </c>
      <c r="AW2582" s="15" t="n">
        <v>96</v>
      </c>
      <c r="BS2582" s="15" t="n">
        <v>96</v>
      </c>
      <c r="CO2582" s="15" t="n">
        <v>96</v>
      </c>
      <c r="DK2582" s="15" t="n">
        <v>96</v>
      </c>
      <c r="EG2582" s="15" t="n">
        <v>96</v>
      </c>
      <c r="FC2582" s="15" t="n">
        <v>96</v>
      </c>
      <c r="FY2582" s="15" t="n">
        <v>96</v>
      </c>
      <c r="GU2582" s="15" t="n">
        <v>96</v>
      </c>
    </row>
    <row r="2583">
      <c r="C2583" s="15" t="n">
        <v>97</v>
      </c>
      <c r="AA2583" s="15" t="n">
        <v>97</v>
      </c>
      <c r="AW2583" s="15" t="n">
        <v>97</v>
      </c>
      <c r="BS2583" s="15" t="n">
        <v>97</v>
      </c>
      <c r="CO2583" s="15" t="n">
        <v>97</v>
      </c>
      <c r="DK2583" s="15" t="n">
        <v>97</v>
      </c>
      <c r="EG2583" s="15" t="n">
        <v>97</v>
      </c>
      <c r="FC2583" s="15" t="n">
        <v>97</v>
      </c>
      <c r="FY2583" s="15" t="n">
        <v>97</v>
      </c>
      <c r="GU2583" s="15" t="n">
        <v>97</v>
      </c>
    </row>
    <row r="2584">
      <c r="C2584" s="15" t="n">
        <v>98</v>
      </c>
      <c r="AA2584" s="15" t="n">
        <v>98</v>
      </c>
      <c r="AW2584" s="15" t="n">
        <v>98</v>
      </c>
      <c r="BS2584" s="15" t="n">
        <v>98</v>
      </c>
      <c r="CO2584" s="15" t="n">
        <v>98</v>
      </c>
      <c r="DK2584" s="15" t="n">
        <v>98</v>
      </c>
      <c r="EG2584" s="15" t="n">
        <v>98</v>
      </c>
      <c r="FC2584" s="15" t="n">
        <v>98</v>
      </c>
      <c r="FY2584" s="15" t="n">
        <v>98</v>
      </c>
      <c r="GU2584" s="15" t="n">
        <v>98</v>
      </c>
    </row>
    <row r="2585">
      <c r="C2585" s="15" t="n">
        <v>99</v>
      </c>
      <c r="AA2585" s="15" t="n">
        <v>99</v>
      </c>
      <c r="AW2585" s="15" t="n">
        <v>99</v>
      </c>
      <c r="BS2585" s="15" t="n">
        <v>99</v>
      </c>
      <c r="CO2585" s="15" t="n">
        <v>99</v>
      </c>
      <c r="DK2585" s="15" t="n">
        <v>99</v>
      </c>
      <c r="EG2585" s="15" t="n">
        <v>99</v>
      </c>
      <c r="FC2585" s="15" t="n">
        <v>99</v>
      </c>
      <c r="FY2585" s="15" t="n">
        <v>99</v>
      </c>
      <c r="GU2585" s="15" t="n">
        <v>99</v>
      </c>
    </row>
    <row r="2586">
      <c r="C2586" s="15" t="n">
        <v>100</v>
      </c>
      <c r="AA2586" s="15" t="n">
        <v>100</v>
      </c>
      <c r="AW2586" s="15" t="n">
        <v>100</v>
      </c>
      <c r="BS2586" s="15" t="n">
        <v>100</v>
      </c>
      <c r="CO2586" s="15" t="n">
        <v>100</v>
      </c>
      <c r="DK2586" s="15" t="n">
        <v>100</v>
      </c>
      <c r="EG2586" s="15" t="n">
        <v>100</v>
      </c>
      <c r="FC2586" s="15" t="n">
        <v>100</v>
      </c>
      <c r="FY2586" s="15" t="n">
        <v>100</v>
      </c>
      <c r="GU2586" s="15" t="n">
        <v>100</v>
      </c>
    </row>
    <row r="2587">
      <c r="C2587" s="15" t="n">
        <v>101</v>
      </c>
      <c r="AA2587" s="15" t="n">
        <v>101</v>
      </c>
      <c r="AW2587" s="15" t="n">
        <v>101</v>
      </c>
      <c r="BS2587" s="15" t="n">
        <v>101</v>
      </c>
      <c r="CO2587" s="15" t="n">
        <v>101</v>
      </c>
      <c r="DK2587" s="15" t="n">
        <v>101</v>
      </c>
      <c r="EG2587" s="15" t="n">
        <v>101</v>
      </c>
      <c r="FC2587" s="15" t="n">
        <v>101</v>
      </c>
      <c r="FY2587" s="15" t="n">
        <v>101</v>
      </c>
      <c r="GU2587" s="15" t="n">
        <v>101</v>
      </c>
    </row>
    <row r="2588">
      <c r="C2588" s="15" t="n">
        <v>102</v>
      </c>
      <c r="AA2588" s="15" t="n">
        <v>102</v>
      </c>
      <c r="AW2588" s="15" t="n">
        <v>102</v>
      </c>
      <c r="BS2588" s="15" t="n">
        <v>102</v>
      </c>
      <c r="CO2588" s="15" t="n">
        <v>102</v>
      </c>
      <c r="DK2588" s="15" t="n">
        <v>102</v>
      </c>
      <c r="EG2588" s="15" t="n">
        <v>102</v>
      </c>
      <c r="FC2588" s="15" t="n">
        <v>102</v>
      </c>
      <c r="FY2588" s="15" t="n">
        <v>102</v>
      </c>
      <c r="GU2588" s="15" t="n">
        <v>102</v>
      </c>
    </row>
    <row r="2589">
      <c r="C2589" s="15" t="n">
        <v>103</v>
      </c>
      <c r="AA2589" s="15" t="n">
        <v>103</v>
      </c>
      <c r="AW2589" s="15" t="n">
        <v>103</v>
      </c>
      <c r="BS2589" s="15" t="n">
        <v>103</v>
      </c>
      <c r="CO2589" s="15" t="n">
        <v>103</v>
      </c>
      <c r="DK2589" s="15" t="n">
        <v>103</v>
      </c>
      <c r="EG2589" s="15" t="n">
        <v>103</v>
      </c>
      <c r="FC2589" s="15" t="n">
        <v>103</v>
      </c>
      <c r="FY2589" s="15" t="n">
        <v>103</v>
      </c>
      <c r="GU2589" s="15" t="n">
        <v>103</v>
      </c>
    </row>
    <row r="2590">
      <c r="C2590" s="15" t="n">
        <v>104</v>
      </c>
      <c r="AA2590" s="15" t="n">
        <v>104</v>
      </c>
      <c r="AW2590" s="15" t="n">
        <v>104</v>
      </c>
      <c r="BS2590" s="15" t="n">
        <v>104</v>
      </c>
      <c r="CO2590" s="15" t="n">
        <v>104</v>
      </c>
      <c r="DK2590" s="15" t="n">
        <v>104</v>
      </c>
      <c r="EG2590" s="15" t="n">
        <v>104</v>
      </c>
      <c r="FC2590" s="15" t="n">
        <v>104</v>
      </c>
      <c r="FY2590" s="15" t="n">
        <v>104</v>
      </c>
      <c r="GU2590" s="15" t="n">
        <v>104</v>
      </c>
    </row>
    <row r="2591">
      <c r="C2591" s="15" t="n">
        <v>105</v>
      </c>
      <c r="AA2591" s="15" t="n">
        <v>105</v>
      </c>
      <c r="AW2591" s="15" t="n">
        <v>105</v>
      </c>
      <c r="BS2591" s="15" t="n">
        <v>105</v>
      </c>
      <c r="CO2591" s="15" t="n">
        <v>105</v>
      </c>
      <c r="DK2591" s="15" t="n">
        <v>105</v>
      </c>
      <c r="EG2591" s="15" t="n">
        <v>105</v>
      </c>
      <c r="FC2591" s="15" t="n">
        <v>105</v>
      </c>
      <c r="FY2591" s="15" t="n">
        <v>105</v>
      </c>
      <c r="GU2591" s="15" t="n">
        <v>105</v>
      </c>
    </row>
    <row r="2592">
      <c r="C2592" s="15" t="n">
        <v>106</v>
      </c>
      <c r="AA2592" s="15" t="n">
        <v>106</v>
      </c>
      <c r="AW2592" s="15" t="n">
        <v>106</v>
      </c>
      <c r="BS2592" s="15" t="n">
        <v>106</v>
      </c>
      <c r="CO2592" s="15" t="n">
        <v>106</v>
      </c>
      <c r="DK2592" s="15" t="n">
        <v>106</v>
      </c>
      <c r="EG2592" s="15" t="n">
        <v>106</v>
      </c>
      <c r="FC2592" s="15" t="n">
        <v>106</v>
      </c>
      <c r="FY2592" s="15" t="n">
        <v>106</v>
      </c>
      <c r="GU2592" s="15" t="n">
        <v>106</v>
      </c>
    </row>
    <row r="2593">
      <c r="C2593" s="15" t="n">
        <v>107</v>
      </c>
      <c r="AA2593" s="15" t="n">
        <v>107</v>
      </c>
      <c r="AW2593" s="15" t="n">
        <v>107</v>
      </c>
      <c r="BS2593" s="15" t="n">
        <v>107</v>
      </c>
      <c r="CO2593" s="15" t="n">
        <v>107</v>
      </c>
      <c r="DK2593" s="15" t="n">
        <v>107</v>
      </c>
      <c r="EG2593" s="15" t="n">
        <v>107</v>
      </c>
      <c r="FC2593" s="15" t="n">
        <v>107</v>
      </c>
      <c r="FY2593" s="15" t="n">
        <v>107</v>
      </c>
      <c r="GU2593" s="15" t="n">
        <v>107</v>
      </c>
    </row>
    <row r="2594">
      <c r="C2594" s="15" t="n">
        <v>108</v>
      </c>
      <c r="AA2594" s="15" t="n">
        <v>108</v>
      </c>
      <c r="AW2594" s="15" t="n">
        <v>108</v>
      </c>
      <c r="BS2594" s="15" t="n">
        <v>108</v>
      </c>
      <c r="CO2594" s="15" t="n">
        <v>108</v>
      </c>
      <c r="DK2594" s="15" t="n">
        <v>108</v>
      </c>
      <c r="EG2594" s="15" t="n">
        <v>108</v>
      </c>
      <c r="FC2594" s="15" t="n">
        <v>108</v>
      </c>
      <c r="FY2594" s="15" t="n">
        <v>108</v>
      </c>
      <c r="GU2594" s="15" t="n">
        <v>108</v>
      </c>
    </row>
    <row r="2595">
      <c r="C2595" s="15" t="n">
        <v>109</v>
      </c>
      <c r="AA2595" s="15" t="n">
        <v>109</v>
      </c>
      <c r="AW2595" s="15" t="n">
        <v>109</v>
      </c>
      <c r="BS2595" s="15" t="n">
        <v>109</v>
      </c>
      <c r="CO2595" s="15" t="n">
        <v>109</v>
      </c>
      <c r="DK2595" s="15" t="n">
        <v>109</v>
      </c>
      <c r="EG2595" s="15" t="n">
        <v>109</v>
      </c>
      <c r="FC2595" s="15" t="n">
        <v>109</v>
      </c>
      <c r="FY2595" s="15" t="n">
        <v>109</v>
      </c>
      <c r="GU2595" s="15" t="n">
        <v>109</v>
      </c>
    </row>
    <row r="2596">
      <c r="C2596" s="15" t="n">
        <v>110</v>
      </c>
      <c r="AA2596" s="15" t="n">
        <v>110</v>
      </c>
      <c r="AW2596" s="15" t="n">
        <v>110</v>
      </c>
      <c r="BS2596" s="15" t="n">
        <v>110</v>
      </c>
      <c r="CO2596" s="15" t="n">
        <v>110</v>
      </c>
      <c r="DK2596" s="15" t="n">
        <v>110</v>
      </c>
      <c r="EG2596" s="15" t="n">
        <v>110</v>
      </c>
      <c r="FC2596" s="15" t="n">
        <v>110</v>
      </c>
      <c r="FY2596" s="15" t="n">
        <v>110</v>
      </c>
      <c r="GU2596" s="15" t="n">
        <v>110</v>
      </c>
    </row>
    <row r="2597">
      <c r="C2597" s="15" t="n">
        <v>111</v>
      </c>
      <c r="AA2597" s="15" t="n">
        <v>111</v>
      </c>
      <c r="AW2597" s="15" t="n">
        <v>111</v>
      </c>
      <c r="BS2597" s="15" t="n">
        <v>111</v>
      </c>
      <c r="CO2597" s="15" t="n">
        <v>111</v>
      </c>
      <c r="DK2597" s="15" t="n">
        <v>111</v>
      </c>
      <c r="EG2597" s="15" t="n">
        <v>111</v>
      </c>
      <c r="FC2597" s="15" t="n">
        <v>111</v>
      </c>
      <c r="FY2597" s="15" t="n">
        <v>111</v>
      </c>
      <c r="GU2597" s="15" t="n">
        <v>111</v>
      </c>
    </row>
    <row r="2598">
      <c r="C2598" s="15" t="n">
        <v>112</v>
      </c>
      <c r="AA2598" s="15" t="n">
        <v>112</v>
      </c>
      <c r="AW2598" s="15" t="n">
        <v>112</v>
      </c>
      <c r="BS2598" s="15" t="n">
        <v>112</v>
      </c>
      <c r="CO2598" s="15" t="n">
        <v>112</v>
      </c>
      <c r="DK2598" s="15" t="n">
        <v>112</v>
      </c>
      <c r="EG2598" s="15" t="n">
        <v>112</v>
      </c>
      <c r="FC2598" s="15" t="n">
        <v>112</v>
      </c>
      <c r="FY2598" s="15" t="n">
        <v>112</v>
      </c>
      <c r="GU2598" s="15" t="n">
        <v>112</v>
      </c>
    </row>
    <row r="2599">
      <c r="C2599" s="15" t="n">
        <v>113</v>
      </c>
      <c r="AA2599" s="15" t="n">
        <v>113</v>
      </c>
      <c r="AW2599" s="15" t="n">
        <v>113</v>
      </c>
      <c r="BS2599" s="15" t="n">
        <v>113</v>
      </c>
      <c r="CO2599" s="15" t="n">
        <v>113</v>
      </c>
      <c r="DK2599" s="15" t="n">
        <v>113</v>
      </c>
      <c r="EG2599" s="15" t="n">
        <v>113</v>
      </c>
      <c r="FC2599" s="15" t="n">
        <v>113</v>
      </c>
      <c r="FY2599" s="15" t="n">
        <v>113</v>
      </c>
      <c r="GU2599" s="15" t="n">
        <v>113</v>
      </c>
    </row>
    <row r="2600">
      <c r="C2600" s="15" t="n">
        <v>114</v>
      </c>
      <c r="AA2600" s="15" t="n">
        <v>114</v>
      </c>
      <c r="AW2600" s="15" t="n">
        <v>114</v>
      </c>
      <c r="BS2600" s="15" t="n">
        <v>114</v>
      </c>
      <c r="CO2600" s="15" t="n">
        <v>114</v>
      </c>
      <c r="DK2600" s="15" t="n">
        <v>114</v>
      </c>
      <c r="EG2600" s="15" t="n">
        <v>114</v>
      </c>
      <c r="FC2600" s="15" t="n">
        <v>114</v>
      </c>
      <c r="FY2600" s="15" t="n">
        <v>114</v>
      </c>
      <c r="GU2600" s="15" t="n">
        <v>114</v>
      </c>
    </row>
    <row r="2601">
      <c r="C2601" s="15" t="n">
        <v>115</v>
      </c>
      <c r="AA2601" s="15" t="n">
        <v>115</v>
      </c>
      <c r="AW2601" s="15" t="n">
        <v>115</v>
      </c>
      <c r="BS2601" s="15" t="n">
        <v>115</v>
      </c>
      <c r="CO2601" s="15" t="n">
        <v>115</v>
      </c>
      <c r="DK2601" s="15" t="n">
        <v>115</v>
      </c>
      <c r="EG2601" s="15" t="n">
        <v>115</v>
      </c>
      <c r="FC2601" s="15" t="n">
        <v>115</v>
      </c>
      <c r="FY2601" s="15" t="n">
        <v>115</v>
      </c>
      <c r="GU2601" s="15" t="n">
        <v>115</v>
      </c>
    </row>
    <row r="2602">
      <c r="C2602" s="15" t="n">
        <v>116</v>
      </c>
      <c r="AA2602" s="15" t="n">
        <v>116</v>
      </c>
      <c r="AW2602" s="15" t="n">
        <v>116</v>
      </c>
      <c r="BS2602" s="15" t="n">
        <v>116</v>
      </c>
      <c r="CO2602" s="15" t="n">
        <v>116</v>
      </c>
      <c r="DK2602" s="15" t="n">
        <v>116</v>
      </c>
      <c r="EG2602" s="15" t="n">
        <v>116</v>
      </c>
      <c r="FC2602" s="15" t="n">
        <v>116</v>
      </c>
      <c r="FY2602" s="15" t="n">
        <v>116</v>
      </c>
      <c r="GU2602" s="15" t="n">
        <v>116</v>
      </c>
    </row>
    <row r="2603">
      <c r="C2603" s="15" t="n">
        <v>117</v>
      </c>
      <c r="AA2603" s="15" t="n">
        <v>117</v>
      </c>
      <c r="AW2603" s="15" t="n">
        <v>117</v>
      </c>
      <c r="BS2603" s="15" t="n">
        <v>117</v>
      </c>
      <c r="CO2603" s="15" t="n">
        <v>117</v>
      </c>
      <c r="DK2603" s="15" t="n">
        <v>117</v>
      </c>
      <c r="EG2603" s="15" t="n">
        <v>117</v>
      </c>
      <c r="FC2603" s="15" t="n">
        <v>117</v>
      </c>
      <c r="FY2603" s="15" t="n">
        <v>117</v>
      </c>
      <c r="GU2603" s="15" t="n">
        <v>117</v>
      </c>
    </row>
    <row r="2604">
      <c r="C2604" s="15" t="n">
        <v>118</v>
      </c>
      <c r="AA2604" s="15" t="n">
        <v>118</v>
      </c>
      <c r="AW2604" s="15" t="n">
        <v>118</v>
      </c>
      <c r="BS2604" s="15" t="n">
        <v>118</v>
      </c>
      <c r="CO2604" s="15" t="n">
        <v>118</v>
      </c>
      <c r="DK2604" s="15" t="n">
        <v>118</v>
      </c>
      <c r="EG2604" s="15" t="n">
        <v>118</v>
      </c>
      <c r="FC2604" s="15" t="n">
        <v>118</v>
      </c>
      <c r="FY2604" s="15" t="n">
        <v>118</v>
      </c>
      <c r="GU2604" s="15" t="n">
        <v>118</v>
      </c>
    </row>
    <row r="2605">
      <c r="C2605" s="15" t="n">
        <v>119</v>
      </c>
      <c r="AA2605" s="15" t="n">
        <v>119</v>
      </c>
      <c r="AW2605" s="15" t="n">
        <v>119</v>
      </c>
      <c r="BS2605" s="15" t="n">
        <v>119</v>
      </c>
      <c r="CO2605" s="15" t="n">
        <v>119</v>
      </c>
      <c r="DK2605" s="15" t="n">
        <v>119</v>
      </c>
      <c r="EG2605" s="15" t="n">
        <v>119</v>
      </c>
      <c r="FC2605" s="15" t="n">
        <v>119</v>
      </c>
      <c r="FY2605" s="15" t="n">
        <v>119</v>
      </c>
      <c r="GU2605" s="15" t="n">
        <v>119</v>
      </c>
    </row>
    <row r="2606">
      <c r="C2606" s="15" t="n">
        <v>120</v>
      </c>
      <c r="AA2606" s="15" t="n">
        <v>120</v>
      </c>
      <c r="AW2606" s="15" t="n">
        <v>120</v>
      </c>
      <c r="BS2606" s="15" t="n">
        <v>120</v>
      </c>
      <c r="CO2606" s="15" t="n">
        <v>120</v>
      </c>
      <c r="DK2606" s="15" t="n">
        <v>120</v>
      </c>
      <c r="EG2606" s="15" t="n">
        <v>120</v>
      </c>
      <c r="FC2606" s="15" t="n">
        <v>120</v>
      </c>
      <c r="FY2606" s="15" t="n">
        <v>120</v>
      </c>
      <c r="GU2606" s="15" t="n">
        <v>120</v>
      </c>
    </row>
    <row r="2607">
      <c r="C2607" s="15" t="n">
        <v>121</v>
      </c>
      <c r="AA2607" s="15" t="n">
        <v>121</v>
      </c>
      <c r="AW2607" s="15" t="n">
        <v>121</v>
      </c>
      <c r="BS2607" s="15" t="n">
        <v>121</v>
      </c>
      <c r="CO2607" s="15" t="n">
        <v>121</v>
      </c>
      <c r="DK2607" s="15" t="n">
        <v>121</v>
      </c>
      <c r="EG2607" s="15" t="n">
        <v>121</v>
      </c>
      <c r="FC2607" s="15" t="n">
        <v>121</v>
      </c>
      <c r="FY2607" s="15" t="n">
        <v>121</v>
      </c>
      <c r="GU2607" s="15" t="n">
        <v>121</v>
      </c>
    </row>
    <row r="2608">
      <c r="C2608" s="15" t="n">
        <v>122</v>
      </c>
      <c r="AA2608" s="15" t="n">
        <v>122</v>
      </c>
      <c r="AW2608" s="15" t="n">
        <v>122</v>
      </c>
      <c r="BS2608" s="15" t="n">
        <v>122</v>
      </c>
      <c r="CO2608" s="15" t="n">
        <v>122</v>
      </c>
      <c r="DK2608" s="15" t="n">
        <v>122</v>
      </c>
      <c r="EG2608" s="15" t="n">
        <v>122</v>
      </c>
      <c r="FC2608" s="15" t="n">
        <v>122</v>
      </c>
      <c r="FY2608" s="15" t="n">
        <v>122</v>
      </c>
      <c r="GU2608" s="15" t="n">
        <v>122</v>
      </c>
    </row>
    <row r="2609">
      <c r="C2609" s="15" t="n">
        <v>123</v>
      </c>
      <c r="AA2609" s="15" t="n">
        <v>123</v>
      </c>
      <c r="AW2609" s="15" t="n">
        <v>123</v>
      </c>
      <c r="BS2609" s="15" t="n">
        <v>123</v>
      </c>
      <c r="CO2609" s="15" t="n">
        <v>123</v>
      </c>
      <c r="DK2609" s="15" t="n">
        <v>123</v>
      </c>
      <c r="EG2609" s="15" t="n">
        <v>123</v>
      </c>
      <c r="FC2609" s="15" t="n">
        <v>123</v>
      </c>
      <c r="FY2609" s="15" t="n">
        <v>123</v>
      </c>
      <c r="GU2609" s="15" t="n">
        <v>123</v>
      </c>
    </row>
    <row r="2610">
      <c r="C2610" s="15" t="n">
        <v>124</v>
      </c>
      <c r="AA2610" s="15" t="n">
        <v>124</v>
      </c>
      <c r="AW2610" s="15" t="n">
        <v>124</v>
      </c>
      <c r="BS2610" s="15" t="n">
        <v>124</v>
      </c>
      <c r="CO2610" s="15" t="n">
        <v>124</v>
      </c>
      <c r="DK2610" s="15" t="n">
        <v>124</v>
      </c>
      <c r="EG2610" s="15" t="n">
        <v>124</v>
      </c>
      <c r="FC2610" s="15" t="n">
        <v>124</v>
      </c>
      <c r="FY2610" s="15" t="n">
        <v>124</v>
      </c>
      <c r="GU2610" s="15" t="n">
        <v>124</v>
      </c>
    </row>
    <row r="2611">
      <c r="C2611" s="15" t="n">
        <v>125</v>
      </c>
      <c r="AA2611" s="15" t="n">
        <v>125</v>
      </c>
      <c r="AW2611" s="15" t="n">
        <v>125</v>
      </c>
      <c r="BS2611" s="15" t="n">
        <v>125</v>
      </c>
      <c r="CO2611" s="15" t="n">
        <v>125</v>
      </c>
      <c r="DK2611" s="15" t="n">
        <v>125</v>
      </c>
      <c r="EG2611" s="15" t="n">
        <v>125</v>
      </c>
      <c r="FC2611" s="15" t="n">
        <v>125</v>
      </c>
      <c r="FY2611" s="15" t="n">
        <v>125</v>
      </c>
      <c r="GU2611" s="15" t="n">
        <v>125</v>
      </c>
    </row>
    <row r="2612">
      <c r="C2612" s="15" t="n">
        <v>126</v>
      </c>
      <c r="AA2612" s="15" t="n">
        <v>126</v>
      </c>
      <c r="AW2612" s="15" t="n">
        <v>126</v>
      </c>
      <c r="BS2612" s="15" t="n">
        <v>126</v>
      </c>
      <c r="CO2612" s="15" t="n">
        <v>126</v>
      </c>
      <c r="DK2612" s="15" t="n">
        <v>126</v>
      </c>
      <c r="EG2612" s="15" t="n">
        <v>126</v>
      </c>
      <c r="FC2612" s="15" t="n">
        <v>126</v>
      </c>
      <c r="FY2612" s="15" t="n">
        <v>126</v>
      </c>
      <c r="GU2612" s="15" t="n">
        <v>126</v>
      </c>
    </row>
    <row r="2613">
      <c r="C2613" s="15" t="n">
        <v>127</v>
      </c>
      <c r="AA2613" s="15" t="n">
        <v>127</v>
      </c>
      <c r="AW2613" s="15" t="n">
        <v>127</v>
      </c>
      <c r="BS2613" s="15" t="n">
        <v>127</v>
      </c>
      <c r="CO2613" s="15" t="n">
        <v>127</v>
      </c>
      <c r="DK2613" s="15" t="n">
        <v>127</v>
      </c>
      <c r="EG2613" s="15" t="n">
        <v>127</v>
      </c>
      <c r="FC2613" s="15" t="n">
        <v>127</v>
      </c>
      <c r="FY2613" s="15" t="n">
        <v>127</v>
      </c>
      <c r="GU2613" s="15" t="n">
        <v>127</v>
      </c>
    </row>
    <row r="2614">
      <c r="C2614" s="15" t="n">
        <v>128</v>
      </c>
      <c r="AA2614" s="15" t="n">
        <v>128</v>
      </c>
      <c r="AW2614" s="15" t="n">
        <v>128</v>
      </c>
      <c r="BS2614" s="15" t="n">
        <v>128</v>
      </c>
      <c r="CO2614" s="15" t="n">
        <v>128</v>
      </c>
      <c r="DK2614" s="15" t="n">
        <v>128</v>
      </c>
      <c r="EG2614" s="15" t="n">
        <v>128</v>
      </c>
      <c r="FC2614" s="15" t="n">
        <v>128</v>
      </c>
      <c r="FY2614" s="15" t="n">
        <v>128</v>
      </c>
      <c r="GU2614" s="15" t="n">
        <v>128</v>
      </c>
    </row>
    <row r="2615">
      <c r="C2615" s="15" t="n">
        <v>129</v>
      </c>
      <c r="AA2615" s="15" t="n">
        <v>129</v>
      </c>
      <c r="AW2615" s="15" t="n">
        <v>129</v>
      </c>
      <c r="BS2615" s="15" t="n">
        <v>129</v>
      </c>
      <c r="CO2615" s="15" t="n">
        <v>129</v>
      </c>
      <c r="DK2615" s="15" t="n">
        <v>129</v>
      </c>
      <c r="EG2615" s="15" t="n">
        <v>129</v>
      </c>
      <c r="FC2615" s="15" t="n">
        <v>129</v>
      </c>
      <c r="FY2615" s="15" t="n">
        <v>129</v>
      </c>
      <c r="GU2615" s="15" t="n">
        <v>129</v>
      </c>
    </row>
    <row r="2616">
      <c r="C2616" s="15" t="n">
        <v>130</v>
      </c>
      <c r="AA2616" s="15" t="n">
        <v>130</v>
      </c>
      <c r="AW2616" s="15" t="n">
        <v>130</v>
      </c>
      <c r="BS2616" s="15" t="n">
        <v>130</v>
      </c>
      <c r="CO2616" s="15" t="n">
        <v>130</v>
      </c>
      <c r="DK2616" s="15" t="n">
        <v>130</v>
      </c>
      <c r="EG2616" s="15" t="n">
        <v>130</v>
      </c>
      <c r="FC2616" s="15" t="n">
        <v>130</v>
      </c>
      <c r="FY2616" s="15" t="n">
        <v>130</v>
      </c>
      <c r="GU2616" s="15" t="n">
        <v>130</v>
      </c>
    </row>
    <row r="2617">
      <c r="C2617" s="15" t="n">
        <v>131</v>
      </c>
      <c r="AA2617" s="15" t="n">
        <v>131</v>
      </c>
      <c r="AW2617" s="15" t="n">
        <v>131</v>
      </c>
      <c r="BS2617" s="15" t="n">
        <v>131</v>
      </c>
      <c r="CO2617" s="15" t="n">
        <v>131</v>
      </c>
      <c r="DK2617" s="15" t="n">
        <v>131</v>
      </c>
      <c r="EG2617" s="15" t="n">
        <v>131</v>
      </c>
      <c r="FC2617" s="15" t="n">
        <v>131</v>
      </c>
      <c r="FY2617" s="15" t="n">
        <v>131</v>
      </c>
      <c r="GU2617" s="15" t="n">
        <v>131</v>
      </c>
    </row>
    <row r="2618">
      <c r="C2618" s="15" t="n">
        <v>132</v>
      </c>
      <c r="AA2618" s="15" t="n">
        <v>132</v>
      </c>
      <c r="AW2618" s="15" t="n">
        <v>132</v>
      </c>
      <c r="BS2618" s="15" t="n">
        <v>132</v>
      </c>
      <c r="CO2618" s="15" t="n">
        <v>132</v>
      </c>
      <c r="DK2618" s="15" t="n">
        <v>132</v>
      </c>
      <c r="EG2618" s="15" t="n">
        <v>132</v>
      </c>
      <c r="FC2618" s="15" t="n">
        <v>132</v>
      </c>
      <c r="FY2618" s="15" t="n">
        <v>132</v>
      </c>
      <c r="GU2618" s="15" t="n">
        <v>132</v>
      </c>
    </row>
    <row r="2619">
      <c r="C2619" s="15" t="n">
        <v>133</v>
      </c>
      <c r="AA2619" s="15" t="n">
        <v>133</v>
      </c>
      <c r="AW2619" s="15" t="n">
        <v>133</v>
      </c>
      <c r="BS2619" s="15" t="n">
        <v>133</v>
      </c>
      <c r="CO2619" s="15" t="n">
        <v>133</v>
      </c>
      <c r="DK2619" s="15" t="n">
        <v>133</v>
      </c>
      <c r="EG2619" s="15" t="n">
        <v>133</v>
      </c>
      <c r="FC2619" s="15" t="n">
        <v>133</v>
      </c>
      <c r="FY2619" s="15" t="n">
        <v>133</v>
      </c>
      <c r="GU2619" s="15" t="n">
        <v>133</v>
      </c>
    </row>
    <row r="2620">
      <c r="C2620" s="15" t="n">
        <v>134</v>
      </c>
      <c r="AA2620" s="15" t="n">
        <v>134</v>
      </c>
      <c r="AW2620" s="15" t="n">
        <v>134</v>
      </c>
      <c r="BS2620" s="15" t="n">
        <v>134</v>
      </c>
      <c r="CO2620" s="15" t="n">
        <v>134</v>
      </c>
      <c r="DK2620" s="15" t="n">
        <v>134</v>
      </c>
      <c r="EG2620" s="15" t="n">
        <v>134</v>
      </c>
      <c r="FC2620" s="15" t="n">
        <v>134</v>
      </c>
      <c r="FY2620" s="15" t="n">
        <v>134</v>
      </c>
      <c r="GU2620" s="15" t="n">
        <v>134</v>
      </c>
    </row>
    <row r="2621">
      <c r="C2621" s="15" t="n">
        <v>135</v>
      </c>
      <c r="AA2621" s="15" t="n">
        <v>135</v>
      </c>
      <c r="AW2621" s="15" t="n">
        <v>135</v>
      </c>
      <c r="BS2621" s="15" t="n">
        <v>135</v>
      </c>
      <c r="CO2621" s="15" t="n">
        <v>135</v>
      </c>
      <c r="DK2621" s="15" t="n">
        <v>135</v>
      </c>
      <c r="EG2621" s="15" t="n">
        <v>135</v>
      </c>
      <c r="FC2621" s="15" t="n">
        <v>135</v>
      </c>
      <c r="FY2621" s="15" t="n">
        <v>135</v>
      </c>
      <c r="GU2621" s="15" t="n">
        <v>135</v>
      </c>
    </row>
    <row r="2622">
      <c r="C2622" s="15" t="n">
        <v>136</v>
      </c>
      <c r="AA2622" s="15" t="n">
        <v>136</v>
      </c>
      <c r="AW2622" s="15" t="n">
        <v>136</v>
      </c>
      <c r="BS2622" s="15" t="n">
        <v>136</v>
      </c>
      <c r="CO2622" s="15" t="n">
        <v>136</v>
      </c>
      <c r="DK2622" s="15" t="n">
        <v>136</v>
      </c>
      <c r="EG2622" s="15" t="n">
        <v>136</v>
      </c>
      <c r="FC2622" s="15" t="n">
        <v>136</v>
      </c>
      <c r="FY2622" s="15" t="n">
        <v>136</v>
      </c>
      <c r="GU2622" s="15" t="n">
        <v>136</v>
      </c>
    </row>
    <row r="2623">
      <c r="C2623" s="15" t="n">
        <v>137</v>
      </c>
      <c r="AA2623" s="15" t="n">
        <v>137</v>
      </c>
      <c r="AW2623" s="15" t="n">
        <v>137</v>
      </c>
      <c r="BS2623" s="15" t="n">
        <v>137</v>
      </c>
      <c r="CO2623" s="15" t="n">
        <v>137</v>
      </c>
      <c r="DK2623" s="15" t="n">
        <v>137</v>
      </c>
      <c r="EG2623" s="15" t="n">
        <v>137</v>
      </c>
      <c r="FC2623" s="15" t="n">
        <v>137</v>
      </c>
      <c r="FY2623" s="15" t="n">
        <v>137</v>
      </c>
      <c r="GU2623" s="15" t="n">
        <v>137</v>
      </c>
    </row>
    <row r="2624">
      <c r="C2624" s="15" t="n">
        <v>138</v>
      </c>
      <c r="AA2624" s="15" t="n">
        <v>138</v>
      </c>
      <c r="AW2624" s="15" t="n">
        <v>138</v>
      </c>
      <c r="BS2624" s="15" t="n">
        <v>138</v>
      </c>
      <c r="CO2624" s="15" t="n">
        <v>138</v>
      </c>
      <c r="DK2624" s="15" t="n">
        <v>138</v>
      </c>
      <c r="EG2624" s="15" t="n">
        <v>138</v>
      </c>
      <c r="FC2624" s="15" t="n">
        <v>138</v>
      </c>
      <c r="FY2624" s="15" t="n">
        <v>138</v>
      </c>
      <c r="GU2624" s="15" t="n">
        <v>138</v>
      </c>
    </row>
    <row r="2625">
      <c r="C2625" s="15" t="n">
        <v>139</v>
      </c>
      <c r="AA2625" s="15" t="n">
        <v>139</v>
      </c>
      <c r="AW2625" s="15" t="n">
        <v>139</v>
      </c>
      <c r="BS2625" s="15" t="n">
        <v>139</v>
      </c>
      <c r="CO2625" s="15" t="n">
        <v>139</v>
      </c>
      <c r="DK2625" s="15" t="n">
        <v>139</v>
      </c>
      <c r="EG2625" s="15" t="n">
        <v>139</v>
      </c>
      <c r="FC2625" s="15" t="n">
        <v>139</v>
      </c>
      <c r="FY2625" s="15" t="n">
        <v>139</v>
      </c>
      <c r="GU2625" s="15" t="n">
        <v>139</v>
      </c>
    </row>
    <row r="2626">
      <c r="C2626" s="15" t="n">
        <v>140</v>
      </c>
      <c r="AA2626" s="15" t="n">
        <v>140</v>
      </c>
      <c r="AW2626" s="15" t="n">
        <v>140</v>
      </c>
      <c r="BS2626" s="15" t="n">
        <v>140</v>
      </c>
      <c r="CO2626" s="15" t="n">
        <v>140</v>
      </c>
      <c r="DK2626" s="15" t="n">
        <v>140</v>
      </c>
      <c r="EG2626" s="15" t="n">
        <v>140</v>
      </c>
      <c r="FC2626" s="15" t="n">
        <v>140</v>
      </c>
      <c r="FY2626" s="15" t="n">
        <v>140</v>
      </c>
      <c r="GU2626" s="15" t="n">
        <v>140</v>
      </c>
    </row>
    <row r="2627">
      <c r="C2627" s="15" t="n">
        <v>141</v>
      </c>
      <c r="AA2627" s="15" t="n">
        <v>141</v>
      </c>
      <c r="AW2627" s="15" t="n">
        <v>141</v>
      </c>
      <c r="BS2627" s="15" t="n">
        <v>141</v>
      </c>
      <c r="CO2627" s="15" t="n">
        <v>141</v>
      </c>
      <c r="DK2627" s="15" t="n">
        <v>141</v>
      </c>
      <c r="EG2627" s="15" t="n">
        <v>141</v>
      </c>
      <c r="FC2627" s="15" t="n">
        <v>141</v>
      </c>
      <c r="FY2627" s="15" t="n">
        <v>141</v>
      </c>
      <c r="GU2627" s="15" t="n">
        <v>141</v>
      </c>
    </row>
    <row r="2628">
      <c r="C2628" s="15" t="n">
        <v>142</v>
      </c>
      <c r="AA2628" s="15" t="n">
        <v>142</v>
      </c>
      <c r="AW2628" s="15" t="n">
        <v>142</v>
      </c>
      <c r="BS2628" s="15" t="n">
        <v>142</v>
      </c>
      <c r="CO2628" s="15" t="n">
        <v>142</v>
      </c>
      <c r="DK2628" s="15" t="n">
        <v>142</v>
      </c>
      <c r="EG2628" s="15" t="n">
        <v>142</v>
      </c>
      <c r="FC2628" s="15" t="n">
        <v>142</v>
      </c>
      <c r="FY2628" s="15" t="n">
        <v>142</v>
      </c>
      <c r="GU2628" s="15" t="n">
        <v>142</v>
      </c>
    </row>
    <row r="2629">
      <c r="C2629" s="15" t="n">
        <v>143</v>
      </c>
      <c r="AA2629" s="15" t="n">
        <v>143</v>
      </c>
      <c r="AW2629" s="15" t="n">
        <v>143</v>
      </c>
      <c r="BS2629" s="15" t="n">
        <v>143</v>
      </c>
      <c r="CO2629" s="15" t="n">
        <v>143</v>
      </c>
      <c r="DK2629" s="15" t="n">
        <v>143</v>
      </c>
      <c r="EG2629" s="15" t="n">
        <v>143</v>
      </c>
      <c r="FC2629" s="15" t="n">
        <v>143</v>
      </c>
      <c r="FY2629" s="15" t="n">
        <v>143</v>
      </c>
      <c r="GU2629" s="15" t="n">
        <v>143</v>
      </c>
    </row>
    <row r="2630">
      <c r="C2630" s="15" t="n">
        <v>144</v>
      </c>
      <c r="AA2630" s="15" t="n">
        <v>144</v>
      </c>
      <c r="AW2630" s="15" t="n">
        <v>144</v>
      </c>
      <c r="BS2630" s="15" t="n">
        <v>144</v>
      </c>
      <c r="CO2630" s="15" t="n">
        <v>144</v>
      </c>
      <c r="DK2630" s="15" t="n">
        <v>144</v>
      </c>
      <c r="EG2630" s="15" t="n">
        <v>144</v>
      </c>
      <c r="FC2630" s="15" t="n">
        <v>144</v>
      </c>
      <c r="FY2630" s="15" t="n">
        <v>144</v>
      </c>
      <c r="GU2630" s="15" t="n">
        <v>144</v>
      </c>
    </row>
    <row r="2631">
      <c r="C2631" s="15" t="n">
        <v>145</v>
      </c>
      <c r="AA2631" s="15" t="n">
        <v>145</v>
      </c>
      <c r="AW2631" s="15" t="n">
        <v>145</v>
      </c>
      <c r="BS2631" s="15" t="n">
        <v>145</v>
      </c>
      <c r="CO2631" s="15" t="n">
        <v>145</v>
      </c>
      <c r="DK2631" s="15" t="n">
        <v>145</v>
      </c>
      <c r="EG2631" s="15" t="n">
        <v>145</v>
      </c>
      <c r="FC2631" s="15" t="n">
        <v>145</v>
      </c>
      <c r="FY2631" s="15" t="n">
        <v>145</v>
      </c>
      <c r="GU2631" s="15" t="n">
        <v>145</v>
      </c>
    </row>
    <row r="2632">
      <c r="C2632" s="15" t="n">
        <v>146</v>
      </c>
      <c r="AA2632" s="15" t="n">
        <v>146</v>
      </c>
      <c r="AW2632" s="15" t="n">
        <v>146</v>
      </c>
      <c r="BS2632" s="15" t="n">
        <v>146</v>
      </c>
      <c r="CO2632" s="15" t="n">
        <v>146</v>
      </c>
      <c r="DK2632" s="15" t="n">
        <v>146</v>
      </c>
      <c r="EG2632" s="15" t="n">
        <v>146</v>
      </c>
      <c r="FC2632" s="15" t="n">
        <v>146</v>
      </c>
      <c r="FY2632" s="15" t="n">
        <v>146</v>
      </c>
      <c r="GU2632" s="15" t="n">
        <v>146</v>
      </c>
    </row>
    <row r="2633">
      <c r="C2633" s="15" t="n">
        <v>147</v>
      </c>
      <c r="AA2633" s="15" t="n">
        <v>147</v>
      </c>
      <c r="AW2633" s="15" t="n">
        <v>147</v>
      </c>
      <c r="BS2633" s="15" t="n">
        <v>147</v>
      </c>
      <c r="CO2633" s="15" t="n">
        <v>147</v>
      </c>
      <c r="DK2633" s="15" t="n">
        <v>147</v>
      </c>
      <c r="EG2633" s="15" t="n">
        <v>147</v>
      </c>
      <c r="FC2633" s="15" t="n">
        <v>147</v>
      </c>
      <c r="FY2633" s="15" t="n">
        <v>147</v>
      </c>
      <c r="GU2633" s="15" t="n">
        <v>147</v>
      </c>
    </row>
    <row r="2634">
      <c r="C2634" s="15" t="n">
        <v>148</v>
      </c>
      <c r="AA2634" s="15" t="n">
        <v>148</v>
      </c>
      <c r="AW2634" s="15" t="n">
        <v>148</v>
      </c>
      <c r="BS2634" s="15" t="n">
        <v>148</v>
      </c>
      <c r="CO2634" s="15" t="n">
        <v>148</v>
      </c>
      <c r="DK2634" s="15" t="n">
        <v>148</v>
      </c>
      <c r="EG2634" s="15" t="n">
        <v>148</v>
      </c>
      <c r="FC2634" s="15" t="n">
        <v>148</v>
      </c>
      <c r="FY2634" s="15" t="n">
        <v>148</v>
      </c>
      <c r="GU2634" s="15" t="n">
        <v>148</v>
      </c>
    </row>
    <row r="2635">
      <c r="C2635" s="15" t="n">
        <v>149</v>
      </c>
      <c r="AA2635" s="15" t="n">
        <v>149</v>
      </c>
      <c r="AW2635" s="15" t="n">
        <v>149</v>
      </c>
      <c r="BS2635" s="15" t="n">
        <v>149</v>
      </c>
      <c r="CO2635" s="15" t="n">
        <v>149</v>
      </c>
      <c r="DK2635" s="15" t="n">
        <v>149</v>
      </c>
      <c r="EG2635" s="15" t="n">
        <v>149</v>
      </c>
      <c r="FC2635" s="15" t="n">
        <v>149</v>
      </c>
      <c r="FY2635" s="15" t="n">
        <v>149</v>
      </c>
      <c r="GU2635" s="15" t="n">
        <v>149</v>
      </c>
    </row>
    <row r="2636">
      <c r="C2636" s="15" t="n">
        <v>150</v>
      </c>
      <c r="AA2636" s="15" t="n">
        <v>150</v>
      </c>
      <c r="AW2636" s="15" t="n">
        <v>150</v>
      </c>
      <c r="BS2636" s="15" t="n">
        <v>150</v>
      </c>
      <c r="CO2636" s="15" t="n">
        <v>150</v>
      </c>
      <c r="DK2636" s="15" t="n">
        <v>150</v>
      </c>
      <c r="EG2636" s="15" t="n">
        <v>150</v>
      </c>
      <c r="FC2636" s="15" t="n">
        <v>150</v>
      </c>
      <c r="FY2636" s="15" t="n">
        <v>150</v>
      </c>
      <c r="GU2636" s="15" t="n">
        <v>150</v>
      </c>
    </row>
    <row r="2637">
      <c r="C2637" s="15" t="n">
        <v>151</v>
      </c>
      <c r="AA2637" s="15" t="n">
        <v>151</v>
      </c>
      <c r="AW2637" s="15" t="n">
        <v>151</v>
      </c>
      <c r="BS2637" s="15" t="n">
        <v>151</v>
      </c>
      <c r="CO2637" s="15" t="n">
        <v>151</v>
      </c>
      <c r="DK2637" s="15" t="n">
        <v>151</v>
      </c>
      <c r="EG2637" s="15" t="n">
        <v>151</v>
      </c>
      <c r="FC2637" s="15" t="n">
        <v>151</v>
      </c>
      <c r="FY2637" s="15" t="n">
        <v>151</v>
      </c>
      <c r="GU2637" s="15" t="n">
        <v>151</v>
      </c>
    </row>
    <row r="2638">
      <c r="C2638" s="15" t="n">
        <v>152</v>
      </c>
      <c r="AA2638" s="15" t="n">
        <v>152</v>
      </c>
      <c r="AW2638" s="15" t="n">
        <v>152</v>
      </c>
      <c r="BS2638" s="15" t="n">
        <v>152</v>
      </c>
      <c r="CO2638" s="15" t="n">
        <v>152</v>
      </c>
      <c r="DK2638" s="15" t="n">
        <v>152</v>
      </c>
      <c r="EG2638" s="15" t="n">
        <v>152</v>
      </c>
      <c r="FC2638" s="15" t="n">
        <v>152</v>
      </c>
      <c r="FY2638" s="15" t="n">
        <v>152</v>
      </c>
      <c r="GU2638" s="15" t="n">
        <v>152</v>
      </c>
    </row>
    <row r="2639">
      <c r="C2639" s="15" t="n">
        <v>153</v>
      </c>
      <c r="AA2639" s="15" t="n">
        <v>153</v>
      </c>
      <c r="AW2639" s="15" t="n">
        <v>153</v>
      </c>
      <c r="BS2639" s="15" t="n">
        <v>153</v>
      </c>
      <c r="CO2639" s="15" t="n">
        <v>153</v>
      </c>
      <c r="DK2639" s="15" t="n">
        <v>153</v>
      </c>
      <c r="EG2639" s="15" t="n">
        <v>153</v>
      </c>
      <c r="FC2639" s="15" t="n">
        <v>153</v>
      </c>
      <c r="FY2639" s="15" t="n">
        <v>153</v>
      </c>
      <c r="GU2639" s="15" t="n">
        <v>153</v>
      </c>
    </row>
    <row r="2640">
      <c r="C2640" s="15" t="n">
        <v>154</v>
      </c>
      <c r="AA2640" s="15" t="n">
        <v>154</v>
      </c>
      <c r="AW2640" s="15" t="n">
        <v>154</v>
      </c>
      <c r="BS2640" s="15" t="n">
        <v>154</v>
      </c>
      <c r="CO2640" s="15" t="n">
        <v>154</v>
      </c>
      <c r="DK2640" s="15" t="n">
        <v>154</v>
      </c>
      <c r="EG2640" s="15" t="n">
        <v>154</v>
      </c>
      <c r="FC2640" s="15" t="n">
        <v>154</v>
      </c>
      <c r="FY2640" s="15" t="n">
        <v>154</v>
      </c>
      <c r="GU2640" s="15" t="n">
        <v>154</v>
      </c>
    </row>
    <row r="2641">
      <c r="C2641" s="15" t="n">
        <v>155</v>
      </c>
      <c r="AA2641" s="15" t="n">
        <v>155</v>
      </c>
      <c r="AW2641" s="15" t="n">
        <v>155</v>
      </c>
      <c r="BS2641" s="15" t="n">
        <v>155</v>
      </c>
      <c r="CO2641" s="15" t="n">
        <v>155</v>
      </c>
      <c r="DK2641" s="15" t="n">
        <v>155</v>
      </c>
      <c r="EG2641" s="15" t="n">
        <v>155</v>
      </c>
      <c r="FC2641" s="15" t="n">
        <v>155</v>
      </c>
      <c r="FY2641" s="15" t="n">
        <v>155</v>
      </c>
      <c r="GU2641" s="15" t="n">
        <v>155</v>
      </c>
    </row>
    <row r="2642">
      <c r="C2642" s="15" t="n">
        <v>156</v>
      </c>
      <c r="AA2642" s="15" t="n">
        <v>156</v>
      </c>
      <c r="AW2642" s="15" t="n">
        <v>156</v>
      </c>
      <c r="BS2642" s="15" t="n">
        <v>156</v>
      </c>
      <c r="CO2642" s="15" t="n">
        <v>156</v>
      </c>
      <c r="DK2642" s="15" t="n">
        <v>156</v>
      </c>
      <c r="EG2642" s="15" t="n">
        <v>156</v>
      </c>
      <c r="FC2642" s="15" t="n">
        <v>156</v>
      </c>
      <c r="FY2642" s="15" t="n">
        <v>156</v>
      </c>
      <c r="GU2642" s="15" t="n">
        <v>156</v>
      </c>
    </row>
    <row r="2643">
      <c r="C2643" s="15" t="n">
        <v>157</v>
      </c>
      <c r="AA2643" s="15" t="n">
        <v>157</v>
      </c>
      <c r="AW2643" s="15" t="n">
        <v>157</v>
      </c>
      <c r="BS2643" s="15" t="n">
        <v>157</v>
      </c>
      <c r="CO2643" s="15" t="n">
        <v>157</v>
      </c>
      <c r="DK2643" s="15" t="n">
        <v>157</v>
      </c>
      <c r="EG2643" s="15" t="n">
        <v>157</v>
      </c>
      <c r="FC2643" s="15" t="n">
        <v>157</v>
      </c>
      <c r="FY2643" s="15" t="n">
        <v>157</v>
      </c>
      <c r="GU2643" s="15" t="n">
        <v>157</v>
      </c>
    </row>
    <row r="2644">
      <c r="C2644" s="15" t="n">
        <v>158</v>
      </c>
      <c r="AA2644" s="15" t="n">
        <v>158</v>
      </c>
      <c r="AW2644" s="15" t="n">
        <v>158</v>
      </c>
      <c r="BS2644" s="15" t="n">
        <v>158</v>
      </c>
      <c r="CO2644" s="15" t="n">
        <v>158</v>
      </c>
      <c r="DK2644" s="15" t="n">
        <v>158</v>
      </c>
      <c r="EG2644" s="15" t="n">
        <v>158</v>
      </c>
      <c r="FC2644" s="15" t="n">
        <v>158</v>
      </c>
      <c r="FY2644" s="15" t="n">
        <v>158</v>
      </c>
      <c r="GU2644" s="15" t="n">
        <v>158</v>
      </c>
    </row>
    <row r="2645">
      <c r="C2645" s="15" t="n">
        <v>159</v>
      </c>
      <c r="AA2645" s="15" t="n">
        <v>159</v>
      </c>
      <c r="AW2645" s="15" t="n">
        <v>159</v>
      </c>
      <c r="BS2645" s="15" t="n">
        <v>159</v>
      </c>
      <c r="CO2645" s="15" t="n">
        <v>159</v>
      </c>
      <c r="DK2645" s="15" t="n">
        <v>159</v>
      </c>
      <c r="EG2645" s="15" t="n">
        <v>159</v>
      </c>
      <c r="FC2645" s="15" t="n">
        <v>159</v>
      </c>
      <c r="FY2645" s="15" t="n">
        <v>159</v>
      </c>
      <c r="GU2645" s="15" t="n">
        <v>159</v>
      </c>
    </row>
    <row r="2646">
      <c r="C2646" s="15" t="n">
        <v>160</v>
      </c>
      <c r="AA2646" s="15" t="n">
        <v>160</v>
      </c>
      <c r="AW2646" s="15" t="n">
        <v>160</v>
      </c>
      <c r="BS2646" s="15" t="n">
        <v>160</v>
      </c>
      <c r="CO2646" s="15" t="n">
        <v>160</v>
      </c>
      <c r="DK2646" s="15" t="n">
        <v>160</v>
      </c>
      <c r="EG2646" s="15" t="n">
        <v>160</v>
      </c>
      <c r="FC2646" s="15" t="n">
        <v>160</v>
      </c>
      <c r="FY2646" s="15" t="n">
        <v>160</v>
      </c>
      <c r="GU2646" s="15" t="n">
        <v>160</v>
      </c>
    </row>
    <row r="2647">
      <c r="C2647" s="15" t="n">
        <v>161</v>
      </c>
      <c r="AA2647" s="15" t="n">
        <v>161</v>
      </c>
      <c r="AW2647" s="15" t="n">
        <v>161</v>
      </c>
      <c r="BS2647" s="15" t="n">
        <v>161</v>
      </c>
      <c r="CO2647" s="15" t="n">
        <v>161</v>
      </c>
      <c r="DK2647" s="15" t="n">
        <v>161</v>
      </c>
      <c r="EG2647" s="15" t="n">
        <v>161</v>
      </c>
      <c r="FC2647" s="15" t="n">
        <v>161</v>
      </c>
      <c r="FY2647" s="15" t="n">
        <v>161</v>
      </c>
      <c r="GU2647" s="15" t="n">
        <v>161</v>
      </c>
    </row>
    <row r="2648">
      <c r="C2648" s="15" t="n">
        <v>162</v>
      </c>
      <c r="AA2648" s="15" t="n">
        <v>162</v>
      </c>
      <c r="AW2648" s="15" t="n">
        <v>162</v>
      </c>
      <c r="BS2648" s="15" t="n">
        <v>162</v>
      </c>
      <c r="CO2648" s="15" t="n">
        <v>162</v>
      </c>
      <c r="DK2648" s="15" t="n">
        <v>162</v>
      </c>
      <c r="EG2648" s="15" t="n">
        <v>162</v>
      </c>
      <c r="FC2648" s="15" t="n">
        <v>162</v>
      </c>
      <c r="FY2648" s="15" t="n">
        <v>162</v>
      </c>
      <c r="GU2648" s="15" t="n">
        <v>162</v>
      </c>
    </row>
    <row r="2649">
      <c r="C2649" s="15" t="n">
        <v>163</v>
      </c>
      <c r="AA2649" s="15" t="n">
        <v>163</v>
      </c>
      <c r="AW2649" s="15" t="n">
        <v>163</v>
      </c>
      <c r="BS2649" s="15" t="n">
        <v>163</v>
      </c>
      <c r="CO2649" s="15" t="n">
        <v>163</v>
      </c>
      <c r="DK2649" s="15" t="n">
        <v>163</v>
      </c>
      <c r="EG2649" s="15" t="n">
        <v>163</v>
      </c>
      <c r="FC2649" s="15" t="n">
        <v>163</v>
      </c>
      <c r="FY2649" s="15" t="n">
        <v>163</v>
      </c>
      <c r="GU2649" s="15" t="n">
        <v>163</v>
      </c>
    </row>
    <row r="2650">
      <c r="C2650" s="15" t="n">
        <v>164</v>
      </c>
      <c r="AA2650" s="15" t="n">
        <v>164</v>
      </c>
      <c r="AW2650" s="15" t="n">
        <v>164</v>
      </c>
      <c r="BS2650" s="15" t="n">
        <v>164</v>
      </c>
      <c r="CO2650" s="15" t="n">
        <v>164</v>
      </c>
      <c r="DK2650" s="15" t="n">
        <v>164</v>
      </c>
      <c r="EG2650" s="15" t="n">
        <v>164</v>
      </c>
      <c r="FC2650" s="15" t="n">
        <v>164</v>
      </c>
      <c r="FY2650" s="15" t="n">
        <v>164</v>
      </c>
      <c r="GU2650" s="15" t="n">
        <v>164</v>
      </c>
    </row>
    <row r="2651">
      <c r="C2651" s="15" t="n">
        <v>165</v>
      </c>
      <c r="AA2651" s="15" t="n">
        <v>165</v>
      </c>
      <c r="AW2651" s="15" t="n">
        <v>165</v>
      </c>
      <c r="BS2651" s="15" t="n">
        <v>165</v>
      </c>
      <c r="CO2651" s="15" t="n">
        <v>165</v>
      </c>
      <c r="DK2651" s="15" t="n">
        <v>165</v>
      </c>
      <c r="EG2651" s="15" t="n">
        <v>165</v>
      </c>
      <c r="FC2651" s="15" t="n">
        <v>165</v>
      </c>
      <c r="FY2651" s="15" t="n">
        <v>165</v>
      </c>
      <c r="GU2651" s="15" t="n">
        <v>165</v>
      </c>
    </row>
    <row r="2652">
      <c r="C2652" s="15" t="n">
        <v>166</v>
      </c>
      <c r="AA2652" s="15" t="n">
        <v>166</v>
      </c>
      <c r="AW2652" s="15" t="n">
        <v>166</v>
      </c>
      <c r="BS2652" s="15" t="n">
        <v>166</v>
      </c>
      <c r="CO2652" s="15" t="n">
        <v>166</v>
      </c>
      <c r="DK2652" s="15" t="n">
        <v>166</v>
      </c>
      <c r="EG2652" s="15" t="n">
        <v>166</v>
      </c>
      <c r="FC2652" s="15" t="n">
        <v>166</v>
      </c>
      <c r="FY2652" s="15" t="n">
        <v>166</v>
      </c>
      <c r="GU2652" s="15" t="n">
        <v>166</v>
      </c>
    </row>
    <row r="2653">
      <c r="C2653" s="15" t="n">
        <v>167</v>
      </c>
      <c r="AA2653" s="15" t="n">
        <v>167</v>
      </c>
      <c r="AW2653" s="15" t="n">
        <v>167</v>
      </c>
      <c r="BS2653" s="15" t="n">
        <v>167</v>
      </c>
      <c r="CO2653" s="15" t="n">
        <v>167</v>
      </c>
      <c r="DK2653" s="15" t="n">
        <v>167</v>
      </c>
      <c r="EG2653" s="15" t="n">
        <v>167</v>
      </c>
      <c r="FC2653" s="15" t="n">
        <v>167</v>
      </c>
      <c r="FY2653" s="15" t="n">
        <v>167</v>
      </c>
      <c r="GU2653" s="15" t="n">
        <v>167</v>
      </c>
    </row>
    <row r="2654">
      <c r="C2654" s="15" t="n">
        <v>168</v>
      </c>
      <c r="AA2654" s="15" t="n">
        <v>168</v>
      </c>
      <c r="AW2654" s="15" t="n">
        <v>168</v>
      </c>
      <c r="BS2654" s="15" t="n">
        <v>168</v>
      </c>
      <c r="CO2654" s="15" t="n">
        <v>168</v>
      </c>
      <c r="DK2654" s="15" t="n">
        <v>168</v>
      </c>
      <c r="EG2654" s="15" t="n">
        <v>168</v>
      </c>
      <c r="FC2654" s="15" t="n">
        <v>168</v>
      </c>
      <c r="FY2654" s="15" t="n">
        <v>168</v>
      </c>
      <c r="GU2654" s="15" t="n">
        <v>168</v>
      </c>
    </row>
    <row r="2655">
      <c r="C2655" s="15" t="n">
        <v>169</v>
      </c>
      <c r="AA2655" s="15" t="n">
        <v>169</v>
      </c>
      <c r="AW2655" s="15" t="n">
        <v>169</v>
      </c>
      <c r="BS2655" s="15" t="n">
        <v>169</v>
      </c>
      <c r="CO2655" s="15" t="n">
        <v>169</v>
      </c>
      <c r="DK2655" s="15" t="n">
        <v>169</v>
      </c>
      <c r="EG2655" s="15" t="n">
        <v>169</v>
      </c>
      <c r="FC2655" s="15" t="n">
        <v>169</v>
      </c>
      <c r="FY2655" s="15" t="n">
        <v>169</v>
      </c>
      <c r="GU2655" s="15" t="n">
        <v>169</v>
      </c>
    </row>
    <row r="2656">
      <c r="C2656" s="15" t="n">
        <v>170</v>
      </c>
      <c r="AA2656" s="15" t="n">
        <v>170</v>
      </c>
      <c r="AW2656" s="15" t="n">
        <v>170</v>
      </c>
      <c r="BS2656" s="15" t="n">
        <v>170</v>
      </c>
      <c r="CO2656" s="15" t="n">
        <v>170</v>
      </c>
      <c r="DK2656" s="15" t="n">
        <v>170</v>
      </c>
      <c r="EG2656" s="15" t="n">
        <v>170</v>
      </c>
      <c r="FC2656" s="15" t="n">
        <v>170</v>
      </c>
      <c r="FY2656" s="15" t="n">
        <v>170</v>
      </c>
      <c r="GU2656" s="15" t="n">
        <v>170</v>
      </c>
    </row>
    <row r="2657">
      <c r="C2657" s="15" t="n">
        <v>171</v>
      </c>
      <c r="AA2657" s="15" t="n">
        <v>171</v>
      </c>
      <c r="AW2657" s="15" t="n">
        <v>171</v>
      </c>
      <c r="BS2657" s="15" t="n">
        <v>171</v>
      </c>
      <c r="CO2657" s="15" t="n">
        <v>171</v>
      </c>
      <c r="DK2657" s="15" t="n">
        <v>171</v>
      </c>
      <c r="EG2657" s="15" t="n">
        <v>171</v>
      </c>
      <c r="FC2657" s="15" t="n">
        <v>171</v>
      </c>
      <c r="FY2657" s="15" t="n">
        <v>171</v>
      </c>
      <c r="GU2657" s="15" t="n">
        <v>171</v>
      </c>
    </row>
    <row r="2658">
      <c r="C2658" s="15" t="n">
        <v>172</v>
      </c>
      <c r="AA2658" s="15" t="n">
        <v>172</v>
      </c>
      <c r="AW2658" s="15" t="n">
        <v>172</v>
      </c>
      <c r="BS2658" s="15" t="n">
        <v>172</v>
      </c>
      <c r="CO2658" s="15" t="n">
        <v>172</v>
      </c>
      <c r="DK2658" s="15" t="n">
        <v>172</v>
      </c>
      <c r="EG2658" s="15" t="n">
        <v>172</v>
      </c>
      <c r="FC2658" s="15" t="n">
        <v>172</v>
      </c>
      <c r="FY2658" s="15" t="n">
        <v>172</v>
      </c>
      <c r="GU2658" s="15" t="n">
        <v>172</v>
      </c>
    </row>
    <row r="2659">
      <c r="C2659" s="15" t="n">
        <v>173</v>
      </c>
      <c r="AA2659" s="15" t="n">
        <v>173</v>
      </c>
      <c r="AW2659" s="15" t="n">
        <v>173</v>
      </c>
      <c r="BS2659" s="15" t="n">
        <v>173</v>
      </c>
      <c r="CO2659" s="15" t="n">
        <v>173</v>
      </c>
      <c r="DK2659" s="15" t="n">
        <v>173</v>
      </c>
      <c r="EG2659" s="15" t="n">
        <v>173</v>
      </c>
      <c r="FC2659" s="15" t="n">
        <v>173</v>
      </c>
      <c r="FY2659" s="15" t="n">
        <v>173</v>
      </c>
      <c r="GU2659" s="15" t="n">
        <v>173</v>
      </c>
    </row>
    <row r="2660">
      <c r="C2660" s="15" t="n">
        <v>174</v>
      </c>
      <c r="AA2660" s="15" t="n">
        <v>174</v>
      </c>
      <c r="AW2660" s="15" t="n">
        <v>174</v>
      </c>
      <c r="BS2660" s="15" t="n">
        <v>174</v>
      </c>
      <c r="CO2660" s="15" t="n">
        <v>174</v>
      </c>
      <c r="DK2660" s="15" t="n">
        <v>174</v>
      </c>
      <c r="EG2660" s="15" t="n">
        <v>174</v>
      </c>
      <c r="FC2660" s="15" t="n">
        <v>174</v>
      </c>
      <c r="FY2660" s="15" t="n">
        <v>174</v>
      </c>
      <c r="GU2660" s="15" t="n">
        <v>174</v>
      </c>
    </row>
    <row r="2661">
      <c r="C2661" s="15" t="n">
        <v>175</v>
      </c>
      <c r="AA2661" s="15" t="n">
        <v>175</v>
      </c>
      <c r="AW2661" s="15" t="n">
        <v>175</v>
      </c>
      <c r="BS2661" s="15" t="n">
        <v>175</v>
      </c>
      <c r="CO2661" s="15" t="n">
        <v>175</v>
      </c>
      <c r="DK2661" s="15" t="n">
        <v>175</v>
      </c>
      <c r="EG2661" s="15" t="n">
        <v>175</v>
      </c>
      <c r="FC2661" s="15" t="n">
        <v>175</v>
      </c>
      <c r="FY2661" s="15" t="n">
        <v>175</v>
      </c>
      <c r="GU2661" s="15" t="n">
        <v>175</v>
      </c>
    </row>
    <row r="2662">
      <c r="C2662" s="15" t="n">
        <v>176</v>
      </c>
      <c r="AA2662" s="15" t="n">
        <v>176</v>
      </c>
      <c r="AW2662" s="15" t="n">
        <v>176</v>
      </c>
      <c r="BS2662" s="15" t="n">
        <v>176</v>
      </c>
      <c r="CO2662" s="15" t="n">
        <v>176</v>
      </c>
      <c r="DK2662" s="15" t="n">
        <v>176</v>
      </c>
      <c r="EG2662" s="15" t="n">
        <v>176</v>
      </c>
      <c r="FC2662" s="15" t="n">
        <v>176</v>
      </c>
      <c r="FY2662" s="15" t="n">
        <v>176</v>
      </c>
      <c r="GU2662" s="15" t="n">
        <v>176</v>
      </c>
    </row>
    <row r="2663">
      <c r="C2663" s="15" t="n">
        <v>177</v>
      </c>
      <c r="AA2663" s="15" t="n">
        <v>177</v>
      </c>
      <c r="AW2663" s="15" t="n">
        <v>177</v>
      </c>
      <c r="BS2663" s="15" t="n">
        <v>177</v>
      </c>
      <c r="CO2663" s="15" t="n">
        <v>177</v>
      </c>
      <c r="DK2663" s="15" t="n">
        <v>177</v>
      </c>
      <c r="EG2663" s="15" t="n">
        <v>177</v>
      </c>
      <c r="FC2663" s="15" t="n">
        <v>177</v>
      </c>
      <c r="FY2663" s="15" t="n">
        <v>177</v>
      </c>
      <c r="GU2663" s="15" t="n">
        <v>177</v>
      </c>
    </row>
    <row r="2664">
      <c r="C2664" s="15" t="n">
        <v>178</v>
      </c>
      <c r="AA2664" s="15" t="n">
        <v>178</v>
      </c>
      <c r="AW2664" s="15" t="n">
        <v>178</v>
      </c>
      <c r="BS2664" s="15" t="n">
        <v>178</v>
      </c>
      <c r="CO2664" s="15" t="n">
        <v>178</v>
      </c>
      <c r="DK2664" s="15" t="n">
        <v>178</v>
      </c>
      <c r="EG2664" s="15" t="n">
        <v>178</v>
      </c>
      <c r="FC2664" s="15" t="n">
        <v>178</v>
      </c>
      <c r="FY2664" s="15" t="n">
        <v>178</v>
      </c>
      <c r="GU2664" s="15" t="n">
        <v>178</v>
      </c>
    </row>
    <row r="2665">
      <c r="C2665" s="15" t="n">
        <v>179</v>
      </c>
      <c r="AA2665" s="15" t="n">
        <v>179</v>
      </c>
      <c r="AW2665" s="15" t="n">
        <v>179</v>
      </c>
      <c r="BS2665" s="15" t="n">
        <v>179</v>
      </c>
      <c r="CO2665" s="15" t="n">
        <v>179</v>
      </c>
      <c r="DK2665" s="15" t="n">
        <v>179</v>
      </c>
      <c r="EG2665" s="15" t="n">
        <v>179</v>
      </c>
      <c r="FC2665" s="15" t="n">
        <v>179</v>
      </c>
      <c r="FY2665" s="15" t="n">
        <v>179</v>
      </c>
      <c r="GU2665" s="15" t="n">
        <v>179</v>
      </c>
    </row>
    <row r="2666">
      <c r="C2666" s="15" t="n">
        <v>180</v>
      </c>
      <c r="AA2666" s="15" t="n">
        <v>180</v>
      </c>
      <c r="AW2666" s="15" t="n">
        <v>180</v>
      </c>
      <c r="BS2666" s="15" t="n">
        <v>180</v>
      </c>
      <c r="CO2666" s="15" t="n">
        <v>180</v>
      </c>
      <c r="DK2666" s="15" t="n">
        <v>180</v>
      </c>
      <c r="EG2666" s="15" t="n">
        <v>180</v>
      </c>
      <c r="FC2666" s="15" t="n">
        <v>180</v>
      </c>
      <c r="FY2666" s="15" t="n">
        <v>180</v>
      </c>
      <c r="GU2666" s="15" t="n">
        <v>180</v>
      </c>
    </row>
    <row r="2667">
      <c r="C2667" s="15" t="n">
        <v>181</v>
      </c>
      <c r="AA2667" s="15" t="n">
        <v>181</v>
      </c>
      <c r="AW2667" s="15" t="n">
        <v>181</v>
      </c>
      <c r="BS2667" s="15" t="n">
        <v>181</v>
      </c>
      <c r="CO2667" s="15" t="n">
        <v>181</v>
      </c>
      <c r="DK2667" s="15" t="n">
        <v>181</v>
      </c>
      <c r="EG2667" s="15" t="n">
        <v>181</v>
      </c>
      <c r="FC2667" s="15" t="n">
        <v>181</v>
      </c>
      <c r="FY2667" s="15" t="n">
        <v>181</v>
      </c>
      <c r="GU2667" s="15" t="n">
        <v>181</v>
      </c>
    </row>
    <row r="2668">
      <c r="C2668" s="15" t="n">
        <v>182</v>
      </c>
      <c r="AA2668" s="15" t="n">
        <v>182</v>
      </c>
      <c r="AW2668" s="15" t="n">
        <v>182</v>
      </c>
      <c r="BS2668" s="15" t="n">
        <v>182</v>
      </c>
      <c r="CO2668" s="15" t="n">
        <v>182</v>
      </c>
      <c r="DK2668" s="15" t="n">
        <v>182</v>
      </c>
      <c r="EG2668" s="15" t="n">
        <v>182</v>
      </c>
      <c r="FC2668" s="15" t="n">
        <v>182</v>
      </c>
      <c r="FY2668" s="15" t="n">
        <v>182</v>
      </c>
      <c r="GU2668" s="15" t="n">
        <v>182</v>
      </c>
    </row>
    <row r="2669">
      <c r="C2669" s="15" t="n">
        <v>183</v>
      </c>
      <c r="AA2669" s="15" t="n">
        <v>183</v>
      </c>
      <c r="AW2669" s="15" t="n">
        <v>183</v>
      </c>
      <c r="BS2669" s="15" t="n">
        <v>183</v>
      </c>
      <c r="CO2669" s="15" t="n">
        <v>183</v>
      </c>
      <c r="DK2669" s="15" t="n">
        <v>183</v>
      </c>
      <c r="EG2669" s="15" t="n">
        <v>183</v>
      </c>
      <c r="FC2669" s="15" t="n">
        <v>183</v>
      </c>
      <c r="FY2669" s="15" t="n">
        <v>183</v>
      </c>
      <c r="GU2669" s="15" t="n">
        <v>183</v>
      </c>
    </row>
    <row r="2670">
      <c r="C2670" s="15" t="n">
        <v>184</v>
      </c>
      <c r="AA2670" s="15" t="n">
        <v>184</v>
      </c>
      <c r="AW2670" s="15" t="n">
        <v>184</v>
      </c>
      <c r="BS2670" s="15" t="n">
        <v>184</v>
      </c>
      <c r="CO2670" s="15" t="n">
        <v>184</v>
      </c>
      <c r="DK2670" s="15" t="n">
        <v>184</v>
      </c>
      <c r="EG2670" s="15" t="n">
        <v>184</v>
      </c>
      <c r="FC2670" s="15" t="n">
        <v>184</v>
      </c>
      <c r="FY2670" s="15" t="n">
        <v>184</v>
      </c>
      <c r="GU2670" s="15" t="n">
        <v>184</v>
      </c>
    </row>
    <row r="2671">
      <c r="C2671" s="15" t="n">
        <v>185</v>
      </c>
      <c r="AA2671" s="15" t="n">
        <v>185</v>
      </c>
      <c r="AW2671" s="15" t="n">
        <v>185</v>
      </c>
      <c r="BS2671" s="15" t="n">
        <v>185</v>
      </c>
      <c r="CO2671" s="15" t="n">
        <v>185</v>
      </c>
      <c r="DK2671" s="15" t="n">
        <v>185</v>
      </c>
      <c r="EG2671" s="15" t="n">
        <v>185</v>
      </c>
      <c r="FC2671" s="15" t="n">
        <v>185</v>
      </c>
      <c r="FY2671" s="15" t="n">
        <v>185</v>
      </c>
      <c r="GU2671" s="15" t="n">
        <v>185</v>
      </c>
    </row>
    <row r="2672">
      <c r="C2672" s="15" t="n">
        <v>186</v>
      </c>
      <c r="AA2672" s="15" t="n">
        <v>186</v>
      </c>
      <c r="AW2672" s="15" t="n">
        <v>186</v>
      </c>
      <c r="BS2672" s="15" t="n">
        <v>186</v>
      </c>
      <c r="CO2672" s="15" t="n">
        <v>186</v>
      </c>
      <c r="DK2672" s="15" t="n">
        <v>186</v>
      </c>
      <c r="EG2672" s="15" t="n">
        <v>186</v>
      </c>
      <c r="FC2672" s="15" t="n">
        <v>186</v>
      </c>
      <c r="FY2672" s="15" t="n">
        <v>186</v>
      </c>
      <c r="GU2672" s="15" t="n">
        <v>186</v>
      </c>
    </row>
    <row r="2673">
      <c r="C2673" s="15" t="n">
        <v>187</v>
      </c>
      <c r="AA2673" s="15" t="n">
        <v>187</v>
      </c>
      <c r="AW2673" s="15" t="n">
        <v>187</v>
      </c>
      <c r="BS2673" s="15" t="n">
        <v>187</v>
      </c>
      <c r="CO2673" s="15" t="n">
        <v>187</v>
      </c>
      <c r="DK2673" s="15" t="n">
        <v>187</v>
      </c>
      <c r="EG2673" s="15" t="n">
        <v>187</v>
      </c>
      <c r="FC2673" s="15" t="n">
        <v>187</v>
      </c>
      <c r="FY2673" s="15" t="n">
        <v>187</v>
      </c>
      <c r="GU2673" s="15" t="n">
        <v>187</v>
      </c>
    </row>
    <row r="2674">
      <c r="C2674" s="15" t="n">
        <v>188</v>
      </c>
      <c r="AA2674" s="15" t="n">
        <v>188</v>
      </c>
      <c r="AW2674" s="15" t="n">
        <v>188</v>
      </c>
      <c r="BS2674" s="15" t="n">
        <v>188</v>
      </c>
      <c r="CO2674" s="15" t="n">
        <v>188</v>
      </c>
      <c r="DK2674" s="15" t="n">
        <v>188</v>
      </c>
      <c r="EG2674" s="15" t="n">
        <v>188</v>
      </c>
      <c r="FC2674" s="15" t="n">
        <v>188</v>
      </c>
      <c r="FY2674" s="15" t="n">
        <v>188</v>
      </c>
      <c r="GU2674" s="15" t="n">
        <v>188</v>
      </c>
    </row>
    <row r="2675">
      <c r="C2675" s="15" t="n">
        <v>189</v>
      </c>
      <c r="AA2675" s="15" t="n">
        <v>189</v>
      </c>
      <c r="AW2675" s="15" t="n">
        <v>189</v>
      </c>
      <c r="BS2675" s="15" t="n">
        <v>189</v>
      </c>
      <c r="CO2675" s="15" t="n">
        <v>189</v>
      </c>
      <c r="DK2675" s="15" t="n">
        <v>189</v>
      </c>
      <c r="EG2675" s="15" t="n">
        <v>189</v>
      </c>
      <c r="FC2675" s="15" t="n">
        <v>189</v>
      </c>
      <c r="FY2675" s="15" t="n">
        <v>189</v>
      </c>
      <c r="GU2675" s="15" t="n">
        <v>189</v>
      </c>
    </row>
    <row r="2676">
      <c r="C2676" s="15" t="n">
        <v>190</v>
      </c>
      <c r="AA2676" s="15" t="n">
        <v>190</v>
      </c>
      <c r="AW2676" s="15" t="n">
        <v>190</v>
      </c>
      <c r="BS2676" s="15" t="n">
        <v>190</v>
      </c>
      <c r="CO2676" s="15" t="n">
        <v>190</v>
      </c>
      <c r="DK2676" s="15" t="n">
        <v>190</v>
      </c>
      <c r="EG2676" s="15" t="n">
        <v>190</v>
      </c>
      <c r="FC2676" s="15" t="n">
        <v>190</v>
      </c>
      <c r="FY2676" s="15" t="n">
        <v>190</v>
      </c>
      <c r="GU2676" s="15" t="n">
        <v>190</v>
      </c>
    </row>
    <row r="2677">
      <c r="C2677" s="15" t="n">
        <v>191</v>
      </c>
      <c r="AA2677" s="15" t="n">
        <v>191</v>
      </c>
      <c r="AW2677" s="15" t="n">
        <v>191</v>
      </c>
      <c r="BS2677" s="15" t="n">
        <v>191</v>
      </c>
      <c r="CO2677" s="15" t="n">
        <v>191</v>
      </c>
      <c r="DK2677" s="15" t="n">
        <v>191</v>
      </c>
      <c r="EG2677" s="15" t="n">
        <v>191</v>
      </c>
      <c r="FC2677" s="15" t="n">
        <v>191</v>
      </c>
      <c r="FY2677" s="15" t="n">
        <v>191</v>
      </c>
      <c r="GU2677" s="15" t="n">
        <v>191</v>
      </c>
    </row>
    <row r="2678">
      <c r="C2678" s="15" t="n">
        <v>192</v>
      </c>
      <c r="AA2678" s="15" t="n">
        <v>192</v>
      </c>
      <c r="AW2678" s="15" t="n">
        <v>192</v>
      </c>
      <c r="BS2678" s="15" t="n">
        <v>192</v>
      </c>
      <c r="CO2678" s="15" t="n">
        <v>192</v>
      </c>
      <c r="DK2678" s="15" t="n">
        <v>192</v>
      </c>
      <c r="EG2678" s="15" t="n">
        <v>192</v>
      </c>
      <c r="FC2678" s="15" t="n">
        <v>192</v>
      </c>
      <c r="FY2678" s="15" t="n">
        <v>192</v>
      </c>
      <c r="GU2678" s="15" t="n">
        <v>192</v>
      </c>
    </row>
    <row r="2679">
      <c r="C2679" s="15" t="n">
        <v>193</v>
      </c>
      <c r="AA2679" s="15" t="n">
        <v>193</v>
      </c>
      <c r="AW2679" s="15" t="n">
        <v>193</v>
      </c>
      <c r="BS2679" s="15" t="n">
        <v>193</v>
      </c>
      <c r="CO2679" s="15" t="n">
        <v>193</v>
      </c>
      <c r="DK2679" s="15" t="n">
        <v>193</v>
      </c>
      <c r="EG2679" s="15" t="n">
        <v>193</v>
      </c>
      <c r="FC2679" s="15" t="n">
        <v>193</v>
      </c>
      <c r="FY2679" s="15" t="n">
        <v>193</v>
      </c>
      <c r="GU2679" s="15" t="n">
        <v>193</v>
      </c>
    </row>
    <row r="2680">
      <c r="C2680" s="15" t="n">
        <v>194</v>
      </c>
      <c r="AA2680" s="15" t="n">
        <v>194</v>
      </c>
      <c r="AW2680" s="15" t="n">
        <v>194</v>
      </c>
      <c r="BS2680" s="15" t="n">
        <v>194</v>
      </c>
      <c r="CO2680" s="15" t="n">
        <v>194</v>
      </c>
      <c r="DK2680" s="15" t="n">
        <v>194</v>
      </c>
      <c r="EG2680" s="15" t="n">
        <v>194</v>
      </c>
      <c r="FC2680" s="15" t="n">
        <v>194</v>
      </c>
      <c r="FY2680" s="15" t="n">
        <v>194</v>
      </c>
      <c r="GU2680" s="15" t="n">
        <v>194</v>
      </c>
    </row>
    <row r="2681">
      <c r="C2681" s="15" t="n">
        <v>195</v>
      </c>
      <c r="AA2681" s="15" t="n">
        <v>195</v>
      </c>
      <c r="AW2681" s="15" t="n">
        <v>195</v>
      </c>
      <c r="BS2681" s="15" t="n">
        <v>195</v>
      </c>
      <c r="CO2681" s="15" t="n">
        <v>195</v>
      </c>
      <c r="DK2681" s="15" t="n">
        <v>195</v>
      </c>
      <c r="EG2681" s="15" t="n">
        <v>195</v>
      </c>
      <c r="FC2681" s="15" t="n">
        <v>195</v>
      </c>
      <c r="FY2681" s="15" t="n">
        <v>195</v>
      </c>
      <c r="GU2681" s="15" t="n">
        <v>195</v>
      </c>
    </row>
    <row r="2682">
      <c r="C2682" s="15" t="n">
        <v>196</v>
      </c>
      <c r="AA2682" s="15" t="n">
        <v>196</v>
      </c>
      <c r="AW2682" s="15" t="n">
        <v>196</v>
      </c>
      <c r="BS2682" s="15" t="n">
        <v>196</v>
      </c>
      <c r="CO2682" s="15" t="n">
        <v>196</v>
      </c>
      <c r="DK2682" s="15" t="n">
        <v>196</v>
      </c>
      <c r="EG2682" s="15" t="n">
        <v>196</v>
      </c>
      <c r="FC2682" s="15" t="n">
        <v>196</v>
      </c>
      <c r="FY2682" s="15" t="n">
        <v>196</v>
      </c>
      <c r="GU2682" s="15" t="n">
        <v>196</v>
      </c>
    </row>
    <row r="2683">
      <c r="C2683" s="15" t="n">
        <v>197</v>
      </c>
      <c r="AA2683" s="15" t="n">
        <v>197</v>
      </c>
      <c r="AW2683" s="15" t="n">
        <v>197</v>
      </c>
      <c r="BS2683" s="15" t="n">
        <v>197</v>
      </c>
      <c r="CO2683" s="15" t="n">
        <v>197</v>
      </c>
      <c r="DK2683" s="15" t="n">
        <v>197</v>
      </c>
      <c r="EG2683" s="15" t="n">
        <v>197</v>
      </c>
      <c r="FC2683" s="15" t="n">
        <v>197</v>
      </c>
      <c r="FY2683" s="15" t="n">
        <v>197</v>
      </c>
      <c r="GU2683" s="15" t="n">
        <v>197</v>
      </c>
    </row>
    <row r="2684">
      <c r="C2684" s="15" t="n">
        <v>198</v>
      </c>
      <c r="AA2684" s="15" t="n">
        <v>198</v>
      </c>
      <c r="AW2684" s="15" t="n">
        <v>198</v>
      </c>
      <c r="BS2684" s="15" t="n">
        <v>198</v>
      </c>
      <c r="CO2684" s="15" t="n">
        <v>198</v>
      </c>
      <c r="DK2684" s="15" t="n">
        <v>198</v>
      </c>
      <c r="EG2684" s="15" t="n">
        <v>198</v>
      </c>
      <c r="FC2684" s="15" t="n">
        <v>198</v>
      </c>
      <c r="FY2684" s="15" t="n">
        <v>198</v>
      </c>
      <c r="GU2684" s="15" t="n">
        <v>198</v>
      </c>
    </row>
    <row r="2686">
      <c r="B2686" s="15" t="inlineStr">
        <is>
          <t>Parâmetros p/ σx</t>
        </is>
      </c>
      <c r="C2686" s="15" t="inlineStr">
        <is>
          <t>Desvpad(Var(S2nd))</t>
        </is>
      </c>
      <c r="D2686" s="15" t="n">
        <v>22</v>
      </c>
      <c r="E2686" s="15" t="n">
        <v>23</v>
      </c>
      <c r="F2686" s="15" t="n">
        <v>24</v>
      </c>
      <c r="Z2686" s="15" t="inlineStr">
        <is>
          <t>Parâmetros p/ σx</t>
        </is>
      </c>
      <c r="AA2686" s="15" t="inlineStr">
        <is>
          <t>Desvpad(Var(S2nd))</t>
        </is>
      </c>
      <c r="AB2686" s="15" t="n">
        <v>22</v>
      </c>
      <c r="AC2686" s="15" t="n">
        <v>23</v>
      </c>
      <c r="AD2686" s="15" t="n">
        <v>24</v>
      </c>
      <c r="AV2686" s="15" t="inlineStr">
        <is>
          <t>Parâmetros p/ σx</t>
        </is>
      </c>
      <c r="AW2686" s="15" t="inlineStr">
        <is>
          <t>Desvpad(Var(S2nd))</t>
        </is>
      </c>
      <c r="AX2686" s="15" t="n">
        <v>22</v>
      </c>
      <c r="AY2686" s="15" t="n">
        <v>23</v>
      </c>
      <c r="AZ2686" s="15" t="n">
        <v>24</v>
      </c>
      <c r="BR2686" s="15" t="inlineStr">
        <is>
          <t>Parâmetros p/ σx</t>
        </is>
      </c>
      <c r="BS2686" s="15" t="inlineStr">
        <is>
          <t>Desvpad(Var(S2nd))</t>
        </is>
      </c>
      <c r="BT2686" s="15" t="n">
        <v>22</v>
      </c>
      <c r="BU2686" s="15" t="n">
        <v>23</v>
      </c>
      <c r="BV2686" s="15" t="n">
        <v>24</v>
      </c>
      <c r="CN2686" s="15" t="inlineStr">
        <is>
          <t>Parâmetros p/ σx</t>
        </is>
      </c>
      <c r="CO2686" s="15" t="inlineStr">
        <is>
          <t>Desvpad(Var(S2nd))</t>
        </is>
      </c>
      <c r="CP2686" s="15" t="n">
        <v>22</v>
      </c>
      <c r="CQ2686" s="15" t="n">
        <v>23</v>
      </c>
      <c r="CR2686" s="15" t="n">
        <v>24</v>
      </c>
      <c r="DJ2686" s="15" t="inlineStr">
        <is>
          <t>Parâmetros p/ σx</t>
        </is>
      </c>
      <c r="DK2686" s="15" t="inlineStr">
        <is>
          <t>Desvpad(Var(S2nd))</t>
        </is>
      </c>
      <c r="DL2686" s="15" t="n">
        <v>22</v>
      </c>
      <c r="DM2686" s="15" t="n">
        <v>23</v>
      </c>
      <c r="DN2686" s="15" t="n">
        <v>24</v>
      </c>
      <c r="EF2686" s="15" t="inlineStr">
        <is>
          <t>Parâmetros p/ σx</t>
        </is>
      </c>
      <c r="EG2686" s="15" t="inlineStr">
        <is>
          <t>Desvpad(Var(S2nd))</t>
        </is>
      </c>
      <c r="EH2686" s="15" t="n">
        <v>22</v>
      </c>
      <c r="EI2686" s="15" t="n">
        <v>23</v>
      </c>
      <c r="EJ2686" s="15" t="n">
        <v>24</v>
      </c>
      <c r="FB2686" s="15" t="inlineStr">
        <is>
          <t>Parâmetros p/ σx</t>
        </is>
      </c>
      <c r="FC2686" s="15" t="inlineStr">
        <is>
          <t>Desvpad(Var(S2nd))</t>
        </is>
      </c>
      <c r="FD2686" s="15" t="n">
        <v>22</v>
      </c>
      <c r="FE2686" s="15" t="n">
        <v>23</v>
      </c>
      <c r="FF2686" s="15" t="n">
        <v>24</v>
      </c>
      <c r="FX2686" s="15" t="inlineStr">
        <is>
          <t>Parâmetros p/ σx</t>
        </is>
      </c>
      <c r="FY2686" s="15" t="inlineStr">
        <is>
          <t>Desvpad(Var(S2nd))</t>
        </is>
      </c>
      <c r="FZ2686" s="15" t="n">
        <v>22</v>
      </c>
      <c r="GA2686" s="15" t="n">
        <v>23</v>
      </c>
      <c r="GB2686" s="15" t="n">
        <v>24</v>
      </c>
      <c r="GT2686" s="15" t="inlineStr">
        <is>
          <t>Parâmetros p/ σx</t>
        </is>
      </c>
      <c r="GU2686" s="15" t="inlineStr">
        <is>
          <t>Desvpad(Var(S2nd))</t>
        </is>
      </c>
      <c r="GV2686" s="15" t="n">
        <v>22</v>
      </c>
      <c r="GW2686" s="15" t="n">
        <v>23</v>
      </c>
      <c r="GX2686" s="15" t="n">
        <v>24</v>
      </c>
    </row>
    <row r="2687" ht="16.2" customHeight="1">
      <c r="B2687" s="15" t="inlineStr">
        <is>
          <t>S2nd</t>
        </is>
      </c>
      <c r="C2687" s="15" t="n">
        <v>9</v>
      </c>
      <c r="Z2687" s="15" t="inlineStr">
        <is>
          <t>S2nd</t>
        </is>
      </c>
      <c r="AA2687" s="15" t="n">
        <v>9</v>
      </c>
      <c r="AV2687" s="15" t="inlineStr">
        <is>
          <t>S2nd</t>
        </is>
      </c>
      <c r="AW2687" s="15" t="n">
        <v>9</v>
      </c>
      <c r="BR2687" s="15" t="inlineStr">
        <is>
          <t>S2nd</t>
        </is>
      </c>
      <c r="BS2687" s="15" t="n">
        <v>9</v>
      </c>
      <c r="CN2687" s="15" t="inlineStr">
        <is>
          <t>S2nd</t>
        </is>
      </c>
      <c r="CO2687" s="15" t="n">
        <v>9</v>
      </c>
      <c r="DJ2687" s="15" t="inlineStr">
        <is>
          <t>S2nd</t>
        </is>
      </c>
      <c r="DK2687" s="15" t="n">
        <v>9</v>
      </c>
      <c r="EF2687" s="15" t="inlineStr">
        <is>
          <t>S2nd</t>
        </is>
      </c>
      <c r="EG2687" s="15" t="n">
        <v>9</v>
      </c>
      <c r="FB2687" s="15" t="inlineStr">
        <is>
          <t>S2nd</t>
        </is>
      </c>
      <c r="FC2687" s="15" t="n">
        <v>9</v>
      </c>
      <c r="FX2687" s="15" t="inlineStr">
        <is>
          <t>S2nd</t>
        </is>
      </c>
      <c r="FY2687" s="15" t="n">
        <v>9</v>
      </c>
      <c r="GT2687" s="15" t="inlineStr">
        <is>
          <t>S2nd</t>
        </is>
      </c>
      <c r="GU2687" s="15" t="n">
        <v>9</v>
      </c>
    </row>
    <row r="2688">
      <c r="C2688" s="15" t="n">
        <v>10</v>
      </c>
      <c r="AA2688" s="15" t="n">
        <v>10</v>
      </c>
      <c r="AW2688" s="15" t="n">
        <v>10</v>
      </c>
      <c r="BS2688" s="15" t="n">
        <v>10</v>
      </c>
      <c r="CO2688" s="15" t="n">
        <v>10</v>
      </c>
      <c r="DK2688" s="15" t="n">
        <v>10</v>
      </c>
      <c r="EG2688" s="15" t="n">
        <v>10</v>
      </c>
      <c r="FC2688" s="15" t="n">
        <v>10</v>
      </c>
      <c r="FY2688" s="15" t="n">
        <v>10</v>
      </c>
      <c r="GU2688" s="15" t="n">
        <v>10</v>
      </c>
    </row>
    <row r="2689">
      <c r="C2689" s="15" t="n">
        <v>11</v>
      </c>
      <c r="AA2689" s="15" t="n">
        <v>11</v>
      </c>
      <c r="AW2689" s="15" t="n">
        <v>11</v>
      </c>
      <c r="BS2689" s="15" t="n">
        <v>11</v>
      </c>
      <c r="CO2689" s="15" t="n">
        <v>11</v>
      </c>
      <c r="DK2689" s="15" t="n">
        <v>11</v>
      </c>
      <c r="EG2689" s="15" t="n">
        <v>11</v>
      </c>
      <c r="FC2689" s="15" t="n">
        <v>11</v>
      </c>
      <c r="FY2689" s="15" t="n">
        <v>11</v>
      </c>
      <c r="GU2689" s="15" t="n">
        <v>11</v>
      </c>
    </row>
    <row r="2690">
      <c r="C2690" s="15" t="n">
        <v>12</v>
      </c>
      <c r="AA2690" s="15" t="n">
        <v>12</v>
      </c>
      <c r="AW2690" s="15" t="n">
        <v>12</v>
      </c>
      <c r="BS2690" s="15" t="n">
        <v>12</v>
      </c>
      <c r="CO2690" s="15" t="n">
        <v>12</v>
      </c>
      <c r="DK2690" s="15" t="n">
        <v>12</v>
      </c>
      <c r="EG2690" s="15" t="n">
        <v>12</v>
      </c>
      <c r="FC2690" s="15" t="n">
        <v>12</v>
      </c>
      <c r="FY2690" s="15" t="n">
        <v>12</v>
      </c>
      <c r="GU2690" s="15" t="n">
        <v>12</v>
      </c>
    </row>
    <row r="2691">
      <c r="C2691" s="15" t="n">
        <v>13</v>
      </c>
      <c r="AA2691" s="15" t="n">
        <v>13</v>
      </c>
      <c r="AW2691" s="15" t="n">
        <v>13</v>
      </c>
      <c r="BS2691" s="15" t="n">
        <v>13</v>
      </c>
      <c r="CO2691" s="15" t="n">
        <v>13</v>
      </c>
      <c r="DK2691" s="15" t="n">
        <v>13</v>
      </c>
      <c r="EG2691" s="15" t="n">
        <v>13</v>
      </c>
      <c r="FC2691" s="15" t="n">
        <v>13</v>
      </c>
      <c r="FY2691" s="15" t="n">
        <v>13</v>
      </c>
      <c r="GU2691" s="15" t="n">
        <v>13</v>
      </c>
    </row>
    <row r="2692">
      <c r="C2692" s="15" t="n">
        <v>14</v>
      </c>
      <c r="AA2692" s="15" t="n">
        <v>14</v>
      </c>
      <c r="AW2692" s="15" t="n">
        <v>14</v>
      </c>
      <c r="BS2692" s="15" t="n">
        <v>14</v>
      </c>
      <c r="CO2692" s="15" t="n">
        <v>14</v>
      </c>
      <c r="DK2692" s="15" t="n">
        <v>14</v>
      </c>
      <c r="EG2692" s="15" t="n">
        <v>14</v>
      </c>
      <c r="FC2692" s="15" t="n">
        <v>14</v>
      </c>
      <c r="FY2692" s="15" t="n">
        <v>14</v>
      </c>
      <c r="GU2692" s="15" t="n">
        <v>14</v>
      </c>
    </row>
    <row r="2693">
      <c r="C2693" s="15" t="n">
        <v>15</v>
      </c>
      <c r="AA2693" s="15" t="n">
        <v>15</v>
      </c>
      <c r="AW2693" s="15" t="n">
        <v>15</v>
      </c>
      <c r="BS2693" s="15" t="n">
        <v>15</v>
      </c>
      <c r="CO2693" s="15" t="n">
        <v>15</v>
      </c>
      <c r="DK2693" s="15" t="n">
        <v>15</v>
      </c>
      <c r="EG2693" s="15" t="n">
        <v>15</v>
      </c>
      <c r="FC2693" s="15" t="n">
        <v>15</v>
      </c>
      <c r="FY2693" s="15" t="n">
        <v>15</v>
      </c>
      <c r="GU2693" s="15" t="n">
        <v>15</v>
      </c>
    </row>
    <row r="2694">
      <c r="C2694" s="15" t="n">
        <v>16</v>
      </c>
      <c r="AA2694" s="15" t="n">
        <v>16</v>
      </c>
      <c r="AW2694" s="15" t="n">
        <v>16</v>
      </c>
      <c r="BS2694" s="15" t="n">
        <v>16</v>
      </c>
      <c r="CO2694" s="15" t="n">
        <v>16</v>
      </c>
      <c r="DK2694" s="15" t="n">
        <v>16</v>
      </c>
      <c r="EG2694" s="15" t="n">
        <v>16</v>
      </c>
      <c r="FC2694" s="15" t="n">
        <v>16</v>
      </c>
      <c r="FY2694" s="15" t="n">
        <v>16</v>
      </c>
      <c r="GU2694" s="15" t="n">
        <v>16</v>
      </c>
    </row>
    <row r="2695">
      <c r="C2695" s="15" t="n">
        <v>17</v>
      </c>
      <c r="AA2695" s="15" t="n">
        <v>17</v>
      </c>
      <c r="AW2695" s="15" t="n">
        <v>17</v>
      </c>
      <c r="BS2695" s="15" t="n">
        <v>17</v>
      </c>
      <c r="CO2695" s="15" t="n">
        <v>17</v>
      </c>
      <c r="DK2695" s="15" t="n">
        <v>17</v>
      </c>
      <c r="EG2695" s="15" t="n">
        <v>17</v>
      </c>
      <c r="FC2695" s="15" t="n">
        <v>17</v>
      </c>
      <c r="FY2695" s="15" t="n">
        <v>17</v>
      </c>
      <c r="GU2695" s="15" t="n">
        <v>17</v>
      </c>
    </row>
    <row r="2696">
      <c r="C2696" s="15" t="n">
        <v>18</v>
      </c>
      <c r="AA2696" s="15" t="n">
        <v>18</v>
      </c>
      <c r="AW2696" s="15" t="n">
        <v>18</v>
      </c>
      <c r="BS2696" s="15" t="n">
        <v>18</v>
      </c>
      <c r="CO2696" s="15" t="n">
        <v>18</v>
      </c>
      <c r="DK2696" s="15" t="n">
        <v>18</v>
      </c>
      <c r="EG2696" s="15" t="n">
        <v>18</v>
      </c>
      <c r="FC2696" s="15" t="n">
        <v>18</v>
      </c>
      <c r="FY2696" s="15" t="n">
        <v>18</v>
      </c>
      <c r="GU2696" s="15" t="n">
        <v>18</v>
      </c>
    </row>
    <row r="2697">
      <c r="C2697" s="15" t="n">
        <v>19</v>
      </c>
      <c r="AA2697" s="15" t="n">
        <v>19</v>
      </c>
      <c r="AW2697" s="15" t="n">
        <v>19</v>
      </c>
      <c r="BS2697" s="15" t="n">
        <v>19</v>
      </c>
      <c r="CO2697" s="15" t="n">
        <v>19</v>
      </c>
      <c r="DK2697" s="15" t="n">
        <v>19</v>
      </c>
      <c r="EG2697" s="15" t="n">
        <v>19</v>
      </c>
      <c r="FC2697" s="15" t="n">
        <v>19</v>
      </c>
      <c r="FY2697" s="15" t="n">
        <v>19</v>
      </c>
      <c r="GU2697" s="15" t="n">
        <v>19</v>
      </c>
    </row>
    <row r="2698">
      <c r="C2698" s="15" t="n">
        <v>20</v>
      </c>
      <c r="AA2698" s="15" t="n">
        <v>20</v>
      </c>
      <c r="AW2698" s="15" t="n">
        <v>20</v>
      </c>
      <c r="BS2698" s="15" t="n">
        <v>20</v>
      </c>
      <c r="CO2698" s="15" t="n">
        <v>20</v>
      </c>
      <c r="DK2698" s="15" t="n">
        <v>20</v>
      </c>
      <c r="EG2698" s="15" t="n">
        <v>20</v>
      </c>
      <c r="FC2698" s="15" t="n">
        <v>20</v>
      </c>
      <c r="FY2698" s="15" t="n">
        <v>20</v>
      </c>
      <c r="GU2698" s="15" t="n">
        <v>20</v>
      </c>
    </row>
    <row r="2699">
      <c r="C2699" s="15" t="n">
        <v>21</v>
      </c>
      <c r="AA2699" s="15" t="n">
        <v>21</v>
      </c>
      <c r="AW2699" s="15" t="n">
        <v>21</v>
      </c>
      <c r="BS2699" s="15" t="n">
        <v>21</v>
      </c>
      <c r="CO2699" s="15" t="n">
        <v>21</v>
      </c>
      <c r="DK2699" s="15" t="n">
        <v>21</v>
      </c>
      <c r="EG2699" s="15" t="n">
        <v>21</v>
      </c>
      <c r="FC2699" s="15" t="n">
        <v>21</v>
      </c>
      <c r="FY2699" s="15" t="n">
        <v>21</v>
      </c>
      <c r="GU2699" s="15" t="n">
        <v>21</v>
      </c>
    </row>
    <row r="2700">
      <c r="C2700" s="15" t="n">
        <v>22</v>
      </c>
      <c r="AA2700" s="15" t="n">
        <v>22</v>
      </c>
      <c r="AW2700" s="15" t="n">
        <v>22</v>
      </c>
      <c r="BS2700" s="15" t="n">
        <v>22</v>
      </c>
      <c r="CO2700" s="15" t="n">
        <v>22</v>
      </c>
      <c r="DK2700" s="15" t="n">
        <v>22</v>
      </c>
      <c r="EG2700" s="15" t="n">
        <v>22</v>
      </c>
      <c r="FC2700" s="15" t="n">
        <v>22</v>
      </c>
      <c r="FY2700" s="15" t="n">
        <v>22</v>
      </c>
      <c r="GU2700" s="15" t="n">
        <v>22</v>
      </c>
    </row>
    <row r="2701">
      <c r="C2701" s="15" t="n">
        <v>23</v>
      </c>
      <c r="AA2701" s="15" t="n">
        <v>23</v>
      </c>
      <c r="AW2701" s="15" t="n">
        <v>23</v>
      </c>
      <c r="BS2701" s="15" t="n">
        <v>23</v>
      </c>
      <c r="CO2701" s="15" t="n">
        <v>23</v>
      </c>
      <c r="DK2701" s="15" t="n">
        <v>23</v>
      </c>
      <c r="EG2701" s="15" t="n">
        <v>23</v>
      </c>
      <c r="FC2701" s="15" t="n">
        <v>23</v>
      </c>
      <c r="FY2701" s="15" t="n">
        <v>23</v>
      </c>
      <c r="GU2701" s="15" t="n">
        <v>23</v>
      </c>
    </row>
    <row r="2702">
      <c r="C2702" s="15" t="n">
        <v>24</v>
      </c>
      <c r="AA2702" s="15" t="n">
        <v>24</v>
      </c>
      <c r="AW2702" s="15" t="n">
        <v>24</v>
      </c>
      <c r="BS2702" s="15" t="n">
        <v>24</v>
      </c>
      <c r="CO2702" s="15" t="n">
        <v>24</v>
      </c>
      <c r="DK2702" s="15" t="n">
        <v>24</v>
      </c>
      <c r="EG2702" s="15" t="n">
        <v>24</v>
      </c>
      <c r="FC2702" s="15" t="n">
        <v>24</v>
      </c>
      <c r="FY2702" s="15" t="n">
        <v>24</v>
      </c>
      <c r="GU2702" s="15" t="n">
        <v>24</v>
      </c>
    </row>
    <row r="2703">
      <c r="C2703" s="15" t="n">
        <v>25</v>
      </c>
      <c r="AA2703" s="15" t="n">
        <v>25</v>
      </c>
      <c r="AW2703" s="15" t="n">
        <v>25</v>
      </c>
      <c r="BS2703" s="15" t="n">
        <v>25</v>
      </c>
      <c r="CO2703" s="15" t="n">
        <v>25</v>
      </c>
      <c r="DK2703" s="15" t="n">
        <v>25</v>
      </c>
      <c r="EG2703" s="15" t="n">
        <v>25</v>
      </c>
      <c r="FC2703" s="15" t="n">
        <v>25</v>
      </c>
      <c r="FY2703" s="15" t="n">
        <v>25</v>
      </c>
      <c r="GU2703" s="15" t="n">
        <v>25</v>
      </c>
    </row>
    <row r="2704">
      <c r="C2704" s="15" t="n">
        <v>26</v>
      </c>
      <c r="AA2704" s="15" t="n">
        <v>26</v>
      </c>
      <c r="AW2704" s="15" t="n">
        <v>26</v>
      </c>
      <c r="BS2704" s="15" t="n">
        <v>26</v>
      </c>
      <c r="CO2704" s="15" t="n">
        <v>26</v>
      </c>
      <c r="DK2704" s="15" t="n">
        <v>26</v>
      </c>
      <c r="EG2704" s="15" t="n">
        <v>26</v>
      </c>
      <c r="FC2704" s="15" t="n">
        <v>26</v>
      </c>
      <c r="FY2704" s="15" t="n">
        <v>26</v>
      </c>
      <c r="GU2704" s="15" t="n">
        <v>26</v>
      </c>
    </row>
    <row r="2705">
      <c r="C2705" s="15" t="n">
        <v>27</v>
      </c>
      <c r="AA2705" s="15" t="n">
        <v>27</v>
      </c>
      <c r="AW2705" s="15" t="n">
        <v>27</v>
      </c>
      <c r="BS2705" s="15" t="n">
        <v>27</v>
      </c>
      <c r="CO2705" s="15" t="n">
        <v>27</v>
      </c>
      <c r="DK2705" s="15" t="n">
        <v>27</v>
      </c>
      <c r="EG2705" s="15" t="n">
        <v>27</v>
      </c>
      <c r="FC2705" s="15" t="n">
        <v>27</v>
      </c>
      <c r="FY2705" s="15" t="n">
        <v>27</v>
      </c>
      <c r="GU2705" s="15" t="n">
        <v>27</v>
      </c>
    </row>
    <row r="2706">
      <c r="C2706" s="15" t="n">
        <v>28</v>
      </c>
      <c r="AA2706" s="15" t="n">
        <v>28</v>
      </c>
      <c r="AW2706" s="15" t="n">
        <v>28</v>
      </c>
      <c r="BS2706" s="15" t="n">
        <v>28</v>
      </c>
      <c r="CO2706" s="15" t="n">
        <v>28</v>
      </c>
      <c r="DK2706" s="15" t="n">
        <v>28</v>
      </c>
      <c r="EG2706" s="15" t="n">
        <v>28</v>
      </c>
      <c r="FC2706" s="15" t="n">
        <v>28</v>
      </c>
      <c r="FY2706" s="15" t="n">
        <v>28</v>
      </c>
      <c r="GU2706" s="15" t="n">
        <v>28</v>
      </c>
    </row>
    <row r="2707">
      <c r="C2707" s="15" t="n">
        <v>29</v>
      </c>
      <c r="AA2707" s="15" t="n">
        <v>29</v>
      </c>
      <c r="AW2707" s="15" t="n">
        <v>29</v>
      </c>
      <c r="BS2707" s="15" t="n">
        <v>29</v>
      </c>
      <c r="CO2707" s="15" t="n">
        <v>29</v>
      </c>
      <c r="DK2707" s="15" t="n">
        <v>29</v>
      </c>
      <c r="EG2707" s="15" t="n">
        <v>29</v>
      </c>
      <c r="FC2707" s="15" t="n">
        <v>29</v>
      </c>
      <c r="FY2707" s="15" t="n">
        <v>29</v>
      </c>
      <c r="GU2707" s="15" t="n">
        <v>29</v>
      </c>
    </row>
    <row r="2708">
      <c r="C2708" s="15" t="n">
        <v>30</v>
      </c>
      <c r="AA2708" s="15" t="n">
        <v>30</v>
      </c>
      <c r="AW2708" s="15" t="n">
        <v>30</v>
      </c>
      <c r="BS2708" s="15" t="n">
        <v>30</v>
      </c>
      <c r="CO2708" s="15" t="n">
        <v>30</v>
      </c>
      <c r="DK2708" s="15" t="n">
        <v>30</v>
      </c>
      <c r="EG2708" s="15" t="n">
        <v>30</v>
      </c>
      <c r="FC2708" s="15" t="n">
        <v>30</v>
      </c>
      <c r="FY2708" s="15" t="n">
        <v>30</v>
      </c>
      <c r="GU2708" s="15" t="n">
        <v>30</v>
      </c>
    </row>
    <row r="2709">
      <c r="C2709" s="15" t="n">
        <v>31</v>
      </c>
      <c r="AA2709" s="15" t="n">
        <v>31</v>
      </c>
      <c r="AW2709" s="15" t="n">
        <v>31</v>
      </c>
      <c r="BS2709" s="15" t="n">
        <v>31</v>
      </c>
      <c r="CO2709" s="15" t="n">
        <v>31</v>
      </c>
      <c r="DK2709" s="15" t="n">
        <v>31</v>
      </c>
      <c r="EG2709" s="15" t="n">
        <v>31</v>
      </c>
      <c r="FC2709" s="15" t="n">
        <v>31</v>
      </c>
      <c r="FY2709" s="15" t="n">
        <v>31</v>
      </c>
      <c r="GU2709" s="15" t="n">
        <v>31</v>
      </c>
    </row>
    <row r="2710">
      <c r="C2710" s="15" t="n">
        <v>32</v>
      </c>
      <c r="AA2710" s="15" t="n">
        <v>32</v>
      </c>
      <c r="AW2710" s="15" t="n">
        <v>32</v>
      </c>
      <c r="BS2710" s="15" t="n">
        <v>32</v>
      </c>
      <c r="CO2710" s="15" t="n">
        <v>32</v>
      </c>
      <c r="DK2710" s="15" t="n">
        <v>32</v>
      </c>
      <c r="EG2710" s="15" t="n">
        <v>32</v>
      </c>
      <c r="FC2710" s="15" t="n">
        <v>32</v>
      </c>
      <c r="FY2710" s="15" t="n">
        <v>32</v>
      </c>
      <c r="GU2710" s="15" t="n">
        <v>32</v>
      </c>
    </row>
    <row r="2711">
      <c r="C2711" s="15" t="n">
        <v>33</v>
      </c>
      <c r="AA2711" s="15" t="n">
        <v>33</v>
      </c>
      <c r="AW2711" s="15" t="n">
        <v>33</v>
      </c>
      <c r="BS2711" s="15" t="n">
        <v>33</v>
      </c>
      <c r="CO2711" s="15" t="n">
        <v>33</v>
      </c>
      <c r="DK2711" s="15" t="n">
        <v>33</v>
      </c>
      <c r="EG2711" s="15" t="n">
        <v>33</v>
      </c>
      <c r="FC2711" s="15" t="n">
        <v>33</v>
      </c>
      <c r="FY2711" s="15" t="n">
        <v>33</v>
      </c>
      <c r="GU2711" s="15" t="n">
        <v>33</v>
      </c>
    </row>
    <row r="2712">
      <c r="C2712" s="15" t="n">
        <v>34</v>
      </c>
      <c r="AA2712" s="15" t="n">
        <v>34</v>
      </c>
      <c r="AW2712" s="15" t="n">
        <v>34</v>
      </c>
      <c r="BS2712" s="15" t="n">
        <v>34</v>
      </c>
      <c r="CO2712" s="15" t="n">
        <v>34</v>
      </c>
      <c r="DK2712" s="15" t="n">
        <v>34</v>
      </c>
      <c r="EG2712" s="15" t="n">
        <v>34</v>
      </c>
      <c r="FC2712" s="15" t="n">
        <v>34</v>
      </c>
      <c r="FY2712" s="15" t="n">
        <v>34</v>
      </c>
      <c r="GU2712" s="15" t="n">
        <v>34</v>
      </c>
    </row>
    <row r="2713">
      <c r="C2713" s="15" t="n">
        <v>35</v>
      </c>
      <c r="AA2713" s="15" t="n">
        <v>35</v>
      </c>
      <c r="AW2713" s="15" t="n">
        <v>35</v>
      </c>
      <c r="BS2713" s="15" t="n">
        <v>35</v>
      </c>
      <c r="CO2713" s="15" t="n">
        <v>35</v>
      </c>
      <c r="DK2713" s="15" t="n">
        <v>35</v>
      </c>
      <c r="EG2713" s="15" t="n">
        <v>35</v>
      </c>
      <c r="FC2713" s="15" t="n">
        <v>35</v>
      </c>
      <c r="FY2713" s="15" t="n">
        <v>35</v>
      </c>
      <c r="GU2713" s="15" t="n">
        <v>35</v>
      </c>
    </row>
    <row r="2714">
      <c r="C2714" s="15" t="n">
        <v>36</v>
      </c>
      <c r="AA2714" s="15" t="n">
        <v>36</v>
      </c>
      <c r="AW2714" s="15" t="n">
        <v>36</v>
      </c>
      <c r="BS2714" s="15" t="n">
        <v>36</v>
      </c>
      <c r="CO2714" s="15" t="n">
        <v>36</v>
      </c>
      <c r="DK2714" s="15" t="n">
        <v>36</v>
      </c>
      <c r="EG2714" s="15" t="n">
        <v>36</v>
      </c>
      <c r="FC2714" s="15" t="n">
        <v>36</v>
      </c>
      <c r="FY2714" s="15" t="n">
        <v>36</v>
      </c>
      <c r="GU2714" s="15" t="n">
        <v>36</v>
      </c>
    </row>
    <row r="2715">
      <c r="C2715" s="15" t="n">
        <v>37</v>
      </c>
      <c r="AA2715" s="15" t="n">
        <v>37</v>
      </c>
      <c r="AW2715" s="15" t="n">
        <v>37</v>
      </c>
      <c r="BS2715" s="15" t="n">
        <v>37</v>
      </c>
      <c r="CO2715" s="15" t="n">
        <v>37</v>
      </c>
      <c r="DK2715" s="15" t="n">
        <v>37</v>
      </c>
      <c r="EG2715" s="15" t="n">
        <v>37</v>
      </c>
      <c r="FC2715" s="15" t="n">
        <v>37</v>
      </c>
      <c r="FY2715" s="15" t="n">
        <v>37</v>
      </c>
      <c r="GU2715" s="15" t="n">
        <v>37</v>
      </c>
    </row>
    <row r="2716">
      <c r="C2716" s="15" t="n">
        <v>38</v>
      </c>
      <c r="AA2716" s="15" t="n">
        <v>38</v>
      </c>
      <c r="AW2716" s="15" t="n">
        <v>38</v>
      </c>
      <c r="BS2716" s="15" t="n">
        <v>38</v>
      </c>
      <c r="CO2716" s="15" t="n">
        <v>38</v>
      </c>
      <c r="DK2716" s="15" t="n">
        <v>38</v>
      </c>
      <c r="EG2716" s="15" t="n">
        <v>38</v>
      </c>
      <c r="FC2716" s="15" t="n">
        <v>38</v>
      </c>
      <c r="FY2716" s="15" t="n">
        <v>38</v>
      </c>
      <c r="GU2716" s="15" t="n">
        <v>38</v>
      </c>
    </row>
    <row r="2717">
      <c r="C2717" s="15" t="n">
        <v>39</v>
      </c>
      <c r="AA2717" s="15" t="n">
        <v>39</v>
      </c>
      <c r="AW2717" s="15" t="n">
        <v>39</v>
      </c>
      <c r="BS2717" s="15" t="n">
        <v>39</v>
      </c>
      <c r="CO2717" s="15" t="n">
        <v>39</v>
      </c>
      <c r="DK2717" s="15" t="n">
        <v>39</v>
      </c>
      <c r="EG2717" s="15" t="n">
        <v>39</v>
      </c>
      <c r="FC2717" s="15" t="n">
        <v>39</v>
      </c>
      <c r="FY2717" s="15" t="n">
        <v>39</v>
      </c>
      <c r="GU2717" s="15" t="n">
        <v>39</v>
      </c>
    </row>
    <row r="2718">
      <c r="C2718" s="15" t="n">
        <v>40</v>
      </c>
      <c r="AA2718" s="15" t="n">
        <v>40</v>
      </c>
      <c r="AW2718" s="15" t="n">
        <v>40</v>
      </c>
      <c r="BS2718" s="15" t="n">
        <v>40</v>
      </c>
      <c r="CO2718" s="15" t="n">
        <v>40</v>
      </c>
      <c r="DK2718" s="15" t="n">
        <v>40</v>
      </c>
      <c r="EG2718" s="15" t="n">
        <v>40</v>
      </c>
      <c r="FC2718" s="15" t="n">
        <v>40</v>
      </c>
      <c r="FY2718" s="15" t="n">
        <v>40</v>
      </c>
      <c r="GU2718" s="15" t="n">
        <v>40</v>
      </c>
    </row>
    <row r="2719">
      <c r="C2719" s="15" t="n">
        <v>41</v>
      </c>
      <c r="AA2719" s="15" t="n">
        <v>41</v>
      </c>
      <c r="AW2719" s="15" t="n">
        <v>41</v>
      </c>
      <c r="BS2719" s="15" t="n">
        <v>41</v>
      </c>
      <c r="CO2719" s="15" t="n">
        <v>41</v>
      </c>
      <c r="DK2719" s="15" t="n">
        <v>41</v>
      </c>
      <c r="EG2719" s="15" t="n">
        <v>41</v>
      </c>
      <c r="FC2719" s="15" t="n">
        <v>41</v>
      </c>
      <c r="FY2719" s="15" t="n">
        <v>41</v>
      </c>
      <c r="GU2719" s="15" t="n">
        <v>41</v>
      </c>
    </row>
    <row r="2720">
      <c r="C2720" s="15" t="n">
        <v>42</v>
      </c>
      <c r="AA2720" s="15" t="n">
        <v>42</v>
      </c>
      <c r="AW2720" s="15" t="n">
        <v>42</v>
      </c>
      <c r="BS2720" s="15" t="n">
        <v>42</v>
      </c>
      <c r="CO2720" s="15" t="n">
        <v>42</v>
      </c>
      <c r="DK2720" s="15" t="n">
        <v>42</v>
      </c>
      <c r="EG2720" s="15" t="n">
        <v>42</v>
      </c>
      <c r="FC2720" s="15" t="n">
        <v>42</v>
      </c>
      <c r="FY2720" s="15" t="n">
        <v>42</v>
      </c>
      <c r="GU2720" s="15" t="n">
        <v>42</v>
      </c>
    </row>
    <row r="2721">
      <c r="C2721" s="15" t="n">
        <v>43</v>
      </c>
      <c r="AA2721" s="15" t="n">
        <v>43</v>
      </c>
      <c r="AW2721" s="15" t="n">
        <v>43</v>
      </c>
      <c r="BS2721" s="15" t="n">
        <v>43</v>
      </c>
      <c r="CO2721" s="15" t="n">
        <v>43</v>
      </c>
      <c r="DK2721" s="15" t="n">
        <v>43</v>
      </c>
      <c r="EG2721" s="15" t="n">
        <v>43</v>
      </c>
      <c r="FC2721" s="15" t="n">
        <v>43</v>
      </c>
      <c r="FY2721" s="15" t="n">
        <v>43</v>
      </c>
      <c r="GU2721" s="15" t="n">
        <v>43</v>
      </c>
    </row>
    <row r="2722">
      <c r="C2722" s="15" t="n">
        <v>44</v>
      </c>
      <c r="AA2722" s="15" t="n">
        <v>44</v>
      </c>
      <c r="AW2722" s="15" t="n">
        <v>44</v>
      </c>
      <c r="BS2722" s="15" t="n">
        <v>44</v>
      </c>
      <c r="CO2722" s="15" t="n">
        <v>44</v>
      </c>
      <c r="DK2722" s="15" t="n">
        <v>44</v>
      </c>
      <c r="EG2722" s="15" t="n">
        <v>44</v>
      </c>
      <c r="FC2722" s="15" t="n">
        <v>44</v>
      </c>
      <c r="FY2722" s="15" t="n">
        <v>44</v>
      </c>
      <c r="GU2722" s="15" t="n">
        <v>44</v>
      </c>
    </row>
    <row r="2723">
      <c r="C2723" s="15" t="n">
        <v>45</v>
      </c>
      <c r="AA2723" s="15" t="n">
        <v>45</v>
      </c>
      <c r="AW2723" s="15" t="n">
        <v>45</v>
      </c>
      <c r="BS2723" s="15" t="n">
        <v>45</v>
      </c>
      <c r="CO2723" s="15" t="n">
        <v>45</v>
      </c>
      <c r="DK2723" s="15" t="n">
        <v>45</v>
      </c>
      <c r="EG2723" s="15" t="n">
        <v>45</v>
      </c>
      <c r="FC2723" s="15" t="n">
        <v>45</v>
      </c>
      <c r="FY2723" s="15" t="n">
        <v>45</v>
      </c>
      <c r="GU2723" s="15" t="n">
        <v>45</v>
      </c>
    </row>
    <row r="2724">
      <c r="C2724" s="15" t="n">
        <v>46</v>
      </c>
      <c r="AA2724" s="15" t="n">
        <v>46</v>
      </c>
      <c r="AW2724" s="15" t="n">
        <v>46</v>
      </c>
      <c r="BS2724" s="15" t="n">
        <v>46</v>
      </c>
      <c r="CO2724" s="15" t="n">
        <v>46</v>
      </c>
      <c r="DK2724" s="15" t="n">
        <v>46</v>
      </c>
      <c r="EG2724" s="15" t="n">
        <v>46</v>
      </c>
      <c r="FC2724" s="15" t="n">
        <v>46</v>
      </c>
      <c r="FY2724" s="15" t="n">
        <v>46</v>
      </c>
      <c r="GU2724" s="15" t="n">
        <v>46</v>
      </c>
    </row>
    <row r="2725">
      <c r="C2725" s="15" t="n">
        <v>47</v>
      </c>
      <c r="AA2725" s="15" t="n">
        <v>47</v>
      </c>
      <c r="AW2725" s="15" t="n">
        <v>47</v>
      </c>
      <c r="BS2725" s="15" t="n">
        <v>47</v>
      </c>
      <c r="CO2725" s="15" t="n">
        <v>47</v>
      </c>
      <c r="DK2725" s="15" t="n">
        <v>47</v>
      </c>
      <c r="EG2725" s="15" t="n">
        <v>47</v>
      </c>
      <c r="FC2725" s="15" t="n">
        <v>47</v>
      </c>
      <c r="FY2725" s="15" t="n">
        <v>47</v>
      </c>
      <c r="GU2725" s="15" t="n">
        <v>47</v>
      </c>
    </row>
    <row r="2726">
      <c r="C2726" s="15" t="n">
        <v>48</v>
      </c>
      <c r="AA2726" s="15" t="n">
        <v>48</v>
      </c>
      <c r="AW2726" s="15" t="n">
        <v>48</v>
      </c>
      <c r="BS2726" s="15" t="n">
        <v>48</v>
      </c>
      <c r="CO2726" s="15" t="n">
        <v>48</v>
      </c>
      <c r="DK2726" s="15" t="n">
        <v>48</v>
      </c>
      <c r="EG2726" s="15" t="n">
        <v>48</v>
      </c>
      <c r="FC2726" s="15" t="n">
        <v>48</v>
      </c>
      <c r="FY2726" s="15" t="n">
        <v>48</v>
      </c>
      <c r="GU2726" s="15" t="n">
        <v>48</v>
      </c>
    </row>
    <row r="2727">
      <c r="C2727" s="15" t="n">
        <v>49</v>
      </c>
      <c r="AA2727" s="15" t="n">
        <v>49</v>
      </c>
      <c r="AW2727" s="15" t="n">
        <v>49</v>
      </c>
      <c r="BS2727" s="15" t="n">
        <v>49</v>
      </c>
      <c r="CO2727" s="15" t="n">
        <v>49</v>
      </c>
      <c r="DK2727" s="15" t="n">
        <v>49</v>
      </c>
      <c r="EG2727" s="15" t="n">
        <v>49</v>
      </c>
      <c r="FC2727" s="15" t="n">
        <v>49</v>
      </c>
      <c r="FY2727" s="15" t="n">
        <v>49</v>
      </c>
      <c r="GU2727" s="15" t="n">
        <v>49</v>
      </c>
    </row>
    <row r="2728">
      <c r="C2728" s="15" t="n">
        <v>50</v>
      </c>
      <c r="AA2728" s="15" t="n">
        <v>50</v>
      </c>
      <c r="AW2728" s="15" t="n">
        <v>50</v>
      </c>
      <c r="BS2728" s="15" t="n">
        <v>50</v>
      </c>
      <c r="CO2728" s="15" t="n">
        <v>50</v>
      </c>
      <c r="DK2728" s="15" t="n">
        <v>50</v>
      </c>
      <c r="EG2728" s="15" t="n">
        <v>50</v>
      </c>
      <c r="FC2728" s="15" t="n">
        <v>50</v>
      </c>
      <c r="FY2728" s="15" t="n">
        <v>50</v>
      </c>
      <c r="GU2728" s="15" t="n">
        <v>50</v>
      </c>
    </row>
    <row r="2729">
      <c r="C2729" s="15" t="n">
        <v>51</v>
      </c>
      <c r="AA2729" s="15" t="n">
        <v>51</v>
      </c>
      <c r="AW2729" s="15" t="n">
        <v>51</v>
      </c>
      <c r="BS2729" s="15" t="n">
        <v>51</v>
      </c>
      <c r="CO2729" s="15" t="n">
        <v>51</v>
      </c>
      <c r="DK2729" s="15" t="n">
        <v>51</v>
      </c>
      <c r="EG2729" s="15" t="n">
        <v>51</v>
      </c>
      <c r="FC2729" s="15" t="n">
        <v>51</v>
      </c>
      <c r="FY2729" s="15" t="n">
        <v>51</v>
      </c>
      <c r="GU2729" s="15" t="n">
        <v>51</v>
      </c>
    </row>
    <row r="2730">
      <c r="C2730" s="15" t="n">
        <v>52</v>
      </c>
      <c r="AA2730" s="15" t="n">
        <v>52</v>
      </c>
      <c r="AW2730" s="15" t="n">
        <v>52</v>
      </c>
      <c r="BS2730" s="15" t="n">
        <v>52</v>
      </c>
      <c r="CO2730" s="15" t="n">
        <v>52</v>
      </c>
      <c r="DK2730" s="15" t="n">
        <v>52</v>
      </c>
      <c r="EG2730" s="15" t="n">
        <v>52</v>
      </c>
      <c r="FC2730" s="15" t="n">
        <v>52</v>
      </c>
      <c r="FY2730" s="15" t="n">
        <v>52</v>
      </c>
      <c r="GU2730" s="15" t="n">
        <v>52</v>
      </c>
    </row>
    <row r="2731">
      <c r="C2731" s="15" t="n">
        <v>53</v>
      </c>
      <c r="AA2731" s="15" t="n">
        <v>53</v>
      </c>
      <c r="AW2731" s="15" t="n">
        <v>53</v>
      </c>
      <c r="BS2731" s="15" t="n">
        <v>53</v>
      </c>
      <c r="CO2731" s="15" t="n">
        <v>53</v>
      </c>
      <c r="DK2731" s="15" t="n">
        <v>53</v>
      </c>
      <c r="EG2731" s="15" t="n">
        <v>53</v>
      </c>
      <c r="FC2731" s="15" t="n">
        <v>53</v>
      </c>
      <c r="FY2731" s="15" t="n">
        <v>53</v>
      </c>
      <c r="GU2731" s="15" t="n">
        <v>53</v>
      </c>
    </row>
    <row r="2732">
      <c r="C2732" s="15" t="n">
        <v>54</v>
      </c>
      <c r="AA2732" s="15" t="n">
        <v>54</v>
      </c>
      <c r="AW2732" s="15" t="n">
        <v>54</v>
      </c>
      <c r="BS2732" s="15" t="n">
        <v>54</v>
      </c>
      <c r="CO2732" s="15" t="n">
        <v>54</v>
      </c>
      <c r="DK2732" s="15" t="n">
        <v>54</v>
      </c>
      <c r="EG2732" s="15" t="n">
        <v>54</v>
      </c>
      <c r="FC2732" s="15" t="n">
        <v>54</v>
      </c>
      <c r="FY2732" s="15" t="n">
        <v>54</v>
      </c>
      <c r="GU2732" s="15" t="n">
        <v>54</v>
      </c>
    </row>
    <row r="2733">
      <c r="C2733" s="15" t="n">
        <v>55</v>
      </c>
      <c r="AA2733" s="15" t="n">
        <v>55</v>
      </c>
      <c r="AW2733" s="15" t="n">
        <v>55</v>
      </c>
      <c r="BS2733" s="15" t="n">
        <v>55</v>
      </c>
      <c r="CO2733" s="15" t="n">
        <v>55</v>
      </c>
      <c r="DK2733" s="15" t="n">
        <v>55</v>
      </c>
      <c r="EG2733" s="15" t="n">
        <v>55</v>
      </c>
      <c r="FC2733" s="15" t="n">
        <v>55</v>
      </c>
      <c r="FY2733" s="15" t="n">
        <v>55</v>
      </c>
      <c r="GU2733" s="15" t="n">
        <v>55</v>
      </c>
    </row>
    <row r="2734">
      <c r="C2734" s="15" t="n">
        <v>56</v>
      </c>
      <c r="AA2734" s="15" t="n">
        <v>56</v>
      </c>
      <c r="AW2734" s="15" t="n">
        <v>56</v>
      </c>
      <c r="BS2734" s="15" t="n">
        <v>56</v>
      </c>
      <c r="CO2734" s="15" t="n">
        <v>56</v>
      </c>
      <c r="DK2734" s="15" t="n">
        <v>56</v>
      </c>
      <c r="EG2734" s="15" t="n">
        <v>56</v>
      </c>
      <c r="FC2734" s="15" t="n">
        <v>56</v>
      </c>
      <c r="FY2734" s="15" t="n">
        <v>56</v>
      </c>
      <c r="GU2734" s="15" t="n">
        <v>56</v>
      </c>
    </row>
    <row r="2735">
      <c r="C2735" s="15" t="n">
        <v>57</v>
      </c>
      <c r="AA2735" s="15" t="n">
        <v>57</v>
      </c>
      <c r="AW2735" s="15" t="n">
        <v>57</v>
      </c>
      <c r="BS2735" s="15" t="n">
        <v>57</v>
      </c>
      <c r="CO2735" s="15" t="n">
        <v>57</v>
      </c>
      <c r="DK2735" s="15" t="n">
        <v>57</v>
      </c>
      <c r="EG2735" s="15" t="n">
        <v>57</v>
      </c>
      <c r="FC2735" s="15" t="n">
        <v>57</v>
      </c>
      <c r="FY2735" s="15" t="n">
        <v>57</v>
      </c>
      <c r="GU2735" s="15" t="n">
        <v>57</v>
      </c>
    </row>
    <row r="2736">
      <c r="C2736" s="15" t="n">
        <v>58</v>
      </c>
      <c r="AA2736" s="15" t="n">
        <v>58</v>
      </c>
      <c r="AW2736" s="15" t="n">
        <v>58</v>
      </c>
      <c r="BS2736" s="15" t="n">
        <v>58</v>
      </c>
      <c r="CO2736" s="15" t="n">
        <v>58</v>
      </c>
      <c r="DK2736" s="15" t="n">
        <v>58</v>
      </c>
      <c r="EG2736" s="15" t="n">
        <v>58</v>
      </c>
      <c r="FC2736" s="15" t="n">
        <v>58</v>
      </c>
      <c r="FY2736" s="15" t="n">
        <v>58</v>
      </c>
      <c r="GU2736" s="15" t="n">
        <v>58</v>
      </c>
    </row>
    <row r="2737">
      <c r="C2737" s="15" t="n">
        <v>59</v>
      </c>
      <c r="AA2737" s="15" t="n">
        <v>59</v>
      </c>
      <c r="AW2737" s="15" t="n">
        <v>59</v>
      </c>
      <c r="BS2737" s="15" t="n">
        <v>59</v>
      </c>
      <c r="CO2737" s="15" t="n">
        <v>59</v>
      </c>
      <c r="DK2737" s="15" t="n">
        <v>59</v>
      </c>
      <c r="EG2737" s="15" t="n">
        <v>59</v>
      </c>
      <c r="FC2737" s="15" t="n">
        <v>59</v>
      </c>
      <c r="FY2737" s="15" t="n">
        <v>59</v>
      </c>
      <c r="GU2737" s="15" t="n">
        <v>59</v>
      </c>
    </row>
    <row r="2738">
      <c r="C2738" s="15" t="n">
        <v>60</v>
      </c>
      <c r="AA2738" s="15" t="n">
        <v>60</v>
      </c>
      <c r="AW2738" s="15" t="n">
        <v>60</v>
      </c>
      <c r="BS2738" s="15" t="n">
        <v>60</v>
      </c>
      <c r="CO2738" s="15" t="n">
        <v>60</v>
      </c>
      <c r="DK2738" s="15" t="n">
        <v>60</v>
      </c>
      <c r="EG2738" s="15" t="n">
        <v>60</v>
      </c>
      <c r="FC2738" s="15" t="n">
        <v>60</v>
      </c>
      <c r="FY2738" s="15" t="n">
        <v>60</v>
      </c>
      <c r="GU2738" s="15" t="n">
        <v>60</v>
      </c>
    </row>
    <row r="2739">
      <c r="C2739" s="15" t="n">
        <v>61</v>
      </c>
      <c r="AA2739" s="15" t="n">
        <v>61</v>
      </c>
      <c r="AW2739" s="15" t="n">
        <v>61</v>
      </c>
      <c r="BS2739" s="15" t="n">
        <v>61</v>
      </c>
      <c r="CO2739" s="15" t="n">
        <v>61</v>
      </c>
      <c r="DK2739" s="15" t="n">
        <v>61</v>
      </c>
      <c r="EG2739" s="15" t="n">
        <v>61</v>
      </c>
      <c r="FC2739" s="15" t="n">
        <v>61</v>
      </c>
      <c r="FY2739" s="15" t="n">
        <v>61</v>
      </c>
      <c r="GU2739" s="15" t="n">
        <v>61</v>
      </c>
    </row>
    <row r="2740">
      <c r="C2740" s="15" t="n">
        <v>62</v>
      </c>
      <c r="AA2740" s="15" t="n">
        <v>62</v>
      </c>
      <c r="AW2740" s="15" t="n">
        <v>62</v>
      </c>
      <c r="BS2740" s="15" t="n">
        <v>62</v>
      </c>
      <c r="CO2740" s="15" t="n">
        <v>62</v>
      </c>
      <c r="DK2740" s="15" t="n">
        <v>62</v>
      </c>
      <c r="EG2740" s="15" t="n">
        <v>62</v>
      </c>
      <c r="FC2740" s="15" t="n">
        <v>62</v>
      </c>
      <c r="FY2740" s="15" t="n">
        <v>62</v>
      </c>
      <c r="GU2740" s="15" t="n">
        <v>62</v>
      </c>
    </row>
    <row r="2741">
      <c r="C2741" s="15" t="n">
        <v>63</v>
      </c>
      <c r="AA2741" s="15" t="n">
        <v>63</v>
      </c>
      <c r="AW2741" s="15" t="n">
        <v>63</v>
      </c>
      <c r="BS2741" s="15" t="n">
        <v>63</v>
      </c>
      <c r="CO2741" s="15" t="n">
        <v>63</v>
      </c>
      <c r="DK2741" s="15" t="n">
        <v>63</v>
      </c>
      <c r="EG2741" s="15" t="n">
        <v>63</v>
      </c>
      <c r="FC2741" s="15" t="n">
        <v>63</v>
      </c>
      <c r="FY2741" s="15" t="n">
        <v>63</v>
      </c>
      <c r="GU2741" s="15" t="n">
        <v>63</v>
      </c>
    </row>
    <row r="2742">
      <c r="C2742" s="15" t="n">
        <v>64</v>
      </c>
      <c r="AA2742" s="15" t="n">
        <v>64</v>
      </c>
      <c r="AW2742" s="15" t="n">
        <v>64</v>
      </c>
      <c r="BS2742" s="15" t="n">
        <v>64</v>
      </c>
      <c r="CO2742" s="15" t="n">
        <v>64</v>
      </c>
      <c r="DK2742" s="15" t="n">
        <v>64</v>
      </c>
      <c r="EG2742" s="15" t="n">
        <v>64</v>
      </c>
      <c r="FC2742" s="15" t="n">
        <v>64</v>
      </c>
      <c r="FY2742" s="15" t="n">
        <v>64</v>
      </c>
      <c r="GU2742" s="15" t="n">
        <v>64</v>
      </c>
    </row>
    <row r="2743">
      <c r="C2743" s="15" t="n">
        <v>65</v>
      </c>
      <c r="AA2743" s="15" t="n">
        <v>65</v>
      </c>
      <c r="AW2743" s="15" t="n">
        <v>65</v>
      </c>
      <c r="BS2743" s="15" t="n">
        <v>65</v>
      </c>
      <c r="CO2743" s="15" t="n">
        <v>65</v>
      </c>
      <c r="DK2743" s="15" t="n">
        <v>65</v>
      </c>
      <c r="EG2743" s="15" t="n">
        <v>65</v>
      </c>
      <c r="FC2743" s="15" t="n">
        <v>65</v>
      </c>
      <c r="FY2743" s="15" t="n">
        <v>65</v>
      </c>
      <c r="GU2743" s="15" t="n">
        <v>65</v>
      </c>
    </row>
    <row r="2744">
      <c r="C2744" s="15" t="n">
        <v>66</v>
      </c>
      <c r="AA2744" s="15" t="n">
        <v>66</v>
      </c>
      <c r="AW2744" s="15" t="n">
        <v>66</v>
      </c>
      <c r="BS2744" s="15" t="n">
        <v>66</v>
      </c>
      <c r="CO2744" s="15" t="n">
        <v>66</v>
      </c>
      <c r="DK2744" s="15" t="n">
        <v>66</v>
      </c>
      <c r="EG2744" s="15" t="n">
        <v>66</v>
      </c>
      <c r="FC2744" s="15" t="n">
        <v>66</v>
      </c>
      <c r="FY2744" s="15" t="n">
        <v>66</v>
      </c>
      <c r="GU2744" s="15" t="n">
        <v>66</v>
      </c>
    </row>
    <row r="2745">
      <c r="C2745" s="15" t="n">
        <v>67</v>
      </c>
      <c r="AA2745" s="15" t="n">
        <v>67</v>
      </c>
      <c r="AW2745" s="15" t="n">
        <v>67</v>
      </c>
      <c r="BS2745" s="15" t="n">
        <v>67</v>
      </c>
      <c r="CO2745" s="15" t="n">
        <v>67</v>
      </c>
      <c r="DK2745" s="15" t="n">
        <v>67</v>
      </c>
      <c r="EG2745" s="15" t="n">
        <v>67</v>
      </c>
      <c r="FC2745" s="15" t="n">
        <v>67</v>
      </c>
      <c r="FY2745" s="15" t="n">
        <v>67</v>
      </c>
      <c r="GU2745" s="15" t="n">
        <v>67</v>
      </c>
    </row>
    <row r="2746">
      <c r="C2746" s="15" t="n">
        <v>68</v>
      </c>
      <c r="AA2746" s="15" t="n">
        <v>68</v>
      </c>
      <c r="AW2746" s="15" t="n">
        <v>68</v>
      </c>
      <c r="BS2746" s="15" t="n">
        <v>68</v>
      </c>
      <c r="CO2746" s="15" t="n">
        <v>68</v>
      </c>
      <c r="DK2746" s="15" t="n">
        <v>68</v>
      </c>
      <c r="EG2746" s="15" t="n">
        <v>68</v>
      </c>
      <c r="FC2746" s="15" t="n">
        <v>68</v>
      </c>
      <c r="FY2746" s="15" t="n">
        <v>68</v>
      </c>
      <c r="GU2746" s="15" t="n">
        <v>68</v>
      </c>
    </row>
    <row r="2747">
      <c r="C2747" s="15" t="n">
        <v>69</v>
      </c>
      <c r="AA2747" s="15" t="n">
        <v>69</v>
      </c>
      <c r="AW2747" s="15" t="n">
        <v>69</v>
      </c>
      <c r="BS2747" s="15" t="n">
        <v>69</v>
      </c>
      <c r="CO2747" s="15" t="n">
        <v>69</v>
      </c>
      <c r="DK2747" s="15" t="n">
        <v>69</v>
      </c>
      <c r="EG2747" s="15" t="n">
        <v>69</v>
      </c>
      <c r="FC2747" s="15" t="n">
        <v>69</v>
      </c>
      <c r="FY2747" s="15" t="n">
        <v>69</v>
      </c>
      <c r="GU2747" s="15" t="n">
        <v>69</v>
      </c>
    </row>
    <row r="2748">
      <c r="C2748" s="15" t="n">
        <v>70</v>
      </c>
      <c r="AA2748" s="15" t="n">
        <v>70</v>
      </c>
      <c r="AW2748" s="15" t="n">
        <v>70</v>
      </c>
      <c r="BS2748" s="15" t="n">
        <v>70</v>
      </c>
      <c r="CO2748" s="15" t="n">
        <v>70</v>
      </c>
      <c r="DK2748" s="15" t="n">
        <v>70</v>
      </c>
      <c r="EG2748" s="15" t="n">
        <v>70</v>
      </c>
      <c r="FC2748" s="15" t="n">
        <v>70</v>
      </c>
      <c r="FY2748" s="15" t="n">
        <v>70</v>
      </c>
      <c r="GU2748" s="15" t="n">
        <v>70</v>
      </c>
    </row>
    <row r="2749">
      <c r="C2749" s="15" t="n">
        <v>71</v>
      </c>
      <c r="AA2749" s="15" t="n">
        <v>71</v>
      </c>
      <c r="AW2749" s="15" t="n">
        <v>71</v>
      </c>
      <c r="BS2749" s="15" t="n">
        <v>71</v>
      </c>
      <c r="CO2749" s="15" t="n">
        <v>71</v>
      </c>
      <c r="DK2749" s="15" t="n">
        <v>71</v>
      </c>
      <c r="EG2749" s="15" t="n">
        <v>71</v>
      </c>
      <c r="FC2749" s="15" t="n">
        <v>71</v>
      </c>
      <c r="FY2749" s="15" t="n">
        <v>71</v>
      </c>
      <c r="GU2749" s="15" t="n">
        <v>71</v>
      </c>
    </row>
    <row r="2750">
      <c r="C2750" s="15" t="n">
        <v>72</v>
      </c>
      <c r="AA2750" s="15" t="n">
        <v>72</v>
      </c>
      <c r="AW2750" s="15" t="n">
        <v>72</v>
      </c>
      <c r="BS2750" s="15" t="n">
        <v>72</v>
      </c>
      <c r="CO2750" s="15" t="n">
        <v>72</v>
      </c>
      <c r="DK2750" s="15" t="n">
        <v>72</v>
      </c>
      <c r="EG2750" s="15" t="n">
        <v>72</v>
      </c>
      <c r="FC2750" s="15" t="n">
        <v>72</v>
      </c>
      <c r="FY2750" s="15" t="n">
        <v>72</v>
      </c>
      <c r="GU2750" s="15" t="n">
        <v>72</v>
      </c>
    </row>
    <row r="2751">
      <c r="C2751" s="15" t="n">
        <v>73</v>
      </c>
      <c r="AA2751" s="15" t="n">
        <v>73</v>
      </c>
      <c r="AW2751" s="15" t="n">
        <v>73</v>
      </c>
      <c r="BS2751" s="15" t="n">
        <v>73</v>
      </c>
      <c r="CO2751" s="15" t="n">
        <v>73</v>
      </c>
      <c r="DK2751" s="15" t="n">
        <v>73</v>
      </c>
      <c r="EG2751" s="15" t="n">
        <v>73</v>
      </c>
      <c r="FC2751" s="15" t="n">
        <v>73</v>
      </c>
      <c r="FY2751" s="15" t="n">
        <v>73</v>
      </c>
      <c r="GU2751" s="15" t="n">
        <v>73</v>
      </c>
    </row>
    <row r="2752">
      <c r="C2752" s="15" t="n">
        <v>74</v>
      </c>
      <c r="AA2752" s="15" t="n">
        <v>74</v>
      </c>
      <c r="AW2752" s="15" t="n">
        <v>74</v>
      </c>
      <c r="BS2752" s="15" t="n">
        <v>74</v>
      </c>
      <c r="CO2752" s="15" t="n">
        <v>74</v>
      </c>
      <c r="DK2752" s="15" t="n">
        <v>74</v>
      </c>
      <c r="EG2752" s="15" t="n">
        <v>74</v>
      </c>
      <c r="FC2752" s="15" t="n">
        <v>74</v>
      </c>
      <c r="FY2752" s="15" t="n">
        <v>74</v>
      </c>
      <c r="GU2752" s="15" t="n">
        <v>74</v>
      </c>
    </row>
    <row r="2753">
      <c r="C2753" s="15" t="n">
        <v>75</v>
      </c>
      <c r="AA2753" s="15" t="n">
        <v>75</v>
      </c>
      <c r="AW2753" s="15" t="n">
        <v>75</v>
      </c>
      <c r="BS2753" s="15" t="n">
        <v>75</v>
      </c>
      <c r="CO2753" s="15" t="n">
        <v>75</v>
      </c>
      <c r="DK2753" s="15" t="n">
        <v>75</v>
      </c>
      <c r="EG2753" s="15" t="n">
        <v>75</v>
      </c>
      <c r="FC2753" s="15" t="n">
        <v>75</v>
      </c>
      <c r="FY2753" s="15" t="n">
        <v>75</v>
      </c>
      <c r="GU2753" s="15" t="n">
        <v>75</v>
      </c>
    </row>
    <row r="2754">
      <c r="C2754" s="15" t="n">
        <v>76</v>
      </c>
      <c r="AA2754" s="15" t="n">
        <v>76</v>
      </c>
      <c r="AW2754" s="15" t="n">
        <v>76</v>
      </c>
      <c r="BS2754" s="15" t="n">
        <v>76</v>
      </c>
      <c r="CO2754" s="15" t="n">
        <v>76</v>
      </c>
      <c r="DK2754" s="15" t="n">
        <v>76</v>
      </c>
      <c r="EG2754" s="15" t="n">
        <v>76</v>
      </c>
      <c r="FC2754" s="15" t="n">
        <v>76</v>
      </c>
      <c r="FY2754" s="15" t="n">
        <v>76</v>
      </c>
      <c r="GU2754" s="15" t="n">
        <v>76</v>
      </c>
    </row>
    <row r="2755">
      <c r="C2755" s="15" t="n">
        <v>77</v>
      </c>
      <c r="AA2755" s="15" t="n">
        <v>77</v>
      </c>
      <c r="AW2755" s="15" t="n">
        <v>77</v>
      </c>
      <c r="BS2755" s="15" t="n">
        <v>77</v>
      </c>
      <c r="CO2755" s="15" t="n">
        <v>77</v>
      </c>
      <c r="DK2755" s="15" t="n">
        <v>77</v>
      </c>
      <c r="EG2755" s="15" t="n">
        <v>77</v>
      </c>
      <c r="FC2755" s="15" t="n">
        <v>77</v>
      </c>
      <c r="FY2755" s="15" t="n">
        <v>77</v>
      </c>
      <c r="GU2755" s="15" t="n">
        <v>77</v>
      </c>
    </row>
    <row r="2756">
      <c r="C2756" s="15" t="n">
        <v>78</v>
      </c>
      <c r="AA2756" s="15" t="n">
        <v>78</v>
      </c>
      <c r="AW2756" s="15" t="n">
        <v>78</v>
      </c>
      <c r="BS2756" s="15" t="n">
        <v>78</v>
      </c>
      <c r="CO2756" s="15" t="n">
        <v>78</v>
      </c>
      <c r="DK2756" s="15" t="n">
        <v>78</v>
      </c>
      <c r="EG2756" s="15" t="n">
        <v>78</v>
      </c>
      <c r="FC2756" s="15" t="n">
        <v>78</v>
      </c>
      <c r="FY2756" s="15" t="n">
        <v>78</v>
      </c>
      <c r="GU2756" s="15" t="n">
        <v>78</v>
      </c>
    </row>
    <row r="2757">
      <c r="C2757" s="15" t="n">
        <v>79</v>
      </c>
      <c r="AA2757" s="15" t="n">
        <v>79</v>
      </c>
      <c r="AW2757" s="15" t="n">
        <v>79</v>
      </c>
      <c r="BS2757" s="15" t="n">
        <v>79</v>
      </c>
      <c r="CO2757" s="15" t="n">
        <v>79</v>
      </c>
      <c r="DK2757" s="15" t="n">
        <v>79</v>
      </c>
      <c r="EG2757" s="15" t="n">
        <v>79</v>
      </c>
      <c r="FC2757" s="15" t="n">
        <v>79</v>
      </c>
      <c r="FY2757" s="15" t="n">
        <v>79</v>
      </c>
      <c r="GU2757" s="15" t="n">
        <v>79</v>
      </c>
    </row>
    <row r="2758">
      <c r="C2758" s="15" t="n">
        <v>80</v>
      </c>
      <c r="AA2758" s="15" t="n">
        <v>80</v>
      </c>
      <c r="AW2758" s="15" t="n">
        <v>80</v>
      </c>
      <c r="BS2758" s="15" t="n">
        <v>80</v>
      </c>
      <c r="CO2758" s="15" t="n">
        <v>80</v>
      </c>
      <c r="DK2758" s="15" t="n">
        <v>80</v>
      </c>
      <c r="EG2758" s="15" t="n">
        <v>80</v>
      </c>
      <c r="FC2758" s="15" t="n">
        <v>80</v>
      </c>
      <c r="FY2758" s="15" t="n">
        <v>80</v>
      </c>
      <c r="GU2758" s="15" t="n">
        <v>80</v>
      </c>
    </row>
    <row r="2759">
      <c r="C2759" s="15" t="n">
        <v>81</v>
      </c>
      <c r="AA2759" s="15" t="n">
        <v>81</v>
      </c>
      <c r="AW2759" s="15" t="n">
        <v>81</v>
      </c>
      <c r="BS2759" s="15" t="n">
        <v>81</v>
      </c>
      <c r="CO2759" s="15" t="n">
        <v>81</v>
      </c>
      <c r="DK2759" s="15" t="n">
        <v>81</v>
      </c>
      <c r="EG2759" s="15" t="n">
        <v>81</v>
      </c>
      <c r="FC2759" s="15" t="n">
        <v>81</v>
      </c>
      <c r="FY2759" s="15" t="n">
        <v>81</v>
      </c>
      <c r="GU2759" s="15" t="n">
        <v>81</v>
      </c>
    </row>
    <row r="2760">
      <c r="C2760" s="15" t="n">
        <v>82</v>
      </c>
      <c r="AA2760" s="15" t="n">
        <v>82</v>
      </c>
      <c r="AW2760" s="15" t="n">
        <v>82</v>
      </c>
      <c r="BS2760" s="15" t="n">
        <v>82</v>
      </c>
      <c r="CO2760" s="15" t="n">
        <v>82</v>
      </c>
      <c r="DK2760" s="15" t="n">
        <v>82</v>
      </c>
      <c r="EG2760" s="15" t="n">
        <v>82</v>
      </c>
      <c r="FC2760" s="15" t="n">
        <v>82</v>
      </c>
      <c r="FY2760" s="15" t="n">
        <v>82</v>
      </c>
      <c r="GU2760" s="15" t="n">
        <v>82</v>
      </c>
    </row>
    <row r="2761">
      <c r="C2761" s="15" t="n">
        <v>83</v>
      </c>
      <c r="AA2761" s="15" t="n">
        <v>83</v>
      </c>
      <c r="AW2761" s="15" t="n">
        <v>83</v>
      </c>
      <c r="BS2761" s="15" t="n">
        <v>83</v>
      </c>
      <c r="CO2761" s="15" t="n">
        <v>83</v>
      </c>
      <c r="DK2761" s="15" t="n">
        <v>83</v>
      </c>
      <c r="EG2761" s="15" t="n">
        <v>83</v>
      </c>
      <c r="FC2761" s="15" t="n">
        <v>83</v>
      </c>
      <c r="FY2761" s="15" t="n">
        <v>83</v>
      </c>
      <c r="GU2761" s="15" t="n">
        <v>83</v>
      </c>
    </row>
    <row r="2762">
      <c r="C2762" s="15" t="n">
        <v>84</v>
      </c>
      <c r="AA2762" s="15" t="n">
        <v>84</v>
      </c>
      <c r="AW2762" s="15" t="n">
        <v>84</v>
      </c>
      <c r="BS2762" s="15" t="n">
        <v>84</v>
      </c>
      <c r="CO2762" s="15" t="n">
        <v>84</v>
      </c>
      <c r="DK2762" s="15" t="n">
        <v>84</v>
      </c>
      <c r="EG2762" s="15" t="n">
        <v>84</v>
      </c>
      <c r="FC2762" s="15" t="n">
        <v>84</v>
      </c>
      <c r="FY2762" s="15" t="n">
        <v>84</v>
      </c>
      <c r="GU2762" s="15" t="n">
        <v>84</v>
      </c>
    </row>
    <row r="2763">
      <c r="C2763" s="15" t="n">
        <v>85</v>
      </c>
      <c r="AA2763" s="15" t="n">
        <v>85</v>
      </c>
      <c r="AW2763" s="15" t="n">
        <v>85</v>
      </c>
      <c r="BS2763" s="15" t="n">
        <v>85</v>
      </c>
      <c r="CO2763" s="15" t="n">
        <v>85</v>
      </c>
      <c r="DK2763" s="15" t="n">
        <v>85</v>
      </c>
      <c r="EG2763" s="15" t="n">
        <v>85</v>
      </c>
      <c r="FC2763" s="15" t="n">
        <v>85</v>
      </c>
      <c r="FY2763" s="15" t="n">
        <v>85</v>
      </c>
      <c r="GU2763" s="15" t="n">
        <v>85</v>
      </c>
    </row>
    <row r="2764">
      <c r="C2764" s="15" t="n">
        <v>86</v>
      </c>
      <c r="AA2764" s="15" t="n">
        <v>86</v>
      </c>
      <c r="AW2764" s="15" t="n">
        <v>86</v>
      </c>
      <c r="BS2764" s="15" t="n">
        <v>86</v>
      </c>
      <c r="CO2764" s="15" t="n">
        <v>86</v>
      </c>
      <c r="DK2764" s="15" t="n">
        <v>86</v>
      </c>
      <c r="EG2764" s="15" t="n">
        <v>86</v>
      </c>
      <c r="FC2764" s="15" t="n">
        <v>86</v>
      </c>
      <c r="FY2764" s="15" t="n">
        <v>86</v>
      </c>
      <c r="GU2764" s="15" t="n">
        <v>86</v>
      </c>
    </row>
    <row r="2765">
      <c r="C2765" s="15" t="n">
        <v>87</v>
      </c>
      <c r="AA2765" s="15" t="n">
        <v>87</v>
      </c>
      <c r="AW2765" s="15" t="n">
        <v>87</v>
      </c>
      <c r="BS2765" s="15" t="n">
        <v>87</v>
      </c>
      <c r="CO2765" s="15" t="n">
        <v>87</v>
      </c>
      <c r="DK2765" s="15" t="n">
        <v>87</v>
      </c>
      <c r="EG2765" s="15" t="n">
        <v>87</v>
      </c>
      <c r="FC2765" s="15" t="n">
        <v>87</v>
      </c>
      <c r="FY2765" s="15" t="n">
        <v>87</v>
      </c>
      <c r="GU2765" s="15" t="n">
        <v>87</v>
      </c>
    </row>
    <row r="2766">
      <c r="C2766" s="15" t="n">
        <v>88</v>
      </c>
      <c r="AA2766" s="15" t="n">
        <v>88</v>
      </c>
      <c r="AW2766" s="15" t="n">
        <v>88</v>
      </c>
      <c r="BS2766" s="15" t="n">
        <v>88</v>
      </c>
      <c r="CO2766" s="15" t="n">
        <v>88</v>
      </c>
      <c r="DK2766" s="15" t="n">
        <v>88</v>
      </c>
      <c r="EG2766" s="15" t="n">
        <v>88</v>
      </c>
      <c r="FC2766" s="15" t="n">
        <v>88</v>
      </c>
      <c r="FY2766" s="15" t="n">
        <v>88</v>
      </c>
      <c r="GU2766" s="15" t="n">
        <v>88</v>
      </c>
    </row>
    <row r="2767">
      <c r="C2767" s="15" t="n">
        <v>89</v>
      </c>
      <c r="AA2767" s="15" t="n">
        <v>89</v>
      </c>
      <c r="AW2767" s="15" t="n">
        <v>89</v>
      </c>
      <c r="BS2767" s="15" t="n">
        <v>89</v>
      </c>
      <c r="CO2767" s="15" t="n">
        <v>89</v>
      </c>
      <c r="DK2767" s="15" t="n">
        <v>89</v>
      </c>
      <c r="EG2767" s="15" t="n">
        <v>89</v>
      </c>
      <c r="FC2767" s="15" t="n">
        <v>89</v>
      </c>
      <c r="FY2767" s="15" t="n">
        <v>89</v>
      </c>
      <c r="GU2767" s="15" t="n">
        <v>89</v>
      </c>
    </row>
    <row r="2768">
      <c r="C2768" s="15" t="n">
        <v>90</v>
      </c>
      <c r="AA2768" s="15" t="n">
        <v>90</v>
      </c>
      <c r="AW2768" s="15" t="n">
        <v>90</v>
      </c>
      <c r="BS2768" s="15" t="n">
        <v>90</v>
      </c>
      <c r="CO2768" s="15" t="n">
        <v>90</v>
      </c>
      <c r="DK2768" s="15" t="n">
        <v>90</v>
      </c>
      <c r="EG2768" s="15" t="n">
        <v>90</v>
      </c>
      <c r="FC2768" s="15" t="n">
        <v>90</v>
      </c>
      <c r="FY2768" s="15" t="n">
        <v>90</v>
      </c>
      <c r="GU2768" s="15" t="n">
        <v>90</v>
      </c>
    </row>
    <row r="2769">
      <c r="C2769" s="15" t="n">
        <v>91</v>
      </c>
      <c r="AA2769" s="15" t="n">
        <v>91</v>
      </c>
      <c r="AW2769" s="15" t="n">
        <v>91</v>
      </c>
      <c r="BS2769" s="15" t="n">
        <v>91</v>
      </c>
      <c r="CO2769" s="15" t="n">
        <v>91</v>
      </c>
      <c r="DK2769" s="15" t="n">
        <v>91</v>
      </c>
      <c r="EG2769" s="15" t="n">
        <v>91</v>
      </c>
      <c r="FC2769" s="15" t="n">
        <v>91</v>
      </c>
      <c r="FY2769" s="15" t="n">
        <v>91</v>
      </c>
      <c r="GU2769" s="15" t="n">
        <v>91</v>
      </c>
    </row>
    <row r="2770">
      <c r="C2770" s="15" t="n">
        <v>92</v>
      </c>
      <c r="AA2770" s="15" t="n">
        <v>92</v>
      </c>
      <c r="AW2770" s="15" t="n">
        <v>92</v>
      </c>
      <c r="BS2770" s="15" t="n">
        <v>92</v>
      </c>
      <c r="CO2770" s="15" t="n">
        <v>92</v>
      </c>
      <c r="DK2770" s="15" t="n">
        <v>92</v>
      </c>
      <c r="EG2770" s="15" t="n">
        <v>92</v>
      </c>
      <c r="FC2770" s="15" t="n">
        <v>92</v>
      </c>
      <c r="FY2770" s="15" t="n">
        <v>92</v>
      </c>
      <c r="GU2770" s="15" t="n">
        <v>92</v>
      </c>
    </row>
    <row r="2771">
      <c r="C2771" s="15" t="n">
        <v>93</v>
      </c>
      <c r="AA2771" s="15" t="n">
        <v>93</v>
      </c>
      <c r="AW2771" s="15" t="n">
        <v>93</v>
      </c>
      <c r="BS2771" s="15" t="n">
        <v>93</v>
      </c>
      <c r="CO2771" s="15" t="n">
        <v>93</v>
      </c>
      <c r="DK2771" s="15" t="n">
        <v>93</v>
      </c>
      <c r="EG2771" s="15" t="n">
        <v>93</v>
      </c>
      <c r="FC2771" s="15" t="n">
        <v>93</v>
      </c>
      <c r="FY2771" s="15" t="n">
        <v>93</v>
      </c>
      <c r="GU2771" s="15" t="n">
        <v>93</v>
      </c>
    </row>
    <row r="2772">
      <c r="C2772" s="15" t="n">
        <v>94</v>
      </c>
      <c r="AA2772" s="15" t="n">
        <v>94</v>
      </c>
      <c r="AW2772" s="15" t="n">
        <v>94</v>
      </c>
      <c r="BS2772" s="15" t="n">
        <v>94</v>
      </c>
      <c r="CO2772" s="15" t="n">
        <v>94</v>
      </c>
      <c r="DK2772" s="15" t="n">
        <v>94</v>
      </c>
      <c r="EG2772" s="15" t="n">
        <v>94</v>
      </c>
      <c r="FC2772" s="15" t="n">
        <v>94</v>
      </c>
      <c r="FY2772" s="15" t="n">
        <v>94</v>
      </c>
      <c r="GU2772" s="15" t="n">
        <v>94</v>
      </c>
    </row>
    <row r="2773">
      <c r="C2773" s="15" t="n">
        <v>95</v>
      </c>
      <c r="AA2773" s="15" t="n">
        <v>95</v>
      </c>
      <c r="AW2773" s="15" t="n">
        <v>95</v>
      </c>
      <c r="BS2773" s="15" t="n">
        <v>95</v>
      </c>
      <c r="CO2773" s="15" t="n">
        <v>95</v>
      </c>
      <c r="DK2773" s="15" t="n">
        <v>95</v>
      </c>
      <c r="EG2773" s="15" t="n">
        <v>95</v>
      </c>
      <c r="FC2773" s="15" t="n">
        <v>95</v>
      </c>
      <c r="FY2773" s="15" t="n">
        <v>95</v>
      </c>
      <c r="GU2773" s="15" t="n">
        <v>95</v>
      </c>
    </row>
    <row r="2774">
      <c r="C2774" s="15" t="n">
        <v>96</v>
      </c>
      <c r="AA2774" s="15" t="n">
        <v>96</v>
      </c>
      <c r="AW2774" s="15" t="n">
        <v>96</v>
      </c>
      <c r="BS2774" s="15" t="n">
        <v>96</v>
      </c>
      <c r="CO2774" s="15" t="n">
        <v>96</v>
      </c>
      <c r="DK2774" s="15" t="n">
        <v>96</v>
      </c>
      <c r="EG2774" s="15" t="n">
        <v>96</v>
      </c>
      <c r="FC2774" s="15" t="n">
        <v>96</v>
      </c>
      <c r="FY2774" s="15" t="n">
        <v>96</v>
      </c>
      <c r="GU2774" s="15" t="n">
        <v>96</v>
      </c>
    </row>
    <row r="2775">
      <c r="C2775" s="15" t="n">
        <v>97</v>
      </c>
      <c r="AA2775" s="15" t="n">
        <v>97</v>
      </c>
      <c r="AW2775" s="15" t="n">
        <v>97</v>
      </c>
      <c r="BS2775" s="15" t="n">
        <v>97</v>
      </c>
      <c r="CO2775" s="15" t="n">
        <v>97</v>
      </c>
      <c r="DK2775" s="15" t="n">
        <v>97</v>
      </c>
      <c r="EG2775" s="15" t="n">
        <v>97</v>
      </c>
      <c r="FC2775" s="15" t="n">
        <v>97</v>
      </c>
      <c r="FY2775" s="15" t="n">
        <v>97</v>
      </c>
      <c r="GU2775" s="15" t="n">
        <v>97</v>
      </c>
    </row>
    <row r="2776">
      <c r="C2776" s="15" t="n">
        <v>98</v>
      </c>
      <c r="AA2776" s="15" t="n">
        <v>98</v>
      </c>
      <c r="AW2776" s="15" t="n">
        <v>98</v>
      </c>
      <c r="BS2776" s="15" t="n">
        <v>98</v>
      </c>
      <c r="CO2776" s="15" t="n">
        <v>98</v>
      </c>
      <c r="DK2776" s="15" t="n">
        <v>98</v>
      </c>
      <c r="EG2776" s="15" t="n">
        <v>98</v>
      </c>
      <c r="FC2776" s="15" t="n">
        <v>98</v>
      </c>
      <c r="FY2776" s="15" t="n">
        <v>98</v>
      </c>
      <c r="GU2776" s="15" t="n">
        <v>98</v>
      </c>
    </row>
    <row r="2777">
      <c r="C2777" s="15" t="n">
        <v>99</v>
      </c>
      <c r="AA2777" s="15" t="n">
        <v>99</v>
      </c>
      <c r="AW2777" s="15" t="n">
        <v>99</v>
      </c>
      <c r="BS2777" s="15" t="n">
        <v>99</v>
      </c>
      <c r="CO2777" s="15" t="n">
        <v>99</v>
      </c>
      <c r="DK2777" s="15" t="n">
        <v>99</v>
      </c>
      <c r="EG2777" s="15" t="n">
        <v>99</v>
      </c>
      <c r="FC2777" s="15" t="n">
        <v>99</v>
      </c>
      <c r="FY2777" s="15" t="n">
        <v>99</v>
      </c>
      <c r="GU2777" s="15" t="n">
        <v>99</v>
      </c>
    </row>
    <row r="2778">
      <c r="C2778" s="15" t="n">
        <v>100</v>
      </c>
      <c r="AA2778" s="15" t="n">
        <v>100</v>
      </c>
      <c r="AW2778" s="15" t="n">
        <v>100</v>
      </c>
      <c r="BS2778" s="15" t="n">
        <v>100</v>
      </c>
      <c r="CO2778" s="15" t="n">
        <v>100</v>
      </c>
      <c r="DK2778" s="15" t="n">
        <v>100</v>
      </c>
      <c r="EG2778" s="15" t="n">
        <v>100</v>
      </c>
      <c r="FC2778" s="15" t="n">
        <v>100</v>
      </c>
      <c r="FY2778" s="15" t="n">
        <v>100</v>
      </c>
      <c r="GU2778" s="15" t="n">
        <v>100</v>
      </c>
    </row>
    <row r="2779">
      <c r="C2779" s="15" t="n">
        <v>101</v>
      </c>
      <c r="AA2779" s="15" t="n">
        <v>101</v>
      </c>
      <c r="AW2779" s="15" t="n">
        <v>101</v>
      </c>
      <c r="BS2779" s="15" t="n">
        <v>101</v>
      </c>
      <c r="CO2779" s="15" t="n">
        <v>101</v>
      </c>
      <c r="DK2779" s="15" t="n">
        <v>101</v>
      </c>
      <c r="EG2779" s="15" t="n">
        <v>101</v>
      </c>
      <c r="FC2779" s="15" t="n">
        <v>101</v>
      </c>
      <c r="FY2779" s="15" t="n">
        <v>101</v>
      </c>
      <c r="GU2779" s="15" t="n">
        <v>101</v>
      </c>
    </row>
    <row r="2780">
      <c r="C2780" s="15" t="n">
        <v>102</v>
      </c>
      <c r="AA2780" s="15" t="n">
        <v>102</v>
      </c>
      <c r="AW2780" s="15" t="n">
        <v>102</v>
      </c>
      <c r="BS2780" s="15" t="n">
        <v>102</v>
      </c>
      <c r="CO2780" s="15" t="n">
        <v>102</v>
      </c>
      <c r="DK2780" s="15" t="n">
        <v>102</v>
      </c>
      <c r="EG2780" s="15" t="n">
        <v>102</v>
      </c>
      <c r="FC2780" s="15" t="n">
        <v>102</v>
      </c>
      <c r="FY2780" s="15" t="n">
        <v>102</v>
      </c>
      <c r="GU2780" s="15" t="n">
        <v>102</v>
      </c>
    </row>
    <row r="2781">
      <c r="C2781" s="15" t="n">
        <v>103</v>
      </c>
      <c r="AA2781" s="15" t="n">
        <v>103</v>
      </c>
      <c r="AW2781" s="15" t="n">
        <v>103</v>
      </c>
      <c r="BS2781" s="15" t="n">
        <v>103</v>
      </c>
      <c r="CO2781" s="15" t="n">
        <v>103</v>
      </c>
      <c r="DK2781" s="15" t="n">
        <v>103</v>
      </c>
      <c r="EG2781" s="15" t="n">
        <v>103</v>
      </c>
      <c r="FC2781" s="15" t="n">
        <v>103</v>
      </c>
      <c r="FY2781" s="15" t="n">
        <v>103</v>
      </c>
      <c r="GU2781" s="15" t="n">
        <v>103</v>
      </c>
    </row>
    <row r="2782">
      <c r="C2782" s="15" t="n">
        <v>104</v>
      </c>
      <c r="AA2782" s="15" t="n">
        <v>104</v>
      </c>
      <c r="AW2782" s="15" t="n">
        <v>104</v>
      </c>
      <c r="BS2782" s="15" t="n">
        <v>104</v>
      </c>
      <c r="CO2782" s="15" t="n">
        <v>104</v>
      </c>
      <c r="DK2782" s="15" t="n">
        <v>104</v>
      </c>
      <c r="EG2782" s="15" t="n">
        <v>104</v>
      </c>
      <c r="FC2782" s="15" t="n">
        <v>104</v>
      </c>
      <c r="FY2782" s="15" t="n">
        <v>104</v>
      </c>
      <c r="GU2782" s="15" t="n">
        <v>104</v>
      </c>
    </row>
    <row r="2783">
      <c r="C2783" s="15" t="n">
        <v>105</v>
      </c>
      <c r="AA2783" s="15" t="n">
        <v>105</v>
      </c>
      <c r="AW2783" s="15" t="n">
        <v>105</v>
      </c>
      <c r="BS2783" s="15" t="n">
        <v>105</v>
      </c>
      <c r="CO2783" s="15" t="n">
        <v>105</v>
      </c>
      <c r="DK2783" s="15" t="n">
        <v>105</v>
      </c>
      <c r="EG2783" s="15" t="n">
        <v>105</v>
      </c>
      <c r="FC2783" s="15" t="n">
        <v>105</v>
      </c>
      <c r="FY2783" s="15" t="n">
        <v>105</v>
      </c>
      <c r="GU2783" s="15" t="n">
        <v>105</v>
      </c>
    </row>
    <row r="2784">
      <c r="C2784" s="15" t="n">
        <v>106</v>
      </c>
      <c r="AA2784" s="15" t="n">
        <v>106</v>
      </c>
      <c r="AW2784" s="15" t="n">
        <v>106</v>
      </c>
      <c r="BS2784" s="15" t="n">
        <v>106</v>
      </c>
      <c r="CO2784" s="15" t="n">
        <v>106</v>
      </c>
      <c r="DK2784" s="15" t="n">
        <v>106</v>
      </c>
      <c r="EG2784" s="15" t="n">
        <v>106</v>
      </c>
      <c r="FC2784" s="15" t="n">
        <v>106</v>
      </c>
      <c r="FY2784" s="15" t="n">
        <v>106</v>
      </c>
      <c r="GU2784" s="15" t="n">
        <v>106</v>
      </c>
    </row>
    <row r="2785">
      <c r="C2785" s="15" t="n">
        <v>107</v>
      </c>
      <c r="AA2785" s="15" t="n">
        <v>107</v>
      </c>
      <c r="AW2785" s="15" t="n">
        <v>107</v>
      </c>
      <c r="BS2785" s="15" t="n">
        <v>107</v>
      </c>
      <c r="CO2785" s="15" t="n">
        <v>107</v>
      </c>
      <c r="DK2785" s="15" t="n">
        <v>107</v>
      </c>
      <c r="EG2785" s="15" t="n">
        <v>107</v>
      </c>
      <c r="FC2785" s="15" t="n">
        <v>107</v>
      </c>
      <c r="FY2785" s="15" t="n">
        <v>107</v>
      </c>
      <c r="GU2785" s="15" t="n">
        <v>107</v>
      </c>
    </row>
    <row r="2786">
      <c r="C2786" s="15" t="n">
        <v>108</v>
      </c>
      <c r="AA2786" s="15" t="n">
        <v>108</v>
      </c>
      <c r="AW2786" s="15" t="n">
        <v>108</v>
      </c>
      <c r="BS2786" s="15" t="n">
        <v>108</v>
      </c>
      <c r="CO2786" s="15" t="n">
        <v>108</v>
      </c>
      <c r="DK2786" s="15" t="n">
        <v>108</v>
      </c>
      <c r="EG2786" s="15" t="n">
        <v>108</v>
      </c>
      <c r="FC2786" s="15" t="n">
        <v>108</v>
      </c>
      <c r="FY2786" s="15" t="n">
        <v>108</v>
      </c>
      <c r="GU2786" s="15" t="n">
        <v>108</v>
      </c>
    </row>
    <row r="2787">
      <c r="C2787" s="15" t="n">
        <v>109</v>
      </c>
      <c r="AA2787" s="15" t="n">
        <v>109</v>
      </c>
      <c r="AW2787" s="15" t="n">
        <v>109</v>
      </c>
      <c r="BS2787" s="15" t="n">
        <v>109</v>
      </c>
      <c r="CO2787" s="15" t="n">
        <v>109</v>
      </c>
      <c r="DK2787" s="15" t="n">
        <v>109</v>
      </c>
      <c r="EG2787" s="15" t="n">
        <v>109</v>
      </c>
      <c r="FC2787" s="15" t="n">
        <v>109</v>
      </c>
      <c r="FY2787" s="15" t="n">
        <v>109</v>
      </c>
      <c r="GU2787" s="15" t="n">
        <v>109</v>
      </c>
    </row>
    <row r="2788">
      <c r="C2788" s="15" t="n">
        <v>110</v>
      </c>
      <c r="AA2788" s="15" t="n">
        <v>110</v>
      </c>
      <c r="AW2788" s="15" t="n">
        <v>110</v>
      </c>
      <c r="BS2788" s="15" t="n">
        <v>110</v>
      </c>
      <c r="CO2788" s="15" t="n">
        <v>110</v>
      </c>
      <c r="DK2788" s="15" t="n">
        <v>110</v>
      </c>
      <c r="EG2788" s="15" t="n">
        <v>110</v>
      </c>
      <c r="FC2788" s="15" t="n">
        <v>110</v>
      </c>
      <c r="FY2788" s="15" t="n">
        <v>110</v>
      </c>
      <c r="GU2788" s="15" t="n">
        <v>110</v>
      </c>
    </row>
    <row r="2789">
      <c r="C2789" s="15" t="n">
        <v>111</v>
      </c>
      <c r="AA2789" s="15" t="n">
        <v>111</v>
      </c>
      <c r="AW2789" s="15" t="n">
        <v>111</v>
      </c>
      <c r="BS2789" s="15" t="n">
        <v>111</v>
      </c>
      <c r="CO2789" s="15" t="n">
        <v>111</v>
      </c>
      <c r="DK2789" s="15" t="n">
        <v>111</v>
      </c>
      <c r="EG2789" s="15" t="n">
        <v>111</v>
      </c>
      <c r="FC2789" s="15" t="n">
        <v>111</v>
      </c>
      <c r="FY2789" s="15" t="n">
        <v>111</v>
      </c>
      <c r="GU2789" s="15" t="n">
        <v>111</v>
      </c>
    </row>
    <row r="2790">
      <c r="C2790" s="15" t="n">
        <v>112</v>
      </c>
      <c r="AA2790" s="15" t="n">
        <v>112</v>
      </c>
      <c r="AW2790" s="15" t="n">
        <v>112</v>
      </c>
      <c r="BS2790" s="15" t="n">
        <v>112</v>
      </c>
      <c r="CO2790" s="15" t="n">
        <v>112</v>
      </c>
      <c r="DK2790" s="15" t="n">
        <v>112</v>
      </c>
      <c r="EG2790" s="15" t="n">
        <v>112</v>
      </c>
      <c r="FC2790" s="15" t="n">
        <v>112</v>
      </c>
      <c r="FY2790" s="15" t="n">
        <v>112</v>
      </c>
      <c r="GU2790" s="15" t="n">
        <v>112</v>
      </c>
    </row>
    <row r="2791">
      <c r="C2791" s="15" t="n">
        <v>113</v>
      </c>
      <c r="AA2791" s="15" t="n">
        <v>113</v>
      </c>
      <c r="AW2791" s="15" t="n">
        <v>113</v>
      </c>
      <c r="BS2791" s="15" t="n">
        <v>113</v>
      </c>
      <c r="CO2791" s="15" t="n">
        <v>113</v>
      </c>
      <c r="DK2791" s="15" t="n">
        <v>113</v>
      </c>
      <c r="EG2791" s="15" t="n">
        <v>113</v>
      </c>
      <c r="FC2791" s="15" t="n">
        <v>113</v>
      </c>
      <c r="FY2791" s="15" t="n">
        <v>113</v>
      </c>
      <c r="GU2791" s="15" t="n">
        <v>113</v>
      </c>
    </row>
    <row r="2792">
      <c r="C2792" s="15" t="n">
        <v>114</v>
      </c>
      <c r="AA2792" s="15" t="n">
        <v>114</v>
      </c>
      <c r="AW2792" s="15" t="n">
        <v>114</v>
      </c>
      <c r="BS2792" s="15" t="n">
        <v>114</v>
      </c>
      <c r="CO2792" s="15" t="n">
        <v>114</v>
      </c>
      <c r="DK2792" s="15" t="n">
        <v>114</v>
      </c>
      <c r="EG2792" s="15" t="n">
        <v>114</v>
      </c>
      <c r="FC2792" s="15" t="n">
        <v>114</v>
      </c>
      <c r="FY2792" s="15" t="n">
        <v>114</v>
      </c>
      <c r="GU2792" s="15" t="n">
        <v>114</v>
      </c>
    </row>
    <row r="2793">
      <c r="C2793" s="15" t="n">
        <v>115</v>
      </c>
      <c r="AA2793" s="15" t="n">
        <v>115</v>
      </c>
      <c r="AW2793" s="15" t="n">
        <v>115</v>
      </c>
      <c r="BS2793" s="15" t="n">
        <v>115</v>
      </c>
      <c r="CO2793" s="15" t="n">
        <v>115</v>
      </c>
      <c r="DK2793" s="15" t="n">
        <v>115</v>
      </c>
      <c r="EG2793" s="15" t="n">
        <v>115</v>
      </c>
      <c r="FC2793" s="15" t="n">
        <v>115</v>
      </c>
      <c r="FY2793" s="15" t="n">
        <v>115</v>
      </c>
      <c r="GU2793" s="15" t="n">
        <v>115</v>
      </c>
    </row>
    <row r="2794">
      <c r="C2794" s="15" t="n">
        <v>116</v>
      </c>
      <c r="AA2794" s="15" t="n">
        <v>116</v>
      </c>
      <c r="AW2794" s="15" t="n">
        <v>116</v>
      </c>
      <c r="BS2794" s="15" t="n">
        <v>116</v>
      </c>
      <c r="CO2794" s="15" t="n">
        <v>116</v>
      </c>
      <c r="DK2794" s="15" t="n">
        <v>116</v>
      </c>
      <c r="EG2794" s="15" t="n">
        <v>116</v>
      </c>
      <c r="FC2794" s="15" t="n">
        <v>116</v>
      </c>
      <c r="FY2794" s="15" t="n">
        <v>116</v>
      </c>
      <c r="GU2794" s="15" t="n">
        <v>116</v>
      </c>
    </row>
    <row r="2795">
      <c r="C2795" s="15" t="n">
        <v>117</v>
      </c>
      <c r="AA2795" s="15" t="n">
        <v>117</v>
      </c>
      <c r="AW2795" s="15" t="n">
        <v>117</v>
      </c>
      <c r="BS2795" s="15" t="n">
        <v>117</v>
      </c>
      <c r="CO2795" s="15" t="n">
        <v>117</v>
      </c>
      <c r="DK2795" s="15" t="n">
        <v>117</v>
      </c>
      <c r="EG2795" s="15" t="n">
        <v>117</v>
      </c>
      <c r="FC2795" s="15" t="n">
        <v>117</v>
      </c>
      <c r="FY2795" s="15" t="n">
        <v>117</v>
      </c>
      <c r="GU2795" s="15" t="n">
        <v>117</v>
      </c>
    </row>
    <row r="2796">
      <c r="C2796" s="15" t="n">
        <v>118</v>
      </c>
      <c r="AA2796" s="15" t="n">
        <v>118</v>
      </c>
      <c r="AW2796" s="15" t="n">
        <v>118</v>
      </c>
      <c r="BS2796" s="15" t="n">
        <v>118</v>
      </c>
      <c r="CO2796" s="15" t="n">
        <v>118</v>
      </c>
      <c r="DK2796" s="15" t="n">
        <v>118</v>
      </c>
      <c r="EG2796" s="15" t="n">
        <v>118</v>
      </c>
      <c r="FC2796" s="15" t="n">
        <v>118</v>
      </c>
      <c r="FY2796" s="15" t="n">
        <v>118</v>
      </c>
      <c r="GU2796" s="15" t="n">
        <v>118</v>
      </c>
    </row>
    <row r="2797">
      <c r="C2797" s="15" t="n">
        <v>119</v>
      </c>
      <c r="AA2797" s="15" t="n">
        <v>119</v>
      </c>
      <c r="AW2797" s="15" t="n">
        <v>119</v>
      </c>
      <c r="BS2797" s="15" t="n">
        <v>119</v>
      </c>
      <c r="CO2797" s="15" t="n">
        <v>119</v>
      </c>
      <c r="DK2797" s="15" t="n">
        <v>119</v>
      </c>
      <c r="EG2797" s="15" t="n">
        <v>119</v>
      </c>
      <c r="FC2797" s="15" t="n">
        <v>119</v>
      </c>
      <c r="FY2797" s="15" t="n">
        <v>119</v>
      </c>
      <c r="GU2797" s="15" t="n">
        <v>119</v>
      </c>
    </row>
    <row r="2798">
      <c r="C2798" s="15" t="n">
        <v>120</v>
      </c>
      <c r="AA2798" s="15" t="n">
        <v>120</v>
      </c>
      <c r="AW2798" s="15" t="n">
        <v>120</v>
      </c>
      <c r="BS2798" s="15" t="n">
        <v>120</v>
      </c>
      <c r="CO2798" s="15" t="n">
        <v>120</v>
      </c>
      <c r="DK2798" s="15" t="n">
        <v>120</v>
      </c>
      <c r="EG2798" s="15" t="n">
        <v>120</v>
      </c>
      <c r="FC2798" s="15" t="n">
        <v>120</v>
      </c>
      <c r="FY2798" s="15" t="n">
        <v>120</v>
      </c>
      <c r="GU2798" s="15" t="n">
        <v>120</v>
      </c>
    </row>
    <row r="2799">
      <c r="C2799" s="15" t="n">
        <v>121</v>
      </c>
      <c r="AA2799" s="15" t="n">
        <v>121</v>
      </c>
      <c r="AW2799" s="15" t="n">
        <v>121</v>
      </c>
      <c r="BS2799" s="15" t="n">
        <v>121</v>
      </c>
      <c r="CO2799" s="15" t="n">
        <v>121</v>
      </c>
      <c r="DK2799" s="15" t="n">
        <v>121</v>
      </c>
      <c r="EG2799" s="15" t="n">
        <v>121</v>
      </c>
      <c r="FC2799" s="15" t="n">
        <v>121</v>
      </c>
      <c r="FY2799" s="15" t="n">
        <v>121</v>
      </c>
      <c r="GU2799" s="15" t="n">
        <v>121</v>
      </c>
    </row>
    <row r="2800">
      <c r="C2800" s="15" t="n">
        <v>122</v>
      </c>
      <c r="AA2800" s="15" t="n">
        <v>122</v>
      </c>
      <c r="AW2800" s="15" t="n">
        <v>122</v>
      </c>
      <c r="BS2800" s="15" t="n">
        <v>122</v>
      </c>
      <c r="CO2800" s="15" t="n">
        <v>122</v>
      </c>
      <c r="DK2800" s="15" t="n">
        <v>122</v>
      </c>
      <c r="EG2800" s="15" t="n">
        <v>122</v>
      </c>
      <c r="FC2800" s="15" t="n">
        <v>122</v>
      </c>
      <c r="FY2800" s="15" t="n">
        <v>122</v>
      </c>
      <c r="GU2800" s="15" t="n">
        <v>122</v>
      </c>
    </row>
    <row r="2801">
      <c r="C2801" s="15" t="n">
        <v>123</v>
      </c>
      <c r="AA2801" s="15" t="n">
        <v>123</v>
      </c>
      <c r="AW2801" s="15" t="n">
        <v>123</v>
      </c>
      <c r="BS2801" s="15" t="n">
        <v>123</v>
      </c>
      <c r="CO2801" s="15" t="n">
        <v>123</v>
      </c>
      <c r="DK2801" s="15" t="n">
        <v>123</v>
      </c>
      <c r="EG2801" s="15" t="n">
        <v>123</v>
      </c>
      <c r="FC2801" s="15" t="n">
        <v>123</v>
      </c>
      <c r="FY2801" s="15" t="n">
        <v>123</v>
      </c>
      <c r="GU2801" s="15" t="n">
        <v>123</v>
      </c>
    </row>
    <row r="2802">
      <c r="C2802" s="15" t="n">
        <v>124</v>
      </c>
      <c r="AA2802" s="15" t="n">
        <v>124</v>
      </c>
      <c r="AW2802" s="15" t="n">
        <v>124</v>
      </c>
      <c r="BS2802" s="15" t="n">
        <v>124</v>
      </c>
      <c r="CO2802" s="15" t="n">
        <v>124</v>
      </c>
      <c r="DK2802" s="15" t="n">
        <v>124</v>
      </c>
      <c r="EG2802" s="15" t="n">
        <v>124</v>
      </c>
      <c r="FC2802" s="15" t="n">
        <v>124</v>
      </c>
      <c r="FY2802" s="15" t="n">
        <v>124</v>
      </c>
      <c r="GU2802" s="15" t="n">
        <v>124</v>
      </c>
    </row>
    <row r="2803">
      <c r="C2803" s="15" t="n">
        <v>125</v>
      </c>
      <c r="AA2803" s="15" t="n">
        <v>125</v>
      </c>
      <c r="AW2803" s="15" t="n">
        <v>125</v>
      </c>
      <c r="BS2803" s="15" t="n">
        <v>125</v>
      </c>
      <c r="CO2803" s="15" t="n">
        <v>125</v>
      </c>
      <c r="DK2803" s="15" t="n">
        <v>125</v>
      </c>
      <c r="EG2803" s="15" t="n">
        <v>125</v>
      </c>
      <c r="FC2803" s="15" t="n">
        <v>125</v>
      </c>
      <c r="FY2803" s="15" t="n">
        <v>125</v>
      </c>
      <c r="GU2803" s="15" t="n">
        <v>125</v>
      </c>
    </row>
    <row r="2804">
      <c r="C2804" s="15" t="n">
        <v>126</v>
      </c>
      <c r="AA2804" s="15" t="n">
        <v>126</v>
      </c>
      <c r="AW2804" s="15" t="n">
        <v>126</v>
      </c>
      <c r="BS2804" s="15" t="n">
        <v>126</v>
      </c>
      <c r="CO2804" s="15" t="n">
        <v>126</v>
      </c>
      <c r="DK2804" s="15" t="n">
        <v>126</v>
      </c>
      <c r="EG2804" s="15" t="n">
        <v>126</v>
      </c>
      <c r="FC2804" s="15" t="n">
        <v>126</v>
      </c>
      <c r="FY2804" s="15" t="n">
        <v>126</v>
      </c>
      <c r="GU2804" s="15" t="n">
        <v>126</v>
      </c>
    </row>
    <row r="2805">
      <c r="C2805" s="15" t="n">
        <v>127</v>
      </c>
      <c r="AA2805" s="15" t="n">
        <v>127</v>
      </c>
      <c r="AW2805" s="15" t="n">
        <v>127</v>
      </c>
      <c r="BS2805" s="15" t="n">
        <v>127</v>
      </c>
      <c r="CO2805" s="15" t="n">
        <v>127</v>
      </c>
      <c r="DK2805" s="15" t="n">
        <v>127</v>
      </c>
      <c r="EG2805" s="15" t="n">
        <v>127</v>
      </c>
      <c r="FC2805" s="15" t="n">
        <v>127</v>
      </c>
      <c r="FY2805" s="15" t="n">
        <v>127</v>
      </c>
      <c r="GU2805" s="15" t="n">
        <v>127</v>
      </c>
    </row>
    <row r="2806">
      <c r="C2806" s="15" t="n">
        <v>128</v>
      </c>
      <c r="AA2806" s="15" t="n">
        <v>128</v>
      </c>
      <c r="AW2806" s="15" t="n">
        <v>128</v>
      </c>
      <c r="BS2806" s="15" t="n">
        <v>128</v>
      </c>
      <c r="CO2806" s="15" t="n">
        <v>128</v>
      </c>
      <c r="DK2806" s="15" t="n">
        <v>128</v>
      </c>
      <c r="EG2806" s="15" t="n">
        <v>128</v>
      </c>
      <c r="FC2806" s="15" t="n">
        <v>128</v>
      </c>
      <c r="FY2806" s="15" t="n">
        <v>128</v>
      </c>
      <c r="GU2806" s="15" t="n">
        <v>128</v>
      </c>
    </row>
    <row r="2807">
      <c r="C2807" s="15" t="n">
        <v>129</v>
      </c>
      <c r="AA2807" s="15" t="n">
        <v>129</v>
      </c>
      <c r="AW2807" s="15" t="n">
        <v>129</v>
      </c>
      <c r="BS2807" s="15" t="n">
        <v>129</v>
      </c>
      <c r="CO2807" s="15" t="n">
        <v>129</v>
      </c>
      <c r="DK2807" s="15" t="n">
        <v>129</v>
      </c>
      <c r="EG2807" s="15" t="n">
        <v>129</v>
      </c>
      <c r="FC2807" s="15" t="n">
        <v>129</v>
      </c>
      <c r="FY2807" s="15" t="n">
        <v>129</v>
      </c>
      <c r="GU2807" s="15" t="n">
        <v>129</v>
      </c>
    </row>
    <row r="2808">
      <c r="C2808" s="15" t="n">
        <v>130</v>
      </c>
      <c r="AA2808" s="15" t="n">
        <v>130</v>
      </c>
      <c r="AW2808" s="15" t="n">
        <v>130</v>
      </c>
      <c r="BS2808" s="15" t="n">
        <v>130</v>
      </c>
      <c r="CO2808" s="15" t="n">
        <v>130</v>
      </c>
      <c r="DK2808" s="15" t="n">
        <v>130</v>
      </c>
      <c r="EG2808" s="15" t="n">
        <v>130</v>
      </c>
      <c r="FC2808" s="15" t="n">
        <v>130</v>
      </c>
      <c r="FY2808" s="15" t="n">
        <v>130</v>
      </c>
      <c r="GU2808" s="15" t="n">
        <v>130</v>
      </c>
    </row>
    <row r="2809">
      <c r="C2809" s="15" t="n">
        <v>131</v>
      </c>
      <c r="AA2809" s="15" t="n">
        <v>131</v>
      </c>
      <c r="AW2809" s="15" t="n">
        <v>131</v>
      </c>
      <c r="BS2809" s="15" t="n">
        <v>131</v>
      </c>
      <c r="CO2809" s="15" t="n">
        <v>131</v>
      </c>
      <c r="DK2809" s="15" t="n">
        <v>131</v>
      </c>
      <c r="EG2809" s="15" t="n">
        <v>131</v>
      </c>
      <c r="FC2809" s="15" t="n">
        <v>131</v>
      </c>
      <c r="FY2809" s="15" t="n">
        <v>131</v>
      </c>
      <c r="GU2809" s="15" t="n">
        <v>131</v>
      </c>
    </row>
    <row r="2810">
      <c r="C2810" s="15" t="n">
        <v>132</v>
      </c>
      <c r="AA2810" s="15" t="n">
        <v>132</v>
      </c>
      <c r="AW2810" s="15" t="n">
        <v>132</v>
      </c>
      <c r="BS2810" s="15" t="n">
        <v>132</v>
      </c>
      <c r="CO2810" s="15" t="n">
        <v>132</v>
      </c>
      <c r="DK2810" s="15" t="n">
        <v>132</v>
      </c>
      <c r="EG2810" s="15" t="n">
        <v>132</v>
      </c>
      <c r="FC2810" s="15" t="n">
        <v>132</v>
      </c>
      <c r="FY2810" s="15" t="n">
        <v>132</v>
      </c>
      <c r="GU2810" s="15" t="n">
        <v>132</v>
      </c>
    </row>
    <row r="2811">
      <c r="C2811" s="15" t="n">
        <v>133</v>
      </c>
      <c r="AA2811" s="15" t="n">
        <v>133</v>
      </c>
      <c r="AW2811" s="15" t="n">
        <v>133</v>
      </c>
      <c r="BS2811" s="15" t="n">
        <v>133</v>
      </c>
      <c r="CO2811" s="15" t="n">
        <v>133</v>
      </c>
      <c r="DK2811" s="15" t="n">
        <v>133</v>
      </c>
      <c r="EG2811" s="15" t="n">
        <v>133</v>
      </c>
      <c r="FC2811" s="15" t="n">
        <v>133</v>
      </c>
      <c r="FY2811" s="15" t="n">
        <v>133</v>
      </c>
      <c r="GU2811" s="15" t="n">
        <v>133</v>
      </c>
    </row>
    <row r="2812">
      <c r="C2812" s="15" t="n">
        <v>134</v>
      </c>
      <c r="AA2812" s="15" t="n">
        <v>134</v>
      </c>
      <c r="AW2812" s="15" t="n">
        <v>134</v>
      </c>
      <c r="BS2812" s="15" t="n">
        <v>134</v>
      </c>
      <c r="CO2812" s="15" t="n">
        <v>134</v>
      </c>
      <c r="DK2812" s="15" t="n">
        <v>134</v>
      </c>
      <c r="EG2812" s="15" t="n">
        <v>134</v>
      </c>
      <c r="FC2812" s="15" t="n">
        <v>134</v>
      </c>
      <c r="FY2812" s="15" t="n">
        <v>134</v>
      </c>
      <c r="GU2812" s="15" t="n">
        <v>134</v>
      </c>
    </row>
    <row r="2813">
      <c r="C2813" s="15" t="n">
        <v>135</v>
      </c>
      <c r="AA2813" s="15" t="n">
        <v>135</v>
      </c>
      <c r="AW2813" s="15" t="n">
        <v>135</v>
      </c>
      <c r="BS2813" s="15" t="n">
        <v>135</v>
      </c>
      <c r="CO2813" s="15" t="n">
        <v>135</v>
      </c>
      <c r="DK2813" s="15" t="n">
        <v>135</v>
      </c>
      <c r="EG2813" s="15" t="n">
        <v>135</v>
      </c>
      <c r="FC2813" s="15" t="n">
        <v>135</v>
      </c>
      <c r="FY2813" s="15" t="n">
        <v>135</v>
      </c>
      <c r="GU2813" s="15" t="n">
        <v>135</v>
      </c>
    </row>
    <row r="2814">
      <c r="C2814" s="15" t="n">
        <v>136</v>
      </c>
      <c r="AA2814" s="15" t="n">
        <v>136</v>
      </c>
      <c r="AW2814" s="15" t="n">
        <v>136</v>
      </c>
      <c r="BS2814" s="15" t="n">
        <v>136</v>
      </c>
      <c r="CO2814" s="15" t="n">
        <v>136</v>
      </c>
      <c r="DK2814" s="15" t="n">
        <v>136</v>
      </c>
      <c r="EG2814" s="15" t="n">
        <v>136</v>
      </c>
      <c r="FC2814" s="15" t="n">
        <v>136</v>
      </c>
      <c r="FY2814" s="15" t="n">
        <v>136</v>
      </c>
      <c r="GU2814" s="15" t="n">
        <v>136</v>
      </c>
    </row>
    <row r="2815">
      <c r="C2815" s="15" t="n">
        <v>137</v>
      </c>
      <c r="AA2815" s="15" t="n">
        <v>137</v>
      </c>
      <c r="AW2815" s="15" t="n">
        <v>137</v>
      </c>
      <c r="BS2815" s="15" t="n">
        <v>137</v>
      </c>
      <c r="CO2815" s="15" t="n">
        <v>137</v>
      </c>
      <c r="DK2815" s="15" t="n">
        <v>137</v>
      </c>
      <c r="EG2815" s="15" t="n">
        <v>137</v>
      </c>
      <c r="FC2815" s="15" t="n">
        <v>137</v>
      </c>
      <c r="FY2815" s="15" t="n">
        <v>137</v>
      </c>
      <c r="GU2815" s="15" t="n">
        <v>137</v>
      </c>
    </row>
    <row r="2816">
      <c r="C2816" s="15" t="n">
        <v>138</v>
      </c>
      <c r="AA2816" s="15" t="n">
        <v>138</v>
      </c>
      <c r="AW2816" s="15" t="n">
        <v>138</v>
      </c>
      <c r="BS2816" s="15" t="n">
        <v>138</v>
      </c>
      <c r="CO2816" s="15" t="n">
        <v>138</v>
      </c>
      <c r="DK2816" s="15" t="n">
        <v>138</v>
      </c>
      <c r="EG2816" s="15" t="n">
        <v>138</v>
      </c>
      <c r="FC2816" s="15" t="n">
        <v>138</v>
      </c>
      <c r="FY2816" s="15" t="n">
        <v>138</v>
      </c>
      <c r="GU2816" s="15" t="n">
        <v>138</v>
      </c>
    </row>
    <row r="2817">
      <c r="C2817" s="15" t="n">
        <v>139</v>
      </c>
      <c r="AA2817" s="15" t="n">
        <v>139</v>
      </c>
      <c r="AW2817" s="15" t="n">
        <v>139</v>
      </c>
      <c r="BS2817" s="15" t="n">
        <v>139</v>
      </c>
      <c r="CO2817" s="15" t="n">
        <v>139</v>
      </c>
      <c r="DK2817" s="15" t="n">
        <v>139</v>
      </c>
      <c r="EG2817" s="15" t="n">
        <v>139</v>
      </c>
      <c r="FC2817" s="15" t="n">
        <v>139</v>
      </c>
      <c r="FY2817" s="15" t="n">
        <v>139</v>
      </c>
      <c r="GU2817" s="15" t="n">
        <v>139</v>
      </c>
    </row>
    <row r="2818">
      <c r="C2818" s="15" t="n">
        <v>140</v>
      </c>
      <c r="AA2818" s="15" t="n">
        <v>140</v>
      </c>
      <c r="AW2818" s="15" t="n">
        <v>140</v>
      </c>
      <c r="BS2818" s="15" t="n">
        <v>140</v>
      </c>
      <c r="CO2818" s="15" t="n">
        <v>140</v>
      </c>
      <c r="DK2818" s="15" t="n">
        <v>140</v>
      </c>
      <c r="EG2818" s="15" t="n">
        <v>140</v>
      </c>
      <c r="FC2818" s="15" t="n">
        <v>140</v>
      </c>
      <c r="FY2818" s="15" t="n">
        <v>140</v>
      </c>
      <c r="GU2818" s="15" t="n">
        <v>140</v>
      </c>
    </row>
    <row r="2819">
      <c r="C2819" s="15" t="n">
        <v>141</v>
      </c>
      <c r="AA2819" s="15" t="n">
        <v>141</v>
      </c>
      <c r="AW2819" s="15" t="n">
        <v>141</v>
      </c>
      <c r="BS2819" s="15" t="n">
        <v>141</v>
      </c>
      <c r="CO2819" s="15" t="n">
        <v>141</v>
      </c>
      <c r="DK2819" s="15" t="n">
        <v>141</v>
      </c>
      <c r="EG2819" s="15" t="n">
        <v>141</v>
      </c>
      <c r="FC2819" s="15" t="n">
        <v>141</v>
      </c>
      <c r="FY2819" s="15" t="n">
        <v>141</v>
      </c>
      <c r="GU2819" s="15" t="n">
        <v>141</v>
      </c>
    </row>
    <row r="2820">
      <c r="C2820" s="15" t="n">
        <v>142</v>
      </c>
      <c r="AA2820" s="15" t="n">
        <v>142</v>
      </c>
      <c r="AW2820" s="15" t="n">
        <v>142</v>
      </c>
      <c r="BS2820" s="15" t="n">
        <v>142</v>
      </c>
      <c r="CO2820" s="15" t="n">
        <v>142</v>
      </c>
      <c r="DK2820" s="15" t="n">
        <v>142</v>
      </c>
      <c r="EG2820" s="15" t="n">
        <v>142</v>
      </c>
      <c r="FC2820" s="15" t="n">
        <v>142</v>
      </c>
      <c r="FY2820" s="15" t="n">
        <v>142</v>
      </c>
      <c r="GU2820" s="15" t="n">
        <v>142</v>
      </c>
    </row>
    <row r="2821">
      <c r="C2821" s="15" t="n">
        <v>143</v>
      </c>
      <c r="AA2821" s="15" t="n">
        <v>143</v>
      </c>
      <c r="AW2821" s="15" t="n">
        <v>143</v>
      </c>
      <c r="BS2821" s="15" t="n">
        <v>143</v>
      </c>
      <c r="CO2821" s="15" t="n">
        <v>143</v>
      </c>
      <c r="DK2821" s="15" t="n">
        <v>143</v>
      </c>
      <c r="EG2821" s="15" t="n">
        <v>143</v>
      </c>
      <c r="FC2821" s="15" t="n">
        <v>143</v>
      </c>
      <c r="FY2821" s="15" t="n">
        <v>143</v>
      </c>
      <c r="GU2821" s="15" t="n">
        <v>143</v>
      </c>
    </row>
    <row r="2822">
      <c r="C2822" s="15" t="n">
        <v>144</v>
      </c>
      <c r="AA2822" s="15" t="n">
        <v>144</v>
      </c>
      <c r="AW2822" s="15" t="n">
        <v>144</v>
      </c>
      <c r="BS2822" s="15" t="n">
        <v>144</v>
      </c>
      <c r="CO2822" s="15" t="n">
        <v>144</v>
      </c>
      <c r="DK2822" s="15" t="n">
        <v>144</v>
      </c>
      <c r="EG2822" s="15" t="n">
        <v>144</v>
      </c>
      <c r="FC2822" s="15" t="n">
        <v>144</v>
      </c>
      <c r="FY2822" s="15" t="n">
        <v>144</v>
      </c>
      <c r="GU2822" s="15" t="n">
        <v>144</v>
      </c>
    </row>
    <row r="2823">
      <c r="C2823" s="15" t="n">
        <v>145</v>
      </c>
      <c r="AA2823" s="15" t="n">
        <v>145</v>
      </c>
      <c r="AW2823" s="15" t="n">
        <v>145</v>
      </c>
      <c r="BS2823" s="15" t="n">
        <v>145</v>
      </c>
      <c r="CO2823" s="15" t="n">
        <v>145</v>
      </c>
      <c r="DK2823" s="15" t="n">
        <v>145</v>
      </c>
      <c r="EG2823" s="15" t="n">
        <v>145</v>
      </c>
      <c r="FC2823" s="15" t="n">
        <v>145</v>
      </c>
      <c r="FY2823" s="15" t="n">
        <v>145</v>
      </c>
      <c r="GU2823" s="15" t="n">
        <v>145</v>
      </c>
    </row>
    <row r="2824">
      <c r="C2824" s="15" t="n">
        <v>146</v>
      </c>
      <c r="AA2824" s="15" t="n">
        <v>146</v>
      </c>
      <c r="AW2824" s="15" t="n">
        <v>146</v>
      </c>
      <c r="BS2824" s="15" t="n">
        <v>146</v>
      </c>
      <c r="CO2824" s="15" t="n">
        <v>146</v>
      </c>
      <c r="DK2824" s="15" t="n">
        <v>146</v>
      </c>
      <c r="EG2824" s="15" t="n">
        <v>146</v>
      </c>
      <c r="FC2824" s="15" t="n">
        <v>146</v>
      </c>
      <c r="FY2824" s="15" t="n">
        <v>146</v>
      </c>
      <c r="GU2824" s="15" t="n">
        <v>146</v>
      </c>
    </row>
    <row r="2825">
      <c r="C2825" s="15" t="n">
        <v>147</v>
      </c>
      <c r="AA2825" s="15" t="n">
        <v>147</v>
      </c>
      <c r="AW2825" s="15" t="n">
        <v>147</v>
      </c>
      <c r="BS2825" s="15" t="n">
        <v>147</v>
      </c>
      <c r="CO2825" s="15" t="n">
        <v>147</v>
      </c>
      <c r="DK2825" s="15" t="n">
        <v>147</v>
      </c>
      <c r="EG2825" s="15" t="n">
        <v>147</v>
      </c>
      <c r="FC2825" s="15" t="n">
        <v>147</v>
      </c>
      <c r="FY2825" s="15" t="n">
        <v>147</v>
      </c>
      <c r="GU2825" s="15" t="n">
        <v>147</v>
      </c>
    </row>
    <row r="2826">
      <c r="C2826" s="15" t="n">
        <v>148</v>
      </c>
      <c r="AA2826" s="15" t="n">
        <v>148</v>
      </c>
      <c r="AW2826" s="15" t="n">
        <v>148</v>
      </c>
      <c r="BS2826" s="15" t="n">
        <v>148</v>
      </c>
      <c r="CO2826" s="15" t="n">
        <v>148</v>
      </c>
      <c r="DK2826" s="15" t="n">
        <v>148</v>
      </c>
      <c r="EG2826" s="15" t="n">
        <v>148</v>
      </c>
      <c r="FC2826" s="15" t="n">
        <v>148</v>
      </c>
      <c r="FY2826" s="15" t="n">
        <v>148</v>
      </c>
      <c r="GU2826" s="15" t="n">
        <v>148</v>
      </c>
    </row>
    <row r="2827">
      <c r="C2827" s="15" t="n">
        <v>149</v>
      </c>
      <c r="AA2827" s="15" t="n">
        <v>149</v>
      </c>
      <c r="AW2827" s="15" t="n">
        <v>149</v>
      </c>
      <c r="BS2827" s="15" t="n">
        <v>149</v>
      </c>
      <c r="CO2827" s="15" t="n">
        <v>149</v>
      </c>
      <c r="DK2827" s="15" t="n">
        <v>149</v>
      </c>
      <c r="EG2827" s="15" t="n">
        <v>149</v>
      </c>
      <c r="FC2827" s="15" t="n">
        <v>149</v>
      </c>
      <c r="FY2827" s="15" t="n">
        <v>149</v>
      </c>
      <c r="GU2827" s="15" t="n">
        <v>149</v>
      </c>
    </row>
    <row r="2828">
      <c r="C2828" s="15" t="n">
        <v>150</v>
      </c>
      <c r="AA2828" s="15" t="n">
        <v>150</v>
      </c>
      <c r="AW2828" s="15" t="n">
        <v>150</v>
      </c>
      <c r="BS2828" s="15" t="n">
        <v>150</v>
      </c>
      <c r="CO2828" s="15" t="n">
        <v>150</v>
      </c>
      <c r="DK2828" s="15" t="n">
        <v>150</v>
      </c>
      <c r="EG2828" s="15" t="n">
        <v>150</v>
      </c>
      <c r="FC2828" s="15" t="n">
        <v>150</v>
      </c>
      <c r="FY2828" s="15" t="n">
        <v>150</v>
      </c>
      <c r="GU2828" s="15" t="n">
        <v>150</v>
      </c>
    </row>
    <row r="2829">
      <c r="C2829" s="15" t="n">
        <v>151</v>
      </c>
      <c r="AA2829" s="15" t="n">
        <v>151</v>
      </c>
      <c r="AW2829" s="15" t="n">
        <v>151</v>
      </c>
      <c r="BS2829" s="15" t="n">
        <v>151</v>
      </c>
      <c r="CO2829" s="15" t="n">
        <v>151</v>
      </c>
      <c r="DK2829" s="15" t="n">
        <v>151</v>
      </c>
      <c r="EG2829" s="15" t="n">
        <v>151</v>
      </c>
      <c r="FC2829" s="15" t="n">
        <v>151</v>
      </c>
      <c r="FY2829" s="15" t="n">
        <v>151</v>
      </c>
      <c r="GU2829" s="15" t="n">
        <v>151</v>
      </c>
    </row>
    <row r="2830">
      <c r="C2830" s="15" t="n">
        <v>152</v>
      </c>
      <c r="AA2830" s="15" t="n">
        <v>152</v>
      </c>
      <c r="AW2830" s="15" t="n">
        <v>152</v>
      </c>
      <c r="BS2830" s="15" t="n">
        <v>152</v>
      </c>
      <c r="CO2830" s="15" t="n">
        <v>152</v>
      </c>
      <c r="DK2830" s="15" t="n">
        <v>152</v>
      </c>
      <c r="EG2830" s="15" t="n">
        <v>152</v>
      </c>
      <c r="FC2830" s="15" t="n">
        <v>152</v>
      </c>
      <c r="FY2830" s="15" t="n">
        <v>152</v>
      </c>
      <c r="GU2830" s="15" t="n">
        <v>152</v>
      </c>
    </row>
    <row r="2831">
      <c r="C2831" s="15" t="n">
        <v>153</v>
      </c>
      <c r="AA2831" s="15" t="n">
        <v>153</v>
      </c>
      <c r="AW2831" s="15" t="n">
        <v>153</v>
      </c>
      <c r="BS2831" s="15" t="n">
        <v>153</v>
      </c>
      <c r="CO2831" s="15" t="n">
        <v>153</v>
      </c>
      <c r="DK2831" s="15" t="n">
        <v>153</v>
      </c>
      <c r="EG2831" s="15" t="n">
        <v>153</v>
      </c>
      <c r="FC2831" s="15" t="n">
        <v>153</v>
      </c>
      <c r="FY2831" s="15" t="n">
        <v>153</v>
      </c>
      <c r="GU2831" s="15" t="n">
        <v>153</v>
      </c>
    </row>
    <row r="2832">
      <c r="C2832" s="15" t="n">
        <v>154</v>
      </c>
      <c r="AA2832" s="15" t="n">
        <v>154</v>
      </c>
      <c r="AW2832" s="15" t="n">
        <v>154</v>
      </c>
      <c r="BS2832" s="15" t="n">
        <v>154</v>
      </c>
      <c r="CO2832" s="15" t="n">
        <v>154</v>
      </c>
      <c r="DK2832" s="15" t="n">
        <v>154</v>
      </c>
      <c r="EG2832" s="15" t="n">
        <v>154</v>
      </c>
      <c r="FC2832" s="15" t="n">
        <v>154</v>
      </c>
      <c r="FY2832" s="15" t="n">
        <v>154</v>
      </c>
      <c r="GU2832" s="15" t="n">
        <v>154</v>
      </c>
    </row>
    <row r="2833">
      <c r="C2833" s="15" t="n">
        <v>155</v>
      </c>
      <c r="AA2833" s="15" t="n">
        <v>155</v>
      </c>
      <c r="AW2833" s="15" t="n">
        <v>155</v>
      </c>
      <c r="BS2833" s="15" t="n">
        <v>155</v>
      </c>
      <c r="CO2833" s="15" t="n">
        <v>155</v>
      </c>
      <c r="DK2833" s="15" t="n">
        <v>155</v>
      </c>
      <c r="EG2833" s="15" t="n">
        <v>155</v>
      </c>
      <c r="FC2833" s="15" t="n">
        <v>155</v>
      </c>
      <c r="FY2833" s="15" t="n">
        <v>155</v>
      </c>
      <c r="GU2833" s="15" t="n">
        <v>155</v>
      </c>
    </row>
    <row r="2834">
      <c r="C2834" s="15" t="n">
        <v>156</v>
      </c>
      <c r="AA2834" s="15" t="n">
        <v>156</v>
      </c>
      <c r="AW2834" s="15" t="n">
        <v>156</v>
      </c>
      <c r="BS2834" s="15" t="n">
        <v>156</v>
      </c>
      <c r="CO2834" s="15" t="n">
        <v>156</v>
      </c>
      <c r="DK2834" s="15" t="n">
        <v>156</v>
      </c>
      <c r="EG2834" s="15" t="n">
        <v>156</v>
      </c>
      <c r="FC2834" s="15" t="n">
        <v>156</v>
      </c>
      <c r="FY2834" s="15" t="n">
        <v>156</v>
      </c>
      <c r="GU2834" s="15" t="n">
        <v>156</v>
      </c>
    </row>
    <row r="2835">
      <c r="C2835" s="15" t="n">
        <v>157</v>
      </c>
      <c r="AA2835" s="15" t="n">
        <v>157</v>
      </c>
      <c r="AW2835" s="15" t="n">
        <v>157</v>
      </c>
      <c r="BS2835" s="15" t="n">
        <v>157</v>
      </c>
      <c r="CO2835" s="15" t="n">
        <v>157</v>
      </c>
      <c r="DK2835" s="15" t="n">
        <v>157</v>
      </c>
      <c r="EG2835" s="15" t="n">
        <v>157</v>
      </c>
      <c r="FC2835" s="15" t="n">
        <v>157</v>
      </c>
      <c r="FY2835" s="15" t="n">
        <v>157</v>
      </c>
      <c r="GU2835" s="15" t="n">
        <v>157</v>
      </c>
    </row>
    <row r="2836">
      <c r="C2836" s="15" t="n">
        <v>158</v>
      </c>
      <c r="AA2836" s="15" t="n">
        <v>158</v>
      </c>
      <c r="AW2836" s="15" t="n">
        <v>158</v>
      </c>
      <c r="BS2836" s="15" t="n">
        <v>158</v>
      </c>
      <c r="CO2836" s="15" t="n">
        <v>158</v>
      </c>
      <c r="DK2836" s="15" t="n">
        <v>158</v>
      </c>
      <c r="EG2836" s="15" t="n">
        <v>158</v>
      </c>
      <c r="FC2836" s="15" t="n">
        <v>158</v>
      </c>
      <c r="FY2836" s="15" t="n">
        <v>158</v>
      </c>
      <c r="GU2836" s="15" t="n">
        <v>158</v>
      </c>
    </row>
    <row r="2837">
      <c r="C2837" s="15" t="n">
        <v>159</v>
      </c>
      <c r="AA2837" s="15" t="n">
        <v>159</v>
      </c>
      <c r="AW2837" s="15" t="n">
        <v>159</v>
      </c>
      <c r="BS2837" s="15" t="n">
        <v>159</v>
      </c>
      <c r="CO2837" s="15" t="n">
        <v>159</v>
      </c>
      <c r="DK2837" s="15" t="n">
        <v>159</v>
      </c>
      <c r="EG2837" s="15" t="n">
        <v>159</v>
      </c>
      <c r="FC2837" s="15" t="n">
        <v>159</v>
      </c>
      <c r="FY2837" s="15" t="n">
        <v>159</v>
      </c>
      <c r="GU2837" s="15" t="n">
        <v>159</v>
      </c>
    </row>
    <row r="2838">
      <c r="C2838" s="15" t="n">
        <v>160</v>
      </c>
      <c r="AA2838" s="15" t="n">
        <v>160</v>
      </c>
      <c r="AW2838" s="15" t="n">
        <v>160</v>
      </c>
      <c r="BS2838" s="15" t="n">
        <v>160</v>
      </c>
      <c r="CO2838" s="15" t="n">
        <v>160</v>
      </c>
      <c r="DK2838" s="15" t="n">
        <v>160</v>
      </c>
      <c r="EG2838" s="15" t="n">
        <v>160</v>
      </c>
      <c r="FC2838" s="15" t="n">
        <v>160</v>
      </c>
      <c r="FY2838" s="15" t="n">
        <v>160</v>
      </c>
      <c r="GU2838" s="15" t="n">
        <v>160</v>
      </c>
    </row>
    <row r="2839">
      <c r="C2839" s="15" t="n">
        <v>161</v>
      </c>
      <c r="AA2839" s="15" t="n">
        <v>161</v>
      </c>
      <c r="AW2839" s="15" t="n">
        <v>161</v>
      </c>
      <c r="BS2839" s="15" t="n">
        <v>161</v>
      </c>
      <c r="CO2839" s="15" t="n">
        <v>161</v>
      </c>
      <c r="DK2839" s="15" t="n">
        <v>161</v>
      </c>
      <c r="EG2839" s="15" t="n">
        <v>161</v>
      </c>
      <c r="FC2839" s="15" t="n">
        <v>161</v>
      </c>
      <c r="FY2839" s="15" t="n">
        <v>161</v>
      </c>
      <c r="GU2839" s="15" t="n">
        <v>161</v>
      </c>
    </row>
    <row r="2840">
      <c r="C2840" s="15" t="n">
        <v>162</v>
      </c>
      <c r="AA2840" s="15" t="n">
        <v>162</v>
      </c>
      <c r="AW2840" s="15" t="n">
        <v>162</v>
      </c>
      <c r="BS2840" s="15" t="n">
        <v>162</v>
      </c>
      <c r="CO2840" s="15" t="n">
        <v>162</v>
      </c>
      <c r="DK2840" s="15" t="n">
        <v>162</v>
      </c>
      <c r="EG2840" s="15" t="n">
        <v>162</v>
      </c>
      <c r="FC2840" s="15" t="n">
        <v>162</v>
      </c>
      <c r="FY2840" s="15" t="n">
        <v>162</v>
      </c>
      <c r="GU2840" s="15" t="n">
        <v>162</v>
      </c>
    </row>
    <row r="2841">
      <c r="C2841" s="15" t="n">
        <v>163</v>
      </c>
      <c r="AA2841" s="15" t="n">
        <v>163</v>
      </c>
      <c r="AW2841" s="15" t="n">
        <v>163</v>
      </c>
      <c r="BS2841" s="15" t="n">
        <v>163</v>
      </c>
      <c r="CO2841" s="15" t="n">
        <v>163</v>
      </c>
      <c r="DK2841" s="15" t="n">
        <v>163</v>
      </c>
      <c r="EG2841" s="15" t="n">
        <v>163</v>
      </c>
      <c r="FC2841" s="15" t="n">
        <v>163</v>
      </c>
      <c r="FY2841" s="15" t="n">
        <v>163</v>
      </c>
      <c r="GU2841" s="15" t="n">
        <v>163</v>
      </c>
    </row>
    <row r="2842">
      <c r="C2842" s="15" t="n">
        <v>164</v>
      </c>
      <c r="AA2842" s="15" t="n">
        <v>164</v>
      </c>
      <c r="AW2842" s="15" t="n">
        <v>164</v>
      </c>
      <c r="BS2842" s="15" t="n">
        <v>164</v>
      </c>
      <c r="CO2842" s="15" t="n">
        <v>164</v>
      </c>
      <c r="DK2842" s="15" t="n">
        <v>164</v>
      </c>
      <c r="EG2842" s="15" t="n">
        <v>164</v>
      </c>
      <c r="FC2842" s="15" t="n">
        <v>164</v>
      </c>
      <c r="FY2842" s="15" t="n">
        <v>164</v>
      </c>
      <c r="GU2842" s="15" t="n">
        <v>164</v>
      </c>
    </row>
    <row r="2843">
      <c r="C2843" s="15" t="n">
        <v>165</v>
      </c>
      <c r="AA2843" s="15" t="n">
        <v>165</v>
      </c>
      <c r="AW2843" s="15" t="n">
        <v>165</v>
      </c>
      <c r="BS2843" s="15" t="n">
        <v>165</v>
      </c>
      <c r="CO2843" s="15" t="n">
        <v>165</v>
      </c>
      <c r="DK2843" s="15" t="n">
        <v>165</v>
      </c>
      <c r="EG2843" s="15" t="n">
        <v>165</v>
      </c>
      <c r="FC2843" s="15" t="n">
        <v>165</v>
      </c>
      <c r="FY2843" s="15" t="n">
        <v>165</v>
      </c>
      <c r="GU2843" s="15" t="n">
        <v>165</v>
      </c>
    </row>
    <row r="2844">
      <c r="C2844" s="15" t="n">
        <v>166</v>
      </c>
      <c r="AA2844" s="15" t="n">
        <v>166</v>
      </c>
      <c r="AW2844" s="15" t="n">
        <v>166</v>
      </c>
      <c r="BS2844" s="15" t="n">
        <v>166</v>
      </c>
      <c r="CO2844" s="15" t="n">
        <v>166</v>
      </c>
      <c r="DK2844" s="15" t="n">
        <v>166</v>
      </c>
      <c r="EG2844" s="15" t="n">
        <v>166</v>
      </c>
      <c r="FC2844" s="15" t="n">
        <v>166</v>
      </c>
      <c r="FY2844" s="15" t="n">
        <v>166</v>
      </c>
      <c r="GU2844" s="15" t="n">
        <v>166</v>
      </c>
    </row>
    <row r="2845">
      <c r="C2845" s="15" t="n">
        <v>167</v>
      </c>
      <c r="AA2845" s="15" t="n">
        <v>167</v>
      </c>
      <c r="AW2845" s="15" t="n">
        <v>167</v>
      </c>
      <c r="BS2845" s="15" t="n">
        <v>167</v>
      </c>
      <c r="CO2845" s="15" t="n">
        <v>167</v>
      </c>
      <c r="DK2845" s="15" t="n">
        <v>167</v>
      </c>
      <c r="EG2845" s="15" t="n">
        <v>167</v>
      </c>
      <c r="FC2845" s="15" t="n">
        <v>167</v>
      </c>
      <c r="FY2845" s="15" t="n">
        <v>167</v>
      </c>
      <c r="GU2845" s="15" t="n">
        <v>167</v>
      </c>
    </row>
    <row r="2846">
      <c r="C2846" s="15" t="n">
        <v>168</v>
      </c>
      <c r="AA2846" s="15" t="n">
        <v>168</v>
      </c>
      <c r="AW2846" s="15" t="n">
        <v>168</v>
      </c>
      <c r="BS2846" s="15" t="n">
        <v>168</v>
      </c>
      <c r="CO2846" s="15" t="n">
        <v>168</v>
      </c>
      <c r="DK2846" s="15" t="n">
        <v>168</v>
      </c>
      <c r="EG2846" s="15" t="n">
        <v>168</v>
      </c>
      <c r="FC2846" s="15" t="n">
        <v>168</v>
      </c>
      <c r="FY2846" s="15" t="n">
        <v>168</v>
      </c>
      <c r="GU2846" s="15" t="n">
        <v>168</v>
      </c>
    </row>
    <row r="2847">
      <c r="C2847" s="15" t="n">
        <v>169</v>
      </c>
      <c r="AA2847" s="15" t="n">
        <v>169</v>
      </c>
      <c r="AW2847" s="15" t="n">
        <v>169</v>
      </c>
      <c r="BS2847" s="15" t="n">
        <v>169</v>
      </c>
      <c r="CO2847" s="15" t="n">
        <v>169</v>
      </c>
      <c r="DK2847" s="15" t="n">
        <v>169</v>
      </c>
      <c r="EG2847" s="15" t="n">
        <v>169</v>
      </c>
      <c r="FC2847" s="15" t="n">
        <v>169</v>
      </c>
      <c r="FY2847" s="15" t="n">
        <v>169</v>
      </c>
      <c r="GU2847" s="15" t="n">
        <v>169</v>
      </c>
    </row>
    <row r="2848">
      <c r="C2848" s="15" t="n">
        <v>170</v>
      </c>
      <c r="AA2848" s="15" t="n">
        <v>170</v>
      </c>
      <c r="AW2848" s="15" t="n">
        <v>170</v>
      </c>
      <c r="BS2848" s="15" t="n">
        <v>170</v>
      </c>
      <c r="CO2848" s="15" t="n">
        <v>170</v>
      </c>
      <c r="DK2848" s="15" t="n">
        <v>170</v>
      </c>
      <c r="EG2848" s="15" t="n">
        <v>170</v>
      </c>
      <c r="FC2848" s="15" t="n">
        <v>170</v>
      </c>
      <c r="FY2848" s="15" t="n">
        <v>170</v>
      </c>
      <c r="GU2848" s="15" t="n">
        <v>170</v>
      </c>
    </row>
    <row r="2849">
      <c r="C2849" s="15" t="n">
        <v>171</v>
      </c>
      <c r="AA2849" s="15" t="n">
        <v>171</v>
      </c>
      <c r="AW2849" s="15" t="n">
        <v>171</v>
      </c>
      <c r="BS2849" s="15" t="n">
        <v>171</v>
      </c>
      <c r="CO2849" s="15" t="n">
        <v>171</v>
      </c>
      <c r="DK2849" s="15" t="n">
        <v>171</v>
      </c>
      <c r="EG2849" s="15" t="n">
        <v>171</v>
      </c>
      <c r="FC2849" s="15" t="n">
        <v>171</v>
      </c>
      <c r="FY2849" s="15" t="n">
        <v>171</v>
      </c>
      <c r="GU2849" s="15" t="n">
        <v>171</v>
      </c>
    </row>
    <row r="2850">
      <c r="C2850" s="15" t="n">
        <v>172</v>
      </c>
      <c r="AA2850" s="15" t="n">
        <v>172</v>
      </c>
      <c r="AW2850" s="15" t="n">
        <v>172</v>
      </c>
      <c r="BS2850" s="15" t="n">
        <v>172</v>
      </c>
      <c r="CO2850" s="15" t="n">
        <v>172</v>
      </c>
      <c r="DK2850" s="15" t="n">
        <v>172</v>
      </c>
      <c r="EG2850" s="15" t="n">
        <v>172</v>
      </c>
      <c r="FC2850" s="15" t="n">
        <v>172</v>
      </c>
      <c r="FY2850" s="15" t="n">
        <v>172</v>
      </c>
      <c r="GU2850" s="15" t="n">
        <v>172</v>
      </c>
    </row>
    <row r="2851">
      <c r="C2851" s="15" t="n">
        <v>173</v>
      </c>
      <c r="AA2851" s="15" t="n">
        <v>173</v>
      </c>
      <c r="AW2851" s="15" t="n">
        <v>173</v>
      </c>
      <c r="BS2851" s="15" t="n">
        <v>173</v>
      </c>
      <c r="CO2851" s="15" t="n">
        <v>173</v>
      </c>
      <c r="DK2851" s="15" t="n">
        <v>173</v>
      </c>
      <c r="EG2851" s="15" t="n">
        <v>173</v>
      </c>
      <c r="FC2851" s="15" t="n">
        <v>173</v>
      </c>
      <c r="FY2851" s="15" t="n">
        <v>173</v>
      </c>
      <c r="GU2851" s="15" t="n">
        <v>173</v>
      </c>
    </row>
    <row r="2852">
      <c r="C2852" s="15" t="n">
        <v>174</v>
      </c>
      <c r="AA2852" s="15" t="n">
        <v>174</v>
      </c>
      <c r="AW2852" s="15" t="n">
        <v>174</v>
      </c>
      <c r="BS2852" s="15" t="n">
        <v>174</v>
      </c>
      <c r="CO2852" s="15" t="n">
        <v>174</v>
      </c>
      <c r="DK2852" s="15" t="n">
        <v>174</v>
      </c>
      <c r="EG2852" s="15" t="n">
        <v>174</v>
      </c>
      <c r="FC2852" s="15" t="n">
        <v>174</v>
      </c>
      <c r="FY2852" s="15" t="n">
        <v>174</v>
      </c>
      <c r="GU2852" s="15" t="n">
        <v>174</v>
      </c>
    </row>
    <row r="2853">
      <c r="C2853" s="15" t="n">
        <v>175</v>
      </c>
      <c r="AA2853" s="15" t="n">
        <v>175</v>
      </c>
      <c r="AW2853" s="15" t="n">
        <v>175</v>
      </c>
      <c r="BS2853" s="15" t="n">
        <v>175</v>
      </c>
      <c r="CO2853" s="15" t="n">
        <v>175</v>
      </c>
      <c r="DK2853" s="15" t="n">
        <v>175</v>
      </c>
      <c r="EG2853" s="15" t="n">
        <v>175</v>
      </c>
      <c r="FC2853" s="15" t="n">
        <v>175</v>
      </c>
      <c r="FY2853" s="15" t="n">
        <v>175</v>
      </c>
      <c r="GU2853" s="15" t="n">
        <v>175</v>
      </c>
    </row>
    <row r="2854">
      <c r="C2854" s="15" t="n">
        <v>176</v>
      </c>
      <c r="AA2854" s="15" t="n">
        <v>176</v>
      </c>
      <c r="AW2854" s="15" t="n">
        <v>176</v>
      </c>
      <c r="BS2854" s="15" t="n">
        <v>176</v>
      </c>
      <c r="CO2854" s="15" t="n">
        <v>176</v>
      </c>
      <c r="DK2854" s="15" t="n">
        <v>176</v>
      </c>
      <c r="EG2854" s="15" t="n">
        <v>176</v>
      </c>
      <c r="FC2854" s="15" t="n">
        <v>176</v>
      </c>
      <c r="FY2854" s="15" t="n">
        <v>176</v>
      </c>
      <c r="GU2854" s="15" t="n">
        <v>176</v>
      </c>
    </row>
    <row r="2855">
      <c r="C2855" s="15" t="n">
        <v>177</v>
      </c>
      <c r="AA2855" s="15" t="n">
        <v>177</v>
      </c>
      <c r="AW2855" s="15" t="n">
        <v>177</v>
      </c>
      <c r="BS2855" s="15" t="n">
        <v>177</v>
      </c>
      <c r="CO2855" s="15" t="n">
        <v>177</v>
      </c>
      <c r="DK2855" s="15" t="n">
        <v>177</v>
      </c>
      <c r="EG2855" s="15" t="n">
        <v>177</v>
      </c>
      <c r="FC2855" s="15" t="n">
        <v>177</v>
      </c>
      <c r="FY2855" s="15" t="n">
        <v>177</v>
      </c>
      <c r="GU2855" s="15" t="n">
        <v>177</v>
      </c>
    </row>
    <row r="2856">
      <c r="C2856" s="15" t="n">
        <v>178</v>
      </c>
      <c r="AA2856" s="15" t="n">
        <v>178</v>
      </c>
      <c r="AW2856" s="15" t="n">
        <v>178</v>
      </c>
      <c r="BS2856" s="15" t="n">
        <v>178</v>
      </c>
      <c r="CO2856" s="15" t="n">
        <v>178</v>
      </c>
      <c r="DK2856" s="15" t="n">
        <v>178</v>
      </c>
      <c r="EG2856" s="15" t="n">
        <v>178</v>
      </c>
      <c r="FC2856" s="15" t="n">
        <v>178</v>
      </c>
      <c r="FY2856" s="15" t="n">
        <v>178</v>
      </c>
      <c r="GU2856" s="15" t="n">
        <v>178</v>
      </c>
    </row>
    <row r="2857">
      <c r="C2857" s="15" t="n">
        <v>179</v>
      </c>
      <c r="AA2857" s="15" t="n">
        <v>179</v>
      </c>
      <c r="AW2857" s="15" t="n">
        <v>179</v>
      </c>
      <c r="BS2857" s="15" t="n">
        <v>179</v>
      </c>
      <c r="CO2857" s="15" t="n">
        <v>179</v>
      </c>
      <c r="DK2857" s="15" t="n">
        <v>179</v>
      </c>
      <c r="EG2857" s="15" t="n">
        <v>179</v>
      </c>
      <c r="FC2857" s="15" t="n">
        <v>179</v>
      </c>
      <c r="FY2857" s="15" t="n">
        <v>179</v>
      </c>
      <c r="GU2857" s="15" t="n">
        <v>179</v>
      </c>
    </row>
    <row r="2858">
      <c r="C2858" s="15" t="n">
        <v>180</v>
      </c>
      <c r="AA2858" s="15" t="n">
        <v>180</v>
      </c>
      <c r="AW2858" s="15" t="n">
        <v>180</v>
      </c>
      <c r="BS2858" s="15" t="n">
        <v>180</v>
      </c>
      <c r="CO2858" s="15" t="n">
        <v>180</v>
      </c>
      <c r="DK2858" s="15" t="n">
        <v>180</v>
      </c>
      <c r="EG2858" s="15" t="n">
        <v>180</v>
      </c>
      <c r="FC2858" s="15" t="n">
        <v>180</v>
      </c>
      <c r="FY2858" s="15" t="n">
        <v>180</v>
      </c>
      <c r="GU2858" s="15" t="n">
        <v>180</v>
      </c>
    </row>
    <row r="2859">
      <c r="C2859" s="15" t="n">
        <v>181</v>
      </c>
      <c r="AA2859" s="15" t="n">
        <v>181</v>
      </c>
      <c r="AW2859" s="15" t="n">
        <v>181</v>
      </c>
      <c r="BS2859" s="15" t="n">
        <v>181</v>
      </c>
      <c r="CO2859" s="15" t="n">
        <v>181</v>
      </c>
      <c r="DK2859" s="15" t="n">
        <v>181</v>
      </c>
      <c r="EG2859" s="15" t="n">
        <v>181</v>
      </c>
      <c r="FC2859" s="15" t="n">
        <v>181</v>
      </c>
      <c r="FY2859" s="15" t="n">
        <v>181</v>
      </c>
      <c r="GU2859" s="15" t="n">
        <v>181</v>
      </c>
    </row>
    <row r="2860">
      <c r="C2860" s="15" t="n">
        <v>182</v>
      </c>
      <c r="AA2860" s="15" t="n">
        <v>182</v>
      </c>
      <c r="AW2860" s="15" t="n">
        <v>182</v>
      </c>
      <c r="BS2860" s="15" t="n">
        <v>182</v>
      </c>
      <c r="CO2860" s="15" t="n">
        <v>182</v>
      </c>
      <c r="DK2860" s="15" t="n">
        <v>182</v>
      </c>
      <c r="EG2860" s="15" t="n">
        <v>182</v>
      </c>
      <c r="FC2860" s="15" t="n">
        <v>182</v>
      </c>
      <c r="FY2860" s="15" t="n">
        <v>182</v>
      </c>
      <c r="GU2860" s="15" t="n">
        <v>182</v>
      </c>
    </row>
    <row r="2861">
      <c r="C2861" s="15" t="n">
        <v>183</v>
      </c>
      <c r="AA2861" s="15" t="n">
        <v>183</v>
      </c>
      <c r="AW2861" s="15" t="n">
        <v>183</v>
      </c>
      <c r="BS2861" s="15" t="n">
        <v>183</v>
      </c>
      <c r="CO2861" s="15" t="n">
        <v>183</v>
      </c>
      <c r="DK2861" s="15" t="n">
        <v>183</v>
      </c>
      <c r="EG2861" s="15" t="n">
        <v>183</v>
      </c>
      <c r="FC2861" s="15" t="n">
        <v>183</v>
      </c>
      <c r="FY2861" s="15" t="n">
        <v>183</v>
      </c>
      <c r="GU2861" s="15" t="n">
        <v>183</v>
      </c>
    </row>
    <row r="2862">
      <c r="C2862" s="15" t="n">
        <v>184</v>
      </c>
      <c r="AA2862" s="15" t="n">
        <v>184</v>
      </c>
      <c r="AW2862" s="15" t="n">
        <v>184</v>
      </c>
      <c r="BS2862" s="15" t="n">
        <v>184</v>
      </c>
      <c r="CO2862" s="15" t="n">
        <v>184</v>
      </c>
      <c r="DK2862" s="15" t="n">
        <v>184</v>
      </c>
      <c r="EG2862" s="15" t="n">
        <v>184</v>
      </c>
      <c r="FC2862" s="15" t="n">
        <v>184</v>
      </c>
      <c r="FY2862" s="15" t="n">
        <v>184</v>
      </c>
      <c r="GU2862" s="15" t="n">
        <v>184</v>
      </c>
    </row>
    <row r="2863">
      <c r="C2863" s="15" t="n">
        <v>185</v>
      </c>
      <c r="AA2863" s="15" t="n">
        <v>185</v>
      </c>
      <c r="AW2863" s="15" t="n">
        <v>185</v>
      </c>
      <c r="BS2863" s="15" t="n">
        <v>185</v>
      </c>
      <c r="CO2863" s="15" t="n">
        <v>185</v>
      </c>
      <c r="DK2863" s="15" t="n">
        <v>185</v>
      </c>
      <c r="EG2863" s="15" t="n">
        <v>185</v>
      </c>
      <c r="FC2863" s="15" t="n">
        <v>185</v>
      </c>
      <c r="FY2863" s="15" t="n">
        <v>185</v>
      </c>
      <c r="GU2863" s="15" t="n">
        <v>185</v>
      </c>
    </row>
    <row r="2864">
      <c r="C2864" s="15" t="n">
        <v>186</v>
      </c>
      <c r="AA2864" s="15" t="n">
        <v>186</v>
      </c>
      <c r="AW2864" s="15" t="n">
        <v>186</v>
      </c>
      <c r="BS2864" s="15" t="n">
        <v>186</v>
      </c>
      <c r="CO2864" s="15" t="n">
        <v>186</v>
      </c>
      <c r="DK2864" s="15" t="n">
        <v>186</v>
      </c>
      <c r="EG2864" s="15" t="n">
        <v>186</v>
      </c>
      <c r="FC2864" s="15" t="n">
        <v>186</v>
      </c>
      <c r="FY2864" s="15" t="n">
        <v>186</v>
      </c>
      <c r="GU2864" s="15" t="n">
        <v>186</v>
      </c>
    </row>
    <row r="2865">
      <c r="C2865" s="15" t="n">
        <v>187</v>
      </c>
      <c r="AA2865" s="15" t="n">
        <v>187</v>
      </c>
      <c r="AW2865" s="15" t="n">
        <v>187</v>
      </c>
      <c r="BS2865" s="15" t="n">
        <v>187</v>
      </c>
      <c r="CO2865" s="15" t="n">
        <v>187</v>
      </c>
      <c r="DK2865" s="15" t="n">
        <v>187</v>
      </c>
      <c r="EG2865" s="15" t="n">
        <v>187</v>
      </c>
      <c r="FC2865" s="15" t="n">
        <v>187</v>
      </c>
      <c r="FY2865" s="15" t="n">
        <v>187</v>
      </c>
      <c r="GU2865" s="15" t="n">
        <v>187</v>
      </c>
    </row>
    <row r="2866">
      <c r="C2866" s="15" t="n">
        <v>188</v>
      </c>
      <c r="AA2866" s="15" t="n">
        <v>188</v>
      </c>
      <c r="AW2866" s="15" t="n">
        <v>188</v>
      </c>
      <c r="BS2866" s="15" t="n">
        <v>188</v>
      </c>
      <c r="CO2866" s="15" t="n">
        <v>188</v>
      </c>
      <c r="DK2866" s="15" t="n">
        <v>188</v>
      </c>
      <c r="EG2866" s="15" t="n">
        <v>188</v>
      </c>
      <c r="FC2866" s="15" t="n">
        <v>188</v>
      </c>
      <c r="FY2866" s="15" t="n">
        <v>188</v>
      </c>
      <c r="GU2866" s="15" t="n">
        <v>188</v>
      </c>
    </row>
    <row r="2867">
      <c r="C2867" s="15" t="n">
        <v>189</v>
      </c>
      <c r="AA2867" s="15" t="n">
        <v>189</v>
      </c>
      <c r="AW2867" s="15" t="n">
        <v>189</v>
      </c>
      <c r="BS2867" s="15" t="n">
        <v>189</v>
      </c>
      <c r="CO2867" s="15" t="n">
        <v>189</v>
      </c>
      <c r="DK2867" s="15" t="n">
        <v>189</v>
      </c>
      <c r="EG2867" s="15" t="n">
        <v>189</v>
      </c>
      <c r="FC2867" s="15" t="n">
        <v>189</v>
      </c>
      <c r="FY2867" s="15" t="n">
        <v>189</v>
      </c>
      <c r="GU2867" s="15" t="n">
        <v>189</v>
      </c>
    </row>
    <row r="2868">
      <c r="C2868" s="15" t="n">
        <v>190</v>
      </c>
      <c r="AA2868" s="15" t="n">
        <v>190</v>
      </c>
      <c r="AW2868" s="15" t="n">
        <v>190</v>
      </c>
      <c r="BS2868" s="15" t="n">
        <v>190</v>
      </c>
      <c r="CO2868" s="15" t="n">
        <v>190</v>
      </c>
      <c r="DK2868" s="15" t="n">
        <v>190</v>
      </c>
      <c r="EG2868" s="15" t="n">
        <v>190</v>
      </c>
      <c r="FC2868" s="15" t="n">
        <v>190</v>
      </c>
      <c r="FY2868" s="15" t="n">
        <v>190</v>
      </c>
      <c r="GU2868" s="15" t="n">
        <v>190</v>
      </c>
    </row>
    <row r="2869">
      <c r="C2869" s="15" t="n">
        <v>191</v>
      </c>
      <c r="AA2869" s="15" t="n">
        <v>191</v>
      </c>
      <c r="AW2869" s="15" t="n">
        <v>191</v>
      </c>
      <c r="BS2869" s="15" t="n">
        <v>191</v>
      </c>
      <c r="CO2869" s="15" t="n">
        <v>191</v>
      </c>
      <c r="DK2869" s="15" t="n">
        <v>191</v>
      </c>
      <c r="EG2869" s="15" t="n">
        <v>191</v>
      </c>
      <c r="FC2869" s="15" t="n">
        <v>191</v>
      </c>
      <c r="FY2869" s="15" t="n">
        <v>191</v>
      </c>
      <c r="GU2869" s="15" t="n">
        <v>191</v>
      </c>
    </row>
    <row r="2870">
      <c r="C2870" s="15" t="n">
        <v>192</v>
      </c>
      <c r="AA2870" s="15" t="n">
        <v>192</v>
      </c>
      <c r="AW2870" s="15" t="n">
        <v>192</v>
      </c>
      <c r="BS2870" s="15" t="n">
        <v>192</v>
      </c>
      <c r="CO2870" s="15" t="n">
        <v>192</v>
      </c>
      <c r="DK2870" s="15" t="n">
        <v>192</v>
      </c>
      <c r="EG2870" s="15" t="n">
        <v>192</v>
      </c>
      <c r="FC2870" s="15" t="n">
        <v>192</v>
      </c>
      <c r="FY2870" s="15" t="n">
        <v>192</v>
      </c>
      <c r="GU2870" s="15" t="n">
        <v>192</v>
      </c>
    </row>
    <row r="2871">
      <c r="C2871" s="15" t="n">
        <v>193</v>
      </c>
      <c r="AA2871" s="15" t="n">
        <v>193</v>
      </c>
      <c r="AW2871" s="15" t="n">
        <v>193</v>
      </c>
      <c r="BS2871" s="15" t="n">
        <v>193</v>
      </c>
      <c r="CO2871" s="15" t="n">
        <v>193</v>
      </c>
      <c r="DK2871" s="15" t="n">
        <v>193</v>
      </c>
      <c r="EG2871" s="15" t="n">
        <v>193</v>
      </c>
      <c r="FC2871" s="15" t="n">
        <v>193</v>
      </c>
      <c r="FY2871" s="15" t="n">
        <v>193</v>
      </c>
      <c r="GU2871" s="15" t="n">
        <v>193</v>
      </c>
    </row>
    <row r="2872">
      <c r="C2872" s="15" t="n">
        <v>194</v>
      </c>
      <c r="AA2872" s="15" t="n">
        <v>194</v>
      </c>
      <c r="AW2872" s="15" t="n">
        <v>194</v>
      </c>
      <c r="BS2872" s="15" t="n">
        <v>194</v>
      </c>
      <c r="CO2872" s="15" t="n">
        <v>194</v>
      </c>
      <c r="DK2872" s="15" t="n">
        <v>194</v>
      </c>
      <c r="EG2872" s="15" t="n">
        <v>194</v>
      </c>
      <c r="FC2872" s="15" t="n">
        <v>194</v>
      </c>
      <c r="FY2872" s="15" t="n">
        <v>194</v>
      </c>
      <c r="GU2872" s="15" t="n">
        <v>194</v>
      </c>
    </row>
    <row r="2873">
      <c r="C2873" s="15" t="n">
        <v>195</v>
      </c>
      <c r="AA2873" s="15" t="n">
        <v>195</v>
      </c>
      <c r="AW2873" s="15" t="n">
        <v>195</v>
      </c>
      <c r="BS2873" s="15" t="n">
        <v>195</v>
      </c>
      <c r="CO2873" s="15" t="n">
        <v>195</v>
      </c>
      <c r="DK2873" s="15" t="n">
        <v>195</v>
      </c>
      <c r="EG2873" s="15" t="n">
        <v>195</v>
      </c>
      <c r="FC2873" s="15" t="n">
        <v>195</v>
      </c>
      <c r="FY2873" s="15" t="n">
        <v>195</v>
      </c>
      <c r="GU2873" s="15" t="n">
        <v>195</v>
      </c>
    </row>
    <row r="2874">
      <c r="C2874" s="15" t="n">
        <v>196</v>
      </c>
      <c r="AA2874" s="15" t="n">
        <v>196</v>
      </c>
      <c r="AW2874" s="15" t="n">
        <v>196</v>
      </c>
      <c r="BS2874" s="15" t="n">
        <v>196</v>
      </c>
      <c r="CO2874" s="15" t="n">
        <v>196</v>
      </c>
      <c r="DK2874" s="15" t="n">
        <v>196</v>
      </c>
      <c r="EG2874" s="15" t="n">
        <v>196</v>
      </c>
      <c r="FC2874" s="15" t="n">
        <v>196</v>
      </c>
      <c r="FY2874" s="15" t="n">
        <v>196</v>
      </c>
      <c r="GU2874" s="15" t="n">
        <v>196</v>
      </c>
    </row>
    <row r="2875">
      <c r="C2875" s="15" t="n">
        <v>197</v>
      </c>
      <c r="AA2875" s="15" t="n">
        <v>197</v>
      </c>
      <c r="AW2875" s="15" t="n">
        <v>197</v>
      </c>
      <c r="BS2875" s="15" t="n">
        <v>197</v>
      </c>
      <c r="CO2875" s="15" t="n">
        <v>197</v>
      </c>
      <c r="DK2875" s="15" t="n">
        <v>197</v>
      </c>
      <c r="EG2875" s="15" t="n">
        <v>197</v>
      </c>
      <c r="FC2875" s="15" t="n">
        <v>197</v>
      </c>
      <c r="FY2875" s="15" t="n">
        <v>197</v>
      </c>
      <c r="GU2875" s="15" t="n">
        <v>197</v>
      </c>
    </row>
    <row r="2876">
      <c r="C2876" s="15" t="n">
        <v>198</v>
      </c>
      <c r="AA2876" s="15" t="n">
        <v>198</v>
      </c>
      <c r="AW2876" s="15" t="n">
        <v>198</v>
      </c>
      <c r="BS2876" s="15" t="n">
        <v>198</v>
      </c>
      <c r="CO2876" s="15" t="n">
        <v>198</v>
      </c>
      <c r="DK2876" s="15" t="n">
        <v>198</v>
      </c>
      <c r="EG2876" s="15" t="n">
        <v>198</v>
      </c>
      <c r="FC2876" s="15" t="n">
        <v>198</v>
      </c>
      <c r="FY2876" s="15" t="n">
        <v>198</v>
      </c>
      <c r="GU2876" s="15" t="n">
        <v>198</v>
      </c>
    </row>
    <row r="2878">
      <c r="B2878" s="15" t="inlineStr">
        <is>
          <t>Parâmetros p/ σy</t>
        </is>
      </c>
      <c r="C2878" s="15" t="inlineStr">
        <is>
          <t>DesvPad(Var(E(RLT)))</t>
        </is>
      </c>
      <c r="D2878" s="15" t="n">
        <v>22</v>
      </c>
      <c r="E2878" s="15" t="n">
        <v>23</v>
      </c>
      <c r="F2878" s="15" t="n">
        <v>24</v>
      </c>
      <c r="Z2878" s="15" t="inlineStr">
        <is>
          <t>Parâmetros p/ σy</t>
        </is>
      </c>
      <c r="AA2878" s="15" t="inlineStr">
        <is>
          <t>DesvPad(Var(E(RLT)))</t>
        </is>
      </c>
      <c r="AB2878" s="15" t="n">
        <v>22</v>
      </c>
      <c r="AC2878" s="15" t="n">
        <v>23</v>
      </c>
      <c r="AD2878" s="15" t="n">
        <v>24</v>
      </c>
      <c r="AV2878" s="15" t="inlineStr">
        <is>
          <t>Parâmetros p/ σy</t>
        </is>
      </c>
      <c r="AW2878" s="15" t="inlineStr">
        <is>
          <t>DesvPad(Var(E(RLT)))</t>
        </is>
      </c>
      <c r="AX2878" s="15" t="n">
        <v>22</v>
      </c>
      <c r="AY2878" s="15" t="n">
        <v>23</v>
      </c>
      <c r="AZ2878" s="15" t="n">
        <v>24</v>
      </c>
      <c r="BR2878" s="15" t="inlineStr">
        <is>
          <t>Parâmetros p/ σy</t>
        </is>
      </c>
      <c r="BS2878" s="15" t="inlineStr">
        <is>
          <t>DesvPad(Var(E(RLT)))</t>
        </is>
      </c>
      <c r="BT2878" s="15" t="n">
        <v>22</v>
      </c>
      <c r="BU2878" s="15" t="n">
        <v>23</v>
      </c>
      <c r="BV2878" s="15" t="n">
        <v>24</v>
      </c>
      <c r="CN2878" s="15" t="inlineStr">
        <is>
          <t>Parâmetros p/ σy</t>
        </is>
      </c>
      <c r="CO2878" s="15" t="inlineStr">
        <is>
          <t>DesvPad(Var(E(RLT)))</t>
        </is>
      </c>
      <c r="CP2878" s="15" t="n">
        <v>22</v>
      </c>
      <c r="CQ2878" s="15" t="n">
        <v>23</v>
      </c>
      <c r="CR2878" s="15" t="n">
        <v>24</v>
      </c>
      <c r="DJ2878" s="15" t="inlineStr">
        <is>
          <t>Parâmetros p/ σy</t>
        </is>
      </c>
      <c r="DK2878" s="15" t="inlineStr">
        <is>
          <t>DesvPad(Var(E(RLT)))</t>
        </is>
      </c>
      <c r="DL2878" s="15" t="n">
        <v>22</v>
      </c>
      <c r="DM2878" s="15" t="n">
        <v>23</v>
      </c>
      <c r="DN2878" s="15" t="n">
        <v>24</v>
      </c>
      <c r="EF2878" s="15" t="inlineStr">
        <is>
          <t>Parâmetros p/ σy</t>
        </is>
      </c>
      <c r="EG2878" s="15" t="inlineStr">
        <is>
          <t>DesvPad(Var(E(RLT)))</t>
        </is>
      </c>
      <c r="EH2878" s="15" t="n">
        <v>22</v>
      </c>
      <c r="EI2878" s="15" t="n">
        <v>23</v>
      </c>
      <c r="EJ2878" s="15" t="n">
        <v>24</v>
      </c>
      <c r="FB2878" s="15" t="inlineStr">
        <is>
          <t>Parâmetros p/ σy</t>
        </is>
      </c>
      <c r="FC2878" s="15" t="inlineStr">
        <is>
          <t>DesvPad(Var(E(RLT)))</t>
        </is>
      </c>
      <c r="FD2878" s="15" t="n">
        <v>22</v>
      </c>
      <c r="FE2878" s="15" t="n">
        <v>23</v>
      </c>
      <c r="FF2878" s="15" t="n">
        <v>24</v>
      </c>
      <c r="FX2878" s="15" t="inlineStr">
        <is>
          <t>Parâmetros p/ σy</t>
        </is>
      </c>
      <c r="FY2878" s="15" t="inlineStr">
        <is>
          <t>DesvPad(Var(E(RLT)))</t>
        </is>
      </c>
      <c r="FZ2878" s="15" t="n">
        <v>22</v>
      </c>
      <c r="GA2878" s="15" t="n">
        <v>23</v>
      </c>
      <c r="GB2878" s="15" t="n">
        <v>24</v>
      </c>
      <c r="GT2878" s="15" t="inlineStr">
        <is>
          <t>Parâmetros p/ σy</t>
        </is>
      </c>
      <c r="GU2878" s="15" t="inlineStr">
        <is>
          <t>DesvPad(Var(E(RLT)))</t>
        </is>
      </c>
      <c r="GV2878" s="15" t="n">
        <v>22</v>
      </c>
      <c r="GW2878" s="15" t="n">
        <v>23</v>
      </c>
      <c r="GX2878" s="15" t="n">
        <v>24</v>
      </c>
    </row>
    <row r="2879" ht="16.2" customHeight="1">
      <c r="B2879" s="15" t="inlineStr">
        <is>
          <t>ND*RLT e S2nd</t>
        </is>
      </c>
      <c r="C2879" s="15" t="n">
        <v>9</v>
      </c>
      <c r="Z2879" s="15" t="inlineStr">
        <is>
          <t>ND*RLT e S2nd</t>
        </is>
      </c>
      <c r="AA2879" s="15" t="n">
        <v>9</v>
      </c>
      <c r="AV2879" s="15" t="inlineStr">
        <is>
          <t>ND*RLT e S2nd</t>
        </is>
      </c>
      <c r="AW2879" s="15" t="n">
        <v>9</v>
      </c>
      <c r="BR2879" s="15" t="inlineStr">
        <is>
          <t>ND*RLT e S2nd</t>
        </is>
      </c>
      <c r="BS2879" s="15" t="n">
        <v>9</v>
      </c>
      <c r="CN2879" s="15" t="inlineStr">
        <is>
          <t>ND*RLT e S2nd</t>
        </is>
      </c>
      <c r="CO2879" s="15" t="n">
        <v>9</v>
      </c>
      <c r="DJ2879" s="15" t="inlineStr">
        <is>
          <t>ND*RLT e S2nd</t>
        </is>
      </c>
      <c r="DK2879" s="15" t="n">
        <v>9</v>
      </c>
      <c r="EF2879" s="15" t="inlineStr">
        <is>
          <t>ND*RLT e S2nd</t>
        </is>
      </c>
      <c r="EG2879" s="15" t="n">
        <v>9</v>
      </c>
      <c r="FB2879" s="15" t="inlineStr">
        <is>
          <t>ND*RLT e S2nd</t>
        </is>
      </c>
      <c r="FC2879" s="15" t="n">
        <v>9</v>
      </c>
      <c r="FX2879" s="15" t="inlineStr">
        <is>
          <t>ND*RLT e S2nd</t>
        </is>
      </c>
      <c r="FY2879" s="15" t="n">
        <v>9</v>
      </c>
      <c r="GT2879" s="15" t="inlineStr">
        <is>
          <t>ND*RLT e S2nd</t>
        </is>
      </c>
      <c r="GU2879" s="15" t="n">
        <v>9</v>
      </c>
    </row>
    <row r="2880">
      <c r="C2880" s="15" t="n">
        <v>10</v>
      </c>
      <c r="AA2880" s="15" t="n">
        <v>10</v>
      </c>
      <c r="AW2880" s="15" t="n">
        <v>10</v>
      </c>
      <c r="BS2880" s="15" t="n">
        <v>10</v>
      </c>
      <c r="CO2880" s="15" t="n">
        <v>10</v>
      </c>
      <c r="DK2880" s="15" t="n">
        <v>10</v>
      </c>
      <c r="EG2880" s="15" t="n">
        <v>10</v>
      </c>
      <c r="FC2880" s="15" t="n">
        <v>10</v>
      </c>
      <c r="FY2880" s="15" t="n">
        <v>10</v>
      </c>
      <c r="GU2880" s="15" t="n">
        <v>10</v>
      </c>
    </row>
    <row r="2881">
      <c r="C2881" s="15" t="n">
        <v>11</v>
      </c>
      <c r="AA2881" s="15" t="n">
        <v>11</v>
      </c>
      <c r="AW2881" s="15" t="n">
        <v>11</v>
      </c>
      <c r="BS2881" s="15" t="n">
        <v>11</v>
      </c>
      <c r="CO2881" s="15" t="n">
        <v>11</v>
      </c>
      <c r="DK2881" s="15" t="n">
        <v>11</v>
      </c>
      <c r="EG2881" s="15" t="n">
        <v>11</v>
      </c>
      <c r="FC2881" s="15" t="n">
        <v>11</v>
      </c>
      <c r="FY2881" s="15" t="n">
        <v>11</v>
      </c>
      <c r="GU2881" s="15" t="n">
        <v>11</v>
      </c>
    </row>
    <row r="2882">
      <c r="C2882" s="15" t="n">
        <v>12</v>
      </c>
      <c r="AA2882" s="15" t="n">
        <v>12</v>
      </c>
      <c r="AW2882" s="15" t="n">
        <v>12</v>
      </c>
      <c r="BS2882" s="15" t="n">
        <v>12</v>
      </c>
      <c r="CO2882" s="15" t="n">
        <v>12</v>
      </c>
      <c r="DK2882" s="15" t="n">
        <v>12</v>
      </c>
      <c r="EG2882" s="15" t="n">
        <v>12</v>
      </c>
      <c r="FC2882" s="15" t="n">
        <v>12</v>
      </c>
      <c r="FY2882" s="15" t="n">
        <v>12</v>
      </c>
      <c r="GU2882" s="15" t="n">
        <v>12</v>
      </c>
    </row>
    <row r="2883">
      <c r="C2883" s="15" t="n">
        <v>13</v>
      </c>
      <c r="AA2883" s="15" t="n">
        <v>13</v>
      </c>
      <c r="AW2883" s="15" t="n">
        <v>13</v>
      </c>
      <c r="BS2883" s="15" t="n">
        <v>13</v>
      </c>
      <c r="CO2883" s="15" t="n">
        <v>13</v>
      </c>
      <c r="DK2883" s="15" t="n">
        <v>13</v>
      </c>
      <c r="EG2883" s="15" t="n">
        <v>13</v>
      </c>
      <c r="FC2883" s="15" t="n">
        <v>13</v>
      </c>
      <c r="FY2883" s="15" t="n">
        <v>13</v>
      </c>
      <c r="GU2883" s="15" t="n">
        <v>13</v>
      </c>
    </row>
    <row r="2884">
      <c r="C2884" s="15" t="n">
        <v>14</v>
      </c>
      <c r="AA2884" s="15" t="n">
        <v>14</v>
      </c>
      <c r="AW2884" s="15" t="n">
        <v>14</v>
      </c>
      <c r="BS2884" s="15" t="n">
        <v>14</v>
      </c>
      <c r="CO2884" s="15" t="n">
        <v>14</v>
      </c>
      <c r="DK2884" s="15" t="n">
        <v>14</v>
      </c>
      <c r="EG2884" s="15" t="n">
        <v>14</v>
      </c>
      <c r="FC2884" s="15" t="n">
        <v>14</v>
      </c>
      <c r="FY2884" s="15" t="n">
        <v>14</v>
      </c>
      <c r="GU2884" s="15" t="n">
        <v>14</v>
      </c>
    </row>
    <row r="2885">
      <c r="C2885" s="15" t="n">
        <v>15</v>
      </c>
      <c r="AA2885" s="15" t="n">
        <v>15</v>
      </c>
      <c r="AW2885" s="15" t="n">
        <v>15</v>
      </c>
      <c r="BS2885" s="15" t="n">
        <v>15</v>
      </c>
      <c r="CO2885" s="15" t="n">
        <v>15</v>
      </c>
      <c r="DK2885" s="15" t="n">
        <v>15</v>
      </c>
      <c r="EG2885" s="15" t="n">
        <v>15</v>
      </c>
      <c r="FC2885" s="15" t="n">
        <v>15</v>
      </c>
      <c r="FY2885" s="15" t="n">
        <v>15</v>
      </c>
      <c r="GU2885" s="15" t="n">
        <v>15</v>
      </c>
    </row>
    <row r="2886">
      <c r="C2886" s="15" t="n">
        <v>16</v>
      </c>
      <c r="AA2886" s="15" t="n">
        <v>16</v>
      </c>
      <c r="AW2886" s="15" t="n">
        <v>16</v>
      </c>
      <c r="BS2886" s="15" t="n">
        <v>16</v>
      </c>
      <c r="CO2886" s="15" t="n">
        <v>16</v>
      </c>
      <c r="DK2886" s="15" t="n">
        <v>16</v>
      </c>
      <c r="EG2886" s="15" t="n">
        <v>16</v>
      </c>
      <c r="FC2886" s="15" t="n">
        <v>16</v>
      </c>
      <c r="FY2886" s="15" t="n">
        <v>16</v>
      </c>
      <c r="GU2886" s="15" t="n">
        <v>16</v>
      </c>
    </row>
    <row r="2887">
      <c r="C2887" s="15" t="n">
        <v>17</v>
      </c>
      <c r="AA2887" s="15" t="n">
        <v>17</v>
      </c>
      <c r="AW2887" s="15" t="n">
        <v>17</v>
      </c>
      <c r="BS2887" s="15" t="n">
        <v>17</v>
      </c>
      <c r="CO2887" s="15" t="n">
        <v>17</v>
      </c>
      <c r="DK2887" s="15" t="n">
        <v>17</v>
      </c>
      <c r="EG2887" s="15" t="n">
        <v>17</v>
      </c>
      <c r="FC2887" s="15" t="n">
        <v>17</v>
      </c>
      <c r="FY2887" s="15" t="n">
        <v>17</v>
      </c>
      <c r="GU2887" s="15" t="n">
        <v>17</v>
      </c>
    </row>
    <row r="2888">
      <c r="C2888" s="15" t="n">
        <v>18</v>
      </c>
      <c r="AA2888" s="15" t="n">
        <v>18</v>
      </c>
      <c r="AW2888" s="15" t="n">
        <v>18</v>
      </c>
      <c r="BS2888" s="15" t="n">
        <v>18</v>
      </c>
      <c r="CO2888" s="15" t="n">
        <v>18</v>
      </c>
      <c r="DK2888" s="15" t="n">
        <v>18</v>
      </c>
      <c r="EG2888" s="15" t="n">
        <v>18</v>
      </c>
      <c r="FC2888" s="15" t="n">
        <v>18</v>
      </c>
      <c r="FY2888" s="15" t="n">
        <v>18</v>
      </c>
      <c r="GU2888" s="15" t="n">
        <v>18</v>
      </c>
    </row>
    <row r="2889">
      <c r="C2889" s="15" t="n">
        <v>19</v>
      </c>
      <c r="AA2889" s="15" t="n">
        <v>19</v>
      </c>
      <c r="AW2889" s="15" t="n">
        <v>19</v>
      </c>
      <c r="BS2889" s="15" t="n">
        <v>19</v>
      </c>
      <c r="CO2889" s="15" t="n">
        <v>19</v>
      </c>
      <c r="DK2889" s="15" t="n">
        <v>19</v>
      </c>
      <c r="EG2889" s="15" t="n">
        <v>19</v>
      </c>
      <c r="FC2889" s="15" t="n">
        <v>19</v>
      </c>
      <c r="FY2889" s="15" t="n">
        <v>19</v>
      </c>
      <c r="GU2889" s="15" t="n">
        <v>19</v>
      </c>
    </row>
    <row r="2890">
      <c r="C2890" s="15" t="n">
        <v>20</v>
      </c>
      <c r="AA2890" s="15" t="n">
        <v>20</v>
      </c>
      <c r="AW2890" s="15" t="n">
        <v>20</v>
      </c>
      <c r="BS2890" s="15" t="n">
        <v>20</v>
      </c>
      <c r="CO2890" s="15" t="n">
        <v>20</v>
      </c>
      <c r="DK2890" s="15" t="n">
        <v>20</v>
      </c>
      <c r="EG2890" s="15" t="n">
        <v>20</v>
      </c>
      <c r="FC2890" s="15" t="n">
        <v>20</v>
      </c>
      <c r="FY2890" s="15" t="n">
        <v>20</v>
      </c>
      <c r="GU2890" s="15" t="n">
        <v>20</v>
      </c>
    </row>
    <row r="2891">
      <c r="C2891" s="15" t="n">
        <v>21</v>
      </c>
      <c r="AA2891" s="15" t="n">
        <v>21</v>
      </c>
      <c r="AW2891" s="15" t="n">
        <v>21</v>
      </c>
      <c r="BS2891" s="15" t="n">
        <v>21</v>
      </c>
      <c r="CO2891" s="15" t="n">
        <v>21</v>
      </c>
      <c r="DK2891" s="15" t="n">
        <v>21</v>
      </c>
      <c r="EG2891" s="15" t="n">
        <v>21</v>
      </c>
      <c r="FC2891" s="15" t="n">
        <v>21</v>
      </c>
      <c r="FY2891" s="15" t="n">
        <v>21</v>
      </c>
      <c r="GU2891" s="15" t="n">
        <v>21</v>
      </c>
    </row>
    <row r="2892">
      <c r="C2892" s="15" t="n">
        <v>22</v>
      </c>
      <c r="AA2892" s="15" t="n">
        <v>22</v>
      </c>
      <c r="AW2892" s="15" t="n">
        <v>22</v>
      </c>
      <c r="BS2892" s="15" t="n">
        <v>22</v>
      </c>
      <c r="CO2892" s="15" t="n">
        <v>22</v>
      </c>
      <c r="DK2892" s="15" t="n">
        <v>22</v>
      </c>
      <c r="EG2892" s="15" t="n">
        <v>22</v>
      </c>
      <c r="FC2892" s="15" t="n">
        <v>22</v>
      </c>
      <c r="FY2892" s="15" t="n">
        <v>22</v>
      </c>
      <c r="GU2892" s="15" t="n">
        <v>22</v>
      </c>
    </row>
    <row r="2893">
      <c r="C2893" s="15" t="n">
        <v>23</v>
      </c>
      <c r="AA2893" s="15" t="n">
        <v>23</v>
      </c>
      <c r="AW2893" s="15" t="n">
        <v>23</v>
      </c>
      <c r="BS2893" s="15" t="n">
        <v>23</v>
      </c>
      <c r="CO2893" s="15" t="n">
        <v>23</v>
      </c>
      <c r="DK2893" s="15" t="n">
        <v>23</v>
      </c>
      <c r="EG2893" s="15" t="n">
        <v>23</v>
      </c>
      <c r="FC2893" s="15" t="n">
        <v>23</v>
      </c>
      <c r="FY2893" s="15" t="n">
        <v>23</v>
      </c>
      <c r="GU2893" s="15" t="n">
        <v>23</v>
      </c>
    </row>
    <row r="2894">
      <c r="C2894" s="15" t="n">
        <v>24</v>
      </c>
      <c r="AA2894" s="15" t="n">
        <v>24</v>
      </c>
      <c r="AW2894" s="15" t="n">
        <v>24</v>
      </c>
      <c r="BS2894" s="15" t="n">
        <v>24</v>
      </c>
      <c r="CO2894" s="15" t="n">
        <v>24</v>
      </c>
      <c r="DK2894" s="15" t="n">
        <v>24</v>
      </c>
      <c r="EG2894" s="15" t="n">
        <v>24</v>
      </c>
      <c r="FC2894" s="15" t="n">
        <v>24</v>
      </c>
      <c r="FY2894" s="15" t="n">
        <v>24</v>
      </c>
      <c r="GU2894" s="15" t="n">
        <v>24</v>
      </c>
    </row>
    <row r="2895">
      <c r="C2895" s="15" t="n">
        <v>25</v>
      </c>
      <c r="AA2895" s="15" t="n">
        <v>25</v>
      </c>
      <c r="AW2895" s="15" t="n">
        <v>25</v>
      </c>
      <c r="BS2895" s="15" t="n">
        <v>25</v>
      </c>
      <c r="CO2895" s="15" t="n">
        <v>25</v>
      </c>
      <c r="DK2895" s="15" t="n">
        <v>25</v>
      </c>
      <c r="EG2895" s="15" t="n">
        <v>25</v>
      </c>
      <c r="FC2895" s="15" t="n">
        <v>25</v>
      </c>
      <c r="FY2895" s="15" t="n">
        <v>25</v>
      </c>
      <c r="GU2895" s="15" t="n">
        <v>25</v>
      </c>
    </row>
    <row r="2896">
      <c r="C2896" s="15" t="n">
        <v>26</v>
      </c>
      <c r="AA2896" s="15" t="n">
        <v>26</v>
      </c>
      <c r="AW2896" s="15" t="n">
        <v>26</v>
      </c>
      <c r="BS2896" s="15" t="n">
        <v>26</v>
      </c>
      <c r="CO2896" s="15" t="n">
        <v>26</v>
      </c>
      <c r="DK2896" s="15" t="n">
        <v>26</v>
      </c>
      <c r="EG2896" s="15" t="n">
        <v>26</v>
      </c>
      <c r="FC2896" s="15" t="n">
        <v>26</v>
      </c>
      <c r="FY2896" s="15" t="n">
        <v>26</v>
      </c>
      <c r="GU2896" s="15" t="n">
        <v>26</v>
      </c>
    </row>
    <row r="2897">
      <c r="C2897" s="15" t="n">
        <v>27</v>
      </c>
      <c r="AA2897" s="15" t="n">
        <v>27</v>
      </c>
      <c r="AW2897" s="15" t="n">
        <v>27</v>
      </c>
      <c r="BS2897" s="15" t="n">
        <v>27</v>
      </c>
      <c r="CO2897" s="15" t="n">
        <v>27</v>
      </c>
      <c r="DK2897" s="15" t="n">
        <v>27</v>
      </c>
      <c r="EG2897" s="15" t="n">
        <v>27</v>
      </c>
      <c r="FC2897" s="15" t="n">
        <v>27</v>
      </c>
      <c r="FY2897" s="15" t="n">
        <v>27</v>
      </c>
      <c r="GU2897" s="15" t="n">
        <v>27</v>
      </c>
    </row>
    <row r="2898">
      <c r="C2898" s="15" t="n">
        <v>28</v>
      </c>
      <c r="AA2898" s="15" t="n">
        <v>28</v>
      </c>
      <c r="AW2898" s="15" t="n">
        <v>28</v>
      </c>
      <c r="BS2898" s="15" t="n">
        <v>28</v>
      </c>
      <c r="CO2898" s="15" t="n">
        <v>28</v>
      </c>
      <c r="DK2898" s="15" t="n">
        <v>28</v>
      </c>
      <c r="EG2898" s="15" t="n">
        <v>28</v>
      </c>
      <c r="FC2898" s="15" t="n">
        <v>28</v>
      </c>
      <c r="FY2898" s="15" t="n">
        <v>28</v>
      </c>
      <c r="GU2898" s="15" t="n">
        <v>28</v>
      </c>
    </row>
    <row r="2899">
      <c r="C2899" s="15" t="n">
        <v>29</v>
      </c>
      <c r="AA2899" s="15" t="n">
        <v>29</v>
      </c>
      <c r="AW2899" s="15" t="n">
        <v>29</v>
      </c>
      <c r="BS2899" s="15" t="n">
        <v>29</v>
      </c>
      <c r="CO2899" s="15" t="n">
        <v>29</v>
      </c>
      <c r="DK2899" s="15" t="n">
        <v>29</v>
      </c>
      <c r="EG2899" s="15" t="n">
        <v>29</v>
      </c>
      <c r="FC2899" s="15" t="n">
        <v>29</v>
      </c>
      <c r="FY2899" s="15" t="n">
        <v>29</v>
      </c>
      <c r="GU2899" s="15" t="n">
        <v>29</v>
      </c>
    </row>
    <row r="2900">
      <c r="C2900" s="15" t="n">
        <v>30</v>
      </c>
      <c r="AA2900" s="15" t="n">
        <v>30</v>
      </c>
      <c r="AW2900" s="15" t="n">
        <v>30</v>
      </c>
      <c r="BS2900" s="15" t="n">
        <v>30</v>
      </c>
      <c r="CO2900" s="15" t="n">
        <v>30</v>
      </c>
      <c r="DK2900" s="15" t="n">
        <v>30</v>
      </c>
      <c r="EG2900" s="15" t="n">
        <v>30</v>
      </c>
      <c r="FC2900" s="15" t="n">
        <v>30</v>
      </c>
      <c r="FY2900" s="15" t="n">
        <v>30</v>
      </c>
      <c r="GU2900" s="15" t="n">
        <v>30</v>
      </c>
    </row>
    <row r="2901">
      <c r="C2901" s="15" t="n">
        <v>31</v>
      </c>
      <c r="AA2901" s="15" t="n">
        <v>31</v>
      </c>
      <c r="AW2901" s="15" t="n">
        <v>31</v>
      </c>
      <c r="BS2901" s="15" t="n">
        <v>31</v>
      </c>
      <c r="CO2901" s="15" t="n">
        <v>31</v>
      </c>
      <c r="DK2901" s="15" t="n">
        <v>31</v>
      </c>
      <c r="EG2901" s="15" t="n">
        <v>31</v>
      </c>
      <c r="FC2901" s="15" t="n">
        <v>31</v>
      </c>
      <c r="FY2901" s="15" t="n">
        <v>31</v>
      </c>
      <c r="GU2901" s="15" t="n">
        <v>31</v>
      </c>
    </row>
    <row r="2902">
      <c r="C2902" s="15" t="n">
        <v>32</v>
      </c>
      <c r="AA2902" s="15" t="n">
        <v>32</v>
      </c>
      <c r="AW2902" s="15" t="n">
        <v>32</v>
      </c>
      <c r="BS2902" s="15" t="n">
        <v>32</v>
      </c>
      <c r="CO2902" s="15" t="n">
        <v>32</v>
      </c>
      <c r="DK2902" s="15" t="n">
        <v>32</v>
      </c>
      <c r="EG2902" s="15" t="n">
        <v>32</v>
      </c>
      <c r="FC2902" s="15" t="n">
        <v>32</v>
      </c>
      <c r="FY2902" s="15" t="n">
        <v>32</v>
      </c>
      <c r="GU2902" s="15" t="n">
        <v>32</v>
      </c>
    </row>
    <row r="2903">
      <c r="C2903" s="15" t="n">
        <v>33</v>
      </c>
      <c r="AA2903" s="15" t="n">
        <v>33</v>
      </c>
      <c r="AW2903" s="15" t="n">
        <v>33</v>
      </c>
      <c r="BS2903" s="15" t="n">
        <v>33</v>
      </c>
      <c r="CO2903" s="15" t="n">
        <v>33</v>
      </c>
      <c r="DK2903" s="15" t="n">
        <v>33</v>
      </c>
      <c r="EG2903" s="15" t="n">
        <v>33</v>
      </c>
      <c r="FC2903" s="15" t="n">
        <v>33</v>
      </c>
      <c r="FY2903" s="15" t="n">
        <v>33</v>
      </c>
      <c r="GU2903" s="15" t="n">
        <v>33</v>
      </c>
    </row>
    <row r="2904">
      <c r="C2904" s="15" t="n">
        <v>34</v>
      </c>
      <c r="AA2904" s="15" t="n">
        <v>34</v>
      </c>
      <c r="AW2904" s="15" t="n">
        <v>34</v>
      </c>
      <c r="BS2904" s="15" t="n">
        <v>34</v>
      </c>
      <c r="CO2904" s="15" t="n">
        <v>34</v>
      </c>
      <c r="DK2904" s="15" t="n">
        <v>34</v>
      </c>
      <c r="EG2904" s="15" t="n">
        <v>34</v>
      </c>
      <c r="FC2904" s="15" t="n">
        <v>34</v>
      </c>
      <c r="FY2904" s="15" t="n">
        <v>34</v>
      </c>
      <c r="GU2904" s="15" t="n">
        <v>34</v>
      </c>
    </row>
    <row r="2905">
      <c r="C2905" s="15" t="n">
        <v>35</v>
      </c>
      <c r="AA2905" s="15" t="n">
        <v>35</v>
      </c>
      <c r="AW2905" s="15" t="n">
        <v>35</v>
      </c>
      <c r="BS2905" s="15" t="n">
        <v>35</v>
      </c>
      <c r="CO2905" s="15" t="n">
        <v>35</v>
      </c>
      <c r="DK2905" s="15" t="n">
        <v>35</v>
      </c>
      <c r="EG2905" s="15" t="n">
        <v>35</v>
      </c>
      <c r="FC2905" s="15" t="n">
        <v>35</v>
      </c>
      <c r="FY2905" s="15" t="n">
        <v>35</v>
      </c>
      <c r="GU2905" s="15" t="n">
        <v>35</v>
      </c>
    </row>
    <row r="2906">
      <c r="C2906" s="15" t="n">
        <v>36</v>
      </c>
      <c r="AA2906" s="15" t="n">
        <v>36</v>
      </c>
      <c r="AW2906" s="15" t="n">
        <v>36</v>
      </c>
      <c r="BS2906" s="15" t="n">
        <v>36</v>
      </c>
      <c r="CO2906" s="15" t="n">
        <v>36</v>
      </c>
      <c r="DK2906" s="15" t="n">
        <v>36</v>
      </c>
      <c r="EG2906" s="15" t="n">
        <v>36</v>
      </c>
      <c r="FC2906" s="15" t="n">
        <v>36</v>
      </c>
      <c r="FY2906" s="15" t="n">
        <v>36</v>
      </c>
      <c r="GU2906" s="15" t="n">
        <v>36</v>
      </c>
    </row>
    <row r="2907">
      <c r="C2907" s="15" t="n">
        <v>37</v>
      </c>
      <c r="AA2907" s="15" t="n">
        <v>37</v>
      </c>
      <c r="AW2907" s="15" t="n">
        <v>37</v>
      </c>
      <c r="BS2907" s="15" t="n">
        <v>37</v>
      </c>
      <c r="CO2907" s="15" t="n">
        <v>37</v>
      </c>
      <c r="DK2907" s="15" t="n">
        <v>37</v>
      </c>
      <c r="EG2907" s="15" t="n">
        <v>37</v>
      </c>
      <c r="FC2907" s="15" t="n">
        <v>37</v>
      </c>
      <c r="FY2907" s="15" t="n">
        <v>37</v>
      </c>
      <c r="GU2907" s="15" t="n">
        <v>37</v>
      </c>
    </row>
    <row r="2908">
      <c r="C2908" s="15" t="n">
        <v>38</v>
      </c>
      <c r="AA2908" s="15" t="n">
        <v>38</v>
      </c>
      <c r="AW2908" s="15" t="n">
        <v>38</v>
      </c>
      <c r="BS2908" s="15" t="n">
        <v>38</v>
      </c>
      <c r="CO2908" s="15" t="n">
        <v>38</v>
      </c>
      <c r="DK2908" s="15" t="n">
        <v>38</v>
      </c>
      <c r="EG2908" s="15" t="n">
        <v>38</v>
      </c>
      <c r="FC2908" s="15" t="n">
        <v>38</v>
      </c>
      <c r="FY2908" s="15" t="n">
        <v>38</v>
      </c>
      <c r="GU2908" s="15" t="n">
        <v>38</v>
      </c>
    </row>
    <row r="2909">
      <c r="C2909" s="15" t="n">
        <v>39</v>
      </c>
      <c r="AA2909" s="15" t="n">
        <v>39</v>
      </c>
      <c r="AW2909" s="15" t="n">
        <v>39</v>
      </c>
      <c r="BS2909" s="15" t="n">
        <v>39</v>
      </c>
      <c r="CO2909" s="15" t="n">
        <v>39</v>
      </c>
      <c r="DK2909" s="15" t="n">
        <v>39</v>
      </c>
      <c r="EG2909" s="15" t="n">
        <v>39</v>
      </c>
      <c r="FC2909" s="15" t="n">
        <v>39</v>
      </c>
      <c r="FY2909" s="15" t="n">
        <v>39</v>
      </c>
      <c r="GU2909" s="15" t="n">
        <v>39</v>
      </c>
    </row>
    <row r="2910">
      <c r="C2910" s="15" t="n">
        <v>40</v>
      </c>
      <c r="AA2910" s="15" t="n">
        <v>40</v>
      </c>
      <c r="AW2910" s="15" t="n">
        <v>40</v>
      </c>
      <c r="BS2910" s="15" t="n">
        <v>40</v>
      </c>
      <c r="CO2910" s="15" t="n">
        <v>40</v>
      </c>
      <c r="DK2910" s="15" t="n">
        <v>40</v>
      </c>
      <c r="EG2910" s="15" t="n">
        <v>40</v>
      </c>
      <c r="FC2910" s="15" t="n">
        <v>40</v>
      </c>
      <c r="FY2910" s="15" t="n">
        <v>40</v>
      </c>
      <c r="GU2910" s="15" t="n">
        <v>40</v>
      </c>
    </row>
    <row r="2911">
      <c r="C2911" s="15" t="n">
        <v>41</v>
      </c>
      <c r="AA2911" s="15" t="n">
        <v>41</v>
      </c>
      <c r="AW2911" s="15" t="n">
        <v>41</v>
      </c>
      <c r="BS2911" s="15" t="n">
        <v>41</v>
      </c>
      <c r="CO2911" s="15" t="n">
        <v>41</v>
      </c>
      <c r="DK2911" s="15" t="n">
        <v>41</v>
      </c>
      <c r="EG2911" s="15" t="n">
        <v>41</v>
      </c>
      <c r="FC2911" s="15" t="n">
        <v>41</v>
      </c>
      <c r="FY2911" s="15" t="n">
        <v>41</v>
      </c>
      <c r="GU2911" s="15" t="n">
        <v>41</v>
      </c>
    </row>
    <row r="2912">
      <c r="C2912" s="15" t="n">
        <v>42</v>
      </c>
      <c r="AA2912" s="15" t="n">
        <v>42</v>
      </c>
      <c r="AW2912" s="15" t="n">
        <v>42</v>
      </c>
      <c r="BS2912" s="15" t="n">
        <v>42</v>
      </c>
      <c r="CO2912" s="15" t="n">
        <v>42</v>
      </c>
      <c r="DK2912" s="15" t="n">
        <v>42</v>
      </c>
      <c r="EG2912" s="15" t="n">
        <v>42</v>
      </c>
      <c r="FC2912" s="15" t="n">
        <v>42</v>
      </c>
      <c r="FY2912" s="15" t="n">
        <v>42</v>
      </c>
      <c r="GU2912" s="15" t="n">
        <v>42</v>
      </c>
    </row>
    <row r="2913">
      <c r="C2913" s="15" t="n">
        <v>43</v>
      </c>
      <c r="AA2913" s="15" t="n">
        <v>43</v>
      </c>
      <c r="AW2913" s="15" t="n">
        <v>43</v>
      </c>
      <c r="BS2913" s="15" t="n">
        <v>43</v>
      </c>
      <c r="CO2913" s="15" t="n">
        <v>43</v>
      </c>
      <c r="DK2913" s="15" t="n">
        <v>43</v>
      </c>
      <c r="EG2913" s="15" t="n">
        <v>43</v>
      </c>
      <c r="FC2913" s="15" t="n">
        <v>43</v>
      </c>
      <c r="FY2913" s="15" t="n">
        <v>43</v>
      </c>
      <c r="GU2913" s="15" t="n">
        <v>43</v>
      </c>
    </row>
    <row r="2914">
      <c r="C2914" s="15" t="n">
        <v>44</v>
      </c>
      <c r="AA2914" s="15" t="n">
        <v>44</v>
      </c>
      <c r="AW2914" s="15" t="n">
        <v>44</v>
      </c>
      <c r="BS2914" s="15" t="n">
        <v>44</v>
      </c>
      <c r="CO2914" s="15" t="n">
        <v>44</v>
      </c>
      <c r="DK2914" s="15" t="n">
        <v>44</v>
      </c>
      <c r="EG2914" s="15" t="n">
        <v>44</v>
      </c>
      <c r="FC2914" s="15" t="n">
        <v>44</v>
      </c>
      <c r="FY2914" s="15" t="n">
        <v>44</v>
      </c>
      <c r="GU2914" s="15" t="n">
        <v>44</v>
      </c>
    </row>
    <row r="2915">
      <c r="C2915" s="15" t="n">
        <v>45</v>
      </c>
      <c r="AA2915" s="15" t="n">
        <v>45</v>
      </c>
      <c r="AW2915" s="15" t="n">
        <v>45</v>
      </c>
      <c r="BS2915" s="15" t="n">
        <v>45</v>
      </c>
      <c r="CO2915" s="15" t="n">
        <v>45</v>
      </c>
      <c r="DK2915" s="15" t="n">
        <v>45</v>
      </c>
      <c r="EG2915" s="15" t="n">
        <v>45</v>
      </c>
      <c r="FC2915" s="15" t="n">
        <v>45</v>
      </c>
      <c r="FY2915" s="15" t="n">
        <v>45</v>
      </c>
      <c r="GU2915" s="15" t="n">
        <v>45</v>
      </c>
    </row>
    <row r="2916">
      <c r="C2916" s="15" t="n">
        <v>46</v>
      </c>
      <c r="AA2916" s="15" t="n">
        <v>46</v>
      </c>
      <c r="AW2916" s="15" t="n">
        <v>46</v>
      </c>
      <c r="BS2916" s="15" t="n">
        <v>46</v>
      </c>
      <c r="CO2916" s="15" t="n">
        <v>46</v>
      </c>
      <c r="DK2916" s="15" t="n">
        <v>46</v>
      </c>
      <c r="EG2916" s="15" t="n">
        <v>46</v>
      </c>
      <c r="FC2916" s="15" t="n">
        <v>46</v>
      </c>
      <c r="FY2916" s="15" t="n">
        <v>46</v>
      </c>
      <c r="GU2916" s="15" t="n">
        <v>46</v>
      </c>
    </row>
    <row r="2917">
      <c r="C2917" s="15" t="n">
        <v>47</v>
      </c>
      <c r="AA2917" s="15" t="n">
        <v>47</v>
      </c>
      <c r="AW2917" s="15" t="n">
        <v>47</v>
      </c>
      <c r="BS2917" s="15" t="n">
        <v>47</v>
      </c>
      <c r="CO2917" s="15" t="n">
        <v>47</v>
      </c>
      <c r="DK2917" s="15" t="n">
        <v>47</v>
      </c>
      <c r="EG2917" s="15" t="n">
        <v>47</v>
      </c>
      <c r="FC2917" s="15" t="n">
        <v>47</v>
      </c>
      <c r="FY2917" s="15" t="n">
        <v>47</v>
      </c>
      <c r="GU2917" s="15" t="n">
        <v>47</v>
      </c>
    </row>
    <row r="2918">
      <c r="C2918" s="15" t="n">
        <v>48</v>
      </c>
      <c r="AA2918" s="15" t="n">
        <v>48</v>
      </c>
      <c r="AW2918" s="15" t="n">
        <v>48</v>
      </c>
      <c r="BS2918" s="15" t="n">
        <v>48</v>
      </c>
      <c r="CO2918" s="15" t="n">
        <v>48</v>
      </c>
      <c r="DK2918" s="15" t="n">
        <v>48</v>
      </c>
      <c r="EG2918" s="15" t="n">
        <v>48</v>
      </c>
      <c r="FC2918" s="15" t="n">
        <v>48</v>
      </c>
      <c r="FY2918" s="15" t="n">
        <v>48</v>
      </c>
      <c r="GU2918" s="15" t="n">
        <v>48</v>
      </c>
    </row>
    <row r="2919">
      <c r="C2919" s="15" t="n">
        <v>49</v>
      </c>
      <c r="AA2919" s="15" t="n">
        <v>49</v>
      </c>
      <c r="AW2919" s="15" t="n">
        <v>49</v>
      </c>
      <c r="BS2919" s="15" t="n">
        <v>49</v>
      </c>
      <c r="CO2919" s="15" t="n">
        <v>49</v>
      </c>
      <c r="DK2919" s="15" t="n">
        <v>49</v>
      </c>
      <c r="EG2919" s="15" t="n">
        <v>49</v>
      </c>
      <c r="FC2919" s="15" t="n">
        <v>49</v>
      </c>
      <c r="FY2919" s="15" t="n">
        <v>49</v>
      </c>
      <c r="GU2919" s="15" t="n">
        <v>49</v>
      </c>
    </row>
    <row r="2920">
      <c r="C2920" s="15" t="n">
        <v>50</v>
      </c>
      <c r="AA2920" s="15" t="n">
        <v>50</v>
      </c>
      <c r="AW2920" s="15" t="n">
        <v>50</v>
      </c>
      <c r="BS2920" s="15" t="n">
        <v>50</v>
      </c>
      <c r="CO2920" s="15" t="n">
        <v>50</v>
      </c>
      <c r="DK2920" s="15" t="n">
        <v>50</v>
      </c>
      <c r="EG2920" s="15" t="n">
        <v>50</v>
      </c>
      <c r="FC2920" s="15" t="n">
        <v>50</v>
      </c>
      <c r="FY2920" s="15" t="n">
        <v>50</v>
      </c>
      <c r="GU2920" s="15" t="n">
        <v>50</v>
      </c>
    </row>
    <row r="2921">
      <c r="C2921" s="15" t="n">
        <v>51</v>
      </c>
      <c r="AA2921" s="15" t="n">
        <v>51</v>
      </c>
      <c r="AW2921" s="15" t="n">
        <v>51</v>
      </c>
      <c r="BS2921" s="15" t="n">
        <v>51</v>
      </c>
      <c r="CO2921" s="15" t="n">
        <v>51</v>
      </c>
      <c r="DK2921" s="15" t="n">
        <v>51</v>
      </c>
      <c r="EG2921" s="15" t="n">
        <v>51</v>
      </c>
      <c r="FC2921" s="15" t="n">
        <v>51</v>
      </c>
      <c r="FY2921" s="15" t="n">
        <v>51</v>
      </c>
      <c r="GU2921" s="15" t="n">
        <v>51</v>
      </c>
    </row>
    <row r="2922">
      <c r="C2922" s="15" t="n">
        <v>52</v>
      </c>
      <c r="AA2922" s="15" t="n">
        <v>52</v>
      </c>
      <c r="AW2922" s="15" t="n">
        <v>52</v>
      </c>
      <c r="BS2922" s="15" t="n">
        <v>52</v>
      </c>
      <c r="CO2922" s="15" t="n">
        <v>52</v>
      </c>
      <c r="DK2922" s="15" t="n">
        <v>52</v>
      </c>
      <c r="EG2922" s="15" t="n">
        <v>52</v>
      </c>
      <c r="FC2922" s="15" t="n">
        <v>52</v>
      </c>
      <c r="FY2922" s="15" t="n">
        <v>52</v>
      </c>
      <c r="GU2922" s="15" t="n">
        <v>52</v>
      </c>
    </row>
    <row r="2923">
      <c r="C2923" s="15" t="n">
        <v>53</v>
      </c>
      <c r="AA2923" s="15" t="n">
        <v>53</v>
      </c>
      <c r="AW2923" s="15" t="n">
        <v>53</v>
      </c>
      <c r="BS2923" s="15" t="n">
        <v>53</v>
      </c>
      <c r="CO2923" s="15" t="n">
        <v>53</v>
      </c>
      <c r="DK2923" s="15" t="n">
        <v>53</v>
      </c>
      <c r="EG2923" s="15" t="n">
        <v>53</v>
      </c>
      <c r="FC2923" s="15" t="n">
        <v>53</v>
      </c>
      <c r="FY2923" s="15" t="n">
        <v>53</v>
      </c>
      <c r="GU2923" s="15" t="n">
        <v>53</v>
      </c>
    </row>
    <row r="2924">
      <c r="C2924" s="15" t="n">
        <v>54</v>
      </c>
      <c r="AA2924" s="15" t="n">
        <v>54</v>
      </c>
      <c r="AW2924" s="15" t="n">
        <v>54</v>
      </c>
      <c r="BS2924" s="15" t="n">
        <v>54</v>
      </c>
      <c r="CO2924" s="15" t="n">
        <v>54</v>
      </c>
      <c r="DK2924" s="15" t="n">
        <v>54</v>
      </c>
      <c r="EG2924" s="15" t="n">
        <v>54</v>
      </c>
      <c r="FC2924" s="15" t="n">
        <v>54</v>
      </c>
      <c r="FY2924" s="15" t="n">
        <v>54</v>
      </c>
      <c r="GU2924" s="15" t="n">
        <v>54</v>
      </c>
    </row>
    <row r="2925">
      <c r="C2925" s="15" t="n">
        <v>55</v>
      </c>
      <c r="AA2925" s="15" t="n">
        <v>55</v>
      </c>
      <c r="AW2925" s="15" t="n">
        <v>55</v>
      </c>
      <c r="BS2925" s="15" t="n">
        <v>55</v>
      </c>
      <c r="CO2925" s="15" t="n">
        <v>55</v>
      </c>
      <c r="DK2925" s="15" t="n">
        <v>55</v>
      </c>
      <c r="EG2925" s="15" t="n">
        <v>55</v>
      </c>
      <c r="FC2925" s="15" t="n">
        <v>55</v>
      </c>
      <c r="FY2925" s="15" t="n">
        <v>55</v>
      </c>
      <c r="GU2925" s="15" t="n">
        <v>55</v>
      </c>
    </row>
    <row r="2926">
      <c r="C2926" s="15" t="n">
        <v>56</v>
      </c>
      <c r="AA2926" s="15" t="n">
        <v>56</v>
      </c>
      <c r="AW2926" s="15" t="n">
        <v>56</v>
      </c>
      <c r="BS2926" s="15" t="n">
        <v>56</v>
      </c>
      <c r="CO2926" s="15" t="n">
        <v>56</v>
      </c>
      <c r="DK2926" s="15" t="n">
        <v>56</v>
      </c>
      <c r="EG2926" s="15" t="n">
        <v>56</v>
      </c>
      <c r="FC2926" s="15" t="n">
        <v>56</v>
      </c>
      <c r="FY2926" s="15" t="n">
        <v>56</v>
      </c>
      <c r="GU2926" s="15" t="n">
        <v>56</v>
      </c>
    </row>
    <row r="2927">
      <c r="C2927" s="15" t="n">
        <v>57</v>
      </c>
      <c r="AA2927" s="15" t="n">
        <v>57</v>
      </c>
      <c r="AW2927" s="15" t="n">
        <v>57</v>
      </c>
      <c r="BS2927" s="15" t="n">
        <v>57</v>
      </c>
      <c r="CO2927" s="15" t="n">
        <v>57</v>
      </c>
      <c r="DK2927" s="15" t="n">
        <v>57</v>
      </c>
      <c r="EG2927" s="15" t="n">
        <v>57</v>
      </c>
      <c r="FC2927" s="15" t="n">
        <v>57</v>
      </c>
      <c r="FY2927" s="15" t="n">
        <v>57</v>
      </c>
      <c r="GU2927" s="15" t="n">
        <v>57</v>
      </c>
    </row>
    <row r="2928">
      <c r="C2928" s="15" t="n">
        <v>58</v>
      </c>
      <c r="AA2928" s="15" t="n">
        <v>58</v>
      </c>
      <c r="AW2928" s="15" t="n">
        <v>58</v>
      </c>
      <c r="BS2928" s="15" t="n">
        <v>58</v>
      </c>
      <c r="CO2928" s="15" t="n">
        <v>58</v>
      </c>
      <c r="DK2928" s="15" t="n">
        <v>58</v>
      </c>
      <c r="EG2928" s="15" t="n">
        <v>58</v>
      </c>
      <c r="FC2928" s="15" t="n">
        <v>58</v>
      </c>
      <c r="FY2928" s="15" t="n">
        <v>58</v>
      </c>
      <c r="GU2928" s="15" t="n">
        <v>58</v>
      </c>
    </row>
    <row r="2929">
      <c r="C2929" s="15" t="n">
        <v>59</v>
      </c>
      <c r="AA2929" s="15" t="n">
        <v>59</v>
      </c>
      <c r="AW2929" s="15" t="n">
        <v>59</v>
      </c>
      <c r="BS2929" s="15" t="n">
        <v>59</v>
      </c>
      <c r="CO2929" s="15" t="n">
        <v>59</v>
      </c>
      <c r="DK2929" s="15" t="n">
        <v>59</v>
      </c>
      <c r="EG2929" s="15" t="n">
        <v>59</v>
      </c>
      <c r="FC2929" s="15" t="n">
        <v>59</v>
      </c>
      <c r="FY2929" s="15" t="n">
        <v>59</v>
      </c>
      <c r="GU2929" s="15" t="n">
        <v>59</v>
      </c>
    </row>
    <row r="2930">
      <c r="C2930" s="15" t="n">
        <v>60</v>
      </c>
      <c r="AA2930" s="15" t="n">
        <v>60</v>
      </c>
      <c r="AW2930" s="15" t="n">
        <v>60</v>
      </c>
      <c r="BS2930" s="15" t="n">
        <v>60</v>
      </c>
      <c r="CO2930" s="15" t="n">
        <v>60</v>
      </c>
      <c r="DK2930" s="15" t="n">
        <v>60</v>
      </c>
      <c r="EG2930" s="15" t="n">
        <v>60</v>
      </c>
      <c r="FC2930" s="15" t="n">
        <v>60</v>
      </c>
      <c r="FY2930" s="15" t="n">
        <v>60</v>
      </c>
      <c r="GU2930" s="15" t="n">
        <v>60</v>
      </c>
    </row>
    <row r="2931">
      <c r="C2931" s="15" t="n">
        <v>61</v>
      </c>
      <c r="AA2931" s="15" t="n">
        <v>61</v>
      </c>
      <c r="AW2931" s="15" t="n">
        <v>61</v>
      </c>
      <c r="BS2931" s="15" t="n">
        <v>61</v>
      </c>
      <c r="CO2931" s="15" t="n">
        <v>61</v>
      </c>
      <c r="DK2931" s="15" t="n">
        <v>61</v>
      </c>
      <c r="EG2931" s="15" t="n">
        <v>61</v>
      </c>
      <c r="FC2931" s="15" t="n">
        <v>61</v>
      </c>
      <c r="FY2931" s="15" t="n">
        <v>61</v>
      </c>
      <c r="GU2931" s="15" t="n">
        <v>61</v>
      </c>
    </row>
    <row r="2932">
      <c r="C2932" s="15" t="n">
        <v>62</v>
      </c>
      <c r="AA2932" s="15" t="n">
        <v>62</v>
      </c>
      <c r="AW2932" s="15" t="n">
        <v>62</v>
      </c>
      <c r="BS2932" s="15" t="n">
        <v>62</v>
      </c>
      <c r="CO2932" s="15" t="n">
        <v>62</v>
      </c>
      <c r="DK2932" s="15" t="n">
        <v>62</v>
      </c>
      <c r="EG2932" s="15" t="n">
        <v>62</v>
      </c>
      <c r="FC2932" s="15" t="n">
        <v>62</v>
      </c>
      <c r="FY2932" s="15" t="n">
        <v>62</v>
      </c>
      <c r="GU2932" s="15" t="n">
        <v>62</v>
      </c>
    </row>
    <row r="2933">
      <c r="C2933" s="15" t="n">
        <v>63</v>
      </c>
      <c r="AA2933" s="15" t="n">
        <v>63</v>
      </c>
      <c r="AW2933" s="15" t="n">
        <v>63</v>
      </c>
      <c r="BS2933" s="15" t="n">
        <v>63</v>
      </c>
      <c r="CO2933" s="15" t="n">
        <v>63</v>
      </c>
      <c r="DK2933" s="15" t="n">
        <v>63</v>
      </c>
      <c r="EG2933" s="15" t="n">
        <v>63</v>
      </c>
      <c r="FC2933" s="15" t="n">
        <v>63</v>
      </c>
      <c r="FY2933" s="15" t="n">
        <v>63</v>
      </c>
      <c r="GU2933" s="15" t="n">
        <v>63</v>
      </c>
    </row>
    <row r="2934">
      <c r="C2934" s="15" t="n">
        <v>64</v>
      </c>
      <c r="AA2934" s="15" t="n">
        <v>64</v>
      </c>
      <c r="AW2934" s="15" t="n">
        <v>64</v>
      </c>
      <c r="BS2934" s="15" t="n">
        <v>64</v>
      </c>
      <c r="CO2934" s="15" t="n">
        <v>64</v>
      </c>
      <c r="DK2934" s="15" t="n">
        <v>64</v>
      </c>
      <c r="EG2934" s="15" t="n">
        <v>64</v>
      </c>
      <c r="FC2934" s="15" t="n">
        <v>64</v>
      </c>
      <c r="FY2934" s="15" t="n">
        <v>64</v>
      </c>
      <c r="GU2934" s="15" t="n">
        <v>64</v>
      </c>
    </row>
    <row r="2935">
      <c r="C2935" s="15" t="n">
        <v>65</v>
      </c>
      <c r="AA2935" s="15" t="n">
        <v>65</v>
      </c>
      <c r="AW2935" s="15" t="n">
        <v>65</v>
      </c>
      <c r="BS2935" s="15" t="n">
        <v>65</v>
      </c>
      <c r="CO2935" s="15" t="n">
        <v>65</v>
      </c>
      <c r="DK2935" s="15" t="n">
        <v>65</v>
      </c>
      <c r="EG2935" s="15" t="n">
        <v>65</v>
      </c>
      <c r="FC2935" s="15" t="n">
        <v>65</v>
      </c>
      <c r="FY2935" s="15" t="n">
        <v>65</v>
      </c>
      <c r="GU2935" s="15" t="n">
        <v>65</v>
      </c>
    </row>
    <row r="2936">
      <c r="C2936" s="15" t="n">
        <v>66</v>
      </c>
      <c r="AA2936" s="15" t="n">
        <v>66</v>
      </c>
      <c r="AW2936" s="15" t="n">
        <v>66</v>
      </c>
      <c r="BS2936" s="15" t="n">
        <v>66</v>
      </c>
      <c r="CO2936" s="15" t="n">
        <v>66</v>
      </c>
      <c r="DK2936" s="15" t="n">
        <v>66</v>
      </c>
      <c r="EG2936" s="15" t="n">
        <v>66</v>
      </c>
      <c r="FC2936" s="15" t="n">
        <v>66</v>
      </c>
      <c r="FY2936" s="15" t="n">
        <v>66</v>
      </c>
      <c r="GU2936" s="15" t="n">
        <v>66</v>
      </c>
    </row>
    <row r="2937">
      <c r="C2937" s="15" t="n">
        <v>67</v>
      </c>
      <c r="AA2937" s="15" t="n">
        <v>67</v>
      </c>
      <c r="AW2937" s="15" t="n">
        <v>67</v>
      </c>
      <c r="BS2937" s="15" t="n">
        <v>67</v>
      </c>
      <c r="CO2937" s="15" t="n">
        <v>67</v>
      </c>
      <c r="DK2937" s="15" t="n">
        <v>67</v>
      </c>
      <c r="EG2937" s="15" t="n">
        <v>67</v>
      </c>
      <c r="FC2937" s="15" t="n">
        <v>67</v>
      </c>
      <c r="FY2937" s="15" t="n">
        <v>67</v>
      </c>
      <c r="GU2937" s="15" t="n">
        <v>67</v>
      </c>
    </row>
    <row r="2938">
      <c r="C2938" s="15" t="n">
        <v>68</v>
      </c>
      <c r="AA2938" s="15" t="n">
        <v>68</v>
      </c>
      <c r="AW2938" s="15" t="n">
        <v>68</v>
      </c>
      <c r="BS2938" s="15" t="n">
        <v>68</v>
      </c>
      <c r="CO2938" s="15" t="n">
        <v>68</v>
      </c>
      <c r="DK2938" s="15" t="n">
        <v>68</v>
      </c>
      <c r="EG2938" s="15" t="n">
        <v>68</v>
      </c>
      <c r="FC2938" s="15" t="n">
        <v>68</v>
      </c>
      <c r="FY2938" s="15" t="n">
        <v>68</v>
      </c>
      <c r="GU2938" s="15" t="n">
        <v>68</v>
      </c>
    </row>
    <row r="2939">
      <c r="C2939" s="15" t="n">
        <v>69</v>
      </c>
      <c r="AA2939" s="15" t="n">
        <v>69</v>
      </c>
      <c r="AW2939" s="15" t="n">
        <v>69</v>
      </c>
      <c r="BS2939" s="15" t="n">
        <v>69</v>
      </c>
      <c r="CO2939" s="15" t="n">
        <v>69</v>
      </c>
      <c r="DK2939" s="15" t="n">
        <v>69</v>
      </c>
      <c r="EG2939" s="15" t="n">
        <v>69</v>
      </c>
      <c r="FC2939" s="15" t="n">
        <v>69</v>
      </c>
      <c r="FY2939" s="15" t="n">
        <v>69</v>
      </c>
      <c r="GU2939" s="15" t="n">
        <v>69</v>
      </c>
    </row>
    <row r="2940">
      <c r="C2940" s="15" t="n">
        <v>70</v>
      </c>
      <c r="AA2940" s="15" t="n">
        <v>70</v>
      </c>
      <c r="AW2940" s="15" t="n">
        <v>70</v>
      </c>
      <c r="BS2940" s="15" t="n">
        <v>70</v>
      </c>
      <c r="CO2940" s="15" t="n">
        <v>70</v>
      </c>
      <c r="DK2940" s="15" t="n">
        <v>70</v>
      </c>
      <c r="EG2940" s="15" t="n">
        <v>70</v>
      </c>
      <c r="FC2940" s="15" t="n">
        <v>70</v>
      </c>
      <c r="FY2940" s="15" t="n">
        <v>70</v>
      </c>
      <c r="GU2940" s="15" t="n">
        <v>70</v>
      </c>
    </row>
    <row r="2941">
      <c r="C2941" s="15" t="n">
        <v>71</v>
      </c>
      <c r="AA2941" s="15" t="n">
        <v>71</v>
      </c>
      <c r="AW2941" s="15" t="n">
        <v>71</v>
      </c>
      <c r="BS2941" s="15" t="n">
        <v>71</v>
      </c>
      <c r="CO2941" s="15" t="n">
        <v>71</v>
      </c>
      <c r="DK2941" s="15" t="n">
        <v>71</v>
      </c>
      <c r="EG2941" s="15" t="n">
        <v>71</v>
      </c>
      <c r="FC2941" s="15" t="n">
        <v>71</v>
      </c>
      <c r="FY2941" s="15" t="n">
        <v>71</v>
      </c>
      <c r="GU2941" s="15" t="n">
        <v>71</v>
      </c>
    </row>
    <row r="2942">
      <c r="C2942" s="15" t="n">
        <v>72</v>
      </c>
      <c r="AA2942" s="15" t="n">
        <v>72</v>
      </c>
      <c r="AW2942" s="15" t="n">
        <v>72</v>
      </c>
      <c r="BS2942" s="15" t="n">
        <v>72</v>
      </c>
      <c r="CO2942" s="15" t="n">
        <v>72</v>
      </c>
      <c r="DK2942" s="15" t="n">
        <v>72</v>
      </c>
      <c r="EG2942" s="15" t="n">
        <v>72</v>
      </c>
      <c r="FC2942" s="15" t="n">
        <v>72</v>
      </c>
      <c r="FY2942" s="15" t="n">
        <v>72</v>
      </c>
      <c r="GU2942" s="15" t="n">
        <v>72</v>
      </c>
    </row>
    <row r="2943">
      <c r="C2943" s="15" t="n">
        <v>73</v>
      </c>
      <c r="AA2943" s="15" t="n">
        <v>73</v>
      </c>
      <c r="AW2943" s="15" t="n">
        <v>73</v>
      </c>
      <c r="BS2943" s="15" t="n">
        <v>73</v>
      </c>
      <c r="CO2943" s="15" t="n">
        <v>73</v>
      </c>
      <c r="DK2943" s="15" t="n">
        <v>73</v>
      </c>
      <c r="EG2943" s="15" t="n">
        <v>73</v>
      </c>
      <c r="FC2943" s="15" t="n">
        <v>73</v>
      </c>
      <c r="FY2943" s="15" t="n">
        <v>73</v>
      </c>
      <c r="GU2943" s="15" t="n">
        <v>73</v>
      </c>
    </row>
    <row r="2944">
      <c r="C2944" s="15" t="n">
        <v>74</v>
      </c>
      <c r="AA2944" s="15" t="n">
        <v>74</v>
      </c>
      <c r="AW2944" s="15" t="n">
        <v>74</v>
      </c>
      <c r="BS2944" s="15" t="n">
        <v>74</v>
      </c>
      <c r="CO2944" s="15" t="n">
        <v>74</v>
      </c>
      <c r="DK2944" s="15" t="n">
        <v>74</v>
      </c>
      <c r="EG2944" s="15" t="n">
        <v>74</v>
      </c>
      <c r="FC2944" s="15" t="n">
        <v>74</v>
      </c>
      <c r="FY2944" s="15" t="n">
        <v>74</v>
      </c>
      <c r="GU2944" s="15" t="n">
        <v>74</v>
      </c>
    </row>
    <row r="2945">
      <c r="C2945" s="15" t="n">
        <v>75</v>
      </c>
      <c r="AA2945" s="15" t="n">
        <v>75</v>
      </c>
      <c r="AW2945" s="15" t="n">
        <v>75</v>
      </c>
      <c r="BS2945" s="15" t="n">
        <v>75</v>
      </c>
      <c r="CO2945" s="15" t="n">
        <v>75</v>
      </c>
      <c r="DK2945" s="15" t="n">
        <v>75</v>
      </c>
      <c r="EG2945" s="15" t="n">
        <v>75</v>
      </c>
      <c r="FC2945" s="15" t="n">
        <v>75</v>
      </c>
      <c r="FY2945" s="15" t="n">
        <v>75</v>
      </c>
      <c r="GU2945" s="15" t="n">
        <v>75</v>
      </c>
    </row>
    <row r="2946">
      <c r="C2946" s="15" t="n">
        <v>76</v>
      </c>
      <c r="AA2946" s="15" t="n">
        <v>76</v>
      </c>
      <c r="AW2946" s="15" t="n">
        <v>76</v>
      </c>
      <c r="BS2946" s="15" t="n">
        <v>76</v>
      </c>
      <c r="CO2946" s="15" t="n">
        <v>76</v>
      </c>
      <c r="DK2946" s="15" t="n">
        <v>76</v>
      </c>
      <c r="EG2946" s="15" t="n">
        <v>76</v>
      </c>
      <c r="FC2946" s="15" t="n">
        <v>76</v>
      </c>
      <c r="FY2946" s="15" t="n">
        <v>76</v>
      </c>
      <c r="GU2946" s="15" t="n">
        <v>76</v>
      </c>
    </row>
    <row r="2947">
      <c r="C2947" s="15" t="n">
        <v>77</v>
      </c>
      <c r="AA2947" s="15" t="n">
        <v>77</v>
      </c>
      <c r="AW2947" s="15" t="n">
        <v>77</v>
      </c>
      <c r="BS2947" s="15" t="n">
        <v>77</v>
      </c>
      <c r="CO2947" s="15" t="n">
        <v>77</v>
      </c>
      <c r="DK2947" s="15" t="n">
        <v>77</v>
      </c>
      <c r="EG2947" s="15" t="n">
        <v>77</v>
      </c>
      <c r="FC2947" s="15" t="n">
        <v>77</v>
      </c>
      <c r="FY2947" s="15" t="n">
        <v>77</v>
      </c>
      <c r="GU2947" s="15" t="n">
        <v>77</v>
      </c>
    </row>
    <row r="2948">
      <c r="C2948" s="15" t="n">
        <v>78</v>
      </c>
      <c r="AA2948" s="15" t="n">
        <v>78</v>
      </c>
      <c r="AW2948" s="15" t="n">
        <v>78</v>
      </c>
      <c r="BS2948" s="15" t="n">
        <v>78</v>
      </c>
      <c r="CO2948" s="15" t="n">
        <v>78</v>
      </c>
      <c r="DK2948" s="15" t="n">
        <v>78</v>
      </c>
      <c r="EG2948" s="15" t="n">
        <v>78</v>
      </c>
      <c r="FC2948" s="15" t="n">
        <v>78</v>
      </c>
      <c r="FY2948" s="15" t="n">
        <v>78</v>
      </c>
      <c r="GU2948" s="15" t="n">
        <v>78</v>
      </c>
    </row>
    <row r="2949">
      <c r="C2949" s="15" t="n">
        <v>79</v>
      </c>
      <c r="AA2949" s="15" t="n">
        <v>79</v>
      </c>
      <c r="AW2949" s="15" t="n">
        <v>79</v>
      </c>
      <c r="BS2949" s="15" t="n">
        <v>79</v>
      </c>
      <c r="CO2949" s="15" t="n">
        <v>79</v>
      </c>
      <c r="DK2949" s="15" t="n">
        <v>79</v>
      </c>
      <c r="EG2949" s="15" t="n">
        <v>79</v>
      </c>
      <c r="FC2949" s="15" t="n">
        <v>79</v>
      </c>
      <c r="FY2949" s="15" t="n">
        <v>79</v>
      </c>
      <c r="GU2949" s="15" t="n">
        <v>79</v>
      </c>
    </row>
    <row r="2950">
      <c r="C2950" s="15" t="n">
        <v>80</v>
      </c>
      <c r="AA2950" s="15" t="n">
        <v>80</v>
      </c>
      <c r="AW2950" s="15" t="n">
        <v>80</v>
      </c>
      <c r="BS2950" s="15" t="n">
        <v>80</v>
      </c>
      <c r="CO2950" s="15" t="n">
        <v>80</v>
      </c>
      <c r="DK2950" s="15" t="n">
        <v>80</v>
      </c>
      <c r="EG2950" s="15" t="n">
        <v>80</v>
      </c>
      <c r="FC2950" s="15" t="n">
        <v>80</v>
      </c>
      <c r="FY2950" s="15" t="n">
        <v>80</v>
      </c>
      <c r="GU2950" s="15" t="n">
        <v>80</v>
      </c>
    </row>
    <row r="2951">
      <c r="C2951" s="15" t="n">
        <v>81</v>
      </c>
      <c r="AA2951" s="15" t="n">
        <v>81</v>
      </c>
      <c r="AW2951" s="15" t="n">
        <v>81</v>
      </c>
      <c r="BS2951" s="15" t="n">
        <v>81</v>
      </c>
      <c r="CO2951" s="15" t="n">
        <v>81</v>
      </c>
      <c r="DK2951" s="15" t="n">
        <v>81</v>
      </c>
      <c r="EG2951" s="15" t="n">
        <v>81</v>
      </c>
      <c r="FC2951" s="15" t="n">
        <v>81</v>
      </c>
      <c r="FY2951" s="15" t="n">
        <v>81</v>
      </c>
      <c r="GU2951" s="15" t="n">
        <v>81</v>
      </c>
    </row>
    <row r="2952">
      <c r="C2952" s="15" t="n">
        <v>82</v>
      </c>
      <c r="AA2952" s="15" t="n">
        <v>82</v>
      </c>
      <c r="AW2952" s="15" t="n">
        <v>82</v>
      </c>
      <c r="BS2952" s="15" t="n">
        <v>82</v>
      </c>
      <c r="CO2952" s="15" t="n">
        <v>82</v>
      </c>
      <c r="DK2952" s="15" t="n">
        <v>82</v>
      </c>
      <c r="EG2952" s="15" t="n">
        <v>82</v>
      </c>
      <c r="FC2952" s="15" t="n">
        <v>82</v>
      </c>
      <c r="FY2952" s="15" t="n">
        <v>82</v>
      </c>
      <c r="GU2952" s="15" t="n">
        <v>82</v>
      </c>
    </row>
    <row r="2953">
      <c r="C2953" s="15" t="n">
        <v>83</v>
      </c>
      <c r="AA2953" s="15" t="n">
        <v>83</v>
      </c>
      <c r="AW2953" s="15" t="n">
        <v>83</v>
      </c>
      <c r="BS2953" s="15" t="n">
        <v>83</v>
      </c>
      <c r="CO2953" s="15" t="n">
        <v>83</v>
      </c>
      <c r="DK2953" s="15" t="n">
        <v>83</v>
      </c>
      <c r="EG2953" s="15" t="n">
        <v>83</v>
      </c>
      <c r="FC2953" s="15" t="n">
        <v>83</v>
      </c>
      <c r="FY2953" s="15" t="n">
        <v>83</v>
      </c>
      <c r="GU2953" s="15" t="n">
        <v>83</v>
      </c>
    </row>
    <row r="2954">
      <c r="C2954" s="15" t="n">
        <v>84</v>
      </c>
      <c r="AA2954" s="15" t="n">
        <v>84</v>
      </c>
      <c r="AW2954" s="15" t="n">
        <v>84</v>
      </c>
      <c r="BS2954" s="15" t="n">
        <v>84</v>
      </c>
      <c r="CO2954" s="15" t="n">
        <v>84</v>
      </c>
      <c r="DK2954" s="15" t="n">
        <v>84</v>
      </c>
      <c r="EG2954" s="15" t="n">
        <v>84</v>
      </c>
      <c r="FC2954" s="15" t="n">
        <v>84</v>
      </c>
      <c r="FY2954" s="15" t="n">
        <v>84</v>
      </c>
      <c r="GU2954" s="15" t="n">
        <v>84</v>
      </c>
    </row>
    <row r="2955">
      <c r="C2955" s="15" t="n">
        <v>85</v>
      </c>
      <c r="AA2955" s="15" t="n">
        <v>85</v>
      </c>
      <c r="AW2955" s="15" t="n">
        <v>85</v>
      </c>
      <c r="BS2955" s="15" t="n">
        <v>85</v>
      </c>
      <c r="CO2955" s="15" t="n">
        <v>85</v>
      </c>
      <c r="DK2955" s="15" t="n">
        <v>85</v>
      </c>
      <c r="EG2955" s="15" t="n">
        <v>85</v>
      </c>
      <c r="FC2955" s="15" t="n">
        <v>85</v>
      </c>
      <c r="FY2955" s="15" t="n">
        <v>85</v>
      </c>
      <c r="GU2955" s="15" t="n">
        <v>85</v>
      </c>
    </row>
    <row r="2956">
      <c r="C2956" s="15" t="n">
        <v>86</v>
      </c>
      <c r="AA2956" s="15" t="n">
        <v>86</v>
      </c>
      <c r="AW2956" s="15" t="n">
        <v>86</v>
      </c>
      <c r="BS2956" s="15" t="n">
        <v>86</v>
      </c>
      <c r="CO2956" s="15" t="n">
        <v>86</v>
      </c>
      <c r="DK2956" s="15" t="n">
        <v>86</v>
      </c>
      <c r="EG2956" s="15" t="n">
        <v>86</v>
      </c>
      <c r="FC2956" s="15" t="n">
        <v>86</v>
      </c>
      <c r="FY2956" s="15" t="n">
        <v>86</v>
      </c>
      <c r="GU2956" s="15" t="n">
        <v>86</v>
      </c>
    </row>
    <row r="2957">
      <c r="C2957" s="15" t="n">
        <v>87</v>
      </c>
      <c r="AA2957" s="15" t="n">
        <v>87</v>
      </c>
      <c r="AW2957" s="15" t="n">
        <v>87</v>
      </c>
      <c r="BS2957" s="15" t="n">
        <v>87</v>
      </c>
      <c r="CO2957" s="15" t="n">
        <v>87</v>
      </c>
      <c r="DK2957" s="15" t="n">
        <v>87</v>
      </c>
      <c r="EG2957" s="15" t="n">
        <v>87</v>
      </c>
      <c r="FC2957" s="15" t="n">
        <v>87</v>
      </c>
      <c r="FY2957" s="15" t="n">
        <v>87</v>
      </c>
      <c r="GU2957" s="15" t="n">
        <v>87</v>
      </c>
    </row>
    <row r="2958">
      <c r="C2958" s="15" t="n">
        <v>88</v>
      </c>
      <c r="AA2958" s="15" t="n">
        <v>88</v>
      </c>
      <c r="AW2958" s="15" t="n">
        <v>88</v>
      </c>
      <c r="BS2958" s="15" t="n">
        <v>88</v>
      </c>
      <c r="CO2958" s="15" t="n">
        <v>88</v>
      </c>
      <c r="DK2958" s="15" t="n">
        <v>88</v>
      </c>
      <c r="EG2958" s="15" t="n">
        <v>88</v>
      </c>
      <c r="FC2958" s="15" t="n">
        <v>88</v>
      </c>
      <c r="FY2958" s="15" t="n">
        <v>88</v>
      </c>
      <c r="GU2958" s="15" t="n">
        <v>88</v>
      </c>
    </row>
    <row r="2959">
      <c r="C2959" s="15" t="n">
        <v>89</v>
      </c>
      <c r="AA2959" s="15" t="n">
        <v>89</v>
      </c>
      <c r="AW2959" s="15" t="n">
        <v>89</v>
      </c>
      <c r="BS2959" s="15" t="n">
        <v>89</v>
      </c>
      <c r="CO2959" s="15" t="n">
        <v>89</v>
      </c>
      <c r="DK2959" s="15" t="n">
        <v>89</v>
      </c>
      <c r="EG2959" s="15" t="n">
        <v>89</v>
      </c>
      <c r="FC2959" s="15" t="n">
        <v>89</v>
      </c>
      <c r="FY2959" s="15" t="n">
        <v>89</v>
      </c>
      <c r="GU2959" s="15" t="n">
        <v>89</v>
      </c>
    </row>
    <row r="2960">
      <c r="C2960" s="15" t="n">
        <v>90</v>
      </c>
      <c r="AA2960" s="15" t="n">
        <v>90</v>
      </c>
      <c r="AW2960" s="15" t="n">
        <v>90</v>
      </c>
      <c r="BS2960" s="15" t="n">
        <v>90</v>
      </c>
      <c r="CO2960" s="15" t="n">
        <v>90</v>
      </c>
      <c r="DK2960" s="15" t="n">
        <v>90</v>
      </c>
      <c r="EG2960" s="15" t="n">
        <v>90</v>
      </c>
      <c r="FC2960" s="15" t="n">
        <v>90</v>
      </c>
      <c r="FY2960" s="15" t="n">
        <v>90</v>
      </c>
      <c r="GU2960" s="15" t="n">
        <v>90</v>
      </c>
    </row>
    <row r="2961">
      <c r="C2961" s="15" t="n">
        <v>91</v>
      </c>
      <c r="AA2961" s="15" t="n">
        <v>91</v>
      </c>
      <c r="AW2961" s="15" t="n">
        <v>91</v>
      </c>
      <c r="BS2961" s="15" t="n">
        <v>91</v>
      </c>
      <c r="CO2961" s="15" t="n">
        <v>91</v>
      </c>
      <c r="DK2961" s="15" t="n">
        <v>91</v>
      </c>
      <c r="EG2961" s="15" t="n">
        <v>91</v>
      </c>
      <c r="FC2961" s="15" t="n">
        <v>91</v>
      </c>
      <c r="FY2961" s="15" t="n">
        <v>91</v>
      </c>
      <c r="GU2961" s="15" t="n">
        <v>91</v>
      </c>
    </row>
    <row r="2962">
      <c r="C2962" s="15" t="n">
        <v>92</v>
      </c>
      <c r="AA2962" s="15" t="n">
        <v>92</v>
      </c>
      <c r="AW2962" s="15" t="n">
        <v>92</v>
      </c>
      <c r="BS2962" s="15" t="n">
        <v>92</v>
      </c>
      <c r="CO2962" s="15" t="n">
        <v>92</v>
      </c>
      <c r="DK2962" s="15" t="n">
        <v>92</v>
      </c>
      <c r="EG2962" s="15" t="n">
        <v>92</v>
      </c>
      <c r="FC2962" s="15" t="n">
        <v>92</v>
      </c>
      <c r="FY2962" s="15" t="n">
        <v>92</v>
      </c>
      <c r="GU2962" s="15" t="n">
        <v>92</v>
      </c>
    </row>
    <row r="2963">
      <c r="C2963" s="15" t="n">
        <v>93</v>
      </c>
      <c r="AA2963" s="15" t="n">
        <v>93</v>
      </c>
      <c r="AW2963" s="15" t="n">
        <v>93</v>
      </c>
      <c r="BS2963" s="15" t="n">
        <v>93</v>
      </c>
      <c r="CO2963" s="15" t="n">
        <v>93</v>
      </c>
      <c r="DK2963" s="15" t="n">
        <v>93</v>
      </c>
      <c r="EG2963" s="15" t="n">
        <v>93</v>
      </c>
      <c r="FC2963" s="15" t="n">
        <v>93</v>
      </c>
      <c r="FY2963" s="15" t="n">
        <v>93</v>
      </c>
      <c r="GU2963" s="15" t="n">
        <v>93</v>
      </c>
    </row>
    <row r="2964">
      <c r="C2964" s="15" t="n">
        <v>94</v>
      </c>
      <c r="AA2964" s="15" t="n">
        <v>94</v>
      </c>
      <c r="AW2964" s="15" t="n">
        <v>94</v>
      </c>
      <c r="BS2964" s="15" t="n">
        <v>94</v>
      </c>
      <c r="CO2964" s="15" t="n">
        <v>94</v>
      </c>
      <c r="DK2964" s="15" t="n">
        <v>94</v>
      </c>
      <c r="EG2964" s="15" t="n">
        <v>94</v>
      </c>
      <c r="FC2964" s="15" t="n">
        <v>94</v>
      </c>
      <c r="FY2964" s="15" t="n">
        <v>94</v>
      </c>
      <c r="GU2964" s="15" t="n">
        <v>94</v>
      </c>
    </row>
    <row r="2965">
      <c r="C2965" s="15" t="n">
        <v>95</v>
      </c>
      <c r="AA2965" s="15" t="n">
        <v>95</v>
      </c>
      <c r="AW2965" s="15" t="n">
        <v>95</v>
      </c>
      <c r="BS2965" s="15" t="n">
        <v>95</v>
      </c>
      <c r="CO2965" s="15" t="n">
        <v>95</v>
      </c>
      <c r="DK2965" s="15" t="n">
        <v>95</v>
      </c>
      <c r="EG2965" s="15" t="n">
        <v>95</v>
      </c>
      <c r="FC2965" s="15" t="n">
        <v>95</v>
      </c>
      <c r="FY2965" s="15" t="n">
        <v>95</v>
      </c>
      <c r="GU2965" s="15" t="n">
        <v>95</v>
      </c>
    </row>
    <row r="2966">
      <c r="C2966" s="15" t="n">
        <v>96</v>
      </c>
      <c r="AA2966" s="15" t="n">
        <v>96</v>
      </c>
      <c r="AW2966" s="15" t="n">
        <v>96</v>
      </c>
      <c r="BS2966" s="15" t="n">
        <v>96</v>
      </c>
      <c r="CO2966" s="15" t="n">
        <v>96</v>
      </c>
      <c r="DK2966" s="15" t="n">
        <v>96</v>
      </c>
      <c r="EG2966" s="15" t="n">
        <v>96</v>
      </c>
      <c r="FC2966" s="15" t="n">
        <v>96</v>
      </c>
      <c r="FY2966" s="15" t="n">
        <v>96</v>
      </c>
      <c r="GU2966" s="15" t="n">
        <v>96</v>
      </c>
    </row>
    <row r="2967">
      <c r="C2967" s="15" t="n">
        <v>97</v>
      </c>
      <c r="AA2967" s="15" t="n">
        <v>97</v>
      </c>
      <c r="AW2967" s="15" t="n">
        <v>97</v>
      </c>
      <c r="BS2967" s="15" t="n">
        <v>97</v>
      </c>
      <c r="CO2967" s="15" t="n">
        <v>97</v>
      </c>
      <c r="DK2967" s="15" t="n">
        <v>97</v>
      </c>
      <c r="EG2967" s="15" t="n">
        <v>97</v>
      </c>
      <c r="FC2967" s="15" t="n">
        <v>97</v>
      </c>
      <c r="FY2967" s="15" t="n">
        <v>97</v>
      </c>
      <c r="GU2967" s="15" t="n">
        <v>97</v>
      </c>
    </row>
    <row r="2968">
      <c r="C2968" s="15" t="n">
        <v>98</v>
      </c>
      <c r="AA2968" s="15" t="n">
        <v>98</v>
      </c>
      <c r="AW2968" s="15" t="n">
        <v>98</v>
      </c>
      <c r="BS2968" s="15" t="n">
        <v>98</v>
      </c>
      <c r="CO2968" s="15" t="n">
        <v>98</v>
      </c>
      <c r="DK2968" s="15" t="n">
        <v>98</v>
      </c>
      <c r="EG2968" s="15" t="n">
        <v>98</v>
      </c>
      <c r="FC2968" s="15" t="n">
        <v>98</v>
      </c>
      <c r="FY2968" s="15" t="n">
        <v>98</v>
      </c>
      <c r="GU2968" s="15" t="n">
        <v>98</v>
      </c>
    </row>
    <row r="2969">
      <c r="C2969" s="15" t="n">
        <v>99</v>
      </c>
      <c r="AA2969" s="15" t="n">
        <v>99</v>
      </c>
      <c r="AW2969" s="15" t="n">
        <v>99</v>
      </c>
      <c r="BS2969" s="15" t="n">
        <v>99</v>
      </c>
      <c r="CO2969" s="15" t="n">
        <v>99</v>
      </c>
      <c r="DK2969" s="15" t="n">
        <v>99</v>
      </c>
      <c r="EG2969" s="15" t="n">
        <v>99</v>
      </c>
      <c r="FC2969" s="15" t="n">
        <v>99</v>
      </c>
      <c r="FY2969" s="15" t="n">
        <v>99</v>
      </c>
      <c r="GU2969" s="15" t="n">
        <v>99</v>
      </c>
    </row>
    <row r="2970">
      <c r="C2970" s="15" t="n">
        <v>100</v>
      </c>
      <c r="AA2970" s="15" t="n">
        <v>100</v>
      </c>
      <c r="AW2970" s="15" t="n">
        <v>100</v>
      </c>
      <c r="BS2970" s="15" t="n">
        <v>100</v>
      </c>
      <c r="CO2970" s="15" t="n">
        <v>100</v>
      </c>
      <c r="DK2970" s="15" t="n">
        <v>100</v>
      </c>
      <c r="EG2970" s="15" t="n">
        <v>100</v>
      </c>
      <c r="FC2970" s="15" t="n">
        <v>100</v>
      </c>
      <c r="FY2970" s="15" t="n">
        <v>100</v>
      </c>
      <c r="GU2970" s="15" t="n">
        <v>100</v>
      </c>
    </row>
    <row r="2971">
      <c r="C2971" s="15" t="n">
        <v>101</v>
      </c>
      <c r="AA2971" s="15" t="n">
        <v>101</v>
      </c>
      <c r="AW2971" s="15" t="n">
        <v>101</v>
      </c>
      <c r="BS2971" s="15" t="n">
        <v>101</v>
      </c>
      <c r="CO2971" s="15" t="n">
        <v>101</v>
      </c>
      <c r="DK2971" s="15" t="n">
        <v>101</v>
      </c>
      <c r="EG2971" s="15" t="n">
        <v>101</v>
      </c>
      <c r="FC2971" s="15" t="n">
        <v>101</v>
      </c>
      <c r="FY2971" s="15" t="n">
        <v>101</v>
      </c>
      <c r="GU2971" s="15" t="n">
        <v>101</v>
      </c>
    </row>
    <row r="2972">
      <c r="C2972" s="15" t="n">
        <v>102</v>
      </c>
      <c r="AA2972" s="15" t="n">
        <v>102</v>
      </c>
      <c r="AW2972" s="15" t="n">
        <v>102</v>
      </c>
      <c r="BS2972" s="15" t="n">
        <v>102</v>
      </c>
      <c r="CO2972" s="15" t="n">
        <v>102</v>
      </c>
      <c r="DK2972" s="15" t="n">
        <v>102</v>
      </c>
      <c r="EG2972" s="15" t="n">
        <v>102</v>
      </c>
      <c r="FC2972" s="15" t="n">
        <v>102</v>
      </c>
      <c r="FY2972" s="15" t="n">
        <v>102</v>
      </c>
      <c r="GU2972" s="15" t="n">
        <v>102</v>
      </c>
    </row>
    <row r="2973">
      <c r="C2973" s="15" t="n">
        <v>103</v>
      </c>
      <c r="AA2973" s="15" t="n">
        <v>103</v>
      </c>
      <c r="AW2973" s="15" t="n">
        <v>103</v>
      </c>
      <c r="BS2973" s="15" t="n">
        <v>103</v>
      </c>
      <c r="CO2973" s="15" t="n">
        <v>103</v>
      </c>
      <c r="DK2973" s="15" t="n">
        <v>103</v>
      </c>
      <c r="EG2973" s="15" t="n">
        <v>103</v>
      </c>
      <c r="FC2973" s="15" t="n">
        <v>103</v>
      </c>
      <c r="FY2973" s="15" t="n">
        <v>103</v>
      </c>
      <c r="GU2973" s="15" t="n">
        <v>103</v>
      </c>
    </row>
    <row r="2974">
      <c r="C2974" s="15" t="n">
        <v>104</v>
      </c>
      <c r="AA2974" s="15" t="n">
        <v>104</v>
      </c>
      <c r="AW2974" s="15" t="n">
        <v>104</v>
      </c>
      <c r="BS2974" s="15" t="n">
        <v>104</v>
      </c>
      <c r="CO2974" s="15" t="n">
        <v>104</v>
      </c>
      <c r="DK2974" s="15" t="n">
        <v>104</v>
      </c>
      <c r="EG2974" s="15" t="n">
        <v>104</v>
      </c>
      <c r="FC2974" s="15" t="n">
        <v>104</v>
      </c>
      <c r="FY2974" s="15" t="n">
        <v>104</v>
      </c>
      <c r="GU2974" s="15" t="n">
        <v>104</v>
      </c>
    </row>
    <row r="2975">
      <c r="C2975" s="15" t="n">
        <v>105</v>
      </c>
      <c r="AA2975" s="15" t="n">
        <v>105</v>
      </c>
      <c r="AW2975" s="15" t="n">
        <v>105</v>
      </c>
      <c r="BS2975" s="15" t="n">
        <v>105</v>
      </c>
      <c r="CO2975" s="15" t="n">
        <v>105</v>
      </c>
      <c r="DK2975" s="15" t="n">
        <v>105</v>
      </c>
      <c r="EG2975" s="15" t="n">
        <v>105</v>
      </c>
      <c r="FC2975" s="15" t="n">
        <v>105</v>
      </c>
      <c r="FY2975" s="15" t="n">
        <v>105</v>
      </c>
      <c r="GU2975" s="15" t="n">
        <v>105</v>
      </c>
    </row>
    <row r="2976">
      <c r="C2976" s="15" t="n">
        <v>106</v>
      </c>
      <c r="AA2976" s="15" t="n">
        <v>106</v>
      </c>
      <c r="AW2976" s="15" t="n">
        <v>106</v>
      </c>
      <c r="BS2976" s="15" t="n">
        <v>106</v>
      </c>
      <c r="CO2976" s="15" t="n">
        <v>106</v>
      </c>
      <c r="DK2976" s="15" t="n">
        <v>106</v>
      </c>
      <c r="EG2976" s="15" t="n">
        <v>106</v>
      </c>
      <c r="FC2976" s="15" t="n">
        <v>106</v>
      </c>
      <c r="FY2976" s="15" t="n">
        <v>106</v>
      </c>
      <c r="GU2976" s="15" t="n">
        <v>106</v>
      </c>
    </row>
    <row r="2977">
      <c r="C2977" s="15" t="n">
        <v>107</v>
      </c>
      <c r="AA2977" s="15" t="n">
        <v>107</v>
      </c>
      <c r="AW2977" s="15" t="n">
        <v>107</v>
      </c>
      <c r="BS2977" s="15" t="n">
        <v>107</v>
      </c>
      <c r="CO2977" s="15" t="n">
        <v>107</v>
      </c>
      <c r="DK2977" s="15" t="n">
        <v>107</v>
      </c>
      <c r="EG2977" s="15" t="n">
        <v>107</v>
      </c>
      <c r="FC2977" s="15" t="n">
        <v>107</v>
      </c>
      <c r="FY2977" s="15" t="n">
        <v>107</v>
      </c>
      <c r="GU2977" s="15" t="n">
        <v>107</v>
      </c>
    </row>
    <row r="2978">
      <c r="C2978" s="15" t="n">
        <v>108</v>
      </c>
      <c r="AA2978" s="15" t="n">
        <v>108</v>
      </c>
      <c r="AW2978" s="15" t="n">
        <v>108</v>
      </c>
      <c r="BS2978" s="15" t="n">
        <v>108</v>
      </c>
      <c r="CO2978" s="15" t="n">
        <v>108</v>
      </c>
      <c r="DK2978" s="15" t="n">
        <v>108</v>
      </c>
      <c r="EG2978" s="15" t="n">
        <v>108</v>
      </c>
      <c r="FC2978" s="15" t="n">
        <v>108</v>
      </c>
      <c r="FY2978" s="15" t="n">
        <v>108</v>
      </c>
      <c r="GU2978" s="15" t="n">
        <v>108</v>
      </c>
    </row>
    <row r="2979">
      <c r="C2979" s="15" t="n">
        <v>109</v>
      </c>
      <c r="AA2979" s="15" t="n">
        <v>109</v>
      </c>
      <c r="AW2979" s="15" t="n">
        <v>109</v>
      </c>
      <c r="BS2979" s="15" t="n">
        <v>109</v>
      </c>
      <c r="CO2979" s="15" t="n">
        <v>109</v>
      </c>
      <c r="DK2979" s="15" t="n">
        <v>109</v>
      </c>
      <c r="EG2979" s="15" t="n">
        <v>109</v>
      </c>
      <c r="FC2979" s="15" t="n">
        <v>109</v>
      </c>
      <c r="FY2979" s="15" t="n">
        <v>109</v>
      </c>
      <c r="GU2979" s="15" t="n">
        <v>109</v>
      </c>
    </row>
    <row r="2980">
      <c r="C2980" s="15" t="n">
        <v>110</v>
      </c>
      <c r="AA2980" s="15" t="n">
        <v>110</v>
      </c>
      <c r="AW2980" s="15" t="n">
        <v>110</v>
      </c>
      <c r="BS2980" s="15" t="n">
        <v>110</v>
      </c>
      <c r="CO2980" s="15" t="n">
        <v>110</v>
      </c>
      <c r="DK2980" s="15" t="n">
        <v>110</v>
      </c>
      <c r="EG2980" s="15" t="n">
        <v>110</v>
      </c>
      <c r="FC2980" s="15" t="n">
        <v>110</v>
      </c>
      <c r="FY2980" s="15" t="n">
        <v>110</v>
      </c>
      <c r="GU2980" s="15" t="n">
        <v>110</v>
      </c>
    </row>
    <row r="2981">
      <c r="C2981" s="15" t="n">
        <v>111</v>
      </c>
      <c r="AA2981" s="15" t="n">
        <v>111</v>
      </c>
      <c r="AW2981" s="15" t="n">
        <v>111</v>
      </c>
      <c r="BS2981" s="15" t="n">
        <v>111</v>
      </c>
      <c r="CO2981" s="15" t="n">
        <v>111</v>
      </c>
      <c r="DK2981" s="15" t="n">
        <v>111</v>
      </c>
      <c r="EG2981" s="15" t="n">
        <v>111</v>
      </c>
      <c r="FC2981" s="15" t="n">
        <v>111</v>
      </c>
      <c r="FY2981" s="15" t="n">
        <v>111</v>
      </c>
      <c r="GU2981" s="15" t="n">
        <v>111</v>
      </c>
    </row>
    <row r="2982">
      <c r="C2982" s="15" t="n">
        <v>112</v>
      </c>
      <c r="AA2982" s="15" t="n">
        <v>112</v>
      </c>
      <c r="AW2982" s="15" t="n">
        <v>112</v>
      </c>
      <c r="BS2982" s="15" t="n">
        <v>112</v>
      </c>
      <c r="CO2982" s="15" t="n">
        <v>112</v>
      </c>
      <c r="DK2982" s="15" t="n">
        <v>112</v>
      </c>
      <c r="EG2982" s="15" t="n">
        <v>112</v>
      </c>
      <c r="FC2982" s="15" t="n">
        <v>112</v>
      </c>
      <c r="FY2982" s="15" t="n">
        <v>112</v>
      </c>
      <c r="GU2982" s="15" t="n">
        <v>112</v>
      </c>
    </row>
    <row r="2983">
      <c r="C2983" s="15" t="n">
        <v>113</v>
      </c>
      <c r="AA2983" s="15" t="n">
        <v>113</v>
      </c>
      <c r="AW2983" s="15" t="n">
        <v>113</v>
      </c>
      <c r="BS2983" s="15" t="n">
        <v>113</v>
      </c>
      <c r="CO2983" s="15" t="n">
        <v>113</v>
      </c>
      <c r="DK2983" s="15" t="n">
        <v>113</v>
      </c>
      <c r="EG2983" s="15" t="n">
        <v>113</v>
      </c>
      <c r="FC2983" s="15" t="n">
        <v>113</v>
      </c>
      <c r="FY2983" s="15" t="n">
        <v>113</v>
      </c>
      <c r="GU2983" s="15" t="n">
        <v>113</v>
      </c>
    </row>
    <row r="2984">
      <c r="C2984" s="15" t="n">
        <v>114</v>
      </c>
      <c r="AA2984" s="15" t="n">
        <v>114</v>
      </c>
      <c r="AW2984" s="15" t="n">
        <v>114</v>
      </c>
      <c r="BS2984" s="15" t="n">
        <v>114</v>
      </c>
      <c r="CO2984" s="15" t="n">
        <v>114</v>
      </c>
      <c r="DK2984" s="15" t="n">
        <v>114</v>
      </c>
      <c r="EG2984" s="15" t="n">
        <v>114</v>
      </c>
      <c r="FC2984" s="15" t="n">
        <v>114</v>
      </c>
      <c r="FY2984" s="15" t="n">
        <v>114</v>
      </c>
      <c r="GU2984" s="15" t="n">
        <v>114</v>
      </c>
    </row>
    <row r="2985">
      <c r="C2985" s="15" t="n">
        <v>115</v>
      </c>
      <c r="AA2985" s="15" t="n">
        <v>115</v>
      </c>
      <c r="AW2985" s="15" t="n">
        <v>115</v>
      </c>
      <c r="BS2985" s="15" t="n">
        <v>115</v>
      </c>
      <c r="CO2985" s="15" t="n">
        <v>115</v>
      </c>
      <c r="DK2985" s="15" t="n">
        <v>115</v>
      </c>
      <c r="EG2985" s="15" t="n">
        <v>115</v>
      </c>
      <c r="FC2985" s="15" t="n">
        <v>115</v>
      </c>
      <c r="FY2985" s="15" t="n">
        <v>115</v>
      </c>
      <c r="GU2985" s="15" t="n">
        <v>115</v>
      </c>
    </row>
    <row r="2986">
      <c r="C2986" s="15" t="n">
        <v>116</v>
      </c>
      <c r="AA2986" s="15" t="n">
        <v>116</v>
      </c>
      <c r="AW2986" s="15" t="n">
        <v>116</v>
      </c>
      <c r="BS2986" s="15" t="n">
        <v>116</v>
      </c>
      <c r="CO2986" s="15" t="n">
        <v>116</v>
      </c>
      <c r="DK2986" s="15" t="n">
        <v>116</v>
      </c>
      <c r="EG2986" s="15" t="n">
        <v>116</v>
      </c>
      <c r="FC2986" s="15" t="n">
        <v>116</v>
      </c>
      <c r="FY2986" s="15" t="n">
        <v>116</v>
      </c>
      <c r="GU2986" s="15" t="n">
        <v>116</v>
      </c>
    </row>
    <row r="2987">
      <c r="C2987" s="15" t="n">
        <v>117</v>
      </c>
      <c r="AA2987" s="15" t="n">
        <v>117</v>
      </c>
      <c r="AW2987" s="15" t="n">
        <v>117</v>
      </c>
      <c r="BS2987" s="15" t="n">
        <v>117</v>
      </c>
      <c r="CO2987" s="15" t="n">
        <v>117</v>
      </c>
      <c r="DK2987" s="15" t="n">
        <v>117</v>
      </c>
      <c r="EG2987" s="15" t="n">
        <v>117</v>
      </c>
      <c r="FC2987" s="15" t="n">
        <v>117</v>
      </c>
      <c r="FY2987" s="15" t="n">
        <v>117</v>
      </c>
      <c r="GU2987" s="15" t="n">
        <v>117</v>
      </c>
    </row>
    <row r="2988">
      <c r="C2988" s="15" t="n">
        <v>118</v>
      </c>
      <c r="AA2988" s="15" t="n">
        <v>118</v>
      </c>
      <c r="AW2988" s="15" t="n">
        <v>118</v>
      </c>
      <c r="BS2988" s="15" t="n">
        <v>118</v>
      </c>
      <c r="CO2988" s="15" t="n">
        <v>118</v>
      </c>
      <c r="DK2988" s="15" t="n">
        <v>118</v>
      </c>
      <c r="EG2988" s="15" t="n">
        <v>118</v>
      </c>
      <c r="FC2988" s="15" t="n">
        <v>118</v>
      </c>
      <c r="FY2988" s="15" t="n">
        <v>118</v>
      </c>
      <c r="GU2988" s="15" t="n">
        <v>118</v>
      </c>
    </row>
    <row r="2989">
      <c r="C2989" s="15" t="n">
        <v>119</v>
      </c>
      <c r="AA2989" s="15" t="n">
        <v>119</v>
      </c>
      <c r="AW2989" s="15" t="n">
        <v>119</v>
      </c>
      <c r="BS2989" s="15" t="n">
        <v>119</v>
      </c>
      <c r="CO2989" s="15" t="n">
        <v>119</v>
      </c>
      <c r="DK2989" s="15" t="n">
        <v>119</v>
      </c>
      <c r="EG2989" s="15" t="n">
        <v>119</v>
      </c>
      <c r="FC2989" s="15" t="n">
        <v>119</v>
      </c>
      <c r="FY2989" s="15" t="n">
        <v>119</v>
      </c>
      <c r="GU2989" s="15" t="n">
        <v>119</v>
      </c>
    </row>
    <row r="2990">
      <c r="C2990" s="15" t="n">
        <v>120</v>
      </c>
      <c r="AA2990" s="15" t="n">
        <v>120</v>
      </c>
      <c r="AW2990" s="15" t="n">
        <v>120</v>
      </c>
      <c r="BS2990" s="15" t="n">
        <v>120</v>
      </c>
      <c r="CO2990" s="15" t="n">
        <v>120</v>
      </c>
      <c r="DK2990" s="15" t="n">
        <v>120</v>
      </c>
      <c r="EG2990" s="15" t="n">
        <v>120</v>
      </c>
      <c r="FC2990" s="15" t="n">
        <v>120</v>
      </c>
      <c r="FY2990" s="15" t="n">
        <v>120</v>
      </c>
      <c r="GU2990" s="15" t="n">
        <v>120</v>
      </c>
    </row>
    <row r="2991">
      <c r="C2991" s="15" t="n">
        <v>121</v>
      </c>
      <c r="AA2991" s="15" t="n">
        <v>121</v>
      </c>
      <c r="AW2991" s="15" t="n">
        <v>121</v>
      </c>
      <c r="BS2991" s="15" t="n">
        <v>121</v>
      </c>
      <c r="CO2991" s="15" t="n">
        <v>121</v>
      </c>
      <c r="DK2991" s="15" t="n">
        <v>121</v>
      </c>
      <c r="EG2991" s="15" t="n">
        <v>121</v>
      </c>
      <c r="FC2991" s="15" t="n">
        <v>121</v>
      </c>
      <c r="FY2991" s="15" t="n">
        <v>121</v>
      </c>
      <c r="GU2991" s="15" t="n">
        <v>121</v>
      </c>
    </row>
    <row r="2992">
      <c r="C2992" s="15" t="n">
        <v>122</v>
      </c>
      <c r="AA2992" s="15" t="n">
        <v>122</v>
      </c>
      <c r="AW2992" s="15" t="n">
        <v>122</v>
      </c>
      <c r="BS2992" s="15" t="n">
        <v>122</v>
      </c>
      <c r="CO2992" s="15" t="n">
        <v>122</v>
      </c>
      <c r="DK2992" s="15" t="n">
        <v>122</v>
      </c>
      <c r="EG2992" s="15" t="n">
        <v>122</v>
      </c>
      <c r="FC2992" s="15" t="n">
        <v>122</v>
      </c>
      <c r="FY2992" s="15" t="n">
        <v>122</v>
      </c>
      <c r="GU2992" s="15" t="n">
        <v>122</v>
      </c>
    </row>
    <row r="2993">
      <c r="C2993" s="15" t="n">
        <v>123</v>
      </c>
      <c r="AA2993" s="15" t="n">
        <v>123</v>
      </c>
      <c r="AW2993" s="15" t="n">
        <v>123</v>
      </c>
      <c r="BS2993" s="15" t="n">
        <v>123</v>
      </c>
      <c r="CO2993" s="15" t="n">
        <v>123</v>
      </c>
      <c r="DK2993" s="15" t="n">
        <v>123</v>
      </c>
      <c r="EG2993" s="15" t="n">
        <v>123</v>
      </c>
      <c r="FC2993" s="15" t="n">
        <v>123</v>
      </c>
      <c r="FY2993" s="15" t="n">
        <v>123</v>
      </c>
      <c r="GU2993" s="15" t="n">
        <v>123</v>
      </c>
    </row>
    <row r="2994">
      <c r="C2994" s="15" t="n">
        <v>124</v>
      </c>
      <c r="AA2994" s="15" t="n">
        <v>124</v>
      </c>
      <c r="AW2994" s="15" t="n">
        <v>124</v>
      </c>
      <c r="BS2994" s="15" t="n">
        <v>124</v>
      </c>
      <c r="CO2994" s="15" t="n">
        <v>124</v>
      </c>
      <c r="DK2994" s="15" t="n">
        <v>124</v>
      </c>
      <c r="EG2994" s="15" t="n">
        <v>124</v>
      </c>
      <c r="FC2994" s="15" t="n">
        <v>124</v>
      </c>
      <c r="FY2994" s="15" t="n">
        <v>124</v>
      </c>
      <c r="GU2994" s="15" t="n">
        <v>124</v>
      </c>
    </row>
    <row r="2995">
      <c r="C2995" s="15" t="n">
        <v>125</v>
      </c>
      <c r="AA2995" s="15" t="n">
        <v>125</v>
      </c>
      <c r="AW2995" s="15" t="n">
        <v>125</v>
      </c>
      <c r="BS2995" s="15" t="n">
        <v>125</v>
      </c>
      <c r="CO2995" s="15" t="n">
        <v>125</v>
      </c>
      <c r="DK2995" s="15" t="n">
        <v>125</v>
      </c>
      <c r="EG2995" s="15" t="n">
        <v>125</v>
      </c>
      <c r="FC2995" s="15" t="n">
        <v>125</v>
      </c>
      <c r="FY2995" s="15" t="n">
        <v>125</v>
      </c>
      <c r="GU2995" s="15" t="n">
        <v>125</v>
      </c>
    </row>
    <row r="2996">
      <c r="C2996" s="15" t="n">
        <v>126</v>
      </c>
      <c r="AA2996" s="15" t="n">
        <v>126</v>
      </c>
      <c r="AW2996" s="15" t="n">
        <v>126</v>
      </c>
      <c r="BS2996" s="15" t="n">
        <v>126</v>
      </c>
      <c r="CO2996" s="15" t="n">
        <v>126</v>
      </c>
      <c r="DK2996" s="15" t="n">
        <v>126</v>
      </c>
      <c r="EG2996" s="15" t="n">
        <v>126</v>
      </c>
      <c r="FC2996" s="15" t="n">
        <v>126</v>
      </c>
      <c r="FY2996" s="15" t="n">
        <v>126</v>
      </c>
      <c r="GU2996" s="15" t="n">
        <v>126</v>
      </c>
    </row>
    <row r="2997">
      <c r="C2997" s="15" t="n">
        <v>127</v>
      </c>
      <c r="AA2997" s="15" t="n">
        <v>127</v>
      </c>
      <c r="AW2997" s="15" t="n">
        <v>127</v>
      </c>
      <c r="BS2997" s="15" t="n">
        <v>127</v>
      </c>
      <c r="CO2997" s="15" t="n">
        <v>127</v>
      </c>
      <c r="DK2997" s="15" t="n">
        <v>127</v>
      </c>
      <c r="EG2997" s="15" t="n">
        <v>127</v>
      </c>
      <c r="FC2997" s="15" t="n">
        <v>127</v>
      </c>
      <c r="FY2997" s="15" t="n">
        <v>127</v>
      </c>
      <c r="GU2997" s="15" t="n">
        <v>127</v>
      </c>
    </row>
    <row r="2998">
      <c r="C2998" s="15" t="n">
        <v>128</v>
      </c>
      <c r="AA2998" s="15" t="n">
        <v>128</v>
      </c>
      <c r="AW2998" s="15" t="n">
        <v>128</v>
      </c>
      <c r="BS2998" s="15" t="n">
        <v>128</v>
      </c>
      <c r="CO2998" s="15" t="n">
        <v>128</v>
      </c>
      <c r="DK2998" s="15" t="n">
        <v>128</v>
      </c>
      <c r="EG2998" s="15" t="n">
        <v>128</v>
      </c>
      <c r="FC2998" s="15" t="n">
        <v>128</v>
      </c>
      <c r="FY2998" s="15" t="n">
        <v>128</v>
      </c>
      <c r="GU2998" s="15" t="n">
        <v>128</v>
      </c>
    </row>
    <row r="2999">
      <c r="C2999" s="15" t="n">
        <v>129</v>
      </c>
      <c r="AA2999" s="15" t="n">
        <v>129</v>
      </c>
      <c r="AW2999" s="15" t="n">
        <v>129</v>
      </c>
      <c r="BS2999" s="15" t="n">
        <v>129</v>
      </c>
      <c r="CO2999" s="15" t="n">
        <v>129</v>
      </c>
      <c r="DK2999" s="15" t="n">
        <v>129</v>
      </c>
      <c r="EG2999" s="15" t="n">
        <v>129</v>
      </c>
      <c r="FC2999" s="15" t="n">
        <v>129</v>
      </c>
      <c r="FY2999" s="15" t="n">
        <v>129</v>
      </c>
      <c r="GU2999" s="15" t="n">
        <v>129</v>
      </c>
    </row>
    <row r="3000">
      <c r="C3000" s="15" t="n">
        <v>130</v>
      </c>
      <c r="AA3000" s="15" t="n">
        <v>130</v>
      </c>
      <c r="AW3000" s="15" t="n">
        <v>130</v>
      </c>
      <c r="BS3000" s="15" t="n">
        <v>130</v>
      </c>
      <c r="CO3000" s="15" t="n">
        <v>130</v>
      </c>
      <c r="DK3000" s="15" t="n">
        <v>130</v>
      </c>
      <c r="EG3000" s="15" t="n">
        <v>130</v>
      </c>
      <c r="FC3000" s="15" t="n">
        <v>130</v>
      </c>
      <c r="FY3000" s="15" t="n">
        <v>130</v>
      </c>
      <c r="GU3000" s="15" t="n">
        <v>130</v>
      </c>
    </row>
    <row r="3001">
      <c r="C3001" s="15" t="n">
        <v>131</v>
      </c>
      <c r="AA3001" s="15" t="n">
        <v>131</v>
      </c>
      <c r="AW3001" s="15" t="n">
        <v>131</v>
      </c>
      <c r="BS3001" s="15" t="n">
        <v>131</v>
      </c>
      <c r="CO3001" s="15" t="n">
        <v>131</v>
      </c>
      <c r="DK3001" s="15" t="n">
        <v>131</v>
      </c>
      <c r="EG3001" s="15" t="n">
        <v>131</v>
      </c>
      <c r="FC3001" s="15" t="n">
        <v>131</v>
      </c>
      <c r="FY3001" s="15" t="n">
        <v>131</v>
      </c>
      <c r="GU3001" s="15" t="n">
        <v>131</v>
      </c>
    </row>
    <row r="3002">
      <c r="C3002" s="15" t="n">
        <v>132</v>
      </c>
      <c r="AA3002" s="15" t="n">
        <v>132</v>
      </c>
      <c r="AW3002" s="15" t="n">
        <v>132</v>
      </c>
      <c r="BS3002" s="15" t="n">
        <v>132</v>
      </c>
      <c r="CO3002" s="15" t="n">
        <v>132</v>
      </c>
      <c r="DK3002" s="15" t="n">
        <v>132</v>
      </c>
      <c r="EG3002" s="15" t="n">
        <v>132</v>
      </c>
      <c r="FC3002" s="15" t="n">
        <v>132</v>
      </c>
      <c r="FY3002" s="15" t="n">
        <v>132</v>
      </c>
      <c r="GU3002" s="15" t="n">
        <v>132</v>
      </c>
    </row>
    <row r="3003">
      <c r="C3003" s="15" t="n">
        <v>133</v>
      </c>
      <c r="AA3003" s="15" t="n">
        <v>133</v>
      </c>
      <c r="AW3003" s="15" t="n">
        <v>133</v>
      </c>
      <c r="BS3003" s="15" t="n">
        <v>133</v>
      </c>
      <c r="CO3003" s="15" t="n">
        <v>133</v>
      </c>
      <c r="DK3003" s="15" t="n">
        <v>133</v>
      </c>
      <c r="EG3003" s="15" t="n">
        <v>133</v>
      </c>
      <c r="FC3003" s="15" t="n">
        <v>133</v>
      </c>
      <c r="FY3003" s="15" t="n">
        <v>133</v>
      </c>
      <c r="GU3003" s="15" t="n">
        <v>133</v>
      </c>
    </row>
    <row r="3004">
      <c r="C3004" s="15" t="n">
        <v>134</v>
      </c>
      <c r="AA3004" s="15" t="n">
        <v>134</v>
      </c>
      <c r="AW3004" s="15" t="n">
        <v>134</v>
      </c>
      <c r="BS3004" s="15" t="n">
        <v>134</v>
      </c>
      <c r="CO3004" s="15" t="n">
        <v>134</v>
      </c>
      <c r="DK3004" s="15" t="n">
        <v>134</v>
      </c>
      <c r="EG3004" s="15" t="n">
        <v>134</v>
      </c>
      <c r="FC3004" s="15" t="n">
        <v>134</v>
      </c>
      <c r="FY3004" s="15" t="n">
        <v>134</v>
      </c>
      <c r="GU3004" s="15" t="n">
        <v>134</v>
      </c>
    </row>
    <row r="3005">
      <c r="C3005" s="15" t="n">
        <v>135</v>
      </c>
      <c r="AA3005" s="15" t="n">
        <v>135</v>
      </c>
      <c r="AW3005" s="15" t="n">
        <v>135</v>
      </c>
      <c r="BS3005" s="15" t="n">
        <v>135</v>
      </c>
      <c r="CO3005" s="15" t="n">
        <v>135</v>
      </c>
      <c r="DK3005" s="15" t="n">
        <v>135</v>
      </c>
      <c r="EG3005" s="15" t="n">
        <v>135</v>
      </c>
      <c r="FC3005" s="15" t="n">
        <v>135</v>
      </c>
      <c r="FY3005" s="15" t="n">
        <v>135</v>
      </c>
      <c r="GU3005" s="15" t="n">
        <v>135</v>
      </c>
    </row>
    <row r="3006">
      <c r="C3006" s="15" t="n">
        <v>136</v>
      </c>
      <c r="AA3006" s="15" t="n">
        <v>136</v>
      </c>
      <c r="AW3006" s="15" t="n">
        <v>136</v>
      </c>
      <c r="BS3006" s="15" t="n">
        <v>136</v>
      </c>
      <c r="CO3006" s="15" t="n">
        <v>136</v>
      </c>
      <c r="DK3006" s="15" t="n">
        <v>136</v>
      </c>
      <c r="EG3006" s="15" t="n">
        <v>136</v>
      </c>
      <c r="FC3006" s="15" t="n">
        <v>136</v>
      </c>
      <c r="FY3006" s="15" t="n">
        <v>136</v>
      </c>
      <c r="GU3006" s="15" t="n">
        <v>136</v>
      </c>
    </row>
    <row r="3007">
      <c r="C3007" s="15" t="n">
        <v>137</v>
      </c>
      <c r="AA3007" s="15" t="n">
        <v>137</v>
      </c>
      <c r="AW3007" s="15" t="n">
        <v>137</v>
      </c>
      <c r="BS3007" s="15" t="n">
        <v>137</v>
      </c>
      <c r="CO3007" s="15" t="n">
        <v>137</v>
      </c>
      <c r="DK3007" s="15" t="n">
        <v>137</v>
      </c>
      <c r="EG3007" s="15" t="n">
        <v>137</v>
      </c>
      <c r="FC3007" s="15" t="n">
        <v>137</v>
      </c>
      <c r="FY3007" s="15" t="n">
        <v>137</v>
      </c>
      <c r="GU3007" s="15" t="n">
        <v>137</v>
      </c>
    </row>
    <row r="3008">
      <c r="C3008" s="15" t="n">
        <v>138</v>
      </c>
      <c r="AA3008" s="15" t="n">
        <v>138</v>
      </c>
      <c r="AW3008" s="15" t="n">
        <v>138</v>
      </c>
      <c r="BS3008" s="15" t="n">
        <v>138</v>
      </c>
      <c r="CO3008" s="15" t="n">
        <v>138</v>
      </c>
      <c r="DK3008" s="15" t="n">
        <v>138</v>
      </c>
      <c r="EG3008" s="15" t="n">
        <v>138</v>
      </c>
      <c r="FC3008" s="15" t="n">
        <v>138</v>
      </c>
      <c r="FY3008" s="15" t="n">
        <v>138</v>
      </c>
      <c r="GU3008" s="15" t="n">
        <v>138</v>
      </c>
    </row>
    <row r="3009">
      <c r="C3009" s="15" t="n">
        <v>139</v>
      </c>
      <c r="AA3009" s="15" t="n">
        <v>139</v>
      </c>
      <c r="AW3009" s="15" t="n">
        <v>139</v>
      </c>
      <c r="BS3009" s="15" t="n">
        <v>139</v>
      </c>
      <c r="CO3009" s="15" t="n">
        <v>139</v>
      </c>
      <c r="DK3009" s="15" t="n">
        <v>139</v>
      </c>
      <c r="EG3009" s="15" t="n">
        <v>139</v>
      </c>
      <c r="FC3009" s="15" t="n">
        <v>139</v>
      </c>
      <c r="FY3009" s="15" t="n">
        <v>139</v>
      </c>
      <c r="GU3009" s="15" t="n">
        <v>139</v>
      </c>
    </row>
    <row r="3010">
      <c r="C3010" s="15" t="n">
        <v>140</v>
      </c>
      <c r="AA3010" s="15" t="n">
        <v>140</v>
      </c>
      <c r="AW3010" s="15" t="n">
        <v>140</v>
      </c>
      <c r="BS3010" s="15" t="n">
        <v>140</v>
      </c>
      <c r="CO3010" s="15" t="n">
        <v>140</v>
      </c>
      <c r="DK3010" s="15" t="n">
        <v>140</v>
      </c>
      <c r="EG3010" s="15" t="n">
        <v>140</v>
      </c>
      <c r="FC3010" s="15" t="n">
        <v>140</v>
      </c>
      <c r="FY3010" s="15" t="n">
        <v>140</v>
      </c>
      <c r="GU3010" s="15" t="n">
        <v>140</v>
      </c>
    </row>
    <row r="3011">
      <c r="C3011" s="15" t="n">
        <v>141</v>
      </c>
      <c r="AA3011" s="15" t="n">
        <v>141</v>
      </c>
      <c r="AW3011" s="15" t="n">
        <v>141</v>
      </c>
      <c r="BS3011" s="15" t="n">
        <v>141</v>
      </c>
      <c r="CO3011" s="15" t="n">
        <v>141</v>
      </c>
      <c r="DK3011" s="15" t="n">
        <v>141</v>
      </c>
      <c r="EG3011" s="15" t="n">
        <v>141</v>
      </c>
      <c r="FC3011" s="15" t="n">
        <v>141</v>
      </c>
      <c r="FY3011" s="15" t="n">
        <v>141</v>
      </c>
      <c r="GU3011" s="15" t="n">
        <v>141</v>
      </c>
    </row>
    <row r="3012">
      <c r="C3012" s="15" t="n">
        <v>142</v>
      </c>
      <c r="AA3012" s="15" t="n">
        <v>142</v>
      </c>
      <c r="AW3012" s="15" t="n">
        <v>142</v>
      </c>
      <c r="BS3012" s="15" t="n">
        <v>142</v>
      </c>
      <c r="CO3012" s="15" t="n">
        <v>142</v>
      </c>
      <c r="DK3012" s="15" t="n">
        <v>142</v>
      </c>
      <c r="EG3012" s="15" t="n">
        <v>142</v>
      </c>
      <c r="FC3012" s="15" t="n">
        <v>142</v>
      </c>
      <c r="FY3012" s="15" t="n">
        <v>142</v>
      </c>
      <c r="GU3012" s="15" t="n">
        <v>142</v>
      </c>
    </row>
    <row r="3013">
      <c r="C3013" s="15" t="n">
        <v>143</v>
      </c>
      <c r="AA3013" s="15" t="n">
        <v>143</v>
      </c>
      <c r="AW3013" s="15" t="n">
        <v>143</v>
      </c>
      <c r="BS3013" s="15" t="n">
        <v>143</v>
      </c>
      <c r="CO3013" s="15" t="n">
        <v>143</v>
      </c>
      <c r="DK3013" s="15" t="n">
        <v>143</v>
      </c>
      <c r="EG3013" s="15" t="n">
        <v>143</v>
      </c>
      <c r="FC3013" s="15" t="n">
        <v>143</v>
      </c>
      <c r="FY3013" s="15" t="n">
        <v>143</v>
      </c>
      <c r="GU3013" s="15" t="n">
        <v>143</v>
      </c>
    </row>
    <row r="3014">
      <c r="C3014" s="15" t="n">
        <v>144</v>
      </c>
      <c r="AA3014" s="15" t="n">
        <v>144</v>
      </c>
      <c r="AW3014" s="15" t="n">
        <v>144</v>
      </c>
      <c r="BS3014" s="15" t="n">
        <v>144</v>
      </c>
      <c r="CO3014" s="15" t="n">
        <v>144</v>
      </c>
      <c r="DK3014" s="15" t="n">
        <v>144</v>
      </c>
      <c r="EG3014" s="15" t="n">
        <v>144</v>
      </c>
      <c r="FC3014" s="15" t="n">
        <v>144</v>
      </c>
      <c r="FY3014" s="15" t="n">
        <v>144</v>
      </c>
      <c r="GU3014" s="15" t="n">
        <v>144</v>
      </c>
    </row>
    <row r="3015">
      <c r="C3015" s="15" t="n">
        <v>145</v>
      </c>
      <c r="AA3015" s="15" t="n">
        <v>145</v>
      </c>
      <c r="AW3015" s="15" t="n">
        <v>145</v>
      </c>
      <c r="BS3015" s="15" t="n">
        <v>145</v>
      </c>
      <c r="CO3015" s="15" t="n">
        <v>145</v>
      </c>
      <c r="DK3015" s="15" t="n">
        <v>145</v>
      </c>
      <c r="EG3015" s="15" t="n">
        <v>145</v>
      </c>
      <c r="FC3015" s="15" t="n">
        <v>145</v>
      </c>
      <c r="FY3015" s="15" t="n">
        <v>145</v>
      </c>
      <c r="GU3015" s="15" t="n">
        <v>145</v>
      </c>
    </row>
    <row r="3016">
      <c r="C3016" s="15" t="n">
        <v>146</v>
      </c>
      <c r="AA3016" s="15" t="n">
        <v>146</v>
      </c>
      <c r="AW3016" s="15" t="n">
        <v>146</v>
      </c>
      <c r="BS3016" s="15" t="n">
        <v>146</v>
      </c>
      <c r="CO3016" s="15" t="n">
        <v>146</v>
      </c>
      <c r="DK3016" s="15" t="n">
        <v>146</v>
      </c>
      <c r="EG3016" s="15" t="n">
        <v>146</v>
      </c>
      <c r="FC3016" s="15" t="n">
        <v>146</v>
      </c>
      <c r="FY3016" s="15" t="n">
        <v>146</v>
      </c>
      <c r="GU3016" s="15" t="n">
        <v>146</v>
      </c>
    </row>
    <row r="3017">
      <c r="C3017" s="15" t="n">
        <v>147</v>
      </c>
      <c r="AA3017" s="15" t="n">
        <v>147</v>
      </c>
      <c r="AW3017" s="15" t="n">
        <v>147</v>
      </c>
      <c r="BS3017" s="15" t="n">
        <v>147</v>
      </c>
      <c r="CO3017" s="15" t="n">
        <v>147</v>
      </c>
      <c r="DK3017" s="15" t="n">
        <v>147</v>
      </c>
      <c r="EG3017" s="15" t="n">
        <v>147</v>
      </c>
      <c r="FC3017" s="15" t="n">
        <v>147</v>
      </c>
      <c r="FY3017" s="15" t="n">
        <v>147</v>
      </c>
      <c r="GU3017" s="15" t="n">
        <v>147</v>
      </c>
    </row>
    <row r="3018">
      <c r="C3018" s="15" t="n">
        <v>148</v>
      </c>
      <c r="AA3018" s="15" t="n">
        <v>148</v>
      </c>
      <c r="AW3018" s="15" t="n">
        <v>148</v>
      </c>
      <c r="BS3018" s="15" t="n">
        <v>148</v>
      </c>
      <c r="CO3018" s="15" t="n">
        <v>148</v>
      </c>
      <c r="DK3018" s="15" t="n">
        <v>148</v>
      </c>
      <c r="EG3018" s="15" t="n">
        <v>148</v>
      </c>
      <c r="FC3018" s="15" t="n">
        <v>148</v>
      </c>
      <c r="FY3018" s="15" t="n">
        <v>148</v>
      </c>
      <c r="GU3018" s="15" t="n">
        <v>148</v>
      </c>
    </row>
    <row r="3019">
      <c r="C3019" s="15" t="n">
        <v>149</v>
      </c>
      <c r="AA3019" s="15" t="n">
        <v>149</v>
      </c>
      <c r="AW3019" s="15" t="n">
        <v>149</v>
      </c>
      <c r="BS3019" s="15" t="n">
        <v>149</v>
      </c>
      <c r="CO3019" s="15" t="n">
        <v>149</v>
      </c>
      <c r="DK3019" s="15" t="n">
        <v>149</v>
      </c>
      <c r="EG3019" s="15" t="n">
        <v>149</v>
      </c>
      <c r="FC3019" s="15" t="n">
        <v>149</v>
      </c>
      <c r="FY3019" s="15" t="n">
        <v>149</v>
      </c>
      <c r="GU3019" s="15" t="n">
        <v>149</v>
      </c>
    </row>
    <row r="3020">
      <c r="C3020" s="15" t="n">
        <v>150</v>
      </c>
      <c r="AA3020" s="15" t="n">
        <v>150</v>
      </c>
      <c r="AW3020" s="15" t="n">
        <v>150</v>
      </c>
      <c r="BS3020" s="15" t="n">
        <v>150</v>
      </c>
      <c r="CO3020" s="15" t="n">
        <v>150</v>
      </c>
      <c r="DK3020" s="15" t="n">
        <v>150</v>
      </c>
      <c r="EG3020" s="15" t="n">
        <v>150</v>
      </c>
      <c r="FC3020" s="15" t="n">
        <v>150</v>
      </c>
      <c r="FY3020" s="15" t="n">
        <v>150</v>
      </c>
      <c r="GU3020" s="15" t="n">
        <v>150</v>
      </c>
    </row>
    <row r="3021">
      <c r="C3021" s="15" t="n">
        <v>151</v>
      </c>
      <c r="AA3021" s="15" t="n">
        <v>151</v>
      </c>
      <c r="AW3021" s="15" t="n">
        <v>151</v>
      </c>
      <c r="BS3021" s="15" t="n">
        <v>151</v>
      </c>
      <c r="CO3021" s="15" t="n">
        <v>151</v>
      </c>
      <c r="DK3021" s="15" t="n">
        <v>151</v>
      </c>
      <c r="EG3021" s="15" t="n">
        <v>151</v>
      </c>
      <c r="FC3021" s="15" t="n">
        <v>151</v>
      </c>
      <c r="FY3021" s="15" t="n">
        <v>151</v>
      </c>
      <c r="GU3021" s="15" t="n">
        <v>151</v>
      </c>
    </row>
    <row r="3022">
      <c r="C3022" s="15" t="n">
        <v>152</v>
      </c>
      <c r="AA3022" s="15" t="n">
        <v>152</v>
      </c>
      <c r="AW3022" s="15" t="n">
        <v>152</v>
      </c>
      <c r="BS3022" s="15" t="n">
        <v>152</v>
      </c>
      <c r="CO3022" s="15" t="n">
        <v>152</v>
      </c>
      <c r="DK3022" s="15" t="n">
        <v>152</v>
      </c>
      <c r="EG3022" s="15" t="n">
        <v>152</v>
      </c>
      <c r="FC3022" s="15" t="n">
        <v>152</v>
      </c>
      <c r="FY3022" s="15" t="n">
        <v>152</v>
      </c>
      <c r="GU3022" s="15" t="n">
        <v>152</v>
      </c>
    </row>
    <row r="3023">
      <c r="C3023" s="15" t="n">
        <v>153</v>
      </c>
      <c r="AA3023" s="15" t="n">
        <v>153</v>
      </c>
      <c r="AW3023" s="15" t="n">
        <v>153</v>
      </c>
      <c r="BS3023" s="15" t="n">
        <v>153</v>
      </c>
      <c r="CO3023" s="15" t="n">
        <v>153</v>
      </c>
      <c r="DK3023" s="15" t="n">
        <v>153</v>
      </c>
      <c r="EG3023" s="15" t="n">
        <v>153</v>
      </c>
      <c r="FC3023" s="15" t="n">
        <v>153</v>
      </c>
      <c r="FY3023" s="15" t="n">
        <v>153</v>
      </c>
      <c r="GU3023" s="15" t="n">
        <v>153</v>
      </c>
    </row>
    <row r="3024">
      <c r="C3024" s="15" t="n">
        <v>154</v>
      </c>
      <c r="AA3024" s="15" t="n">
        <v>154</v>
      </c>
      <c r="AW3024" s="15" t="n">
        <v>154</v>
      </c>
      <c r="BS3024" s="15" t="n">
        <v>154</v>
      </c>
      <c r="CO3024" s="15" t="n">
        <v>154</v>
      </c>
      <c r="DK3024" s="15" t="n">
        <v>154</v>
      </c>
      <c r="EG3024" s="15" t="n">
        <v>154</v>
      </c>
      <c r="FC3024" s="15" t="n">
        <v>154</v>
      </c>
      <c r="FY3024" s="15" t="n">
        <v>154</v>
      </c>
      <c r="GU3024" s="15" t="n">
        <v>154</v>
      </c>
    </row>
    <row r="3025">
      <c r="C3025" s="15" t="n">
        <v>155</v>
      </c>
      <c r="AA3025" s="15" t="n">
        <v>155</v>
      </c>
      <c r="AW3025" s="15" t="n">
        <v>155</v>
      </c>
      <c r="BS3025" s="15" t="n">
        <v>155</v>
      </c>
      <c r="CO3025" s="15" t="n">
        <v>155</v>
      </c>
      <c r="DK3025" s="15" t="n">
        <v>155</v>
      </c>
      <c r="EG3025" s="15" t="n">
        <v>155</v>
      </c>
      <c r="FC3025" s="15" t="n">
        <v>155</v>
      </c>
      <c r="FY3025" s="15" t="n">
        <v>155</v>
      </c>
      <c r="GU3025" s="15" t="n">
        <v>155</v>
      </c>
    </row>
    <row r="3026">
      <c r="C3026" s="15" t="n">
        <v>156</v>
      </c>
      <c r="AA3026" s="15" t="n">
        <v>156</v>
      </c>
      <c r="AW3026" s="15" t="n">
        <v>156</v>
      </c>
      <c r="BS3026" s="15" t="n">
        <v>156</v>
      </c>
      <c r="CO3026" s="15" t="n">
        <v>156</v>
      </c>
      <c r="DK3026" s="15" t="n">
        <v>156</v>
      </c>
      <c r="EG3026" s="15" t="n">
        <v>156</v>
      </c>
      <c r="FC3026" s="15" t="n">
        <v>156</v>
      </c>
      <c r="FY3026" s="15" t="n">
        <v>156</v>
      </c>
      <c r="GU3026" s="15" t="n">
        <v>156</v>
      </c>
    </row>
    <row r="3027">
      <c r="C3027" s="15" t="n">
        <v>157</v>
      </c>
      <c r="AA3027" s="15" t="n">
        <v>157</v>
      </c>
      <c r="AW3027" s="15" t="n">
        <v>157</v>
      </c>
      <c r="BS3027" s="15" t="n">
        <v>157</v>
      </c>
      <c r="CO3027" s="15" t="n">
        <v>157</v>
      </c>
      <c r="DK3027" s="15" t="n">
        <v>157</v>
      </c>
      <c r="EG3027" s="15" t="n">
        <v>157</v>
      </c>
      <c r="FC3027" s="15" t="n">
        <v>157</v>
      </c>
      <c r="FY3027" s="15" t="n">
        <v>157</v>
      </c>
      <c r="GU3027" s="15" t="n">
        <v>157</v>
      </c>
    </row>
    <row r="3028">
      <c r="C3028" s="15" t="n">
        <v>158</v>
      </c>
      <c r="AA3028" s="15" t="n">
        <v>158</v>
      </c>
      <c r="AW3028" s="15" t="n">
        <v>158</v>
      </c>
      <c r="BS3028" s="15" t="n">
        <v>158</v>
      </c>
      <c r="CO3028" s="15" t="n">
        <v>158</v>
      </c>
      <c r="DK3028" s="15" t="n">
        <v>158</v>
      </c>
      <c r="EG3028" s="15" t="n">
        <v>158</v>
      </c>
      <c r="FC3028" s="15" t="n">
        <v>158</v>
      </c>
      <c r="FY3028" s="15" t="n">
        <v>158</v>
      </c>
      <c r="GU3028" s="15" t="n">
        <v>158</v>
      </c>
    </row>
    <row r="3029">
      <c r="C3029" s="15" t="n">
        <v>159</v>
      </c>
      <c r="AA3029" s="15" t="n">
        <v>159</v>
      </c>
      <c r="AW3029" s="15" t="n">
        <v>159</v>
      </c>
      <c r="BS3029" s="15" t="n">
        <v>159</v>
      </c>
      <c r="CO3029" s="15" t="n">
        <v>159</v>
      </c>
      <c r="DK3029" s="15" t="n">
        <v>159</v>
      </c>
      <c r="EG3029" s="15" t="n">
        <v>159</v>
      </c>
      <c r="FC3029" s="15" t="n">
        <v>159</v>
      </c>
      <c r="FY3029" s="15" t="n">
        <v>159</v>
      </c>
      <c r="GU3029" s="15" t="n">
        <v>159</v>
      </c>
    </row>
    <row r="3030">
      <c r="C3030" s="15" t="n">
        <v>160</v>
      </c>
      <c r="AA3030" s="15" t="n">
        <v>160</v>
      </c>
      <c r="AW3030" s="15" t="n">
        <v>160</v>
      </c>
      <c r="BS3030" s="15" t="n">
        <v>160</v>
      </c>
      <c r="CO3030" s="15" t="n">
        <v>160</v>
      </c>
      <c r="DK3030" s="15" t="n">
        <v>160</v>
      </c>
      <c r="EG3030" s="15" t="n">
        <v>160</v>
      </c>
      <c r="FC3030" s="15" t="n">
        <v>160</v>
      </c>
      <c r="FY3030" s="15" t="n">
        <v>160</v>
      </c>
      <c r="GU3030" s="15" t="n">
        <v>160</v>
      </c>
    </row>
    <row r="3031">
      <c r="C3031" s="15" t="n">
        <v>161</v>
      </c>
      <c r="AA3031" s="15" t="n">
        <v>161</v>
      </c>
      <c r="AW3031" s="15" t="n">
        <v>161</v>
      </c>
      <c r="BS3031" s="15" t="n">
        <v>161</v>
      </c>
      <c r="CO3031" s="15" t="n">
        <v>161</v>
      </c>
      <c r="DK3031" s="15" t="n">
        <v>161</v>
      </c>
      <c r="EG3031" s="15" t="n">
        <v>161</v>
      </c>
      <c r="FC3031" s="15" t="n">
        <v>161</v>
      </c>
      <c r="FY3031" s="15" t="n">
        <v>161</v>
      </c>
      <c r="GU3031" s="15" t="n">
        <v>161</v>
      </c>
    </row>
    <row r="3032">
      <c r="C3032" s="15" t="n">
        <v>162</v>
      </c>
      <c r="AA3032" s="15" t="n">
        <v>162</v>
      </c>
      <c r="AW3032" s="15" t="n">
        <v>162</v>
      </c>
      <c r="BS3032" s="15" t="n">
        <v>162</v>
      </c>
      <c r="CO3032" s="15" t="n">
        <v>162</v>
      </c>
      <c r="DK3032" s="15" t="n">
        <v>162</v>
      </c>
      <c r="EG3032" s="15" t="n">
        <v>162</v>
      </c>
      <c r="FC3032" s="15" t="n">
        <v>162</v>
      </c>
      <c r="FY3032" s="15" t="n">
        <v>162</v>
      </c>
      <c r="GU3032" s="15" t="n">
        <v>162</v>
      </c>
    </row>
    <row r="3033">
      <c r="C3033" s="15" t="n">
        <v>163</v>
      </c>
      <c r="AA3033" s="15" t="n">
        <v>163</v>
      </c>
      <c r="AW3033" s="15" t="n">
        <v>163</v>
      </c>
      <c r="BS3033" s="15" t="n">
        <v>163</v>
      </c>
      <c r="CO3033" s="15" t="n">
        <v>163</v>
      </c>
      <c r="DK3033" s="15" t="n">
        <v>163</v>
      </c>
      <c r="EG3033" s="15" t="n">
        <v>163</v>
      </c>
      <c r="FC3033" s="15" t="n">
        <v>163</v>
      </c>
      <c r="FY3033" s="15" t="n">
        <v>163</v>
      </c>
      <c r="GU3033" s="15" t="n">
        <v>163</v>
      </c>
    </row>
    <row r="3034">
      <c r="C3034" s="15" t="n">
        <v>164</v>
      </c>
      <c r="AA3034" s="15" t="n">
        <v>164</v>
      </c>
      <c r="AW3034" s="15" t="n">
        <v>164</v>
      </c>
      <c r="BS3034" s="15" t="n">
        <v>164</v>
      </c>
      <c r="CO3034" s="15" t="n">
        <v>164</v>
      </c>
      <c r="DK3034" s="15" t="n">
        <v>164</v>
      </c>
      <c r="EG3034" s="15" t="n">
        <v>164</v>
      </c>
      <c r="FC3034" s="15" t="n">
        <v>164</v>
      </c>
      <c r="FY3034" s="15" t="n">
        <v>164</v>
      </c>
      <c r="GU3034" s="15" t="n">
        <v>164</v>
      </c>
    </row>
    <row r="3035">
      <c r="C3035" s="15" t="n">
        <v>165</v>
      </c>
      <c r="AA3035" s="15" t="n">
        <v>165</v>
      </c>
      <c r="AW3035" s="15" t="n">
        <v>165</v>
      </c>
      <c r="BS3035" s="15" t="n">
        <v>165</v>
      </c>
      <c r="CO3035" s="15" t="n">
        <v>165</v>
      </c>
      <c r="DK3035" s="15" t="n">
        <v>165</v>
      </c>
      <c r="EG3035" s="15" t="n">
        <v>165</v>
      </c>
      <c r="FC3035" s="15" t="n">
        <v>165</v>
      </c>
      <c r="FY3035" s="15" t="n">
        <v>165</v>
      </c>
      <c r="GU3035" s="15" t="n">
        <v>165</v>
      </c>
    </row>
    <row r="3036">
      <c r="C3036" s="15" t="n">
        <v>166</v>
      </c>
      <c r="AA3036" s="15" t="n">
        <v>166</v>
      </c>
      <c r="AW3036" s="15" t="n">
        <v>166</v>
      </c>
      <c r="BS3036" s="15" t="n">
        <v>166</v>
      </c>
      <c r="CO3036" s="15" t="n">
        <v>166</v>
      </c>
      <c r="DK3036" s="15" t="n">
        <v>166</v>
      </c>
      <c r="EG3036" s="15" t="n">
        <v>166</v>
      </c>
      <c r="FC3036" s="15" t="n">
        <v>166</v>
      </c>
      <c r="FY3036" s="15" t="n">
        <v>166</v>
      </c>
      <c r="GU3036" s="15" t="n">
        <v>166</v>
      </c>
    </row>
    <row r="3037">
      <c r="C3037" s="15" t="n">
        <v>167</v>
      </c>
      <c r="AA3037" s="15" t="n">
        <v>167</v>
      </c>
      <c r="AW3037" s="15" t="n">
        <v>167</v>
      </c>
      <c r="BS3037" s="15" t="n">
        <v>167</v>
      </c>
      <c r="CO3037" s="15" t="n">
        <v>167</v>
      </c>
      <c r="DK3037" s="15" t="n">
        <v>167</v>
      </c>
      <c r="EG3037" s="15" t="n">
        <v>167</v>
      </c>
      <c r="FC3037" s="15" t="n">
        <v>167</v>
      </c>
      <c r="FY3037" s="15" t="n">
        <v>167</v>
      </c>
      <c r="GU3037" s="15" t="n">
        <v>167</v>
      </c>
    </row>
    <row r="3038">
      <c r="C3038" s="15" t="n">
        <v>168</v>
      </c>
      <c r="AA3038" s="15" t="n">
        <v>168</v>
      </c>
      <c r="AW3038" s="15" t="n">
        <v>168</v>
      </c>
      <c r="BS3038" s="15" t="n">
        <v>168</v>
      </c>
      <c r="CO3038" s="15" t="n">
        <v>168</v>
      </c>
      <c r="DK3038" s="15" t="n">
        <v>168</v>
      </c>
      <c r="EG3038" s="15" t="n">
        <v>168</v>
      </c>
      <c r="FC3038" s="15" t="n">
        <v>168</v>
      </c>
      <c r="FY3038" s="15" t="n">
        <v>168</v>
      </c>
      <c r="GU3038" s="15" t="n">
        <v>168</v>
      </c>
    </row>
    <row r="3039">
      <c r="C3039" s="15" t="n">
        <v>169</v>
      </c>
      <c r="AA3039" s="15" t="n">
        <v>169</v>
      </c>
      <c r="AW3039" s="15" t="n">
        <v>169</v>
      </c>
      <c r="BS3039" s="15" t="n">
        <v>169</v>
      </c>
      <c r="CO3039" s="15" t="n">
        <v>169</v>
      </c>
      <c r="DK3039" s="15" t="n">
        <v>169</v>
      </c>
      <c r="EG3039" s="15" t="n">
        <v>169</v>
      </c>
      <c r="FC3039" s="15" t="n">
        <v>169</v>
      </c>
      <c r="FY3039" s="15" t="n">
        <v>169</v>
      </c>
      <c r="GU3039" s="15" t="n">
        <v>169</v>
      </c>
    </row>
    <row r="3040">
      <c r="C3040" s="15" t="n">
        <v>170</v>
      </c>
      <c r="AA3040" s="15" t="n">
        <v>170</v>
      </c>
      <c r="AW3040" s="15" t="n">
        <v>170</v>
      </c>
      <c r="BS3040" s="15" t="n">
        <v>170</v>
      </c>
      <c r="CO3040" s="15" t="n">
        <v>170</v>
      </c>
      <c r="DK3040" s="15" t="n">
        <v>170</v>
      </c>
      <c r="EG3040" s="15" t="n">
        <v>170</v>
      </c>
      <c r="FC3040" s="15" t="n">
        <v>170</v>
      </c>
      <c r="FY3040" s="15" t="n">
        <v>170</v>
      </c>
      <c r="GU3040" s="15" t="n">
        <v>170</v>
      </c>
    </row>
    <row r="3041">
      <c r="C3041" s="15" t="n">
        <v>171</v>
      </c>
      <c r="AA3041" s="15" t="n">
        <v>171</v>
      </c>
      <c r="AW3041" s="15" t="n">
        <v>171</v>
      </c>
      <c r="BS3041" s="15" t="n">
        <v>171</v>
      </c>
      <c r="CO3041" s="15" t="n">
        <v>171</v>
      </c>
      <c r="DK3041" s="15" t="n">
        <v>171</v>
      </c>
      <c r="EG3041" s="15" t="n">
        <v>171</v>
      </c>
      <c r="FC3041" s="15" t="n">
        <v>171</v>
      </c>
      <c r="FY3041" s="15" t="n">
        <v>171</v>
      </c>
      <c r="GU3041" s="15" t="n">
        <v>171</v>
      </c>
    </row>
    <row r="3042">
      <c r="C3042" s="15" t="n">
        <v>172</v>
      </c>
      <c r="AA3042" s="15" t="n">
        <v>172</v>
      </c>
      <c r="AW3042" s="15" t="n">
        <v>172</v>
      </c>
      <c r="BS3042" s="15" t="n">
        <v>172</v>
      </c>
      <c r="CO3042" s="15" t="n">
        <v>172</v>
      </c>
      <c r="DK3042" s="15" t="n">
        <v>172</v>
      </c>
      <c r="EG3042" s="15" t="n">
        <v>172</v>
      </c>
      <c r="FC3042" s="15" t="n">
        <v>172</v>
      </c>
      <c r="FY3042" s="15" t="n">
        <v>172</v>
      </c>
      <c r="GU3042" s="15" t="n">
        <v>172</v>
      </c>
    </row>
    <row r="3043">
      <c r="C3043" s="15" t="n">
        <v>173</v>
      </c>
      <c r="AA3043" s="15" t="n">
        <v>173</v>
      </c>
      <c r="AW3043" s="15" t="n">
        <v>173</v>
      </c>
      <c r="BS3043" s="15" t="n">
        <v>173</v>
      </c>
      <c r="CO3043" s="15" t="n">
        <v>173</v>
      </c>
      <c r="DK3043" s="15" t="n">
        <v>173</v>
      </c>
      <c r="EG3043" s="15" t="n">
        <v>173</v>
      </c>
      <c r="FC3043" s="15" t="n">
        <v>173</v>
      </c>
      <c r="FY3043" s="15" t="n">
        <v>173</v>
      </c>
      <c r="GU3043" s="15" t="n">
        <v>173</v>
      </c>
    </row>
    <row r="3044">
      <c r="C3044" s="15" t="n">
        <v>174</v>
      </c>
      <c r="AA3044" s="15" t="n">
        <v>174</v>
      </c>
      <c r="AW3044" s="15" t="n">
        <v>174</v>
      </c>
      <c r="BS3044" s="15" t="n">
        <v>174</v>
      </c>
      <c r="CO3044" s="15" t="n">
        <v>174</v>
      </c>
      <c r="DK3044" s="15" t="n">
        <v>174</v>
      </c>
      <c r="EG3044" s="15" t="n">
        <v>174</v>
      </c>
      <c r="FC3044" s="15" t="n">
        <v>174</v>
      </c>
      <c r="FY3044" s="15" t="n">
        <v>174</v>
      </c>
      <c r="GU3044" s="15" t="n">
        <v>174</v>
      </c>
    </row>
    <row r="3045">
      <c r="C3045" s="15" t="n">
        <v>175</v>
      </c>
      <c r="AA3045" s="15" t="n">
        <v>175</v>
      </c>
      <c r="AW3045" s="15" t="n">
        <v>175</v>
      </c>
      <c r="BS3045" s="15" t="n">
        <v>175</v>
      </c>
      <c r="CO3045" s="15" t="n">
        <v>175</v>
      </c>
      <c r="DK3045" s="15" t="n">
        <v>175</v>
      </c>
      <c r="EG3045" s="15" t="n">
        <v>175</v>
      </c>
      <c r="FC3045" s="15" t="n">
        <v>175</v>
      </c>
      <c r="FY3045" s="15" t="n">
        <v>175</v>
      </c>
      <c r="GU3045" s="15" t="n">
        <v>175</v>
      </c>
    </row>
    <row r="3046">
      <c r="C3046" s="15" t="n">
        <v>176</v>
      </c>
      <c r="AA3046" s="15" t="n">
        <v>176</v>
      </c>
      <c r="AW3046" s="15" t="n">
        <v>176</v>
      </c>
      <c r="BS3046" s="15" t="n">
        <v>176</v>
      </c>
      <c r="CO3046" s="15" t="n">
        <v>176</v>
      </c>
      <c r="DK3046" s="15" t="n">
        <v>176</v>
      </c>
      <c r="EG3046" s="15" t="n">
        <v>176</v>
      </c>
      <c r="FC3046" s="15" t="n">
        <v>176</v>
      </c>
      <c r="FY3046" s="15" t="n">
        <v>176</v>
      </c>
      <c r="GU3046" s="15" t="n">
        <v>176</v>
      </c>
    </row>
    <row r="3047">
      <c r="C3047" s="15" t="n">
        <v>177</v>
      </c>
      <c r="AA3047" s="15" t="n">
        <v>177</v>
      </c>
      <c r="AW3047" s="15" t="n">
        <v>177</v>
      </c>
      <c r="BS3047" s="15" t="n">
        <v>177</v>
      </c>
      <c r="CO3047" s="15" t="n">
        <v>177</v>
      </c>
      <c r="DK3047" s="15" t="n">
        <v>177</v>
      </c>
      <c r="EG3047" s="15" t="n">
        <v>177</v>
      </c>
      <c r="FC3047" s="15" t="n">
        <v>177</v>
      </c>
      <c r="FY3047" s="15" t="n">
        <v>177</v>
      </c>
      <c r="GU3047" s="15" t="n">
        <v>177</v>
      </c>
    </row>
    <row r="3048">
      <c r="C3048" s="15" t="n">
        <v>178</v>
      </c>
      <c r="AA3048" s="15" t="n">
        <v>178</v>
      </c>
      <c r="AW3048" s="15" t="n">
        <v>178</v>
      </c>
      <c r="BS3048" s="15" t="n">
        <v>178</v>
      </c>
      <c r="CO3048" s="15" t="n">
        <v>178</v>
      </c>
      <c r="DK3048" s="15" t="n">
        <v>178</v>
      </c>
      <c r="EG3048" s="15" t="n">
        <v>178</v>
      </c>
      <c r="FC3048" s="15" t="n">
        <v>178</v>
      </c>
      <c r="FY3048" s="15" t="n">
        <v>178</v>
      </c>
      <c r="GU3048" s="15" t="n">
        <v>178</v>
      </c>
    </row>
    <row r="3049">
      <c r="C3049" s="15" t="n">
        <v>179</v>
      </c>
      <c r="AA3049" s="15" t="n">
        <v>179</v>
      </c>
      <c r="AW3049" s="15" t="n">
        <v>179</v>
      </c>
      <c r="BS3049" s="15" t="n">
        <v>179</v>
      </c>
      <c r="CO3049" s="15" t="n">
        <v>179</v>
      </c>
      <c r="DK3049" s="15" t="n">
        <v>179</v>
      </c>
      <c r="EG3049" s="15" t="n">
        <v>179</v>
      </c>
      <c r="FC3049" s="15" t="n">
        <v>179</v>
      </c>
      <c r="FY3049" s="15" t="n">
        <v>179</v>
      </c>
      <c r="GU3049" s="15" t="n">
        <v>179</v>
      </c>
    </row>
    <row r="3050">
      <c r="C3050" s="15" t="n">
        <v>180</v>
      </c>
      <c r="AA3050" s="15" t="n">
        <v>180</v>
      </c>
      <c r="AW3050" s="15" t="n">
        <v>180</v>
      </c>
      <c r="BS3050" s="15" t="n">
        <v>180</v>
      </c>
      <c r="CO3050" s="15" t="n">
        <v>180</v>
      </c>
      <c r="DK3050" s="15" t="n">
        <v>180</v>
      </c>
      <c r="EG3050" s="15" t="n">
        <v>180</v>
      </c>
      <c r="FC3050" s="15" t="n">
        <v>180</v>
      </c>
      <c r="FY3050" s="15" t="n">
        <v>180</v>
      </c>
      <c r="GU3050" s="15" t="n">
        <v>180</v>
      </c>
    </row>
    <row r="3051">
      <c r="C3051" s="15" t="n">
        <v>181</v>
      </c>
      <c r="AA3051" s="15" t="n">
        <v>181</v>
      </c>
      <c r="AW3051" s="15" t="n">
        <v>181</v>
      </c>
      <c r="BS3051" s="15" t="n">
        <v>181</v>
      </c>
      <c r="CO3051" s="15" t="n">
        <v>181</v>
      </c>
      <c r="DK3051" s="15" t="n">
        <v>181</v>
      </c>
      <c r="EG3051" s="15" t="n">
        <v>181</v>
      </c>
      <c r="FC3051" s="15" t="n">
        <v>181</v>
      </c>
      <c r="FY3051" s="15" t="n">
        <v>181</v>
      </c>
      <c r="GU3051" s="15" t="n">
        <v>181</v>
      </c>
    </row>
    <row r="3052">
      <c r="C3052" s="15" t="n">
        <v>182</v>
      </c>
      <c r="AA3052" s="15" t="n">
        <v>182</v>
      </c>
      <c r="AW3052" s="15" t="n">
        <v>182</v>
      </c>
      <c r="BS3052" s="15" t="n">
        <v>182</v>
      </c>
      <c r="CO3052" s="15" t="n">
        <v>182</v>
      </c>
      <c r="DK3052" s="15" t="n">
        <v>182</v>
      </c>
      <c r="EG3052" s="15" t="n">
        <v>182</v>
      </c>
      <c r="FC3052" s="15" t="n">
        <v>182</v>
      </c>
      <c r="FY3052" s="15" t="n">
        <v>182</v>
      </c>
      <c r="GU3052" s="15" t="n">
        <v>182</v>
      </c>
    </row>
    <row r="3053">
      <c r="C3053" s="15" t="n">
        <v>183</v>
      </c>
      <c r="AA3053" s="15" t="n">
        <v>183</v>
      </c>
      <c r="AW3053" s="15" t="n">
        <v>183</v>
      </c>
      <c r="BS3053" s="15" t="n">
        <v>183</v>
      </c>
      <c r="CO3053" s="15" t="n">
        <v>183</v>
      </c>
      <c r="DK3053" s="15" t="n">
        <v>183</v>
      </c>
      <c r="EG3053" s="15" t="n">
        <v>183</v>
      </c>
      <c r="FC3053" s="15" t="n">
        <v>183</v>
      </c>
      <c r="FY3053" s="15" t="n">
        <v>183</v>
      </c>
      <c r="GU3053" s="15" t="n">
        <v>183</v>
      </c>
    </row>
    <row r="3054">
      <c r="C3054" s="15" t="n">
        <v>184</v>
      </c>
      <c r="AA3054" s="15" t="n">
        <v>184</v>
      </c>
      <c r="AW3054" s="15" t="n">
        <v>184</v>
      </c>
      <c r="BS3054" s="15" t="n">
        <v>184</v>
      </c>
      <c r="CO3054" s="15" t="n">
        <v>184</v>
      </c>
      <c r="DK3054" s="15" t="n">
        <v>184</v>
      </c>
      <c r="EG3054" s="15" t="n">
        <v>184</v>
      </c>
      <c r="FC3054" s="15" t="n">
        <v>184</v>
      </c>
      <c r="FY3054" s="15" t="n">
        <v>184</v>
      </c>
      <c r="GU3054" s="15" t="n">
        <v>184</v>
      </c>
    </row>
    <row r="3055">
      <c r="C3055" s="15" t="n">
        <v>185</v>
      </c>
      <c r="AA3055" s="15" t="n">
        <v>185</v>
      </c>
      <c r="AW3055" s="15" t="n">
        <v>185</v>
      </c>
      <c r="BS3055" s="15" t="n">
        <v>185</v>
      </c>
      <c r="CO3055" s="15" t="n">
        <v>185</v>
      </c>
      <c r="DK3055" s="15" t="n">
        <v>185</v>
      </c>
      <c r="EG3055" s="15" t="n">
        <v>185</v>
      </c>
      <c r="FC3055" s="15" t="n">
        <v>185</v>
      </c>
      <c r="FY3055" s="15" t="n">
        <v>185</v>
      </c>
      <c r="GU3055" s="15" t="n">
        <v>185</v>
      </c>
    </row>
    <row r="3056">
      <c r="C3056" s="15" t="n">
        <v>186</v>
      </c>
      <c r="AA3056" s="15" t="n">
        <v>186</v>
      </c>
      <c r="AW3056" s="15" t="n">
        <v>186</v>
      </c>
      <c r="BS3056" s="15" t="n">
        <v>186</v>
      </c>
      <c r="CO3056" s="15" t="n">
        <v>186</v>
      </c>
      <c r="DK3056" s="15" t="n">
        <v>186</v>
      </c>
      <c r="EG3056" s="15" t="n">
        <v>186</v>
      </c>
      <c r="FC3056" s="15" t="n">
        <v>186</v>
      </c>
      <c r="FY3056" s="15" t="n">
        <v>186</v>
      </c>
      <c r="GU3056" s="15" t="n">
        <v>186</v>
      </c>
    </row>
    <row r="3057">
      <c r="C3057" s="15" t="n">
        <v>187</v>
      </c>
      <c r="AA3057" s="15" t="n">
        <v>187</v>
      </c>
      <c r="AW3057" s="15" t="n">
        <v>187</v>
      </c>
      <c r="BS3057" s="15" t="n">
        <v>187</v>
      </c>
      <c r="CO3057" s="15" t="n">
        <v>187</v>
      </c>
      <c r="DK3057" s="15" t="n">
        <v>187</v>
      </c>
      <c r="EG3057" s="15" t="n">
        <v>187</v>
      </c>
      <c r="FC3057" s="15" t="n">
        <v>187</v>
      </c>
      <c r="FY3057" s="15" t="n">
        <v>187</v>
      </c>
      <c r="GU3057" s="15" t="n">
        <v>187</v>
      </c>
    </row>
    <row r="3058">
      <c r="C3058" s="15" t="n">
        <v>188</v>
      </c>
      <c r="AA3058" s="15" t="n">
        <v>188</v>
      </c>
      <c r="AW3058" s="15" t="n">
        <v>188</v>
      </c>
      <c r="BS3058" s="15" t="n">
        <v>188</v>
      </c>
      <c r="CO3058" s="15" t="n">
        <v>188</v>
      </c>
      <c r="DK3058" s="15" t="n">
        <v>188</v>
      </c>
      <c r="EG3058" s="15" t="n">
        <v>188</v>
      </c>
      <c r="FC3058" s="15" t="n">
        <v>188</v>
      </c>
      <c r="FY3058" s="15" t="n">
        <v>188</v>
      </c>
      <c r="GU3058" s="15" t="n">
        <v>188</v>
      </c>
    </row>
    <row r="3059">
      <c r="C3059" s="15" t="n">
        <v>189</v>
      </c>
      <c r="AA3059" s="15" t="n">
        <v>189</v>
      </c>
      <c r="AW3059" s="15" t="n">
        <v>189</v>
      </c>
      <c r="BS3059" s="15" t="n">
        <v>189</v>
      </c>
      <c r="CO3059" s="15" t="n">
        <v>189</v>
      </c>
      <c r="DK3059" s="15" t="n">
        <v>189</v>
      </c>
      <c r="EG3059" s="15" t="n">
        <v>189</v>
      </c>
      <c r="FC3059" s="15" t="n">
        <v>189</v>
      </c>
      <c r="FY3059" s="15" t="n">
        <v>189</v>
      </c>
      <c r="GU3059" s="15" t="n">
        <v>189</v>
      </c>
    </row>
    <row r="3060">
      <c r="C3060" s="15" t="n">
        <v>190</v>
      </c>
      <c r="AA3060" s="15" t="n">
        <v>190</v>
      </c>
      <c r="AW3060" s="15" t="n">
        <v>190</v>
      </c>
      <c r="BS3060" s="15" t="n">
        <v>190</v>
      </c>
      <c r="CO3060" s="15" t="n">
        <v>190</v>
      </c>
      <c r="DK3060" s="15" t="n">
        <v>190</v>
      </c>
      <c r="EG3060" s="15" t="n">
        <v>190</v>
      </c>
      <c r="FC3060" s="15" t="n">
        <v>190</v>
      </c>
      <c r="FY3060" s="15" t="n">
        <v>190</v>
      </c>
      <c r="GU3060" s="15" t="n">
        <v>190</v>
      </c>
    </row>
    <row r="3061">
      <c r="C3061" s="15" t="n">
        <v>191</v>
      </c>
      <c r="AA3061" s="15" t="n">
        <v>191</v>
      </c>
      <c r="AW3061" s="15" t="n">
        <v>191</v>
      </c>
      <c r="BS3061" s="15" t="n">
        <v>191</v>
      </c>
      <c r="CO3061" s="15" t="n">
        <v>191</v>
      </c>
      <c r="DK3061" s="15" t="n">
        <v>191</v>
      </c>
      <c r="EG3061" s="15" t="n">
        <v>191</v>
      </c>
      <c r="FC3061" s="15" t="n">
        <v>191</v>
      </c>
      <c r="FY3061" s="15" t="n">
        <v>191</v>
      </c>
      <c r="GU3061" s="15" t="n">
        <v>191</v>
      </c>
    </row>
    <row r="3062">
      <c r="C3062" s="15" t="n">
        <v>192</v>
      </c>
      <c r="AA3062" s="15" t="n">
        <v>192</v>
      </c>
      <c r="AW3062" s="15" t="n">
        <v>192</v>
      </c>
      <c r="BS3062" s="15" t="n">
        <v>192</v>
      </c>
      <c r="CO3062" s="15" t="n">
        <v>192</v>
      </c>
      <c r="DK3062" s="15" t="n">
        <v>192</v>
      </c>
      <c r="EG3062" s="15" t="n">
        <v>192</v>
      </c>
      <c r="FC3062" s="15" t="n">
        <v>192</v>
      </c>
      <c r="FY3062" s="15" t="n">
        <v>192</v>
      </c>
      <c r="GU3062" s="15" t="n">
        <v>192</v>
      </c>
    </row>
    <row r="3063">
      <c r="C3063" s="15" t="n">
        <v>193</v>
      </c>
      <c r="AA3063" s="15" t="n">
        <v>193</v>
      </c>
      <c r="AW3063" s="15" t="n">
        <v>193</v>
      </c>
      <c r="BS3063" s="15" t="n">
        <v>193</v>
      </c>
      <c r="CO3063" s="15" t="n">
        <v>193</v>
      </c>
      <c r="DK3063" s="15" t="n">
        <v>193</v>
      </c>
      <c r="EG3063" s="15" t="n">
        <v>193</v>
      </c>
      <c r="FC3063" s="15" t="n">
        <v>193</v>
      </c>
      <c r="FY3063" s="15" t="n">
        <v>193</v>
      </c>
      <c r="GU3063" s="15" t="n">
        <v>193</v>
      </c>
    </row>
    <row r="3064">
      <c r="C3064" s="15" t="n">
        <v>194</v>
      </c>
      <c r="AA3064" s="15" t="n">
        <v>194</v>
      </c>
      <c r="AW3064" s="15" t="n">
        <v>194</v>
      </c>
      <c r="BS3064" s="15" t="n">
        <v>194</v>
      </c>
      <c r="CO3064" s="15" t="n">
        <v>194</v>
      </c>
      <c r="DK3064" s="15" t="n">
        <v>194</v>
      </c>
      <c r="EG3064" s="15" t="n">
        <v>194</v>
      </c>
      <c r="FC3064" s="15" t="n">
        <v>194</v>
      </c>
      <c r="FY3064" s="15" t="n">
        <v>194</v>
      </c>
      <c r="GU3064" s="15" t="n">
        <v>194</v>
      </c>
    </row>
    <row r="3065">
      <c r="C3065" s="15" t="n">
        <v>195</v>
      </c>
      <c r="AA3065" s="15" t="n">
        <v>195</v>
      </c>
      <c r="AW3065" s="15" t="n">
        <v>195</v>
      </c>
      <c r="BS3065" s="15" t="n">
        <v>195</v>
      </c>
      <c r="CO3065" s="15" t="n">
        <v>195</v>
      </c>
      <c r="DK3065" s="15" t="n">
        <v>195</v>
      </c>
      <c r="EG3065" s="15" t="n">
        <v>195</v>
      </c>
      <c r="FC3065" s="15" t="n">
        <v>195</v>
      </c>
      <c r="FY3065" s="15" t="n">
        <v>195</v>
      </c>
      <c r="GU3065" s="15" t="n">
        <v>195</v>
      </c>
    </row>
    <row r="3066">
      <c r="C3066" s="15" t="n">
        <v>196</v>
      </c>
      <c r="AA3066" s="15" t="n">
        <v>196</v>
      </c>
      <c r="AW3066" s="15" t="n">
        <v>196</v>
      </c>
      <c r="BS3066" s="15" t="n">
        <v>196</v>
      </c>
      <c r="CO3066" s="15" t="n">
        <v>196</v>
      </c>
      <c r="DK3066" s="15" t="n">
        <v>196</v>
      </c>
      <c r="EG3066" s="15" t="n">
        <v>196</v>
      </c>
      <c r="FC3066" s="15" t="n">
        <v>196</v>
      </c>
      <c r="FY3066" s="15" t="n">
        <v>196</v>
      </c>
      <c r="GU3066" s="15" t="n">
        <v>196</v>
      </c>
    </row>
    <row r="3067">
      <c r="C3067" s="15" t="n">
        <v>197</v>
      </c>
      <c r="AA3067" s="15" t="n">
        <v>197</v>
      </c>
      <c r="AW3067" s="15" t="n">
        <v>197</v>
      </c>
      <c r="BS3067" s="15" t="n">
        <v>197</v>
      </c>
      <c r="CO3067" s="15" t="n">
        <v>197</v>
      </c>
      <c r="DK3067" s="15" t="n">
        <v>197</v>
      </c>
      <c r="EG3067" s="15" t="n">
        <v>197</v>
      </c>
      <c r="FC3067" s="15" t="n">
        <v>197</v>
      </c>
      <c r="FY3067" s="15" t="n">
        <v>197</v>
      </c>
      <c r="GU3067" s="15" t="n">
        <v>197</v>
      </c>
    </row>
    <row r="3068">
      <c r="C3068" s="15" t="n">
        <v>198</v>
      </c>
      <c r="AA3068" s="15" t="n">
        <v>198</v>
      </c>
      <c r="AW3068" s="15" t="n">
        <v>198</v>
      </c>
      <c r="BS3068" s="15" t="n">
        <v>198</v>
      </c>
      <c r="CO3068" s="15" t="n">
        <v>198</v>
      </c>
      <c r="DK3068" s="15" t="n">
        <v>198</v>
      </c>
      <c r="EG3068" s="15" t="n">
        <v>198</v>
      </c>
      <c r="FC3068" s="15" t="n">
        <v>198</v>
      </c>
      <c r="FY3068" s="15" t="n">
        <v>198</v>
      </c>
      <c r="GU3068" s="15" t="n">
        <v>198</v>
      </c>
    </row>
    <row r="3070">
      <c r="B3070" s="15" t="inlineStr">
        <is>
          <t>Parâmetros p/ μx</t>
        </is>
      </c>
      <c r="C3070" s="15" t="inlineStr">
        <is>
          <t>Média(d-Cap)</t>
        </is>
      </c>
      <c r="D3070" s="15" t="n">
        <v>22</v>
      </c>
      <c r="E3070" s="15" t="n">
        <v>23</v>
      </c>
      <c r="F3070" s="15" t="n">
        <v>24</v>
      </c>
      <c r="Z3070" s="15" t="inlineStr">
        <is>
          <t>Parâmetros p/ μx</t>
        </is>
      </c>
      <c r="AA3070" s="15" t="inlineStr">
        <is>
          <t>Média(d-Cap)</t>
        </is>
      </c>
      <c r="AB3070" s="15" t="n">
        <v>22</v>
      </c>
      <c r="AC3070" s="15" t="n">
        <v>23</v>
      </c>
      <c r="AD3070" s="15" t="n">
        <v>24</v>
      </c>
      <c r="AV3070" s="15" t="inlineStr">
        <is>
          <t>Parâmetros p/ μx</t>
        </is>
      </c>
      <c r="AW3070" s="15" t="inlineStr">
        <is>
          <t>Média(d-Cap)</t>
        </is>
      </c>
      <c r="AX3070" s="15" t="n">
        <v>22</v>
      </c>
      <c r="AY3070" s="15" t="n">
        <v>23</v>
      </c>
      <c r="AZ3070" s="15" t="n">
        <v>24</v>
      </c>
      <c r="BR3070" s="15" t="inlineStr">
        <is>
          <t>Parâmetros p/ μx</t>
        </is>
      </c>
      <c r="BS3070" s="15" t="inlineStr">
        <is>
          <t>Média(d-Cap)</t>
        </is>
      </c>
      <c r="BT3070" s="15" t="n">
        <v>22</v>
      </c>
      <c r="BU3070" s="15" t="n">
        <v>23</v>
      </c>
      <c r="BV3070" s="15" t="n">
        <v>24</v>
      </c>
      <c r="CN3070" s="15" t="inlineStr">
        <is>
          <t>Parâmetros p/ μx</t>
        </is>
      </c>
      <c r="CO3070" s="15" t="inlineStr">
        <is>
          <t>Média(d-Cap)</t>
        </is>
      </c>
      <c r="CP3070" s="15" t="n">
        <v>22</v>
      </c>
      <c r="CQ3070" s="15" t="n">
        <v>23</v>
      </c>
      <c r="CR3070" s="15" t="n">
        <v>24</v>
      </c>
      <c r="DJ3070" s="15" t="inlineStr">
        <is>
          <t>Parâmetros p/ μx</t>
        </is>
      </c>
      <c r="DK3070" s="15" t="inlineStr">
        <is>
          <t>Média(d-Cap)</t>
        </is>
      </c>
      <c r="DL3070" s="15" t="n">
        <v>22</v>
      </c>
      <c r="DM3070" s="15" t="n">
        <v>23</v>
      </c>
      <c r="DN3070" s="15" t="n">
        <v>24</v>
      </c>
      <c r="EF3070" s="15" t="inlineStr">
        <is>
          <t>Parâmetros p/ μx</t>
        </is>
      </c>
      <c r="EG3070" s="15" t="inlineStr">
        <is>
          <t>Média(d-Cap)</t>
        </is>
      </c>
      <c r="EH3070" s="15" t="n">
        <v>22</v>
      </c>
      <c r="EI3070" s="15" t="n">
        <v>23</v>
      </c>
      <c r="EJ3070" s="15" t="n">
        <v>24</v>
      </c>
      <c r="FB3070" s="15" t="inlineStr">
        <is>
          <t>Parâmetros p/ μx</t>
        </is>
      </c>
      <c r="FC3070" s="15" t="inlineStr">
        <is>
          <t>Média(d-Cap)</t>
        </is>
      </c>
      <c r="FD3070" s="15" t="n">
        <v>22</v>
      </c>
      <c r="FE3070" s="15" t="n">
        <v>23</v>
      </c>
      <c r="FF3070" s="15" t="n">
        <v>24</v>
      </c>
      <c r="FX3070" s="15" t="inlineStr">
        <is>
          <t>Parâmetros p/ μx</t>
        </is>
      </c>
      <c r="FY3070" s="15" t="inlineStr">
        <is>
          <t>Média(d-Cap)</t>
        </is>
      </c>
      <c r="FZ3070" s="15" t="n">
        <v>22</v>
      </c>
      <c r="GA3070" s="15" t="n">
        <v>23</v>
      </c>
      <c r="GB3070" s="15" t="n">
        <v>24</v>
      </c>
      <c r="GT3070" s="15" t="inlineStr">
        <is>
          <t>Parâmetros p/ μx</t>
        </is>
      </c>
      <c r="GU3070" s="15" t="inlineStr">
        <is>
          <t>Média(d-Cap)</t>
        </is>
      </c>
      <c r="GV3070" s="15" t="n">
        <v>22</v>
      </c>
      <c r="GW3070" s="15" t="n">
        <v>23</v>
      </c>
      <c r="GX3070" s="15" t="n">
        <v>24</v>
      </c>
    </row>
    <row r="3071">
      <c r="B3071" s="15" t="inlineStr">
        <is>
          <t>ND*RLT</t>
        </is>
      </c>
      <c r="C3071" s="15" t="n">
        <v>9</v>
      </c>
      <c r="Z3071" s="15" t="inlineStr">
        <is>
          <t>ND*RLT</t>
        </is>
      </c>
      <c r="AA3071" s="15" t="n">
        <v>9</v>
      </c>
      <c r="AV3071" s="15" t="inlineStr">
        <is>
          <t>ND*RLT</t>
        </is>
      </c>
      <c r="AW3071" s="15" t="n">
        <v>9</v>
      </c>
      <c r="BR3071" s="15" t="inlineStr">
        <is>
          <t>ND*RLT</t>
        </is>
      </c>
      <c r="BS3071" s="15" t="n">
        <v>9</v>
      </c>
      <c r="CN3071" s="15" t="inlineStr">
        <is>
          <t>ND*RLT</t>
        </is>
      </c>
      <c r="CO3071" s="15" t="n">
        <v>9</v>
      </c>
      <c r="DJ3071" s="15" t="inlineStr">
        <is>
          <t>ND*RLT</t>
        </is>
      </c>
      <c r="DK3071" s="15" t="n">
        <v>9</v>
      </c>
      <c r="EF3071" s="15" t="inlineStr">
        <is>
          <t>ND*RLT</t>
        </is>
      </c>
      <c r="EG3071" s="15" t="n">
        <v>9</v>
      </c>
      <c r="FB3071" s="15" t="inlineStr">
        <is>
          <t>ND*RLT</t>
        </is>
      </c>
      <c r="FC3071" s="15" t="n">
        <v>9</v>
      </c>
      <c r="FX3071" s="15" t="inlineStr">
        <is>
          <t>ND*RLT</t>
        </is>
      </c>
      <c r="FY3071" s="15" t="n">
        <v>9</v>
      </c>
      <c r="GT3071" s="15" t="inlineStr">
        <is>
          <t>ND*RLT</t>
        </is>
      </c>
      <c r="GU3071" s="15" t="n">
        <v>9</v>
      </c>
    </row>
    <row r="3072">
      <c r="C3072" s="15" t="n">
        <v>10</v>
      </c>
      <c r="AA3072" s="15" t="n">
        <v>10</v>
      </c>
      <c r="AW3072" s="15" t="n">
        <v>10</v>
      </c>
      <c r="BS3072" s="15" t="n">
        <v>10</v>
      </c>
      <c r="CO3072" s="15" t="n">
        <v>10</v>
      </c>
      <c r="DK3072" s="15" t="n">
        <v>10</v>
      </c>
      <c r="EG3072" s="15" t="n">
        <v>10</v>
      </c>
      <c r="FC3072" s="15" t="n">
        <v>10</v>
      </c>
      <c r="FY3072" s="15" t="n">
        <v>10</v>
      </c>
      <c r="GU3072" s="15" t="n">
        <v>10</v>
      </c>
    </row>
    <row r="3073">
      <c r="C3073" s="15" t="n">
        <v>11</v>
      </c>
      <c r="AA3073" s="15" t="n">
        <v>11</v>
      </c>
      <c r="AW3073" s="15" t="n">
        <v>11</v>
      </c>
      <c r="BS3073" s="15" t="n">
        <v>11</v>
      </c>
      <c r="CO3073" s="15" t="n">
        <v>11</v>
      </c>
      <c r="DK3073" s="15" t="n">
        <v>11</v>
      </c>
      <c r="EG3073" s="15" t="n">
        <v>11</v>
      </c>
      <c r="FC3073" s="15" t="n">
        <v>11</v>
      </c>
      <c r="FY3073" s="15" t="n">
        <v>11</v>
      </c>
      <c r="GU3073" s="15" t="n">
        <v>11</v>
      </c>
    </row>
    <row r="3074">
      <c r="C3074" s="15" t="n">
        <v>12</v>
      </c>
      <c r="AA3074" s="15" t="n">
        <v>12</v>
      </c>
      <c r="AW3074" s="15" t="n">
        <v>12</v>
      </c>
      <c r="BS3074" s="15" t="n">
        <v>12</v>
      </c>
      <c r="CO3074" s="15" t="n">
        <v>12</v>
      </c>
      <c r="DK3074" s="15" t="n">
        <v>12</v>
      </c>
      <c r="EG3074" s="15" t="n">
        <v>12</v>
      </c>
      <c r="FC3074" s="15" t="n">
        <v>12</v>
      </c>
      <c r="FY3074" s="15" t="n">
        <v>12</v>
      </c>
      <c r="GU3074" s="15" t="n">
        <v>12</v>
      </c>
    </row>
    <row r="3075">
      <c r="C3075" s="15" t="n">
        <v>13</v>
      </c>
      <c r="AA3075" s="15" t="n">
        <v>13</v>
      </c>
      <c r="AW3075" s="15" t="n">
        <v>13</v>
      </c>
      <c r="BS3075" s="15" t="n">
        <v>13</v>
      </c>
      <c r="CO3075" s="15" t="n">
        <v>13</v>
      </c>
      <c r="DK3075" s="15" t="n">
        <v>13</v>
      </c>
      <c r="EG3075" s="15" t="n">
        <v>13</v>
      </c>
      <c r="FC3075" s="15" t="n">
        <v>13</v>
      </c>
      <c r="FY3075" s="15" t="n">
        <v>13</v>
      </c>
      <c r="GU3075" s="15" t="n">
        <v>13</v>
      </c>
    </row>
    <row r="3076">
      <c r="C3076" s="15" t="n">
        <v>14</v>
      </c>
      <c r="AA3076" s="15" t="n">
        <v>14</v>
      </c>
      <c r="AW3076" s="15" t="n">
        <v>14</v>
      </c>
      <c r="BS3076" s="15" t="n">
        <v>14</v>
      </c>
      <c r="CO3076" s="15" t="n">
        <v>14</v>
      </c>
      <c r="DK3076" s="15" t="n">
        <v>14</v>
      </c>
      <c r="EG3076" s="15" t="n">
        <v>14</v>
      </c>
      <c r="FC3076" s="15" t="n">
        <v>14</v>
      </c>
      <c r="FY3076" s="15" t="n">
        <v>14</v>
      </c>
      <c r="GU3076" s="15" t="n">
        <v>14</v>
      </c>
    </row>
    <row r="3077">
      <c r="C3077" s="15" t="n">
        <v>15</v>
      </c>
      <c r="AA3077" s="15" t="n">
        <v>15</v>
      </c>
      <c r="AW3077" s="15" t="n">
        <v>15</v>
      </c>
      <c r="BS3077" s="15" t="n">
        <v>15</v>
      </c>
      <c r="CO3077" s="15" t="n">
        <v>15</v>
      </c>
      <c r="DK3077" s="15" t="n">
        <v>15</v>
      </c>
      <c r="EG3077" s="15" t="n">
        <v>15</v>
      </c>
      <c r="FC3077" s="15" t="n">
        <v>15</v>
      </c>
      <c r="FY3077" s="15" t="n">
        <v>15</v>
      </c>
      <c r="GU3077" s="15" t="n">
        <v>15</v>
      </c>
    </row>
    <row r="3078">
      <c r="C3078" s="15" t="n">
        <v>16</v>
      </c>
      <c r="AA3078" s="15" t="n">
        <v>16</v>
      </c>
      <c r="AW3078" s="15" t="n">
        <v>16</v>
      </c>
      <c r="BS3078" s="15" t="n">
        <v>16</v>
      </c>
      <c r="CO3078" s="15" t="n">
        <v>16</v>
      </c>
      <c r="DK3078" s="15" t="n">
        <v>16</v>
      </c>
      <c r="EG3078" s="15" t="n">
        <v>16</v>
      </c>
      <c r="FC3078" s="15" t="n">
        <v>16</v>
      </c>
      <c r="FY3078" s="15" t="n">
        <v>16</v>
      </c>
      <c r="GU3078" s="15" t="n">
        <v>16</v>
      </c>
    </row>
    <row r="3079">
      <c r="C3079" s="15" t="n">
        <v>17</v>
      </c>
      <c r="AA3079" s="15" t="n">
        <v>17</v>
      </c>
      <c r="AW3079" s="15" t="n">
        <v>17</v>
      </c>
      <c r="BS3079" s="15" t="n">
        <v>17</v>
      </c>
      <c r="CO3079" s="15" t="n">
        <v>17</v>
      </c>
      <c r="DK3079" s="15" t="n">
        <v>17</v>
      </c>
      <c r="EG3079" s="15" t="n">
        <v>17</v>
      </c>
      <c r="FC3079" s="15" t="n">
        <v>17</v>
      </c>
      <c r="FY3079" s="15" t="n">
        <v>17</v>
      </c>
      <c r="GU3079" s="15" t="n">
        <v>17</v>
      </c>
    </row>
    <row r="3080">
      <c r="C3080" s="15" t="n">
        <v>18</v>
      </c>
      <c r="AA3080" s="15" t="n">
        <v>18</v>
      </c>
      <c r="AW3080" s="15" t="n">
        <v>18</v>
      </c>
      <c r="BS3080" s="15" t="n">
        <v>18</v>
      </c>
      <c r="CO3080" s="15" t="n">
        <v>18</v>
      </c>
      <c r="DK3080" s="15" t="n">
        <v>18</v>
      </c>
      <c r="EG3080" s="15" t="n">
        <v>18</v>
      </c>
      <c r="FC3080" s="15" t="n">
        <v>18</v>
      </c>
      <c r="FY3080" s="15" t="n">
        <v>18</v>
      </c>
      <c r="GU3080" s="15" t="n">
        <v>18</v>
      </c>
    </row>
    <row r="3081">
      <c r="C3081" s="15" t="n">
        <v>19</v>
      </c>
      <c r="AA3081" s="15" t="n">
        <v>19</v>
      </c>
      <c r="AW3081" s="15" t="n">
        <v>19</v>
      </c>
      <c r="BS3081" s="15" t="n">
        <v>19</v>
      </c>
      <c r="CO3081" s="15" t="n">
        <v>19</v>
      </c>
      <c r="DK3081" s="15" t="n">
        <v>19</v>
      </c>
      <c r="EG3081" s="15" t="n">
        <v>19</v>
      </c>
      <c r="FC3081" s="15" t="n">
        <v>19</v>
      </c>
      <c r="FY3081" s="15" t="n">
        <v>19</v>
      </c>
      <c r="GU3081" s="15" t="n">
        <v>19</v>
      </c>
    </row>
    <row r="3082">
      <c r="C3082" s="15" t="n">
        <v>20</v>
      </c>
      <c r="AA3082" s="15" t="n">
        <v>20</v>
      </c>
      <c r="AW3082" s="15" t="n">
        <v>20</v>
      </c>
      <c r="BS3082" s="15" t="n">
        <v>20</v>
      </c>
      <c r="CO3082" s="15" t="n">
        <v>20</v>
      </c>
      <c r="DK3082" s="15" t="n">
        <v>20</v>
      </c>
      <c r="EG3082" s="15" t="n">
        <v>20</v>
      </c>
      <c r="FC3082" s="15" t="n">
        <v>20</v>
      </c>
      <c r="FY3082" s="15" t="n">
        <v>20</v>
      </c>
      <c r="GU3082" s="15" t="n">
        <v>20</v>
      </c>
    </row>
    <row r="3083">
      <c r="C3083" s="15" t="n">
        <v>21</v>
      </c>
      <c r="AA3083" s="15" t="n">
        <v>21</v>
      </c>
      <c r="AW3083" s="15" t="n">
        <v>21</v>
      </c>
      <c r="BS3083" s="15" t="n">
        <v>21</v>
      </c>
      <c r="CO3083" s="15" t="n">
        <v>21</v>
      </c>
      <c r="DK3083" s="15" t="n">
        <v>21</v>
      </c>
      <c r="EG3083" s="15" t="n">
        <v>21</v>
      </c>
      <c r="FC3083" s="15" t="n">
        <v>21</v>
      </c>
      <c r="FY3083" s="15" t="n">
        <v>21</v>
      </c>
      <c r="GU3083" s="15" t="n">
        <v>21</v>
      </c>
    </row>
    <row r="3084">
      <c r="C3084" s="15" t="n">
        <v>22</v>
      </c>
      <c r="AA3084" s="15" t="n">
        <v>22</v>
      </c>
      <c r="AW3084" s="15" t="n">
        <v>22</v>
      </c>
      <c r="BS3084" s="15" t="n">
        <v>22</v>
      </c>
      <c r="CO3084" s="15" t="n">
        <v>22</v>
      </c>
      <c r="DK3084" s="15" t="n">
        <v>22</v>
      </c>
      <c r="EG3084" s="15" t="n">
        <v>22</v>
      </c>
      <c r="FC3084" s="15" t="n">
        <v>22</v>
      </c>
      <c r="FY3084" s="15" t="n">
        <v>22</v>
      </c>
      <c r="GU3084" s="15" t="n">
        <v>22</v>
      </c>
    </row>
    <row r="3085">
      <c r="C3085" s="15" t="n">
        <v>23</v>
      </c>
      <c r="AA3085" s="15" t="n">
        <v>23</v>
      </c>
      <c r="AW3085" s="15" t="n">
        <v>23</v>
      </c>
      <c r="BS3085" s="15" t="n">
        <v>23</v>
      </c>
      <c r="CO3085" s="15" t="n">
        <v>23</v>
      </c>
      <c r="DK3085" s="15" t="n">
        <v>23</v>
      </c>
      <c r="EG3085" s="15" t="n">
        <v>23</v>
      </c>
      <c r="FC3085" s="15" t="n">
        <v>23</v>
      </c>
      <c r="FY3085" s="15" t="n">
        <v>23</v>
      </c>
      <c r="GU3085" s="15" t="n">
        <v>23</v>
      </c>
    </row>
    <row r="3086">
      <c r="C3086" s="15" t="n">
        <v>24</v>
      </c>
      <c r="AA3086" s="15" t="n">
        <v>24</v>
      </c>
      <c r="AW3086" s="15" t="n">
        <v>24</v>
      </c>
      <c r="BS3086" s="15" t="n">
        <v>24</v>
      </c>
      <c r="CO3086" s="15" t="n">
        <v>24</v>
      </c>
      <c r="DK3086" s="15" t="n">
        <v>24</v>
      </c>
      <c r="EG3086" s="15" t="n">
        <v>24</v>
      </c>
      <c r="FC3086" s="15" t="n">
        <v>24</v>
      </c>
      <c r="FY3086" s="15" t="n">
        <v>24</v>
      </c>
      <c r="GU3086" s="15" t="n">
        <v>24</v>
      </c>
    </row>
    <row r="3087">
      <c r="C3087" s="15" t="n">
        <v>25</v>
      </c>
      <c r="AA3087" s="15" t="n">
        <v>25</v>
      </c>
      <c r="AW3087" s="15" t="n">
        <v>25</v>
      </c>
      <c r="BS3087" s="15" t="n">
        <v>25</v>
      </c>
      <c r="CO3087" s="15" t="n">
        <v>25</v>
      </c>
      <c r="DK3087" s="15" t="n">
        <v>25</v>
      </c>
      <c r="EG3087" s="15" t="n">
        <v>25</v>
      </c>
      <c r="FC3087" s="15" t="n">
        <v>25</v>
      </c>
      <c r="FY3087" s="15" t="n">
        <v>25</v>
      </c>
      <c r="GU3087" s="15" t="n">
        <v>25</v>
      </c>
    </row>
    <row r="3088">
      <c r="C3088" s="15" t="n">
        <v>26</v>
      </c>
      <c r="AA3088" s="15" t="n">
        <v>26</v>
      </c>
      <c r="AW3088" s="15" t="n">
        <v>26</v>
      </c>
      <c r="BS3088" s="15" t="n">
        <v>26</v>
      </c>
      <c r="CO3088" s="15" t="n">
        <v>26</v>
      </c>
      <c r="DK3088" s="15" t="n">
        <v>26</v>
      </c>
      <c r="EG3088" s="15" t="n">
        <v>26</v>
      </c>
      <c r="FC3088" s="15" t="n">
        <v>26</v>
      </c>
      <c r="FY3088" s="15" t="n">
        <v>26</v>
      </c>
      <c r="GU3088" s="15" t="n">
        <v>26</v>
      </c>
    </row>
    <row r="3089">
      <c r="C3089" s="15" t="n">
        <v>27</v>
      </c>
      <c r="AA3089" s="15" t="n">
        <v>27</v>
      </c>
      <c r="AW3089" s="15" t="n">
        <v>27</v>
      </c>
      <c r="BS3089" s="15" t="n">
        <v>27</v>
      </c>
      <c r="CO3089" s="15" t="n">
        <v>27</v>
      </c>
      <c r="DK3089" s="15" t="n">
        <v>27</v>
      </c>
      <c r="EG3089" s="15" t="n">
        <v>27</v>
      </c>
      <c r="FC3089" s="15" t="n">
        <v>27</v>
      </c>
      <c r="FY3089" s="15" t="n">
        <v>27</v>
      </c>
      <c r="GU3089" s="15" t="n">
        <v>27</v>
      </c>
    </row>
    <row r="3090">
      <c r="C3090" s="15" t="n">
        <v>28</v>
      </c>
      <c r="AA3090" s="15" t="n">
        <v>28</v>
      </c>
      <c r="AW3090" s="15" t="n">
        <v>28</v>
      </c>
      <c r="BS3090" s="15" t="n">
        <v>28</v>
      </c>
      <c r="CO3090" s="15" t="n">
        <v>28</v>
      </c>
      <c r="DK3090" s="15" t="n">
        <v>28</v>
      </c>
      <c r="EG3090" s="15" t="n">
        <v>28</v>
      </c>
      <c r="FC3090" s="15" t="n">
        <v>28</v>
      </c>
      <c r="FY3090" s="15" t="n">
        <v>28</v>
      </c>
      <c r="GU3090" s="15" t="n">
        <v>28</v>
      </c>
    </row>
    <row r="3091">
      <c r="C3091" s="15" t="n">
        <v>29</v>
      </c>
      <c r="AA3091" s="15" t="n">
        <v>29</v>
      </c>
      <c r="AW3091" s="15" t="n">
        <v>29</v>
      </c>
      <c r="BS3091" s="15" t="n">
        <v>29</v>
      </c>
      <c r="CO3091" s="15" t="n">
        <v>29</v>
      </c>
      <c r="DK3091" s="15" t="n">
        <v>29</v>
      </c>
      <c r="EG3091" s="15" t="n">
        <v>29</v>
      </c>
      <c r="FC3091" s="15" t="n">
        <v>29</v>
      </c>
      <c r="FY3091" s="15" t="n">
        <v>29</v>
      </c>
      <c r="GU3091" s="15" t="n">
        <v>29</v>
      </c>
    </row>
    <row r="3092">
      <c r="C3092" s="15" t="n">
        <v>30</v>
      </c>
      <c r="AA3092" s="15" t="n">
        <v>30</v>
      </c>
      <c r="AW3092" s="15" t="n">
        <v>30</v>
      </c>
      <c r="BS3092" s="15" t="n">
        <v>30</v>
      </c>
      <c r="CO3092" s="15" t="n">
        <v>30</v>
      </c>
      <c r="DK3092" s="15" t="n">
        <v>30</v>
      </c>
      <c r="EG3092" s="15" t="n">
        <v>30</v>
      </c>
      <c r="FC3092" s="15" t="n">
        <v>30</v>
      </c>
      <c r="FY3092" s="15" t="n">
        <v>30</v>
      </c>
      <c r="GU3092" s="15" t="n">
        <v>30</v>
      </c>
    </row>
    <row r="3093">
      <c r="C3093" s="15" t="n">
        <v>31</v>
      </c>
      <c r="AA3093" s="15" t="n">
        <v>31</v>
      </c>
      <c r="AW3093" s="15" t="n">
        <v>31</v>
      </c>
      <c r="BS3093" s="15" t="n">
        <v>31</v>
      </c>
      <c r="CO3093" s="15" t="n">
        <v>31</v>
      </c>
      <c r="DK3093" s="15" t="n">
        <v>31</v>
      </c>
      <c r="EG3093" s="15" t="n">
        <v>31</v>
      </c>
      <c r="FC3093" s="15" t="n">
        <v>31</v>
      </c>
      <c r="FY3093" s="15" t="n">
        <v>31</v>
      </c>
      <c r="GU3093" s="15" t="n">
        <v>31</v>
      </c>
    </row>
    <row r="3094">
      <c r="C3094" s="15" t="n">
        <v>32</v>
      </c>
      <c r="AA3094" s="15" t="n">
        <v>32</v>
      </c>
      <c r="AW3094" s="15" t="n">
        <v>32</v>
      </c>
      <c r="BS3094" s="15" t="n">
        <v>32</v>
      </c>
      <c r="CO3094" s="15" t="n">
        <v>32</v>
      </c>
      <c r="DK3094" s="15" t="n">
        <v>32</v>
      </c>
      <c r="EG3094" s="15" t="n">
        <v>32</v>
      </c>
      <c r="FC3094" s="15" t="n">
        <v>32</v>
      </c>
      <c r="FY3094" s="15" t="n">
        <v>32</v>
      </c>
      <c r="GU3094" s="15" t="n">
        <v>32</v>
      </c>
    </row>
    <row r="3095">
      <c r="C3095" s="15" t="n">
        <v>33</v>
      </c>
      <c r="AA3095" s="15" t="n">
        <v>33</v>
      </c>
      <c r="AW3095" s="15" t="n">
        <v>33</v>
      </c>
      <c r="BS3095" s="15" t="n">
        <v>33</v>
      </c>
      <c r="CO3095" s="15" t="n">
        <v>33</v>
      </c>
      <c r="DK3095" s="15" t="n">
        <v>33</v>
      </c>
      <c r="EG3095" s="15" t="n">
        <v>33</v>
      </c>
      <c r="FC3095" s="15" t="n">
        <v>33</v>
      </c>
      <c r="FY3095" s="15" t="n">
        <v>33</v>
      </c>
      <c r="GU3095" s="15" t="n">
        <v>33</v>
      </c>
    </row>
    <row r="3096">
      <c r="C3096" s="15" t="n">
        <v>34</v>
      </c>
      <c r="AA3096" s="15" t="n">
        <v>34</v>
      </c>
      <c r="AW3096" s="15" t="n">
        <v>34</v>
      </c>
      <c r="BS3096" s="15" t="n">
        <v>34</v>
      </c>
      <c r="CO3096" s="15" t="n">
        <v>34</v>
      </c>
      <c r="DK3096" s="15" t="n">
        <v>34</v>
      </c>
      <c r="EG3096" s="15" t="n">
        <v>34</v>
      </c>
      <c r="FC3096" s="15" t="n">
        <v>34</v>
      </c>
      <c r="FY3096" s="15" t="n">
        <v>34</v>
      </c>
      <c r="GU3096" s="15" t="n">
        <v>34</v>
      </c>
    </row>
    <row r="3097">
      <c r="C3097" s="15" t="n">
        <v>35</v>
      </c>
      <c r="AA3097" s="15" t="n">
        <v>35</v>
      </c>
      <c r="AW3097" s="15" t="n">
        <v>35</v>
      </c>
      <c r="BS3097" s="15" t="n">
        <v>35</v>
      </c>
      <c r="CO3097" s="15" t="n">
        <v>35</v>
      </c>
      <c r="DK3097" s="15" t="n">
        <v>35</v>
      </c>
      <c r="EG3097" s="15" t="n">
        <v>35</v>
      </c>
      <c r="FC3097" s="15" t="n">
        <v>35</v>
      </c>
      <c r="FY3097" s="15" t="n">
        <v>35</v>
      </c>
      <c r="GU3097" s="15" t="n">
        <v>35</v>
      </c>
    </row>
    <row r="3098">
      <c r="C3098" s="15" t="n">
        <v>36</v>
      </c>
      <c r="AA3098" s="15" t="n">
        <v>36</v>
      </c>
      <c r="AW3098" s="15" t="n">
        <v>36</v>
      </c>
      <c r="BS3098" s="15" t="n">
        <v>36</v>
      </c>
      <c r="CO3098" s="15" t="n">
        <v>36</v>
      </c>
      <c r="DK3098" s="15" t="n">
        <v>36</v>
      </c>
      <c r="EG3098" s="15" t="n">
        <v>36</v>
      </c>
      <c r="FC3098" s="15" t="n">
        <v>36</v>
      </c>
      <c r="FY3098" s="15" t="n">
        <v>36</v>
      </c>
      <c r="GU3098" s="15" t="n">
        <v>36</v>
      </c>
    </row>
    <row r="3099">
      <c r="C3099" s="15" t="n">
        <v>37</v>
      </c>
      <c r="AA3099" s="15" t="n">
        <v>37</v>
      </c>
      <c r="AW3099" s="15" t="n">
        <v>37</v>
      </c>
      <c r="BS3099" s="15" t="n">
        <v>37</v>
      </c>
      <c r="CO3099" s="15" t="n">
        <v>37</v>
      </c>
      <c r="DK3099" s="15" t="n">
        <v>37</v>
      </c>
      <c r="EG3099" s="15" t="n">
        <v>37</v>
      </c>
      <c r="FC3099" s="15" t="n">
        <v>37</v>
      </c>
      <c r="FY3099" s="15" t="n">
        <v>37</v>
      </c>
      <c r="GU3099" s="15" t="n">
        <v>37</v>
      </c>
    </row>
    <row r="3100">
      <c r="C3100" s="15" t="n">
        <v>38</v>
      </c>
      <c r="AA3100" s="15" t="n">
        <v>38</v>
      </c>
      <c r="AW3100" s="15" t="n">
        <v>38</v>
      </c>
      <c r="BS3100" s="15" t="n">
        <v>38</v>
      </c>
      <c r="CO3100" s="15" t="n">
        <v>38</v>
      </c>
      <c r="DK3100" s="15" t="n">
        <v>38</v>
      </c>
      <c r="EG3100" s="15" t="n">
        <v>38</v>
      </c>
      <c r="FC3100" s="15" t="n">
        <v>38</v>
      </c>
      <c r="FY3100" s="15" t="n">
        <v>38</v>
      </c>
      <c r="GU3100" s="15" t="n">
        <v>38</v>
      </c>
    </row>
    <row r="3101">
      <c r="C3101" s="15" t="n">
        <v>39</v>
      </c>
      <c r="AA3101" s="15" t="n">
        <v>39</v>
      </c>
      <c r="AW3101" s="15" t="n">
        <v>39</v>
      </c>
      <c r="BS3101" s="15" t="n">
        <v>39</v>
      </c>
      <c r="CO3101" s="15" t="n">
        <v>39</v>
      </c>
      <c r="DK3101" s="15" t="n">
        <v>39</v>
      </c>
      <c r="EG3101" s="15" t="n">
        <v>39</v>
      </c>
      <c r="FC3101" s="15" t="n">
        <v>39</v>
      </c>
      <c r="FY3101" s="15" t="n">
        <v>39</v>
      </c>
      <c r="GU3101" s="15" t="n">
        <v>39</v>
      </c>
    </row>
    <row r="3102">
      <c r="C3102" s="15" t="n">
        <v>40</v>
      </c>
      <c r="AA3102" s="15" t="n">
        <v>40</v>
      </c>
      <c r="AW3102" s="15" t="n">
        <v>40</v>
      </c>
      <c r="BS3102" s="15" t="n">
        <v>40</v>
      </c>
      <c r="CO3102" s="15" t="n">
        <v>40</v>
      </c>
      <c r="DK3102" s="15" t="n">
        <v>40</v>
      </c>
      <c r="EG3102" s="15" t="n">
        <v>40</v>
      </c>
      <c r="FC3102" s="15" t="n">
        <v>40</v>
      </c>
      <c r="FY3102" s="15" t="n">
        <v>40</v>
      </c>
      <c r="GU3102" s="15" t="n">
        <v>40</v>
      </c>
    </row>
    <row r="3103">
      <c r="C3103" s="15" t="n">
        <v>41</v>
      </c>
      <c r="AA3103" s="15" t="n">
        <v>41</v>
      </c>
      <c r="AW3103" s="15" t="n">
        <v>41</v>
      </c>
      <c r="BS3103" s="15" t="n">
        <v>41</v>
      </c>
      <c r="CO3103" s="15" t="n">
        <v>41</v>
      </c>
      <c r="DK3103" s="15" t="n">
        <v>41</v>
      </c>
      <c r="EG3103" s="15" t="n">
        <v>41</v>
      </c>
      <c r="FC3103" s="15" t="n">
        <v>41</v>
      </c>
      <c r="FY3103" s="15" t="n">
        <v>41</v>
      </c>
      <c r="GU3103" s="15" t="n">
        <v>41</v>
      </c>
    </row>
    <row r="3104">
      <c r="C3104" s="15" t="n">
        <v>42</v>
      </c>
      <c r="AA3104" s="15" t="n">
        <v>42</v>
      </c>
      <c r="AW3104" s="15" t="n">
        <v>42</v>
      </c>
      <c r="BS3104" s="15" t="n">
        <v>42</v>
      </c>
      <c r="CO3104" s="15" t="n">
        <v>42</v>
      </c>
      <c r="DK3104" s="15" t="n">
        <v>42</v>
      </c>
      <c r="EG3104" s="15" t="n">
        <v>42</v>
      </c>
      <c r="FC3104" s="15" t="n">
        <v>42</v>
      </c>
      <c r="FY3104" s="15" t="n">
        <v>42</v>
      </c>
      <c r="GU3104" s="15" t="n">
        <v>42</v>
      </c>
    </row>
    <row r="3105">
      <c r="C3105" s="15" t="n">
        <v>43</v>
      </c>
      <c r="AA3105" s="15" t="n">
        <v>43</v>
      </c>
      <c r="AW3105" s="15" t="n">
        <v>43</v>
      </c>
      <c r="BS3105" s="15" t="n">
        <v>43</v>
      </c>
      <c r="CO3105" s="15" t="n">
        <v>43</v>
      </c>
      <c r="DK3105" s="15" t="n">
        <v>43</v>
      </c>
      <c r="EG3105" s="15" t="n">
        <v>43</v>
      </c>
      <c r="FC3105" s="15" t="n">
        <v>43</v>
      </c>
      <c r="FY3105" s="15" t="n">
        <v>43</v>
      </c>
      <c r="GU3105" s="15" t="n">
        <v>43</v>
      </c>
    </row>
    <row r="3106">
      <c r="C3106" s="15" t="n">
        <v>44</v>
      </c>
      <c r="AA3106" s="15" t="n">
        <v>44</v>
      </c>
      <c r="AW3106" s="15" t="n">
        <v>44</v>
      </c>
      <c r="BS3106" s="15" t="n">
        <v>44</v>
      </c>
      <c r="CO3106" s="15" t="n">
        <v>44</v>
      </c>
      <c r="DK3106" s="15" t="n">
        <v>44</v>
      </c>
      <c r="EG3106" s="15" t="n">
        <v>44</v>
      </c>
      <c r="FC3106" s="15" t="n">
        <v>44</v>
      </c>
      <c r="FY3106" s="15" t="n">
        <v>44</v>
      </c>
      <c r="GU3106" s="15" t="n">
        <v>44</v>
      </c>
    </row>
    <row r="3107">
      <c r="C3107" s="15" t="n">
        <v>45</v>
      </c>
      <c r="AA3107" s="15" t="n">
        <v>45</v>
      </c>
      <c r="AW3107" s="15" t="n">
        <v>45</v>
      </c>
      <c r="BS3107" s="15" t="n">
        <v>45</v>
      </c>
      <c r="CO3107" s="15" t="n">
        <v>45</v>
      </c>
      <c r="DK3107" s="15" t="n">
        <v>45</v>
      </c>
      <c r="EG3107" s="15" t="n">
        <v>45</v>
      </c>
      <c r="FC3107" s="15" t="n">
        <v>45</v>
      </c>
      <c r="FY3107" s="15" t="n">
        <v>45</v>
      </c>
      <c r="GU3107" s="15" t="n">
        <v>45</v>
      </c>
    </row>
    <row r="3108">
      <c r="C3108" s="15" t="n">
        <v>46</v>
      </c>
      <c r="AA3108" s="15" t="n">
        <v>46</v>
      </c>
      <c r="AW3108" s="15" t="n">
        <v>46</v>
      </c>
      <c r="BS3108" s="15" t="n">
        <v>46</v>
      </c>
      <c r="CO3108" s="15" t="n">
        <v>46</v>
      </c>
      <c r="DK3108" s="15" t="n">
        <v>46</v>
      </c>
      <c r="EG3108" s="15" t="n">
        <v>46</v>
      </c>
      <c r="FC3108" s="15" t="n">
        <v>46</v>
      </c>
      <c r="FY3108" s="15" t="n">
        <v>46</v>
      </c>
      <c r="GU3108" s="15" t="n">
        <v>46</v>
      </c>
    </row>
    <row r="3109">
      <c r="C3109" s="15" t="n">
        <v>47</v>
      </c>
      <c r="AA3109" s="15" t="n">
        <v>47</v>
      </c>
      <c r="AW3109" s="15" t="n">
        <v>47</v>
      </c>
      <c r="BS3109" s="15" t="n">
        <v>47</v>
      </c>
      <c r="CO3109" s="15" t="n">
        <v>47</v>
      </c>
      <c r="DK3109" s="15" t="n">
        <v>47</v>
      </c>
      <c r="EG3109" s="15" t="n">
        <v>47</v>
      </c>
      <c r="FC3109" s="15" t="n">
        <v>47</v>
      </c>
      <c r="FY3109" s="15" t="n">
        <v>47</v>
      </c>
      <c r="GU3109" s="15" t="n">
        <v>47</v>
      </c>
    </row>
    <row r="3110">
      <c r="C3110" s="15" t="n">
        <v>48</v>
      </c>
      <c r="AA3110" s="15" t="n">
        <v>48</v>
      </c>
      <c r="AW3110" s="15" t="n">
        <v>48</v>
      </c>
      <c r="BS3110" s="15" t="n">
        <v>48</v>
      </c>
      <c r="CO3110" s="15" t="n">
        <v>48</v>
      </c>
      <c r="DK3110" s="15" t="n">
        <v>48</v>
      </c>
      <c r="EG3110" s="15" t="n">
        <v>48</v>
      </c>
      <c r="FC3110" s="15" t="n">
        <v>48</v>
      </c>
      <c r="FY3110" s="15" t="n">
        <v>48</v>
      </c>
      <c r="GU3110" s="15" t="n">
        <v>48</v>
      </c>
    </row>
    <row r="3111">
      <c r="C3111" s="15" t="n">
        <v>49</v>
      </c>
      <c r="AA3111" s="15" t="n">
        <v>49</v>
      </c>
      <c r="AW3111" s="15" t="n">
        <v>49</v>
      </c>
      <c r="BS3111" s="15" t="n">
        <v>49</v>
      </c>
      <c r="CO3111" s="15" t="n">
        <v>49</v>
      </c>
      <c r="DK3111" s="15" t="n">
        <v>49</v>
      </c>
      <c r="EG3111" s="15" t="n">
        <v>49</v>
      </c>
      <c r="FC3111" s="15" t="n">
        <v>49</v>
      </c>
      <c r="FY3111" s="15" t="n">
        <v>49</v>
      </c>
      <c r="GU3111" s="15" t="n">
        <v>49</v>
      </c>
    </row>
    <row r="3112">
      <c r="C3112" s="15" t="n">
        <v>50</v>
      </c>
      <c r="AA3112" s="15" t="n">
        <v>50</v>
      </c>
      <c r="AW3112" s="15" t="n">
        <v>50</v>
      </c>
      <c r="BS3112" s="15" t="n">
        <v>50</v>
      </c>
      <c r="CO3112" s="15" t="n">
        <v>50</v>
      </c>
      <c r="DK3112" s="15" t="n">
        <v>50</v>
      </c>
      <c r="EG3112" s="15" t="n">
        <v>50</v>
      </c>
      <c r="FC3112" s="15" t="n">
        <v>50</v>
      </c>
      <c r="FY3112" s="15" t="n">
        <v>50</v>
      </c>
      <c r="GU3112" s="15" t="n">
        <v>50</v>
      </c>
    </row>
    <row r="3113">
      <c r="C3113" s="15" t="n">
        <v>51</v>
      </c>
      <c r="AA3113" s="15" t="n">
        <v>51</v>
      </c>
      <c r="AW3113" s="15" t="n">
        <v>51</v>
      </c>
      <c r="BS3113" s="15" t="n">
        <v>51</v>
      </c>
      <c r="CO3113" s="15" t="n">
        <v>51</v>
      </c>
      <c r="DK3113" s="15" t="n">
        <v>51</v>
      </c>
      <c r="EG3113" s="15" t="n">
        <v>51</v>
      </c>
      <c r="FC3113" s="15" t="n">
        <v>51</v>
      </c>
      <c r="FY3113" s="15" t="n">
        <v>51</v>
      </c>
      <c r="GU3113" s="15" t="n">
        <v>51</v>
      </c>
    </row>
    <row r="3114">
      <c r="C3114" s="15" t="n">
        <v>52</v>
      </c>
      <c r="AA3114" s="15" t="n">
        <v>52</v>
      </c>
      <c r="AW3114" s="15" t="n">
        <v>52</v>
      </c>
      <c r="BS3114" s="15" t="n">
        <v>52</v>
      </c>
      <c r="CO3114" s="15" t="n">
        <v>52</v>
      </c>
      <c r="DK3114" s="15" t="n">
        <v>52</v>
      </c>
      <c r="EG3114" s="15" t="n">
        <v>52</v>
      </c>
      <c r="FC3114" s="15" t="n">
        <v>52</v>
      </c>
      <c r="FY3114" s="15" t="n">
        <v>52</v>
      </c>
      <c r="GU3114" s="15" t="n">
        <v>52</v>
      </c>
    </row>
    <row r="3115">
      <c r="C3115" s="15" t="n">
        <v>53</v>
      </c>
      <c r="AA3115" s="15" t="n">
        <v>53</v>
      </c>
      <c r="AW3115" s="15" t="n">
        <v>53</v>
      </c>
      <c r="BS3115" s="15" t="n">
        <v>53</v>
      </c>
      <c r="CO3115" s="15" t="n">
        <v>53</v>
      </c>
      <c r="DK3115" s="15" t="n">
        <v>53</v>
      </c>
      <c r="EG3115" s="15" t="n">
        <v>53</v>
      </c>
      <c r="FC3115" s="15" t="n">
        <v>53</v>
      </c>
      <c r="FY3115" s="15" t="n">
        <v>53</v>
      </c>
      <c r="GU3115" s="15" t="n">
        <v>53</v>
      </c>
    </row>
    <row r="3116">
      <c r="C3116" s="15" t="n">
        <v>54</v>
      </c>
      <c r="AA3116" s="15" t="n">
        <v>54</v>
      </c>
      <c r="AW3116" s="15" t="n">
        <v>54</v>
      </c>
      <c r="BS3116" s="15" t="n">
        <v>54</v>
      </c>
      <c r="CO3116" s="15" t="n">
        <v>54</v>
      </c>
      <c r="DK3116" s="15" t="n">
        <v>54</v>
      </c>
      <c r="EG3116" s="15" t="n">
        <v>54</v>
      </c>
      <c r="FC3116" s="15" t="n">
        <v>54</v>
      </c>
      <c r="FY3116" s="15" t="n">
        <v>54</v>
      </c>
      <c r="GU3116" s="15" t="n">
        <v>54</v>
      </c>
    </row>
    <row r="3117">
      <c r="C3117" s="15" t="n">
        <v>55</v>
      </c>
      <c r="AA3117" s="15" t="n">
        <v>55</v>
      </c>
      <c r="AW3117" s="15" t="n">
        <v>55</v>
      </c>
      <c r="BS3117" s="15" t="n">
        <v>55</v>
      </c>
      <c r="CO3117" s="15" t="n">
        <v>55</v>
      </c>
      <c r="DK3117" s="15" t="n">
        <v>55</v>
      </c>
      <c r="EG3117" s="15" t="n">
        <v>55</v>
      </c>
      <c r="FC3117" s="15" t="n">
        <v>55</v>
      </c>
      <c r="FY3117" s="15" t="n">
        <v>55</v>
      </c>
      <c r="GU3117" s="15" t="n">
        <v>55</v>
      </c>
    </row>
    <row r="3118">
      <c r="C3118" s="15" t="n">
        <v>56</v>
      </c>
      <c r="AA3118" s="15" t="n">
        <v>56</v>
      </c>
      <c r="AW3118" s="15" t="n">
        <v>56</v>
      </c>
      <c r="BS3118" s="15" t="n">
        <v>56</v>
      </c>
      <c r="CO3118" s="15" t="n">
        <v>56</v>
      </c>
      <c r="DK3118" s="15" t="n">
        <v>56</v>
      </c>
      <c r="EG3118" s="15" t="n">
        <v>56</v>
      </c>
      <c r="FC3118" s="15" t="n">
        <v>56</v>
      </c>
      <c r="FY3118" s="15" t="n">
        <v>56</v>
      </c>
      <c r="GU3118" s="15" t="n">
        <v>56</v>
      </c>
    </row>
    <row r="3119">
      <c r="C3119" s="15" t="n">
        <v>57</v>
      </c>
      <c r="AA3119" s="15" t="n">
        <v>57</v>
      </c>
      <c r="AW3119" s="15" t="n">
        <v>57</v>
      </c>
      <c r="BS3119" s="15" t="n">
        <v>57</v>
      </c>
      <c r="CO3119" s="15" t="n">
        <v>57</v>
      </c>
      <c r="DK3119" s="15" t="n">
        <v>57</v>
      </c>
      <c r="EG3119" s="15" t="n">
        <v>57</v>
      </c>
      <c r="FC3119" s="15" t="n">
        <v>57</v>
      </c>
      <c r="FY3119" s="15" t="n">
        <v>57</v>
      </c>
      <c r="GU3119" s="15" t="n">
        <v>57</v>
      </c>
    </row>
    <row r="3120">
      <c r="C3120" s="15" t="n">
        <v>58</v>
      </c>
      <c r="AA3120" s="15" t="n">
        <v>58</v>
      </c>
      <c r="AW3120" s="15" t="n">
        <v>58</v>
      </c>
      <c r="BS3120" s="15" t="n">
        <v>58</v>
      </c>
      <c r="CO3120" s="15" t="n">
        <v>58</v>
      </c>
      <c r="DK3120" s="15" t="n">
        <v>58</v>
      </c>
      <c r="EG3120" s="15" t="n">
        <v>58</v>
      </c>
      <c r="FC3120" s="15" t="n">
        <v>58</v>
      </c>
      <c r="FY3120" s="15" t="n">
        <v>58</v>
      </c>
      <c r="GU3120" s="15" t="n">
        <v>58</v>
      </c>
    </row>
    <row r="3121">
      <c r="C3121" s="15" t="n">
        <v>59</v>
      </c>
      <c r="AA3121" s="15" t="n">
        <v>59</v>
      </c>
      <c r="AW3121" s="15" t="n">
        <v>59</v>
      </c>
      <c r="BS3121" s="15" t="n">
        <v>59</v>
      </c>
      <c r="CO3121" s="15" t="n">
        <v>59</v>
      </c>
      <c r="DK3121" s="15" t="n">
        <v>59</v>
      </c>
      <c r="EG3121" s="15" t="n">
        <v>59</v>
      </c>
      <c r="FC3121" s="15" t="n">
        <v>59</v>
      </c>
      <c r="FY3121" s="15" t="n">
        <v>59</v>
      </c>
      <c r="GU3121" s="15" t="n">
        <v>59</v>
      </c>
    </row>
    <row r="3122">
      <c r="C3122" s="15" t="n">
        <v>60</v>
      </c>
      <c r="AA3122" s="15" t="n">
        <v>60</v>
      </c>
      <c r="AW3122" s="15" t="n">
        <v>60</v>
      </c>
      <c r="BS3122" s="15" t="n">
        <v>60</v>
      </c>
      <c r="CO3122" s="15" t="n">
        <v>60</v>
      </c>
      <c r="DK3122" s="15" t="n">
        <v>60</v>
      </c>
      <c r="EG3122" s="15" t="n">
        <v>60</v>
      </c>
      <c r="FC3122" s="15" t="n">
        <v>60</v>
      </c>
      <c r="FY3122" s="15" t="n">
        <v>60</v>
      </c>
      <c r="GU3122" s="15" t="n">
        <v>60</v>
      </c>
    </row>
    <row r="3123">
      <c r="C3123" s="15" t="n">
        <v>61</v>
      </c>
      <c r="AA3123" s="15" t="n">
        <v>61</v>
      </c>
      <c r="AW3123" s="15" t="n">
        <v>61</v>
      </c>
      <c r="BS3123" s="15" t="n">
        <v>61</v>
      </c>
      <c r="CO3123" s="15" t="n">
        <v>61</v>
      </c>
      <c r="DK3123" s="15" t="n">
        <v>61</v>
      </c>
      <c r="EG3123" s="15" t="n">
        <v>61</v>
      </c>
      <c r="FC3123" s="15" t="n">
        <v>61</v>
      </c>
      <c r="FY3123" s="15" t="n">
        <v>61</v>
      </c>
      <c r="GU3123" s="15" t="n">
        <v>61</v>
      </c>
    </row>
    <row r="3124">
      <c r="C3124" s="15" t="n">
        <v>62</v>
      </c>
      <c r="AA3124" s="15" t="n">
        <v>62</v>
      </c>
      <c r="AW3124" s="15" t="n">
        <v>62</v>
      </c>
      <c r="BS3124" s="15" t="n">
        <v>62</v>
      </c>
      <c r="CO3124" s="15" t="n">
        <v>62</v>
      </c>
      <c r="DK3124" s="15" t="n">
        <v>62</v>
      </c>
      <c r="EG3124" s="15" t="n">
        <v>62</v>
      </c>
      <c r="FC3124" s="15" t="n">
        <v>62</v>
      </c>
      <c r="FY3124" s="15" t="n">
        <v>62</v>
      </c>
      <c r="GU3124" s="15" t="n">
        <v>62</v>
      </c>
    </row>
    <row r="3125">
      <c r="C3125" s="15" t="n">
        <v>63</v>
      </c>
      <c r="AA3125" s="15" t="n">
        <v>63</v>
      </c>
      <c r="AW3125" s="15" t="n">
        <v>63</v>
      </c>
      <c r="BS3125" s="15" t="n">
        <v>63</v>
      </c>
      <c r="CO3125" s="15" t="n">
        <v>63</v>
      </c>
      <c r="DK3125" s="15" t="n">
        <v>63</v>
      </c>
      <c r="EG3125" s="15" t="n">
        <v>63</v>
      </c>
      <c r="FC3125" s="15" t="n">
        <v>63</v>
      </c>
      <c r="FY3125" s="15" t="n">
        <v>63</v>
      </c>
      <c r="GU3125" s="15" t="n">
        <v>63</v>
      </c>
    </row>
    <row r="3126">
      <c r="C3126" s="15" t="n">
        <v>64</v>
      </c>
      <c r="AA3126" s="15" t="n">
        <v>64</v>
      </c>
      <c r="AW3126" s="15" t="n">
        <v>64</v>
      </c>
      <c r="BS3126" s="15" t="n">
        <v>64</v>
      </c>
      <c r="CO3126" s="15" t="n">
        <v>64</v>
      </c>
      <c r="DK3126" s="15" t="n">
        <v>64</v>
      </c>
      <c r="EG3126" s="15" t="n">
        <v>64</v>
      </c>
      <c r="FC3126" s="15" t="n">
        <v>64</v>
      </c>
      <c r="FY3126" s="15" t="n">
        <v>64</v>
      </c>
      <c r="GU3126" s="15" t="n">
        <v>64</v>
      </c>
    </row>
    <row r="3127">
      <c r="C3127" s="15" t="n">
        <v>65</v>
      </c>
      <c r="AA3127" s="15" t="n">
        <v>65</v>
      </c>
      <c r="AW3127" s="15" t="n">
        <v>65</v>
      </c>
      <c r="BS3127" s="15" t="n">
        <v>65</v>
      </c>
      <c r="CO3127" s="15" t="n">
        <v>65</v>
      </c>
      <c r="DK3127" s="15" t="n">
        <v>65</v>
      </c>
      <c r="EG3127" s="15" t="n">
        <v>65</v>
      </c>
      <c r="FC3127" s="15" t="n">
        <v>65</v>
      </c>
      <c r="FY3127" s="15" t="n">
        <v>65</v>
      </c>
      <c r="GU3127" s="15" t="n">
        <v>65</v>
      </c>
    </row>
    <row r="3128">
      <c r="C3128" s="15" t="n">
        <v>66</v>
      </c>
      <c r="AA3128" s="15" t="n">
        <v>66</v>
      </c>
      <c r="AW3128" s="15" t="n">
        <v>66</v>
      </c>
      <c r="BS3128" s="15" t="n">
        <v>66</v>
      </c>
      <c r="CO3128" s="15" t="n">
        <v>66</v>
      </c>
      <c r="DK3128" s="15" t="n">
        <v>66</v>
      </c>
      <c r="EG3128" s="15" t="n">
        <v>66</v>
      </c>
      <c r="FC3128" s="15" t="n">
        <v>66</v>
      </c>
      <c r="FY3128" s="15" t="n">
        <v>66</v>
      </c>
      <c r="GU3128" s="15" t="n">
        <v>66</v>
      </c>
    </row>
    <row r="3129">
      <c r="C3129" s="15" t="n">
        <v>67</v>
      </c>
      <c r="AA3129" s="15" t="n">
        <v>67</v>
      </c>
      <c r="AW3129" s="15" t="n">
        <v>67</v>
      </c>
      <c r="BS3129" s="15" t="n">
        <v>67</v>
      </c>
      <c r="CO3129" s="15" t="n">
        <v>67</v>
      </c>
      <c r="DK3129" s="15" t="n">
        <v>67</v>
      </c>
      <c r="EG3129" s="15" t="n">
        <v>67</v>
      </c>
      <c r="FC3129" s="15" t="n">
        <v>67</v>
      </c>
      <c r="FY3129" s="15" t="n">
        <v>67</v>
      </c>
      <c r="GU3129" s="15" t="n">
        <v>67</v>
      </c>
    </row>
    <row r="3130">
      <c r="C3130" s="15" t="n">
        <v>68</v>
      </c>
      <c r="AA3130" s="15" t="n">
        <v>68</v>
      </c>
      <c r="AW3130" s="15" t="n">
        <v>68</v>
      </c>
      <c r="BS3130" s="15" t="n">
        <v>68</v>
      </c>
      <c r="CO3130" s="15" t="n">
        <v>68</v>
      </c>
      <c r="DK3130" s="15" t="n">
        <v>68</v>
      </c>
      <c r="EG3130" s="15" t="n">
        <v>68</v>
      </c>
      <c r="FC3130" s="15" t="n">
        <v>68</v>
      </c>
      <c r="FY3130" s="15" t="n">
        <v>68</v>
      </c>
      <c r="GU3130" s="15" t="n">
        <v>68</v>
      </c>
    </row>
    <row r="3131">
      <c r="C3131" s="15" t="n">
        <v>69</v>
      </c>
      <c r="AA3131" s="15" t="n">
        <v>69</v>
      </c>
      <c r="AW3131" s="15" t="n">
        <v>69</v>
      </c>
      <c r="BS3131" s="15" t="n">
        <v>69</v>
      </c>
      <c r="CO3131" s="15" t="n">
        <v>69</v>
      </c>
      <c r="DK3131" s="15" t="n">
        <v>69</v>
      </c>
      <c r="EG3131" s="15" t="n">
        <v>69</v>
      </c>
      <c r="FC3131" s="15" t="n">
        <v>69</v>
      </c>
      <c r="FY3131" s="15" t="n">
        <v>69</v>
      </c>
      <c r="GU3131" s="15" t="n">
        <v>69</v>
      </c>
    </row>
    <row r="3132">
      <c r="C3132" s="15" t="n">
        <v>70</v>
      </c>
      <c r="AA3132" s="15" t="n">
        <v>70</v>
      </c>
      <c r="AW3132" s="15" t="n">
        <v>70</v>
      </c>
      <c r="BS3132" s="15" t="n">
        <v>70</v>
      </c>
      <c r="CO3132" s="15" t="n">
        <v>70</v>
      </c>
      <c r="DK3132" s="15" t="n">
        <v>70</v>
      </c>
      <c r="EG3132" s="15" t="n">
        <v>70</v>
      </c>
      <c r="FC3132" s="15" t="n">
        <v>70</v>
      </c>
      <c r="FY3132" s="15" t="n">
        <v>70</v>
      </c>
      <c r="GU3132" s="15" t="n">
        <v>70</v>
      </c>
    </row>
    <row r="3133">
      <c r="C3133" s="15" t="n">
        <v>71</v>
      </c>
      <c r="AA3133" s="15" t="n">
        <v>71</v>
      </c>
      <c r="AW3133" s="15" t="n">
        <v>71</v>
      </c>
      <c r="BS3133" s="15" t="n">
        <v>71</v>
      </c>
      <c r="CO3133" s="15" t="n">
        <v>71</v>
      </c>
      <c r="DK3133" s="15" t="n">
        <v>71</v>
      </c>
      <c r="EG3133" s="15" t="n">
        <v>71</v>
      </c>
      <c r="FC3133" s="15" t="n">
        <v>71</v>
      </c>
      <c r="FY3133" s="15" t="n">
        <v>71</v>
      </c>
      <c r="GU3133" s="15" t="n">
        <v>71</v>
      </c>
    </row>
    <row r="3134">
      <c r="C3134" s="15" t="n">
        <v>72</v>
      </c>
      <c r="AA3134" s="15" t="n">
        <v>72</v>
      </c>
      <c r="AW3134" s="15" t="n">
        <v>72</v>
      </c>
      <c r="BS3134" s="15" t="n">
        <v>72</v>
      </c>
      <c r="CO3134" s="15" t="n">
        <v>72</v>
      </c>
      <c r="DK3134" s="15" t="n">
        <v>72</v>
      </c>
      <c r="EG3134" s="15" t="n">
        <v>72</v>
      </c>
      <c r="FC3134" s="15" t="n">
        <v>72</v>
      </c>
      <c r="FY3134" s="15" t="n">
        <v>72</v>
      </c>
      <c r="GU3134" s="15" t="n">
        <v>72</v>
      </c>
    </row>
    <row r="3135">
      <c r="C3135" s="15" t="n">
        <v>73</v>
      </c>
      <c r="AA3135" s="15" t="n">
        <v>73</v>
      </c>
      <c r="AW3135" s="15" t="n">
        <v>73</v>
      </c>
      <c r="BS3135" s="15" t="n">
        <v>73</v>
      </c>
      <c r="CO3135" s="15" t="n">
        <v>73</v>
      </c>
      <c r="DK3135" s="15" t="n">
        <v>73</v>
      </c>
      <c r="EG3135" s="15" t="n">
        <v>73</v>
      </c>
      <c r="FC3135" s="15" t="n">
        <v>73</v>
      </c>
      <c r="FY3135" s="15" t="n">
        <v>73</v>
      </c>
      <c r="GU3135" s="15" t="n">
        <v>73</v>
      </c>
    </row>
    <row r="3136">
      <c r="C3136" s="15" t="n">
        <v>74</v>
      </c>
      <c r="AA3136" s="15" t="n">
        <v>74</v>
      </c>
      <c r="AW3136" s="15" t="n">
        <v>74</v>
      </c>
      <c r="BS3136" s="15" t="n">
        <v>74</v>
      </c>
      <c r="CO3136" s="15" t="n">
        <v>74</v>
      </c>
      <c r="DK3136" s="15" t="n">
        <v>74</v>
      </c>
      <c r="EG3136" s="15" t="n">
        <v>74</v>
      </c>
      <c r="FC3136" s="15" t="n">
        <v>74</v>
      </c>
      <c r="FY3136" s="15" t="n">
        <v>74</v>
      </c>
      <c r="GU3136" s="15" t="n">
        <v>74</v>
      </c>
    </row>
    <row r="3137">
      <c r="C3137" s="15" t="n">
        <v>75</v>
      </c>
      <c r="AA3137" s="15" t="n">
        <v>75</v>
      </c>
      <c r="AW3137" s="15" t="n">
        <v>75</v>
      </c>
      <c r="BS3137" s="15" t="n">
        <v>75</v>
      </c>
      <c r="CO3137" s="15" t="n">
        <v>75</v>
      </c>
      <c r="DK3137" s="15" t="n">
        <v>75</v>
      </c>
      <c r="EG3137" s="15" t="n">
        <v>75</v>
      </c>
      <c r="FC3137" s="15" t="n">
        <v>75</v>
      </c>
      <c r="FY3137" s="15" t="n">
        <v>75</v>
      </c>
      <c r="GU3137" s="15" t="n">
        <v>75</v>
      </c>
    </row>
    <row r="3138">
      <c r="C3138" s="15" t="n">
        <v>76</v>
      </c>
      <c r="AA3138" s="15" t="n">
        <v>76</v>
      </c>
      <c r="AW3138" s="15" t="n">
        <v>76</v>
      </c>
      <c r="BS3138" s="15" t="n">
        <v>76</v>
      </c>
      <c r="CO3138" s="15" t="n">
        <v>76</v>
      </c>
      <c r="DK3138" s="15" t="n">
        <v>76</v>
      </c>
      <c r="EG3138" s="15" t="n">
        <v>76</v>
      </c>
      <c r="FC3138" s="15" t="n">
        <v>76</v>
      </c>
      <c r="FY3138" s="15" t="n">
        <v>76</v>
      </c>
      <c r="GU3138" s="15" t="n">
        <v>76</v>
      </c>
    </row>
    <row r="3139">
      <c r="C3139" s="15" t="n">
        <v>77</v>
      </c>
      <c r="AA3139" s="15" t="n">
        <v>77</v>
      </c>
      <c r="AW3139" s="15" t="n">
        <v>77</v>
      </c>
      <c r="BS3139" s="15" t="n">
        <v>77</v>
      </c>
      <c r="CO3139" s="15" t="n">
        <v>77</v>
      </c>
      <c r="DK3139" s="15" t="n">
        <v>77</v>
      </c>
      <c r="EG3139" s="15" t="n">
        <v>77</v>
      </c>
      <c r="FC3139" s="15" t="n">
        <v>77</v>
      </c>
      <c r="FY3139" s="15" t="n">
        <v>77</v>
      </c>
      <c r="GU3139" s="15" t="n">
        <v>77</v>
      </c>
    </row>
    <row r="3140">
      <c r="C3140" s="15" t="n">
        <v>78</v>
      </c>
      <c r="AA3140" s="15" t="n">
        <v>78</v>
      </c>
      <c r="AW3140" s="15" t="n">
        <v>78</v>
      </c>
      <c r="BS3140" s="15" t="n">
        <v>78</v>
      </c>
      <c r="CO3140" s="15" t="n">
        <v>78</v>
      </c>
      <c r="DK3140" s="15" t="n">
        <v>78</v>
      </c>
      <c r="EG3140" s="15" t="n">
        <v>78</v>
      </c>
      <c r="FC3140" s="15" t="n">
        <v>78</v>
      </c>
      <c r="FY3140" s="15" t="n">
        <v>78</v>
      </c>
      <c r="GU3140" s="15" t="n">
        <v>78</v>
      </c>
    </row>
    <row r="3141">
      <c r="C3141" s="15" t="n">
        <v>79</v>
      </c>
      <c r="AA3141" s="15" t="n">
        <v>79</v>
      </c>
      <c r="AW3141" s="15" t="n">
        <v>79</v>
      </c>
      <c r="BS3141" s="15" t="n">
        <v>79</v>
      </c>
      <c r="CO3141" s="15" t="n">
        <v>79</v>
      </c>
      <c r="DK3141" s="15" t="n">
        <v>79</v>
      </c>
      <c r="EG3141" s="15" t="n">
        <v>79</v>
      </c>
      <c r="FC3141" s="15" t="n">
        <v>79</v>
      </c>
      <c r="FY3141" s="15" t="n">
        <v>79</v>
      </c>
      <c r="GU3141" s="15" t="n">
        <v>79</v>
      </c>
    </row>
    <row r="3142">
      <c r="C3142" s="15" t="n">
        <v>80</v>
      </c>
      <c r="AA3142" s="15" t="n">
        <v>80</v>
      </c>
      <c r="AW3142" s="15" t="n">
        <v>80</v>
      </c>
      <c r="BS3142" s="15" t="n">
        <v>80</v>
      </c>
      <c r="CO3142" s="15" t="n">
        <v>80</v>
      </c>
      <c r="DK3142" s="15" t="n">
        <v>80</v>
      </c>
      <c r="EG3142" s="15" t="n">
        <v>80</v>
      </c>
      <c r="FC3142" s="15" t="n">
        <v>80</v>
      </c>
      <c r="FY3142" s="15" t="n">
        <v>80</v>
      </c>
      <c r="GU3142" s="15" t="n">
        <v>80</v>
      </c>
    </row>
    <row r="3143">
      <c r="C3143" s="15" t="n">
        <v>81</v>
      </c>
      <c r="AA3143" s="15" t="n">
        <v>81</v>
      </c>
      <c r="AW3143" s="15" t="n">
        <v>81</v>
      </c>
      <c r="BS3143" s="15" t="n">
        <v>81</v>
      </c>
      <c r="CO3143" s="15" t="n">
        <v>81</v>
      </c>
      <c r="DK3143" s="15" t="n">
        <v>81</v>
      </c>
      <c r="EG3143" s="15" t="n">
        <v>81</v>
      </c>
      <c r="FC3143" s="15" t="n">
        <v>81</v>
      </c>
      <c r="FY3143" s="15" t="n">
        <v>81</v>
      </c>
      <c r="GU3143" s="15" t="n">
        <v>81</v>
      </c>
    </row>
    <row r="3144">
      <c r="C3144" s="15" t="n">
        <v>82</v>
      </c>
      <c r="AA3144" s="15" t="n">
        <v>82</v>
      </c>
      <c r="AW3144" s="15" t="n">
        <v>82</v>
      </c>
      <c r="BS3144" s="15" t="n">
        <v>82</v>
      </c>
      <c r="CO3144" s="15" t="n">
        <v>82</v>
      </c>
      <c r="DK3144" s="15" t="n">
        <v>82</v>
      </c>
      <c r="EG3144" s="15" t="n">
        <v>82</v>
      </c>
      <c r="FC3144" s="15" t="n">
        <v>82</v>
      </c>
      <c r="FY3144" s="15" t="n">
        <v>82</v>
      </c>
      <c r="GU3144" s="15" t="n">
        <v>82</v>
      </c>
    </row>
    <row r="3145">
      <c r="C3145" s="15" t="n">
        <v>83</v>
      </c>
      <c r="AA3145" s="15" t="n">
        <v>83</v>
      </c>
      <c r="AW3145" s="15" t="n">
        <v>83</v>
      </c>
      <c r="BS3145" s="15" t="n">
        <v>83</v>
      </c>
      <c r="CO3145" s="15" t="n">
        <v>83</v>
      </c>
      <c r="DK3145" s="15" t="n">
        <v>83</v>
      </c>
      <c r="EG3145" s="15" t="n">
        <v>83</v>
      </c>
      <c r="FC3145" s="15" t="n">
        <v>83</v>
      </c>
      <c r="FY3145" s="15" t="n">
        <v>83</v>
      </c>
      <c r="GU3145" s="15" t="n">
        <v>83</v>
      </c>
    </row>
    <row r="3146">
      <c r="C3146" s="15" t="n">
        <v>84</v>
      </c>
      <c r="AA3146" s="15" t="n">
        <v>84</v>
      </c>
      <c r="AW3146" s="15" t="n">
        <v>84</v>
      </c>
      <c r="BS3146" s="15" t="n">
        <v>84</v>
      </c>
      <c r="CO3146" s="15" t="n">
        <v>84</v>
      </c>
      <c r="DK3146" s="15" t="n">
        <v>84</v>
      </c>
      <c r="EG3146" s="15" t="n">
        <v>84</v>
      </c>
      <c r="FC3146" s="15" t="n">
        <v>84</v>
      </c>
      <c r="FY3146" s="15" t="n">
        <v>84</v>
      </c>
      <c r="GU3146" s="15" t="n">
        <v>84</v>
      </c>
    </row>
    <row r="3147">
      <c r="C3147" s="15" t="n">
        <v>85</v>
      </c>
      <c r="AA3147" s="15" t="n">
        <v>85</v>
      </c>
      <c r="AW3147" s="15" t="n">
        <v>85</v>
      </c>
      <c r="BS3147" s="15" t="n">
        <v>85</v>
      </c>
      <c r="CO3147" s="15" t="n">
        <v>85</v>
      </c>
      <c r="DK3147" s="15" t="n">
        <v>85</v>
      </c>
      <c r="EG3147" s="15" t="n">
        <v>85</v>
      </c>
      <c r="FC3147" s="15" t="n">
        <v>85</v>
      </c>
      <c r="FY3147" s="15" t="n">
        <v>85</v>
      </c>
      <c r="GU3147" s="15" t="n">
        <v>85</v>
      </c>
    </row>
    <row r="3148">
      <c r="C3148" s="15" t="n">
        <v>86</v>
      </c>
      <c r="AA3148" s="15" t="n">
        <v>86</v>
      </c>
      <c r="AW3148" s="15" t="n">
        <v>86</v>
      </c>
      <c r="BS3148" s="15" t="n">
        <v>86</v>
      </c>
      <c r="CO3148" s="15" t="n">
        <v>86</v>
      </c>
      <c r="DK3148" s="15" t="n">
        <v>86</v>
      </c>
      <c r="EG3148" s="15" t="n">
        <v>86</v>
      </c>
      <c r="FC3148" s="15" t="n">
        <v>86</v>
      </c>
      <c r="FY3148" s="15" t="n">
        <v>86</v>
      </c>
      <c r="GU3148" s="15" t="n">
        <v>86</v>
      </c>
    </row>
    <row r="3149">
      <c r="C3149" s="15" t="n">
        <v>87</v>
      </c>
      <c r="AA3149" s="15" t="n">
        <v>87</v>
      </c>
      <c r="AW3149" s="15" t="n">
        <v>87</v>
      </c>
      <c r="BS3149" s="15" t="n">
        <v>87</v>
      </c>
      <c r="CO3149" s="15" t="n">
        <v>87</v>
      </c>
      <c r="DK3149" s="15" t="n">
        <v>87</v>
      </c>
      <c r="EG3149" s="15" t="n">
        <v>87</v>
      </c>
      <c r="FC3149" s="15" t="n">
        <v>87</v>
      </c>
      <c r="FY3149" s="15" t="n">
        <v>87</v>
      </c>
      <c r="GU3149" s="15" t="n">
        <v>87</v>
      </c>
    </row>
    <row r="3150">
      <c r="C3150" s="15" t="n">
        <v>88</v>
      </c>
      <c r="AA3150" s="15" t="n">
        <v>88</v>
      </c>
      <c r="AW3150" s="15" t="n">
        <v>88</v>
      </c>
      <c r="BS3150" s="15" t="n">
        <v>88</v>
      </c>
      <c r="CO3150" s="15" t="n">
        <v>88</v>
      </c>
      <c r="DK3150" s="15" t="n">
        <v>88</v>
      </c>
      <c r="EG3150" s="15" t="n">
        <v>88</v>
      </c>
      <c r="FC3150" s="15" t="n">
        <v>88</v>
      </c>
      <c r="FY3150" s="15" t="n">
        <v>88</v>
      </c>
      <c r="GU3150" s="15" t="n">
        <v>88</v>
      </c>
    </row>
    <row r="3151">
      <c r="C3151" s="15" t="n">
        <v>89</v>
      </c>
      <c r="AA3151" s="15" t="n">
        <v>89</v>
      </c>
      <c r="AW3151" s="15" t="n">
        <v>89</v>
      </c>
      <c r="BS3151" s="15" t="n">
        <v>89</v>
      </c>
      <c r="CO3151" s="15" t="n">
        <v>89</v>
      </c>
      <c r="DK3151" s="15" t="n">
        <v>89</v>
      </c>
      <c r="EG3151" s="15" t="n">
        <v>89</v>
      </c>
      <c r="FC3151" s="15" t="n">
        <v>89</v>
      </c>
      <c r="FY3151" s="15" t="n">
        <v>89</v>
      </c>
      <c r="GU3151" s="15" t="n">
        <v>89</v>
      </c>
    </row>
    <row r="3152">
      <c r="C3152" s="15" t="n">
        <v>90</v>
      </c>
      <c r="AA3152" s="15" t="n">
        <v>90</v>
      </c>
      <c r="AW3152" s="15" t="n">
        <v>90</v>
      </c>
      <c r="BS3152" s="15" t="n">
        <v>90</v>
      </c>
      <c r="CO3152" s="15" t="n">
        <v>90</v>
      </c>
      <c r="DK3152" s="15" t="n">
        <v>90</v>
      </c>
      <c r="EG3152" s="15" t="n">
        <v>90</v>
      </c>
      <c r="FC3152" s="15" t="n">
        <v>90</v>
      </c>
      <c r="FY3152" s="15" t="n">
        <v>90</v>
      </c>
      <c r="GU3152" s="15" t="n">
        <v>90</v>
      </c>
    </row>
    <row r="3153">
      <c r="C3153" s="15" t="n">
        <v>91</v>
      </c>
      <c r="AA3153" s="15" t="n">
        <v>91</v>
      </c>
      <c r="AW3153" s="15" t="n">
        <v>91</v>
      </c>
      <c r="BS3153" s="15" t="n">
        <v>91</v>
      </c>
      <c r="CO3153" s="15" t="n">
        <v>91</v>
      </c>
      <c r="DK3153" s="15" t="n">
        <v>91</v>
      </c>
      <c r="EG3153" s="15" t="n">
        <v>91</v>
      </c>
      <c r="FC3153" s="15" t="n">
        <v>91</v>
      </c>
      <c r="FY3153" s="15" t="n">
        <v>91</v>
      </c>
      <c r="GU3153" s="15" t="n">
        <v>91</v>
      </c>
    </row>
    <row r="3154">
      <c r="C3154" s="15" t="n">
        <v>92</v>
      </c>
      <c r="AA3154" s="15" t="n">
        <v>92</v>
      </c>
      <c r="AW3154" s="15" t="n">
        <v>92</v>
      </c>
      <c r="BS3154" s="15" t="n">
        <v>92</v>
      </c>
      <c r="CO3154" s="15" t="n">
        <v>92</v>
      </c>
      <c r="DK3154" s="15" t="n">
        <v>92</v>
      </c>
      <c r="EG3154" s="15" t="n">
        <v>92</v>
      </c>
      <c r="FC3154" s="15" t="n">
        <v>92</v>
      </c>
      <c r="FY3154" s="15" t="n">
        <v>92</v>
      </c>
      <c r="GU3154" s="15" t="n">
        <v>92</v>
      </c>
    </row>
    <row r="3155">
      <c r="C3155" s="15" t="n">
        <v>93</v>
      </c>
      <c r="AA3155" s="15" t="n">
        <v>93</v>
      </c>
      <c r="AW3155" s="15" t="n">
        <v>93</v>
      </c>
      <c r="BS3155" s="15" t="n">
        <v>93</v>
      </c>
      <c r="CO3155" s="15" t="n">
        <v>93</v>
      </c>
      <c r="DK3155" s="15" t="n">
        <v>93</v>
      </c>
      <c r="EG3155" s="15" t="n">
        <v>93</v>
      </c>
      <c r="FC3155" s="15" t="n">
        <v>93</v>
      </c>
      <c r="FY3155" s="15" t="n">
        <v>93</v>
      </c>
      <c r="GU3155" s="15" t="n">
        <v>93</v>
      </c>
    </row>
    <row r="3156">
      <c r="C3156" s="15" t="n">
        <v>94</v>
      </c>
      <c r="AA3156" s="15" t="n">
        <v>94</v>
      </c>
      <c r="AW3156" s="15" t="n">
        <v>94</v>
      </c>
      <c r="BS3156" s="15" t="n">
        <v>94</v>
      </c>
      <c r="CO3156" s="15" t="n">
        <v>94</v>
      </c>
      <c r="DK3156" s="15" t="n">
        <v>94</v>
      </c>
      <c r="EG3156" s="15" t="n">
        <v>94</v>
      </c>
      <c r="FC3156" s="15" t="n">
        <v>94</v>
      </c>
      <c r="FY3156" s="15" t="n">
        <v>94</v>
      </c>
      <c r="GU3156" s="15" t="n">
        <v>94</v>
      </c>
    </row>
    <row r="3157">
      <c r="C3157" s="15" t="n">
        <v>95</v>
      </c>
      <c r="AA3157" s="15" t="n">
        <v>95</v>
      </c>
      <c r="AW3157" s="15" t="n">
        <v>95</v>
      </c>
      <c r="BS3157" s="15" t="n">
        <v>95</v>
      </c>
      <c r="CO3157" s="15" t="n">
        <v>95</v>
      </c>
      <c r="DK3157" s="15" t="n">
        <v>95</v>
      </c>
      <c r="EG3157" s="15" t="n">
        <v>95</v>
      </c>
      <c r="FC3157" s="15" t="n">
        <v>95</v>
      </c>
      <c r="FY3157" s="15" t="n">
        <v>95</v>
      </c>
      <c r="GU3157" s="15" t="n">
        <v>95</v>
      </c>
    </row>
    <row r="3158">
      <c r="C3158" s="15" t="n">
        <v>96</v>
      </c>
      <c r="AA3158" s="15" t="n">
        <v>96</v>
      </c>
      <c r="AW3158" s="15" t="n">
        <v>96</v>
      </c>
      <c r="BS3158" s="15" t="n">
        <v>96</v>
      </c>
      <c r="CO3158" s="15" t="n">
        <v>96</v>
      </c>
      <c r="DK3158" s="15" t="n">
        <v>96</v>
      </c>
      <c r="EG3158" s="15" t="n">
        <v>96</v>
      </c>
      <c r="FC3158" s="15" t="n">
        <v>96</v>
      </c>
      <c r="FY3158" s="15" t="n">
        <v>96</v>
      </c>
      <c r="GU3158" s="15" t="n">
        <v>96</v>
      </c>
    </row>
    <row r="3159">
      <c r="C3159" s="15" t="n">
        <v>97</v>
      </c>
      <c r="AA3159" s="15" t="n">
        <v>97</v>
      </c>
      <c r="AW3159" s="15" t="n">
        <v>97</v>
      </c>
      <c r="BS3159" s="15" t="n">
        <v>97</v>
      </c>
      <c r="CO3159" s="15" t="n">
        <v>97</v>
      </c>
      <c r="DK3159" s="15" t="n">
        <v>97</v>
      </c>
      <c r="EG3159" s="15" t="n">
        <v>97</v>
      </c>
      <c r="FC3159" s="15" t="n">
        <v>97</v>
      </c>
      <c r="FY3159" s="15" t="n">
        <v>97</v>
      </c>
      <c r="GU3159" s="15" t="n">
        <v>97</v>
      </c>
    </row>
    <row r="3160">
      <c r="C3160" s="15" t="n">
        <v>98</v>
      </c>
      <c r="AA3160" s="15" t="n">
        <v>98</v>
      </c>
      <c r="AW3160" s="15" t="n">
        <v>98</v>
      </c>
      <c r="BS3160" s="15" t="n">
        <v>98</v>
      </c>
      <c r="CO3160" s="15" t="n">
        <v>98</v>
      </c>
      <c r="DK3160" s="15" t="n">
        <v>98</v>
      </c>
      <c r="EG3160" s="15" t="n">
        <v>98</v>
      </c>
      <c r="FC3160" s="15" t="n">
        <v>98</v>
      </c>
      <c r="FY3160" s="15" t="n">
        <v>98</v>
      </c>
      <c r="GU3160" s="15" t="n">
        <v>98</v>
      </c>
    </row>
    <row r="3161">
      <c r="C3161" s="15" t="n">
        <v>99</v>
      </c>
      <c r="AA3161" s="15" t="n">
        <v>99</v>
      </c>
      <c r="AW3161" s="15" t="n">
        <v>99</v>
      </c>
      <c r="BS3161" s="15" t="n">
        <v>99</v>
      </c>
      <c r="CO3161" s="15" t="n">
        <v>99</v>
      </c>
      <c r="DK3161" s="15" t="n">
        <v>99</v>
      </c>
      <c r="EG3161" s="15" t="n">
        <v>99</v>
      </c>
      <c r="FC3161" s="15" t="n">
        <v>99</v>
      </c>
      <c r="FY3161" s="15" t="n">
        <v>99</v>
      </c>
      <c r="GU3161" s="15" t="n">
        <v>99</v>
      </c>
    </row>
    <row r="3162">
      <c r="C3162" s="15" t="n">
        <v>100</v>
      </c>
      <c r="AA3162" s="15" t="n">
        <v>100</v>
      </c>
      <c r="AW3162" s="15" t="n">
        <v>100</v>
      </c>
      <c r="BS3162" s="15" t="n">
        <v>100</v>
      </c>
      <c r="CO3162" s="15" t="n">
        <v>100</v>
      </c>
      <c r="DK3162" s="15" t="n">
        <v>100</v>
      </c>
      <c r="EG3162" s="15" t="n">
        <v>100</v>
      </c>
      <c r="FC3162" s="15" t="n">
        <v>100</v>
      </c>
      <c r="FY3162" s="15" t="n">
        <v>100</v>
      </c>
      <c r="GU3162" s="15" t="n">
        <v>100</v>
      </c>
    </row>
    <row r="3163">
      <c r="C3163" s="15" t="n">
        <v>101</v>
      </c>
      <c r="AA3163" s="15" t="n">
        <v>101</v>
      </c>
      <c r="AW3163" s="15" t="n">
        <v>101</v>
      </c>
      <c r="BS3163" s="15" t="n">
        <v>101</v>
      </c>
      <c r="CO3163" s="15" t="n">
        <v>101</v>
      </c>
      <c r="DK3163" s="15" t="n">
        <v>101</v>
      </c>
      <c r="EG3163" s="15" t="n">
        <v>101</v>
      </c>
      <c r="FC3163" s="15" t="n">
        <v>101</v>
      </c>
      <c r="FY3163" s="15" t="n">
        <v>101</v>
      </c>
      <c r="GU3163" s="15" t="n">
        <v>101</v>
      </c>
    </row>
    <row r="3164">
      <c r="C3164" s="15" t="n">
        <v>102</v>
      </c>
      <c r="AA3164" s="15" t="n">
        <v>102</v>
      </c>
      <c r="AW3164" s="15" t="n">
        <v>102</v>
      </c>
      <c r="BS3164" s="15" t="n">
        <v>102</v>
      </c>
      <c r="CO3164" s="15" t="n">
        <v>102</v>
      </c>
      <c r="DK3164" s="15" t="n">
        <v>102</v>
      </c>
      <c r="EG3164" s="15" t="n">
        <v>102</v>
      </c>
      <c r="FC3164" s="15" t="n">
        <v>102</v>
      </c>
      <c r="FY3164" s="15" t="n">
        <v>102</v>
      </c>
      <c r="GU3164" s="15" t="n">
        <v>102</v>
      </c>
    </row>
    <row r="3165">
      <c r="C3165" s="15" t="n">
        <v>103</v>
      </c>
      <c r="AA3165" s="15" t="n">
        <v>103</v>
      </c>
      <c r="AW3165" s="15" t="n">
        <v>103</v>
      </c>
      <c r="BS3165" s="15" t="n">
        <v>103</v>
      </c>
      <c r="CO3165" s="15" t="n">
        <v>103</v>
      </c>
      <c r="DK3165" s="15" t="n">
        <v>103</v>
      </c>
      <c r="EG3165" s="15" t="n">
        <v>103</v>
      </c>
      <c r="FC3165" s="15" t="n">
        <v>103</v>
      </c>
      <c r="FY3165" s="15" t="n">
        <v>103</v>
      </c>
      <c r="GU3165" s="15" t="n">
        <v>103</v>
      </c>
    </row>
    <row r="3166">
      <c r="C3166" s="15" t="n">
        <v>104</v>
      </c>
      <c r="AA3166" s="15" t="n">
        <v>104</v>
      </c>
      <c r="AW3166" s="15" t="n">
        <v>104</v>
      </c>
      <c r="BS3166" s="15" t="n">
        <v>104</v>
      </c>
      <c r="CO3166" s="15" t="n">
        <v>104</v>
      </c>
      <c r="DK3166" s="15" t="n">
        <v>104</v>
      </c>
      <c r="EG3166" s="15" t="n">
        <v>104</v>
      </c>
      <c r="FC3166" s="15" t="n">
        <v>104</v>
      </c>
      <c r="FY3166" s="15" t="n">
        <v>104</v>
      </c>
      <c r="GU3166" s="15" t="n">
        <v>104</v>
      </c>
    </row>
    <row r="3167">
      <c r="C3167" s="15" t="n">
        <v>105</v>
      </c>
      <c r="AA3167" s="15" t="n">
        <v>105</v>
      </c>
      <c r="AW3167" s="15" t="n">
        <v>105</v>
      </c>
      <c r="BS3167" s="15" t="n">
        <v>105</v>
      </c>
      <c r="CO3167" s="15" t="n">
        <v>105</v>
      </c>
      <c r="DK3167" s="15" t="n">
        <v>105</v>
      </c>
      <c r="EG3167" s="15" t="n">
        <v>105</v>
      </c>
      <c r="FC3167" s="15" t="n">
        <v>105</v>
      </c>
      <c r="FY3167" s="15" t="n">
        <v>105</v>
      </c>
      <c r="GU3167" s="15" t="n">
        <v>105</v>
      </c>
    </row>
    <row r="3168">
      <c r="C3168" s="15" t="n">
        <v>106</v>
      </c>
      <c r="AA3168" s="15" t="n">
        <v>106</v>
      </c>
      <c r="AW3168" s="15" t="n">
        <v>106</v>
      </c>
      <c r="BS3168" s="15" t="n">
        <v>106</v>
      </c>
      <c r="CO3168" s="15" t="n">
        <v>106</v>
      </c>
      <c r="DK3168" s="15" t="n">
        <v>106</v>
      </c>
      <c r="EG3168" s="15" t="n">
        <v>106</v>
      </c>
      <c r="FC3168" s="15" t="n">
        <v>106</v>
      </c>
      <c r="FY3168" s="15" t="n">
        <v>106</v>
      </c>
      <c r="GU3168" s="15" t="n">
        <v>106</v>
      </c>
    </row>
    <row r="3169">
      <c r="C3169" s="15" t="n">
        <v>107</v>
      </c>
      <c r="AA3169" s="15" t="n">
        <v>107</v>
      </c>
      <c r="AW3169" s="15" t="n">
        <v>107</v>
      </c>
      <c r="BS3169" s="15" t="n">
        <v>107</v>
      </c>
      <c r="CO3169" s="15" t="n">
        <v>107</v>
      </c>
      <c r="DK3169" s="15" t="n">
        <v>107</v>
      </c>
      <c r="EG3169" s="15" t="n">
        <v>107</v>
      </c>
      <c r="FC3169" s="15" t="n">
        <v>107</v>
      </c>
      <c r="FY3169" s="15" t="n">
        <v>107</v>
      </c>
      <c r="GU3169" s="15" t="n">
        <v>107</v>
      </c>
    </row>
    <row r="3170">
      <c r="C3170" s="15" t="n">
        <v>108</v>
      </c>
      <c r="AA3170" s="15" t="n">
        <v>108</v>
      </c>
      <c r="AW3170" s="15" t="n">
        <v>108</v>
      </c>
      <c r="BS3170" s="15" t="n">
        <v>108</v>
      </c>
      <c r="CO3170" s="15" t="n">
        <v>108</v>
      </c>
      <c r="DK3170" s="15" t="n">
        <v>108</v>
      </c>
      <c r="EG3170" s="15" t="n">
        <v>108</v>
      </c>
      <c r="FC3170" s="15" t="n">
        <v>108</v>
      </c>
      <c r="FY3170" s="15" t="n">
        <v>108</v>
      </c>
      <c r="GU3170" s="15" t="n">
        <v>108</v>
      </c>
    </row>
    <row r="3171">
      <c r="C3171" s="15" t="n">
        <v>109</v>
      </c>
      <c r="AA3171" s="15" t="n">
        <v>109</v>
      </c>
      <c r="AW3171" s="15" t="n">
        <v>109</v>
      </c>
      <c r="BS3171" s="15" t="n">
        <v>109</v>
      </c>
      <c r="CO3171" s="15" t="n">
        <v>109</v>
      </c>
      <c r="DK3171" s="15" t="n">
        <v>109</v>
      </c>
      <c r="EG3171" s="15" t="n">
        <v>109</v>
      </c>
      <c r="FC3171" s="15" t="n">
        <v>109</v>
      </c>
      <c r="FY3171" s="15" t="n">
        <v>109</v>
      </c>
      <c r="GU3171" s="15" t="n">
        <v>109</v>
      </c>
    </row>
    <row r="3172">
      <c r="C3172" s="15" t="n">
        <v>110</v>
      </c>
      <c r="AA3172" s="15" t="n">
        <v>110</v>
      </c>
      <c r="AW3172" s="15" t="n">
        <v>110</v>
      </c>
      <c r="BS3172" s="15" t="n">
        <v>110</v>
      </c>
      <c r="CO3172" s="15" t="n">
        <v>110</v>
      </c>
      <c r="DK3172" s="15" t="n">
        <v>110</v>
      </c>
      <c r="EG3172" s="15" t="n">
        <v>110</v>
      </c>
      <c r="FC3172" s="15" t="n">
        <v>110</v>
      </c>
      <c r="FY3172" s="15" t="n">
        <v>110</v>
      </c>
      <c r="GU3172" s="15" t="n">
        <v>110</v>
      </c>
    </row>
    <row r="3173">
      <c r="C3173" s="15" t="n">
        <v>111</v>
      </c>
      <c r="AA3173" s="15" t="n">
        <v>111</v>
      </c>
      <c r="AW3173" s="15" t="n">
        <v>111</v>
      </c>
      <c r="BS3173" s="15" t="n">
        <v>111</v>
      </c>
      <c r="CO3173" s="15" t="n">
        <v>111</v>
      </c>
      <c r="DK3173" s="15" t="n">
        <v>111</v>
      </c>
      <c r="EG3173" s="15" t="n">
        <v>111</v>
      </c>
      <c r="FC3173" s="15" t="n">
        <v>111</v>
      </c>
      <c r="FY3173" s="15" t="n">
        <v>111</v>
      </c>
      <c r="GU3173" s="15" t="n">
        <v>111</v>
      </c>
    </row>
    <row r="3174">
      <c r="C3174" s="15" t="n">
        <v>112</v>
      </c>
      <c r="AA3174" s="15" t="n">
        <v>112</v>
      </c>
      <c r="AW3174" s="15" t="n">
        <v>112</v>
      </c>
      <c r="BS3174" s="15" t="n">
        <v>112</v>
      </c>
      <c r="CO3174" s="15" t="n">
        <v>112</v>
      </c>
      <c r="DK3174" s="15" t="n">
        <v>112</v>
      </c>
      <c r="EG3174" s="15" t="n">
        <v>112</v>
      </c>
      <c r="FC3174" s="15" t="n">
        <v>112</v>
      </c>
      <c r="FY3174" s="15" t="n">
        <v>112</v>
      </c>
      <c r="GU3174" s="15" t="n">
        <v>112</v>
      </c>
    </row>
    <row r="3175">
      <c r="C3175" s="15" t="n">
        <v>113</v>
      </c>
      <c r="AA3175" s="15" t="n">
        <v>113</v>
      </c>
      <c r="AW3175" s="15" t="n">
        <v>113</v>
      </c>
      <c r="BS3175" s="15" t="n">
        <v>113</v>
      </c>
      <c r="CO3175" s="15" t="n">
        <v>113</v>
      </c>
      <c r="DK3175" s="15" t="n">
        <v>113</v>
      </c>
      <c r="EG3175" s="15" t="n">
        <v>113</v>
      </c>
      <c r="FC3175" s="15" t="n">
        <v>113</v>
      </c>
      <c r="FY3175" s="15" t="n">
        <v>113</v>
      </c>
      <c r="GU3175" s="15" t="n">
        <v>113</v>
      </c>
    </row>
    <row r="3176">
      <c r="C3176" s="15" t="n">
        <v>114</v>
      </c>
      <c r="AA3176" s="15" t="n">
        <v>114</v>
      </c>
      <c r="AW3176" s="15" t="n">
        <v>114</v>
      </c>
      <c r="BS3176" s="15" t="n">
        <v>114</v>
      </c>
      <c r="CO3176" s="15" t="n">
        <v>114</v>
      </c>
      <c r="DK3176" s="15" t="n">
        <v>114</v>
      </c>
      <c r="EG3176" s="15" t="n">
        <v>114</v>
      </c>
      <c r="FC3176" s="15" t="n">
        <v>114</v>
      </c>
      <c r="FY3176" s="15" t="n">
        <v>114</v>
      </c>
      <c r="GU3176" s="15" t="n">
        <v>114</v>
      </c>
    </row>
    <row r="3177">
      <c r="C3177" s="15" t="n">
        <v>115</v>
      </c>
      <c r="AA3177" s="15" t="n">
        <v>115</v>
      </c>
      <c r="AW3177" s="15" t="n">
        <v>115</v>
      </c>
      <c r="BS3177" s="15" t="n">
        <v>115</v>
      </c>
      <c r="CO3177" s="15" t="n">
        <v>115</v>
      </c>
      <c r="DK3177" s="15" t="n">
        <v>115</v>
      </c>
      <c r="EG3177" s="15" t="n">
        <v>115</v>
      </c>
      <c r="FC3177" s="15" t="n">
        <v>115</v>
      </c>
      <c r="FY3177" s="15" t="n">
        <v>115</v>
      </c>
      <c r="GU3177" s="15" t="n">
        <v>115</v>
      </c>
    </row>
    <row r="3178">
      <c r="C3178" s="15" t="n">
        <v>116</v>
      </c>
      <c r="AA3178" s="15" t="n">
        <v>116</v>
      </c>
      <c r="AW3178" s="15" t="n">
        <v>116</v>
      </c>
      <c r="BS3178" s="15" t="n">
        <v>116</v>
      </c>
      <c r="CO3178" s="15" t="n">
        <v>116</v>
      </c>
      <c r="DK3178" s="15" t="n">
        <v>116</v>
      </c>
      <c r="EG3178" s="15" t="n">
        <v>116</v>
      </c>
      <c r="FC3178" s="15" t="n">
        <v>116</v>
      </c>
      <c r="FY3178" s="15" t="n">
        <v>116</v>
      </c>
      <c r="GU3178" s="15" t="n">
        <v>116</v>
      </c>
    </row>
    <row r="3179">
      <c r="C3179" s="15" t="n">
        <v>117</v>
      </c>
      <c r="AA3179" s="15" t="n">
        <v>117</v>
      </c>
      <c r="AW3179" s="15" t="n">
        <v>117</v>
      </c>
      <c r="BS3179" s="15" t="n">
        <v>117</v>
      </c>
      <c r="CO3179" s="15" t="n">
        <v>117</v>
      </c>
      <c r="DK3179" s="15" t="n">
        <v>117</v>
      </c>
      <c r="EG3179" s="15" t="n">
        <v>117</v>
      </c>
      <c r="FC3179" s="15" t="n">
        <v>117</v>
      </c>
      <c r="FY3179" s="15" t="n">
        <v>117</v>
      </c>
      <c r="GU3179" s="15" t="n">
        <v>117</v>
      </c>
    </row>
    <row r="3180">
      <c r="C3180" s="15" t="n">
        <v>118</v>
      </c>
      <c r="AA3180" s="15" t="n">
        <v>118</v>
      </c>
      <c r="AW3180" s="15" t="n">
        <v>118</v>
      </c>
      <c r="BS3180" s="15" t="n">
        <v>118</v>
      </c>
      <c r="CO3180" s="15" t="n">
        <v>118</v>
      </c>
      <c r="DK3180" s="15" t="n">
        <v>118</v>
      </c>
      <c r="EG3180" s="15" t="n">
        <v>118</v>
      </c>
      <c r="FC3180" s="15" t="n">
        <v>118</v>
      </c>
      <c r="FY3180" s="15" t="n">
        <v>118</v>
      </c>
      <c r="GU3180" s="15" t="n">
        <v>118</v>
      </c>
    </row>
    <row r="3181">
      <c r="C3181" s="15" t="n">
        <v>119</v>
      </c>
      <c r="AA3181" s="15" t="n">
        <v>119</v>
      </c>
      <c r="AW3181" s="15" t="n">
        <v>119</v>
      </c>
      <c r="BS3181" s="15" t="n">
        <v>119</v>
      </c>
      <c r="CO3181" s="15" t="n">
        <v>119</v>
      </c>
      <c r="DK3181" s="15" t="n">
        <v>119</v>
      </c>
      <c r="EG3181" s="15" t="n">
        <v>119</v>
      </c>
      <c r="FC3181" s="15" t="n">
        <v>119</v>
      </c>
      <c r="FY3181" s="15" t="n">
        <v>119</v>
      </c>
      <c r="GU3181" s="15" t="n">
        <v>119</v>
      </c>
    </row>
    <row r="3182">
      <c r="C3182" s="15" t="n">
        <v>120</v>
      </c>
      <c r="AA3182" s="15" t="n">
        <v>120</v>
      </c>
      <c r="AW3182" s="15" t="n">
        <v>120</v>
      </c>
      <c r="BS3182" s="15" t="n">
        <v>120</v>
      </c>
      <c r="CO3182" s="15" t="n">
        <v>120</v>
      </c>
      <c r="DK3182" s="15" t="n">
        <v>120</v>
      </c>
      <c r="EG3182" s="15" t="n">
        <v>120</v>
      </c>
      <c r="FC3182" s="15" t="n">
        <v>120</v>
      </c>
      <c r="FY3182" s="15" t="n">
        <v>120</v>
      </c>
      <c r="GU3182" s="15" t="n">
        <v>120</v>
      </c>
    </row>
    <row r="3183">
      <c r="C3183" s="15" t="n">
        <v>121</v>
      </c>
      <c r="AA3183" s="15" t="n">
        <v>121</v>
      </c>
      <c r="AW3183" s="15" t="n">
        <v>121</v>
      </c>
      <c r="BS3183" s="15" t="n">
        <v>121</v>
      </c>
      <c r="CO3183" s="15" t="n">
        <v>121</v>
      </c>
      <c r="DK3183" s="15" t="n">
        <v>121</v>
      </c>
      <c r="EG3183" s="15" t="n">
        <v>121</v>
      </c>
      <c r="FC3183" s="15" t="n">
        <v>121</v>
      </c>
      <c r="FY3183" s="15" t="n">
        <v>121</v>
      </c>
      <c r="GU3183" s="15" t="n">
        <v>121</v>
      </c>
    </row>
    <row r="3184">
      <c r="C3184" s="15" t="n">
        <v>122</v>
      </c>
      <c r="AA3184" s="15" t="n">
        <v>122</v>
      </c>
      <c r="AW3184" s="15" t="n">
        <v>122</v>
      </c>
      <c r="BS3184" s="15" t="n">
        <v>122</v>
      </c>
      <c r="CO3184" s="15" t="n">
        <v>122</v>
      </c>
      <c r="DK3184" s="15" t="n">
        <v>122</v>
      </c>
      <c r="EG3184" s="15" t="n">
        <v>122</v>
      </c>
      <c r="FC3184" s="15" t="n">
        <v>122</v>
      </c>
      <c r="FY3184" s="15" t="n">
        <v>122</v>
      </c>
      <c r="GU3184" s="15" t="n">
        <v>122</v>
      </c>
    </row>
    <row r="3185">
      <c r="C3185" s="15" t="n">
        <v>123</v>
      </c>
      <c r="AA3185" s="15" t="n">
        <v>123</v>
      </c>
      <c r="AW3185" s="15" t="n">
        <v>123</v>
      </c>
      <c r="BS3185" s="15" t="n">
        <v>123</v>
      </c>
      <c r="CO3185" s="15" t="n">
        <v>123</v>
      </c>
      <c r="DK3185" s="15" t="n">
        <v>123</v>
      </c>
      <c r="EG3185" s="15" t="n">
        <v>123</v>
      </c>
      <c r="FC3185" s="15" t="n">
        <v>123</v>
      </c>
      <c r="FY3185" s="15" t="n">
        <v>123</v>
      </c>
      <c r="GU3185" s="15" t="n">
        <v>123</v>
      </c>
    </row>
    <row r="3186">
      <c r="C3186" s="15" t="n">
        <v>124</v>
      </c>
      <c r="AA3186" s="15" t="n">
        <v>124</v>
      </c>
      <c r="AW3186" s="15" t="n">
        <v>124</v>
      </c>
      <c r="BS3186" s="15" t="n">
        <v>124</v>
      </c>
      <c r="CO3186" s="15" t="n">
        <v>124</v>
      </c>
      <c r="DK3186" s="15" t="n">
        <v>124</v>
      </c>
      <c r="EG3186" s="15" t="n">
        <v>124</v>
      </c>
      <c r="FC3186" s="15" t="n">
        <v>124</v>
      </c>
      <c r="FY3186" s="15" t="n">
        <v>124</v>
      </c>
      <c r="GU3186" s="15" t="n">
        <v>124</v>
      </c>
    </row>
    <row r="3187">
      <c r="C3187" s="15" t="n">
        <v>125</v>
      </c>
      <c r="AA3187" s="15" t="n">
        <v>125</v>
      </c>
      <c r="AW3187" s="15" t="n">
        <v>125</v>
      </c>
      <c r="BS3187" s="15" t="n">
        <v>125</v>
      </c>
      <c r="CO3187" s="15" t="n">
        <v>125</v>
      </c>
      <c r="DK3187" s="15" t="n">
        <v>125</v>
      </c>
      <c r="EG3187" s="15" t="n">
        <v>125</v>
      </c>
      <c r="FC3187" s="15" t="n">
        <v>125</v>
      </c>
      <c r="FY3187" s="15" t="n">
        <v>125</v>
      </c>
      <c r="GU3187" s="15" t="n">
        <v>125</v>
      </c>
    </row>
    <row r="3188">
      <c r="C3188" s="15" t="n">
        <v>126</v>
      </c>
      <c r="AA3188" s="15" t="n">
        <v>126</v>
      </c>
      <c r="AW3188" s="15" t="n">
        <v>126</v>
      </c>
      <c r="BS3188" s="15" t="n">
        <v>126</v>
      </c>
      <c r="CO3188" s="15" t="n">
        <v>126</v>
      </c>
      <c r="DK3188" s="15" t="n">
        <v>126</v>
      </c>
      <c r="EG3188" s="15" t="n">
        <v>126</v>
      </c>
      <c r="FC3188" s="15" t="n">
        <v>126</v>
      </c>
      <c r="FY3188" s="15" t="n">
        <v>126</v>
      </c>
      <c r="GU3188" s="15" t="n">
        <v>126</v>
      </c>
    </row>
    <row r="3189">
      <c r="C3189" s="15" t="n">
        <v>127</v>
      </c>
      <c r="AA3189" s="15" t="n">
        <v>127</v>
      </c>
      <c r="AW3189" s="15" t="n">
        <v>127</v>
      </c>
      <c r="BS3189" s="15" t="n">
        <v>127</v>
      </c>
      <c r="CO3189" s="15" t="n">
        <v>127</v>
      </c>
      <c r="DK3189" s="15" t="n">
        <v>127</v>
      </c>
      <c r="EG3189" s="15" t="n">
        <v>127</v>
      </c>
      <c r="FC3189" s="15" t="n">
        <v>127</v>
      </c>
      <c r="FY3189" s="15" t="n">
        <v>127</v>
      </c>
      <c r="GU3189" s="15" t="n">
        <v>127</v>
      </c>
    </row>
    <row r="3190">
      <c r="C3190" s="15" t="n">
        <v>128</v>
      </c>
      <c r="AA3190" s="15" t="n">
        <v>128</v>
      </c>
      <c r="AW3190" s="15" t="n">
        <v>128</v>
      </c>
      <c r="BS3190" s="15" t="n">
        <v>128</v>
      </c>
      <c r="CO3190" s="15" t="n">
        <v>128</v>
      </c>
      <c r="DK3190" s="15" t="n">
        <v>128</v>
      </c>
      <c r="EG3190" s="15" t="n">
        <v>128</v>
      </c>
      <c r="FC3190" s="15" t="n">
        <v>128</v>
      </c>
      <c r="FY3190" s="15" t="n">
        <v>128</v>
      </c>
      <c r="GU3190" s="15" t="n">
        <v>128</v>
      </c>
    </row>
    <row r="3191">
      <c r="C3191" s="15" t="n">
        <v>129</v>
      </c>
      <c r="AA3191" s="15" t="n">
        <v>129</v>
      </c>
      <c r="AW3191" s="15" t="n">
        <v>129</v>
      </c>
      <c r="BS3191" s="15" t="n">
        <v>129</v>
      </c>
      <c r="CO3191" s="15" t="n">
        <v>129</v>
      </c>
      <c r="DK3191" s="15" t="n">
        <v>129</v>
      </c>
      <c r="EG3191" s="15" t="n">
        <v>129</v>
      </c>
      <c r="FC3191" s="15" t="n">
        <v>129</v>
      </c>
      <c r="FY3191" s="15" t="n">
        <v>129</v>
      </c>
      <c r="GU3191" s="15" t="n">
        <v>129</v>
      </c>
    </row>
    <row r="3192">
      <c r="C3192" s="15" t="n">
        <v>130</v>
      </c>
      <c r="AA3192" s="15" t="n">
        <v>130</v>
      </c>
      <c r="AW3192" s="15" t="n">
        <v>130</v>
      </c>
      <c r="BS3192" s="15" t="n">
        <v>130</v>
      </c>
      <c r="CO3192" s="15" t="n">
        <v>130</v>
      </c>
      <c r="DK3192" s="15" t="n">
        <v>130</v>
      </c>
      <c r="EG3192" s="15" t="n">
        <v>130</v>
      </c>
      <c r="FC3192" s="15" t="n">
        <v>130</v>
      </c>
      <c r="FY3192" s="15" t="n">
        <v>130</v>
      </c>
      <c r="GU3192" s="15" t="n">
        <v>130</v>
      </c>
    </row>
    <row r="3193">
      <c r="C3193" s="15" t="n">
        <v>131</v>
      </c>
      <c r="AA3193" s="15" t="n">
        <v>131</v>
      </c>
      <c r="AW3193" s="15" t="n">
        <v>131</v>
      </c>
      <c r="BS3193" s="15" t="n">
        <v>131</v>
      </c>
      <c r="CO3193" s="15" t="n">
        <v>131</v>
      </c>
      <c r="DK3193" s="15" t="n">
        <v>131</v>
      </c>
      <c r="EG3193" s="15" t="n">
        <v>131</v>
      </c>
      <c r="FC3193" s="15" t="n">
        <v>131</v>
      </c>
      <c r="FY3193" s="15" t="n">
        <v>131</v>
      </c>
      <c r="GU3193" s="15" t="n">
        <v>131</v>
      </c>
    </row>
    <row r="3194">
      <c r="C3194" s="15" t="n">
        <v>132</v>
      </c>
      <c r="AA3194" s="15" t="n">
        <v>132</v>
      </c>
      <c r="AW3194" s="15" t="n">
        <v>132</v>
      </c>
      <c r="BS3194" s="15" t="n">
        <v>132</v>
      </c>
      <c r="CO3194" s="15" t="n">
        <v>132</v>
      </c>
      <c r="DK3194" s="15" t="n">
        <v>132</v>
      </c>
      <c r="EG3194" s="15" t="n">
        <v>132</v>
      </c>
      <c r="FC3194" s="15" t="n">
        <v>132</v>
      </c>
      <c r="FY3194" s="15" t="n">
        <v>132</v>
      </c>
      <c r="GU3194" s="15" t="n">
        <v>132</v>
      </c>
    </row>
    <row r="3195">
      <c r="C3195" s="15" t="n">
        <v>133</v>
      </c>
      <c r="AA3195" s="15" t="n">
        <v>133</v>
      </c>
      <c r="AW3195" s="15" t="n">
        <v>133</v>
      </c>
      <c r="BS3195" s="15" t="n">
        <v>133</v>
      </c>
      <c r="CO3195" s="15" t="n">
        <v>133</v>
      </c>
      <c r="DK3195" s="15" t="n">
        <v>133</v>
      </c>
      <c r="EG3195" s="15" t="n">
        <v>133</v>
      </c>
      <c r="FC3195" s="15" t="n">
        <v>133</v>
      </c>
      <c r="FY3195" s="15" t="n">
        <v>133</v>
      </c>
      <c r="GU3195" s="15" t="n">
        <v>133</v>
      </c>
    </row>
    <row r="3196">
      <c r="C3196" s="15" t="n">
        <v>134</v>
      </c>
      <c r="AA3196" s="15" t="n">
        <v>134</v>
      </c>
      <c r="AW3196" s="15" t="n">
        <v>134</v>
      </c>
      <c r="BS3196" s="15" t="n">
        <v>134</v>
      </c>
      <c r="CO3196" s="15" t="n">
        <v>134</v>
      </c>
      <c r="DK3196" s="15" t="n">
        <v>134</v>
      </c>
      <c r="EG3196" s="15" t="n">
        <v>134</v>
      </c>
      <c r="FC3196" s="15" t="n">
        <v>134</v>
      </c>
      <c r="FY3196" s="15" t="n">
        <v>134</v>
      </c>
      <c r="GU3196" s="15" t="n">
        <v>134</v>
      </c>
    </row>
    <row r="3197">
      <c r="C3197" s="15" t="n">
        <v>135</v>
      </c>
      <c r="AA3197" s="15" t="n">
        <v>135</v>
      </c>
      <c r="AW3197" s="15" t="n">
        <v>135</v>
      </c>
      <c r="BS3197" s="15" t="n">
        <v>135</v>
      </c>
      <c r="CO3197" s="15" t="n">
        <v>135</v>
      </c>
      <c r="DK3197" s="15" t="n">
        <v>135</v>
      </c>
      <c r="EG3197" s="15" t="n">
        <v>135</v>
      </c>
      <c r="FC3197" s="15" t="n">
        <v>135</v>
      </c>
      <c r="FY3197" s="15" t="n">
        <v>135</v>
      </c>
      <c r="GU3197" s="15" t="n">
        <v>135</v>
      </c>
    </row>
    <row r="3198">
      <c r="C3198" s="15" t="n">
        <v>136</v>
      </c>
      <c r="AA3198" s="15" t="n">
        <v>136</v>
      </c>
      <c r="AW3198" s="15" t="n">
        <v>136</v>
      </c>
      <c r="BS3198" s="15" t="n">
        <v>136</v>
      </c>
      <c r="CO3198" s="15" t="n">
        <v>136</v>
      </c>
      <c r="DK3198" s="15" t="n">
        <v>136</v>
      </c>
      <c r="EG3198" s="15" t="n">
        <v>136</v>
      </c>
      <c r="FC3198" s="15" t="n">
        <v>136</v>
      </c>
      <c r="FY3198" s="15" t="n">
        <v>136</v>
      </c>
      <c r="GU3198" s="15" t="n">
        <v>136</v>
      </c>
    </row>
    <row r="3199">
      <c r="C3199" s="15" t="n">
        <v>137</v>
      </c>
      <c r="AA3199" s="15" t="n">
        <v>137</v>
      </c>
      <c r="AW3199" s="15" t="n">
        <v>137</v>
      </c>
      <c r="BS3199" s="15" t="n">
        <v>137</v>
      </c>
      <c r="CO3199" s="15" t="n">
        <v>137</v>
      </c>
      <c r="DK3199" s="15" t="n">
        <v>137</v>
      </c>
      <c r="EG3199" s="15" t="n">
        <v>137</v>
      </c>
      <c r="FC3199" s="15" t="n">
        <v>137</v>
      </c>
      <c r="FY3199" s="15" t="n">
        <v>137</v>
      </c>
      <c r="GU3199" s="15" t="n">
        <v>137</v>
      </c>
    </row>
    <row r="3200">
      <c r="C3200" s="15" t="n">
        <v>138</v>
      </c>
      <c r="AA3200" s="15" t="n">
        <v>138</v>
      </c>
      <c r="AW3200" s="15" t="n">
        <v>138</v>
      </c>
      <c r="BS3200" s="15" t="n">
        <v>138</v>
      </c>
      <c r="CO3200" s="15" t="n">
        <v>138</v>
      </c>
      <c r="DK3200" s="15" t="n">
        <v>138</v>
      </c>
      <c r="EG3200" s="15" t="n">
        <v>138</v>
      </c>
      <c r="FC3200" s="15" t="n">
        <v>138</v>
      </c>
      <c r="FY3200" s="15" t="n">
        <v>138</v>
      </c>
      <c r="GU3200" s="15" t="n">
        <v>138</v>
      </c>
    </row>
    <row r="3201">
      <c r="C3201" s="15" t="n">
        <v>139</v>
      </c>
      <c r="AA3201" s="15" t="n">
        <v>139</v>
      </c>
      <c r="AW3201" s="15" t="n">
        <v>139</v>
      </c>
      <c r="BS3201" s="15" t="n">
        <v>139</v>
      </c>
      <c r="CO3201" s="15" t="n">
        <v>139</v>
      </c>
      <c r="DK3201" s="15" t="n">
        <v>139</v>
      </c>
      <c r="EG3201" s="15" t="n">
        <v>139</v>
      </c>
      <c r="FC3201" s="15" t="n">
        <v>139</v>
      </c>
      <c r="FY3201" s="15" t="n">
        <v>139</v>
      </c>
      <c r="GU3201" s="15" t="n">
        <v>139</v>
      </c>
    </row>
    <row r="3202">
      <c r="C3202" s="15" t="n">
        <v>140</v>
      </c>
      <c r="AA3202" s="15" t="n">
        <v>140</v>
      </c>
      <c r="AW3202" s="15" t="n">
        <v>140</v>
      </c>
      <c r="BS3202" s="15" t="n">
        <v>140</v>
      </c>
      <c r="CO3202" s="15" t="n">
        <v>140</v>
      </c>
      <c r="DK3202" s="15" t="n">
        <v>140</v>
      </c>
      <c r="EG3202" s="15" t="n">
        <v>140</v>
      </c>
      <c r="FC3202" s="15" t="n">
        <v>140</v>
      </c>
      <c r="FY3202" s="15" t="n">
        <v>140</v>
      </c>
      <c r="GU3202" s="15" t="n">
        <v>140</v>
      </c>
    </row>
    <row r="3203">
      <c r="C3203" s="15" t="n">
        <v>141</v>
      </c>
      <c r="AA3203" s="15" t="n">
        <v>141</v>
      </c>
      <c r="AW3203" s="15" t="n">
        <v>141</v>
      </c>
      <c r="BS3203" s="15" t="n">
        <v>141</v>
      </c>
      <c r="CO3203" s="15" t="n">
        <v>141</v>
      </c>
      <c r="DK3203" s="15" t="n">
        <v>141</v>
      </c>
      <c r="EG3203" s="15" t="n">
        <v>141</v>
      </c>
      <c r="FC3203" s="15" t="n">
        <v>141</v>
      </c>
      <c r="FY3203" s="15" t="n">
        <v>141</v>
      </c>
      <c r="GU3203" s="15" t="n">
        <v>141</v>
      </c>
    </row>
    <row r="3204">
      <c r="C3204" s="15" t="n">
        <v>142</v>
      </c>
      <c r="AA3204" s="15" t="n">
        <v>142</v>
      </c>
      <c r="AW3204" s="15" t="n">
        <v>142</v>
      </c>
      <c r="BS3204" s="15" t="n">
        <v>142</v>
      </c>
      <c r="CO3204" s="15" t="n">
        <v>142</v>
      </c>
      <c r="DK3204" s="15" t="n">
        <v>142</v>
      </c>
      <c r="EG3204" s="15" t="n">
        <v>142</v>
      </c>
      <c r="FC3204" s="15" t="n">
        <v>142</v>
      </c>
      <c r="FY3204" s="15" t="n">
        <v>142</v>
      </c>
      <c r="GU3204" s="15" t="n">
        <v>142</v>
      </c>
    </row>
    <row r="3205">
      <c r="C3205" s="15" t="n">
        <v>143</v>
      </c>
      <c r="AA3205" s="15" t="n">
        <v>143</v>
      </c>
      <c r="AW3205" s="15" t="n">
        <v>143</v>
      </c>
      <c r="BS3205" s="15" t="n">
        <v>143</v>
      </c>
      <c r="CO3205" s="15" t="n">
        <v>143</v>
      </c>
      <c r="DK3205" s="15" t="n">
        <v>143</v>
      </c>
      <c r="EG3205" s="15" t="n">
        <v>143</v>
      </c>
      <c r="FC3205" s="15" t="n">
        <v>143</v>
      </c>
      <c r="FY3205" s="15" t="n">
        <v>143</v>
      </c>
      <c r="GU3205" s="15" t="n">
        <v>143</v>
      </c>
    </row>
    <row r="3206">
      <c r="C3206" s="15" t="n">
        <v>144</v>
      </c>
      <c r="AA3206" s="15" t="n">
        <v>144</v>
      </c>
      <c r="AW3206" s="15" t="n">
        <v>144</v>
      </c>
      <c r="BS3206" s="15" t="n">
        <v>144</v>
      </c>
      <c r="CO3206" s="15" t="n">
        <v>144</v>
      </c>
      <c r="DK3206" s="15" t="n">
        <v>144</v>
      </c>
      <c r="EG3206" s="15" t="n">
        <v>144</v>
      </c>
      <c r="FC3206" s="15" t="n">
        <v>144</v>
      </c>
      <c r="FY3206" s="15" t="n">
        <v>144</v>
      </c>
      <c r="GU3206" s="15" t="n">
        <v>144</v>
      </c>
    </row>
    <row r="3207">
      <c r="C3207" s="15" t="n">
        <v>145</v>
      </c>
      <c r="AA3207" s="15" t="n">
        <v>145</v>
      </c>
      <c r="AW3207" s="15" t="n">
        <v>145</v>
      </c>
      <c r="BS3207" s="15" t="n">
        <v>145</v>
      </c>
      <c r="CO3207" s="15" t="n">
        <v>145</v>
      </c>
      <c r="DK3207" s="15" t="n">
        <v>145</v>
      </c>
      <c r="EG3207" s="15" t="n">
        <v>145</v>
      </c>
      <c r="FC3207" s="15" t="n">
        <v>145</v>
      </c>
      <c r="FY3207" s="15" t="n">
        <v>145</v>
      </c>
      <c r="GU3207" s="15" t="n">
        <v>145</v>
      </c>
    </row>
    <row r="3208">
      <c r="C3208" s="15" t="n">
        <v>146</v>
      </c>
      <c r="AA3208" s="15" t="n">
        <v>146</v>
      </c>
      <c r="AW3208" s="15" t="n">
        <v>146</v>
      </c>
      <c r="BS3208" s="15" t="n">
        <v>146</v>
      </c>
      <c r="CO3208" s="15" t="n">
        <v>146</v>
      </c>
      <c r="DK3208" s="15" t="n">
        <v>146</v>
      </c>
      <c r="EG3208" s="15" t="n">
        <v>146</v>
      </c>
      <c r="FC3208" s="15" t="n">
        <v>146</v>
      </c>
      <c r="FY3208" s="15" t="n">
        <v>146</v>
      </c>
      <c r="GU3208" s="15" t="n">
        <v>146</v>
      </c>
    </row>
    <row r="3209">
      <c r="C3209" s="15" t="n">
        <v>147</v>
      </c>
      <c r="AA3209" s="15" t="n">
        <v>147</v>
      </c>
      <c r="AW3209" s="15" t="n">
        <v>147</v>
      </c>
      <c r="BS3209" s="15" t="n">
        <v>147</v>
      </c>
      <c r="CO3209" s="15" t="n">
        <v>147</v>
      </c>
      <c r="DK3209" s="15" t="n">
        <v>147</v>
      </c>
      <c r="EG3209" s="15" t="n">
        <v>147</v>
      </c>
      <c r="FC3209" s="15" t="n">
        <v>147</v>
      </c>
      <c r="FY3209" s="15" t="n">
        <v>147</v>
      </c>
      <c r="GU3209" s="15" t="n">
        <v>147</v>
      </c>
    </row>
    <row r="3210">
      <c r="C3210" s="15" t="n">
        <v>148</v>
      </c>
      <c r="AA3210" s="15" t="n">
        <v>148</v>
      </c>
      <c r="AW3210" s="15" t="n">
        <v>148</v>
      </c>
      <c r="BS3210" s="15" t="n">
        <v>148</v>
      </c>
      <c r="CO3210" s="15" t="n">
        <v>148</v>
      </c>
      <c r="DK3210" s="15" t="n">
        <v>148</v>
      </c>
      <c r="EG3210" s="15" t="n">
        <v>148</v>
      </c>
      <c r="FC3210" s="15" t="n">
        <v>148</v>
      </c>
      <c r="FY3210" s="15" t="n">
        <v>148</v>
      </c>
      <c r="GU3210" s="15" t="n">
        <v>148</v>
      </c>
    </row>
    <row r="3211">
      <c r="C3211" s="15" t="n">
        <v>149</v>
      </c>
      <c r="AA3211" s="15" t="n">
        <v>149</v>
      </c>
      <c r="AW3211" s="15" t="n">
        <v>149</v>
      </c>
      <c r="BS3211" s="15" t="n">
        <v>149</v>
      </c>
      <c r="CO3211" s="15" t="n">
        <v>149</v>
      </c>
      <c r="DK3211" s="15" t="n">
        <v>149</v>
      </c>
      <c r="EG3211" s="15" t="n">
        <v>149</v>
      </c>
      <c r="FC3211" s="15" t="n">
        <v>149</v>
      </c>
      <c r="FY3211" s="15" t="n">
        <v>149</v>
      </c>
      <c r="GU3211" s="15" t="n">
        <v>149</v>
      </c>
    </row>
    <row r="3212">
      <c r="C3212" s="15" t="n">
        <v>150</v>
      </c>
      <c r="AA3212" s="15" t="n">
        <v>150</v>
      </c>
      <c r="AW3212" s="15" t="n">
        <v>150</v>
      </c>
      <c r="BS3212" s="15" t="n">
        <v>150</v>
      </c>
      <c r="CO3212" s="15" t="n">
        <v>150</v>
      </c>
      <c r="DK3212" s="15" t="n">
        <v>150</v>
      </c>
      <c r="EG3212" s="15" t="n">
        <v>150</v>
      </c>
      <c r="FC3212" s="15" t="n">
        <v>150</v>
      </c>
      <c r="FY3212" s="15" t="n">
        <v>150</v>
      </c>
      <c r="GU3212" s="15" t="n">
        <v>150</v>
      </c>
    </row>
    <row r="3213">
      <c r="C3213" s="15" t="n">
        <v>151</v>
      </c>
      <c r="AA3213" s="15" t="n">
        <v>151</v>
      </c>
      <c r="AW3213" s="15" t="n">
        <v>151</v>
      </c>
      <c r="BS3213" s="15" t="n">
        <v>151</v>
      </c>
      <c r="CO3213" s="15" t="n">
        <v>151</v>
      </c>
      <c r="DK3213" s="15" t="n">
        <v>151</v>
      </c>
      <c r="EG3213" s="15" t="n">
        <v>151</v>
      </c>
      <c r="FC3213" s="15" t="n">
        <v>151</v>
      </c>
      <c r="FY3213" s="15" t="n">
        <v>151</v>
      </c>
      <c r="GU3213" s="15" t="n">
        <v>151</v>
      </c>
    </row>
    <row r="3214">
      <c r="C3214" s="15" t="n">
        <v>152</v>
      </c>
      <c r="AA3214" s="15" t="n">
        <v>152</v>
      </c>
      <c r="AW3214" s="15" t="n">
        <v>152</v>
      </c>
      <c r="BS3214" s="15" t="n">
        <v>152</v>
      </c>
      <c r="CO3214" s="15" t="n">
        <v>152</v>
      </c>
      <c r="DK3214" s="15" t="n">
        <v>152</v>
      </c>
      <c r="EG3214" s="15" t="n">
        <v>152</v>
      </c>
      <c r="FC3214" s="15" t="n">
        <v>152</v>
      </c>
      <c r="FY3214" s="15" t="n">
        <v>152</v>
      </c>
      <c r="GU3214" s="15" t="n">
        <v>152</v>
      </c>
    </row>
    <row r="3215">
      <c r="C3215" s="15" t="n">
        <v>153</v>
      </c>
      <c r="AA3215" s="15" t="n">
        <v>153</v>
      </c>
      <c r="AW3215" s="15" t="n">
        <v>153</v>
      </c>
      <c r="BS3215" s="15" t="n">
        <v>153</v>
      </c>
      <c r="CO3215" s="15" t="n">
        <v>153</v>
      </c>
      <c r="DK3215" s="15" t="n">
        <v>153</v>
      </c>
      <c r="EG3215" s="15" t="n">
        <v>153</v>
      </c>
      <c r="FC3215" s="15" t="n">
        <v>153</v>
      </c>
      <c r="FY3215" s="15" t="n">
        <v>153</v>
      </c>
      <c r="GU3215" s="15" t="n">
        <v>153</v>
      </c>
    </row>
    <row r="3216">
      <c r="C3216" s="15" t="n">
        <v>154</v>
      </c>
      <c r="AA3216" s="15" t="n">
        <v>154</v>
      </c>
      <c r="AW3216" s="15" t="n">
        <v>154</v>
      </c>
      <c r="BS3216" s="15" t="n">
        <v>154</v>
      </c>
      <c r="CO3216" s="15" t="n">
        <v>154</v>
      </c>
      <c r="DK3216" s="15" t="n">
        <v>154</v>
      </c>
      <c r="EG3216" s="15" t="n">
        <v>154</v>
      </c>
      <c r="FC3216" s="15" t="n">
        <v>154</v>
      </c>
      <c r="FY3216" s="15" t="n">
        <v>154</v>
      </c>
      <c r="GU3216" s="15" t="n">
        <v>154</v>
      </c>
    </row>
    <row r="3217">
      <c r="C3217" s="15" t="n">
        <v>155</v>
      </c>
      <c r="AA3217" s="15" t="n">
        <v>155</v>
      </c>
      <c r="AW3217" s="15" t="n">
        <v>155</v>
      </c>
      <c r="BS3217" s="15" t="n">
        <v>155</v>
      </c>
      <c r="CO3217" s="15" t="n">
        <v>155</v>
      </c>
      <c r="DK3217" s="15" t="n">
        <v>155</v>
      </c>
      <c r="EG3217" s="15" t="n">
        <v>155</v>
      </c>
      <c r="FC3217" s="15" t="n">
        <v>155</v>
      </c>
      <c r="FY3217" s="15" t="n">
        <v>155</v>
      </c>
      <c r="GU3217" s="15" t="n">
        <v>155</v>
      </c>
    </row>
    <row r="3218">
      <c r="C3218" s="15" t="n">
        <v>156</v>
      </c>
      <c r="AA3218" s="15" t="n">
        <v>156</v>
      </c>
      <c r="AW3218" s="15" t="n">
        <v>156</v>
      </c>
      <c r="BS3218" s="15" t="n">
        <v>156</v>
      </c>
      <c r="CO3218" s="15" t="n">
        <v>156</v>
      </c>
      <c r="DK3218" s="15" t="n">
        <v>156</v>
      </c>
      <c r="EG3218" s="15" t="n">
        <v>156</v>
      </c>
      <c r="FC3218" s="15" t="n">
        <v>156</v>
      </c>
      <c r="FY3218" s="15" t="n">
        <v>156</v>
      </c>
      <c r="GU3218" s="15" t="n">
        <v>156</v>
      </c>
    </row>
    <row r="3219">
      <c r="C3219" s="15" t="n">
        <v>157</v>
      </c>
      <c r="AA3219" s="15" t="n">
        <v>157</v>
      </c>
      <c r="AW3219" s="15" t="n">
        <v>157</v>
      </c>
      <c r="BS3219" s="15" t="n">
        <v>157</v>
      </c>
      <c r="CO3219" s="15" t="n">
        <v>157</v>
      </c>
      <c r="DK3219" s="15" t="n">
        <v>157</v>
      </c>
      <c r="EG3219" s="15" t="n">
        <v>157</v>
      </c>
      <c r="FC3219" s="15" t="n">
        <v>157</v>
      </c>
      <c r="FY3219" s="15" t="n">
        <v>157</v>
      </c>
      <c r="GU3219" s="15" t="n">
        <v>157</v>
      </c>
    </row>
    <row r="3220">
      <c r="C3220" s="15" t="n">
        <v>158</v>
      </c>
      <c r="AA3220" s="15" t="n">
        <v>158</v>
      </c>
      <c r="AW3220" s="15" t="n">
        <v>158</v>
      </c>
      <c r="BS3220" s="15" t="n">
        <v>158</v>
      </c>
      <c r="CO3220" s="15" t="n">
        <v>158</v>
      </c>
      <c r="DK3220" s="15" t="n">
        <v>158</v>
      </c>
      <c r="EG3220" s="15" t="n">
        <v>158</v>
      </c>
      <c r="FC3220" s="15" t="n">
        <v>158</v>
      </c>
      <c r="FY3220" s="15" t="n">
        <v>158</v>
      </c>
      <c r="GU3220" s="15" t="n">
        <v>158</v>
      </c>
    </row>
    <row r="3221">
      <c r="C3221" s="15" t="n">
        <v>159</v>
      </c>
      <c r="AA3221" s="15" t="n">
        <v>159</v>
      </c>
      <c r="AW3221" s="15" t="n">
        <v>159</v>
      </c>
      <c r="BS3221" s="15" t="n">
        <v>159</v>
      </c>
      <c r="CO3221" s="15" t="n">
        <v>159</v>
      </c>
      <c r="DK3221" s="15" t="n">
        <v>159</v>
      </c>
      <c r="EG3221" s="15" t="n">
        <v>159</v>
      </c>
      <c r="FC3221" s="15" t="n">
        <v>159</v>
      </c>
      <c r="FY3221" s="15" t="n">
        <v>159</v>
      </c>
      <c r="GU3221" s="15" t="n">
        <v>159</v>
      </c>
    </row>
    <row r="3222">
      <c r="C3222" s="15" t="n">
        <v>160</v>
      </c>
      <c r="AA3222" s="15" t="n">
        <v>160</v>
      </c>
      <c r="AW3222" s="15" t="n">
        <v>160</v>
      </c>
      <c r="BS3222" s="15" t="n">
        <v>160</v>
      </c>
      <c r="CO3222" s="15" t="n">
        <v>160</v>
      </c>
      <c r="DK3222" s="15" t="n">
        <v>160</v>
      </c>
      <c r="EG3222" s="15" t="n">
        <v>160</v>
      </c>
      <c r="FC3222" s="15" t="n">
        <v>160</v>
      </c>
      <c r="FY3222" s="15" t="n">
        <v>160</v>
      </c>
      <c r="GU3222" s="15" t="n">
        <v>160</v>
      </c>
    </row>
    <row r="3223">
      <c r="C3223" s="15" t="n">
        <v>161</v>
      </c>
      <c r="AA3223" s="15" t="n">
        <v>161</v>
      </c>
      <c r="AW3223" s="15" t="n">
        <v>161</v>
      </c>
      <c r="BS3223" s="15" t="n">
        <v>161</v>
      </c>
      <c r="CO3223" s="15" t="n">
        <v>161</v>
      </c>
      <c r="DK3223" s="15" t="n">
        <v>161</v>
      </c>
      <c r="EG3223" s="15" t="n">
        <v>161</v>
      </c>
      <c r="FC3223" s="15" t="n">
        <v>161</v>
      </c>
      <c r="FY3223" s="15" t="n">
        <v>161</v>
      </c>
      <c r="GU3223" s="15" t="n">
        <v>161</v>
      </c>
    </row>
    <row r="3224">
      <c r="C3224" s="15" t="n">
        <v>162</v>
      </c>
      <c r="AA3224" s="15" t="n">
        <v>162</v>
      </c>
      <c r="AW3224" s="15" t="n">
        <v>162</v>
      </c>
      <c r="BS3224" s="15" t="n">
        <v>162</v>
      </c>
      <c r="CO3224" s="15" t="n">
        <v>162</v>
      </c>
      <c r="DK3224" s="15" t="n">
        <v>162</v>
      </c>
      <c r="EG3224" s="15" t="n">
        <v>162</v>
      </c>
      <c r="FC3224" s="15" t="n">
        <v>162</v>
      </c>
      <c r="FY3224" s="15" t="n">
        <v>162</v>
      </c>
      <c r="GU3224" s="15" t="n">
        <v>162</v>
      </c>
    </row>
    <row r="3225">
      <c r="C3225" s="15" t="n">
        <v>163</v>
      </c>
      <c r="AA3225" s="15" t="n">
        <v>163</v>
      </c>
      <c r="AW3225" s="15" t="n">
        <v>163</v>
      </c>
      <c r="BS3225" s="15" t="n">
        <v>163</v>
      </c>
      <c r="CO3225" s="15" t="n">
        <v>163</v>
      </c>
      <c r="DK3225" s="15" t="n">
        <v>163</v>
      </c>
      <c r="EG3225" s="15" t="n">
        <v>163</v>
      </c>
      <c r="FC3225" s="15" t="n">
        <v>163</v>
      </c>
      <c r="FY3225" s="15" t="n">
        <v>163</v>
      </c>
      <c r="GU3225" s="15" t="n">
        <v>163</v>
      </c>
    </row>
    <row r="3226">
      <c r="C3226" s="15" t="n">
        <v>164</v>
      </c>
      <c r="AA3226" s="15" t="n">
        <v>164</v>
      </c>
      <c r="AW3226" s="15" t="n">
        <v>164</v>
      </c>
      <c r="BS3226" s="15" t="n">
        <v>164</v>
      </c>
      <c r="CO3226" s="15" t="n">
        <v>164</v>
      </c>
      <c r="DK3226" s="15" t="n">
        <v>164</v>
      </c>
      <c r="EG3226" s="15" t="n">
        <v>164</v>
      </c>
      <c r="FC3226" s="15" t="n">
        <v>164</v>
      </c>
      <c r="FY3226" s="15" t="n">
        <v>164</v>
      </c>
      <c r="GU3226" s="15" t="n">
        <v>164</v>
      </c>
    </row>
    <row r="3227">
      <c r="C3227" s="15" t="n">
        <v>165</v>
      </c>
      <c r="AA3227" s="15" t="n">
        <v>165</v>
      </c>
      <c r="AW3227" s="15" t="n">
        <v>165</v>
      </c>
      <c r="BS3227" s="15" t="n">
        <v>165</v>
      </c>
      <c r="CO3227" s="15" t="n">
        <v>165</v>
      </c>
      <c r="DK3227" s="15" t="n">
        <v>165</v>
      </c>
      <c r="EG3227" s="15" t="n">
        <v>165</v>
      </c>
      <c r="FC3227" s="15" t="n">
        <v>165</v>
      </c>
      <c r="FY3227" s="15" t="n">
        <v>165</v>
      </c>
      <c r="GU3227" s="15" t="n">
        <v>165</v>
      </c>
    </row>
    <row r="3228">
      <c r="C3228" s="15" t="n">
        <v>166</v>
      </c>
      <c r="AA3228" s="15" t="n">
        <v>166</v>
      </c>
      <c r="AW3228" s="15" t="n">
        <v>166</v>
      </c>
      <c r="BS3228" s="15" t="n">
        <v>166</v>
      </c>
      <c r="CO3228" s="15" t="n">
        <v>166</v>
      </c>
      <c r="DK3228" s="15" t="n">
        <v>166</v>
      </c>
      <c r="EG3228" s="15" t="n">
        <v>166</v>
      </c>
      <c r="FC3228" s="15" t="n">
        <v>166</v>
      </c>
      <c r="FY3228" s="15" t="n">
        <v>166</v>
      </c>
      <c r="GU3228" s="15" t="n">
        <v>166</v>
      </c>
    </row>
    <row r="3229">
      <c r="C3229" s="15" t="n">
        <v>167</v>
      </c>
      <c r="AA3229" s="15" t="n">
        <v>167</v>
      </c>
      <c r="AW3229" s="15" t="n">
        <v>167</v>
      </c>
      <c r="BS3229" s="15" t="n">
        <v>167</v>
      </c>
      <c r="CO3229" s="15" t="n">
        <v>167</v>
      </c>
      <c r="DK3229" s="15" t="n">
        <v>167</v>
      </c>
      <c r="EG3229" s="15" t="n">
        <v>167</v>
      </c>
      <c r="FC3229" s="15" t="n">
        <v>167</v>
      </c>
      <c r="FY3229" s="15" t="n">
        <v>167</v>
      </c>
      <c r="GU3229" s="15" t="n">
        <v>167</v>
      </c>
    </row>
    <row r="3230">
      <c r="C3230" s="15" t="n">
        <v>168</v>
      </c>
      <c r="AA3230" s="15" t="n">
        <v>168</v>
      </c>
      <c r="AW3230" s="15" t="n">
        <v>168</v>
      </c>
      <c r="BS3230" s="15" t="n">
        <v>168</v>
      </c>
      <c r="CO3230" s="15" t="n">
        <v>168</v>
      </c>
      <c r="DK3230" s="15" t="n">
        <v>168</v>
      </c>
      <c r="EG3230" s="15" t="n">
        <v>168</v>
      </c>
      <c r="FC3230" s="15" t="n">
        <v>168</v>
      </c>
      <c r="FY3230" s="15" t="n">
        <v>168</v>
      </c>
      <c r="GU3230" s="15" t="n">
        <v>168</v>
      </c>
    </row>
    <row r="3231">
      <c r="C3231" s="15" t="n">
        <v>169</v>
      </c>
      <c r="AA3231" s="15" t="n">
        <v>169</v>
      </c>
      <c r="AW3231" s="15" t="n">
        <v>169</v>
      </c>
      <c r="BS3231" s="15" t="n">
        <v>169</v>
      </c>
      <c r="CO3231" s="15" t="n">
        <v>169</v>
      </c>
      <c r="DK3231" s="15" t="n">
        <v>169</v>
      </c>
      <c r="EG3231" s="15" t="n">
        <v>169</v>
      </c>
      <c r="FC3231" s="15" t="n">
        <v>169</v>
      </c>
      <c r="FY3231" s="15" t="n">
        <v>169</v>
      </c>
      <c r="GU3231" s="15" t="n">
        <v>169</v>
      </c>
    </row>
    <row r="3232">
      <c r="C3232" s="15" t="n">
        <v>170</v>
      </c>
      <c r="AA3232" s="15" t="n">
        <v>170</v>
      </c>
      <c r="AW3232" s="15" t="n">
        <v>170</v>
      </c>
      <c r="BS3232" s="15" t="n">
        <v>170</v>
      </c>
      <c r="CO3232" s="15" t="n">
        <v>170</v>
      </c>
      <c r="DK3232" s="15" t="n">
        <v>170</v>
      </c>
      <c r="EG3232" s="15" t="n">
        <v>170</v>
      </c>
      <c r="FC3232" s="15" t="n">
        <v>170</v>
      </c>
      <c r="FY3232" s="15" t="n">
        <v>170</v>
      </c>
      <c r="GU3232" s="15" t="n">
        <v>170</v>
      </c>
    </row>
    <row r="3233">
      <c r="C3233" s="15" t="n">
        <v>171</v>
      </c>
      <c r="AA3233" s="15" t="n">
        <v>171</v>
      </c>
      <c r="AW3233" s="15" t="n">
        <v>171</v>
      </c>
      <c r="BS3233" s="15" t="n">
        <v>171</v>
      </c>
      <c r="CO3233" s="15" t="n">
        <v>171</v>
      </c>
      <c r="DK3233" s="15" t="n">
        <v>171</v>
      </c>
      <c r="EG3233" s="15" t="n">
        <v>171</v>
      </c>
      <c r="FC3233" s="15" t="n">
        <v>171</v>
      </c>
      <c r="FY3233" s="15" t="n">
        <v>171</v>
      </c>
      <c r="GU3233" s="15" t="n">
        <v>171</v>
      </c>
    </row>
    <row r="3234">
      <c r="C3234" s="15" t="n">
        <v>172</v>
      </c>
      <c r="AA3234" s="15" t="n">
        <v>172</v>
      </c>
      <c r="AW3234" s="15" t="n">
        <v>172</v>
      </c>
      <c r="BS3234" s="15" t="n">
        <v>172</v>
      </c>
      <c r="CO3234" s="15" t="n">
        <v>172</v>
      </c>
      <c r="DK3234" s="15" t="n">
        <v>172</v>
      </c>
      <c r="EG3234" s="15" t="n">
        <v>172</v>
      </c>
      <c r="FC3234" s="15" t="n">
        <v>172</v>
      </c>
      <c r="FY3234" s="15" t="n">
        <v>172</v>
      </c>
      <c r="GU3234" s="15" t="n">
        <v>172</v>
      </c>
    </row>
    <row r="3235">
      <c r="C3235" s="15" t="n">
        <v>173</v>
      </c>
      <c r="AA3235" s="15" t="n">
        <v>173</v>
      </c>
      <c r="AW3235" s="15" t="n">
        <v>173</v>
      </c>
      <c r="BS3235" s="15" t="n">
        <v>173</v>
      </c>
      <c r="CO3235" s="15" t="n">
        <v>173</v>
      </c>
      <c r="DK3235" s="15" t="n">
        <v>173</v>
      </c>
      <c r="EG3235" s="15" t="n">
        <v>173</v>
      </c>
      <c r="FC3235" s="15" t="n">
        <v>173</v>
      </c>
      <c r="FY3235" s="15" t="n">
        <v>173</v>
      </c>
      <c r="GU3235" s="15" t="n">
        <v>173</v>
      </c>
    </row>
    <row r="3236">
      <c r="C3236" s="15" t="n">
        <v>174</v>
      </c>
      <c r="AA3236" s="15" t="n">
        <v>174</v>
      </c>
      <c r="AW3236" s="15" t="n">
        <v>174</v>
      </c>
      <c r="BS3236" s="15" t="n">
        <v>174</v>
      </c>
      <c r="CO3236" s="15" t="n">
        <v>174</v>
      </c>
      <c r="DK3236" s="15" t="n">
        <v>174</v>
      </c>
      <c r="EG3236" s="15" t="n">
        <v>174</v>
      </c>
      <c r="FC3236" s="15" t="n">
        <v>174</v>
      </c>
      <c r="FY3236" s="15" t="n">
        <v>174</v>
      </c>
      <c r="GU3236" s="15" t="n">
        <v>174</v>
      </c>
    </row>
    <row r="3237">
      <c r="C3237" s="15" t="n">
        <v>175</v>
      </c>
      <c r="AA3237" s="15" t="n">
        <v>175</v>
      </c>
      <c r="AW3237" s="15" t="n">
        <v>175</v>
      </c>
      <c r="BS3237" s="15" t="n">
        <v>175</v>
      </c>
      <c r="CO3237" s="15" t="n">
        <v>175</v>
      </c>
      <c r="DK3237" s="15" t="n">
        <v>175</v>
      </c>
      <c r="EG3237" s="15" t="n">
        <v>175</v>
      </c>
      <c r="FC3237" s="15" t="n">
        <v>175</v>
      </c>
      <c r="FY3237" s="15" t="n">
        <v>175</v>
      </c>
      <c r="GU3237" s="15" t="n">
        <v>175</v>
      </c>
    </row>
    <row r="3238">
      <c r="C3238" s="15" t="n">
        <v>176</v>
      </c>
      <c r="AA3238" s="15" t="n">
        <v>176</v>
      </c>
      <c r="AW3238" s="15" t="n">
        <v>176</v>
      </c>
      <c r="BS3238" s="15" t="n">
        <v>176</v>
      </c>
      <c r="CO3238" s="15" t="n">
        <v>176</v>
      </c>
      <c r="DK3238" s="15" t="n">
        <v>176</v>
      </c>
      <c r="EG3238" s="15" t="n">
        <v>176</v>
      </c>
      <c r="FC3238" s="15" t="n">
        <v>176</v>
      </c>
      <c r="FY3238" s="15" t="n">
        <v>176</v>
      </c>
      <c r="GU3238" s="15" t="n">
        <v>176</v>
      </c>
    </row>
    <row r="3239">
      <c r="C3239" s="15" t="n">
        <v>177</v>
      </c>
      <c r="AA3239" s="15" t="n">
        <v>177</v>
      </c>
      <c r="AW3239" s="15" t="n">
        <v>177</v>
      </c>
      <c r="BS3239" s="15" t="n">
        <v>177</v>
      </c>
      <c r="CO3239" s="15" t="n">
        <v>177</v>
      </c>
      <c r="DK3239" s="15" t="n">
        <v>177</v>
      </c>
      <c r="EG3239" s="15" t="n">
        <v>177</v>
      </c>
      <c r="FC3239" s="15" t="n">
        <v>177</v>
      </c>
      <c r="FY3239" s="15" t="n">
        <v>177</v>
      </c>
      <c r="GU3239" s="15" t="n">
        <v>177</v>
      </c>
    </row>
    <row r="3240">
      <c r="C3240" s="15" t="n">
        <v>178</v>
      </c>
      <c r="AA3240" s="15" t="n">
        <v>178</v>
      </c>
      <c r="AW3240" s="15" t="n">
        <v>178</v>
      </c>
      <c r="BS3240" s="15" t="n">
        <v>178</v>
      </c>
      <c r="CO3240" s="15" t="n">
        <v>178</v>
      </c>
      <c r="DK3240" s="15" t="n">
        <v>178</v>
      </c>
      <c r="EG3240" s="15" t="n">
        <v>178</v>
      </c>
      <c r="FC3240" s="15" t="n">
        <v>178</v>
      </c>
      <c r="FY3240" s="15" t="n">
        <v>178</v>
      </c>
      <c r="GU3240" s="15" t="n">
        <v>178</v>
      </c>
    </row>
    <row r="3241">
      <c r="C3241" s="15" t="n">
        <v>179</v>
      </c>
      <c r="AA3241" s="15" t="n">
        <v>179</v>
      </c>
      <c r="AW3241" s="15" t="n">
        <v>179</v>
      </c>
      <c r="BS3241" s="15" t="n">
        <v>179</v>
      </c>
      <c r="CO3241" s="15" t="n">
        <v>179</v>
      </c>
      <c r="DK3241" s="15" t="n">
        <v>179</v>
      </c>
      <c r="EG3241" s="15" t="n">
        <v>179</v>
      </c>
      <c r="FC3241" s="15" t="n">
        <v>179</v>
      </c>
      <c r="FY3241" s="15" t="n">
        <v>179</v>
      </c>
      <c r="GU3241" s="15" t="n">
        <v>179</v>
      </c>
    </row>
    <row r="3242">
      <c r="C3242" s="15" t="n">
        <v>180</v>
      </c>
      <c r="AA3242" s="15" t="n">
        <v>180</v>
      </c>
      <c r="AW3242" s="15" t="n">
        <v>180</v>
      </c>
      <c r="BS3242" s="15" t="n">
        <v>180</v>
      </c>
      <c r="CO3242" s="15" t="n">
        <v>180</v>
      </c>
      <c r="DK3242" s="15" t="n">
        <v>180</v>
      </c>
      <c r="EG3242" s="15" t="n">
        <v>180</v>
      </c>
      <c r="FC3242" s="15" t="n">
        <v>180</v>
      </c>
      <c r="FY3242" s="15" t="n">
        <v>180</v>
      </c>
      <c r="GU3242" s="15" t="n">
        <v>180</v>
      </c>
    </row>
    <row r="3243">
      <c r="C3243" s="15" t="n">
        <v>181</v>
      </c>
      <c r="AA3243" s="15" t="n">
        <v>181</v>
      </c>
      <c r="AW3243" s="15" t="n">
        <v>181</v>
      </c>
      <c r="BS3243" s="15" t="n">
        <v>181</v>
      </c>
      <c r="CO3243" s="15" t="n">
        <v>181</v>
      </c>
      <c r="DK3243" s="15" t="n">
        <v>181</v>
      </c>
      <c r="EG3243" s="15" t="n">
        <v>181</v>
      </c>
      <c r="FC3243" s="15" t="n">
        <v>181</v>
      </c>
      <c r="FY3243" s="15" t="n">
        <v>181</v>
      </c>
      <c r="GU3243" s="15" t="n">
        <v>181</v>
      </c>
    </row>
    <row r="3244">
      <c r="C3244" s="15" t="n">
        <v>182</v>
      </c>
      <c r="AA3244" s="15" t="n">
        <v>182</v>
      </c>
      <c r="AW3244" s="15" t="n">
        <v>182</v>
      </c>
      <c r="BS3244" s="15" t="n">
        <v>182</v>
      </c>
      <c r="CO3244" s="15" t="n">
        <v>182</v>
      </c>
      <c r="DK3244" s="15" t="n">
        <v>182</v>
      </c>
      <c r="EG3244" s="15" t="n">
        <v>182</v>
      </c>
      <c r="FC3244" s="15" t="n">
        <v>182</v>
      </c>
      <c r="FY3244" s="15" t="n">
        <v>182</v>
      </c>
      <c r="GU3244" s="15" t="n">
        <v>182</v>
      </c>
    </row>
    <row r="3245">
      <c r="C3245" s="15" t="n">
        <v>183</v>
      </c>
      <c r="AA3245" s="15" t="n">
        <v>183</v>
      </c>
      <c r="AW3245" s="15" t="n">
        <v>183</v>
      </c>
      <c r="BS3245" s="15" t="n">
        <v>183</v>
      </c>
      <c r="CO3245" s="15" t="n">
        <v>183</v>
      </c>
      <c r="DK3245" s="15" t="n">
        <v>183</v>
      </c>
      <c r="EG3245" s="15" t="n">
        <v>183</v>
      </c>
      <c r="FC3245" s="15" t="n">
        <v>183</v>
      </c>
      <c r="FY3245" s="15" t="n">
        <v>183</v>
      </c>
      <c r="GU3245" s="15" t="n">
        <v>183</v>
      </c>
    </row>
    <row r="3246">
      <c r="C3246" s="15" t="n">
        <v>184</v>
      </c>
      <c r="AA3246" s="15" t="n">
        <v>184</v>
      </c>
      <c r="AW3246" s="15" t="n">
        <v>184</v>
      </c>
      <c r="BS3246" s="15" t="n">
        <v>184</v>
      </c>
      <c r="CO3246" s="15" t="n">
        <v>184</v>
      </c>
      <c r="DK3246" s="15" t="n">
        <v>184</v>
      </c>
      <c r="EG3246" s="15" t="n">
        <v>184</v>
      </c>
      <c r="FC3246" s="15" t="n">
        <v>184</v>
      </c>
      <c r="FY3246" s="15" t="n">
        <v>184</v>
      </c>
      <c r="GU3246" s="15" t="n">
        <v>184</v>
      </c>
    </row>
    <row r="3247">
      <c r="C3247" s="15" t="n">
        <v>185</v>
      </c>
      <c r="AA3247" s="15" t="n">
        <v>185</v>
      </c>
      <c r="AW3247" s="15" t="n">
        <v>185</v>
      </c>
      <c r="BS3247" s="15" t="n">
        <v>185</v>
      </c>
      <c r="CO3247" s="15" t="n">
        <v>185</v>
      </c>
      <c r="DK3247" s="15" t="n">
        <v>185</v>
      </c>
      <c r="EG3247" s="15" t="n">
        <v>185</v>
      </c>
      <c r="FC3247" s="15" t="n">
        <v>185</v>
      </c>
      <c r="FY3247" s="15" t="n">
        <v>185</v>
      </c>
      <c r="GU3247" s="15" t="n">
        <v>185</v>
      </c>
    </row>
    <row r="3248">
      <c r="C3248" s="15" t="n">
        <v>186</v>
      </c>
      <c r="AA3248" s="15" t="n">
        <v>186</v>
      </c>
      <c r="AW3248" s="15" t="n">
        <v>186</v>
      </c>
      <c r="BS3248" s="15" t="n">
        <v>186</v>
      </c>
      <c r="CO3248" s="15" t="n">
        <v>186</v>
      </c>
      <c r="DK3248" s="15" t="n">
        <v>186</v>
      </c>
      <c r="EG3248" s="15" t="n">
        <v>186</v>
      </c>
      <c r="FC3248" s="15" t="n">
        <v>186</v>
      </c>
      <c r="FY3248" s="15" t="n">
        <v>186</v>
      </c>
      <c r="GU3248" s="15" t="n">
        <v>186</v>
      </c>
    </row>
    <row r="3249">
      <c r="C3249" s="15" t="n">
        <v>187</v>
      </c>
      <c r="AA3249" s="15" t="n">
        <v>187</v>
      </c>
      <c r="AW3249" s="15" t="n">
        <v>187</v>
      </c>
      <c r="BS3249" s="15" t="n">
        <v>187</v>
      </c>
      <c r="CO3249" s="15" t="n">
        <v>187</v>
      </c>
      <c r="DK3249" s="15" t="n">
        <v>187</v>
      </c>
      <c r="EG3249" s="15" t="n">
        <v>187</v>
      </c>
      <c r="FC3249" s="15" t="n">
        <v>187</v>
      </c>
      <c r="FY3249" s="15" t="n">
        <v>187</v>
      </c>
      <c r="GU3249" s="15" t="n">
        <v>187</v>
      </c>
    </row>
    <row r="3250">
      <c r="C3250" s="15" t="n">
        <v>188</v>
      </c>
      <c r="AA3250" s="15" t="n">
        <v>188</v>
      </c>
      <c r="AW3250" s="15" t="n">
        <v>188</v>
      </c>
      <c r="BS3250" s="15" t="n">
        <v>188</v>
      </c>
      <c r="CO3250" s="15" t="n">
        <v>188</v>
      </c>
      <c r="DK3250" s="15" t="n">
        <v>188</v>
      </c>
      <c r="EG3250" s="15" t="n">
        <v>188</v>
      </c>
      <c r="FC3250" s="15" t="n">
        <v>188</v>
      </c>
      <c r="FY3250" s="15" t="n">
        <v>188</v>
      </c>
      <c r="GU3250" s="15" t="n">
        <v>188</v>
      </c>
    </row>
    <row r="3251">
      <c r="C3251" s="15" t="n">
        <v>189</v>
      </c>
      <c r="AA3251" s="15" t="n">
        <v>189</v>
      </c>
      <c r="AW3251" s="15" t="n">
        <v>189</v>
      </c>
      <c r="BS3251" s="15" t="n">
        <v>189</v>
      </c>
      <c r="CO3251" s="15" t="n">
        <v>189</v>
      </c>
      <c r="DK3251" s="15" t="n">
        <v>189</v>
      </c>
      <c r="EG3251" s="15" t="n">
        <v>189</v>
      </c>
      <c r="FC3251" s="15" t="n">
        <v>189</v>
      </c>
      <c r="FY3251" s="15" t="n">
        <v>189</v>
      </c>
      <c r="GU3251" s="15" t="n">
        <v>189</v>
      </c>
    </row>
    <row r="3252">
      <c r="C3252" s="15" t="n">
        <v>190</v>
      </c>
      <c r="AA3252" s="15" t="n">
        <v>190</v>
      </c>
      <c r="AW3252" s="15" t="n">
        <v>190</v>
      </c>
      <c r="BS3252" s="15" t="n">
        <v>190</v>
      </c>
      <c r="CO3252" s="15" t="n">
        <v>190</v>
      </c>
      <c r="DK3252" s="15" t="n">
        <v>190</v>
      </c>
      <c r="EG3252" s="15" t="n">
        <v>190</v>
      </c>
      <c r="FC3252" s="15" t="n">
        <v>190</v>
      </c>
      <c r="FY3252" s="15" t="n">
        <v>190</v>
      </c>
      <c r="GU3252" s="15" t="n">
        <v>190</v>
      </c>
    </row>
    <row r="3253">
      <c r="C3253" s="15" t="n">
        <v>191</v>
      </c>
      <c r="AA3253" s="15" t="n">
        <v>191</v>
      </c>
      <c r="AW3253" s="15" t="n">
        <v>191</v>
      </c>
      <c r="BS3253" s="15" t="n">
        <v>191</v>
      </c>
      <c r="CO3253" s="15" t="n">
        <v>191</v>
      </c>
      <c r="DK3253" s="15" t="n">
        <v>191</v>
      </c>
      <c r="EG3253" s="15" t="n">
        <v>191</v>
      </c>
      <c r="FC3253" s="15" t="n">
        <v>191</v>
      </c>
      <c r="FY3253" s="15" t="n">
        <v>191</v>
      </c>
      <c r="GU3253" s="15" t="n">
        <v>191</v>
      </c>
    </row>
    <row r="3254">
      <c r="C3254" s="15" t="n">
        <v>192</v>
      </c>
      <c r="AA3254" s="15" t="n">
        <v>192</v>
      </c>
      <c r="AW3254" s="15" t="n">
        <v>192</v>
      </c>
      <c r="BS3254" s="15" t="n">
        <v>192</v>
      </c>
      <c r="CO3254" s="15" t="n">
        <v>192</v>
      </c>
      <c r="DK3254" s="15" t="n">
        <v>192</v>
      </c>
      <c r="EG3254" s="15" t="n">
        <v>192</v>
      </c>
      <c r="FC3254" s="15" t="n">
        <v>192</v>
      </c>
      <c r="FY3254" s="15" t="n">
        <v>192</v>
      </c>
      <c r="GU3254" s="15" t="n">
        <v>192</v>
      </c>
    </row>
    <row r="3255">
      <c r="C3255" s="15" t="n">
        <v>193</v>
      </c>
      <c r="AA3255" s="15" t="n">
        <v>193</v>
      </c>
      <c r="AW3255" s="15" t="n">
        <v>193</v>
      </c>
      <c r="BS3255" s="15" t="n">
        <v>193</v>
      </c>
      <c r="CO3255" s="15" t="n">
        <v>193</v>
      </c>
      <c r="DK3255" s="15" t="n">
        <v>193</v>
      </c>
      <c r="EG3255" s="15" t="n">
        <v>193</v>
      </c>
      <c r="FC3255" s="15" t="n">
        <v>193</v>
      </c>
      <c r="FY3255" s="15" t="n">
        <v>193</v>
      </c>
      <c r="GU3255" s="15" t="n">
        <v>193</v>
      </c>
    </row>
    <row r="3256">
      <c r="C3256" s="15" t="n">
        <v>194</v>
      </c>
      <c r="AA3256" s="15" t="n">
        <v>194</v>
      </c>
      <c r="AW3256" s="15" t="n">
        <v>194</v>
      </c>
      <c r="BS3256" s="15" t="n">
        <v>194</v>
      </c>
      <c r="CO3256" s="15" t="n">
        <v>194</v>
      </c>
      <c r="DK3256" s="15" t="n">
        <v>194</v>
      </c>
      <c r="EG3256" s="15" t="n">
        <v>194</v>
      </c>
      <c r="FC3256" s="15" t="n">
        <v>194</v>
      </c>
      <c r="FY3256" s="15" t="n">
        <v>194</v>
      </c>
      <c r="GU3256" s="15" t="n">
        <v>194</v>
      </c>
    </row>
    <row r="3257">
      <c r="C3257" s="15" t="n">
        <v>195</v>
      </c>
      <c r="AA3257" s="15" t="n">
        <v>195</v>
      </c>
      <c r="AW3257" s="15" t="n">
        <v>195</v>
      </c>
      <c r="BS3257" s="15" t="n">
        <v>195</v>
      </c>
      <c r="CO3257" s="15" t="n">
        <v>195</v>
      </c>
      <c r="DK3257" s="15" t="n">
        <v>195</v>
      </c>
      <c r="EG3257" s="15" t="n">
        <v>195</v>
      </c>
      <c r="FC3257" s="15" t="n">
        <v>195</v>
      </c>
      <c r="FY3257" s="15" t="n">
        <v>195</v>
      </c>
      <c r="GU3257" s="15" t="n">
        <v>195</v>
      </c>
    </row>
    <row r="3258">
      <c r="C3258" s="15" t="n">
        <v>196</v>
      </c>
      <c r="AA3258" s="15" t="n">
        <v>196</v>
      </c>
      <c r="AW3258" s="15" t="n">
        <v>196</v>
      </c>
      <c r="BS3258" s="15" t="n">
        <v>196</v>
      </c>
      <c r="CO3258" s="15" t="n">
        <v>196</v>
      </c>
      <c r="DK3258" s="15" t="n">
        <v>196</v>
      </c>
      <c r="EG3258" s="15" t="n">
        <v>196</v>
      </c>
      <c r="FC3258" s="15" t="n">
        <v>196</v>
      </c>
      <c r="FY3258" s="15" t="n">
        <v>196</v>
      </c>
      <c r="GU3258" s="15" t="n">
        <v>196</v>
      </c>
    </row>
    <row r="3259">
      <c r="C3259" s="15" t="n">
        <v>197</v>
      </c>
      <c r="AA3259" s="15" t="n">
        <v>197</v>
      </c>
      <c r="AW3259" s="15" t="n">
        <v>197</v>
      </c>
      <c r="BS3259" s="15" t="n">
        <v>197</v>
      </c>
      <c r="CO3259" s="15" t="n">
        <v>197</v>
      </c>
      <c r="DK3259" s="15" t="n">
        <v>197</v>
      </c>
      <c r="EG3259" s="15" t="n">
        <v>197</v>
      </c>
      <c r="FC3259" s="15" t="n">
        <v>197</v>
      </c>
      <c r="FY3259" s="15" t="n">
        <v>197</v>
      </c>
      <c r="GU3259" s="15" t="n">
        <v>197</v>
      </c>
    </row>
    <row r="3260">
      <c r="C3260" s="15" t="n">
        <v>198</v>
      </c>
      <c r="AA3260" s="15" t="n">
        <v>198</v>
      </c>
      <c r="AW3260" s="15" t="n">
        <v>198</v>
      </c>
      <c r="BS3260" s="15" t="n">
        <v>198</v>
      </c>
      <c r="CO3260" s="15" t="n">
        <v>198</v>
      </c>
      <c r="DK3260" s="15" t="n">
        <v>198</v>
      </c>
      <c r="EG3260" s="15" t="n">
        <v>198</v>
      </c>
      <c r="FC3260" s="15" t="n">
        <v>198</v>
      </c>
      <c r="FY3260" s="15" t="n">
        <v>198</v>
      </c>
      <c r="GU3260" s="15" t="n">
        <v>198</v>
      </c>
    </row>
    <row r="3262">
      <c r="B3262" s="15" t="inlineStr">
        <is>
          <t>Parâmetros p/ σx</t>
        </is>
      </c>
      <c r="C3262" s="15" t="inlineStr">
        <is>
          <t>DesvPad(Var(d-cap))</t>
        </is>
      </c>
      <c r="D3262" s="15" t="n">
        <v>22</v>
      </c>
      <c r="E3262" s="15" t="n">
        <v>23</v>
      </c>
      <c r="F3262" s="15" t="n">
        <v>24</v>
      </c>
      <c r="Z3262" s="15" t="inlineStr">
        <is>
          <t>Parâmetros p/ σx</t>
        </is>
      </c>
      <c r="AA3262" s="15" t="inlineStr">
        <is>
          <t>DesvPad(Var(d-cap))</t>
        </is>
      </c>
      <c r="AB3262" s="15" t="n">
        <v>22</v>
      </c>
      <c r="AC3262" s="15" t="n">
        <v>23</v>
      </c>
      <c r="AD3262" s="15" t="n">
        <v>24</v>
      </c>
      <c r="AV3262" s="15" t="inlineStr">
        <is>
          <t>Parâmetros p/ σx</t>
        </is>
      </c>
      <c r="AW3262" s="15" t="inlineStr">
        <is>
          <t>DesvPad(Var(d-cap))</t>
        </is>
      </c>
      <c r="AX3262" s="15" t="n">
        <v>22</v>
      </c>
      <c r="AY3262" s="15" t="n">
        <v>23</v>
      </c>
      <c r="AZ3262" s="15" t="n">
        <v>24</v>
      </c>
      <c r="BR3262" s="15" t="inlineStr">
        <is>
          <t>Parâmetros p/ σx</t>
        </is>
      </c>
      <c r="BS3262" s="15" t="inlineStr">
        <is>
          <t>DesvPad(Var(d-cap))</t>
        </is>
      </c>
      <c r="BT3262" s="15" t="n">
        <v>22</v>
      </c>
      <c r="BU3262" s="15" t="n">
        <v>23</v>
      </c>
      <c r="BV3262" s="15" t="n">
        <v>24</v>
      </c>
      <c r="CN3262" s="15" t="inlineStr">
        <is>
          <t>Parâmetros p/ σx</t>
        </is>
      </c>
      <c r="CO3262" s="15" t="inlineStr">
        <is>
          <t>DesvPad(Var(d-cap))</t>
        </is>
      </c>
      <c r="CP3262" s="15" t="n">
        <v>22</v>
      </c>
      <c r="CQ3262" s="15" t="n">
        <v>23</v>
      </c>
      <c r="CR3262" s="15" t="n">
        <v>24</v>
      </c>
      <c r="DJ3262" s="15" t="inlineStr">
        <is>
          <t>Parâmetros p/ σx</t>
        </is>
      </c>
      <c r="DK3262" s="15" t="inlineStr">
        <is>
          <t>DesvPad(Var(d-cap))</t>
        </is>
      </c>
      <c r="DL3262" s="15" t="n">
        <v>22</v>
      </c>
      <c r="DM3262" s="15" t="n">
        <v>23</v>
      </c>
      <c r="DN3262" s="15" t="n">
        <v>24</v>
      </c>
      <c r="EF3262" s="15" t="inlineStr">
        <is>
          <t>Parâmetros p/ σx</t>
        </is>
      </c>
      <c r="EG3262" s="15" t="inlineStr">
        <is>
          <t>DesvPad(Var(d-cap))</t>
        </is>
      </c>
      <c r="EH3262" s="15" t="n">
        <v>22</v>
      </c>
      <c r="EI3262" s="15" t="n">
        <v>23</v>
      </c>
      <c r="EJ3262" s="15" t="n">
        <v>24</v>
      </c>
      <c r="FB3262" s="15" t="inlineStr">
        <is>
          <t>Parâmetros p/ σx</t>
        </is>
      </c>
      <c r="FC3262" s="15" t="inlineStr">
        <is>
          <t>DesvPad(Var(d-cap))</t>
        </is>
      </c>
      <c r="FD3262" s="15" t="n">
        <v>22</v>
      </c>
      <c r="FE3262" s="15" t="n">
        <v>23</v>
      </c>
      <c r="FF3262" s="15" t="n">
        <v>24</v>
      </c>
      <c r="FX3262" s="15" t="inlineStr">
        <is>
          <t>Parâmetros p/ σx</t>
        </is>
      </c>
      <c r="FY3262" s="15" t="inlineStr">
        <is>
          <t>DesvPad(Var(d-cap))</t>
        </is>
      </c>
      <c r="FZ3262" s="15" t="n">
        <v>22</v>
      </c>
      <c r="GA3262" s="15" t="n">
        <v>23</v>
      </c>
      <c r="GB3262" s="15" t="n">
        <v>24</v>
      </c>
      <c r="GT3262" s="15" t="inlineStr">
        <is>
          <t>Parâmetros p/ σx</t>
        </is>
      </c>
      <c r="GU3262" s="15" t="inlineStr">
        <is>
          <t>DesvPad(Var(d-cap))</t>
        </is>
      </c>
      <c r="GV3262" s="15" t="n">
        <v>22</v>
      </c>
      <c r="GW3262" s="15" t="n">
        <v>23</v>
      </c>
      <c r="GX3262" s="15" t="n">
        <v>24</v>
      </c>
    </row>
    <row r="3263">
      <c r="B3263" s="15" t="inlineStr">
        <is>
          <t>ND*RLT</t>
        </is>
      </c>
      <c r="C3263" s="15" t="n">
        <v>9</v>
      </c>
      <c r="Z3263" s="15" t="inlineStr">
        <is>
          <t>ND*RLT</t>
        </is>
      </c>
      <c r="AA3263" s="15" t="n">
        <v>9</v>
      </c>
      <c r="AV3263" s="15" t="inlineStr">
        <is>
          <t>ND*RLT</t>
        </is>
      </c>
      <c r="AW3263" s="15" t="n">
        <v>9</v>
      </c>
      <c r="BR3263" s="15" t="inlineStr">
        <is>
          <t>ND*RLT</t>
        </is>
      </c>
      <c r="BS3263" s="15" t="n">
        <v>9</v>
      </c>
      <c r="CN3263" s="15" t="inlineStr">
        <is>
          <t>ND*RLT</t>
        </is>
      </c>
      <c r="CO3263" s="15" t="n">
        <v>9</v>
      </c>
      <c r="DJ3263" s="15" t="inlineStr">
        <is>
          <t>ND*RLT</t>
        </is>
      </c>
      <c r="DK3263" s="15" t="n">
        <v>9</v>
      </c>
      <c r="EF3263" s="15" t="inlineStr">
        <is>
          <t>ND*RLT</t>
        </is>
      </c>
      <c r="EG3263" s="15" t="n">
        <v>9</v>
      </c>
      <c r="FB3263" s="15" t="inlineStr">
        <is>
          <t>ND*RLT</t>
        </is>
      </c>
      <c r="FC3263" s="15" t="n">
        <v>9</v>
      </c>
      <c r="FX3263" s="15" t="inlineStr">
        <is>
          <t>ND*RLT</t>
        </is>
      </c>
      <c r="FY3263" s="15" t="n">
        <v>9</v>
      </c>
      <c r="GT3263" s="15" t="inlineStr">
        <is>
          <t>ND*RLT</t>
        </is>
      </c>
      <c r="GU3263" s="15" t="n">
        <v>9</v>
      </c>
    </row>
    <row r="3264">
      <c r="C3264" s="15" t="n">
        <v>10</v>
      </c>
      <c r="AA3264" s="15" t="n">
        <v>10</v>
      </c>
      <c r="AW3264" s="15" t="n">
        <v>10</v>
      </c>
      <c r="BS3264" s="15" t="n">
        <v>10</v>
      </c>
      <c r="CO3264" s="15" t="n">
        <v>10</v>
      </c>
      <c r="DK3264" s="15" t="n">
        <v>10</v>
      </c>
      <c r="EG3264" s="15" t="n">
        <v>10</v>
      </c>
      <c r="FC3264" s="15" t="n">
        <v>10</v>
      </c>
      <c r="FY3264" s="15" t="n">
        <v>10</v>
      </c>
      <c r="GU3264" s="15" t="n">
        <v>10</v>
      </c>
    </row>
    <row r="3265">
      <c r="C3265" s="15" t="n">
        <v>11</v>
      </c>
      <c r="AA3265" s="15" t="n">
        <v>11</v>
      </c>
      <c r="AW3265" s="15" t="n">
        <v>11</v>
      </c>
      <c r="BS3265" s="15" t="n">
        <v>11</v>
      </c>
      <c r="CO3265" s="15" t="n">
        <v>11</v>
      </c>
      <c r="DK3265" s="15" t="n">
        <v>11</v>
      </c>
      <c r="EG3265" s="15" t="n">
        <v>11</v>
      </c>
      <c r="FC3265" s="15" t="n">
        <v>11</v>
      </c>
      <c r="FY3265" s="15" t="n">
        <v>11</v>
      </c>
      <c r="GU3265" s="15" t="n">
        <v>11</v>
      </c>
    </row>
    <row r="3266">
      <c r="C3266" s="15" t="n">
        <v>12</v>
      </c>
      <c r="AA3266" s="15" t="n">
        <v>12</v>
      </c>
      <c r="AW3266" s="15" t="n">
        <v>12</v>
      </c>
      <c r="BS3266" s="15" t="n">
        <v>12</v>
      </c>
      <c r="CO3266" s="15" t="n">
        <v>12</v>
      </c>
      <c r="DK3266" s="15" t="n">
        <v>12</v>
      </c>
      <c r="EG3266" s="15" t="n">
        <v>12</v>
      </c>
      <c r="FC3266" s="15" t="n">
        <v>12</v>
      </c>
      <c r="FY3266" s="15" t="n">
        <v>12</v>
      </c>
      <c r="GU3266" s="15" t="n">
        <v>12</v>
      </c>
    </row>
    <row r="3267">
      <c r="C3267" s="15" t="n">
        <v>13</v>
      </c>
      <c r="AA3267" s="15" t="n">
        <v>13</v>
      </c>
      <c r="AW3267" s="15" t="n">
        <v>13</v>
      </c>
      <c r="BS3267" s="15" t="n">
        <v>13</v>
      </c>
      <c r="CO3267" s="15" t="n">
        <v>13</v>
      </c>
      <c r="DK3267" s="15" t="n">
        <v>13</v>
      </c>
      <c r="EG3267" s="15" t="n">
        <v>13</v>
      </c>
      <c r="FC3267" s="15" t="n">
        <v>13</v>
      </c>
      <c r="FY3267" s="15" t="n">
        <v>13</v>
      </c>
      <c r="GU3267" s="15" t="n">
        <v>13</v>
      </c>
    </row>
    <row r="3268">
      <c r="C3268" s="15" t="n">
        <v>14</v>
      </c>
      <c r="AA3268" s="15" t="n">
        <v>14</v>
      </c>
      <c r="AW3268" s="15" t="n">
        <v>14</v>
      </c>
      <c r="BS3268" s="15" t="n">
        <v>14</v>
      </c>
      <c r="CO3268" s="15" t="n">
        <v>14</v>
      </c>
      <c r="DK3268" s="15" t="n">
        <v>14</v>
      </c>
      <c r="EG3268" s="15" t="n">
        <v>14</v>
      </c>
      <c r="FC3268" s="15" t="n">
        <v>14</v>
      </c>
      <c r="FY3268" s="15" t="n">
        <v>14</v>
      </c>
      <c r="GU3268" s="15" t="n">
        <v>14</v>
      </c>
    </row>
    <row r="3269">
      <c r="C3269" s="15" t="n">
        <v>15</v>
      </c>
      <c r="AA3269" s="15" t="n">
        <v>15</v>
      </c>
      <c r="AW3269" s="15" t="n">
        <v>15</v>
      </c>
      <c r="BS3269" s="15" t="n">
        <v>15</v>
      </c>
      <c r="CO3269" s="15" t="n">
        <v>15</v>
      </c>
      <c r="DK3269" s="15" t="n">
        <v>15</v>
      </c>
      <c r="EG3269" s="15" t="n">
        <v>15</v>
      </c>
      <c r="FC3269" s="15" t="n">
        <v>15</v>
      </c>
      <c r="FY3269" s="15" t="n">
        <v>15</v>
      </c>
      <c r="GU3269" s="15" t="n">
        <v>15</v>
      </c>
    </row>
    <row r="3270">
      <c r="C3270" s="15" t="n">
        <v>16</v>
      </c>
      <c r="AA3270" s="15" t="n">
        <v>16</v>
      </c>
      <c r="AW3270" s="15" t="n">
        <v>16</v>
      </c>
      <c r="BS3270" s="15" t="n">
        <v>16</v>
      </c>
      <c r="CO3270" s="15" t="n">
        <v>16</v>
      </c>
      <c r="DK3270" s="15" t="n">
        <v>16</v>
      </c>
      <c r="EG3270" s="15" t="n">
        <v>16</v>
      </c>
      <c r="FC3270" s="15" t="n">
        <v>16</v>
      </c>
      <c r="FY3270" s="15" t="n">
        <v>16</v>
      </c>
      <c r="GU3270" s="15" t="n">
        <v>16</v>
      </c>
    </row>
    <row r="3271">
      <c r="C3271" s="15" t="n">
        <v>17</v>
      </c>
      <c r="AA3271" s="15" t="n">
        <v>17</v>
      </c>
      <c r="AW3271" s="15" t="n">
        <v>17</v>
      </c>
      <c r="BS3271" s="15" t="n">
        <v>17</v>
      </c>
      <c r="CO3271" s="15" t="n">
        <v>17</v>
      </c>
      <c r="DK3271" s="15" t="n">
        <v>17</v>
      </c>
      <c r="EG3271" s="15" t="n">
        <v>17</v>
      </c>
      <c r="FC3271" s="15" t="n">
        <v>17</v>
      </c>
      <c r="FY3271" s="15" t="n">
        <v>17</v>
      </c>
      <c r="GU3271" s="15" t="n">
        <v>17</v>
      </c>
    </row>
    <row r="3272">
      <c r="C3272" s="15" t="n">
        <v>18</v>
      </c>
      <c r="AA3272" s="15" t="n">
        <v>18</v>
      </c>
      <c r="AW3272" s="15" t="n">
        <v>18</v>
      </c>
      <c r="BS3272" s="15" t="n">
        <v>18</v>
      </c>
      <c r="CO3272" s="15" t="n">
        <v>18</v>
      </c>
      <c r="DK3272" s="15" t="n">
        <v>18</v>
      </c>
      <c r="EG3272" s="15" t="n">
        <v>18</v>
      </c>
      <c r="FC3272" s="15" t="n">
        <v>18</v>
      </c>
      <c r="FY3272" s="15" t="n">
        <v>18</v>
      </c>
      <c r="GU3272" s="15" t="n">
        <v>18</v>
      </c>
    </row>
    <row r="3273">
      <c r="C3273" s="15" t="n">
        <v>19</v>
      </c>
      <c r="AA3273" s="15" t="n">
        <v>19</v>
      </c>
      <c r="AW3273" s="15" t="n">
        <v>19</v>
      </c>
      <c r="BS3273" s="15" t="n">
        <v>19</v>
      </c>
      <c r="CO3273" s="15" t="n">
        <v>19</v>
      </c>
      <c r="DK3273" s="15" t="n">
        <v>19</v>
      </c>
      <c r="EG3273" s="15" t="n">
        <v>19</v>
      </c>
      <c r="FC3273" s="15" t="n">
        <v>19</v>
      </c>
      <c r="FY3273" s="15" t="n">
        <v>19</v>
      </c>
      <c r="GU3273" s="15" t="n">
        <v>19</v>
      </c>
    </row>
    <row r="3274">
      <c r="C3274" s="15" t="n">
        <v>20</v>
      </c>
      <c r="AA3274" s="15" t="n">
        <v>20</v>
      </c>
      <c r="AW3274" s="15" t="n">
        <v>20</v>
      </c>
      <c r="BS3274" s="15" t="n">
        <v>20</v>
      </c>
      <c r="CO3274" s="15" t="n">
        <v>20</v>
      </c>
      <c r="DK3274" s="15" t="n">
        <v>20</v>
      </c>
      <c r="EG3274" s="15" t="n">
        <v>20</v>
      </c>
      <c r="FC3274" s="15" t="n">
        <v>20</v>
      </c>
      <c r="FY3274" s="15" t="n">
        <v>20</v>
      </c>
      <c r="GU3274" s="15" t="n">
        <v>20</v>
      </c>
    </row>
    <row r="3275">
      <c r="C3275" s="15" t="n">
        <v>21</v>
      </c>
      <c r="AA3275" s="15" t="n">
        <v>21</v>
      </c>
      <c r="AW3275" s="15" t="n">
        <v>21</v>
      </c>
      <c r="BS3275" s="15" t="n">
        <v>21</v>
      </c>
      <c r="CO3275" s="15" t="n">
        <v>21</v>
      </c>
      <c r="DK3275" s="15" t="n">
        <v>21</v>
      </c>
      <c r="EG3275" s="15" t="n">
        <v>21</v>
      </c>
      <c r="FC3275" s="15" t="n">
        <v>21</v>
      </c>
      <c r="FY3275" s="15" t="n">
        <v>21</v>
      </c>
      <c r="GU3275" s="15" t="n">
        <v>21</v>
      </c>
    </row>
    <row r="3276">
      <c r="C3276" s="15" t="n">
        <v>22</v>
      </c>
      <c r="AA3276" s="15" t="n">
        <v>22</v>
      </c>
      <c r="AW3276" s="15" t="n">
        <v>22</v>
      </c>
      <c r="BS3276" s="15" t="n">
        <v>22</v>
      </c>
      <c r="CO3276" s="15" t="n">
        <v>22</v>
      </c>
      <c r="DK3276" s="15" t="n">
        <v>22</v>
      </c>
      <c r="EG3276" s="15" t="n">
        <v>22</v>
      </c>
      <c r="FC3276" s="15" t="n">
        <v>22</v>
      </c>
      <c r="FY3276" s="15" t="n">
        <v>22</v>
      </c>
      <c r="GU3276" s="15" t="n">
        <v>22</v>
      </c>
    </row>
    <row r="3277">
      <c r="C3277" s="15" t="n">
        <v>23</v>
      </c>
      <c r="AA3277" s="15" t="n">
        <v>23</v>
      </c>
      <c r="AW3277" s="15" t="n">
        <v>23</v>
      </c>
      <c r="BS3277" s="15" t="n">
        <v>23</v>
      </c>
      <c r="CO3277" s="15" t="n">
        <v>23</v>
      </c>
      <c r="DK3277" s="15" t="n">
        <v>23</v>
      </c>
      <c r="EG3277" s="15" t="n">
        <v>23</v>
      </c>
      <c r="FC3277" s="15" t="n">
        <v>23</v>
      </c>
      <c r="FY3277" s="15" t="n">
        <v>23</v>
      </c>
      <c r="GU3277" s="15" t="n">
        <v>23</v>
      </c>
    </row>
    <row r="3278">
      <c r="C3278" s="15" t="n">
        <v>24</v>
      </c>
      <c r="AA3278" s="15" t="n">
        <v>24</v>
      </c>
      <c r="AW3278" s="15" t="n">
        <v>24</v>
      </c>
      <c r="BS3278" s="15" t="n">
        <v>24</v>
      </c>
      <c r="CO3278" s="15" t="n">
        <v>24</v>
      </c>
      <c r="DK3278" s="15" t="n">
        <v>24</v>
      </c>
      <c r="EG3278" s="15" t="n">
        <v>24</v>
      </c>
      <c r="FC3278" s="15" t="n">
        <v>24</v>
      </c>
      <c r="FY3278" s="15" t="n">
        <v>24</v>
      </c>
      <c r="GU3278" s="15" t="n">
        <v>24</v>
      </c>
    </row>
    <row r="3279">
      <c r="C3279" s="15" t="n">
        <v>25</v>
      </c>
      <c r="AA3279" s="15" t="n">
        <v>25</v>
      </c>
      <c r="AW3279" s="15" t="n">
        <v>25</v>
      </c>
      <c r="BS3279" s="15" t="n">
        <v>25</v>
      </c>
      <c r="CO3279" s="15" t="n">
        <v>25</v>
      </c>
      <c r="DK3279" s="15" t="n">
        <v>25</v>
      </c>
      <c r="EG3279" s="15" t="n">
        <v>25</v>
      </c>
      <c r="FC3279" s="15" t="n">
        <v>25</v>
      </c>
      <c r="FY3279" s="15" t="n">
        <v>25</v>
      </c>
      <c r="GU3279" s="15" t="n">
        <v>25</v>
      </c>
    </row>
    <row r="3280">
      <c r="C3280" s="15" t="n">
        <v>26</v>
      </c>
      <c r="AA3280" s="15" t="n">
        <v>26</v>
      </c>
      <c r="AW3280" s="15" t="n">
        <v>26</v>
      </c>
      <c r="BS3280" s="15" t="n">
        <v>26</v>
      </c>
      <c r="CO3280" s="15" t="n">
        <v>26</v>
      </c>
      <c r="DK3280" s="15" t="n">
        <v>26</v>
      </c>
      <c r="EG3280" s="15" t="n">
        <v>26</v>
      </c>
      <c r="FC3280" s="15" t="n">
        <v>26</v>
      </c>
      <c r="FY3280" s="15" t="n">
        <v>26</v>
      </c>
      <c r="GU3280" s="15" t="n">
        <v>26</v>
      </c>
    </row>
    <row r="3281">
      <c r="C3281" s="15" t="n">
        <v>27</v>
      </c>
      <c r="AA3281" s="15" t="n">
        <v>27</v>
      </c>
      <c r="AW3281" s="15" t="n">
        <v>27</v>
      </c>
      <c r="BS3281" s="15" t="n">
        <v>27</v>
      </c>
      <c r="CO3281" s="15" t="n">
        <v>27</v>
      </c>
      <c r="DK3281" s="15" t="n">
        <v>27</v>
      </c>
      <c r="EG3281" s="15" t="n">
        <v>27</v>
      </c>
      <c r="FC3281" s="15" t="n">
        <v>27</v>
      </c>
      <c r="FY3281" s="15" t="n">
        <v>27</v>
      </c>
      <c r="GU3281" s="15" t="n">
        <v>27</v>
      </c>
    </row>
    <row r="3282">
      <c r="C3282" s="15" t="n">
        <v>28</v>
      </c>
      <c r="AA3282" s="15" t="n">
        <v>28</v>
      </c>
      <c r="AW3282" s="15" t="n">
        <v>28</v>
      </c>
      <c r="BS3282" s="15" t="n">
        <v>28</v>
      </c>
      <c r="CO3282" s="15" t="n">
        <v>28</v>
      </c>
      <c r="DK3282" s="15" t="n">
        <v>28</v>
      </c>
      <c r="EG3282" s="15" t="n">
        <v>28</v>
      </c>
      <c r="FC3282" s="15" t="n">
        <v>28</v>
      </c>
      <c r="FY3282" s="15" t="n">
        <v>28</v>
      </c>
      <c r="GU3282" s="15" t="n">
        <v>28</v>
      </c>
    </row>
    <row r="3283">
      <c r="C3283" s="15" t="n">
        <v>29</v>
      </c>
      <c r="AA3283" s="15" t="n">
        <v>29</v>
      </c>
      <c r="AW3283" s="15" t="n">
        <v>29</v>
      </c>
      <c r="BS3283" s="15" t="n">
        <v>29</v>
      </c>
      <c r="CO3283" s="15" t="n">
        <v>29</v>
      </c>
      <c r="DK3283" s="15" t="n">
        <v>29</v>
      </c>
      <c r="EG3283" s="15" t="n">
        <v>29</v>
      </c>
      <c r="FC3283" s="15" t="n">
        <v>29</v>
      </c>
      <c r="FY3283" s="15" t="n">
        <v>29</v>
      </c>
      <c r="GU3283" s="15" t="n">
        <v>29</v>
      </c>
    </row>
    <row r="3284">
      <c r="C3284" s="15" t="n">
        <v>30</v>
      </c>
      <c r="AA3284" s="15" t="n">
        <v>30</v>
      </c>
      <c r="AW3284" s="15" t="n">
        <v>30</v>
      </c>
      <c r="BS3284" s="15" t="n">
        <v>30</v>
      </c>
      <c r="CO3284" s="15" t="n">
        <v>30</v>
      </c>
      <c r="DK3284" s="15" t="n">
        <v>30</v>
      </c>
      <c r="EG3284" s="15" t="n">
        <v>30</v>
      </c>
      <c r="FC3284" s="15" t="n">
        <v>30</v>
      </c>
      <c r="FY3284" s="15" t="n">
        <v>30</v>
      </c>
      <c r="GU3284" s="15" t="n">
        <v>30</v>
      </c>
    </row>
    <row r="3285">
      <c r="C3285" s="15" t="n">
        <v>31</v>
      </c>
      <c r="AA3285" s="15" t="n">
        <v>31</v>
      </c>
      <c r="AW3285" s="15" t="n">
        <v>31</v>
      </c>
      <c r="BS3285" s="15" t="n">
        <v>31</v>
      </c>
      <c r="CO3285" s="15" t="n">
        <v>31</v>
      </c>
      <c r="DK3285" s="15" t="n">
        <v>31</v>
      </c>
      <c r="EG3285" s="15" t="n">
        <v>31</v>
      </c>
      <c r="FC3285" s="15" t="n">
        <v>31</v>
      </c>
      <c r="FY3285" s="15" t="n">
        <v>31</v>
      </c>
      <c r="GU3285" s="15" t="n">
        <v>31</v>
      </c>
    </row>
    <row r="3286">
      <c r="C3286" s="15" t="n">
        <v>32</v>
      </c>
      <c r="AA3286" s="15" t="n">
        <v>32</v>
      </c>
      <c r="AW3286" s="15" t="n">
        <v>32</v>
      </c>
      <c r="BS3286" s="15" t="n">
        <v>32</v>
      </c>
      <c r="CO3286" s="15" t="n">
        <v>32</v>
      </c>
      <c r="DK3286" s="15" t="n">
        <v>32</v>
      </c>
      <c r="EG3286" s="15" t="n">
        <v>32</v>
      </c>
      <c r="FC3286" s="15" t="n">
        <v>32</v>
      </c>
      <c r="FY3286" s="15" t="n">
        <v>32</v>
      </c>
      <c r="GU3286" s="15" t="n">
        <v>32</v>
      </c>
    </row>
    <row r="3287">
      <c r="C3287" s="15" t="n">
        <v>33</v>
      </c>
      <c r="AA3287" s="15" t="n">
        <v>33</v>
      </c>
      <c r="AW3287" s="15" t="n">
        <v>33</v>
      </c>
      <c r="BS3287" s="15" t="n">
        <v>33</v>
      </c>
      <c r="CO3287" s="15" t="n">
        <v>33</v>
      </c>
      <c r="DK3287" s="15" t="n">
        <v>33</v>
      </c>
      <c r="EG3287" s="15" t="n">
        <v>33</v>
      </c>
      <c r="FC3287" s="15" t="n">
        <v>33</v>
      </c>
      <c r="FY3287" s="15" t="n">
        <v>33</v>
      </c>
      <c r="GU3287" s="15" t="n">
        <v>33</v>
      </c>
    </row>
    <row r="3288">
      <c r="C3288" s="15" t="n">
        <v>34</v>
      </c>
      <c r="AA3288" s="15" t="n">
        <v>34</v>
      </c>
      <c r="AW3288" s="15" t="n">
        <v>34</v>
      </c>
      <c r="BS3288" s="15" t="n">
        <v>34</v>
      </c>
      <c r="CO3288" s="15" t="n">
        <v>34</v>
      </c>
      <c r="DK3288" s="15" t="n">
        <v>34</v>
      </c>
      <c r="EG3288" s="15" t="n">
        <v>34</v>
      </c>
      <c r="FC3288" s="15" t="n">
        <v>34</v>
      </c>
      <c r="FY3288" s="15" t="n">
        <v>34</v>
      </c>
      <c r="GU3288" s="15" t="n">
        <v>34</v>
      </c>
    </row>
    <row r="3289">
      <c r="C3289" s="15" t="n">
        <v>35</v>
      </c>
      <c r="AA3289" s="15" t="n">
        <v>35</v>
      </c>
      <c r="AW3289" s="15" t="n">
        <v>35</v>
      </c>
      <c r="BS3289" s="15" t="n">
        <v>35</v>
      </c>
      <c r="CO3289" s="15" t="n">
        <v>35</v>
      </c>
      <c r="DK3289" s="15" t="n">
        <v>35</v>
      </c>
      <c r="EG3289" s="15" t="n">
        <v>35</v>
      </c>
      <c r="FC3289" s="15" t="n">
        <v>35</v>
      </c>
      <c r="FY3289" s="15" t="n">
        <v>35</v>
      </c>
      <c r="GU3289" s="15" t="n">
        <v>35</v>
      </c>
    </row>
    <row r="3290">
      <c r="C3290" s="15" t="n">
        <v>36</v>
      </c>
      <c r="AA3290" s="15" t="n">
        <v>36</v>
      </c>
      <c r="AW3290" s="15" t="n">
        <v>36</v>
      </c>
      <c r="BS3290" s="15" t="n">
        <v>36</v>
      </c>
      <c r="CO3290" s="15" t="n">
        <v>36</v>
      </c>
      <c r="DK3290" s="15" t="n">
        <v>36</v>
      </c>
      <c r="EG3290" s="15" t="n">
        <v>36</v>
      </c>
      <c r="FC3290" s="15" t="n">
        <v>36</v>
      </c>
      <c r="FY3290" s="15" t="n">
        <v>36</v>
      </c>
      <c r="GU3290" s="15" t="n">
        <v>36</v>
      </c>
    </row>
    <row r="3291">
      <c r="C3291" s="15" t="n">
        <v>37</v>
      </c>
      <c r="AA3291" s="15" t="n">
        <v>37</v>
      </c>
      <c r="AW3291" s="15" t="n">
        <v>37</v>
      </c>
      <c r="BS3291" s="15" t="n">
        <v>37</v>
      </c>
      <c r="CO3291" s="15" t="n">
        <v>37</v>
      </c>
      <c r="DK3291" s="15" t="n">
        <v>37</v>
      </c>
      <c r="EG3291" s="15" t="n">
        <v>37</v>
      </c>
      <c r="FC3291" s="15" t="n">
        <v>37</v>
      </c>
      <c r="FY3291" s="15" t="n">
        <v>37</v>
      </c>
      <c r="GU3291" s="15" t="n">
        <v>37</v>
      </c>
    </row>
    <row r="3292">
      <c r="C3292" s="15" t="n">
        <v>38</v>
      </c>
      <c r="AA3292" s="15" t="n">
        <v>38</v>
      </c>
      <c r="AW3292" s="15" t="n">
        <v>38</v>
      </c>
      <c r="BS3292" s="15" t="n">
        <v>38</v>
      </c>
      <c r="CO3292" s="15" t="n">
        <v>38</v>
      </c>
      <c r="DK3292" s="15" t="n">
        <v>38</v>
      </c>
      <c r="EG3292" s="15" t="n">
        <v>38</v>
      </c>
      <c r="FC3292" s="15" t="n">
        <v>38</v>
      </c>
      <c r="FY3292" s="15" t="n">
        <v>38</v>
      </c>
      <c r="GU3292" s="15" t="n">
        <v>38</v>
      </c>
    </row>
    <row r="3293">
      <c r="C3293" s="15" t="n">
        <v>39</v>
      </c>
      <c r="AA3293" s="15" t="n">
        <v>39</v>
      </c>
      <c r="AW3293" s="15" t="n">
        <v>39</v>
      </c>
      <c r="BS3293" s="15" t="n">
        <v>39</v>
      </c>
      <c r="CO3293" s="15" t="n">
        <v>39</v>
      </c>
      <c r="DK3293" s="15" t="n">
        <v>39</v>
      </c>
      <c r="EG3293" s="15" t="n">
        <v>39</v>
      </c>
      <c r="FC3293" s="15" t="n">
        <v>39</v>
      </c>
      <c r="FY3293" s="15" t="n">
        <v>39</v>
      </c>
      <c r="GU3293" s="15" t="n">
        <v>39</v>
      </c>
    </row>
    <row r="3294">
      <c r="C3294" s="15" t="n">
        <v>40</v>
      </c>
      <c r="AA3294" s="15" t="n">
        <v>40</v>
      </c>
      <c r="AW3294" s="15" t="n">
        <v>40</v>
      </c>
      <c r="BS3294" s="15" t="n">
        <v>40</v>
      </c>
      <c r="CO3294" s="15" t="n">
        <v>40</v>
      </c>
      <c r="DK3294" s="15" t="n">
        <v>40</v>
      </c>
      <c r="EG3294" s="15" t="n">
        <v>40</v>
      </c>
      <c r="FC3294" s="15" t="n">
        <v>40</v>
      </c>
      <c r="FY3294" s="15" t="n">
        <v>40</v>
      </c>
      <c r="GU3294" s="15" t="n">
        <v>40</v>
      </c>
    </row>
    <row r="3295">
      <c r="C3295" s="15" t="n">
        <v>41</v>
      </c>
      <c r="AA3295" s="15" t="n">
        <v>41</v>
      </c>
      <c r="AW3295" s="15" t="n">
        <v>41</v>
      </c>
      <c r="BS3295" s="15" t="n">
        <v>41</v>
      </c>
      <c r="CO3295" s="15" t="n">
        <v>41</v>
      </c>
      <c r="DK3295" s="15" t="n">
        <v>41</v>
      </c>
      <c r="EG3295" s="15" t="n">
        <v>41</v>
      </c>
      <c r="FC3295" s="15" t="n">
        <v>41</v>
      </c>
      <c r="FY3295" s="15" t="n">
        <v>41</v>
      </c>
      <c r="GU3295" s="15" t="n">
        <v>41</v>
      </c>
    </row>
    <row r="3296">
      <c r="C3296" s="15" t="n">
        <v>42</v>
      </c>
      <c r="AA3296" s="15" t="n">
        <v>42</v>
      </c>
      <c r="AW3296" s="15" t="n">
        <v>42</v>
      </c>
      <c r="BS3296" s="15" t="n">
        <v>42</v>
      </c>
      <c r="CO3296" s="15" t="n">
        <v>42</v>
      </c>
      <c r="DK3296" s="15" t="n">
        <v>42</v>
      </c>
      <c r="EG3296" s="15" t="n">
        <v>42</v>
      </c>
      <c r="FC3296" s="15" t="n">
        <v>42</v>
      </c>
      <c r="FY3296" s="15" t="n">
        <v>42</v>
      </c>
      <c r="GU3296" s="15" t="n">
        <v>42</v>
      </c>
    </row>
    <row r="3297">
      <c r="C3297" s="15" t="n">
        <v>43</v>
      </c>
      <c r="AA3297" s="15" t="n">
        <v>43</v>
      </c>
      <c r="AW3297" s="15" t="n">
        <v>43</v>
      </c>
      <c r="BS3297" s="15" t="n">
        <v>43</v>
      </c>
      <c r="CO3297" s="15" t="n">
        <v>43</v>
      </c>
      <c r="DK3297" s="15" t="n">
        <v>43</v>
      </c>
      <c r="EG3297" s="15" t="n">
        <v>43</v>
      </c>
      <c r="FC3297" s="15" t="n">
        <v>43</v>
      </c>
      <c r="FY3297" s="15" t="n">
        <v>43</v>
      </c>
      <c r="GU3297" s="15" t="n">
        <v>43</v>
      </c>
    </row>
    <row r="3298">
      <c r="C3298" s="15" t="n">
        <v>44</v>
      </c>
      <c r="AA3298" s="15" t="n">
        <v>44</v>
      </c>
      <c r="AW3298" s="15" t="n">
        <v>44</v>
      </c>
      <c r="BS3298" s="15" t="n">
        <v>44</v>
      </c>
      <c r="CO3298" s="15" t="n">
        <v>44</v>
      </c>
      <c r="DK3298" s="15" t="n">
        <v>44</v>
      </c>
      <c r="EG3298" s="15" t="n">
        <v>44</v>
      </c>
      <c r="FC3298" s="15" t="n">
        <v>44</v>
      </c>
      <c r="FY3298" s="15" t="n">
        <v>44</v>
      </c>
      <c r="GU3298" s="15" t="n">
        <v>44</v>
      </c>
    </row>
    <row r="3299">
      <c r="C3299" s="15" t="n">
        <v>45</v>
      </c>
      <c r="AA3299" s="15" t="n">
        <v>45</v>
      </c>
      <c r="AW3299" s="15" t="n">
        <v>45</v>
      </c>
      <c r="BS3299" s="15" t="n">
        <v>45</v>
      </c>
      <c r="CO3299" s="15" t="n">
        <v>45</v>
      </c>
      <c r="DK3299" s="15" t="n">
        <v>45</v>
      </c>
      <c r="EG3299" s="15" t="n">
        <v>45</v>
      </c>
      <c r="FC3299" s="15" t="n">
        <v>45</v>
      </c>
      <c r="FY3299" s="15" t="n">
        <v>45</v>
      </c>
      <c r="GU3299" s="15" t="n">
        <v>45</v>
      </c>
    </row>
    <row r="3300">
      <c r="C3300" s="15" t="n">
        <v>46</v>
      </c>
      <c r="AA3300" s="15" t="n">
        <v>46</v>
      </c>
      <c r="AW3300" s="15" t="n">
        <v>46</v>
      </c>
      <c r="BS3300" s="15" t="n">
        <v>46</v>
      </c>
      <c r="CO3300" s="15" t="n">
        <v>46</v>
      </c>
      <c r="DK3300" s="15" t="n">
        <v>46</v>
      </c>
      <c r="EG3300" s="15" t="n">
        <v>46</v>
      </c>
      <c r="FC3300" s="15" t="n">
        <v>46</v>
      </c>
      <c r="FY3300" s="15" t="n">
        <v>46</v>
      </c>
      <c r="GU3300" s="15" t="n">
        <v>46</v>
      </c>
    </row>
    <row r="3301">
      <c r="C3301" s="15" t="n">
        <v>47</v>
      </c>
      <c r="AA3301" s="15" t="n">
        <v>47</v>
      </c>
      <c r="AW3301" s="15" t="n">
        <v>47</v>
      </c>
      <c r="BS3301" s="15" t="n">
        <v>47</v>
      </c>
      <c r="CO3301" s="15" t="n">
        <v>47</v>
      </c>
      <c r="DK3301" s="15" t="n">
        <v>47</v>
      </c>
      <c r="EG3301" s="15" t="n">
        <v>47</v>
      </c>
      <c r="FC3301" s="15" t="n">
        <v>47</v>
      </c>
      <c r="FY3301" s="15" t="n">
        <v>47</v>
      </c>
      <c r="GU3301" s="15" t="n">
        <v>47</v>
      </c>
    </row>
    <row r="3302">
      <c r="C3302" s="15" t="n">
        <v>48</v>
      </c>
      <c r="AA3302" s="15" t="n">
        <v>48</v>
      </c>
      <c r="AW3302" s="15" t="n">
        <v>48</v>
      </c>
      <c r="BS3302" s="15" t="n">
        <v>48</v>
      </c>
      <c r="CO3302" s="15" t="n">
        <v>48</v>
      </c>
      <c r="DK3302" s="15" t="n">
        <v>48</v>
      </c>
      <c r="EG3302" s="15" t="n">
        <v>48</v>
      </c>
      <c r="FC3302" s="15" t="n">
        <v>48</v>
      </c>
      <c r="FY3302" s="15" t="n">
        <v>48</v>
      </c>
      <c r="GU3302" s="15" t="n">
        <v>48</v>
      </c>
    </row>
    <row r="3303">
      <c r="C3303" s="15" t="n">
        <v>49</v>
      </c>
      <c r="AA3303" s="15" t="n">
        <v>49</v>
      </c>
      <c r="AW3303" s="15" t="n">
        <v>49</v>
      </c>
      <c r="BS3303" s="15" t="n">
        <v>49</v>
      </c>
      <c r="CO3303" s="15" t="n">
        <v>49</v>
      </c>
      <c r="DK3303" s="15" t="n">
        <v>49</v>
      </c>
      <c r="EG3303" s="15" t="n">
        <v>49</v>
      </c>
      <c r="FC3303" s="15" t="n">
        <v>49</v>
      </c>
      <c r="FY3303" s="15" t="n">
        <v>49</v>
      </c>
      <c r="GU3303" s="15" t="n">
        <v>49</v>
      </c>
    </row>
    <row r="3304">
      <c r="C3304" s="15" t="n">
        <v>50</v>
      </c>
      <c r="AA3304" s="15" t="n">
        <v>50</v>
      </c>
      <c r="AW3304" s="15" t="n">
        <v>50</v>
      </c>
      <c r="BS3304" s="15" t="n">
        <v>50</v>
      </c>
      <c r="CO3304" s="15" t="n">
        <v>50</v>
      </c>
      <c r="DK3304" s="15" t="n">
        <v>50</v>
      </c>
      <c r="EG3304" s="15" t="n">
        <v>50</v>
      </c>
      <c r="FC3304" s="15" t="n">
        <v>50</v>
      </c>
      <c r="FY3304" s="15" t="n">
        <v>50</v>
      </c>
      <c r="GU3304" s="15" t="n">
        <v>50</v>
      </c>
    </row>
    <row r="3305">
      <c r="C3305" s="15" t="n">
        <v>51</v>
      </c>
      <c r="AA3305" s="15" t="n">
        <v>51</v>
      </c>
      <c r="AW3305" s="15" t="n">
        <v>51</v>
      </c>
      <c r="BS3305" s="15" t="n">
        <v>51</v>
      </c>
      <c r="CO3305" s="15" t="n">
        <v>51</v>
      </c>
      <c r="DK3305" s="15" t="n">
        <v>51</v>
      </c>
      <c r="EG3305" s="15" t="n">
        <v>51</v>
      </c>
      <c r="FC3305" s="15" t="n">
        <v>51</v>
      </c>
      <c r="FY3305" s="15" t="n">
        <v>51</v>
      </c>
      <c r="GU3305" s="15" t="n">
        <v>51</v>
      </c>
    </row>
    <row r="3306">
      <c r="C3306" s="15" t="n">
        <v>52</v>
      </c>
      <c r="AA3306" s="15" t="n">
        <v>52</v>
      </c>
      <c r="AW3306" s="15" t="n">
        <v>52</v>
      </c>
      <c r="BS3306" s="15" t="n">
        <v>52</v>
      </c>
      <c r="CO3306" s="15" t="n">
        <v>52</v>
      </c>
      <c r="DK3306" s="15" t="n">
        <v>52</v>
      </c>
      <c r="EG3306" s="15" t="n">
        <v>52</v>
      </c>
      <c r="FC3306" s="15" t="n">
        <v>52</v>
      </c>
      <c r="FY3306" s="15" t="n">
        <v>52</v>
      </c>
      <c r="GU3306" s="15" t="n">
        <v>52</v>
      </c>
    </row>
    <row r="3307">
      <c r="C3307" s="15" t="n">
        <v>53</v>
      </c>
      <c r="AA3307" s="15" t="n">
        <v>53</v>
      </c>
      <c r="AW3307" s="15" t="n">
        <v>53</v>
      </c>
      <c r="BS3307" s="15" t="n">
        <v>53</v>
      </c>
      <c r="CO3307" s="15" t="n">
        <v>53</v>
      </c>
      <c r="DK3307" s="15" t="n">
        <v>53</v>
      </c>
      <c r="EG3307" s="15" t="n">
        <v>53</v>
      </c>
      <c r="FC3307" s="15" t="n">
        <v>53</v>
      </c>
      <c r="FY3307" s="15" t="n">
        <v>53</v>
      </c>
      <c r="GU3307" s="15" t="n">
        <v>53</v>
      </c>
    </row>
    <row r="3308">
      <c r="C3308" s="15" t="n">
        <v>54</v>
      </c>
      <c r="AA3308" s="15" t="n">
        <v>54</v>
      </c>
      <c r="AW3308" s="15" t="n">
        <v>54</v>
      </c>
      <c r="BS3308" s="15" t="n">
        <v>54</v>
      </c>
      <c r="CO3308" s="15" t="n">
        <v>54</v>
      </c>
      <c r="DK3308" s="15" t="n">
        <v>54</v>
      </c>
      <c r="EG3308" s="15" t="n">
        <v>54</v>
      </c>
      <c r="FC3308" s="15" t="n">
        <v>54</v>
      </c>
      <c r="FY3308" s="15" t="n">
        <v>54</v>
      </c>
      <c r="GU3308" s="15" t="n">
        <v>54</v>
      </c>
    </row>
    <row r="3309">
      <c r="C3309" s="15" t="n">
        <v>55</v>
      </c>
      <c r="AA3309" s="15" t="n">
        <v>55</v>
      </c>
      <c r="AW3309" s="15" t="n">
        <v>55</v>
      </c>
      <c r="BS3309" s="15" t="n">
        <v>55</v>
      </c>
      <c r="CO3309" s="15" t="n">
        <v>55</v>
      </c>
      <c r="DK3309" s="15" t="n">
        <v>55</v>
      </c>
      <c r="EG3309" s="15" t="n">
        <v>55</v>
      </c>
      <c r="FC3309" s="15" t="n">
        <v>55</v>
      </c>
      <c r="FY3309" s="15" t="n">
        <v>55</v>
      </c>
      <c r="GU3309" s="15" t="n">
        <v>55</v>
      </c>
    </row>
    <row r="3310">
      <c r="C3310" s="15" t="n">
        <v>56</v>
      </c>
      <c r="AA3310" s="15" t="n">
        <v>56</v>
      </c>
      <c r="AW3310" s="15" t="n">
        <v>56</v>
      </c>
      <c r="BS3310" s="15" t="n">
        <v>56</v>
      </c>
      <c r="CO3310" s="15" t="n">
        <v>56</v>
      </c>
      <c r="DK3310" s="15" t="n">
        <v>56</v>
      </c>
      <c r="EG3310" s="15" t="n">
        <v>56</v>
      </c>
      <c r="FC3310" s="15" t="n">
        <v>56</v>
      </c>
      <c r="FY3310" s="15" t="n">
        <v>56</v>
      </c>
      <c r="GU3310" s="15" t="n">
        <v>56</v>
      </c>
    </row>
    <row r="3311">
      <c r="C3311" s="15" t="n">
        <v>57</v>
      </c>
      <c r="AA3311" s="15" t="n">
        <v>57</v>
      </c>
      <c r="AW3311" s="15" t="n">
        <v>57</v>
      </c>
      <c r="BS3311" s="15" t="n">
        <v>57</v>
      </c>
      <c r="CO3311" s="15" t="n">
        <v>57</v>
      </c>
      <c r="DK3311" s="15" t="n">
        <v>57</v>
      </c>
      <c r="EG3311" s="15" t="n">
        <v>57</v>
      </c>
      <c r="FC3311" s="15" t="n">
        <v>57</v>
      </c>
      <c r="FY3311" s="15" t="n">
        <v>57</v>
      </c>
      <c r="GU3311" s="15" t="n">
        <v>57</v>
      </c>
    </row>
    <row r="3312">
      <c r="C3312" s="15" t="n">
        <v>58</v>
      </c>
      <c r="AA3312" s="15" t="n">
        <v>58</v>
      </c>
      <c r="AW3312" s="15" t="n">
        <v>58</v>
      </c>
      <c r="BS3312" s="15" t="n">
        <v>58</v>
      </c>
      <c r="CO3312" s="15" t="n">
        <v>58</v>
      </c>
      <c r="DK3312" s="15" t="n">
        <v>58</v>
      </c>
      <c r="EG3312" s="15" t="n">
        <v>58</v>
      </c>
      <c r="FC3312" s="15" t="n">
        <v>58</v>
      </c>
      <c r="FY3312" s="15" t="n">
        <v>58</v>
      </c>
      <c r="GU3312" s="15" t="n">
        <v>58</v>
      </c>
    </row>
    <row r="3313">
      <c r="C3313" s="15" t="n">
        <v>59</v>
      </c>
      <c r="AA3313" s="15" t="n">
        <v>59</v>
      </c>
      <c r="AW3313" s="15" t="n">
        <v>59</v>
      </c>
      <c r="BS3313" s="15" t="n">
        <v>59</v>
      </c>
      <c r="CO3313" s="15" t="n">
        <v>59</v>
      </c>
      <c r="DK3313" s="15" t="n">
        <v>59</v>
      </c>
      <c r="EG3313" s="15" t="n">
        <v>59</v>
      </c>
      <c r="FC3313" s="15" t="n">
        <v>59</v>
      </c>
      <c r="FY3313" s="15" t="n">
        <v>59</v>
      </c>
      <c r="GU3313" s="15" t="n">
        <v>59</v>
      </c>
    </row>
    <row r="3314">
      <c r="C3314" s="15" t="n">
        <v>60</v>
      </c>
      <c r="AA3314" s="15" t="n">
        <v>60</v>
      </c>
      <c r="AW3314" s="15" t="n">
        <v>60</v>
      </c>
      <c r="BS3314" s="15" t="n">
        <v>60</v>
      </c>
      <c r="CO3314" s="15" t="n">
        <v>60</v>
      </c>
      <c r="DK3314" s="15" t="n">
        <v>60</v>
      </c>
      <c r="EG3314" s="15" t="n">
        <v>60</v>
      </c>
      <c r="FC3314" s="15" t="n">
        <v>60</v>
      </c>
      <c r="FY3314" s="15" t="n">
        <v>60</v>
      </c>
      <c r="GU3314" s="15" t="n">
        <v>60</v>
      </c>
    </row>
    <row r="3315">
      <c r="C3315" s="15" t="n">
        <v>61</v>
      </c>
      <c r="AA3315" s="15" t="n">
        <v>61</v>
      </c>
      <c r="AW3315" s="15" t="n">
        <v>61</v>
      </c>
      <c r="BS3315" s="15" t="n">
        <v>61</v>
      </c>
      <c r="CO3315" s="15" t="n">
        <v>61</v>
      </c>
      <c r="DK3315" s="15" t="n">
        <v>61</v>
      </c>
      <c r="EG3315" s="15" t="n">
        <v>61</v>
      </c>
      <c r="FC3315" s="15" t="n">
        <v>61</v>
      </c>
      <c r="FY3315" s="15" t="n">
        <v>61</v>
      </c>
      <c r="GU3315" s="15" t="n">
        <v>61</v>
      </c>
    </row>
    <row r="3316">
      <c r="C3316" s="15" t="n">
        <v>62</v>
      </c>
      <c r="AA3316" s="15" t="n">
        <v>62</v>
      </c>
      <c r="AW3316" s="15" t="n">
        <v>62</v>
      </c>
      <c r="BS3316" s="15" t="n">
        <v>62</v>
      </c>
      <c r="CO3316" s="15" t="n">
        <v>62</v>
      </c>
      <c r="DK3316" s="15" t="n">
        <v>62</v>
      </c>
      <c r="EG3316" s="15" t="n">
        <v>62</v>
      </c>
      <c r="FC3316" s="15" t="n">
        <v>62</v>
      </c>
      <c r="FY3316" s="15" t="n">
        <v>62</v>
      </c>
      <c r="GU3316" s="15" t="n">
        <v>62</v>
      </c>
    </row>
    <row r="3317">
      <c r="C3317" s="15" t="n">
        <v>63</v>
      </c>
      <c r="AA3317" s="15" t="n">
        <v>63</v>
      </c>
      <c r="AW3317" s="15" t="n">
        <v>63</v>
      </c>
      <c r="BS3317" s="15" t="n">
        <v>63</v>
      </c>
      <c r="CO3317" s="15" t="n">
        <v>63</v>
      </c>
      <c r="DK3317" s="15" t="n">
        <v>63</v>
      </c>
      <c r="EG3317" s="15" t="n">
        <v>63</v>
      </c>
      <c r="FC3317" s="15" t="n">
        <v>63</v>
      </c>
      <c r="FY3317" s="15" t="n">
        <v>63</v>
      </c>
      <c r="GU3317" s="15" t="n">
        <v>63</v>
      </c>
    </row>
    <row r="3318">
      <c r="C3318" s="15" t="n">
        <v>64</v>
      </c>
      <c r="AA3318" s="15" t="n">
        <v>64</v>
      </c>
      <c r="AW3318" s="15" t="n">
        <v>64</v>
      </c>
      <c r="BS3318" s="15" t="n">
        <v>64</v>
      </c>
      <c r="CO3318" s="15" t="n">
        <v>64</v>
      </c>
      <c r="DK3318" s="15" t="n">
        <v>64</v>
      </c>
      <c r="EG3318" s="15" t="n">
        <v>64</v>
      </c>
      <c r="FC3318" s="15" t="n">
        <v>64</v>
      </c>
      <c r="FY3318" s="15" t="n">
        <v>64</v>
      </c>
      <c r="GU3318" s="15" t="n">
        <v>64</v>
      </c>
    </row>
    <row r="3319">
      <c r="C3319" s="15" t="n">
        <v>65</v>
      </c>
      <c r="AA3319" s="15" t="n">
        <v>65</v>
      </c>
      <c r="AW3319" s="15" t="n">
        <v>65</v>
      </c>
      <c r="BS3319" s="15" t="n">
        <v>65</v>
      </c>
      <c r="CO3319" s="15" t="n">
        <v>65</v>
      </c>
      <c r="DK3319" s="15" t="n">
        <v>65</v>
      </c>
      <c r="EG3319" s="15" t="n">
        <v>65</v>
      </c>
      <c r="FC3319" s="15" t="n">
        <v>65</v>
      </c>
      <c r="FY3319" s="15" t="n">
        <v>65</v>
      </c>
      <c r="GU3319" s="15" t="n">
        <v>65</v>
      </c>
    </row>
    <row r="3320">
      <c r="C3320" s="15" t="n">
        <v>66</v>
      </c>
      <c r="AA3320" s="15" t="n">
        <v>66</v>
      </c>
      <c r="AW3320" s="15" t="n">
        <v>66</v>
      </c>
      <c r="BS3320" s="15" t="n">
        <v>66</v>
      </c>
      <c r="CO3320" s="15" t="n">
        <v>66</v>
      </c>
      <c r="DK3320" s="15" t="n">
        <v>66</v>
      </c>
      <c r="EG3320" s="15" t="n">
        <v>66</v>
      </c>
      <c r="FC3320" s="15" t="n">
        <v>66</v>
      </c>
      <c r="FY3320" s="15" t="n">
        <v>66</v>
      </c>
      <c r="GU3320" s="15" t="n">
        <v>66</v>
      </c>
    </row>
    <row r="3321">
      <c r="C3321" s="15" t="n">
        <v>67</v>
      </c>
      <c r="AA3321" s="15" t="n">
        <v>67</v>
      </c>
      <c r="AW3321" s="15" t="n">
        <v>67</v>
      </c>
      <c r="BS3321" s="15" t="n">
        <v>67</v>
      </c>
      <c r="CO3321" s="15" t="n">
        <v>67</v>
      </c>
      <c r="DK3321" s="15" t="n">
        <v>67</v>
      </c>
      <c r="EG3321" s="15" t="n">
        <v>67</v>
      </c>
      <c r="FC3321" s="15" t="n">
        <v>67</v>
      </c>
      <c r="FY3321" s="15" t="n">
        <v>67</v>
      </c>
      <c r="GU3321" s="15" t="n">
        <v>67</v>
      </c>
    </row>
    <row r="3322">
      <c r="C3322" s="15" t="n">
        <v>68</v>
      </c>
      <c r="AA3322" s="15" t="n">
        <v>68</v>
      </c>
      <c r="AW3322" s="15" t="n">
        <v>68</v>
      </c>
      <c r="BS3322" s="15" t="n">
        <v>68</v>
      </c>
      <c r="CO3322" s="15" t="n">
        <v>68</v>
      </c>
      <c r="DK3322" s="15" t="n">
        <v>68</v>
      </c>
      <c r="EG3322" s="15" t="n">
        <v>68</v>
      </c>
      <c r="FC3322" s="15" t="n">
        <v>68</v>
      </c>
      <c r="FY3322" s="15" t="n">
        <v>68</v>
      </c>
      <c r="GU3322" s="15" t="n">
        <v>68</v>
      </c>
    </row>
    <row r="3323">
      <c r="C3323" s="15" t="n">
        <v>69</v>
      </c>
      <c r="AA3323" s="15" t="n">
        <v>69</v>
      </c>
      <c r="AW3323" s="15" t="n">
        <v>69</v>
      </c>
      <c r="BS3323" s="15" t="n">
        <v>69</v>
      </c>
      <c r="CO3323" s="15" t="n">
        <v>69</v>
      </c>
      <c r="DK3323" s="15" t="n">
        <v>69</v>
      </c>
      <c r="EG3323" s="15" t="n">
        <v>69</v>
      </c>
      <c r="FC3323" s="15" t="n">
        <v>69</v>
      </c>
      <c r="FY3323" s="15" t="n">
        <v>69</v>
      </c>
      <c r="GU3323" s="15" t="n">
        <v>69</v>
      </c>
    </row>
    <row r="3324">
      <c r="C3324" s="15" t="n">
        <v>70</v>
      </c>
      <c r="AA3324" s="15" t="n">
        <v>70</v>
      </c>
      <c r="AW3324" s="15" t="n">
        <v>70</v>
      </c>
      <c r="BS3324" s="15" t="n">
        <v>70</v>
      </c>
      <c r="CO3324" s="15" t="n">
        <v>70</v>
      </c>
      <c r="DK3324" s="15" t="n">
        <v>70</v>
      </c>
      <c r="EG3324" s="15" t="n">
        <v>70</v>
      </c>
      <c r="FC3324" s="15" t="n">
        <v>70</v>
      </c>
      <c r="FY3324" s="15" t="n">
        <v>70</v>
      </c>
      <c r="GU3324" s="15" t="n">
        <v>70</v>
      </c>
    </row>
    <row r="3325">
      <c r="C3325" s="15" t="n">
        <v>71</v>
      </c>
      <c r="AA3325" s="15" t="n">
        <v>71</v>
      </c>
      <c r="AW3325" s="15" t="n">
        <v>71</v>
      </c>
      <c r="BS3325" s="15" t="n">
        <v>71</v>
      </c>
      <c r="CO3325" s="15" t="n">
        <v>71</v>
      </c>
      <c r="DK3325" s="15" t="n">
        <v>71</v>
      </c>
      <c r="EG3325" s="15" t="n">
        <v>71</v>
      </c>
      <c r="FC3325" s="15" t="n">
        <v>71</v>
      </c>
      <c r="FY3325" s="15" t="n">
        <v>71</v>
      </c>
      <c r="GU3325" s="15" t="n">
        <v>71</v>
      </c>
    </row>
    <row r="3326">
      <c r="C3326" s="15" t="n">
        <v>72</v>
      </c>
      <c r="AA3326" s="15" t="n">
        <v>72</v>
      </c>
      <c r="AW3326" s="15" t="n">
        <v>72</v>
      </c>
      <c r="BS3326" s="15" t="n">
        <v>72</v>
      </c>
      <c r="CO3326" s="15" t="n">
        <v>72</v>
      </c>
      <c r="DK3326" s="15" t="n">
        <v>72</v>
      </c>
      <c r="EG3326" s="15" t="n">
        <v>72</v>
      </c>
      <c r="FC3326" s="15" t="n">
        <v>72</v>
      </c>
      <c r="FY3326" s="15" t="n">
        <v>72</v>
      </c>
      <c r="GU3326" s="15" t="n">
        <v>72</v>
      </c>
    </row>
    <row r="3327">
      <c r="C3327" s="15" t="n">
        <v>73</v>
      </c>
      <c r="AA3327" s="15" t="n">
        <v>73</v>
      </c>
      <c r="AW3327" s="15" t="n">
        <v>73</v>
      </c>
      <c r="BS3327" s="15" t="n">
        <v>73</v>
      </c>
      <c r="CO3327" s="15" t="n">
        <v>73</v>
      </c>
      <c r="DK3327" s="15" t="n">
        <v>73</v>
      </c>
      <c r="EG3327" s="15" t="n">
        <v>73</v>
      </c>
      <c r="FC3327" s="15" t="n">
        <v>73</v>
      </c>
      <c r="FY3327" s="15" t="n">
        <v>73</v>
      </c>
      <c r="GU3327" s="15" t="n">
        <v>73</v>
      </c>
    </row>
    <row r="3328">
      <c r="C3328" s="15" t="n">
        <v>74</v>
      </c>
      <c r="AA3328" s="15" t="n">
        <v>74</v>
      </c>
      <c r="AW3328" s="15" t="n">
        <v>74</v>
      </c>
      <c r="BS3328" s="15" t="n">
        <v>74</v>
      </c>
      <c r="CO3328" s="15" t="n">
        <v>74</v>
      </c>
      <c r="DK3328" s="15" t="n">
        <v>74</v>
      </c>
      <c r="EG3328" s="15" t="n">
        <v>74</v>
      </c>
      <c r="FC3328" s="15" t="n">
        <v>74</v>
      </c>
      <c r="FY3328" s="15" t="n">
        <v>74</v>
      </c>
      <c r="GU3328" s="15" t="n">
        <v>74</v>
      </c>
    </row>
    <row r="3329">
      <c r="C3329" s="15" t="n">
        <v>75</v>
      </c>
      <c r="AA3329" s="15" t="n">
        <v>75</v>
      </c>
      <c r="AW3329" s="15" t="n">
        <v>75</v>
      </c>
      <c r="BS3329" s="15" t="n">
        <v>75</v>
      </c>
      <c r="CO3329" s="15" t="n">
        <v>75</v>
      </c>
      <c r="DK3329" s="15" t="n">
        <v>75</v>
      </c>
      <c r="EG3329" s="15" t="n">
        <v>75</v>
      </c>
      <c r="FC3329" s="15" t="n">
        <v>75</v>
      </c>
      <c r="FY3329" s="15" t="n">
        <v>75</v>
      </c>
      <c r="GU3329" s="15" t="n">
        <v>75</v>
      </c>
    </row>
    <row r="3330">
      <c r="C3330" s="15" t="n">
        <v>76</v>
      </c>
      <c r="AA3330" s="15" t="n">
        <v>76</v>
      </c>
      <c r="AW3330" s="15" t="n">
        <v>76</v>
      </c>
      <c r="BS3330" s="15" t="n">
        <v>76</v>
      </c>
      <c r="CO3330" s="15" t="n">
        <v>76</v>
      </c>
      <c r="DK3330" s="15" t="n">
        <v>76</v>
      </c>
      <c r="EG3330" s="15" t="n">
        <v>76</v>
      </c>
      <c r="FC3330" s="15" t="n">
        <v>76</v>
      </c>
      <c r="FY3330" s="15" t="n">
        <v>76</v>
      </c>
      <c r="GU3330" s="15" t="n">
        <v>76</v>
      </c>
    </row>
    <row r="3331">
      <c r="C3331" s="15" t="n">
        <v>77</v>
      </c>
      <c r="AA3331" s="15" t="n">
        <v>77</v>
      </c>
      <c r="AW3331" s="15" t="n">
        <v>77</v>
      </c>
      <c r="BS3331" s="15" t="n">
        <v>77</v>
      </c>
      <c r="CO3331" s="15" t="n">
        <v>77</v>
      </c>
      <c r="DK3331" s="15" t="n">
        <v>77</v>
      </c>
      <c r="EG3331" s="15" t="n">
        <v>77</v>
      </c>
      <c r="FC3331" s="15" t="n">
        <v>77</v>
      </c>
      <c r="FY3331" s="15" t="n">
        <v>77</v>
      </c>
      <c r="GU3331" s="15" t="n">
        <v>77</v>
      </c>
    </row>
    <row r="3332">
      <c r="C3332" s="15" t="n">
        <v>78</v>
      </c>
      <c r="AA3332" s="15" t="n">
        <v>78</v>
      </c>
      <c r="AW3332" s="15" t="n">
        <v>78</v>
      </c>
      <c r="BS3332" s="15" t="n">
        <v>78</v>
      </c>
      <c r="CO3332" s="15" t="n">
        <v>78</v>
      </c>
      <c r="DK3332" s="15" t="n">
        <v>78</v>
      </c>
      <c r="EG3332" s="15" t="n">
        <v>78</v>
      </c>
      <c r="FC3332" s="15" t="n">
        <v>78</v>
      </c>
      <c r="FY3332" s="15" t="n">
        <v>78</v>
      </c>
      <c r="GU3332" s="15" t="n">
        <v>78</v>
      </c>
    </row>
    <row r="3333">
      <c r="C3333" s="15" t="n">
        <v>79</v>
      </c>
      <c r="AA3333" s="15" t="n">
        <v>79</v>
      </c>
      <c r="AW3333" s="15" t="n">
        <v>79</v>
      </c>
      <c r="BS3333" s="15" t="n">
        <v>79</v>
      </c>
      <c r="CO3333" s="15" t="n">
        <v>79</v>
      </c>
      <c r="DK3333" s="15" t="n">
        <v>79</v>
      </c>
      <c r="EG3333" s="15" t="n">
        <v>79</v>
      </c>
      <c r="FC3333" s="15" t="n">
        <v>79</v>
      </c>
      <c r="FY3333" s="15" t="n">
        <v>79</v>
      </c>
      <c r="GU3333" s="15" t="n">
        <v>79</v>
      </c>
    </row>
    <row r="3334">
      <c r="C3334" s="15" t="n">
        <v>80</v>
      </c>
      <c r="AA3334" s="15" t="n">
        <v>80</v>
      </c>
      <c r="AW3334" s="15" t="n">
        <v>80</v>
      </c>
      <c r="BS3334" s="15" t="n">
        <v>80</v>
      </c>
      <c r="CO3334" s="15" t="n">
        <v>80</v>
      </c>
      <c r="DK3334" s="15" t="n">
        <v>80</v>
      </c>
      <c r="EG3334" s="15" t="n">
        <v>80</v>
      </c>
      <c r="FC3334" s="15" t="n">
        <v>80</v>
      </c>
      <c r="FY3334" s="15" t="n">
        <v>80</v>
      </c>
      <c r="GU3334" s="15" t="n">
        <v>80</v>
      </c>
    </row>
    <row r="3335">
      <c r="C3335" s="15" t="n">
        <v>81</v>
      </c>
      <c r="AA3335" s="15" t="n">
        <v>81</v>
      </c>
      <c r="AW3335" s="15" t="n">
        <v>81</v>
      </c>
      <c r="BS3335" s="15" t="n">
        <v>81</v>
      </c>
      <c r="CO3335" s="15" t="n">
        <v>81</v>
      </c>
      <c r="DK3335" s="15" t="n">
        <v>81</v>
      </c>
      <c r="EG3335" s="15" t="n">
        <v>81</v>
      </c>
      <c r="FC3335" s="15" t="n">
        <v>81</v>
      </c>
      <c r="FY3335" s="15" t="n">
        <v>81</v>
      </c>
      <c r="GU3335" s="15" t="n">
        <v>81</v>
      </c>
    </row>
    <row r="3336">
      <c r="C3336" s="15" t="n">
        <v>82</v>
      </c>
      <c r="AA3336" s="15" t="n">
        <v>82</v>
      </c>
      <c r="AW3336" s="15" t="n">
        <v>82</v>
      </c>
      <c r="BS3336" s="15" t="n">
        <v>82</v>
      </c>
      <c r="CO3336" s="15" t="n">
        <v>82</v>
      </c>
      <c r="DK3336" s="15" t="n">
        <v>82</v>
      </c>
      <c r="EG3336" s="15" t="n">
        <v>82</v>
      </c>
      <c r="FC3336" s="15" t="n">
        <v>82</v>
      </c>
      <c r="FY3336" s="15" t="n">
        <v>82</v>
      </c>
      <c r="GU3336" s="15" t="n">
        <v>82</v>
      </c>
    </row>
    <row r="3337">
      <c r="C3337" s="15" t="n">
        <v>83</v>
      </c>
      <c r="AA3337" s="15" t="n">
        <v>83</v>
      </c>
      <c r="AW3337" s="15" t="n">
        <v>83</v>
      </c>
      <c r="BS3337" s="15" t="n">
        <v>83</v>
      </c>
      <c r="CO3337" s="15" t="n">
        <v>83</v>
      </c>
      <c r="DK3337" s="15" t="n">
        <v>83</v>
      </c>
      <c r="EG3337" s="15" t="n">
        <v>83</v>
      </c>
      <c r="FC3337" s="15" t="n">
        <v>83</v>
      </c>
      <c r="FY3337" s="15" t="n">
        <v>83</v>
      </c>
      <c r="GU3337" s="15" t="n">
        <v>83</v>
      </c>
    </row>
    <row r="3338">
      <c r="C3338" s="15" t="n">
        <v>84</v>
      </c>
      <c r="AA3338" s="15" t="n">
        <v>84</v>
      </c>
      <c r="AW3338" s="15" t="n">
        <v>84</v>
      </c>
      <c r="BS3338" s="15" t="n">
        <v>84</v>
      </c>
      <c r="CO3338" s="15" t="n">
        <v>84</v>
      </c>
      <c r="DK3338" s="15" t="n">
        <v>84</v>
      </c>
      <c r="EG3338" s="15" t="n">
        <v>84</v>
      </c>
      <c r="FC3338" s="15" t="n">
        <v>84</v>
      </c>
      <c r="FY3338" s="15" t="n">
        <v>84</v>
      </c>
      <c r="GU3338" s="15" t="n">
        <v>84</v>
      </c>
    </row>
    <row r="3339">
      <c r="C3339" s="15" t="n">
        <v>85</v>
      </c>
      <c r="AA3339" s="15" t="n">
        <v>85</v>
      </c>
      <c r="AW3339" s="15" t="n">
        <v>85</v>
      </c>
      <c r="BS3339" s="15" t="n">
        <v>85</v>
      </c>
      <c r="CO3339" s="15" t="n">
        <v>85</v>
      </c>
      <c r="DK3339" s="15" t="n">
        <v>85</v>
      </c>
      <c r="EG3339" s="15" t="n">
        <v>85</v>
      </c>
      <c r="FC3339" s="15" t="n">
        <v>85</v>
      </c>
      <c r="FY3339" s="15" t="n">
        <v>85</v>
      </c>
      <c r="GU3339" s="15" t="n">
        <v>85</v>
      </c>
    </row>
    <row r="3340">
      <c r="C3340" s="15" t="n">
        <v>86</v>
      </c>
      <c r="AA3340" s="15" t="n">
        <v>86</v>
      </c>
      <c r="AW3340" s="15" t="n">
        <v>86</v>
      </c>
      <c r="BS3340" s="15" t="n">
        <v>86</v>
      </c>
      <c r="CO3340" s="15" t="n">
        <v>86</v>
      </c>
      <c r="DK3340" s="15" t="n">
        <v>86</v>
      </c>
      <c r="EG3340" s="15" t="n">
        <v>86</v>
      </c>
      <c r="FC3340" s="15" t="n">
        <v>86</v>
      </c>
      <c r="FY3340" s="15" t="n">
        <v>86</v>
      </c>
      <c r="GU3340" s="15" t="n">
        <v>86</v>
      </c>
    </row>
    <row r="3341">
      <c r="C3341" s="15" t="n">
        <v>87</v>
      </c>
      <c r="AA3341" s="15" t="n">
        <v>87</v>
      </c>
      <c r="AW3341" s="15" t="n">
        <v>87</v>
      </c>
      <c r="BS3341" s="15" t="n">
        <v>87</v>
      </c>
      <c r="CO3341" s="15" t="n">
        <v>87</v>
      </c>
      <c r="DK3341" s="15" t="n">
        <v>87</v>
      </c>
      <c r="EG3341" s="15" t="n">
        <v>87</v>
      </c>
      <c r="FC3341" s="15" t="n">
        <v>87</v>
      </c>
      <c r="FY3341" s="15" t="n">
        <v>87</v>
      </c>
      <c r="GU3341" s="15" t="n">
        <v>87</v>
      </c>
    </row>
    <row r="3342">
      <c r="C3342" s="15" t="n">
        <v>88</v>
      </c>
      <c r="AA3342" s="15" t="n">
        <v>88</v>
      </c>
      <c r="AW3342" s="15" t="n">
        <v>88</v>
      </c>
      <c r="BS3342" s="15" t="n">
        <v>88</v>
      </c>
      <c r="CO3342" s="15" t="n">
        <v>88</v>
      </c>
      <c r="DK3342" s="15" t="n">
        <v>88</v>
      </c>
      <c r="EG3342" s="15" t="n">
        <v>88</v>
      </c>
      <c r="FC3342" s="15" t="n">
        <v>88</v>
      </c>
      <c r="FY3342" s="15" t="n">
        <v>88</v>
      </c>
      <c r="GU3342" s="15" t="n">
        <v>88</v>
      </c>
    </row>
    <row r="3343">
      <c r="C3343" s="15" t="n">
        <v>89</v>
      </c>
      <c r="AA3343" s="15" t="n">
        <v>89</v>
      </c>
      <c r="AW3343" s="15" t="n">
        <v>89</v>
      </c>
      <c r="BS3343" s="15" t="n">
        <v>89</v>
      </c>
      <c r="CO3343" s="15" t="n">
        <v>89</v>
      </c>
      <c r="DK3343" s="15" t="n">
        <v>89</v>
      </c>
      <c r="EG3343" s="15" t="n">
        <v>89</v>
      </c>
      <c r="FC3343" s="15" t="n">
        <v>89</v>
      </c>
      <c r="FY3343" s="15" t="n">
        <v>89</v>
      </c>
      <c r="GU3343" s="15" t="n">
        <v>89</v>
      </c>
    </row>
    <row r="3344">
      <c r="C3344" s="15" t="n">
        <v>90</v>
      </c>
      <c r="AA3344" s="15" t="n">
        <v>90</v>
      </c>
      <c r="AW3344" s="15" t="n">
        <v>90</v>
      </c>
      <c r="BS3344" s="15" t="n">
        <v>90</v>
      </c>
      <c r="CO3344" s="15" t="n">
        <v>90</v>
      </c>
      <c r="DK3344" s="15" t="n">
        <v>90</v>
      </c>
      <c r="EG3344" s="15" t="n">
        <v>90</v>
      </c>
      <c r="FC3344" s="15" t="n">
        <v>90</v>
      </c>
      <c r="FY3344" s="15" t="n">
        <v>90</v>
      </c>
      <c r="GU3344" s="15" t="n">
        <v>90</v>
      </c>
    </row>
    <row r="3345">
      <c r="C3345" s="15" t="n">
        <v>91</v>
      </c>
      <c r="AA3345" s="15" t="n">
        <v>91</v>
      </c>
      <c r="AW3345" s="15" t="n">
        <v>91</v>
      </c>
      <c r="BS3345" s="15" t="n">
        <v>91</v>
      </c>
      <c r="CO3345" s="15" t="n">
        <v>91</v>
      </c>
      <c r="DK3345" s="15" t="n">
        <v>91</v>
      </c>
      <c r="EG3345" s="15" t="n">
        <v>91</v>
      </c>
      <c r="FC3345" s="15" t="n">
        <v>91</v>
      </c>
      <c r="FY3345" s="15" t="n">
        <v>91</v>
      </c>
      <c r="GU3345" s="15" t="n">
        <v>91</v>
      </c>
    </row>
    <row r="3346">
      <c r="C3346" s="15" t="n">
        <v>92</v>
      </c>
      <c r="AA3346" s="15" t="n">
        <v>92</v>
      </c>
      <c r="AW3346" s="15" t="n">
        <v>92</v>
      </c>
      <c r="BS3346" s="15" t="n">
        <v>92</v>
      </c>
      <c r="CO3346" s="15" t="n">
        <v>92</v>
      </c>
      <c r="DK3346" s="15" t="n">
        <v>92</v>
      </c>
      <c r="EG3346" s="15" t="n">
        <v>92</v>
      </c>
      <c r="FC3346" s="15" t="n">
        <v>92</v>
      </c>
      <c r="FY3346" s="15" t="n">
        <v>92</v>
      </c>
      <c r="GU3346" s="15" t="n">
        <v>92</v>
      </c>
    </row>
    <row r="3347">
      <c r="C3347" s="15" t="n">
        <v>93</v>
      </c>
      <c r="AA3347" s="15" t="n">
        <v>93</v>
      </c>
      <c r="AW3347" s="15" t="n">
        <v>93</v>
      </c>
      <c r="BS3347" s="15" t="n">
        <v>93</v>
      </c>
      <c r="CO3347" s="15" t="n">
        <v>93</v>
      </c>
      <c r="DK3347" s="15" t="n">
        <v>93</v>
      </c>
      <c r="EG3347" s="15" t="n">
        <v>93</v>
      </c>
      <c r="FC3347" s="15" t="n">
        <v>93</v>
      </c>
      <c r="FY3347" s="15" t="n">
        <v>93</v>
      </c>
      <c r="GU3347" s="15" t="n">
        <v>93</v>
      </c>
    </row>
    <row r="3348">
      <c r="C3348" s="15" t="n">
        <v>94</v>
      </c>
      <c r="AA3348" s="15" t="n">
        <v>94</v>
      </c>
      <c r="AW3348" s="15" t="n">
        <v>94</v>
      </c>
      <c r="BS3348" s="15" t="n">
        <v>94</v>
      </c>
      <c r="CO3348" s="15" t="n">
        <v>94</v>
      </c>
      <c r="DK3348" s="15" t="n">
        <v>94</v>
      </c>
      <c r="EG3348" s="15" t="n">
        <v>94</v>
      </c>
      <c r="FC3348" s="15" t="n">
        <v>94</v>
      </c>
      <c r="FY3348" s="15" t="n">
        <v>94</v>
      </c>
      <c r="GU3348" s="15" t="n">
        <v>94</v>
      </c>
    </row>
    <row r="3349">
      <c r="C3349" s="15" t="n">
        <v>95</v>
      </c>
      <c r="AA3349" s="15" t="n">
        <v>95</v>
      </c>
      <c r="AW3349" s="15" t="n">
        <v>95</v>
      </c>
      <c r="BS3349" s="15" t="n">
        <v>95</v>
      </c>
      <c r="CO3349" s="15" t="n">
        <v>95</v>
      </c>
      <c r="DK3349" s="15" t="n">
        <v>95</v>
      </c>
      <c r="EG3349" s="15" t="n">
        <v>95</v>
      </c>
      <c r="FC3349" s="15" t="n">
        <v>95</v>
      </c>
      <c r="FY3349" s="15" t="n">
        <v>95</v>
      </c>
      <c r="GU3349" s="15" t="n">
        <v>95</v>
      </c>
    </row>
    <row r="3350">
      <c r="C3350" s="15" t="n">
        <v>96</v>
      </c>
      <c r="AA3350" s="15" t="n">
        <v>96</v>
      </c>
      <c r="AW3350" s="15" t="n">
        <v>96</v>
      </c>
      <c r="BS3350" s="15" t="n">
        <v>96</v>
      </c>
      <c r="CO3350" s="15" t="n">
        <v>96</v>
      </c>
      <c r="DK3350" s="15" t="n">
        <v>96</v>
      </c>
      <c r="EG3350" s="15" t="n">
        <v>96</v>
      </c>
      <c r="FC3350" s="15" t="n">
        <v>96</v>
      </c>
      <c r="FY3350" s="15" t="n">
        <v>96</v>
      </c>
      <c r="GU3350" s="15" t="n">
        <v>96</v>
      </c>
    </row>
    <row r="3351">
      <c r="C3351" s="15" t="n">
        <v>97</v>
      </c>
      <c r="AA3351" s="15" t="n">
        <v>97</v>
      </c>
      <c r="AW3351" s="15" t="n">
        <v>97</v>
      </c>
      <c r="BS3351" s="15" t="n">
        <v>97</v>
      </c>
      <c r="CO3351" s="15" t="n">
        <v>97</v>
      </c>
      <c r="DK3351" s="15" t="n">
        <v>97</v>
      </c>
      <c r="EG3351" s="15" t="n">
        <v>97</v>
      </c>
      <c r="FC3351" s="15" t="n">
        <v>97</v>
      </c>
      <c r="FY3351" s="15" t="n">
        <v>97</v>
      </c>
      <c r="GU3351" s="15" t="n">
        <v>97</v>
      </c>
    </row>
    <row r="3352">
      <c r="C3352" s="15" t="n">
        <v>98</v>
      </c>
      <c r="AA3352" s="15" t="n">
        <v>98</v>
      </c>
      <c r="AW3352" s="15" t="n">
        <v>98</v>
      </c>
      <c r="BS3352" s="15" t="n">
        <v>98</v>
      </c>
      <c r="CO3352" s="15" t="n">
        <v>98</v>
      </c>
      <c r="DK3352" s="15" t="n">
        <v>98</v>
      </c>
      <c r="EG3352" s="15" t="n">
        <v>98</v>
      </c>
      <c r="FC3352" s="15" t="n">
        <v>98</v>
      </c>
      <c r="FY3352" s="15" t="n">
        <v>98</v>
      </c>
      <c r="GU3352" s="15" t="n">
        <v>98</v>
      </c>
    </row>
    <row r="3353">
      <c r="C3353" s="15" t="n">
        <v>99</v>
      </c>
      <c r="AA3353" s="15" t="n">
        <v>99</v>
      </c>
      <c r="AW3353" s="15" t="n">
        <v>99</v>
      </c>
      <c r="BS3353" s="15" t="n">
        <v>99</v>
      </c>
      <c r="CO3353" s="15" t="n">
        <v>99</v>
      </c>
      <c r="DK3353" s="15" t="n">
        <v>99</v>
      </c>
      <c r="EG3353" s="15" t="n">
        <v>99</v>
      </c>
      <c r="FC3353" s="15" t="n">
        <v>99</v>
      </c>
      <c r="FY3353" s="15" t="n">
        <v>99</v>
      </c>
      <c r="GU3353" s="15" t="n">
        <v>99</v>
      </c>
    </row>
    <row r="3354">
      <c r="C3354" s="15" t="n">
        <v>100</v>
      </c>
      <c r="AA3354" s="15" t="n">
        <v>100</v>
      </c>
      <c r="AW3354" s="15" t="n">
        <v>100</v>
      </c>
      <c r="BS3354" s="15" t="n">
        <v>100</v>
      </c>
      <c r="CO3354" s="15" t="n">
        <v>100</v>
      </c>
      <c r="DK3354" s="15" t="n">
        <v>100</v>
      </c>
      <c r="EG3354" s="15" t="n">
        <v>100</v>
      </c>
      <c r="FC3354" s="15" t="n">
        <v>100</v>
      </c>
      <c r="FY3354" s="15" t="n">
        <v>100</v>
      </c>
      <c r="GU3354" s="15" t="n">
        <v>100</v>
      </c>
    </row>
    <row r="3355">
      <c r="C3355" s="15" t="n">
        <v>101</v>
      </c>
      <c r="AA3355" s="15" t="n">
        <v>101</v>
      </c>
      <c r="AW3355" s="15" t="n">
        <v>101</v>
      </c>
      <c r="BS3355" s="15" t="n">
        <v>101</v>
      </c>
      <c r="CO3355" s="15" t="n">
        <v>101</v>
      </c>
      <c r="DK3355" s="15" t="n">
        <v>101</v>
      </c>
      <c r="EG3355" s="15" t="n">
        <v>101</v>
      </c>
      <c r="FC3355" s="15" t="n">
        <v>101</v>
      </c>
      <c r="FY3355" s="15" t="n">
        <v>101</v>
      </c>
      <c r="GU3355" s="15" t="n">
        <v>101</v>
      </c>
    </row>
    <row r="3356">
      <c r="C3356" s="15" t="n">
        <v>102</v>
      </c>
      <c r="AA3356" s="15" t="n">
        <v>102</v>
      </c>
      <c r="AW3356" s="15" t="n">
        <v>102</v>
      </c>
      <c r="BS3356" s="15" t="n">
        <v>102</v>
      </c>
      <c r="CO3356" s="15" t="n">
        <v>102</v>
      </c>
      <c r="DK3356" s="15" t="n">
        <v>102</v>
      </c>
      <c r="EG3356" s="15" t="n">
        <v>102</v>
      </c>
      <c r="FC3356" s="15" t="n">
        <v>102</v>
      </c>
      <c r="FY3356" s="15" t="n">
        <v>102</v>
      </c>
      <c r="GU3356" s="15" t="n">
        <v>102</v>
      </c>
    </row>
    <row r="3357">
      <c r="C3357" s="15" t="n">
        <v>103</v>
      </c>
      <c r="AA3357" s="15" t="n">
        <v>103</v>
      </c>
      <c r="AW3357" s="15" t="n">
        <v>103</v>
      </c>
      <c r="BS3357" s="15" t="n">
        <v>103</v>
      </c>
      <c r="CO3357" s="15" t="n">
        <v>103</v>
      </c>
      <c r="DK3357" s="15" t="n">
        <v>103</v>
      </c>
      <c r="EG3357" s="15" t="n">
        <v>103</v>
      </c>
      <c r="FC3357" s="15" t="n">
        <v>103</v>
      </c>
      <c r="FY3357" s="15" t="n">
        <v>103</v>
      </c>
      <c r="GU3357" s="15" t="n">
        <v>103</v>
      </c>
    </row>
    <row r="3358">
      <c r="C3358" s="15" t="n">
        <v>104</v>
      </c>
      <c r="AA3358" s="15" t="n">
        <v>104</v>
      </c>
      <c r="AW3358" s="15" t="n">
        <v>104</v>
      </c>
      <c r="BS3358" s="15" t="n">
        <v>104</v>
      </c>
      <c r="CO3358" s="15" t="n">
        <v>104</v>
      </c>
      <c r="DK3358" s="15" t="n">
        <v>104</v>
      </c>
      <c r="EG3358" s="15" t="n">
        <v>104</v>
      </c>
      <c r="FC3358" s="15" t="n">
        <v>104</v>
      </c>
      <c r="FY3358" s="15" t="n">
        <v>104</v>
      </c>
      <c r="GU3358" s="15" t="n">
        <v>104</v>
      </c>
    </row>
    <row r="3359">
      <c r="C3359" s="15" t="n">
        <v>105</v>
      </c>
      <c r="AA3359" s="15" t="n">
        <v>105</v>
      </c>
      <c r="AW3359" s="15" t="n">
        <v>105</v>
      </c>
      <c r="BS3359" s="15" t="n">
        <v>105</v>
      </c>
      <c r="CO3359" s="15" t="n">
        <v>105</v>
      </c>
      <c r="DK3359" s="15" t="n">
        <v>105</v>
      </c>
      <c r="EG3359" s="15" t="n">
        <v>105</v>
      </c>
      <c r="FC3359" s="15" t="n">
        <v>105</v>
      </c>
      <c r="FY3359" s="15" t="n">
        <v>105</v>
      </c>
      <c r="GU3359" s="15" t="n">
        <v>105</v>
      </c>
    </row>
    <row r="3360">
      <c r="C3360" s="15" t="n">
        <v>106</v>
      </c>
      <c r="AA3360" s="15" t="n">
        <v>106</v>
      </c>
      <c r="AW3360" s="15" t="n">
        <v>106</v>
      </c>
      <c r="BS3360" s="15" t="n">
        <v>106</v>
      </c>
      <c r="CO3360" s="15" t="n">
        <v>106</v>
      </c>
      <c r="DK3360" s="15" t="n">
        <v>106</v>
      </c>
      <c r="EG3360" s="15" t="n">
        <v>106</v>
      </c>
      <c r="FC3360" s="15" t="n">
        <v>106</v>
      </c>
      <c r="FY3360" s="15" t="n">
        <v>106</v>
      </c>
      <c r="GU3360" s="15" t="n">
        <v>106</v>
      </c>
    </row>
    <row r="3361">
      <c r="C3361" s="15" t="n">
        <v>107</v>
      </c>
      <c r="AA3361" s="15" t="n">
        <v>107</v>
      </c>
      <c r="AW3361" s="15" t="n">
        <v>107</v>
      </c>
      <c r="BS3361" s="15" t="n">
        <v>107</v>
      </c>
      <c r="CO3361" s="15" t="n">
        <v>107</v>
      </c>
      <c r="DK3361" s="15" t="n">
        <v>107</v>
      </c>
      <c r="EG3361" s="15" t="n">
        <v>107</v>
      </c>
      <c r="FC3361" s="15" t="n">
        <v>107</v>
      </c>
      <c r="FY3361" s="15" t="n">
        <v>107</v>
      </c>
      <c r="GU3361" s="15" t="n">
        <v>107</v>
      </c>
    </row>
    <row r="3362">
      <c r="C3362" s="15" t="n">
        <v>108</v>
      </c>
      <c r="AA3362" s="15" t="n">
        <v>108</v>
      </c>
      <c r="AW3362" s="15" t="n">
        <v>108</v>
      </c>
      <c r="BS3362" s="15" t="n">
        <v>108</v>
      </c>
      <c r="CO3362" s="15" t="n">
        <v>108</v>
      </c>
      <c r="DK3362" s="15" t="n">
        <v>108</v>
      </c>
      <c r="EG3362" s="15" t="n">
        <v>108</v>
      </c>
      <c r="FC3362" s="15" t="n">
        <v>108</v>
      </c>
      <c r="FY3362" s="15" t="n">
        <v>108</v>
      </c>
      <c r="GU3362" s="15" t="n">
        <v>108</v>
      </c>
    </row>
    <row r="3363">
      <c r="C3363" s="15" t="n">
        <v>109</v>
      </c>
      <c r="AA3363" s="15" t="n">
        <v>109</v>
      </c>
      <c r="AW3363" s="15" t="n">
        <v>109</v>
      </c>
      <c r="BS3363" s="15" t="n">
        <v>109</v>
      </c>
      <c r="CO3363" s="15" t="n">
        <v>109</v>
      </c>
      <c r="DK3363" s="15" t="n">
        <v>109</v>
      </c>
      <c r="EG3363" s="15" t="n">
        <v>109</v>
      </c>
      <c r="FC3363" s="15" t="n">
        <v>109</v>
      </c>
      <c r="FY3363" s="15" t="n">
        <v>109</v>
      </c>
      <c r="GU3363" s="15" t="n">
        <v>109</v>
      </c>
    </row>
    <row r="3364">
      <c r="C3364" s="15" t="n">
        <v>110</v>
      </c>
      <c r="AA3364" s="15" t="n">
        <v>110</v>
      </c>
      <c r="AW3364" s="15" t="n">
        <v>110</v>
      </c>
      <c r="BS3364" s="15" t="n">
        <v>110</v>
      </c>
      <c r="CO3364" s="15" t="n">
        <v>110</v>
      </c>
      <c r="DK3364" s="15" t="n">
        <v>110</v>
      </c>
      <c r="EG3364" s="15" t="n">
        <v>110</v>
      </c>
      <c r="FC3364" s="15" t="n">
        <v>110</v>
      </c>
      <c r="FY3364" s="15" t="n">
        <v>110</v>
      </c>
      <c r="GU3364" s="15" t="n">
        <v>110</v>
      </c>
    </row>
    <row r="3365">
      <c r="C3365" s="15" t="n">
        <v>111</v>
      </c>
      <c r="AA3365" s="15" t="n">
        <v>111</v>
      </c>
      <c r="AW3365" s="15" t="n">
        <v>111</v>
      </c>
      <c r="BS3365" s="15" t="n">
        <v>111</v>
      </c>
      <c r="CO3365" s="15" t="n">
        <v>111</v>
      </c>
      <c r="DK3365" s="15" t="n">
        <v>111</v>
      </c>
      <c r="EG3365" s="15" t="n">
        <v>111</v>
      </c>
      <c r="FC3365" s="15" t="n">
        <v>111</v>
      </c>
      <c r="FY3365" s="15" t="n">
        <v>111</v>
      </c>
      <c r="GU3365" s="15" t="n">
        <v>111</v>
      </c>
    </row>
    <row r="3366">
      <c r="C3366" s="15" t="n">
        <v>112</v>
      </c>
      <c r="AA3366" s="15" t="n">
        <v>112</v>
      </c>
      <c r="AW3366" s="15" t="n">
        <v>112</v>
      </c>
      <c r="BS3366" s="15" t="n">
        <v>112</v>
      </c>
      <c r="CO3366" s="15" t="n">
        <v>112</v>
      </c>
      <c r="DK3366" s="15" t="n">
        <v>112</v>
      </c>
      <c r="EG3366" s="15" t="n">
        <v>112</v>
      </c>
      <c r="FC3366" s="15" t="n">
        <v>112</v>
      </c>
      <c r="FY3366" s="15" t="n">
        <v>112</v>
      </c>
      <c r="GU3366" s="15" t="n">
        <v>112</v>
      </c>
    </row>
    <row r="3367">
      <c r="C3367" s="15" t="n">
        <v>113</v>
      </c>
      <c r="AA3367" s="15" t="n">
        <v>113</v>
      </c>
      <c r="AW3367" s="15" t="n">
        <v>113</v>
      </c>
      <c r="BS3367" s="15" t="n">
        <v>113</v>
      </c>
      <c r="CO3367" s="15" t="n">
        <v>113</v>
      </c>
      <c r="DK3367" s="15" t="n">
        <v>113</v>
      </c>
      <c r="EG3367" s="15" t="n">
        <v>113</v>
      </c>
      <c r="FC3367" s="15" t="n">
        <v>113</v>
      </c>
      <c r="FY3367" s="15" t="n">
        <v>113</v>
      </c>
      <c r="GU3367" s="15" t="n">
        <v>113</v>
      </c>
    </row>
    <row r="3368">
      <c r="C3368" s="15" t="n">
        <v>114</v>
      </c>
      <c r="AA3368" s="15" t="n">
        <v>114</v>
      </c>
      <c r="AW3368" s="15" t="n">
        <v>114</v>
      </c>
      <c r="BS3368" s="15" t="n">
        <v>114</v>
      </c>
      <c r="CO3368" s="15" t="n">
        <v>114</v>
      </c>
      <c r="DK3368" s="15" t="n">
        <v>114</v>
      </c>
      <c r="EG3368" s="15" t="n">
        <v>114</v>
      </c>
      <c r="FC3368" s="15" t="n">
        <v>114</v>
      </c>
      <c r="FY3368" s="15" t="n">
        <v>114</v>
      </c>
      <c r="GU3368" s="15" t="n">
        <v>114</v>
      </c>
    </row>
    <row r="3369">
      <c r="C3369" s="15" t="n">
        <v>115</v>
      </c>
      <c r="AA3369" s="15" t="n">
        <v>115</v>
      </c>
      <c r="AW3369" s="15" t="n">
        <v>115</v>
      </c>
      <c r="BS3369" s="15" t="n">
        <v>115</v>
      </c>
      <c r="CO3369" s="15" t="n">
        <v>115</v>
      </c>
      <c r="DK3369" s="15" t="n">
        <v>115</v>
      </c>
      <c r="EG3369" s="15" t="n">
        <v>115</v>
      </c>
      <c r="FC3369" s="15" t="n">
        <v>115</v>
      </c>
      <c r="FY3369" s="15" t="n">
        <v>115</v>
      </c>
      <c r="GU3369" s="15" t="n">
        <v>115</v>
      </c>
    </row>
    <row r="3370">
      <c r="C3370" s="15" t="n">
        <v>116</v>
      </c>
      <c r="AA3370" s="15" t="n">
        <v>116</v>
      </c>
      <c r="AW3370" s="15" t="n">
        <v>116</v>
      </c>
      <c r="BS3370" s="15" t="n">
        <v>116</v>
      </c>
      <c r="CO3370" s="15" t="n">
        <v>116</v>
      </c>
      <c r="DK3370" s="15" t="n">
        <v>116</v>
      </c>
      <c r="EG3370" s="15" t="n">
        <v>116</v>
      </c>
      <c r="FC3370" s="15" t="n">
        <v>116</v>
      </c>
      <c r="FY3370" s="15" t="n">
        <v>116</v>
      </c>
      <c r="GU3370" s="15" t="n">
        <v>116</v>
      </c>
    </row>
    <row r="3371">
      <c r="C3371" s="15" t="n">
        <v>117</v>
      </c>
      <c r="AA3371" s="15" t="n">
        <v>117</v>
      </c>
      <c r="AW3371" s="15" t="n">
        <v>117</v>
      </c>
      <c r="BS3371" s="15" t="n">
        <v>117</v>
      </c>
      <c r="CO3371" s="15" t="n">
        <v>117</v>
      </c>
      <c r="DK3371" s="15" t="n">
        <v>117</v>
      </c>
      <c r="EG3371" s="15" t="n">
        <v>117</v>
      </c>
      <c r="FC3371" s="15" t="n">
        <v>117</v>
      </c>
      <c r="FY3371" s="15" t="n">
        <v>117</v>
      </c>
      <c r="GU3371" s="15" t="n">
        <v>117</v>
      </c>
    </row>
    <row r="3372">
      <c r="C3372" s="15" t="n">
        <v>118</v>
      </c>
      <c r="AA3372" s="15" t="n">
        <v>118</v>
      </c>
      <c r="AW3372" s="15" t="n">
        <v>118</v>
      </c>
      <c r="BS3372" s="15" t="n">
        <v>118</v>
      </c>
      <c r="CO3372" s="15" t="n">
        <v>118</v>
      </c>
      <c r="DK3372" s="15" t="n">
        <v>118</v>
      </c>
      <c r="EG3372" s="15" t="n">
        <v>118</v>
      </c>
      <c r="FC3372" s="15" t="n">
        <v>118</v>
      </c>
      <c r="FY3372" s="15" t="n">
        <v>118</v>
      </c>
      <c r="GU3372" s="15" t="n">
        <v>118</v>
      </c>
    </row>
    <row r="3373">
      <c r="C3373" s="15" t="n">
        <v>119</v>
      </c>
      <c r="AA3373" s="15" t="n">
        <v>119</v>
      </c>
      <c r="AW3373" s="15" t="n">
        <v>119</v>
      </c>
      <c r="BS3373" s="15" t="n">
        <v>119</v>
      </c>
      <c r="CO3373" s="15" t="n">
        <v>119</v>
      </c>
      <c r="DK3373" s="15" t="n">
        <v>119</v>
      </c>
      <c r="EG3373" s="15" t="n">
        <v>119</v>
      </c>
      <c r="FC3373" s="15" t="n">
        <v>119</v>
      </c>
      <c r="FY3373" s="15" t="n">
        <v>119</v>
      </c>
      <c r="GU3373" s="15" t="n">
        <v>119</v>
      </c>
    </row>
    <row r="3374">
      <c r="C3374" s="15" t="n">
        <v>120</v>
      </c>
      <c r="AA3374" s="15" t="n">
        <v>120</v>
      </c>
      <c r="AW3374" s="15" t="n">
        <v>120</v>
      </c>
      <c r="BS3374" s="15" t="n">
        <v>120</v>
      </c>
      <c r="CO3374" s="15" t="n">
        <v>120</v>
      </c>
      <c r="DK3374" s="15" t="n">
        <v>120</v>
      </c>
      <c r="EG3374" s="15" t="n">
        <v>120</v>
      </c>
      <c r="FC3374" s="15" t="n">
        <v>120</v>
      </c>
      <c r="FY3374" s="15" t="n">
        <v>120</v>
      </c>
      <c r="GU3374" s="15" t="n">
        <v>120</v>
      </c>
    </row>
    <row r="3375">
      <c r="C3375" s="15" t="n">
        <v>121</v>
      </c>
      <c r="AA3375" s="15" t="n">
        <v>121</v>
      </c>
      <c r="AW3375" s="15" t="n">
        <v>121</v>
      </c>
      <c r="BS3375" s="15" t="n">
        <v>121</v>
      </c>
      <c r="CO3375" s="15" t="n">
        <v>121</v>
      </c>
      <c r="DK3375" s="15" t="n">
        <v>121</v>
      </c>
      <c r="EG3375" s="15" t="n">
        <v>121</v>
      </c>
      <c r="FC3375" s="15" t="n">
        <v>121</v>
      </c>
      <c r="FY3375" s="15" t="n">
        <v>121</v>
      </c>
      <c r="GU3375" s="15" t="n">
        <v>121</v>
      </c>
    </row>
    <row r="3376">
      <c r="C3376" s="15" t="n">
        <v>122</v>
      </c>
      <c r="AA3376" s="15" t="n">
        <v>122</v>
      </c>
      <c r="AW3376" s="15" t="n">
        <v>122</v>
      </c>
      <c r="BS3376" s="15" t="n">
        <v>122</v>
      </c>
      <c r="CO3376" s="15" t="n">
        <v>122</v>
      </c>
      <c r="DK3376" s="15" t="n">
        <v>122</v>
      </c>
      <c r="EG3376" s="15" t="n">
        <v>122</v>
      </c>
      <c r="FC3376" s="15" t="n">
        <v>122</v>
      </c>
      <c r="FY3376" s="15" t="n">
        <v>122</v>
      </c>
      <c r="GU3376" s="15" t="n">
        <v>122</v>
      </c>
    </row>
    <row r="3377">
      <c r="C3377" s="15" t="n">
        <v>123</v>
      </c>
      <c r="AA3377" s="15" t="n">
        <v>123</v>
      </c>
      <c r="AW3377" s="15" t="n">
        <v>123</v>
      </c>
      <c r="BS3377" s="15" t="n">
        <v>123</v>
      </c>
      <c r="CO3377" s="15" t="n">
        <v>123</v>
      </c>
      <c r="DK3377" s="15" t="n">
        <v>123</v>
      </c>
      <c r="EG3377" s="15" t="n">
        <v>123</v>
      </c>
      <c r="FC3377" s="15" t="n">
        <v>123</v>
      </c>
      <c r="FY3377" s="15" t="n">
        <v>123</v>
      </c>
      <c r="GU3377" s="15" t="n">
        <v>123</v>
      </c>
    </row>
    <row r="3378">
      <c r="C3378" s="15" t="n">
        <v>124</v>
      </c>
      <c r="AA3378" s="15" t="n">
        <v>124</v>
      </c>
      <c r="AW3378" s="15" t="n">
        <v>124</v>
      </c>
      <c r="BS3378" s="15" t="n">
        <v>124</v>
      </c>
      <c r="CO3378" s="15" t="n">
        <v>124</v>
      </c>
      <c r="DK3378" s="15" t="n">
        <v>124</v>
      </c>
      <c r="EG3378" s="15" t="n">
        <v>124</v>
      </c>
      <c r="FC3378" s="15" t="n">
        <v>124</v>
      </c>
      <c r="FY3378" s="15" t="n">
        <v>124</v>
      </c>
      <c r="GU3378" s="15" t="n">
        <v>124</v>
      </c>
    </row>
    <row r="3379">
      <c r="C3379" s="15" t="n">
        <v>125</v>
      </c>
      <c r="AA3379" s="15" t="n">
        <v>125</v>
      </c>
      <c r="AW3379" s="15" t="n">
        <v>125</v>
      </c>
      <c r="BS3379" s="15" t="n">
        <v>125</v>
      </c>
      <c r="CO3379" s="15" t="n">
        <v>125</v>
      </c>
      <c r="DK3379" s="15" t="n">
        <v>125</v>
      </c>
      <c r="EG3379" s="15" t="n">
        <v>125</v>
      </c>
      <c r="FC3379" s="15" t="n">
        <v>125</v>
      </c>
      <c r="FY3379" s="15" t="n">
        <v>125</v>
      </c>
      <c r="GU3379" s="15" t="n">
        <v>125</v>
      </c>
    </row>
    <row r="3380">
      <c r="C3380" s="15" t="n">
        <v>126</v>
      </c>
      <c r="AA3380" s="15" t="n">
        <v>126</v>
      </c>
      <c r="AW3380" s="15" t="n">
        <v>126</v>
      </c>
      <c r="BS3380" s="15" t="n">
        <v>126</v>
      </c>
      <c r="CO3380" s="15" t="n">
        <v>126</v>
      </c>
      <c r="DK3380" s="15" t="n">
        <v>126</v>
      </c>
      <c r="EG3380" s="15" t="n">
        <v>126</v>
      </c>
      <c r="FC3380" s="15" t="n">
        <v>126</v>
      </c>
      <c r="FY3380" s="15" t="n">
        <v>126</v>
      </c>
      <c r="GU3380" s="15" t="n">
        <v>126</v>
      </c>
    </row>
    <row r="3381">
      <c r="C3381" s="15" t="n">
        <v>127</v>
      </c>
      <c r="AA3381" s="15" t="n">
        <v>127</v>
      </c>
      <c r="AW3381" s="15" t="n">
        <v>127</v>
      </c>
      <c r="BS3381" s="15" t="n">
        <v>127</v>
      </c>
      <c r="CO3381" s="15" t="n">
        <v>127</v>
      </c>
      <c r="DK3381" s="15" t="n">
        <v>127</v>
      </c>
      <c r="EG3381" s="15" t="n">
        <v>127</v>
      </c>
      <c r="FC3381" s="15" t="n">
        <v>127</v>
      </c>
      <c r="FY3381" s="15" t="n">
        <v>127</v>
      </c>
      <c r="GU3381" s="15" t="n">
        <v>127</v>
      </c>
    </row>
    <row r="3382">
      <c r="C3382" s="15" t="n">
        <v>128</v>
      </c>
      <c r="AA3382" s="15" t="n">
        <v>128</v>
      </c>
      <c r="AW3382" s="15" t="n">
        <v>128</v>
      </c>
      <c r="BS3382" s="15" t="n">
        <v>128</v>
      </c>
      <c r="CO3382" s="15" t="n">
        <v>128</v>
      </c>
      <c r="DK3382" s="15" t="n">
        <v>128</v>
      </c>
      <c r="EG3382" s="15" t="n">
        <v>128</v>
      </c>
      <c r="FC3382" s="15" t="n">
        <v>128</v>
      </c>
      <c r="FY3382" s="15" t="n">
        <v>128</v>
      </c>
      <c r="GU3382" s="15" t="n">
        <v>128</v>
      </c>
    </row>
    <row r="3383">
      <c r="C3383" s="15" t="n">
        <v>129</v>
      </c>
      <c r="AA3383" s="15" t="n">
        <v>129</v>
      </c>
      <c r="AW3383" s="15" t="n">
        <v>129</v>
      </c>
      <c r="BS3383" s="15" t="n">
        <v>129</v>
      </c>
      <c r="CO3383" s="15" t="n">
        <v>129</v>
      </c>
      <c r="DK3383" s="15" t="n">
        <v>129</v>
      </c>
      <c r="EG3383" s="15" t="n">
        <v>129</v>
      </c>
      <c r="FC3383" s="15" t="n">
        <v>129</v>
      </c>
      <c r="FY3383" s="15" t="n">
        <v>129</v>
      </c>
      <c r="GU3383" s="15" t="n">
        <v>129</v>
      </c>
    </row>
    <row r="3384">
      <c r="C3384" s="15" t="n">
        <v>130</v>
      </c>
      <c r="AA3384" s="15" t="n">
        <v>130</v>
      </c>
      <c r="AW3384" s="15" t="n">
        <v>130</v>
      </c>
      <c r="BS3384" s="15" t="n">
        <v>130</v>
      </c>
      <c r="CO3384" s="15" t="n">
        <v>130</v>
      </c>
      <c r="DK3384" s="15" t="n">
        <v>130</v>
      </c>
      <c r="EG3384" s="15" t="n">
        <v>130</v>
      </c>
      <c r="FC3384" s="15" t="n">
        <v>130</v>
      </c>
      <c r="FY3384" s="15" t="n">
        <v>130</v>
      </c>
      <c r="GU3384" s="15" t="n">
        <v>130</v>
      </c>
    </row>
    <row r="3385">
      <c r="C3385" s="15" t="n">
        <v>131</v>
      </c>
      <c r="AA3385" s="15" t="n">
        <v>131</v>
      </c>
      <c r="AW3385" s="15" t="n">
        <v>131</v>
      </c>
      <c r="BS3385" s="15" t="n">
        <v>131</v>
      </c>
      <c r="CO3385" s="15" t="n">
        <v>131</v>
      </c>
      <c r="DK3385" s="15" t="n">
        <v>131</v>
      </c>
      <c r="EG3385" s="15" t="n">
        <v>131</v>
      </c>
      <c r="FC3385" s="15" t="n">
        <v>131</v>
      </c>
      <c r="FY3385" s="15" t="n">
        <v>131</v>
      </c>
      <c r="GU3385" s="15" t="n">
        <v>131</v>
      </c>
    </row>
    <row r="3386">
      <c r="C3386" s="15" t="n">
        <v>132</v>
      </c>
      <c r="AA3386" s="15" t="n">
        <v>132</v>
      </c>
      <c r="AW3386" s="15" t="n">
        <v>132</v>
      </c>
      <c r="BS3386" s="15" t="n">
        <v>132</v>
      </c>
      <c r="CO3386" s="15" t="n">
        <v>132</v>
      </c>
      <c r="DK3386" s="15" t="n">
        <v>132</v>
      </c>
      <c r="EG3386" s="15" t="n">
        <v>132</v>
      </c>
      <c r="FC3386" s="15" t="n">
        <v>132</v>
      </c>
      <c r="FY3386" s="15" t="n">
        <v>132</v>
      </c>
      <c r="GU3386" s="15" t="n">
        <v>132</v>
      </c>
    </row>
    <row r="3387">
      <c r="C3387" s="15" t="n">
        <v>133</v>
      </c>
      <c r="AA3387" s="15" t="n">
        <v>133</v>
      </c>
      <c r="AW3387" s="15" t="n">
        <v>133</v>
      </c>
      <c r="BS3387" s="15" t="n">
        <v>133</v>
      </c>
      <c r="CO3387" s="15" t="n">
        <v>133</v>
      </c>
      <c r="DK3387" s="15" t="n">
        <v>133</v>
      </c>
      <c r="EG3387" s="15" t="n">
        <v>133</v>
      </c>
      <c r="FC3387" s="15" t="n">
        <v>133</v>
      </c>
      <c r="FY3387" s="15" t="n">
        <v>133</v>
      </c>
      <c r="GU3387" s="15" t="n">
        <v>133</v>
      </c>
    </row>
    <row r="3388">
      <c r="C3388" s="15" t="n">
        <v>134</v>
      </c>
      <c r="AA3388" s="15" t="n">
        <v>134</v>
      </c>
      <c r="AW3388" s="15" t="n">
        <v>134</v>
      </c>
      <c r="BS3388" s="15" t="n">
        <v>134</v>
      </c>
      <c r="CO3388" s="15" t="n">
        <v>134</v>
      </c>
      <c r="DK3388" s="15" t="n">
        <v>134</v>
      </c>
      <c r="EG3388" s="15" t="n">
        <v>134</v>
      </c>
      <c r="FC3388" s="15" t="n">
        <v>134</v>
      </c>
      <c r="FY3388" s="15" t="n">
        <v>134</v>
      </c>
      <c r="GU3388" s="15" t="n">
        <v>134</v>
      </c>
    </row>
    <row r="3389">
      <c r="C3389" s="15" t="n">
        <v>135</v>
      </c>
      <c r="AA3389" s="15" t="n">
        <v>135</v>
      </c>
      <c r="AW3389" s="15" t="n">
        <v>135</v>
      </c>
      <c r="BS3389" s="15" t="n">
        <v>135</v>
      </c>
      <c r="CO3389" s="15" t="n">
        <v>135</v>
      </c>
      <c r="DK3389" s="15" t="n">
        <v>135</v>
      </c>
      <c r="EG3389" s="15" t="n">
        <v>135</v>
      </c>
      <c r="FC3389" s="15" t="n">
        <v>135</v>
      </c>
      <c r="FY3389" s="15" t="n">
        <v>135</v>
      </c>
      <c r="GU3389" s="15" t="n">
        <v>135</v>
      </c>
    </row>
    <row r="3390">
      <c r="C3390" s="15" t="n">
        <v>136</v>
      </c>
      <c r="AA3390" s="15" t="n">
        <v>136</v>
      </c>
      <c r="AW3390" s="15" t="n">
        <v>136</v>
      </c>
      <c r="BS3390" s="15" t="n">
        <v>136</v>
      </c>
      <c r="CO3390" s="15" t="n">
        <v>136</v>
      </c>
      <c r="DK3390" s="15" t="n">
        <v>136</v>
      </c>
      <c r="EG3390" s="15" t="n">
        <v>136</v>
      </c>
      <c r="FC3390" s="15" t="n">
        <v>136</v>
      </c>
      <c r="FY3390" s="15" t="n">
        <v>136</v>
      </c>
      <c r="GU3390" s="15" t="n">
        <v>136</v>
      </c>
    </row>
    <row r="3391">
      <c r="C3391" s="15" t="n">
        <v>137</v>
      </c>
      <c r="AA3391" s="15" t="n">
        <v>137</v>
      </c>
      <c r="AW3391" s="15" t="n">
        <v>137</v>
      </c>
      <c r="BS3391" s="15" t="n">
        <v>137</v>
      </c>
      <c r="CO3391" s="15" t="n">
        <v>137</v>
      </c>
      <c r="DK3391" s="15" t="n">
        <v>137</v>
      </c>
      <c r="EG3391" s="15" t="n">
        <v>137</v>
      </c>
      <c r="FC3391" s="15" t="n">
        <v>137</v>
      </c>
      <c r="FY3391" s="15" t="n">
        <v>137</v>
      </c>
      <c r="GU3391" s="15" t="n">
        <v>137</v>
      </c>
    </row>
    <row r="3392">
      <c r="C3392" s="15" t="n">
        <v>138</v>
      </c>
      <c r="AA3392" s="15" t="n">
        <v>138</v>
      </c>
      <c r="AW3392" s="15" t="n">
        <v>138</v>
      </c>
      <c r="BS3392" s="15" t="n">
        <v>138</v>
      </c>
      <c r="CO3392" s="15" t="n">
        <v>138</v>
      </c>
      <c r="DK3392" s="15" t="n">
        <v>138</v>
      </c>
      <c r="EG3392" s="15" t="n">
        <v>138</v>
      </c>
      <c r="FC3392" s="15" t="n">
        <v>138</v>
      </c>
      <c r="FY3392" s="15" t="n">
        <v>138</v>
      </c>
      <c r="GU3392" s="15" t="n">
        <v>138</v>
      </c>
    </row>
    <row r="3393">
      <c r="C3393" s="15" t="n">
        <v>139</v>
      </c>
      <c r="AA3393" s="15" t="n">
        <v>139</v>
      </c>
      <c r="AW3393" s="15" t="n">
        <v>139</v>
      </c>
      <c r="BS3393" s="15" t="n">
        <v>139</v>
      </c>
      <c r="CO3393" s="15" t="n">
        <v>139</v>
      </c>
      <c r="DK3393" s="15" t="n">
        <v>139</v>
      </c>
      <c r="EG3393" s="15" t="n">
        <v>139</v>
      </c>
      <c r="FC3393" s="15" t="n">
        <v>139</v>
      </c>
      <c r="FY3393" s="15" t="n">
        <v>139</v>
      </c>
      <c r="GU3393" s="15" t="n">
        <v>139</v>
      </c>
    </row>
    <row r="3394">
      <c r="C3394" s="15" t="n">
        <v>140</v>
      </c>
      <c r="AA3394" s="15" t="n">
        <v>140</v>
      </c>
      <c r="AW3394" s="15" t="n">
        <v>140</v>
      </c>
      <c r="BS3394" s="15" t="n">
        <v>140</v>
      </c>
      <c r="CO3394" s="15" t="n">
        <v>140</v>
      </c>
      <c r="DK3394" s="15" t="n">
        <v>140</v>
      </c>
      <c r="EG3394" s="15" t="n">
        <v>140</v>
      </c>
      <c r="FC3394" s="15" t="n">
        <v>140</v>
      </c>
      <c r="FY3394" s="15" t="n">
        <v>140</v>
      </c>
      <c r="GU3394" s="15" t="n">
        <v>140</v>
      </c>
    </row>
    <row r="3395">
      <c r="C3395" s="15" t="n">
        <v>141</v>
      </c>
      <c r="AA3395" s="15" t="n">
        <v>141</v>
      </c>
      <c r="AW3395" s="15" t="n">
        <v>141</v>
      </c>
      <c r="BS3395" s="15" t="n">
        <v>141</v>
      </c>
      <c r="CO3395" s="15" t="n">
        <v>141</v>
      </c>
      <c r="DK3395" s="15" t="n">
        <v>141</v>
      </c>
      <c r="EG3395" s="15" t="n">
        <v>141</v>
      </c>
      <c r="FC3395" s="15" t="n">
        <v>141</v>
      </c>
      <c r="FY3395" s="15" t="n">
        <v>141</v>
      </c>
      <c r="GU3395" s="15" t="n">
        <v>141</v>
      </c>
    </row>
    <row r="3396">
      <c r="C3396" s="15" t="n">
        <v>142</v>
      </c>
      <c r="AA3396" s="15" t="n">
        <v>142</v>
      </c>
      <c r="AW3396" s="15" t="n">
        <v>142</v>
      </c>
      <c r="BS3396" s="15" t="n">
        <v>142</v>
      </c>
      <c r="CO3396" s="15" t="n">
        <v>142</v>
      </c>
      <c r="DK3396" s="15" t="n">
        <v>142</v>
      </c>
      <c r="EG3396" s="15" t="n">
        <v>142</v>
      </c>
      <c r="FC3396" s="15" t="n">
        <v>142</v>
      </c>
      <c r="FY3396" s="15" t="n">
        <v>142</v>
      </c>
      <c r="GU3396" s="15" t="n">
        <v>142</v>
      </c>
    </row>
    <row r="3397">
      <c r="C3397" s="15" t="n">
        <v>143</v>
      </c>
      <c r="AA3397" s="15" t="n">
        <v>143</v>
      </c>
      <c r="AW3397" s="15" t="n">
        <v>143</v>
      </c>
      <c r="BS3397" s="15" t="n">
        <v>143</v>
      </c>
      <c r="CO3397" s="15" t="n">
        <v>143</v>
      </c>
      <c r="DK3397" s="15" t="n">
        <v>143</v>
      </c>
      <c r="EG3397" s="15" t="n">
        <v>143</v>
      </c>
      <c r="FC3397" s="15" t="n">
        <v>143</v>
      </c>
      <c r="FY3397" s="15" t="n">
        <v>143</v>
      </c>
      <c r="GU3397" s="15" t="n">
        <v>143</v>
      </c>
    </row>
    <row r="3398">
      <c r="C3398" s="15" t="n">
        <v>144</v>
      </c>
      <c r="AA3398" s="15" t="n">
        <v>144</v>
      </c>
      <c r="AW3398" s="15" t="n">
        <v>144</v>
      </c>
      <c r="BS3398" s="15" t="n">
        <v>144</v>
      </c>
      <c r="CO3398" s="15" t="n">
        <v>144</v>
      </c>
      <c r="DK3398" s="15" t="n">
        <v>144</v>
      </c>
      <c r="EG3398" s="15" t="n">
        <v>144</v>
      </c>
      <c r="FC3398" s="15" t="n">
        <v>144</v>
      </c>
      <c r="FY3398" s="15" t="n">
        <v>144</v>
      </c>
      <c r="GU3398" s="15" t="n">
        <v>144</v>
      </c>
    </row>
    <row r="3399">
      <c r="C3399" s="15" t="n">
        <v>145</v>
      </c>
      <c r="AA3399" s="15" t="n">
        <v>145</v>
      </c>
      <c r="AW3399" s="15" t="n">
        <v>145</v>
      </c>
      <c r="BS3399" s="15" t="n">
        <v>145</v>
      </c>
      <c r="CO3399" s="15" t="n">
        <v>145</v>
      </c>
      <c r="DK3399" s="15" t="n">
        <v>145</v>
      </c>
      <c r="EG3399" s="15" t="n">
        <v>145</v>
      </c>
      <c r="FC3399" s="15" t="n">
        <v>145</v>
      </c>
      <c r="FY3399" s="15" t="n">
        <v>145</v>
      </c>
      <c r="GU3399" s="15" t="n">
        <v>145</v>
      </c>
    </row>
    <row r="3400">
      <c r="C3400" s="15" t="n">
        <v>146</v>
      </c>
      <c r="AA3400" s="15" t="n">
        <v>146</v>
      </c>
      <c r="AW3400" s="15" t="n">
        <v>146</v>
      </c>
      <c r="BS3400" s="15" t="n">
        <v>146</v>
      </c>
      <c r="CO3400" s="15" t="n">
        <v>146</v>
      </c>
      <c r="DK3400" s="15" t="n">
        <v>146</v>
      </c>
      <c r="EG3400" s="15" t="n">
        <v>146</v>
      </c>
      <c r="FC3400" s="15" t="n">
        <v>146</v>
      </c>
      <c r="FY3400" s="15" t="n">
        <v>146</v>
      </c>
      <c r="GU3400" s="15" t="n">
        <v>146</v>
      </c>
    </row>
    <row r="3401">
      <c r="C3401" s="15" t="n">
        <v>147</v>
      </c>
      <c r="AA3401" s="15" t="n">
        <v>147</v>
      </c>
      <c r="AW3401" s="15" t="n">
        <v>147</v>
      </c>
      <c r="BS3401" s="15" t="n">
        <v>147</v>
      </c>
      <c r="CO3401" s="15" t="n">
        <v>147</v>
      </c>
      <c r="DK3401" s="15" t="n">
        <v>147</v>
      </c>
      <c r="EG3401" s="15" t="n">
        <v>147</v>
      </c>
      <c r="FC3401" s="15" t="n">
        <v>147</v>
      </c>
      <c r="FY3401" s="15" t="n">
        <v>147</v>
      </c>
      <c r="GU3401" s="15" t="n">
        <v>147</v>
      </c>
    </row>
    <row r="3402">
      <c r="C3402" s="15" t="n">
        <v>148</v>
      </c>
      <c r="AA3402" s="15" t="n">
        <v>148</v>
      </c>
      <c r="AW3402" s="15" t="n">
        <v>148</v>
      </c>
      <c r="BS3402" s="15" t="n">
        <v>148</v>
      </c>
      <c r="CO3402" s="15" t="n">
        <v>148</v>
      </c>
      <c r="DK3402" s="15" t="n">
        <v>148</v>
      </c>
      <c r="EG3402" s="15" t="n">
        <v>148</v>
      </c>
      <c r="FC3402" s="15" t="n">
        <v>148</v>
      </c>
      <c r="FY3402" s="15" t="n">
        <v>148</v>
      </c>
      <c r="GU3402" s="15" t="n">
        <v>148</v>
      </c>
    </row>
    <row r="3403">
      <c r="C3403" s="15" t="n">
        <v>149</v>
      </c>
      <c r="AA3403" s="15" t="n">
        <v>149</v>
      </c>
      <c r="AW3403" s="15" t="n">
        <v>149</v>
      </c>
      <c r="BS3403" s="15" t="n">
        <v>149</v>
      </c>
      <c r="CO3403" s="15" t="n">
        <v>149</v>
      </c>
      <c r="DK3403" s="15" t="n">
        <v>149</v>
      </c>
      <c r="EG3403" s="15" t="n">
        <v>149</v>
      </c>
      <c r="FC3403" s="15" t="n">
        <v>149</v>
      </c>
      <c r="FY3403" s="15" t="n">
        <v>149</v>
      </c>
      <c r="GU3403" s="15" t="n">
        <v>149</v>
      </c>
    </row>
    <row r="3404">
      <c r="C3404" s="15" t="n">
        <v>150</v>
      </c>
      <c r="AA3404" s="15" t="n">
        <v>150</v>
      </c>
      <c r="AW3404" s="15" t="n">
        <v>150</v>
      </c>
      <c r="BS3404" s="15" t="n">
        <v>150</v>
      </c>
      <c r="CO3404" s="15" t="n">
        <v>150</v>
      </c>
      <c r="DK3404" s="15" t="n">
        <v>150</v>
      </c>
      <c r="EG3404" s="15" t="n">
        <v>150</v>
      </c>
      <c r="FC3404" s="15" t="n">
        <v>150</v>
      </c>
      <c r="FY3404" s="15" t="n">
        <v>150</v>
      </c>
      <c r="GU3404" s="15" t="n">
        <v>150</v>
      </c>
    </row>
    <row r="3405">
      <c r="C3405" s="15" t="n">
        <v>151</v>
      </c>
      <c r="AA3405" s="15" t="n">
        <v>151</v>
      </c>
      <c r="AW3405" s="15" t="n">
        <v>151</v>
      </c>
      <c r="BS3405" s="15" t="n">
        <v>151</v>
      </c>
      <c r="CO3405" s="15" t="n">
        <v>151</v>
      </c>
      <c r="DK3405" s="15" t="n">
        <v>151</v>
      </c>
      <c r="EG3405" s="15" t="n">
        <v>151</v>
      </c>
      <c r="FC3405" s="15" t="n">
        <v>151</v>
      </c>
      <c r="FY3405" s="15" t="n">
        <v>151</v>
      </c>
      <c r="GU3405" s="15" t="n">
        <v>151</v>
      </c>
    </row>
    <row r="3406">
      <c r="C3406" s="15" t="n">
        <v>152</v>
      </c>
      <c r="AA3406" s="15" t="n">
        <v>152</v>
      </c>
      <c r="AW3406" s="15" t="n">
        <v>152</v>
      </c>
      <c r="BS3406" s="15" t="n">
        <v>152</v>
      </c>
      <c r="CO3406" s="15" t="n">
        <v>152</v>
      </c>
      <c r="DK3406" s="15" t="n">
        <v>152</v>
      </c>
      <c r="EG3406" s="15" t="n">
        <v>152</v>
      </c>
      <c r="FC3406" s="15" t="n">
        <v>152</v>
      </c>
      <c r="FY3406" s="15" t="n">
        <v>152</v>
      </c>
      <c r="GU3406" s="15" t="n">
        <v>152</v>
      </c>
    </row>
    <row r="3407">
      <c r="C3407" s="15" t="n">
        <v>153</v>
      </c>
      <c r="AA3407" s="15" t="n">
        <v>153</v>
      </c>
      <c r="AW3407" s="15" t="n">
        <v>153</v>
      </c>
      <c r="BS3407" s="15" t="n">
        <v>153</v>
      </c>
      <c r="CO3407" s="15" t="n">
        <v>153</v>
      </c>
      <c r="DK3407" s="15" t="n">
        <v>153</v>
      </c>
      <c r="EG3407" s="15" t="n">
        <v>153</v>
      </c>
      <c r="FC3407" s="15" t="n">
        <v>153</v>
      </c>
      <c r="FY3407" s="15" t="n">
        <v>153</v>
      </c>
      <c r="GU3407" s="15" t="n">
        <v>153</v>
      </c>
    </row>
    <row r="3408">
      <c r="C3408" s="15" t="n">
        <v>154</v>
      </c>
      <c r="AA3408" s="15" t="n">
        <v>154</v>
      </c>
      <c r="AW3408" s="15" t="n">
        <v>154</v>
      </c>
      <c r="BS3408" s="15" t="n">
        <v>154</v>
      </c>
      <c r="CO3408" s="15" t="n">
        <v>154</v>
      </c>
      <c r="DK3408" s="15" t="n">
        <v>154</v>
      </c>
      <c r="EG3408" s="15" t="n">
        <v>154</v>
      </c>
      <c r="FC3408" s="15" t="n">
        <v>154</v>
      </c>
      <c r="FY3408" s="15" t="n">
        <v>154</v>
      </c>
      <c r="GU3408" s="15" t="n">
        <v>154</v>
      </c>
    </row>
    <row r="3409">
      <c r="C3409" s="15" t="n">
        <v>155</v>
      </c>
      <c r="AA3409" s="15" t="n">
        <v>155</v>
      </c>
      <c r="AW3409" s="15" t="n">
        <v>155</v>
      </c>
      <c r="BS3409" s="15" t="n">
        <v>155</v>
      </c>
      <c r="CO3409" s="15" t="n">
        <v>155</v>
      </c>
      <c r="DK3409" s="15" t="n">
        <v>155</v>
      </c>
      <c r="EG3409" s="15" t="n">
        <v>155</v>
      </c>
      <c r="FC3409" s="15" t="n">
        <v>155</v>
      </c>
      <c r="FY3409" s="15" t="n">
        <v>155</v>
      </c>
      <c r="GU3409" s="15" t="n">
        <v>155</v>
      </c>
    </row>
    <row r="3410">
      <c r="C3410" s="15" t="n">
        <v>156</v>
      </c>
      <c r="AA3410" s="15" t="n">
        <v>156</v>
      </c>
      <c r="AW3410" s="15" t="n">
        <v>156</v>
      </c>
      <c r="BS3410" s="15" t="n">
        <v>156</v>
      </c>
      <c r="CO3410" s="15" t="n">
        <v>156</v>
      </c>
      <c r="DK3410" s="15" t="n">
        <v>156</v>
      </c>
      <c r="EG3410" s="15" t="n">
        <v>156</v>
      </c>
      <c r="FC3410" s="15" t="n">
        <v>156</v>
      </c>
      <c r="FY3410" s="15" t="n">
        <v>156</v>
      </c>
      <c r="GU3410" s="15" t="n">
        <v>156</v>
      </c>
    </row>
    <row r="3411">
      <c r="C3411" s="15" t="n">
        <v>157</v>
      </c>
      <c r="AA3411" s="15" t="n">
        <v>157</v>
      </c>
      <c r="AW3411" s="15" t="n">
        <v>157</v>
      </c>
      <c r="BS3411" s="15" t="n">
        <v>157</v>
      </c>
      <c r="CO3411" s="15" t="n">
        <v>157</v>
      </c>
      <c r="DK3411" s="15" t="n">
        <v>157</v>
      </c>
      <c r="EG3411" s="15" t="n">
        <v>157</v>
      </c>
      <c r="FC3411" s="15" t="n">
        <v>157</v>
      </c>
      <c r="FY3411" s="15" t="n">
        <v>157</v>
      </c>
      <c r="GU3411" s="15" t="n">
        <v>157</v>
      </c>
    </row>
    <row r="3412">
      <c r="C3412" s="15" t="n">
        <v>158</v>
      </c>
      <c r="AA3412" s="15" t="n">
        <v>158</v>
      </c>
      <c r="AW3412" s="15" t="n">
        <v>158</v>
      </c>
      <c r="BS3412" s="15" t="n">
        <v>158</v>
      </c>
      <c r="CO3412" s="15" t="n">
        <v>158</v>
      </c>
      <c r="DK3412" s="15" t="n">
        <v>158</v>
      </c>
      <c r="EG3412" s="15" t="n">
        <v>158</v>
      </c>
      <c r="FC3412" s="15" t="n">
        <v>158</v>
      </c>
      <c r="FY3412" s="15" t="n">
        <v>158</v>
      </c>
      <c r="GU3412" s="15" t="n">
        <v>158</v>
      </c>
    </row>
    <row r="3413">
      <c r="C3413" s="15" t="n">
        <v>159</v>
      </c>
      <c r="AA3413" s="15" t="n">
        <v>159</v>
      </c>
      <c r="AW3413" s="15" t="n">
        <v>159</v>
      </c>
      <c r="BS3413" s="15" t="n">
        <v>159</v>
      </c>
      <c r="CO3413" s="15" t="n">
        <v>159</v>
      </c>
      <c r="DK3413" s="15" t="n">
        <v>159</v>
      </c>
      <c r="EG3413" s="15" t="n">
        <v>159</v>
      </c>
      <c r="FC3413" s="15" t="n">
        <v>159</v>
      </c>
      <c r="FY3413" s="15" t="n">
        <v>159</v>
      </c>
      <c r="GU3413" s="15" t="n">
        <v>159</v>
      </c>
    </row>
    <row r="3414">
      <c r="C3414" s="15" t="n">
        <v>160</v>
      </c>
      <c r="AA3414" s="15" t="n">
        <v>160</v>
      </c>
      <c r="AW3414" s="15" t="n">
        <v>160</v>
      </c>
      <c r="BS3414" s="15" t="n">
        <v>160</v>
      </c>
      <c r="CO3414" s="15" t="n">
        <v>160</v>
      </c>
      <c r="DK3414" s="15" t="n">
        <v>160</v>
      </c>
      <c r="EG3414" s="15" t="n">
        <v>160</v>
      </c>
      <c r="FC3414" s="15" t="n">
        <v>160</v>
      </c>
      <c r="FY3414" s="15" t="n">
        <v>160</v>
      </c>
      <c r="GU3414" s="15" t="n">
        <v>160</v>
      </c>
    </row>
    <row r="3415">
      <c r="C3415" s="15" t="n">
        <v>161</v>
      </c>
      <c r="AA3415" s="15" t="n">
        <v>161</v>
      </c>
      <c r="AW3415" s="15" t="n">
        <v>161</v>
      </c>
      <c r="BS3415" s="15" t="n">
        <v>161</v>
      </c>
      <c r="CO3415" s="15" t="n">
        <v>161</v>
      </c>
      <c r="DK3415" s="15" t="n">
        <v>161</v>
      </c>
      <c r="EG3415" s="15" t="n">
        <v>161</v>
      </c>
      <c r="FC3415" s="15" t="n">
        <v>161</v>
      </c>
      <c r="FY3415" s="15" t="n">
        <v>161</v>
      </c>
      <c r="GU3415" s="15" t="n">
        <v>161</v>
      </c>
    </row>
    <row r="3416">
      <c r="C3416" s="15" t="n">
        <v>162</v>
      </c>
      <c r="AA3416" s="15" t="n">
        <v>162</v>
      </c>
      <c r="AW3416" s="15" t="n">
        <v>162</v>
      </c>
      <c r="BS3416" s="15" t="n">
        <v>162</v>
      </c>
      <c r="CO3416" s="15" t="n">
        <v>162</v>
      </c>
      <c r="DK3416" s="15" t="n">
        <v>162</v>
      </c>
      <c r="EG3416" s="15" t="n">
        <v>162</v>
      </c>
      <c r="FC3416" s="15" t="n">
        <v>162</v>
      </c>
      <c r="FY3416" s="15" t="n">
        <v>162</v>
      </c>
      <c r="GU3416" s="15" t="n">
        <v>162</v>
      </c>
    </row>
    <row r="3417">
      <c r="C3417" s="15" t="n">
        <v>163</v>
      </c>
      <c r="AA3417" s="15" t="n">
        <v>163</v>
      </c>
      <c r="AW3417" s="15" t="n">
        <v>163</v>
      </c>
      <c r="BS3417" s="15" t="n">
        <v>163</v>
      </c>
      <c r="CO3417" s="15" t="n">
        <v>163</v>
      </c>
      <c r="DK3417" s="15" t="n">
        <v>163</v>
      </c>
      <c r="EG3417" s="15" t="n">
        <v>163</v>
      </c>
      <c r="FC3417" s="15" t="n">
        <v>163</v>
      </c>
      <c r="FY3417" s="15" t="n">
        <v>163</v>
      </c>
      <c r="GU3417" s="15" t="n">
        <v>163</v>
      </c>
    </row>
    <row r="3418">
      <c r="C3418" s="15" t="n">
        <v>164</v>
      </c>
      <c r="AA3418" s="15" t="n">
        <v>164</v>
      </c>
      <c r="AW3418" s="15" t="n">
        <v>164</v>
      </c>
      <c r="BS3418" s="15" t="n">
        <v>164</v>
      </c>
      <c r="CO3418" s="15" t="n">
        <v>164</v>
      </c>
      <c r="DK3418" s="15" t="n">
        <v>164</v>
      </c>
      <c r="EG3418" s="15" t="n">
        <v>164</v>
      </c>
      <c r="FC3418" s="15" t="n">
        <v>164</v>
      </c>
      <c r="FY3418" s="15" t="n">
        <v>164</v>
      </c>
      <c r="GU3418" s="15" t="n">
        <v>164</v>
      </c>
    </row>
    <row r="3419">
      <c r="C3419" s="15" t="n">
        <v>165</v>
      </c>
      <c r="AA3419" s="15" t="n">
        <v>165</v>
      </c>
      <c r="AW3419" s="15" t="n">
        <v>165</v>
      </c>
      <c r="BS3419" s="15" t="n">
        <v>165</v>
      </c>
      <c r="CO3419" s="15" t="n">
        <v>165</v>
      </c>
      <c r="DK3419" s="15" t="n">
        <v>165</v>
      </c>
      <c r="EG3419" s="15" t="n">
        <v>165</v>
      </c>
      <c r="FC3419" s="15" t="n">
        <v>165</v>
      </c>
      <c r="FY3419" s="15" t="n">
        <v>165</v>
      </c>
      <c r="GU3419" s="15" t="n">
        <v>165</v>
      </c>
    </row>
    <row r="3420">
      <c r="C3420" s="15" t="n">
        <v>166</v>
      </c>
      <c r="AA3420" s="15" t="n">
        <v>166</v>
      </c>
      <c r="AW3420" s="15" t="n">
        <v>166</v>
      </c>
      <c r="BS3420" s="15" t="n">
        <v>166</v>
      </c>
      <c r="CO3420" s="15" t="n">
        <v>166</v>
      </c>
      <c r="DK3420" s="15" t="n">
        <v>166</v>
      </c>
      <c r="EG3420" s="15" t="n">
        <v>166</v>
      </c>
      <c r="FC3420" s="15" t="n">
        <v>166</v>
      </c>
      <c r="FY3420" s="15" t="n">
        <v>166</v>
      </c>
      <c r="GU3420" s="15" t="n">
        <v>166</v>
      </c>
    </row>
    <row r="3421">
      <c r="C3421" s="15" t="n">
        <v>167</v>
      </c>
      <c r="AA3421" s="15" t="n">
        <v>167</v>
      </c>
      <c r="AW3421" s="15" t="n">
        <v>167</v>
      </c>
      <c r="BS3421" s="15" t="n">
        <v>167</v>
      </c>
      <c r="CO3421" s="15" t="n">
        <v>167</v>
      </c>
      <c r="DK3421" s="15" t="n">
        <v>167</v>
      </c>
      <c r="EG3421" s="15" t="n">
        <v>167</v>
      </c>
      <c r="FC3421" s="15" t="n">
        <v>167</v>
      </c>
      <c r="FY3421" s="15" t="n">
        <v>167</v>
      </c>
      <c r="GU3421" s="15" t="n">
        <v>167</v>
      </c>
    </row>
    <row r="3422">
      <c r="C3422" s="15" t="n">
        <v>168</v>
      </c>
      <c r="AA3422" s="15" t="n">
        <v>168</v>
      </c>
      <c r="AW3422" s="15" t="n">
        <v>168</v>
      </c>
      <c r="BS3422" s="15" t="n">
        <v>168</v>
      </c>
      <c r="CO3422" s="15" t="n">
        <v>168</v>
      </c>
      <c r="DK3422" s="15" t="n">
        <v>168</v>
      </c>
      <c r="EG3422" s="15" t="n">
        <v>168</v>
      </c>
      <c r="FC3422" s="15" t="n">
        <v>168</v>
      </c>
      <c r="FY3422" s="15" t="n">
        <v>168</v>
      </c>
      <c r="GU3422" s="15" t="n">
        <v>168</v>
      </c>
    </row>
    <row r="3423">
      <c r="C3423" s="15" t="n">
        <v>169</v>
      </c>
      <c r="AA3423" s="15" t="n">
        <v>169</v>
      </c>
      <c r="AW3423" s="15" t="n">
        <v>169</v>
      </c>
      <c r="BS3423" s="15" t="n">
        <v>169</v>
      </c>
      <c r="CO3423" s="15" t="n">
        <v>169</v>
      </c>
      <c r="DK3423" s="15" t="n">
        <v>169</v>
      </c>
      <c r="EG3423" s="15" t="n">
        <v>169</v>
      </c>
      <c r="FC3423" s="15" t="n">
        <v>169</v>
      </c>
      <c r="FY3423" s="15" t="n">
        <v>169</v>
      </c>
      <c r="GU3423" s="15" t="n">
        <v>169</v>
      </c>
    </row>
    <row r="3424">
      <c r="C3424" s="15" t="n">
        <v>170</v>
      </c>
      <c r="AA3424" s="15" t="n">
        <v>170</v>
      </c>
      <c r="AW3424" s="15" t="n">
        <v>170</v>
      </c>
      <c r="BS3424" s="15" t="n">
        <v>170</v>
      </c>
      <c r="CO3424" s="15" t="n">
        <v>170</v>
      </c>
      <c r="DK3424" s="15" t="n">
        <v>170</v>
      </c>
      <c r="EG3424" s="15" t="n">
        <v>170</v>
      </c>
      <c r="FC3424" s="15" t="n">
        <v>170</v>
      </c>
      <c r="FY3424" s="15" t="n">
        <v>170</v>
      </c>
      <c r="GU3424" s="15" t="n">
        <v>170</v>
      </c>
    </row>
    <row r="3425">
      <c r="C3425" s="15" t="n">
        <v>171</v>
      </c>
      <c r="AA3425" s="15" t="n">
        <v>171</v>
      </c>
      <c r="AW3425" s="15" t="n">
        <v>171</v>
      </c>
      <c r="BS3425" s="15" t="n">
        <v>171</v>
      </c>
      <c r="CO3425" s="15" t="n">
        <v>171</v>
      </c>
      <c r="DK3425" s="15" t="n">
        <v>171</v>
      </c>
      <c r="EG3425" s="15" t="n">
        <v>171</v>
      </c>
      <c r="FC3425" s="15" t="n">
        <v>171</v>
      </c>
      <c r="FY3425" s="15" t="n">
        <v>171</v>
      </c>
      <c r="GU3425" s="15" t="n">
        <v>171</v>
      </c>
    </row>
    <row r="3426">
      <c r="C3426" s="15" t="n">
        <v>172</v>
      </c>
      <c r="AA3426" s="15" t="n">
        <v>172</v>
      </c>
      <c r="AW3426" s="15" t="n">
        <v>172</v>
      </c>
      <c r="BS3426" s="15" t="n">
        <v>172</v>
      </c>
      <c r="CO3426" s="15" t="n">
        <v>172</v>
      </c>
      <c r="DK3426" s="15" t="n">
        <v>172</v>
      </c>
      <c r="EG3426" s="15" t="n">
        <v>172</v>
      </c>
      <c r="FC3426" s="15" t="n">
        <v>172</v>
      </c>
      <c r="FY3426" s="15" t="n">
        <v>172</v>
      </c>
      <c r="GU3426" s="15" t="n">
        <v>172</v>
      </c>
    </row>
    <row r="3427">
      <c r="C3427" s="15" t="n">
        <v>173</v>
      </c>
      <c r="AA3427" s="15" t="n">
        <v>173</v>
      </c>
      <c r="AW3427" s="15" t="n">
        <v>173</v>
      </c>
      <c r="BS3427" s="15" t="n">
        <v>173</v>
      </c>
      <c r="CO3427" s="15" t="n">
        <v>173</v>
      </c>
      <c r="DK3427" s="15" t="n">
        <v>173</v>
      </c>
      <c r="EG3427" s="15" t="n">
        <v>173</v>
      </c>
      <c r="FC3427" s="15" t="n">
        <v>173</v>
      </c>
      <c r="FY3427" s="15" t="n">
        <v>173</v>
      </c>
      <c r="GU3427" s="15" t="n">
        <v>173</v>
      </c>
    </row>
    <row r="3428">
      <c r="C3428" s="15" t="n">
        <v>174</v>
      </c>
      <c r="AA3428" s="15" t="n">
        <v>174</v>
      </c>
      <c r="AW3428" s="15" t="n">
        <v>174</v>
      </c>
      <c r="BS3428" s="15" t="n">
        <v>174</v>
      </c>
      <c r="CO3428" s="15" t="n">
        <v>174</v>
      </c>
      <c r="DK3428" s="15" t="n">
        <v>174</v>
      </c>
      <c r="EG3428" s="15" t="n">
        <v>174</v>
      </c>
      <c r="FC3428" s="15" t="n">
        <v>174</v>
      </c>
      <c r="FY3428" s="15" t="n">
        <v>174</v>
      </c>
      <c r="GU3428" s="15" t="n">
        <v>174</v>
      </c>
    </row>
    <row r="3429">
      <c r="C3429" s="15" t="n">
        <v>175</v>
      </c>
      <c r="AA3429" s="15" t="n">
        <v>175</v>
      </c>
      <c r="AW3429" s="15" t="n">
        <v>175</v>
      </c>
      <c r="BS3429" s="15" t="n">
        <v>175</v>
      </c>
      <c r="CO3429" s="15" t="n">
        <v>175</v>
      </c>
      <c r="DK3429" s="15" t="n">
        <v>175</v>
      </c>
      <c r="EG3429" s="15" t="n">
        <v>175</v>
      </c>
      <c r="FC3429" s="15" t="n">
        <v>175</v>
      </c>
      <c r="FY3429" s="15" t="n">
        <v>175</v>
      </c>
      <c r="GU3429" s="15" t="n">
        <v>175</v>
      </c>
    </row>
    <row r="3430">
      <c r="C3430" s="15" t="n">
        <v>176</v>
      </c>
      <c r="AA3430" s="15" t="n">
        <v>176</v>
      </c>
      <c r="AW3430" s="15" t="n">
        <v>176</v>
      </c>
      <c r="BS3430" s="15" t="n">
        <v>176</v>
      </c>
      <c r="CO3430" s="15" t="n">
        <v>176</v>
      </c>
      <c r="DK3430" s="15" t="n">
        <v>176</v>
      </c>
      <c r="EG3430" s="15" t="n">
        <v>176</v>
      </c>
      <c r="FC3430" s="15" t="n">
        <v>176</v>
      </c>
      <c r="FY3430" s="15" t="n">
        <v>176</v>
      </c>
      <c r="GU3430" s="15" t="n">
        <v>176</v>
      </c>
    </row>
    <row r="3431">
      <c r="C3431" s="15" t="n">
        <v>177</v>
      </c>
      <c r="AA3431" s="15" t="n">
        <v>177</v>
      </c>
      <c r="AW3431" s="15" t="n">
        <v>177</v>
      </c>
      <c r="BS3431" s="15" t="n">
        <v>177</v>
      </c>
      <c r="CO3431" s="15" t="n">
        <v>177</v>
      </c>
      <c r="DK3431" s="15" t="n">
        <v>177</v>
      </c>
      <c r="EG3431" s="15" t="n">
        <v>177</v>
      </c>
      <c r="FC3431" s="15" t="n">
        <v>177</v>
      </c>
      <c r="FY3431" s="15" t="n">
        <v>177</v>
      </c>
      <c r="GU3431" s="15" t="n">
        <v>177</v>
      </c>
    </row>
    <row r="3432">
      <c r="C3432" s="15" t="n">
        <v>178</v>
      </c>
      <c r="AA3432" s="15" t="n">
        <v>178</v>
      </c>
      <c r="AW3432" s="15" t="n">
        <v>178</v>
      </c>
      <c r="BS3432" s="15" t="n">
        <v>178</v>
      </c>
      <c r="CO3432" s="15" t="n">
        <v>178</v>
      </c>
      <c r="DK3432" s="15" t="n">
        <v>178</v>
      </c>
      <c r="EG3432" s="15" t="n">
        <v>178</v>
      </c>
      <c r="FC3432" s="15" t="n">
        <v>178</v>
      </c>
      <c r="FY3432" s="15" t="n">
        <v>178</v>
      </c>
      <c r="GU3432" s="15" t="n">
        <v>178</v>
      </c>
    </row>
    <row r="3433">
      <c r="C3433" s="15" t="n">
        <v>179</v>
      </c>
      <c r="AA3433" s="15" t="n">
        <v>179</v>
      </c>
      <c r="AW3433" s="15" t="n">
        <v>179</v>
      </c>
      <c r="BS3433" s="15" t="n">
        <v>179</v>
      </c>
      <c r="CO3433" s="15" t="n">
        <v>179</v>
      </c>
      <c r="DK3433" s="15" t="n">
        <v>179</v>
      </c>
      <c r="EG3433" s="15" t="n">
        <v>179</v>
      </c>
      <c r="FC3433" s="15" t="n">
        <v>179</v>
      </c>
      <c r="FY3433" s="15" t="n">
        <v>179</v>
      </c>
      <c r="GU3433" s="15" t="n">
        <v>179</v>
      </c>
    </row>
    <row r="3434">
      <c r="C3434" s="15" t="n">
        <v>180</v>
      </c>
      <c r="AA3434" s="15" t="n">
        <v>180</v>
      </c>
      <c r="AW3434" s="15" t="n">
        <v>180</v>
      </c>
      <c r="BS3434" s="15" t="n">
        <v>180</v>
      </c>
      <c r="CO3434" s="15" t="n">
        <v>180</v>
      </c>
      <c r="DK3434" s="15" t="n">
        <v>180</v>
      </c>
      <c r="EG3434" s="15" t="n">
        <v>180</v>
      </c>
      <c r="FC3434" s="15" t="n">
        <v>180</v>
      </c>
      <c r="FY3434" s="15" t="n">
        <v>180</v>
      </c>
      <c r="GU3434" s="15" t="n">
        <v>180</v>
      </c>
    </row>
    <row r="3435">
      <c r="C3435" s="15" t="n">
        <v>181</v>
      </c>
      <c r="AA3435" s="15" t="n">
        <v>181</v>
      </c>
      <c r="AW3435" s="15" t="n">
        <v>181</v>
      </c>
      <c r="BS3435" s="15" t="n">
        <v>181</v>
      </c>
      <c r="CO3435" s="15" t="n">
        <v>181</v>
      </c>
      <c r="DK3435" s="15" t="n">
        <v>181</v>
      </c>
      <c r="EG3435" s="15" t="n">
        <v>181</v>
      </c>
      <c r="FC3435" s="15" t="n">
        <v>181</v>
      </c>
      <c r="FY3435" s="15" t="n">
        <v>181</v>
      </c>
      <c r="GU3435" s="15" t="n">
        <v>181</v>
      </c>
    </row>
    <row r="3436">
      <c r="C3436" s="15" t="n">
        <v>182</v>
      </c>
      <c r="AA3436" s="15" t="n">
        <v>182</v>
      </c>
      <c r="AW3436" s="15" t="n">
        <v>182</v>
      </c>
      <c r="BS3436" s="15" t="n">
        <v>182</v>
      </c>
      <c r="CO3436" s="15" t="n">
        <v>182</v>
      </c>
      <c r="DK3436" s="15" t="n">
        <v>182</v>
      </c>
      <c r="EG3436" s="15" t="n">
        <v>182</v>
      </c>
      <c r="FC3436" s="15" t="n">
        <v>182</v>
      </c>
      <c r="FY3436" s="15" t="n">
        <v>182</v>
      </c>
      <c r="GU3436" s="15" t="n">
        <v>182</v>
      </c>
    </row>
    <row r="3437">
      <c r="C3437" s="15" t="n">
        <v>183</v>
      </c>
      <c r="AA3437" s="15" t="n">
        <v>183</v>
      </c>
      <c r="AW3437" s="15" t="n">
        <v>183</v>
      </c>
      <c r="BS3437" s="15" t="n">
        <v>183</v>
      </c>
      <c r="CO3437" s="15" t="n">
        <v>183</v>
      </c>
      <c r="DK3437" s="15" t="n">
        <v>183</v>
      </c>
      <c r="EG3437" s="15" t="n">
        <v>183</v>
      </c>
      <c r="FC3437" s="15" t="n">
        <v>183</v>
      </c>
      <c r="FY3437" s="15" t="n">
        <v>183</v>
      </c>
      <c r="GU3437" s="15" t="n">
        <v>183</v>
      </c>
    </row>
    <row r="3438">
      <c r="C3438" s="15" t="n">
        <v>184</v>
      </c>
      <c r="AA3438" s="15" t="n">
        <v>184</v>
      </c>
      <c r="AW3438" s="15" t="n">
        <v>184</v>
      </c>
      <c r="BS3438" s="15" t="n">
        <v>184</v>
      </c>
      <c r="CO3438" s="15" t="n">
        <v>184</v>
      </c>
      <c r="DK3438" s="15" t="n">
        <v>184</v>
      </c>
      <c r="EG3438" s="15" t="n">
        <v>184</v>
      </c>
      <c r="FC3438" s="15" t="n">
        <v>184</v>
      </c>
      <c r="FY3438" s="15" t="n">
        <v>184</v>
      </c>
      <c r="GU3438" s="15" t="n">
        <v>184</v>
      </c>
    </row>
    <row r="3439">
      <c r="C3439" s="15" t="n">
        <v>185</v>
      </c>
      <c r="AA3439" s="15" t="n">
        <v>185</v>
      </c>
      <c r="AW3439" s="15" t="n">
        <v>185</v>
      </c>
      <c r="BS3439" s="15" t="n">
        <v>185</v>
      </c>
      <c r="CO3439" s="15" t="n">
        <v>185</v>
      </c>
      <c r="DK3439" s="15" t="n">
        <v>185</v>
      </c>
      <c r="EG3439" s="15" t="n">
        <v>185</v>
      </c>
      <c r="FC3439" s="15" t="n">
        <v>185</v>
      </c>
      <c r="FY3439" s="15" t="n">
        <v>185</v>
      </c>
      <c r="GU3439" s="15" t="n">
        <v>185</v>
      </c>
    </row>
    <row r="3440">
      <c r="C3440" s="15" t="n">
        <v>186</v>
      </c>
      <c r="AA3440" s="15" t="n">
        <v>186</v>
      </c>
      <c r="AW3440" s="15" t="n">
        <v>186</v>
      </c>
      <c r="BS3440" s="15" t="n">
        <v>186</v>
      </c>
      <c r="CO3440" s="15" t="n">
        <v>186</v>
      </c>
      <c r="DK3440" s="15" t="n">
        <v>186</v>
      </c>
      <c r="EG3440" s="15" t="n">
        <v>186</v>
      </c>
      <c r="FC3440" s="15" t="n">
        <v>186</v>
      </c>
      <c r="FY3440" s="15" t="n">
        <v>186</v>
      </c>
      <c r="GU3440" s="15" t="n">
        <v>186</v>
      </c>
    </row>
    <row r="3441">
      <c r="C3441" s="15" t="n">
        <v>187</v>
      </c>
      <c r="AA3441" s="15" t="n">
        <v>187</v>
      </c>
      <c r="AW3441" s="15" t="n">
        <v>187</v>
      </c>
      <c r="BS3441" s="15" t="n">
        <v>187</v>
      </c>
      <c r="CO3441" s="15" t="n">
        <v>187</v>
      </c>
      <c r="DK3441" s="15" t="n">
        <v>187</v>
      </c>
      <c r="EG3441" s="15" t="n">
        <v>187</v>
      </c>
      <c r="FC3441" s="15" t="n">
        <v>187</v>
      </c>
      <c r="FY3441" s="15" t="n">
        <v>187</v>
      </c>
      <c r="GU3441" s="15" t="n">
        <v>187</v>
      </c>
    </row>
    <row r="3442">
      <c r="C3442" s="15" t="n">
        <v>188</v>
      </c>
      <c r="AA3442" s="15" t="n">
        <v>188</v>
      </c>
      <c r="AW3442" s="15" t="n">
        <v>188</v>
      </c>
      <c r="BS3442" s="15" t="n">
        <v>188</v>
      </c>
      <c r="CO3442" s="15" t="n">
        <v>188</v>
      </c>
      <c r="DK3442" s="15" t="n">
        <v>188</v>
      </c>
      <c r="EG3442" s="15" t="n">
        <v>188</v>
      </c>
      <c r="FC3442" s="15" t="n">
        <v>188</v>
      </c>
      <c r="FY3442" s="15" t="n">
        <v>188</v>
      </c>
      <c r="GU3442" s="15" t="n">
        <v>188</v>
      </c>
    </row>
    <row r="3443">
      <c r="C3443" s="15" t="n">
        <v>189</v>
      </c>
      <c r="AA3443" s="15" t="n">
        <v>189</v>
      </c>
      <c r="AW3443" s="15" t="n">
        <v>189</v>
      </c>
      <c r="BS3443" s="15" t="n">
        <v>189</v>
      </c>
      <c r="CO3443" s="15" t="n">
        <v>189</v>
      </c>
      <c r="DK3443" s="15" t="n">
        <v>189</v>
      </c>
      <c r="EG3443" s="15" t="n">
        <v>189</v>
      </c>
      <c r="FC3443" s="15" t="n">
        <v>189</v>
      </c>
      <c r="FY3443" s="15" t="n">
        <v>189</v>
      </c>
      <c r="GU3443" s="15" t="n">
        <v>189</v>
      </c>
    </row>
    <row r="3444">
      <c r="C3444" s="15" t="n">
        <v>190</v>
      </c>
      <c r="AA3444" s="15" t="n">
        <v>190</v>
      </c>
      <c r="AW3444" s="15" t="n">
        <v>190</v>
      </c>
      <c r="BS3444" s="15" t="n">
        <v>190</v>
      </c>
      <c r="CO3444" s="15" t="n">
        <v>190</v>
      </c>
      <c r="DK3444" s="15" t="n">
        <v>190</v>
      </c>
      <c r="EG3444" s="15" t="n">
        <v>190</v>
      </c>
      <c r="FC3444" s="15" t="n">
        <v>190</v>
      </c>
      <c r="FY3444" s="15" t="n">
        <v>190</v>
      </c>
      <c r="GU3444" s="15" t="n">
        <v>190</v>
      </c>
    </row>
    <row r="3445">
      <c r="C3445" s="15" t="n">
        <v>191</v>
      </c>
      <c r="AA3445" s="15" t="n">
        <v>191</v>
      </c>
      <c r="AW3445" s="15" t="n">
        <v>191</v>
      </c>
      <c r="BS3445" s="15" t="n">
        <v>191</v>
      </c>
      <c r="CO3445" s="15" t="n">
        <v>191</v>
      </c>
      <c r="DK3445" s="15" t="n">
        <v>191</v>
      </c>
      <c r="EG3445" s="15" t="n">
        <v>191</v>
      </c>
      <c r="FC3445" s="15" t="n">
        <v>191</v>
      </c>
      <c r="FY3445" s="15" t="n">
        <v>191</v>
      </c>
      <c r="GU3445" s="15" t="n">
        <v>191</v>
      </c>
    </row>
    <row r="3446">
      <c r="C3446" s="15" t="n">
        <v>192</v>
      </c>
      <c r="AA3446" s="15" t="n">
        <v>192</v>
      </c>
      <c r="AW3446" s="15" t="n">
        <v>192</v>
      </c>
      <c r="BS3446" s="15" t="n">
        <v>192</v>
      </c>
      <c r="CO3446" s="15" t="n">
        <v>192</v>
      </c>
      <c r="DK3446" s="15" t="n">
        <v>192</v>
      </c>
      <c r="EG3446" s="15" t="n">
        <v>192</v>
      </c>
      <c r="FC3446" s="15" t="n">
        <v>192</v>
      </c>
      <c r="FY3446" s="15" t="n">
        <v>192</v>
      </c>
      <c r="GU3446" s="15" t="n">
        <v>192</v>
      </c>
    </row>
    <row r="3447">
      <c r="C3447" s="15" t="n">
        <v>193</v>
      </c>
      <c r="AA3447" s="15" t="n">
        <v>193</v>
      </c>
      <c r="AW3447" s="15" t="n">
        <v>193</v>
      </c>
      <c r="BS3447" s="15" t="n">
        <v>193</v>
      </c>
      <c r="CO3447" s="15" t="n">
        <v>193</v>
      </c>
      <c r="DK3447" s="15" t="n">
        <v>193</v>
      </c>
      <c r="EG3447" s="15" t="n">
        <v>193</v>
      </c>
      <c r="FC3447" s="15" t="n">
        <v>193</v>
      </c>
      <c r="FY3447" s="15" t="n">
        <v>193</v>
      </c>
      <c r="GU3447" s="15" t="n">
        <v>193</v>
      </c>
    </row>
    <row r="3448">
      <c r="C3448" s="15" t="n">
        <v>194</v>
      </c>
      <c r="AA3448" s="15" t="n">
        <v>194</v>
      </c>
      <c r="AW3448" s="15" t="n">
        <v>194</v>
      </c>
      <c r="BS3448" s="15" t="n">
        <v>194</v>
      </c>
      <c r="CO3448" s="15" t="n">
        <v>194</v>
      </c>
      <c r="DK3448" s="15" t="n">
        <v>194</v>
      </c>
      <c r="EG3448" s="15" t="n">
        <v>194</v>
      </c>
      <c r="FC3448" s="15" t="n">
        <v>194</v>
      </c>
      <c r="FY3448" s="15" t="n">
        <v>194</v>
      </c>
      <c r="GU3448" s="15" t="n">
        <v>194</v>
      </c>
    </row>
    <row r="3449">
      <c r="C3449" s="15" t="n">
        <v>195</v>
      </c>
      <c r="AA3449" s="15" t="n">
        <v>195</v>
      </c>
      <c r="AW3449" s="15" t="n">
        <v>195</v>
      </c>
      <c r="BS3449" s="15" t="n">
        <v>195</v>
      </c>
      <c r="CO3449" s="15" t="n">
        <v>195</v>
      </c>
      <c r="DK3449" s="15" t="n">
        <v>195</v>
      </c>
      <c r="EG3449" s="15" t="n">
        <v>195</v>
      </c>
      <c r="FC3449" s="15" t="n">
        <v>195</v>
      </c>
      <c r="FY3449" s="15" t="n">
        <v>195</v>
      </c>
      <c r="GU3449" s="15" t="n">
        <v>195</v>
      </c>
    </row>
    <row r="3450">
      <c r="C3450" s="15" t="n">
        <v>196</v>
      </c>
      <c r="AA3450" s="15" t="n">
        <v>196</v>
      </c>
      <c r="AW3450" s="15" t="n">
        <v>196</v>
      </c>
      <c r="BS3450" s="15" t="n">
        <v>196</v>
      </c>
      <c r="CO3450" s="15" t="n">
        <v>196</v>
      </c>
      <c r="DK3450" s="15" t="n">
        <v>196</v>
      </c>
      <c r="EG3450" s="15" t="n">
        <v>196</v>
      </c>
      <c r="FC3450" s="15" t="n">
        <v>196</v>
      </c>
      <c r="FY3450" s="15" t="n">
        <v>196</v>
      </c>
      <c r="GU3450" s="15" t="n">
        <v>196</v>
      </c>
    </row>
    <row r="3451">
      <c r="C3451" s="15" t="n">
        <v>197</v>
      </c>
      <c r="AA3451" s="15" t="n">
        <v>197</v>
      </c>
      <c r="AW3451" s="15" t="n">
        <v>197</v>
      </c>
      <c r="BS3451" s="15" t="n">
        <v>197</v>
      </c>
      <c r="CO3451" s="15" t="n">
        <v>197</v>
      </c>
      <c r="DK3451" s="15" t="n">
        <v>197</v>
      </c>
      <c r="EG3451" s="15" t="n">
        <v>197</v>
      </c>
      <c r="FC3451" s="15" t="n">
        <v>197</v>
      </c>
      <c r="FY3451" s="15" t="n">
        <v>197</v>
      </c>
      <c r="GU3451" s="15" t="n">
        <v>197</v>
      </c>
    </row>
    <row r="3452">
      <c r="C3452" s="15" t="n">
        <v>198</v>
      </c>
      <c r="AA3452" s="15" t="n">
        <v>198</v>
      </c>
      <c r="AW3452" s="15" t="n">
        <v>198</v>
      </c>
      <c r="BS3452" s="15" t="n">
        <v>198</v>
      </c>
      <c r="CO3452" s="15" t="n">
        <v>198</v>
      </c>
      <c r="DK3452" s="15" t="n">
        <v>198</v>
      </c>
      <c r="EG3452" s="15" t="n">
        <v>198</v>
      </c>
      <c r="FC3452" s="15" t="n">
        <v>198</v>
      </c>
      <c r="FY3452" s="15" t="n">
        <v>198</v>
      </c>
      <c r="GU3452" s="15" t="n">
        <v>198</v>
      </c>
    </row>
    <row r="3454">
      <c r="C3454" s="15" t="inlineStr">
        <is>
          <t>LB</t>
        </is>
      </c>
      <c r="D3454" s="15" t="n">
        <v>22</v>
      </c>
      <c r="E3454" s="15" t="n">
        <v>23</v>
      </c>
      <c r="F3454" s="15" t="n">
        <v>24</v>
      </c>
      <c r="AA3454" s="15" t="inlineStr">
        <is>
          <t>LB</t>
        </is>
      </c>
      <c r="AB3454" s="15" t="n">
        <v>22</v>
      </c>
      <c r="AC3454" s="15" t="n">
        <v>23</v>
      </c>
      <c r="AD3454" s="15" t="n">
        <v>24</v>
      </c>
      <c r="AW3454" s="15" t="inlineStr">
        <is>
          <t>LB</t>
        </is>
      </c>
      <c r="AX3454" s="15" t="n">
        <v>22</v>
      </c>
      <c r="AY3454" s="15" t="n">
        <v>23</v>
      </c>
      <c r="AZ3454" s="15" t="n">
        <v>24</v>
      </c>
      <c r="BS3454" s="15" t="inlineStr">
        <is>
          <t>LB</t>
        </is>
      </c>
      <c r="BT3454" s="15" t="n">
        <v>22</v>
      </c>
      <c r="BU3454" s="15" t="n">
        <v>23</v>
      </c>
      <c r="BV3454" s="15" t="n">
        <v>24</v>
      </c>
      <c r="CO3454" s="15" t="inlineStr">
        <is>
          <t>LB</t>
        </is>
      </c>
      <c r="CP3454" s="15" t="n">
        <v>22</v>
      </c>
      <c r="CQ3454" s="15" t="n">
        <v>23</v>
      </c>
      <c r="CR3454" s="15" t="n">
        <v>24</v>
      </c>
      <c r="DK3454" s="15" t="inlineStr">
        <is>
          <t>LB</t>
        </is>
      </c>
      <c r="DL3454" s="15" t="n">
        <v>22</v>
      </c>
      <c r="DM3454" s="15" t="n">
        <v>23</v>
      </c>
      <c r="DN3454" s="15" t="n">
        <v>24</v>
      </c>
      <c r="EG3454" s="15" t="inlineStr">
        <is>
          <t>LB</t>
        </is>
      </c>
      <c r="EH3454" s="15" t="n">
        <v>22</v>
      </c>
      <c r="EI3454" s="15" t="n">
        <v>23</v>
      </c>
      <c r="EJ3454" s="15" t="n">
        <v>24</v>
      </c>
      <c r="FC3454" s="15" t="inlineStr">
        <is>
          <t>LB</t>
        </is>
      </c>
      <c r="FD3454" s="15" t="n">
        <v>22</v>
      </c>
      <c r="FE3454" s="15" t="n">
        <v>23</v>
      </c>
      <c r="FF3454" s="15" t="n">
        <v>24</v>
      </c>
      <c r="FY3454" s="15" t="inlineStr">
        <is>
          <t>LB</t>
        </is>
      </c>
      <c r="FZ3454" s="15" t="n">
        <v>22</v>
      </c>
      <c r="GA3454" s="15" t="n">
        <v>23</v>
      </c>
      <c r="GB3454" s="15" t="n">
        <v>24</v>
      </c>
      <c r="GU3454" s="15" t="inlineStr">
        <is>
          <t>LB</t>
        </is>
      </c>
      <c r="GV3454" s="15" t="n">
        <v>22</v>
      </c>
      <c r="GW3454" s="15" t="n">
        <v>23</v>
      </c>
      <c r="GX3454" s="15" t="n">
        <v>24</v>
      </c>
    </row>
    <row r="3455">
      <c r="C3455" s="15" t="n">
        <v>9</v>
      </c>
      <c r="AA3455" s="15" t="n">
        <v>9</v>
      </c>
      <c r="AW3455" s="15" t="n">
        <v>9</v>
      </c>
      <c r="BS3455" s="15" t="n">
        <v>9</v>
      </c>
      <c r="CO3455" s="15" t="n">
        <v>9</v>
      </c>
      <c r="DK3455" s="15" t="n">
        <v>9</v>
      </c>
      <c r="EG3455" s="15" t="n">
        <v>9</v>
      </c>
      <c r="FC3455" s="15" t="n">
        <v>9</v>
      </c>
      <c r="FY3455" s="15" t="n">
        <v>9</v>
      </c>
      <c r="GU3455" s="15" t="n">
        <v>9</v>
      </c>
    </row>
    <row r="3456">
      <c r="C3456" s="15" t="n">
        <v>10</v>
      </c>
      <c r="AA3456" s="15" t="n">
        <v>10</v>
      </c>
      <c r="AW3456" s="15" t="n">
        <v>10</v>
      </c>
      <c r="BS3456" s="15" t="n">
        <v>10</v>
      </c>
      <c r="CO3456" s="15" t="n">
        <v>10</v>
      </c>
      <c r="DK3456" s="15" t="n">
        <v>10</v>
      </c>
      <c r="EG3456" s="15" t="n">
        <v>10</v>
      </c>
      <c r="FC3456" s="15" t="n">
        <v>10</v>
      </c>
      <c r="FY3456" s="15" t="n">
        <v>10</v>
      </c>
      <c r="GU3456" s="15" t="n">
        <v>10</v>
      </c>
    </row>
    <row r="3457">
      <c r="C3457" s="15" t="n">
        <v>11</v>
      </c>
      <c r="AA3457" s="15" t="n">
        <v>11</v>
      </c>
      <c r="AW3457" s="15" t="n">
        <v>11</v>
      </c>
      <c r="BS3457" s="15" t="n">
        <v>11</v>
      </c>
      <c r="CO3457" s="15" t="n">
        <v>11</v>
      </c>
      <c r="DK3457" s="15" t="n">
        <v>11</v>
      </c>
      <c r="EG3457" s="15" t="n">
        <v>11</v>
      </c>
      <c r="FC3457" s="15" t="n">
        <v>11</v>
      </c>
      <c r="FY3457" s="15" t="n">
        <v>11</v>
      </c>
      <c r="GU3457" s="15" t="n">
        <v>11</v>
      </c>
    </row>
    <row r="3458">
      <c r="C3458" s="15" t="n">
        <v>12</v>
      </c>
      <c r="AA3458" s="15" t="n">
        <v>12</v>
      </c>
      <c r="AW3458" s="15" t="n">
        <v>12</v>
      </c>
      <c r="BS3458" s="15" t="n">
        <v>12</v>
      </c>
      <c r="CO3458" s="15" t="n">
        <v>12</v>
      </c>
      <c r="DK3458" s="15" t="n">
        <v>12</v>
      </c>
      <c r="EG3458" s="15" t="n">
        <v>12</v>
      </c>
      <c r="FC3458" s="15" t="n">
        <v>12</v>
      </c>
      <c r="FY3458" s="15" t="n">
        <v>12</v>
      </c>
      <c r="GU3458" s="15" t="n">
        <v>12</v>
      </c>
    </row>
    <row r="3459">
      <c r="C3459" s="15" t="n">
        <v>13</v>
      </c>
      <c r="AA3459" s="15" t="n">
        <v>13</v>
      </c>
      <c r="AW3459" s="15" t="n">
        <v>13</v>
      </c>
      <c r="BS3459" s="15" t="n">
        <v>13</v>
      </c>
      <c r="CO3459" s="15" t="n">
        <v>13</v>
      </c>
      <c r="DK3459" s="15" t="n">
        <v>13</v>
      </c>
      <c r="EG3459" s="15" t="n">
        <v>13</v>
      </c>
      <c r="FC3459" s="15" t="n">
        <v>13</v>
      </c>
      <c r="FY3459" s="15" t="n">
        <v>13</v>
      </c>
      <c r="GU3459" s="15" t="n">
        <v>13</v>
      </c>
    </row>
    <row r="3460">
      <c r="C3460" s="15" t="n">
        <v>14</v>
      </c>
      <c r="AA3460" s="15" t="n">
        <v>14</v>
      </c>
      <c r="AW3460" s="15" t="n">
        <v>14</v>
      </c>
      <c r="BS3460" s="15" t="n">
        <v>14</v>
      </c>
      <c r="CO3460" s="15" t="n">
        <v>14</v>
      </c>
      <c r="DK3460" s="15" t="n">
        <v>14</v>
      </c>
      <c r="EG3460" s="15" t="n">
        <v>14</v>
      </c>
      <c r="FC3460" s="15" t="n">
        <v>14</v>
      </c>
      <c r="FY3460" s="15" t="n">
        <v>14</v>
      </c>
      <c r="GU3460" s="15" t="n">
        <v>14</v>
      </c>
    </row>
    <row r="3461">
      <c r="C3461" s="15" t="n">
        <v>15</v>
      </c>
      <c r="AA3461" s="15" t="n">
        <v>15</v>
      </c>
      <c r="AW3461" s="15" t="n">
        <v>15</v>
      </c>
      <c r="BS3461" s="15" t="n">
        <v>15</v>
      </c>
      <c r="CO3461" s="15" t="n">
        <v>15</v>
      </c>
      <c r="DK3461" s="15" t="n">
        <v>15</v>
      </c>
      <c r="EG3461" s="15" t="n">
        <v>15</v>
      </c>
      <c r="FC3461" s="15" t="n">
        <v>15</v>
      </c>
      <c r="FY3461" s="15" t="n">
        <v>15</v>
      </c>
      <c r="GU3461" s="15" t="n">
        <v>15</v>
      </c>
    </row>
    <row r="3462">
      <c r="C3462" s="15" t="n">
        <v>16</v>
      </c>
      <c r="AA3462" s="15" t="n">
        <v>16</v>
      </c>
      <c r="AW3462" s="15" t="n">
        <v>16</v>
      </c>
      <c r="BS3462" s="15" t="n">
        <v>16</v>
      </c>
      <c r="CO3462" s="15" t="n">
        <v>16</v>
      </c>
      <c r="DK3462" s="15" t="n">
        <v>16</v>
      </c>
      <c r="EG3462" s="15" t="n">
        <v>16</v>
      </c>
      <c r="FC3462" s="15" t="n">
        <v>16</v>
      </c>
      <c r="FY3462" s="15" t="n">
        <v>16</v>
      </c>
      <c r="GU3462" s="15" t="n">
        <v>16</v>
      </c>
    </row>
    <row r="3463">
      <c r="C3463" s="15" t="n">
        <v>17</v>
      </c>
      <c r="AA3463" s="15" t="n">
        <v>17</v>
      </c>
      <c r="AW3463" s="15" t="n">
        <v>17</v>
      </c>
      <c r="BS3463" s="15" t="n">
        <v>17</v>
      </c>
      <c r="CO3463" s="15" t="n">
        <v>17</v>
      </c>
      <c r="DK3463" s="15" t="n">
        <v>17</v>
      </c>
      <c r="EG3463" s="15" t="n">
        <v>17</v>
      </c>
      <c r="FC3463" s="15" t="n">
        <v>17</v>
      </c>
      <c r="FY3463" s="15" t="n">
        <v>17</v>
      </c>
      <c r="GU3463" s="15" t="n">
        <v>17</v>
      </c>
    </row>
    <row r="3464">
      <c r="C3464" s="15" t="n">
        <v>18</v>
      </c>
      <c r="AA3464" s="15" t="n">
        <v>18</v>
      </c>
      <c r="AW3464" s="15" t="n">
        <v>18</v>
      </c>
      <c r="BS3464" s="15" t="n">
        <v>18</v>
      </c>
      <c r="CO3464" s="15" t="n">
        <v>18</v>
      </c>
      <c r="DK3464" s="15" t="n">
        <v>18</v>
      </c>
      <c r="EG3464" s="15" t="n">
        <v>18</v>
      </c>
      <c r="FC3464" s="15" t="n">
        <v>18</v>
      </c>
      <c r="FY3464" s="15" t="n">
        <v>18</v>
      </c>
      <c r="GU3464" s="15" t="n">
        <v>18</v>
      </c>
    </row>
    <row r="3465">
      <c r="C3465" s="15" t="n">
        <v>19</v>
      </c>
      <c r="AA3465" s="15" t="n">
        <v>19</v>
      </c>
      <c r="AW3465" s="15" t="n">
        <v>19</v>
      </c>
      <c r="BS3465" s="15" t="n">
        <v>19</v>
      </c>
      <c r="CO3465" s="15" t="n">
        <v>19</v>
      </c>
      <c r="DK3465" s="15" t="n">
        <v>19</v>
      </c>
      <c r="EG3465" s="15" t="n">
        <v>19</v>
      </c>
      <c r="FC3465" s="15" t="n">
        <v>19</v>
      </c>
      <c r="FY3465" s="15" t="n">
        <v>19</v>
      </c>
      <c r="GU3465" s="15" t="n">
        <v>19</v>
      </c>
    </row>
    <row r="3466">
      <c r="C3466" s="15" t="n">
        <v>20</v>
      </c>
      <c r="AA3466" s="15" t="n">
        <v>20</v>
      </c>
      <c r="AW3466" s="15" t="n">
        <v>20</v>
      </c>
      <c r="BS3466" s="15" t="n">
        <v>20</v>
      </c>
      <c r="CO3466" s="15" t="n">
        <v>20</v>
      </c>
      <c r="DK3466" s="15" t="n">
        <v>20</v>
      </c>
      <c r="EG3466" s="15" t="n">
        <v>20</v>
      </c>
      <c r="FC3466" s="15" t="n">
        <v>20</v>
      </c>
      <c r="FY3466" s="15" t="n">
        <v>20</v>
      </c>
      <c r="GU3466" s="15" t="n">
        <v>20</v>
      </c>
    </row>
    <row r="3467">
      <c r="C3467" s="15" t="n">
        <v>21</v>
      </c>
      <c r="AA3467" s="15" t="n">
        <v>21</v>
      </c>
      <c r="AW3467" s="15" t="n">
        <v>21</v>
      </c>
      <c r="BS3467" s="15" t="n">
        <v>21</v>
      </c>
      <c r="CO3467" s="15" t="n">
        <v>21</v>
      </c>
      <c r="DK3467" s="15" t="n">
        <v>21</v>
      </c>
      <c r="EG3467" s="15" t="n">
        <v>21</v>
      </c>
      <c r="FC3467" s="15" t="n">
        <v>21</v>
      </c>
      <c r="FY3467" s="15" t="n">
        <v>21</v>
      </c>
      <c r="GU3467" s="15" t="n">
        <v>21</v>
      </c>
    </row>
    <row r="3468">
      <c r="C3468" s="15" t="n">
        <v>22</v>
      </c>
      <c r="AA3468" s="15" t="n">
        <v>22</v>
      </c>
      <c r="AW3468" s="15" t="n">
        <v>22</v>
      </c>
      <c r="BS3468" s="15" t="n">
        <v>22</v>
      </c>
      <c r="CO3468" s="15" t="n">
        <v>22</v>
      </c>
      <c r="DK3468" s="15" t="n">
        <v>22</v>
      </c>
      <c r="EG3468" s="15" t="n">
        <v>22</v>
      </c>
      <c r="FC3468" s="15" t="n">
        <v>22</v>
      </c>
      <c r="FY3468" s="15" t="n">
        <v>22</v>
      </c>
      <c r="GU3468" s="15" t="n">
        <v>22</v>
      </c>
    </row>
    <row r="3469">
      <c r="C3469" s="15" t="n">
        <v>23</v>
      </c>
      <c r="AA3469" s="15" t="n">
        <v>23</v>
      </c>
      <c r="AW3469" s="15" t="n">
        <v>23</v>
      </c>
      <c r="BS3469" s="15" t="n">
        <v>23</v>
      </c>
      <c r="CO3469" s="15" t="n">
        <v>23</v>
      </c>
      <c r="DK3469" s="15" t="n">
        <v>23</v>
      </c>
      <c r="EG3469" s="15" t="n">
        <v>23</v>
      </c>
      <c r="FC3469" s="15" t="n">
        <v>23</v>
      </c>
      <c r="FY3469" s="15" t="n">
        <v>23</v>
      </c>
      <c r="GU3469" s="15" t="n">
        <v>23</v>
      </c>
    </row>
    <row r="3470">
      <c r="C3470" s="15" t="n">
        <v>24</v>
      </c>
      <c r="AA3470" s="15" t="n">
        <v>24</v>
      </c>
      <c r="AW3470" s="15" t="n">
        <v>24</v>
      </c>
      <c r="BS3470" s="15" t="n">
        <v>24</v>
      </c>
      <c r="CO3470" s="15" t="n">
        <v>24</v>
      </c>
      <c r="DK3470" s="15" t="n">
        <v>24</v>
      </c>
      <c r="EG3470" s="15" t="n">
        <v>24</v>
      </c>
      <c r="FC3470" s="15" t="n">
        <v>24</v>
      </c>
      <c r="FY3470" s="15" t="n">
        <v>24</v>
      </c>
      <c r="GU3470" s="15" t="n">
        <v>24</v>
      </c>
    </row>
    <row r="3471">
      <c r="C3471" s="15" t="n">
        <v>25</v>
      </c>
      <c r="AA3471" s="15" t="n">
        <v>25</v>
      </c>
      <c r="AW3471" s="15" t="n">
        <v>25</v>
      </c>
      <c r="BS3471" s="15" t="n">
        <v>25</v>
      </c>
      <c r="CO3471" s="15" t="n">
        <v>25</v>
      </c>
      <c r="DK3471" s="15" t="n">
        <v>25</v>
      </c>
      <c r="EG3471" s="15" t="n">
        <v>25</v>
      </c>
      <c r="FC3471" s="15" t="n">
        <v>25</v>
      </c>
      <c r="FY3471" s="15" t="n">
        <v>25</v>
      </c>
      <c r="GU3471" s="15" t="n">
        <v>25</v>
      </c>
    </row>
    <row r="3472">
      <c r="C3472" s="15" t="n">
        <v>26</v>
      </c>
      <c r="AA3472" s="15" t="n">
        <v>26</v>
      </c>
      <c r="AW3472" s="15" t="n">
        <v>26</v>
      </c>
      <c r="BS3472" s="15" t="n">
        <v>26</v>
      </c>
      <c r="CO3472" s="15" t="n">
        <v>26</v>
      </c>
      <c r="DK3472" s="15" t="n">
        <v>26</v>
      </c>
      <c r="EG3472" s="15" t="n">
        <v>26</v>
      </c>
      <c r="FC3472" s="15" t="n">
        <v>26</v>
      </c>
      <c r="FY3472" s="15" t="n">
        <v>26</v>
      </c>
      <c r="GU3472" s="15" t="n">
        <v>26</v>
      </c>
    </row>
    <row r="3473">
      <c r="C3473" s="15" t="n">
        <v>27</v>
      </c>
      <c r="AA3473" s="15" t="n">
        <v>27</v>
      </c>
      <c r="AW3473" s="15" t="n">
        <v>27</v>
      </c>
      <c r="BS3473" s="15" t="n">
        <v>27</v>
      </c>
      <c r="CO3473" s="15" t="n">
        <v>27</v>
      </c>
      <c r="DK3473" s="15" t="n">
        <v>27</v>
      </c>
      <c r="EG3473" s="15" t="n">
        <v>27</v>
      </c>
      <c r="FC3473" s="15" t="n">
        <v>27</v>
      </c>
      <c r="FY3473" s="15" t="n">
        <v>27</v>
      </c>
      <c r="GU3473" s="15" t="n">
        <v>27</v>
      </c>
    </row>
    <row r="3474">
      <c r="C3474" s="15" t="n">
        <v>28</v>
      </c>
      <c r="AA3474" s="15" t="n">
        <v>28</v>
      </c>
      <c r="AW3474" s="15" t="n">
        <v>28</v>
      </c>
      <c r="BS3474" s="15" t="n">
        <v>28</v>
      </c>
      <c r="CO3474" s="15" t="n">
        <v>28</v>
      </c>
      <c r="DK3474" s="15" t="n">
        <v>28</v>
      </c>
      <c r="EG3474" s="15" t="n">
        <v>28</v>
      </c>
      <c r="FC3474" s="15" t="n">
        <v>28</v>
      </c>
      <c r="FY3474" s="15" t="n">
        <v>28</v>
      </c>
      <c r="GU3474" s="15" t="n">
        <v>28</v>
      </c>
    </row>
    <row r="3475">
      <c r="C3475" s="15" t="n">
        <v>29</v>
      </c>
      <c r="AA3475" s="15" t="n">
        <v>29</v>
      </c>
      <c r="AW3475" s="15" t="n">
        <v>29</v>
      </c>
      <c r="BS3475" s="15" t="n">
        <v>29</v>
      </c>
      <c r="CO3475" s="15" t="n">
        <v>29</v>
      </c>
      <c r="DK3475" s="15" t="n">
        <v>29</v>
      </c>
      <c r="EG3475" s="15" t="n">
        <v>29</v>
      </c>
      <c r="FC3475" s="15" t="n">
        <v>29</v>
      </c>
      <c r="FY3475" s="15" t="n">
        <v>29</v>
      </c>
      <c r="GU3475" s="15" t="n">
        <v>29</v>
      </c>
    </row>
    <row r="3476">
      <c r="C3476" s="15" t="n">
        <v>30</v>
      </c>
      <c r="AA3476" s="15" t="n">
        <v>30</v>
      </c>
      <c r="AW3476" s="15" t="n">
        <v>30</v>
      </c>
      <c r="BS3476" s="15" t="n">
        <v>30</v>
      </c>
      <c r="CO3476" s="15" t="n">
        <v>30</v>
      </c>
      <c r="DK3476" s="15" t="n">
        <v>30</v>
      </c>
      <c r="EG3476" s="15" t="n">
        <v>30</v>
      </c>
      <c r="FC3476" s="15" t="n">
        <v>30</v>
      </c>
      <c r="FY3476" s="15" t="n">
        <v>30</v>
      </c>
      <c r="GU3476" s="15" t="n">
        <v>30</v>
      </c>
    </row>
    <row r="3477">
      <c r="C3477" s="15" t="n">
        <v>31</v>
      </c>
      <c r="AA3477" s="15" t="n">
        <v>31</v>
      </c>
      <c r="AW3477" s="15" t="n">
        <v>31</v>
      </c>
      <c r="BS3477" s="15" t="n">
        <v>31</v>
      </c>
      <c r="CO3477" s="15" t="n">
        <v>31</v>
      </c>
      <c r="DK3477" s="15" t="n">
        <v>31</v>
      </c>
      <c r="EG3477" s="15" t="n">
        <v>31</v>
      </c>
      <c r="FC3477" s="15" t="n">
        <v>31</v>
      </c>
      <c r="FY3477" s="15" t="n">
        <v>31</v>
      </c>
      <c r="GU3477" s="15" t="n">
        <v>31</v>
      </c>
    </row>
    <row r="3478">
      <c r="C3478" s="15" t="n">
        <v>32</v>
      </c>
      <c r="AA3478" s="15" t="n">
        <v>32</v>
      </c>
      <c r="AW3478" s="15" t="n">
        <v>32</v>
      </c>
      <c r="BS3478" s="15" t="n">
        <v>32</v>
      </c>
      <c r="CO3478" s="15" t="n">
        <v>32</v>
      </c>
      <c r="DK3478" s="15" t="n">
        <v>32</v>
      </c>
      <c r="EG3478" s="15" t="n">
        <v>32</v>
      </c>
      <c r="FC3478" s="15" t="n">
        <v>32</v>
      </c>
      <c r="FY3478" s="15" t="n">
        <v>32</v>
      </c>
      <c r="GU3478" s="15" t="n">
        <v>32</v>
      </c>
    </row>
    <row r="3479">
      <c r="C3479" s="15" t="n">
        <v>33</v>
      </c>
      <c r="AA3479" s="15" t="n">
        <v>33</v>
      </c>
      <c r="AW3479" s="15" t="n">
        <v>33</v>
      </c>
      <c r="BS3479" s="15" t="n">
        <v>33</v>
      </c>
      <c r="CO3479" s="15" t="n">
        <v>33</v>
      </c>
      <c r="DK3479" s="15" t="n">
        <v>33</v>
      </c>
      <c r="EG3479" s="15" t="n">
        <v>33</v>
      </c>
      <c r="FC3479" s="15" t="n">
        <v>33</v>
      </c>
      <c r="FY3479" s="15" t="n">
        <v>33</v>
      </c>
      <c r="GU3479" s="15" t="n">
        <v>33</v>
      </c>
    </row>
    <row r="3480">
      <c r="C3480" s="15" t="n">
        <v>34</v>
      </c>
      <c r="AA3480" s="15" t="n">
        <v>34</v>
      </c>
      <c r="AW3480" s="15" t="n">
        <v>34</v>
      </c>
      <c r="BS3480" s="15" t="n">
        <v>34</v>
      </c>
      <c r="CO3480" s="15" t="n">
        <v>34</v>
      </c>
      <c r="DK3480" s="15" t="n">
        <v>34</v>
      </c>
      <c r="EG3480" s="15" t="n">
        <v>34</v>
      </c>
      <c r="FC3480" s="15" t="n">
        <v>34</v>
      </c>
      <c r="FY3480" s="15" t="n">
        <v>34</v>
      </c>
      <c r="GU3480" s="15" t="n">
        <v>34</v>
      </c>
    </row>
    <row r="3481">
      <c r="C3481" s="15" t="n">
        <v>35</v>
      </c>
      <c r="AA3481" s="15" t="n">
        <v>35</v>
      </c>
      <c r="AW3481" s="15" t="n">
        <v>35</v>
      </c>
      <c r="BS3481" s="15" t="n">
        <v>35</v>
      </c>
      <c r="CO3481" s="15" t="n">
        <v>35</v>
      </c>
      <c r="DK3481" s="15" t="n">
        <v>35</v>
      </c>
      <c r="EG3481" s="15" t="n">
        <v>35</v>
      </c>
      <c r="FC3481" s="15" t="n">
        <v>35</v>
      </c>
      <c r="FY3481" s="15" t="n">
        <v>35</v>
      </c>
      <c r="GU3481" s="15" t="n">
        <v>35</v>
      </c>
    </row>
    <row r="3482">
      <c r="C3482" s="15" t="n">
        <v>36</v>
      </c>
      <c r="AA3482" s="15" t="n">
        <v>36</v>
      </c>
      <c r="AW3482" s="15" t="n">
        <v>36</v>
      </c>
      <c r="BS3482" s="15" t="n">
        <v>36</v>
      </c>
      <c r="CO3482" s="15" t="n">
        <v>36</v>
      </c>
      <c r="DK3482" s="15" t="n">
        <v>36</v>
      </c>
      <c r="EG3482" s="15" t="n">
        <v>36</v>
      </c>
      <c r="FC3482" s="15" t="n">
        <v>36</v>
      </c>
      <c r="FY3482" s="15" t="n">
        <v>36</v>
      </c>
      <c r="GU3482" s="15" t="n">
        <v>36</v>
      </c>
    </row>
    <row r="3483">
      <c r="C3483" s="15" t="n">
        <v>37</v>
      </c>
      <c r="AA3483" s="15" t="n">
        <v>37</v>
      </c>
      <c r="AW3483" s="15" t="n">
        <v>37</v>
      </c>
      <c r="BS3483" s="15" t="n">
        <v>37</v>
      </c>
      <c r="CO3483" s="15" t="n">
        <v>37</v>
      </c>
      <c r="DK3483" s="15" t="n">
        <v>37</v>
      </c>
      <c r="EG3483" s="15" t="n">
        <v>37</v>
      </c>
      <c r="FC3483" s="15" t="n">
        <v>37</v>
      </c>
      <c r="FY3483" s="15" t="n">
        <v>37</v>
      </c>
      <c r="GU3483" s="15" t="n">
        <v>37</v>
      </c>
    </row>
    <row r="3484">
      <c r="C3484" s="15" t="n">
        <v>38</v>
      </c>
      <c r="AA3484" s="15" t="n">
        <v>38</v>
      </c>
      <c r="AW3484" s="15" t="n">
        <v>38</v>
      </c>
      <c r="BS3484" s="15" t="n">
        <v>38</v>
      </c>
      <c r="CO3484" s="15" t="n">
        <v>38</v>
      </c>
      <c r="DK3484" s="15" t="n">
        <v>38</v>
      </c>
      <c r="EG3484" s="15" t="n">
        <v>38</v>
      </c>
      <c r="FC3484" s="15" t="n">
        <v>38</v>
      </c>
      <c r="FY3484" s="15" t="n">
        <v>38</v>
      </c>
      <c r="GU3484" s="15" t="n">
        <v>38</v>
      </c>
    </row>
    <row r="3485">
      <c r="C3485" s="15" t="n">
        <v>39</v>
      </c>
      <c r="AA3485" s="15" t="n">
        <v>39</v>
      </c>
      <c r="AW3485" s="15" t="n">
        <v>39</v>
      </c>
      <c r="BS3485" s="15" t="n">
        <v>39</v>
      </c>
      <c r="CO3485" s="15" t="n">
        <v>39</v>
      </c>
      <c r="DK3485" s="15" t="n">
        <v>39</v>
      </c>
      <c r="EG3485" s="15" t="n">
        <v>39</v>
      </c>
      <c r="FC3485" s="15" t="n">
        <v>39</v>
      </c>
      <c r="FY3485" s="15" t="n">
        <v>39</v>
      </c>
      <c r="GU3485" s="15" t="n">
        <v>39</v>
      </c>
    </row>
    <row r="3486">
      <c r="C3486" s="15" t="n">
        <v>40</v>
      </c>
      <c r="AA3486" s="15" t="n">
        <v>40</v>
      </c>
      <c r="AW3486" s="15" t="n">
        <v>40</v>
      </c>
      <c r="BS3486" s="15" t="n">
        <v>40</v>
      </c>
      <c r="CO3486" s="15" t="n">
        <v>40</v>
      </c>
      <c r="DK3486" s="15" t="n">
        <v>40</v>
      </c>
      <c r="EG3486" s="15" t="n">
        <v>40</v>
      </c>
      <c r="FC3486" s="15" t="n">
        <v>40</v>
      </c>
      <c r="FY3486" s="15" t="n">
        <v>40</v>
      </c>
      <c r="GU3486" s="15" t="n">
        <v>40</v>
      </c>
    </row>
    <row r="3487">
      <c r="C3487" s="15" t="n">
        <v>41</v>
      </c>
      <c r="AA3487" s="15" t="n">
        <v>41</v>
      </c>
      <c r="AW3487" s="15" t="n">
        <v>41</v>
      </c>
      <c r="BS3487" s="15" t="n">
        <v>41</v>
      </c>
      <c r="CO3487" s="15" t="n">
        <v>41</v>
      </c>
      <c r="DK3487" s="15" t="n">
        <v>41</v>
      </c>
      <c r="EG3487" s="15" t="n">
        <v>41</v>
      </c>
      <c r="FC3487" s="15" t="n">
        <v>41</v>
      </c>
      <c r="FY3487" s="15" t="n">
        <v>41</v>
      </c>
      <c r="GU3487" s="15" t="n">
        <v>41</v>
      </c>
    </row>
    <row r="3488">
      <c r="C3488" s="15" t="n">
        <v>42</v>
      </c>
      <c r="AA3488" s="15" t="n">
        <v>42</v>
      </c>
      <c r="AW3488" s="15" t="n">
        <v>42</v>
      </c>
      <c r="BS3488" s="15" t="n">
        <v>42</v>
      </c>
      <c r="CO3488" s="15" t="n">
        <v>42</v>
      </c>
      <c r="DK3488" s="15" t="n">
        <v>42</v>
      </c>
      <c r="EG3488" s="15" t="n">
        <v>42</v>
      </c>
      <c r="FC3488" s="15" t="n">
        <v>42</v>
      </c>
      <c r="FY3488" s="15" t="n">
        <v>42</v>
      </c>
      <c r="GU3488" s="15" t="n">
        <v>42</v>
      </c>
    </row>
    <row r="3489">
      <c r="C3489" s="15" t="n">
        <v>43</v>
      </c>
      <c r="AA3489" s="15" t="n">
        <v>43</v>
      </c>
      <c r="AW3489" s="15" t="n">
        <v>43</v>
      </c>
      <c r="BS3489" s="15" t="n">
        <v>43</v>
      </c>
      <c r="CO3489" s="15" t="n">
        <v>43</v>
      </c>
      <c r="DK3489" s="15" t="n">
        <v>43</v>
      </c>
      <c r="EG3489" s="15" t="n">
        <v>43</v>
      </c>
      <c r="FC3489" s="15" t="n">
        <v>43</v>
      </c>
      <c r="FY3489" s="15" t="n">
        <v>43</v>
      </c>
      <c r="GU3489" s="15" t="n">
        <v>43</v>
      </c>
    </row>
    <row r="3490">
      <c r="C3490" s="15" t="n">
        <v>44</v>
      </c>
      <c r="AA3490" s="15" t="n">
        <v>44</v>
      </c>
      <c r="AW3490" s="15" t="n">
        <v>44</v>
      </c>
      <c r="BS3490" s="15" t="n">
        <v>44</v>
      </c>
      <c r="CO3490" s="15" t="n">
        <v>44</v>
      </c>
      <c r="DK3490" s="15" t="n">
        <v>44</v>
      </c>
      <c r="EG3490" s="15" t="n">
        <v>44</v>
      </c>
      <c r="FC3490" s="15" t="n">
        <v>44</v>
      </c>
      <c r="FY3490" s="15" t="n">
        <v>44</v>
      </c>
      <c r="GU3490" s="15" t="n">
        <v>44</v>
      </c>
    </row>
    <row r="3491">
      <c r="C3491" s="15" t="n">
        <v>45</v>
      </c>
      <c r="AA3491" s="15" t="n">
        <v>45</v>
      </c>
      <c r="AW3491" s="15" t="n">
        <v>45</v>
      </c>
      <c r="BS3491" s="15" t="n">
        <v>45</v>
      </c>
      <c r="CO3491" s="15" t="n">
        <v>45</v>
      </c>
      <c r="DK3491" s="15" t="n">
        <v>45</v>
      </c>
      <c r="EG3491" s="15" t="n">
        <v>45</v>
      </c>
      <c r="FC3491" s="15" t="n">
        <v>45</v>
      </c>
      <c r="FY3491" s="15" t="n">
        <v>45</v>
      </c>
      <c r="GU3491" s="15" t="n">
        <v>45</v>
      </c>
    </row>
    <row r="3492">
      <c r="C3492" s="15" t="n">
        <v>46</v>
      </c>
      <c r="AA3492" s="15" t="n">
        <v>46</v>
      </c>
      <c r="AW3492" s="15" t="n">
        <v>46</v>
      </c>
      <c r="BS3492" s="15" t="n">
        <v>46</v>
      </c>
      <c r="CO3492" s="15" t="n">
        <v>46</v>
      </c>
      <c r="DK3492" s="15" t="n">
        <v>46</v>
      </c>
      <c r="EG3492" s="15" t="n">
        <v>46</v>
      </c>
      <c r="FC3492" s="15" t="n">
        <v>46</v>
      </c>
      <c r="FY3492" s="15" t="n">
        <v>46</v>
      </c>
      <c r="GU3492" s="15" t="n">
        <v>46</v>
      </c>
    </row>
    <row r="3493">
      <c r="C3493" s="15" t="n">
        <v>47</v>
      </c>
      <c r="AA3493" s="15" t="n">
        <v>47</v>
      </c>
      <c r="AW3493" s="15" t="n">
        <v>47</v>
      </c>
      <c r="BS3493" s="15" t="n">
        <v>47</v>
      </c>
      <c r="CO3493" s="15" t="n">
        <v>47</v>
      </c>
      <c r="DK3493" s="15" t="n">
        <v>47</v>
      </c>
      <c r="EG3493" s="15" t="n">
        <v>47</v>
      </c>
      <c r="FC3493" s="15" t="n">
        <v>47</v>
      </c>
      <c r="FY3493" s="15" t="n">
        <v>47</v>
      </c>
      <c r="GU3493" s="15" t="n">
        <v>47</v>
      </c>
    </row>
    <row r="3494">
      <c r="C3494" s="15" t="n">
        <v>48</v>
      </c>
      <c r="AA3494" s="15" t="n">
        <v>48</v>
      </c>
      <c r="AW3494" s="15" t="n">
        <v>48</v>
      </c>
      <c r="BS3494" s="15" t="n">
        <v>48</v>
      </c>
      <c r="CO3494" s="15" t="n">
        <v>48</v>
      </c>
      <c r="DK3494" s="15" t="n">
        <v>48</v>
      </c>
      <c r="EG3494" s="15" t="n">
        <v>48</v>
      </c>
      <c r="FC3494" s="15" t="n">
        <v>48</v>
      </c>
      <c r="FY3494" s="15" t="n">
        <v>48</v>
      </c>
      <c r="GU3494" s="15" t="n">
        <v>48</v>
      </c>
    </row>
    <row r="3495">
      <c r="C3495" s="15" t="n">
        <v>49</v>
      </c>
      <c r="AA3495" s="15" t="n">
        <v>49</v>
      </c>
      <c r="AW3495" s="15" t="n">
        <v>49</v>
      </c>
      <c r="BS3495" s="15" t="n">
        <v>49</v>
      </c>
      <c r="CO3495" s="15" t="n">
        <v>49</v>
      </c>
      <c r="DK3495" s="15" t="n">
        <v>49</v>
      </c>
      <c r="EG3495" s="15" t="n">
        <v>49</v>
      </c>
      <c r="FC3495" s="15" t="n">
        <v>49</v>
      </c>
      <c r="FY3495" s="15" t="n">
        <v>49</v>
      </c>
      <c r="GU3495" s="15" t="n">
        <v>49</v>
      </c>
    </row>
    <row r="3496">
      <c r="C3496" s="15" t="n">
        <v>50</v>
      </c>
      <c r="AA3496" s="15" t="n">
        <v>50</v>
      </c>
      <c r="AW3496" s="15" t="n">
        <v>50</v>
      </c>
      <c r="BS3496" s="15" t="n">
        <v>50</v>
      </c>
      <c r="CO3496" s="15" t="n">
        <v>50</v>
      </c>
      <c r="DK3496" s="15" t="n">
        <v>50</v>
      </c>
      <c r="EG3496" s="15" t="n">
        <v>50</v>
      </c>
      <c r="FC3496" s="15" t="n">
        <v>50</v>
      </c>
      <c r="FY3496" s="15" t="n">
        <v>50</v>
      </c>
      <c r="GU3496" s="15" t="n">
        <v>50</v>
      </c>
    </row>
    <row r="3497">
      <c r="C3497" s="15" t="n">
        <v>51</v>
      </c>
      <c r="AA3497" s="15" t="n">
        <v>51</v>
      </c>
      <c r="AW3497" s="15" t="n">
        <v>51</v>
      </c>
      <c r="BS3497" s="15" t="n">
        <v>51</v>
      </c>
      <c r="CO3497" s="15" t="n">
        <v>51</v>
      </c>
      <c r="DK3497" s="15" t="n">
        <v>51</v>
      </c>
      <c r="EG3497" s="15" t="n">
        <v>51</v>
      </c>
      <c r="FC3497" s="15" t="n">
        <v>51</v>
      </c>
      <c r="FY3497" s="15" t="n">
        <v>51</v>
      </c>
      <c r="GU3497" s="15" t="n">
        <v>51</v>
      </c>
    </row>
    <row r="3498">
      <c r="C3498" s="15" t="n">
        <v>52</v>
      </c>
      <c r="AA3498" s="15" t="n">
        <v>52</v>
      </c>
      <c r="AW3498" s="15" t="n">
        <v>52</v>
      </c>
      <c r="BS3498" s="15" t="n">
        <v>52</v>
      </c>
      <c r="CO3498" s="15" t="n">
        <v>52</v>
      </c>
      <c r="DK3498" s="15" t="n">
        <v>52</v>
      </c>
      <c r="EG3498" s="15" t="n">
        <v>52</v>
      </c>
      <c r="FC3498" s="15" t="n">
        <v>52</v>
      </c>
      <c r="FY3498" s="15" t="n">
        <v>52</v>
      </c>
      <c r="GU3498" s="15" t="n">
        <v>52</v>
      </c>
    </row>
    <row r="3499">
      <c r="C3499" s="15" t="n">
        <v>53</v>
      </c>
      <c r="AA3499" s="15" t="n">
        <v>53</v>
      </c>
      <c r="AW3499" s="15" t="n">
        <v>53</v>
      </c>
      <c r="BS3499" s="15" t="n">
        <v>53</v>
      </c>
      <c r="CO3499" s="15" t="n">
        <v>53</v>
      </c>
      <c r="DK3499" s="15" t="n">
        <v>53</v>
      </c>
      <c r="EG3499" s="15" t="n">
        <v>53</v>
      </c>
      <c r="FC3499" s="15" t="n">
        <v>53</v>
      </c>
      <c r="FY3499" s="15" t="n">
        <v>53</v>
      </c>
      <c r="GU3499" s="15" t="n">
        <v>53</v>
      </c>
    </row>
    <row r="3500">
      <c r="C3500" s="15" t="n">
        <v>54</v>
      </c>
      <c r="AA3500" s="15" t="n">
        <v>54</v>
      </c>
      <c r="AW3500" s="15" t="n">
        <v>54</v>
      </c>
      <c r="BS3500" s="15" t="n">
        <v>54</v>
      </c>
      <c r="CO3500" s="15" t="n">
        <v>54</v>
      </c>
      <c r="DK3500" s="15" t="n">
        <v>54</v>
      </c>
      <c r="EG3500" s="15" t="n">
        <v>54</v>
      </c>
      <c r="FC3500" s="15" t="n">
        <v>54</v>
      </c>
      <c r="FY3500" s="15" t="n">
        <v>54</v>
      </c>
      <c r="GU3500" s="15" t="n">
        <v>54</v>
      </c>
    </row>
    <row r="3501">
      <c r="C3501" s="15" t="n">
        <v>55</v>
      </c>
      <c r="AA3501" s="15" t="n">
        <v>55</v>
      </c>
      <c r="AW3501" s="15" t="n">
        <v>55</v>
      </c>
      <c r="BS3501" s="15" t="n">
        <v>55</v>
      </c>
      <c r="CO3501" s="15" t="n">
        <v>55</v>
      </c>
      <c r="DK3501" s="15" t="n">
        <v>55</v>
      </c>
      <c r="EG3501" s="15" t="n">
        <v>55</v>
      </c>
      <c r="FC3501" s="15" t="n">
        <v>55</v>
      </c>
      <c r="FY3501" s="15" t="n">
        <v>55</v>
      </c>
      <c r="GU3501" s="15" t="n">
        <v>55</v>
      </c>
    </row>
    <row r="3502">
      <c r="C3502" s="15" t="n">
        <v>56</v>
      </c>
      <c r="AA3502" s="15" t="n">
        <v>56</v>
      </c>
      <c r="AW3502" s="15" t="n">
        <v>56</v>
      </c>
      <c r="BS3502" s="15" t="n">
        <v>56</v>
      </c>
      <c r="CO3502" s="15" t="n">
        <v>56</v>
      </c>
      <c r="DK3502" s="15" t="n">
        <v>56</v>
      </c>
      <c r="EG3502" s="15" t="n">
        <v>56</v>
      </c>
      <c r="FC3502" s="15" t="n">
        <v>56</v>
      </c>
      <c r="FY3502" s="15" t="n">
        <v>56</v>
      </c>
      <c r="GU3502" s="15" t="n">
        <v>56</v>
      </c>
    </row>
    <row r="3503">
      <c r="C3503" s="15" t="n">
        <v>57</v>
      </c>
      <c r="AA3503" s="15" t="n">
        <v>57</v>
      </c>
      <c r="AW3503" s="15" t="n">
        <v>57</v>
      </c>
      <c r="BS3503" s="15" t="n">
        <v>57</v>
      </c>
      <c r="CO3503" s="15" t="n">
        <v>57</v>
      </c>
      <c r="DK3503" s="15" t="n">
        <v>57</v>
      </c>
      <c r="EG3503" s="15" t="n">
        <v>57</v>
      </c>
      <c r="FC3503" s="15" t="n">
        <v>57</v>
      </c>
      <c r="FY3503" s="15" t="n">
        <v>57</v>
      </c>
      <c r="GU3503" s="15" t="n">
        <v>57</v>
      </c>
    </row>
    <row r="3504">
      <c r="C3504" s="15" t="n">
        <v>58</v>
      </c>
      <c r="AA3504" s="15" t="n">
        <v>58</v>
      </c>
      <c r="AW3504" s="15" t="n">
        <v>58</v>
      </c>
      <c r="BS3504" s="15" t="n">
        <v>58</v>
      </c>
      <c r="CO3504" s="15" t="n">
        <v>58</v>
      </c>
      <c r="DK3504" s="15" t="n">
        <v>58</v>
      </c>
      <c r="EG3504" s="15" t="n">
        <v>58</v>
      </c>
      <c r="FC3504" s="15" t="n">
        <v>58</v>
      </c>
      <c r="FY3504" s="15" t="n">
        <v>58</v>
      </c>
      <c r="GU3504" s="15" t="n">
        <v>58</v>
      </c>
    </row>
    <row r="3505">
      <c r="C3505" s="15" t="n">
        <v>59</v>
      </c>
      <c r="AA3505" s="15" t="n">
        <v>59</v>
      </c>
      <c r="AW3505" s="15" t="n">
        <v>59</v>
      </c>
      <c r="BS3505" s="15" t="n">
        <v>59</v>
      </c>
      <c r="CO3505" s="15" t="n">
        <v>59</v>
      </c>
      <c r="DK3505" s="15" t="n">
        <v>59</v>
      </c>
      <c r="EG3505" s="15" t="n">
        <v>59</v>
      </c>
      <c r="FC3505" s="15" t="n">
        <v>59</v>
      </c>
      <c r="FY3505" s="15" t="n">
        <v>59</v>
      </c>
      <c r="GU3505" s="15" t="n">
        <v>59</v>
      </c>
    </row>
    <row r="3506">
      <c r="C3506" s="15" t="n">
        <v>60</v>
      </c>
      <c r="AA3506" s="15" t="n">
        <v>60</v>
      </c>
      <c r="AW3506" s="15" t="n">
        <v>60</v>
      </c>
      <c r="BS3506" s="15" t="n">
        <v>60</v>
      </c>
      <c r="CO3506" s="15" t="n">
        <v>60</v>
      </c>
      <c r="DK3506" s="15" t="n">
        <v>60</v>
      </c>
      <c r="EG3506" s="15" t="n">
        <v>60</v>
      </c>
      <c r="FC3506" s="15" t="n">
        <v>60</v>
      </c>
      <c r="FY3506" s="15" t="n">
        <v>60</v>
      </c>
      <c r="GU3506" s="15" t="n">
        <v>60</v>
      </c>
    </row>
    <row r="3507">
      <c r="C3507" s="15" t="n">
        <v>61</v>
      </c>
      <c r="AA3507" s="15" t="n">
        <v>61</v>
      </c>
      <c r="AW3507" s="15" t="n">
        <v>61</v>
      </c>
      <c r="BS3507" s="15" t="n">
        <v>61</v>
      </c>
      <c r="CO3507" s="15" t="n">
        <v>61</v>
      </c>
      <c r="DK3507" s="15" t="n">
        <v>61</v>
      </c>
      <c r="EG3507" s="15" t="n">
        <v>61</v>
      </c>
      <c r="FC3507" s="15" t="n">
        <v>61</v>
      </c>
      <c r="FY3507" s="15" t="n">
        <v>61</v>
      </c>
      <c r="GU3507" s="15" t="n">
        <v>61</v>
      </c>
    </row>
    <row r="3508">
      <c r="C3508" s="15" t="n">
        <v>62</v>
      </c>
      <c r="AA3508" s="15" t="n">
        <v>62</v>
      </c>
      <c r="AW3508" s="15" t="n">
        <v>62</v>
      </c>
      <c r="BS3508" s="15" t="n">
        <v>62</v>
      </c>
      <c r="CO3508" s="15" t="n">
        <v>62</v>
      </c>
      <c r="DK3508" s="15" t="n">
        <v>62</v>
      </c>
      <c r="EG3508" s="15" t="n">
        <v>62</v>
      </c>
      <c r="FC3508" s="15" t="n">
        <v>62</v>
      </c>
      <c r="FY3508" s="15" t="n">
        <v>62</v>
      </c>
      <c r="GU3508" s="15" t="n">
        <v>62</v>
      </c>
    </row>
    <row r="3509">
      <c r="C3509" s="15" t="n">
        <v>63</v>
      </c>
      <c r="AA3509" s="15" t="n">
        <v>63</v>
      </c>
      <c r="AW3509" s="15" t="n">
        <v>63</v>
      </c>
      <c r="BS3509" s="15" t="n">
        <v>63</v>
      </c>
      <c r="CO3509" s="15" t="n">
        <v>63</v>
      </c>
      <c r="DK3509" s="15" t="n">
        <v>63</v>
      </c>
      <c r="EG3509" s="15" t="n">
        <v>63</v>
      </c>
      <c r="FC3509" s="15" t="n">
        <v>63</v>
      </c>
      <c r="FY3509" s="15" t="n">
        <v>63</v>
      </c>
      <c r="GU3509" s="15" t="n">
        <v>63</v>
      </c>
    </row>
    <row r="3510">
      <c r="C3510" s="15" t="n">
        <v>64</v>
      </c>
      <c r="AA3510" s="15" t="n">
        <v>64</v>
      </c>
      <c r="AW3510" s="15" t="n">
        <v>64</v>
      </c>
      <c r="BS3510" s="15" t="n">
        <v>64</v>
      </c>
      <c r="CO3510" s="15" t="n">
        <v>64</v>
      </c>
      <c r="DK3510" s="15" t="n">
        <v>64</v>
      </c>
      <c r="EG3510" s="15" t="n">
        <v>64</v>
      </c>
      <c r="FC3510" s="15" t="n">
        <v>64</v>
      </c>
      <c r="FY3510" s="15" t="n">
        <v>64</v>
      </c>
      <c r="GU3510" s="15" t="n">
        <v>64</v>
      </c>
    </row>
    <row r="3511">
      <c r="C3511" s="15" t="n">
        <v>65</v>
      </c>
      <c r="AA3511" s="15" t="n">
        <v>65</v>
      </c>
      <c r="AW3511" s="15" t="n">
        <v>65</v>
      </c>
      <c r="BS3511" s="15" t="n">
        <v>65</v>
      </c>
      <c r="CO3511" s="15" t="n">
        <v>65</v>
      </c>
      <c r="DK3511" s="15" t="n">
        <v>65</v>
      </c>
      <c r="EG3511" s="15" t="n">
        <v>65</v>
      </c>
      <c r="FC3511" s="15" t="n">
        <v>65</v>
      </c>
      <c r="FY3511" s="15" t="n">
        <v>65</v>
      </c>
      <c r="GU3511" s="15" t="n">
        <v>65</v>
      </c>
    </row>
    <row r="3512">
      <c r="C3512" s="15" t="n">
        <v>66</v>
      </c>
      <c r="AA3512" s="15" t="n">
        <v>66</v>
      </c>
      <c r="AW3512" s="15" t="n">
        <v>66</v>
      </c>
      <c r="BS3512" s="15" t="n">
        <v>66</v>
      </c>
      <c r="CO3512" s="15" t="n">
        <v>66</v>
      </c>
      <c r="DK3512" s="15" t="n">
        <v>66</v>
      </c>
      <c r="EG3512" s="15" t="n">
        <v>66</v>
      </c>
      <c r="FC3512" s="15" t="n">
        <v>66</v>
      </c>
      <c r="FY3512" s="15" t="n">
        <v>66</v>
      </c>
      <c r="GU3512" s="15" t="n">
        <v>66</v>
      </c>
    </row>
    <row r="3513">
      <c r="C3513" s="15" t="n">
        <v>67</v>
      </c>
      <c r="AA3513" s="15" t="n">
        <v>67</v>
      </c>
      <c r="AW3513" s="15" t="n">
        <v>67</v>
      </c>
      <c r="BS3513" s="15" t="n">
        <v>67</v>
      </c>
      <c r="CO3513" s="15" t="n">
        <v>67</v>
      </c>
      <c r="DK3513" s="15" t="n">
        <v>67</v>
      </c>
      <c r="EG3513" s="15" t="n">
        <v>67</v>
      </c>
      <c r="FC3513" s="15" t="n">
        <v>67</v>
      </c>
      <c r="FY3513" s="15" t="n">
        <v>67</v>
      </c>
      <c r="GU3513" s="15" t="n">
        <v>67</v>
      </c>
    </row>
    <row r="3514">
      <c r="C3514" s="15" t="n">
        <v>68</v>
      </c>
      <c r="AA3514" s="15" t="n">
        <v>68</v>
      </c>
      <c r="AW3514" s="15" t="n">
        <v>68</v>
      </c>
      <c r="BS3514" s="15" t="n">
        <v>68</v>
      </c>
      <c r="CO3514" s="15" t="n">
        <v>68</v>
      </c>
      <c r="DK3514" s="15" t="n">
        <v>68</v>
      </c>
      <c r="EG3514" s="15" t="n">
        <v>68</v>
      </c>
      <c r="FC3514" s="15" t="n">
        <v>68</v>
      </c>
      <c r="FY3514" s="15" t="n">
        <v>68</v>
      </c>
      <c r="GU3514" s="15" t="n">
        <v>68</v>
      </c>
    </row>
    <row r="3515">
      <c r="C3515" s="15" t="n">
        <v>69</v>
      </c>
      <c r="AA3515" s="15" t="n">
        <v>69</v>
      </c>
      <c r="AW3515" s="15" t="n">
        <v>69</v>
      </c>
      <c r="BS3515" s="15" t="n">
        <v>69</v>
      </c>
      <c r="CO3515" s="15" t="n">
        <v>69</v>
      </c>
      <c r="DK3515" s="15" t="n">
        <v>69</v>
      </c>
      <c r="EG3515" s="15" t="n">
        <v>69</v>
      </c>
      <c r="FC3515" s="15" t="n">
        <v>69</v>
      </c>
      <c r="FY3515" s="15" t="n">
        <v>69</v>
      </c>
      <c r="GU3515" s="15" t="n">
        <v>69</v>
      </c>
    </row>
    <row r="3516">
      <c r="C3516" s="15" t="n">
        <v>70</v>
      </c>
      <c r="AA3516" s="15" t="n">
        <v>70</v>
      </c>
      <c r="AW3516" s="15" t="n">
        <v>70</v>
      </c>
      <c r="BS3516" s="15" t="n">
        <v>70</v>
      </c>
      <c r="CO3516" s="15" t="n">
        <v>70</v>
      </c>
      <c r="DK3516" s="15" t="n">
        <v>70</v>
      </c>
      <c r="EG3516" s="15" t="n">
        <v>70</v>
      </c>
      <c r="FC3516" s="15" t="n">
        <v>70</v>
      </c>
      <c r="FY3516" s="15" t="n">
        <v>70</v>
      </c>
      <c r="GU3516" s="15" t="n">
        <v>70</v>
      </c>
    </row>
    <row r="3517">
      <c r="C3517" s="15" t="n">
        <v>71</v>
      </c>
      <c r="AA3517" s="15" t="n">
        <v>71</v>
      </c>
      <c r="AW3517" s="15" t="n">
        <v>71</v>
      </c>
      <c r="BS3517" s="15" t="n">
        <v>71</v>
      </c>
      <c r="CO3517" s="15" t="n">
        <v>71</v>
      </c>
      <c r="DK3517" s="15" t="n">
        <v>71</v>
      </c>
      <c r="EG3517" s="15" t="n">
        <v>71</v>
      </c>
      <c r="FC3517" s="15" t="n">
        <v>71</v>
      </c>
      <c r="FY3517" s="15" t="n">
        <v>71</v>
      </c>
      <c r="GU3517" s="15" t="n">
        <v>71</v>
      </c>
    </row>
    <row r="3518">
      <c r="C3518" s="15" t="n">
        <v>72</v>
      </c>
      <c r="AA3518" s="15" t="n">
        <v>72</v>
      </c>
      <c r="AW3518" s="15" t="n">
        <v>72</v>
      </c>
      <c r="BS3518" s="15" t="n">
        <v>72</v>
      </c>
      <c r="CO3518" s="15" t="n">
        <v>72</v>
      </c>
      <c r="DK3518" s="15" t="n">
        <v>72</v>
      </c>
      <c r="EG3518" s="15" t="n">
        <v>72</v>
      </c>
      <c r="FC3518" s="15" t="n">
        <v>72</v>
      </c>
      <c r="FY3518" s="15" t="n">
        <v>72</v>
      </c>
      <c r="GU3518" s="15" t="n">
        <v>72</v>
      </c>
    </row>
    <row r="3519">
      <c r="C3519" s="15" t="n">
        <v>73</v>
      </c>
      <c r="AA3519" s="15" t="n">
        <v>73</v>
      </c>
      <c r="AW3519" s="15" t="n">
        <v>73</v>
      </c>
      <c r="BS3519" s="15" t="n">
        <v>73</v>
      </c>
      <c r="CO3519" s="15" t="n">
        <v>73</v>
      </c>
      <c r="DK3519" s="15" t="n">
        <v>73</v>
      </c>
      <c r="EG3519" s="15" t="n">
        <v>73</v>
      </c>
      <c r="FC3519" s="15" t="n">
        <v>73</v>
      </c>
      <c r="FY3519" s="15" t="n">
        <v>73</v>
      </c>
      <c r="GU3519" s="15" t="n">
        <v>73</v>
      </c>
    </row>
    <row r="3520">
      <c r="C3520" s="15" t="n">
        <v>74</v>
      </c>
      <c r="AA3520" s="15" t="n">
        <v>74</v>
      </c>
      <c r="AW3520" s="15" t="n">
        <v>74</v>
      </c>
      <c r="BS3520" s="15" t="n">
        <v>74</v>
      </c>
      <c r="CO3520" s="15" t="n">
        <v>74</v>
      </c>
      <c r="DK3520" s="15" t="n">
        <v>74</v>
      </c>
      <c r="EG3520" s="15" t="n">
        <v>74</v>
      </c>
      <c r="FC3520" s="15" t="n">
        <v>74</v>
      </c>
      <c r="FY3520" s="15" t="n">
        <v>74</v>
      </c>
      <c r="GU3520" s="15" t="n">
        <v>74</v>
      </c>
    </row>
    <row r="3521">
      <c r="C3521" s="15" t="n">
        <v>75</v>
      </c>
      <c r="AA3521" s="15" t="n">
        <v>75</v>
      </c>
      <c r="AW3521" s="15" t="n">
        <v>75</v>
      </c>
      <c r="BS3521" s="15" t="n">
        <v>75</v>
      </c>
      <c r="CO3521" s="15" t="n">
        <v>75</v>
      </c>
      <c r="DK3521" s="15" t="n">
        <v>75</v>
      </c>
      <c r="EG3521" s="15" t="n">
        <v>75</v>
      </c>
      <c r="FC3521" s="15" t="n">
        <v>75</v>
      </c>
      <c r="FY3521" s="15" t="n">
        <v>75</v>
      </c>
      <c r="GU3521" s="15" t="n">
        <v>75</v>
      </c>
    </row>
    <row r="3522">
      <c r="C3522" s="15" t="n">
        <v>76</v>
      </c>
      <c r="AA3522" s="15" t="n">
        <v>76</v>
      </c>
      <c r="AW3522" s="15" t="n">
        <v>76</v>
      </c>
      <c r="BS3522" s="15" t="n">
        <v>76</v>
      </c>
      <c r="CO3522" s="15" t="n">
        <v>76</v>
      </c>
      <c r="DK3522" s="15" t="n">
        <v>76</v>
      </c>
      <c r="EG3522" s="15" t="n">
        <v>76</v>
      </c>
      <c r="FC3522" s="15" t="n">
        <v>76</v>
      </c>
      <c r="FY3522" s="15" t="n">
        <v>76</v>
      </c>
      <c r="GU3522" s="15" t="n">
        <v>76</v>
      </c>
    </row>
    <row r="3523">
      <c r="C3523" s="15" t="n">
        <v>77</v>
      </c>
      <c r="AA3523" s="15" t="n">
        <v>77</v>
      </c>
      <c r="AW3523" s="15" t="n">
        <v>77</v>
      </c>
      <c r="BS3523" s="15" t="n">
        <v>77</v>
      </c>
      <c r="CO3523" s="15" t="n">
        <v>77</v>
      </c>
      <c r="DK3523" s="15" t="n">
        <v>77</v>
      </c>
      <c r="EG3523" s="15" t="n">
        <v>77</v>
      </c>
      <c r="FC3523" s="15" t="n">
        <v>77</v>
      </c>
      <c r="FY3523" s="15" t="n">
        <v>77</v>
      </c>
      <c r="GU3523" s="15" t="n">
        <v>77</v>
      </c>
    </row>
    <row r="3524">
      <c r="C3524" s="15" t="n">
        <v>78</v>
      </c>
      <c r="AA3524" s="15" t="n">
        <v>78</v>
      </c>
      <c r="AW3524" s="15" t="n">
        <v>78</v>
      </c>
      <c r="BS3524" s="15" t="n">
        <v>78</v>
      </c>
      <c r="CO3524" s="15" t="n">
        <v>78</v>
      </c>
      <c r="DK3524" s="15" t="n">
        <v>78</v>
      </c>
      <c r="EG3524" s="15" t="n">
        <v>78</v>
      </c>
      <c r="FC3524" s="15" t="n">
        <v>78</v>
      </c>
      <c r="FY3524" s="15" t="n">
        <v>78</v>
      </c>
      <c r="GU3524" s="15" t="n">
        <v>78</v>
      </c>
    </row>
    <row r="3525">
      <c r="C3525" s="15" t="n">
        <v>79</v>
      </c>
      <c r="AA3525" s="15" t="n">
        <v>79</v>
      </c>
      <c r="AW3525" s="15" t="n">
        <v>79</v>
      </c>
      <c r="BS3525" s="15" t="n">
        <v>79</v>
      </c>
      <c r="CO3525" s="15" t="n">
        <v>79</v>
      </c>
      <c r="DK3525" s="15" t="n">
        <v>79</v>
      </c>
      <c r="EG3525" s="15" t="n">
        <v>79</v>
      </c>
      <c r="FC3525" s="15" t="n">
        <v>79</v>
      </c>
      <c r="FY3525" s="15" t="n">
        <v>79</v>
      </c>
      <c r="GU3525" s="15" t="n">
        <v>79</v>
      </c>
    </row>
    <row r="3526">
      <c r="C3526" s="15" t="n">
        <v>80</v>
      </c>
      <c r="AA3526" s="15" t="n">
        <v>80</v>
      </c>
      <c r="AW3526" s="15" t="n">
        <v>80</v>
      </c>
      <c r="BS3526" s="15" t="n">
        <v>80</v>
      </c>
      <c r="CO3526" s="15" t="n">
        <v>80</v>
      </c>
      <c r="DK3526" s="15" t="n">
        <v>80</v>
      </c>
      <c r="EG3526" s="15" t="n">
        <v>80</v>
      </c>
      <c r="FC3526" s="15" t="n">
        <v>80</v>
      </c>
      <c r="FY3526" s="15" t="n">
        <v>80</v>
      </c>
      <c r="GU3526" s="15" t="n">
        <v>80</v>
      </c>
    </row>
    <row r="3527">
      <c r="C3527" s="15" t="n">
        <v>81</v>
      </c>
      <c r="AA3527" s="15" t="n">
        <v>81</v>
      </c>
      <c r="AW3527" s="15" t="n">
        <v>81</v>
      </c>
      <c r="BS3527" s="15" t="n">
        <v>81</v>
      </c>
      <c r="CO3527" s="15" t="n">
        <v>81</v>
      </c>
      <c r="DK3527" s="15" t="n">
        <v>81</v>
      </c>
      <c r="EG3527" s="15" t="n">
        <v>81</v>
      </c>
      <c r="FC3527" s="15" t="n">
        <v>81</v>
      </c>
      <c r="FY3527" s="15" t="n">
        <v>81</v>
      </c>
      <c r="GU3527" s="15" t="n">
        <v>81</v>
      </c>
    </row>
    <row r="3528">
      <c r="C3528" s="15" t="n">
        <v>82</v>
      </c>
      <c r="AA3528" s="15" t="n">
        <v>82</v>
      </c>
      <c r="AW3528" s="15" t="n">
        <v>82</v>
      </c>
      <c r="BS3528" s="15" t="n">
        <v>82</v>
      </c>
      <c r="CO3528" s="15" t="n">
        <v>82</v>
      </c>
      <c r="DK3528" s="15" t="n">
        <v>82</v>
      </c>
      <c r="EG3528" s="15" t="n">
        <v>82</v>
      </c>
      <c r="FC3528" s="15" t="n">
        <v>82</v>
      </c>
      <c r="FY3528" s="15" t="n">
        <v>82</v>
      </c>
      <c r="GU3528" s="15" t="n">
        <v>82</v>
      </c>
    </row>
    <row r="3529">
      <c r="C3529" s="15" t="n">
        <v>83</v>
      </c>
      <c r="AA3529" s="15" t="n">
        <v>83</v>
      </c>
      <c r="AW3529" s="15" t="n">
        <v>83</v>
      </c>
      <c r="BS3529" s="15" t="n">
        <v>83</v>
      </c>
      <c r="CO3529" s="15" t="n">
        <v>83</v>
      </c>
      <c r="DK3529" s="15" t="n">
        <v>83</v>
      </c>
      <c r="EG3529" s="15" t="n">
        <v>83</v>
      </c>
      <c r="FC3529" s="15" t="n">
        <v>83</v>
      </c>
      <c r="FY3529" s="15" t="n">
        <v>83</v>
      </c>
      <c r="GU3529" s="15" t="n">
        <v>83</v>
      </c>
    </row>
    <row r="3530">
      <c r="C3530" s="15" t="n">
        <v>84</v>
      </c>
      <c r="AA3530" s="15" t="n">
        <v>84</v>
      </c>
      <c r="AW3530" s="15" t="n">
        <v>84</v>
      </c>
      <c r="BS3530" s="15" t="n">
        <v>84</v>
      </c>
      <c r="CO3530" s="15" t="n">
        <v>84</v>
      </c>
      <c r="DK3530" s="15" t="n">
        <v>84</v>
      </c>
      <c r="EG3530" s="15" t="n">
        <v>84</v>
      </c>
      <c r="FC3530" s="15" t="n">
        <v>84</v>
      </c>
      <c r="FY3530" s="15" t="n">
        <v>84</v>
      </c>
      <c r="GU3530" s="15" t="n">
        <v>84</v>
      </c>
    </row>
    <row r="3531">
      <c r="C3531" s="15" t="n">
        <v>85</v>
      </c>
      <c r="AA3531" s="15" t="n">
        <v>85</v>
      </c>
      <c r="AW3531" s="15" t="n">
        <v>85</v>
      </c>
      <c r="BS3531" s="15" t="n">
        <v>85</v>
      </c>
      <c r="CO3531" s="15" t="n">
        <v>85</v>
      </c>
      <c r="DK3531" s="15" t="n">
        <v>85</v>
      </c>
      <c r="EG3531" s="15" t="n">
        <v>85</v>
      </c>
      <c r="FC3531" s="15" t="n">
        <v>85</v>
      </c>
      <c r="FY3531" s="15" t="n">
        <v>85</v>
      </c>
      <c r="GU3531" s="15" t="n">
        <v>85</v>
      </c>
    </row>
    <row r="3532">
      <c r="C3532" s="15" t="n">
        <v>86</v>
      </c>
      <c r="AA3532" s="15" t="n">
        <v>86</v>
      </c>
      <c r="AW3532" s="15" t="n">
        <v>86</v>
      </c>
      <c r="BS3532" s="15" t="n">
        <v>86</v>
      </c>
      <c r="CO3532" s="15" t="n">
        <v>86</v>
      </c>
      <c r="DK3532" s="15" t="n">
        <v>86</v>
      </c>
      <c r="EG3532" s="15" t="n">
        <v>86</v>
      </c>
      <c r="FC3532" s="15" t="n">
        <v>86</v>
      </c>
      <c r="FY3532" s="15" t="n">
        <v>86</v>
      </c>
      <c r="GU3532" s="15" t="n">
        <v>86</v>
      </c>
    </row>
    <row r="3533">
      <c r="C3533" s="15" t="n">
        <v>87</v>
      </c>
      <c r="AA3533" s="15" t="n">
        <v>87</v>
      </c>
      <c r="AW3533" s="15" t="n">
        <v>87</v>
      </c>
      <c r="BS3533" s="15" t="n">
        <v>87</v>
      </c>
      <c r="CO3533" s="15" t="n">
        <v>87</v>
      </c>
      <c r="DK3533" s="15" t="n">
        <v>87</v>
      </c>
      <c r="EG3533" s="15" t="n">
        <v>87</v>
      </c>
      <c r="FC3533" s="15" t="n">
        <v>87</v>
      </c>
      <c r="FY3533" s="15" t="n">
        <v>87</v>
      </c>
      <c r="GU3533" s="15" t="n">
        <v>87</v>
      </c>
    </row>
    <row r="3534">
      <c r="C3534" s="15" t="n">
        <v>88</v>
      </c>
      <c r="AA3534" s="15" t="n">
        <v>88</v>
      </c>
      <c r="AW3534" s="15" t="n">
        <v>88</v>
      </c>
      <c r="BS3534" s="15" t="n">
        <v>88</v>
      </c>
      <c r="CO3534" s="15" t="n">
        <v>88</v>
      </c>
      <c r="DK3534" s="15" t="n">
        <v>88</v>
      </c>
      <c r="EG3534" s="15" t="n">
        <v>88</v>
      </c>
      <c r="FC3534" s="15" t="n">
        <v>88</v>
      </c>
      <c r="FY3534" s="15" t="n">
        <v>88</v>
      </c>
      <c r="GU3534" s="15" t="n">
        <v>88</v>
      </c>
    </row>
    <row r="3535">
      <c r="C3535" s="15" t="n">
        <v>89</v>
      </c>
      <c r="AA3535" s="15" t="n">
        <v>89</v>
      </c>
      <c r="AW3535" s="15" t="n">
        <v>89</v>
      </c>
      <c r="BS3535" s="15" t="n">
        <v>89</v>
      </c>
      <c r="CO3535" s="15" t="n">
        <v>89</v>
      </c>
      <c r="DK3535" s="15" t="n">
        <v>89</v>
      </c>
      <c r="EG3535" s="15" t="n">
        <v>89</v>
      </c>
      <c r="FC3535" s="15" t="n">
        <v>89</v>
      </c>
      <c r="FY3535" s="15" t="n">
        <v>89</v>
      </c>
      <c r="GU3535" s="15" t="n">
        <v>89</v>
      </c>
    </row>
    <row r="3536">
      <c r="C3536" s="15" t="n">
        <v>90</v>
      </c>
      <c r="AA3536" s="15" t="n">
        <v>90</v>
      </c>
      <c r="AW3536" s="15" t="n">
        <v>90</v>
      </c>
      <c r="BS3536" s="15" t="n">
        <v>90</v>
      </c>
      <c r="CO3536" s="15" t="n">
        <v>90</v>
      </c>
      <c r="DK3536" s="15" t="n">
        <v>90</v>
      </c>
      <c r="EG3536" s="15" t="n">
        <v>90</v>
      </c>
      <c r="FC3536" s="15" t="n">
        <v>90</v>
      </c>
      <c r="FY3536" s="15" t="n">
        <v>90</v>
      </c>
      <c r="GU3536" s="15" t="n">
        <v>90</v>
      </c>
    </row>
    <row r="3537">
      <c r="C3537" s="15" t="n">
        <v>91</v>
      </c>
      <c r="AA3537" s="15" t="n">
        <v>91</v>
      </c>
      <c r="AW3537" s="15" t="n">
        <v>91</v>
      </c>
      <c r="BS3537" s="15" t="n">
        <v>91</v>
      </c>
      <c r="CO3537" s="15" t="n">
        <v>91</v>
      </c>
      <c r="DK3537" s="15" t="n">
        <v>91</v>
      </c>
      <c r="EG3537" s="15" t="n">
        <v>91</v>
      </c>
      <c r="FC3537" s="15" t="n">
        <v>91</v>
      </c>
      <c r="FY3537" s="15" t="n">
        <v>91</v>
      </c>
      <c r="GU3537" s="15" t="n">
        <v>91</v>
      </c>
    </row>
    <row r="3538">
      <c r="C3538" s="15" t="n">
        <v>92</v>
      </c>
      <c r="AA3538" s="15" t="n">
        <v>92</v>
      </c>
      <c r="AW3538" s="15" t="n">
        <v>92</v>
      </c>
      <c r="BS3538" s="15" t="n">
        <v>92</v>
      </c>
      <c r="CO3538" s="15" t="n">
        <v>92</v>
      </c>
      <c r="DK3538" s="15" t="n">
        <v>92</v>
      </c>
      <c r="EG3538" s="15" t="n">
        <v>92</v>
      </c>
      <c r="FC3538" s="15" t="n">
        <v>92</v>
      </c>
      <c r="FY3538" s="15" t="n">
        <v>92</v>
      </c>
      <c r="GU3538" s="15" t="n">
        <v>92</v>
      </c>
    </row>
    <row r="3539">
      <c r="C3539" s="15" t="n">
        <v>93</v>
      </c>
      <c r="AA3539" s="15" t="n">
        <v>93</v>
      </c>
      <c r="AW3539" s="15" t="n">
        <v>93</v>
      </c>
      <c r="BS3539" s="15" t="n">
        <v>93</v>
      </c>
      <c r="CO3539" s="15" t="n">
        <v>93</v>
      </c>
      <c r="DK3539" s="15" t="n">
        <v>93</v>
      </c>
      <c r="EG3539" s="15" t="n">
        <v>93</v>
      </c>
      <c r="FC3539" s="15" t="n">
        <v>93</v>
      </c>
      <c r="FY3539" s="15" t="n">
        <v>93</v>
      </c>
      <c r="GU3539" s="15" t="n">
        <v>93</v>
      </c>
    </row>
    <row r="3540">
      <c r="C3540" s="15" t="n">
        <v>94</v>
      </c>
      <c r="AA3540" s="15" t="n">
        <v>94</v>
      </c>
      <c r="AW3540" s="15" t="n">
        <v>94</v>
      </c>
      <c r="BS3540" s="15" t="n">
        <v>94</v>
      </c>
      <c r="CO3540" s="15" t="n">
        <v>94</v>
      </c>
      <c r="DK3540" s="15" t="n">
        <v>94</v>
      </c>
      <c r="EG3540" s="15" t="n">
        <v>94</v>
      </c>
      <c r="FC3540" s="15" t="n">
        <v>94</v>
      </c>
      <c r="FY3540" s="15" t="n">
        <v>94</v>
      </c>
      <c r="GU3540" s="15" t="n">
        <v>94</v>
      </c>
    </row>
    <row r="3541">
      <c r="C3541" s="15" t="n">
        <v>95</v>
      </c>
      <c r="AA3541" s="15" t="n">
        <v>95</v>
      </c>
      <c r="AW3541" s="15" t="n">
        <v>95</v>
      </c>
      <c r="BS3541" s="15" t="n">
        <v>95</v>
      </c>
      <c r="CO3541" s="15" t="n">
        <v>95</v>
      </c>
      <c r="DK3541" s="15" t="n">
        <v>95</v>
      </c>
      <c r="EG3541" s="15" t="n">
        <v>95</v>
      </c>
      <c r="FC3541" s="15" t="n">
        <v>95</v>
      </c>
      <c r="FY3541" s="15" t="n">
        <v>95</v>
      </c>
      <c r="GU3541" s="15" t="n">
        <v>95</v>
      </c>
    </row>
    <row r="3542">
      <c r="C3542" s="15" t="n">
        <v>96</v>
      </c>
      <c r="AA3542" s="15" t="n">
        <v>96</v>
      </c>
      <c r="AW3542" s="15" t="n">
        <v>96</v>
      </c>
      <c r="BS3542" s="15" t="n">
        <v>96</v>
      </c>
      <c r="CO3542" s="15" t="n">
        <v>96</v>
      </c>
      <c r="DK3542" s="15" t="n">
        <v>96</v>
      </c>
      <c r="EG3542" s="15" t="n">
        <v>96</v>
      </c>
      <c r="FC3542" s="15" t="n">
        <v>96</v>
      </c>
      <c r="FY3542" s="15" t="n">
        <v>96</v>
      </c>
      <c r="GU3542" s="15" t="n">
        <v>96</v>
      </c>
    </row>
    <row r="3543">
      <c r="C3543" s="15" t="n">
        <v>97</v>
      </c>
      <c r="AA3543" s="15" t="n">
        <v>97</v>
      </c>
      <c r="AW3543" s="15" t="n">
        <v>97</v>
      </c>
      <c r="BS3543" s="15" t="n">
        <v>97</v>
      </c>
      <c r="CO3543" s="15" t="n">
        <v>97</v>
      </c>
      <c r="DK3543" s="15" t="n">
        <v>97</v>
      </c>
      <c r="EG3543" s="15" t="n">
        <v>97</v>
      </c>
      <c r="FC3543" s="15" t="n">
        <v>97</v>
      </c>
      <c r="FY3543" s="15" t="n">
        <v>97</v>
      </c>
      <c r="GU3543" s="15" t="n">
        <v>97</v>
      </c>
    </row>
    <row r="3544">
      <c r="C3544" s="15" t="n">
        <v>98</v>
      </c>
      <c r="AA3544" s="15" t="n">
        <v>98</v>
      </c>
      <c r="AW3544" s="15" t="n">
        <v>98</v>
      </c>
      <c r="BS3544" s="15" t="n">
        <v>98</v>
      </c>
      <c r="CO3544" s="15" t="n">
        <v>98</v>
      </c>
      <c r="DK3544" s="15" t="n">
        <v>98</v>
      </c>
      <c r="EG3544" s="15" t="n">
        <v>98</v>
      </c>
      <c r="FC3544" s="15" t="n">
        <v>98</v>
      </c>
      <c r="FY3544" s="15" t="n">
        <v>98</v>
      </c>
      <c r="GU3544" s="15" t="n">
        <v>98</v>
      </c>
    </row>
    <row r="3545">
      <c r="C3545" s="15" t="n">
        <v>99</v>
      </c>
      <c r="AA3545" s="15" t="n">
        <v>99</v>
      </c>
      <c r="AW3545" s="15" t="n">
        <v>99</v>
      </c>
      <c r="BS3545" s="15" t="n">
        <v>99</v>
      </c>
      <c r="CO3545" s="15" t="n">
        <v>99</v>
      </c>
      <c r="DK3545" s="15" t="n">
        <v>99</v>
      </c>
      <c r="EG3545" s="15" t="n">
        <v>99</v>
      </c>
      <c r="FC3545" s="15" t="n">
        <v>99</v>
      </c>
      <c r="FY3545" s="15" t="n">
        <v>99</v>
      </c>
      <c r="GU3545" s="15" t="n">
        <v>99</v>
      </c>
    </row>
    <row r="3546">
      <c r="C3546" s="15" t="n">
        <v>100</v>
      </c>
      <c r="AA3546" s="15" t="n">
        <v>100</v>
      </c>
      <c r="AW3546" s="15" t="n">
        <v>100</v>
      </c>
      <c r="BS3546" s="15" t="n">
        <v>100</v>
      </c>
      <c r="CO3546" s="15" t="n">
        <v>100</v>
      </c>
      <c r="DK3546" s="15" t="n">
        <v>100</v>
      </c>
      <c r="EG3546" s="15" t="n">
        <v>100</v>
      </c>
      <c r="FC3546" s="15" t="n">
        <v>100</v>
      </c>
      <c r="FY3546" s="15" t="n">
        <v>100</v>
      </c>
      <c r="GU3546" s="15" t="n">
        <v>100</v>
      </c>
    </row>
    <row r="3547">
      <c r="C3547" s="15" t="n">
        <v>101</v>
      </c>
      <c r="AA3547" s="15" t="n">
        <v>101</v>
      </c>
      <c r="AW3547" s="15" t="n">
        <v>101</v>
      </c>
      <c r="BS3547" s="15" t="n">
        <v>101</v>
      </c>
      <c r="CO3547" s="15" t="n">
        <v>101</v>
      </c>
      <c r="DK3547" s="15" t="n">
        <v>101</v>
      </c>
      <c r="EG3547" s="15" t="n">
        <v>101</v>
      </c>
      <c r="FC3547" s="15" t="n">
        <v>101</v>
      </c>
      <c r="FY3547" s="15" t="n">
        <v>101</v>
      </c>
      <c r="GU3547" s="15" t="n">
        <v>101</v>
      </c>
    </row>
    <row r="3548">
      <c r="C3548" s="15" t="n">
        <v>102</v>
      </c>
      <c r="AA3548" s="15" t="n">
        <v>102</v>
      </c>
      <c r="AW3548" s="15" t="n">
        <v>102</v>
      </c>
      <c r="BS3548" s="15" t="n">
        <v>102</v>
      </c>
      <c r="CO3548" s="15" t="n">
        <v>102</v>
      </c>
      <c r="DK3548" s="15" t="n">
        <v>102</v>
      </c>
      <c r="EG3548" s="15" t="n">
        <v>102</v>
      </c>
      <c r="FC3548" s="15" t="n">
        <v>102</v>
      </c>
      <c r="FY3548" s="15" t="n">
        <v>102</v>
      </c>
      <c r="GU3548" s="15" t="n">
        <v>102</v>
      </c>
    </row>
    <row r="3549">
      <c r="C3549" s="15" t="n">
        <v>103</v>
      </c>
      <c r="AA3549" s="15" t="n">
        <v>103</v>
      </c>
      <c r="AW3549" s="15" t="n">
        <v>103</v>
      </c>
      <c r="BS3549" s="15" t="n">
        <v>103</v>
      </c>
      <c r="CO3549" s="15" t="n">
        <v>103</v>
      </c>
      <c r="DK3549" s="15" t="n">
        <v>103</v>
      </c>
      <c r="EG3549" s="15" t="n">
        <v>103</v>
      </c>
      <c r="FC3549" s="15" t="n">
        <v>103</v>
      </c>
      <c r="FY3549" s="15" t="n">
        <v>103</v>
      </c>
      <c r="GU3549" s="15" t="n">
        <v>103</v>
      </c>
    </row>
    <row r="3550">
      <c r="C3550" s="15" t="n">
        <v>104</v>
      </c>
      <c r="AA3550" s="15" t="n">
        <v>104</v>
      </c>
      <c r="AW3550" s="15" t="n">
        <v>104</v>
      </c>
      <c r="BS3550" s="15" t="n">
        <v>104</v>
      </c>
      <c r="CO3550" s="15" t="n">
        <v>104</v>
      </c>
      <c r="DK3550" s="15" t="n">
        <v>104</v>
      </c>
      <c r="EG3550" s="15" t="n">
        <v>104</v>
      </c>
      <c r="FC3550" s="15" t="n">
        <v>104</v>
      </c>
      <c r="FY3550" s="15" t="n">
        <v>104</v>
      </c>
      <c r="GU3550" s="15" t="n">
        <v>104</v>
      </c>
    </row>
    <row r="3551">
      <c r="C3551" s="15" t="n">
        <v>105</v>
      </c>
      <c r="AA3551" s="15" t="n">
        <v>105</v>
      </c>
      <c r="AW3551" s="15" t="n">
        <v>105</v>
      </c>
      <c r="BS3551" s="15" t="n">
        <v>105</v>
      </c>
      <c r="CO3551" s="15" t="n">
        <v>105</v>
      </c>
      <c r="DK3551" s="15" t="n">
        <v>105</v>
      </c>
      <c r="EG3551" s="15" t="n">
        <v>105</v>
      </c>
      <c r="FC3551" s="15" t="n">
        <v>105</v>
      </c>
      <c r="FY3551" s="15" t="n">
        <v>105</v>
      </c>
      <c r="GU3551" s="15" t="n">
        <v>105</v>
      </c>
    </row>
    <row r="3552">
      <c r="C3552" s="15" t="n">
        <v>106</v>
      </c>
      <c r="AA3552" s="15" t="n">
        <v>106</v>
      </c>
      <c r="AW3552" s="15" t="n">
        <v>106</v>
      </c>
      <c r="BS3552" s="15" t="n">
        <v>106</v>
      </c>
      <c r="CO3552" s="15" t="n">
        <v>106</v>
      </c>
      <c r="DK3552" s="15" t="n">
        <v>106</v>
      </c>
      <c r="EG3552" s="15" t="n">
        <v>106</v>
      </c>
      <c r="FC3552" s="15" t="n">
        <v>106</v>
      </c>
      <c r="FY3552" s="15" t="n">
        <v>106</v>
      </c>
      <c r="GU3552" s="15" t="n">
        <v>106</v>
      </c>
    </row>
    <row r="3553">
      <c r="C3553" s="15" t="n">
        <v>107</v>
      </c>
      <c r="AA3553" s="15" t="n">
        <v>107</v>
      </c>
      <c r="AW3553" s="15" t="n">
        <v>107</v>
      </c>
      <c r="BS3553" s="15" t="n">
        <v>107</v>
      </c>
      <c r="CO3553" s="15" t="n">
        <v>107</v>
      </c>
      <c r="DK3553" s="15" t="n">
        <v>107</v>
      </c>
      <c r="EG3553" s="15" t="n">
        <v>107</v>
      </c>
      <c r="FC3553" s="15" t="n">
        <v>107</v>
      </c>
      <c r="FY3553" s="15" t="n">
        <v>107</v>
      </c>
      <c r="GU3553" s="15" t="n">
        <v>107</v>
      </c>
    </row>
    <row r="3554">
      <c r="C3554" s="15" t="n">
        <v>108</v>
      </c>
      <c r="AA3554" s="15" t="n">
        <v>108</v>
      </c>
      <c r="AW3554" s="15" t="n">
        <v>108</v>
      </c>
      <c r="BS3554" s="15" t="n">
        <v>108</v>
      </c>
      <c r="CO3554" s="15" t="n">
        <v>108</v>
      </c>
      <c r="DK3554" s="15" t="n">
        <v>108</v>
      </c>
      <c r="EG3554" s="15" t="n">
        <v>108</v>
      </c>
      <c r="FC3554" s="15" t="n">
        <v>108</v>
      </c>
      <c r="FY3554" s="15" t="n">
        <v>108</v>
      </c>
      <c r="GU3554" s="15" t="n">
        <v>108</v>
      </c>
    </row>
    <row r="3555">
      <c r="C3555" s="15" t="n">
        <v>109</v>
      </c>
      <c r="AA3555" s="15" t="n">
        <v>109</v>
      </c>
      <c r="AW3555" s="15" t="n">
        <v>109</v>
      </c>
      <c r="BS3555" s="15" t="n">
        <v>109</v>
      </c>
      <c r="CO3555" s="15" t="n">
        <v>109</v>
      </c>
      <c r="DK3555" s="15" t="n">
        <v>109</v>
      </c>
      <c r="EG3555" s="15" t="n">
        <v>109</v>
      </c>
      <c r="FC3555" s="15" t="n">
        <v>109</v>
      </c>
      <c r="FY3555" s="15" t="n">
        <v>109</v>
      </c>
      <c r="GU3555" s="15" t="n">
        <v>109</v>
      </c>
    </row>
    <row r="3556">
      <c r="C3556" s="15" t="n">
        <v>110</v>
      </c>
      <c r="AA3556" s="15" t="n">
        <v>110</v>
      </c>
      <c r="AW3556" s="15" t="n">
        <v>110</v>
      </c>
      <c r="BS3556" s="15" t="n">
        <v>110</v>
      </c>
      <c r="CO3556" s="15" t="n">
        <v>110</v>
      </c>
      <c r="DK3556" s="15" t="n">
        <v>110</v>
      </c>
      <c r="EG3556" s="15" t="n">
        <v>110</v>
      </c>
      <c r="FC3556" s="15" t="n">
        <v>110</v>
      </c>
      <c r="FY3556" s="15" t="n">
        <v>110</v>
      </c>
      <c r="GU3556" s="15" t="n">
        <v>110</v>
      </c>
    </row>
    <row r="3557">
      <c r="C3557" s="15" t="n">
        <v>111</v>
      </c>
      <c r="AA3557" s="15" t="n">
        <v>111</v>
      </c>
      <c r="AW3557" s="15" t="n">
        <v>111</v>
      </c>
      <c r="BS3557" s="15" t="n">
        <v>111</v>
      </c>
      <c r="CO3557" s="15" t="n">
        <v>111</v>
      </c>
      <c r="DK3557" s="15" t="n">
        <v>111</v>
      </c>
      <c r="EG3557" s="15" t="n">
        <v>111</v>
      </c>
      <c r="FC3557" s="15" t="n">
        <v>111</v>
      </c>
      <c r="FY3557" s="15" t="n">
        <v>111</v>
      </c>
      <c r="GU3557" s="15" t="n">
        <v>111</v>
      </c>
    </row>
    <row r="3558">
      <c r="C3558" s="15" t="n">
        <v>112</v>
      </c>
      <c r="AA3558" s="15" t="n">
        <v>112</v>
      </c>
      <c r="AW3558" s="15" t="n">
        <v>112</v>
      </c>
      <c r="BS3558" s="15" t="n">
        <v>112</v>
      </c>
      <c r="CO3558" s="15" t="n">
        <v>112</v>
      </c>
      <c r="DK3558" s="15" t="n">
        <v>112</v>
      </c>
      <c r="EG3558" s="15" t="n">
        <v>112</v>
      </c>
      <c r="FC3558" s="15" t="n">
        <v>112</v>
      </c>
      <c r="FY3558" s="15" t="n">
        <v>112</v>
      </c>
      <c r="GU3558" s="15" t="n">
        <v>112</v>
      </c>
    </row>
    <row r="3559">
      <c r="C3559" s="15" t="n">
        <v>113</v>
      </c>
      <c r="AA3559" s="15" t="n">
        <v>113</v>
      </c>
      <c r="AW3559" s="15" t="n">
        <v>113</v>
      </c>
      <c r="BS3559" s="15" t="n">
        <v>113</v>
      </c>
      <c r="CO3559" s="15" t="n">
        <v>113</v>
      </c>
      <c r="DK3559" s="15" t="n">
        <v>113</v>
      </c>
      <c r="EG3559" s="15" t="n">
        <v>113</v>
      </c>
      <c r="FC3559" s="15" t="n">
        <v>113</v>
      </c>
      <c r="FY3559" s="15" t="n">
        <v>113</v>
      </c>
      <c r="GU3559" s="15" t="n">
        <v>113</v>
      </c>
    </row>
    <row r="3560">
      <c r="C3560" s="15" t="n">
        <v>114</v>
      </c>
      <c r="AA3560" s="15" t="n">
        <v>114</v>
      </c>
      <c r="AW3560" s="15" t="n">
        <v>114</v>
      </c>
      <c r="BS3560" s="15" t="n">
        <v>114</v>
      </c>
      <c r="CO3560" s="15" t="n">
        <v>114</v>
      </c>
      <c r="DK3560" s="15" t="n">
        <v>114</v>
      </c>
      <c r="EG3560" s="15" t="n">
        <v>114</v>
      </c>
      <c r="FC3560" s="15" t="n">
        <v>114</v>
      </c>
      <c r="FY3560" s="15" t="n">
        <v>114</v>
      </c>
      <c r="GU3560" s="15" t="n">
        <v>114</v>
      </c>
    </row>
    <row r="3561">
      <c r="C3561" s="15" t="n">
        <v>115</v>
      </c>
      <c r="AA3561" s="15" t="n">
        <v>115</v>
      </c>
      <c r="AW3561" s="15" t="n">
        <v>115</v>
      </c>
      <c r="BS3561" s="15" t="n">
        <v>115</v>
      </c>
      <c r="CO3561" s="15" t="n">
        <v>115</v>
      </c>
      <c r="DK3561" s="15" t="n">
        <v>115</v>
      </c>
      <c r="EG3561" s="15" t="n">
        <v>115</v>
      </c>
      <c r="FC3561" s="15" t="n">
        <v>115</v>
      </c>
      <c r="FY3561" s="15" t="n">
        <v>115</v>
      </c>
      <c r="GU3561" s="15" t="n">
        <v>115</v>
      </c>
    </row>
    <row r="3562">
      <c r="C3562" s="15" t="n">
        <v>116</v>
      </c>
      <c r="AA3562" s="15" t="n">
        <v>116</v>
      </c>
      <c r="AW3562" s="15" t="n">
        <v>116</v>
      </c>
      <c r="BS3562" s="15" t="n">
        <v>116</v>
      </c>
      <c r="CO3562" s="15" t="n">
        <v>116</v>
      </c>
      <c r="DK3562" s="15" t="n">
        <v>116</v>
      </c>
      <c r="EG3562" s="15" t="n">
        <v>116</v>
      </c>
      <c r="FC3562" s="15" t="n">
        <v>116</v>
      </c>
      <c r="FY3562" s="15" t="n">
        <v>116</v>
      </c>
      <c r="GU3562" s="15" t="n">
        <v>116</v>
      </c>
    </row>
    <row r="3563">
      <c r="C3563" s="15" t="n">
        <v>117</v>
      </c>
      <c r="AA3563" s="15" t="n">
        <v>117</v>
      </c>
      <c r="AW3563" s="15" t="n">
        <v>117</v>
      </c>
      <c r="BS3563" s="15" t="n">
        <v>117</v>
      </c>
      <c r="CO3563" s="15" t="n">
        <v>117</v>
      </c>
      <c r="DK3563" s="15" t="n">
        <v>117</v>
      </c>
      <c r="EG3563" s="15" t="n">
        <v>117</v>
      </c>
      <c r="FC3563" s="15" t="n">
        <v>117</v>
      </c>
      <c r="FY3563" s="15" t="n">
        <v>117</v>
      </c>
      <c r="GU3563" s="15" t="n">
        <v>117</v>
      </c>
    </row>
    <row r="3564">
      <c r="C3564" s="15" t="n">
        <v>118</v>
      </c>
      <c r="AA3564" s="15" t="n">
        <v>118</v>
      </c>
      <c r="AW3564" s="15" t="n">
        <v>118</v>
      </c>
      <c r="BS3564" s="15" t="n">
        <v>118</v>
      </c>
      <c r="CO3564" s="15" t="n">
        <v>118</v>
      </c>
      <c r="DK3564" s="15" t="n">
        <v>118</v>
      </c>
      <c r="EG3564" s="15" t="n">
        <v>118</v>
      </c>
      <c r="FC3564" s="15" t="n">
        <v>118</v>
      </c>
      <c r="FY3564" s="15" t="n">
        <v>118</v>
      </c>
      <c r="GU3564" s="15" t="n">
        <v>118</v>
      </c>
    </row>
    <row r="3565">
      <c r="C3565" s="15" t="n">
        <v>119</v>
      </c>
      <c r="AA3565" s="15" t="n">
        <v>119</v>
      </c>
      <c r="AW3565" s="15" t="n">
        <v>119</v>
      </c>
      <c r="BS3565" s="15" t="n">
        <v>119</v>
      </c>
      <c r="CO3565" s="15" t="n">
        <v>119</v>
      </c>
      <c r="DK3565" s="15" t="n">
        <v>119</v>
      </c>
      <c r="EG3565" s="15" t="n">
        <v>119</v>
      </c>
      <c r="FC3565" s="15" t="n">
        <v>119</v>
      </c>
      <c r="FY3565" s="15" t="n">
        <v>119</v>
      </c>
      <c r="GU3565" s="15" t="n">
        <v>119</v>
      </c>
    </row>
    <row r="3566">
      <c r="C3566" s="15" t="n">
        <v>120</v>
      </c>
      <c r="AA3566" s="15" t="n">
        <v>120</v>
      </c>
      <c r="AW3566" s="15" t="n">
        <v>120</v>
      </c>
      <c r="BS3566" s="15" t="n">
        <v>120</v>
      </c>
      <c r="CO3566" s="15" t="n">
        <v>120</v>
      </c>
      <c r="DK3566" s="15" t="n">
        <v>120</v>
      </c>
      <c r="EG3566" s="15" t="n">
        <v>120</v>
      </c>
      <c r="FC3566" s="15" t="n">
        <v>120</v>
      </c>
      <c r="FY3566" s="15" t="n">
        <v>120</v>
      </c>
      <c r="GU3566" s="15" t="n">
        <v>120</v>
      </c>
    </row>
    <row r="3567">
      <c r="C3567" s="15" t="n">
        <v>121</v>
      </c>
      <c r="AA3567" s="15" t="n">
        <v>121</v>
      </c>
      <c r="AW3567" s="15" t="n">
        <v>121</v>
      </c>
      <c r="BS3567" s="15" t="n">
        <v>121</v>
      </c>
      <c r="CO3567" s="15" t="n">
        <v>121</v>
      </c>
      <c r="DK3567" s="15" t="n">
        <v>121</v>
      </c>
      <c r="EG3567" s="15" t="n">
        <v>121</v>
      </c>
      <c r="FC3567" s="15" t="n">
        <v>121</v>
      </c>
      <c r="FY3567" s="15" t="n">
        <v>121</v>
      </c>
      <c r="GU3567" s="15" t="n">
        <v>121</v>
      </c>
    </row>
    <row r="3568">
      <c r="C3568" s="15" t="n">
        <v>122</v>
      </c>
      <c r="AA3568" s="15" t="n">
        <v>122</v>
      </c>
      <c r="AW3568" s="15" t="n">
        <v>122</v>
      </c>
      <c r="BS3568" s="15" t="n">
        <v>122</v>
      </c>
      <c r="CO3568" s="15" t="n">
        <v>122</v>
      </c>
      <c r="DK3568" s="15" t="n">
        <v>122</v>
      </c>
      <c r="EG3568" s="15" t="n">
        <v>122</v>
      </c>
      <c r="FC3568" s="15" t="n">
        <v>122</v>
      </c>
      <c r="FY3568" s="15" t="n">
        <v>122</v>
      </c>
      <c r="GU3568" s="15" t="n">
        <v>122</v>
      </c>
    </row>
    <row r="3569">
      <c r="C3569" s="15" t="n">
        <v>123</v>
      </c>
      <c r="AA3569" s="15" t="n">
        <v>123</v>
      </c>
      <c r="AW3569" s="15" t="n">
        <v>123</v>
      </c>
      <c r="BS3569" s="15" t="n">
        <v>123</v>
      </c>
      <c r="CO3569" s="15" t="n">
        <v>123</v>
      </c>
      <c r="DK3569" s="15" t="n">
        <v>123</v>
      </c>
      <c r="EG3569" s="15" t="n">
        <v>123</v>
      </c>
      <c r="FC3569" s="15" t="n">
        <v>123</v>
      </c>
      <c r="FY3569" s="15" t="n">
        <v>123</v>
      </c>
      <c r="GU3569" s="15" t="n">
        <v>123</v>
      </c>
    </row>
    <row r="3570">
      <c r="C3570" s="15" t="n">
        <v>124</v>
      </c>
      <c r="AA3570" s="15" t="n">
        <v>124</v>
      </c>
      <c r="AW3570" s="15" t="n">
        <v>124</v>
      </c>
      <c r="BS3570" s="15" t="n">
        <v>124</v>
      </c>
      <c r="CO3570" s="15" t="n">
        <v>124</v>
      </c>
      <c r="DK3570" s="15" t="n">
        <v>124</v>
      </c>
      <c r="EG3570" s="15" t="n">
        <v>124</v>
      </c>
      <c r="FC3570" s="15" t="n">
        <v>124</v>
      </c>
      <c r="FY3570" s="15" t="n">
        <v>124</v>
      </c>
      <c r="GU3570" s="15" t="n">
        <v>124</v>
      </c>
    </row>
    <row r="3571">
      <c r="C3571" s="15" t="n">
        <v>125</v>
      </c>
      <c r="AA3571" s="15" t="n">
        <v>125</v>
      </c>
      <c r="AW3571" s="15" t="n">
        <v>125</v>
      </c>
      <c r="BS3571" s="15" t="n">
        <v>125</v>
      </c>
      <c r="CO3571" s="15" t="n">
        <v>125</v>
      </c>
      <c r="DK3571" s="15" t="n">
        <v>125</v>
      </c>
      <c r="EG3571" s="15" t="n">
        <v>125</v>
      </c>
      <c r="FC3571" s="15" t="n">
        <v>125</v>
      </c>
      <c r="FY3571" s="15" t="n">
        <v>125</v>
      </c>
      <c r="GU3571" s="15" t="n">
        <v>125</v>
      </c>
    </row>
    <row r="3572">
      <c r="C3572" s="15" t="n">
        <v>126</v>
      </c>
      <c r="AA3572" s="15" t="n">
        <v>126</v>
      </c>
      <c r="AW3572" s="15" t="n">
        <v>126</v>
      </c>
      <c r="BS3572" s="15" t="n">
        <v>126</v>
      </c>
      <c r="CO3572" s="15" t="n">
        <v>126</v>
      </c>
      <c r="DK3572" s="15" t="n">
        <v>126</v>
      </c>
      <c r="EG3572" s="15" t="n">
        <v>126</v>
      </c>
      <c r="FC3572" s="15" t="n">
        <v>126</v>
      </c>
      <c r="FY3572" s="15" t="n">
        <v>126</v>
      </c>
      <c r="GU3572" s="15" t="n">
        <v>126</v>
      </c>
    </row>
    <row r="3573">
      <c r="C3573" s="15" t="n">
        <v>127</v>
      </c>
      <c r="AA3573" s="15" t="n">
        <v>127</v>
      </c>
      <c r="AW3573" s="15" t="n">
        <v>127</v>
      </c>
      <c r="BS3573" s="15" t="n">
        <v>127</v>
      </c>
      <c r="CO3573" s="15" t="n">
        <v>127</v>
      </c>
      <c r="DK3573" s="15" t="n">
        <v>127</v>
      </c>
      <c r="EG3573" s="15" t="n">
        <v>127</v>
      </c>
      <c r="FC3573" s="15" t="n">
        <v>127</v>
      </c>
      <c r="FY3573" s="15" t="n">
        <v>127</v>
      </c>
      <c r="GU3573" s="15" t="n">
        <v>127</v>
      </c>
    </row>
    <row r="3574">
      <c r="C3574" s="15" t="n">
        <v>128</v>
      </c>
      <c r="AA3574" s="15" t="n">
        <v>128</v>
      </c>
      <c r="AW3574" s="15" t="n">
        <v>128</v>
      </c>
      <c r="BS3574" s="15" t="n">
        <v>128</v>
      </c>
      <c r="CO3574" s="15" t="n">
        <v>128</v>
      </c>
      <c r="DK3574" s="15" t="n">
        <v>128</v>
      </c>
      <c r="EG3574" s="15" t="n">
        <v>128</v>
      </c>
      <c r="FC3574" s="15" t="n">
        <v>128</v>
      </c>
      <c r="FY3574" s="15" t="n">
        <v>128</v>
      </c>
      <c r="GU3574" s="15" t="n">
        <v>128</v>
      </c>
    </row>
    <row r="3575">
      <c r="C3575" s="15" t="n">
        <v>129</v>
      </c>
      <c r="AA3575" s="15" t="n">
        <v>129</v>
      </c>
      <c r="AW3575" s="15" t="n">
        <v>129</v>
      </c>
      <c r="BS3575" s="15" t="n">
        <v>129</v>
      </c>
      <c r="CO3575" s="15" t="n">
        <v>129</v>
      </c>
      <c r="DK3575" s="15" t="n">
        <v>129</v>
      </c>
      <c r="EG3575" s="15" t="n">
        <v>129</v>
      </c>
      <c r="FC3575" s="15" t="n">
        <v>129</v>
      </c>
      <c r="FY3575" s="15" t="n">
        <v>129</v>
      </c>
      <c r="GU3575" s="15" t="n">
        <v>129</v>
      </c>
    </row>
    <row r="3576">
      <c r="C3576" s="15" t="n">
        <v>130</v>
      </c>
      <c r="AA3576" s="15" t="n">
        <v>130</v>
      </c>
      <c r="AW3576" s="15" t="n">
        <v>130</v>
      </c>
      <c r="BS3576" s="15" t="n">
        <v>130</v>
      </c>
      <c r="CO3576" s="15" t="n">
        <v>130</v>
      </c>
      <c r="DK3576" s="15" t="n">
        <v>130</v>
      </c>
      <c r="EG3576" s="15" t="n">
        <v>130</v>
      </c>
      <c r="FC3576" s="15" t="n">
        <v>130</v>
      </c>
      <c r="FY3576" s="15" t="n">
        <v>130</v>
      </c>
      <c r="GU3576" s="15" t="n">
        <v>130</v>
      </c>
    </row>
    <row r="3577">
      <c r="C3577" s="15" t="n">
        <v>131</v>
      </c>
      <c r="AA3577" s="15" t="n">
        <v>131</v>
      </c>
      <c r="AW3577" s="15" t="n">
        <v>131</v>
      </c>
      <c r="BS3577" s="15" t="n">
        <v>131</v>
      </c>
      <c r="CO3577" s="15" t="n">
        <v>131</v>
      </c>
      <c r="DK3577" s="15" t="n">
        <v>131</v>
      </c>
      <c r="EG3577" s="15" t="n">
        <v>131</v>
      </c>
      <c r="FC3577" s="15" t="n">
        <v>131</v>
      </c>
      <c r="FY3577" s="15" t="n">
        <v>131</v>
      </c>
      <c r="GU3577" s="15" t="n">
        <v>131</v>
      </c>
    </row>
    <row r="3578">
      <c r="C3578" s="15" t="n">
        <v>132</v>
      </c>
      <c r="AA3578" s="15" t="n">
        <v>132</v>
      </c>
      <c r="AW3578" s="15" t="n">
        <v>132</v>
      </c>
      <c r="BS3578" s="15" t="n">
        <v>132</v>
      </c>
      <c r="CO3578" s="15" t="n">
        <v>132</v>
      </c>
      <c r="DK3578" s="15" t="n">
        <v>132</v>
      </c>
      <c r="EG3578" s="15" t="n">
        <v>132</v>
      </c>
      <c r="FC3578" s="15" t="n">
        <v>132</v>
      </c>
      <c r="FY3578" s="15" t="n">
        <v>132</v>
      </c>
      <c r="GU3578" s="15" t="n">
        <v>132</v>
      </c>
    </row>
    <row r="3579">
      <c r="C3579" s="15" t="n">
        <v>133</v>
      </c>
      <c r="AA3579" s="15" t="n">
        <v>133</v>
      </c>
      <c r="AW3579" s="15" t="n">
        <v>133</v>
      </c>
      <c r="BS3579" s="15" t="n">
        <v>133</v>
      </c>
      <c r="CO3579" s="15" t="n">
        <v>133</v>
      </c>
      <c r="DK3579" s="15" t="n">
        <v>133</v>
      </c>
      <c r="EG3579" s="15" t="n">
        <v>133</v>
      </c>
      <c r="FC3579" s="15" t="n">
        <v>133</v>
      </c>
      <c r="FY3579" s="15" t="n">
        <v>133</v>
      </c>
      <c r="GU3579" s="15" t="n">
        <v>133</v>
      </c>
    </row>
    <row r="3580">
      <c r="C3580" s="15" t="n">
        <v>134</v>
      </c>
      <c r="AA3580" s="15" t="n">
        <v>134</v>
      </c>
      <c r="AW3580" s="15" t="n">
        <v>134</v>
      </c>
      <c r="BS3580" s="15" t="n">
        <v>134</v>
      </c>
      <c r="CO3580" s="15" t="n">
        <v>134</v>
      </c>
      <c r="DK3580" s="15" t="n">
        <v>134</v>
      </c>
      <c r="EG3580" s="15" t="n">
        <v>134</v>
      </c>
      <c r="FC3580" s="15" t="n">
        <v>134</v>
      </c>
      <c r="FY3580" s="15" t="n">
        <v>134</v>
      </c>
      <c r="GU3580" s="15" t="n">
        <v>134</v>
      </c>
    </row>
    <row r="3581">
      <c r="C3581" s="15" t="n">
        <v>135</v>
      </c>
      <c r="AA3581" s="15" t="n">
        <v>135</v>
      </c>
      <c r="AW3581" s="15" t="n">
        <v>135</v>
      </c>
      <c r="BS3581" s="15" t="n">
        <v>135</v>
      </c>
      <c r="CO3581" s="15" t="n">
        <v>135</v>
      </c>
      <c r="DK3581" s="15" t="n">
        <v>135</v>
      </c>
      <c r="EG3581" s="15" t="n">
        <v>135</v>
      </c>
      <c r="FC3581" s="15" t="n">
        <v>135</v>
      </c>
      <c r="FY3581" s="15" t="n">
        <v>135</v>
      </c>
      <c r="GU3581" s="15" t="n">
        <v>135</v>
      </c>
    </row>
    <row r="3582">
      <c r="C3582" s="15" t="n">
        <v>136</v>
      </c>
      <c r="AA3582" s="15" t="n">
        <v>136</v>
      </c>
      <c r="AW3582" s="15" t="n">
        <v>136</v>
      </c>
      <c r="BS3582" s="15" t="n">
        <v>136</v>
      </c>
      <c r="CO3582" s="15" t="n">
        <v>136</v>
      </c>
      <c r="DK3582" s="15" t="n">
        <v>136</v>
      </c>
      <c r="EG3582" s="15" t="n">
        <v>136</v>
      </c>
      <c r="FC3582" s="15" t="n">
        <v>136</v>
      </c>
      <c r="FY3582" s="15" t="n">
        <v>136</v>
      </c>
      <c r="GU3582" s="15" t="n">
        <v>136</v>
      </c>
    </row>
    <row r="3583">
      <c r="C3583" s="15" t="n">
        <v>137</v>
      </c>
      <c r="AA3583" s="15" t="n">
        <v>137</v>
      </c>
      <c r="AW3583" s="15" t="n">
        <v>137</v>
      </c>
      <c r="BS3583" s="15" t="n">
        <v>137</v>
      </c>
      <c r="CO3583" s="15" t="n">
        <v>137</v>
      </c>
      <c r="DK3583" s="15" t="n">
        <v>137</v>
      </c>
      <c r="EG3583" s="15" t="n">
        <v>137</v>
      </c>
      <c r="FC3583" s="15" t="n">
        <v>137</v>
      </c>
      <c r="FY3583" s="15" t="n">
        <v>137</v>
      </c>
      <c r="GU3583" s="15" t="n">
        <v>137</v>
      </c>
    </row>
    <row r="3584">
      <c r="C3584" s="15" t="n">
        <v>138</v>
      </c>
      <c r="AA3584" s="15" t="n">
        <v>138</v>
      </c>
      <c r="AW3584" s="15" t="n">
        <v>138</v>
      </c>
      <c r="BS3584" s="15" t="n">
        <v>138</v>
      </c>
      <c r="CO3584" s="15" t="n">
        <v>138</v>
      </c>
      <c r="DK3584" s="15" t="n">
        <v>138</v>
      </c>
      <c r="EG3584" s="15" t="n">
        <v>138</v>
      </c>
      <c r="FC3584" s="15" t="n">
        <v>138</v>
      </c>
      <c r="FY3584" s="15" t="n">
        <v>138</v>
      </c>
      <c r="GU3584" s="15" t="n">
        <v>138</v>
      </c>
    </row>
    <row r="3585">
      <c r="C3585" s="15" t="n">
        <v>139</v>
      </c>
      <c r="AA3585" s="15" t="n">
        <v>139</v>
      </c>
      <c r="AW3585" s="15" t="n">
        <v>139</v>
      </c>
      <c r="BS3585" s="15" t="n">
        <v>139</v>
      </c>
      <c r="CO3585" s="15" t="n">
        <v>139</v>
      </c>
      <c r="DK3585" s="15" t="n">
        <v>139</v>
      </c>
      <c r="EG3585" s="15" t="n">
        <v>139</v>
      </c>
      <c r="FC3585" s="15" t="n">
        <v>139</v>
      </c>
      <c r="FY3585" s="15" t="n">
        <v>139</v>
      </c>
      <c r="GU3585" s="15" t="n">
        <v>139</v>
      </c>
    </row>
    <row r="3586">
      <c r="C3586" s="15" t="n">
        <v>140</v>
      </c>
      <c r="AA3586" s="15" t="n">
        <v>140</v>
      </c>
      <c r="AW3586" s="15" t="n">
        <v>140</v>
      </c>
      <c r="BS3586" s="15" t="n">
        <v>140</v>
      </c>
      <c r="CO3586" s="15" t="n">
        <v>140</v>
      </c>
      <c r="DK3586" s="15" t="n">
        <v>140</v>
      </c>
      <c r="EG3586" s="15" t="n">
        <v>140</v>
      </c>
      <c r="FC3586" s="15" t="n">
        <v>140</v>
      </c>
      <c r="FY3586" s="15" t="n">
        <v>140</v>
      </c>
      <c r="GU3586" s="15" t="n">
        <v>140</v>
      </c>
    </row>
    <row r="3587">
      <c r="C3587" s="15" t="n">
        <v>141</v>
      </c>
      <c r="AA3587" s="15" t="n">
        <v>141</v>
      </c>
      <c r="AW3587" s="15" t="n">
        <v>141</v>
      </c>
      <c r="BS3587" s="15" t="n">
        <v>141</v>
      </c>
      <c r="CO3587" s="15" t="n">
        <v>141</v>
      </c>
      <c r="DK3587" s="15" t="n">
        <v>141</v>
      </c>
      <c r="EG3587" s="15" t="n">
        <v>141</v>
      </c>
      <c r="FC3587" s="15" t="n">
        <v>141</v>
      </c>
      <c r="FY3587" s="15" t="n">
        <v>141</v>
      </c>
      <c r="GU3587" s="15" t="n">
        <v>141</v>
      </c>
    </row>
    <row r="3588">
      <c r="C3588" s="15" t="n">
        <v>142</v>
      </c>
      <c r="AA3588" s="15" t="n">
        <v>142</v>
      </c>
      <c r="AW3588" s="15" t="n">
        <v>142</v>
      </c>
      <c r="BS3588" s="15" t="n">
        <v>142</v>
      </c>
      <c r="CO3588" s="15" t="n">
        <v>142</v>
      </c>
      <c r="DK3588" s="15" t="n">
        <v>142</v>
      </c>
      <c r="EG3588" s="15" t="n">
        <v>142</v>
      </c>
      <c r="FC3588" s="15" t="n">
        <v>142</v>
      </c>
      <c r="FY3588" s="15" t="n">
        <v>142</v>
      </c>
      <c r="GU3588" s="15" t="n">
        <v>142</v>
      </c>
    </row>
    <row r="3589">
      <c r="C3589" s="15" t="n">
        <v>143</v>
      </c>
      <c r="AA3589" s="15" t="n">
        <v>143</v>
      </c>
      <c r="AW3589" s="15" t="n">
        <v>143</v>
      </c>
      <c r="BS3589" s="15" t="n">
        <v>143</v>
      </c>
      <c r="CO3589" s="15" t="n">
        <v>143</v>
      </c>
      <c r="DK3589" s="15" t="n">
        <v>143</v>
      </c>
      <c r="EG3589" s="15" t="n">
        <v>143</v>
      </c>
      <c r="FC3589" s="15" t="n">
        <v>143</v>
      </c>
      <c r="FY3589" s="15" t="n">
        <v>143</v>
      </c>
      <c r="GU3589" s="15" t="n">
        <v>143</v>
      </c>
    </row>
    <row r="3590">
      <c r="C3590" s="15" t="n">
        <v>144</v>
      </c>
      <c r="AA3590" s="15" t="n">
        <v>144</v>
      </c>
      <c r="AW3590" s="15" t="n">
        <v>144</v>
      </c>
      <c r="BS3590" s="15" t="n">
        <v>144</v>
      </c>
      <c r="CO3590" s="15" t="n">
        <v>144</v>
      </c>
      <c r="DK3590" s="15" t="n">
        <v>144</v>
      </c>
      <c r="EG3590" s="15" t="n">
        <v>144</v>
      </c>
      <c r="FC3590" s="15" t="n">
        <v>144</v>
      </c>
      <c r="FY3590" s="15" t="n">
        <v>144</v>
      </c>
      <c r="GU3590" s="15" t="n">
        <v>144</v>
      </c>
    </row>
    <row r="3591">
      <c r="C3591" s="15" t="n">
        <v>145</v>
      </c>
      <c r="AA3591" s="15" t="n">
        <v>145</v>
      </c>
      <c r="AW3591" s="15" t="n">
        <v>145</v>
      </c>
      <c r="BS3591" s="15" t="n">
        <v>145</v>
      </c>
      <c r="CO3591" s="15" t="n">
        <v>145</v>
      </c>
      <c r="DK3591" s="15" t="n">
        <v>145</v>
      </c>
      <c r="EG3591" s="15" t="n">
        <v>145</v>
      </c>
      <c r="FC3591" s="15" t="n">
        <v>145</v>
      </c>
      <c r="FY3591" s="15" t="n">
        <v>145</v>
      </c>
      <c r="GU3591" s="15" t="n">
        <v>145</v>
      </c>
    </row>
    <row r="3592">
      <c r="C3592" s="15" t="n">
        <v>146</v>
      </c>
      <c r="AA3592" s="15" t="n">
        <v>146</v>
      </c>
      <c r="AW3592" s="15" t="n">
        <v>146</v>
      </c>
      <c r="BS3592" s="15" t="n">
        <v>146</v>
      </c>
      <c r="CO3592" s="15" t="n">
        <v>146</v>
      </c>
      <c r="DK3592" s="15" t="n">
        <v>146</v>
      </c>
      <c r="EG3592" s="15" t="n">
        <v>146</v>
      </c>
      <c r="FC3592" s="15" t="n">
        <v>146</v>
      </c>
      <c r="FY3592" s="15" t="n">
        <v>146</v>
      </c>
      <c r="GU3592" s="15" t="n">
        <v>146</v>
      </c>
    </row>
    <row r="3593">
      <c r="C3593" s="15" t="n">
        <v>147</v>
      </c>
      <c r="AA3593" s="15" t="n">
        <v>147</v>
      </c>
      <c r="AW3593" s="15" t="n">
        <v>147</v>
      </c>
      <c r="BS3593" s="15" t="n">
        <v>147</v>
      </c>
      <c r="CO3593" s="15" t="n">
        <v>147</v>
      </c>
      <c r="DK3593" s="15" t="n">
        <v>147</v>
      </c>
      <c r="EG3593" s="15" t="n">
        <v>147</v>
      </c>
      <c r="FC3593" s="15" t="n">
        <v>147</v>
      </c>
      <c r="FY3593" s="15" t="n">
        <v>147</v>
      </c>
      <c r="GU3593" s="15" t="n">
        <v>147</v>
      </c>
    </row>
    <row r="3594">
      <c r="C3594" s="15" t="n">
        <v>148</v>
      </c>
      <c r="AA3594" s="15" t="n">
        <v>148</v>
      </c>
      <c r="AW3594" s="15" t="n">
        <v>148</v>
      </c>
      <c r="BS3594" s="15" t="n">
        <v>148</v>
      </c>
      <c r="CO3594" s="15" t="n">
        <v>148</v>
      </c>
      <c r="DK3594" s="15" t="n">
        <v>148</v>
      </c>
      <c r="EG3594" s="15" t="n">
        <v>148</v>
      </c>
      <c r="FC3594" s="15" t="n">
        <v>148</v>
      </c>
      <c r="FY3594" s="15" t="n">
        <v>148</v>
      </c>
      <c r="GU3594" s="15" t="n">
        <v>148</v>
      </c>
    </row>
    <row r="3595">
      <c r="C3595" s="15" t="n">
        <v>149</v>
      </c>
      <c r="AA3595" s="15" t="n">
        <v>149</v>
      </c>
      <c r="AW3595" s="15" t="n">
        <v>149</v>
      </c>
      <c r="BS3595" s="15" t="n">
        <v>149</v>
      </c>
      <c r="CO3595" s="15" t="n">
        <v>149</v>
      </c>
      <c r="DK3595" s="15" t="n">
        <v>149</v>
      </c>
      <c r="EG3595" s="15" t="n">
        <v>149</v>
      </c>
      <c r="FC3595" s="15" t="n">
        <v>149</v>
      </c>
      <c r="FY3595" s="15" t="n">
        <v>149</v>
      </c>
      <c r="GU3595" s="15" t="n">
        <v>149</v>
      </c>
    </row>
    <row r="3596">
      <c r="C3596" s="15" t="n">
        <v>150</v>
      </c>
      <c r="AA3596" s="15" t="n">
        <v>150</v>
      </c>
      <c r="AW3596" s="15" t="n">
        <v>150</v>
      </c>
      <c r="BS3596" s="15" t="n">
        <v>150</v>
      </c>
      <c r="CO3596" s="15" t="n">
        <v>150</v>
      </c>
      <c r="DK3596" s="15" t="n">
        <v>150</v>
      </c>
      <c r="EG3596" s="15" t="n">
        <v>150</v>
      </c>
      <c r="FC3596" s="15" t="n">
        <v>150</v>
      </c>
      <c r="FY3596" s="15" t="n">
        <v>150</v>
      </c>
      <c r="GU3596" s="15" t="n">
        <v>150</v>
      </c>
    </row>
    <row r="3597">
      <c r="C3597" s="15" t="n">
        <v>151</v>
      </c>
      <c r="AA3597" s="15" t="n">
        <v>151</v>
      </c>
      <c r="AW3597" s="15" t="n">
        <v>151</v>
      </c>
      <c r="BS3597" s="15" t="n">
        <v>151</v>
      </c>
      <c r="CO3597" s="15" t="n">
        <v>151</v>
      </c>
      <c r="DK3597" s="15" t="n">
        <v>151</v>
      </c>
      <c r="EG3597" s="15" t="n">
        <v>151</v>
      </c>
      <c r="FC3597" s="15" t="n">
        <v>151</v>
      </c>
      <c r="FY3597" s="15" t="n">
        <v>151</v>
      </c>
      <c r="GU3597" s="15" t="n">
        <v>151</v>
      </c>
    </row>
    <row r="3598">
      <c r="C3598" s="15" t="n">
        <v>152</v>
      </c>
      <c r="AA3598" s="15" t="n">
        <v>152</v>
      </c>
      <c r="AW3598" s="15" t="n">
        <v>152</v>
      </c>
      <c r="BS3598" s="15" t="n">
        <v>152</v>
      </c>
      <c r="CO3598" s="15" t="n">
        <v>152</v>
      </c>
      <c r="DK3598" s="15" t="n">
        <v>152</v>
      </c>
      <c r="EG3598" s="15" t="n">
        <v>152</v>
      </c>
      <c r="FC3598" s="15" t="n">
        <v>152</v>
      </c>
      <c r="FY3598" s="15" t="n">
        <v>152</v>
      </c>
      <c r="GU3598" s="15" t="n">
        <v>152</v>
      </c>
    </row>
    <row r="3599">
      <c r="C3599" s="15" t="n">
        <v>153</v>
      </c>
      <c r="AA3599" s="15" t="n">
        <v>153</v>
      </c>
      <c r="AW3599" s="15" t="n">
        <v>153</v>
      </c>
      <c r="BS3599" s="15" t="n">
        <v>153</v>
      </c>
      <c r="CO3599" s="15" t="n">
        <v>153</v>
      </c>
      <c r="DK3599" s="15" t="n">
        <v>153</v>
      </c>
      <c r="EG3599" s="15" t="n">
        <v>153</v>
      </c>
      <c r="FC3599" s="15" t="n">
        <v>153</v>
      </c>
      <c r="FY3599" s="15" t="n">
        <v>153</v>
      </c>
      <c r="GU3599" s="15" t="n">
        <v>153</v>
      </c>
    </row>
    <row r="3600">
      <c r="C3600" s="15" t="n">
        <v>154</v>
      </c>
      <c r="AA3600" s="15" t="n">
        <v>154</v>
      </c>
      <c r="AW3600" s="15" t="n">
        <v>154</v>
      </c>
      <c r="BS3600" s="15" t="n">
        <v>154</v>
      </c>
      <c r="CO3600" s="15" t="n">
        <v>154</v>
      </c>
      <c r="DK3600" s="15" t="n">
        <v>154</v>
      </c>
      <c r="EG3600" s="15" t="n">
        <v>154</v>
      </c>
      <c r="FC3600" s="15" t="n">
        <v>154</v>
      </c>
      <c r="FY3600" s="15" t="n">
        <v>154</v>
      </c>
      <c r="GU3600" s="15" t="n">
        <v>154</v>
      </c>
    </row>
    <row r="3601">
      <c r="C3601" s="15" t="n">
        <v>155</v>
      </c>
      <c r="AA3601" s="15" t="n">
        <v>155</v>
      </c>
      <c r="AW3601" s="15" t="n">
        <v>155</v>
      </c>
      <c r="BS3601" s="15" t="n">
        <v>155</v>
      </c>
      <c r="CO3601" s="15" t="n">
        <v>155</v>
      </c>
      <c r="DK3601" s="15" t="n">
        <v>155</v>
      </c>
      <c r="EG3601" s="15" t="n">
        <v>155</v>
      </c>
      <c r="FC3601" s="15" t="n">
        <v>155</v>
      </c>
      <c r="FY3601" s="15" t="n">
        <v>155</v>
      </c>
      <c r="GU3601" s="15" t="n">
        <v>155</v>
      </c>
    </row>
    <row r="3602">
      <c r="C3602" s="15" t="n">
        <v>156</v>
      </c>
      <c r="AA3602" s="15" t="n">
        <v>156</v>
      </c>
      <c r="AW3602" s="15" t="n">
        <v>156</v>
      </c>
      <c r="BS3602" s="15" t="n">
        <v>156</v>
      </c>
      <c r="CO3602" s="15" t="n">
        <v>156</v>
      </c>
      <c r="DK3602" s="15" t="n">
        <v>156</v>
      </c>
      <c r="EG3602" s="15" t="n">
        <v>156</v>
      </c>
      <c r="FC3602" s="15" t="n">
        <v>156</v>
      </c>
      <c r="FY3602" s="15" t="n">
        <v>156</v>
      </c>
      <c r="GU3602" s="15" t="n">
        <v>156</v>
      </c>
    </row>
    <row r="3603">
      <c r="C3603" s="15" t="n">
        <v>157</v>
      </c>
      <c r="AA3603" s="15" t="n">
        <v>157</v>
      </c>
      <c r="AW3603" s="15" t="n">
        <v>157</v>
      </c>
      <c r="BS3603" s="15" t="n">
        <v>157</v>
      </c>
      <c r="CO3603" s="15" t="n">
        <v>157</v>
      </c>
      <c r="DK3603" s="15" t="n">
        <v>157</v>
      </c>
      <c r="EG3603" s="15" t="n">
        <v>157</v>
      </c>
      <c r="FC3603" s="15" t="n">
        <v>157</v>
      </c>
      <c r="FY3603" s="15" t="n">
        <v>157</v>
      </c>
      <c r="GU3603" s="15" t="n">
        <v>157</v>
      </c>
    </row>
    <row r="3604">
      <c r="C3604" s="15" t="n">
        <v>158</v>
      </c>
      <c r="AA3604" s="15" t="n">
        <v>158</v>
      </c>
      <c r="AW3604" s="15" t="n">
        <v>158</v>
      </c>
      <c r="BS3604" s="15" t="n">
        <v>158</v>
      </c>
      <c r="CO3604" s="15" t="n">
        <v>158</v>
      </c>
      <c r="DK3604" s="15" t="n">
        <v>158</v>
      </c>
      <c r="EG3604" s="15" t="n">
        <v>158</v>
      </c>
      <c r="FC3604" s="15" t="n">
        <v>158</v>
      </c>
      <c r="FY3604" s="15" t="n">
        <v>158</v>
      </c>
      <c r="GU3604" s="15" t="n">
        <v>158</v>
      </c>
    </row>
    <row r="3605">
      <c r="C3605" s="15" t="n">
        <v>159</v>
      </c>
      <c r="AA3605" s="15" t="n">
        <v>159</v>
      </c>
      <c r="AW3605" s="15" t="n">
        <v>159</v>
      </c>
      <c r="BS3605" s="15" t="n">
        <v>159</v>
      </c>
      <c r="CO3605" s="15" t="n">
        <v>159</v>
      </c>
      <c r="DK3605" s="15" t="n">
        <v>159</v>
      </c>
      <c r="EG3605" s="15" t="n">
        <v>159</v>
      </c>
      <c r="FC3605" s="15" t="n">
        <v>159</v>
      </c>
      <c r="FY3605" s="15" t="n">
        <v>159</v>
      </c>
      <c r="GU3605" s="15" t="n">
        <v>159</v>
      </c>
    </row>
    <row r="3606">
      <c r="C3606" s="15" t="n">
        <v>160</v>
      </c>
      <c r="AA3606" s="15" t="n">
        <v>160</v>
      </c>
      <c r="AW3606" s="15" t="n">
        <v>160</v>
      </c>
      <c r="BS3606" s="15" t="n">
        <v>160</v>
      </c>
      <c r="CO3606" s="15" t="n">
        <v>160</v>
      </c>
      <c r="DK3606" s="15" t="n">
        <v>160</v>
      </c>
      <c r="EG3606" s="15" t="n">
        <v>160</v>
      </c>
      <c r="FC3606" s="15" t="n">
        <v>160</v>
      </c>
      <c r="FY3606" s="15" t="n">
        <v>160</v>
      </c>
      <c r="GU3606" s="15" t="n">
        <v>160</v>
      </c>
    </row>
    <row r="3607">
      <c r="C3607" s="15" t="n">
        <v>161</v>
      </c>
      <c r="AA3607" s="15" t="n">
        <v>161</v>
      </c>
      <c r="AW3607" s="15" t="n">
        <v>161</v>
      </c>
      <c r="BS3607" s="15" t="n">
        <v>161</v>
      </c>
      <c r="CO3607" s="15" t="n">
        <v>161</v>
      </c>
      <c r="DK3607" s="15" t="n">
        <v>161</v>
      </c>
      <c r="EG3607" s="15" t="n">
        <v>161</v>
      </c>
      <c r="FC3607" s="15" t="n">
        <v>161</v>
      </c>
      <c r="FY3607" s="15" t="n">
        <v>161</v>
      </c>
      <c r="GU3607" s="15" t="n">
        <v>161</v>
      </c>
    </row>
    <row r="3608">
      <c r="C3608" s="15" t="n">
        <v>162</v>
      </c>
      <c r="AA3608" s="15" t="n">
        <v>162</v>
      </c>
      <c r="AW3608" s="15" t="n">
        <v>162</v>
      </c>
      <c r="BS3608" s="15" t="n">
        <v>162</v>
      </c>
      <c r="CO3608" s="15" t="n">
        <v>162</v>
      </c>
      <c r="DK3608" s="15" t="n">
        <v>162</v>
      </c>
      <c r="EG3608" s="15" t="n">
        <v>162</v>
      </c>
      <c r="FC3608" s="15" t="n">
        <v>162</v>
      </c>
      <c r="FY3608" s="15" t="n">
        <v>162</v>
      </c>
      <c r="GU3608" s="15" t="n">
        <v>162</v>
      </c>
    </row>
    <row r="3609">
      <c r="C3609" s="15" t="n">
        <v>163</v>
      </c>
      <c r="AA3609" s="15" t="n">
        <v>163</v>
      </c>
      <c r="AW3609" s="15" t="n">
        <v>163</v>
      </c>
      <c r="BS3609" s="15" t="n">
        <v>163</v>
      </c>
      <c r="CO3609" s="15" t="n">
        <v>163</v>
      </c>
      <c r="DK3609" s="15" t="n">
        <v>163</v>
      </c>
      <c r="EG3609" s="15" t="n">
        <v>163</v>
      </c>
      <c r="FC3609" s="15" t="n">
        <v>163</v>
      </c>
      <c r="FY3609" s="15" t="n">
        <v>163</v>
      </c>
      <c r="GU3609" s="15" t="n">
        <v>163</v>
      </c>
    </row>
    <row r="3610">
      <c r="C3610" s="15" t="n">
        <v>164</v>
      </c>
      <c r="AA3610" s="15" t="n">
        <v>164</v>
      </c>
      <c r="AW3610" s="15" t="n">
        <v>164</v>
      </c>
      <c r="BS3610" s="15" t="n">
        <v>164</v>
      </c>
      <c r="CO3610" s="15" t="n">
        <v>164</v>
      </c>
      <c r="DK3610" s="15" t="n">
        <v>164</v>
      </c>
      <c r="EG3610" s="15" t="n">
        <v>164</v>
      </c>
      <c r="FC3610" s="15" t="n">
        <v>164</v>
      </c>
      <c r="FY3610" s="15" t="n">
        <v>164</v>
      </c>
      <c r="GU3610" s="15" t="n">
        <v>164</v>
      </c>
    </row>
    <row r="3611">
      <c r="C3611" s="15" t="n">
        <v>165</v>
      </c>
      <c r="AA3611" s="15" t="n">
        <v>165</v>
      </c>
      <c r="AW3611" s="15" t="n">
        <v>165</v>
      </c>
      <c r="BS3611" s="15" t="n">
        <v>165</v>
      </c>
      <c r="CO3611" s="15" t="n">
        <v>165</v>
      </c>
      <c r="DK3611" s="15" t="n">
        <v>165</v>
      </c>
      <c r="EG3611" s="15" t="n">
        <v>165</v>
      </c>
      <c r="FC3611" s="15" t="n">
        <v>165</v>
      </c>
      <c r="FY3611" s="15" t="n">
        <v>165</v>
      </c>
      <c r="GU3611" s="15" t="n">
        <v>165</v>
      </c>
    </row>
    <row r="3612">
      <c r="C3612" s="15" t="n">
        <v>166</v>
      </c>
      <c r="AA3612" s="15" t="n">
        <v>166</v>
      </c>
      <c r="AW3612" s="15" t="n">
        <v>166</v>
      </c>
      <c r="BS3612" s="15" t="n">
        <v>166</v>
      </c>
      <c r="CO3612" s="15" t="n">
        <v>166</v>
      </c>
      <c r="DK3612" s="15" t="n">
        <v>166</v>
      </c>
      <c r="EG3612" s="15" t="n">
        <v>166</v>
      </c>
      <c r="FC3612" s="15" t="n">
        <v>166</v>
      </c>
      <c r="FY3612" s="15" t="n">
        <v>166</v>
      </c>
      <c r="GU3612" s="15" t="n">
        <v>166</v>
      </c>
    </row>
    <row r="3613">
      <c r="C3613" s="15" t="n">
        <v>167</v>
      </c>
      <c r="AA3613" s="15" t="n">
        <v>167</v>
      </c>
      <c r="AW3613" s="15" t="n">
        <v>167</v>
      </c>
      <c r="BS3613" s="15" t="n">
        <v>167</v>
      </c>
      <c r="CO3613" s="15" t="n">
        <v>167</v>
      </c>
      <c r="DK3613" s="15" t="n">
        <v>167</v>
      </c>
      <c r="EG3613" s="15" t="n">
        <v>167</v>
      </c>
      <c r="FC3613" s="15" t="n">
        <v>167</v>
      </c>
      <c r="FY3613" s="15" t="n">
        <v>167</v>
      </c>
      <c r="GU3613" s="15" t="n">
        <v>167</v>
      </c>
    </row>
    <row r="3614">
      <c r="C3614" s="15" t="n">
        <v>168</v>
      </c>
      <c r="AA3614" s="15" t="n">
        <v>168</v>
      </c>
      <c r="AW3614" s="15" t="n">
        <v>168</v>
      </c>
      <c r="BS3614" s="15" t="n">
        <v>168</v>
      </c>
      <c r="CO3614" s="15" t="n">
        <v>168</v>
      </c>
      <c r="DK3614" s="15" t="n">
        <v>168</v>
      </c>
      <c r="EG3614" s="15" t="n">
        <v>168</v>
      </c>
      <c r="FC3614" s="15" t="n">
        <v>168</v>
      </c>
      <c r="FY3614" s="15" t="n">
        <v>168</v>
      </c>
      <c r="GU3614" s="15" t="n">
        <v>168</v>
      </c>
    </row>
    <row r="3615">
      <c r="C3615" s="15" t="n">
        <v>169</v>
      </c>
      <c r="AA3615" s="15" t="n">
        <v>169</v>
      </c>
      <c r="AW3615" s="15" t="n">
        <v>169</v>
      </c>
      <c r="BS3615" s="15" t="n">
        <v>169</v>
      </c>
      <c r="CO3615" s="15" t="n">
        <v>169</v>
      </c>
      <c r="DK3615" s="15" t="n">
        <v>169</v>
      </c>
      <c r="EG3615" s="15" t="n">
        <v>169</v>
      </c>
      <c r="FC3615" s="15" t="n">
        <v>169</v>
      </c>
      <c r="FY3615" s="15" t="n">
        <v>169</v>
      </c>
      <c r="GU3615" s="15" t="n">
        <v>169</v>
      </c>
    </row>
    <row r="3616">
      <c r="C3616" s="15" t="n">
        <v>170</v>
      </c>
      <c r="AA3616" s="15" t="n">
        <v>170</v>
      </c>
      <c r="AW3616" s="15" t="n">
        <v>170</v>
      </c>
      <c r="BS3616" s="15" t="n">
        <v>170</v>
      </c>
      <c r="CO3616" s="15" t="n">
        <v>170</v>
      </c>
      <c r="DK3616" s="15" t="n">
        <v>170</v>
      </c>
      <c r="EG3616" s="15" t="n">
        <v>170</v>
      </c>
      <c r="FC3616" s="15" t="n">
        <v>170</v>
      </c>
      <c r="FY3616" s="15" t="n">
        <v>170</v>
      </c>
      <c r="GU3616" s="15" t="n">
        <v>170</v>
      </c>
    </row>
    <row r="3617">
      <c r="C3617" s="15" t="n">
        <v>171</v>
      </c>
      <c r="AA3617" s="15" t="n">
        <v>171</v>
      </c>
      <c r="AW3617" s="15" t="n">
        <v>171</v>
      </c>
      <c r="BS3617" s="15" t="n">
        <v>171</v>
      </c>
      <c r="CO3617" s="15" t="n">
        <v>171</v>
      </c>
      <c r="DK3617" s="15" t="n">
        <v>171</v>
      </c>
      <c r="EG3617" s="15" t="n">
        <v>171</v>
      </c>
      <c r="FC3617" s="15" t="n">
        <v>171</v>
      </c>
      <c r="FY3617" s="15" t="n">
        <v>171</v>
      </c>
      <c r="GU3617" s="15" t="n">
        <v>171</v>
      </c>
    </row>
    <row r="3618">
      <c r="C3618" s="15" t="n">
        <v>172</v>
      </c>
      <c r="AA3618" s="15" t="n">
        <v>172</v>
      </c>
      <c r="AW3618" s="15" t="n">
        <v>172</v>
      </c>
      <c r="BS3618" s="15" t="n">
        <v>172</v>
      </c>
      <c r="CO3618" s="15" t="n">
        <v>172</v>
      </c>
      <c r="DK3618" s="15" t="n">
        <v>172</v>
      </c>
      <c r="EG3618" s="15" t="n">
        <v>172</v>
      </c>
      <c r="FC3618" s="15" t="n">
        <v>172</v>
      </c>
      <c r="FY3618" s="15" t="n">
        <v>172</v>
      </c>
      <c r="GU3618" s="15" t="n">
        <v>172</v>
      </c>
    </row>
    <row r="3619">
      <c r="C3619" s="15" t="n">
        <v>173</v>
      </c>
      <c r="AA3619" s="15" t="n">
        <v>173</v>
      </c>
      <c r="AW3619" s="15" t="n">
        <v>173</v>
      </c>
      <c r="BS3619" s="15" t="n">
        <v>173</v>
      </c>
      <c r="CO3619" s="15" t="n">
        <v>173</v>
      </c>
      <c r="DK3619" s="15" t="n">
        <v>173</v>
      </c>
      <c r="EG3619" s="15" t="n">
        <v>173</v>
      </c>
      <c r="FC3619" s="15" t="n">
        <v>173</v>
      </c>
      <c r="FY3619" s="15" t="n">
        <v>173</v>
      </c>
      <c r="GU3619" s="15" t="n">
        <v>173</v>
      </c>
    </row>
    <row r="3620">
      <c r="C3620" s="15" t="n">
        <v>174</v>
      </c>
      <c r="AA3620" s="15" t="n">
        <v>174</v>
      </c>
      <c r="AW3620" s="15" t="n">
        <v>174</v>
      </c>
      <c r="BS3620" s="15" t="n">
        <v>174</v>
      </c>
      <c r="CO3620" s="15" t="n">
        <v>174</v>
      </c>
      <c r="DK3620" s="15" t="n">
        <v>174</v>
      </c>
      <c r="EG3620" s="15" t="n">
        <v>174</v>
      </c>
      <c r="FC3620" s="15" t="n">
        <v>174</v>
      </c>
      <c r="FY3620" s="15" t="n">
        <v>174</v>
      </c>
      <c r="GU3620" s="15" t="n">
        <v>174</v>
      </c>
    </row>
    <row r="3621">
      <c r="C3621" s="15" t="n">
        <v>175</v>
      </c>
      <c r="AA3621" s="15" t="n">
        <v>175</v>
      </c>
      <c r="AW3621" s="15" t="n">
        <v>175</v>
      </c>
      <c r="BS3621" s="15" t="n">
        <v>175</v>
      </c>
      <c r="CO3621" s="15" t="n">
        <v>175</v>
      </c>
      <c r="DK3621" s="15" t="n">
        <v>175</v>
      </c>
      <c r="EG3621" s="15" t="n">
        <v>175</v>
      </c>
      <c r="FC3621" s="15" t="n">
        <v>175</v>
      </c>
      <c r="FY3621" s="15" t="n">
        <v>175</v>
      </c>
      <c r="GU3621" s="15" t="n">
        <v>175</v>
      </c>
    </row>
    <row r="3622">
      <c r="C3622" s="15" t="n">
        <v>176</v>
      </c>
      <c r="AA3622" s="15" t="n">
        <v>176</v>
      </c>
      <c r="AW3622" s="15" t="n">
        <v>176</v>
      </c>
      <c r="BS3622" s="15" t="n">
        <v>176</v>
      </c>
      <c r="CO3622" s="15" t="n">
        <v>176</v>
      </c>
      <c r="DK3622" s="15" t="n">
        <v>176</v>
      </c>
      <c r="EG3622" s="15" t="n">
        <v>176</v>
      </c>
      <c r="FC3622" s="15" t="n">
        <v>176</v>
      </c>
      <c r="FY3622" s="15" t="n">
        <v>176</v>
      </c>
      <c r="GU3622" s="15" t="n">
        <v>176</v>
      </c>
    </row>
    <row r="3623">
      <c r="C3623" s="15" t="n">
        <v>177</v>
      </c>
      <c r="AA3623" s="15" t="n">
        <v>177</v>
      </c>
      <c r="AW3623" s="15" t="n">
        <v>177</v>
      </c>
      <c r="BS3623" s="15" t="n">
        <v>177</v>
      </c>
      <c r="CO3623" s="15" t="n">
        <v>177</v>
      </c>
      <c r="DK3623" s="15" t="n">
        <v>177</v>
      </c>
      <c r="EG3623" s="15" t="n">
        <v>177</v>
      </c>
      <c r="FC3623" s="15" t="n">
        <v>177</v>
      </c>
      <c r="FY3623" s="15" t="n">
        <v>177</v>
      </c>
      <c r="GU3623" s="15" t="n">
        <v>177</v>
      </c>
    </row>
    <row r="3624">
      <c r="C3624" s="15" t="n">
        <v>178</v>
      </c>
      <c r="AA3624" s="15" t="n">
        <v>178</v>
      </c>
      <c r="AW3624" s="15" t="n">
        <v>178</v>
      </c>
      <c r="BS3624" s="15" t="n">
        <v>178</v>
      </c>
      <c r="CO3624" s="15" t="n">
        <v>178</v>
      </c>
      <c r="DK3624" s="15" t="n">
        <v>178</v>
      </c>
      <c r="EG3624" s="15" t="n">
        <v>178</v>
      </c>
      <c r="FC3624" s="15" t="n">
        <v>178</v>
      </c>
      <c r="FY3624" s="15" t="n">
        <v>178</v>
      </c>
      <c r="GU3624" s="15" t="n">
        <v>178</v>
      </c>
    </row>
    <row r="3625">
      <c r="C3625" s="15" t="n">
        <v>179</v>
      </c>
      <c r="AA3625" s="15" t="n">
        <v>179</v>
      </c>
      <c r="AW3625" s="15" t="n">
        <v>179</v>
      </c>
      <c r="BS3625" s="15" t="n">
        <v>179</v>
      </c>
      <c r="CO3625" s="15" t="n">
        <v>179</v>
      </c>
      <c r="DK3625" s="15" t="n">
        <v>179</v>
      </c>
      <c r="EG3625" s="15" t="n">
        <v>179</v>
      </c>
      <c r="FC3625" s="15" t="n">
        <v>179</v>
      </c>
      <c r="FY3625" s="15" t="n">
        <v>179</v>
      </c>
      <c r="GU3625" s="15" t="n">
        <v>179</v>
      </c>
    </row>
    <row r="3626">
      <c r="C3626" s="15" t="n">
        <v>180</v>
      </c>
      <c r="AA3626" s="15" t="n">
        <v>180</v>
      </c>
      <c r="AW3626" s="15" t="n">
        <v>180</v>
      </c>
      <c r="BS3626" s="15" t="n">
        <v>180</v>
      </c>
      <c r="CO3626" s="15" t="n">
        <v>180</v>
      </c>
      <c r="DK3626" s="15" t="n">
        <v>180</v>
      </c>
      <c r="EG3626" s="15" t="n">
        <v>180</v>
      </c>
      <c r="FC3626" s="15" t="n">
        <v>180</v>
      </c>
      <c r="FY3626" s="15" t="n">
        <v>180</v>
      </c>
      <c r="GU3626" s="15" t="n">
        <v>180</v>
      </c>
    </row>
    <row r="3627">
      <c r="C3627" s="15" t="n">
        <v>181</v>
      </c>
      <c r="AA3627" s="15" t="n">
        <v>181</v>
      </c>
      <c r="AW3627" s="15" t="n">
        <v>181</v>
      </c>
      <c r="BS3627" s="15" t="n">
        <v>181</v>
      </c>
      <c r="CO3627" s="15" t="n">
        <v>181</v>
      </c>
      <c r="DK3627" s="15" t="n">
        <v>181</v>
      </c>
      <c r="EG3627" s="15" t="n">
        <v>181</v>
      </c>
      <c r="FC3627" s="15" t="n">
        <v>181</v>
      </c>
      <c r="FY3627" s="15" t="n">
        <v>181</v>
      </c>
      <c r="GU3627" s="15" t="n">
        <v>181</v>
      </c>
    </row>
    <row r="3628">
      <c r="C3628" s="15" t="n">
        <v>182</v>
      </c>
      <c r="AA3628" s="15" t="n">
        <v>182</v>
      </c>
      <c r="AW3628" s="15" t="n">
        <v>182</v>
      </c>
      <c r="BS3628" s="15" t="n">
        <v>182</v>
      </c>
      <c r="CO3628" s="15" t="n">
        <v>182</v>
      </c>
      <c r="DK3628" s="15" t="n">
        <v>182</v>
      </c>
      <c r="EG3628" s="15" t="n">
        <v>182</v>
      </c>
      <c r="FC3628" s="15" t="n">
        <v>182</v>
      </c>
      <c r="FY3628" s="15" t="n">
        <v>182</v>
      </c>
      <c r="GU3628" s="15" t="n">
        <v>182</v>
      </c>
    </row>
    <row r="3629">
      <c r="C3629" s="15" t="n">
        <v>183</v>
      </c>
      <c r="AA3629" s="15" t="n">
        <v>183</v>
      </c>
      <c r="AW3629" s="15" t="n">
        <v>183</v>
      </c>
      <c r="BS3629" s="15" t="n">
        <v>183</v>
      </c>
      <c r="CO3629" s="15" t="n">
        <v>183</v>
      </c>
      <c r="DK3629" s="15" t="n">
        <v>183</v>
      </c>
      <c r="EG3629" s="15" t="n">
        <v>183</v>
      </c>
      <c r="FC3629" s="15" t="n">
        <v>183</v>
      </c>
      <c r="FY3629" s="15" t="n">
        <v>183</v>
      </c>
      <c r="GU3629" s="15" t="n">
        <v>183</v>
      </c>
    </row>
    <row r="3630">
      <c r="C3630" s="15" t="n">
        <v>184</v>
      </c>
      <c r="AA3630" s="15" t="n">
        <v>184</v>
      </c>
      <c r="AW3630" s="15" t="n">
        <v>184</v>
      </c>
      <c r="BS3630" s="15" t="n">
        <v>184</v>
      </c>
      <c r="CO3630" s="15" t="n">
        <v>184</v>
      </c>
      <c r="DK3630" s="15" t="n">
        <v>184</v>
      </c>
      <c r="EG3630" s="15" t="n">
        <v>184</v>
      </c>
      <c r="FC3630" s="15" t="n">
        <v>184</v>
      </c>
      <c r="FY3630" s="15" t="n">
        <v>184</v>
      </c>
      <c r="GU3630" s="15" t="n">
        <v>184</v>
      </c>
    </row>
    <row r="3631">
      <c r="C3631" s="15" t="n">
        <v>185</v>
      </c>
      <c r="AA3631" s="15" t="n">
        <v>185</v>
      </c>
      <c r="AW3631" s="15" t="n">
        <v>185</v>
      </c>
      <c r="BS3631" s="15" t="n">
        <v>185</v>
      </c>
      <c r="CO3631" s="15" t="n">
        <v>185</v>
      </c>
      <c r="DK3631" s="15" t="n">
        <v>185</v>
      </c>
      <c r="EG3631" s="15" t="n">
        <v>185</v>
      </c>
      <c r="FC3631" s="15" t="n">
        <v>185</v>
      </c>
      <c r="FY3631" s="15" t="n">
        <v>185</v>
      </c>
      <c r="GU3631" s="15" t="n">
        <v>185</v>
      </c>
    </row>
    <row r="3632">
      <c r="C3632" s="15" t="n">
        <v>186</v>
      </c>
      <c r="AA3632" s="15" t="n">
        <v>186</v>
      </c>
      <c r="AW3632" s="15" t="n">
        <v>186</v>
      </c>
      <c r="BS3632" s="15" t="n">
        <v>186</v>
      </c>
      <c r="CO3632" s="15" t="n">
        <v>186</v>
      </c>
      <c r="DK3632" s="15" t="n">
        <v>186</v>
      </c>
      <c r="EG3632" s="15" t="n">
        <v>186</v>
      </c>
      <c r="FC3632" s="15" t="n">
        <v>186</v>
      </c>
      <c r="FY3632" s="15" t="n">
        <v>186</v>
      </c>
      <c r="GU3632" s="15" t="n">
        <v>186</v>
      </c>
    </row>
    <row r="3633">
      <c r="C3633" s="15" t="n">
        <v>187</v>
      </c>
      <c r="AA3633" s="15" t="n">
        <v>187</v>
      </c>
      <c r="AW3633" s="15" t="n">
        <v>187</v>
      </c>
      <c r="BS3633" s="15" t="n">
        <v>187</v>
      </c>
      <c r="CO3633" s="15" t="n">
        <v>187</v>
      </c>
      <c r="DK3633" s="15" t="n">
        <v>187</v>
      </c>
      <c r="EG3633" s="15" t="n">
        <v>187</v>
      </c>
      <c r="FC3633" s="15" t="n">
        <v>187</v>
      </c>
      <c r="FY3633" s="15" t="n">
        <v>187</v>
      </c>
      <c r="GU3633" s="15" t="n">
        <v>187</v>
      </c>
    </row>
    <row r="3634">
      <c r="C3634" s="15" t="n">
        <v>188</v>
      </c>
      <c r="AA3634" s="15" t="n">
        <v>188</v>
      </c>
      <c r="AW3634" s="15" t="n">
        <v>188</v>
      </c>
      <c r="BS3634" s="15" t="n">
        <v>188</v>
      </c>
      <c r="CO3634" s="15" t="n">
        <v>188</v>
      </c>
      <c r="DK3634" s="15" t="n">
        <v>188</v>
      </c>
      <c r="EG3634" s="15" t="n">
        <v>188</v>
      </c>
      <c r="FC3634" s="15" t="n">
        <v>188</v>
      </c>
      <c r="FY3634" s="15" t="n">
        <v>188</v>
      </c>
      <c r="GU3634" s="15" t="n">
        <v>188</v>
      </c>
    </row>
    <row r="3635">
      <c r="C3635" s="15" t="n">
        <v>189</v>
      </c>
      <c r="AA3635" s="15" t="n">
        <v>189</v>
      </c>
      <c r="AW3635" s="15" t="n">
        <v>189</v>
      </c>
      <c r="BS3635" s="15" t="n">
        <v>189</v>
      </c>
      <c r="CO3635" s="15" t="n">
        <v>189</v>
      </c>
      <c r="DK3635" s="15" t="n">
        <v>189</v>
      </c>
      <c r="EG3635" s="15" t="n">
        <v>189</v>
      </c>
      <c r="FC3635" s="15" t="n">
        <v>189</v>
      </c>
      <c r="FY3635" s="15" t="n">
        <v>189</v>
      </c>
      <c r="GU3635" s="15" t="n">
        <v>189</v>
      </c>
    </row>
    <row r="3636">
      <c r="C3636" s="15" t="n">
        <v>190</v>
      </c>
      <c r="AA3636" s="15" t="n">
        <v>190</v>
      </c>
      <c r="AW3636" s="15" t="n">
        <v>190</v>
      </c>
      <c r="BS3636" s="15" t="n">
        <v>190</v>
      </c>
      <c r="CO3636" s="15" t="n">
        <v>190</v>
      </c>
      <c r="DK3636" s="15" t="n">
        <v>190</v>
      </c>
      <c r="EG3636" s="15" t="n">
        <v>190</v>
      </c>
      <c r="FC3636" s="15" t="n">
        <v>190</v>
      </c>
      <c r="FY3636" s="15" t="n">
        <v>190</v>
      </c>
      <c r="GU3636" s="15" t="n">
        <v>190</v>
      </c>
    </row>
    <row r="3637">
      <c r="C3637" s="15" t="n">
        <v>191</v>
      </c>
      <c r="AA3637" s="15" t="n">
        <v>191</v>
      </c>
      <c r="AW3637" s="15" t="n">
        <v>191</v>
      </c>
      <c r="BS3637" s="15" t="n">
        <v>191</v>
      </c>
      <c r="CO3637" s="15" t="n">
        <v>191</v>
      </c>
      <c r="DK3637" s="15" t="n">
        <v>191</v>
      </c>
      <c r="EG3637" s="15" t="n">
        <v>191</v>
      </c>
      <c r="FC3637" s="15" t="n">
        <v>191</v>
      </c>
      <c r="FY3637" s="15" t="n">
        <v>191</v>
      </c>
      <c r="GU3637" s="15" t="n">
        <v>191</v>
      </c>
    </row>
    <row r="3638">
      <c r="C3638" s="15" t="n">
        <v>192</v>
      </c>
      <c r="AA3638" s="15" t="n">
        <v>192</v>
      </c>
      <c r="AW3638" s="15" t="n">
        <v>192</v>
      </c>
      <c r="BS3638" s="15" t="n">
        <v>192</v>
      </c>
      <c r="CO3638" s="15" t="n">
        <v>192</v>
      </c>
      <c r="DK3638" s="15" t="n">
        <v>192</v>
      </c>
      <c r="EG3638" s="15" t="n">
        <v>192</v>
      </c>
      <c r="FC3638" s="15" t="n">
        <v>192</v>
      </c>
      <c r="FY3638" s="15" t="n">
        <v>192</v>
      </c>
      <c r="GU3638" s="15" t="n">
        <v>192</v>
      </c>
    </row>
    <row r="3639">
      <c r="C3639" s="15" t="n">
        <v>193</v>
      </c>
      <c r="AA3639" s="15" t="n">
        <v>193</v>
      </c>
      <c r="AW3639" s="15" t="n">
        <v>193</v>
      </c>
      <c r="BS3639" s="15" t="n">
        <v>193</v>
      </c>
      <c r="CO3639" s="15" t="n">
        <v>193</v>
      </c>
      <c r="DK3639" s="15" t="n">
        <v>193</v>
      </c>
      <c r="EG3639" s="15" t="n">
        <v>193</v>
      </c>
      <c r="FC3639" s="15" t="n">
        <v>193</v>
      </c>
      <c r="FY3639" s="15" t="n">
        <v>193</v>
      </c>
      <c r="GU3639" s="15" t="n">
        <v>193</v>
      </c>
    </row>
    <row r="3640">
      <c r="C3640" s="15" t="n">
        <v>194</v>
      </c>
      <c r="AA3640" s="15" t="n">
        <v>194</v>
      </c>
      <c r="AW3640" s="15" t="n">
        <v>194</v>
      </c>
      <c r="BS3640" s="15" t="n">
        <v>194</v>
      </c>
      <c r="CO3640" s="15" t="n">
        <v>194</v>
      </c>
      <c r="DK3640" s="15" t="n">
        <v>194</v>
      </c>
      <c r="EG3640" s="15" t="n">
        <v>194</v>
      </c>
      <c r="FC3640" s="15" t="n">
        <v>194</v>
      </c>
      <c r="FY3640" s="15" t="n">
        <v>194</v>
      </c>
      <c r="GU3640" s="15" t="n">
        <v>194</v>
      </c>
    </row>
    <row r="3641">
      <c r="C3641" s="15" t="n">
        <v>195</v>
      </c>
      <c r="AA3641" s="15" t="n">
        <v>195</v>
      </c>
      <c r="AW3641" s="15" t="n">
        <v>195</v>
      </c>
      <c r="BS3641" s="15" t="n">
        <v>195</v>
      </c>
      <c r="CO3641" s="15" t="n">
        <v>195</v>
      </c>
      <c r="DK3641" s="15" t="n">
        <v>195</v>
      </c>
      <c r="EG3641" s="15" t="n">
        <v>195</v>
      </c>
      <c r="FC3641" s="15" t="n">
        <v>195</v>
      </c>
      <c r="FY3641" s="15" t="n">
        <v>195</v>
      </c>
      <c r="GU3641" s="15" t="n">
        <v>195</v>
      </c>
    </row>
    <row r="3642">
      <c r="C3642" s="15" t="n">
        <v>196</v>
      </c>
      <c r="AA3642" s="15" t="n">
        <v>196</v>
      </c>
      <c r="AW3642" s="15" t="n">
        <v>196</v>
      </c>
      <c r="BS3642" s="15" t="n">
        <v>196</v>
      </c>
      <c r="CO3642" s="15" t="n">
        <v>196</v>
      </c>
      <c r="DK3642" s="15" t="n">
        <v>196</v>
      </c>
      <c r="EG3642" s="15" t="n">
        <v>196</v>
      </c>
      <c r="FC3642" s="15" t="n">
        <v>196</v>
      </c>
      <c r="FY3642" s="15" t="n">
        <v>196</v>
      </c>
      <c r="GU3642" s="15" t="n">
        <v>196</v>
      </c>
    </row>
    <row r="3643">
      <c r="C3643" s="15" t="n">
        <v>197</v>
      </c>
      <c r="AA3643" s="15" t="n">
        <v>197</v>
      </c>
      <c r="AW3643" s="15" t="n">
        <v>197</v>
      </c>
      <c r="BS3643" s="15" t="n">
        <v>197</v>
      </c>
      <c r="CO3643" s="15" t="n">
        <v>197</v>
      </c>
      <c r="DK3643" s="15" t="n">
        <v>197</v>
      </c>
      <c r="EG3643" s="15" t="n">
        <v>197</v>
      </c>
      <c r="FC3643" s="15" t="n">
        <v>197</v>
      </c>
      <c r="FY3643" s="15" t="n">
        <v>197</v>
      </c>
      <c r="GU3643" s="15" t="n">
        <v>197</v>
      </c>
    </row>
    <row r="3644">
      <c r="C3644" s="15" t="n">
        <v>198</v>
      </c>
      <c r="AA3644" s="15" t="n">
        <v>198</v>
      </c>
      <c r="AW3644" s="15" t="n">
        <v>198</v>
      </c>
      <c r="BS3644" s="15" t="n">
        <v>198</v>
      </c>
      <c r="CO3644" s="15" t="n">
        <v>198</v>
      </c>
      <c r="DK3644" s="15" t="n">
        <v>198</v>
      </c>
      <c r="EG3644" s="15" t="n">
        <v>198</v>
      </c>
      <c r="FC3644" s="15" t="n">
        <v>198</v>
      </c>
      <c r="FY3644" s="15" t="n">
        <v>198</v>
      </c>
      <c r="GU3644" s="15" t="n">
        <v>198</v>
      </c>
    </row>
    <row r="3646">
      <c r="C3646" s="15" t="inlineStr">
        <is>
          <t>DesvPad(ND*ELT)</t>
        </is>
      </c>
      <c r="D3646" s="15" t="n">
        <v>22</v>
      </c>
      <c r="E3646" s="15" t="n">
        <v>23</v>
      </c>
      <c r="F3646" s="15" t="n">
        <v>24</v>
      </c>
      <c r="AA3646" s="15" t="inlineStr">
        <is>
          <t>DesvPad(ND*ELT)</t>
        </is>
      </c>
      <c r="AB3646" s="15" t="n">
        <v>22</v>
      </c>
      <c r="AC3646" s="15" t="n">
        <v>23</v>
      </c>
      <c r="AD3646" s="15" t="n">
        <v>24</v>
      </c>
      <c r="AW3646" s="15" t="inlineStr">
        <is>
          <t>DesvPad(ND*ELT)</t>
        </is>
      </c>
      <c r="AX3646" s="15" t="n">
        <v>22</v>
      </c>
      <c r="AY3646" s="15" t="n">
        <v>23</v>
      </c>
      <c r="AZ3646" s="15" t="n">
        <v>24</v>
      </c>
      <c r="BS3646" s="15" t="inlineStr">
        <is>
          <t>DesvPad(ND*ELT)</t>
        </is>
      </c>
      <c r="BT3646" s="15" t="n">
        <v>22</v>
      </c>
      <c r="BU3646" s="15" t="n">
        <v>23</v>
      </c>
      <c r="BV3646" s="15" t="n">
        <v>24</v>
      </c>
      <c r="CO3646" s="15" t="inlineStr">
        <is>
          <t>DesvPad(ND*ELT)</t>
        </is>
      </c>
      <c r="CP3646" s="15" t="n">
        <v>22</v>
      </c>
      <c r="CQ3646" s="15" t="n">
        <v>23</v>
      </c>
      <c r="CR3646" s="15" t="n">
        <v>24</v>
      </c>
      <c r="DK3646" s="15" t="inlineStr">
        <is>
          <t>DesvPad(ND*ELT)</t>
        </is>
      </c>
      <c r="DL3646" s="15" t="n">
        <v>22</v>
      </c>
      <c r="DM3646" s="15" t="n">
        <v>23</v>
      </c>
      <c r="DN3646" s="15" t="n">
        <v>24</v>
      </c>
      <c r="EG3646" s="15" t="inlineStr">
        <is>
          <t>DesvPad(ND*ELT)</t>
        </is>
      </c>
      <c r="EH3646" s="15" t="n">
        <v>22</v>
      </c>
      <c r="EI3646" s="15" t="n">
        <v>23</v>
      </c>
      <c r="EJ3646" s="15" t="n">
        <v>24</v>
      </c>
      <c r="FC3646" s="15" t="inlineStr">
        <is>
          <t>DesvPad(ND*ELT)</t>
        </is>
      </c>
      <c r="FD3646" s="15" t="n">
        <v>22</v>
      </c>
      <c r="FE3646" s="15" t="n">
        <v>23</v>
      </c>
      <c r="FF3646" s="15" t="n">
        <v>24</v>
      </c>
      <c r="FY3646" s="15" t="inlineStr">
        <is>
          <t>DesvPad(ND*ELT)</t>
        </is>
      </c>
      <c r="FZ3646" s="15" t="n">
        <v>22</v>
      </c>
      <c r="GA3646" s="15" t="n">
        <v>23</v>
      </c>
      <c r="GB3646" s="15" t="n">
        <v>24</v>
      </c>
      <c r="GU3646" s="15" t="inlineStr">
        <is>
          <t>DesvPad(ND*ELT)</t>
        </is>
      </c>
      <c r="GV3646" s="15" t="n">
        <v>22</v>
      </c>
      <c r="GW3646" s="15" t="n">
        <v>23</v>
      </c>
      <c r="GX3646" s="15" t="n">
        <v>24</v>
      </c>
    </row>
    <row r="3647">
      <c r="C3647" s="15" t="n">
        <v>9</v>
      </c>
      <c r="AA3647" s="15" t="n">
        <v>9</v>
      </c>
      <c r="AW3647" s="15" t="n">
        <v>9</v>
      </c>
      <c r="BS3647" s="15" t="n">
        <v>9</v>
      </c>
      <c r="CO3647" s="15" t="n">
        <v>9</v>
      </c>
      <c r="DK3647" s="15" t="n">
        <v>9</v>
      </c>
      <c r="EG3647" s="15" t="n">
        <v>9</v>
      </c>
      <c r="FC3647" s="15" t="n">
        <v>9</v>
      </c>
      <c r="FY3647" s="15" t="n">
        <v>9</v>
      </c>
      <c r="GU3647" s="15" t="n">
        <v>9</v>
      </c>
    </row>
    <row r="3648">
      <c r="C3648" s="15" t="n">
        <v>10</v>
      </c>
      <c r="AA3648" s="15" t="n">
        <v>10</v>
      </c>
      <c r="AW3648" s="15" t="n">
        <v>10</v>
      </c>
      <c r="BS3648" s="15" t="n">
        <v>10</v>
      </c>
      <c r="CO3648" s="15" t="n">
        <v>10</v>
      </c>
      <c r="DK3648" s="15" t="n">
        <v>10</v>
      </c>
      <c r="EG3648" s="15" t="n">
        <v>10</v>
      </c>
      <c r="FC3648" s="15" t="n">
        <v>10</v>
      </c>
      <c r="FY3648" s="15" t="n">
        <v>10</v>
      </c>
      <c r="GU3648" s="15" t="n">
        <v>10</v>
      </c>
    </row>
    <row r="3649">
      <c r="C3649" s="15" t="n">
        <v>11</v>
      </c>
      <c r="AA3649" s="15" t="n">
        <v>11</v>
      </c>
      <c r="AW3649" s="15" t="n">
        <v>11</v>
      </c>
      <c r="BS3649" s="15" t="n">
        <v>11</v>
      </c>
      <c r="CO3649" s="15" t="n">
        <v>11</v>
      </c>
      <c r="DK3649" s="15" t="n">
        <v>11</v>
      </c>
      <c r="EG3649" s="15" t="n">
        <v>11</v>
      </c>
      <c r="FC3649" s="15" t="n">
        <v>11</v>
      </c>
      <c r="FY3649" s="15" t="n">
        <v>11</v>
      </c>
      <c r="GU3649" s="15" t="n">
        <v>11</v>
      </c>
    </row>
    <row r="3650">
      <c r="C3650" s="15" t="n">
        <v>12</v>
      </c>
      <c r="AA3650" s="15" t="n">
        <v>12</v>
      </c>
      <c r="AW3650" s="15" t="n">
        <v>12</v>
      </c>
      <c r="BS3650" s="15" t="n">
        <v>12</v>
      </c>
      <c r="CO3650" s="15" t="n">
        <v>12</v>
      </c>
      <c r="DK3650" s="15" t="n">
        <v>12</v>
      </c>
      <c r="EG3650" s="15" t="n">
        <v>12</v>
      </c>
      <c r="FC3650" s="15" t="n">
        <v>12</v>
      </c>
      <c r="FY3650" s="15" t="n">
        <v>12</v>
      </c>
      <c r="GU3650" s="15" t="n">
        <v>12</v>
      </c>
    </row>
    <row r="3651">
      <c r="C3651" s="15" t="n">
        <v>13</v>
      </c>
      <c r="AA3651" s="15" t="n">
        <v>13</v>
      </c>
      <c r="AW3651" s="15" t="n">
        <v>13</v>
      </c>
      <c r="BS3651" s="15" t="n">
        <v>13</v>
      </c>
      <c r="CO3651" s="15" t="n">
        <v>13</v>
      </c>
      <c r="DK3651" s="15" t="n">
        <v>13</v>
      </c>
      <c r="EG3651" s="15" t="n">
        <v>13</v>
      </c>
      <c r="FC3651" s="15" t="n">
        <v>13</v>
      </c>
      <c r="FY3651" s="15" t="n">
        <v>13</v>
      </c>
      <c r="GU3651" s="15" t="n">
        <v>13</v>
      </c>
    </row>
    <row r="3652">
      <c r="C3652" s="15" t="n">
        <v>14</v>
      </c>
      <c r="AA3652" s="15" t="n">
        <v>14</v>
      </c>
      <c r="AW3652" s="15" t="n">
        <v>14</v>
      </c>
      <c r="BS3652" s="15" t="n">
        <v>14</v>
      </c>
      <c r="CO3652" s="15" t="n">
        <v>14</v>
      </c>
      <c r="DK3652" s="15" t="n">
        <v>14</v>
      </c>
      <c r="EG3652" s="15" t="n">
        <v>14</v>
      </c>
      <c r="FC3652" s="15" t="n">
        <v>14</v>
      </c>
      <c r="FY3652" s="15" t="n">
        <v>14</v>
      </c>
      <c r="GU3652" s="15" t="n">
        <v>14</v>
      </c>
    </row>
    <row r="3653">
      <c r="C3653" s="15" t="n">
        <v>15</v>
      </c>
      <c r="AA3653" s="15" t="n">
        <v>15</v>
      </c>
      <c r="AW3653" s="15" t="n">
        <v>15</v>
      </c>
      <c r="BS3653" s="15" t="n">
        <v>15</v>
      </c>
      <c r="CO3653" s="15" t="n">
        <v>15</v>
      </c>
      <c r="DK3653" s="15" t="n">
        <v>15</v>
      </c>
      <c r="EG3653" s="15" t="n">
        <v>15</v>
      </c>
      <c r="FC3653" s="15" t="n">
        <v>15</v>
      </c>
      <c r="FY3653" s="15" t="n">
        <v>15</v>
      </c>
      <c r="GU3653" s="15" t="n">
        <v>15</v>
      </c>
    </row>
    <row r="3654">
      <c r="C3654" s="15" t="n">
        <v>16</v>
      </c>
      <c r="AA3654" s="15" t="n">
        <v>16</v>
      </c>
      <c r="AW3654" s="15" t="n">
        <v>16</v>
      </c>
      <c r="BS3654" s="15" t="n">
        <v>16</v>
      </c>
      <c r="CO3654" s="15" t="n">
        <v>16</v>
      </c>
      <c r="DK3654" s="15" t="n">
        <v>16</v>
      </c>
      <c r="EG3654" s="15" t="n">
        <v>16</v>
      </c>
      <c r="FC3654" s="15" t="n">
        <v>16</v>
      </c>
      <c r="FY3654" s="15" t="n">
        <v>16</v>
      </c>
      <c r="GU3654" s="15" t="n">
        <v>16</v>
      </c>
    </row>
    <row r="3655">
      <c r="C3655" s="15" t="n">
        <v>17</v>
      </c>
      <c r="AA3655" s="15" t="n">
        <v>17</v>
      </c>
      <c r="AW3655" s="15" t="n">
        <v>17</v>
      </c>
      <c r="BS3655" s="15" t="n">
        <v>17</v>
      </c>
      <c r="CO3655" s="15" t="n">
        <v>17</v>
      </c>
      <c r="DK3655" s="15" t="n">
        <v>17</v>
      </c>
      <c r="EG3655" s="15" t="n">
        <v>17</v>
      </c>
      <c r="FC3655" s="15" t="n">
        <v>17</v>
      </c>
      <c r="FY3655" s="15" t="n">
        <v>17</v>
      </c>
      <c r="GU3655" s="15" t="n">
        <v>17</v>
      </c>
    </row>
    <row r="3656">
      <c r="C3656" s="15" t="n">
        <v>18</v>
      </c>
      <c r="AA3656" s="15" t="n">
        <v>18</v>
      </c>
      <c r="AW3656" s="15" t="n">
        <v>18</v>
      </c>
      <c r="BS3656" s="15" t="n">
        <v>18</v>
      </c>
      <c r="CO3656" s="15" t="n">
        <v>18</v>
      </c>
      <c r="DK3656" s="15" t="n">
        <v>18</v>
      </c>
      <c r="EG3656" s="15" t="n">
        <v>18</v>
      </c>
      <c r="FC3656" s="15" t="n">
        <v>18</v>
      </c>
      <c r="FY3656" s="15" t="n">
        <v>18</v>
      </c>
      <c r="GU3656" s="15" t="n">
        <v>18</v>
      </c>
    </row>
    <row r="3657">
      <c r="C3657" s="15" t="n">
        <v>19</v>
      </c>
      <c r="AA3657" s="15" t="n">
        <v>19</v>
      </c>
      <c r="AW3657" s="15" t="n">
        <v>19</v>
      </c>
      <c r="BS3657" s="15" t="n">
        <v>19</v>
      </c>
      <c r="CO3657" s="15" t="n">
        <v>19</v>
      </c>
      <c r="DK3657" s="15" t="n">
        <v>19</v>
      </c>
      <c r="EG3657" s="15" t="n">
        <v>19</v>
      </c>
      <c r="FC3657" s="15" t="n">
        <v>19</v>
      </c>
      <c r="FY3657" s="15" t="n">
        <v>19</v>
      </c>
      <c r="GU3657" s="15" t="n">
        <v>19</v>
      </c>
    </row>
    <row r="3658">
      <c r="C3658" s="15" t="n">
        <v>20</v>
      </c>
      <c r="AA3658" s="15" t="n">
        <v>20</v>
      </c>
      <c r="AW3658" s="15" t="n">
        <v>20</v>
      </c>
      <c r="BS3658" s="15" t="n">
        <v>20</v>
      </c>
      <c r="CO3658" s="15" t="n">
        <v>20</v>
      </c>
      <c r="DK3658" s="15" t="n">
        <v>20</v>
      </c>
      <c r="EG3658" s="15" t="n">
        <v>20</v>
      </c>
      <c r="FC3658" s="15" t="n">
        <v>20</v>
      </c>
      <c r="FY3658" s="15" t="n">
        <v>20</v>
      </c>
      <c r="GU3658" s="15" t="n">
        <v>20</v>
      </c>
    </row>
    <row r="3659">
      <c r="C3659" s="15" t="n">
        <v>21</v>
      </c>
      <c r="AA3659" s="15" t="n">
        <v>21</v>
      </c>
      <c r="AW3659" s="15" t="n">
        <v>21</v>
      </c>
      <c r="BS3659" s="15" t="n">
        <v>21</v>
      </c>
      <c r="CO3659" s="15" t="n">
        <v>21</v>
      </c>
      <c r="DK3659" s="15" t="n">
        <v>21</v>
      </c>
      <c r="EG3659" s="15" t="n">
        <v>21</v>
      </c>
      <c r="FC3659" s="15" t="n">
        <v>21</v>
      </c>
      <c r="FY3659" s="15" t="n">
        <v>21</v>
      </c>
      <c r="GU3659" s="15" t="n">
        <v>21</v>
      </c>
    </row>
    <row r="3660">
      <c r="C3660" s="15" t="n">
        <v>22</v>
      </c>
      <c r="AA3660" s="15" t="n">
        <v>22</v>
      </c>
      <c r="AW3660" s="15" t="n">
        <v>22</v>
      </c>
      <c r="BS3660" s="15" t="n">
        <v>22</v>
      </c>
      <c r="CO3660" s="15" t="n">
        <v>22</v>
      </c>
      <c r="DK3660" s="15" t="n">
        <v>22</v>
      </c>
      <c r="EG3660" s="15" t="n">
        <v>22</v>
      </c>
      <c r="FC3660" s="15" t="n">
        <v>22</v>
      </c>
      <c r="FY3660" s="15" t="n">
        <v>22</v>
      </c>
      <c r="GU3660" s="15" t="n">
        <v>22</v>
      </c>
    </row>
    <row r="3661">
      <c r="C3661" s="15" t="n">
        <v>23</v>
      </c>
      <c r="AA3661" s="15" t="n">
        <v>23</v>
      </c>
      <c r="AW3661" s="15" t="n">
        <v>23</v>
      </c>
      <c r="BS3661" s="15" t="n">
        <v>23</v>
      </c>
      <c r="CO3661" s="15" t="n">
        <v>23</v>
      </c>
      <c r="DK3661" s="15" t="n">
        <v>23</v>
      </c>
      <c r="EG3661" s="15" t="n">
        <v>23</v>
      </c>
      <c r="FC3661" s="15" t="n">
        <v>23</v>
      </c>
      <c r="FY3661" s="15" t="n">
        <v>23</v>
      </c>
      <c r="GU3661" s="15" t="n">
        <v>23</v>
      </c>
    </row>
    <row r="3662">
      <c r="C3662" s="15" t="n">
        <v>24</v>
      </c>
      <c r="AA3662" s="15" t="n">
        <v>24</v>
      </c>
      <c r="AW3662" s="15" t="n">
        <v>24</v>
      </c>
      <c r="BS3662" s="15" t="n">
        <v>24</v>
      </c>
      <c r="CO3662" s="15" t="n">
        <v>24</v>
      </c>
      <c r="DK3662" s="15" t="n">
        <v>24</v>
      </c>
      <c r="EG3662" s="15" t="n">
        <v>24</v>
      </c>
      <c r="FC3662" s="15" t="n">
        <v>24</v>
      </c>
      <c r="FY3662" s="15" t="n">
        <v>24</v>
      </c>
      <c r="GU3662" s="15" t="n">
        <v>24</v>
      </c>
    </row>
    <row r="3663">
      <c r="C3663" s="15" t="n">
        <v>25</v>
      </c>
      <c r="AA3663" s="15" t="n">
        <v>25</v>
      </c>
      <c r="AW3663" s="15" t="n">
        <v>25</v>
      </c>
      <c r="BS3663" s="15" t="n">
        <v>25</v>
      </c>
      <c r="CO3663" s="15" t="n">
        <v>25</v>
      </c>
      <c r="DK3663" s="15" t="n">
        <v>25</v>
      </c>
      <c r="EG3663" s="15" t="n">
        <v>25</v>
      </c>
      <c r="FC3663" s="15" t="n">
        <v>25</v>
      </c>
      <c r="FY3663" s="15" t="n">
        <v>25</v>
      </c>
      <c r="GU3663" s="15" t="n">
        <v>25</v>
      </c>
    </row>
    <row r="3664">
      <c r="C3664" s="15" t="n">
        <v>26</v>
      </c>
      <c r="AA3664" s="15" t="n">
        <v>26</v>
      </c>
      <c r="AW3664" s="15" t="n">
        <v>26</v>
      </c>
      <c r="BS3664" s="15" t="n">
        <v>26</v>
      </c>
      <c r="CO3664" s="15" t="n">
        <v>26</v>
      </c>
      <c r="DK3664" s="15" t="n">
        <v>26</v>
      </c>
      <c r="EG3664" s="15" t="n">
        <v>26</v>
      </c>
      <c r="FC3664" s="15" t="n">
        <v>26</v>
      </c>
      <c r="FY3664" s="15" t="n">
        <v>26</v>
      </c>
      <c r="GU3664" s="15" t="n">
        <v>26</v>
      </c>
    </row>
    <row r="3665">
      <c r="C3665" s="15" t="n">
        <v>27</v>
      </c>
      <c r="AA3665" s="15" t="n">
        <v>27</v>
      </c>
      <c r="AW3665" s="15" t="n">
        <v>27</v>
      </c>
      <c r="BS3665" s="15" t="n">
        <v>27</v>
      </c>
      <c r="CO3665" s="15" t="n">
        <v>27</v>
      </c>
      <c r="DK3665" s="15" t="n">
        <v>27</v>
      </c>
      <c r="EG3665" s="15" t="n">
        <v>27</v>
      </c>
      <c r="FC3665" s="15" t="n">
        <v>27</v>
      </c>
      <c r="FY3665" s="15" t="n">
        <v>27</v>
      </c>
      <c r="GU3665" s="15" t="n">
        <v>27</v>
      </c>
    </row>
    <row r="3666">
      <c r="C3666" s="15" t="n">
        <v>28</v>
      </c>
      <c r="AA3666" s="15" t="n">
        <v>28</v>
      </c>
      <c r="AW3666" s="15" t="n">
        <v>28</v>
      </c>
      <c r="BS3666" s="15" t="n">
        <v>28</v>
      </c>
      <c r="CO3666" s="15" t="n">
        <v>28</v>
      </c>
      <c r="DK3666" s="15" t="n">
        <v>28</v>
      </c>
      <c r="EG3666" s="15" t="n">
        <v>28</v>
      </c>
      <c r="FC3666" s="15" t="n">
        <v>28</v>
      </c>
      <c r="FY3666" s="15" t="n">
        <v>28</v>
      </c>
      <c r="GU3666" s="15" t="n">
        <v>28</v>
      </c>
    </row>
    <row r="3667">
      <c r="C3667" s="15" t="n">
        <v>29</v>
      </c>
      <c r="AA3667" s="15" t="n">
        <v>29</v>
      </c>
      <c r="AW3667" s="15" t="n">
        <v>29</v>
      </c>
      <c r="BS3667" s="15" t="n">
        <v>29</v>
      </c>
      <c r="CO3667" s="15" t="n">
        <v>29</v>
      </c>
      <c r="DK3667" s="15" t="n">
        <v>29</v>
      </c>
      <c r="EG3667" s="15" t="n">
        <v>29</v>
      </c>
      <c r="FC3667" s="15" t="n">
        <v>29</v>
      </c>
      <c r="FY3667" s="15" t="n">
        <v>29</v>
      </c>
      <c r="GU3667" s="15" t="n">
        <v>29</v>
      </c>
    </row>
    <row r="3668">
      <c r="C3668" s="15" t="n">
        <v>30</v>
      </c>
      <c r="AA3668" s="15" t="n">
        <v>30</v>
      </c>
      <c r="AW3668" s="15" t="n">
        <v>30</v>
      </c>
      <c r="BS3668" s="15" t="n">
        <v>30</v>
      </c>
      <c r="CO3668" s="15" t="n">
        <v>30</v>
      </c>
      <c r="DK3668" s="15" t="n">
        <v>30</v>
      </c>
      <c r="EG3668" s="15" t="n">
        <v>30</v>
      </c>
      <c r="FC3668" s="15" t="n">
        <v>30</v>
      </c>
      <c r="FY3668" s="15" t="n">
        <v>30</v>
      </c>
      <c r="GU3668" s="15" t="n">
        <v>30</v>
      </c>
    </row>
    <row r="3669">
      <c r="C3669" s="15" t="n">
        <v>31</v>
      </c>
      <c r="AA3669" s="15" t="n">
        <v>31</v>
      </c>
      <c r="AW3669" s="15" t="n">
        <v>31</v>
      </c>
      <c r="BS3669" s="15" t="n">
        <v>31</v>
      </c>
      <c r="CO3669" s="15" t="n">
        <v>31</v>
      </c>
      <c r="DK3669" s="15" t="n">
        <v>31</v>
      </c>
      <c r="EG3669" s="15" t="n">
        <v>31</v>
      </c>
      <c r="FC3669" s="15" t="n">
        <v>31</v>
      </c>
      <c r="FY3669" s="15" t="n">
        <v>31</v>
      </c>
      <c r="GU3669" s="15" t="n">
        <v>31</v>
      </c>
    </row>
    <row r="3670">
      <c r="C3670" s="15" t="n">
        <v>32</v>
      </c>
      <c r="AA3670" s="15" t="n">
        <v>32</v>
      </c>
      <c r="AW3670" s="15" t="n">
        <v>32</v>
      </c>
      <c r="BS3670" s="15" t="n">
        <v>32</v>
      </c>
      <c r="CO3670" s="15" t="n">
        <v>32</v>
      </c>
      <c r="DK3670" s="15" t="n">
        <v>32</v>
      </c>
      <c r="EG3670" s="15" t="n">
        <v>32</v>
      </c>
      <c r="FC3670" s="15" t="n">
        <v>32</v>
      </c>
      <c r="FY3670" s="15" t="n">
        <v>32</v>
      </c>
      <c r="GU3670" s="15" t="n">
        <v>32</v>
      </c>
    </row>
    <row r="3671">
      <c r="C3671" s="15" t="n">
        <v>33</v>
      </c>
      <c r="AA3671" s="15" t="n">
        <v>33</v>
      </c>
      <c r="AW3671" s="15" t="n">
        <v>33</v>
      </c>
      <c r="BS3671" s="15" t="n">
        <v>33</v>
      </c>
      <c r="CO3671" s="15" t="n">
        <v>33</v>
      </c>
      <c r="DK3671" s="15" t="n">
        <v>33</v>
      </c>
      <c r="EG3671" s="15" t="n">
        <v>33</v>
      </c>
      <c r="FC3671" s="15" t="n">
        <v>33</v>
      </c>
      <c r="FY3671" s="15" t="n">
        <v>33</v>
      </c>
      <c r="GU3671" s="15" t="n">
        <v>33</v>
      </c>
    </row>
    <row r="3672">
      <c r="C3672" s="15" t="n">
        <v>34</v>
      </c>
      <c r="AA3672" s="15" t="n">
        <v>34</v>
      </c>
      <c r="AW3672" s="15" t="n">
        <v>34</v>
      </c>
      <c r="BS3672" s="15" t="n">
        <v>34</v>
      </c>
      <c r="CO3672" s="15" t="n">
        <v>34</v>
      </c>
      <c r="DK3672" s="15" t="n">
        <v>34</v>
      </c>
      <c r="EG3672" s="15" t="n">
        <v>34</v>
      </c>
      <c r="FC3672" s="15" t="n">
        <v>34</v>
      </c>
      <c r="FY3672" s="15" t="n">
        <v>34</v>
      </c>
      <c r="GU3672" s="15" t="n">
        <v>34</v>
      </c>
    </row>
    <row r="3673">
      <c r="C3673" s="15" t="n">
        <v>35</v>
      </c>
      <c r="AA3673" s="15" t="n">
        <v>35</v>
      </c>
      <c r="AW3673" s="15" t="n">
        <v>35</v>
      </c>
      <c r="BS3673" s="15" t="n">
        <v>35</v>
      </c>
      <c r="CO3673" s="15" t="n">
        <v>35</v>
      </c>
      <c r="DK3673" s="15" t="n">
        <v>35</v>
      </c>
      <c r="EG3673" s="15" t="n">
        <v>35</v>
      </c>
      <c r="FC3673" s="15" t="n">
        <v>35</v>
      </c>
      <c r="FY3673" s="15" t="n">
        <v>35</v>
      </c>
      <c r="GU3673" s="15" t="n">
        <v>35</v>
      </c>
    </row>
    <row r="3674">
      <c r="C3674" s="15" t="n">
        <v>36</v>
      </c>
      <c r="AA3674" s="15" t="n">
        <v>36</v>
      </c>
      <c r="AW3674" s="15" t="n">
        <v>36</v>
      </c>
      <c r="BS3674" s="15" t="n">
        <v>36</v>
      </c>
      <c r="CO3674" s="15" t="n">
        <v>36</v>
      </c>
      <c r="DK3674" s="15" t="n">
        <v>36</v>
      </c>
      <c r="EG3674" s="15" t="n">
        <v>36</v>
      </c>
      <c r="FC3674" s="15" t="n">
        <v>36</v>
      </c>
      <c r="FY3674" s="15" t="n">
        <v>36</v>
      </c>
      <c r="GU3674" s="15" t="n">
        <v>36</v>
      </c>
    </row>
    <row r="3675">
      <c r="C3675" s="15" t="n">
        <v>37</v>
      </c>
      <c r="AA3675" s="15" t="n">
        <v>37</v>
      </c>
      <c r="AW3675" s="15" t="n">
        <v>37</v>
      </c>
      <c r="BS3675" s="15" t="n">
        <v>37</v>
      </c>
      <c r="CO3675" s="15" t="n">
        <v>37</v>
      </c>
      <c r="DK3675" s="15" t="n">
        <v>37</v>
      </c>
      <c r="EG3675" s="15" t="n">
        <v>37</v>
      </c>
      <c r="FC3675" s="15" t="n">
        <v>37</v>
      </c>
      <c r="FY3675" s="15" t="n">
        <v>37</v>
      </c>
      <c r="GU3675" s="15" t="n">
        <v>37</v>
      </c>
    </row>
    <row r="3676">
      <c r="C3676" s="15" t="n">
        <v>38</v>
      </c>
      <c r="AA3676" s="15" t="n">
        <v>38</v>
      </c>
      <c r="AW3676" s="15" t="n">
        <v>38</v>
      </c>
      <c r="BS3676" s="15" t="n">
        <v>38</v>
      </c>
      <c r="CO3676" s="15" t="n">
        <v>38</v>
      </c>
      <c r="DK3676" s="15" t="n">
        <v>38</v>
      </c>
      <c r="EG3676" s="15" t="n">
        <v>38</v>
      </c>
      <c r="FC3676" s="15" t="n">
        <v>38</v>
      </c>
      <c r="FY3676" s="15" t="n">
        <v>38</v>
      </c>
      <c r="GU3676" s="15" t="n">
        <v>38</v>
      </c>
    </row>
    <row r="3677">
      <c r="C3677" s="15" t="n">
        <v>39</v>
      </c>
      <c r="AA3677" s="15" t="n">
        <v>39</v>
      </c>
      <c r="AW3677" s="15" t="n">
        <v>39</v>
      </c>
      <c r="BS3677" s="15" t="n">
        <v>39</v>
      </c>
      <c r="CO3677" s="15" t="n">
        <v>39</v>
      </c>
      <c r="DK3677" s="15" t="n">
        <v>39</v>
      </c>
      <c r="EG3677" s="15" t="n">
        <v>39</v>
      </c>
      <c r="FC3677" s="15" t="n">
        <v>39</v>
      </c>
      <c r="FY3677" s="15" t="n">
        <v>39</v>
      </c>
      <c r="GU3677" s="15" t="n">
        <v>39</v>
      </c>
    </row>
    <row r="3678">
      <c r="C3678" s="15" t="n">
        <v>40</v>
      </c>
      <c r="AA3678" s="15" t="n">
        <v>40</v>
      </c>
      <c r="AW3678" s="15" t="n">
        <v>40</v>
      </c>
      <c r="BS3678" s="15" t="n">
        <v>40</v>
      </c>
      <c r="CO3678" s="15" t="n">
        <v>40</v>
      </c>
      <c r="DK3678" s="15" t="n">
        <v>40</v>
      </c>
      <c r="EG3678" s="15" t="n">
        <v>40</v>
      </c>
      <c r="FC3678" s="15" t="n">
        <v>40</v>
      </c>
      <c r="FY3678" s="15" t="n">
        <v>40</v>
      </c>
      <c r="GU3678" s="15" t="n">
        <v>40</v>
      </c>
    </row>
    <row r="3679">
      <c r="C3679" s="15" t="n">
        <v>41</v>
      </c>
      <c r="AA3679" s="15" t="n">
        <v>41</v>
      </c>
      <c r="AW3679" s="15" t="n">
        <v>41</v>
      </c>
      <c r="BS3679" s="15" t="n">
        <v>41</v>
      </c>
      <c r="CO3679" s="15" t="n">
        <v>41</v>
      </c>
      <c r="DK3679" s="15" t="n">
        <v>41</v>
      </c>
      <c r="EG3679" s="15" t="n">
        <v>41</v>
      </c>
      <c r="FC3679" s="15" t="n">
        <v>41</v>
      </c>
      <c r="FY3679" s="15" t="n">
        <v>41</v>
      </c>
      <c r="GU3679" s="15" t="n">
        <v>41</v>
      </c>
    </row>
    <row r="3680">
      <c r="C3680" s="15" t="n">
        <v>42</v>
      </c>
      <c r="AA3680" s="15" t="n">
        <v>42</v>
      </c>
      <c r="AW3680" s="15" t="n">
        <v>42</v>
      </c>
      <c r="BS3680" s="15" t="n">
        <v>42</v>
      </c>
      <c r="CO3680" s="15" t="n">
        <v>42</v>
      </c>
      <c r="DK3680" s="15" t="n">
        <v>42</v>
      </c>
      <c r="EG3680" s="15" t="n">
        <v>42</v>
      </c>
      <c r="FC3680" s="15" t="n">
        <v>42</v>
      </c>
      <c r="FY3680" s="15" t="n">
        <v>42</v>
      </c>
      <c r="GU3680" s="15" t="n">
        <v>42</v>
      </c>
    </row>
    <row r="3681">
      <c r="C3681" s="15" t="n">
        <v>43</v>
      </c>
      <c r="AA3681" s="15" t="n">
        <v>43</v>
      </c>
      <c r="AW3681" s="15" t="n">
        <v>43</v>
      </c>
      <c r="BS3681" s="15" t="n">
        <v>43</v>
      </c>
      <c r="CO3681" s="15" t="n">
        <v>43</v>
      </c>
      <c r="DK3681" s="15" t="n">
        <v>43</v>
      </c>
      <c r="EG3681" s="15" t="n">
        <v>43</v>
      </c>
      <c r="FC3681" s="15" t="n">
        <v>43</v>
      </c>
      <c r="FY3681" s="15" t="n">
        <v>43</v>
      </c>
      <c r="GU3681" s="15" t="n">
        <v>43</v>
      </c>
    </row>
    <row r="3682">
      <c r="C3682" s="15" t="n">
        <v>44</v>
      </c>
      <c r="AA3682" s="15" t="n">
        <v>44</v>
      </c>
      <c r="AW3682" s="15" t="n">
        <v>44</v>
      </c>
      <c r="BS3682" s="15" t="n">
        <v>44</v>
      </c>
      <c r="CO3682" s="15" t="n">
        <v>44</v>
      </c>
      <c r="DK3682" s="15" t="n">
        <v>44</v>
      </c>
      <c r="EG3682" s="15" t="n">
        <v>44</v>
      </c>
      <c r="FC3682" s="15" t="n">
        <v>44</v>
      </c>
      <c r="FY3682" s="15" t="n">
        <v>44</v>
      </c>
      <c r="GU3682" s="15" t="n">
        <v>44</v>
      </c>
    </row>
    <row r="3683">
      <c r="C3683" s="15" t="n">
        <v>45</v>
      </c>
      <c r="AA3683" s="15" t="n">
        <v>45</v>
      </c>
      <c r="AW3683" s="15" t="n">
        <v>45</v>
      </c>
      <c r="BS3683" s="15" t="n">
        <v>45</v>
      </c>
      <c r="CO3683" s="15" t="n">
        <v>45</v>
      </c>
      <c r="DK3683" s="15" t="n">
        <v>45</v>
      </c>
      <c r="EG3683" s="15" t="n">
        <v>45</v>
      </c>
      <c r="FC3683" s="15" t="n">
        <v>45</v>
      </c>
      <c r="FY3683" s="15" t="n">
        <v>45</v>
      </c>
      <c r="GU3683" s="15" t="n">
        <v>45</v>
      </c>
    </row>
    <row r="3684">
      <c r="C3684" s="15" t="n">
        <v>46</v>
      </c>
      <c r="AA3684" s="15" t="n">
        <v>46</v>
      </c>
      <c r="AW3684" s="15" t="n">
        <v>46</v>
      </c>
      <c r="BS3684" s="15" t="n">
        <v>46</v>
      </c>
      <c r="CO3684" s="15" t="n">
        <v>46</v>
      </c>
      <c r="DK3684" s="15" t="n">
        <v>46</v>
      </c>
      <c r="EG3684" s="15" t="n">
        <v>46</v>
      </c>
      <c r="FC3684" s="15" t="n">
        <v>46</v>
      </c>
      <c r="FY3684" s="15" t="n">
        <v>46</v>
      </c>
      <c r="GU3684" s="15" t="n">
        <v>46</v>
      </c>
    </row>
    <row r="3685">
      <c r="C3685" s="15" t="n">
        <v>47</v>
      </c>
      <c r="AA3685" s="15" t="n">
        <v>47</v>
      </c>
      <c r="AW3685" s="15" t="n">
        <v>47</v>
      </c>
      <c r="BS3685" s="15" t="n">
        <v>47</v>
      </c>
      <c r="CO3685" s="15" t="n">
        <v>47</v>
      </c>
      <c r="DK3685" s="15" t="n">
        <v>47</v>
      </c>
      <c r="EG3685" s="15" t="n">
        <v>47</v>
      </c>
      <c r="FC3685" s="15" t="n">
        <v>47</v>
      </c>
      <c r="FY3685" s="15" t="n">
        <v>47</v>
      </c>
      <c r="GU3685" s="15" t="n">
        <v>47</v>
      </c>
    </row>
    <row r="3686">
      <c r="C3686" s="15" t="n">
        <v>48</v>
      </c>
      <c r="AA3686" s="15" t="n">
        <v>48</v>
      </c>
      <c r="AW3686" s="15" t="n">
        <v>48</v>
      </c>
      <c r="BS3686" s="15" t="n">
        <v>48</v>
      </c>
      <c r="CO3686" s="15" t="n">
        <v>48</v>
      </c>
      <c r="DK3686" s="15" t="n">
        <v>48</v>
      </c>
      <c r="EG3686" s="15" t="n">
        <v>48</v>
      </c>
      <c r="FC3686" s="15" t="n">
        <v>48</v>
      </c>
      <c r="FY3686" s="15" t="n">
        <v>48</v>
      </c>
      <c r="GU3686" s="15" t="n">
        <v>48</v>
      </c>
    </row>
    <row r="3687">
      <c r="C3687" s="15" t="n">
        <v>49</v>
      </c>
      <c r="AA3687" s="15" t="n">
        <v>49</v>
      </c>
      <c r="AW3687" s="15" t="n">
        <v>49</v>
      </c>
      <c r="BS3687" s="15" t="n">
        <v>49</v>
      </c>
      <c r="CO3687" s="15" t="n">
        <v>49</v>
      </c>
      <c r="DK3687" s="15" t="n">
        <v>49</v>
      </c>
      <c r="EG3687" s="15" t="n">
        <v>49</v>
      </c>
      <c r="FC3687" s="15" t="n">
        <v>49</v>
      </c>
      <c r="FY3687" s="15" t="n">
        <v>49</v>
      </c>
      <c r="GU3687" s="15" t="n">
        <v>49</v>
      </c>
    </row>
    <row r="3688">
      <c r="C3688" s="15" t="n">
        <v>50</v>
      </c>
      <c r="AA3688" s="15" t="n">
        <v>50</v>
      </c>
      <c r="AW3688" s="15" t="n">
        <v>50</v>
      </c>
      <c r="BS3688" s="15" t="n">
        <v>50</v>
      </c>
      <c r="CO3688" s="15" t="n">
        <v>50</v>
      </c>
      <c r="DK3688" s="15" t="n">
        <v>50</v>
      </c>
      <c r="EG3688" s="15" t="n">
        <v>50</v>
      </c>
      <c r="FC3688" s="15" t="n">
        <v>50</v>
      </c>
      <c r="FY3688" s="15" t="n">
        <v>50</v>
      </c>
      <c r="GU3688" s="15" t="n">
        <v>50</v>
      </c>
    </row>
    <row r="3689">
      <c r="C3689" s="15" t="n">
        <v>51</v>
      </c>
      <c r="AA3689" s="15" t="n">
        <v>51</v>
      </c>
      <c r="AW3689" s="15" t="n">
        <v>51</v>
      </c>
      <c r="BS3689" s="15" t="n">
        <v>51</v>
      </c>
      <c r="CO3689" s="15" t="n">
        <v>51</v>
      </c>
      <c r="DK3689" s="15" t="n">
        <v>51</v>
      </c>
      <c r="EG3689" s="15" t="n">
        <v>51</v>
      </c>
      <c r="FC3689" s="15" t="n">
        <v>51</v>
      </c>
      <c r="FY3689" s="15" t="n">
        <v>51</v>
      </c>
      <c r="GU3689" s="15" t="n">
        <v>51</v>
      </c>
    </row>
    <row r="3690">
      <c r="C3690" s="15" t="n">
        <v>52</v>
      </c>
      <c r="AA3690" s="15" t="n">
        <v>52</v>
      </c>
      <c r="AW3690" s="15" t="n">
        <v>52</v>
      </c>
      <c r="BS3690" s="15" t="n">
        <v>52</v>
      </c>
      <c r="CO3690" s="15" t="n">
        <v>52</v>
      </c>
      <c r="DK3690" s="15" t="n">
        <v>52</v>
      </c>
      <c r="EG3690" s="15" t="n">
        <v>52</v>
      </c>
      <c r="FC3690" s="15" t="n">
        <v>52</v>
      </c>
      <c r="FY3690" s="15" t="n">
        <v>52</v>
      </c>
      <c r="GU3690" s="15" t="n">
        <v>52</v>
      </c>
    </row>
    <row r="3691">
      <c r="C3691" s="15" t="n">
        <v>53</v>
      </c>
      <c r="AA3691" s="15" t="n">
        <v>53</v>
      </c>
      <c r="AW3691" s="15" t="n">
        <v>53</v>
      </c>
      <c r="BS3691" s="15" t="n">
        <v>53</v>
      </c>
      <c r="CO3691" s="15" t="n">
        <v>53</v>
      </c>
      <c r="DK3691" s="15" t="n">
        <v>53</v>
      </c>
      <c r="EG3691" s="15" t="n">
        <v>53</v>
      </c>
      <c r="FC3691" s="15" t="n">
        <v>53</v>
      </c>
      <c r="FY3691" s="15" t="n">
        <v>53</v>
      </c>
      <c r="GU3691" s="15" t="n">
        <v>53</v>
      </c>
    </row>
    <row r="3692">
      <c r="C3692" s="15" t="n">
        <v>54</v>
      </c>
      <c r="AA3692" s="15" t="n">
        <v>54</v>
      </c>
      <c r="AW3692" s="15" t="n">
        <v>54</v>
      </c>
      <c r="BS3692" s="15" t="n">
        <v>54</v>
      </c>
      <c r="CO3692" s="15" t="n">
        <v>54</v>
      </c>
      <c r="DK3692" s="15" t="n">
        <v>54</v>
      </c>
      <c r="EG3692" s="15" t="n">
        <v>54</v>
      </c>
      <c r="FC3692" s="15" t="n">
        <v>54</v>
      </c>
      <c r="FY3692" s="15" t="n">
        <v>54</v>
      </c>
      <c r="GU3692" s="15" t="n">
        <v>54</v>
      </c>
    </row>
    <row r="3693">
      <c r="C3693" s="15" t="n">
        <v>55</v>
      </c>
      <c r="AA3693" s="15" t="n">
        <v>55</v>
      </c>
      <c r="AW3693" s="15" t="n">
        <v>55</v>
      </c>
      <c r="BS3693" s="15" t="n">
        <v>55</v>
      </c>
      <c r="CO3693" s="15" t="n">
        <v>55</v>
      </c>
      <c r="DK3693" s="15" t="n">
        <v>55</v>
      </c>
      <c r="EG3693" s="15" t="n">
        <v>55</v>
      </c>
      <c r="FC3693" s="15" t="n">
        <v>55</v>
      </c>
      <c r="FY3693" s="15" t="n">
        <v>55</v>
      </c>
      <c r="GU3693" s="15" t="n">
        <v>55</v>
      </c>
    </row>
    <row r="3694">
      <c r="C3694" s="15" t="n">
        <v>56</v>
      </c>
      <c r="AA3694" s="15" t="n">
        <v>56</v>
      </c>
      <c r="AW3694" s="15" t="n">
        <v>56</v>
      </c>
      <c r="BS3694" s="15" t="n">
        <v>56</v>
      </c>
      <c r="CO3694" s="15" t="n">
        <v>56</v>
      </c>
      <c r="DK3694" s="15" t="n">
        <v>56</v>
      </c>
      <c r="EG3694" s="15" t="n">
        <v>56</v>
      </c>
      <c r="FC3694" s="15" t="n">
        <v>56</v>
      </c>
      <c r="FY3694" s="15" t="n">
        <v>56</v>
      </c>
      <c r="GU3694" s="15" t="n">
        <v>56</v>
      </c>
    </row>
    <row r="3695">
      <c r="C3695" s="15" t="n">
        <v>57</v>
      </c>
      <c r="AA3695" s="15" t="n">
        <v>57</v>
      </c>
      <c r="AW3695" s="15" t="n">
        <v>57</v>
      </c>
      <c r="BS3695" s="15" t="n">
        <v>57</v>
      </c>
      <c r="CO3695" s="15" t="n">
        <v>57</v>
      </c>
      <c r="DK3695" s="15" t="n">
        <v>57</v>
      </c>
      <c r="EG3695" s="15" t="n">
        <v>57</v>
      </c>
      <c r="FC3695" s="15" t="n">
        <v>57</v>
      </c>
      <c r="FY3695" s="15" t="n">
        <v>57</v>
      </c>
      <c r="GU3695" s="15" t="n">
        <v>57</v>
      </c>
    </row>
    <row r="3696">
      <c r="C3696" s="15" t="n">
        <v>58</v>
      </c>
      <c r="AA3696" s="15" t="n">
        <v>58</v>
      </c>
      <c r="AW3696" s="15" t="n">
        <v>58</v>
      </c>
      <c r="BS3696" s="15" t="n">
        <v>58</v>
      </c>
      <c r="CO3696" s="15" t="n">
        <v>58</v>
      </c>
      <c r="DK3696" s="15" t="n">
        <v>58</v>
      </c>
      <c r="EG3696" s="15" t="n">
        <v>58</v>
      </c>
      <c r="FC3696" s="15" t="n">
        <v>58</v>
      </c>
      <c r="FY3696" s="15" t="n">
        <v>58</v>
      </c>
      <c r="GU3696" s="15" t="n">
        <v>58</v>
      </c>
    </row>
    <row r="3697">
      <c r="C3697" s="15" t="n">
        <v>59</v>
      </c>
      <c r="AA3697" s="15" t="n">
        <v>59</v>
      </c>
      <c r="AW3697" s="15" t="n">
        <v>59</v>
      </c>
      <c r="BS3697" s="15" t="n">
        <v>59</v>
      </c>
      <c r="CO3697" s="15" t="n">
        <v>59</v>
      </c>
      <c r="DK3697" s="15" t="n">
        <v>59</v>
      </c>
      <c r="EG3697" s="15" t="n">
        <v>59</v>
      </c>
      <c r="FC3697" s="15" t="n">
        <v>59</v>
      </c>
      <c r="FY3697" s="15" t="n">
        <v>59</v>
      </c>
      <c r="GU3697" s="15" t="n">
        <v>59</v>
      </c>
    </row>
    <row r="3698">
      <c r="C3698" s="15" t="n">
        <v>60</v>
      </c>
      <c r="AA3698" s="15" t="n">
        <v>60</v>
      </c>
      <c r="AW3698" s="15" t="n">
        <v>60</v>
      </c>
      <c r="BS3698" s="15" t="n">
        <v>60</v>
      </c>
      <c r="CO3698" s="15" t="n">
        <v>60</v>
      </c>
      <c r="DK3698" s="15" t="n">
        <v>60</v>
      </c>
      <c r="EG3698" s="15" t="n">
        <v>60</v>
      </c>
      <c r="FC3698" s="15" t="n">
        <v>60</v>
      </c>
      <c r="FY3698" s="15" t="n">
        <v>60</v>
      </c>
      <c r="GU3698" s="15" t="n">
        <v>60</v>
      </c>
    </row>
    <row r="3699">
      <c r="C3699" s="15" t="n">
        <v>61</v>
      </c>
      <c r="AA3699" s="15" t="n">
        <v>61</v>
      </c>
      <c r="AW3699" s="15" t="n">
        <v>61</v>
      </c>
      <c r="BS3699" s="15" t="n">
        <v>61</v>
      </c>
      <c r="CO3699" s="15" t="n">
        <v>61</v>
      </c>
      <c r="DK3699" s="15" t="n">
        <v>61</v>
      </c>
      <c r="EG3699" s="15" t="n">
        <v>61</v>
      </c>
      <c r="FC3699" s="15" t="n">
        <v>61</v>
      </c>
      <c r="FY3699" s="15" t="n">
        <v>61</v>
      </c>
      <c r="GU3699" s="15" t="n">
        <v>61</v>
      </c>
    </row>
    <row r="3700">
      <c r="C3700" s="15" t="n">
        <v>62</v>
      </c>
      <c r="AA3700" s="15" t="n">
        <v>62</v>
      </c>
      <c r="AW3700" s="15" t="n">
        <v>62</v>
      </c>
      <c r="BS3700" s="15" t="n">
        <v>62</v>
      </c>
      <c r="CO3700" s="15" t="n">
        <v>62</v>
      </c>
      <c r="DK3700" s="15" t="n">
        <v>62</v>
      </c>
      <c r="EG3700" s="15" t="n">
        <v>62</v>
      </c>
      <c r="FC3700" s="15" t="n">
        <v>62</v>
      </c>
      <c r="FY3700" s="15" t="n">
        <v>62</v>
      </c>
      <c r="GU3700" s="15" t="n">
        <v>62</v>
      </c>
    </row>
    <row r="3701">
      <c r="C3701" s="15" t="n">
        <v>63</v>
      </c>
      <c r="AA3701" s="15" t="n">
        <v>63</v>
      </c>
      <c r="AW3701" s="15" t="n">
        <v>63</v>
      </c>
      <c r="BS3701" s="15" t="n">
        <v>63</v>
      </c>
      <c r="CO3701" s="15" t="n">
        <v>63</v>
      </c>
      <c r="DK3701" s="15" t="n">
        <v>63</v>
      </c>
      <c r="EG3701" s="15" t="n">
        <v>63</v>
      </c>
      <c r="FC3701" s="15" t="n">
        <v>63</v>
      </c>
      <c r="FY3701" s="15" t="n">
        <v>63</v>
      </c>
      <c r="GU3701" s="15" t="n">
        <v>63</v>
      </c>
    </row>
    <row r="3702">
      <c r="C3702" s="15" t="n">
        <v>64</v>
      </c>
      <c r="AA3702" s="15" t="n">
        <v>64</v>
      </c>
      <c r="AW3702" s="15" t="n">
        <v>64</v>
      </c>
      <c r="BS3702" s="15" t="n">
        <v>64</v>
      </c>
      <c r="CO3702" s="15" t="n">
        <v>64</v>
      </c>
      <c r="DK3702" s="15" t="n">
        <v>64</v>
      </c>
      <c r="EG3702" s="15" t="n">
        <v>64</v>
      </c>
      <c r="FC3702" s="15" t="n">
        <v>64</v>
      </c>
      <c r="FY3702" s="15" t="n">
        <v>64</v>
      </c>
      <c r="GU3702" s="15" t="n">
        <v>64</v>
      </c>
    </row>
    <row r="3703">
      <c r="C3703" s="15" t="n">
        <v>65</v>
      </c>
      <c r="AA3703" s="15" t="n">
        <v>65</v>
      </c>
      <c r="AW3703" s="15" t="n">
        <v>65</v>
      </c>
      <c r="BS3703" s="15" t="n">
        <v>65</v>
      </c>
      <c r="CO3703" s="15" t="n">
        <v>65</v>
      </c>
      <c r="DK3703" s="15" t="n">
        <v>65</v>
      </c>
      <c r="EG3703" s="15" t="n">
        <v>65</v>
      </c>
      <c r="FC3703" s="15" t="n">
        <v>65</v>
      </c>
      <c r="FY3703" s="15" t="n">
        <v>65</v>
      </c>
      <c r="GU3703" s="15" t="n">
        <v>65</v>
      </c>
    </row>
    <row r="3704">
      <c r="C3704" s="15" t="n">
        <v>66</v>
      </c>
      <c r="AA3704" s="15" t="n">
        <v>66</v>
      </c>
      <c r="AW3704" s="15" t="n">
        <v>66</v>
      </c>
      <c r="BS3704" s="15" t="n">
        <v>66</v>
      </c>
      <c r="CO3704" s="15" t="n">
        <v>66</v>
      </c>
      <c r="DK3704" s="15" t="n">
        <v>66</v>
      </c>
      <c r="EG3704" s="15" t="n">
        <v>66</v>
      </c>
      <c r="FC3704" s="15" t="n">
        <v>66</v>
      </c>
      <c r="FY3704" s="15" t="n">
        <v>66</v>
      </c>
      <c r="GU3704" s="15" t="n">
        <v>66</v>
      </c>
    </row>
    <row r="3705">
      <c r="C3705" s="15" t="n">
        <v>67</v>
      </c>
      <c r="AA3705" s="15" t="n">
        <v>67</v>
      </c>
      <c r="AW3705" s="15" t="n">
        <v>67</v>
      </c>
      <c r="BS3705" s="15" t="n">
        <v>67</v>
      </c>
      <c r="CO3705" s="15" t="n">
        <v>67</v>
      </c>
      <c r="DK3705" s="15" t="n">
        <v>67</v>
      </c>
      <c r="EG3705" s="15" t="n">
        <v>67</v>
      </c>
      <c r="FC3705" s="15" t="n">
        <v>67</v>
      </c>
      <c r="FY3705" s="15" t="n">
        <v>67</v>
      </c>
      <c r="GU3705" s="15" t="n">
        <v>67</v>
      </c>
    </row>
    <row r="3706">
      <c r="C3706" s="15" t="n">
        <v>68</v>
      </c>
      <c r="AA3706" s="15" t="n">
        <v>68</v>
      </c>
      <c r="AW3706" s="15" t="n">
        <v>68</v>
      </c>
      <c r="BS3706" s="15" t="n">
        <v>68</v>
      </c>
      <c r="CO3706" s="15" t="n">
        <v>68</v>
      </c>
      <c r="DK3706" s="15" t="n">
        <v>68</v>
      </c>
      <c r="EG3706" s="15" t="n">
        <v>68</v>
      </c>
      <c r="FC3706" s="15" t="n">
        <v>68</v>
      </c>
      <c r="FY3706" s="15" t="n">
        <v>68</v>
      </c>
      <c r="GU3706" s="15" t="n">
        <v>68</v>
      </c>
    </row>
    <row r="3707">
      <c r="C3707" s="15" t="n">
        <v>69</v>
      </c>
      <c r="AA3707" s="15" t="n">
        <v>69</v>
      </c>
      <c r="AW3707" s="15" t="n">
        <v>69</v>
      </c>
      <c r="BS3707" s="15" t="n">
        <v>69</v>
      </c>
      <c r="CO3707" s="15" t="n">
        <v>69</v>
      </c>
      <c r="DK3707" s="15" t="n">
        <v>69</v>
      </c>
      <c r="EG3707" s="15" t="n">
        <v>69</v>
      </c>
      <c r="FC3707" s="15" t="n">
        <v>69</v>
      </c>
      <c r="FY3707" s="15" t="n">
        <v>69</v>
      </c>
      <c r="GU3707" s="15" t="n">
        <v>69</v>
      </c>
    </row>
    <row r="3708">
      <c r="C3708" s="15" t="n">
        <v>70</v>
      </c>
      <c r="AA3708" s="15" t="n">
        <v>70</v>
      </c>
      <c r="AW3708" s="15" t="n">
        <v>70</v>
      </c>
      <c r="BS3708" s="15" t="n">
        <v>70</v>
      </c>
      <c r="CO3708" s="15" t="n">
        <v>70</v>
      </c>
      <c r="DK3708" s="15" t="n">
        <v>70</v>
      </c>
      <c r="EG3708" s="15" t="n">
        <v>70</v>
      </c>
      <c r="FC3708" s="15" t="n">
        <v>70</v>
      </c>
      <c r="FY3708" s="15" t="n">
        <v>70</v>
      </c>
      <c r="GU3708" s="15" t="n">
        <v>70</v>
      </c>
    </row>
    <row r="3709">
      <c r="C3709" s="15" t="n">
        <v>71</v>
      </c>
      <c r="AA3709" s="15" t="n">
        <v>71</v>
      </c>
      <c r="AW3709" s="15" t="n">
        <v>71</v>
      </c>
      <c r="BS3709" s="15" t="n">
        <v>71</v>
      </c>
      <c r="CO3709" s="15" t="n">
        <v>71</v>
      </c>
      <c r="DK3709" s="15" t="n">
        <v>71</v>
      </c>
      <c r="EG3709" s="15" t="n">
        <v>71</v>
      </c>
      <c r="FC3709" s="15" t="n">
        <v>71</v>
      </c>
      <c r="FY3709" s="15" t="n">
        <v>71</v>
      </c>
      <c r="GU3709" s="15" t="n">
        <v>71</v>
      </c>
    </row>
    <row r="3710">
      <c r="C3710" s="15" t="n">
        <v>72</v>
      </c>
      <c r="AA3710" s="15" t="n">
        <v>72</v>
      </c>
      <c r="AW3710" s="15" t="n">
        <v>72</v>
      </c>
      <c r="BS3710" s="15" t="n">
        <v>72</v>
      </c>
      <c r="CO3710" s="15" t="n">
        <v>72</v>
      </c>
      <c r="DK3710" s="15" t="n">
        <v>72</v>
      </c>
      <c r="EG3710" s="15" t="n">
        <v>72</v>
      </c>
      <c r="FC3710" s="15" t="n">
        <v>72</v>
      </c>
      <c r="FY3710" s="15" t="n">
        <v>72</v>
      </c>
      <c r="GU3710" s="15" t="n">
        <v>72</v>
      </c>
    </row>
    <row r="3711">
      <c r="C3711" s="15" t="n">
        <v>73</v>
      </c>
      <c r="AA3711" s="15" t="n">
        <v>73</v>
      </c>
      <c r="AW3711" s="15" t="n">
        <v>73</v>
      </c>
      <c r="BS3711" s="15" t="n">
        <v>73</v>
      </c>
      <c r="CO3711" s="15" t="n">
        <v>73</v>
      </c>
      <c r="DK3711" s="15" t="n">
        <v>73</v>
      </c>
      <c r="EG3711" s="15" t="n">
        <v>73</v>
      </c>
      <c r="FC3711" s="15" t="n">
        <v>73</v>
      </c>
      <c r="FY3711" s="15" t="n">
        <v>73</v>
      </c>
      <c r="GU3711" s="15" t="n">
        <v>73</v>
      </c>
    </row>
    <row r="3712">
      <c r="C3712" s="15" t="n">
        <v>74</v>
      </c>
      <c r="AA3712" s="15" t="n">
        <v>74</v>
      </c>
      <c r="AW3712" s="15" t="n">
        <v>74</v>
      </c>
      <c r="BS3712" s="15" t="n">
        <v>74</v>
      </c>
      <c r="CO3712" s="15" t="n">
        <v>74</v>
      </c>
      <c r="DK3712" s="15" t="n">
        <v>74</v>
      </c>
      <c r="EG3712" s="15" t="n">
        <v>74</v>
      </c>
      <c r="FC3712" s="15" t="n">
        <v>74</v>
      </c>
      <c r="FY3712" s="15" t="n">
        <v>74</v>
      </c>
      <c r="GU3712" s="15" t="n">
        <v>74</v>
      </c>
    </row>
    <row r="3713">
      <c r="C3713" s="15" t="n">
        <v>75</v>
      </c>
      <c r="AA3713" s="15" t="n">
        <v>75</v>
      </c>
      <c r="AW3713" s="15" t="n">
        <v>75</v>
      </c>
      <c r="BS3713" s="15" t="n">
        <v>75</v>
      </c>
      <c r="CO3713" s="15" t="n">
        <v>75</v>
      </c>
      <c r="DK3713" s="15" t="n">
        <v>75</v>
      </c>
      <c r="EG3713" s="15" t="n">
        <v>75</v>
      </c>
      <c r="FC3713" s="15" t="n">
        <v>75</v>
      </c>
      <c r="FY3713" s="15" t="n">
        <v>75</v>
      </c>
      <c r="GU3713" s="15" t="n">
        <v>75</v>
      </c>
    </row>
    <row r="3714">
      <c r="C3714" s="15" t="n">
        <v>76</v>
      </c>
      <c r="AA3714" s="15" t="n">
        <v>76</v>
      </c>
      <c r="AW3714" s="15" t="n">
        <v>76</v>
      </c>
      <c r="BS3714" s="15" t="n">
        <v>76</v>
      </c>
      <c r="CO3714" s="15" t="n">
        <v>76</v>
      </c>
      <c r="DK3714" s="15" t="n">
        <v>76</v>
      </c>
      <c r="EG3714" s="15" t="n">
        <v>76</v>
      </c>
      <c r="FC3714" s="15" t="n">
        <v>76</v>
      </c>
      <c r="FY3714" s="15" t="n">
        <v>76</v>
      </c>
      <c r="GU3714" s="15" t="n">
        <v>76</v>
      </c>
    </row>
    <row r="3715">
      <c r="C3715" s="15" t="n">
        <v>77</v>
      </c>
      <c r="AA3715" s="15" t="n">
        <v>77</v>
      </c>
      <c r="AW3715" s="15" t="n">
        <v>77</v>
      </c>
      <c r="BS3715" s="15" t="n">
        <v>77</v>
      </c>
      <c r="CO3715" s="15" t="n">
        <v>77</v>
      </c>
      <c r="DK3715" s="15" t="n">
        <v>77</v>
      </c>
      <c r="EG3715" s="15" t="n">
        <v>77</v>
      </c>
      <c r="FC3715" s="15" t="n">
        <v>77</v>
      </c>
      <c r="FY3715" s="15" t="n">
        <v>77</v>
      </c>
      <c r="GU3715" s="15" t="n">
        <v>77</v>
      </c>
    </row>
    <row r="3716">
      <c r="C3716" s="15" t="n">
        <v>78</v>
      </c>
      <c r="AA3716" s="15" t="n">
        <v>78</v>
      </c>
      <c r="AW3716" s="15" t="n">
        <v>78</v>
      </c>
      <c r="BS3716" s="15" t="n">
        <v>78</v>
      </c>
      <c r="CO3716" s="15" t="n">
        <v>78</v>
      </c>
      <c r="DK3716" s="15" t="n">
        <v>78</v>
      </c>
      <c r="EG3716" s="15" t="n">
        <v>78</v>
      </c>
      <c r="FC3716" s="15" t="n">
        <v>78</v>
      </c>
      <c r="FY3716" s="15" t="n">
        <v>78</v>
      </c>
      <c r="GU3716" s="15" t="n">
        <v>78</v>
      </c>
    </row>
    <row r="3717">
      <c r="C3717" s="15" t="n">
        <v>79</v>
      </c>
      <c r="AA3717" s="15" t="n">
        <v>79</v>
      </c>
      <c r="AW3717" s="15" t="n">
        <v>79</v>
      </c>
      <c r="BS3717" s="15" t="n">
        <v>79</v>
      </c>
      <c r="CO3717" s="15" t="n">
        <v>79</v>
      </c>
      <c r="DK3717" s="15" t="n">
        <v>79</v>
      </c>
      <c r="EG3717" s="15" t="n">
        <v>79</v>
      </c>
      <c r="FC3717" s="15" t="n">
        <v>79</v>
      </c>
      <c r="FY3717" s="15" t="n">
        <v>79</v>
      </c>
      <c r="GU3717" s="15" t="n">
        <v>79</v>
      </c>
    </row>
    <row r="3718">
      <c r="C3718" s="15" t="n">
        <v>80</v>
      </c>
      <c r="AA3718" s="15" t="n">
        <v>80</v>
      </c>
      <c r="AW3718" s="15" t="n">
        <v>80</v>
      </c>
      <c r="BS3718" s="15" t="n">
        <v>80</v>
      </c>
      <c r="CO3718" s="15" t="n">
        <v>80</v>
      </c>
      <c r="DK3718" s="15" t="n">
        <v>80</v>
      </c>
      <c r="EG3718" s="15" t="n">
        <v>80</v>
      </c>
      <c r="FC3718" s="15" t="n">
        <v>80</v>
      </c>
      <c r="FY3718" s="15" t="n">
        <v>80</v>
      </c>
      <c r="GU3718" s="15" t="n">
        <v>80</v>
      </c>
    </row>
    <row r="3719">
      <c r="C3719" s="15" t="n">
        <v>81</v>
      </c>
      <c r="AA3719" s="15" t="n">
        <v>81</v>
      </c>
      <c r="AW3719" s="15" t="n">
        <v>81</v>
      </c>
      <c r="BS3719" s="15" t="n">
        <v>81</v>
      </c>
      <c r="CO3719" s="15" t="n">
        <v>81</v>
      </c>
      <c r="DK3719" s="15" t="n">
        <v>81</v>
      </c>
      <c r="EG3719" s="15" t="n">
        <v>81</v>
      </c>
      <c r="FC3719" s="15" t="n">
        <v>81</v>
      </c>
      <c r="FY3719" s="15" t="n">
        <v>81</v>
      </c>
      <c r="GU3719" s="15" t="n">
        <v>81</v>
      </c>
    </row>
    <row r="3720">
      <c r="C3720" s="15" t="n">
        <v>82</v>
      </c>
      <c r="AA3720" s="15" t="n">
        <v>82</v>
      </c>
      <c r="AW3720" s="15" t="n">
        <v>82</v>
      </c>
      <c r="BS3720" s="15" t="n">
        <v>82</v>
      </c>
      <c r="CO3720" s="15" t="n">
        <v>82</v>
      </c>
      <c r="DK3720" s="15" t="n">
        <v>82</v>
      </c>
      <c r="EG3720" s="15" t="n">
        <v>82</v>
      </c>
      <c r="FC3720" s="15" t="n">
        <v>82</v>
      </c>
      <c r="FY3720" s="15" t="n">
        <v>82</v>
      </c>
      <c r="GU3720" s="15" t="n">
        <v>82</v>
      </c>
    </row>
    <row r="3721">
      <c r="C3721" s="15" t="n">
        <v>83</v>
      </c>
      <c r="AA3721" s="15" t="n">
        <v>83</v>
      </c>
      <c r="AW3721" s="15" t="n">
        <v>83</v>
      </c>
      <c r="BS3721" s="15" t="n">
        <v>83</v>
      </c>
      <c r="CO3721" s="15" t="n">
        <v>83</v>
      </c>
      <c r="DK3721" s="15" t="n">
        <v>83</v>
      </c>
      <c r="EG3721" s="15" t="n">
        <v>83</v>
      </c>
      <c r="FC3721" s="15" t="n">
        <v>83</v>
      </c>
      <c r="FY3721" s="15" t="n">
        <v>83</v>
      </c>
      <c r="GU3721" s="15" t="n">
        <v>83</v>
      </c>
    </row>
    <row r="3722">
      <c r="C3722" s="15" t="n">
        <v>84</v>
      </c>
      <c r="AA3722" s="15" t="n">
        <v>84</v>
      </c>
      <c r="AW3722" s="15" t="n">
        <v>84</v>
      </c>
      <c r="BS3722" s="15" t="n">
        <v>84</v>
      </c>
      <c r="CO3722" s="15" t="n">
        <v>84</v>
      </c>
      <c r="DK3722" s="15" t="n">
        <v>84</v>
      </c>
      <c r="EG3722" s="15" t="n">
        <v>84</v>
      </c>
      <c r="FC3722" s="15" t="n">
        <v>84</v>
      </c>
      <c r="FY3722" s="15" t="n">
        <v>84</v>
      </c>
      <c r="GU3722" s="15" t="n">
        <v>84</v>
      </c>
    </row>
    <row r="3723">
      <c r="C3723" s="15" t="n">
        <v>85</v>
      </c>
      <c r="AA3723" s="15" t="n">
        <v>85</v>
      </c>
      <c r="AW3723" s="15" t="n">
        <v>85</v>
      </c>
      <c r="BS3723" s="15" t="n">
        <v>85</v>
      </c>
      <c r="CO3723" s="15" t="n">
        <v>85</v>
      </c>
      <c r="DK3723" s="15" t="n">
        <v>85</v>
      </c>
      <c r="EG3723" s="15" t="n">
        <v>85</v>
      </c>
      <c r="FC3723" s="15" t="n">
        <v>85</v>
      </c>
      <c r="FY3723" s="15" t="n">
        <v>85</v>
      </c>
      <c r="GU3723" s="15" t="n">
        <v>85</v>
      </c>
    </row>
    <row r="3724">
      <c r="C3724" s="15" t="n">
        <v>86</v>
      </c>
      <c r="AA3724" s="15" t="n">
        <v>86</v>
      </c>
      <c r="AW3724" s="15" t="n">
        <v>86</v>
      </c>
      <c r="BS3724" s="15" t="n">
        <v>86</v>
      </c>
      <c r="CO3724" s="15" t="n">
        <v>86</v>
      </c>
      <c r="DK3724" s="15" t="n">
        <v>86</v>
      </c>
      <c r="EG3724" s="15" t="n">
        <v>86</v>
      </c>
      <c r="FC3724" s="15" t="n">
        <v>86</v>
      </c>
      <c r="FY3724" s="15" t="n">
        <v>86</v>
      </c>
      <c r="GU3724" s="15" t="n">
        <v>86</v>
      </c>
    </row>
    <row r="3725">
      <c r="C3725" s="15" t="n">
        <v>87</v>
      </c>
      <c r="AA3725" s="15" t="n">
        <v>87</v>
      </c>
      <c r="AW3725" s="15" t="n">
        <v>87</v>
      </c>
      <c r="BS3725" s="15" t="n">
        <v>87</v>
      </c>
      <c r="CO3725" s="15" t="n">
        <v>87</v>
      </c>
      <c r="DK3725" s="15" t="n">
        <v>87</v>
      </c>
      <c r="EG3725" s="15" t="n">
        <v>87</v>
      </c>
      <c r="FC3725" s="15" t="n">
        <v>87</v>
      </c>
      <c r="FY3725" s="15" t="n">
        <v>87</v>
      </c>
      <c r="GU3725" s="15" t="n">
        <v>87</v>
      </c>
    </row>
    <row r="3726">
      <c r="C3726" s="15" t="n">
        <v>88</v>
      </c>
      <c r="AA3726" s="15" t="n">
        <v>88</v>
      </c>
      <c r="AW3726" s="15" t="n">
        <v>88</v>
      </c>
      <c r="BS3726" s="15" t="n">
        <v>88</v>
      </c>
      <c r="CO3726" s="15" t="n">
        <v>88</v>
      </c>
      <c r="DK3726" s="15" t="n">
        <v>88</v>
      </c>
      <c r="EG3726" s="15" t="n">
        <v>88</v>
      </c>
      <c r="FC3726" s="15" t="n">
        <v>88</v>
      </c>
      <c r="FY3726" s="15" t="n">
        <v>88</v>
      </c>
      <c r="GU3726" s="15" t="n">
        <v>88</v>
      </c>
    </row>
    <row r="3727">
      <c r="C3727" s="15" t="n">
        <v>89</v>
      </c>
      <c r="AA3727" s="15" t="n">
        <v>89</v>
      </c>
      <c r="AW3727" s="15" t="n">
        <v>89</v>
      </c>
      <c r="BS3727" s="15" t="n">
        <v>89</v>
      </c>
      <c r="CO3727" s="15" t="n">
        <v>89</v>
      </c>
      <c r="DK3727" s="15" t="n">
        <v>89</v>
      </c>
      <c r="EG3727" s="15" t="n">
        <v>89</v>
      </c>
      <c r="FC3727" s="15" t="n">
        <v>89</v>
      </c>
      <c r="FY3727" s="15" t="n">
        <v>89</v>
      </c>
      <c r="GU3727" s="15" t="n">
        <v>89</v>
      </c>
    </row>
    <row r="3728">
      <c r="C3728" s="15" t="n">
        <v>90</v>
      </c>
      <c r="AA3728" s="15" t="n">
        <v>90</v>
      </c>
      <c r="AW3728" s="15" t="n">
        <v>90</v>
      </c>
      <c r="BS3728" s="15" t="n">
        <v>90</v>
      </c>
      <c r="CO3728" s="15" t="n">
        <v>90</v>
      </c>
      <c r="DK3728" s="15" t="n">
        <v>90</v>
      </c>
      <c r="EG3728" s="15" t="n">
        <v>90</v>
      </c>
      <c r="FC3728" s="15" t="n">
        <v>90</v>
      </c>
      <c r="FY3728" s="15" t="n">
        <v>90</v>
      </c>
      <c r="GU3728" s="15" t="n">
        <v>90</v>
      </c>
    </row>
    <row r="3729">
      <c r="C3729" s="15" t="n">
        <v>91</v>
      </c>
      <c r="AA3729" s="15" t="n">
        <v>91</v>
      </c>
      <c r="AW3729" s="15" t="n">
        <v>91</v>
      </c>
      <c r="BS3729" s="15" t="n">
        <v>91</v>
      </c>
      <c r="CO3729" s="15" t="n">
        <v>91</v>
      </c>
      <c r="DK3729" s="15" t="n">
        <v>91</v>
      </c>
      <c r="EG3729" s="15" t="n">
        <v>91</v>
      </c>
      <c r="FC3729" s="15" t="n">
        <v>91</v>
      </c>
      <c r="FY3729" s="15" t="n">
        <v>91</v>
      </c>
      <c r="GU3729" s="15" t="n">
        <v>91</v>
      </c>
    </row>
    <row r="3730">
      <c r="C3730" s="15" t="n">
        <v>92</v>
      </c>
      <c r="AA3730" s="15" t="n">
        <v>92</v>
      </c>
      <c r="AW3730" s="15" t="n">
        <v>92</v>
      </c>
      <c r="BS3730" s="15" t="n">
        <v>92</v>
      </c>
      <c r="CO3730" s="15" t="n">
        <v>92</v>
      </c>
      <c r="DK3730" s="15" t="n">
        <v>92</v>
      </c>
      <c r="EG3730" s="15" t="n">
        <v>92</v>
      </c>
      <c r="FC3730" s="15" t="n">
        <v>92</v>
      </c>
      <c r="FY3730" s="15" t="n">
        <v>92</v>
      </c>
      <c r="GU3730" s="15" t="n">
        <v>92</v>
      </c>
    </row>
    <row r="3731">
      <c r="C3731" s="15" t="n">
        <v>93</v>
      </c>
      <c r="AA3731" s="15" t="n">
        <v>93</v>
      </c>
      <c r="AW3731" s="15" t="n">
        <v>93</v>
      </c>
      <c r="BS3731" s="15" t="n">
        <v>93</v>
      </c>
      <c r="CO3731" s="15" t="n">
        <v>93</v>
      </c>
      <c r="DK3731" s="15" t="n">
        <v>93</v>
      </c>
      <c r="EG3731" s="15" t="n">
        <v>93</v>
      </c>
      <c r="FC3731" s="15" t="n">
        <v>93</v>
      </c>
      <c r="FY3731" s="15" t="n">
        <v>93</v>
      </c>
      <c r="GU3731" s="15" t="n">
        <v>93</v>
      </c>
    </row>
    <row r="3732">
      <c r="C3732" s="15" t="n">
        <v>94</v>
      </c>
      <c r="AA3732" s="15" t="n">
        <v>94</v>
      </c>
      <c r="AW3732" s="15" t="n">
        <v>94</v>
      </c>
      <c r="BS3732" s="15" t="n">
        <v>94</v>
      </c>
      <c r="CO3732" s="15" t="n">
        <v>94</v>
      </c>
      <c r="DK3732" s="15" t="n">
        <v>94</v>
      </c>
      <c r="EG3732" s="15" t="n">
        <v>94</v>
      </c>
      <c r="FC3732" s="15" t="n">
        <v>94</v>
      </c>
      <c r="FY3732" s="15" t="n">
        <v>94</v>
      </c>
      <c r="GU3732" s="15" t="n">
        <v>94</v>
      </c>
    </row>
    <row r="3733">
      <c r="C3733" s="15" t="n">
        <v>95</v>
      </c>
      <c r="AA3733" s="15" t="n">
        <v>95</v>
      </c>
      <c r="AW3733" s="15" t="n">
        <v>95</v>
      </c>
      <c r="BS3733" s="15" t="n">
        <v>95</v>
      </c>
      <c r="CO3733" s="15" t="n">
        <v>95</v>
      </c>
      <c r="DK3733" s="15" t="n">
        <v>95</v>
      </c>
      <c r="EG3733" s="15" t="n">
        <v>95</v>
      </c>
      <c r="FC3733" s="15" t="n">
        <v>95</v>
      </c>
      <c r="FY3733" s="15" t="n">
        <v>95</v>
      </c>
      <c r="GU3733" s="15" t="n">
        <v>95</v>
      </c>
    </row>
    <row r="3734">
      <c r="C3734" s="15" t="n">
        <v>96</v>
      </c>
      <c r="AA3734" s="15" t="n">
        <v>96</v>
      </c>
      <c r="AW3734" s="15" t="n">
        <v>96</v>
      </c>
      <c r="BS3734" s="15" t="n">
        <v>96</v>
      </c>
      <c r="CO3734" s="15" t="n">
        <v>96</v>
      </c>
      <c r="DK3734" s="15" t="n">
        <v>96</v>
      </c>
      <c r="EG3734" s="15" t="n">
        <v>96</v>
      </c>
      <c r="FC3734" s="15" t="n">
        <v>96</v>
      </c>
      <c r="FY3734" s="15" t="n">
        <v>96</v>
      </c>
      <c r="GU3734" s="15" t="n">
        <v>96</v>
      </c>
    </row>
    <row r="3735">
      <c r="C3735" s="15" t="n">
        <v>97</v>
      </c>
      <c r="AA3735" s="15" t="n">
        <v>97</v>
      </c>
      <c r="AW3735" s="15" t="n">
        <v>97</v>
      </c>
      <c r="BS3735" s="15" t="n">
        <v>97</v>
      </c>
      <c r="CO3735" s="15" t="n">
        <v>97</v>
      </c>
      <c r="DK3735" s="15" t="n">
        <v>97</v>
      </c>
      <c r="EG3735" s="15" t="n">
        <v>97</v>
      </c>
      <c r="FC3735" s="15" t="n">
        <v>97</v>
      </c>
      <c r="FY3735" s="15" t="n">
        <v>97</v>
      </c>
      <c r="GU3735" s="15" t="n">
        <v>97</v>
      </c>
    </row>
    <row r="3736">
      <c r="C3736" s="15" t="n">
        <v>98</v>
      </c>
      <c r="AA3736" s="15" t="n">
        <v>98</v>
      </c>
      <c r="AW3736" s="15" t="n">
        <v>98</v>
      </c>
      <c r="BS3736" s="15" t="n">
        <v>98</v>
      </c>
      <c r="CO3736" s="15" t="n">
        <v>98</v>
      </c>
      <c r="DK3736" s="15" t="n">
        <v>98</v>
      </c>
      <c r="EG3736" s="15" t="n">
        <v>98</v>
      </c>
      <c r="FC3736" s="15" t="n">
        <v>98</v>
      </c>
      <c r="FY3736" s="15" t="n">
        <v>98</v>
      </c>
      <c r="GU3736" s="15" t="n">
        <v>98</v>
      </c>
    </row>
    <row r="3737">
      <c r="C3737" s="15" t="n">
        <v>99</v>
      </c>
      <c r="AA3737" s="15" t="n">
        <v>99</v>
      </c>
      <c r="AW3737" s="15" t="n">
        <v>99</v>
      </c>
      <c r="BS3737" s="15" t="n">
        <v>99</v>
      </c>
      <c r="CO3737" s="15" t="n">
        <v>99</v>
      </c>
      <c r="DK3737" s="15" t="n">
        <v>99</v>
      </c>
      <c r="EG3737" s="15" t="n">
        <v>99</v>
      </c>
      <c r="FC3737" s="15" t="n">
        <v>99</v>
      </c>
      <c r="FY3737" s="15" t="n">
        <v>99</v>
      </c>
      <c r="GU3737" s="15" t="n">
        <v>99</v>
      </c>
    </row>
    <row r="3738">
      <c r="C3738" s="15" t="n">
        <v>100</v>
      </c>
      <c r="AA3738" s="15" t="n">
        <v>100</v>
      </c>
      <c r="AW3738" s="15" t="n">
        <v>100</v>
      </c>
      <c r="BS3738" s="15" t="n">
        <v>100</v>
      </c>
      <c r="CO3738" s="15" t="n">
        <v>100</v>
      </c>
      <c r="DK3738" s="15" t="n">
        <v>100</v>
      </c>
      <c r="EG3738" s="15" t="n">
        <v>100</v>
      </c>
      <c r="FC3738" s="15" t="n">
        <v>100</v>
      </c>
      <c r="FY3738" s="15" t="n">
        <v>100</v>
      </c>
      <c r="GU3738" s="15" t="n">
        <v>100</v>
      </c>
    </row>
    <row r="3739">
      <c r="C3739" s="15" t="n">
        <v>101</v>
      </c>
      <c r="AA3739" s="15" t="n">
        <v>101</v>
      </c>
      <c r="AW3739" s="15" t="n">
        <v>101</v>
      </c>
      <c r="BS3739" s="15" t="n">
        <v>101</v>
      </c>
      <c r="CO3739" s="15" t="n">
        <v>101</v>
      </c>
      <c r="DK3739" s="15" t="n">
        <v>101</v>
      </c>
      <c r="EG3739" s="15" t="n">
        <v>101</v>
      </c>
      <c r="FC3739" s="15" t="n">
        <v>101</v>
      </c>
      <c r="FY3739" s="15" t="n">
        <v>101</v>
      </c>
      <c r="GU3739" s="15" t="n">
        <v>101</v>
      </c>
    </row>
    <row r="3740">
      <c r="C3740" s="15" t="n">
        <v>102</v>
      </c>
      <c r="AA3740" s="15" t="n">
        <v>102</v>
      </c>
      <c r="AW3740" s="15" t="n">
        <v>102</v>
      </c>
      <c r="BS3740" s="15" t="n">
        <v>102</v>
      </c>
      <c r="CO3740" s="15" t="n">
        <v>102</v>
      </c>
      <c r="DK3740" s="15" t="n">
        <v>102</v>
      </c>
      <c r="EG3740" s="15" t="n">
        <v>102</v>
      </c>
      <c r="FC3740" s="15" t="n">
        <v>102</v>
      </c>
      <c r="FY3740" s="15" t="n">
        <v>102</v>
      </c>
      <c r="GU3740" s="15" t="n">
        <v>102</v>
      </c>
    </row>
    <row r="3741">
      <c r="C3741" s="15" t="n">
        <v>103</v>
      </c>
      <c r="AA3741" s="15" t="n">
        <v>103</v>
      </c>
      <c r="AW3741" s="15" t="n">
        <v>103</v>
      </c>
      <c r="BS3741" s="15" t="n">
        <v>103</v>
      </c>
      <c r="CO3741" s="15" t="n">
        <v>103</v>
      </c>
      <c r="DK3741" s="15" t="n">
        <v>103</v>
      </c>
      <c r="EG3741" s="15" t="n">
        <v>103</v>
      </c>
      <c r="FC3741" s="15" t="n">
        <v>103</v>
      </c>
      <c r="FY3741" s="15" t="n">
        <v>103</v>
      </c>
      <c r="GU3741" s="15" t="n">
        <v>103</v>
      </c>
    </row>
    <row r="3742">
      <c r="C3742" s="15" t="n">
        <v>104</v>
      </c>
      <c r="AA3742" s="15" t="n">
        <v>104</v>
      </c>
      <c r="AW3742" s="15" t="n">
        <v>104</v>
      </c>
      <c r="BS3742" s="15" t="n">
        <v>104</v>
      </c>
      <c r="CO3742" s="15" t="n">
        <v>104</v>
      </c>
      <c r="DK3742" s="15" t="n">
        <v>104</v>
      </c>
      <c r="EG3742" s="15" t="n">
        <v>104</v>
      </c>
      <c r="FC3742" s="15" t="n">
        <v>104</v>
      </c>
      <c r="FY3742" s="15" t="n">
        <v>104</v>
      </c>
      <c r="GU3742" s="15" t="n">
        <v>104</v>
      </c>
    </row>
    <row r="3743">
      <c r="C3743" s="15" t="n">
        <v>105</v>
      </c>
      <c r="AA3743" s="15" t="n">
        <v>105</v>
      </c>
      <c r="AW3743" s="15" t="n">
        <v>105</v>
      </c>
      <c r="BS3743" s="15" t="n">
        <v>105</v>
      </c>
      <c r="CO3743" s="15" t="n">
        <v>105</v>
      </c>
      <c r="DK3743" s="15" t="n">
        <v>105</v>
      </c>
      <c r="EG3743" s="15" t="n">
        <v>105</v>
      </c>
      <c r="FC3743" s="15" t="n">
        <v>105</v>
      </c>
      <c r="FY3743" s="15" t="n">
        <v>105</v>
      </c>
      <c r="GU3743" s="15" t="n">
        <v>105</v>
      </c>
    </row>
    <row r="3744">
      <c r="C3744" s="15" t="n">
        <v>106</v>
      </c>
      <c r="AA3744" s="15" t="n">
        <v>106</v>
      </c>
      <c r="AW3744" s="15" t="n">
        <v>106</v>
      </c>
      <c r="BS3744" s="15" t="n">
        <v>106</v>
      </c>
      <c r="CO3744" s="15" t="n">
        <v>106</v>
      </c>
      <c r="DK3744" s="15" t="n">
        <v>106</v>
      </c>
      <c r="EG3744" s="15" t="n">
        <v>106</v>
      </c>
      <c r="FC3744" s="15" t="n">
        <v>106</v>
      </c>
      <c r="FY3744" s="15" t="n">
        <v>106</v>
      </c>
      <c r="GU3744" s="15" t="n">
        <v>106</v>
      </c>
    </row>
    <row r="3745">
      <c r="C3745" s="15" t="n">
        <v>107</v>
      </c>
      <c r="AA3745" s="15" t="n">
        <v>107</v>
      </c>
      <c r="AW3745" s="15" t="n">
        <v>107</v>
      </c>
      <c r="BS3745" s="15" t="n">
        <v>107</v>
      </c>
      <c r="CO3745" s="15" t="n">
        <v>107</v>
      </c>
      <c r="DK3745" s="15" t="n">
        <v>107</v>
      </c>
      <c r="EG3745" s="15" t="n">
        <v>107</v>
      </c>
      <c r="FC3745" s="15" t="n">
        <v>107</v>
      </c>
      <c r="FY3745" s="15" t="n">
        <v>107</v>
      </c>
      <c r="GU3745" s="15" t="n">
        <v>107</v>
      </c>
    </row>
    <row r="3746">
      <c r="C3746" s="15" t="n">
        <v>108</v>
      </c>
      <c r="AA3746" s="15" t="n">
        <v>108</v>
      </c>
      <c r="AW3746" s="15" t="n">
        <v>108</v>
      </c>
      <c r="BS3746" s="15" t="n">
        <v>108</v>
      </c>
      <c r="CO3746" s="15" t="n">
        <v>108</v>
      </c>
      <c r="DK3746" s="15" t="n">
        <v>108</v>
      </c>
      <c r="EG3746" s="15" t="n">
        <v>108</v>
      </c>
      <c r="FC3746" s="15" t="n">
        <v>108</v>
      </c>
      <c r="FY3746" s="15" t="n">
        <v>108</v>
      </c>
      <c r="GU3746" s="15" t="n">
        <v>108</v>
      </c>
    </row>
    <row r="3747">
      <c r="C3747" s="15" t="n">
        <v>109</v>
      </c>
      <c r="AA3747" s="15" t="n">
        <v>109</v>
      </c>
      <c r="AW3747" s="15" t="n">
        <v>109</v>
      </c>
      <c r="BS3747" s="15" t="n">
        <v>109</v>
      </c>
      <c r="CO3747" s="15" t="n">
        <v>109</v>
      </c>
      <c r="DK3747" s="15" t="n">
        <v>109</v>
      </c>
      <c r="EG3747" s="15" t="n">
        <v>109</v>
      </c>
      <c r="FC3747" s="15" t="n">
        <v>109</v>
      </c>
      <c r="FY3747" s="15" t="n">
        <v>109</v>
      </c>
      <c r="GU3747" s="15" t="n">
        <v>109</v>
      </c>
    </row>
    <row r="3748">
      <c r="C3748" s="15" t="n">
        <v>110</v>
      </c>
      <c r="AA3748" s="15" t="n">
        <v>110</v>
      </c>
      <c r="AW3748" s="15" t="n">
        <v>110</v>
      </c>
      <c r="BS3748" s="15" t="n">
        <v>110</v>
      </c>
      <c r="CO3748" s="15" t="n">
        <v>110</v>
      </c>
      <c r="DK3748" s="15" t="n">
        <v>110</v>
      </c>
      <c r="EG3748" s="15" t="n">
        <v>110</v>
      </c>
      <c r="FC3748" s="15" t="n">
        <v>110</v>
      </c>
      <c r="FY3748" s="15" t="n">
        <v>110</v>
      </c>
      <c r="GU3748" s="15" t="n">
        <v>110</v>
      </c>
    </row>
    <row r="3749">
      <c r="C3749" s="15" t="n">
        <v>111</v>
      </c>
      <c r="AA3749" s="15" t="n">
        <v>111</v>
      </c>
      <c r="AW3749" s="15" t="n">
        <v>111</v>
      </c>
      <c r="BS3749" s="15" t="n">
        <v>111</v>
      </c>
      <c r="CO3749" s="15" t="n">
        <v>111</v>
      </c>
      <c r="DK3749" s="15" t="n">
        <v>111</v>
      </c>
      <c r="EG3749" s="15" t="n">
        <v>111</v>
      </c>
      <c r="FC3749" s="15" t="n">
        <v>111</v>
      </c>
      <c r="FY3749" s="15" t="n">
        <v>111</v>
      </c>
      <c r="GU3749" s="15" t="n">
        <v>111</v>
      </c>
    </row>
    <row r="3750">
      <c r="C3750" s="15" t="n">
        <v>112</v>
      </c>
      <c r="AA3750" s="15" t="n">
        <v>112</v>
      </c>
      <c r="AW3750" s="15" t="n">
        <v>112</v>
      </c>
      <c r="BS3750" s="15" t="n">
        <v>112</v>
      </c>
      <c r="CO3750" s="15" t="n">
        <v>112</v>
      </c>
      <c r="DK3750" s="15" t="n">
        <v>112</v>
      </c>
      <c r="EG3750" s="15" t="n">
        <v>112</v>
      </c>
      <c r="FC3750" s="15" t="n">
        <v>112</v>
      </c>
      <c r="FY3750" s="15" t="n">
        <v>112</v>
      </c>
      <c r="GU3750" s="15" t="n">
        <v>112</v>
      </c>
    </row>
    <row r="3751">
      <c r="C3751" s="15" t="n">
        <v>113</v>
      </c>
      <c r="AA3751" s="15" t="n">
        <v>113</v>
      </c>
      <c r="AW3751" s="15" t="n">
        <v>113</v>
      </c>
      <c r="BS3751" s="15" t="n">
        <v>113</v>
      </c>
      <c r="CO3751" s="15" t="n">
        <v>113</v>
      </c>
      <c r="DK3751" s="15" t="n">
        <v>113</v>
      </c>
      <c r="EG3751" s="15" t="n">
        <v>113</v>
      </c>
      <c r="FC3751" s="15" t="n">
        <v>113</v>
      </c>
      <c r="FY3751" s="15" t="n">
        <v>113</v>
      </c>
      <c r="GU3751" s="15" t="n">
        <v>113</v>
      </c>
    </row>
    <row r="3752">
      <c r="C3752" s="15" t="n">
        <v>114</v>
      </c>
      <c r="AA3752" s="15" t="n">
        <v>114</v>
      </c>
      <c r="AW3752" s="15" t="n">
        <v>114</v>
      </c>
      <c r="BS3752" s="15" t="n">
        <v>114</v>
      </c>
      <c r="CO3752" s="15" t="n">
        <v>114</v>
      </c>
      <c r="DK3752" s="15" t="n">
        <v>114</v>
      </c>
      <c r="EG3752" s="15" t="n">
        <v>114</v>
      </c>
      <c r="FC3752" s="15" t="n">
        <v>114</v>
      </c>
      <c r="FY3752" s="15" t="n">
        <v>114</v>
      </c>
      <c r="GU3752" s="15" t="n">
        <v>114</v>
      </c>
    </row>
    <row r="3753">
      <c r="C3753" s="15" t="n">
        <v>115</v>
      </c>
      <c r="AA3753" s="15" t="n">
        <v>115</v>
      </c>
      <c r="AW3753" s="15" t="n">
        <v>115</v>
      </c>
      <c r="BS3753" s="15" t="n">
        <v>115</v>
      </c>
      <c r="CO3753" s="15" t="n">
        <v>115</v>
      </c>
      <c r="DK3753" s="15" t="n">
        <v>115</v>
      </c>
      <c r="EG3753" s="15" t="n">
        <v>115</v>
      </c>
      <c r="FC3753" s="15" t="n">
        <v>115</v>
      </c>
      <c r="FY3753" s="15" t="n">
        <v>115</v>
      </c>
      <c r="GU3753" s="15" t="n">
        <v>115</v>
      </c>
    </row>
    <row r="3754">
      <c r="C3754" s="15" t="n">
        <v>116</v>
      </c>
      <c r="AA3754" s="15" t="n">
        <v>116</v>
      </c>
      <c r="AW3754" s="15" t="n">
        <v>116</v>
      </c>
      <c r="BS3754" s="15" t="n">
        <v>116</v>
      </c>
      <c r="CO3754" s="15" t="n">
        <v>116</v>
      </c>
      <c r="DK3754" s="15" t="n">
        <v>116</v>
      </c>
      <c r="EG3754" s="15" t="n">
        <v>116</v>
      </c>
      <c r="FC3754" s="15" t="n">
        <v>116</v>
      </c>
      <c r="FY3754" s="15" t="n">
        <v>116</v>
      </c>
      <c r="GU3754" s="15" t="n">
        <v>116</v>
      </c>
    </row>
    <row r="3755">
      <c r="C3755" s="15" t="n">
        <v>117</v>
      </c>
      <c r="AA3755" s="15" t="n">
        <v>117</v>
      </c>
      <c r="AW3755" s="15" t="n">
        <v>117</v>
      </c>
      <c r="BS3755" s="15" t="n">
        <v>117</v>
      </c>
      <c r="CO3755" s="15" t="n">
        <v>117</v>
      </c>
      <c r="DK3755" s="15" t="n">
        <v>117</v>
      </c>
      <c r="EG3755" s="15" t="n">
        <v>117</v>
      </c>
      <c r="FC3755" s="15" t="n">
        <v>117</v>
      </c>
      <c r="FY3755" s="15" t="n">
        <v>117</v>
      </c>
      <c r="GU3755" s="15" t="n">
        <v>117</v>
      </c>
    </row>
    <row r="3756">
      <c r="C3756" s="15" t="n">
        <v>118</v>
      </c>
      <c r="AA3756" s="15" t="n">
        <v>118</v>
      </c>
      <c r="AW3756" s="15" t="n">
        <v>118</v>
      </c>
      <c r="BS3756" s="15" t="n">
        <v>118</v>
      </c>
      <c r="CO3756" s="15" t="n">
        <v>118</v>
      </c>
      <c r="DK3756" s="15" t="n">
        <v>118</v>
      </c>
      <c r="EG3756" s="15" t="n">
        <v>118</v>
      </c>
      <c r="FC3756" s="15" t="n">
        <v>118</v>
      </c>
      <c r="FY3756" s="15" t="n">
        <v>118</v>
      </c>
      <c r="GU3756" s="15" t="n">
        <v>118</v>
      </c>
    </row>
    <row r="3757">
      <c r="C3757" s="15" t="n">
        <v>119</v>
      </c>
      <c r="AA3757" s="15" t="n">
        <v>119</v>
      </c>
      <c r="AW3757" s="15" t="n">
        <v>119</v>
      </c>
      <c r="BS3757" s="15" t="n">
        <v>119</v>
      </c>
      <c r="CO3757" s="15" t="n">
        <v>119</v>
      </c>
      <c r="DK3757" s="15" t="n">
        <v>119</v>
      </c>
      <c r="EG3757" s="15" t="n">
        <v>119</v>
      </c>
      <c r="FC3757" s="15" t="n">
        <v>119</v>
      </c>
      <c r="FY3757" s="15" t="n">
        <v>119</v>
      </c>
      <c r="GU3757" s="15" t="n">
        <v>119</v>
      </c>
    </row>
    <row r="3758">
      <c r="C3758" s="15" t="n">
        <v>120</v>
      </c>
      <c r="AA3758" s="15" t="n">
        <v>120</v>
      </c>
      <c r="AW3758" s="15" t="n">
        <v>120</v>
      </c>
      <c r="BS3758" s="15" t="n">
        <v>120</v>
      </c>
      <c r="CO3758" s="15" t="n">
        <v>120</v>
      </c>
      <c r="DK3758" s="15" t="n">
        <v>120</v>
      </c>
      <c r="EG3758" s="15" t="n">
        <v>120</v>
      </c>
      <c r="FC3758" s="15" t="n">
        <v>120</v>
      </c>
      <c r="FY3758" s="15" t="n">
        <v>120</v>
      </c>
      <c r="GU3758" s="15" t="n">
        <v>120</v>
      </c>
    </row>
    <row r="3759">
      <c r="C3759" s="15" t="n">
        <v>121</v>
      </c>
      <c r="AA3759" s="15" t="n">
        <v>121</v>
      </c>
      <c r="AW3759" s="15" t="n">
        <v>121</v>
      </c>
      <c r="BS3759" s="15" t="n">
        <v>121</v>
      </c>
      <c r="CO3759" s="15" t="n">
        <v>121</v>
      </c>
      <c r="DK3759" s="15" t="n">
        <v>121</v>
      </c>
      <c r="EG3759" s="15" t="n">
        <v>121</v>
      </c>
      <c r="FC3759" s="15" t="n">
        <v>121</v>
      </c>
      <c r="FY3759" s="15" t="n">
        <v>121</v>
      </c>
      <c r="GU3759" s="15" t="n">
        <v>121</v>
      </c>
    </row>
    <row r="3760">
      <c r="C3760" s="15" t="n">
        <v>122</v>
      </c>
      <c r="AA3760" s="15" t="n">
        <v>122</v>
      </c>
      <c r="AW3760" s="15" t="n">
        <v>122</v>
      </c>
      <c r="BS3760" s="15" t="n">
        <v>122</v>
      </c>
      <c r="CO3760" s="15" t="n">
        <v>122</v>
      </c>
      <c r="DK3760" s="15" t="n">
        <v>122</v>
      </c>
      <c r="EG3760" s="15" t="n">
        <v>122</v>
      </c>
      <c r="FC3760" s="15" t="n">
        <v>122</v>
      </c>
      <c r="FY3760" s="15" t="n">
        <v>122</v>
      </c>
      <c r="GU3760" s="15" t="n">
        <v>122</v>
      </c>
    </row>
    <row r="3761">
      <c r="C3761" s="15" t="n">
        <v>123</v>
      </c>
      <c r="AA3761" s="15" t="n">
        <v>123</v>
      </c>
      <c r="AW3761" s="15" t="n">
        <v>123</v>
      </c>
      <c r="BS3761" s="15" t="n">
        <v>123</v>
      </c>
      <c r="CO3761" s="15" t="n">
        <v>123</v>
      </c>
      <c r="DK3761" s="15" t="n">
        <v>123</v>
      </c>
      <c r="EG3761" s="15" t="n">
        <v>123</v>
      </c>
      <c r="FC3761" s="15" t="n">
        <v>123</v>
      </c>
      <c r="FY3761" s="15" t="n">
        <v>123</v>
      </c>
      <c r="GU3761" s="15" t="n">
        <v>123</v>
      </c>
    </row>
    <row r="3762">
      <c r="C3762" s="15" t="n">
        <v>124</v>
      </c>
      <c r="AA3762" s="15" t="n">
        <v>124</v>
      </c>
      <c r="AW3762" s="15" t="n">
        <v>124</v>
      </c>
      <c r="BS3762" s="15" t="n">
        <v>124</v>
      </c>
      <c r="CO3762" s="15" t="n">
        <v>124</v>
      </c>
      <c r="DK3762" s="15" t="n">
        <v>124</v>
      </c>
      <c r="EG3762" s="15" t="n">
        <v>124</v>
      </c>
      <c r="FC3762" s="15" t="n">
        <v>124</v>
      </c>
      <c r="FY3762" s="15" t="n">
        <v>124</v>
      </c>
      <c r="GU3762" s="15" t="n">
        <v>124</v>
      </c>
    </row>
    <row r="3763">
      <c r="C3763" s="15" t="n">
        <v>125</v>
      </c>
      <c r="AA3763" s="15" t="n">
        <v>125</v>
      </c>
      <c r="AW3763" s="15" t="n">
        <v>125</v>
      </c>
      <c r="BS3763" s="15" t="n">
        <v>125</v>
      </c>
      <c r="CO3763" s="15" t="n">
        <v>125</v>
      </c>
      <c r="DK3763" s="15" t="n">
        <v>125</v>
      </c>
      <c r="EG3763" s="15" t="n">
        <v>125</v>
      </c>
      <c r="FC3763" s="15" t="n">
        <v>125</v>
      </c>
      <c r="FY3763" s="15" t="n">
        <v>125</v>
      </c>
      <c r="GU3763" s="15" t="n">
        <v>125</v>
      </c>
    </row>
    <row r="3764">
      <c r="C3764" s="15" t="n">
        <v>126</v>
      </c>
      <c r="AA3764" s="15" t="n">
        <v>126</v>
      </c>
      <c r="AW3764" s="15" t="n">
        <v>126</v>
      </c>
      <c r="BS3764" s="15" t="n">
        <v>126</v>
      </c>
      <c r="CO3764" s="15" t="n">
        <v>126</v>
      </c>
      <c r="DK3764" s="15" t="n">
        <v>126</v>
      </c>
      <c r="EG3764" s="15" t="n">
        <v>126</v>
      </c>
      <c r="FC3764" s="15" t="n">
        <v>126</v>
      </c>
      <c r="FY3764" s="15" t="n">
        <v>126</v>
      </c>
      <c r="GU3764" s="15" t="n">
        <v>126</v>
      </c>
    </row>
    <row r="3765">
      <c r="C3765" s="15" t="n">
        <v>127</v>
      </c>
      <c r="AA3765" s="15" t="n">
        <v>127</v>
      </c>
      <c r="AW3765" s="15" t="n">
        <v>127</v>
      </c>
      <c r="BS3765" s="15" t="n">
        <v>127</v>
      </c>
      <c r="CO3765" s="15" t="n">
        <v>127</v>
      </c>
      <c r="DK3765" s="15" t="n">
        <v>127</v>
      </c>
      <c r="EG3765" s="15" t="n">
        <v>127</v>
      </c>
      <c r="FC3765" s="15" t="n">
        <v>127</v>
      </c>
      <c r="FY3765" s="15" t="n">
        <v>127</v>
      </c>
      <c r="GU3765" s="15" t="n">
        <v>127</v>
      </c>
    </row>
    <row r="3766">
      <c r="C3766" s="15" t="n">
        <v>128</v>
      </c>
      <c r="AA3766" s="15" t="n">
        <v>128</v>
      </c>
      <c r="AW3766" s="15" t="n">
        <v>128</v>
      </c>
      <c r="BS3766" s="15" t="n">
        <v>128</v>
      </c>
      <c r="CO3766" s="15" t="n">
        <v>128</v>
      </c>
      <c r="DK3766" s="15" t="n">
        <v>128</v>
      </c>
      <c r="EG3766" s="15" t="n">
        <v>128</v>
      </c>
      <c r="FC3766" s="15" t="n">
        <v>128</v>
      </c>
      <c r="FY3766" s="15" t="n">
        <v>128</v>
      </c>
      <c r="GU3766" s="15" t="n">
        <v>128</v>
      </c>
    </row>
    <row r="3767">
      <c r="C3767" s="15" t="n">
        <v>129</v>
      </c>
      <c r="AA3767" s="15" t="n">
        <v>129</v>
      </c>
      <c r="AW3767" s="15" t="n">
        <v>129</v>
      </c>
      <c r="BS3767" s="15" t="n">
        <v>129</v>
      </c>
      <c r="CO3767" s="15" t="n">
        <v>129</v>
      </c>
      <c r="DK3767" s="15" t="n">
        <v>129</v>
      </c>
      <c r="EG3767" s="15" t="n">
        <v>129</v>
      </c>
      <c r="FC3767" s="15" t="n">
        <v>129</v>
      </c>
      <c r="FY3767" s="15" t="n">
        <v>129</v>
      </c>
      <c r="GU3767" s="15" t="n">
        <v>129</v>
      </c>
    </row>
    <row r="3768">
      <c r="C3768" s="15" t="n">
        <v>130</v>
      </c>
      <c r="AA3768" s="15" t="n">
        <v>130</v>
      </c>
      <c r="AW3768" s="15" t="n">
        <v>130</v>
      </c>
      <c r="BS3768" s="15" t="n">
        <v>130</v>
      </c>
      <c r="CO3768" s="15" t="n">
        <v>130</v>
      </c>
      <c r="DK3768" s="15" t="n">
        <v>130</v>
      </c>
      <c r="EG3768" s="15" t="n">
        <v>130</v>
      </c>
      <c r="FC3768" s="15" t="n">
        <v>130</v>
      </c>
      <c r="FY3768" s="15" t="n">
        <v>130</v>
      </c>
      <c r="GU3768" s="15" t="n">
        <v>130</v>
      </c>
    </row>
    <row r="3769">
      <c r="C3769" s="15" t="n">
        <v>131</v>
      </c>
      <c r="AA3769" s="15" t="n">
        <v>131</v>
      </c>
      <c r="AW3769" s="15" t="n">
        <v>131</v>
      </c>
      <c r="BS3769" s="15" t="n">
        <v>131</v>
      </c>
      <c r="CO3769" s="15" t="n">
        <v>131</v>
      </c>
      <c r="DK3769" s="15" t="n">
        <v>131</v>
      </c>
      <c r="EG3769" s="15" t="n">
        <v>131</v>
      </c>
      <c r="FC3769" s="15" t="n">
        <v>131</v>
      </c>
      <c r="FY3769" s="15" t="n">
        <v>131</v>
      </c>
      <c r="GU3769" s="15" t="n">
        <v>131</v>
      </c>
    </row>
    <row r="3770">
      <c r="C3770" s="15" t="n">
        <v>132</v>
      </c>
      <c r="AA3770" s="15" t="n">
        <v>132</v>
      </c>
      <c r="AW3770" s="15" t="n">
        <v>132</v>
      </c>
      <c r="BS3770" s="15" t="n">
        <v>132</v>
      </c>
      <c r="CO3770" s="15" t="n">
        <v>132</v>
      </c>
      <c r="DK3770" s="15" t="n">
        <v>132</v>
      </c>
      <c r="EG3770" s="15" t="n">
        <v>132</v>
      </c>
      <c r="FC3770" s="15" t="n">
        <v>132</v>
      </c>
      <c r="FY3770" s="15" t="n">
        <v>132</v>
      </c>
      <c r="GU3770" s="15" t="n">
        <v>132</v>
      </c>
    </row>
    <row r="3771">
      <c r="C3771" s="15" t="n">
        <v>133</v>
      </c>
      <c r="AA3771" s="15" t="n">
        <v>133</v>
      </c>
      <c r="AW3771" s="15" t="n">
        <v>133</v>
      </c>
      <c r="BS3771" s="15" t="n">
        <v>133</v>
      </c>
      <c r="CO3771" s="15" t="n">
        <v>133</v>
      </c>
      <c r="DK3771" s="15" t="n">
        <v>133</v>
      </c>
      <c r="EG3771" s="15" t="n">
        <v>133</v>
      </c>
      <c r="FC3771" s="15" t="n">
        <v>133</v>
      </c>
      <c r="FY3771" s="15" t="n">
        <v>133</v>
      </c>
      <c r="GU3771" s="15" t="n">
        <v>133</v>
      </c>
    </row>
    <row r="3772">
      <c r="C3772" s="15" t="n">
        <v>134</v>
      </c>
      <c r="AA3772" s="15" t="n">
        <v>134</v>
      </c>
      <c r="AW3772" s="15" t="n">
        <v>134</v>
      </c>
      <c r="BS3772" s="15" t="n">
        <v>134</v>
      </c>
      <c r="CO3772" s="15" t="n">
        <v>134</v>
      </c>
      <c r="DK3772" s="15" t="n">
        <v>134</v>
      </c>
      <c r="EG3772" s="15" t="n">
        <v>134</v>
      </c>
      <c r="FC3772" s="15" t="n">
        <v>134</v>
      </c>
      <c r="FY3772" s="15" t="n">
        <v>134</v>
      </c>
      <c r="GU3772" s="15" t="n">
        <v>134</v>
      </c>
    </row>
    <row r="3773">
      <c r="C3773" s="15" t="n">
        <v>135</v>
      </c>
      <c r="AA3773" s="15" t="n">
        <v>135</v>
      </c>
      <c r="AW3773" s="15" t="n">
        <v>135</v>
      </c>
      <c r="BS3773" s="15" t="n">
        <v>135</v>
      </c>
      <c r="CO3773" s="15" t="n">
        <v>135</v>
      </c>
      <c r="DK3773" s="15" t="n">
        <v>135</v>
      </c>
      <c r="EG3773" s="15" t="n">
        <v>135</v>
      </c>
      <c r="FC3773" s="15" t="n">
        <v>135</v>
      </c>
      <c r="FY3773" s="15" t="n">
        <v>135</v>
      </c>
      <c r="GU3773" s="15" t="n">
        <v>135</v>
      </c>
    </row>
    <row r="3774">
      <c r="C3774" s="15" t="n">
        <v>136</v>
      </c>
      <c r="AA3774" s="15" t="n">
        <v>136</v>
      </c>
      <c r="AW3774" s="15" t="n">
        <v>136</v>
      </c>
      <c r="BS3774" s="15" t="n">
        <v>136</v>
      </c>
      <c r="CO3774" s="15" t="n">
        <v>136</v>
      </c>
      <c r="DK3774" s="15" t="n">
        <v>136</v>
      </c>
      <c r="EG3774" s="15" t="n">
        <v>136</v>
      </c>
      <c r="FC3774" s="15" t="n">
        <v>136</v>
      </c>
      <c r="FY3774" s="15" t="n">
        <v>136</v>
      </c>
      <c r="GU3774" s="15" t="n">
        <v>136</v>
      </c>
    </row>
    <row r="3775">
      <c r="C3775" s="15" t="n">
        <v>137</v>
      </c>
      <c r="AA3775" s="15" t="n">
        <v>137</v>
      </c>
      <c r="AW3775" s="15" t="n">
        <v>137</v>
      </c>
      <c r="BS3775" s="15" t="n">
        <v>137</v>
      </c>
      <c r="CO3775" s="15" t="n">
        <v>137</v>
      </c>
      <c r="DK3775" s="15" t="n">
        <v>137</v>
      </c>
      <c r="EG3775" s="15" t="n">
        <v>137</v>
      </c>
      <c r="FC3775" s="15" t="n">
        <v>137</v>
      </c>
      <c r="FY3775" s="15" t="n">
        <v>137</v>
      </c>
      <c r="GU3775" s="15" t="n">
        <v>137</v>
      </c>
    </row>
    <row r="3776">
      <c r="C3776" s="15" t="n">
        <v>138</v>
      </c>
      <c r="AA3776" s="15" t="n">
        <v>138</v>
      </c>
      <c r="AW3776" s="15" t="n">
        <v>138</v>
      </c>
      <c r="BS3776" s="15" t="n">
        <v>138</v>
      </c>
      <c r="CO3776" s="15" t="n">
        <v>138</v>
      </c>
      <c r="DK3776" s="15" t="n">
        <v>138</v>
      </c>
      <c r="EG3776" s="15" t="n">
        <v>138</v>
      </c>
      <c r="FC3776" s="15" t="n">
        <v>138</v>
      </c>
      <c r="FY3776" s="15" t="n">
        <v>138</v>
      </c>
      <c r="GU3776" s="15" t="n">
        <v>138</v>
      </c>
    </row>
    <row r="3777">
      <c r="C3777" s="15" t="n">
        <v>139</v>
      </c>
      <c r="AA3777" s="15" t="n">
        <v>139</v>
      </c>
      <c r="AW3777" s="15" t="n">
        <v>139</v>
      </c>
      <c r="BS3777" s="15" t="n">
        <v>139</v>
      </c>
      <c r="CO3777" s="15" t="n">
        <v>139</v>
      </c>
      <c r="DK3777" s="15" t="n">
        <v>139</v>
      </c>
      <c r="EG3777" s="15" t="n">
        <v>139</v>
      </c>
      <c r="FC3777" s="15" t="n">
        <v>139</v>
      </c>
      <c r="FY3777" s="15" t="n">
        <v>139</v>
      </c>
      <c r="GU3777" s="15" t="n">
        <v>139</v>
      </c>
    </row>
    <row r="3778">
      <c r="C3778" s="15" t="n">
        <v>140</v>
      </c>
      <c r="AA3778" s="15" t="n">
        <v>140</v>
      </c>
      <c r="AW3778" s="15" t="n">
        <v>140</v>
      </c>
      <c r="BS3778" s="15" t="n">
        <v>140</v>
      </c>
      <c r="CO3778" s="15" t="n">
        <v>140</v>
      </c>
      <c r="DK3778" s="15" t="n">
        <v>140</v>
      </c>
      <c r="EG3778" s="15" t="n">
        <v>140</v>
      </c>
      <c r="FC3778" s="15" t="n">
        <v>140</v>
      </c>
      <c r="FY3778" s="15" t="n">
        <v>140</v>
      </c>
      <c r="GU3778" s="15" t="n">
        <v>140</v>
      </c>
    </row>
    <row r="3779">
      <c r="C3779" s="15" t="n">
        <v>141</v>
      </c>
      <c r="AA3779" s="15" t="n">
        <v>141</v>
      </c>
      <c r="AW3779" s="15" t="n">
        <v>141</v>
      </c>
      <c r="BS3779" s="15" t="n">
        <v>141</v>
      </c>
      <c r="CO3779" s="15" t="n">
        <v>141</v>
      </c>
      <c r="DK3779" s="15" t="n">
        <v>141</v>
      </c>
      <c r="EG3779" s="15" t="n">
        <v>141</v>
      </c>
      <c r="FC3779" s="15" t="n">
        <v>141</v>
      </c>
      <c r="FY3779" s="15" t="n">
        <v>141</v>
      </c>
      <c r="GU3779" s="15" t="n">
        <v>141</v>
      </c>
    </row>
    <row r="3780">
      <c r="C3780" s="15" t="n">
        <v>142</v>
      </c>
      <c r="AA3780" s="15" t="n">
        <v>142</v>
      </c>
      <c r="AW3780" s="15" t="n">
        <v>142</v>
      </c>
      <c r="BS3780" s="15" t="n">
        <v>142</v>
      </c>
      <c r="CO3780" s="15" t="n">
        <v>142</v>
      </c>
      <c r="DK3780" s="15" t="n">
        <v>142</v>
      </c>
      <c r="EG3780" s="15" t="n">
        <v>142</v>
      </c>
      <c r="FC3780" s="15" t="n">
        <v>142</v>
      </c>
      <c r="FY3780" s="15" t="n">
        <v>142</v>
      </c>
      <c r="GU3780" s="15" t="n">
        <v>142</v>
      </c>
    </row>
    <row r="3781">
      <c r="C3781" s="15" t="n">
        <v>143</v>
      </c>
      <c r="AA3781" s="15" t="n">
        <v>143</v>
      </c>
      <c r="AW3781" s="15" t="n">
        <v>143</v>
      </c>
      <c r="BS3781" s="15" t="n">
        <v>143</v>
      </c>
      <c r="CO3781" s="15" t="n">
        <v>143</v>
      </c>
      <c r="DK3781" s="15" t="n">
        <v>143</v>
      </c>
      <c r="EG3781" s="15" t="n">
        <v>143</v>
      </c>
      <c r="FC3781" s="15" t="n">
        <v>143</v>
      </c>
      <c r="FY3781" s="15" t="n">
        <v>143</v>
      </c>
      <c r="GU3781" s="15" t="n">
        <v>143</v>
      </c>
    </row>
    <row r="3782">
      <c r="C3782" s="15" t="n">
        <v>144</v>
      </c>
      <c r="AA3782" s="15" t="n">
        <v>144</v>
      </c>
      <c r="AW3782" s="15" t="n">
        <v>144</v>
      </c>
      <c r="BS3782" s="15" t="n">
        <v>144</v>
      </c>
      <c r="CO3782" s="15" t="n">
        <v>144</v>
      </c>
      <c r="DK3782" s="15" t="n">
        <v>144</v>
      </c>
      <c r="EG3782" s="15" t="n">
        <v>144</v>
      </c>
      <c r="FC3782" s="15" t="n">
        <v>144</v>
      </c>
      <c r="FY3782" s="15" t="n">
        <v>144</v>
      </c>
      <c r="GU3782" s="15" t="n">
        <v>144</v>
      </c>
    </row>
    <row r="3783">
      <c r="C3783" s="15" t="n">
        <v>145</v>
      </c>
      <c r="AA3783" s="15" t="n">
        <v>145</v>
      </c>
      <c r="AW3783" s="15" t="n">
        <v>145</v>
      </c>
      <c r="BS3783" s="15" t="n">
        <v>145</v>
      </c>
      <c r="CO3783" s="15" t="n">
        <v>145</v>
      </c>
      <c r="DK3783" s="15" t="n">
        <v>145</v>
      </c>
      <c r="EG3783" s="15" t="n">
        <v>145</v>
      </c>
      <c r="FC3783" s="15" t="n">
        <v>145</v>
      </c>
      <c r="FY3783" s="15" t="n">
        <v>145</v>
      </c>
      <c r="GU3783" s="15" t="n">
        <v>145</v>
      </c>
    </row>
    <row r="3784">
      <c r="C3784" s="15" t="n">
        <v>146</v>
      </c>
      <c r="AA3784" s="15" t="n">
        <v>146</v>
      </c>
      <c r="AW3784" s="15" t="n">
        <v>146</v>
      </c>
      <c r="BS3784" s="15" t="n">
        <v>146</v>
      </c>
      <c r="CO3784" s="15" t="n">
        <v>146</v>
      </c>
      <c r="DK3784" s="15" t="n">
        <v>146</v>
      </c>
      <c r="EG3784" s="15" t="n">
        <v>146</v>
      </c>
      <c r="FC3784" s="15" t="n">
        <v>146</v>
      </c>
      <c r="FY3784" s="15" t="n">
        <v>146</v>
      </c>
      <c r="GU3784" s="15" t="n">
        <v>146</v>
      </c>
    </row>
    <row r="3785">
      <c r="C3785" s="15" t="n">
        <v>147</v>
      </c>
      <c r="AA3785" s="15" t="n">
        <v>147</v>
      </c>
      <c r="AW3785" s="15" t="n">
        <v>147</v>
      </c>
      <c r="BS3785" s="15" t="n">
        <v>147</v>
      </c>
      <c r="CO3785" s="15" t="n">
        <v>147</v>
      </c>
      <c r="DK3785" s="15" t="n">
        <v>147</v>
      </c>
      <c r="EG3785" s="15" t="n">
        <v>147</v>
      </c>
      <c r="FC3785" s="15" t="n">
        <v>147</v>
      </c>
      <c r="FY3785" s="15" t="n">
        <v>147</v>
      </c>
      <c r="GU3785" s="15" t="n">
        <v>147</v>
      </c>
    </row>
    <row r="3786">
      <c r="C3786" s="15" t="n">
        <v>148</v>
      </c>
      <c r="AA3786" s="15" t="n">
        <v>148</v>
      </c>
      <c r="AW3786" s="15" t="n">
        <v>148</v>
      </c>
      <c r="BS3786" s="15" t="n">
        <v>148</v>
      </c>
      <c r="CO3786" s="15" t="n">
        <v>148</v>
      </c>
      <c r="DK3786" s="15" t="n">
        <v>148</v>
      </c>
      <c r="EG3786" s="15" t="n">
        <v>148</v>
      </c>
      <c r="FC3786" s="15" t="n">
        <v>148</v>
      </c>
      <c r="FY3786" s="15" t="n">
        <v>148</v>
      </c>
      <c r="GU3786" s="15" t="n">
        <v>148</v>
      </c>
    </row>
    <row r="3787">
      <c r="C3787" s="15" t="n">
        <v>149</v>
      </c>
      <c r="AA3787" s="15" t="n">
        <v>149</v>
      </c>
      <c r="AW3787" s="15" t="n">
        <v>149</v>
      </c>
      <c r="BS3787" s="15" t="n">
        <v>149</v>
      </c>
      <c r="CO3787" s="15" t="n">
        <v>149</v>
      </c>
      <c r="DK3787" s="15" t="n">
        <v>149</v>
      </c>
      <c r="EG3787" s="15" t="n">
        <v>149</v>
      </c>
      <c r="FC3787" s="15" t="n">
        <v>149</v>
      </c>
      <c r="FY3787" s="15" t="n">
        <v>149</v>
      </c>
      <c r="GU3787" s="15" t="n">
        <v>149</v>
      </c>
    </row>
    <row r="3788">
      <c r="C3788" s="15" t="n">
        <v>150</v>
      </c>
      <c r="AA3788" s="15" t="n">
        <v>150</v>
      </c>
      <c r="AW3788" s="15" t="n">
        <v>150</v>
      </c>
      <c r="BS3788" s="15" t="n">
        <v>150</v>
      </c>
      <c r="CO3788" s="15" t="n">
        <v>150</v>
      </c>
      <c r="DK3788" s="15" t="n">
        <v>150</v>
      </c>
      <c r="EG3788" s="15" t="n">
        <v>150</v>
      </c>
      <c r="FC3788" s="15" t="n">
        <v>150</v>
      </c>
      <c r="FY3788" s="15" t="n">
        <v>150</v>
      </c>
      <c r="GU3788" s="15" t="n">
        <v>150</v>
      </c>
    </row>
    <row r="3789">
      <c r="C3789" s="15" t="n">
        <v>151</v>
      </c>
      <c r="AA3789" s="15" t="n">
        <v>151</v>
      </c>
      <c r="AW3789" s="15" t="n">
        <v>151</v>
      </c>
      <c r="BS3789" s="15" t="n">
        <v>151</v>
      </c>
      <c r="CO3789" s="15" t="n">
        <v>151</v>
      </c>
      <c r="DK3789" s="15" t="n">
        <v>151</v>
      </c>
      <c r="EG3789" s="15" t="n">
        <v>151</v>
      </c>
      <c r="FC3789" s="15" t="n">
        <v>151</v>
      </c>
      <c r="FY3789" s="15" t="n">
        <v>151</v>
      </c>
      <c r="GU3789" s="15" t="n">
        <v>151</v>
      </c>
    </row>
    <row r="3790">
      <c r="C3790" s="15" t="n">
        <v>152</v>
      </c>
      <c r="AA3790" s="15" t="n">
        <v>152</v>
      </c>
      <c r="AW3790" s="15" t="n">
        <v>152</v>
      </c>
      <c r="BS3790" s="15" t="n">
        <v>152</v>
      </c>
      <c r="CO3790" s="15" t="n">
        <v>152</v>
      </c>
      <c r="DK3790" s="15" t="n">
        <v>152</v>
      </c>
      <c r="EG3790" s="15" t="n">
        <v>152</v>
      </c>
      <c r="FC3790" s="15" t="n">
        <v>152</v>
      </c>
      <c r="FY3790" s="15" t="n">
        <v>152</v>
      </c>
      <c r="GU3790" s="15" t="n">
        <v>152</v>
      </c>
    </row>
    <row r="3791">
      <c r="C3791" s="15" t="n">
        <v>153</v>
      </c>
      <c r="AA3791" s="15" t="n">
        <v>153</v>
      </c>
      <c r="AW3791" s="15" t="n">
        <v>153</v>
      </c>
      <c r="BS3791" s="15" t="n">
        <v>153</v>
      </c>
      <c r="CO3791" s="15" t="n">
        <v>153</v>
      </c>
      <c r="DK3791" s="15" t="n">
        <v>153</v>
      </c>
      <c r="EG3791" s="15" t="n">
        <v>153</v>
      </c>
      <c r="FC3791" s="15" t="n">
        <v>153</v>
      </c>
      <c r="FY3791" s="15" t="n">
        <v>153</v>
      </c>
      <c r="GU3791" s="15" t="n">
        <v>153</v>
      </c>
    </row>
    <row r="3792">
      <c r="C3792" s="15" t="n">
        <v>154</v>
      </c>
      <c r="AA3792" s="15" t="n">
        <v>154</v>
      </c>
      <c r="AW3792" s="15" t="n">
        <v>154</v>
      </c>
      <c r="BS3792" s="15" t="n">
        <v>154</v>
      </c>
      <c r="CO3792" s="15" t="n">
        <v>154</v>
      </c>
      <c r="DK3792" s="15" t="n">
        <v>154</v>
      </c>
      <c r="EG3792" s="15" t="n">
        <v>154</v>
      </c>
      <c r="FC3792" s="15" t="n">
        <v>154</v>
      </c>
      <c r="FY3792" s="15" t="n">
        <v>154</v>
      </c>
      <c r="GU3792" s="15" t="n">
        <v>154</v>
      </c>
    </row>
    <row r="3793">
      <c r="C3793" s="15" t="n">
        <v>155</v>
      </c>
      <c r="AA3793" s="15" t="n">
        <v>155</v>
      </c>
      <c r="AW3793" s="15" t="n">
        <v>155</v>
      </c>
      <c r="BS3793" s="15" t="n">
        <v>155</v>
      </c>
      <c r="CO3793" s="15" t="n">
        <v>155</v>
      </c>
      <c r="DK3793" s="15" t="n">
        <v>155</v>
      </c>
      <c r="EG3793" s="15" t="n">
        <v>155</v>
      </c>
      <c r="FC3793" s="15" t="n">
        <v>155</v>
      </c>
      <c r="FY3793" s="15" t="n">
        <v>155</v>
      </c>
      <c r="GU3793" s="15" t="n">
        <v>155</v>
      </c>
    </row>
    <row r="3794">
      <c r="C3794" s="15" t="n">
        <v>156</v>
      </c>
      <c r="AA3794" s="15" t="n">
        <v>156</v>
      </c>
      <c r="AW3794" s="15" t="n">
        <v>156</v>
      </c>
      <c r="BS3794" s="15" t="n">
        <v>156</v>
      </c>
      <c r="CO3794" s="15" t="n">
        <v>156</v>
      </c>
      <c r="DK3794" s="15" t="n">
        <v>156</v>
      </c>
      <c r="EG3794" s="15" t="n">
        <v>156</v>
      </c>
      <c r="FC3794" s="15" t="n">
        <v>156</v>
      </c>
      <c r="FY3794" s="15" t="n">
        <v>156</v>
      </c>
      <c r="GU3794" s="15" t="n">
        <v>156</v>
      </c>
    </row>
    <row r="3795">
      <c r="C3795" s="15" t="n">
        <v>157</v>
      </c>
      <c r="AA3795" s="15" t="n">
        <v>157</v>
      </c>
      <c r="AW3795" s="15" t="n">
        <v>157</v>
      </c>
      <c r="BS3795" s="15" t="n">
        <v>157</v>
      </c>
      <c r="CO3795" s="15" t="n">
        <v>157</v>
      </c>
      <c r="DK3795" s="15" t="n">
        <v>157</v>
      </c>
      <c r="EG3795" s="15" t="n">
        <v>157</v>
      </c>
      <c r="FC3795" s="15" t="n">
        <v>157</v>
      </c>
      <c r="FY3795" s="15" t="n">
        <v>157</v>
      </c>
      <c r="GU3795" s="15" t="n">
        <v>157</v>
      </c>
    </row>
    <row r="3796">
      <c r="C3796" s="15" t="n">
        <v>158</v>
      </c>
      <c r="AA3796" s="15" t="n">
        <v>158</v>
      </c>
      <c r="AW3796" s="15" t="n">
        <v>158</v>
      </c>
      <c r="BS3796" s="15" t="n">
        <v>158</v>
      </c>
      <c r="CO3796" s="15" t="n">
        <v>158</v>
      </c>
      <c r="DK3796" s="15" t="n">
        <v>158</v>
      </c>
      <c r="EG3796" s="15" t="n">
        <v>158</v>
      </c>
      <c r="FC3796" s="15" t="n">
        <v>158</v>
      </c>
      <c r="FY3796" s="15" t="n">
        <v>158</v>
      </c>
      <c r="GU3796" s="15" t="n">
        <v>158</v>
      </c>
    </row>
    <row r="3797">
      <c r="C3797" s="15" t="n">
        <v>159</v>
      </c>
      <c r="AA3797" s="15" t="n">
        <v>159</v>
      </c>
      <c r="AW3797" s="15" t="n">
        <v>159</v>
      </c>
      <c r="BS3797" s="15" t="n">
        <v>159</v>
      </c>
      <c r="CO3797" s="15" t="n">
        <v>159</v>
      </c>
      <c r="DK3797" s="15" t="n">
        <v>159</v>
      </c>
      <c r="EG3797" s="15" t="n">
        <v>159</v>
      </c>
      <c r="FC3797" s="15" t="n">
        <v>159</v>
      </c>
      <c r="FY3797" s="15" t="n">
        <v>159</v>
      </c>
      <c r="GU3797" s="15" t="n">
        <v>159</v>
      </c>
    </row>
    <row r="3798">
      <c r="C3798" s="15" t="n">
        <v>160</v>
      </c>
      <c r="AA3798" s="15" t="n">
        <v>160</v>
      </c>
      <c r="AW3798" s="15" t="n">
        <v>160</v>
      </c>
      <c r="BS3798" s="15" t="n">
        <v>160</v>
      </c>
      <c r="CO3798" s="15" t="n">
        <v>160</v>
      </c>
      <c r="DK3798" s="15" t="n">
        <v>160</v>
      </c>
      <c r="EG3798" s="15" t="n">
        <v>160</v>
      </c>
      <c r="FC3798" s="15" t="n">
        <v>160</v>
      </c>
      <c r="FY3798" s="15" t="n">
        <v>160</v>
      </c>
      <c r="GU3798" s="15" t="n">
        <v>160</v>
      </c>
    </row>
    <row r="3799">
      <c r="C3799" s="15" t="n">
        <v>161</v>
      </c>
      <c r="AA3799" s="15" t="n">
        <v>161</v>
      </c>
      <c r="AW3799" s="15" t="n">
        <v>161</v>
      </c>
      <c r="BS3799" s="15" t="n">
        <v>161</v>
      </c>
      <c r="CO3799" s="15" t="n">
        <v>161</v>
      </c>
      <c r="DK3799" s="15" t="n">
        <v>161</v>
      </c>
      <c r="EG3799" s="15" t="n">
        <v>161</v>
      </c>
      <c r="FC3799" s="15" t="n">
        <v>161</v>
      </c>
      <c r="FY3799" s="15" t="n">
        <v>161</v>
      </c>
      <c r="GU3799" s="15" t="n">
        <v>161</v>
      </c>
    </row>
    <row r="3800">
      <c r="C3800" s="15" t="n">
        <v>162</v>
      </c>
      <c r="AA3800" s="15" t="n">
        <v>162</v>
      </c>
      <c r="AW3800" s="15" t="n">
        <v>162</v>
      </c>
      <c r="BS3800" s="15" t="n">
        <v>162</v>
      </c>
      <c r="CO3800" s="15" t="n">
        <v>162</v>
      </c>
      <c r="DK3800" s="15" t="n">
        <v>162</v>
      </c>
      <c r="EG3800" s="15" t="n">
        <v>162</v>
      </c>
      <c r="FC3800" s="15" t="n">
        <v>162</v>
      </c>
      <c r="FY3800" s="15" t="n">
        <v>162</v>
      </c>
      <c r="GU3800" s="15" t="n">
        <v>162</v>
      </c>
    </row>
    <row r="3801">
      <c r="C3801" s="15" t="n">
        <v>163</v>
      </c>
      <c r="AA3801" s="15" t="n">
        <v>163</v>
      </c>
      <c r="AW3801" s="15" t="n">
        <v>163</v>
      </c>
      <c r="BS3801" s="15" t="n">
        <v>163</v>
      </c>
      <c r="CO3801" s="15" t="n">
        <v>163</v>
      </c>
      <c r="DK3801" s="15" t="n">
        <v>163</v>
      </c>
      <c r="EG3801" s="15" t="n">
        <v>163</v>
      </c>
      <c r="FC3801" s="15" t="n">
        <v>163</v>
      </c>
      <c r="FY3801" s="15" t="n">
        <v>163</v>
      </c>
      <c r="GU3801" s="15" t="n">
        <v>163</v>
      </c>
    </row>
    <row r="3802">
      <c r="C3802" s="15" t="n">
        <v>164</v>
      </c>
      <c r="AA3802" s="15" t="n">
        <v>164</v>
      </c>
      <c r="AW3802" s="15" t="n">
        <v>164</v>
      </c>
      <c r="BS3802" s="15" t="n">
        <v>164</v>
      </c>
      <c r="CO3802" s="15" t="n">
        <v>164</v>
      </c>
      <c r="DK3802" s="15" t="n">
        <v>164</v>
      </c>
      <c r="EG3802" s="15" t="n">
        <v>164</v>
      </c>
      <c r="FC3802" s="15" t="n">
        <v>164</v>
      </c>
      <c r="FY3802" s="15" t="n">
        <v>164</v>
      </c>
      <c r="GU3802" s="15" t="n">
        <v>164</v>
      </c>
    </row>
    <row r="3803">
      <c r="C3803" s="15" t="n">
        <v>165</v>
      </c>
      <c r="AA3803" s="15" t="n">
        <v>165</v>
      </c>
      <c r="AW3803" s="15" t="n">
        <v>165</v>
      </c>
      <c r="BS3803" s="15" t="n">
        <v>165</v>
      </c>
      <c r="CO3803" s="15" t="n">
        <v>165</v>
      </c>
      <c r="DK3803" s="15" t="n">
        <v>165</v>
      </c>
      <c r="EG3803" s="15" t="n">
        <v>165</v>
      </c>
      <c r="FC3803" s="15" t="n">
        <v>165</v>
      </c>
      <c r="FY3803" s="15" t="n">
        <v>165</v>
      </c>
      <c r="GU3803" s="15" t="n">
        <v>165</v>
      </c>
    </row>
    <row r="3804">
      <c r="C3804" s="15" t="n">
        <v>166</v>
      </c>
      <c r="AA3804" s="15" t="n">
        <v>166</v>
      </c>
      <c r="AW3804" s="15" t="n">
        <v>166</v>
      </c>
      <c r="BS3804" s="15" t="n">
        <v>166</v>
      </c>
      <c r="CO3804" s="15" t="n">
        <v>166</v>
      </c>
      <c r="DK3804" s="15" t="n">
        <v>166</v>
      </c>
      <c r="EG3804" s="15" t="n">
        <v>166</v>
      </c>
      <c r="FC3804" s="15" t="n">
        <v>166</v>
      </c>
      <c r="FY3804" s="15" t="n">
        <v>166</v>
      </c>
      <c r="GU3804" s="15" t="n">
        <v>166</v>
      </c>
    </row>
    <row r="3805">
      <c r="C3805" s="15" t="n">
        <v>167</v>
      </c>
      <c r="AA3805" s="15" t="n">
        <v>167</v>
      </c>
      <c r="AW3805" s="15" t="n">
        <v>167</v>
      </c>
      <c r="BS3805" s="15" t="n">
        <v>167</v>
      </c>
      <c r="CO3805" s="15" t="n">
        <v>167</v>
      </c>
      <c r="DK3805" s="15" t="n">
        <v>167</v>
      </c>
      <c r="EG3805" s="15" t="n">
        <v>167</v>
      </c>
      <c r="FC3805" s="15" t="n">
        <v>167</v>
      </c>
      <c r="FY3805" s="15" t="n">
        <v>167</v>
      </c>
      <c r="GU3805" s="15" t="n">
        <v>167</v>
      </c>
    </row>
    <row r="3806">
      <c r="C3806" s="15" t="n">
        <v>168</v>
      </c>
      <c r="AA3806" s="15" t="n">
        <v>168</v>
      </c>
      <c r="AW3806" s="15" t="n">
        <v>168</v>
      </c>
      <c r="BS3806" s="15" t="n">
        <v>168</v>
      </c>
      <c r="CO3806" s="15" t="n">
        <v>168</v>
      </c>
      <c r="DK3806" s="15" t="n">
        <v>168</v>
      </c>
      <c r="EG3806" s="15" t="n">
        <v>168</v>
      </c>
      <c r="FC3806" s="15" t="n">
        <v>168</v>
      </c>
      <c r="FY3806" s="15" t="n">
        <v>168</v>
      </c>
      <c r="GU3806" s="15" t="n">
        <v>168</v>
      </c>
    </row>
    <row r="3807">
      <c r="C3807" s="15" t="n">
        <v>169</v>
      </c>
      <c r="AA3807" s="15" t="n">
        <v>169</v>
      </c>
      <c r="AW3807" s="15" t="n">
        <v>169</v>
      </c>
      <c r="BS3807" s="15" t="n">
        <v>169</v>
      </c>
      <c r="CO3807" s="15" t="n">
        <v>169</v>
      </c>
      <c r="DK3807" s="15" t="n">
        <v>169</v>
      </c>
      <c r="EG3807" s="15" t="n">
        <v>169</v>
      </c>
      <c r="FC3807" s="15" t="n">
        <v>169</v>
      </c>
      <c r="FY3807" s="15" t="n">
        <v>169</v>
      </c>
      <c r="GU3807" s="15" t="n">
        <v>169</v>
      </c>
    </row>
    <row r="3808">
      <c r="C3808" s="15" t="n">
        <v>170</v>
      </c>
      <c r="AA3808" s="15" t="n">
        <v>170</v>
      </c>
      <c r="AW3808" s="15" t="n">
        <v>170</v>
      </c>
      <c r="BS3808" s="15" t="n">
        <v>170</v>
      </c>
      <c r="CO3808" s="15" t="n">
        <v>170</v>
      </c>
      <c r="DK3808" s="15" t="n">
        <v>170</v>
      </c>
      <c r="EG3808" s="15" t="n">
        <v>170</v>
      </c>
      <c r="FC3808" s="15" t="n">
        <v>170</v>
      </c>
      <c r="FY3808" s="15" t="n">
        <v>170</v>
      </c>
      <c r="GU3808" s="15" t="n">
        <v>170</v>
      </c>
    </row>
    <row r="3809">
      <c r="C3809" s="15" t="n">
        <v>171</v>
      </c>
      <c r="AA3809" s="15" t="n">
        <v>171</v>
      </c>
      <c r="AW3809" s="15" t="n">
        <v>171</v>
      </c>
      <c r="BS3809" s="15" t="n">
        <v>171</v>
      </c>
      <c r="CO3809" s="15" t="n">
        <v>171</v>
      </c>
      <c r="DK3809" s="15" t="n">
        <v>171</v>
      </c>
      <c r="EG3809" s="15" t="n">
        <v>171</v>
      </c>
      <c r="FC3809" s="15" t="n">
        <v>171</v>
      </c>
      <c r="FY3809" s="15" t="n">
        <v>171</v>
      </c>
      <c r="GU3809" s="15" t="n">
        <v>171</v>
      </c>
    </row>
    <row r="3810">
      <c r="C3810" s="15" t="n">
        <v>172</v>
      </c>
      <c r="AA3810" s="15" t="n">
        <v>172</v>
      </c>
      <c r="AW3810" s="15" t="n">
        <v>172</v>
      </c>
      <c r="BS3810" s="15" t="n">
        <v>172</v>
      </c>
      <c r="CO3810" s="15" t="n">
        <v>172</v>
      </c>
      <c r="DK3810" s="15" t="n">
        <v>172</v>
      </c>
      <c r="EG3810" s="15" t="n">
        <v>172</v>
      </c>
      <c r="FC3810" s="15" t="n">
        <v>172</v>
      </c>
      <c r="FY3810" s="15" t="n">
        <v>172</v>
      </c>
      <c r="GU3810" s="15" t="n">
        <v>172</v>
      </c>
    </row>
    <row r="3811">
      <c r="C3811" s="15" t="n">
        <v>173</v>
      </c>
      <c r="AA3811" s="15" t="n">
        <v>173</v>
      </c>
      <c r="AW3811" s="15" t="n">
        <v>173</v>
      </c>
      <c r="BS3811" s="15" t="n">
        <v>173</v>
      </c>
      <c r="CO3811" s="15" t="n">
        <v>173</v>
      </c>
      <c r="DK3811" s="15" t="n">
        <v>173</v>
      </c>
      <c r="EG3811" s="15" t="n">
        <v>173</v>
      </c>
      <c r="FC3811" s="15" t="n">
        <v>173</v>
      </c>
      <c r="FY3811" s="15" t="n">
        <v>173</v>
      </c>
      <c r="GU3811" s="15" t="n">
        <v>173</v>
      </c>
    </row>
    <row r="3812">
      <c r="C3812" s="15" t="n">
        <v>174</v>
      </c>
      <c r="AA3812" s="15" t="n">
        <v>174</v>
      </c>
      <c r="AW3812" s="15" t="n">
        <v>174</v>
      </c>
      <c r="BS3812" s="15" t="n">
        <v>174</v>
      </c>
      <c r="CO3812" s="15" t="n">
        <v>174</v>
      </c>
      <c r="DK3812" s="15" t="n">
        <v>174</v>
      </c>
      <c r="EG3812" s="15" t="n">
        <v>174</v>
      </c>
      <c r="FC3812" s="15" t="n">
        <v>174</v>
      </c>
      <c r="FY3812" s="15" t="n">
        <v>174</v>
      </c>
      <c r="GU3812" s="15" t="n">
        <v>174</v>
      </c>
    </row>
    <row r="3813">
      <c r="C3813" s="15" t="n">
        <v>175</v>
      </c>
      <c r="AA3813" s="15" t="n">
        <v>175</v>
      </c>
      <c r="AW3813" s="15" t="n">
        <v>175</v>
      </c>
      <c r="BS3813" s="15" t="n">
        <v>175</v>
      </c>
      <c r="CO3813" s="15" t="n">
        <v>175</v>
      </c>
      <c r="DK3813" s="15" t="n">
        <v>175</v>
      </c>
      <c r="EG3813" s="15" t="n">
        <v>175</v>
      </c>
      <c r="FC3813" s="15" t="n">
        <v>175</v>
      </c>
      <c r="FY3813" s="15" t="n">
        <v>175</v>
      </c>
      <c r="GU3813" s="15" t="n">
        <v>175</v>
      </c>
    </row>
    <row r="3814">
      <c r="C3814" s="15" t="n">
        <v>176</v>
      </c>
      <c r="AA3814" s="15" t="n">
        <v>176</v>
      </c>
      <c r="AW3814" s="15" t="n">
        <v>176</v>
      </c>
      <c r="BS3814" s="15" t="n">
        <v>176</v>
      </c>
      <c r="CO3814" s="15" t="n">
        <v>176</v>
      </c>
      <c r="DK3814" s="15" t="n">
        <v>176</v>
      </c>
      <c r="EG3814" s="15" t="n">
        <v>176</v>
      </c>
      <c r="FC3814" s="15" t="n">
        <v>176</v>
      </c>
      <c r="FY3814" s="15" t="n">
        <v>176</v>
      </c>
      <c r="GU3814" s="15" t="n">
        <v>176</v>
      </c>
    </row>
    <row r="3815">
      <c r="C3815" s="15" t="n">
        <v>177</v>
      </c>
      <c r="AA3815" s="15" t="n">
        <v>177</v>
      </c>
      <c r="AW3815" s="15" t="n">
        <v>177</v>
      </c>
      <c r="BS3815" s="15" t="n">
        <v>177</v>
      </c>
      <c r="CO3815" s="15" t="n">
        <v>177</v>
      </c>
      <c r="DK3815" s="15" t="n">
        <v>177</v>
      </c>
      <c r="EG3815" s="15" t="n">
        <v>177</v>
      </c>
      <c r="FC3815" s="15" t="n">
        <v>177</v>
      </c>
      <c r="FY3815" s="15" t="n">
        <v>177</v>
      </c>
      <c r="GU3815" s="15" t="n">
        <v>177</v>
      </c>
    </row>
    <row r="3816">
      <c r="C3816" s="15" t="n">
        <v>178</v>
      </c>
      <c r="AA3816" s="15" t="n">
        <v>178</v>
      </c>
      <c r="AW3816" s="15" t="n">
        <v>178</v>
      </c>
      <c r="BS3816" s="15" t="n">
        <v>178</v>
      </c>
      <c r="CO3816" s="15" t="n">
        <v>178</v>
      </c>
      <c r="DK3816" s="15" t="n">
        <v>178</v>
      </c>
      <c r="EG3816" s="15" t="n">
        <v>178</v>
      </c>
      <c r="FC3816" s="15" t="n">
        <v>178</v>
      </c>
      <c r="FY3816" s="15" t="n">
        <v>178</v>
      </c>
      <c r="GU3816" s="15" t="n">
        <v>178</v>
      </c>
    </row>
    <row r="3817">
      <c r="C3817" s="15" t="n">
        <v>179</v>
      </c>
      <c r="AA3817" s="15" t="n">
        <v>179</v>
      </c>
      <c r="AW3817" s="15" t="n">
        <v>179</v>
      </c>
      <c r="BS3817" s="15" t="n">
        <v>179</v>
      </c>
      <c r="CO3817" s="15" t="n">
        <v>179</v>
      </c>
      <c r="DK3817" s="15" t="n">
        <v>179</v>
      </c>
      <c r="EG3817" s="15" t="n">
        <v>179</v>
      </c>
      <c r="FC3817" s="15" t="n">
        <v>179</v>
      </c>
      <c r="FY3817" s="15" t="n">
        <v>179</v>
      </c>
      <c r="GU3817" s="15" t="n">
        <v>179</v>
      </c>
    </row>
    <row r="3818">
      <c r="C3818" s="15" t="n">
        <v>180</v>
      </c>
      <c r="AA3818" s="15" t="n">
        <v>180</v>
      </c>
      <c r="AW3818" s="15" t="n">
        <v>180</v>
      </c>
      <c r="BS3818" s="15" t="n">
        <v>180</v>
      </c>
      <c r="CO3818" s="15" t="n">
        <v>180</v>
      </c>
      <c r="DK3818" s="15" t="n">
        <v>180</v>
      </c>
      <c r="EG3818" s="15" t="n">
        <v>180</v>
      </c>
      <c r="FC3818" s="15" t="n">
        <v>180</v>
      </c>
      <c r="FY3818" s="15" t="n">
        <v>180</v>
      </c>
      <c r="GU3818" s="15" t="n">
        <v>180</v>
      </c>
    </row>
    <row r="3819">
      <c r="C3819" s="15" t="n">
        <v>181</v>
      </c>
      <c r="AA3819" s="15" t="n">
        <v>181</v>
      </c>
      <c r="AW3819" s="15" t="n">
        <v>181</v>
      </c>
      <c r="BS3819" s="15" t="n">
        <v>181</v>
      </c>
      <c r="CO3819" s="15" t="n">
        <v>181</v>
      </c>
      <c r="DK3819" s="15" t="n">
        <v>181</v>
      </c>
      <c r="EG3819" s="15" t="n">
        <v>181</v>
      </c>
      <c r="FC3819" s="15" t="n">
        <v>181</v>
      </c>
      <c r="FY3819" s="15" t="n">
        <v>181</v>
      </c>
      <c r="GU3819" s="15" t="n">
        <v>181</v>
      </c>
    </row>
    <row r="3820">
      <c r="C3820" s="15" t="n">
        <v>182</v>
      </c>
      <c r="AA3820" s="15" t="n">
        <v>182</v>
      </c>
      <c r="AW3820" s="15" t="n">
        <v>182</v>
      </c>
      <c r="BS3820" s="15" t="n">
        <v>182</v>
      </c>
      <c r="CO3820" s="15" t="n">
        <v>182</v>
      </c>
      <c r="DK3820" s="15" t="n">
        <v>182</v>
      </c>
      <c r="EG3820" s="15" t="n">
        <v>182</v>
      </c>
      <c r="FC3820" s="15" t="n">
        <v>182</v>
      </c>
      <c r="FY3820" s="15" t="n">
        <v>182</v>
      </c>
      <c r="GU3820" s="15" t="n">
        <v>182</v>
      </c>
    </row>
    <row r="3821">
      <c r="C3821" s="15" t="n">
        <v>183</v>
      </c>
      <c r="AA3821" s="15" t="n">
        <v>183</v>
      </c>
      <c r="AW3821" s="15" t="n">
        <v>183</v>
      </c>
      <c r="BS3821" s="15" t="n">
        <v>183</v>
      </c>
      <c r="CO3821" s="15" t="n">
        <v>183</v>
      </c>
      <c r="DK3821" s="15" t="n">
        <v>183</v>
      </c>
      <c r="EG3821" s="15" t="n">
        <v>183</v>
      </c>
      <c r="FC3821" s="15" t="n">
        <v>183</v>
      </c>
      <c r="FY3821" s="15" t="n">
        <v>183</v>
      </c>
      <c r="GU3821" s="15" t="n">
        <v>183</v>
      </c>
    </row>
    <row r="3822">
      <c r="C3822" s="15" t="n">
        <v>184</v>
      </c>
      <c r="AA3822" s="15" t="n">
        <v>184</v>
      </c>
      <c r="AW3822" s="15" t="n">
        <v>184</v>
      </c>
      <c r="BS3822" s="15" t="n">
        <v>184</v>
      </c>
      <c r="CO3822" s="15" t="n">
        <v>184</v>
      </c>
      <c r="DK3822" s="15" t="n">
        <v>184</v>
      </c>
      <c r="EG3822" s="15" t="n">
        <v>184</v>
      </c>
      <c r="FC3822" s="15" t="n">
        <v>184</v>
      </c>
      <c r="FY3822" s="15" t="n">
        <v>184</v>
      </c>
      <c r="GU3822" s="15" t="n">
        <v>184</v>
      </c>
    </row>
    <row r="3823">
      <c r="C3823" s="15" t="n">
        <v>185</v>
      </c>
      <c r="AA3823" s="15" t="n">
        <v>185</v>
      </c>
      <c r="AW3823" s="15" t="n">
        <v>185</v>
      </c>
      <c r="BS3823" s="15" t="n">
        <v>185</v>
      </c>
      <c r="CO3823" s="15" t="n">
        <v>185</v>
      </c>
      <c r="DK3823" s="15" t="n">
        <v>185</v>
      </c>
      <c r="EG3823" s="15" t="n">
        <v>185</v>
      </c>
      <c r="FC3823" s="15" t="n">
        <v>185</v>
      </c>
      <c r="FY3823" s="15" t="n">
        <v>185</v>
      </c>
      <c r="GU3823" s="15" t="n">
        <v>185</v>
      </c>
    </row>
    <row r="3824">
      <c r="C3824" s="15" t="n">
        <v>186</v>
      </c>
      <c r="AA3824" s="15" t="n">
        <v>186</v>
      </c>
      <c r="AW3824" s="15" t="n">
        <v>186</v>
      </c>
      <c r="BS3824" s="15" t="n">
        <v>186</v>
      </c>
      <c r="CO3824" s="15" t="n">
        <v>186</v>
      </c>
      <c r="DK3824" s="15" t="n">
        <v>186</v>
      </c>
      <c r="EG3824" s="15" t="n">
        <v>186</v>
      </c>
      <c r="FC3824" s="15" t="n">
        <v>186</v>
      </c>
      <c r="FY3824" s="15" t="n">
        <v>186</v>
      </c>
      <c r="GU3824" s="15" t="n">
        <v>186</v>
      </c>
    </row>
    <row r="3825">
      <c r="C3825" s="15" t="n">
        <v>187</v>
      </c>
      <c r="AA3825" s="15" t="n">
        <v>187</v>
      </c>
      <c r="AW3825" s="15" t="n">
        <v>187</v>
      </c>
      <c r="BS3825" s="15" t="n">
        <v>187</v>
      </c>
      <c r="CO3825" s="15" t="n">
        <v>187</v>
      </c>
      <c r="DK3825" s="15" t="n">
        <v>187</v>
      </c>
      <c r="EG3825" s="15" t="n">
        <v>187</v>
      </c>
      <c r="FC3825" s="15" t="n">
        <v>187</v>
      </c>
      <c r="FY3825" s="15" t="n">
        <v>187</v>
      </c>
      <c r="GU3825" s="15" t="n">
        <v>187</v>
      </c>
    </row>
    <row r="3826">
      <c r="C3826" s="15" t="n">
        <v>188</v>
      </c>
      <c r="AA3826" s="15" t="n">
        <v>188</v>
      </c>
      <c r="AW3826" s="15" t="n">
        <v>188</v>
      </c>
      <c r="BS3826" s="15" t="n">
        <v>188</v>
      </c>
      <c r="CO3826" s="15" t="n">
        <v>188</v>
      </c>
      <c r="DK3826" s="15" t="n">
        <v>188</v>
      </c>
      <c r="EG3826" s="15" t="n">
        <v>188</v>
      </c>
      <c r="FC3826" s="15" t="n">
        <v>188</v>
      </c>
      <c r="FY3826" s="15" t="n">
        <v>188</v>
      </c>
      <c r="GU3826" s="15" t="n">
        <v>188</v>
      </c>
    </row>
    <row r="3827">
      <c r="C3827" s="15" t="n">
        <v>189</v>
      </c>
      <c r="AA3827" s="15" t="n">
        <v>189</v>
      </c>
      <c r="AW3827" s="15" t="n">
        <v>189</v>
      </c>
      <c r="BS3827" s="15" t="n">
        <v>189</v>
      </c>
      <c r="CO3827" s="15" t="n">
        <v>189</v>
      </c>
      <c r="DK3827" s="15" t="n">
        <v>189</v>
      </c>
      <c r="EG3827" s="15" t="n">
        <v>189</v>
      </c>
      <c r="FC3827" s="15" t="n">
        <v>189</v>
      </c>
      <c r="FY3827" s="15" t="n">
        <v>189</v>
      </c>
      <c r="GU3827" s="15" t="n">
        <v>189</v>
      </c>
    </row>
    <row r="3828">
      <c r="C3828" s="15" t="n">
        <v>190</v>
      </c>
      <c r="AA3828" s="15" t="n">
        <v>190</v>
      </c>
      <c r="AW3828" s="15" t="n">
        <v>190</v>
      </c>
      <c r="BS3828" s="15" t="n">
        <v>190</v>
      </c>
      <c r="CO3828" s="15" t="n">
        <v>190</v>
      </c>
      <c r="DK3828" s="15" t="n">
        <v>190</v>
      </c>
      <c r="EG3828" s="15" t="n">
        <v>190</v>
      </c>
      <c r="FC3828" s="15" t="n">
        <v>190</v>
      </c>
      <c r="FY3828" s="15" t="n">
        <v>190</v>
      </c>
      <c r="GU3828" s="15" t="n">
        <v>190</v>
      </c>
    </row>
    <row r="3829">
      <c r="C3829" s="15" t="n">
        <v>191</v>
      </c>
      <c r="AA3829" s="15" t="n">
        <v>191</v>
      </c>
      <c r="AW3829" s="15" t="n">
        <v>191</v>
      </c>
      <c r="BS3829" s="15" t="n">
        <v>191</v>
      </c>
      <c r="CO3829" s="15" t="n">
        <v>191</v>
      </c>
      <c r="DK3829" s="15" t="n">
        <v>191</v>
      </c>
      <c r="EG3829" s="15" t="n">
        <v>191</v>
      </c>
      <c r="FC3829" s="15" t="n">
        <v>191</v>
      </c>
      <c r="FY3829" s="15" t="n">
        <v>191</v>
      </c>
      <c r="GU3829" s="15" t="n">
        <v>191</v>
      </c>
    </row>
    <row r="3830">
      <c r="C3830" s="15" t="n">
        <v>192</v>
      </c>
      <c r="AA3830" s="15" t="n">
        <v>192</v>
      </c>
      <c r="AW3830" s="15" t="n">
        <v>192</v>
      </c>
      <c r="BS3830" s="15" t="n">
        <v>192</v>
      </c>
      <c r="CO3830" s="15" t="n">
        <v>192</v>
      </c>
      <c r="DK3830" s="15" t="n">
        <v>192</v>
      </c>
      <c r="EG3830" s="15" t="n">
        <v>192</v>
      </c>
      <c r="FC3830" s="15" t="n">
        <v>192</v>
      </c>
      <c r="FY3830" s="15" t="n">
        <v>192</v>
      </c>
      <c r="GU3830" s="15" t="n">
        <v>192</v>
      </c>
    </row>
    <row r="3831">
      <c r="C3831" s="15" t="n">
        <v>193</v>
      </c>
      <c r="AA3831" s="15" t="n">
        <v>193</v>
      </c>
      <c r="AW3831" s="15" t="n">
        <v>193</v>
      </c>
      <c r="BS3831" s="15" t="n">
        <v>193</v>
      </c>
      <c r="CO3831" s="15" t="n">
        <v>193</v>
      </c>
      <c r="DK3831" s="15" t="n">
        <v>193</v>
      </c>
      <c r="EG3831" s="15" t="n">
        <v>193</v>
      </c>
      <c r="FC3831" s="15" t="n">
        <v>193</v>
      </c>
      <c r="FY3831" s="15" t="n">
        <v>193</v>
      </c>
      <c r="GU3831" s="15" t="n">
        <v>193</v>
      </c>
    </row>
    <row r="3832">
      <c r="C3832" s="15" t="n">
        <v>194</v>
      </c>
      <c r="AA3832" s="15" t="n">
        <v>194</v>
      </c>
      <c r="AW3832" s="15" t="n">
        <v>194</v>
      </c>
      <c r="BS3832" s="15" t="n">
        <v>194</v>
      </c>
      <c r="CO3832" s="15" t="n">
        <v>194</v>
      </c>
      <c r="DK3832" s="15" t="n">
        <v>194</v>
      </c>
      <c r="EG3832" s="15" t="n">
        <v>194</v>
      </c>
      <c r="FC3832" s="15" t="n">
        <v>194</v>
      </c>
      <c r="FY3832" s="15" t="n">
        <v>194</v>
      </c>
      <c r="GU3832" s="15" t="n">
        <v>194</v>
      </c>
    </row>
    <row r="3833">
      <c r="C3833" s="15" t="n">
        <v>195</v>
      </c>
      <c r="AA3833" s="15" t="n">
        <v>195</v>
      </c>
      <c r="AW3833" s="15" t="n">
        <v>195</v>
      </c>
      <c r="BS3833" s="15" t="n">
        <v>195</v>
      </c>
      <c r="CO3833" s="15" t="n">
        <v>195</v>
      </c>
      <c r="DK3833" s="15" t="n">
        <v>195</v>
      </c>
      <c r="EG3833" s="15" t="n">
        <v>195</v>
      </c>
      <c r="FC3833" s="15" t="n">
        <v>195</v>
      </c>
      <c r="FY3833" s="15" t="n">
        <v>195</v>
      </c>
      <c r="GU3833" s="15" t="n">
        <v>195</v>
      </c>
    </row>
    <row r="3834">
      <c r="C3834" s="15" t="n">
        <v>196</v>
      </c>
      <c r="AA3834" s="15" t="n">
        <v>196</v>
      </c>
      <c r="AW3834" s="15" t="n">
        <v>196</v>
      </c>
      <c r="BS3834" s="15" t="n">
        <v>196</v>
      </c>
      <c r="CO3834" s="15" t="n">
        <v>196</v>
      </c>
      <c r="DK3834" s="15" t="n">
        <v>196</v>
      </c>
      <c r="EG3834" s="15" t="n">
        <v>196</v>
      </c>
      <c r="FC3834" s="15" t="n">
        <v>196</v>
      </c>
      <c r="FY3834" s="15" t="n">
        <v>196</v>
      </c>
      <c r="GU3834" s="15" t="n">
        <v>196</v>
      </c>
    </row>
    <row r="3835">
      <c r="C3835" s="15" t="n">
        <v>197</v>
      </c>
      <c r="AA3835" s="15" t="n">
        <v>197</v>
      </c>
      <c r="AW3835" s="15" t="n">
        <v>197</v>
      </c>
      <c r="BS3835" s="15" t="n">
        <v>197</v>
      </c>
      <c r="CO3835" s="15" t="n">
        <v>197</v>
      </c>
      <c r="DK3835" s="15" t="n">
        <v>197</v>
      </c>
      <c r="EG3835" s="15" t="n">
        <v>197</v>
      </c>
      <c r="FC3835" s="15" t="n">
        <v>197</v>
      </c>
      <c r="FY3835" s="15" t="n">
        <v>197</v>
      </c>
      <c r="GU3835" s="15" t="n">
        <v>197</v>
      </c>
    </row>
    <row r="3836">
      <c r="C3836" s="15" t="n">
        <v>198</v>
      </c>
      <c r="AA3836" s="15" t="n">
        <v>198</v>
      </c>
      <c r="AW3836" s="15" t="n">
        <v>198</v>
      </c>
      <c r="BS3836" s="15" t="n">
        <v>198</v>
      </c>
      <c r="CO3836" s="15" t="n">
        <v>198</v>
      </c>
      <c r="DK3836" s="15" t="n">
        <v>198</v>
      </c>
      <c r="EG3836" s="15" t="n">
        <v>198</v>
      </c>
      <c r="FC3836" s="15" t="n">
        <v>198</v>
      </c>
      <c r="FY3836" s="15" t="n">
        <v>198</v>
      </c>
      <c r="GU3836" s="15" t="n">
        <v>198</v>
      </c>
    </row>
    <row r="3838">
      <c r="C3838" s="15" t="inlineStr">
        <is>
          <t>DesvPad(Cap)</t>
        </is>
      </c>
      <c r="D3838" s="15" t="n">
        <v>22</v>
      </c>
      <c r="E3838" s="15" t="n">
        <v>23</v>
      </c>
      <c r="F3838" s="15" t="n">
        <v>24</v>
      </c>
      <c r="AA3838" s="15" t="inlineStr">
        <is>
          <t>DesvPad(Cap)</t>
        </is>
      </c>
      <c r="AB3838" s="15" t="n">
        <v>22</v>
      </c>
      <c r="AC3838" s="15" t="n">
        <v>23</v>
      </c>
      <c r="AD3838" s="15" t="n">
        <v>24</v>
      </c>
      <c r="AW3838" s="15" t="inlineStr">
        <is>
          <t>DesvPad(Cap)</t>
        </is>
      </c>
      <c r="AX3838" s="15" t="n">
        <v>22</v>
      </c>
      <c r="AY3838" s="15" t="n">
        <v>23</v>
      </c>
      <c r="AZ3838" s="15" t="n">
        <v>24</v>
      </c>
      <c r="BS3838" s="15" t="inlineStr">
        <is>
          <t>DesvPad(Cap)</t>
        </is>
      </c>
      <c r="BT3838" s="15" t="n">
        <v>22</v>
      </c>
      <c r="BU3838" s="15" t="n">
        <v>23</v>
      </c>
      <c r="BV3838" s="15" t="n">
        <v>24</v>
      </c>
      <c r="CO3838" s="15" t="inlineStr">
        <is>
          <t>DesvPad(Cap)</t>
        </is>
      </c>
      <c r="CP3838" s="15" t="n">
        <v>22</v>
      </c>
      <c r="CQ3838" s="15" t="n">
        <v>23</v>
      </c>
      <c r="CR3838" s="15" t="n">
        <v>24</v>
      </c>
      <c r="DK3838" s="15" t="inlineStr">
        <is>
          <t>DesvPad(Cap)</t>
        </is>
      </c>
      <c r="DL3838" s="15" t="n">
        <v>22</v>
      </c>
      <c r="DM3838" s="15" t="n">
        <v>23</v>
      </c>
      <c r="DN3838" s="15" t="n">
        <v>24</v>
      </c>
      <c r="EG3838" s="15" t="inlineStr">
        <is>
          <t>DesvPad(Cap)</t>
        </is>
      </c>
      <c r="EH3838" s="15" t="n">
        <v>22</v>
      </c>
      <c r="EI3838" s="15" t="n">
        <v>23</v>
      </c>
      <c r="EJ3838" s="15" t="n">
        <v>24</v>
      </c>
      <c r="FC3838" s="15" t="inlineStr">
        <is>
          <t>DesvPad(Cap)</t>
        </is>
      </c>
      <c r="FD3838" s="15" t="n">
        <v>22</v>
      </c>
      <c r="FE3838" s="15" t="n">
        <v>23</v>
      </c>
      <c r="FF3838" s="15" t="n">
        <v>24</v>
      </c>
      <c r="FY3838" s="15" t="inlineStr">
        <is>
          <t>DesvPad(Cap)</t>
        </is>
      </c>
      <c r="FZ3838" s="15" t="n">
        <v>22</v>
      </c>
      <c r="GA3838" s="15" t="n">
        <v>23</v>
      </c>
      <c r="GB3838" s="15" t="n">
        <v>24</v>
      </c>
      <c r="GU3838" s="15" t="inlineStr">
        <is>
          <t>DesvPad(Cap)</t>
        </is>
      </c>
      <c r="GV3838" s="15" t="n">
        <v>22</v>
      </c>
      <c r="GW3838" s="15" t="n">
        <v>23</v>
      </c>
      <c r="GX3838" s="15" t="n">
        <v>24</v>
      </c>
    </row>
    <row r="3839">
      <c r="C3839" s="15" t="n">
        <v>9</v>
      </c>
      <c r="AA3839" s="15" t="n">
        <v>9</v>
      </c>
      <c r="AW3839" s="15" t="n">
        <v>9</v>
      </c>
      <c r="BS3839" s="15" t="n">
        <v>9</v>
      </c>
      <c r="CO3839" s="15" t="n">
        <v>9</v>
      </c>
      <c r="DK3839" s="15" t="n">
        <v>9</v>
      </c>
      <c r="EG3839" s="15" t="n">
        <v>9</v>
      </c>
      <c r="FC3839" s="15" t="n">
        <v>9</v>
      </c>
      <c r="FY3839" s="15" t="n">
        <v>9</v>
      </c>
      <c r="GU3839" s="15" t="n">
        <v>9</v>
      </c>
    </row>
    <row r="3840">
      <c r="C3840" s="15" t="n">
        <v>10</v>
      </c>
      <c r="AA3840" s="15" t="n">
        <v>10</v>
      </c>
      <c r="AW3840" s="15" t="n">
        <v>10</v>
      </c>
      <c r="BS3840" s="15" t="n">
        <v>10</v>
      </c>
      <c r="CO3840" s="15" t="n">
        <v>10</v>
      </c>
      <c r="DK3840" s="15" t="n">
        <v>10</v>
      </c>
      <c r="EG3840" s="15" t="n">
        <v>10</v>
      </c>
      <c r="FC3840" s="15" t="n">
        <v>10</v>
      </c>
      <c r="FY3840" s="15" t="n">
        <v>10</v>
      </c>
      <c r="GU3840" s="15" t="n">
        <v>10</v>
      </c>
    </row>
    <row r="3841">
      <c r="C3841" s="15" t="n">
        <v>11</v>
      </c>
      <c r="AA3841" s="15" t="n">
        <v>11</v>
      </c>
      <c r="AW3841" s="15" t="n">
        <v>11</v>
      </c>
      <c r="BS3841" s="15" t="n">
        <v>11</v>
      </c>
      <c r="CO3841" s="15" t="n">
        <v>11</v>
      </c>
      <c r="DK3841" s="15" t="n">
        <v>11</v>
      </c>
      <c r="EG3841" s="15" t="n">
        <v>11</v>
      </c>
      <c r="FC3841" s="15" t="n">
        <v>11</v>
      </c>
      <c r="FY3841" s="15" t="n">
        <v>11</v>
      </c>
      <c r="GU3841" s="15" t="n">
        <v>11</v>
      </c>
    </row>
    <row r="3842">
      <c r="C3842" s="15" t="n">
        <v>12</v>
      </c>
      <c r="AA3842" s="15" t="n">
        <v>12</v>
      </c>
      <c r="AW3842" s="15" t="n">
        <v>12</v>
      </c>
      <c r="BS3842" s="15" t="n">
        <v>12</v>
      </c>
      <c r="CO3842" s="15" t="n">
        <v>12</v>
      </c>
      <c r="DK3842" s="15" t="n">
        <v>12</v>
      </c>
      <c r="EG3842" s="15" t="n">
        <v>12</v>
      </c>
      <c r="FC3842" s="15" t="n">
        <v>12</v>
      </c>
      <c r="FY3842" s="15" t="n">
        <v>12</v>
      </c>
      <c r="GU3842" s="15" t="n">
        <v>12</v>
      </c>
    </row>
    <row r="3843">
      <c r="C3843" s="15" t="n">
        <v>13</v>
      </c>
      <c r="AA3843" s="15" t="n">
        <v>13</v>
      </c>
      <c r="AW3843" s="15" t="n">
        <v>13</v>
      </c>
      <c r="BS3843" s="15" t="n">
        <v>13</v>
      </c>
      <c r="CO3843" s="15" t="n">
        <v>13</v>
      </c>
      <c r="DK3843" s="15" t="n">
        <v>13</v>
      </c>
      <c r="EG3843" s="15" t="n">
        <v>13</v>
      </c>
      <c r="FC3843" s="15" t="n">
        <v>13</v>
      </c>
      <c r="FY3843" s="15" t="n">
        <v>13</v>
      </c>
      <c r="GU3843" s="15" t="n">
        <v>13</v>
      </c>
    </row>
    <row r="3844">
      <c r="C3844" s="15" t="n">
        <v>14</v>
      </c>
      <c r="AA3844" s="15" t="n">
        <v>14</v>
      </c>
      <c r="AW3844" s="15" t="n">
        <v>14</v>
      </c>
      <c r="BS3844" s="15" t="n">
        <v>14</v>
      </c>
      <c r="CO3844" s="15" t="n">
        <v>14</v>
      </c>
      <c r="DK3844" s="15" t="n">
        <v>14</v>
      </c>
      <c r="EG3844" s="15" t="n">
        <v>14</v>
      </c>
      <c r="FC3844" s="15" t="n">
        <v>14</v>
      </c>
      <c r="FY3844" s="15" t="n">
        <v>14</v>
      </c>
      <c r="GU3844" s="15" t="n">
        <v>14</v>
      </c>
    </row>
    <row r="3845">
      <c r="C3845" s="15" t="n">
        <v>15</v>
      </c>
      <c r="AA3845" s="15" t="n">
        <v>15</v>
      </c>
      <c r="AW3845" s="15" t="n">
        <v>15</v>
      </c>
      <c r="BS3845" s="15" t="n">
        <v>15</v>
      </c>
      <c r="CO3845" s="15" t="n">
        <v>15</v>
      </c>
      <c r="DK3845" s="15" t="n">
        <v>15</v>
      </c>
      <c r="EG3845" s="15" t="n">
        <v>15</v>
      </c>
      <c r="FC3845" s="15" t="n">
        <v>15</v>
      </c>
      <c r="FY3845" s="15" t="n">
        <v>15</v>
      </c>
      <c r="GU3845" s="15" t="n">
        <v>15</v>
      </c>
    </row>
    <row r="3846">
      <c r="C3846" s="15" t="n">
        <v>16</v>
      </c>
      <c r="AA3846" s="15" t="n">
        <v>16</v>
      </c>
      <c r="AW3846" s="15" t="n">
        <v>16</v>
      </c>
      <c r="BS3846" s="15" t="n">
        <v>16</v>
      </c>
      <c r="CO3846" s="15" t="n">
        <v>16</v>
      </c>
      <c r="DK3846" s="15" t="n">
        <v>16</v>
      </c>
      <c r="EG3846" s="15" t="n">
        <v>16</v>
      </c>
      <c r="FC3846" s="15" t="n">
        <v>16</v>
      </c>
      <c r="FY3846" s="15" t="n">
        <v>16</v>
      </c>
      <c r="GU3846" s="15" t="n">
        <v>16</v>
      </c>
    </row>
    <row r="3847">
      <c r="C3847" s="15" t="n">
        <v>17</v>
      </c>
      <c r="AA3847" s="15" t="n">
        <v>17</v>
      </c>
      <c r="AW3847" s="15" t="n">
        <v>17</v>
      </c>
      <c r="BS3847" s="15" t="n">
        <v>17</v>
      </c>
      <c r="CO3847" s="15" t="n">
        <v>17</v>
      </c>
      <c r="DK3847" s="15" t="n">
        <v>17</v>
      </c>
      <c r="EG3847" s="15" t="n">
        <v>17</v>
      </c>
      <c r="FC3847" s="15" t="n">
        <v>17</v>
      </c>
      <c r="FY3847" s="15" t="n">
        <v>17</v>
      </c>
      <c r="GU3847" s="15" t="n">
        <v>17</v>
      </c>
    </row>
    <row r="3848">
      <c r="C3848" s="15" t="n">
        <v>18</v>
      </c>
      <c r="AA3848" s="15" t="n">
        <v>18</v>
      </c>
      <c r="AW3848" s="15" t="n">
        <v>18</v>
      </c>
      <c r="BS3848" s="15" t="n">
        <v>18</v>
      </c>
      <c r="CO3848" s="15" t="n">
        <v>18</v>
      </c>
      <c r="DK3848" s="15" t="n">
        <v>18</v>
      </c>
      <c r="EG3848" s="15" t="n">
        <v>18</v>
      </c>
      <c r="FC3848" s="15" t="n">
        <v>18</v>
      </c>
      <c r="FY3848" s="15" t="n">
        <v>18</v>
      </c>
      <c r="GU3848" s="15" t="n">
        <v>18</v>
      </c>
    </row>
    <row r="3849">
      <c r="C3849" s="15" t="n">
        <v>19</v>
      </c>
      <c r="AA3849" s="15" t="n">
        <v>19</v>
      </c>
      <c r="AW3849" s="15" t="n">
        <v>19</v>
      </c>
      <c r="BS3849" s="15" t="n">
        <v>19</v>
      </c>
      <c r="CO3849" s="15" t="n">
        <v>19</v>
      </c>
      <c r="DK3849" s="15" t="n">
        <v>19</v>
      </c>
      <c r="EG3849" s="15" t="n">
        <v>19</v>
      </c>
      <c r="FC3849" s="15" t="n">
        <v>19</v>
      </c>
      <c r="FY3849" s="15" t="n">
        <v>19</v>
      </c>
      <c r="GU3849" s="15" t="n">
        <v>19</v>
      </c>
    </row>
    <row r="3850">
      <c r="C3850" s="15" t="n">
        <v>20</v>
      </c>
      <c r="AA3850" s="15" t="n">
        <v>20</v>
      </c>
      <c r="AW3850" s="15" t="n">
        <v>20</v>
      </c>
      <c r="BS3850" s="15" t="n">
        <v>20</v>
      </c>
      <c r="CO3850" s="15" t="n">
        <v>20</v>
      </c>
      <c r="DK3850" s="15" t="n">
        <v>20</v>
      </c>
      <c r="EG3850" s="15" t="n">
        <v>20</v>
      </c>
      <c r="FC3850" s="15" t="n">
        <v>20</v>
      </c>
      <c r="FY3850" s="15" t="n">
        <v>20</v>
      </c>
      <c r="GU3850" s="15" t="n">
        <v>20</v>
      </c>
    </row>
    <row r="3851">
      <c r="C3851" s="15" t="n">
        <v>21</v>
      </c>
      <c r="AA3851" s="15" t="n">
        <v>21</v>
      </c>
      <c r="AW3851" s="15" t="n">
        <v>21</v>
      </c>
      <c r="BS3851" s="15" t="n">
        <v>21</v>
      </c>
      <c r="CO3851" s="15" t="n">
        <v>21</v>
      </c>
      <c r="DK3851" s="15" t="n">
        <v>21</v>
      </c>
      <c r="EG3851" s="15" t="n">
        <v>21</v>
      </c>
      <c r="FC3851" s="15" t="n">
        <v>21</v>
      </c>
      <c r="FY3851" s="15" t="n">
        <v>21</v>
      </c>
      <c r="GU3851" s="15" t="n">
        <v>21</v>
      </c>
    </row>
    <row r="3852">
      <c r="C3852" s="15" t="n">
        <v>22</v>
      </c>
      <c r="AA3852" s="15" t="n">
        <v>22</v>
      </c>
      <c r="AW3852" s="15" t="n">
        <v>22</v>
      </c>
      <c r="BS3852" s="15" t="n">
        <v>22</v>
      </c>
      <c r="CO3852" s="15" t="n">
        <v>22</v>
      </c>
      <c r="DK3852" s="15" t="n">
        <v>22</v>
      </c>
      <c r="EG3852" s="15" t="n">
        <v>22</v>
      </c>
      <c r="FC3852" s="15" t="n">
        <v>22</v>
      </c>
      <c r="FY3852" s="15" t="n">
        <v>22</v>
      </c>
      <c r="GU3852" s="15" t="n">
        <v>22</v>
      </c>
    </row>
    <row r="3853">
      <c r="C3853" s="15" t="n">
        <v>23</v>
      </c>
      <c r="AA3853" s="15" t="n">
        <v>23</v>
      </c>
      <c r="AW3853" s="15" t="n">
        <v>23</v>
      </c>
      <c r="BS3853" s="15" t="n">
        <v>23</v>
      </c>
      <c r="CO3853" s="15" t="n">
        <v>23</v>
      </c>
      <c r="DK3853" s="15" t="n">
        <v>23</v>
      </c>
      <c r="EG3853" s="15" t="n">
        <v>23</v>
      </c>
      <c r="FC3853" s="15" t="n">
        <v>23</v>
      </c>
      <c r="FY3853" s="15" t="n">
        <v>23</v>
      </c>
      <c r="GU3853" s="15" t="n">
        <v>23</v>
      </c>
    </row>
    <row r="3854">
      <c r="C3854" s="15" t="n">
        <v>24</v>
      </c>
      <c r="AA3854" s="15" t="n">
        <v>24</v>
      </c>
      <c r="AW3854" s="15" t="n">
        <v>24</v>
      </c>
      <c r="BS3854" s="15" t="n">
        <v>24</v>
      </c>
      <c r="CO3854" s="15" t="n">
        <v>24</v>
      </c>
      <c r="DK3854" s="15" t="n">
        <v>24</v>
      </c>
      <c r="EG3854" s="15" t="n">
        <v>24</v>
      </c>
      <c r="FC3854" s="15" t="n">
        <v>24</v>
      </c>
      <c r="FY3854" s="15" t="n">
        <v>24</v>
      </c>
      <c r="GU3854" s="15" t="n">
        <v>24</v>
      </c>
    </row>
    <row r="3855">
      <c r="C3855" s="15" t="n">
        <v>25</v>
      </c>
      <c r="AA3855" s="15" t="n">
        <v>25</v>
      </c>
      <c r="AW3855" s="15" t="n">
        <v>25</v>
      </c>
      <c r="BS3855" s="15" t="n">
        <v>25</v>
      </c>
      <c r="CO3855" s="15" t="n">
        <v>25</v>
      </c>
      <c r="DK3855" s="15" t="n">
        <v>25</v>
      </c>
      <c r="EG3855" s="15" t="n">
        <v>25</v>
      </c>
      <c r="FC3855" s="15" t="n">
        <v>25</v>
      </c>
      <c r="FY3855" s="15" t="n">
        <v>25</v>
      </c>
      <c r="GU3855" s="15" t="n">
        <v>25</v>
      </c>
    </row>
    <row r="3856">
      <c r="C3856" s="15" t="n">
        <v>26</v>
      </c>
      <c r="AA3856" s="15" t="n">
        <v>26</v>
      </c>
      <c r="AW3856" s="15" t="n">
        <v>26</v>
      </c>
      <c r="BS3856" s="15" t="n">
        <v>26</v>
      </c>
      <c r="CO3856" s="15" t="n">
        <v>26</v>
      </c>
      <c r="DK3856" s="15" t="n">
        <v>26</v>
      </c>
      <c r="EG3856" s="15" t="n">
        <v>26</v>
      </c>
      <c r="FC3856" s="15" t="n">
        <v>26</v>
      </c>
      <c r="FY3856" s="15" t="n">
        <v>26</v>
      </c>
      <c r="GU3856" s="15" t="n">
        <v>26</v>
      </c>
    </row>
    <row r="3857">
      <c r="C3857" s="15" t="n">
        <v>27</v>
      </c>
      <c r="AA3857" s="15" t="n">
        <v>27</v>
      </c>
      <c r="AW3857" s="15" t="n">
        <v>27</v>
      </c>
      <c r="BS3857" s="15" t="n">
        <v>27</v>
      </c>
      <c r="CO3857" s="15" t="n">
        <v>27</v>
      </c>
      <c r="DK3857" s="15" t="n">
        <v>27</v>
      </c>
      <c r="EG3857" s="15" t="n">
        <v>27</v>
      </c>
      <c r="FC3857" s="15" t="n">
        <v>27</v>
      </c>
      <c r="FY3857" s="15" t="n">
        <v>27</v>
      </c>
      <c r="GU3857" s="15" t="n">
        <v>27</v>
      </c>
    </row>
    <row r="3858">
      <c r="C3858" s="15" t="n">
        <v>28</v>
      </c>
      <c r="AA3858" s="15" t="n">
        <v>28</v>
      </c>
      <c r="AW3858" s="15" t="n">
        <v>28</v>
      </c>
      <c r="BS3858" s="15" t="n">
        <v>28</v>
      </c>
      <c r="CO3858" s="15" t="n">
        <v>28</v>
      </c>
      <c r="DK3858" s="15" t="n">
        <v>28</v>
      </c>
      <c r="EG3858" s="15" t="n">
        <v>28</v>
      </c>
      <c r="FC3858" s="15" t="n">
        <v>28</v>
      </c>
      <c r="FY3858" s="15" t="n">
        <v>28</v>
      </c>
      <c r="GU3858" s="15" t="n">
        <v>28</v>
      </c>
    </row>
    <row r="3859">
      <c r="C3859" s="15" t="n">
        <v>29</v>
      </c>
      <c r="AA3859" s="15" t="n">
        <v>29</v>
      </c>
      <c r="AW3859" s="15" t="n">
        <v>29</v>
      </c>
      <c r="BS3859" s="15" t="n">
        <v>29</v>
      </c>
      <c r="CO3859" s="15" t="n">
        <v>29</v>
      </c>
      <c r="DK3859" s="15" t="n">
        <v>29</v>
      </c>
      <c r="EG3859" s="15" t="n">
        <v>29</v>
      </c>
      <c r="FC3859" s="15" t="n">
        <v>29</v>
      </c>
      <c r="FY3859" s="15" t="n">
        <v>29</v>
      </c>
      <c r="GU3859" s="15" t="n">
        <v>29</v>
      </c>
    </row>
    <row r="3860">
      <c r="C3860" s="15" t="n">
        <v>30</v>
      </c>
      <c r="AA3860" s="15" t="n">
        <v>30</v>
      </c>
      <c r="AW3860" s="15" t="n">
        <v>30</v>
      </c>
      <c r="BS3860" s="15" t="n">
        <v>30</v>
      </c>
      <c r="CO3860" s="15" t="n">
        <v>30</v>
      </c>
      <c r="DK3860" s="15" t="n">
        <v>30</v>
      </c>
      <c r="EG3860" s="15" t="n">
        <v>30</v>
      </c>
      <c r="FC3860" s="15" t="n">
        <v>30</v>
      </c>
      <c r="FY3860" s="15" t="n">
        <v>30</v>
      </c>
      <c r="GU3860" s="15" t="n">
        <v>30</v>
      </c>
    </row>
    <row r="3861">
      <c r="C3861" s="15" t="n">
        <v>31</v>
      </c>
      <c r="AA3861" s="15" t="n">
        <v>31</v>
      </c>
      <c r="AW3861" s="15" t="n">
        <v>31</v>
      </c>
      <c r="BS3861" s="15" t="n">
        <v>31</v>
      </c>
      <c r="CO3861" s="15" t="n">
        <v>31</v>
      </c>
      <c r="DK3861" s="15" t="n">
        <v>31</v>
      </c>
      <c r="EG3861" s="15" t="n">
        <v>31</v>
      </c>
      <c r="FC3861" s="15" t="n">
        <v>31</v>
      </c>
      <c r="FY3861" s="15" t="n">
        <v>31</v>
      </c>
      <c r="GU3861" s="15" t="n">
        <v>31</v>
      </c>
    </row>
    <row r="3862">
      <c r="C3862" s="15" t="n">
        <v>32</v>
      </c>
      <c r="AA3862" s="15" t="n">
        <v>32</v>
      </c>
      <c r="AW3862" s="15" t="n">
        <v>32</v>
      </c>
      <c r="BS3862" s="15" t="n">
        <v>32</v>
      </c>
      <c r="CO3862" s="15" t="n">
        <v>32</v>
      </c>
      <c r="DK3862" s="15" t="n">
        <v>32</v>
      </c>
      <c r="EG3862" s="15" t="n">
        <v>32</v>
      </c>
      <c r="FC3862" s="15" t="n">
        <v>32</v>
      </c>
      <c r="FY3862" s="15" t="n">
        <v>32</v>
      </c>
      <c r="GU3862" s="15" t="n">
        <v>32</v>
      </c>
    </row>
    <row r="3863">
      <c r="C3863" s="15" t="n">
        <v>33</v>
      </c>
      <c r="AA3863" s="15" t="n">
        <v>33</v>
      </c>
      <c r="AW3863" s="15" t="n">
        <v>33</v>
      </c>
      <c r="BS3863" s="15" t="n">
        <v>33</v>
      </c>
      <c r="CO3863" s="15" t="n">
        <v>33</v>
      </c>
      <c r="DK3863" s="15" t="n">
        <v>33</v>
      </c>
      <c r="EG3863" s="15" t="n">
        <v>33</v>
      </c>
      <c r="FC3863" s="15" t="n">
        <v>33</v>
      </c>
      <c r="FY3863" s="15" t="n">
        <v>33</v>
      </c>
      <c r="GU3863" s="15" t="n">
        <v>33</v>
      </c>
    </row>
    <row r="3864">
      <c r="C3864" s="15" t="n">
        <v>34</v>
      </c>
      <c r="AA3864" s="15" t="n">
        <v>34</v>
      </c>
      <c r="AW3864" s="15" t="n">
        <v>34</v>
      </c>
      <c r="BS3864" s="15" t="n">
        <v>34</v>
      </c>
      <c r="CO3864" s="15" t="n">
        <v>34</v>
      </c>
      <c r="DK3864" s="15" t="n">
        <v>34</v>
      </c>
      <c r="EG3864" s="15" t="n">
        <v>34</v>
      </c>
      <c r="FC3864" s="15" t="n">
        <v>34</v>
      </c>
      <c r="FY3864" s="15" t="n">
        <v>34</v>
      </c>
      <c r="GU3864" s="15" t="n">
        <v>34</v>
      </c>
    </row>
    <row r="3865">
      <c r="C3865" s="15" t="n">
        <v>35</v>
      </c>
      <c r="AA3865" s="15" t="n">
        <v>35</v>
      </c>
      <c r="AW3865" s="15" t="n">
        <v>35</v>
      </c>
      <c r="BS3865" s="15" t="n">
        <v>35</v>
      </c>
      <c r="CO3865" s="15" t="n">
        <v>35</v>
      </c>
      <c r="DK3865" s="15" t="n">
        <v>35</v>
      </c>
      <c r="EG3865" s="15" t="n">
        <v>35</v>
      </c>
      <c r="FC3865" s="15" t="n">
        <v>35</v>
      </c>
      <c r="FY3865" s="15" t="n">
        <v>35</v>
      </c>
      <c r="GU3865" s="15" t="n">
        <v>35</v>
      </c>
    </row>
    <row r="3866">
      <c r="C3866" s="15" t="n">
        <v>36</v>
      </c>
      <c r="AA3866" s="15" t="n">
        <v>36</v>
      </c>
      <c r="AW3866" s="15" t="n">
        <v>36</v>
      </c>
      <c r="BS3866" s="15" t="n">
        <v>36</v>
      </c>
      <c r="CO3866" s="15" t="n">
        <v>36</v>
      </c>
      <c r="DK3866" s="15" t="n">
        <v>36</v>
      </c>
      <c r="EG3866" s="15" t="n">
        <v>36</v>
      </c>
      <c r="FC3866" s="15" t="n">
        <v>36</v>
      </c>
      <c r="FY3866" s="15" t="n">
        <v>36</v>
      </c>
      <c r="GU3866" s="15" t="n">
        <v>36</v>
      </c>
    </row>
    <row r="3867">
      <c r="C3867" s="15" t="n">
        <v>37</v>
      </c>
      <c r="AA3867" s="15" t="n">
        <v>37</v>
      </c>
      <c r="AW3867" s="15" t="n">
        <v>37</v>
      </c>
      <c r="BS3867" s="15" t="n">
        <v>37</v>
      </c>
      <c r="CO3867" s="15" t="n">
        <v>37</v>
      </c>
      <c r="DK3867" s="15" t="n">
        <v>37</v>
      </c>
      <c r="EG3867" s="15" t="n">
        <v>37</v>
      </c>
      <c r="FC3867" s="15" t="n">
        <v>37</v>
      </c>
      <c r="FY3867" s="15" t="n">
        <v>37</v>
      </c>
      <c r="GU3867" s="15" t="n">
        <v>37</v>
      </c>
    </row>
    <row r="3868">
      <c r="C3868" s="15" t="n">
        <v>38</v>
      </c>
      <c r="AA3868" s="15" t="n">
        <v>38</v>
      </c>
      <c r="AW3868" s="15" t="n">
        <v>38</v>
      </c>
      <c r="BS3868" s="15" t="n">
        <v>38</v>
      </c>
      <c r="CO3868" s="15" t="n">
        <v>38</v>
      </c>
      <c r="DK3868" s="15" t="n">
        <v>38</v>
      </c>
      <c r="EG3868" s="15" t="n">
        <v>38</v>
      </c>
      <c r="FC3868" s="15" t="n">
        <v>38</v>
      </c>
      <c r="FY3868" s="15" t="n">
        <v>38</v>
      </c>
      <c r="GU3868" s="15" t="n">
        <v>38</v>
      </c>
    </row>
    <row r="3869">
      <c r="C3869" s="15" t="n">
        <v>39</v>
      </c>
      <c r="AA3869" s="15" t="n">
        <v>39</v>
      </c>
      <c r="AW3869" s="15" t="n">
        <v>39</v>
      </c>
      <c r="BS3869" s="15" t="n">
        <v>39</v>
      </c>
      <c r="CO3869" s="15" t="n">
        <v>39</v>
      </c>
      <c r="DK3869" s="15" t="n">
        <v>39</v>
      </c>
      <c r="EG3869" s="15" t="n">
        <v>39</v>
      </c>
      <c r="FC3869" s="15" t="n">
        <v>39</v>
      </c>
      <c r="FY3869" s="15" t="n">
        <v>39</v>
      </c>
      <c r="GU3869" s="15" t="n">
        <v>39</v>
      </c>
    </row>
    <row r="3870">
      <c r="C3870" s="15" t="n">
        <v>40</v>
      </c>
      <c r="AA3870" s="15" t="n">
        <v>40</v>
      </c>
      <c r="AW3870" s="15" t="n">
        <v>40</v>
      </c>
      <c r="BS3870" s="15" t="n">
        <v>40</v>
      </c>
      <c r="CO3870" s="15" t="n">
        <v>40</v>
      </c>
      <c r="DK3870" s="15" t="n">
        <v>40</v>
      </c>
      <c r="EG3870" s="15" t="n">
        <v>40</v>
      </c>
      <c r="FC3870" s="15" t="n">
        <v>40</v>
      </c>
      <c r="FY3870" s="15" t="n">
        <v>40</v>
      </c>
      <c r="GU3870" s="15" t="n">
        <v>40</v>
      </c>
    </row>
    <row r="3871">
      <c r="C3871" s="15" t="n">
        <v>41</v>
      </c>
      <c r="AA3871" s="15" t="n">
        <v>41</v>
      </c>
      <c r="AW3871" s="15" t="n">
        <v>41</v>
      </c>
      <c r="BS3871" s="15" t="n">
        <v>41</v>
      </c>
      <c r="CO3871" s="15" t="n">
        <v>41</v>
      </c>
      <c r="DK3871" s="15" t="n">
        <v>41</v>
      </c>
      <c r="EG3871" s="15" t="n">
        <v>41</v>
      </c>
      <c r="FC3871" s="15" t="n">
        <v>41</v>
      </c>
      <c r="FY3871" s="15" t="n">
        <v>41</v>
      </c>
      <c r="GU3871" s="15" t="n">
        <v>41</v>
      </c>
    </row>
    <row r="3872">
      <c r="C3872" s="15" t="n">
        <v>42</v>
      </c>
      <c r="AA3872" s="15" t="n">
        <v>42</v>
      </c>
      <c r="AW3872" s="15" t="n">
        <v>42</v>
      </c>
      <c r="BS3872" s="15" t="n">
        <v>42</v>
      </c>
      <c r="CO3872" s="15" t="n">
        <v>42</v>
      </c>
      <c r="DK3872" s="15" t="n">
        <v>42</v>
      </c>
      <c r="EG3872" s="15" t="n">
        <v>42</v>
      </c>
      <c r="FC3872" s="15" t="n">
        <v>42</v>
      </c>
      <c r="FY3872" s="15" t="n">
        <v>42</v>
      </c>
      <c r="GU3872" s="15" t="n">
        <v>42</v>
      </c>
    </row>
    <row r="3873">
      <c r="C3873" s="15" t="n">
        <v>43</v>
      </c>
      <c r="AA3873" s="15" t="n">
        <v>43</v>
      </c>
      <c r="AW3873" s="15" t="n">
        <v>43</v>
      </c>
      <c r="BS3873" s="15" t="n">
        <v>43</v>
      </c>
      <c r="CO3873" s="15" t="n">
        <v>43</v>
      </c>
      <c r="DK3873" s="15" t="n">
        <v>43</v>
      </c>
      <c r="EG3873" s="15" t="n">
        <v>43</v>
      </c>
      <c r="FC3873" s="15" t="n">
        <v>43</v>
      </c>
      <c r="FY3873" s="15" t="n">
        <v>43</v>
      </c>
      <c r="GU3873" s="15" t="n">
        <v>43</v>
      </c>
    </row>
    <row r="3874">
      <c r="C3874" s="15" t="n">
        <v>44</v>
      </c>
      <c r="AA3874" s="15" t="n">
        <v>44</v>
      </c>
      <c r="AW3874" s="15" t="n">
        <v>44</v>
      </c>
      <c r="BS3874" s="15" t="n">
        <v>44</v>
      </c>
      <c r="CO3874" s="15" t="n">
        <v>44</v>
      </c>
      <c r="DK3874" s="15" t="n">
        <v>44</v>
      </c>
      <c r="EG3874" s="15" t="n">
        <v>44</v>
      </c>
      <c r="FC3874" s="15" t="n">
        <v>44</v>
      </c>
      <c r="FY3874" s="15" t="n">
        <v>44</v>
      </c>
      <c r="GU3874" s="15" t="n">
        <v>44</v>
      </c>
    </row>
    <row r="3875">
      <c r="C3875" s="15" t="n">
        <v>45</v>
      </c>
      <c r="AA3875" s="15" t="n">
        <v>45</v>
      </c>
      <c r="AW3875" s="15" t="n">
        <v>45</v>
      </c>
      <c r="BS3875" s="15" t="n">
        <v>45</v>
      </c>
      <c r="CO3875" s="15" t="n">
        <v>45</v>
      </c>
      <c r="DK3875" s="15" t="n">
        <v>45</v>
      </c>
      <c r="EG3875" s="15" t="n">
        <v>45</v>
      </c>
      <c r="FC3875" s="15" t="n">
        <v>45</v>
      </c>
      <c r="FY3875" s="15" t="n">
        <v>45</v>
      </c>
      <c r="GU3875" s="15" t="n">
        <v>45</v>
      </c>
    </row>
    <row r="3876">
      <c r="C3876" s="15" t="n">
        <v>46</v>
      </c>
      <c r="AA3876" s="15" t="n">
        <v>46</v>
      </c>
      <c r="AW3876" s="15" t="n">
        <v>46</v>
      </c>
      <c r="BS3876" s="15" t="n">
        <v>46</v>
      </c>
      <c r="CO3876" s="15" t="n">
        <v>46</v>
      </c>
      <c r="DK3876" s="15" t="n">
        <v>46</v>
      </c>
      <c r="EG3876" s="15" t="n">
        <v>46</v>
      </c>
      <c r="FC3876" s="15" t="n">
        <v>46</v>
      </c>
      <c r="FY3876" s="15" t="n">
        <v>46</v>
      </c>
      <c r="GU3876" s="15" t="n">
        <v>46</v>
      </c>
    </row>
    <row r="3877">
      <c r="C3877" s="15" t="n">
        <v>47</v>
      </c>
      <c r="AA3877" s="15" t="n">
        <v>47</v>
      </c>
      <c r="AW3877" s="15" t="n">
        <v>47</v>
      </c>
      <c r="BS3877" s="15" t="n">
        <v>47</v>
      </c>
      <c r="CO3877" s="15" t="n">
        <v>47</v>
      </c>
      <c r="DK3877" s="15" t="n">
        <v>47</v>
      </c>
      <c r="EG3877" s="15" t="n">
        <v>47</v>
      </c>
      <c r="FC3877" s="15" t="n">
        <v>47</v>
      </c>
      <c r="FY3877" s="15" t="n">
        <v>47</v>
      </c>
      <c r="GU3877" s="15" t="n">
        <v>47</v>
      </c>
    </row>
    <row r="3878">
      <c r="C3878" s="15" t="n">
        <v>48</v>
      </c>
      <c r="AA3878" s="15" t="n">
        <v>48</v>
      </c>
      <c r="AW3878" s="15" t="n">
        <v>48</v>
      </c>
      <c r="BS3878" s="15" t="n">
        <v>48</v>
      </c>
      <c r="CO3878" s="15" t="n">
        <v>48</v>
      </c>
      <c r="DK3878" s="15" t="n">
        <v>48</v>
      </c>
      <c r="EG3878" s="15" t="n">
        <v>48</v>
      </c>
      <c r="FC3878" s="15" t="n">
        <v>48</v>
      </c>
      <c r="FY3878" s="15" t="n">
        <v>48</v>
      </c>
      <c r="GU3878" s="15" t="n">
        <v>48</v>
      </c>
    </row>
    <row r="3879">
      <c r="C3879" s="15" t="n">
        <v>49</v>
      </c>
      <c r="AA3879" s="15" t="n">
        <v>49</v>
      </c>
      <c r="AW3879" s="15" t="n">
        <v>49</v>
      </c>
      <c r="BS3879" s="15" t="n">
        <v>49</v>
      </c>
      <c r="CO3879" s="15" t="n">
        <v>49</v>
      </c>
      <c r="DK3879" s="15" t="n">
        <v>49</v>
      </c>
      <c r="EG3879" s="15" t="n">
        <v>49</v>
      </c>
      <c r="FC3879" s="15" t="n">
        <v>49</v>
      </c>
      <c r="FY3879" s="15" t="n">
        <v>49</v>
      </c>
      <c r="GU3879" s="15" t="n">
        <v>49</v>
      </c>
    </row>
    <row r="3880">
      <c r="C3880" s="15" t="n">
        <v>50</v>
      </c>
      <c r="AA3880" s="15" t="n">
        <v>50</v>
      </c>
      <c r="AW3880" s="15" t="n">
        <v>50</v>
      </c>
      <c r="BS3880" s="15" t="n">
        <v>50</v>
      </c>
      <c r="CO3880" s="15" t="n">
        <v>50</v>
      </c>
      <c r="DK3880" s="15" t="n">
        <v>50</v>
      </c>
      <c r="EG3880" s="15" t="n">
        <v>50</v>
      </c>
      <c r="FC3880" s="15" t="n">
        <v>50</v>
      </c>
      <c r="FY3880" s="15" t="n">
        <v>50</v>
      </c>
      <c r="GU3880" s="15" t="n">
        <v>50</v>
      </c>
    </row>
    <row r="3881">
      <c r="C3881" s="15" t="n">
        <v>51</v>
      </c>
      <c r="AA3881" s="15" t="n">
        <v>51</v>
      </c>
      <c r="AW3881" s="15" t="n">
        <v>51</v>
      </c>
      <c r="BS3881" s="15" t="n">
        <v>51</v>
      </c>
      <c r="CO3881" s="15" t="n">
        <v>51</v>
      </c>
      <c r="DK3881" s="15" t="n">
        <v>51</v>
      </c>
      <c r="EG3881" s="15" t="n">
        <v>51</v>
      </c>
      <c r="FC3881" s="15" t="n">
        <v>51</v>
      </c>
      <c r="FY3881" s="15" t="n">
        <v>51</v>
      </c>
      <c r="GU3881" s="15" t="n">
        <v>51</v>
      </c>
    </row>
    <row r="3882">
      <c r="C3882" s="15" t="n">
        <v>52</v>
      </c>
      <c r="AA3882" s="15" t="n">
        <v>52</v>
      </c>
      <c r="AW3882" s="15" t="n">
        <v>52</v>
      </c>
      <c r="BS3882" s="15" t="n">
        <v>52</v>
      </c>
      <c r="CO3882" s="15" t="n">
        <v>52</v>
      </c>
      <c r="DK3882" s="15" t="n">
        <v>52</v>
      </c>
      <c r="EG3882" s="15" t="n">
        <v>52</v>
      </c>
      <c r="FC3882" s="15" t="n">
        <v>52</v>
      </c>
      <c r="FY3882" s="15" t="n">
        <v>52</v>
      </c>
      <c r="GU3882" s="15" t="n">
        <v>52</v>
      </c>
    </row>
    <row r="3883">
      <c r="C3883" s="15" t="n">
        <v>53</v>
      </c>
      <c r="AA3883" s="15" t="n">
        <v>53</v>
      </c>
      <c r="AW3883" s="15" t="n">
        <v>53</v>
      </c>
      <c r="BS3883" s="15" t="n">
        <v>53</v>
      </c>
      <c r="CO3883" s="15" t="n">
        <v>53</v>
      </c>
      <c r="DK3883" s="15" t="n">
        <v>53</v>
      </c>
      <c r="EG3883" s="15" t="n">
        <v>53</v>
      </c>
      <c r="FC3883" s="15" t="n">
        <v>53</v>
      </c>
      <c r="FY3883" s="15" t="n">
        <v>53</v>
      </c>
      <c r="GU3883" s="15" t="n">
        <v>53</v>
      </c>
    </row>
    <row r="3884">
      <c r="C3884" s="15" t="n">
        <v>54</v>
      </c>
      <c r="AA3884" s="15" t="n">
        <v>54</v>
      </c>
      <c r="AW3884" s="15" t="n">
        <v>54</v>
      </c>
      <c r="BS3884" s="15" t="n">
        <v>54</v>
      </c>
      <c r="CO3884" s="15" t="n">
        <v>54</v>
      </c>
      <c r="DK3884" s="15" t="n">
        <v>54</v>
      </c>
      <c r="EG3884" s="15" t="n">
        <v>54</v>
      </c>
      <c r="FC3884" s="15" t="n">
        <v>54</v>
      </c>
      <c r="FY3884" s="15" t="n">
        <v>54</v>
      </c>
      <c r="GU3884" s="15" t="n">
        <v>54</v>
      </c>
    </row>
    <row r="3885">
      <c r="C3885" s="15" t="n">
        <v>55</v>
      </c>
      <c r="AA3885" s="15" t="n">
        <v>55</v>
      </c>
      <c r="AW3885" s="15" t="n">
        <v>55</v>
      </c>
      <c r="BS3885" s="15" t="n">
        <v>55</v>
      </c>
      <c r="CO3885" s="15" t="n">
        <v>55</v>
      </c>
      <c r="DK3885" s="15" t="n">
        <v>55</v>
      </c>
      <c r="EG3885" s="15" t="n">
        <v>55</v>
      </c>
      <c r="FC3885" s="15" t="n">
        <v>55</v>
      </c>
      <c r="FY3885" s="15" t="n">
        <v>55</v>
      </c>
      <c r="GU3885" s="15" t="n">
        <v>55</v>
      </c>
    </row>
    <row r="3886">
      <c r="C3886" s="15" t="n">
        <v>56</v>
      </c>
      <c r="AA3886" s="15" t="n">
        <v>56</v>
      </c>
      <c r="AW3886" s="15" t="n">
        <v>56</v>
      </c>
      <c r="BS3886" s="15" t="n">
        <v>56</v>
      </c>
      <c r="CO3886" s="15" t="n">
        <v>56</v>
      </c>
      <c r="DK3886" s="15" t="n">
        <v>56</v>
      </c>
      <c r="EG3886" s="15" t="n">
        <v>56</v>
      </c>
      <c r="FC3886" s="15" t="n">
        <v>56</v>
      </c>
      <c r="FY3886" s="15" t="n">
        <v>56</v>
      </c>
      <c r="GU3886" s="15" t="n">
        <v>56</v>
      </c>
    </row>
    <row r="3887">
      <c r="C3887" s="15" t="n">
        <v>57</v>
      </c>
      <c r="AA3887" s="15" t="n">
        <v>57</v>
      </c>
      <c r="AW3887" s="15" t="n">
        <v>57</v>
      </c>
      <c r="BS3887" s="15" t="n">
        <v>57</v>
      </c>
      <c r="CO3887" s="15" t="n">
        <v>57</v>
      </c>
      <c r="DK3887" s="15" t="n">
        <v>57</v>
      </c>
      <c r="EG3887" s="15" t="n">
        <v>57</v>
      </c>
      <c r="FC3887" s="15" t="n">
        <v>57</v>
      </c>
      <c r="FY3887" s="15" t="n">
        <v>57</v>
      </c>
      <c r="GU3887" s="15" t="n">
        <v>57</v>
      </c>
    </row>
    <row r="3888">
      <c r="C3888" s="15" t="n">
        <v>58</v>
      </c>
      <c r="AA3888" s="15" t="n">
        <v>58</v>
      </c>
      <c r="AW3888" s="15" t="n">
        <v>58</v>
      </c>
      <c r="BS3888" s="15" t="n">
        <v>58</v>
      </c>
      <c r="CO3888" s="15" t="n">
        <v>58</v>
      </c>
      <c r="DK3888" s="15" t="n">
        <v>58</v>
      </c>
      <c r="EG3888" s="15" t="n">
        <v>58</v>
      </c>
      <c r="FC3888" s="15" t="n">
        <v>58</v>
      </c>
      <c r="FY3888" s="15" t="n">
        <v>58</v>
      </c>
      <c r="GU3888" s="15" t="n">
        <v>58</v>
      </c>
    </row>
    <row r="3889">
      <c r="C3889" s="15" t="n">
        <v>59</v>
      </c>
      <c r="AA3889" s="15" t="n">
        <v>59</v>
      </c>
      <c r="AW3889" s="15" t="n">
        <v>59</v>
      </c>
      <c r="BS3889" s="15" t="n">
        <v>59</v>
      </c>
      <c r="CO3889" s="15" t="n">
        <v>59</v>
      </c>
      <c r="DK3889" s="15" t="n">
        <v>59</v>
      </c>
      <c r="EG3889" s="15" t="n">
        <v>59</v>
      </c>
      <c r="FC3889" s="15" t="n">
        <v>59</v>
      </c>
      <c r="FY3889" s="15" t="n">
        <v>59</v>
      </c>
      <c r="GU3889" s="15" t="n">
        <v>59</v>
      </c>
    </row>
    <row r="3890">
      <c r="C3890" s="15" t="n">
        <v>60</v>
      </c>
      <c r="AA3890" s="15" t="n">
        <v>60</v>
      </c>
      <c r="AW3890" s="15" t="n">
        <v>60</v>
      </c>
      <c r="BS3890" s="15" t="n">
        <v>60</v>
      </c>
      <c r="CO3890" s="15" t="n">
        <v>60</v>
      </c>
      <c r="DK3890" s="15" t="n">
        <v>60</v>
      </c>
      <c r="EG3890" s="15" t="n">
        <v>60</v>
      </c>
      <c r="FC3890" s="15" t="n">
        <v>60</v>
      </c>
      <c r="FY3890" s="15" t="n">
        <v>60</v>
      </c>
      <c r="GU3890" s="15" t="n">
        <v>60</v>
      </c>
    </row>
    <row r="3891">
      <c r="C3891" s="15" t="n">
        <v>61</v>
      </c>
      <c r="AA3891" s="15" t="n">
        <v>61</v>
      </c>
      <c r="AW3891" s="15" t="n">
        <v>61</v>
      </c>
      <c r="BS3891" s="15" t="n">
        <v>61</v>
      </c>
      <c r="CO3891" s="15" t="n">
        <v>61</v>
      </c>
      <c r="DK3891" s="15" t="n">
        <v>61</v>
      </c>
      <c r="EG3891" s="15" t="n">
        <v>61</v>
      </c>
      <c r="FC3891" s="15" t="n">
        <v>61</v>
      </c>
      <c r="FY3891" s="15" t="n">
        <v>61</v>
      </c>
      <c r="GU3891" s="15" t="n">
        <v>61</v>
      </c>
    </row>
    <row r="3892">
      <c r="C3892" s="15" t="n">
        <v>62</v>
      </c>
      <c r="AA3892" s="15" t="n">
        <v>62</v>
      </c>
      <c r="AW3892" s="15" t="n">
        <v>62</v>
      </c>
      <c r="BS3892" s="15" t="n">
        <v>62</v>
      </c>
      <c r="CO3892" s="15" t="n">
        <v>62</v>
      </c>
      <c r="DK3892" s="15" t="n">
        <v>62</v>
      </c>
      <c r="EG3892" s="15" t="n">
        <v>62</v>
      </c>
      <c r="FC3892" s="15" t="n">
        <v>62</v>
      </c>
      <c r="FY3892" s="15" t="n">
        <v>62</v>
      </c>
      <c r="GU3892" s="15" t="n">
        <v>62</v>
      </c>
    </row>
    <row r="3893">
      <c r="C3893" s="15" t="n">
        <v>63</v>
      </c>
      <c r="AA3893" s="15" t="n">
        <v>63</v>
      </c>
      <c r="AW3893" s="15" t="n">
        <v>63</v>
      </c>
      <c r="BS3893" s="15" t="n">
        <v>63</v>
      </c>
      <c r="CO3893" s="15" t="n">
        <v>63</v>
      </c>
      <c r="DK3893" s="15" t="n">
        <v>63</v>
      </c>
      <c r="EG3893" s="15" t="n">
        <v>63</v>
      </c>
      <c r="FC3893" s="15" t="n">
        <v>63</v>
      </c>
      <c r="FY3893" s="15" t="n">
        <v>63</v>
      </c>
      <c r="GU3893" s="15" t="n">
        <v>63</v>
      </c>
    </row>
    <row r="3894">
      <c r="C3894" s="15" t="n">
        <v>64</v>
      </c>
      <c r="AA3894" s="15" t="n">
        <v>64</v>
      </c>
      <c r="AW3894" s="15" t="n">
        <v>64</v>
      </c>
      <c r="BS3894" s="15" t="n">
        <v>64</v>
      </c>
      <c r="CO3894" s="15" t="n">
        <v>64</v>
      </c>
      <c r="DK3894" s="15" t="n">
        <v>64</v>
      </c>
      <c r="EG3894" s="15" t="n">
        <v>64</v>
      </c>
      <c r="FC3894" s="15" t="n">
        <v>64</v>
      </c>
      <c r="FY3894" s="15" t="n">
        <v>64</v>
      </c>
      <c r="GU3894" s="15" t="n">
        <v>64</v>
      </c>
    </row>
    <row r="3895">
      <c r="C3895" s="15" t="n">
        <v>65</v>
      </c>
      <c r="AA3895" s="15" t="n">
        <v>65</v>
      </c>
      <c r="AW3895" s="15" t="n">
        <v>65</v>
      </c>
      <c r="BS3895" s="15" t="n">
        <v>65</v>
      </c>
      <c r="CO3895" s="15" t="n">
        <v>65</v>
      </c>
      <c r="DK3895" s="15" t="n">
        <v>65</v>
      </c>
      <c r="EG3895" s="15" t="n">
        <v>65</v>
      </c>
      <c r="FC3895" s="15" t="n">
        <v>65</v>
      </c>
      <c r="FY3895" s="15" t="n">
        <v>65</v>
      </c>
      <c r="GU3895" s="15" t="n">
        <v>65</v>
      </c>
    </row>
    <row r="3896">
      <c r="C3896" s="15" t="n">
        <v>66</v>
      </c>
      <c r="AA3896" s="15" t="n">
        <v>66</v>
      </c>
      <c r="AW3896" s="15" t="n">
        <v>66</v>
      </c>
      <c r="BS3896" s="15" t="n">
        <v>66</v>
      </c>
      <c r="CO3896" s="15" t="n">
        <v>66</v>
      </c>
      <c r="DK3896" s="15" t="n">
        <v>66</v>
      </c>
      <c r="EG3896" s="15" t="n">
        <v>66</v>
      </c>
      <c r="FC3896" s="15" t="n">
        <v>66</v>
      </c>
      <c r="FY3896" s="15" t="n">
        <v>66</v>
      </c>
      <c r="GU3896" s="15" t="n">
        <v>66</v>
      </c>
    </row>
    <row r="3897">
      <c r="C3897" s="15" t="n">
        <v>67</v>
      </c>
      <c r="AA3897" s="15" t="n">
        <v>67</v>
      </c>
      <c r="AW3897" s="15" t="n">
        <v>67</v>
      </c>
      <c r="BS3897" s="15" t="n">
        <v>67</v>
      </c>
      <c r="CO3897" s="15" t="n">
        <v>67</v>
      </c>
      <c r="DK3897" s="15" t="n">
        <v>67</v>
      </c>
      <c r="EG3897" s="15" t="n">
        <v>67</v>
      </c>
      <c r="FC3897" s="15" t="n">
        <v>67</v>
      </c>
      <c r="FY3897" s="15" t="n">
        <v>67</v>
      </c>
      <c r="GU3897" s="15" t="n">
        <v>67</v>
      </c>
    </row>
    <row r="3898">
      <c r="C3898" s="15" t="n">
        <v>68</v>
      </c>
      <c r="AA3898" s="15" t="n">
        <v>68</v>
      </c>
      <c r="AW3898" s="15" t="n">
        <v>68</v>
      </c>
      <c r="BS3898" s="15" t="n">
        <v>68</v>
      </c>
      <c r="CO3898" s="15" t="n">
        <v>68</v>
      </c>
      <c r="DK3898" s="15" t="n">
        <v>68</v>
      </c>
      <c r="EG3898" s="15" t="n">
        <v>68</v>
      </c>
      <c r="FC3898" s="15" t="n">
        <v>68</v>
      </c>
      <c r="FY3898" s="15" t="n">
        <v>68</v>
      </c>
      <c r="GU3898" s="15" t="n">
        <v>68</v>
      </c>
    </row>
    <row r="3899">
      <c r="C3899" s="15" t="n">
        <v>69</v>
      </c>
      <c r="AA3899" s="15" t="n">
        <v>69</v>
      </c>
      <c r="AW3899" s="15" t="n">
        <v>69</v>
      </c>
      <c r="BS3899" s="15" t="n">
        <v>69</v>
      </c>
      <c r="CO3899" s="15" t="n">
        <v>69</v>
      </c>
      <c r="DK3899" s="15" t="n">
        <v>69</v>
      </c>
      <c r="EG3899" s="15" t="n">
        <v>69</v>
      </c>
      <c r="FC3899" s="15" t="n">
        <v>69</v>
      </c>
      <c r="FY3899" s="15" t="n">
        <v>69</v>
      </c>
      <c r="GU3899" s="15" t="n">
        <v>69</v>
      </c>
    </row>
    <row r="3900">
      <c r="C3900" s="15" t="n">
        <v>70</v>
      </c>
      <c r="AA3900" s="15" t="n">
        <v>70</v>
      </c>
      <c r="AW3900" s="15" t="n">
        <v>70</v>
      </c>
      <c r="BS3900" s="15" t="n">
        <v>70</v>
      </c>
      <c r="CO3900" s="15" t="n">
        <v>70</v>
      </c>
      <c r="DK3900" s="15" t="n">
        <v>70</v>
      </c>
      <c r="EG3900" s="15" t="n">
        <v>70</v>
      </c>
      <c r="FC3900" s="15" t="n">
        <v>70</v>
      </c>
      <c r="FY3900" s="15" t="n">
        <v>70</v>
      </c>
      <c r="GU3900" s="15" t="n">
        <v>70</v>
      </c>
    </row>
    <row r="3901">
      <c r="C3901" s="15" t="n">
        <v>71</v>
      </c>
      <c r="AA3901" s="15" t="n">
        <v>71</v>
      </c>
      <c r="AW3901" s="15" t="n">
        <v>71</v>
      </c>
      <c r="BS3901" s="15" t="n">
        <v>71</v>
      </c>
      <c r="CO3901" s="15" t="n">
        <v>71</v>
      </c>
      <c r="DK3901" s="15" t="n">
        <v>71</v>
      </c>
      <c r="EG3901" s="15" t="n">
        <v>71</v>
      </c>
      <c r="FC3901" s="15" t="n">
        <v>71</v>
      </c>
      <c r="FY3901" s="15" t="n">
        <v>71</v>
      </c>
      <c r="GU3901" s="15" t="n">
        <v>71</v>
      </c>
    </row>
    <row r="3902">
      <c r="C3902" s="15" t="n">
        <v>72</v>
      </c>
      <c r="AA3902" s="15" t="n">
        <v>72</v>
      </c>
      <c r="AW3902" s="15" t="n">
        <v>72</v>
      </c>
      <c r="BS3902" s="15" t="n">
        <v>72</v>
      </c>
      <c r="CO3902" s="15" t="n">
        <v>72</v>
      </c>
      <c r="DK3902" s="15" t="n">
        <v>72</v>
      </c>
      <c r="EG3902" s="15" t="n">
        <v>72</v>
      </c>
      <c r="FC3902" s="15" t="n">
        <v>72</v>
      </c>
      <c r="FY3902" s="15" t="n">
        <v>72</v>
      </c>
      <c r="GU3902" s="15" t="n">
        <v>72</v>
      </c>
    </row>
    <row r="3903">
      <c r="C3903" s="15" t="n">
        <v>73</v>
      </c>
      <c r="AA3903" s="15" t="n">
        <v>73</v>
      </c>
      <c r="AW3903" s="15" t="n">
        <v>73</v>
      </c>
      <c r="BS3903" s="15" t="n">
        <v>73</v>
      </c>
      <c r="CO3903" s="15" t="n">
        <v>73</v>
      </c>
      <c r="DK3903" s="15" t="n">
        <v>73</v>
      </c>
      <c r="EG3903" s="15" t="n">
        <v>73</v>
      </c>
      <c r="FC3903" s="15" t="n">
        <v>73</v>
      </c>
      <c r="FY3903" s="15" t="n">
        <v>73</v>
      </c>
      <c r="GU3903" s="15" t="n">
        <v>73</v>
      </c>
    </row>
    <row r="3904">
      <c r="C3904" s="15" t="n">
        <v>74</v>
      </c>
      <c r="AA3904" s="15" t="n">
        <v>74</v>
      </c>
      <c r="AW3904" s="15" t="n">
        <v>74</v>
      </c>
      <c r="BS3904" s="15" t="n">
        <v>74</v>
      </c>
      <c r="CO3904" s="15" t="n">
        <v>74</v>
      </c>
      <c r="DK3904" s="15" t="n">
        <v>74</v>
      </c>
      <c r="EG3904" s="15" t="n">
        <v>74</v>
      </c>
      <c r="FC3904" s="15" t="n">
        <v>74</v>
      </c>
      <c r="FY3904" s="15" t="n">
        <v>74</v>
      </c>
      <c r="GU3904" s="15" t="n">
        <v>74</v>
      </c>
    </row>
    <row r="3905">
      <c r="C3905" s="15" t="n">
        <v>75</v>
      </c>
      <c r="AA3905" s="15" t="n">
        <v>75</v>
      </c>
      <c r="AW3905" s="15" t="n">
        <v>75</v>
      </c>
      <c r="BS3905" s="15" t="n">
        <v>75</v>
      </c>
      <c r="CO3905" s="15" t="n">
        <v>75</v>
      </c>
      <c r="DK3905" s="15" t="n">
        <v>75</v>
      </c>
      <c r="EG3905" s="15" t="n">
        <v>75</v>
      </c>
      <c r="FC3905" s="15" t="n">
        <v>75</v>
      </c>
      <c r="FY3905" s="15" t="n">
        <v>75</v>
      </c>
      <c r="GU3905" s="15" t="n">
        <v>75</v>
      </c>
    </row>
    <row r="3906">
      <c r="C3906" s="15" t="n">
        <v>76</v>
      </c>
      <c r="AA3906" s="15" t="n">
        <v>76</v>
      </c>
      <c r="AW3906" s="15" t="n">
        <v>76</v>
      </c>
      <c r="BS3906" s="15" t="n">
        <v>76</v>
      </c>
      <c r="CO3906" s="15" t="n">
        <v>76</v>
      </c>
      <c r="DK3906" s="15" t="n">
        <v>76</v>
      </c>
      <c r="EG3906" s="15" t="n">
        <v>76</v>
      </c>
      <c r="FC3906" s="15" t="n">
        <v>76</v>
      </c>
      <c r="FY3906" s="15" t="n">
        <v>76</v>
      </c>
      <c r="GU3906" s="15" t="n">
        <v>76</v>
      </c>
    </row>
    <row r="3907">
      <c r="C3907" s="15" t="n">
        <v>77</v>
      </c>
      <c r="AA3907" s="15" t="n">
        <v>77</v>
      </c>
      <c r="AW3907" s="15" t="n">
        <v>77</v>
      </c>
      <c r="BS3907" s="15" t="n">
        <v>77</v>
      </c>
      <c r="CO3907" s="15" t="n">
        <v>77</v>
      </c>
      <c r="DK3907" s="15" t="n">
        <v>77</v>
      </c>
      <c r="EG3907" s="15" t="n">
        <v>77</v>
      </c>
      <c r="FC3907" s="15" t="n">
        <v>77</v>
      </c>
      <c r="FY3907" s="15" t="n">
        <v>77</v>
      </c>
      <c r="GU3907" s="15" t="n">
        <v>77</v>
      </c>
    </row>
    <row r="3908">
      <c r="C3908" s="15" t="n">
        <v>78</v>
      </c>
      <c r="AA3908" s="15" t="n">
        <v>78</v>
      </c>
      <c r="AW3908" s="15" t="n">
        <v>78</v>
      </c>
      <c r="BS3908" s="15" t="n">
        <v>78</v>
      </c>
      <c r="CO3908" s="15" t="n">
        <v>78</v>
      </c>
      <c r="DK3908" s="15" t="n">
        <v>78</v>
      </c>
      <c r="EG3908" s="15" t="n">
        <v>78</v>
      </c>
      <c r="FC3908" s="15" t="n">
        <v>78</v>
      </c>
      <c r="FY3908" s="15" t="n">
        <v>78</v>
      </c>
      <c r="GU3908" s="15" t="n">
        <v>78</v>
      </c>
    </row>
    <row r="3909">
      <c r="C3909" s="15" t="n">
        <v>79</v>
      </c>
      <c r="AA3909" s="15" t="n">
        <v>79</v>
      </c>
      <c r="AW3909" s="15" t="n">
        <v>79</v>
      </c>
      <c r="BS3909" s="15" t="n">
        <v>79</v>
      </c>
      <c r="CO3909" s="15" t="n">
        <v>79</v>
      </c>
      <c r="DK3909" s="15" t="n">
        <v>79</v>
      </c>
      <c r="EG3909" s="15" t="n">
        <v>79</v>
      </c>
      <c r="FC3909" s="15" t="n">
        <v>79</v>
      </c>
      <c r="FY3909" s="15" t="n">
        <v>79</v>
      </c>
      <c r="GU3909" s="15" t="n">
        <v>79</v>
      </c>
    </row>
    <row r="3910">
      <c r="C3910" s="15" t="n">
        <v>80</v>
      </c>
      <c r="AA3910" s="15" t="n">
        <v>80</v>
      </c>
      <c r="AW3910" s="15" t="n">
        <v>80</v>
      </c>
      <c r="BS3910" s="15" t="n">
        <v>80</v>
      </c>
      <c r="CO3910" s="15" t="n">
        <v>80</v>
      </c>
      <c r="DK3910" s="15" t="n">
        <v>80</v>
      </c>
      <c r="EG3910" s="15" t="n">
        <v>80</v>
      </c>
      <c r="FC3910" s="15" t="n">
        <v>80</v>
      </c>
      <c r="FY3910" s="15" t="n">
        <v>80</v>
      </c>
      <c r="GU3910" s="15" t="n">
        <v>80</v>
      </c>
    </row>
    <row r="3911">
      <c r="C3911" s="15" t="n">
        <v>81</v>
      </c>
      <c r="AA3911" s="15" t="n">
        <v>81</v>
      </c>
      <c r="AW3911" s="15" t="n">
        <v>81</v>
      </c>
      <c r="BS3911" s="15" t="n">
        <v>81</v>
      </c>
      <c r="CO3911" s="15" t="n">
        <v>81</v>
      </c>
      <c r="DK3911" s="15" t="n">
        <v>81</v>
      </c>
      <c r="EG3911" s="15" t="n">
        <v>81</v>
      </c>
      <c r="FC3911" s="15" t="n">
        <v>81</v>
      </c>
      <c r="FY3911" s="15" t="n">
        <v>81</v>
      </c>
      <c r="GU3911" s="15" t="n">
        <v>81</v>
      </c>
    </row>
    <row r="3912">
      <c r="C3912" s="15" t="n">
        <v>82</v>
      </c>
      <c r="AA3912" s="15" t="n">
        <v>82</v>
      </c>
      <c r="AW3912" s="15" t="n">
        <v>82</v>
      </c>
      <c r="BS3912" s="15" t="n">
        <v>82</v>
      </c>
      <c r="CO3912" s="15" t="n">
        <v>82</v>
      </c>
      <c r="DK3912" s="15" t="n">
        <v>82</v>
      </c>
      <c r="EG3912" s="15" t="n">
        <v>82</v>
      </c>
      <c r="FC3912" s="15" t="n">
        <v>82</v>
      </c>
      <c r="FY3912" s="15" t="n">
        <v>82</v>
      </c>
      <c r="GU3912" s="15" t="n">
        <v>82</v>
      </c>
    </row>
    <row r="3913">
      <c r="C3913" s="15" t="n">
        <v>83</v>
      </c>
      <c r="AA3913" s="15" t="n">
        <v>83</v>
      </c>
      <c r="AW3913" s="15" t="n">
        <v>83</v>
      </c>
      <c r="BS3913" s="15" t="n">
        <v>83</v>
      </c>
      <c r="CO3913" s="15" t="n">
        <v>83</v>
      </c>
      <c r="DK3913" s="15" t="n">
        <v>83</v>
      </c>
      <c r="EG3913" s="15" t="n">
        <v>83</v>
      </c>
      <c r="FC3913" s="15" t="n">
        <v>83</v>
      </c>
      <c r="FY3913" s="15" t="n">
        <v>83</v>
      </c>
      <c r="GU3913" s="15" t="n">
        <v>83</v>
      </c>
    </row>
    <row r="3914">
      <c r="C3914" s="15" t="n">
        <v>84</v>
      </c>
      <c r="AA3914" s="15" t="n">
        <v>84</v>
      </c>
      <c r="AW3914" s="15" t="n">
        <v>84</v>
      </c>
      <c r="BS3914" s="15" t="n">
        <v>84</v>
      </c>
      <c r="CO3914" s="15" t="n">
        <v>84</v>
      </c>
      <c r="DK3914" s="15" t="n">
        <v>84</v>
      </c>
      <c r="EG3914" s="15" t="n">
        <v>84</v>
      </c>
      <c r="FC3914" s="15" t="n">
        <v>84</v>
      </c>
      <c r="FY3914" s="15" t="n">
        <v>84</v>
      </c>
      <c r="GU3914" s="15" t="n">
        <v>84</v>
      </c>
    </row>
    <row r="3915">
      <c r="C3915" s="15" t="n">
        <v>85</v>
      </c>
      <c r="AA3915" s="15" t="n">
        <v>85</v>
      </c>
      <c r="AW3915" s="15" t="n">
        <v>85</v>
      </c>
      <c r="BS3915" s="15" t="n">
        <v>85</v>
      </c>
      <c r="CO3915" s="15" t="n">
        <v>85</v>
      </c>
      <c r="DK3915" s="15" t="n">
        <v>85</v>
      </c>
      <c r="EG3915" s="15" t="n">
        <v>85</v>
      </c>
      <c r="FC3915" s="15" t="n">
        <v>85</v>
      </c>
      <c r="FY3915" s="15" t="n">
        <v>85</v>
      </c>
      <c r="GU3915" s="15" t="n">
        <v>85</v>
      </c>
    </row>
    <row r="3916">
      <c r="C3916" s="15" t="n">
        <v>86</v>
      </c>
      <c r="AA3916" s="15" t="n">
        <v>86</v>
      </c>
      <c r="AW3916" s="15" t="n">
        <v>86</v>
      </c>
      <c r="BS3916" s="15" t="n">
        <v>86</v>
      </c>
      <c r="CO3916" s="15" t="n">
        <v>86</v>
      </c>
      <c r="DK3916" s="15" t="n">
        <v>86</v>
      </c>
      <c r="EG3916" s="15" t="n">
        <v>86</v>
      </c>
      <c r="FC3916" s="15" t="n">
        <v>86</v>
      </c>
      <c r="FY3916" s="15" t="n">
        <v>86</v>
      </c>
      <c r="GU3916" s="15" t="n">
        <v>86</v>
      </c>
    </row>
    <row r="3917">
      <c r="C3917" s="15" t="n">
        <v>87</v>
      </c>
      <c r="AA3917" s="15" t="n">
        <v>87</v>
      </c>
      <c r="AW3917" s="15" t="n">
        <v>87</v>
      </c>
      <c r="BS3917" s="15" t="n">
        <v>87</v>
      </c>
      <c r="CO3917" s="15" t="n">
        <v>87</v>
      </c>
      <c r="DK3917" s="15" t="n">
        <v>87</v>
      </c>
      <c r="EG3917" s="15" t="n">
        <v>87</v>
      </c>
      <c r="FC3917" s="15" t="n">
        <v>87</v>
      </c>
      <c r="FY3917" s="15" t="n">
        <v>87</v>
      </c>
      <c r="GU3917" s="15" t="n">
        <v>87</v>
      </c>
    </row>
    <row r="3918">
      <c r="C3918" s="15" t="n">
        <v>88</v>
      </c>
      <c r="AA3918" s="15" t="n">
        <v>88</v>
      </c>
      <c r="AW3918" s="15" t="n">
        <v>88</v>
      </c>
      <c r="BS3918" s="15" t="n">
        <v>88</v>
      </c>
      <c r="CO3918" s="15" t="n">
        <v>88</v>
      </c>
      <c r="DK3918" s="15" t="n">
        <v>88</v>
      </c>
      <c r="EG3918" s="15" t="n">
        <v>88</v>
      </c>
      <c r="FC3918" s="15" t="n">
        <v>88</v>
      </c>
      <c r="FY3918" s="15" t="n">
        <v>88</v>
      </c>
      <c r="GU3918" s="15" t="n">
        <v>88</v>
      </c>
    </row>
    <row r="3919">
      <c r="C3919" s="15" t="n">
        <v>89</v>
      </c>
      <c r="AA3919" s="15" t="n">
        <v>89</v>
      </c>
      <c r="AW3919" s="15" t="n">
        <v>89</v>
      </c>
      <c r="BS3919" s="15" t="n">
        <v>89</v>
      </c>
      <c r="CO3919" s="15" t="n">
        <v>89</v>
      </c>
      <c r="DK3919" s="15" t="n">
        <v>89</v>
      </c>
      <c r="EG3919" s="15" t="n">
        <v>89</v>
      </c>
      <c r="FC3919" s="15" t="n">
        <v>89</v>
      </c>
      <c r="FY3919" s="15" t="n">
        <v>89</v>
      </c>
      <c r="GU3919" s="15" t="n">
        <v>89</v>
      </c>
    </row>
    <row r="3920">
      <c r="C3920" s="15" t="n">
        <v>90</v>
      </c>
      <c r="AA3920" s="15" t="n">
        <v>90</v>
      </c>
      <c r="AW3920" s="15" t="n">
        <v>90</v>
      </c>
      <c r="BS3920" s="15" t="n">
        <v>90</v>
      </c>
      <c r="CO3920" s="15" t="n">
        <v>90</v>
      </c>
      <c r="DK3920" s="15" t="n">
        <v>90</v>
      </c>
      <c r="EG3920" s="15" t="n">
        <v>90</v>
      </c>
      <c r="FC3920" s="15" t="n">
        <v>90</v>
      </c>
      <c r="FY3920" s="15" t="n">
        <v>90</v>
      </c>
      <c r="GU3920" s="15" t="n">
        <v>90</v>
      </c>
    </row>
    <row r="3921">
      <c r="C3921" s="15" t="n">
        <v>91</v>
      </c>
      <c r="AA3921" s="15" t="n">
        <v>91</v>
      </c>
      <c r="AW3921" s="15" t="n">
        <v>91</v>
      </c>
      <c r="BS3921" s="15" t="n">
        <v>91</v>
      </c>
      <c r="CO3921" s="15" t="n">
        <v>91</v>
      </c>
      <c r="DK3921" s="15" t="n">
        <v>91</v>
      </c>
      <c r="EG3921" s="15" t="n">
        <v>91</v>
      </c>
      <c r="FC3921" s="15" t="n">
        <v>91</v>
      </c>
      <c r="FY3921" s="15" t="n">
        <v>91</v>
      </c>
      <c r="GU3921" s="15" t="n">
        <v>91</v>
      </c>
    </row>
    <row r="3922">
      <c r="C3922" s="15" t="n">
        <v>92</v>
      </c>
      <c r="AA3922" s="15" t="n">
        <v>92</v>
      </c>
      <c r="AW3922" s="15" t="n">
        <v>92</v>
      </c>
      <c r="BS3922" s="15" t="n">
        <v>92</v>
      </c>
      <c r="CO3922" s="15" t="n">
        <v>92</v>
      </c>
      <c r="DK3922" s="15" t="n">
        <v>92</v>
      </c>
      <c r="EG3922" s="15" t="n">
        <v>92</v>
      </c>
      <c r="FC3922" s="15" t="n">
        <v>92</v>
      </c>
      <c r="FY3922" s="15" t="n">
        <v>92</v>
      </c>
      <c r="GU3922" s="15" t="n">
        <v>92</v>
      </c>
    </row>
    <row r="3923">
      <c r="C3923" s="15" t="n">
        <v>93</v>
      </c>
      <c r="AA3923" s="15" t="n">
        <v>93</v>
      </c>
      <c r="AW3923" s="15" t="n">
        <v>93</v>
      </c>
      <c r="BS3923" s="15" t="n">
        <v>93</v>
      </c>
      <c r="CO3923" s="15" t="n">
        <v>93</v>
      </c>
      <c r="DK3923" s="15" t="n">
        <v>93</v>
      </c>
      <c r="EG3923" s="15" t="n">
        <v>93</v>
      </c>
      <c r="FC3923" s="15" t="n">
        <v>93</v>
      </c>
      <c r="FY3923" s="15" t="n">
        <v>93</v>
      </c>
      <c r="GU3923" s="15" t="n">
        <v>93</v>
      </c>
    </row>
    <row r="3924">
      <c r="C3924" s="15" t="n">
        <v>94</v>
      </c>
      <c r="AA3924" s="15" t="n">
        <v>94</v>
      </c>
      <c r="AW3924" s="15" t="n">
        <v>94</v>
      </c>
      <c r="BS3924" s="15" t="n">
        <v>94</v>
      </c>
      <c r="CO3924" s="15" t="n">
        <v>94</v>
      </c>
      <c r="DK3924" s="15" t="n">
        <v>94</v>
      </c>
      <c r="EG3924" s="15" t="n">
        <v>94</v>
      </c>
      <c r="FC3924" s="15" t="n">
        <v>94</v>
      </c>
      <c r="FY3924" s="15" t="n">
        <v>94</v>
      </c>
      <c r="GU3924" s="15" t="n">
        <v>94</v>
      </c>
    </row>
    <row r="3925">
      <c r="C3925" s="15" t="n">
        <v>95</v>
      </c>
      <c r="AA3925" s="15" t="n">
        <v>95</v>
      </c>
      <c r="AW3925" s="15" t="n">
        <v>95</v>
      </c>
      <c r="BS3925" s="15" t="n">
        <v>95</v>
      </c>
      <c r="CO3925" s="15" t="n">
        <v>95</v>
      </c>
      <c r="DK3925" s="15" t="n">
        <v>95</v>
      </c>
      <c r="EG3925" s="15" t="n">
        <v>95</v>
      </c>
      <c r="FC3925" s="15" t="n">
        <v>95</v>
      </c>
      <c r="FY3925" s="15" t="n">
        <v>95</v>
      </c>
      <c r="GU3925" s="15" t="n">
        <v>95</v>
      </c>
    </row>
    <row r="3926">
      <c r="C3926" s="15" t="n">
        <v>96</v>
      </c>
      <c r="AA3926" s="15" t="n">
        <v>96</v>
      </c>
      <c r="AW3926" s="15" t="n">
        <v>96</v>
      </c>
      <c r="BS3926" s="15" t="n">
        <v>96</v>
      </c>
      <c r="CO3926" s="15" t="n">
        <v>96</v>
      </c>
      <c r="DK3926" s="15" t="n">
        <v>96</v>
      </c>
      <c r="EG3926" s="15" t="n">
        <v>96</v>
      </c>
      <c r="FC3926" s="15" t="n">
        <v>96</v>
      </c>
      <c r="FY3926" s="15" t="n">
        <v>96</v>
      </c>
      <c r="GU3926" s="15" t="n">
        <v>96</v>
      </c>
    </row>
    <row r="3927">
      <c r="C3927" s="15" t="n">
        <v>97</v>
      </c>
      <c r="AA3927" s="15" t="n">
        <v>97</v>
      </c>
      <c r="AW3927" s="15" t="n">
        <v>97</v>
      </c>
      <c r="BS3927" s="15" t="n">
        <v>97</v>
      </c>
      <c r="CO3927" s="15" t="n">
        <v>97</v>
      </c>
      <c r="DK3927" s="15" t="n">
        <v>97</v>
      </c>
      <c r="EG3927" s="15" t="n">
        <v>97</v>
      </c>
      <c r="FC3927" s="15" t="n">
        <v>97</v>
      </c>
      <c r="FY3927" s="15" t="n">
        <v>97</v>
      </c>
      <c r="GU3927" s="15" t="n">
        <v>97</v>
      </c>
    </row>
    <row r="3928">
      <c r="C3928" s="15" t="n">
        <v>98</v>
      </c>
      <c r="AA3928" s="15" t="n">
        <v>98</v>
      </c>
      <c r="AW3928" s="15" t="n">
        <v>98</v>
      </c>
      <c r="BS3928" s="15" t="n">
        <v>98</v>
      </c>
      <c r="CO3928" s="15" t="n">
        <v>98</v>
      </c>
      <c r="DK3928" s="15" t="n">
        <v>98</v>
      </c>
      <c r="EG3928" s="15" t="n">
        <v>98</v>
      </c>
      <c r="FC3928" s="15" t="n">
        <v>98</v>
      </c>
      <c r="FY3928" s="15" t="n">
        <v>98</v>
      </c>
      <c r="GU3928" s="15" t="n">
        <v>98</v>
      </c>
    </row>
    <row r="3929">
      <c r="C3929" s="15" t="n">
        <v>99</v>
      </c>
      <c r="AA3929" s="15" t="n">
        <v>99</v>
      </c>
      <c r="AW3929" s="15" t="n">
        <v>99</v>
      </c>
      <c r="BS3929" s="15" t="n">
        <v>99</v>
      </c>
      <c r="CO3929" s="15" t="n">
        <v>99</v>
      </c>
      <c r="DK3929" s="15" t="n">
        <v>99</v>
      </c>
      <c r="EG3929" s="15" t="n">
        <v>99</v>
      </c>
      <c r="FC3929" s="15" t="n">
        <v>99</v>
      </c>
      <c r="FY3929" s="15" t="n">
        <v>99</v>
      </c>
      <c r="GU3929" s="15" t="n">
        <v>99</v>
      </c>
    </row>
    <row r="3930">
      <c r="C3930" s="15" t="n">
        <v>100</v>
      </c>
      <c r="AA3930" s="15" t="n">
        <v>100</v>
      </c>
      <c r="AW3930" s="15" t="n">
        <v>100</v>
      </c>
      <c r="BS3930" s="15" t="n">
        <v>100</v>
      </c>
      <c r="CO3930" s="15" t="n">
        <v>100</v>
      </c>
      <c r="DK3930" s="15" t="n">
        <v>100</v>
      </c>
      <c r="EG3930" s="15" t="n">
        <v>100</v>
      </c>
      <c r="FC3930" s="15" t="n">
        <v>100</v>
      </c>
      <c r="FY3930" s="15" t="n">
        <v>100</v>
      </c>
      <c r="GU3930" s="15" t="n">
        <v>100</v>
      </c>
    </row>
    <row r="3931">
      <c r="C3931" s="15" t="n">
        <v>101</v>
      </c>
      <c r="AA3931" s="15" t="n">
        <v>101</v>
      </c>
      <c r="AW3931" s="15" t="n">
        <v>101</v>
      </c>
      <c r="BS3931" s="15" t="n">
        <v>101</v>
      </c>
      <c r="CO3931" s="15" t="n">
        <v>101</v>
      </c>
      <c r="DK3931" s="15" t="n">
        <v>101</v>
      </c>
      <c r="EG3931" s="15" t="n">
        <v>101</v>
      </c>
      <c r="FC3931" s="15" t="n">
        <v>101</v>
      </c>
      <c r="FY3931" s="15" t="n">
        <v>101</v>
      </c>
      <c r="GU3931" s="15" t="n">
        <v>101</v>
      </c>
    </row>
    <row r="3932">
      <c r="C3932" s="15" t="n">
        <v>102</v>
      </c>
      <c r="AA3932" s="15" t="n">
        <v>102</v>
      </c>
      <c r="AW3932" s="15" t="n">
        <v>102</v>
      </c>
      <c r="BS3932" s="15" t="n">
        <v>102</v>
      </c>
      <c r="CO3932" s="15" t="n">
        <v>102</v>
      </c>
      <c r="DK3932" s="15" t="n">
        <v>102</v>
      </c>
      <c r="EG3932" s="15" t="n">
        <v>102</v>
      </c>
      <c r="FC3932" s="15" t="n">
        <v>102</v>
      </c>
      <c r="FY3932" s="15" t="n">
        <v>102</v>
      </c>
      <c r="GU3932" s="15" t="n">
        <v>102</v>
      </c>
    </row>
    <row r="3933">
      <c r="C3933" s="15" t="n">
        <v>103</v>
      </c>
      <c r="AA3933" s="15" t="n">
        <v>103</v>
      </c>
      <c r="AW3933" s="15" t="n">
        <v>103</v>
      </c>
      <c r="BS3933" s="15" t="n">
        <v>103</v>
      </c>
      <c r="CO3933" s="15" t="n">
        <v>103</v>
      </c>
      <c r="DK3933" s="15" t="n">
        <v>103</v>
      </c>
      <c r="EG3933" s="15" t="n">
        <v>103</v>
      </c>
      <c r="FC3933" s="15" t="n">
        <v>103</v>
      </c>
      <c r="FY3933" s="15" t="n">
        <v>103</v>
      </c>
      <c r="GU3933" s="15" t="n">
        <v>103</v>
      </c>
    </row>
    <row r="3934">
      <c r="C3934" s="15" t="n">
        <v>104</v>
      </c>
      <c r="AA3934" s="15" t="n">
        <v>104</v>
      </c>
      <c r="AW3934" s="15" t="n">
        <v>104</v>
      </c>
      <c r="BS3934" s="15" t="n">
        <v>104</v>
      </c>
      <c r="CO3934" s="15" t="n">
        <v>104</v>
      </c>
      <c r="DK3934" s="15" t="n">
        <v>104</v>
      </c>
      <c r="EG3934" s="15" t="n">
        <v>104</v>
      </c>
      <c r="FC3934" s="15" t="n">
        <v>104</v>
      </c>
      <c r="FY3934" s="15" t="n">
        <v>104</v>
      </c>
      <c r="GU3934" s="15" t="n">
        <v>104</v>
      </c>
    </row>
    <row r="3935">
      <c r="C3935" s="15" t="n">
        <v>105</v>
      </c>
      <c r="AA3935" s="15" t="n">
        <v>105</v>
      </c>
      <c r="AW3935" s="15" t="n">
        <v>105</v>
      </c>
      <c r="BS3935" s="15" t="n">
        <v>105</v>
      </c>
      <c r="CO3935" s="15" t="n">
        <v>105</v>
      </c>
      <c r="DK3935" s="15" t="n">
        <v>105</v>
      </c>
      <c r="EG3935" s="15" t="n">
        <v>105</v>
      </c>
      <c r="FC3935" s="15" t="n">
        <v>105</v>
      </c>
      <c r="FY3935" s="15" t="n">
        <v>105</v>
      </c>
      <c r="GU3935" s="15" t="n">
        <v>105</v>
      </c>
    </row>
    <row r="3936">
      <c r="C3936" s="15" t="n">
        <v>106</v>
      </c>
      <c r="AA3936" s="15" t="n">
        <v>106</v>
      </c>
      <c r="AW3936" s="15" t="n">
        <v>106</v>
      </c>
      <c r="BS3936" s="15" t="n">
        <v>106</v>
      </c>
      <c r="CO3936" s="15" t="n">
        <v>106</v>
      </c>
      <c r="DK3936" s="15" t="n">
        <v>106</v>
      </c>
      <c r="EG3936" s="15" t="n">
        <v>106</v>
      </c>
      <c r="FC3936" s="15" t="n">
        <v>106</v>
      </c>
      <c r="FY3936" s="15" t="n">
        <v>106</v>
      </c>
      <c r="GU3936" s="15" t="n">
        <v>106</v>
      </c>
    </row>
    <row r="3937">
      <c r="C3937" s="15" t="n">
        <v>107</v>
      </c>
      <c r="AA3937" s="15" t="n">
        <v>107</v>
      </c>
      <c r="AW3937" s="15" t="n">
        <v>107</v>
      </c>
      <c r="BS3937" s="15" t="n">
        <v>107</v>
      </c>
      <c r="CO3937" s="15" t="n">
        <v>107</v>
      </c>
      <c r="DK3937" s="15" t="n">
        <v>107</v>
      </c>
      <c r="EG3937" s="15" t="n">
        <v>107</v>
      </c>
      <c r="FC3937" s="15" t="n">
        <v>107</v>
      </c>
      <c r="FY3937" s="15" t="n">
        <v>107</v>
      </c>
      <c r="GU3937" s="15" t="n">
        <v>107</v>
      </c>
    </row>
    <row r="3938">
      <c r="C3938" s="15" t="n">
        <v>108</v>
      </c>
      <c r="AA3938" s="15" t="n">
        <v>108</v>
      </c>
      <c r="AW3938" s="15" t="n">
        <v>108</v>
      </c>
      <c r="BS3938" s="15" t="n">
        <v>108</v>
      </c>
      <c r="CO3938" s="15" t="n">
        <v>108</v>
      </c>
      <c r="DK3938" s="15" t="n">
        <v>108</v>
      </c>
      <c r="EG3938" s="15" t="n">
        <v>108</v>
      </c>
      <c r="FC3938" s="15" t="n">
        <v>108</v>
      </c>
      <c r="FY3938" s="15" t="n">
        <v>108</v>
      </c>
      <c r="GU3938" s="15" t="n">
        <v>108</v>
      </c>
    </row>
    <row r="3939">
      <c r="C3939" s="15" t="n">
        <v>109</v>
      </c>
      <c r="AA3939" s="15" t="n">
        <v>109</v>
      </c>
      <c r="AW3939" s="15" t="n">
        <v>109</v>
      </c>
      <c r="BS3939" s="15" t="n">
        <v>109</v>
      </c>
      <c r="CO3939" s="15" t="n">
        <v>109</v>
      </c>
      <c r="DK3939" s="15" t="n">
        <v>109</v>
      </c>
      <c r="EG3939" s="15" t="n">
        <v>109</v>
      </c>
      <c r="FC3939" s="15" t="n">
        <v>109</v>
      </c>
      <c r="FY3939" s="15" t="n">
        <v>109</v>
      </c>
      <c r="GU3939" s="15" t="n">
        <v>109</v>
      </c>
    </row>
    <row r="3940">
      <c r="C3940" s="15" t="n">
        <v>110</v>
      </c>
      <c r="AA3940" s="15" t="n">
        <v>110</v>
      </c>
      <c r="AW3940" s="15" t="n">
        <v>110</v>
      </c>
      <c r="BS3940" s="15" t="n">
        <v>110</v>
      </c>
      <c r="CO3940" s="15" t="n">
        <v>110</v>
      </c>
      <c r="DK3940" s="15" t="n">
        <v>110</v>
      </c>
      <c r="EG3940" s="15" t="n">
        <v>110</v>
      </c>
      <c r="FC3940" s="15" t="n">
        <v>110</v>
      </c>
      <c r="FY3940" s="15" t="n">
        <v>110</v>
      </c>
      <c r="GU3940" s="15" t="n">
        <v>110</v>
      </c>
    </row>
    <row r="3941">
      <c r="C3941" s="15" t="n">
        <v>111</v>
      </c>
      <c r="AA3941" s="15" t="n">
        <v>111</v>
      </c>
      <c r="AW3941" s="15" t="n">
        <v>111</v>
      </c>
      <c r="BS3941" s="15" t="n">
        <v>111</v>
      </c>
      <c r="CO3941" s="15" t="n">
        <v>111</v>
      </c>
      <c r="DK3941" s="15" t="n">
        <v>111</v>
      </c>
      <c r="EG3941" s="15" t="n">
        <v>111</v>
      </c>
      <c r="FC3941" s="15" t="n">
        <v>111</v>
      </c>
      <c r="FY3941" s="15" t="n">
        <v>111</v>
      </c>
      <c r="GU3941" s="15" t="n">
        <v>111</v>
      </c>
    </row>
    <row r="3942">
      <c r="C3942" s="15" t="n">
        <v>112</v>
      </c>
      <c r="AA3942" s="15" t="n">
        <v>112</v>
      </c>
      <c r="AW3942" s="15" t="n">
        <v>112</v>
      </c>
      <c r="BS3942" s="15" t="n">
        <v>112</v>
      </c>
      <c r="CO3942" s="15" t="n">
        <v>112</v>
      </c>
      <c r="DK3942" s="15" t="n">
        <v>112</v>
      </c>
      <c r="EG3942" s="15" t="n">
        <v>112</v>
      </c>
      <c r="FC3942" s="15" t="n">
        <v>112</v>
      </c>
      <c r="FY3942" s="15" t="n">
        <v>112</v>
      </c>
      <c r="GU3942" s="15" t="n">
        <v>112</v>
      </c>
    </row>
    <row r="3943">
      <c r="C3943" s="15" t="n">
        <v>113</v>
      </c>
      <c r="AA3943" s="15" t="n">
        <v>113</v>
      </c>
      <c r="AW3943" s="15" t="n">
        <v>113</v>
      </c>
      <c r="BS3943" s="15" t="n">
        <v>113</v>
      </c>
      <c r="CO3943" s="15" t="n">
        <v>113</v>
      </c>
      <c r="DK3943" s="15" t="n">
        <v>113</v>
      </c>
      <c r="EG3943" s="15" t="n">
        <v>113</v>
      </c>
      <c r="FC3943" s="15" t="n">
        <v>113</v>
      </c>
      <c r="FY3943" s="15" t="n">
        <v>113</v>
      </c>
      <c r="GU3943" s="15" t="n">
        <v>113</v>
      </c>
    </row>
    <row r="3944">
      <c r="C3944" s="15" t="n">
        <v>114</v>
      </c>
      <c r="AA3944" s="15" t="n">
        <v>114</v>
      </c>
      <c r="AW3944" s="15" t="n">
        <v>114</v>
      </c>
      <c r="BS3944" s="15" t="n">
        <v>114</v>
      </c>
      <c r="CO3944" s="15" t="n">
        <v>114</v>
      </c>
      <c r="DK3944" s="15" t="n">
        <v>114</v>
      </c>
      <c r="EG3944" s="15" t="n">
        <v>114</v>
      </c>
      <c r="FC3944" s="15" t="n">
        <v>114</v>
      </c>
      <c r="FY3944" s="15" t="n">
        <v>114</v>
      </c>
      <c r="GU3944" s="15" t="n">
        <v>114</v>
      </c>
    </row>
    <row r="3945">
      <c r="C3945" s="15" t="n">
        <v>115</v>
      </c>
      <c r="AA3945" s="15" t="n">
        <v>115</v>
      </c>
      <c r="AW3945" s="15" t="n">
        <v>115</v>
      </c>
      <c r="BS3945" s="15" t="n">
        <v>115</v>
      </c>
      <c r="CO3945" s="15" t="n">
        <v>115</v>
      </c>
      <c r="DK3945" s="15" t="n">
        <v>115</v>
      </c>
      <c r="EG3945" s="15" t="n">
        <v>115</v>
      </c>
      <c r="FC3945" s="15" t="n">
        <v>115</v>
      </c>
      <c r="FY3945" s="15" t="n">
        <v>115</v>
      </c>
      <c r="GU3945" s="15" t="n">
        <v>115</v>
      </c>
    </row>
    <row r="3946">
      <c r="C3946" s="15" t="n">
        <v>116</v>
      </c>
      <c r="AA3946" s="15" t="n">
        <v>116</v>
      </c>
      <c r="AW3946" s="15" t="n">
        <v>116</v>
      </c>
      <c r="BS3946" s="15" t="n">
        <v>116</v>
      </c>
      <c r="CO3946" s="15" t="n">
        <v>116</v>
      </c>
      <c r="DK3946" s="15" t="n">
        <v>116</v>
      </c>
      <c r="EG3946" s="15" t="n">
        <v>116</v>
      </c>
      <c r="FC3946" s="15" t="n">
        <v>116</v>
      </c>
      <c r="FY3946" s="15" t="n">
        <v>116</v>
      </c>
      <c r="GU3946" s="15" t="n">
        <v>116</v>
      </c>
    </row>
    <row r="3947">
      <c r="C3947" s="15" t="n">
        <v>117</v>
      </c>
      <c r="AA3947" s="15" t="n">
        <v>117</v>
      </c>
      <c r="AW3947" s="15" t="n">
        <v>117</v>
      </c>
      <c r="BS3947" s="15" t="n">
        <v>117</v>
      </c>
      <c r="CO3947" s="15" t="n">
        <v>117</v>
      </c>
      <c r="DK3947" s="15" t="n">
        <v>117</v>
      </c>
      <c r="EG3947" s="15" t="n">
        <v>117</v>
      </c>
      <c r="FC3947" s="15" t="n">
        <v>117</v>
      </c>
      <c r="FY3947" s="15" t="n">
        <v>117</v>
      </c>
      <c r="GU3947" s="15" t="n">
        <v>117</v>
      </c>
    </row>
    <row r="3948">
      <c r="C3948" s="15" t="n">
        <v>118</v>
      </c>
      <c r="AA3948" s="15" t="n">
        <v>118</v>
      </c>
      <c r="AW3948" s="15" t="n">
        <v>118</v>
      </c>
      <c r="BS3948" s="15" t="n">
        <v>118</v>
      </c>
      <c r="CO3948" s="15" t="n">
        <v>118</v>
      </c>
      <c r="DK3948" s="15" t="n">
        <v>118</v>
      </c>
      <c r="EG3948" s="15" t="n">
        <v>118</v>
      </c>
      <c r="FC3948" s="15" t="n">
        <v>118</v>
      </c>
      <c r="FY3948" s="15" t="n">
        <v>118</v>
      </c>
      <c r="GU3948" s="15" t="n">
        <v>118</v>
      </c>
    </row>
    <row r="3949">
      <c r="C3949" s="15" t="n">
        <v>119</v>
      </c>
      <c r="AA3949" s="15" t="n">
        <v>119</v>
      </c>
      <c r="AW3949" s="15" t="n">
        <v>119</v>
      </c>
      <c r="BS3949" s="15" t="n">
        <v>119</v>
      </c>
      <c r="CO3949" s="15" t="n">
        <v>119</v>
      </c>
      <c r="DK3949" s="15" t="n">
        <v>119</v>
      </c>
      <c r="EG3949" s="15" t="n">
        <v>119</v>
      </c>
      <c r="FC3949" s="15" t="n">
        <v>119</v>
      </c>
      <c r="FY3949" s="15" t="n">
        <v>119</v>
      </c>
      <c r="GU3949" s="15" t="n">
        <v>119</v>
      </c>
    </row>
    <row r="3950">
      <c r="C3950" s="15" t="n">
        <v>120</v>
      </c>
      <c r="AA3950" s="15" t="n">
        <v>120</v>
      </c>
      <c r="AW3950" s="15" t="n">
        <v>120</v>
      </c>
      <c r="BS3950" s="15" t="n">
        <v>120</v>
      </c>
      <c r="CO3950" s="15" t="n">
        <v>120</v>
      </c>
      <c r="DK3950" s="15" t="n">
        <v>120</v>
      </c>
      <c r="EG3950" s="15" t="n">
        <v>120</v>
      </c>
      <c r="FC3950" s="15" t="n">
        <v>120</v>
      </c>
      <c r="FY3950" s="15" t="n">
        <v>120</v>
      </c>
      <c r="GU3950" s="15" t="n">
        <v>120</v>
      </c>
    </row>
    <row r="3951">
      <c r="C3951" s="15" t="n">
        <v>121</v>
      </c>
      <c r="AA3951" s="15" t="n">
        <v>121</v>
      </c>
      <c r="AW3951" s="15" t="n">
        <v>121</v>
      </c>
      <c r="BS3951" s="15" t="n">
        <v>121</v>
      </c>
      <c r="CO3951" s="15" t="n">
        <v>121</v>
      </c>
      <c r="DK3951" s="15" t="n">
        <v>121</v>
      </c>
      <c r="EG3951" s="15" t="n">
        <v>121</v>
      </c>
      <c r="FC3951" s="15" t="n">
        <v>121</v>
      </c>
      <c r="FY3951" s="15" t="n">
        <v>121</v>
      </c>
      <c r="GU3951" s="15" t="n">
        <v>121</v>
      </c>
    </row>
    <row r="3952">
      <c r="C3952" s="15" t="n">
        <v>122</v>
      </c>
      <c r="AA3952" s="15" t="n">
        <v>122</v>
      </c>
      <c r="AW3952" s="15" t="n">
        <v>122</v>
      </c>
      <c r="BS3952" s="15" t="n">
        <v>122</v>
      </c>
      <c r="CO3952" s="15" t="n">
        <v>122</v>
      </c>
      <c r="DK3952" s="15" t="n">
        <v>122</v>
      </c>
      <c r="EG3952" s="15" t="n">
        <v>122</v>
      </c>
      <c r="FC3952" s="15" t="n">
        <v>122</v>
      </c>
      <c r="FY3952" s="15" t="n">
        <v>122</v>
      </c>
      <c r="GU3952" s="15" t="n">
        <v>122</v>
      </c>
    </row>
    <row r="3953">
      <c r="C3953" s="15" t="n">
        <v>123</v>
      </c>
      <c r="AA3953" s="15" t="n">
        <v>123</v>
      </c>
      <c r="AW3953" s="15" t="n">
        <v>123</v>
      </c>
      <c r="BS3953" s="15" t="n">
        <v>123</v>
      </c>
      <c r="CO3953" s="15" t="n">
        <v>123</v>
      </c>
      <c r="DK3953" s="15" t="n">
        <v>123</v>
      </c>
      <c r="EG3953" s="15" t="n">
        <v>123</v>
      </c>
      <c r="FC3953" s="15" t="n">
        <v>123</v>
      </c>
      <c r="FY3953" s="15" t="n">
        <v>123</v>
      </c>
      <c r="GU3953" s="15" t="n">
        <v>123</v>
      </c>
    </row>
    <row r="3954">
      <c r="C3954" s="15" t="n">
        <v>124</v>
      </c>
      <c r="AA3954" s="15" t="n">
        <v>124</v>
      </c>
      <c r="AW3954" s="15" t="n">
        <v>124</v>
      </c>
      <c r="BS3954" s="15" t="n">
        <v>124</v>
      </c>
      <c r="CO3954" s="15" t="n">
        <v>124</v>
      </c>
      <c r="DK3954" s="15" t="n">
        <v>124</v>
      </c>
      <c r="EG3954" s="15" t="n">
        <v>124</v>
      </c>
      <c r="FC3954" s="15" t="n">
        <v>124</v>
      </c>
      <c r="FY3954" s="15" t="n">
        <v>124</v>
      </c>
      <c r="GU3954" s="15" t="n">
        <v>124</v>
      </c>
    </row>
    <row r="3955">
      <c r="C3955" s="15" t="n">
        <v>125</v>
      </c>
      <c r="AA3955" s="15" t="n">
        <v>125</v>
      </c>
      <c r="AW3955" s="15" t="n">
        <v>125</v>
      </c>
      <c r="BS3955" s="15" t="n">
        <v>125</v>
      </c>
      <c r="CO3955" s="15" t="n">
        <v>125</v>
      </c>
      <c r="DK3955" s="15" t="n">
        <v>125</v>
      </c>
      <c r="EG3955" s="15" t="n">
        <v>125</v>
      </c>
      <c r="FC3955" s="15" t="n">
        <v>125</v>
      </c>
      <c r="FY3955" s="15" t="n">
        <v>125</v>
      </c>
      <c r="GU3955" s="15" t="n">
        <v>125</v>
      </c>
    </row>
    <row r="3956">
      <c r="C3956" s="15" t="n">
        <v>126</v>
      </c>
      <c r="AA3956" s="15" t="n">
        <v>126</v>
      </c>
      <c r="AW3956" s="15" t="n">
        <v>126</v>
      </c>
      <c r="BS3956" s="15" t="n">
        <v>126</v>
      </c>
      <c r="CO3956" s="15" t="n">
        <v>126</v>
      </c>
      <c r="DK3956" s="15" t="n">
        <v>126</v>
      </c>
      <c r="EG3956" s="15" t="n">
        <v>126</v>
      </c>
      <c r="FC3956" s="15" t="n">
        <v>126</v>
      </c>
      <c r="FY3956" s="15" t="n">
        <v>126</v>
      </c>
      <c r="GU3956" s="15" t="n">
        <v>126</v>
      </c>
    </row>
    <row r="3957">
      <c r="C3957" s="15" t="n">
        <v>127</v>
      </c>
      <c r="AA3957" s="15" t="n">
        <v>127</v>
      </c>
      <c r="AW3957" s="15" t="n">
        <v>127</v>
      </c>
      <c r="BS3957" s="15" t="n">
        <v>127</v>
      </c>
      <c r="CO3957" s="15" t="n">
        <v>127</v>
      </c>
      <c r="DK3957" s="15" t="n">
        <v>127</v>
      </c>
      <c r="EG3957" s="15" t="n">
        <v>127</v>
      </c>
      <c r="FC3957" s="15" t="n">
        <v>127</v>
      </c>
      <c r="FY3957" s="15" t="n">
        <v>127</v>
      </c>
      <c r="GU3957" s="15" t="n">
        <v>127</v>
      </c>
    </row>
    <row r="3958">
      <c r="C3958" s="15" t="n">
        <v>128</v>
      </c>
      <c r="AA3958" s="15" t="n">
        <v>128</v>
      </c>
      <c r="AW3958" s="15" t="n">
        <v>128</v>
      </c>
      <c r="BS3958" s="15" t="n">
        <v>128</v>
      </c>
      <c r="CO3958" s="15" t="n">
        <v>128</v>
      </c>
      <c r="DK3958" s="15" t="n">
        <v>128</v>
      </c>
      <c r="EG3958" s="15" t="n">
        <v>128</v>
      </c>
      <c r="FC3958" s="15" t="n">
        <v>128</v>
      </c>
      <c r="FY3958" s="15" t="n">
        <v>128</v>
      </c>
      <c r="GU3958" s="15" t="n">
        <v>128</v>
      </c>
    </row>
    <row r="3959">
      <c r="C3959" s="15" t="n">
        <v>129</v>
      </c>
      <c r="AA3959" s="15" t="n">
        <v>129</v>
      </c>
      <c r="AW3959" s="15" t="n">
        <v>129</v>
      </c>
      <c r="BS3959" s="15" t="n">
        <v>129</v>
      </c>
      <c r="CO3959" s="15" t="n">
        <v>129</v>
      </c>
      <c r="DK3959" s="15" t="n">
        <v>129</v>
      </c>
      <c r="EG3959" s="15" t="n">
        <v>129</v>
      </c>
      <c r="FC3959" s="15" t="n">
        <v>129</v>
      </c>
      <c r="FY3959" s="15" t="n">
        <v>129</v>
      </c>
      <c r="GU3959" s="15" t="n">
        <v>129</v>
      </c>
    </row>
    <row r="3960">
      <c r="C3960" s="15" t="n">
        <v>130</v>
      </c>
      <c r="AA3960" s="15" t="n">
        <v>130</v>
      </c>
      <c r="AW3960" s="15" t="n">
        <v>130</v>
      </c>
      <c r="BS3960" s="15" t="n">
        <v>130</v>
      </c>
      <c r="CO3960" s="15" t="n">
        <v>130</v>
      </c>
      <c r="DK3960" s="15" t="n">
        <v>130</v>
      </c>
      <c r="EG3960" s="15" t="n">
        <v>130</v>
      </c>
      <c r="FC3960" s="15" t="n">
        <v>130</v>
      </c>
      <c r="FY3960" s="15" t="n">
        <v>130</v>
      </c>
      <c r="GU3960" s="15" t="n">
        <v>130</v>
      </c>
    </row>
    <row r="3961">
      <c r="C3961" s="15" t="n">
        <v>131</v>
      </c>
      <c r="AA3961" s="15" t="n">
        <v>131</v>
      </c>
      <c r="AW3961" s="15" t="n">
        <v>131</v>
      </c>
      <c r="BS3961" s="15" t="n">
        <v>131</v>
      </c>
      <c r="CO3961" s="15" t="n">
        <v>131</v>
      </c>
      <c r="DK3961" s="15" t="n">
        <v>131</v>
      </c>
      <c r="EG3961" s="15" t="n">
        <v>131</v>
      </c>
      <c r="FC3961" s="15" t="n">
        <v>131</v>
      </c>
      <c r="FY3961" s="15" t="n">
        <v>131</v>
      </c>
      <c r="GU3961" s="15" t="n">
        <v>131</v>
      </c>
    </row>
    <row r="3962">
      <c r="C3962" s="15" t="n">
        <v>132</v>
      </c>
      <c r="AA3962" s="15" t="n">
        <v>132</v>
      </c>
      <c r="AW3962" s="15" t="n">
        <v>132</v>
      </c>
      <c r="BS3962" s="15" t="n">
        <v>132</v>
      </c>
      <c r="CO3962" s="15" t="n">
        <v>132</v>
      </c>
      <c r="DK3962" s="15" t="n">
        <v>132</v>
      </c>
      <c r="EG3962" s="15" t="n">
        <v>132</v>
      </c>
      <c r="FC3962" s="15" t="n">
        <v>132</v>
      </c>
      <c r="FY3962" s="15" t="n">
        <v>132</v>
      </c>
      <c r="GU3962" s="15" t="n">
        <v>132</v>
      </c>
    </row>
    <row r="3963">
      <c r="C3963" s="15" t="n">
        <v>133</v>
      </c>
      <c r="AA3963" s="15" t="n">
        <v>133</v>
      </c>
      <c r="AW3963" s="15" t="n">
        <v>133</v>
      </c>
      <c r="BS3963" s="15" t="n">
        <v>133</v>
      </c>
      <c r="CO3963" s="15" t="n">
        <v>133</v>
      </c>
      <c r="DK3963" s="15" t="n">
        <v>133</v>
      </c>
      <c r="EG3963" s="15" t="n">
        <v>133</v>
      </c>
      <c r="FC3963" s="15" t="n">
        <v>133</v>
      </c>
      <c r="FY3963" s="15" t="n">
        <v>133</v>
      </c>
      <c r="GU3963" s="15" t="n">
        <v>133</v>
      </c>
    </row>
    <row r="3964">
      <c r="C3964" s="15" t="n">
        <v>134</v>
      </c>
      <c r="AA3964" s="15" t="n">
        <v>134</v>
      </c>
      <c r="AW3964" s="15" t="n">
        <v>134</v>
      </c>
      <c r="BS3964" s="15" t="n">
        <v>134</v>
      </c>
      <c r="CO3964" s="15" t="n">
        <v>134</v>
      </c>
      <c r="DK3964" s="15" t="n">
        <v>134</v>
      </c>
      <c r="EG3964" s="15" t="n">
        <v>134</v>
      </c>
      <c r="FC3964" s="15" t="n">
        <v>134</v>
      </c>
      <c r="FY3964" s="15" t="n">
        <v>134</v>
      </c>
      <c r="GU3964" s="15" t="n">
        <v>134</v>
      </c>
    </row>
    <row r="3965">
      <c r="C3965" s="15" t="n">
        <v>135</v>
      </c>
      <c r="AA3965" s="15" t="n">
        <v>135</v>
      </c>
      <c r="AW3965" s="15" t="n">
        <v>135</v>
      </c>
      <c r="BS3965" s="15" t="n">
        <v>135</v>
      </c>
      <c r="CO3965" s="15" t="n">
        <v>135</v>
      </c>
      <c r="DK3965" s="15" t="n">
        <v>135</v>
      </c>
      <c r="EG3965" s="15" t="n">
        <v>135</v>
      </c>
      <c r="FC3965" s="15" t="n">
        <v>135</v>
      </c>
      <c r="FY3965" s="15" t="n">
        <v>135</v>
      </c>
      <c r="GU3965" s="15" t="n">
        <v>135</v>
      </c>
    </row>
    <row r="3966">
      <c r="C3966" s="15" t="n">
        <v>136</v>
      </c>
      <c r="AA3966" s="15" t="n">
        <v>136</v>
      </c>
      <c r="AW3966" s="15" t="n">
        <v>136</v>
      </c>
      <c r="BS3966" s="15" t="n">
        <v>136</v>
      </c>
      <c r="CO3966" s="15" t="n">
        <v>136</v>
      </c>
      <c r="DK3966" s="15" t="n">
        <v>136</v>
      </c>
      <c r="EG3966" s="15" t="n">
        <v>136</v>
      </c>
      <c r="FC3966" s="15" t="n">
        <v>136</v>
      </c>
      <c r="FY3966" s="15" t="n">
        <v>136</v>
      </c>
      <c r="GU3966" s="15" t="n">
        <v>136</v>
      </c>
    </row>
    <row r="3967">
      <c r="C3967" s="15" t="n">
        <v>137</v>
      </c>
      <c r="AA3967" s="15" t="n">
        <v>137</v>
      </c>
      <c r="AW3967" s="15" t="n">
        <v>137</v>
      </c>
      <c r="BS3967" s="15" t="n">
        <v>137</v>
      </c>
      <c r="CO3967" s="15" t="n">
        <v>137</v>
      </c>
      <c r="DK3967" s="15" t="n">
        <v>137</v>
      </c>
      <c r="EG3967" s="15" t="n">
        <v>137</v>
      </c>
      <c r="FC3967" s="15" t="n">
        <v>137</v>
      </c>
      <c r="FY3967" s="15" t="n">
        <v>137</v>
      </c>
      <c r="GU3967" s="15" t="n">
        <v>137</v>
      </c>
    </row>
    <row r="3968">
      <c r="C3968" s="15" t="n">
        <v>138</v>
      </c>
      <c r="AA3968" s="15" t="n">
        <v>138</v>
      </c>
      <c r="AW3968" s="15" t="n">
        <v>138</v>
      </c>
      <c r="BS3968" s="15" t="n">
        <v>138</v>
      </c>
      <c r="CO3968" s="15" t="n">
        <v>138</v>
      </c>
      <c r="DK3968" s="15" t="n">
        <v>138</v>
      </c>
      <c r="EG3968" s="15" t="n">
        <v>138</v>
      </c>
      <c r="FC3968" s="15" t="n">
        <v>138</v>
      </c>
      <c r="FY3968" s="15" t="n">
        <v>138</v>
      </c>
      <c r="GU3968" s="15" t="n">
        <v>138</v>
      </c>
    </row>
    <row r="3969">
      <c r="C3969" s="15" t="n">
        <v>139</v>
      </c>
      <c r="AA3969" s="15" t="n">
        <v>139</v>
      </c>
      <c r="AW3969" s="15" t="n">
        <v>139</v>
      </c>
      <c r="BS3969" s="15" t="n">
        <v>139</v>
      </c>
      <c r="CO3969" s="15" t="n">
        <v>139</v>
      </c>
      <c r="DK3969" s="15" t="n">
        <v>139</v>
      </c>
      <c r="EG3969" s="15" t="n">
        <v>139</v>
      </c>
      <c r="FC3969" s="15" t="n">
        <v>139</v>
      </c>
      <c r="FY3969" s="15" t="n">
        <v>139</v>
      </c>
      <c r="GU3969" s="15" t="n">
        <v>139</v>
      </c>
    </row>
    <row r="3970">
      <c r="C3970" s="15" t="n">
        <v>140</v>
      </c>
      <c r="AA3970" s="15" t="n">
        <v>140</v>
      </c>
      <c r="AW3970" s="15" t="n">
        <v>140</v>
      </c>
      <c r="BS3970" s="15" t="n">
        <v>140</v>
      </c>
      <c r="CO3970" s="15" t="n">
        <v>140</v>
      </c>
      <c r="DK3970" s="15" t="n">
        <v>140</v>
      </c>
      <c r="EG3970" s="15" t="n">
        <v>140</v>
      </c>
      <c r="FC3970" s="15" t="n">
        <v>140</v>
      </c>
      <c r="FY3970" s="15" t="n">
        <v>140</v>
      </c>
      <c r="GU3970" s="15" t="n">
        <v>140</v>
      </c>
    </row>
    <row r="3971">
      <c r="C3971" s="15" t="n">
        <v>141</v>
      </c>
      <c r="AA3971" s="15" t="n">
        <v>141</v>
      </c>
      <c r="AW3971" s="15" t="n">
        <v>141</v>
      </c>
      <c r="BS3971" s="15" t="n">
        <v>141</v>
      </c>
      <c r="CO3971" s="15" t="n">
        <v>141</v>
      </c>
      <c r="DK3971" s="15" t="n">
        <v>141</v>
      </c>
      <c r="EG3971" s="15" t="n">
        <v>141</v>
      </c>
      <c r="FC3971" s="15" t="n">
        <v>141</v>
      </c>
      <c r="FY3971" s="15" t="n">
        <v>141</v>
      </c>
      <c r="GU3971" s="15" t="n">
        <v>141</v>
      </c>
    </row>
    <row r="3972">
      <c r="C3972" s="15" t="n">
        <v>142</v>
      </c>
      <c r="AA3972" s="15" t="n">
        <v>142</v>
      </c>
      <c r="AW3972" s="15" t="n">
        <v>142</v>
      </c>
      <c r="BS3972" s="15" t="n">
        <v>142</v>
      </c>
      <c r="CO3972" s="15" t="n">
        <v>142</v>
      </c>
      <c r="DK3972" s="15" t="n">
        <v>142</v>
      </c>
      <c r="EG3972" s="15" t="n">
        <v>142</v>
      </c>
      <c r="FC3972" s="15" t="n">
        <v>142</v>
      </c>
      <c r="FY3972" s="15" t="n">
        <v>142</v>
      </c>
      <c r="GU3972" s="15" t="n">
        <v>142</v>
      </c>
    </row>
    <row r="3973">
      <c r="C3973" s="15" t="n">
        <v>143</v>
      </c>
      <c r="AA3973" s="15" t="n">
        <v>143</v>
      </c>
      <c r="AW3973" s="15" t="n">
        <v>143</v>
      </c>
      <c r="BS3973" s="15" t="n">
        <v>143</v>
      </c>
      <c r="CO3973" s="15" t="n">
        <v>143</v>
      </c>
      <c r="DK3973" s="15" t="n">
        <v>143</v>
      </c>
      <c r="EG3973" s="15" t="n">
        <v>143</v>
      </c>
      <c r="FC3973" s="15" t="n">
        <v>143</v>
      </c>
      <c r="FY3973" s="15" t="n">
        <v>143</v>
      </c>
      <c r="GU3973" s="15" t="n">
        <v>143</v>
      </c>
    </row>
    <row r="3974">
      <c r="C3974" s="15" t="n">
        <v>144</v>
      </c>
      <c r="AA3974" s="15" t="n">
        <v>144</v>
      </c>
      <c r="AW3974" s="15" t="n">
        <v>144</v>
      </c>
      <c r="BS3974" s="15" t="n">
        <v>144</v>
      </c>
      <c r="CO3974" s="15" t="n">
        <v>144</v>
      </c>
      <c r="DK3974" s="15" t="n">
        <v>144</v>
      </c>
      <c r="EG3974" s="15" t="n">
        <v>144</v>
      </c>
      <c r="FC3974" s="15" t="n">
        <v>144</v>
      </c>
      <c r="FY3974" s="15" t="n">
        <v>144</v>
      </c>
      <c r="GU3974" s="15" t="n">
        <v>144</v>
      </c>
    </row>
    <row r="3975">
      <c r="C3975" s="15" t="n">
        <v>145</v>
      </c>
      <c r="AA3975" s="15" t="n">
        <v>145</v>
      </c>
      <c r="AW3975" s="15" t="n">
        <v>145</v>
      </c>
      <c r="BS3975" s="15" t="n">
        <v>145</v>
      </c>
      <c r="CO3975" s="15" t="n">
        <v>145</v>
      </c>
      <c r="DK3975" s="15" t="n">
        <v>145</v>
      </c>
      <c r="EG3975" s="15" t="n">
        <v>145</v>
      </c>
      <c r="FC3975" s="15" t="n">
        <v>145</v>
      </c>
      <c r="FY3975" s="15" t="n">
        <v>145</v>
      </c>
      <c r="GU3975" s="15" t="n">
        <v>145</v>
      </c>
    </row>
    <row r="3976">
      <c r="C3976" s="15" t="n">
        <v>146</v>
      </c>
      <c r="AA3976" s="15" t="n">
        <v>146</v>
      </c>
      <c r="AW3976" s="15" t="n">
        <v>146</v>
      </c>
      <c r="BS3976" s="15" t="n">
        <v>146</v>
      </c>
      <c r="CO3976" s="15" t="n">
        <v>146</v>
      </c>
      <c r="DK3976" s="15" t="n">
        <v>146</v>
      </c>
      <c r="EG3976" s="15" t="n">
        <v>146</v>
      </c>
      <c r="FC3976" s="15" t="n">
        <v>146</v>
      </c>
      <c r="FY3976" s="15" t="n">
        <v>146</v>
      </c>
      <c r="GU3976" s="15" t="n">
        <v>146</v>
      </c>
    </row>
    <row r="3977">
      <c r="C3977" s="15" t="n">
        <v>147</v>
      </c>
      <c r="AA3977" s="15" t="n">
        <v>147</v>
      </c>
      <c r="AW3977" s="15" t="n">
        <v>147</v>
      </c>
      <c r="BS3977" s="15" t="n">
        <v>147</v>
      </c>
      <c r="CO3977" s="15" t="n">
        <v>147</v>
      </c>
      <c r="DK3977" s="15" t="n">
        <v>147</v>
      </c>
      <c r="EG3977" s="15" t="n">
        <v>147</v>
      </c>
      <c r="FC3977" s="15" t="n">
        <v>147</v>
      </c>
      <c r="FY3977" s="15" t="n">
        <v>147</v>
      </c>
      <c r="GU3977" s="15" t="n">
        <v>147</v>
      </c>
    </row>
    <row r="3978">
      <c r="C3978" s="15" t="n">
        <v>148</v>
      </c>
      <c r="AA3978" s="15" t="n">
        <v>148</v>
      </c>
      <c r="AW3978" s="15" t="n">
        <v>148</v>
      </c>
      <c r="BS3978" s="15" t="n">
        <v>148</v>
      </c>
      <c r="CO3978" s="15" t="n">
        <v>148</v>
      </c>
      <c r="DK3978" s="15" t="n">
        <v>148</v>
      </c>
      <c r="EG3978" s="15" t="n">
        <v>148</v>
      </c>
      <c r="FC3978" s="15" t="n">
        <v>148</v>
      </c>
      <c r="FY3978" s="15" t="n">
        <v>148</v>
      </c>
      <c r="GU3978" s="15" t="n">
        <v>148</v>
      </c>
    </row>
    <row r="3979">
      <c r="C3979" s="15" t="n">
        <v>149</v>
      </c>
      <c r="AA3979" s="15" t="n">
        <v>149</v>
      </c>
      <c r="AW3979" s="15" t="n">
        <v>149</v>
      </c>
      <c r="BS3979" s="15" t="n">
        <v>149</v>
      </c>
      <c r="CO3979" s="15" t="n">
        <v>149</v>
      </c>
      <c r="DK3979" s="15" t="n">
        <v>149</v>
      </c>
      <c r="EG3979" s="15" t="n">
        <v>149</v>
      </c>
      <c r="FC3979" s="15" t="n">
        <v>149</v>
      </c>
      <c r="FY3979" s="15" t="n">
        <v>149</v>
      </c>
      <c r="GU3979" s="15" t="n">
        <v>149</v>
      </c>
    </row>
    <row r="3980">
      <c r="C3980" s="15" t="n">
        <v>150</v>
      </c>
      <c r="AA3980" s="15" t="n">
        <v>150</v>
      </c>
      <c r="AW3980" s="15" t="n">
        <v>150</v>
      </c>
      <c r="BS3980" s="15" t="n">
        <v>150</v>
      </c>
      <c r="CO3980" s="15" t="n">
        <v>150</v>
      </c>
      <c r="DK3980" s="15" t="n">
        <v>150</v>
      </c>
      <c r="EG3980" s="15" t="n">
        <v>150</v>
      </c>
      <c r="FC3980" s="15" t="n">
        <v>150</v>
      </c>
      <c r="FY3980" s="15" t="n">
        <v>150</v>
      </c>
      <c r="GU3980" s="15" t="n">
        <v>150</v>
      </c>
    </row>
    <row r="3981">
      <c r="C3981" s="15" t="n">
        <v>151</v>
      </c>
      <c r="AA3981" s="15" t="n">
        <v>151</v>
      </c>
      <c r="AW3981" s="15" t="n">
        <v>151</v>
      </c>
      <c r="BS3981" s="15" t="n">
        <v>151</v>
      </c>
      <c r="CO3981" s="15" t="n">
        <v>151</v>
      </c>
      <c r="DK3981" s="15" t="n">
        <v>151</v>
      </c>
      <c r="EG3981" s="15" t="n">
        <v>151</v>
      </c>
      <c r="FC3981" s="15" t="n">
        <v>151</v>
      </c>
      <c r="FY3981" s="15" t="n">
        <v>151</v>
      </c>
      <c r="GU3981" s="15" t="n">
        <v>151</v>
      </c>
    </row>
    <row r="3982">
      <c r="C3982" s="15" t="n">
        <v>152</v>
      </c>
      <c r="AA3982" s="15" t="n">
        <v>152</v>
      </c>
      <c r="AW3982" s="15" t="n">
        <v>152</v>
      </c>
      <c r="BS3982" s="15" t="n">
        <v>152</v>
      </c>
      <c r="CO3982" s="15" t="n">
        <v>152</v>
      </c>
      <c r="DK3982" s="15" t="n">
        <v>152</v>
      </c>
      <c r="EG3982" s="15" t="n">
        <v>152</v>
      </c>
      <c r="FC3982" s="15" t="n">
        <v>152</v>
      </c>
      <c r="FY3982" s="15" t="n">
        <v>152</v>
      </c>
      <c r="GU3982" s="15" t="n">
        <v>152</v>
      </c>
    </row>
    <row r="3983">
      <c r="C3983" s="15" t="n">
        <v>153</v>
      </c>
      <c r="AA3983" s="15" t="n">
        <v>153</v>
      </c>
      <c r="AW3983" s="15" t="n">
        <v>153</v>
      </c>
      <c r="BS3983" s="15" t="n">
        <v>153</v>
      </c>
      <c r="CO3983" s="15" t="n">
        <v>153</v>
      </c>
      <c r="DK3983" s="15" t="n">
        <v>153</v>
      </c>
      <c r="EG3983" s="15" t="n">
        <v>153</v>
      </c>
      <c r="FC3983" s="15" t="n">
        <v>153</v>
      </c>
      <c r="FY3983" s="15" t="n">
        <v>153</v>
      </c>
      <c r="GU3983" s="15" t="n">
        <v>153</v>
      </c>
    </row>
    <row r="3984">
      <c r="C3984" s="15" t="n">
        <v>154</v>
      </c>
      <c r="AA3984" s="15" t="n">
        <v>154</v>
      </c>
      <c r="AW3984" s="15" t="n">
        <v>154</v>
      </c>
      <c r="BS3984" s="15" t="n">
        <v>154</v>
      </c>
      <c r="CO3984" s="15" t="n">
        <v>154</v>
      </c>
      <c r="DK3984" s="15" t="n">
        <v>154</v>
      </c>
      <c r="EG3984" s="15" t="n">
        <v>154</v>
      </c>
      <c r="FC3984" s="15" t="n">
        <v>154</v>
      </c>
      <c r="FY3984" s="15" t="n">
        <v>154</v>
      </c>
      <c r="GU3984" s="15" t="n">
        <v>154</v>
      </c>
    </row>
    <row r="3985">
      <c r="C3985" s="15" t="n">
        <v>155</v>
      </c>
      <c r="AA3985" s="15" t="n">
        <v>155</v>
      </c>
      <c r="AW3985" s="15" t="n">
        <v>155</v>
      </c>
      <c r="BS3985" s="15" t="n">
        <v>155</v>
      </c>
      <c r="CO3985" s="15" t="n">
        <v>155</v>
      </c>
      <c r="DK3985" s="15" t="n">
        <v>155</v>
      </c>
      <c r="EG3985" s="15" t="n">
        <v>155</v>
      </c>
      <c r="FC3985" s="15" t="n">
        <v>155</v>
      </c>
      <c r="FY3985" s="15" t="n">
        <v>155</v>
      </c>
      <c r="GU3985" s="15" t="n">
        <v>155</v>
      </c>
    </row>
    <row r="3986">
      <c r="C3986" s="15" t="n">
        <v>156</v>
      </c>
      <c r="AA3986" s="15" t="n">
        <v>156</v>
      </c>
      <c r="AW3986" s="15" t="n">
        <v>156</v>
      </c>
      <c r="BS3986" s="15" t="n">
        <v>156</v>
      </c>
      <c r="CO3986" s="15" t="n">
        <v>156</v>
      </c>
      <c r="DK3986" s="15" t="n">
        <v>156</v>
      </c>
      <c r="EG3986" s="15" t="n">
        <v>156</v>
      </c>
      <c r="FC3986" s="15" t="n">
        <v>156</v>
      </c>
      <c r="FY3986" s="15" t="n">
        <v>156</v>
      </c>
      <c r="GU3986" s="15" t="n">
        <v>156</v>
      </c>
    </row>
    <row r="3987">
      <c r="C3987" s="15" t="n">
        <v>157</v>
      </c>
      <c r="AA3987" s="15" t="n">
        <v>157</v>
      </c>
      <c r="AW3987" s="15" t="n">
        <v>157</v>
      </c>
      <c r="BS3987" s="15" t="n">
        <v>157</v>
      </c>
      <c r="CO3987" s="15" t="n">
        <v>157</v>
      </c>
      <c r="DK3987" s="15" t="n">
        <v>157</v>
      </c>
      <c r="EG3987" s="15" t="n">
        <v>157</v>
      </c>
      <c r="FC3987" s="15" t="n">
        <v>157</v>
      </c>
      <c r="FY3987" s="15" t="n">
        <v>157</v>
      </c>
      <c r="GU3987" s="15" t="n">
        <v>157</v>
      </c>
    </row>
    <row r="3988">
      <c r="C3988" s="15" t="n">
        <v>158</v>
      </c>
      <c r="AA3988" s="15" t="n">
        <v>158</v>
      </c>
      <c r="AW3988" s="15" t="n">
        <v>158</v>
      </c>
      <c r="BS3988" s="15" t="n">
        <v>158</v>
      </c>
      <c r="CO3988" s="15" t="n">
        <v>158</v>
      </c>
      <c r="DK3988" s="15" t="n">
        <v>158</v>
      </c>
      <c r="EG3988" s="15" t="n">
        <v>158</v>
      </c>
      <c r="FC3988" s="15" t="n">
        <v>158</v>
      </c>
      <c r="FY3988" s="15" t="n">
        <v>158</v>
      </c>
      <c r="GU3988" s="15" t="n">
        <v>158</v>
      </c>
    </row>
    <row r="3989">
      <c r="C3989" s="15" t="n">
        <v>159</v>
      </c>
      <c r="AA3989" s="15" t="n">
        <v>159</v>
      </c>
      <c r="AW3989" s="15" t="n">
        <v>159</v>
      </c>
      <c r="BS3989" s="15" t="n">
        <v>159</v>
      </c>
      <c r="CO3989" s="15" t="n">
        <v>159</v>
      </c>
      <c r="DK3989" s="15" t="n">
        <v>159</v>
      </c>
      <c r="EG3989" s="15" t="n">
        <v>159</v>
      </c>
      <c r="FC3989" s="15" t="n">
        <v>159</v>
      </c>
      <c r="FY3989" s="15" t="n">
        <v>159</v>
      </c>
      <c r="GU3989" s="15" t="n">
        <v>159</v>
      </c>
    </row>
    <row r="3990">
      <c r="C3990" s="15" t="n">
        <v>160</v>
      </c>
      <c r="AA3990" s="15" t="n">
        <v>160</v>
      </c>
      <c r="AW3990" s="15" t="n">
        <v>160</v>
      </c>
      <c r="BS3990" s="15" t="n">
        <v>160</v>
      </c>
      <c r="CO3990" s="15" t="n">
        <v>160</v>
      </c>
      <c r="DK3990" s="15" t="n">
        <v>160</v>
      </c>
      <c r="EG3990" s="15" t="n">
        <v>160</v>
      </c>
      <c r="FC3990" s="15" t="n">
        <v>160</v>
      </c>
      <c r="FY3990" s="15" t="n">
        <v>160</v>
      </c>
      <c r="GU3990" s="15" t="n">
        <v>160</v>
      </c>
    </row>
    <row r="3991">
      <c r="C3991" s="15" t="n">
        <v>161</v>
      </c>
      <c r="AA3991" s="15" t="n">
        <v>161</v>
      </c>
      <c r="AW3991" s="15" t="n">
        <v>161</v>
      </c>
      <c r="BS3991" s="15" t="n">
        <v>161</v>
      </c>
      <c r="CO3991" s="15" t="n">
        <v>161</v>
      </c>
      <c r="DK3991" s="15" t="n">
        <v>161</v>
      </c>
      <c r="EG3991" s="15" t="n">
        <v>161</v>
      </c>
      <c r="FC3991" s="15" t="n">
        <v>161</v>
      </c>
      <c r="FY3991" s="15" t="n">
        <v>161</v>
      </c>
      <c r="GU3991" s="15" t="n">
        <v>161</v>
      </c>
    </row>
    <row r="3992">
      <c r="C3992" s="15" t="n">
        <v>162</v>
      </c>
      <c r="AA3992" s="15" t="n">
        <v>162</v>
      </c>
      <c r="AW3992" s="15" t="n">
        <v>162</v>
      </c>
      <c r="BS3992" s="15" t="n">
        <v>162</v>
      </c>
      <c r="CO3992" s="15" t="n">
        <v>162</v>
      </c>
      <c r="DK3992" s="15" t="n">
        <v>162</v>
      </c>
      <c r="EG3992" s="15" t="n">
        <v>162</v>
      </c>
      <c r="FC3992" s="15" t="n">
        <v>162</v>
      </c>
      <c r="FY3992" s="15" t="n">
        <v>162</v>
      </c>
      <c r="GU3992" s="15" t="n">
        <v>162</v>
      </c>
    </row>
    <row r="3993">
      <c r="C3993" s="15" t="n">
        <v>163</v>
      </c>
      <c r="AA3993" s="15" t="n">
        <v>163</v>
      </c>
      <c r="AW3993" s="15" t="n">
        <v>163</v>
      </c>
      <c r="BS3993" s="15" t="n">
        <v>163</v>
      </c>
      <c r="CO3993" s="15" t="n">
        <v>163</v>
      </c>
      <c r="DK3993" s="15" t="n">
        <v>163</v>
      </c>
      <c r="EG3993" s="15" t="n">
        <v>163</v>
      </c>
      <c r="FC3993" s="15" t="n">
        <v>163</v>
      </c>
      <c r="FY3993" s="15" t="n">
        <v>163</v>
      </c>
      <c r="GU3993" s="15" t="n">
        <v>163</v>
      </c>
    </row>
    <row r="3994">
      <c r="C3994" s="15" t="n">
        <v>164</v>
      </c>
      <c r="AA3994" s="15" t="n">
        <v>164</v>
      </c>
      <c r="AW3994" s="15" t="n">
        <v>164</v>
      </c>
      <c r="BS3994" s="15" t="n">
        <v>164</v>
      </c>
      <c r="CO3994" s="15" t="n">
        <v>164</v>
      </c>
      <c r="DK3994" s="15" t="n">
        <v>164</v>
      </c>
      <c r="EG3994" s="15" t="n">
        <v>164</v>
      </c>
      <c r="FC3994" s="15" t="n">
        <v>164</v>
      </c>
      <c r="FY3994" s="15" t="n">
        <v>164</v>
      </c>
      <c r="GU3994" s="15" t="n">
        <v>164</v>
      </c>
    </row>
    <row r="3995">
      <c r="C3995" s="15" t="n">
        <v>165</v>
      </c>
      <c r="AA3995" s="15" t="n">
        <v>165</v>
      </c>
      <c r="AW3995" s="15" t="n">
        <v>165</v>
      </c>
      <c r="BS3995" s="15" t="n">
        <v>165</v>
      </c>
      <c r="CO3995" s="15" t="n">
        <v>165</v>
      </c>
      <c r="DK3995" s="15" t="n">
        <v>165</v>
      </c>
      <c r="EG3995" s="15" t="n">
        <v>165</v>
      </c>
      <c r="FC3995" s="15" t="n">
        <v>165</v>
      </c>
      <c r="FY3995" s="15" t="n">
        <v>165</v>
      </c>
      <c r="GU3995" s="15" t="n">
        <v>165</v>
      </c>
    </row>
    <row r="3996">
      <c r="C3996" s="15" t="n">
        <v>166</v>
      </c>
      <c r="AA3996" s="15" t="n">
        <v>166</v>
      </c>
      <c r="AW3996" s="15" t="n">
        <v>166</v>
      </c>
      <c r="BS3996" s="15" t="n">
        <v>166</v>
      </c>
      <c r="CO3996" s="15" t="n">
        <v>166</v>
      </c>
      <c r="DK3996" s="15" t="n">
        <v>166</v>
      </c>
      <c r="EG3996" s="15" t="n">
        <v>166</v>
      </c>
      <c r="FC3996" s="15" t="n">
        <v>166</v>
      </c>
      <c r="FY3996" s="15" t="n">
        <v>166</v>
      </c>
      <c r="GU3996" s="15" t="n">
        <v>166</v>
      </c>
    </row>
    <row r="3997">
      <c r="C3997" s="15" t="n">
        <v>167</v>
      </c>
      <c r="AA3997" s="15" t="n">
        <v>167</v>
      </c>
      <c r="AW3997" s="15" t="n">
        <v>167</v>
      </c>
      <c r="BS3997" s="15" t="n">
        <v>167</v>
      </c>
      <c r="CO3997" s="15" t="n">
        <v>167</v>
      </c>
      <c r="DK3997" s="15" t="n">
        <v>167</v>
      </c>
      <c r="EG3997" s="15" t="n">
        <v>167</v>
      </c>
      <c r="FC3997" s="15" t="n">
        <v>167</v>
      </c>
      <c r="FY3997" s="15" t="n">
        <v>167</v>
      </c>
      <c r="GU3997" s="15" t="n">
        <v>167</v>
      </c>
    </row>
    <row r="3998">
      <c r="C3998" s="15" t="n">
        <v>168</v>
      </c>
      <c r="AA3998" s="15" t="n">
        <v>168</v>
      </c>
      <c r="AW3998" s="15" t="n">
        <v>168</v>
      </c>
      <c r="BS3998" s="15" t="n">
        <v>168</v>
      </c>
      <c r="CO3998" s="15" t="n">
        <v>168</v>
      </c>
      <c r="DK3998" s="15" t="n">
        <v>168</v>
      </c>
      <c r="EG3998" s="15" t="n">
        <v>168</v>
      </c>
      <c r="FC3998" s="15" t="n">
        <v>168</v>
      </c>
      <c r="FY3998" s="15" t="n">
        <v>168</v>
      </c>
      <c r="GU3998" s="15" t="n">
        <v>168</v>
      </c>
    </row>
    <row r="3999">
      <c r="C3999" s="15" t="n">
        <v>169</v>
      </c>
      <c r="AA3999" s="15" t="n">
        <v>169</v>
      </c>
      <c r="AW3999" s="15" t="n">
        <v>169</v>
      </c>
      <c r="BS3999" s="15" t="n">
        <v>169</v>
      </c>
      <c r="CO3999" s="15" t="n">
        <v>169</v>
      </c>
      <c r="DK3999" s="15" t="n">
        <v>169</v>
      </c>
      <c r="EG3999" s="15" t="n">
        <v>169</v>
      </c>
      <c r="FC3999" s="15" t="n">
        <v>169</v>
      </c>
      <c r="FY3999" s="15" t="n">
        <v>169</v>
      </c>
      <c r="GU3999" s="15" t="n">
        <v>169</v>
      </c>
    </row>
    <row r="4000">
      <c r="C4000" s="15" t="n">
        <v>170</v>
      </c>
      <c r="AA4000" s="15" t="n">
        <v>170</v>
      </c>
      <c r="AW4000" s="15" t="n">
        <v>170</v>
      </c>
      <c r="BS4000" s="15" t="n">
        <v>170</v>
      </c>
      <c r="CO4000" s="15" t="n">
        <v>170</v>
      </c>
      <c r="DK4000" s="15" t="n">
        <v>170</v>
      </c>
      <c r="EG4000" s="15" t="n">
        <v>170</v>
      </c>
      <c r="FC4000" s="15" t="n">
        <v>170</v>
      </c>
      <c r="FY4000" s="15" t="n">
        <v>170</v>
      </c>
      <c r="GU4000" s="15" t="n">
        <v>170</v>
      </c>
    </row>
    <row r="4001">
      <c r="C4001" s="15" t="n">
        <v>171</v>
      </c>
      <c r="AA4001" s="15" t="n">
        <v>171</v>
      </c>
      <c r="AW4001" s="15" t="n">
        <v>171</v>
      </c>
      <c r="BS4001" s="15" t="n">
        <v>171</v>
      </c>
      <c r="CO4001" s="15" t="n">
        <v>171</v>
      </c>
      <c r="DK4001" s="15" t="n">
        <v>171</v>
      </c>
      <c r="EG4001" s="15" t="n">
        <v>171</v>
      </c>
      <c r="FC4001" s="15" t="n">
        <v>171</v>
      </c>
      <c r="FY4001" s="15" t="n">
        <v>171</v>
      </c>
      <c r="GU4001" s="15" t="n">
        <v>171</v>
      </c>
    </row>
    <row r="4002">
      <c r="C4002" s="15" t="n">
        <v>172</v>
      </c>
      <c r="AA4002" s="15" t="n">
        <v>172</v>
      </c>
      <c r="AW4002" s="15" t="n">
        <v>172</v>
      </c>
      <c r="BS4002" s="15" t="n">
        <v>172</v>
      </c>
      <c r="CO4002" s="15" t="n">
        <v>172</v>
      </c>
      <c r="DK4002" s="15" t="n">
        <v>172</v>
      </c>
      <c r="EG4002" s="15" t="n">
        <v>172</v>
      </c>
      <c r="FC4002" s="15" t="n">
        <v>172</v>
      </c>
      <c r="FY4002" s="15" t="n">
        <v>172</v>
      </c>
      <c r="GU4002" s="15" t="n">
        <v>172</v>
      </c>
    </row>
    <row r="4003">
      <c r="C4003" s="15" t="n">
        <v>173</v>
      </c>
      <c r="AA4003" s="15" t="n">
        <v>173</v>
      </c>
      <c r="AW4003" s="15" t="n">
        <v>173</v>
      </c>
      <c r="BS4003" s="15" t="n">
        <v>173</v>
      </c>
      <c r="CO4003" s="15" t="n">
        <v>173</v>
      </c>
      <c r="DK4003" s="15" t="n">
        <v>173</v>
      </c>
      <c r="EG4003" s="15" t="n">
        <v>173</v>
      </c>
      <c r="FC4003" s="15" t="n">
        <v>173</v>
      </c>
      <c r="FY4003" s="15" t="n">
        <v>173</v>
      </c>
      <c r="GU4003" s="15" t="n">
        <v>173</v>
      </c>
    </row>
    <row r="4004">
      <c r="C4004" s="15" t="n">
        <v>174</v>
      </c>
      <c r="AA4004" s="15" t="n">
        <v>174</v>
      </c>
      <c r="AW4004" s="15" t="n">
        <v>174</v>
      </c>
      <c r="BS4004" s="15" t="n">
        <v>174</v>
      </c>
      <c r="CO4004" s="15" t="n">
        <v>174</v>
      </c>
      <c r="DK4004" s="15" t="n">
        <v>174</v>
      </c>
      <c r="EG4004" s="15" t="n">
        <v>174</v>
      </c>
      <c r="FC4004" s="15" t="n">
        <v>174</v>
      </c>
      <c r="FY4004" s="15" t="n">
        <v>174</v>
      </c>
      <c r="GU4004" s="15" t="n">
        <v>174</v>
      </c>
    </row>
    <row r="4005">
      <c r="C4005" s="15" t="n">
        <v>175</v>
      </c>
      <c r="AA4005" s="15" t="n">
        <v>175</v>
      </c>
      <c r="AW4005" s="15" t="n">
        <v>175</v>
      </c>
      <c r="BS4005" s="15" t="n">
        <v>175</v>
      </c>
      <c r="CO4005" s="15" t="n">
        <v>175</v>
      </c>
      <c r="DK4005" s="15" t="n">
        <v>175</v>
      </c>
      <c r="EG4005" s="15" t="n">
        <v>175</v>
      </c>
      <c r="FC4005" s="15" t="n">
        <v>175</v>
      </c>
      <c r="FY4005" s="15" t="n">
        <v>175</v>
      </c>
      <c r="GU4005" s="15" t="n">
        <v>175</v>
      </c>
    </row>
    <row r="4006">
      <c r="C4006" s="15" t="n">
        <v>176</v>
      </c>
      <c r="AA4006" s="15" t="n">
        <v>176</v>
      </c>
      <c r="AW4006" s="15" t="n">
        <v>176</v>
      </c>
      <c r="BS4006" s="15" t="n">
        <v>176</v>
      </c>
      <c r="CO4006" s="15" t="n">
        <v>176</v>
      </c>
      <c r="DK4006" s="15" t="n">
        <v>176</v>
      </c>
      <c r="EG4006" s="15" t="n">
        <v>176</v>
      </c>
      <c r="FC4006" s="15" t="n">
        <v>176</v>
      </c>
      <c r="FY4006" s="15" t="n">
        <v>176</v>
      </c>
      <c r="GU4006" s="15" t="n">
        <v>176</v>
      </c>
    </row>
    <row r="4007">
      <c r="C4007" s="15" t="n">
        <v>177</v>
      </c>
      <c r="AA4007" s="15" t="n">
        <v>177</v>
      </c>
      <c r="AW4007" s="15" t="n">
        <v>177</v>
      </c>
      <c r="BS4007" s="15" t="n">
        <v>177</v>
      </c>
      <c r="CO4007" s="15" t="n">
        <v>177</v>
      </c>
      <c r="DK4007" s="15" t="n">
        <v>177</v>
      </c>
      <c r="EG4007" s="15" t="n">
        <v>177</v>
      </c>
      <c r="FC4007" s="15" t="n">
        <v>177</v>
      </c>
      <c r="FY4007" s="15" t="n">
        <v>177</v>
      </c>
      <c r="GU4007" s="15" t="n">
        <v>177</v>
      </c>
    </row>
    <row r="4008">
      <c r="C4008" s="15" t="n">
        <v>178</v>
      </c>
      <c r="AA4008" s="15" t="n">
        <v>178</v>
      </c>
      <c r="AW4008" s="15" t="n">
        <v>178</v>
      </c>
      <c r="BS4008" s="15" t="n">
        <v>178</v>
      </c>
      <c r="CO4008" s="15" t="n">
        <v>178</v>
      </c>
      <c r="DK4008" s="15" t="n">
        <v>178</v>
      </c>
      <c r="EG4008" s="15" t="n">
        <v>178</v>
      </c>
      <c r="FC4008" s="15" t="n">
        <v>178</v>
      </c>
      <c r="FY4008" s="15" t="n">
        <v>178</v>
      </c>
      <c r="GU4008" s="15" t="n">
        <v>178</v>
      </c>
    </row>
    <row r="4009">
      <c r="C4009" s="15" t="n">
        <v>179</v>
      </c>
      <c r="AA4009" s="15" t="n">
        <v>179</v>
      </c>
      <c r="AW4009" s="15" t="n">
        <v>179</v>
      </c>
      <c r="BS4009" s="15" t="n">
        <v>179</v>
      </c>
      <c r="CO4009" s="15" t="n">
        <v>179</v>
      </c>
      <c r="DK4009" s="15" t="n">
        <v>179</v>
      </c>
      <c r="EG4009" s="15" t="n">
        <v>179</v>
      </c>
      <c r="FC4009" s="15" t="n">
        <v>179</v>
      </c>
      <c r="FY4009" s="15" t="n">
        <v>179</v>
      </c>
      <c r="GU4009" s="15" t="n">
        <v>179</v>
      </c>
    </row>
    <row r="4010">
      <c r="C4010" s="15" t="n">
        <v>180</v>
      </c>
      <c r="AA4010" s="15" t="n">
        <v>180</v>
      </c>
      <c r="AW4010" s="15" t="n">
        <v>180</v>
      </c>
      <c r="BS4010" s="15" t="n">
        <v>180</v>
      </c>
      <c r="CO4010" s="15" t="n">
        <v>180</v>
      </c>
      <c r="DK4010" s="15" t="n">
        <v>180</v>
      </c>
      <c r="EG4010" s="15" t="n">
        <v>180</v>
      </c>
      <c r="FC4010" s="15" t="n">
        <v>180</v>
      </c>
      <c r="FY4010" s="15" t="n">
        <v>180</v>
      </c>
      <c r="GU4010" s="15" t="n">
        <v>180</v>
      </c>
    </row>
    <row r="4011">
      <c r="C4011" s="15" t="n">
        <v>181</v>
      </c>
      <c r="AA4011" s="15" t="n">
        <v>181</v>
      </c>
      <c r="AW4011" s="15" t="n">
        <v>181</v>
      </c>
      <c r="BS4011" s="15" t="n">
        <v>181</v>
      </c>
      <c r="CO4011" s="15" t="n">
        <v>181</v>
      </c>
      <c r="DK4011" s="15" t="n">
        <v>181</v>
      </c>
      <c r="EG4011" s="15" t="n">
        <v>181</v>
      </c>
      <c r="FC4011" s="15" t="n">
        <v>181</v>
      </c>
      <c r="FY4011" s="15" t="n">
        <v>181</v>
      </c>
      <c r="GU4011" s="15" t="n">
        <v>181</v>
      </c>
    </row>
    <row r="4012">
      <c r="C4012" s="15" t="n">
        <v>182</v>
      </c>
      <c r="AA4012" s="15" t="n">
        <v>182</v>
      </c>
      <c r="AW4012" s="15" t="n">
        <v>182</v>
      </c>
      <c r="BS4012" s="15" t="n">
        <v>182</v>
      </c>
      <c r="CO4012" s="15" t="n">
        <v>182</v>
      </c>
      <c r="DK4012" s="15" t="n">
        <v>182</v>
      </c>
      <c r="EG4012" s="15" t="n">
        <v>182</v>
      </c>
      <c r="FC4012" s="15" t="n">
        <v>182</v>
      </c>
      <c r="FY4012" s="15" t="n">
        <v>182</v>
      </c>
      <c r="GU4012" s="15" t="n">
        <v>182</v>
      </c>
    </row>
    <row r="4013">
      <c r="C4013" s="15" t="n">
        <v>183</v>
      </c>
      <c r="AA4013" s="15" t="n">
        <v>183</v>
      </c>
      <c r="AW4013" s="15" t="n">
        <v>183</v>
      </c>
      <c r="BS4013" s="15" t="n">
        <v>183</v>
      </c>
      <c r="CO4013" s="15" t="n">
        <v>183</v>
      </c>
      <c r="DK4013" s="15" t="n">
        <v>183</v>
      </c>
      <c r="EG4013" s="15" t="n">
        <v>183</v>
      </c>
      <c r="FC4013" s="15" t="n">
        <v>183</v>
      </c>
      <c r="FY4013" s="15" t="n">
        <v>183</v>
      </c>
      <c r="GU4013" s="15" t="n">
        <v>183</v>
      </c>
    </row>
    <row r="4014">
      <c r="C4014" s="15" t="n">
        <v>184</v>
      </c>
      <c r="AA4014" s="15" t="n">
        <v>184</v>
      </c>
      <c r="AW4014" s="15" t="n">
        <v>184</v>
      </c>
      <c r="BS4014" s="15" t="n">
        <v>184</v>
      </c>
      <c r="CO4014" s="15" t="n">
        <v>184</v>
      </c>
      <c r="DK4014" s="15" t="n">
        <v>184</v>
      </c>
      <c r="EG4014" s="15" t="n">
        <v>184</v>
      </c>
      <c r="FC4014" s="15" t="n">
        <v>184</v>
      </c>
      <c r="FY4014" s="15" t="n">
        <v>184</v>
      </c>
      <c r="GU4014" s="15" t="n">
        <v>184</v>
      </c>
    </row>
    <row r="4015">
      <c r="C4015" s="15" t="n">
        <v>185</v>
      </c>
      <c r="AA4015" s="15" t="n">
        <v>185</v>
      </c>
      <c r="AW4015" s="15" t="n">
        <v>185</v>
      </c>
      <c r="BS4015" s="15" t="n">
        <v>185</v>
      </c>
      <c r="CO4015" s="15" t="n">
        <v>185</v>
      </c>
      <c r="DK4015" s="15" t="n">
        <v>185</v>
      </c>
      <c r="EG4015" s="15" t="n">
        <v>185</v>
      </c>
      <c r="FC4015" s="15" t="n">
        <v>185</v>
      </c>
      <c r="FY4015" s="15" t="n">
        <v>185</v>
      </c>
      <c r="GU4015" s="15" t="n">
        <v>185</v>
      </c>
    </row>
    <row r="4016">
      <c r="C4016" s="15" t="n">
        <v>186</v>
      </c>
      <c r="AA4016" s="15" t="n">
        <v>186</v>
      </c>
      <c r="AW4016" s="15" t="n">
        <v>186</v>
      </c>
      <c r="BS4016" s="15" t="n">
        <v>186</v>
      </c>
      <c r="CO4016" s="15" t="n">
        <v>186</v>
      </c>
      <c r="DK4016" s="15" t="n">
        <v>186</v>
      </c>
      <c r="EG4016" s="15" t="n">
        <v>186</v>
      </c>
      <c r="FC4016" s="15" t="n">
        <v>186</v>
      </c>
      <c r="FY4016" s="15" t="n">
        <v>186</v>
      </c>
      <c r="GU4016" s="15" t="n">
        <v>186</v>
      </c>
    </row>
    <row r="4017">
      <c r="C4017" s="15" t="n">
        <v>187</v>
      </c>
      <c r="AA4017" s="15" t="n">
        <v>187</v>
      </c>
      <c r="AW4017" s="15" t="n">
        <v>187</v>
      </c>
      <c r="BS4017" s="15" t="n">
        <v>187</v>
      </c>
      <c r="CO4017" s="15" t="n">
        <v>187</v>
      </c>
      <c r="DK4017" s="15" t="n">
        <v>187</v>
      </c>
      <c r="EG4017" s="15" t="n">
        <v>187</v>
      </c>
      <c r="FC4017" s="15" t="n">
        <v>187</v>
      </c>
      <c r="FY4017" s="15" t="n">
        <v>187</v>
      </c>
      <c r="GU4017" s="15" t="n">
        <v>187</v>
      </c>
    </row>
    <row r="4018">
      <c r="C4018" s="15" t="n">
        <v>188</v>
      </c>
      <c r="AA4018" s="15" t="n">
        <v>188</v>
      </c>
      <c r="AW4018" s="15" t="n">
        <v>188</v>
      </c>
      <c r="BS4018" s="15" t="n">
        <v>188</v>
      </c>
      <c r="CO4018" s="15" t="n">
        <v>188</v>
      </c>
      <c r="DK4018" s="15" t="n">
        <v>188</v>
      </c>
      <c r="EG4018" s="15" t="n">
        <v>188</v>
      </c>
      <c r="FC4018" s="15" t="n">
        <v>188</v>
      </c>
      <c r="FY4018" s="15" t="n">
        <v>188</v>
      </c>
      <c r="GU4018" s="15" t="n">
        <v>188</v>
      </c>
    </row>
    <row r="4019">
      <c r="C4019" s="15" t="n">
        <v>189</v>
      </c>
      <c r="AA4019" s="15" t="n">
        <v>189</v>
      </c>
      <c r="AW4019" s="15" t="n">
        <v>189</v>
      </c>
      <c r="BS4019" s="15" t="n">
        <v>189</v>
      </c>
      <c r="CO4019" s="15" t="n">
        <v>189</v>
      </c>
      <c r="DK4019" s="15" t="n">
        <v>189</v>
      </c>
      <c r="EG4019" s="15" t="n">
        <v>189</v>
      </c>
      <c r="FC4019" s="15" t="n">
        <v>189</v>
      </c>
      <c r="FY4019" s="15" t="n">
        <v>189</v>
      </c>
      <c r="GU4019" s="15" t="n">
        <v>189</v>
      </c>
    </row>
    <row r="4020">
      <c r="C4020" s="15" t="n">
        <v>190</v>
      </c>
      <c r="AA4020" s="15" t="n">
        <v>190</v>
      </c>
      <c r="AW4020" s="15" t="n">
        <v>190</v>
      </c>
      <c r="BS4020" s="15" t="n">
        <v>190</v>
      </c>
      <c r="CO4020" s="15" t="n">
        <v>190</v>
      </c>
      <c r="DK4020" s="15" t="n">
        <v>190</v>
      </c>
      <c r="EG4020" s="15" t="n">
        <v>190</v>
      </c>
      <c r="FC4020" s="15" t="n">
        <v>190</v>
      </c>
      <c r="FY4020" s="15" t="n">
        <v>190</v>
      </c>
      <c r="GU4020" s="15" t="n">
        <v>190</v>
      </c>
    </row>
    <row r="4021">
      <c r="C4021" s="15" t="n">
        <v>191</v>
      </c>
      <c r="AA4021" s="15" t="n">
        <v>191</v>
      </c>
      <c r="AW4021" s="15" t="n">
        <v>191</v>
      </c>
      <c r="BS4021" s="15" t="n">
        <v>191</v>
      </c>
      <c r="CO4021" s="15" t="n">
        <v>191</v>
      </c>
      <c r="DK4021" s="15" t="n">
        <v>191</v>
      </c>
      <c r="EG4021" s="15" t="n">
        <v>191</v>
      </c>
      <c r="FC4021" s="15" t="n">
        <v>191</v>
      </c>
      <c r="FY4021" s="15" t="n">
        <v>191</v>
      </c>
      <c r="GU4021" s="15" t="n">
        <v>191</v>
      </c>
    </row>
    <row r="4022">
      <c r="C4022" s="15" t="n">
        <v>192</v>
      </c>
      <c r="AA4022" s="15" t="n">
        <v>192</v>
      </c>
      <c r="AW4022" s="15" t="n">
        <v>192</v>
      </c>
      <c r="BS4022" s="15" t="n">
        <v>192</v>
      </c>
      <c r="CO4022" s="15" t="n">
        <v>192</v>
      </c>
      <c r="DK4022" s="15" t="n">
        <v>192</v>
      </c>
      <c r="EG4022" s="15" t="n">
        <v>192</v>
      </c>
      <c r="FC4022" s="15" t="n">
        <v>192</v>
      </c>
      <c r="FY4022" s="15" t="n">
        <v>192</v>
      </c>
      <c r="GU4022" s="15" t="n">
        <v>192</v>
      </c>
    </row>
    <row r="4023">
      <c r="C4023" s="15" t="n">
        <v>193</v>
      </c>
      <c r="AA4023" s="15" t="n">
        <v>193</v>
      </c>
      <c r="AW4023" s="15" t="n">
        <v>193</v>
      </c>
      <c r="BS4023" s="15" t="n">
        <v>193</v>
      </c>
      <c r="CO4023" s="15" t="n">
        <v>193</v>
      </c>
      <c r="DK4023" s="15" t="n">
        <v>193</v>
      </c>
      <c r="EG4023" s="15" t="n">
        <v>193</v>
      </c>
      <c r="FC4023" s="15" t="n">
        <v>193</v>
      </c>
      <c r="FY4023" s="15" t="n">
        <v>193</v>
      </c>
      <c r="GU4023" s="15" t="n">
        <v>193</v>
      </c>
    </row>
    <row r="4024">
      <c r="C4024" s="15" t="n">
        <v>194</v>
      </c>
      <c r="AA4024" s="15" t="n">
        <v>194</v>
      </c>
      <c r="AW4024" s="15" t="n">
        <v>194</v>
      </c>
      <c r="BS4024" s="15" t="n">
        <v>194</v>
      </c>
      <c r="CO4024" s="15" t="n">
        <v>194</v>
      </c>
      <c r="DK4024" s="15" t="n">
        <v>194</v>
      </c>
      <c r="EG4024" s="15" t="n">
        <v>194</v>
      </c>
      <c r="FC4024" s="15" t="n">
        <v>194</v>
      </c>
      <c r="FY4024" s="15" t="n">
        <v>194</v>
      </c>
      <c r="GU4024" s="15" t="n">
        <v>194</v>
      </c>
    </row>
    <row r="4025">
      <c r="C4025" s="15" t="n">
        <v>195</v>
      </c>
      <c r="AA4025" s="15" t="n">
        <v>195</v>
      </c>
      <c r="AW4025" s="15" t="n">
        <v>195</v>
      </c>
      <c r="BS4025" s="15" t="n">
        <v>195</v>
      </c>
      <c r="CO4025" s="15" t="n">
        <v>195</v>
      </c>
      <c r="DK4025" s="15" t="n">
        <v>195</v>
      </c>
      <c r="EG4025" s="15" t="n">
        <v>195</v>
      </c>
      <c r="FC4025" s="15" t="n">
        <v>195</v>
      </c>
      <c r="FY4025" s="15" t="n">
        <v>195</v>
      </c>
      <c r="GU4025" s="15" t="n">
        <v>195</v>
      </c>
    </row>
    <row r="4026">
      <c r="C4026" s="15" t="n">
        <v>196</v>
      </c>
      <c r="AA4026" s="15" t="n">
        <v>196</v>
      </c>
      <c r="AW4026" s="15" t="n">
        <v>196</v>
      </c>
      <c r="BS4026" s="15" t="n">
        <v>196</v>
      </c>
      <c r="CO4026" s="15" t="n">
        <v>196</v>
      </c>
      <c r="DK4026" s="15" t="n">
        <v>196</v>
      </c>
      <c r="EG4026" s="15" t="n">
        <v>196</v>
      </c>
      <c r="FC4026" s="15" t="n">
        <v>196</v>
      </c>
      <c r="FY4026" s="15" t="n">
        <v>196</v>
      </c>
      <c r="GU4026" s="15" t="n">
        <v>196</v>
      </c>
    </row>
    <row r="4027">
      <c r="C4027" s="15" t="n">
        <v>197</v>
      </c>
      <c r="AA4027" s="15" t="n">
        <v>197</v>
      </c>
      <c r="AW4027" s="15" t="n">
        <v>197</v>
      </c>
      <c r="BS4027" s="15" t="n">
        <v>197</v>
      </c>
      <c r="CO4027" s="15" t="n">
        <v>197</v>
      </c>
      <c r="DK4027" s="15" t="n">
        <v>197</v>
      </c>
      <c r="EG4027" s="15" t="n">
        <v>197</v>
      </c>
      <c r="FC4027" s="15" t="n">
        <v>197</v>
      </c>
      <c r="FY4027" s="15" t="n">
        <v>197</v>
      </c>
      <c r="GU4027" s="15" t="n">
        <v>197</v>
      </c>
    </row>
    <row r="4028">
      <c r="C4028" s="15" t="n">
        <v>198</v>
      </c>
      <c r="AA4028" s="15" t="n">
        <v>198</v>
      </c>
      <c r="AW4028" s="15" t="n">
        <v>198</v>
      </c>
      <c r="BS4028" s="15" t="n">
        <v>198</v>
      </c>
      <c r="CO4028" s="15" t="n">
        <v>198</v>
      </c>
      <c r="DK4028" s="15" t="n">
        <v>198</v>
      </c>
      <c r="EG4028" s="15" t="n">
        <v>198</v>
      </c>
      <c r="FC4028" s="15" t="n">
        <v>198</v>
      </c>
      <c r="FY4028" s="15" t="n">
        <v>198</v>
      </c>
      <c r="GU4028" s="15" t="n">
        <v>198</v>
      </c>
    </row>
    <row r="4030">
      <c r="C4030" s="15" t="inlineStr">
        <is>
          <t>z(RLT)</t>
        </is>
      </c>
      <c r="D4030" s="15" t="n">
        <v>22</v>
      </c>
      <c r="E4030" s="15" t="n">
        <v>23</v>
      </c>
      <c r="F4030" s="15" t="n">
        <v>24</v>
      </c>
      <c r="AA4030" s="15" t="inlineStr">
        <is>
          <t>z(RLT)</t>
        </is>
      </c>
      <c r="AB4030" s="15" t="n">
        <v>22</v>
      </c>
      <c r="AC4030" s="15" t="n">
        <v>23</v>
      </c>
      <c r="AD4030" s="15" t="n">
        <v>24</v>
      </c>
      <c r="AW4030" s="15" t="inlineStr">
        <is>
          <t>z(RLT)</t>
        </is>
      </c>
      <c r="AX4030" s="15" t="n">
        <v>22</v>
      </c>
      <c r="AY4030" s="15" t="n">
        <v>23</v>
      </c>
      <c r="AZ4030" s="15" t="n">
        <v>24</v>
      </c>
      <c r="BS4030" s="15" t="inlineStr">
        <is>
          <t>z(RLT)</t>
        </is>
      </c>
      <c r="BT4030" s="15" t="n">
        <v>22</v>
      </c>
      <c r="BU4030" s="15" t="n">
        <v>23</v>
      </c>
      <c r="BV4030" s="15" t="n">
        <v>24</v>
      </c>
      <c r="CO4030" s="15" t="inlineStr">
        <is>
          <t>z(RLT)</t>
        </is>
      </c>
      <c r="CP4030" s="15" t="n">
        <v>22</v>
      </c>
      <c r="CQ4030" s="15" t="n">
        <v>23</v>
      </c>
      <c r="CR4030" s="15" t="n">
        <v>24</v>
      </c>
      <c r="DK4030" s="15" t="inlineStr">
        <is>
          <t>z(RLT)</t>
        </is>
      </c>
      <c r="DL4030" s="15" t="n">
        <v>22</v>
      </c>
      <c r="DM4030" s="15" t="n">
        <v>23</v>
      </c>
      <c r="DN4030" s="15" t="n">
        <v>24</v>
      </c>
      <c r="EG4030" s="15" t="inlineStr">
        <is>
          <t>z(RLT)</t>
        </is>
      </c>
      <c r="EH4030" s="15" t="n">
        <v>22</v>
      </c>
      <c r="EI4030" s="15" t="n">
        <v>23</v>
      </c>
      <c r="EJ4030" s="15" t="n">
        <v>24</v>
      </c>
      <c r="FC4030" s="15" t="inlineStr">
        <is>
          <t>z(RLT)</t>
        </is>
      </c>
      <c r="FD4030" s="15" t="n">
        <v>22</v>
      </c>
      <c r="FE4030" s="15" t="n">
        <v>23</v>
      </c>
      <c r="FF4030" s="15" t="n">
        <v>24</v>
      </c>
      <c r="FY4030" s="15" t="inlineStr">
        <is>
          <t>z(RLT)</t>
        </is>
      </c>
      <c r="FZ4030" s="15" t="n">
        <v>22</v>
      </c>
      <c r="GA4030" s="15" t="n">
        <v>23</v>
      </c>
      <c r="GB4030" s="15" t="n">
        <v>24</v>
      </c>
      <c r="GU4030" s="15" t="inlineStr">
        <is>
          <t>z(RLT)</t>
        </is>
      </c>
      <c r="GV4030" s="15" t="n">
        <v>22</v>
      </c>
      <c r="GW4030" s="15" t="n">
        <v>23</v>
      </c>
      <c r="GX4030" s="15" t="n">
        <v>24</v>
      </c>
    </row>
    <row r="4031">
      <c r="C4031" s="15" t="n">
        <v>9</v>
      </c>
      <c r="AA4031" s="15" t="n">
        <v>9</v>
      </c>
      <c r="AW4031" s="15" t="n">
        <v>9</v>
      </c>
      <c r="BS4031" s="15" t="n">
        <v>9</v>
      </c>
      <c r="CO4031" s="15" t="n">
        <v>9</v>
      </c>
      <c r="DK4031" s="15" t="n">
        <v>9</v>
      </c>
      <c r="EG4031" s="15" t="n">
        <v>9</v>
      </c>
      <c r="FC4031" s="15" t="n">
        <v>9</v>
      </c>
      <c r="FY4031" s="15" t="n">
        <v>9</v>
      </c>
      <c r="GU4031" s="15" t="n">
        <v>9</v>
      </c>
    </row>
    <row r="4032">
      <c r="C4032" s="15" t="n">
        <v>10</v>
      </c>
      <c r="AA4032" s="15" t="n">
        <v>10</v>
      </c>
      <c r="AW4032" s="15" t="n">
        <v>10</v>
      </c>
      <c r="BS4032" s="15" t="n">
        <v>10</v>
      </c>
      <c r="CO4032" s="15" t="n">
        <v>10</v>
      </c>
      <c r="DK4032" s="15" t="n">
        <v>10</v>
      </c>
      <c r="EG4032" s="15" t="n">
        <v>10</v>
      </c>
      <c r="FC4032" s="15" t="n">
        <v>10</v>
      </c>
      <c r="FY4032" s="15" t="n">
        <v>10</v>
      </c>
      <c r="GU4032" s="15" t="n">
        <v>10</v>
      </c>
    </row>
    <row r="4033">
      <c r="C4033" s="15" t="n">
        <v>11</v>
      </c>
      <c r="AA4033" s="15" t="n">
        <v>11</v>
      </c>
      <c r="AW4033" s="15" t="n">
        <v>11</v>
      </c>
      <c r="BS4033" s="15" t="n">
        <v>11</v>
      </c>
      <c r="CO4033" s="15" t="n">
        <v>11</v>
      </c>
      <c r="DK4033" s="15" t="n">
        <v>11</v>
      </c>
      <c r="EG4033" s="15" t="n">
        <v>11</v>
      </c>
      <c r="FC4033" s="15" t="n">
        <v>11</v>
      </c>
      <c r="FY4033" s="15" t="n">
        <v>11</v>
      </c>
      <c r="GU4033" s="15" t="n">
        <v>11</v>
      </c>
    </row>
    <row r="4034">
      <c r="C4034" s="15" t="n">
        <v>12</v>
      </c>
      <c r="AA4034" s="15" t="n">
        <v>12</v>
      </c>
      <c r="AW4034" s="15" t="n">
        <v>12</v>
      </c>
      <c r="BS4034" s="15" t="n">
        <v>12</v>
      </c>
      <c r="CO4034" s="15" t="n">
        <v>12</v>
      </c>
      <c r="DK4034" s="15" t="n">
        <v>12</v>
      </c>
      <c r="EG4034" s="15" t="n">
        <v>12</v>
      </c>
      <c r="FC4034" s="15" t="n">
        <v>12</v>
      </c>
      <c r="FY4034" s="15" t="n">
        <v>12</v>
      </c>
      <c r="GU4034" s="15" t="n">
        <v>12</v>
      </c>
    </row>
    <row r="4035">
      <c r="C4035" s="15" t="n">
        <v>13</v>
      </c>
      <c r="AA4035" s="15" t="n">
        <v>13</v>
      </c>
      <c r="AW4035" s="15" t="n">
        <v>13</v>
      </c>
      <c r="BS4035" s="15" t="n">
        <v>13</v>
      </c>
      <c r="CO4035" s="15" t="n">
        <v>13</v>
      </c>
      <c r="DK4035" s="15" t="n">
        <v>13</v>
      </c>
      <c r="EG4035" s="15" t="n">
        <v>13</v>
      </c>
      <c r="FC4035" s="15" t="n">
        <v>13</v>
      </c>
      <c r="FY4035" s="15" t="n">
        <v>13</v>
      </c>
      <c r="GU4035" s="15" t="n">
        <v>13</v>
      </c>
    </row>
    <row r="4036">
      <c r="C4036" s="15" t="n">
        <v>14</v>
      </c>
      <c r="AA4036" s="15" t="n">
        <v>14</v>
      </c>
      <c r="AW4036" s="15" t="n">
        <v>14</v>
      </c>
      <c r="BS4036" s="15" t="n">
        <v>14</v>
      </c>
      <c r="CO4036" s="15" t="n">
        <v>14</v>
      </c>
      <c r="DK4036" s="15" t="n">
        <v>14</v>
      </c>
      <c r="EG4036" s="15" t="n">
        <v>14</v>
      </c>
      <c r="FC4036" s="15" t="n">
        <v>14</v>
      </c>
      <c r="FY4036" s="15" t="n">
        <v>14</v>
      </c>
      <c r="GU4036" s="15" t="n">
        <v>14</v>
      </c>
    </row>
    <row r="4037">
      <c r="C4037" s="15" t="n">
        <v>15</v>
      </c>
      <c r="AA4037" s="15" t="n">
        <v>15</v>
      </c>
      <c r="AW4037" s="15" t="n">
        <v>15</v>
      </c>
      <c r="BS4037" s="15" t="n">
        <v>15</v>
      </c>
      <c r="CO4037" s="15" t="n">
        <v>15</v>
      </c>
      <c r="DK4037" s="15" t="n">
        <v>15</v>
      </c>
      <c r="EG4037" s="15" t="n">
        <v>15</v>
      </c>
      <c r="FC4037" s="15" t="n">
        <v>15</v>
      </c>
      <c r="FY4037" s="15" t="n">
        <v>15</v>
      </c>
      <c r="GU4037" s="15" t="n">
        <v>15</v>
      </c>
    </row>
    <row r="4038">
      <c r="C4038" s="15" t="n">
        <v>16</v>
      </c>
      <c r="AA4038" s="15" t="n">
        <v>16</v>
      </c>
      <c r="AW4038" s="15" t="n">
        <v>16</v>
      </c>
      <c r="BS4038" s="15" t="n">
        <v>16</v>
      </c>
      <c r="CO4038" s="15" t="n">
        <v>16</v>
      </c>
      <c r="DK4038" s="15" t="n">
        <v>16</v>
      </c>
      <c r="EG4038" s="15" t="n">
        <v>16</v>
      </c>
      <c r="FC4038" s="15" t="n">
        <v>16</v>
      </c>
      <c r="FY4038" s="15" t="n">
        <v>16</v>
      </c>
      <c r="GU4038" s="15" t="n">
        <v>16</v>
      </c>
    </row>
    <row r="4039">
      <c r="C4039" s="15" t="n">
        <v>17</v>
      </c>
      <c r="AA4039" s="15" t="n">
        <v>17</v>
      </c>
      <c r="AW4039" s="15" t="n">
        <v>17</v>
      </c>
      <c r="BS4039" s="15" t="n">
        <v>17</v>
      </c>
      <c r="CO4039" s="15" t="n">
        <v>17</v>
      </c>
      <c r="DK4039" s="15" t="n">
        <v>17</v>
      </c>
      <c r="EG4039" s="15" t="n">
        <v>17</v>
      </c>
      <c r="FC4039" s="15" t="n">
        <v>17</v>
      </c>
      <c r="FY4039" s="15" t="n">
        <v>17</v>
      </c>
      <c r="GU4039" s="15" t="n">
        <v>17</v>
      </c>
    </row>
    <row r="4040">
      <c r="C4040" s="15" t="n">
        <v>18</v>
      </c>
      <c r="AA4040" s="15" t="n">
        <v>18</v>
      </c>
      <c r="AW4040" s="15" t="n">
        <v>18</v>
      </c>
      <c r="BS4040" s="15" t="n">
        <v>18</v>
      </c>
      <c r="CO4040" s="15" t="n">
        <v>18</v>
      </c>
      <c r="DK4040" s="15" t="n">
        <v>18</v>
      </c>
      <c r="EG4040" s="15" t="n">
        <v>18</v>
      </c>
      <c r="FC4040" s="15" t="n">
        <v>18</v>
      </c>
      <c r="FY4040" s="15" t="n">
        <v>18</v>
      </c>
      <c r="GU4040" s="15" t="n">
        <v>18</v>
      </c>
    </row>
    <row r="4041">
      <c r="C4041" s="15" t="n">
        <v>19</v>
      </c>
      <c r="AA4041" s="15" t="n">
        <v>19</v>
      </c>
      <c r="AW4041" s="15" t="n">
        <v>19</v>
      </c>
      <c r="BS4041" s="15" t="n">
        <v>19</v>
      </c>
      <c r="CO4041" s="15" t="n">
        <v>19</v>
      </c>
      <c r="DK4041" s="15" t="n">
        <v>19</v>
      </c>
      <c r="EG4041" s="15" t="n">
        <v>19</v>
      </c>
      <c r="FC4041" s="15" t="n">
        <v>19</v>
      </c>
      <c r="FY4041" s="15" t="n">
        <v>19</v>
      </c>
      <c r="GU4041" s="15" t="n">
        <v>19</v>
      </c>
    </row>
    <row r="4042">
      <c r="C4042" s="15" t="n">
        <v>20</v>
      </c>
      <c r="AA4042" s="15" t="n">
        <v>20</v>
      </c>
      <c r="AW4042" s="15" t="n">
        <v>20</v>
      </c>
      <c r="BS4042" s="15" t="n">
        <v>20</v>
      </c>
      <c r="CO4042" s="15" t="n">
        <v>20</v>
      </c>
      <c r="DK4042" s="15" t="n">
        <v>20</v>
      </c>
      <c r="EG4042" s="15" t="n">
        <v>20</v>
      </c>
      <c r="FC4042" s="15" t="n">
        <v>20</v>
      </c>
      <c r="FY4042" s="15" t="n">
        <v>20</v>
      </c>
      <c r="GU4042" s="15" t="n">
        <v>20</v>
      </c>
    </row>
    <row r="4043">
      <c r="C4043" s="15" t="n">
        <v>21</v>
      </c>
      <c r="AA4043" s="15" t="n">
        <v>21</v>
      </c>
      <c r="AW4043" s="15" t="n">
        <v>21</v>
      </c>
      <c r="BS4043" s="15" t="n">
        <v>21</v>
      </c>
      <c r="CO4043" s="15" t="n">
        <v>21</v>
      </c>
      <c r="DK4043" s="15" t="n">
        <v>21</v>
      </c>
      <c r="EG4043" s="15" t="n">
        <v>21</v>
      </c>
      <c r="FC4043" s="15" t="n">
        <v>21</v>
      </c>
      <c r="FY4043" s="15" t="n">
        <v>21</v>
      </c>
      <c r="GU4043" s="15" t="n">
        <v>21</v>
      </c>
    </row>
    <row r="4044">
      <c r="C4044" s="15" t="n">
        <v>22</v>
      </c>
      <c r="AA4044" s="15" t="n">
        <v>22</v>
      </c>
      <c r="AW4044" s="15" t="n">
        <v>22</v>
      </c>
      <c r="BS4044" s="15" t="n">
        <v>22</v>
      </c>
      <c r="CO4044" s="15" t="n">
        <v>22</v>
      </c>
      <c r="DK4044" s="15" t="n">
        <v>22</v>
      </c>
      <c r="EG4044" s="15" t="n">
        <v>22</v>
      </c>
      <c r="FC4044" s="15" t="n">
        <v>22</v>
      </c>
      <c r="FY4044" s="15" t="n">
        <v>22</v>
      </c>
      <c r="GU4044" s="15" t="n">
        <v>22</v>
      </c>
    </row>
    <row r="4045">
      <c r="C4045" s="15" t="n">
        <v>23</v>
      </c>
      <c r="AA4045" s="15" t="n">
        <v>23</v>
      </c>
      <c r="AW4045" s="15" t="n">
        <v>23</v>
      </c>
      <c r="BS4045" s="15" t="n">
        <v>23</v>
      </c>
      <c r="CO4045" s="15" t="n">
        <v>23</v>
      </c>
      <c r="DK4045" s="15" t="n">
        <v>23</v>
      </c>
      <c r="EG4045" s="15" t="n">
        <v>23</v>
      </c>
      <c r="FC4045" s="15" t="n">
        <v>23</v>
      </c>
      <c r="FY4045" s="15" t="n">
        <v>23</v>
      </c>
      <c r="GU4045" s="15" t="n">
        <v>23</v>
      </c>
    </row>
    <row r="4046">
      <c r="C4046" s="15" t="n">
        <v>24</v>
      </c>
      <c r="AA4046" s="15" t="n">
        <v>24</v>
      </c>
      <c r="AW4046" s="15" t="n">
        <v>24</v>
      </c>
      <c r="BS4046" s="15" t="n">
        <v>24</v>
      </c>
      <c r="CO4046" s="15" t="n">
        <v>24</v>
      </c>
      <c r="DK4046" s="15" t="n">
        <v>24</v>
      </c>
      <c r="EG4046" s="15" t="n">
        <v>24</v>
      </c>
      <c r="FC4046" s="15" t="n">
        <v>24</v>
      </c>
      <c r="FY4046" s="15" t="n">
        <v>24</v>
      </c>
      <c r="GU4046" s="15" t="n">
        <v>24</v>
      </c>
    </row>
    <row r="4047">
      <c r="C4047" s="15" t="n">
        <v>25</v>
      </c>
      <c r="AA4047" s="15" t="n">
        <v>25</v>
      </c>
      <c r="AW4047" s="15" t="n">
        <v>25</v>
      </c>
      <c r="BS4047" s="15" t="n">
        <v>25</v>
      </c>
      <c r="CO4047" s="15" t="n">
        <v>25</v>
      </c>
      <c r="DK4047" s="15" t="n">
        <v>25</v>
      </c>
      <c r="EG4047" s="15" t="n">
        <v>25</v>
      </c>
      <c r="FC4047" s="15" t="n">
        <v>25</v>
      </c>
      <c r="FY4047" s="15" t="n">
        <v>25</v>
      </c>
      <c r="GU4047" s="15" t="n">
        <v>25</v>
      </c>
    </row>
    <row r="4048">
      <c r="C4048" s="15" t="n">
        <v>26</v>
      </c>
      <c r="AA4048" s="15" t="n">
        <v>26</v>
      </c>
      <c r="AW4048" s="15" t="n">
        <v>26</v>
      </c>
      <c r="BS4048" s="15" t="n">
        <v>26</v>
      </c>
      <c r="CO4048" s="15" t="n">
        <v>26</v>
      </c>
      <c r="DK4048" s="15" t="n">
        <v>26</v>
      </c>
      <c r="EG4048" s="15" t="n">
        <v>26</v>
      </c>
      <c r="FC4048" s="15" t="n">
        <v>26</v>
      </c>
      <c r="FY4048" s="15" t="n">
        <v>26</v>
      </c>
      <c r="GU4048" s="15" t="n">
        <v>26</v>
      </c>
    </row>
    <row r="4049">
      <c r="C4049" s="15" t="n">
        <v>27</v>
      </c>
      <c r="AA4049" s="15" t="n">
        <v>27</v>
      </c>
      <c r="AW4049" s="15" t="n">
        <v>27</v>
      </c>
      <c r="BS4049" s="15" t="n">
        <v>27</v>
      </c>
      <c r="CO4049" s="15" t="n">
        <v>27</v>
      </c>
      <c r="DK4049" s="15" t="n">
        <v>27</v>
      </c>
      <c r="EG4049" s="15" t="n">
        <v>27</v>
      </c>
      <c r="FC4049" s="15" t="n">
        <v>27</v>
      </c>
      <c r="FY4049" s="15" t="n">
        <v>27</v>
      </c>
      <c r="GU4049" s="15" t="n">
        <v>27</v>
      </c>
    </row>
    <row r="4050">
      <c r="C4050" s="15" t="n">
        <v>28</v>
      </c>
      <c r="AA4050" s="15" t="n">
        <v>28</v>
      </c>
      <c r="AW4050" s="15" t="n">
        <v>28</v>
      </c>
      <c r="BS4050" s="15" t="n">
        <v>28</v>
      </c>
      <c r="CO4050" s="15" t="n">
        <v>28</v>
      </c>
      <c r="DK4050" s="15" t="n">
        <v>28</v>
      </c>
      <c r="EG4050" s="15" t="n">
        <v>28</v>
      </c>
      <c r="FC4050" s="15" t="n">
        <v>28</v>
      </c>
      <c r="FY4050" s="15" t="n">
        <v>28</v>
      </c>
      <c r="GU4050" s="15" t="n">
        <v>28</v>
      </c>
    </row>
    <row r="4051">
      <c r="C4051" s="15" t="n">
        <v>29</v>
      </c>
      <c r="AA4051" s="15" t="n">
        <v>29</v>
      </c>
      <c r="AW4051" s="15" t="n">
        <v>29</v>
      </c>
      <c r="BS4051" s="15" t="n">
        <v>29</v>
      </c>
      <c r="CO4051" s="15" t="n">
        <v>29</v>
      </c>
      <c r="DK4051" s="15" t="n">
        <v>29</v>
      </c>
      <c r="EG4051" s="15" t="n">
        <v>29</v>
      </c>
      <c r="FC4051" s="15" t="n">
        <v>29</v>
      </c>
      <c r="FY4051" s="15" t="n">
        <v>29</v>
      </c>
      <c r="GU4051" s="15" t="n">
        <v>29</v>
      </c>
    </row>
    <row r="4052">
      <c r="C4052" s="15" t="n">
        <v>30</v>
      </c>
      <c r="AA4052" s="15" t="n">
        <v>30</v>
      </c>
      <c r="AW4052" s="15" t="n">
        <v>30</v>
      </c>
      <c r="BS4052" s="15" t="n">
        <v>30</v>
      </c>
      <c r="CO4052" s="15" t="n">
        <v>30</v>
      </c>
      <c r="DK4052" s="15" t="n">
        <v>30</v>
      </c>
      <c r="EG4052" s="15" t="n">
        <v>30</v>
      </c>
      <c r="FC4052" s="15" t="n">
        <v>30</v>
      </c>
      <c r="FY4052" s="15" t="n">
        <v>30</v>
      </c>
      <c r="GU4052" s="15" t="n">
        <v>30</v>
      </c>
    </row>
    <row r="4053">
      <c r="C4053" s="15" t="n">
        <v>31</v>
      </c>
      <c r="AA4053" s="15" t="n">
        <v>31</v>
      </c>
      <c r="AW4053" s="15" t="n">
        <v>31</v>
      </c>
      <c r="BS4053" s="15" t="n">
        <v>31</v>
      </c>
      <c r="CO4053" s="15" t="n">
        <v>31</v>
      </c>
      <c r="DK4053" s="15" t="n">
        <v>31</v>
      </c>
      <c r="EG4053" s="15" t="n">
        <v>31</v>
      </c>
      <c r="FC4053" s="15" t="n">
        <v>31</v>
      </c>
      <c r="FY4053" s="15" t="n">
        <v>31</v>
      </c>
      <c r="GU4053" s="15" t="n">
        <v>31</v>
      </c>
    </row>
    <row r="4054">
      <c r="C4054" s="15" t="n">
        <v>32</v>
      </c>
      <c r="AA4054" s="15" t="n">
        <v>32</v>
      </c>
      <c r="AW4054" s="15" t="n">
        <v>32</v>
      </c>
      <c r="BS4054" s="15" t="n">
        <v>32</v>
      </c>
      <c r="CO4054" s="15" t="n">
        <v>32</v>
      </c>
      <c r="DK4054" s="15" t="n">
        <v>32</v>
      </c>
      <c r="EG4054" s="15" t="n">
        <v>32</v>
      </c>
      <c r="FC4054" s="15" t="n">
        <v>32</v>
      </c>
      <c r="FY4054" s="15" t="n">
        <v>32</v>
      </c>
      <c r="GU4054" s="15" t="n">
        <v>32</v>
      </c>
    </row>
    <row r="4055">
      <c r="C4055" s="15" t="n">
        <v>33</v>
      </c>
      <c r="AA4055" s="15" t="n">
        <v>33</v>
      </c>
      <c r="AW4055" s="15" t="n">
        <v>33</v>
      </c>
      <c r="BS4055" s="15" t="n">
        <v>33</v>
      </c>
      <c r="CO4055" s="15" t="n">
        <v>33</v>
      </c>
      <c r="DK4055" s="15" t="n">
        <v>33</v>
      </c>
      <c r="EG4055" s="15" t="n">
        <v>33</v>
      </c>
      <c r="FC4055" s="15" t="n">
        <v>33</v>
      </c>
      <c r="FY4055" s="15" t="n">
        <v>33</v>
      </c>
      <c r="GU4055" s="15" t="n">
        <v>33</v>
      </c>
    </row>
    <row r="4056">
      <c r="C4056" s="15" t="n">
        <v>34</v>
      </c>
      <c r="AA4056" s="15" t="n">
        <v>34</v>
      </c>
      <c r="AW4056" s="15" t="n">
        <v>34</v>
      </c>
      <c r="BS4056" s="15" t="n">
        <v>34</v>
      </c>
      <c r="CO4056" s="15" t="n">
        <v>34</v>
      </c>
      <c r="DK4056" s="15" t="n">
        <v>34</v>
      </c>
      <c r="EG4056" s="15" t="n">
        <v>34</v>
      </c>
      <c r="FC4056" s="15" t="n">
        <v>34</v>
      </c>
      <c r="FY4056" s="15" t="n">
        <v>34</v>
      </c>
      <c r="GU4056" s="15" t="n">
        <v>34</v>
      </c>
    </row>
    <row r="4057">
      <c r="C4057" s="15" t="n">
        <v>35</v>
      </c>
      <c r="AA4057" s="15" t="n">
        <v>35</v>
      </c>
      <c r="AW4057" s="15" t="n">
        <v>35</v>
      </c>
      <c r="BS4057" s="15" t="n">
        <v>35</v>
      </c>
      <c r="CO4057" s="15" t="n">
        <v>35</v>
      </c>
      <c r="DK4057" s="15" t="n">
        <v>35</v>
      </c>
      <c r="EG4057" s="15" t="n">
        <v>35</v>
      </c>
      <c r="FC4057" s="15" t="n">
        <v>35</v>
      </c>
      <c r="FY4057" s="15" t="n">
        <v>35</v>
      </c>
      <c r="GU4057" s="15" t="n">
        <v>35</v>
      </c>
    </row>
    <row r="4058">
      <c r="C4058" s="15" t="n">
        <v>36</v>
      </c>
      <c r="AA4058" s="15" t="n">
        <v>36</v>
      </c>
      <c r="AW4058" s="15" t="n">
        <v>36</v>
      </c>
      <c r="BS4058" s="15" t="n">
        <v>36</v>
      </c>
      <c r="CO4058" s="15" t="n">
        <v>36</v>
      </c>
      <c r="DK4058" s="15" t="n">
        <v>36</v>
      </c>
      <c r="EG4058" s="15" t="n">
        <v>36</v>
      </c>
      <c r="FC4058" s="15" t="n">
        <v>36</v>
      </c>
      <c r="FY4058" s="15" t="n">
        <v>36</v>
      </c>
      <c r="GU4058" s="15" t="n">
        <v>36</v>
      </c>
    </row>
    <row r="4059">
      <c r="C4059" s="15" t="n">
        <v>37</v>
      </c>
      <c r="AA4059" s="15" t="n">
        <v>37</v>
      </c>
      <c r="AW4059" s="15" t="n">
        <v>37</v>
      </c>
      <c r="BS4059" s="15" t="n">
        <v>37</v>
      </c>
      <c r="CO4059" s="15" t="n">
        <v>37</v>
      </c>
      <c r="DK4059" s="15" t="n">
        <v>37</v>
      </c>
      <c r="EG4059" s="15" t="n">
        <v>37</v>
      </c>
      <c r="FC4059" s="15" t="n">
        <v>37</v>
      </c>
      <c r="FY4059" s="15" t="n">
        <v>37</v>
      </c>
      <c r="GU4059" s="15" t="n">
        <v>37</v>
      </c>
    </row>
    <row r="4060">
      <c r="C4060" s="15" t="n">
        <v>38</v>
      </c>
      <c r="AA4060" s="15" t="n">
        <v>38</v>
      </c>
      <c r="AW4060" s="15" t="n">
        <v>38</v>
      </c>
      <c r="BS4060" s="15" t="n">
        <v>38</v>
      </c>
      <c r="CO4060" s="15" t="n">
        <v>38</v>
      </c>
      <c r="DK4060" s="15" t="n">
        <v>38</v>
      </c>
      <c r="EG4060" s="15" t="n">
        <v>38</v>
      </c>
      <c r="FC4060" s="15" t="n">
        <v>38</v>
      </c>
      <c r="FY4060" s="15" t="n">
        <v>38</v>
      </c>
      <c r="GU4060" s="15" t="n">
        <v>38</v>
      </c>
    </row>
    <row r="4061">
      <c r="C4061" s="15" t="n">
        <v>39</v>
      </c>
      <c r="AA4061" s="15" t="n">
        <v>39</v>
      </c>
      <c r="AW4061" s="15" t="n">
        <v>39</v>
      </c>
      <c r="BS4061" s="15" t="n">
        <v>39</v>
      </c>
      <c r="CO4061" s="15" t="n">
        <v>39</v>
      </c>
      <c r="DK4061" s="15" t="n">
        <v>39</v>
      </c>
      <c r="EG4061" s="15" t="n">
        <v>39</v>
      </c>
      <c r="FC4061" s="15" t="n">
        <v>39</v>
      </c>
      <c r="FY4061" s="15" t="n">
        <v>39</v>
      </c>
      <c r="GU4061" s="15" t="n">
        <v>39</v>
      </c>
    </row>
    <row r="4062">
      <c r="C4062" s="15" t="n">
        <v>40</v>
      </c>
      <c r="AA4062" s="15" t="n">
        <v>40</v>
      </c>
      <c r="AW4062" s="15" t="n">
        <v>40</v>
      </c>
      <c r="BS4062" s="15" t="n">
        <v>40</v>
      </c>
      <c r="CO4062" s="15" t="n">
        <v>40</v>
      </c>
      <c r="DK4062" s="15" t="n">
        <v>40</v>
      </c>
      <c r="EG4062" s="15" t="n">
        <v>40</v>
      </c>
      <c r="FC4062" s="15" t="n">
        <v>40</v>
      </c>
      <c r="FY4062" s="15" t="n">
        <v>40</v>
      </c>
      <c r="GU4062" s="15" t="n">
        <v>40</v>
      </c>
    </row>
    <row r="4063">
      <c r="C4063" s="15" t="n">
        <v>41</v>
      </c>
      <c r="AA4063" s="15" t="n">
        <v>41</v>
      </c>
      <c r="AW4063" s="15" t="n">
        <v>41</v>
      </c>
      <c r="BS4063" s="15" t="n">
        <v>41</v>
      </c>
      <c r="CO4063" s="15" t="n">
        <v>41</v>
      </c>
      <c r="DK4063" s="15" t="n">
        <v>41</v>
      </c>
      <c r="EG4063" s="15" t="n">
        <v>41</v>
      </c>
      <c r="FC4063" s="15" t="n">
        <v>41</v>
      </c>
      <c r="FY4063" s="15" t="n">
        <v>41</v>
      </c>
      <c r="GU4063" s="15" t="n">
        <v>41</v>
      </c>
    </row>
    <row r="4064">
      <c r="C4064" s="15" t="n">
        <v>42</v>
      </c>
      <c r="AA4064" s="15" t="n">
        <v>42</v>
      </c>
      <c r="AW4064" s="15" t="n">
        <v>42</v>
      </c>
      <c r="BS4064" s="15" t="n">
        <v>42</v>
      </c>
      <c r="CO4064" s="15" t="n">
        <v>42</v>
      </c>
      <c r="DK4064" s="15" t="n">
        <v>42</v>
      </c>
      <c r="EG4064" s="15" t="n">
        <v>42</v>
      </c>
      <c r="FC4064" s="15" t="n">
        <v>42</v>
      </c>
      <c r="FY4064" s="15" t="n">
        <v>42</v>
      </c>
      <c r="GU4064" s="15" t="n">
        <v>42</v>
      </c>
    </row>
    <row r="4065">
      <c r="C4065" s="15" t="n">
        <v>43</v>
      </c>
      <c r="AA4065" s="15" t="n">
        <v>43</v>
      </c>
      <c r="AW4065" s="15" t="n">
        <v>43</v>
      </c>
      <c r="BS4065" s="15" t="n">
        <v>43</v>
      </c>
      <c r="CO4065" s="15" t="n">
        <v>43</v>
      </c>
      <c r="DK4065" s="15" t="n">
        <v>43</v>
      </c>
      <c r="EG4065" s="15" t="n">
        <v>43</v>
      </c>
      <c r="FC4065" s="15" t="n">
        <v>43</v>
      </c>
      <c r="FY4065" s="15" t="n">
        <v>43</v>
      </c>
      <c r="GU4065" s="15" t="n">
        <v>43</v>
      </c>
    </row>
    <row r="4066">
      <c r="C4066" s="15" t="n">
        <v>44</v>
      </c>
      <c r="AA4066" s="15" t="n">
        <v>44</v>
      </c>
      <c r="AW4066" s="15" t="n">
        <v>44</v>
      </c>
      <c r="BS4066" s="15" t="n">
        <v>44</v>
      </c>
      <c r="CO4066" s="15" t="n">
        <v>44</v>
      </c>
      <c r="DK4066" s="15" t="n">
        <v>44</v>
      </c>
      <c r="EG4066" s="15" t="n">
        <v>44</v>
      </c>
      <c r="FC4066" s="15" t="n">
        <v>44</v>
      </c>
      <c r="FY4066" s="15" t="n">
        <v>44</v>
      </c>
      <c r="GU4066" s="15" t="n">
        <v>44</v>
      </c>
    </row>
    <row r="4067">
      <c r="C4067" s="15" t="n">
        <v>45</v>
      </c>
      <c r="AA4067" s="15" t="n">
        <v>45</v>
      </c>
      <c r="AW4067" s="15" t="n">
        <v>45</v>
      </c>
      <c r="BS4067" s="15" t="n">
        <v>45</v>
      </c>
      <c r="CO4067" s="15" t="n">
        <v>45</v>
      </c>
      <c r="DK4067" s="15" t="n">
        <v>45</v>
      </c>
      <c r="EG4067" s="15" t="n">
        <v>45</v>
      </c>
      <c r="FC4067" s="15" t="n">
        <v>45</v>
      </c>
      <c r="FY4067" s="15" t="n">
        <v>45</v>
      </c>
      <c r="GU4067" s="15" t="n">
        <v>45</v>
      </c>
    </row>
    <row r="4068">
      <c r="C4068" s="15" t="n">
        <v>46</v>
      </c>
      <c r="AA4068" s="15" t="n">
        <v>46</v>
      </c>
      <c r="AW4068" s="15" t="n">
        <v>46</v>
      </c>
      <c r="BS4068" s="15" t="n">
        <v>46</v>
      </c>
      <c r="CO4068" s="15" t="n">
        <v>46</v>
      </c>
      <c r="DK4068" s="15" t="n">
        <v>46</v>
      </c>
      <c r="EG4068" s="15" t="n">
        <v>46</v>
      </c>
      <c r="FC4068" s="15" t="n">
        <v>46</v>
      </c>
      <c r="FY4068" s="15" t="n">
        <v>46</v>
      </c>
      <c r="GU4068" s="15" t="n">
        <v>46</v>
      </c>
    </row>
    <row r="4069">
      <c r="C4069" s="15" t="n">
        <v>47</v>
      </c>
      <c r="AA4069" s="15" t="n">
        <v>47</v>
      </c>
      <c r="AW4069" s="15" t="n">
        <v>47</v>
      </c>
      <c r="BS4069" s="15" t="n">
        <v>47</v>
      </c>
      <c r="CO4069" s="15" t="n">
        <v>47</v>
      </c>
      <c r="DK4069" s="15" t="n">
        <v>47</v>
      </c>
      <c r="EG4069" s="15" t="n">
        <v>47</v>
      </c>
      <c r="FC4069" s="15" t="n">
        <v>47</v>
      </c>
      <c r="FY4069" s="15" t="n">
        <v>47</v>
      </c>
      <c r="GU4069" s="15" t="n">
        <v>47</v>
      </c>
    </row>
    <row r="4070">
      <c r="C4070" s="15" t="n">
        <v>48</v>
      </c>
      <c r="AA4070" s="15" t="n">
        <v>48</v>
      </c>
      <c r="AW4070" s="15" t="n">
        <v>48</v>
      </c>
      <c r="BS4070" s="15" t="n">
        <v>48</v>
      </c>
      <c r="CO4070" s="15" t="n">
        <v>48</v>
      </c>
      <c r="DK4070" s="15" t="n">
        <v>48</v>
      </c>
      <c r="EG4070" s="15" t="n">
        <v>48</v>
      </c>
      <c r="FC4070" s="15" t="n">
        <v>48</v>
      </c>
      <c r="FY4070" s="15" t="n">
        <v>48</v>
      </c>
      <c r="GU4070" s="15" t="n">
        <v>48</v>
      </c>
    </row>
    <row r="4071">
      <c r="C4071" s="15" t="n">
        <v>49</v>
      </c>
      <c r="AA4071" s="15" t="n">
        <v>49</v>
      </c>
      <c r="AW4071" s="15" t="n">
        <v>49</v>
      </c>
      <c r="BS4071" s="15" t="n">
        <v>49</v>
      </c>
      <c r="CO4071" s="15" t="n">
        <v>49</v>
      </c>
      <c r="DK4071" s="15" t="n">
        <v>49</v>
      </c>
      <c r="EG4071" s="15" t="n">
        <v>49</v>
      </c>
      <c r="FC4071" s="15" t="n">
        <v>49</v>
      </c>
      <c r="FY4071" s="15" t="n">
        <v>49</v>
      </c>
      <c r="GU4071" s="15" t="n">
        <v>49</v>
      </c>
    </row>
    <row r="4072">
      <c r="C4072" s="15" t="n">
        <v>50</v>
      </c>
      <c r="AA4072" s="15" t="n">
        <v>50</v>
      </c>
      <c r="AW4072" s="15" t="n">
        <v>50</v>
      </c>
      <c r="BS4072" s="15" t="n">
        <v>50</v>
      </c>
      <c r="CO4072" s="15" t="n">
        <v>50</v>
      </c>
      <c r="DK4072" s="15" t="n">
        <v>50</v>
      </c>
      <c r="EG4072" s="15" t="n">
        <v>50</v>
      </c>
      <c r="FC4072" s="15" t="n">
        <v>50</v>
      </c>
      <c r="FY4072" s="15" t="n">
        <v>50</v>
      </c>
      <c r="GU4072" s="15" t="n">
        <v>50</v>
      </c>
    </row>
    <row r="4073">
      <c r="C4073" s="15" t="n">
        <v>51</v>
      </c>
      <c r="AA4073" s="15" t="n">
        <v>51</v>
      </c>
      <c r="AW4073" s="15" t="n">
        <v>51</v>
      </c>
      <c r="BS4073" s="15" t="n">
        <v>51</v>
      </c>
      <c r="CO4073" s="15" t="n">
        <v>51</v>
      </c>
      <c r="DK4073" s="15" t="n">
        <v>51</v>
      </c>
      <c r="EG4073" s="15" t="n">
        <v>51</v>
      </c>
      <c r="FC4073" s="15" t="n">
        <v>51</v>
      </c>
      <c r="FY4073" s="15" t="n">
        <v>51</v>
      </c>
      <c r="GU4073" s="15" t="n">
        <v>51</v>
      </c>
    </row>
    <row r="4074">
      <c r="C4074" s="15" t="n">
        <v>52</v>
      </c>
      <c r="AA4074" s="15" t="n">
        <v>52</v>
      </c>
      <c r="AW4074" s="15" t="n">
        <v>52</v>
      </c>
      <c r="BS4074" s="15" t="n">
        <v>52</v>
      </c>
      <c r="CO4074" s="15" t="n">
        <v>52</v>
      </c>
      <c r="DK4074" s="15" t="n">
        <v>52</v>
      </c>
      <c r="EG4074" s="15" t="n">
        <v>52</v>
      </c>
      <c r="FC4074" s="15" t="n">
        <v>52</v>
      </c>
      <c r="FY4074" s="15" t="n">
        <v>52</v>
      </c>
      <c r="GU4074" s="15" t="n">
        <v>52</v>
      </c>
    </row>
    <row r="4075">
      <c r="C4075" s="15" t="n">
        <v>53</v>
      </c>
      <c r="AA4075" s="15" t="n">
        <v>53</v>
      </c>
      <c r="AW4075" s="15" t="n">
        <v>53</v>
      </c>
      <c r="BS4075" s="15" t="n">
        <v>53</v>
      </c>
      <c r="CO4075" s="15" t="n">
        <v>53</v>
      </c>
      <c r="DK4075" s="15" t="n">
        <v>53</v>
      </c>
      <c r="EG4075" s="15" t="n">
        <v>53</v>
      </c>
      <c r="FC4075" s="15" t="n">
        <v>53</v>
      </c>
      <c r="FY4075" s="15" t="n">
        <v>53</v>
      </c>
      <c r="GU4075" s="15" t="n">
        <v>53</v>
      </c>
    </row>
    <row r="4076">
      <c r="C4076" s="15" t="n">
        <v>54</v>
      </c>
      <c r="AA4076" s="15" t="n">
        <v>54</v>
      </c>
      <c r="AW4076" s="15" t="n">
        <v>54</v>
      </c>
      <c r="BS4076" s="15" t="n">
        <v>54</v>
      </c>
      <c r="CO4076" s="15" t="n">
        <v>54</v>
      </c>
      <c r="DK4076" s="15" t="n">
        <v>54</v>
      </c>
      <c r="EG4076" s="15" t="n">
        <v>54</v>
      </c>
      <c r="FC4076" s="15" t="n">
        <v>54</v>
      </c>
      <c r="FY4076" s="15" t="n">
        <v>54</v>
      </c>
      <c r="GU4076" s="15" t="n">
        <v>54</v>
      </c>
    </row>
    <row r="4077">
      <c r="C4077" s="15" t="n">
        <v>55</v>
      </c>
      <c r="AA4077" s="15" t="n">
        <v>55</v>
      </c>
      <c r="AW4077" s="15" t="n">
        <v>55</v>
      </c>
      <c r="BS4077" s="15" t="n">
        <v>55</v>
      </c>
      <c r="CO4077" s="15" t="n">
        <v>55</v>
      </c>
      <c r="DK4077" s="15" t="n">
        <v>55</v>
      </c>
      <c r="EG4077" s="15" t="n">
        <v>55</v>
      </c>
      <c r="FC4077" s="15" t="n">
        <v>55</v>
      </c>
      <c r="FY4077" s="15" t="n">
        <v>55</v>
      </c>
      <c r="GU4077" s="15" t="n">
        <v>55</v>
      </c>
    </row>
    <row r="4078">
      <c r="C4078" s="15" t="n">
        <v>56</v>
      </c>
      <c r="AA4078" s="15" t="n">
        <v>56</v>
      </c>
      <c r="AW4078" s="15" t="n">
        <v>56</v>
      </c>
      <c r="BS4078" s="15" t="n">
        <v>56</v>
      </c>
      <c r="CO4078" s="15" t="n">
        <v>56</v>
      </c>
      <c r="DK4078" s="15" t="n">
        <v>56</v>
      </c>
      <c r="EG4078" s="15" t="n">
        <v>56</v>
      </c>
      <c r="FC4078" s="15" t="n">
        <v>56</v>
      </c>
      <c r="FY4078" s="15" t="n">
        <v>56</v>
      </c>
      <c r="GU4078" s="15" t="n">
        <v>56</v>
      </c>
    </row>
    <row r="4079">
      <c r="C4079" s="15" t="n">
        <v>57</v>
      </c>
      <c r="AA4079" s="15" t="n">
        <v>57</v>
      </c>
      <c r="AW4079" s="15" t="n">
        <v>57</v>
      </c>
      <c r="BS4079" s="15" t="n">
        <v>57</v>
      </c>
      <c r="CO4079" s="15" t="n">
        <v>57</v>
      </c>
      <c r="DK4079" s="15" t="n">
        <v>57</v>
      </c>
      <c r="EG4079" s="15" t="n">
        <v>57</v>
      </c>
      <c r="FC4079" s="15" t="n">
        <v>57</v>
      </c>
      <c r="FY4079" s="15" t="n">
        <v>57</v>
      </c>
      <c r="GU4079" s="15" t="n">
        <v>57</v>
      </c>
    </row>
    <row r="4080">
      <c r="C4080" s="15" t="n">
        <v>58</v>
      </c>
      <c r="AA4080" s="15" t="n">
        <v>58</v>
      </c>
      <c r="AW4080" s="15" t="n">
        <v>58</v>
      </c>
      <c r="BS4080" s="15" t="n">
        <v>58</v>
      </c>
      <c r="CO4080" s="15" t="n">
        <v>58</v>
      </c>
      <c r="DK4080" s="15" t="n">
        <v>58</v>
      </c>
      <c r="EG4080" s="15" t="n">
        <v>58</v>
      </c>
      <c r="FC4080" s="15" t="n">
        <v>58</v>
      </c>
      <c r="FY4080" s="15" t="n">
        <v>58</v>
      </c>
      <c r="GU4080" s="15" t="n">
        <v>58</v>
      </c>
    </row>
    <row r="4081">
      <c r="C4081" s="15" t="n">
        <v>59</v>
      </c>
      <c r="AA4081" s="15" t="n">
        <v>59</v>
      </c>
      <c r="AW4081" s="15" t="n">
        <v>59</v>
      </c>
      <c r="BS4081" s="15" t="n">
        <v>59</v>
      </c>
      <c r="CO4081" s="15" t="n">
        <v>59</v>
      </c>
      <c r="DK4081" s="15" t="n">
        <v>59</v>
      </c>
      <c r="EG4081" s="15" t="n">
        <v>59</v>
      </c>
      <c r="FC4081" s="15" t="n">
        <v>59</v>
      </c>
      <c r="FY4081" s="15" t="n">
        <v>59</v>
      </c>
      <c r="GU4081" s="15" t="n">
        <v>59</v>
      </c>
    </row>
    <row r="4082">
      <c r="C4082" s="15" t="n">
        <v>60</v>
      </c>
      <c r="AA4082" s="15" t="n">
        <v>60</v>
      </c>
      <c r="AW4082" s="15" t="n">
        <v>60</v>
      </c>
      <c r="BS4082" s="15" t="n">
        <v>60</v>
      </c>
      <c r="CO4082" s="15" t="n">
        <v>60</v>
      </c>
      <c r="DK4082" s="15" t="n">
        <v>60</v>
      </c>
      <c r="EG4082" s="15" t="n">
        <v>60</v>
      </c>
      <c r="FC4082" s="15" t="n">
        <v>60</v>
      </c>
      <c r="FY4082" s="15" t="n">
        <v>60</v>
      </c>
      <c r="GU4082" s="15" t="n">
        <v>60</v>
      </c>
    </row>
    <row r="4083">
      <c r="C4083" s="15" t="n">
        <v>61</v>
      </c>
      <c r="AA4083" s="15" t="n">
        <v>61</v>
      </c>
      <c r="AW4083" s="15" t="n">
        <v>61</v>
      </c>
      <c r="BS4083" s="15" t="n">
        <v>61</v>
      </c>
      <c r="CO4083" s="15" t="n">
        <v>61</v>
      </c>
      <c r="DK4083" s="15" t="n">
        <v>61</v>
      </c>
      <c r="EG4083" s="15" t="n">
        <v>61</v>
      </c>
      <c r="FC4083" s="15" t="n">
        <v>61</v>
      </c>
      <c r="FY4083" s="15" t="n">
        <v>61</v>
      </c>
      <c r="GU4083" s="15" t="n">
        <v>61</v>
      </c>
    </row>
    <row r="4084">
      <c r="C4084" s="15" t="n">
        <v>62</v>
      </c>
      <c r="AA4084" s="15" t="n">
        <v>62</v>
      </c>
      <c r="AW4084" s="15" t="n">
        <v>62</v>
      </c>
      <c r="BS4084" s="15" t="n">
        <v>62</v>
      </c>
      <c r="CO4084" s="15" t="n">
        <v>62</v>
      </c>
      <c r="DK4084" s="15" t="n">
        <v>62</v>
      </c>
      <c r="EG4084" s="15" t="n">
        <v>62</v>
      </c>
      <c r="FC4084" s="15" t="n">
        <v>62</v>
      </c>
      <c r="FY4084" s="15" t="n">
        <v>62</v>
      </c>
      <c r="GU4084" s="15" t="n">
        <v>62</v>
      </c>
    </row>
    <row r="4085">
      <c r="C4085" s="15" t="n">
        <v>63</v>
      </c>
      <c r="AA4085" s="15" t="n">
        <v>63</v>
      </c>
      <c r="AW4085" s="15" t="n">
        <v>63</v>
      </c>
      <c r="BS4085" s="15" t="n">
        <v>63</v>
      </c>
      <c r="CO4085" s="15" t="n">
        <v>63</v>
      </c>
      <c r="DK4085" s="15" t="n">
        <v>63</v>
      </c>
      <c r="EG4085" s="15" t="n">
        <v>63</v>
      </c>
      <c r="FC4085" s="15" t="n">
        <v>63</v>
      </c>
      <c r="FY4085" s="15" t="n">
        <v>63</v>
      </c>
      <c r="GU4085" s="15" t="n">
        <v>63</v>
      </c>
    </row>
    <row r="4086">
      <c r="C4086" s="15" t="n">
        <v>64</v>
      </c>
      <c r="AA4086" s="15" t="n">
        <v>64</v>
      </c>
      <c r="AW4086" s="15" t="n">
        <v>64</v>
      </c>
      <c r="BS4086" s="15" t="n">
        <v>64</v>
      </c>
      <c r="CO4086" s="15" t="n">
        <v>64</v>
      </c>
      <c r="DK4086" s="15" t="n">
        <v>64</v>
      </c>
      <c r="EG4086" s="15" t="n">
        <v>64</v>
      </c>
      <c r="FC4086" s="15" t="n">
        <v>64</v>
      </c>
      <c r="FY4086" s="15" t="n">
        <v>64</v>
      </c>
      <c r="GU4086" s="15" t="n">
        <v>64</v>
      </c>
    </row>
    <row r="4087">
      <c r="C4087" s="15" t="n">
        <v>65</v>
      </c>
      <c r="AA4087" s="15" t="n">
        <v>65</v>
      </c>
      <c r="AW4087" s="15" t="n">
        <v>65</v>
      </c>
      <c r="BS4087" s="15" t="n">
        <v>65</v>
      </c>
      <c r="CO4087" s="15" t="n">
        <v>65</v>
      </c>
      <c r="DK4087" s="15" t="n">
        <v>65</v>
      </c>
      <c r="EG4087" s="15" t="n">
        <v>65</v>
      </c>
      <c r="FC4087" s="15" t="n">
        <v>65</v>
      </c>
      <c r="FY4087" s="15" t="n">
        <v>65</v>
      </c>
      <c r="GU4087" s="15" t="n">
        <v>65</v>
      </c>
    </row>
    <row r="4088">
      <c r="C4088" s="15" t="n">
        <v>66</v>
      </c>
      <c r="AA4088" s="15" t="n">
        <v>66</v>
      </c>
      <c r="AW4088" s="15" t="n">
        <v>66</v>
      </c>
      <c r="BS4088" s="15" t="n">
        <v>66</v>
      </c>
      <c r="CO4088" s="15" t="n">
        <v>66</v>
      </c>
      <c r="DK4088" s="15" t="n">
        <v>66</v>
      </c>
      <c r="EG4088" s="15" t="n">
        <v>66</v>
      </c>
      <c r="FC4088" s="15" t="n">
        <v>66</v>
      </c>
      <c r="FY4088" s="15" t="n">
        <v>66</v>
      </c>
      <c r="GU4088" s="15" t="n">
        <v>66</v>
      </c>
    </row>
    <row r="4089">
      <c r="C4089" s="15" t="n">
        <v>67</v>
      </c>
      <c r="AA4089" s="15" t="n">
        <v>67</v>
      </c>
      <c r="AW4089" s="15" t="n">
        <v>67</v>
      </c>
      <c r="BS4089" s="15" t="n">
        <v>67</v>
      </c>
      <c r="CO4089" s="15" t="n">
        <v>67</v>
      </c>
      <c r="DK4089" s="15" t="n">
        <v>67</v>
      </c>
      <c r="EG4089" s="15" t="n">
        <v>67</v>
      </c>
      <c r="FC4089" s="15" t="n">
        <v>67</v>
      </c>
      <c r="FY4089" s="15" t="n">
        <v>67</v>
      </c>
      <c r="GU4089" s="15" t="n">
        <v>67</v>
      </c>
    </row>
    <row r="4090">
      <c r="C4090" s="15" t="n">
        <v>68</v>
      </c>
      <c r="AA4090" s="15" t="n">
        <v>68</v>
      </c>
      <c r="AW4090" s="15" t="n">
        <v>68</v>
      </c>
      <c r="BS4090" s="15" t="n">
        <v>68</v>
      </c>
      <c r="CO4090" s="15" t="n">
        <v>68</v>
      </c>
      <c r="DK4090" s="15" t="n">
        <v>68</v>
      </c>
      <c r="EG4090" s="15" t="n">
        <v>68</v>
      </c>
      <c r="FC4090" s="15" t="n">
        <v>68</v>
      </c>
      <c r="FY4090" s="15" t="n">
        <v>68</v>
      </c>
      <c r="GU4090" s="15" t="n">
        <v>68</v>
      </c>
    </row>
    <row r="4091">
      <c r="C4091" s="15" t="n">
        <v>69</v>
      </c>
      <c r="AA4091" s="15" t="n">
        <v>69</v>
      </c>
      <c r="AW4091" s="15" t="n">
        <v>69</v>
      </c>
      <c r="BS4091" s="15" t="n">
        <v>69</v>
      </c>
      <c r="CO4091" s="15" t="n">
        <v>69</v>
      </c>
      <c r="DK4091" s="15" t="n">
        <v>69</v>
      </c>
      <c r="EG4091" s="15" t="n">
        <v>69</v>
      </c>
      <c r="FC4091" s="15" t="n">
        <v>69</v>
      </c>
      <c r="FY4091" s="15" t="n">
        <v>69</v>
      </c>
      <c r="GU4091" s="15" t="n">
        <v>69</v>
      </c>
    </row>
    <row r="4092">
      <c r="C4092" s="15" t="n">
        <v>70</v>
      </c>
      <c r="AA4092" s="15" t="n">
        <v>70</v>
      </c>
      <c r="AW4092" s="15" t="n">
        <v>70</v>
      </c>
      <c r="BS4092" s="15" t="n">
        <v>70</v>
      </c>
      <c r="CO4092" s="15" t="n">
        <v>70</v>
      </c>
      <c r="DK4092" s="15" t="n">
        <v>70</v>
      </c>
      <c r="EG4092" s="15" t="n">
        <v>70</v>
      </c>
      <c r="FC4092" s="15" t="n">
        <v>70</v>
      </c>
      <c r="FY4092" s="15" t="n">
        <v>70</v>
      </c>
      <c r="GU4092" s="15" t="n">
        <v>70</v>
      </c>
    </row>
    <row r="4093">
      <c r="C4093" s="15" t="n">
        <v>71</v>
      </c>
      <c r="AA4093" s="15" t="n">
        <v>71</v>
      </c>
      <c r="AW4093" s="15" t="n">
        <v>71</v>
      </c>
      <c r="BS4093" s="15" t="n">
        <v>71</v>
      </c>
      <c r="CO4093" s="15" t="n">
        <v>71</v>
      </c>
      <c r="DK4093" s="15" t="n">
        <v>71</v>
      </c>
      <c r="EG4093" s="15" t="n">
        <v>71</v>
      </c>
      <c r="FC4093" s="15" t="n">
        <v>71</v>
      </c>
      <c r="FY4093" s="15" t="n">
        <v>71</v>
      </c>
      <c r="GU4093" s="15" t="n">
        <v>71</v>
      </c>
    </row>
    <row r="4094">
      <c r="C4094" s="15" t="n">
        <v>72</v>
      </c>
      <c r="AA4094" s="15" t="n">
        <v>72</v>
      </c>
      <c r="AW4094" s="15" t="n">
        <v>72</v>
      </c>
      <c r="BS4094" s="15" t="n">
        <v>72</v>
      </c>
      <c r="CO4094" s="15" t="n">
        <v>72</v>
      </c>
      <c r="DK4094" s="15" t="n">
        <v>72</v>
      </c>
      <c r="EG4094" s="15" t="n">
        <v>72</v>
      </c>
      <c r="FC4094" s="15" t="n">
        <v>72</v>
      </c>
      <c r="FY4094" s="15" t="n">
        <v>72</v>
      </c>
      <c r="GU4094" s="15" t="n">
        <v>72</v>
      </c>
    </row>
    <row r="4095">
      <c r="C4095" s="15" t="n">
        <v>73</v>
      </c>
      <c r="AA4095" s="15" t="n">
        <v>73</v>
      </c>
      <c r="AW4095" s="15" t="n">
        <v>73</v>
      </c>
      <c r="BS4095" s="15" t="n">
        <v>73</v>
      </c>
      <c r="CO4095" s="15" t="n">
        <v>73</v>
      </c>
      <c r="DK4095" s="15" t="n">
        <v>73</v>
      </c>
      <c r="EG4095" s="15" t="n">
        <v>73</v>
      </c>
      <c r="FC4095" s="15" t="n">
        <v>73</v>
      </c>
      <c r="FY4095" s="15" t="n">
        <v>73</v>
      </c>
      <c r="GU4095" s="15" t="n">
        <v>73</v>
      </c>
    </row>
    <row r="4096">
      <c r="C4096" s="15" t="n">
        <v>74</v>
      </c>
      <c r="AA4096" s="15" t="n">
        <v>74</v>
      </c>
      <c r="AW4096" s="15" t="n">
        <v>74</v>
      </c>
      <c r="BS4096" s="15" t="n">
        <v>74</v>
      </c>
      <c r="CO4096" s="15" t="n">
        <v>74</v>
      </c>
      <c r="DK4096" s="15" t="n">
        <v>74</v>
      </c>
      <c r="EG4096" s="15" t="n">
        <v>74</v>
      </c>
      <c r="FC4096" s="15" t="n">
        <v>74</v>
      </c>
      <c r="FY4096" s="15" t="n">
        <v>74</v>
      </c>
      <c r="GU4096" s="15" t="n">
        <v>74</v>
      </c>
    </row>
    <row r="4097">
      <c r="C4097" s="15" t="n">
        <v>75</v>
      </c>
      <c r="AA4097" s="15" t="n">
        <v>75</v>
      </c>
      <c r="AW4097" s="15" t="n">
        <v>75</v>
      </c>
      <c r="BS4097" s="15" t="n">
        <v>75</v>
      </c>
      <c r="CO4097" s="15" t="n">
        <v>75</v>
      </c>
      <c r="DK4097" s="15" t="n">
        <v>75</v>
      </c>
      <c r="EG4097" s="15" t="n">
        <v>75</v>
      </c>
      <c r="FC4097" s="15" t="n">
        <v>75</v>
      </c>
      <c r="FY4097" s="15" t="n">
        <v>75</v>
      </c>
      <c r="GU4097" s="15" t="n">
        <v>75</v>
      </c>
    </row>
    <row r="4098">
      <c r="C4098" s="15" t="n">
        <v>76</v>
      </c>
      <c r="AA4098" s="15" t="n">
        <v>76</v>
      </c>
      <c r="AW4098" s="15" t="n">
        <v>76</v>
      </c>
      <c r="BS4098" s="15" t="n">
        <v>76</v>
      </c>
      <c r="CO4098" s="15" t="n">
        <v>76</v>
      </c>
      <c r="DK4098" s="15" t="n">
        <v>76</v>
      </c>
      <c r="EG4098" s="15" t="n">
        <v>76</v>
      </c>
      <c r="FC4098" s="15" t="n">
        <v>76</v>
      </c>
      <c r="FY4098" s="15" t="n">
        <v>76</v>
      </c>
      <c r="GU4098" s="15" t="n">
        <v>76</v>
      </c>
    </row>
    <row r="4099">
      <c r="C4099" s="15" t="n">
        <v>77</v>
      </c>
      <c r="AA4099" s="15" t="n">
        <v>77</v>
      </c>
      <c r="AW4099" s="15" t="n">
        <v>77</v>
      </c>
      <c r="BS4099" s="15" t="n">
        <v>77</v>
      </c>
      <c r="CO4099" s="15" t="n">
        <v>77</v>
      </c>
      <c r="DK4099" s="15" t="n">
        <v>77</v>
      </c>
      <c r="EG4099" s="15" t="n">
        <v>77</v>
      </c>
      <c r="FC4099" s="15" t="n">
        <v>77</v>
      </c>
      <c r="FY4099" s="15" t="n">
        <v>77</v>
      </c>
      <c r="GU4099" s="15" t="n">
        <v>77</v>
      </c>
    </row>
    <row r="4100">
      <c r="C4100" s="15" t="n">
        <v>78</v>
      </c>
      <c r="AA4100" s="15" t="n">
        <v>78</v>
      </c>
      <c r="AW4100" s="15" t="n">
        <v>78</v>
      </c>
      <c r="BS4100" s="15" t="n">
        <v>78</v>
      </c>
      <c r="CO4100" s="15" t="n">
        <v>78</v>
      </c>
      <c r="DK4100" s="15" t="n">
        <v>78</v>
      </c>
      <c r="EG4100" s="15" t="n">
        <v>78</v>
      </c>
      <c r="FC4100" s="15" t="n">
        <v>78</v>
      </c>
      <c r="FY4100" s="15" t="n">
        <v>78</v>
      </c>
      <c r="GU4100" s="15" t="n">
        <v>78</v>
      </c>
    </row>
    <row r="4101">
      <c r="C4101" s="15" t="n">
        <v>79</v>
      </c>
      <c r="AA4101" s="15" t="n">
        <v>79</v>
      </c>
      <c r="AW4101" s="15" t="n">
        <v>79</v>
      </c>
      <c r="BS4101" s="15" t="n">
        <v>79</v>
      </c>
      <c r="CO4101" s="15" t="n">
        <v>79</v>
      </c>
      <c r="DK4101" s="15" t="n">
        <v>79</v>
      </c>
      <c r="EG4101" s="15" t="n">
        <v>79</v>
      </c>
      <c r="FC4101" s="15" t="n">
        <v>79</v>
      </c>
      <c r="FY4101" s="15" t="n">
        <v>79</v>
      </c>
      <c r="GU4101" s="15" t="n">
        <v>79</v>
      </c>
    </row>
    <row r="4102">
      <c r="C4102" s="15" t="n">
        <v>80</v>
      </c>
      <c r="AA4102" s="15" t="n">
        <v>80</v>
      </c>
      <c r="AW4102" s="15" t="n">
        <v>80</v>
      </c>
      <c r="BS4102" s="15" t="n">
        <v>80</v>
      </c>
      <c r="CO4102" s="15" t="n">
        <v>80</v>
      </c>
      <c r="DK4102" s="15" t="n">
        <v>80</v>
      </c>
      <c r="EG4102" s="15" t="n">
        <v>80</v>
      </c>
      <c r="FC4102" s="15" t="n">
        <v>80</v>
      </c>
      <c r="FY4102" s="15" t="n">
        <v>80</v>
      </c>
      <c r="GU4102" s="15" t="n">
        <v>80</v>
      </c>
    </row>
    <row r="4103">
      <c r="C4103" s="15" t="n">
        <v>81</v>
      </c>
      <c r="AA4103" s="15" t="n">
        <v>81</v>
      </c>
      <c r="AW4103" s="15" t="n">
        <v>81</v>
      </c>
      <c r="BS4103" s="15" t="n">
        <v>81</v>
      </c>
      <c r="CO4103" s="15" t="n">
        <v>81</v>
      </c>
      <c r="DK4103" s="15" t="n">
        <v>81</v>
      </c>
      <c r="EG4103" s="15" t="n">
        <v>81</v>
      </c>
      <c r="FC4103" s="15" t="n">
        <v>81</v>
      </c>
      <c r="FY4103" s="15" t="n">
        <v>81</v>
      </c>
      <c r="GU4103" s="15" t="n">
        <v>81</v>
      </c>
    </row>
    <row r="4104">
      <c r="C4104" s="15" t="n">
        <v>82</v>
      </c>
      <c r="AA4104" s="15" t="n">
        <v>82</v>
      </c>
      <c r="AW4104" s="15" t="n">
        <v>82</v>
      </c>
      <c r="BS4104" s="15" t="n">
        <v>82</v>
      </c>
      <c r="CO4104" s="15" t="n">
        <v>82</v>
      </c>
      <c r="DK4104" s="15" t="n">
        <v>82</v>
      </c>
      <c r="EG4104" s="15" t="n">
        <v>82</v>
      </c>
      <c r="FC4104" s="15" t="n">
        <v>82</v>
      </c>
      <c r="FY4104" s="15" t="n">
        <v>82</v>
      </c>
      <c r="GU4104" s="15" t="n">
        <v>82</v>
      </c>
    </row>
    <row r="4105">
      <c r="C4105" s="15" t="n">
        <v>83</v>
      </c>
      <c r="AA4105" s="15" t="n">
        <v>83</v>
      </c>
      <c r="AW4105" s="15" t="n">
        <v>83</v>
      </c>
      <c r="BS4105" s="15" t="n">
        <v>83</v>
      </c>
      <c r="CO4105" s="15" t="n">
        <v>83</v>
      </c>
      <c r="DK4105" s="15" t="n">
        <v>83</v>
      </c>
      <c r="EG4105" s="15" t="n">
        <v>83</v>
      </c>
      <c r="FC4105" s="15" t="n">
        <v>83</v>
      </c>
      <c r="FY4105" s="15" t="n">
        <v>83</v>
      </c>
      <c r="GU4105" s="15" t="n">
        <v>83</v>
      </c>
    </row>
    <row r="4106">
      <c r="C4106" s="15" t="n">
        <v>84</v>
      </c>
      <c r="AA4106" s="15" t="n">
        <v>84</v>
      </c>
      <c r="AW4106" s="15" t="n">
        <v>84</v>
      </c>
      <c r="BS4106" s="15" t="n">
        <v>84</v>
      </c>
      <c r="CO4106" s="15" t="n">
        <v>84</v>
      </c>
      <c r="DK4106" s="15" t="n">
        <v>84</v>
      </c>
      <c r="EG4106" s="15" t="n">
        <v>84</v>
      </c>
      <c r="FC4106" s="15" t="n">
        <v>84</v>
      </c>
      <c r="FY4106" s="15" t="n">
        <v>84</v>
      </c>
      <c r="GU4106" s="15" t="n">
        <v>84</v>
      </c>
    </row>
    <row r="4107">
      <c r="C4107" s="15" t="n">
        <v>85</v>
      </c>
      <c r="AA4107" s="15" t="n">
        <v>85</v>
      </c>
      <c r="AW4107" s="15" t="n">
        <v>85</v>
      </c>
      <c r="BS4107" s="15" t="n">
        <v>85</v>
      </c>
      <c r="CO4107" s="15" t="n">
        <v>85</v>
      </c>
      <c r="DK4107" s="15" t="n">
        <v>85</v>
      </c>
      <c r="EG4107" s="15" t="n">
        <v>85</v>
      </c>
      <c r="FC4107" s="15" t="n">
        <v>85</v>
      </c>
      <c r="FY4107" s="15" t="n">
        <v>85</v>
      </c>
      <c r="GU4107" s="15" t="n">
        <v>85</v>
      </c>
    </row>
    <row r="4108">
      <c r="C4108" s="15" t="n">
        <v>86</v>
      </c>
      <c r="AA4108" s="15" t="n">
        <v>86</v>
      </c>
      <c r="AW4108" s="15" t="n">
        <v>86</v>
      </c>
      <c r="BS4108" s="15" t="n">
        <v>86</v>
      </c>
      <c r="CO4108" s="15" t="n">
        <v>86</v>
      </c>
      <c r="DK4108" s="15" t="n">
        <v>86</v>
      </c>
      <c r="EG4108" s="15" t="n">
        <v>86</v>
      </c>
      <c r="FC4108" s="15" t="n">
        <v>86</v>
      </c>
      <c r="FY4108" s="15" t="n">
        <v>86</v>
      </c>
      <c r="GU4108" s="15" t="n">
        <v>86</v>
      </c>
    </row>
    <row r="4109">
      <c r="C4109" s="15" t="n">
        <v>87</v>
      </c>
      <c r="AA4109" s="15" t="n">
        <v>87</v>
      </c>
      <c r="AW4109" s="15" t="n">
        <v>87</v>
      </c>
      <c r="BS4109" s="15" t="n">
        <v>87</v>
      </c>
      <c r="CO4109" s="15" t="n">
        <v>87</v>
      </c>
      <c r="DK4109" s="15" t="n">
        <v>87</v>
      </c>
      <c r="EG4109" s="15" t="n">
        <v>87</v>
      </c>
      <c r="FC4109" s="15" t="n">
        <v>87</v>
      </c>
      <c r="FY4109" s="15" t="n">
        <v>87</v>
      </c>
      <c r="GU4109" s="15" t="n">
        <v>87</v>
      </c>
    </row>
    <row r="4110">
      <c r="C4110" s="15" t="n">
        <v>88</v>
      </c>
      <c r="AA4110" s="15" t="n">
        <v>88</v>
      </c>
      <c r="AW4110" s="15" t="n">
        <v>88</v>
      </c>
      <c r="BS4110" s="15" t="n">
        <v>88</v>
      </c>
      <c r="CO4110" s="15" t="n">
        <v>88</v>
      </c>
      <c r="DK4110" s="15" t="n">
        <v>88</v>
      </c>
      <c r="EG4110" s="15" t="n">
        <v>88</v>
      </c>
      <c r="FC4110" s="15" t="n">
        <v>88</v>
      </c>
      <c r="FY4110" s="15" t="n">
        <v>88</v>
      </c>
      <c r="GU4110" s="15" t="n">
        <v>88</v>
      </c>
    </row>
    <row r="4111">
      <c r="C4111" s="15" t="n">
        <v>89</v>
      </c>
      <c r="AA4111" s="15" t="n">
        <v>89</v>
      </c>
      <c r="AW4111" s="15" t="n">
        <v>89</v>
      </c>
      <c r="BS4111" s="15" t="n">
        <v>89</v>
      </c>
      <c r="CO4111" s="15" t="n">
        <v>89</v>
      </c>
      <c r="DK4111" s="15" t="n">
        <v>89</v>
      </c>
      <c r="EG4111" s="15" t="n">
        <v>89</v>
      </c>
      <c r="FC4111" s="15" t="n">
        <v>89</v>
      </c>
      <c r="FY4111" s="15" t="n">
        <v>89</v>
      </c>
      <c r="GU4111" s="15" t="n">
        <v>89</v>
      </c>
    </row>
    <row r="4112">
      <c r="C4112" s="15" t="n">
        <v>90</v>
      </c>
      <c r="AA4112" s="15" t="n">
        <v>90</v>
      </c>
      <c r="AW4112" s="15" t="n">
        <v>90</v>
      </c>
      <c r="BS4112" s="15" t="n">
        <v>90</v>
      </c>
      <c r="CO4112" s="15" t="n">
        <v>90</v>
      </c>
      <c r="DK4112" s="15" t="n">
        <v>90</v>
      </c>
      <c r="EG4112" s="15" t="n">
        <v>90</v>
      </c>
      <c r="FC4112" s="15" t="n">
        <v>90</v>
      </c>
      <c r="FY4112" s="15" t="n">
        <v>90</v>
      </c>
      <c r="GU4112" s="15" t="n">
        <v>90</v>
      </c>
    </row>
    <row r="4113">
      <c r="C4113" s="15" t="n">
        <v>91</v>
      </c>
      <c r="AA4113" s="15" t="n">
        <v>91</v>
      </c>
      <c r="AW4113" s="15" t="n">
        <v>91</v>
      </c>
      <c r="BS4113" s="15" t="n">
        <v>91</v>
      </c>
      <c r="CO4113" s="15" t="n">
        <v>91</v>
      </c>
      <c r="DK4113" s="15" t="n">
        <v>91</v>
      </c>
      <c r="EG4113" s="15" t="n">
        <v>91</v>
      </c>
      <c r="FC4113" s="15" t="n">
        <v>91</v>
      </c>
      <c r="FY4113" s="15" t="n">
        <v>91</v>
      </c>
      <c r="GU4113" s="15" t="n">
        <v>91</v>
      </c>
    </row>
    <row r="4114">
      <c r="C4114" s="15" t="n">
        <v>92</v>
      </c>
      <c r="AA4114" s="15" t="n">
        <v>92</v>
      </c>
      <c r="AW4114" s="15" t="n">
        <v>92</v>
      </c>
      <c r="BS4114" s="15" t="n">
        <v>92</v>
      </c>
      <c r="CO4114" s="15" t="n">
        <v>92</v>
      </c>
      <c r="DK4114" s="15" t="n">
        <v>92</v>
      </c>
      <c r="EG4114" s="15" t="n">
        <v>92</v>
      </c>
      <c r="FC4114" s="15" t="n">
        <v>92</v>
      </c>
      <c r="FY4114" s="15" t="n">
        <v>92</v>
      </c>
      <c r="GU4114" s="15" t="n">
        <v>92</v>
      </c>
    </row>
    <row r="4115">
      <c r="C4115" s="15" t="n">
        <v>93</v>
      </c>
      <c r="AA4115" s="15" t="n">
        <v>93</v>
      </c>
      <c r="AW4115" s="15" t="n">
        <v>93</v>
      </c>
      <c r="BS4115" s="15" t="n">
        <v>93</v>
      </c>
      <c r="CO4115" s="15" t="n">
        <v>93</v>
      </c>
      <c r="DK4115" s="15" t="n">
        <v>93</v>
      </c>
      <c r="EG4115" s="15" t="n">
        <v>93</v>
      </c>
      <c r="FC4115" s="15" t="n">
        <v>93</v>
      </c>
      <c r="FY4115" s="15" t="n">
        <v>93</v>
      </c>
      <c r="GU4115" s="15" t="n">
        <v>93</v>
      </c>
    </row>
    <row r="4116">
      <c r="C4116" s="15" t="n">
        <v>94</v>
      </c>
      <c r="AA4116" s="15" t="n">
        <v>94</v>
      </c>
      <c r="AW4116" s="15" t="n">
        <v>94</v>
      </c>
      <c r="BS4116" s="15" t="n">
        <v>94</v>
      </c>
      <c r="CO4116" s="15" t="n">
        <v>94</v>
      </c>
      <c r="DK4116" s="15" t="n">
        <v>94</v>
      </c>
      <c r="EG4116" s="15" t="n">
        <v>94</v>
      </c>
      <c r="FC4116" s="15" t="n">
        <v>94</v>
      </c>
      <c r="FY4116" s="15" t="n">
        <v>94</v>
      </c>
      <c r="GU4116" s="15" t="n">
        <v>94</v>
      </c>
    </row>
    <row r="4117">
      <c r="C4117" s="15" t="n">
        <v>95</v>
      </c>
      <c r="AA4117" s="15" t="n">
        <v>95</v>
      </c>
      <c r="AW4117" s="15" t="n">
        <v>95</v>
      </c>
      <c r="BS4117" s="15" t="n">
        <v>95</v>
      </c>
      <c r="CO4117" s="15" t="n">
        <v>95</v>
      </c>
      <c r="DK4117" s="15" t="n">
        <v>95</v>
      </c>
      <c r="EG4117" s="15" t="n">
        <v>95</v>
      </c>
      <c r="FC4117" s="15" t="n">
        <v>95</v>
      </c>
      <c r="FY4117" s="15" t="n">
        <v>95</v>
      </c>
      <c r="GU4117" s="15" t="n">
        <v>95</v>
      </c>
    </row>
    <row r="4118">
      <c r="C4118" s="15" t="n">
        <v>96</v>
      </c>
      <c r="AA4118" s="15" t="n">
        <v>96</v>
      </c>
      <c r="AW4118" s="15" t="n">
        <v>96</v>
      </c>
      <c r="BS4118" s="15" t="n">
        <v>96</v>
      </c>
      <c r="CO4118" s="15" t="n">
        <v>96</v>
      </c>
      <c r="DK4118" s="15" t="n">
        <v>96</v>
      </c>
      <c r="EG4118" s="15" t="n">
        <v>96</v>
      </c>
      <c r="FC4118" s="15" t="n">
        <v>96</v>
      </c>
      <c r="FY4118" s="15" t="n">
        <v>96</v>
      </c>
      <c r="GU4118" s="15" t="n">
        <v>96</v>
      </c>
    </row>
    <row r="4119">
      <c r="C4119" s="15" t="n">
        <v>97</v>
      </c>
      <c r="AA4119" s="15" t="n">
        <v>97</v>
      </c>
      <c r="AW4119" s="15" t="n">
        <v>97</v>
      </c>
      <c r="BS4119" s="15" t="n">
        <v>97</v>
      </c>
      <c r="CO4119" s="15" t="n">
        <v>97</v>
      </c>
      <c r="DK4119" s="15" t="n">
        <v>97</v>
      </c>
      <c r="EG4119" s="15" t="n">
        <v>97</v>
      </c>
      <c r="FC4119" s="15" t="n">
        <v>97</v>
      </c>
      <c r="FY4119" s="15" t="n">
        <v>97</v>
      </c>
      <c r="GU4119" s="15" t="n">
        <v>97</v>
      </c>
    </row>
    <row r="4120">
      <c r="C4120" s="15" t="n">
        <v>98</v>
      </c>
      <c r="AA4120" s="15" t="n">
        <v>98</v>
      </c>
      <c r="AW4120" s="15" t="n">
        <v>98</v>
      </c>
      <c r="BS4120" s="15" t="n">
        <v>98</v>
      </c>
      <c r="CO4120" s="15" t="n">
        <v>98</v>
      </c>
      <c r="DK4120" s="15" t="n">
        <v>98</v>
      </c>
      <c r="EG4120" s="15" t="n">
        <v>98</v>
      </c>
      <c r="FC4120" s="15" t="n">
        <v>98</v>
      </c>
      <c r="FY4120" s="15" t="n">
        <v>98</v>
      </c>
      <c r="GU4120" s="15" t="n">
        <v>98</v>
      </c>
    </row>
    <row r="4121">
      <c r="C4121" s="15" t="n">
        <v>99</v>
      </c>
      <c r="AA4121" s="15" t="n">
        <v>99</v>
      </c>
      <c r="AW4121" s="15" t="n">
        <v>99</v>
      </c>
      <c r="BS4121" s="15" t="n">
        <v>99</v>
      </c>
      <c r="CO4121" s="15" t="n">
        <v>99</v>
      </c>
      <c r="DK4121" s="15" t="n">
        <v>99</v>
      </c>
      <c r="EG4121" s="15" t="n">
        <v>99</v>
      </c>
      <c r="FC4121" s="15" t="n">
        <v>99</v>
      </c>
      <c r="FY4121" s="15" t="n">
        <v>99</v>
      </c>
      <c r="GU4121" s="15" t="n">
        <v>99</v>
      </c>
    </row>
    <row r="4122">
      <c r="C4122" s="15" t="n">
        <v>100</v>
      </c>
      <c r="AA4122" s="15" t="n">
        <v>100</v>
      </c>
      <c r="AW4122" s="15" t="n">
        <v>100</v>
      </c>
      <c r="BS4122" s="15" t="n">
        <v>100</v>
      </c>
      <c r="CO4122" s="15" t="n">
        <v>100</v>
      </c>
      <c r="DK4122" s="15" t="n">
        <v>100</v>
      </c>
      <c r="EG4122" s="15" t="n">
        <v>100</v>
      </c>
      <c r="FC4122" s="15" t="n">
        <v>100</v>
      </c>
      <c r="FY4122" s="15" t="n">
        <v>100</v>
      </c>
      <c r="GU4122" s="15" t="n">
        <v>100</v>
      </c>
    </row>
    <row r="4123">
      <c r="C4123" s="15" t="n">
        <v>101</v>
      </c>
      <c r="AA4123" s="15" t="n">
        <v>101</v>
      </c>
      <c r="AW4123" s="15" t="n">
        <v>101</v>
      </c>
      <c r="BS4123" s="15" t="n">
        <v>101</v>
      </c>
      <c r="CO4123" s="15" t="n">
        <v>101</v>
      </c>
      <c r="DK4123" s="15" t="n">
        <v>101</v>
      </c>
      <c r="EG4123" s="15" t="n">
        <v>101</v>
      </c>
      <c r="FC4123" s="15" t="n">
        <v>101</v>
      </c>
      <c r="FY4123" s="15" t="n">
        <v>101</v>
      </c>
      <c r="GU4123" s="15" t="n">
        <v>101</v>
      </c>
    </row>
    <row r="4124">
      <c r="C4124" s="15" t="n">
        <v>102</v>
      </c>
      <c r="AA4124" s="15" t="n">
        <v>102</v>
      </c>
      <c r="AW4124" s="15" t="n">
        <v>102</v>
      </c>
      <c r="BS4124" s="15" t="n">
        <v>102</v>
      </c>
      <c r="CO4124" s="15" t="n">
        <v>102</v>
      </c>
      <c r="DK4124" s="15" t="n">
        <v>102</v>
      </c>
      <c r="EG4124" s="15" t="n">
        <v>102</v>
      </c>
      <c r="FC4124" s="15" t="n">
        <v>102</v>
      </c>
      <c r="FY4124" s="15" t="n">
        <v>102</v>
      </c>
      <c r="GU4124" s="15" t="n">
        <v>102</v>
      </c>
    </row>
    <row r="4125">
      <c r="C4125" s="15" t="n">
        <v>103</v>
      </c>
      <c r="AA4125" s="15" t="n">
        <v>103</v>
      </c>
      <c r="AW4125" s="15" t="n">
        <v>103</v>
      </c>
      <c r="BS4125" s="15" t="n">
        <v>103</v>
      </c>
      <c r="CO4125" s="15" t="n">
        <v>103</v>
      </c>
      <c r="DK4125" s="15" t="n">
        <v>103</v>
      </c>
      <c r="EG4125" s="15" t="n">
        <v>103</v>
      </c>
      <c r="FC4125" s="15" t="n">
        <v>103</v>
      </c>
      <c r="FY4125" s="15" t="n">
        <v>103</v>
      </c>
      <c r="GU4125" s="15" t="n">
        <v>103</v>
      </c>
    </row>
    <row r="4126">
      <c r="C4126" s="15" t="n">
        <v>104</v>
      </c>
      <c r="AA4126" s="15" t="n">
        <v>104</v>
      </c>
      <c r="AW4126" s="15" t="n">
        <v>104</v>
      </c>
      <c r="BS4126" s="15" t="n">
        <v>104</v>
      </c>
      <c r="CO4126" s="15" t="n">
        <v>104</v>
      </c>
      <c r="DK4126" s="15" t="n">
        <v>104</v>
      </c>
      <c r="EG4126" s="15" t="n">
        <v>104</v>
      </c>
      <c r="FC4126" s="15" t="n">
        <v>104</v>
      </c>
      <c r="FY4126" s="15" t="n">
        <v>104</v>
      </c>
      <c r="GU4126" s="15" t="n">
        <v>104</v>
      </c>
    </row>
    <row r="4127">
      <c r="C4127" s="15" t="n">
        <v>105</v>
      </c>
      <c r="AA4127" s="15" t="n">
        <v>105</v>
      </c>
      <c r="AW4127" s="15" t="n">
        <v>105</v>
      </c>
      <c r="BS4127" s="15" t="n">
        <v>105</v>
      </c>
      <c r="CO4127" s="15" t="n">
        <v>105</v>
      </c>
      <c r="DK4127" s="15" t="n">
        <v>105</v>
      </c>
      <c r="EG4127" s="15" t="n">
        <v>105</v>
      </c>
      <c r="FC4127" s="15" t="n">
        <v>105</v>
      </c>
      <c r="FY4127" s="15" t="n">
        <v>105</v>
      </c>
      <c r="GU4127" s="15" t="n">
        <v>105</v>
      </c>
    </row>
    <row r="4128">
      <c r="C4128" s="15" t="n">
        <v>106</v>
      </c>
      <c r="AA4128" s="15" t="n">
        <v>106</v>
      </c>
      <c r="AW4128" s="15" t="n">
        <v>106</v>
      </c>
      <c r="BS4128" s="15" t="n">
        <v>106</v>
      </c>
      <c r="CO4128" s="15" t="n">
        <v>106</v>
      </c>
      <c r="DK4128" s="15" t="n">
        <v>106</v>
      </c>
      <c r="EG4128" s="15" t="n">
        <v>106</v>
      </c>
      <c r="FC4128" s="15" t="n">
        <v>106</v>
      </c>
      <c r="FY4128" s="15" t="n">
        <v>106</v>
      </c>
      <c r="GU4128" s="15" t="n">
        <v>106</v>
      </c>
    </row>
    <row r="4129">
      <c r="C4129" s="15" t="n">
        <v>107</v>
      </c>
      <c r="AA4129" s="15" t="n">
        <v>107</v>
      </c>
      <c r="AW4129" s="15" t="n">
        <v>107</v>
      </c>
      <c r="BS4129" s="15" t="n">
        <v>107</v>
      </c>
      <c r="CO4129" s="15" t="n">
        <v>107</v>
      </c>
      <c r="DK4129" s="15" t="n">
        <v>107</v>
      </c>
      <c r="EG4129" s="15" t="n">
        <v>107</v>
      </c>
      <c r="FC4129" s="15" t="n">
        <v>107</v>
      </c>
      <c r="FY4129" s="15" t="n">
        <v>107</v>
      </c>
      <c r="GU4129" s="15" t="n">
        <v>107</v>
      </c>
    </row>
    <row r="4130">
      <c r="C4130" s="15" t="n">
        <v>108</v>
      </c>
      <c r="AA4130" s="15" t="n">
        <v>108</v>
      </c>
      <c r="AW4130" s="15" t="n">
        <v>108</v>
      </c>
      <c r="BS4130" s="15" t="n">
        <v>108</v>
      </c>
      <c r="CO4130" s="15" t="n">
        <v>108</v>
      </c>
      <c r="DK4130" s="15" t="n">
        <v>108</v>
      </c>
      <c r="EG4130" s="15" t="n">
        <v>108</v>
      </c>
      <c r="FC4130" s="15" t="n">
        <v>108</v>
      </c>
      <c r="FY4130" s="15" t="n">
        <v>108</v>
      </c>
      <c r="GU4130" s="15" t="n">
        <v>108</v>
      </c>
    </row>
    <row r="4131">
      <c r="C4131" s="15" t="n">
        <v>109</v>
      </c>
      <c r="AA4131" s="15" t="n">
        <v>109</v>
      </c>
      <c r="AW4131" s="15" t="n">
        <v>109</v>
      </c>
      <c r="BS4131" s="15" t="n">
        <v>109</v>
      </c>
      <c r="CO4131" s="15" t="n">
        <v>109</v>
      </c>
      <c r="DK4131" s="15" t="n">
        <v>109</v>
      </c>
      <c r="EG4131" s="15" t="n">
        <v>109</v>
      </c>
      <c r="FC4131" s="15" t="n">
        <v>109</v>
      </c>
      <c r="FY4131" s="15" t="n">
        <v>109</v>
      </c>
      <c r="GU4131" s="15" t="n">
        <v>109</v>
      </c>
    </row>
    <row r="4132">
      <c r="C4132" s="15" t="n">
        <v>110</v>
      </c>
      <c r="AA4132" s="15" t="n">
        <v>110</v>
      </c>
      <c r="AW4132" s="15" t="n">
        <v>110</v>
      </c>
      <c r="BS4132" s="15" t="n">
        <v>110</v>
      </c>
      <c r="CO4132" s="15" t="n">
        <v>110</v>
      </c>
      <c r="DK4132" s="15" t="n">
        <v>110</v>
      </c>
      <c r="EG4132" s="15" t="n">
        <v>110</v>
      </c>
      <c r="FC4132" s="15" t="n">
        <v>110</v>
      </c>
      <c r="FY4132" s="15" t="n">
        <v>110</v>
      </c>
      <c r="GU4132" s="15" t="n">
        <v>110</v>
      </c>
    </row>
    <row r="4133">
      <c r="C4133" s="15" t="n">
        <v>111</v>
      </c>
      <c r="AA4133" s="15" t="n">
        <v>111</v>
      </c>
      <c r="AW4133" s="15" t="n">
        <v>111</v>
      </c>
      <c r="BS4133" s="15" t="n">
        <v>111</v>
      </c>
      <c r="CO4133" s="15" t="n">
        <v>111</v>
      </c>
      <c r="DK4133" s="15" t="n">
        <v>111</v>
      </c>
      <c r="EG4133" s="15" t="n">
        <v>111</v>
      </c>
      <c r="FC4133" s="15" t="n">
        <v>111</v>
      </c>
      <c r="FY4133" s="15" t="n">
        <v>111</v>
      </c>
      <c r="GU4133" s="15" t="n">
        <v>111</v>
      </c>
    </row>
    <row r="4134">
      <c r="C4134" s="15" t="n">
        <v>112</v>
      </c>
      <c r="AA4134" s="15" t="n">
        <v>112</v>
      </c>
      <c r="AW4134" s="15" t="n">
        <v>112</v>
      </c>
      <c r="BS4134" s="15" t="n">
        <v>112</v>
      </c>
      <c r="CO4134" s="15" t="n">
        <v>112</v>
      </c>
      <c r="DK4134" s="15" t="n">
        <v>112</v>
      </c>
      <c r="EG4134" s="15" t="n">
        <v>112</v>
      </c>
      <c r="FC4134" s="15" t="n">
        <v>112</v>
      </c>
      <c r="FY4134" s="15" t="n">
        <v>112</v>
      </c>
      <c r="GU4134" s="15" t="n">
        <v>112</v>
      </c>
    </row>
    <row r="4135">
      <c r="C4135" s="15" t="n">
        <v>113</v>
      </c>
      <c r="AA4135" s="15" t="n">
        <v>113</v>
      </c>
      <c r="AW4135" s="15" t="n">
        <v>113</v>
      </c>
      <c r="BS4135" s="15" t="n">
        <v>113</v>
      </c>
      <c r="CO4135" s="15" t="n">
        <v>113</v>
      </c>
      <c r="DK4135" s="15" t="n">
        <v>113</v>
      </c>
      <c r="EG4135" s="15" t="n">
        <v>113</v>
      </c>
      <c r="FC4135" s="15" t="n">
        <v>113</v>
      </c>
      <c r="FY4135" s="15" t="n">
        <v>113</v>
      </c>
      <c r="GU4135" s="15" t="n">
        <v>113</v>
      </c>
    </row>
    <row r="4136">
      <c r="C4136" s="15" t="n">
        <v>114</v>
      </c>
      <c r="AA4136" s="15" t="n">
        <v>114</v>
      </c>
      <c r="AW4136" s="15" t="n">
        <v>114</v>
      </c>
      <c r="BS4136" s="15" t="n">
        <v>114</v>
      </c>
      <c r="CO4136" s="15" t="n">
        <v>114</v>
      </c>
      <c r="DK4136" s="15" t="n">
        <v>114</v>
      </c>
      <c r="EG4136" s="15" t="n">
        <v>114</v>
      </c>
      <c r="FC4136" s="15" t="n">
        <v>114</v>
      </c>
      <c r="FY4136" s="15" t="n">
        <v>114</v>
      </c>
      <c r="GU4136" s="15" t="n">
        <v>114</v>
      </c>
    </row>
    <row r="4137">
      <c r="C4137" s="15" t="n">
        <v>115</v>
      </c>
      <c r="AA4137" s="15" t="n">
        <v>115</v>
      </c>
      <c r="AW4137" s="15" t="n">
        <v>115</v>
      </c>
      <c r="BS4137" s="15" t="n">
        <v>115</v>
      </c>
      <c r="CO4137" s="15" t="n">
        <v>115</v>
      </c>
      <c r="DK4137" s="15" t="n">
        <v>115</v>
      </c>
      <c r="EG4137" s="15" t="n">
        <v>115</v>
      </c>
      <c r="FC4137" s="15" t="n">
        <v>115</v>
      </c>
      <c r="FY4137" s="15" t="n">
        <v>115</v>
      </c>
      <c r="GU4137" s="15" t="n">
        <v>115</v>
      </c>
    </row>
    <row r="4138">
      <c r="C4138" s="15" t="n">
        <v>116</v>
      </c>
      <c r="AA4138" s="15" t="n">
        <v>116</v>
      </c>
      <c r="AW4138" s="15" t="n">
        <v>116</v>
      </c>
      <c r="BS4138" s="15" t="n">
        <v>116</v>
      </c>
      <c r="CO4138" s="15" t="n">
        <v>116</v>
      </c>
      <c r="DK4138" s="15" t="n">
        <v>116</v>
      </c>
      <c r="EG4138" s="15" t="n">
        <v>116</v>
      </c>
      <c r="FC4138" s="15" t="n">
        <v>116</v>
      </c>
      <c r="FY4138" s="15" t="n">
        <v>116</v>
      </c>
      <c r="GU4138" s="15" t="n">
        <v>116</v>
      </c>
    </row>
    <row r="4139">
      <c r="C4139" s="15" t="n">
        <v>117</v>
      </c>
      <c r="AA4139" s="15" t="n">
        <v>117</v>
      </c>
      <c r="AW4139" s="15" t="n">
        <v>117</v>
      </c>
      <c r="BS4139" s="15" t="n">
        <v>117</v>
      </c>
      <c r="CO4139" s="15" t="n">
        <v>117</v>
      </c>
      <c r="DK4139" s="15" t="n">
        <v>117</v>
      </c>
      <c r="EG4139" s="15" t="n">
        <v>117</v>
      </c>
      <c r="FC4139" s="15" t="n">
        <v>117</v>
      </c>
      <c r="FY4139" s="15" t="n">
        <v>117</v>
      </c>
      <c r="GU4139" s="15" t="n">
        <v>117</v>
      </c>
    </row>
    <row r="4140">
      <c r="C4140" s="15" t="n">
        <v>118</v>
      </c>
      <c r="AA4140" s="15" t="n">
        <v>118</v>
      </c>
      <c r="AW4140" s="15" t="n">
        <v>118</v>
      </c>
      <c r="BS4140" s="15" t="n">
        <v>118</v>
      </c>
      <c r="CO4140" s="15" t="n">
        <v>118</v>
      </c>
      <c r="DK4140" s="15" t="n">
        <v>118</v>
      </c>
      <c r="EG4140" s="15" t="n">
        <v>118</v>
      </c>
      <c r="FC4140" s="15" t="n">
        <v>118</v>
      </c>
      <c r="FY4140" s="15" t="n">
        <v>118</v>
      </c>
      <c r="GU4140" s="15" t="n">
        <v>118</v>
      </c>
    </row>
    <row r="4141">
      <c r="C4141" s="15" t="n">
        <v>119</v>
      </c>
      <c r="AA4141" s="15" t="n">
        <v>119</v>
      </c>
      <c r="AW4141" s="15" t="n">
        <v>119</v>
      </c>
      <c r="BS4141" s="15" t="n">
        <v>119</v>
      </c>
      <c r="CO4141" s="15" t="n">
        <v>119</v>
      </c>
      <c r="DK4141" s="15" t="n">
        <v>119</v>
      </c>
      <c r="EG4141" s="15" t="n">
        <v>119</v>
      </c>
      <c r="FC4141" s="15" t="n">
        <v>119</v>
      </c>
      <c r="FY4141" s="15" t="n">
        <v>119</v>
      </c>
      <c r="GU4141" s="15" t="n">
        <v>119</v>
      </c>
    </row>
    <row r="4142">
      <c r="C4142" s="15" t="n">
        <v>120</v>
      </c>
      <c r="AA4142" s="15" t="n">
        <v>120</v>
      </c>
      <c r="AW4142" s="15" t="n">
        <v>120</v>
      </c>
      <c r="BS4142" s="15" t="n">
        <v>120</v>
      </c>
      <c r="CO4142" s="15" t="n">
        <v>120</v>
      </c>
      <c r="DK4142" s="15" t="n">
        <v>120</v>
      </c>
      <c r="EG4142" s="15" t="n">
        <v>120</v>
      </c>
      <c r="FC4142" s="15" t="n">
        <v>120</v>
      </c>
      <c r="FY4142" s="15" t="n">
        <v>120</v>
      </c>
      <c r="GU4142" s="15" t="n">
        <v>120</v>
      </c>
    </row>
    <row r="4143">
      <c r="C4143" s="15" t="n">
        <v>121</v>
      </c>
      <c r="AA4143" s="15" t="n">
        <v>121</v>
      </c>
      <c r="AW4143" s="15" t="n">
        <v>121</v>
      </c>
      <c r="BS4143" s="15" t="n">
        <v>121</v>
      </c>
      <c r="CO4143" s="15" t="n">
        <v>121</v>
      </c>
      <c r="DK4143" s="15" t="n">
        <v>121</v>
      </c>
      <c r="EG4143" s="15" t="n">
        <v>121</v>
      </c>
      <c r="FC4143" s="15" t="n">
        <v>121</v>
      </c>
      <c r="FY4143" s="15" t="n">
        <v>121</v>
      </c>
      <c r="GU4143" s="15" t="n">
        <v>121</v>
      </c>
    </row>
    <row r="4144">
      <c r="C4144" s="15" t="n">
        <v>122</v>
      </c>
      <c r="AA4144" s="15" t="n">
        <v>122</v>
      </c>
      <c r="AW4144" s="15" t="n">
        <v>122</v>
      </c>
      <c r="BS4144" s="15" t="n">
        <v>122</v>
      </c>
      <c r="CO4144" s="15" t="n">
        <v>122</v>
      </c>
      <c r="DK4144" s="15" t="n">
        <v>122</v>
      </c>
      <c r="EG4144" s="15" t="n">
        <v>122</v>
      </c>
      <c r="FC4144" s="15" t="n">
        <v>122</v>
      </c>
      <c r="FY4144" s="15" t="n">
        <v>122</v>
      </c>
      <c r="GU4144" s="15" t="n">
        <v>122</v>
      </c>
    </row>
    <row r="4145">
      <c r="C4145" s="15" t="n">
        <v>123</v>
      </c>
      <c r="AA4145" s="15" t="n">
        <v>123</v>
      </c>
      <c r="AW4145" s="15" t="n">
        <v>123</v>
      </c>
      <c r="BS4145" s="15" t="n">
        <v>123</v>
      </c>
      <c r="CO4145" s="15" t="n">
        <v>123</v>
      </c>
      <c r="DK4145" s="15" t="n">
        <v>123</v>
      </c>
      <c r="EG4145" s="15" t="n">
        <v>123</v>
      </c>
      <c r="FC4145" s="15" t="n">
        <v>123</v>
      </c>
      <c r="FY4145" s="15" t="n">
        <v>123</v>
      </c>
      <c r="GU4145" s="15" t="n">
        <v>123</v>
      </c>
    </row>
    <row r="4146">
      <c r="C4146" s="15" t="n">
        <v>124</v>
      </c>
      <c r="AA4146" s="15" t="n">
        <v>124</v>
      </c>
      <c r="AW4146" s="15" t="n">
        <v>124</v>
      </c>
      <c r="BS4146" s="15" t="n">
        <v>124</v>
      </c>
      <c r="CO4146" s="15" t="n">
        <v>124</v>
      </c>
      <c r="DK4146" s="15" t="n">
        <v>124</v>
      </c>
      <c r="EG4146" s="15" t="n">
        <v>124</v>
      </c>
      <c r="FC4146" s="15" t="n">
        <v>124</v>
      </c>
      <c r="FY4146" s="15" t="n">
        <v>124</v>
      </c>
      <c r="GU4146" s="15" t="n">
        <v>124</v>
      </c>
    </row>
    <row r="4147">
      <c r="C4147" s="15" t="n">
        <v>125</v>
      </c>
      <c r="AA4147" s="15" t="n">
        <v>125</v>
      </c>
      <c r="AW4147" s="15" t="n">
        <v>125</v>
      </c>
      <c r="BS4147" s="15" t="n">
        <v>125</v>
      </c>
      <c r="CO4147" s="15" t="n">
        <v>125</v>
      </c>
      <c r="DK4147" s="15" t="n">
        <v>125</v>
      </c>
      <c r="EG4147" s="15" t="n">
        <v>125</v>
      </c>
      <c r="FC4147" s="15" t="n">
        <v>125</v>
      </c>
      <c r="FY4147" s="15" t="n">
        <v>125</v>
      </c>
      <c r="GU4147" s="15" t="n">
        <v>125</v>
      </c>
    </row>
    <row r="4148">
      <c r="C4148" s="15" t="n">
        <v>126</v>
      </c>
      <c r="AA4148" s="15" t="n">
        <v>126</v>
      </c>
      <c r="AW4148" s="15" t="n">
        <v>126</v>
      </c>
      <c r="BS4148" s="15" t="n">
        <v>126</v>
      </c>
      <c r="CO4148" s="15" t="n">
        <v>126</v>
      </c>
      <c r="DK4148" s="15" t="n">
        <v>126</v>
      </c>
      <c r="EG4148" s="15" t="n">
        <v>126</v>
      </c>
      <c r="FC4148" s="15" t="n">
        <v>126</v>
      </c>
      <c r="FY4148" s="15" t="n">
        <v>126</v>
      </c>
      <c r="GU4148" s="15" t="n">
        <v>126</v>
      </c>
    </row>
    <row r="4149">
      <c r="C4149" s="15" t="n">
        <v>127</v>
      </c>
      <c r="AA4149" s="15" t="n">
        <v>127</v>
      </c>
      <c r="AW4149" s="15" t="n">
        <v>127</v>
      </c>
      <c r="BS4149" s="15" t="n">
        <v>127</v>
      </c>
      <c r="CO4149" s="15" t="n">
        <v>127</v>
      </c>
      <c r="DK4149" s="15" t="n">
        <v>127</v>
      </c>
      <c r="EG4149" s="15" t="n">
        <v>127</v>
      </c>
      <c r="FC4149" s="15" t="n">
        <v>127</v>
      </c>
      <c r="FY4149" s="15" t="n">
        <v>127</v>
      </c>
      <c r="GU4149" s="15" t="n">
        <v>127</v>
      </c>
    </row>
    <row r="4150">
      <c r="C4150" s="15" t="n">
        <v>128</v>
      </c>
      <c r="AA4150" s="15" t="n">
        <v>128</v>
      </c>
      <c r="AW4150" s="15" t="n">
        <v>128</v>
      </c>
      <c r="BS4150" s="15" t="n">
        <v>128</v>
      </c>
      <c r="CO4150" s="15" t="n">
        <v>128</v>
      </c>
      <c r="DK4150" s="15" t="n">
        <v>128</v>
      </c>
      <c r="EG4150" s="15" t="n">
        <v>128</v>
      </c>
      <c r="FC4150" s="15" t="n">
        <v>128</v>
      </c>
      <c r="FY4150" s="15" t="n">
        <v>128</v>
      </c>
      <c r="GU4150" s="15" t="n">
        <v>128</v>
      </c>
    </row>
    <row r="4151">
      <c r="C4151" s="15" t="n">
        <v>129</v>
      </c>
      <c r="AA4151" s="15" t="n">
        <v>129</v>
      </c>
      <c r="AW4151" s="15" t="n">
        <v>129</v>
      </c>
      <c r="BS4151" s="15" t="n">
        <v>129</v>
      </c>
      <c r="CO4151" s="15" t="n">
        <v>129</v>
      </c>
      <c r="DK4151" s="15" t="n">
        <v>129</v>
      </c>
      <c r="EG4151" s="15" t="n">
        <v>129</v>
      </c>
      <c r="FC4151" s="15" t="n">
        <v>129</v>
      </c>
      <c r="FY4151" s="15" t="n">
        <v>129</v>
      </c>
      <c r="GU4151" s="15" t="n">
        <v>129</v>
      </c>
    </row>
    <row r="4152">
      <c r="C4152" s="15" t="n">
        <v>130</v>
      </c>
      <c r="AA4152" s="15" t="n">
        <v>130</v>
      </c>
      <c r="AW4152" s="15" t="n">
        <v>130</v>
      </c>
      <c r="BS4152" s="15" t="n">
        <v>130</v>
      </c>
      <c r="CO4152" s="15" t="n">
        <v>130</v>
      </c>
      <c r="DK4152" s="15" t="n">
        <v>130</v>
      </c>
      <c r="EG4152" s="15" t="n">
        <v>130</v>
      </c>
      <c r="FC4152" s="15" t="n">
        <v>130</v>
      </c>
      <c r="FY4152" s="15" t="n">
        <v>130</v>
      </c>
      <c r="GU4152" s="15" t="n">
        <v>130</v>
      </c>
    </row>
    <row r="4153">
      <c r="C4153" s="15" t="n">
        <v>131</v>
      </c>
      <c r="AA4153" s="15" t="n">
        <v>131</v>
      </c>
      <c r="AW4153" s="15" t="n">
        <v>131</v>
      </c>
      <c r="BS4153" s="15" t="n">
        <v>131</v>
      </c>
      <c r="CO4153" s="15" t="n">
        <v>131</v>
      </c>
      <c r="DK4153" s="15" t="n">
        <v>131</v>
      </c>
      <c r="EG4153" s="15" t="n">
        <v>131</v>
      </c>
      <c r="FC4153" s="15" t="n">
        <v>131</v>
      </c>
      <c r="FY4153" s="15" t="n">
        <v>131</v>
      </c>
      <c r="GU4153" s="15" t="n">
        <v>131</v>
      </c>
    </row>
    <row r="4154">
      <c r="C4154" s="15" t="n">
        <v>132</v>
      </c>
      <c r="AA4154" s="15" t="n">
        <v>132</v>
      </c>
      <c r="AW4154" s="15" t="n">
        <v>132</v>
      </c>
      <c r="BS4154" s="15" t="n">
        <v>132</v>
      </c>
      <c r="CO4154" s="15" t="n">
        <v>132</v>
      </c>
      <c r="DK4154" s="15" t="n">
        <v>132</v>
      </c>
      <c r="EG4154" s="15" t="n">
        <v>132</v>
      </c>
      <c r="FC4154" s="15" t="n">
        <v>132</v>
      </c>
      <c r="FY4154" s="15" t="n">
        <v>132</v>
      </c>
      <c r="GU4154" s="15" t="n">
        <v>132</v>
      </c>
    </row>
    <row r="4155">
      <c r="C4155" s="15" t="n">
        <v>133</v>
      </c>
      <c r="AA4155" s="15" t="n">
        <v>133</v>
      </c>
      <c r="AW4155" s="15" t="n">
        <v>133</v>
      </c>
      <c r="BS4155" s="15" t="n">
        <v>133</v>
      </c>
      <c r="CO4155" s="15" t="n">
        <v>133</v>
      </c>
      <c r="DK4155" s="15" t="n">
        <v>133</v>
      </c>
      <c r="EG4155" s="15" t="n">
        <v>133</v>
      </c>
      <c r="FC4155" s="15" t="n">
        <v>133</v>
      </c>
      <c r="FY4155" s="15" t="n">
        <v>133</v>
      </c>
      <c r="GU4155" s="15" t="n">
        <v>133</v>
      </c>
    </row>
    <row r="4156">
      <c r="C4156" s="15" t="n">
        <v>134</v>
      </c>
      <c r="AA4156" s="15" t="n">
        <v>134</v>
      </c>
      <c r="AW4156" s="15" t="n">
        <v>134</v>
      </c>
      <c r="BS4156" s="15" t="n">
        <v>134</v>
      </c>
      <c r="CO4156" s="15" t="n">
        <v>134</v>
      </c>
      <c r="DK4156" s="15" t="n">
        <v>134</v>
      </c>
      <c r="EG4156" s="15" t="n">
        <v>134</v>
      </c>
      <c r="FC4156" s="15" t="n">
        <v>134</v>
      </c>
      <c r="FY4156" s="15" t="n">
        <v>134</v>
      </c>
      <c r="GU4156" s="15" t="n">
        <v>134</v>
      </c>
    </row>
    <row r="4157">
      <c r="C4157" s="15" t="n">
        <v>135</v>
      </c>
      <c r="AA4157" s="15" t="n">
        <v>135</v>
      </c>
      <c r="AW4157" s="15" t="n">
        <v>135</v>
      </c>
      <c r="BS4157" s="15" t="n">
        <v>135</v>
      </c>
      <c r="CO4157" s="15" t="n">
        <v>135</v>
      </c>
      <c r="DK4157" s="15" t="n">
        <v>135</v>
      </c>
      <c r="EG4157" s="15" t="n">
        <v>135</v>
      </c>
      <c r="FC4157" s="15" t="n">
        <v>135</v>
      </c>
      <c r="FY4157" s="15" t="n">
        <v>135</v>
      </c>
      <c r="GU4157" s="15" t="n">
        <v>135</v>
      </c>
    </row>
    <row r="4158">
      <c r="C4158" s="15" t="n">
        <v>136</v>
      </c>
      <c r="AA4158" s="15" t="n">
        <v>136</v>
      </c>
      <c r="AW4158" s="15" t="n">
        <v>136</v>
      </c>
      <c r="BS4158" s="15" t="n">
        <v>136</v>
      </c>
      <c r="CO4158" s="15" t="n">
        <v>136</v>
      </c>
      <c r="DK4158" s="15" t="n">
        <v>136</v>
      </c>
      <c r="EG4158" s="15" t="n">
        <v>136</v>
      </c>
      <c r="FC4158" s="15" t="n">
        <v>136</v>
      </c>
      <c r="FY4158" s="15" t="n">
        <v>136</v>
      </c>
      <c r="GU4158" s="15" t="n">
        <v>136</v>
      </c>
    </row>
    <row r="4159">
      <c r="C4159" s="15" t="n">
        <v>137</v>
      </c>
      <c r="AA4159" s="15" t="n">
        <v>137</v>
      </c>
      <c r="AW4159" s="15" t="n">
        <v>137</v>
      </c>
      <c r="BS4159" s="15" t="n">
        <v>137</v>
      </c>
      <c r="CO4159" s="15" t="n">
        <v>137</v>
      </c>
      <c r="DK4159" s="15" t="n">
        <v>137</v>
      </c>
      <c r="EG4159" s="15" t="n">
        <v>137</v>
      </c>
      <c r="FC4159" s="15" t="n">
        <v>137</v>
      </c>
      <c r="FY4159" s="15" t="n">
        <v>137</v>
      </c>
      <c r="GU4159" s="15" t="n">
        <v>137</v>
      </c>
    </row>
    <row r="4160">
      <c r="C4160" s="15" t="n">
        <v>138</v>
      </c>
      <c r="AA4160" s="15" t="n">
        <v>138</v>
      </c>
      <c r="AW4160" s="15" t="n">
        <v>138</v>
      </c>
      <c r="BS4160" s="15" t="n">
        <v>138</v>
      </c>
      <c r="CO4160" s="15" t="n">
        <v>138</v>
      </c>
      <c r="DK4160" s="15" t="n">
        <v>138</v>
      </c>
      <c r="EG4160" s="15" t="n">
        <v>138</v>
      </c>
      <c r="FC4160" s="15" t="n">
        <v>138</v>
      </c>
      <c r="FY4160" s="15" t="n">
        <v>138</v>
      </c>
      <c r="GU4160" s="15" t="n">
        <v>138</v>
      </c>
    </row>
    <row r="4161">
      <c r="C4161" s="15" t="n">
        <v>139</v>
      </c>
      <c r="AA4161" s="15" t="n">
        <v>139</v>
      </c>
      <c r="AW4161" s="15" t="n">
        <v>139</v>
      </c>
      <c r="BS4161" s="15" t="n">
        <v>139</v>
      </c>
      <c r="CO4161" s="15" t="n">
        <v>139</v>
      </c>
      <c r="DK4161" s="15" t="n">
        <v>139</v>
      </c>
      <c r="EG4161" s="15" t="n">
        <v>139</v>
      </c>
      <c r="FC4161" s="15" t="n">
        <v>139</v>
      </c>
      <c r="FY4161" s="15" t="n">
        <v>139</v>
      </c>
      <c r="GU4161" s="15" t="n">
        <v>139</v>
      </c>
    </row>
    <row r="4162">
      <c r="C4162" s="15" t="n">
        <v>140</v>
      </c>
      <c r="AA4162" s="15" t="n">
        <v>140</v>
      </c>
      <c r="AW4162" s="15" t="n">
        <v>140</v>
      </c>
      <c r="BS4162" s="15" t="n">
        <v>140</v>
      </c>
      <c r="CO4162" s="15" t="n">
        <v>140</v>
      </c>
      <c r="DK4162" s="15" t="n">
        <v>140</v>
      </c>
      <c r="EG4162" s="15" t="n">
        <v>140</v>
      </c>
      <c r="FC4162" s="15" t="n">
        <v>140</v>
      </c>
      <c r="FY4162" s="15" t="n">
        <v>140</v>
      </c>
      <c r="GU4162" s="15" t="n">
        <v>140</v>
      </c>
    </row>
    <row r="4163">
      <c r="C4163" s="15" t="n">
        <v>141</v>
      </c>
      <c r="AA4163" s="15" t="n">
        <v>141</v>
      </c>
      <c r="AW4163" s="15" t="n">
        <v>141</v>
      </c>
      <c r="BS4163" s="15" t="n">
        <v>141</v>
      </c>
      <c r="CO4163" s="15" t="n">
        <v>141</v>
      </c>
      <c r="DK4163" s="15" t="n">
        <v>141</v>
      </c>
      <c r="EG4163" s="15" t="n">
        <v>141</v>
      </c>
      <c r="FC4163" s="15" t="n">
        <v>141</v>
      </c>
      <c r="FY4163" s="15" t="n">
        <v>141</v>
      </c>
      <c r="GU4163" s="15" t="n">
        <v>141</v>
      </c>
    </row>
    <row r="4164">
      <c r="C4164" s="15" t="n">
        <v>142</v>
      </c>
      <c r="AA4164" s="15" t="n">
        <v>142</v>
      </c>
      <c r="AW4164" s="15" t="n">
        <v>142</v>
      </c>
      <c r="BS4164" s="15" t="n">
        <v>142</v>
      </c>
      <c r="CO4164" s="15" t="n">
        <v>142</v>
      </c>
      <c r="DK4164" s="15" t="n">
        <v>142</v>
      </c>
      <c r="EG4164" s="15" t="n">
        <v>142</v>
      </c>
      <c r="FC4164" s="15" t="n">
        <v>142</v>
      </c>
      <c r="FY4164" s="15" t="n">
        <v>142</v>
      </c>
      <c r="GU4164" s="15" t="n">
        <v>142</v>
      </c>
    </row>
    <row r="4165">
      <c r="C4165" s="15" t="n">
        <v>143</v>
      </c>
      <c r="AA4165" s="15" t="n">
        <v>143</v>
      </c>
      <c r="AW4165" s="15" t="n">
        <v>143</v>
      </c>
      <c r="BS4165" s="15" t="n">
        <v>143</v>
      </c>
      <c r="CO4165" s="15" t="n">
        <v>143</v>
      </c>
      <c r="DK4165" s="15" t="n">
        <v>143</v>
      </c>
      <c r="EG4165" s="15" t="n">
        <v>143</v>
      </c>
      <c r="FC4165" s="15" t="n">
        <v>143</v>
      </c>
      <c r="FY4165" s="15" t="n">
        <v>143</v>
      </c>
      <c r="GU4165" s="15" t="n">
        <v>143</v>
      </c>
    </row>
    <row r="4166">
      <c r="C4166" s="15" t="n">
        <v>144</v>
      </c>
      <c r="AA4166" s="15" t="n">
        <v>144</v>
      </c>
      <c r="AW4166" s="15" t="n">
        <v>144</v>
      </c>
      <c r="BS4166" s="15" t="n">
        <v>144</v>
      </c>
      <c r="CO4166" s="15" t="n">
        <v>144</v>
      </c>
      <c r="DK4166" s="15" t="n">
        <v>144</v>
      </c>
      <c r="EG4166" s="15" t="n">
        <v>144</v>
      </c>
      <c r="FC4166" s="15" t="n">
        <v>144</v>
      </c>
      <c r="FY4166" s="15" t="n">
        <v>144</v>
      </c>
      <c r="GU4166" s="15" t="n">
        <v>144</v>
      </c>
    </row>
    <row r="4167">
      <c r="C4167" s="15" t="n">
        <v>145</v>
      </c>
      <c r="AA4167" s="15" t="n">
        <v>145</v>
      </c>
      <c r="AW4167" s="15" t="n">
        <v>145</v>
      </c>
      <c r="BS4167" s="15" t="n">
        <v>145</v>
      </c>
      <c r="CO4167" s="15" t="n">
        <v>145</v>
      </c>
      <c r="DK4167" s="15" t="n">
        <v>145</v>
      </c>
      <c r="EG4167" s="15" t="n">
        <v>145</v>
      </c>
      <c r="FC4167" s="15" t="n">
        <v>145</v>
      </c>
      <c r="FY4167" s="15" t="n">
        <v>145</v>
      </c>
      <c r="GU4167" s="15" t="n">
        <v>145</v>
      </c>
    </row>
    <row r="4168">
      <c r="C4168" s="15" t="n">
        <v>146</v>
      </c>
      <c r="AA4168" s="15" t="n">
        <v>146</v>
      </c>
      <c r="AW4168" s="15" t="n">
        <v>146</v>
      </c>
      <c r="BS4168" s="15" t="n">
        <v>146</v>
      </c>
      <c r="CO4168" s="15" t="n">
        <v>146</v>
      </c>
      <c r="DK4168" s="15" t="n">
        <v>146</v>
      </c>
      <c r="EG4168" s="15" t="n">
        <v>146</v>
      </c>
      <c r="FC4168" s="15" t="n">
        <v>146</v>
      </c>
      <c r="FY4168" s="15" t="n">
        <v>146</v>
      </c>
      <c r="GU4168" s="15" t="n">
        <v>146</v>
      </c>
    </row>
    <row r="4169">
      <c r="C4169" s="15" t="n">
        <v>147</v>
      </c>
      <c r="AA4169" s="15" t="n">
        <v>147</v>
      </c>
      <c r="AW4169" s="15" t="n">
        <v>147</v>
      </c>
      <c r="BS4169" s="15" t="n">
        <v>147</v>
      </c>
      <c r="CO4169" s="15" t="n">
        <v>147</v>
      </c>
      <c r="DK4169" s="15" t="n">
        <v>147</v>
      </c>
      <c r="EG4169" s="15" t="n">
        <v>147</v>
      </c>
      <c r="FC4169" s="15" t="n">
        <v>147</v>
      </c>
      <c r="FY4169" s="15" t="n">
        <v>147</v>
      </c>
      <c r="GU4169" s="15" t="n">
        <v>147</v>
      </c>
    </row>
    <row r="4170">
      <c r="C4170" s="15" t="n">
        <v>148</v>
      </c>
      <c r="AA4170" s="15" t="n">
        <v>148</v>
      </c>
      <c r="AW4170" s="15" t="n">
        <v>148</v>
      </c>
      <c r="BS4170" s="15" t="n">
        <v>148</v>
      </c>
      <c r="CO4170" s="15" t="n">
        <v>148</v>
      </c>
      <c r="DK4170" s="15" t="n">
        <v>148</v>
      </c>
      <c r="EG4170" s="15" t="n">
        <v>148</v>
      </c>
      <c r="FC4170" s="15" t="n">
        <v>148</v>
      </c>
      <c r="FY4170" s="15" t="n">
        <v>148</v>
      </c>
      <c r="GU4170" s="15" t="n">
        <v>148</v>
      </c>
    </row>
    <row r="4171">
      <c r="C4171" s="15" t="n">
        <v>149</v>
      </c>
      <c r="AA4171" s="15" t="n">
        <v>149</v>
      </c>
      <c r="AW4171" s="15" t="n">
        <v>149</v>
      </c>
      <c r="BS4171" s="15" t="n">
        <v>149</v>
      </c>
      <c r="CO4171" s="15" t="n">
        <v>149</v>
      </c>
      <c r="DK4171" s="15" t="n">
        <v>149</v>
      </c>
      <c r="EG4171" s="15" t="n">
        <v>149</v>
      </c>
      <c r="FC4171" s="15" t="n">
        <v>149</v>
      </c>
      <c r="FY4171" s="15" t="n">
        <v>149</v>
      </c>
      <c r="GU4171" s="15" t="n">
        <v>149</v>
      </c>
    </row>
    <row r="4172">
      <c r="C4172" s="15" t="n">
        <v>150</v>
      </c>
      <c r="AA4172" s="15" t="n">
        <v>150</v>
      </c>
      <c r="AW4172" s="15" t="n">
        <v>150</v>
      </c>
      <c r="BS4172" s="15" t="n">
        <v>150</v>
      </c>
      <c r="CO4172" s="15" t="n">
        <v>150</v>
      </c>
      <c r="DK4172" s="15" t="n">
        <v>150</v>
      </c>
      <c r="EG4172" s="15" t="n">
        <v>150</v>
      </c>
      <c r="FC4172" s="15" t="n">
        <v>150</v>
      </c>
      <c r="FY4172" s="15" t="n">
        <v>150</v>
      </c>
      <c r="GU4172" s="15" t="n">
        <v>150</v>
      </c>
    </row>
    <row r="4173">
      <c r="C4173" s="15" t="n">
        <v>151</v>
      </c>
      <c r="AA4173" s="15" t="n">
        <v>151</v>
      </c>
      <c r="AW4173" s="15" t="n">
        <v>151</v>
      </c>
      <c r="BS4173" s="15" t="n">
        <v>151</v>
      </c>
      <c r="CO4173" s="15" t="n">
        <v>151</v>
      </c>
      <c r="DK4173" s="15" t="n">
        <v>151</v>
      </c>
      <c r="EG4173" s="15" t="n">
        <v>151</v>
      </c>
      <c r="FC4173" s="15" t="n">
        <v>151</v>
      </c>
      <c r="FY4173" s="15" t="n">
        <v>151</v>
      </c>
      <c r="GU4173" s="15" t="n">
        <v>151</v>
      </c>
    </row>
    <row r="4174">
      <c r="C4174" s="15" t="n">
        <v>152</v>
      </c>
      <c r="AA4174" s="15" t="n">
        <v>152</v>
      </c>
      <c r="AW4174" s="15" t="n">
        <v>152</v>
      </c>
      <c r="BS4174" s="15" t="n">
        <v>152</v>
      </c>
      <c r="CO4174" s="15" t="n">
        <v>152</v>
      </c>
      <c r="DK4174" s="15" t="n">
        <v>152</v>
      </c>
      <c r="EG4174" s="15" t="n">
        <v>152</v>
      </c>
      <c r="FC4174" s="15" t="n">
        <v>152</v>
      </c>
      <c r="FY4174" s="15" t="n">
        <v>152</v>
      </c>
      <c r="GU4174" s="15" t="n">
        <v>152</v>
      </c>
    </row>
    <row r="4175">
      <c r="C4175" s="15" t="n">
        <v>153</v>
      </c>
      <c r="AA4175" s="15" t="n">
        <v>153</v>
      </c>
      <c r="AW4175" s="15" t="n">
        <v>153</v>
      </c>
      <c r="BS4175" s="15" t="n">
        <v>153</v>
      </c>
      <c r="CO4175" s="15" t="n">
        <v>153</v>
      </c>
      <c r="DK4175" s="15" t="n">
        <v>153</v>
      </c>
      <c r="EG4175" s="15" t="n">
        <v>153</v>
      </c>
      <c r="FC4175" s="15" t="n">
        <v>153</v>
      </c>
      <c r="FY4175" s="15" t="n">
        <v>153</v>
      </c>
      <c r="GU4175" s="15" t="n">
        <v>153</v>
      </c>
    </row>
    <row r="4176">
      <c r="C4176" s="15" t="n">
        <v>154</v>
      </c>
      <c r="AA4176" s="15" t="n">
        <v>154</v>
      </c>
      <c r="AW4176" s="15" t="n">
        <v>154</v>
      </c>
      <c r="BS4176" s="15" t="n">
        <v>154</v>
      </c>
      <c r="CO4176" s="15" t="n">
        <v>154</v>
      </c>
      <c r="DK4176" s="15" t="n">
        <v>154</v>
      </c>
      <c r="EG4176" s="15" t="n">
        <v>154</v>
      </c>
      <c r="FC4176" s="15" t="n">
        <v>154</v>
      </c>
      <c r="FY4176" s="15" t="n">
        <v>154</v>
      </c>
      <c r="GU4176" s="15" t="n">
        <v>154</v>
      </c>
    </row>
    <row r="4177">
      <c r="C4177" s="15" t="n">
        <v>155</v>
      </c>
      <c r="AA4177" s="15" t="n">
        <v>155</v>
      </c>
      <c r="AW4177" s="15" t="n">
        <v>155</v>
      </c>
      <c r="BS4177" s="15" t="n">
        <v>155</v>
      </c>
      <c r="CO4177" s="15" t="n">
        <v>155</v>
      </c>
      <c r="DK4177" s="15" t="n">
        <v>155</v>
      </c>
      <c r="EG4177" s="15" t="n">
        <v>155</v>
      </c>
      <c r="FC4177" s="15" t="n">
        <v>155</v>
      </c>
      <c r="FY4177" s="15" t="n">
        <v>155</v>
      </c>
      <c r="GU4177" s="15" t="n">
        <v>155</v>
      </c>
    </row>
    <row r="4178">
      <c r="C4178" s="15" t="n">
        <v>156</v>
      </c>
      <c r="AA4178" s="15" t="n">
        <v>156</v>
      </c>
      <c r="AW4178" s="15" t="n">
        <v>156</v>
      </c>
      <c r="BS4178" s="15" t="n">
        <v>156</v>
      </c>
      <c r="CO4178" s="15" t="n">
        <v>156</v>
      </c>
      <c r="DK4178" s="15" t="n">
        <v>156</v>
      </c>
      <c r="EG4178" s="15" t="n">
        <v>156</v>
      </c>
      <c r="FC4178" s="15" t="n">
        <v>156</v>
      </c>
      <c r="FY4178" s="15" t="n">
        <v>156</v>
      </c>
      <c r="GU4178" s="15" t="n">
        <v>156</v>
      </c>
    </row>
    <row r="4179">
      <c r="C4179" s="15" t="n">
        <v>157</v>
      </c>
      <c r="AA4179" s="15" t="n">
        <v>157</v>
      </c>
      <c r="AW4179" s="15" t="n">
        <v>157</v>
      </c>
      <c r="BS4179" s="15" t="n">
        <v>157</v>
      </c>
      <c r="CO4179" s="15" t="n">
        <v>157</v>
      </c>
      <c r="DK4179" s="15" t="n">
        <v>157</v>
      </c>
      <c r="EG4179" s="15" t="n">
        <v>157</v>
      </c>
      <c r="FC4179" s="15" t="n">
        <v>157</v>
      </c>
      <c r="FY4179" s="15" t="n">
        <v>157</v>
      </c>
      <c r="GU4179" s="15" t="n">
        <v>157</v>
      </c>
    </row>
    <row r="4180">
      <c r="C4180" s="15" t="n">
        <v>158</v>
      </c>
      <c r="AA4180" s="15" t="n">
        <v>158</v>
      </c>
      <c r="AW4180" s="15" t="n">
        <v>158</v>
      </c>
      <c r="BS4180" s="15" t="n">
        <v>158</v>
      </c>
      <c r="CO4180" s="15" t="n">
        <v>158</v>
      </c>
      <c r="DK4180" s="15" t="n">
        <v>158</v>
      </c>
      <c r="EG4180" s="15" t="n">
        <v>158</v>
      </c>
      <c r="FC4180" s="15" t="n">
        <v>158</v>
      </c>
      <c r="FY4180" s="15" t="n">
        <v>158</v>
      </c>
      <c r="GU4180" s="15" t="n">
        <v>158</v>
      </c>
    </row>
    <row r="4181">
      <c r="C4181" s="15" t="n">
        <v>159</v>
      </c>
      <c r="AA4181" s="15" t="n">
        <v>159</v>
      </c>
      <c r="AW4181" s="15" t="n">
        <v>159</v>
      </c>
      <c r="BS4181" s="15" t="n">
        <v>159</v>
      </c>
      <c r="CO4181" s="15" t="n">
        <v>159</v>
      </c>
      <c r="DK4181" s="15" t="n">
        <v>159</v>
      </c>
      <c r="EG4181" s="15" t="n">
        <v>159</v>
      </c>
      <c r="FC4181" s="15" t="n">
        <v>159</v>
      </c>
      <c r="FY4181" s="15" t="n">
        <v>159</v>
      </c>
      <c r="GU4181" s="15" t="n">
        <v>159</v>
      </c>
    </row>
    <row r="4182">
      <c r="C4182" s="15" t="n">
        <v>160</v>
      </c>
      <c r="AA4182" s="15" t="n">
        <v>160</v>
      </c>
      <c r="AW4182" s="15" t="n">
        <v>160</v>
      </c>
      <c r="BS4182" s="15" t="n">
        <v>160</v>
      </c>
      <c r="CO4182" s="15" t="n">
        <v>160</v>
      </c>
      <c r="DK4182" s="15" t="n">
        <v>160</v>
      </c>
      <c r="EG4182" s="15" t="n">
        <v>160</v>
      </c>
      <c r="FC4182" s="15" t="n">
        <v>160</v>
      </c>
      <c r="FY4182" s="15" t="n">
        <v>160</v>
      </c>
      <c r="GU4182" s="15" t="n">
        <v>160</v>
      </c>
    </row>
    <row r="4183">
      <c r="C4183" s="15" t="n">
        <v>161</v>
      </c>
      <c r="AA4183" s="15" t="n">
        <v>161</v>
      </c>
      <c r="AW4183" s="15" t="n">
        <v>161</v>
      </c>
      <c r="BS4183" s="15" t="n">
        <v>161</v>
      </c>
      <c r="CO4183" s="15" t="n">
        <v>161</v>
      </c>
      <c r="DK4183" s="15" t="n">
        <v>161</v>
      </c>
      <c r="EG4183" s="15" t="n">
        <v>161</v>
      </c>
      <c r="FC4183" s="15" t="n">
        <v>161</v>
      </c>
      <c r="FY4183" s="15" t="n">
        <v>161</v>
      </c>
      <c r="GU4183" s="15" t="n">
        <v>161</v>
      </c>
    </row>
    <row r="4184">
      <c r="C4184" s="15" t="n">
        <v>162</v>
      </c>
      <c r="AA4184" s="15" t="n">
        <v>162</v>
      </c>
      <c r="AW4184" s="15" t="n">
        <v>162</v>
      </c>
      <c r="BS4184" s="15" t="n">
        <v>162</v>
      </c>
      <c r="CO4184" s="15" t="n">
        <v>162</v>
      </c>
      <c r="DK4184" s="15" t="n">
        <v>162</v>
      </c>
      <c r="EG4184" s="15" t="n">
        <v>162</v>
      </c>
      <c r="FC4184" s="15" t="n">
        <v>162</v>
      </c>
      <c r="FY4184" s="15" t="n">
        <v>162</v>
      </c>
      <c r="GU4184" s="15" t="n">
        <v>162</v>
      </c>
    </row>
    <row r="4185">
      <c r="C4185" s="15" t="n">
        <v>163</v>
      </c>
      <c r="AA4185" s="15" t="n">
        <v>163</v>
      </c>
      <c r="AW4185" s="15" t="n">
        <v>163</v>
      </c>
      <c r="BS4185" s="15" t="n">
        <v>163</v>
      </c>
      <c r="CO4185" s="15" t="n">
        <v>163</v>
      </c>
      <c r="DK4185" s="15" t="n">
        <v>163</v>
      </c>
      <c r="EG4185" s="15" t="n">
        <v>163</v>
      </c>
      <c r="FC4185" s="15" t="n">
        <v>163</v>
      </c>
      <c r="FY4185" s="15" t="n">
        <v>163</v>
      </c>
      <c r="GU4185" s="15" t="n">
        <v>163</v>
      </c>
    </row>
    <row r="4186">
      <c r="C4186" s="15" t="n">
        <v>164</v>
      </c>
      <c r="AA4186" s="15" t="n">
        <v>164</v>
      </c>
      <c r="AW4186" s="15" t="n">
        <v>164</v>
      </c>
      <c r="BS4186" s="15" t="n">
        <v>164</v>
      </c>
      <c r="CO4186" s="15" t="n">
        <v>164</v>
      </c>
      <c r="DK4186" s="15" t="n">
        <v>164</v>
      </c>
      <c r="EG4186" s="15" t="n">
        <v>164</v>
      </c>
      <c r="FC4186" s="15" t="n">
        <v>164</v>
      </c>
      <c r="FY4186" s="15" t="n">
        <v>164</v>
      </c>
      <c r="GU4186" s="15" t="n">
        <v>164</v>
      </c>
    </row>
    <row r="4187">
      <c r="C4187" s="15" t="n">
        <v>165</v>
      </c>
      <c r="AA4187" s="15" t="n">
        <v>165</v>
      </c>
      <c r="AW4187" s="15" t="n">
        <v>165</v>
      </c>
      <c r="BS4187" s="15" t="n">
        <v>165</v>
      </c>
      <c r="CO4187" s="15" t="n">
        <v>165</v>
      </c>
      <c r="DK4187" s="15" t="n">
        <v>165</v>
      </c>
      <c r="EG4187" s="15" t="n">
        <v>165</v>
      </c>
      <c r="FC4187" s="15" t="n">
        <v>165</v>
      </c>
      <c r="FY4187" s="15" t="n">
        <v>165</v>
      </c>
      <c r="GU4187" s="15" t="n">
        <v>165</v>
      </c>
    </row>
    <row r="4188">
      <c r="C4188" s="15" t="n">
        <v>166</v>
      </c>
      <c r="AA4188" s="15" t="n">
        <v>166</v>
      </c>
      <c r="AW4188" s="15" t="n">
        <v>166</v>
      </c>
      <c r="BS4188" s="15" t="n">
        <v>166</v>
      </c>
      <c r="CO4188" s="15" t="n">
        <v>166</v>
      </c>
      <c r="DK4188" s="15" t="n">
        <v>166</v>
      </c>
      <c r="EG4188" s="15" t="n">
        <v>166</v>
      </c>
      <c r="FC4188" s="15" t="n">
        <v>166</v>
      </c>
      <c r="FY4188" s="15" t="n">
        <v>166</v>
      </c>
      <c r="GU4188" s="15" t="n">
        <v>166</v>
      </c>
    </row>
    <row r="4189">
      <c r="C4189" s="15" t="n">
        <v>167</v>
      </c>
      <c r="AA4189" s="15" t="n">
        <v>167</v>
      </c>
      <c r="AW4189" s="15" t="n">
        <v>167</v>
      </c>
      <c r="BS4189" s="15" t="n">
        <v>167</v>
      </c>
      <c r="CO4189" s="15" t="n">
        <v>167</v>
      </c>
      <c r="DK4189" s="15" t="n">
        <v>167</v>
      </c>
      <c r="EG4189" s="15" t="n">
        <v>167</v>
      </c>
      <c r="FC4189" s="15" t="n">
        <v>167</v>
      </c>
      <c r="FY4189" s="15" t="n">
        <v>167</v>
      </c>
      <c r="GU4189" s="15" t="n">
        <v>167</v>
      </c>
    </row>
    <row r="4190">
      <c r="C4190" s="15" t="n">
        <v>168</v>
      </c>
      <c r="AA4190" s="15" t="n">
        <v>168</v>
      </c>
      <c r="AW4190" s="15" t="n">
        <v>168</v>
      </c>
      <c r="BS4190" s="15" t="n">
        <v>168</v>
      </c>
      <c r="CO4190" s="15" t="n">
        <v>168</v>
      </c>
      <c r="DK4190" s="15" t="n">
        <v>168</v>
      </c>
      <c r="EG4190" s="15" t="n">
        <v>168</v>
      </c>
      <c r="FC4190" s="15" t="n">
        <v>168</v>
      </c>
      <c r="FY4190" s="15" t="n">
        <v>168</v>
      </c>
      <c r="GU4190" s="15" t="n">
        <v>168</v>
      </c>
    </row>
    <row r="4191">
      <c r="C4191" s="15" t="n">
        <v>169</v>
      </c>
      <c r="AA4191" s="15" t="n">
        <v>169</v>
      </c>
      <c r="AW4191" s="15" t="n">
        <v>169</v>
      </c>
      <c r="BS4191" s="15" t="n">
        <v>169</v>
      </c>
      <c r="CO4191" s="15" t="n">
        <v>169</v>
      </c>
      <c r="DK4191" s="15" t="n">
        <v>169</v>
      </c>
      <c r="EG4191" s="15" t="n">
        <v>169</v>
      </c>
      <c r="FC4191" s="15" t="n">
        <v>169</v>
      </c>
      <c r="FY4191" s="15" t="n">
        <v>169</v>
      </c>
      <c r="GU4191" s="15" t="n">
        <v>169</v>
      </c>
    </row>
    <row r="4192">
      <c r="C4192" s="15" t="n">
        <v>170</v>
      </c>
      <c r="AA4192" s="15" t="n">
        <v>170</v>
      </c>
      <c r="AW4192" s="15" t="n">
        <v>170</v>
      </c>
      <c r="BS4192" s="15" t="n">
        <v>170</v>
      </c>
      <c r="CO4192" s="15" t="n">
        <v>170</v>
      </c>
      <c r="DK4192" s="15" t="n">
        <v>170</v>
      </c>
      <c r="EG4192" s="15" t="n">
        <v>170</v>
      </c>
      <c r="FC4192" s="15" t="n">
        <v>170</v>
      </c>
      <c r="FY4192" s="15" t="n">
        <v>170</v>
      </c>
      <c r="GU4192" s="15" t="n">
        <v>170</v>
      </c>
    </row>
    <row r="4193">
      <c r="C4193" s="15" t="n">
        <v>171</v>
      </c>
      <c r="AA4193" s="15" t="n">
        <v>171</v>
      </c>
      <c r="AW4193" s="15" t="n">
        <v>171</v>
      </c>
      <c r="BS4193" s="15" t="n">
        <v>171</v>
      </c>
      <c r="CO4193" s="15" t="n">
        <v>171</v>
      </c>
      <c r="DK4193" s="15" t="n">
        <v>171</v>
      </c>
      <c r="EG4193" s="15" t="n">
        <v>171</v>
      </c>
      <c r="FC4193" s="15" t="n">
        <v>171</v>
      </c>
      <c r="FY4193" s="15" t="n">
        <v>171</v>
      </c>
      <c r="GU4193" s="15" t="n">
        <v>171</v>
      </c>
    </row>
    <row r="4194">
      <c r="C4194" s="15" t="n">
        <v>172</v>
      </c>
      <c r="AA4194" s="15" t="n">
        <v>172</v>
      </c>
      <c r="AW4194" s="15" t="n">
        <v>172</v>
      </c>
      <c r="BS4194" s="15" t="n">
        <v>172</v>
      </c>
      <c r="CO4194" s="15" t="n">
        <v>172</v>
      </c>
      <c r="DK4194" s="15" t="n">
        <v>172</v>
      </c>
      <c r="EG4194" s="15" t="n">
        <v>172</v>
      </c>
      <c r="FC4194" s="15" t="n">
        <v>172</v>
      </c>
      <c r="FY4194" s="15" t="n">
        <v>172</v>
      </c>
      <c r="GU4194" s="15" t="n">
        <v>172</v>
      </c>
    </row>
    <row r="4195">
      <c r="C4195" s="15" t="n">
        <v>173</v>
      </c>
      <c r="AA4195" s="15" t="n">
        <v>173</v>
      </c>
      <c r="AW4195" s="15" t="n">
        <v>173</v>
      </c>
      <c r="BS4195" s="15" t="n">
        <v>173</v>
      </c>
      <c r="CO4195" s="15" t="n">
        <v>173</v>
      </c>
      <c r="DK4195" s="15" t="n">
        <v>173</v>
      </c>
      <c r="EG4195" s="15" t="n">
        <v>173</v>
      </c>
      <c r="FC4195" s="15" t="n">
        <v>173</v>
      </c>
      <c r="FY4195" s="15" t="n">
        <v>173</v>
      </c>
      <c r="GU4195" s="15" t="n">
        <v>173</v>
      </c>
    </row>
    <row r="4196">
      <c r="C4196" s="15" t="n">
        <v>174</v>
      </c>
      <c r="AA4196" s="15" t="n">
        <v>174</v>
      </c>
      <c r="AW4196" s="15" t="n">
        <v>174</v>
      </c>
      <c r="BS4196" s="15" t="n">
        <v>174</v>
      </c>
      <c r="CO4196" s="15" t="n">
        <v>174</v>
      </c>
      <c r="DK4196" s="15" t="n">
        <v>174</v>
      </c>
      <c r="EG4196" s="15" t="n">
        <v>174</v>
      </c>
      <c r="FC4196" s="15" t="n">
        <v>174</v>
      </c>
      <c r="FY4196" s="15" t="n">
        <v>174</v>
      </c>
      <c r="GU4196" s="15" t="n">
        <v>174</v>
      </c>
    </row>
    <row r="4197">
      <c r="C4197" s="15" t="n">
        <v>175</v>
      </c>
      <c r="AA4197" s="15" t="n">
        <v>175</v>
      </c>
      <c r="AW4197" s="15" t="n">
        <v>175</v>
      </c>
      <c r="BS4197" s="15" t="n">
        <v>175</v>
      </c>
      <c r="CO4197" s="15" t="n">
        <v>175</v>
      </c>
      <c r="DK4197" s="15" t="n">
        <v>175</v>
      </c>
      <c r="EG4197" s="15" t="n">
        <v>175</v>
      </c>
      <c r="FC4197" s="15" t="n">
        <v>175</v>
      </c>
      <c r="FY4197" s="15" t="n">
        <v>175</v>
      </c>
      <c r="GU4197" s="15" t="n">
        <v>175</v>
      </c>
    </row>
    <row r="4198">
      <c r="C4198" s="15" t="n">
        <v>176</v>
      </c>
      <c r="AA4198" s="15" t="n">
        <v>176</v>
      </c>
      <c r="AW4198" s="15" t="n">
        <v>176</v>
      </c>
      <c r="BS4198" s="15" t="n">
        <v>176</v>
      </c>
      <c r="CO4198" s="15" t="n">
        <v>176</v>
      </c>
      <c r="DK4198" s="15" t="n">
        <v>176</v>
      </c>
      <c r="EG4198" s="15" t="n">
        <v>176</v>
      </c>
      <c r="FC4198" s="15" t="n">
        <v>176</v>
      </c>
      <c r="FY4198" s="15" t="n">
        <v>176</v>
      </c>
      <c r="GU4198" s="15" t="n">
        <v>176</v>
      </c>
    </row>
    <row r="4199">
      <c r="C4199" s="15" t="n">
        <v>177</v>
      </c>
      <c r="AA4199" s="15" t="n">
        <v>177</v>
      </c>
      <c r="AW4199" s="15" t="n">
        <v>177</v>
      </c>
      <c r="BS4199" s="15" t="n">
        <v>177</v>
      </c>
      <c r="CO4199" s="15" t="n">
        <v>177</v>
      </c>
      <c r="DK4199" s="15" t="n">
        <v>177</v>
      </c>
      <c r="EG4199" s="15" t="n">
        <v>177</v>
      </c>
      <c r="FC4199" s="15" t="n">
        <v>177</v>
      </c>
      <c r="FY4199" s="15" t="n">
        <v>177</v>
      </c>
      <c r="GU4199" s="15" t="n">
        <v>177</v>
      </c>
    </row>
    <row r="4200">
      <c r="C4200" s="15" t="n">
        <v>178</v>
      </c>
      <c r="AA4200" s="15" t="n">
        <v>178</v>
      </c>
      <c r="AW4200" s="15" t="n">
        <v>178</v>
      </c>
      <c r="BS4200" s="15" t="n">
        <v>178</v>
      </c>
      <c r="CO4200" s="15" t="n">
        <v>178</v>
      </c>
      <c r="DK4200" s="15" t="n">
        <v>178</v>
      </c>
      <c r="EG4200" s="15" t="n">
        <v>178</v>
      </c>
      <c r="FC4200" s="15" t="n">
        <v>178</v>
      </c>
      <c r="FY4200" s="15" t="n">
        <v>178</v>
      </c>
      <c r="GU4200" s="15" t="n">
        <v>178</v>
      </c>
    </row>
    <row r="4201">
      <c r="C4201" s="15" t="n">
        <v>179</v>
      </c>
      <c r="AA4201" s="15" t="n">
        <v>179</v>
      </c>
      <c r="AW4201" s="15" t="n">
        <v>179</v>
      </c>
      <c r="BS4201" s="15" t="n">
        <v>179</v>
      </c>
      <c r="CO4201" s="15" t="n">
        <v>179</v>
      </c>
      <c r="DK4201" s="15" t="n">
        <v>179</v>
      </c>
      <c r="EG4201" s="15" t="n">
        <v>179</v>
      </c>
      <c r="FC4201" s="15" t="n">
        <v>179</v>
      </c>
      <c r="FY4201" s="15" t="n">
        <v>179</v>
      </c>
      <c r="GU4201" s="15" t="n">
        <v>179</v>
      </c>
    </row>
    <row r="4202">
      <c r="C4202" s="15" t="n">
        <v>180</v>
      </c>
      <c r="AA4202" s="15" t="n">
        <v>180</v>
      </c>
      <c r="AW4202" s="15" t="n">
        <v>180</v>
      </c>
      <c r="BS4202" s="15" t="n">
        <v>180</v>
      </c>
      <c r="CO4202" s="15" t="n">
        <v>180</v>
      </c>
      <c r="DK4202" s="15" t="n">
        <v>180</v>
      </c>
      <c r="EG4202" s="15" t="n">
        <v>180</v>
      </c>
      <c r="FC4202" s="15" t="n">
        <v>180</v>
      </c>
      <c r="FY4202" s="15" t="n">
        <v>180</v>
      </c>
      <c r="GU4202" s="15" t="n">
        <v>180</v>
      </c>
    </row>
    <row r="4203">
      <c r="C4203" s="15" t="n">
        <v>181</v>
      </c>
      <c r="AA4203" s="15" t="n">
        <v>181</v>
      </c>
      <c r="AW4203" s="15" t="n">
        <v>181</v>
      </c>
      <c r="BS4203" s="15" t="n">
        <v>181</v>
      </c>
      <c r="CO4203" s="15" t="n">
        <v>181</v>
      </c>
      <c r="DK4203" s="15" t="n">
        <v>181</v>
      </c>
      <c r="EG4203" s="15" t="n">
        <v>181</v>
      </c>
      <c r="FC4203" s="15" t="n">
        <v>181</v>
      </c>
      <c r="FY4203" s="15" t="n">
        <v>181</v>
      </c>
      <c r="GU4203" s="15" t="n">
        <v>181</v>
      </c>
    </row>
    <row r="4204">
      <c r="C4204" s="15" t="n">
        <v>182</v>
      </c>
      <c r="AA4204" s="15" t="n">
        <v>182</v>
      </c>
      <c r="AW4204" s="15" t="n">
        <v>182</v>
      </c>
      <c r="BS4204" s="15" t="n">
        <v>182</v>
      </c>
      <c r="CO4204" s="15" t="n">
        <v>182</v>
      </c>
      <c r="DK4204" s="15" t="n">
        <v>182</v>
      </c>
      <c r="EG4204" s="15" t="n">
        <v>182</v>
      </c>
      <c r="FC4204" s="15" t="n">
        <v>182</v>
      </c>
      <c r="FY4204" s="15" t="n">
        <v>182</v>
      </c>
      <c r="GU4204" s="15" t="n">
        <v>182</v>
      </c>
    </row>
    <row r="4205">
      <c r="C4205" s="15" t="n">
        <v>183</v>
      </c>
      <c r="AA4205" s="15" t="n">
        <v>183</v>
      </c>
      <c r="AW4205" s="15" t="n">
        <v>183</v>
      </c>
      <c r="BS4205" s="15" t="n">
        <v>183</v>
      </c>
      <c r="CO4205" s="15" t="n">
        <v>183</v>
      </c>
      <c r="DK4205" s="15" t="n">
        <v>183</v>
      </c>
      <c r="EG4205" s="15" t="n">
        <v>183</v>
      </c>
      <c r="FC4205" s="15" t="n">
        <v>183</v>
      </c>
      <c r="FY4205" s="15" t="n">
        <v>183</v>
      </c>
      <c r="GU4205" s="15" t="n">
        <v>183</v>
      </c>
    </row>
    <row r="4206">
      <c r="C4206" s="15" t="n">
        <v>184</v>
      </c>
      <c r="AA4206" s="15" t="n">
        <v>184</v>
      </c>
      <c r="AW4206" s="15" t="n">
        <v>184</v>
      </c>
      <c r="BS4206" s="15" t="n">
        <v>184</v>
      </c>
      <c r="CO4206" s="15" t="n">
        <v>184</v>
      </c>
      <c r="DK4206" s="15" t="n">
        <v>184</v>
      </c>
      <c r="EG4206" s="15" t="n">
        <v>184</v>
      </c>
      <c r="FC4206" s="15" t="n">
        <v>184</v>
      </c>
      <c r="FY4206" s="15" t="n">
        <v>184</v>
      </c>
      <c r="GU4206" s="15" t="n">
        <v>184</v>
      </c>
    </row>
    <row r="4207">
      <c r="C4207" s="15" t="n">
        <v>185</v>
      </c>
      <c r="AA4207" s="15" t="n">
        <v>185</v>
      </c>
      <c r="AW4207" s="15" t="n">
        <v>185</v>
      </c>
      <c r="BS4207" s="15" t="n">
        <v>185</v>
      </c>
      <c r="CO4207" s="15" t="n">
        <v>185</v>
      </c>
      <c r="DK4207" s="15" t="n">
        <v>185</v>
      </c>
      <c r="EG4207" s="15" t="n">
        <v>185</v>
      </c>
      <c r="FC4207" s="15" t="n">
        <v>185</v>
      </c>
      <c r="FY4207" s="15" t="n">
        <v>185</v>
      </c>
      <c r="GU4207" s="15" t="n">
        <v>185</v>
      </c>
    </row>
    <row r="4208">
      <c r="C4208" s="15" t="n">
        <v>186</v>
      </c>
      <c r="AA4208" s="15" t="n">
        <v>186</v>
      </c>
      <c r="AW4208" s="15" t="n">
        <v>186</v>
      </c>
      <c r="BS4208" s="15" t="n">
        <v>186</v>
      </c>
      <c r="CO4208" s="15" t="n">
        <v>186</v>
      </c>
      <c r="DK4208" s="15" t="n">
        <v>186</v>
      </c>
      <c r="EG4208" s="15" t="n">
        <v>186</v>
      </c>
      <c r="FC4208" s="15" t="n">
        <v>186</v>
      </c>
      <c r="FY4208" s="15" t="n">
        <v>186</v>
      </c>
      <c r="GU4208" s="15" t="n">
        <v>186</v>
      </c>
    </row>
    <row r="4209">
      <c r="C4209" s="15" t="n">
        <v>187</v>
      </c>
      <c r="AA4209" s="15" t="n">
        <v>187</v>
      </c>
      <c r="AW4209" s="15" t="n">
        <v>187</v>
      </c>
      <c r="BS4209" s="15" t="n">
        <v>187</v>
      </c>
      <c r="CO4209" s="15" t="n">
        <v>187</v>
      </c>
      <c r="DK4209" s="15" t="n">
        <v>187</v>
      </c>
      <c r="EG4209" s="15" t="n">
        <v>187</v>
      </c>
      <c r="FC4209" s="15" t="n">
        <v>187</v>
      </c>
      <c r="FY4209" s="15" t="n">
        <v>187</v>
      </c>
      <c r="GU4209" s="15" t="n">
        <v>187</v>
      </c>
    </row>
    <row r="4210">
      <c r="C4210" s="15" t="n">
        <v>188</v>
      </c>
      <c r="AA4210" s="15" t="n">
        <v>188</v>
      </c>
      <c r="AW4210" s="15" t="n">
        <v>188</v>
      </c>
      <c r="BS4210" s="15" t="n">
        <v>188</v>
      </c>
      <c r="CO4210" s="15" t="n">
        <v>188</v>
      </c>
      <c r="DK4210" s="15" t="n">
        <v>188</v>
      </c>
      <c r="EG4210" s="15" t="n">
        <v>188</v>
      </c>
      <c r="FC4210" s="15" t="n">
        <v>188</v>
      </c>
      <c r="FY4210" s="15" t="n">
        <v>188</v>
      </c>
      <c r="GU4210" s="15" t="n">
        <v>188</v>
      </c>
    </row>
    <row r="4211">
      <c r="C4211" s="15" t="n">
        <v>189</v>
      </c>
      <c r="AA4211" s="15" t="n">
        <v>189</v>
      </c>
      <c r="AW4211" s="15" t="n">
        <v>189</v>
      </c>
      <c r="BS4211" s="15" t="n">
        <v>189</v>
      </c>
      <c r="CO4211" s="15" t="n">
        <v>189</v>
      </c>
      <c r="DK4211" s="15" t="n">
        <v>189</v>
      </c>
      <c r="EG4211" s="15" t="n">
        <v>189</v>
      </c>
      <c r="FC4211" s="15" t="n">
        <v>189</v>
      </c>
      <c r="FY4211" s="15" t="n">
        <v>189</v>
      </c>
      <c r="GU4211" s="15" t="n">
        <v>189</v>
      </c>
    </row>
    <row r="4212">
      <c r="C4212" s="15" t="n">
        <v>190</v>
      </c>
      <c r="AA4212" s="15" t="n">
        <v>190</v>
      </c>
      <c r="AW4212" s="15" t="n">
        <v>190</v>
      </c>
      <c r="BS4212" s="15" t="n">
        <v>190</v>
      </c>
      <c r="CO4212" s="15" t="n">
        <v>190</v>
      </c>
      <c r="DK4212" s="15" t="n">
        <v>190</v>
      </c>
      <c r="EG4212" s="15" t="n">
        <v>190</v>
      </c>
      <c r="FC4212" s="15" t="n">
        <v>190</v>
      </c>
      <c r="FY4212" s="15" t="n">
        <v>190</v>
      </c>
      <c r="GU4212" s="15" t="n">
        <v>190</v>
      </c>
    </row>
    <row r="4213">
      <c r="C4213" s="15" t="n">
        <v>191</v>
      </c>
      <c r="AA4213" s="15" t="n">
        <v>191</v>
      </c>
      <c r="AW4213" s="15" t="n">
        <v>191</v>
      </c>
      <c r="BS4213" s="15" t="n">
        <v>191</v>
      </c>
      <c r="CO4213" s="15" t="n">
        <v>191</v>
      </c>
      <c r="DK4213" s="15" t="n">
        <v>191</v>
      </c>
      <c r="EG4213" s="15" t="n">
        <v>191</v>
      </c>
      <c r="FC4213" s="15" t="n">
        <v>191</v>
      </c>
      <c r="FY4213" s="15" t="n">
        <v>191</v>
      </c>
      <c r="GU4213" s="15" t="n">
        <v>191</v>
      </c>
    </row>
    <row r="4214">
      <c r="C4214" s="15" t="n">
        <v>192</v>
      </c>
      <c r="AA4214" s="15" t="n">
        <v>192</v>
      </c>
      <c r="AW4214" s="15" t="n">
        <v>192</v>
      </c>
      <c r="BS4214" s="15" t="n">
        <v>192</v>
      </c>
      <c r="CO4214" s="15" t="n">
        <v>192</v>
      </c>
      <c r="DK4214" s="15" t="n">
        <v>192</v>
      </c>
      <c r="EG4214" s="15" t="n">
        <v>192</v>
      </c>
      <c r="FC4214" s="15" t="n">
        <v>192</v>
      </c>
      <c r="FY4214" s="15" t="n">
        <v>192</v>
      </c>
      <c r="GU4214" s="15" t="n">
        <v>192</v>
      </c>
    </row>
    <row r="4215">
      <c r="C4215" s="15" t="n">
        <v>193</v>
      </c>
      <c r="AA4215" s="15" t="n">
        <v>193</v>
      </c>
      <c r="AW4215" s="15" t="n">
        <v>193</v>
      </c>
      <c r="BS4215" s="15" t="n">
        <v>193</v>
      </c>
      <c r="CO4215" s="15" t="n">
        <v>193</v>
      </c>
      <c r="DK4215" s="15" t="n">
        <v>193</v>
      </c>
      <c r="EG4215" s="15" t="n">
        <v>193</v>
      </c>
      <c r="FC4215" s="15" t="n">
        <v>193</v>
      </c>
      <c r="FY4215" s="15" t="n">
        <v>193</v>
      </c>
      <c r="GU4215" s="15" t="n">
        <v>193</v>
      </c>
    </row>
    <row r="4216">
      <c r="C4216" s="15" t="n">
        <v>194</v>
      </c>
      <c r="AA4216" s="15" t="n">
        <v>194</v>
      </c>
      <c r="AW4216" s="15" t="n">
        <v>194</v>
      </c>
      <c r="BS4216" s="15" t="n">
        <v>194</v>
      </c>
      <c r="CO4216" s="15" t="n">
        <v>194</v>
      </c>
      <c r="DK4216" s="15" t="n">
        <v>194</v>
      </c>
      <c r="EG4216" s="15" t="n">
        <v>194</v>
      </c>
      <c r="FC4216" s="15" t="n">
        <v>194</v>
      </c>
      <c r="FY4216" s="15" t="n">
        <v>194</v>
      </c>
      <c r="GU4216" s="15" t="n">
        <v>194</v>
      </c>
    </row>
    <row r="4217">
      <c r="C4217" s="15" t="n">
        <v>195</v>
      </c>
      <c r="AA4217" s="15" t="n">
        <v>195</v>
      </c>
      <c r="AW4217" s="15" t="n">
        <v>195</v>
      </c>
      <c r="BS4217" s="15" t="n">
        <v>195</v>
      </c>
      <c r="CO4217" s="15" t="n">
        <v>195</v>
      </c>
      <c r="DK4217" s="15" t="n">
        <v>195</v>
      </c>
      <c r="EG4217" s="15" t="n">
        <v>195</v>
      </c>
      <c r="FC4217" s="15" t="n">
        <v>195</v>
      </c>
      <c r="FY4217" s="15" t="n">
        <v>195</v>
      </c>
      <c r="GU4217" s="15" t="n">
        <v>195</v>
      </c>
    </row>
    <row r="4218">
      <c r="C4218" s="15" t="n">
        <v>196</v>
      </c>
      <c r="AA4218" s="15" t="n">
        <v>196</v>
      </c>
      <c r="AW4218" s="15" t="n">
        <v>196</v>
      </c>
      <c r="BS4218" s="15" t="n">
        <v>196</v>
      </c>
      <c r="CO4218" s="15" t="n">
        <v>196</v>
      </c>
      <c r="DK4218" s="15" t="n">
        <v>196</v>
      </c>
      <c r="EG4218" s="15" t="n">
        <v>196</v>
      </c>
      <c r="FC4218" s="15" t="n">
        <v>196</v>
      </c>
      <c r="FY4218" s="15" t="n">
        <v>196</v>
      </c>
      <c r="GU4218" s="15" t="n">
        <v>196</v>
      </c>
    </row>
    <row r="4219">
      <c r="C4219" s="15" t="n">
        <v>197</v>
      </c>
      <c r="AA4219" s="15" t="n">
        <v>197</v>
      </c>
      <c r="AW4219" s="15" t="n">
        <v>197</v>
      </c>
      <c r="BS4219" s="15" t="n">
        <v>197</v>
      </c>
      <c r="CO4219" s="15" t="n">
        <v>197</v>
      </c>
      <c r="DK4219" s="15" t="n">
        <v>197</v>
      </c>
      <c r="EG4219" s="15" t="n">
        <v>197</v>
      </c>
      <c r="FC4219" s="15" t="n">
        <v>197</v>
      </c>
      <c r="FY4219" s="15" t="n">
        <v>197</v>
      </c>
      <c r="GU4219" s="15" t="n">
        <v>197</v>
      </c>
    </row>
    <row r="4220">
      <c r="C4220" s="15" t="n">
        <v>198</v>
      </c>
      <c r="AA4220" s="15" t="n">
        <v>198</v>
      </c>
      <c r="AW4220" s="15" t="n">
        <v>198</v>
      </c>
      <c r="BS4220" s="15" t="n">
        <v>198</v>
      </c>
      <c r="CO4220" s="15" t="n">
        <v>198</v>
      </c>
      <c r="DK4220" s="15" t="n">
        <v>198</v>
      </c>
      <c r="EG4220" s="15" t="n">
        <v>198</v>
      </c>
      <c r="FC4220" s="15" t="n">
        <v>198</v>
      </c>
      <c r="FY4220" s="15" t="n">
        <v>198</v>
      </c>
      <c r="GU4220" s="15" t="n">
        <v>198</v>
      </c>
    </row>
    <row r="4222" ht="16.2" customHeight="1">
      <c r="C4222" s="15" t="inlineStr">
        <is>
          <t>Aleatória S2nd</t>
        </is>
      </c>
      <c r="D4222" s="15" t="n">
        <v>22</v>
      </c>
      <c r="E4222" s="15" t="n">
        <v>23</v>
      </c>
      <c r="F4222" s="15" t="n">
        <v>24</v>
      </c>
      <c r="AA4222" s="15" t="inlineStr">
        <is>
          <t>Aleatória S2nd</t>
        </is>
      </c>
      <c r="AB4222" s="15" t="n">
        <v>22</v>
      </c>
      <c r="AC4222" s="15" t="n">
        <v>23</v>
      </c>
      <c r="AD4222" s="15" t="n">
        <v>24</v>
      </c>
      <c r="AW4222" s="15" t="inlineStr">
        <is>
          <t>Aleatória S2nd</t>
        </is>
      </c>
      <c r="AX4222" s="15" t="n">
        <v>22</v>
      </c>
      <c r="AY4222" s="15" t="n">
        <v>23</v>
      </c>
      <c r="AZ4222" s="15" t="n">
        <v>24</v>
      </c>
      <c r="BS4222" s="15" t="inlineStr">
        <is>
          <t>Aleatória S2nd</t>
        </is>
      </c>
      <c r="BT4222" s="15" t="n">
        <v>22</v>
      </c>
      <c r="BU4222" s="15" t="n">
        <v>23</v>
      </c>
      <c r="BV4222" s="15" t="n">
        <v>24</v>
      </c>
      <c r="CO4222" s="15" t="inlineStr">
        <is>
          <t>Aleatória S2nd</t>
        </is>
      </c>
      <c r="CP4222" s="15" t="n">
        <v>22</v>
      </c>
      <c r="CQ4222" s="15" t="n">
        <v>23</v>
      </c>
      <c r="CR4222" s="15" t="n">
        <v>24</v>
      </c>
      <c r="DK4222" s="15" t="inlineStr">
        <is>
          <t>Aleatória S2nd</t>
        </is>
      </c>
      <c r="DL4222" s="15" t="n">
        <v>22</v>
      </c>
      <c r="DM4222" s="15" t="n">
        <v>23</v>
      </c>
      <c r="DN4222" s="15" t="n">
        <v>24</v>
      </c>
      <c r="EG4222" s="15" t="inlineStr">
        <is>
          <t>Aleatória S2nd</t>
        </is>
      </c>
      <c r="EH4222" s="15" t="n">
        <v>22</v>
      </c>
      <c r="EI4222" s="15" t="n">
        <v>23</v>
      </c>
      <c r="EJ4222" s="15" t="n">
        <v>24</v>
      </c>
      <c r="FC4222" s="15" t="inlineStr">
        <is>
          <t>Aleatória S2nd</t>
        </is>
      </c>
      <c r="FD4222" s="15" t="n">
        <v>22</v>
      </c>
      <c r="FE4222" s="15" t="n">
        <v>23</v>
      </c>
      <c r="FF4222" s="15" t="n">
        <v>24</v>
      </c>
      <c r="FY4222" s="15" t="inlineStr">
        <is>
          <t>Aleatória S2nd</t>
        </is>
      </c>
      <c r="FZ4222" s="15" t="n">
        <v>22</v>
      </c>
      <c r="GA4222" s="15" t="n">
        <v>23</v>
      </c>
      <c r="GB4222" s="15" t="n">
        <v>24</v>
      </c>
      <c r="GU4222" s="15" t="inlineStr">
        <is>
          <t>Aleatória S2nd</t>
        </is>
      </c>
      <c r="GV4222" s="15" t="n">
        <v>22</v>
      </c>
      <c r="GW4222" s="15" t="n">
        <v>23</v>
      </c>
      <c r="GX4222" s="15" t="n">
        <v>24</v>
      </c>
    </row>
    <row r="4223">
      <c r="C4223" s="15" t="n">
        <v>9</v>
      </c>
      <c r="AA4223" s="15" t="n">
        <v>9</v>
      </c>
      <c r="AW4223" s="15" t="n">
        <v>9</v>
      </c>
      <c r="BS4223" s="15" t="n">
        <v>9</v>
      </c>
      <c r="CO4223" s="15" t="n">
        <v>9</v>
      </c>
      <c r="DK4223" s="15" t="n">
        <v>9</v>
      </c>
      <c r="EG4223" s="15" t="n">
        <v>9</v>
      </c>
      <c r="FC4223" s="15" t="n">
        <v>9</v>
      </c>
      <c r="FY4223" s="15" t="n">
        <v>9</v>
      </c>
      <c r="GU4223" s="15" t="n">
        <v>9</v>
      </c>
    </row>
    <row r="4224">
      <c r="C4224" s="15" t="n">
        <v>10</v>
      </c>
      <c r="AA4224" s="15" t="n">
        <v>10</v>
      </c>
      <c r="AW4224" s="15" t="n">
        <v>10</v>
      </c>
      <c r="BS4224" s="15" t="n">
        <v>10</v>
      </c>
      <c r="CO4224" s="15" t="n">
        <v>10</v>
      </c>
      <c r="DK4224" s="15" t="n">
        <v>10</v>
      </c>
      <c r="EG4224" s="15" t="n">
        <v>10</v>
      </c>
      <c r="FC4224" s="15" t="n">
        <v>10</v>
      </c>
      <c r="FY4224" s="15" t="n">
        <v>10</v>
      </c>
      <c r="GU4224" s="15" t="n">
        <v>10</v>
      </c>
    </row>
    <row r="4225">
      <c r="C4225" s="15" t="n">
        <v>11</v>
      </c>
      <c r="AA4225" s="15" t="n">
        <v>11</v>
      </c>
      <c r="AW4225" s="15" t="n">
        <v>11</v>
      </c>
      <c r="BS4225" s="15" t="n">
        <v>11</v>
      </c>
      <c r="CO4225" s="15" t="n">
        <v>11</v>
      </c>
      <c r="DK4225" s="15" t="n">
        <v>11</v>
      </c>
      <c r="EG4225" s="15" t="n">
        <v>11</v>
      </c>
      <c r="FC4225" s="15" t="n">
        <v>11</v>
      </c>
      <c r="FY4225" s="15" t="n">
        <v>11</v>
      </c>
      <c r="GU4225" s="15" t="n">
        <v>11</v>
      </c>
    </row>
    <row r="4226">
      <c r="C4226" s="15" t="n">
        <v>12</v>
      </c>
      <c r="AA4226" s="15" t="n">
        <v>12</v>
      </c>
      <c r="AW4226" s="15" t="n">
        <v>12</v>
      </c>
      <c r="BS4226" s="15" t="n">
        <v>12</v>
      </c>
      <c r="CO4226" s="15" t="n">
        <v>12</v>
      </c>
      <c r="DK4226" s="15" t="n">
        <v>12</v>
      </c>
      <c r="EG4226" s="15" t="n">
        <v>12</v>
      </c>
      <c r="FC4226" s="15" t="n">
        <v>12</v>
      </c>
      <c r="FY4226" s="15" t="n">
        <v>12</v>
      </c>
      <c r="GU4226" s="15" t="n">
        <v>12</v>
      </c>
    </row>
    <row r="4227">
      <c r="C4227" s="15" t="n">
        <v>13</v>
      </c>
      <c r="AA4227" s="15" t="n">
        <v>13</v>
      </c>
      <c r="AW4227" s="15" t="n">
        <v>13</v>
      </c>
      <c r="BS4227" s="15" t="n">
        <v>13</v>
      </c>
      <c r="CO4227" s="15" t="n">
        <v>13</v>
      </c>
      <c r="DK4227" s="15" t="n">
        <v>13</v>
      </c>
      <c r="EG4227" s="15" t="n">
        <v>13</v>
      </c>
      <c r="FC4227" s="15" t="n">
        <v>13</v>
      </c>
      <c r="FY4227" s="15" t="n">
        <v>13</v>
      </c>
      <c r="GU4227" s="15" t="n">
        <v>13</v>
      </c>
    </row>
    <row r="4228">
      <c r="C4228" s="15" t="n">
        <v>14</v>
      </c>
      <c r="AA4228" s="15" t="n">
        <v>14</v>
      </c>
      <c r="AW4228" s="15" t="n">
        <v>14</v>
      </c>
      <c r="BS4228" s="15" t="n">
        <v>14</v>
      </c>
      <c r="CO4228" s="15" t="n">
        <v>14</v>
      </c>
      <c r="DK4228" s="15" t="n">
        <v>14</v>
      </c>
      <c r="EG4228" s="15" t="n">
        <v>14</v>
      </c>
      <c r="FC4228" s="15" t="n">
        <v>14</v>
      </c>
      <c r="FY4228" s="15" t="n">
        <v>14</v>
      </c>
      <c r="GU4228" s="15" t="n">
        <v>14</v>
      </c>
    </row>
    <row r="4229">
      <c r="C4229" s="15" t="n">
        <v>15</v>
      </c>
      <c r="AA4229" s="15" t="n">
        <v>15</v>
      </c>
      <c r="AW4229" s="15" t="n">
        <v>15</v>
      </c>
      <c r="BS4229" s="15" t="n">
        <v>15</v>
      </c>
      <c r="CO4229" s="15" t="n">
        <v>15</v>
      </c>
      <c r="DK4229" s="15" t="n">
        <v>15</v>
      </c>
      <c r="EG4229" s="15" t="n">
        <v>15</v>
      </c>
      <c r="FC4229" s="15" t="n">
        <v>15</v>
      </c>
      <c r="FY4229" s="15" t="n">
        <v>15</v>
      </c>
      <c r="GU4229" s="15" t="n">
        <v>15</v>
      </c>
    </row>
    <row r="4230">
      <c r="C4230" s="15" t="n">
        <v>16</v>
      </c>
      <c r="AA4230" s="15" t="n">
        <v>16</v>
      </c>
      <c r="AW4230" s="15" t="n">
        <v>16</v>
      </c>
      <c r="BS4230" s="15" t="n">
        <v>16</v>
      </c>
      <c r="CO4230" s="15" t="n">
        <v>16</v>
      </c>
      <c r="DK4230" s="15" t="n">
        <v>16</v>
      </c>
      <c r="EG4230" s="15" t="n">
        <v>16</v>
      </c>
      <c r="FC4230" s="15" t="n">
        <v>16</v>
      </c>
      <c r="FY4230" s="15" t="n">
        <v>16</v>
      </c>
      <c r="GU4230" s="15" t="n">
        <v>16</v>
      </c>
    </row>
    <row r="4231">
      <c r="C4231" s="15" t="n">
        <v>17</v>
      </c>
      <c r="AA4231" s="15" t="n">
        <v>17</v>
      </c>
      <c r="AW4231" s="15" t="n">
        <v>17</v>
      </c>
      <c r="BS4231" s="15" t="n">
        <v>17</v>
      </c>
      <c r="CO4231" s="15" t="n">
        <v>17</v>
      </c>
      <c r="DK4231" s="15" t="n">
        <v>17</v>
      </c>
      <c r="EG4231" s="15" t="n">
        <v>17</v>
      </c>
      <c r="FC4231" s="15" t="n">
        <v>17</v>
      </c>
      <c r="FY4231" s="15" t="n">
        <v>17</v>
      </c>
      <c r="GU4231" s="15" t="n">
        <v>17</v>
      </c>
    </row>
    <row r="4232">
      <c r="C4232" s="15" t="n">
        <v>18</v>
      </c>
      <c r="AA4232" s="15" t="n">
        <v>18</v>
      </c>
      <c r="AW4232" s="15" t="n">
        <v>18</v>
      </c>
      <c r="BS4232" s="15" t="n">
        <v>18</v>
      </c>
      <c r="CO4232" s="15" t="n">
        <v>18</v>
      </c>
      <c r="DK4232" s="15" t="n">
        <v>18</v>
      </c>
      <c r="EG4232" s="15" t="n">
        <v>18</v>
      </c>
      <c r="FC4232" s="15" t="n">
        <v>18</v>
      </c>
      <c r="FY4232" s="15" t="n">
        <v>18</v>
      </c>
      <c r="GU4232" s="15" t="n">
        <v>18</v>
      </c>
    </row>
    <row r="4233">
      <c r="C4233" s="15" t="n">
        <v>19</v>
      </c>
      <c r="AA4233" s="15" t="n">
        <v>19</v>
      </c>
      <c r="AW4233" s="15" t="n">
        <v>19</v>
      </c>
      <c r="BS4233" s="15" t="n">
        <v>19</v>
      </c>
      <c r="CO4233" s="15" t="n">
        <v>19</v>
      </c>
      <c r="DK4233" s="15" t="n">
        <v>19</v>
      </c>
      <c r="EG4233" s="15" t="n">
        <v>19</v>
      </c>
      <c r="FC4233" s="15" t="n">
        <v>19</v>
      </c>
      <c r="FY4233" s="15" t="n">
        <v>19</v>
      </c>
      <c r="GU4233" s="15" t="n">
        <v>19</v>
      </c>
    </row>
    <row r="4234">
      <c r="C4234" s="15" t="n">
        <v>20</v>
      </c>
      <c r="AA4234" s="15" t="n">
        <v>20</v>
      </c>
      <c r="AW4234" s="15" t="n">
        <v>20</v>
      </c>
      <c r="BS4234" s="15" t="n">
        <v>20</v>
      </c>
      <c r="CO4234" s="15" t="n">
        <v>20</v>
      </c>
      <c r="DK4234" s="15" t="n">
        <v>20</v>
      </c>
      <c r="EG4234" s="15" t="n">
        <v>20</v>
      </c>
      <c r="FC4234" s="15" t="n">
        <v>20</v>
      </c>
      <c r="FY4234" s="15" t="n">
        <v>20</v>
      </c>
      <c r="GU4234" s="15" t="n">
        <v>20</v>
      </c>
    </row>
    <row r="4235">
      <c r="C4235" s="15" t="n">
        <v>21</v>
      </c>
      <c r="AA4235" s="15" t="n">
        <v>21</v>
      </c>
      <c r="AW4235" s="15" t="n">
        <v>21</v>
      </c>
      <c r="BS4235" s="15" t="n">
        <v>21</v>
      </c>
      <c r="CO4235" s="15" t="n">
        <v>21</v>
      </c>
      <c r="DK4235" s="15" t="n">
        <v>21</v>
      </c>
      <c r="EG4235" s="15" t="n">
        <v>21</v>
      </c>
      <c r="FC4235" s="15" t="n">
        <v>21</v>
      </c>
      <c r="FY4235" s="15" t="n">
        <v>21</v>
      </c>
      <c r="GU4235" s="15" t="n">
        <v>21</v>
      </c>
    </row>
    <row r="4236">
      <c r="C4236" s="15" t="n">
        <v>22</v>
      </c>
      <c r="AA4236" s="15" t="n">
        <v>22</v>
      </c>
      <c r="AW4236" s="15" t="n">
        <v>22</v>
      </c>
      <c r="BS4236" s="15" t="n">
        <v>22</v>
      </c>
      <c r="CO4236" s="15" t="n">
        <v>22</v>
      </c>
      <c r="DK4236" s="15" t="n">
        <v>22</v>
      </c>
      <c r="EG4236" s="15" t="n">
        <v>22</v>
      </c>
      <c r="FC4236" s="15" t="n">
        <v>22</v>
      </c>
      <c r="FY4236" s="15" t="n">
        <v>22</v>
      </c>
      <c r="GU4236" s="15" t="n">
        <v>22</v>
      </c>
    </row>
    <row r="4237">
      <c r="C4237" s="15" t="n">
        <v>23</v>
      </c>
      <c r="AA4237" s="15" t="n">
        <v>23</v>
      </c>
      <c r="AW4237" s="15" t="n">
        <v>23</v>
      </c>
      <c r="BS4237" s="15" t="n">
        <v>23</v>
      </c>
      <c r="CO4237" s="15" t="n">
        <v>23</v>
      </c>
      <c r="DK4237" s="15" t="n">
        <v>23</v>
      </c>
      <c r="EG4237" s="15" t="n">
        <v>23</v>
      </c>
      <c r="FC4237" s="15" t="n">
        <v>23</v>
      </c>
      <c r="FY4237" s="15" t="n">
        <v>23</v>
      </c>
      <c r="GU4237" s="15" t="n">
        <v>23</v>
      </c>
    </row>
    <row r="4238">
      <c r="C4238" s="15" t="n">
        <v>24</v>
      </c>
      <c r="AA4238" s="15" t="n">
        <v>24</v>
      </c>
      <c r="AW4238" s="15" t="n">
        <v>24</v>
      </c>
      <c r="BS4238" s="15" t="n">
        <v>24</v>
      </c>
      <c r="CO4238" s="15" t="n">
        <v>24</v>
      </c>
      <c r="DK4238" s="15" t="n">
        <v>24</v>
      </c>
      <c r="EG4238" s="15" t="n">
        <v>24</v>
      </c>
      <c r="FC4238" s="15" t="n">
        <v>24</v>
      </c>
      <c r="FY4238" s="15" t="n">
        <v>24</v>
      </c>
      <c r="GU4238" s="15" t="n">
        <v>24</v>
      </c>
    </row>
    <row r="4239">
      <c r="C4239" s="15" t="n">
        <v>25</v>
      </c>
      <c r="AA4239" s="15" t="n">
        <v>25</v>
      </c>
      <c r="AW4239" s="15" t="n">
        <v>25</v>
      </c>
      <c r="BS4239" s="15" t="n">
        <v>25</v>
      </c>
      <c r="CO4239" s="15" t="n">
        <v>25</v>
      </c>
      <c r="DK4239" s="15" t="n">
        <v>25</v>
      </c>
      <c r="EG4239" s="15" t="n">
        <v>25</v>
      </c>
      <c r="FC4239" s="15" t="n">
        <v>25</v>
      </c>
      <c r="FY4239" s="15" t="n">
        <v>25</v>
      </c>
      <c r="GU4239" s="15" t="n">
        <v>25</v>
      </c>
    </row>
    <row r="4240">
      <c r="C4240" s="15" t="n">
        <v>26</v>
      </c>
      <c r="AA4240" s="15" t="n">
        <v>26</v>
      </c>
      <c r="AW4240" s="15" t="n">
        <v>26</v>
      </c>
      <c r="BS4240" s="15" t="n">
        <v>26</v>
      </c>
      <c r="CO4240" s="15" t="n">
        <v>26</v>
      </c>
      <c r="DK4240" s="15" t="n">
        <v>26</v>
      </c>
      <c r="EG4240" s="15" t="n">
        <v>26</v>
      </c>
      <c r="FC4240" s="15" t="n">
        <v>26</v>
      </c>
      <c r="FY4240" s="15" t="n">
        <v>26</v>
      </c>
      <c r="GU4240" s="15" t="n">
        <v>26</v>
      </c>
    </row>
    <row r="4241">
      <c r="C4241" s="15" t="n">
        <v>27</v>
      </c>
      <c r="AA4241" s="15" t="n">
        <v>27</v>
      </c>
      <c r="AW4241" s="15" t="n">
        <v>27</v>
      </c>
      <c r="BS4241" s="15" t="n">
        <v>27</v>
      </c>
      <c r="CO4241" s="15" t="n">
        <v>27</v>
      </c>
      <c r="DK4241" s="15" t="n">
        <v>27</v>
      </c>
      <c r="EG4241" s="15" t="n">
        <v>27</v>
      </c>
      <c r="FC4241" s="15" t="n">
        <v>27</v>
      </c>
      <c r="FY4241" s="15" t="n">
        <v>27</v>
      </c>
      <c r="GU4241" s="15" t="n">
        <v>27</v>
      </c>
    </row>
    <row r="4242">
      <c r="C4242" s="15" t="n">
        <v>28</v>
      </c>
      <c r="AA4242" s="15" t="n">
        <v>28</v>
      </c>
      <c r="AW4242" s="15" t="n">
        <v>28</v>
      </c>
      <c r="BS4242" s="15" t="n">
        <v>28</v>
      </c>
      <c r="CO4242" s="15" t="n">
        <v>28</v>
      </c>
      <c r="DK4242" s="15" t="n">
        <v>28</v>
      </c>
      <c r="EG4242" s="15" t="n">
        <v>28</v>
      </c>
      <c r="FC4242" s="15" t="n">
        <v>28</v>
      </c>
      <c r="FY4242" s="15" t="n">
        <v>28</v>
      </c>
      <c r="GU4242" s="15" t="n">
        <v>28</v>
      </c>
    </row>
    <row r="4243">
      <c r="C4243" s="15" t="n">
        <v>29</v>
      </c>
      <c r="AA4243" s="15" t="n">
        <v>29</v>
      </c>
      <c r="AW4243" s="15" t="n">
        <v>29</v>
      </c>
      <c r="BS4243" s="15" t="n">
        <v>29</v>
      </c>
      <c r="CO4243" s="15" t="n">
        <v>29</v>
      </c>
      <c r="DK4243" s="15" t="n">
        <v>29</v>
      </c>
      <c r="EG4243" s="15" t="n">
        <v>29</v>
      </c>
      <c r="FC4243" s="15" t="n">
        <v>29</v>
      </c>
      <c r="FY4243" s="15" t="n">
        <v>29</v>
      </c>
      <c r="GU4243" s="15" t="n">
        <v>29</v>
      </c>
    </row>
    <row r="4244">
      <c r="C4244" s="15" t="n">
        <v>30</v>
      </c>
      <c r="AA4244" s="15" t="n">
        <v>30</v>
      </c>
      <c r="AW4244" s="15" t="n">
        <v>30</v>
      </c>
      <c r="BS4244" s="15" t="n">
        <v>30</v>
      </c>
      <c r="CO4244" s="15" t="n">
        <v>30</v>
      </c>
      <c r="DK4244" s="15" t="n">
        <v>30</v>
      </c>
      <c r="EG4244" s="15" t="n">
        <v>30</v>
      </c>
      <c r="FC4244" s="15" t="n">
        <v>30</v>
      </c>
      <c r="FY4244" s="15" t="n">
        <v>30</v>
      </c>
      <c r="GU4244" s="15" t="n">
        <v>30</v>
      </c>
    </row>
    <row r="4245">
      <c r="C4245" s="15" t="n">
        <v>31</v>
      </c>
      <c r="AA4245" s="15" t="n">
        <v>31</v>
      </c>
      <c r="AW4245" s="15" t="n">
        <v>31</v>
      </c>
      <c r="BS4245" s="15" t="n">
        <v>31</v>
      </c>
      <c r="CO4245" s="15" t="n">
        <v>31</v>
      </c>
      <c r="DK4245" s="15" t="n">
        <v>31</v>
      </c>
      <c r="EG4245" s="15" t="n">
        <v>31</v>
      </c>
      <c r="FC4245" s="15" t="n">
        <v>31</v>
      </c>
      <c r="FY4245" s="15" t="n">
        <v>31</v>
      </c>
      <c r="GU4245" s="15" t="n">
        <v>31</v>
      </c>
    </row>
    <row r="4246">
      <c r="C4246" s="15" t="n">
        <v>32</v>
      </c>
      <c r="AA4246" s="15" t="n">
        <v>32</v>
      </c>
      <c r="AW4246" s="15" t="n">
        <v>32</v>
      </c>
      <c r="BS4246" s="15" t="n">
        <v>32</v>
      </c>
      <c r="CO4246" s="15" t="n">
        <v>32</v>
      </c>
      <c r="DK4246" s="15" t="n">
        <v>32</v>
      </c>
      <c r="EG4246" s="15" t="n">
        <v>32</v>
      </c>
      <c r="FC4246" s="15" t="n">
        <v>32</v>
      </c>
      <c r="FY4246" s="15" t="n">
        <v>32</v>
      </c>
      <c r="GU4246" s="15" t="n">
        <v>32</v>
      </c>
    </row>
    <row r="4247">
      <c r="C4247" s="15" t="n">
        <v>33</v>
      </c>
      <c r="AA4247" s="15" t="n">
        <v>33</v>
      </c>
      <c r="AW4247" s="15" t="n">
        <v>33</v>
      </c>
      <c r="BS4247" s="15" t="n">
        <v>33</v>
      </c>
      <c r="CO4247" s="15" t="n">
        <v>33</v>
      </c>
      <c r="DK4247" s="15" t="n">
        <v>33</v>
      </c>
      <c r="EG4247" s="15" t="n">
        <v>33</v>
      </c>
      <c r="FC4247" s="15" t="n">
        <v>33</v>
      </c>
      <c r="FY4247" s="15" t="n">
        <v>33</v>
      </c>
      <c r="GU4247" s="15" t="n">
        <v>33</v>
      </c>
    </row>
    <row r="4248">
      <c r="C4248" s="15" t="n">
        <v>34</v>
      </c>
      <c r="AA4248" s="15" t="n">
        <v>34</v>
      </c>
      <c r="AW4248" s="15" t="n">
        <v>34</v>
      </c>
      <c r="BS4248" s="15" t="n">
        <v>34</v>
      </c>
      <c r="CO4248" s="15" t="n">
        <v>34</v>
      </c>
      <c r="DK4248" s="15" t="n">
        <v>34</v>
      </c>
      <c r="EG4248" s="15" t="n">
        <v>34</v>
      </c>
      <c r="FC4248" s="15" t="n">
        <v>34</v>
      </c>
      <c r="FY4248" s="15" t="n">
        <v>34</v>
      </c>
      <c r="GU4248" s="15" t="n">
        <v>34</v>
      </c>
    </row>
    <row r="4249">
      <c r="C4249" s="15" t="n">
        <v>35</v>
      </c>
      <c r="AA4249" s="15" t="n">
        <v>35</v>
      </c>
      <c r="AW4249" s="15" t="n">
        <v>35</v>
      </c>
      <c r="BS4249" s="15" t="n">
        <v>35</v>
      </c>
      <c r="CO4249" s="15" t="n">
        <v>35</v>
      </c>
      <c r="DK4249" s="15" t="n">
        <v>35</v>
      </c>
      <c r="EG4249" s="15" t="n">
        <v>35</v>
      </c>
      <c r="FC4249" s="15" t="n">
        <v>35</v>
      </c>
      <c r="FY4249" s="15" t="n">
        <v>35</v>
      </c>
      <c r="GU4249" s="15" t="n">
        <v>35</v>
      </c>
    </row>
    <row r="4250">
      <c r="C4250" s="15" t="n">
        <v>36</v>
      </c>
      <c r="AA4250" s="15" t="n">
        <v>36</v>
      </c>
      <c r="AW4250" s="15" t="n">
        <v>36</v>
      </c>
      <c r="BS4250" s="15" t="n">
        <v>36</v>
      </c>
      <c r="CO4250" s="15" t="n">
        <v>36</v>
      </c>
      <c r="DK4250" s="15" t="n">
        <v>36</v>
      </c>
      <c r="EG4250" s="15" t="n">
        <v>36</v>
      </c>
      <c r="FC4250" s="15" t="n">
        <v>36</v>
      </c>
      <c r="FY4250" s="15" t="n">
        <v>36</v>
      </c>
      <c r="GU4250" s="15" t="n">
        <v>36</v>
      </c>
    </row>
    <row r="4251">
      <c r="C4251" s="15" t="n">
        <v>37</v>
      </c>
      <c r="AA4251" s="15" t="n">
        <v>37</v>
      </c>
      <c r="AW4251" s="15" t="n">
        <v>37</v>
      </c>
      <c r="BS4251" s="15" t="n">
        <v>37</v>
      </c>
      <c r="CO4251" s="15" t="n">
        <v>37</v>
      </c>
      <c r="DK4251" s="15" t="n">
        <v>37</v>
      </c>
      <c r="EG4251" s="15" t="n">
        <v>37</v>
      </c>
      <c r="FC4251" s="15" t="n">
        <v>37</v>
      </c>
      <c r="FY4251" s="15" t="n">
        <v>37</v>
      </c>
      <c r="GU4251" s="15" t="n">
        <v>37</v>
      </c>
    </row>
    <row r="4252">
      <c r="C4252" s="15" t="n">
        <v>38</v>
      </c>
      <c r="AA4252" s="15" t="n">
        <v>38</v>
      </c>
      <c r="AW4252" s="15" t="n">
        <v>38</v>
      </c>
      <c r="BS4252" s="15" t="n">
        <v>38</v>
      </c>
      <c r="CO4252" s="15" t="n">
        <v>38</v>
      </c>
      <c r="DK4252" s="15" t="n">
        <v>38</v>
      </c>
      <c r="EG4252" s="15" t="n">
        <v>38</v>
      </c>
      <c r="FC4252" s="15" t="n">
        <v>38</v>
      </c>
      <c r="FY4252" s="15" t="n">
        <v>38</v>
      </c>
      <c r="GU4252" s="15" t="n">
        <v>38</v>
      </c>
    </row>
    <row r="4253">
      <c r="C4253" s="15" t="n">
        <v>39</v>
      </c>
      <c r="AA4253" s="15" t="n">
        <v>39</v>
      </c>
      <c r="AW4253" s="15" t="n">
        <v>39</v>
      </c>
      <c r="BS4253" s="15" t="n">
        <v>39</v>
      </c>
      <c r="CO4253" s="15" t="n">
        <v>39</v>
      </c>
      <c r="DK4253" s="15" t="n">
        <v>39</v>
      </c>
      <c r="EG4253" s="15" t="n">
        <v>39</v>
      </c>
      <c r="FC4253" s="15" t="n">
        <v>39</v>
      </c>
      <c r="FY4253" s="15" t="n">
        <v>39</v>
      </c>
      <c r="GU4253" s="15" t="n">
        <v>39</v>
      </c>
    </row>
    <row r="4254">
      <c r="C4254" s="15" t="n">
        <v>40</v>
      </c>
      <c r="AA4254" s="15" t="n">
        <v>40</v>
      </c>
      <c r="AW4254" s="15" t="n">
        <v>40</v>
      </c>
      <c r="BS4254" s="15" t="n">
        <v>40</v>
      </c>
      <c r="CO4254" s="15" t="n">
        <v>40</v>
      </c>
      <c r="DK4254" s="15" t="n">
        <v>40</v>
      </c>
      <c r="EG4254" s="15" t="n">
        <v>40</v>
      </c>
      <c r="FC4254" s="15" t="n">
        <v>40</v>
      </c>
      <c r="FY4254" s="15" t="n">
        <v>40</v>
      </c>
      <c r="GU4254" s="15" t="n">
        <v>40</v>
      </c>
    </row>
    <row r="4255">
      <c r="C4255" s="15" t="n">
        <v>41</v>
      </c>
      <c r="AA4255" s="15" t="n">
        <v>41</v>
      </c>
      <c r="AW4255" s="15" t="n">
        <v>41</v>
      </c>
      <c r="BS4255" s="15" t="n">
        <v>41</v>
      </c>
      <c r="CO4255" s="15" t="n">
        <v>41</v>
      </c>
      <c r="DK4255" s="15" t="n">
        <v>41</v>
      </c>
      <c r="EG4255" s="15" t="n">
        <v>41</v>
      </c>
      <c r="FC4255" s="15" t="n">
        <v>41</v>
      </c>
      <c r="FY4255" s="15" t="n">
        <v>41</v>
      </c>
      <c r="GU4255" s="15" t="n">
        <v>41</v>
      </c>
    </row>
    <row r="4256">
      <c r="C4256" s="15" t="n">
        <v>42</v>
      </c>
      <c r="AA4256" s="15" t="n">
        <v>42</v>
      </c>
      <c r="AW4256" s="15" t="n">
        <v>42</v>
      </c>
      <c r="BS4256" s="15" t="n">
        <v>42</v>
      </c>
      <c r="CO4256" s="15" t="n">
        <v>42</v>
      </c>
      <c r="DK4256" s="15" t="n">
        <v>42</v>
      </c>
      <c r="EG4256" s="15" t="n">
        <v>42</v>
      </c>
      <c r="FC4256" s="15" t="n">
        <v>42</v>
      </c>
      <c r="FY4256" s="15" t="n">
        <v>42</v>
      </c>
      <c r="GU4256" s="15" t="n">
        <v>42</v>
      </c>
    </row>
    <row r="4257">
      <c r="C4257" s="15" t="n">
        <v>43</v>
      </c>
      <c r="AA4257" s="15" t="n">
        <v>43</v>
      </c>
      <c r="AW4257" s="15" t="n">
        <v>43</v>
      </c>
      <c r="BS4257" s="15" t="n">
        <v>43</v>
      </c>
      <c r="CO4257" s="15" t="n">
        <v>43</v>
      </c>
      <c r="DK4257" s="15" t="n">
        <v>43</v>
      </c>
      <c r="EG4257" s="15" t="n">
        <v>43</v>
      </c>
      <c r="FC4257" s="15" t="n">
        <v>43</v>
      </c>
      <c r="FY4257" s="15" t="n">
        <v>43</v>
      </c>
      <c r="GU4257" s="15" t="n">
        <v>43</v>
      </c>
    </row>
    <row r="4258">
      <c r="C4258" s="15" t="n">
        <v>44</v>
      </c>
      <c r="AA4258" s="15" t="n">
        <v>44</v>
      </c>
      <c r="AW4258" s="15" t="n">
        <v>44</v>
      </c>
      <c r="BS4258" s="15" t="n">
        <v>44</v>
      </c>
      <c r="CO4258" s="15" t="n">
        <v>44</v>
      </c>
      <c r="DK4258" s="15" t="n">
        <v>44</v>
      </c>
      <c r="EG4258" s="15" t="n">
        <v>44</v>
      </c>
      <c r="FC4258" s="15" t="n">
        <v>44</v>
      </c>
      <c r="FY4258" s="15" t="n">
        <v>44</v>
      </c>
      <c r="GU4258" s="15" t="n">
        <v>44</v>
      </c>
    </row>
    <row r="4259">
      <c r="C4259" s="15" t="n">
        <v>45</v>
      </c>
      <c r="AA4259" s="15" t="n">
        <v>45</v>
      </c>
      <c r="AW4259" s="15" t="n">
        <v>45</v>
      </c>
      <c r="BS4259" s="15" t="n">
        <v>45</v>
      </c>
      <c r="CO4259" s="15" t="n">
        <v>45</v>
      </c>
      <c r="DK4259" s="15" t="n">
        <v>45</v>
      </c>
      <c r="EG4259" s="15" t="n">
        <v>45</v>
      </c>
      <c r="FC4259" s="15" t="n">
        <v>45</v>
      </c>
      <c r="FY4259" s="15" t="n">
        <v>45</v>
      </c>
      <c r="GU4259" s="15" t="n">
        <v>45</v>
      </c>
    </row>
    <row r="4260">
      <c r="C4260" s="15" t="n">
        <v>46</v>
      </c>
      <c r="AA4260" s="15" t="n">
        <v>46</v>
      </c>
      <c r="AW4260" s="15" t="n">
        <v>46</v>
      </c>
      <c r="BS4260" s="15" t="n">
        <v>46</v>
      </c>
      <c r="CO4260" s="15" t="n">
        <v>46</v>
      </c>
      <c r="DK4260" s="15" t="n">
        <v>46</v>
      </c>
      <c r="EG4260" s="15" t="n">
        <v>46</v>
      </c>
      <c r="FC4260" s="15" t="n">
        <v>46</v>
      </c>
      <c r="FY4260" s="15" t="n">
        <v>46</v>
      </c>
      <c r="GU4260" s="15" t="n">
        <v>46</v>
      </c>
    </row>
    <row r="4261">
      <c r="C4261" s="15" t="n">
        <v>47</v>
      </c>
      <c r="AA4261" s="15" t="n">
        <v>47</v>
      </c>
      <c r="AW4261" s="15" t="n">
        <v>47</v>
      </c>
      <c r="BS4261" s="15" t="n">
        <v>47</v>
      </c>
      <c r="CO4261" s="15" t="n">
        <v>47</v>
      </c>
      <c r="DK4261" s="15" t="n">
        <v>47</v>
      </c>
      <c r="EG4261" s="15" t="n">
        <v>47</v>
      </c>
      <c r="FC4261" s="15" t="n">
        <v>47</v>
      </c>
      <c r="FY4261" s="15" t="n">
        <v>47</v>
      </c>
      <c r="GU4261" s="15" t="n">
        <v>47</v>
      </c>
    </row>
    <row r="4262">
      <c r="C4262" s="15" t="n">
        <v>48</v>
      </c>
      <c r="AA4262" s="15" t="n">
        <v>48</v>
      </c>
      <c r="AW4262" s="15" t="n">
        <v>48</v>
      </c>
      <c r="BS4262" s="15" t="n">
        <v>48</v>
      </c>
      <c r="CO4262" s="15" t="n">
        <v>48</v>
      </c>
      <c r="DK4262" s="15" t="n">
        <v>48</v>
      </c>
      <c r="EG4262" s="15" t="n">
        <v>48</v>
      </c>
      <c r="FC4262" s="15" t="n">
        <v>48</v>
      </c>
      <c r="FY4262" s="15" t="n">
        <v>48</v>
      </c>
      <c r="GU4262" s="15" t="n">
        <v>48</v>
      </c>
    </row>
    <row r="4263">
      <c r="C4263" s="15" t="n">
        <v>49</v>
      </c>
      <c r="AA4263" s="15" t="n">
        <v>49</v>
      </c>
      <c r="AW4263" s="15" t="n">
        <v>49</v>
      </c>
      <c r="BS4263" s="15" t="n">
        <v>49</v>
      </c>
      <c r="CO4263" s="15" t="n">
        <v>49</v>
      </c>
      <c r="DK4263" s="15" t="n">
        <v>49</v>
      </c>
      <c r="EG4263" s="15" t="n">
        <v>49</v>
      </c>
      <c r="FC4263" s="15" t="n">
        <v>49</v>
      </c>
      <c r="FY4263" s="15" t="n">
        <v>49</v>
      </c>
      <c r="GU4263" s="15" t="n">
        <v>49</v>
      </c>
    </row>
    <row r="4264">
      <c r="C4264" s="15" t="n">
        <v>50</v>
      </c>
      <c r="AA4264" s="15" t="n">
        <v>50</v>
      </c>
      <c r="AW4264" s="15" t="n">
        <v>50</v>
      </c>
      <c r="BS4264" s="15" t="n">
        <v>50</v>
      </c>
      <c r="CO4264" s="15" t="n">
        <v>50</v>
      </c>
      <c r="DK4264" s="15" t="n">
        <v>50</v>
      </c>
      <c r="EG4264" s="15" t="n">
        <v>50</v>
      </c>
      <c r="FC4264" s="15" t="n">
        <v>50</v>
      </c>
      <c r="FY4264" s="15" t="n">
        <v>50</v>
      </c>
      <c r="GU4264" s="15" t="n">
        <v>50</v>
      </c>
    </row>
    <row r="4265">
      <c r="C4265" s="15" t="n">
        <v>51</v>
      </c>
      <c r="AA4265" s="15" t="n">
        <v>51</v>
      </c>
      <c r="AW4265" s="15" t="n">
        <v>51</v>
      </c>
      <c r="BS4265" s="15" t="n">
        <v>51</v>
      </c>
      <c r="CO4265" s="15" t="n">
        <v>51</v>
      </c>
      <c r="DK4265" s="15" t="n">
        <v>51</v>
      </c>
      <c r="EG4265" s="15" t="n">
        <v>51</v>
      </c>
      <c r="FC4265" s="15" t="n">
        <v>51</v>
      </c>
      <c r="FY4265" s="15" t="n">
        <v>51</v>
      </c>
      <c r="GU4265" s="15" t="n">
        <v>51</v>
      </c>
    </row>
    <row r="4266">
      <c r="C4266" s="15" t="n">
        <v>52</v>
      </c>
      <c r="AA4266" s="15" t="n">
        <v>52</v>
      </c>
      <c r="AW4266" s="15" t="n">
        <v>52</v>
      </c>
      <c r="BS4266" s="15" t="n">
        <v>52</v>
      </c>
      <c r="CO4266" s="15" t="n">
        <v>52</v>
      </c>
      <c r="DK4266" s="15" t="n">
        <v>52</v>
      </c>
      <c r="EG4266" s="15" t="n">
        <v>52</v>
      </c>
      <c r="FC4266" s="15" t="n">
        <v>52</v>
      </c>
      <c r="FY4266" s="15" t="n">
        <v>52</v>
      </c>
      <c r="GU4266" s="15" t="n">
        <v>52</v>
      </c>
    </row>
    <row r="4267">
      <c r="C4267" s="15" t="n">
        <v>53</v>
      </c>
      <c r="AA4267" s="15" t="n">
        <v>53</v>
      </c>
      <c r="AW4267" s="15" t="n">
        <v>53</v>
      </c>
      <c r="BS4267" s="15" t="n">
        <v>53</v>
      </c>
      <c r="CO4267" s="15" t="n">
        <v>53</v>
      </c>
      <c r="DK4267" s="15" t="n">
        <v>53</v>
      </c>
      <c r="EG4267" s="15" t="n">
        <v>53</v>
      </c>
      <c r="FC4267" s="15" t="n">
        <v>53</v>
      </c>
      <c r="FY4267" s="15" t="n">
        <v>53</v>
      </c>
      <c r="GU4267" s="15" t="n">
        <v>53</v>
      </c>
    </row>
    <row r="4268">
      <c r="C4268" s="15" t="n">
        <v>54</v>
      </c>
      <c r="AA4268" s="15" t="n">
        <v>54</v>
      </c>
      <c r="AW4268" s="15" t="n">
        <v>54</v>
      </c>
      <c r="BS4268" s="15" t="n">
        <v>54</v>
      </c>
      <c r="CO4268" s="15" t="n">
        <v>54</v>
      </c>
      <c r="DK4268" s="15" t="n">
        <v>54</v>
      </c>
      <c r="EG4268" s="15" t="n">
        <v>54</v>
      </c>
      <c r="FC4268" s="15" t="n">
        <v>54</v>
      </c>
      <c r="FY4268" s="15" t="n">
        <v>54</v>
      </c>
      <c r="GU4268" s="15" t="n">
        <v>54</v>
      </c>
    </row>
    <row r="4269">
      <c r="C4269" s="15" t="n">
        <v>55</v>
      </c>
      <c r="AA4269" s="15" t="n">
        <v>55</v>
      </c>
      <c r="AW4269" s="15" t="n">
        <v>55</v>
      </c>
      <c r="BS4269" s="15" t="n">
        <v>55</v>
      </c>
      <c r="CO4269" s="15" t="n">
        <v>55</v>
      </c>
      <c r="DK4269" s="15" t="n">
        <v>55</v>
      </c>
      <c r="EG4269" s="15" t="n">
        <v>55</v>
      </c>
      <c r="FC4269" s="15" t="n">
        <v>55</v>
      </c>
      <c r="FY4269" s="15" t="n">
        <v>55</v>
      </c>
      <c r="GU4269" s="15" t="n">
        <v>55</v>
      </c>
    </row>
    <row r="4270">
      <c r="C4270" s="15" t="n">
        <v>56</v>
      </c>
      <c r="AA4270" s="15" t="n">
        <v>56</v>
      </c>
      <c r="AW4270" s="15" t="n">
        <v>56</v>
      </c>
      <c r="BS4270" s="15" t="n">
        <v>56</v>
      </c>
      <c r="CO4270" s="15" t="n">
        <v>56</v>
      </c>
      <c r="DK4270" s="15" t="n">
        <v>56</v>
      </c>
      <c r="EG4270" s="15" t="n">
        <v>56</v>
      </c>
      <c r="FC4270" s="15" t="n">
        <v>56</v>
      </c>
      <c r="FY4270" s="15" t="n">
        <v>56</v>
      </c>
      <c r="GU4270" s="15" t="n">
        <v>56</v>
      </c>
    </row>
    <row r="4271">
      <c r="C4271" s="15" t="n">
        <v>57</v>
      </c>
      <c r="AA4271" s="15" t="n">
        <v>57</v>
      </c>
      <c r="AW4271" s="15" t="n">
        <v>57</v>
      </c>
      <c r="BS4271" s="15" t="n">
        <v>57</v>
      </c>
      <c r="CO4271" s="15" t="n">
        <v>57</v>
      </c>
      <c r="DK4271" s="15" t="n">
        <v>57</v>
      </c>
      <c r="EG4271" s="15" t="n">
        <v>57</v>
      </c>
      <c r="FC4271" s="15" t="n">
        <v>57</v>
      </c>
      <c r="FY4271" s="15" t="n">
        <v>57</v>
      </c>
      <c r="GU4271" s="15" t="n">
        <v>57</v>
      </c>
    </row>
    <row r="4272">
      <c r="C4272" s="15" t="n">
        <v>58</v>
      </c>
      <c r="AA4272" s="15" t="n">
        <v>58</v>
      </c>
      <c r="AW4272" s="15" t="n">
        <v>58</v>
      </c>
      <c r="BS4272" s="15" t="n">
        <v>58</v>
      </c>
      <c r="CO4272" s="15" t="n">
        <v>58</v>
      </c>
      <c r="DK4272" s="15" t="n">
        <v>58</v>
      </c>
      <c r="EG4272" s="15" t="n">
        <v>58</v>
      </c>
      <c r="FC4272" s="15" t="n">
        <v>58</v>
      </c>
      <c r="FY4272" s="15" t="n">
        <v>58</v>
      </c>
      <c r="GU4272" s="15" t="n">
        <v>58</v>
      </c>
    </row>
    <row r="4273">
      <c r="C4273" s="15" t="n">
        <v>59</v>
      </c>
      <c r="AA4273" s="15" t="n">
        <v>59</v>
      </c>
      <c r="AW4273" s="15" t="n">
        <v>59</v>
      </c>
      <c r="BS4273" s="15" t="n">
        <v>59</v>
      </c>
      <c r="CO4273" s="15" t="n">
        <v>59</v>
      </c>
      <c r="DK4273" s="15" t="n">
        <v>59</v>
      </c>
      <c r="EG4273" s="15" t="n">
        <v>59</v>
      </c>
      <c r="FC4273" s="15" t="n">
        <v>59</v>
      </c>
      <c r="FY4273" s="15" t="n">
        <v>59</v>
      </c>
      <c r="GU4273" s="15" t="n">
        <v>59</v>
      </c>
    </row>
    <row r="4274">
      <c r="C4274" s="15" t="n">
        <v>60</v>
      </c>
      <c r="AA4274" s="15" t="n">
        <v>60</v>
      </c>
      <c r="AW4274" s="15" t="n">
        <v>60</v>
      </c>
      <c r="BS4274" s="15" t="n">
        <v>60</v>
      </c>
      <c r="CO4274" s="15" t="n">
        <v>60</v>
      </c>
      <c r="DK4274" s="15" t="n">
        <v>60</v>
      </c>
      <c r="EG4274" s="15" t="n">
        <v>60</v>
      </c>
      <c r="FC4274" s="15" t="n">
        <v>60</v>
      </c>
      <c r="FY4274" s="15" t="n">
        <v>60</v>
      </c>
      <c r="GU4274" s="15" t="n">
        <v>60</v>
      </c>
    </row>
    <row r="4275">
      <c r="C4275" s="15" t="n">
        <v>61</v>
      </c>
      <c r="AA4275" s="15" t="n">
        <v>61</v>
      </c>
      <c r="AW4275" s="15" t="n">
        <v>61</v>
      </c>
      <c r="BS4275" s="15" t="n">
        <v>61</v>
      </c>
      <c r="CO4275" s="15" t="n">
        <v>61</v>
      </c>
      <c r="DK4275" s="15" t="n">
        <v>61</v>
      </c>
      <c r="EG4275" s="15" t="n">
        <v>61</v>
      </c>
      <c r="FC4275" s="15" t="n">
        <v>61</v>
      </c>
      <c r="FY4275" s="15" t="n">
        <v>61</v>
      </c>
      <c r="GU4275" s="15" t="n">
        <v>61</v>
      </c>
    </row>
    <row r="4276">
      <c r="C4276" s="15" t="n">
        <v>62</v>
      </c>
      <c r="AA4276" s="15" t="n">
        <v>62</v>
      </c>
      <c r="AW4276" s="15" t="n">
        <v>62</v>
      </c>
      <c r="BS4276" s="15" t="n">
        <v>62</v>
      </c>
      <c r="CO4276" s="15" t="n">
        <v>62</v>
      </c>
      <c r="DK4276" s="15" t="n">
        <v>62</v>
      </c>
      <c r="EG4276" s="15" t="n">
        <v>62</v>
      </c>
      <c r="FC4276" s="15" t="n">
        <v>62</v>
      </c>
      <c r="FY4276" s="15" t="n">
        <v>62</v>
      </c>
      <c r="GU4276" s="15" t="n">
        <v>62</v>
      </c>
    </row>
    <row r="4277">
      <c r="C4277" s="15" t="n">
        <v>63</v>
      </c>
      <c r="AA4277" s="15" t="n">
        <v>63</v>
      </c>
      <c r="AW4277" s="15" t="n">
        <v>63</v>
      </c>
      <c r="BS4277" s="15" t="n">
        <v>63</v>
      </c>
      <c r="CO4277" s="15" t="n">
        <v>63</v>
      </c>
      <c r="DK4277" s="15" t="n">
        <v>63</v>
      </c>
      <c r="EG4277" s="15" t="n">
        <v>63</v>
      </c>
      <c r="FC4277" s="15" t="n">
        <v>63</v>
      </c>
      <c r="FY4277" s="15" t="n">
        <v>63</v>
      </c>
      <c r="GU4277" s="15" t="n">
        <v>63</v>
      </c>
    </row>
    <row r="4278">
      <c r="C4278" s="15" t="n">
        <v>64</v>
      </c>
      <c r="AA4278" s="15" t="n">
        <v>64</v>
      </c>
      <c r="AW4278" s="15" t="n">
        <v>64</v>
      </c>
      <c r="BS4278" s="15" t="n">
        <v>64</v>
      </c>
      <c r="CO4278" s="15" t="n">
        <v>64</v>
      </c>
      <c r="DK4278" s="15" t="n">
        <v>64</v>
      </c>
      <c r="EG4278" s="15" t="n">
        <v>64</v>
      </c>
      <c r="FC4278" s="15" t="n">
        <v>64</v>
      </c>
      <c r="FY4278" s="15" t="n">
        <v>64</v>
      </c>
      <c r="GU4278" s="15" t="n">
        <v>64</v>
      </c>
    </row>
    <row r="4279">
      <c r="C4279" s="15" t="n">
        <v>65</v>
      </c>
      <c r="AA4279" s="15" t="n">
        <v>65</v>
      </c>
      <c r="AW4279" s="15" t="n">
        <v>65</v>
      </c>
      <c r="BS4279" s="15" t="n">
        <v>65</v>
      </c>
      <c r="CO4279" s="15" t="n">
        <v>65</v>
      </c>
      <c r="DK4279" s="15" t="n">
        <v>65</v>
      </c>
      <c r="EG4279" s="15" t="n">
        <v>65</v>
      </c>
      <c r="FC4279" s="15" t="n">
        <v>65</v>
      </c>
      <c r="FY4279" s="15" t="n">
        <v>65</v>
      </c>
      <c r="GU4279" s="15" t="n">
        <v>65</v>
      </c>
    </row>
    <row r="4280">
      <c r="C4280" s="15" t="n">
        <v>66</v>
      </c>
      <c r="AA4280" s="15" t="n">
        <v>66</v>
      </c>
      <c r="AW4280" s="15" t="n">
        <v>66</v>
      </c>
      <c r="BS4280" s="15" t="n">
        <v>66</v>
      </c>
      <c r="CO4280" s="15" t="n">
        <v>66</v>
      </c>
      <c r="DK4280" s="15" t="n">
        <v>66</v>
      </c>
      <c r="EG4280" s="15" t="n">
        <v>66</v>
      </c>
      <c r="FC4280" s="15" t="n">
        <v>66</v>
      </c>
      <c r="FY4280" s="15" t="n">
        <v>66</v>
      </c>
      <c r="GU4280" s="15" t="n">
        <v>66</v>
      </c>
    </row>
    <row r="4281">
      <c r="C4281" s="15" t="n">
        <v>67</v>
      </c>
      <c r="AA4281" s="15" t="n">
        <v>67</v>
      </c>
      <c r="AW4281" s="15" t="n">
        <v>67</v>
      </c>
      <c r="BS4281" s="15" t="n">
        <v>67</v>
      </c>
      <c r="CO4281" s="15" t="n">
        <v>67</v>
      </c>
      <c r="DK4281" s="15" t="n">
        <v>67</v>
      </c>
      <c r="EG4281" s="15" t="n">
        <v>67</v>
      </c>
      <c r="FC4281" s="15" t="n">
        <v>67</v>
      </c>
      <c r="FY4281" s="15" t="n">
        <v>67</v>
      </c>
      <c r="GU4281" s="15" t="n">
        <v>67</v>
      </c>
    </row>
    <row r="4282">
      <c r="C4282" s="15" t="n">
        <v>68</v>
      </c>
      <c r="AA4282" s="15" t="n">
        <v>68</v>
      </c>
      <c r="AW4282" s="15" t="n">
        <v>68</v>
      </c>
      <c r="BS4282" s="15" t="n">
        <v>68</v>
      </c>
      <c r="CO4282" s="15" t="n">
        <v>68</v>
      </c>
      <c r="DK4282" s="15" t="n">
        <v>68</v>
      </c>
      <c r="EG4282" s="15" t="n">
        <v>68</v>
      </c>
      <c r="FC4282" s="15" t="n">
        <v>68</v>
      </c>
      <c r="FY4282" s="15" t="n">
        <v>68</v>
      </c>
      <c r="GU4282" s="15" t="n">
        <v>68</v>
      </c>
    </row>
    <row r="4283">
      <c r="C4283" s="15" t="n">
        <v>69</v>
      </c>
      <c r="AA4283" s="15" t="n">
        <v>69</v>
      </c>
      <c r="AW4283" s="15" t="n">
        <v>69</v>
      </c>
      <c r="BS4283" s="15" t="n">
        <v>69</v>
      </c>
      <c r="CO4283" s="15" t="n">
        <v>69</v>
      </c>
      <c r="DK4283" s="15" t="n">
        <v>69</v>
      </c>
      <c r="EG4283" s="15" t="n">
        <v>69</v>
      </c>
      <c r="FC4283" s="15" t="n">
        <v>69</v>
      </c>
      <c r="FY4283" s="15" t="n">
        <v>69</v>
      </c>
      <c r="GU4283" s="15" t="n">
        <v>69</v>
      </c>
    </row>
    <row r="4284">
      <c r="C4284" s="15" t="n">
        <v>70</v>
      </c>
      <c r="AA4284" s="15" t="n">
        <v>70</v>
      </c>
      <c r="AW4284" s="15" t="n">
        <v>70</v>
      </c>
      <c r="BS4284" s="15" t="n">
        <v>70</v>
      </c>
      <c r="CO4284" s="15" t="n">
        <v>70</v>
      </c>
      <c r="DK4284" s="15" t="n">
        <v>70</v>
      </c>
      <c r="EG4284" s="15" t="n">
        <v>70</v>
      </c>
      <c r="FC4284" s="15" t="n">
        <v>70</v>
      </c>
      <c r="FY4284" s="15" t="n">
        <v>70</v>
      </c>
      <c r="GU4284" s="15" t="n">
        <v>70</v>
      </c>
    </row>
    <row r="4285">
      <c r="C4285" s="15" t="n">
        <v>71</v>
      </c>
      <c r="AA4285" s="15" t="n">
        <v>71</v>
      </c>
      <c r="AW4285" s="15" t="n">
        <v>71</v>
      </c>
      <c r="BS4285" s="15" t="n">
        <v>71</v>
      </c>
      <c r="CO4285" s="15" t="n">
        <v>71</v>
      </c>
      <c r="DK4285" s="15" t="n">
        <v>71</v>
      </c>
      <c r="EG4285" s="15" t="n">
        <v>71</v>
      </c>
      <c r="FC4285" s="15" t="n">
        <v>71</v>
      </c>
      <c r="FY4285" s="15" t="n">
        <v>71</v>
      </c>
      <c r="GU4285" s="15" t="n">
        <v>71</v>
      </c>
    </row>
    <row r="4286">
      <c r="C4286" s="15" t="n">
        <v>72</v>
      </c>
      <c r="AA4286" s="15" t="n">
        <v>72</v>
      </c>
      <c r="AW4286" s="15" t="n">
        <v>72</v>
      </c>
      <c r="BS4286" s="15" t="n">
        <v>72</v>
      </c>
      <c r="CO4286" s="15" t="n">
        <v>72</v>
      </c>
      <c r="DK4286" s="15" t="n">
        <v>72</v>
      </c>
      <c r="EG4286" s="15" t="n">
        <v>72</v>
      </c>
      <c r="FC4286" s="15" t="n">
        <v>72</v>
      </c>
      <c r="FY4286" s="15" t="n">
        <v>72</v>
      </c>
      <c r="GU4286" s="15" t="n">
        <v>72</v>
      </c>
    </row>
    <row r="4287">
      <c r="C4287" s="15" t="n">
        <v>73</v>
      </c>
      <c r="AA4287" s="15" t="n">
        <v>73</v>
      </c>
      <c r="AW4287" s="15" t="n">
        <v>73</v>
      </c>
      <c r="BS4287" s="15" t="n">
        <v>73</v>
      </c>
      <c r="CO4287" s="15" t="n">
        <v>73</v>
      </c>
      <c r="DK4287" s="15" t="n">
        <v>73</v>
      </c>
      <c r="EG4287" s="15" t="n">
        <v>73</v>
      </c>
      <c r="FC4287" s="15" t="n">
        <v>73</v>
      </c>
      <c r="FY4287" s="15" t="n">
        <v>73</v>
      </c>
      <c r="GU4287" s="15" t="n">
        <v>73</v>
      </c>
    </row>
    <row r="4288">
      <c r="C4288" s="15" t="n">
        <v>74</v>
      </c>
      <c r="AA4288" s="15" t="n">
        <v>74</v>
      </c>
      <c r="AW4288" s="15" t="n">
        <v>74</v>
      </c>
      <c r="BS4288" s="15" t="n">
        <v>74</v>
      </c>
      <c r="CO4288" s="15" t="n">
        <v>74</v>
      </c>
      <c r="DK4288" s="15" t="n">
        <v>74</v>
      </c>
      <c r="EG4288" s="15" t="n">
        <v>74</v>
      </c>
      <c r="FC4288" s="15" t="n">
        <v>74</v>
      </c>
      <c r="FY4288" s="15" t="n">
        <v>74</v>
      </c>
      <c r="GU4288" s="15" t="n">
        <v>74</v>
      </c>
    </row>
    <row r="4289">
      <c r="C4289" s="15" t="n">
        <v>75</v>
      </c>
      <c r="AA4289" s="15" t="n">
        <v>75</v>
      </c>
      <c r="AW4289" s="15" t="n">
        <v>75</v>
      </c>
      <c r="BS4289" s="15" t="n">
        <v>75</v>
      </c>
      <c r="CO4289" s="15" t="n">
        <v>75</v>
      </c>
      <c r="DK4289" s="15" t="n">
        <v>75</v>
      </c>
      <c r="EG4289" s="15" t="n">
        <v>75</v>
      </c>
      <c r="FC4289" s="15" t="n">
        <v>75</v>
      </c>
      <c r="FY4289" s="15" t="n">
        <v>75</v>
      </c>
      <c r="GU4289" s="15" t="n">
        <v>75</v>
      </c>
    </row>
    <row r="4290">
      <c r="C4290" s="15" t="n">
        <v>76</v>
      </c>
      <c r="AA4290" s="15" t="n">
        <v>76</v>
      </c>
      <c r="AW4290" s="15" t="n">
        <v>76</v>
      </c>
      <c r="BS4290" s="15" t="n">
        <v>76</v>
      </c>
      <c r="CO4290" s="15" t="n">
        <v>76</v>
      </c>
      <c r="DK4290" s="15" t="n">
        <v>76</v>
      </c>
      <c r="EG4290" s="15" t="n">
        <v>76</v>
      </c>
      <c r="FC4290" s="15" t="n">
        <v>76</v>
      </c>
      <c r="FY4290" s="15" t="n">
        <v>76</v>
      </c>
      <c r="GU4290" s="15" t="n">
        <v>76</v>
      </c>
    </row>
    <row r="4291">
      <c r="C4291" s="15" t="n">
        <v>77</v>
      </c>
      <c r="AA4291" s="15" t="n">
        <v>77</v>
      </c>
      <c r="AW4291" s="15" t="n">
        <v>77</v>
      </c>
      <c r="BS4291" s="15" t="n">
        <v>77</v>
      </c>
      <c r="CO4291" s="15" t="n">
        <v>77</v>
      </c>
      <c r="DK4291" s="15" t="n">
        <v>77</v>
      </c>
      <c r="EG4291" s="15" t="n">
        <v>77</v>
      </c>
      <c r="FC4291" s="15" t="n">
        <v>77</v>
      </c>
      <c r="FY4291" s="15" t="n">
        <v>77</v>
      </c>
      <c r="GU4291" s="15" t="n">
        <v>77</v>
      </c>
    </row>
    <row r="4292">
      <c r="C4292" s="15" t="n">
        <v>78</v>
      </c>
      <c r="AA4292" s="15" t="n">
        <v>78</v>
      </c>
      <c r="AW4292" s="15" t="n">
        <v>78</v>
      </c>
      <c r="BS4292" s="15" t="n">
        <v>78</v>
      </c>
      <c r="CO4292" s="15" t="n">
        <v>78</v>
      </c>
      <c r="DK4292" s="15" t="n">
        <v>78</v>
      </c>
      <c r="EG4292" s="15" t="n">
        <v>78</v>
      </c>
      <c r="FC4292" s="15" t="n">
        <v>78</v>
      </c>
      <c r="FY4292" s="15" t="n">
        <v>78</v>
      </c>
      <c r="GU4292" s="15" t="n">
        <v>78</v>
      </c>
    </row>
    <row r="4293">
      <c r="C4293" s="15" t="n">
        <v>79</v>
      </c>
      <c r="AA4293" s="15" t="n">
        <v>79</v>
      </c>
      <c r="AW4293" s="15" t="n">
        <v>79</v>
      </c>
      <c r="BS4293" s="15" t="n">
        <v>79</v>
      </c>
      <c r="CO4293" s="15" t="n">
        <v>79</v>
      </c>
      <c r="DK4293" s="15" t="n">
        <v>79</v>
      </c>
      <c r="EG4293" s="15" t="n">
        <v>79</v>
      </c>
      <c r="FC4293" s="15" t="n">
        <v>79</v>
      </c>
      <c r="FY4293" s="15" t="n">
        <v>79</v>
      </c>
      <c r="GU4293" s="15" t="n">
        <v>79</v>
      </c>
    </row>
    <row r="4294">
      <c r="C4294" s="15" t="n">
        <v>80</v>
      </c>
      <c r="AA4294" s="15" t="n">
        <v>80</v>
      </c>
      <c r="AW4294" s="15" t="n">
        <v>80</v>
      </c>
      <c r="BS4294" s="15" t="n">
        <v>80</v>
      </c>
      <c r="CO4294" s="15" t="n">
        <v>80</v>
      </c>
      <c r="DK4294" s="15" t="n">
        <v>80</v>
      </c>
      <c r="EG4294" s="15" t="n">
        <v>80</v>
      </c>
      <c r="FC4294" s="15" t="n">
        <v>80</v>
      </c>
      <c r="FY4294" s="15" t="n">
        <v>80</v>
      </c>
      <c r="GU4294" s="15" t="n">
        <v>80</v>
      </c>
    </row>
    <row r="4295">
      <c r="C4295" s="15" t="n">
        <v>81</v>
      </c>
      <c r="AA4295" s="15" t="n">
        <v>81</v>
      </c>
      <c r="AW4295" s="15" t="n">
        <v>81</v>
      </c>
      <c r="BS4295" s="15" t="n">
        <v>81</v>
      </c>
      <c r="CO4295" s="15" t="n">
        <v>81</v>
      </c>
      <c r="DK4295" s="15" t="n">
        <v>81</v>
      </c>
      <c r="EG4295" s="15" t="n">
        <v>81</v>
      </c>
      <c r="FC4295" s="15" t="n">
        <v>81</v>
      </c>
      <c r="FY4295" s="15" t="n">
        <v>81</v>
      </c>
      <c r="GU4295" s="15" t="n">
        <v>81</v>
      </c>
    </row>
    <row r="4296">
      <c r="C4296" s="15" t="n">
        <v>82</v>
      </c>
      <c r="AA4296" s="15" t="n">
        <v>82</v>
      </c>
      <c r="AW4296" s="15" t="n">
        <v>82</v>
      </c>
      <c r="BS4296" s="15" t="n">
        <v>82</v>
      </c>
      <c r="CO4296" s="15" t="n">
        <v>82</v>
      </c>
      <c r="DK4296" s="15" t="n">
        <v>82</v>
      </c>
      <c r="EG4296" s="15" t="n">
        <v>82</v>
      </c>
      <c r="FC4296" s="15" t="n">
        <v>82</v>
      </c>
      <c r="FY4296" s="15" t="n">
        <v>82</v>
      </c>
      <c r="GU4296" s="15" t="n">
        <v>82</v>
      </c>
    </row>
    <row r="4297">
      <c r="C4297" s="15" t="n">
        <v>83</v>
      </c>
      <c r="AA4297" s="15" t="n">
        <v>83</v>
      </c>
      <c r="AW4297" s="15" t="n">
        <v>83</v>
      </c>
      <c r="BS4297" s="15" t="n">
        <v>83</v>
      </c>
      <c r="CO4297" s="15" t="n">
        <v>83</v>
      </c>
      <c r="DK4297" s="15" t="n">
        <v>83</v>
      </c>
      <c r="EG4297" s="15" t="n">
        <v>83</v>
      </c>
      <c r="FC4297" s="15" t="n">
        <v>83</v>
      </c>
      <c r="FY4297" s="15" t="n">
        <v>83</v>
      </c>
      <c r="GU4297" s="15" t="n">
        <v>83</v>
      </c>
    </row>
    <row r="4298">
      <c r="C4298" s="15" t="n">
        <v>84</v>
      </c>
      <c r="AA4298" s="15" t="n">
        <v>84</v>
      </c>
      <c r="AW4298" s="15" t="n">
        <v>84</v>
      </c>
      <c r="BS4298" s="15" t="n">
        <v>84</v>
      </c>
      <c r="CO4298" s="15" t="n">
        <v>84</v>
      </c>
      <c r="DK4298" s="15" t="n">
        <v>84</v>
      </c>
      <c r="EG4298" s="15" t="n">
        <v>84</v>
      </c>
      <c r="FC4298" s="15" t="n">
        <v>84</v>
      </c>
      <c r="FY4298" s="15" t="n">
        <v>84</v>
      </c>
      <c r="GU4298" s="15" t="n">
        <v>84</v>
      </c>
    </row>
    <row r="4299">
      <c r="C4299" s="15" t="n">
        <v>85</v>
      </c>
      <c r="AA4299" s="15" t="n">
        <v>85</v>
      </c>
      <c r="AW4299" s="15" t="n">
        <v>85</v>
      </c>
      <c r="BS4299" s="15" t="n">
        <v>85</v>
      </c>
      <c r="CO4299" s="15" t="n">
        <v>85</v>
      </c>
      <c r="DK4299" s="15" t="n">
        <v>85</v>
      </c>
      <c r="EG4299" s="15" t="n">
        <v>85</v>
      </c>
      <c r="FC4299" s="15" t="n">
        <v>85</v>
      </c>
      <c r="FY4299" s="15" t="n">
        <v>85</v>
      </c>
      <c r="GU4299" s="15" t="n">
        <v>85</v>
      </c>
    </row>
    <row r="4300">
      <c r="C4300" s="15" t="n">
        <v>86</v>
      </c>
      <c r="AA4300" s="15" t="n">
        <v>86</v>
      </c>
      <c r="AW4300" s="15" t="n">
        <v>86</v>
      </c>
      <c r="BS4300" s="15" t="n">
        <v>86</v>
      </c>
      <c r="CO4300" s="15" t="n">
        <v>86</v>
      </c>
      <c r="DK4300" s="15" t="n">
        <v>86</v>
      </c>
      <c r="EG4300" s="15" t="n">
        <v>86</v>
      </c>
      <c r="FC4300" s="15" t="n">
        <v>86</v>
      </c>
      <c r="FY4300" s="15" t="n">
        <v>86</v>
      </c>
      <c r="GU4300" s="15" t="n">
        <v>86</v>
      </c>
    </row>
    <row r="4301">
      <c r="C4301" s="15" t="n">
        <v>87</v>
      </c>
      <c r="AA4301" s="15" t="n">
        <v>87</v>
      </c>
      <c r="AW4301" s="15" t="n">
        <v>87</v>
      </c>
      <c r="BS4301" s="15" t="n">
        <v>87</v>
      </c>
      <c r="CO4301" s="15" t="n">
        <v>87</v>
      </c>
      <c r="DK4301" s="15" t="n">
        <v>87</v>
      </c>
      <c r="EG4301" s="15" t="n">
        <v>87</v>
      </c>
      <c r="FC4301" s="15" t="n">
        <v>87</v>
      </c>
      <c r="FY4301" s="15" t="n">
        <v>87</v>
      </c>
      <c r="GU4301" s="15" t="n">
        <v>87</v>
      </c>
    </row>
    <row r="4302">
      <c r="C4302" s="15" t="n">
        <v>88</v>
      </c>
      <c r="AA4302" s="15" t="n">
        <v>88</v>
      </c>
      <c r="AW4302" s="15" t="n">
        <v>88</v>
      </c>
      <c r="BS4302" s="15" t="n">
        <v>88</v>
      </c>
      <c r="CO4302" s="15" t="n">
        <v>88</v>
      </c>
      <c r="DK4302" s="15" t="n">
        <v>88</v>
      </c>
      <c r="EG4302" s="15" t="n">
        <v>88</v>
      </c>
      <c r="FC4302" s="15" t="n">
        <v>88</v>
      </c>
      <c r="FY4302" s="15" t="n">
        <v>88</v>
      </c>
      <c r="GU4302" s="15" t="n">
        <v>88</v>
      </c>
    </row>
    <row r="4303">
      <c r="C4303" s="15" t="n">
        <v>89</v>
      </c>
      <c r="AA4303" s="15" t="n">
        <v>89</v>
      </c>
      <c r="AW4303" s="15" t="n">
        <v>89</v>
      </c>
      <c r="BS4303" s="15" t="n">
        <v>89</v>
      </c>
      <c r="CO4303" s="15" t="n">
        <v>89</v>
      </c>
      <c r="DK4303" s="15" t="n">
        <v>89</v>
      </c>
      <c r="EG4303" s="15" t="n">
        <v>89</v>
      </c>
      <c r="FC4303" s="15" t="n">
        <v>89</v>
      </c>
      <c r="FY4303" s="15" t="n">
        <v>89</v>
      </c>
      <c r="GU4303" s="15" t="n">
        <v>89</v>
      </c>
    </row>
    <row r="4304">
      <c r="C4304" s="15" t="n">
        <v>90</v>
      </c>
      <c r="AA4304" s="15" t="n">
        <v>90</v>
      </c>
      <c r="AW4304" s="15" t="n">
        <v>90</v>
      </c>
      <c r="BS4304" s="15" t="n">
        <v>90</v>
      </c>
      <c r="CO4304" s="15" t="n">
        <v>90</v>
      </c>
      <c r="DK4304" s="15" t="n">
        <v>90</v>
      </c>
      <c r="EG4304" s="15" t="n">
        <v>90</v>
      </c>
      <c r="FC4304" s="15" t="n">
        <v>90</v>
      </c>
      <c r="FY4304" s="15" t="n">
        <v>90</v>
      </c>
      <c r="GU4304" s="15" t="n">
        <v>90</v>
      </c>
    </row>
    <row r="4305">
      <c r="C4305" s="15" t="n">
        <v>91</v>
      </c>
      <c r="AA4305" s="15" t="n">
        <v>91</v>
      </c>
      <c r="AW4305" s="15" t="n">
        <v>91</v>
      </c>
      <c r="BS4305" s="15" t="n">
        <v>91</v>
      </c>
      <c r="CO4305" s="15" t="n">
        <v>91</v>
      </c>
      <c r="DK4305" s="15" t="n">
        <v>91</v>
      </c>
      <c r="EG4305" s="15" t="n">
        <v>91</v>
      </c>
      <c r="FC4305" s="15" t="n">
        <v>91</v>
      </c>
      <c r="FY4305" s="15" t="n">
        <v>91</v>
      </c>
      <c r="GU4305" s="15" t="n">
        <v>91</v>
      </c>
    </row>
    <row r="4306">
      <c r="C4306" s="15" t="n">
        <v>92</v>
      </c>
      <c r="AA4306" s="15" t="n">
        <v>92</v>
      </c>
      <c r="AW4306" s="15" t="n">
        <v>92</v>
      </c>
      <c r="BS4306" s="15" t="n">
        <v>92</v>
      </c>
      <c r="CO4306" s="15" t="n">
        <v>92</v>
      </c>
      <c r="DK4306" s="15" t="n">
        <v>92</v>
      </c>
      <c r="EG4306" s="15" t="n">
        <v>92</v>
      </c>
      <c r="FC4306" s="15" t="n">
        <v>92</v>
      </c>
      <c r="FY4306" s="15" t="n">
        <v>92</v>
      </c>
      <c r="GU4306" s="15" t="n">
        <v>92</v>
      </c>
    </row>
    <row r="4307">
      <c r="C4307" s="15" t="n">
        <v>93</v>
      </c>
      <c r="AA4307" s="15" t="n">
        <v>93</v>
      </c>
      <c r="AW4307" s="15" t="n">
        <v>93</v>
      </c>
      <c r="BS4307" s="15" t="n">
        <v>93</v>
      </c>
      <c r="CO4307" s="15" t="n">
        <v>93</v>
      </c>
      <c r="DK4307" s="15" t="n">
        <v>93</v>
      </c>
      <c r="EG4307" s="15" t="n">
        <v>93</v>
      </c>
      <c r="FC4307" s="15" t="n">
        <v>93</v>
      </c>
      <c r="FY4307" s="15" t="n">
        <v>93</v>
      </c>
      <c r="GU4307" s="15" t="n">
        <v>93</v>
      </c>
    </row>
    <row r="4308">
      <c r="C4308" s="15" t="n">
        <v>94</v>
      </c>
      <c r="AA4308" s="15" t="n">
        <v>94</v>
      </c>
      <c r="AW4308" s="15" t="n">
        <v>94</v>
      </c>
      <c r="BS4308" s="15" t="n">
        <v>94</v>
      </c>
      <c r="CO4308" s="15" t="n">
        <v>94</v>
      </c>
      <c r="DK4308" s="15" t="n">
        <v>94</v>
      </c>
      <c r="EG4308" s="15" t="n">
        <v>94</v>
      </c>
      <c r="FC4308" s="15" t="n">
        <v>94</v>
      </c>
      <c r="FY4308" s="15" t="n">
        <v>94</v>
      </c>
      <c r="GU4308" s="15" t="n">
        <v>94</v>
      </c>
    </row>
    <row r="4309">
      <c r="C4309" s="15" t="n">
        <v>95</v>
      </c>
      <c r="AA4309" s="15" t="n">
        <v>95</v>
      </c>
      <c r="AW4309" s="15" t="n">
        <v>95</v>
      </c>
      <c r="BS4309" s="15" t="n">
        <v>95</v>
      </c>
      <c r="CO4309" s="15" t="n">
        <v>95</v>
      </c>
      <c r="DK4309" s="15" t="n">
        <v>95</v>
      </c>
      <c r="EG4309" s="15" t="n">
        <v>95</v>
      </c>
      <c r="FC4309" s="15" t="n">
        <v>95</v>
      </c>
      <c r="FY4309" s="15" t="n">
        <v>95</v>
      </c>
      <c r="GU4309" s="15" t="n">
        <v>95</v>
      </c>
    </row>
    <row r="4310">
      <c r="C4310" s="15" t="n">
        <v>96</v>
      </c>
      <c r="AA4310" s="15" t="n">
        <v>96</v>
      </c>
      <c r="AW4310" s="15" t="n">
        <v>96</v>
      </c>
      <c r="BS4310" s="15" t="n">
        <v>96</v>
      </c>
      <c r="CO4310" s="15" t="n">
        <v>96</v>
      </c>
      <c r="DK4310" s="15" t="n">
        <v>96</v>
      </c>
      <c r="EG4310" s="15" t="n">
        <v>96</v>
      </c>
      <c r="FC4310" s="15" t="n">
        <v>96</v>
      </c>
      <c r="FY4310" s="15" t="n">
        <v>96</v>
      </c>
      <c r="GU4310" s="15" t="n">
        <v>96</v>
      </c>
    </row>
    <row r="4311">
      <c r="C4311" s="15" t="n">
        <v>97</v>
      </c>
      <c r="AA4311" s="15" t="n">
        <v>97</v>
      </c>
      <c r="AW4311" s="15" t="n">
        <v>97</v>
      </c>
      <c r="BS4311" s="15" t="n">
        <v>97</v>
      </c>
      <c r="CO4311" s="15" t="n">
        <v>97</v>
      </c>
      <c r="DK4311" s="15" t="n">
        <v>97</v>
      </c>
      <c r="EG4311" s="15" t="n">
        <v>97</v>
      </c>
      <c r="FC4311" s="15" t="n">
        <v>97</v>
      </c>
      <c r="FY4311" s="15" t="n">
        <v>97</v>
      </c>
      <c r="GU4311" s="15" t="n">
        <v>97</v>
      </c>
    </row>
    <row r="4312">
      <c r="C4312" s="15" t="n">
        <v>98</v>
      </c>
      <c r="AA4312" s="15" t="n">
        <v>98</v>
      </c>
      <c r="AW4312" s="15" t="n">
        <v>98</v>
      </c>
      <c r="BS4312" s="15" t="n">
        <v>98</v>
      </c>
      <c r="CO4312" s="15" t="n">
        <v>98</v>
      </c>
      <c r="DK4312" s="15" t="n">
        <v>98</v>
      </c>
      <c r="EG4312" s="15" t="n">
        <v>98</v>
      </c>
      <c r="FC4312" s="15" t="n">
        <v>98</v>
      </c>
      <c r="FY4312" s="15" t="n">
        <v>98</v>
      </c>
      <c r="GU4312" s="15" t="n">
        <v>98</v>
      </c>
    </row>
    <row r="4313">
      <c r="C4313" s="15" t="n">
        <v>99</v>
      </c>
      <c r="AA4313" s="15" t="n">
        <v>99</v>
      </c>
      <c r="AW4313" s="15" t="n">
        <v>99</v>
      </c>
      <c r="BS4313" s="15" t="n">
        <v>99</v>
      </c>
      <c r="CO4313" s="15" t="n">
        <v>99</v>
      </c>
      <c r="DK4313" s="15" t="n">
        <v>99</v>
      </c>
      <c r="EG4313" s="15" t="n">
        <v>99</v>
      </c>
      <c r="FC4313" s="15" t="n">
        <v>99</v>
      </c>
      <c r="FY4313" s="15" t="n">
        <v>99</v>
      </c>
      <c r="GU4313" s="15" t="n">
        <v>99</v>
      </c>
    </row>
    <row r="4314">
      <c r="C4314" s="15" t="n">
        <v>100</v>
      </c>
      <c r="AA4314" s="15" t="n">
        <v>100</v>
      </c>
      <c r="AW4314" s="15" t="n">
        <v>100</v>
      </c>
      <c r="BS4314" s="15" t="n">
        <v>100</v>
      </c>
      <c r="CO4314" s="15" t="n">
        <v>100</v>
      </c>
      <c r="DK4314" s="15" t="n">
        <v>100</v>
      </c>
      <c r="EG4314" s="15" t="n">
        <v>100</v>
      </c>
      <c r="FC4314" s="15" t="n">
        <v>100</v>
      </c>
      <c r="FY4314" s="15" t="n">
        <v>100</v>
      </c>
      <c r="GU4314" s="15" t="n">
        <v>100</v>
      </c>
    </row>
    <row r="4315">
      <c r="C4315" s="15" t="n">
        <v>101</v>
      </c>
      <c r="AA4315" s="15" t="n">
        <v>101</v>
      </c>
      <c r="AW4315" s="15" t="n">
        <v>101</v>
      </c>
      <c r="BS4315" s="15" t="n">
        <v>101</v>
      </c>
      <c r="CO4315" s="15" t="n">
        <v>101</v>
      </c>
      <c r="DK4315" s="15" t="n">
        <v>101</v>
      </c>
      <c r="EG4315" s="15" t="n">
        <v>101</v>
      </c>
      <c r="FC4315" s="15" t="n">
        <v>101</v>
      </c>
      <c r="FY4315" s="15" t="n">
        <v>101</v>
      </c>
      <c r="GU4315" s="15" t="n">
        <v>101</v>
      </c>
    </row>
    <row r="4316">
      <c r="C4316" s="15" t="n">
        <v>102</v>
      </c>
      <c r="AA4316" s="15" t="n">
        <v>102</v>
      </c>
      <c r="AW4316" s="15" t="n">
        <v>102</v>
      </c>
      <c r="BS4316" s="15" t="n">
        <v>102</v>
      </c>
      <c r="CO4316" s="15" t="n">
        <v>102</v>
      </c>
      <c r="DK4316" s="15" t="n">
        <v>102</v>
      </c>
      <c r="EG4316" s="15" t="n">
        <v>102</v>
      </c>
      <c r="FC4316" s="15" t="n">
        <v>102</v>
      </c>
      <c r="FY4316" s="15" t="n">
        <v>102</v>
      </c>
      <c r="GU4316" s="15" t="n">
        <v>102</v>
      </c>
    </row>
    <row r="4317">
      <c r="C4317" s="15" t="n">
        <v>103</v>
      </c>
      <c r="AA4317" s="15" t="n">
        <v>103</v>
      </c>
      <c r="AW4317" s="15" t="n">
        <v>103</v>
      </c>
      <c r="BS4317" s="15" t="n">
        <v>103</v>
      </c>
      <c r="CO4317" s="15" t="n">
        <v>103</v>
      </c>
      <c r="DK4317" s="15" t="n">
        <v>103</v>
      </c>
      <c r="EG4317" s="15" t="n">
        <v>103</v>
      </c>
      <c r="FC4317" s="15" t="n">
        <v>103</v>
      </c>
      <c r="FY4317" s="15" t="n">
        <v>103</v>
      </c>
      <c r="GU4317" s="15" t="n">
        <v>103</v>
      </c>
    </row>
    <row r="4318">
      <c r="C4318" s="15" t="n">
        <v>104</v>
      </c>
      <c r="AA4318" s="15" t="n">
        <v>104</v>
      </c>
      <c r="AW4318" s="15" t="n">
        <v>104</v>
      </c>
      <c r="BS4318" s="15" t="n">
        <v>104</v>
      </c>
      <c r="CO4318" s="15" t="n">
        <v>104</v>
      </c>
      <c r="DK4318" s="15" t="n">
        <v>104</v>
      </c>
      <c r="EG4318" s="15" t="n">
        <v>104</v>
      </c>
      <c r="FC4318" s="15" t="n">
        <v>104</v>
      </c>
      <c r="FY4318" s="15" t="n">
        <v>104</v>
      </c>
      <c r="GU4318" s="15" t="n">
        <v>104</v>
      </c>
    </row>
    <row r="4319">
      <c r="C4319" s="15" t="n">
        <v>105</v>
      </c>
      <c r="AA4319" s="15" t="n">
        <v>105</v>
      </c>
      <c r="AW4319" s="15" t="n">
        <v>105</v>
      </c>
      <c r="BS4319" s="15" t="n">
        <v>105</v>
      </c>
      <c r="CO4319" s="15" t="n">
        <v>105</v>
      </c>
      <c r="DK4319" s="15" t="n">
        <v>105</v>
      </c>
      <c r="EG4319" s="15" t="n">
        <v>105</v>
      </c>
      <c r="FC4319" s="15" t="n">
        <v>105</v>
      </c>
      <c r="FY4319" s="15" t="n">
        <v>105</v>
      </c>
      <c r="GU4319" s="15" t="n">
        <v>105</v>
      </c>
    </row>
    <row r="4320">
      <c r="C4320" s="15" t="n">
        <v>106</v>
      </c>
      <c r="AA4320" s="15" t="n">
        <v>106</v>
      </c>
      <c r="AW4320" s="15" t="n">
        <v>106</v>
      </c>
      <c r="BS4320" s="15" t="n">
        <v>106</v>
      </c>
      <c r="CO4320" s="15" t="n">
        <v>106</v>
      </c>
      <c r="DK4320" s="15" t="n">
        <v>106</v>
      </c>
      <c r="EG4320" s="15" t="n">
        <v>106</v>
      </c>
      <c r="FC4320" s="15" t="n">
        <v>106</v>
      </c>
      <c r="FY4320" s="15" t="n">
        <v>106</v>
      </c>
      <c r="GU4320" s="15" t="n">
        <v>106</v>
      </c>
    </row>
    <row r="4321">
      <c r="C4321" s="15" t="n">
        <v>107</v>
      </c>
      <c r="AA4321" s="15" t="n">
        <v>107</v>
      </c>
      <c r="AW4321" s="15" t="n">
        <v>107</v>
      </c>
      <c r="BS4321" s="15" t="n">
        <v>107</v>
      </c>
      <c r="CO4321" s="15" t="n">
        <v>107</v>
      </c>
      <c r="DK4321" s="15" t="n">
        <v>107</v>
      </c>
      <c r="EG4321" s="15" t="n">
        <v>107</v>
      </c>
      <c r="FC4321" s="15" t="n">
        <v>107</v>
      </c>
      <c r="FY4321" s="15" t="n">
        <v>107</v>
      </c>
      <c r="GU4321" s="15" t="n">
        <v>107</v>
      </c>
    </row>
    <row r="4322">
      <c r="C4322" s="15" t="n">
        <v>108</v>
      </c>
      <c r="AA4322" s="15" t="n">
        <v>108</v>
      </c>
      <c r="AW4322" s="15" t="n">
        <v>108</v>
      </c>
      <c r="BS4322" s="15" t="n">
        <v>108</v>
      </c>
      <c r="CO4322" s="15" t="n">
        <v>108</v>
      </c>
      <c r="DK4322" s="15" t="n">
        <v>108</v>
      </c>
      <c r="EG4322" s="15" t="n">
        <v>108</v>
      </c>
      <c r="FC4322" s="15" t="n">
        <v>108</v>
      </c>
      <c r="FY4322" s="15" t="n">
        <v>108</v>
      </c>
      <c r="GU4322" s="15" t="n">
        <v>108</v>
      </c>
    </row>
    <row r="4323">
      <c r="C4323" s="15" t="n">
        <v>109</v>
      </c>
      <c r="AA4323" s="15" t="n">
        <v>109</v>
      </c>
      <c r="AW4323" s="15" t="n">
        <v>109</v>
      </c>
      <c r="BS4323" s="15" t="n">
        <v>109</v>
      </c>
      <c r="CO4323" s="15" t="n">
        <v>109</v>
      </c>
      <c r="DK4323" s="15" t="n">
        <v>109</v>
      </c>
      <c r="EG4323" s="15" t="n">
        <v>109</v>
      </c>
      <c r="FC4323" s="15" t="n">
        <v>109</v>
      </c>
      <c r="FY4323" s="15" t="n">
        <v>109</v>
      </c>
      <c r="GU4323" s="15" t="n">
        <v>109</v>
      </c>
    </row>
    <row r="4324">
      <c r="C4324" s="15" t="n">
        <v>110</v>
      </c>
      <c r="AA4324" s="15" t="n">
        <v>110</v>
      </c>
      <c r="AW4324" s="15" t="n">
        <v>110</v>
      </c>
      <c r="BS4324" s="15" t="n">
        <v>110</v>
      </c>
      <c r="CO4324" s="15" t="n">
        <v>110</v>
      </c>
      <c r="DK4324" s="15" t="n">
        <v>110</v>
      </c>
      <c r="EG4324" s="15" t="n">
        <v>110</v>
      </c>
      <c r="FC4324" s="15" t="n">
        <v>110</v>
      </c>
      <c r="FY4324" s="15" t="n">
        <v>110</v>
      </c>
      <c r="GU4324" s="15" t="n">
        <v>110</v>
      </c>
    </row>
    <row r="4325">
      <c r="C4325" s="15" t="n">
        <v>111</v>
      </c>
      <c r="AA4325" s="15" t="n">
        <v>111</v>
      </c>
      <c r="AW4325" s="15" t="n">
        <v>111</v>
      </c>
      <c r="BS4325" s="15" t="n">
        <v>111</v>
      </c>
      <c r="CO4325" s="15" t="n">
        <v>111</v>
      </c>
      <c r="DK4325" s="15" t="n">
        <v>111</v>
      </c>
      <c r="EG4325" s="15" t="n">
        <v>111</v>
      </c>
      <c r="FC4325" s="15" t="n">
        <v>111</v>
      </c>
      <c r="FY4325" s="15" t="n">
        <v>111</v>
      </c>
      <c r="GU4325" s="15" t="n">
        <v>111</v>
      </c>
    </row>
    <row r="4326">
      <c r="C4326" s="15" t="n">
        <v>112</v>
      </c>
      <c r="AA4326" s="15" t="n">
        <v>112</v>
      </c>
      <c r="AW4326" s="15" t="n">
        <v>112</v>
      </c>
      <c r="BS4326" s="15" t="n">
        <v>112</v>
      </c>
      <c r="CO4326" s="15" t="n">
        <v>112</v>
      </c>
      <c r="DK4326" s="15" t="n">
        <v>112</v>
      </c>
      <c r="EG4326" s="15" t="n">
        <v>112</v>
      </c>
      <c r="FC4326" s="15" t="n">
        <v>112</v>
      </c>
      <c r="FY4326" s="15" t="n">
        <v>112</v>
      </c>
      <c r="GU4326" s="15" t="n">
        <v>112</v>
      </c>
    </row>
    <row r="4327">
      <c r="C4327" s="15" t="n">
        <v>113</v>
      </c>
      <c r="AA4327" s="15" t="n">
        <v>113</v>
      </c>
      <c r="AW4327" s="15" t="n">
        <v>113</v>
      </c>
      <c r="BS4327" s="15" t="n">
        <v>113</v>
      </c>
      <c r="CO4327" s="15" t="n">
        <v>113</v>
      </c>
      <c r="DK4327" s="15" t="n">
        <v>113</v>
      </c>
      <c r="EG4327" s="15" t="n">
        <v>113</v>
      </c>
      <c r="FC4327" s="15" t="n">
        <v>113</v>
      </c>
      <c r="FY4327" s="15" t="n">
        <v>113</v>
      </c>
      <c r="GU4327" s="15" t="n">
        <v>113</v>
      </c>
    </row>
    <row r="4328">
      <c r="C4328" s="15" t="n">
        <v>114</v>
      </c>
      <c r="AA4328" s="15" t="n">
        <v>114</v>
      </c>
      <c r="AW4328" s="15" t="n">
        <v>114</v>
      </c>
      <c r="BS4328" s="15" t="n">
        <v>114</v>
      </c>
      <c r="CO4328" s="15" t="n">
        <v>114</v>
      </c>
      <c r="DK4328" s="15" t="n">
        <v>114</v>
      </c>
      <c r="EG4328" s="15" t="n">
        <v>114</v>
      </c>
      <c r="FC4328" s="15" t="n">
        <v>114</v>
      </c>
      <c r="FY4328" s="15" t="n">
        <v>114</v>
      </c>
      <c r="GU4328" s="15" t="n">
        <v>114</v>
      </c>
    </row>
    <row r="4329">
      <c r="C4329" s="15" t="n">
        <v>115</v>
      </c>
      <c r="AA4329" s="15" t="n">
        <v>115</v>
      </c>
      <c r="AW4329" s="15" t="n">
        <v>115</v>
      </c>
      <c r="BS4329" s="15" t="n">
        <v>115</v>
      </c>
      <c r="CO4329" s="15" t="n">
        <v>115</v>
      </c>
      <c r="DK4329" s="15" t="n">
        <v>115</v>
      </c>
      <c r="EG4329" s="15" t="n">
        <v>115</v>
      </c>
      <c r="FC4329" s="15" t="n">
        <v>115</v>
      </c>
      <c r="FY4329" s="15" t="n">
        <v>115</v>
      </c>
      <c r="GU4329" s="15" t="n">
        <v>115</v>
      </c>
    </row>
    <row r="4330">
      <c r="C4330" s="15" t="n">
        <v>116</v>
      </c>
      <c r="AA4330" s="15" t="n">
        <v>116</v>
      </c>
      <c r="AW4330" s="15" t="n">
        <v>116</v>
      </c>
      <c r="BS4330" s="15" t="n">
        <v>116</v>
      </c>
      <c r="CO4330" s="15" t="n">
        <v>116</v>
      </c>
      <c r="DK4330" s="15" t="n">
        <v>116</v>
      </c>
      <c r="EG4330" s="15" t="n">
        <v>116</v>
      </c>
      <c r="FC4330" s="15" t="n">
        <v>116</v>
      </c>
      <c r="FY4330" s="15" t="n">
        <v>116</v>
      </c>
      <c r="GU4330" s="15" t="n">
        <v>116</v>
      </c>
    </row>
    <row r="4331">
      <c r="C4331" s="15" t="n">
        <v>117</v>
      </c>
      <c r="AA4331" s="15" t="n">
        <v>117</v>
      </c>
      <c r="AW4331" s="15" t="n">
        <v>117</v>
      </c>
      <c r="BS4331" s="15" t="n">
        <v>117</v>
      </c>
      <c r="CO4331" s="15" t="n">
        <v>117</v>
      </c>
      <c r="DK4331" s="15" t="n">
        <v>117</v>
      </c>
      <c r="EG4331" s="15" t="n">
        <v>117</v>
      </c>
      <c r="FC4331" s="15" t="n">
        <v>117</v>
      </c>
      <c r="FY4331" s="15" t="n">
        <v>117</v>
      </c>
      <c r="GU4331" s="15" t="n">
        <v>117</v>
      </c>
    </row>
    <row r="4332">
      <c r="C4332" s="15" t="n">
        <v>118</v>
      </c>
      <c r="AA4332" s="15" t="n">
        <v>118</v>
      </c>
      <c r="AW4332" s="15" t="n">
        <v>118</v>
      </c>
      <c r="BS4332" s="15" t="n">
        <v>118</v>
      </c>
      <c r="CO4332" s="15" t="n">
        <v>118</v>
      </c>
      <c r="DK4332" s="15" t="n">
        <v>118</v>
      </c>
      <c r="EG4332" s="15" t="n">
        <v>118</v>
      </c>
      <c r="FC4332" s="15" t="n">
        <v>118</v>
      </c>
      <c r="FY4332" s="15" t="n">
        <v>118</v>
      </c>
      <c r="GU4332" s="15" t="n">
        <v>118</v>
      </c>
    </row>
    <row r="4333">
      <c r="C4333" s="15" t="n">
        <v>119</v>
      </c>
      <c r="AA4333" s="15" t="n">
        <v>119</v>
      </c>
      <c r="AW4333" s="15" t="n">
        <v>119</v>
      </c>
      <c r="BS4333" s="15" t="n">
        <v>119</v>
      </c>
      <c r="CO4333" s="15" t="n">
        <v>119</v>
      </c>
      <c r="DK4333" s="15" t="n">
        <v>119</v>
      </c>
      <c r="EG4333" s="15" t="n">
        <v>119</v>
      </c>
      <c r="FC4333" s="15" t="n">
        <v>119</v>
      </c>
      <c r="FY4333" s="15" t="n">
        <v>119</v>
      </c>
      <c r="GU4333" s="15" t="n">
        <v>119</v>
      </c>
    </row>
    <row r="4334">
      <c r="C4334" s="15" t="n">
        <v>120</v>
      </c>
      <c r="AA4334" s="15" t="n">
        <v>120</v>
      </c>
      <c r="AW4334" s="15" t="n">
        <v>120</v>
      </c>
      <c r="BS4334" s="15" t="n">
        <v>120</v>
      </c>
      <c r="CO4334" s="15" t="n">
        <v>120</v>
      </c>
      <c r="DK4334" s="15" t="n">
        <v>120</v>
      </c>
      <c r="EG4334" s="15" t="n">
        <v>120</v>
      </c>
      <c r="FC4334" s="15" t="n">
        <v>120</v>
      </c>
      <c r="FY4334" s="15" t="n">
        <v>120</v>
      </c>
      <c r="GU4334" s="15" t="n">
        <v>120</v>
      </c>
    </row>
    <row r="4335">
      <c r="C4335" s="15" t="n">
        <v>121</v>
      </c>
      <c r="AA4335" s="15" t="n">
        <v>121</v>
      </c>
      <c r="AW4335" s="15" t="n">
        <v>121</v>
      </c>
      <c r="BS4335" s="15" t="n">
        <v>121</v>
      </c>
      <c r="CO4335" s="15" t="n">
        <v>121</v>
      </c>
      <c r="DK4335" s="15" t="n">
        <v>121</v>
      </c>
      <c r="EG4335" s="15" t="n">
        <v>121</v>
      </c>
      <c r="FC4335" s="15" t="n">
        <v>121</v>
      </c>
      <c r="FY4335" s="15" t="n">
        <v>121</v>
      </c>
      <c r="GU4335" s="15" t="n">
        <v>121</v>
      </c>
    </row>
    <row r="4336">
      <c r="C4336" s="15" t="n">
        <v>122</v>
      </c>
      <c r="AA4336" s="15" t="n">
        <v>122</v>
      </c>
      <c r="AW4336" s="15" t="n">
        <v>122</v>
      </c>
      <c r="BS4336" s="15" t="n">
        <v>122</v>
      </c>
      <c r="CO4336" s="15" t="n">
        <v>122</v>
      </c>
      <c r="DK4336" s="15" t="n">
        <v>122</v>
      </c>
      <c r="EG4336" s="15" t="n">
        <v>122</v>
      </c>
      <c r="FC4336" s="15" t="n">
        <v>122</v>
      </c>
      <c r="FY4336" s="15" t="n">
        <v>122</v>
      </c>
      <c r="GU4336" s="15" t="n">
        <v>122</v>
      </c>
    </row>
    <row r="4337">
      <c r="C4337" s="15" t="n">
        <v>123</v>
      </c>
      <c r="AA4337" s="15" t="n">
        <v>123</v>
      </c>
      <c r="AW4337" s="15" t="n">
        <v>123</v>
      </c>
      <c r="BS4337" s="15" t="n">
        <v>123</v>
      </c>
      <c r="CO4337" s="15" t="n">
        <v>123</v>
      </c>
      <c r="DK4337" s="15" t="n">
        <v>123</v>
      </c>
      <c r="EG4337" s="15" t="n">
        <v>123</v>
      </c>
      <c r="FC4337" s="15" t="n">
        <v>123</v>
      </c>
      <c r="FY4337" s="15" t="n">
        <v>123</v>
      </c>
      <c r="GU4337" s="15" t="n">
        <v>123</v>
      </c>
    </row>
    <row r="4338">
      <c r="C4338" s="15" t="n">
        <v>124</v>
      </c>
      <c r="AA4338" s="15" t="n">
        <v>124</v>
      </c>
      <c r="AW4338" s="15" t="n">
        <v>124</v>
      </c>
      <c r="BS4338" s="15" t="n">
        <v>124</v>
      </c>
      <c r="CO4338" s="15" t="n">
        <v>124</v>
      </c>
      <c r="DK4338" s="15" t="n">
        <v>124</v>
      </c>
      <c r="EG4338" s="15" t="n">
        <v>124</v>
      </c>
      <c r="FC4338" s="15" t="n">
        <v>124</v>
      </c>
      <c r="FY4338" s="15" t="n">
        <v>124</v>
      </c>
      <c r="GU4338" s="15" t="n">
        <v>124</v>
      </c>
    </row>
    <row r="4339">
      <c r="C4339" s="15" t="n">
        <v>125</v>
      </c>
      <c r="AA4339" s="15" t="n">
        <v>125</v>
      </c>
      <c r="AW4339" s="15" t="n">
        <v>125</v>
      </c>
      <c r="BS4339" s="15" t="n">
        <v>125</v>
      </c>
      <c r="CO4339" s="15" t="n">
        <v>125</v>
      </c>
      <c r="DK4339" s="15" t="n">
        <v>125</v>
      </c>
      <c r="EG4339" s="15" t="n">
        <v>125</v>
      </c>
      <c r="FC4339" s="15" t="n">
        <v>125</v>
      </c>
      <c r="FY4339" s="15" t="n">
        <v>125</v>
      </c>
      <c r="GU4339" s="15" t="n">
        <v>125</v>
      </c>
    </row>
    <row r="4340">
      <c r="C4340" s="15" t="n">
        <v>126</v>
      </c>
      <c r="AA4340" s="15" t="n">
        <v>126</v>
      </c>
      <c r="AW4340" s="15" t="n">
        <v>126</v>
      </c>
      <c r="BS4340" s="15" t="n">
        <v>126</v>
      </c>
      <c r="CO4340" s="15" t="n">
        <v>126</v>
      </c>
      <c r="DK4340" s="15" t="n">
        <v>126</v>
      </c>
      <c r="EG4340" s="15" t="n">
        <v>126</v>
      </c>
      <c r="FC4340" s="15" t="n">
        <v>126</v>
      </c>
      <c r="FY4340" s="15" t="n">
        <v>126</v>
      </c>
      <c r="GU4340" s="15" t="n">
        <v>126</v>
      </c>
    </row>
    <row r="4341">
      <c r="C4341" s="15" t="n">
        <v>127</v>
      </c>
      <c r="AA4341" s="15" t="n">
        <v>127</v>
      </c>
      <c r="AW4341" s="15" t="n">
        <v>127</v>
      </c>
      <c r="BS4341" s="15" t="n">
        <v>127</v>
      </c>
      <c r="CO4341" s="15" t="n">
        <v>127</v>
      </c>
      <c r="DK4341" s="15" t="n">
        <v>127</v>
      </c>
      <c r="EG4341" s="15" t="n">
        <v>127</v>
      </c>
      <c r="FC4341" s="15" t="n">
        <v>127</v>
      </c>
      <c r="FY4341" s="15" t="n">
        <v>127</v>
      </c>
      <c r="GU4341" s="15" t="n">
        <v>127</v>
      </c>
    </row>
    <row r="4342">
      <c r="C4342" s="15" t="n">
        <v>128</v>
      </c>
      <c r="AA4342" s="15" t="n">
        <v>128</v>
      </c>
      <c r="AW4342" s="15" t="n">
        <v>128</v>
      </c>
      <c r="BS4342" s="15" t="n">
        <v>128</v>
      </c>
      <c r="CO4342" s="15" t="n">
        <v>128</v>
      </c>
      <c r="DK4342" s="15" t="n">
        <v>128</v>
      </c>
      <c r="EG4342" s="15" t="n">
        <v>128</v>
      </c>
      <c r="FC4342" s="15" t="n">
        <v>128</v>
      </c>
      <c r="FY4342" s="15" t="n">
        <v>128</v>
      </c>
      <c r="GU4342" s="15" t="n">
        <v>128</v>
      </c>
    </row>
    <row r="4343">
      <c r="C4343" s="15" t="n">
        <v>129</v>
      </c>
      <c r="AA4343" s="15" t="n">
        <v>129</v>
      </c>
      <c r="AW4343" s="15" t="n">
        <v>129</v>
      </c>
      <c r="BS4343" s="15" t="n">
        <v>129</v>
      </c>
      <c r="CO4343" s="15" t="n">
        <v>129</v>
      </c>
      <c r="DK4343" s="15" t="n">
        <v>129</v>
      </c>
      <c r="EG4343" s="15" t="n">
        <v>129</v>
      </c>
      <c r="FC4343" s="15" t="n">
        <v>129</v>
      </c>
      <c r="FY4343" s="15" t="n">
        <v>129</v>
      </c>
      <c r="GU4343" s="15" t="n">
        <v>129</v>
      </c>
    </row>
    <row r="4344">
      <c r="C4344" s="15" t="n">
        <v>130</v>
      </c>
      <c r="AA4344" s="15" t="n">
        <v>130</v>
      </c>
      <c r="AW4344" s="15" t="n">
        <v>130</v>
      </c>
      <c r="BS4344" s="15" t="n">
        <v>130</v>
      </c>
      <c r="CO4344" s="15" t="n">
        <v>130</v>
      </c>
      <c r="DK4344" s="15" t="n">
        <v>130</v>
      </c>
      <c r="EG4344" s="15" t="n">
        <v>130</v>
      </c>
      <c r="FC4344" s="15" t="n">
        <v>130</v>
      </c>
      <c r="FY4344" s="15" t="n">
        <v>130</v>
      </c>
      <c r="GU4344" s="15" t="n">
        <v>130</v>
      </c>
    </row>
    <row r="4345">
      <c r="C4345" s="15" t="n">
        <v>131</v>
      </c>
      <c r="AA4345" s="15" t="n">
        <v>131</v>
      </c>
      <c r="AW4345" s="15" t="n">
        <v>131</v>
      </c>
      <c r="BS4345" s="15" t="n">
        <v>131</v>
      </c>
      <c r="CO4345" s="15" t="n">
        <v>131</v>
      </c>
      <c r="DK4345" s="15" t="n">
        <v>131</v>
      </c>
      <c r="EG4345" s="15" t="n">
        <v>131</v>
      </c>
      <c r="FC4345" s="15" t="n">
        <v>131</v>
      </c>
      <c r="FY4345" s="15" t="n">
        <v>131</v>
      </c>
      <c r="GU4345" s="15" t="n">
        <v>131</v>
      </c>
    </row>
    <row r="4346">
      <c r="C4346" s="15" t="n">
        <v>132</v>
      </c>
      <c r="AA4346" s="15" t="n">
        <v>132</v>
      </c>
      <c r="AW4346" s="15" t="n">
        <v>132</v>
      </c>
      <c r="BS4346" s="15" t="n">
        <v>132</v>
      </c>
      <c r="CO4346" s="15" t="n">
        <v>132</v>
      </c>
      <c r="DK4346" s="15" t="n">
        <v>132</v>
      </c>
      <c r="EG4346" s="15" t="n">
        <v>132</v>
      </c>
      <c r="FC4346" s="15" t="n">
        <v>132</v>
      </c>
      <c r="FY4346" s="15" t="n">
        <v>132</v>
      </c>
      <c r="GU4346" s="15" t="n">
        <v>132</v>
      </c>
    </row>
    <row r="4347">
      <c r="C4347" s="15" t="n">
        <v>133</v>
      </c>
      <c r="AA4347" s="15" t="n">
        <v>133</v>
      </c>
      <c r="AW4347" s="15" t="n">
        <v>133</v>
      </c>
      <c r="BS4347" s="15" t="n">
        <v>133</v>
      </c>
      <c r="CO4347" s="15" t="n">
        <v>133</v>
      </c>
      <c r="DK4347" s="15" t="n">
        <v>133</v>
      </c>
      <c r="EG4347" s="15" t="n">
        <v>133</v>
      </c>
      <c r="FC4347" s="15" t="n">
        <v>133</v>
      </c>
      <c r="FY4347" s="15" t="n">
        <v>133</v>
      </c>
      <c r="GU4347" s="15" t="n">
        <v>133</v>
      </c>
    </row>
    <row r="4348">
      <c r="C4348" s="15" t="n">
        <v>134</v>
      </c>
      <c r="AA4348" s="15" t="n">
        <v>134</v>
      </c>
      <c r="AW4348" s="15" t="n">
        <v>134</v>
      </c>
      <c r="BS4348" s="15" t="n">
        <v>134</v>
      </c>
      <c r="CO4348" s="15" t="n">
        <v>134</v>
      </c>
      <c r="DK4348" s="15" t="n">
        <v>134</v>
      </c>
      <c r="EG4348" s="15" t="n">
        <v>134</v>
      </c>
      <c r="FC4348" s="15" t="n">
        <v>134</v>
      </c>
      <c r="FY4348" s="15" t="n">
        <v>134</v>
      </c>
      <c r="GU4348" s="15" t="n">
        <v>134</v>
      </c>
    </row>
    <row r="4349">
      <c r="C4349" s="15" t="n">
        <v>135</v>
      </c>
      <c r="AA4349" s="15" t="n">
        <v>135</v>
      </c>
      <c r="AW4349" s="15" t="n">
        <v>135</v>
      </c>
      <c r="BS4349" s="15" t="n">
        <v>135</v>
      </c>
      <c r="CO4349" s="15" t="n">
        <v>135</v>
      </c>
      <c r="DK4349" s="15" t="n">
        <v>135</v>
      </c>
      <c r="EG4349" s="15" t="n">
        <v>135</v>
      </c>
      <c r="FC4349" s="15" t="n">
        <v>135</v>
      </c>
      <c r="FY4349" s="15" t="n">
        <v>135</v>
      </c>
      <c r="GU4349" s="15" t="n">
        <v>135</v>
      </c>
    </row>
    <row r="4350">
      <c r="C4350" s="15" t="n">
        <v>136</v>
      </c>
      <c r="AA4350" s="15" t="n">
        <v>136</v>
      </c>
      <c r="AW4350" s="15" t="n">
        <v>136</v>
      </c>
      <c r="BS4350" s="15" t="n">
        <v>136</v>
      </c>
      <c r="CO4350" s="15" t="n">
        <v>136</v>
      </c>
      <c r="DK4350" s="15" t="n">
        <v>136</v>
      </c>
      <c r="EG4350" s="15" t="n">
        <v>136</v>
      </c>
      <c r="FC4350" s="15" t="n">
        <v>136</v>
      </c>
      <c r="FY4350" s="15" t="n">
        <v>136</v>
      </c>
      <c r="GU4350" s="15" t="n">
        <v>136</v>
      </c>
    </row>
    <row r="4351">
      <c r="C4351" s="15" t="n">
        <v>137</v>
      </c>
      <c r="AA4351" s="15" t="n">
        <v>137</v>
      </c>
      <c r="AW4351" s="15" t="n">
        <v>137</v>
      </c>
      <c r="BS4351" s="15" t="n">
        <v>137</v>
      </c>
      <c r="CO4351" s="15" t="n">
        <v>137</v>
      </c>
      <c r="DK4351" s="15" t="n">
        <v>137</v>
      </c>
      <c r="EG4351" s="15" t="n">
        <v>137</v>
      </c>
      <c r="FC4351" s="15" t="n">
        <v>137</v>
      </c>
      <c r="FY4351" s="15" t="n">
        <v>137</v>
      </c>
      <c r="GU4351" s="15" t="n">
        <v>137</v>
      </c>
    </row>
    <row r="4352">
      <c r="C4352" s="15" t="n">
        <v>138</v>
      </c>
      <c r="AA4352" s="15" t="n">
        <v>138</v>
      </c>
      <c r="AW4352" s="15" t="n">
        <v>138</v>
      </c>
      <c r="BS4352" s="15" t="n">
        <v>138</v>
      </c>
      <c r="CO4352" s="15" t="n">
        <v>138</v>
      </c>
      <c r="DK4352" s="15" t="n">
        <v>138</v>
      </c>
      <c r="EG4352" s="15" t="n">
        <v>138</v>
      </c>
      <c r="FC4352" s="15" t="n">
        <v>138</v>
      </c>
      <c r="FY4352" s="15" t="n">
        <v>138</v>
      </c>
      <c r="GU4352" s="15" t="n">
        <v>138</v>
      </c>
    </row>
    <row r="4353">
      <c r="C4353" s="15" t="n">
        <v>139</v>
      </c>
      <c r="AA4353" s="15" t="n">
        <v>139</v>
      </c>
      <c r="AW4353" s="15" t="n">
        <v>139</v>
      </c>
      <c r="BS4353" s="15" t="n">
        <v>139</v>
      </c>
      <c r="CO4353" s="15" t="n">
        <v>139</v>
      </c>
      <c r="DK4353" s="15" t="n">
        <v>139</v>
      </c>
      <c r="EG4353" s="15" t="n">
        <v>139</v>
      </c>
      <c r="FC4353" s="15" t="n">
        <v>139</v>
      </c>
      <c r="FY4353" s="15" t="n">
        <v>139</v>
      </c>
      <c r="GU4353" s="15" t="n">
        <v>139</v>
      </c>
    </row>
    <row r="4354">
      <c r="C4354" s="15" t="n">
        <v>140</v>
      </c>
      <c r="AA4354" s="15" t="n">
        <v>140</v>
      </c>
      <c r="AW4354" s="15" t="n">
        <v>140</v>
      </c>
      <c r="BS4354" s="15" t="n">
        <v>140</v>
      </c>
      <c r="CO4354" s="15" t="n">
        <v>140</v>
      </c>
      <c r="DK4354" s="15" t="n">
        <v>140</v>
      </c>
      <c r="EG4354" s="15" t="n">
        <v>140</v>
      </c>
      <c r="FC4354" s="15" t="n">
        <v>140</v>
      </c>
      <c r="FY4354" s="15" t="n">
        <v>140</v>
      </c>
      <c r="GU4354" s="15" t="n">
        <v>140</v>
      </c>
    </row>
    <row r="4355">
      <c r="C4355" s="15" t="n">
        <v>141</v>
      </c>
      <c r="AA4355" s="15" t="n">
        <v>141</v>
      </c>
      <c r="AW4355" s="15" t="n">
        <v>141</v>
      </c>
      <c r="BS4355" s="15" t="n">
        <v>141</v>
      </c>
      <c r="CO4355" s="15" t="n">
        <v>141</v>
      </c>
      <c r="DK4355" s="15" t="n">
        <v>141</v>
      </c>
      <c r="EG4355" s="15" t="n">
        <v>141</v>
      </c>
      <c r="FC4355" s="15" t="n">
        <v>141</v>
      </c>
      <c r="FY4355" s="15" t="n">
        <v>141</v>
      </c>
      <c r="GU4355" s="15" t="n">
        <v>141</v>
      </c>
    </row>
    <row r="4356">
      <c r="C4356" s="15" t="n">
        <v>142</v>
      </c>
      <c r="AA4356" s="15" t="n">
        <v>142</v>
      </c>
      <c r="AW4356" s="15" t="n">
        <v>142</v>
      </c>
      <c r="BS4356" s="15" t="n">
        <v>142</v>
      </c>
      <c r="CO4356" s="15" t="n">
        <v>142</v>
      </c>
      <c r="DK4356" s="15" t="n">
        <v>142</v>
      </c>
      <c r="EG4356" s="15" t="n">
        <v>142</v>
      </c>
      <c r="FC4356" s="15" t="n">
        <v>142</v>
      </c>
      <c r="FY4356" s="15" t="n">
        <v>142</v>
      </c>
      <c r="GU4356" s="15" t="n">
        <v>142</v>
      </c>
    </row>
    <row r="4357">
      <c r="C4357" s="15" t="n">
        <v>143</v>
      </c>
      <c r="AA4357" s="15" t="n">
        <v>143</v>
      </c>
      <c r="AW4357" s="15" t="n">
        <v>143</v>
      </c>
      <c r="BS4357" s="15" t="n">
        <v>143</v>
      </c>
      <c r="CO4357" s="15" t="n">
        <v>143</v>
      </c>
      <c r="DK4357" s="15" t="n">
        <v>143</v>
      </c>
      <c r="EG4357" s="15" t="n">
        <v>143</v>
      </c>
      <c r="FC4357" s="15" t="n">
        <v>143</v>
      </c>
      <c r="FY4357" s="15" t="n">
        <v>143</v>
      </c>
      <c r="GU4357" s="15" t="n">
        <v>143</v>
      </c>
    </row>
    <row r="4358">
      <c r="C4358" s="15" t="n">
        <v>144</v>
      </c>
      <c r="AA4358" s="15" t="n">
        <v>144</v>
      </c>
      <c r="AW4358" s="15" t="n">
        <v>144</v>
      </c>
      <c r="BS4358" s="15" t="n">
        <v>144</v>
      </c>
      <c r="CO4358" s="15" t="n">
        <v>144</v>
      </c>
      <c r="DK4358" s="15" t="n">
        <v>144</v>
      </c>
      <c r="EG4358" s="15" t="n">
        <v>144</v>
      </c>
      <c r="FC4358" s="15" t="n">
        <v>144</v>
      </c>
      <c r="FY4358" s="15" t="n">
        <v>144</v>
      </c>
      <c r="GU4358" s="15" t="n">
        <v>144</v>
      </c>
    </row>
    <row r="4359">
      <c r="C4359" s="15" t="n">
        <v>145</v>
      </c>
      <c r="AA4359" s="15" t="n">
        <v>145</v>
      </c>
      <c r="AW4359" s="15" t="n">
        <v>145</v>
      </c>
      <c r="BS4359" s="15" t="n">
        <v>145</v>
      </c>
      <c r="CO4359" s="15" t="n">
        <v>145</v>
      </c>
      <c r="DK4359" s="15" t="n">
        <v>145</v>
      </c>
      <c r="EG4359" s="15" t="n">
        <v>145</v>
      </c>
      <c r="FC4359" s="15" t="n">
        <v>145</v>
      </c>
      <c r="FY4359" s="15" t="n">
        <v>145</v>
      </c>
      <c r="GU4359" s="15" t="n">
        <v>145</v>
      </c>
    </row>
    <row r="4360">
      <c r="C4360" s="15" t="n">
        <v>146</v>
      </c>
      <c r="AA4360" s="15" t="n">
        <v>146</v>
      </c>
      <c r="AW4360" s="15" t="n">
        <v>146</v>
      </c>
      <c r="BS4360" s="15" t="n">
        <v>146</v>
      </c>
      <c r="CO4360" s="15" t="n">
        <v>146</v>
      </c>
      <c r="DK4360" s="15" t="n">
        <v>146</v>
      </c>
      <c r="EG4360" s="15" t="n">
        <v>146</v>
      </c>
      <c r="FC4360" s="15" t="n">
        <v>146</v>
      </c>
      <c r="FY4360" s="15" t="n">
        <v>146</v>
      </c>
      <c r="GU4360" s="15" t="n">
        <v>146</v>
      </c>
    </row>
    <row r="4361">
      <c r="C4361" s="15" t="n">
        <v>147</v>
      </c>
      <c r="AA4361" s="15" t="n">
        <v>147</v>
      </c>
      <c r="AW4361" s="15" t="n">
        <v>147</v>
      </c>
      <c r="BS4361" s="15" t="n">
        <v>147</v>
      </c>
      <c r="CO4361" s="15" t="n">
        <v>147</v>
      </c>
      <c r="DK4361" s="15" t="n">
        <v>147</v>
      </c>
      <c r="EG4361" s="15" t="n">
        <v>147</v>
      </c>
      <c r="FC4361" s="15" t="n">
        <v>147</v>
      </c>
      <c r="FY4361" s="15" t="n">
        <v>147</v>
      </c>
      <c r="GU4361" s="15" t="n">
        <v>147</v>
      </c>
    </row>
    <row r="4362">
      <c r="C4362" s="15" t="n">
        <v>148</v>
      </c>
      <c r="AA4362" s="15" t="n">
        <v>148</v>
      </c>
      <c r="AW4362" s="15" t="n">
        <v>148</v>
      </c>
      <c r="BS4362" s="15" t="n">
        <v>148</v>
      </c>
      <c r="CO4362" s="15" t="n">
        <v>148</v>
      </c>
      <c r="DK4362" s="15" t="n">
        <v>148</v>
      </c>
      <c r="EG4362" s="15" t="n">
        <v>148</v>
      </c>
      <c r="FC4362" s="15" t="n">
        <v>148</v>
      </c>
      <c r="FY4362" s="15" t="n">
        <v>148</v>
      </c>
      <c r="GU4362" s="15" t="n">
        <v>148</v>
      </c>
    </row>
    <row r="4363">
      <c r="C4363" s="15" t="n">
        <v>149</v>
      </c>
      <c r="AA4363" s="15" t="n">
        <v>149</v>
      </c>
      <c r="AW4363" s="15" t="n">
        <v>149</v>
      </c>
      <c r="BS4363" s="15" t="n">
        <v>149</v>
      </c>
      <c r="CO4363" s="15" t="n">
        <v>149</v>
      </c>
      <c r="DK4363" s="15" t="n">
        <v>149</v>
      </c>
      <c r="EG4363" s="15" t="n">
        <v>149</v>
      </c>
      <c r="FC4363" s="15" t="n">
        <v>149</v>
      </c>
      <c r="FY4363" s="15" t="n">
        <v>149</v>
      </c>
      <c r="GU4363" s="15" t="n">
        <v>149</v>
      </c>
    </row>
    <row r="4364">
      <c r="C4364" s="15" t="n">
        <v>150</v>
      </c>
      <c r="AA4364" s="15" t="n">
        <v>150</v>
      </c>
      <c r="AW4364" s="15" t="n">
        <v>150</v>
      </c>
      <c r="BS4364" s="15" t="n">
        <v>150</v>
      </c>
      <c r="CO4364" s="15" t="n">
        <v>150</v>
      </c>
      <c r="DK4364" s="15" t="n">
        <v>150</v>
      </c>
      <c r="EG4364" s="15" t="n">
        <v>150</v>
      </c>
      <c r="FC4364" s="15" t="n">
        <v>150</v>
      </c>
      <c r="FY4364" s="15" t="n">
        <v>150</v>
      </c>
      <c r="GU4364" s="15" t="n">
        <v>150</v>
      </c>
    </row>
    <row r="4365">
      <c r="C4365" s="15" t="n">
        <v>151</v>
      </c>
      <c r="AA4365" s="15" t="n">
        <v>151</v>
      </c>
      <c r="AW4365" s="15" t="n">
        <v>151</v>
      </c>
      <c r="BS4365" s="15" t="n">
        <v>151</v>
      </c>
      <c r="CO4365" s="15" t="n">
        <v>151</v>
      </c>
      <c r="DK4365" s="15" t="n">
        <v>151</v>
      </c>
      <c r="EG4365" s="15" t="n">
        <v>151</v>
      </c>
      <c r="FC4365" s="15" t="n">
        <v>151</v>
      </c>
      <c r="FY4365" s="15" t="n">
        <v>151</v>
      </c>
      <c r="GU4365" s="15" t="n">
        <v>151</v>
      </c>
    </row>
    <row r="4366">
      <c r="C4366" s="15" t="n">
        <v>152</v>
      </c>
      <c r="AA4366" s="15" t="n">
        <v>152</v>
      </c>
      <c r="AW4366" s="15" t="n">
        <v>152</v>
      </c>
      <c r="BS4366" s="15" t="n">
        <v>152</v>
      </c>
      <c r="CO4366" s="15" t="n">
        <v>152</v>
      </c>
      <c r="DK4366" s="15" t="n">
        <v>152</v>
      </c>
      <c r="EG4366" s="15" t="n">
        <v>152</v>
      </c>
      <c r="FC4366" s="15" t="n">
        <v>152</v>
      </c>
      <c r="FY4366" s="15" t="n">
        <v>152</v>
      </c>
      <c r="GU4366" s="15" t="n">
        <v>152</v>
      </c>
    </row>
    <row r="4367">
      <c r="C4367" s="15" t="n">
        <v>153</v>
      </c>
      <c r="AA4367" s="15" t="n">
        <v>153</v>
      </c>
      <c r="AW4367" s="15" t="n">
        <v>153</v>
      </c>
      <c r="BS4367" s="15" t="n">
        <v>153</v>
      </c>
      <c r="CO4367" s="15" t="n">
        <v>153</v>
      </c>
      <c r="DK4367" s="15" t="n">
        <v>153</v>
      </c>
      <c r="EG4367" s="15" t="n">
        <v>153</v>
      </c>
      <c r="FC4367" s="15" t="n">
        <v>153</v>
      </c>
      <c r="FY4367" s="15" t="n">
        <v>153</v>
      </c>
      <c r="GU4367" s="15" t="n">
        <v>153</v>
      </c>
    </row>
    <row r="4368">
      <c r="C4368" s="15" t="n">
        <v>154</v>
      </c>
      <c r="AA4368" s="15" t="n">
        <v>154</v>
      </c>
      <c r="AW4368" s="15" t="n">
        <v>154</v>
      </c>
      <c r="BS4368" s="15" t="n">
        <v>154</v>
      </c>
      <c r="CO4368" s="15" t="n">
        <v>154</v>
      </c>
      <c r="DK4368" s="15" t="n">
        <v>154</v>
      </c>
      <c r="EG4368" s="15" t="n">
        <v>154</v>
      </c>
      <c r="FC4368" s="15" t="n">
        <v>154</v>
      </c>
      <c r="FY4368" s="15" t="n">
        <v>154</v>
      </c>
      <c r="GU4368" s="15" t="n">
        <v>154</v>
      </c>
    </row>
    <row r="4369">
      <c r="C4369" s="15" t="n">
        <v>155</v>
      </c>
      <c r="AA4369" s="15" t="n">
        <v>155</v>
      </c>
      <c r="AW4369" s="15" t="n">
        <v>155</v>
      </c>
      <c r="BS4369" s="15" t="n">
        <v>155</v>
      </c>
      <c r="CO4369" s="15" t="n">
        <v>155</v>
      </c>
      <c r="DK4369" s="15" t="n">
        <v>155</v>
      </c>
      <c r="EG4369" s="15" t="n">
        <v>155</v>
      </c>
      <c r="FC4369" s="15" t="n">
        <v>155</v>
      </c>
      <c r="FY4369" s="15" t="n">
        <v>155</v>
      </c>
      <c r="GU4369" s="15" t="n">
        <v>155</v>
      </c>
    </row>
    <row r="4370">
      <c r="C4370" s="15" t="n">
        <v>156</v>
      </c>
      <c r="AA4370" s="15" t="n">
        <v>156</v>
      </c>
      <c r="AW4370" s="15" t="n">
        <v>156</v>
      </c>
      <c r="BS4370" s="15" t="n">
        <v>156</v>
      </c>
      <c r="CO4370" s="15" t="n">
        <v>156</v>
      </c>
      <c r="DK4370" s="15" t="n">
        <v>156</v>
      </c>
      <c r="EG4370" s="15" t="n">
        <v>156</v>
      </c>
      <c r="FC4370" s="15" t="n">
        <v>156</v>
      </c>
      <c r="FY4370" s="15" t="n">
        <v>156</v>
      </c>
      <c r="GU4370" s="15" t="n">
        <v>156</v>
      </c>
    </row>
    <row r="4371">
      <c r="C4371" s="15" t="n">
        <v>157</v>
      </c>
      <c r="AA4371" s="15" t="n">
        <v>157</v>
      </c>
      <c r="AW4371" s="15" t="n">
        <v>157</v>
      </c>
      <c r="BS4371" s="15" t="n">
        <v>157</v>
      </c>
      <c r="CO4371" s="15" t="n">
        <v>157</v>
      </c>
      <c r="DK4371" s="15" t="n">
        <v>157</v>
      </c>
      <c r="EG4371" s="15" t="n">
        <v>157</v>
      </c>
      <c r="FC4371" s="15" t="n">
        <v>157</v>
      </c>
      <c r="FY4371" s="15" t="n">
        <v>157</v>
      </c>
      <c r="GU4371" s="15" t="n">
        <v>157</v>
      </c>
    </row>
    <row r="4372">
      <c r="C4372" s="15" t="n">
        <v>158</v>
      </c>
      <c r="AA4372" s="15" t="n">
        <v>158</v>
      </c>
      <c r="AW4372" s="15" t="n">
        <v>158</v>
      </c>
      <c r="BS4372" s="15" t="n">
        <v>158</v>
      </c>
      <c r="CO4372" s="15" t="n">
        <v>158</v>
      </c>
      <c r="DK4372" s="15" t="n">
        <v>158</v>
      </c>
      <c r="EG4372" s="15" t="n">
        <v>158</v>
      </c>
      <c r="FC4372" s="15" t="n">
        <v>158</v>
      </c>
      <c r="FY4372" s="15" t="n">
        <v>158</v>
      </c>
      <c r="GU4372" s="15" t="n">
        <v>158</v>
      </c>
    </row>
    <row r="4373">
      <c r="C4373" s="15" t="n">
        <v>159</v>
      </c>
      <c r="AA4373" s="15" t="n">
        <v>159</v>
      </c>
      <c r="AW4373" s="15" t="n">
        <v>159</v>
      </c>
      <c r="BS4373" s="15" t="n">
        <v>159</v>
      </c>
      <c r="CO4373" s="15" t="n">
        <v>159</v>
      </c>
      <c r="DK4373" s="15" t="n">
        <v>159</v>
      </c>
      <c r="EG4373" s="15" t="n">
        <v>159</v>
      </c>
      <c r="FC4373" s="15" t="n">
        <v>159</v>
      </c>
      <c r="FY4373" s="15" t="n">
        <v>159</v>
      </c>
      <c r="GU4373" s="15" t="n">
        <v>159</v>
      </c>
    </row>
    <row r="4374">
      <c r="C4374" s="15" t="n">
        <v>160</v>
      </c>
      <c r="AA4374" s="15" t="n">
        <v>160</v>
      </c>
      <c r="AW4374" s="15" t="n">
        <v>160</v>
      </c>
      <c r="BS4374" s="15" t="n">
        <v>160</v>
      </c>
      <c r="CO4374" s="15" t="n">
        <v>160</v>
      </c>
      <c r="DK4374" s="15" t="n">
        <v>160</v>
      </c>
      <c r="EG4374" s="15" t="n">
        <v>160</v>
      </c>
      <c r="FC4374" s="15" t="n">
        <v>160</v>
      </c>
      <c r="FY4374" s="15" t="n">
        <v>160</v>
      </c>
      <c r="GU4374" s="15" t="n">
        <v>160</v>
      </c>
    </row>
    <row r="4375">
      <c r="C4375" s="15" t="n">
        <v>161</v>
      </c>
      <c r="AA4375" s="15" t="n">
        <v>161</v>
      </c>
      <c r="AW4375" s="15" t="n">
        <v>161</v>
      </c>
      <c r="BS4375" s="15" t="n">
        <v>161</v>
      </c>
      <c r="CO4375" s="15" t="n">
        <v>161</v>
      </c>
      <c r="DK4375" s="15" t="n">
        <v>161</v>
      </c>
      <c r="EG4375" s="15" t="n">
        <v>161</v>
      </c>
      <c r="FC4375" s="15" t="n">
        <v>161</v>
      </c>
      <c r="FY4375" s="15" t="n">
        <v>161</v>
      </c>
      <c r="GU4375" s="15" t="n">
        <v>161</v>
      </c>
    </row>
    <row r="4376">
      <c r="C4376" s="15" t="n">
        <v>162</v>
      </c>
      <c r="AA4376" s="15" t="n">
        <v>162</v>
      </c>
      <c r="AW4376" s="15" t="n">
        <v>162</v>
      </c>
      <c r="BS4376" s="15" t="n">
        <v>162</v>
      </c>
      <c r="CO4376" s="15" t="n">
        <v>162</v>
      </c>
      <c r="DK4376" s="15" t="n">
        <v>162</v>
      </c>
      <c r="EG4376" s="15" t="n">
        <v>162</v>
      </c>
      <c r="FC4376" s="15" t="n">
        <v>162</v>
      </c>
      <c r="FY4376" s="15" t="n">
        <v>162</v>
      </c>
      <c r="GU4376" s="15" t="n">
        <v>162</v>
      </c>
    </row>
    <row r="4377">
      <c r="C4377" s="15" t="n">
        <v>163</v>
      </c>
      <c r="AA4377" s="15" t="n">
        <v>163</v>
      </c>
      <c r="AW4377" s="15" t="n">
        <v>163</v>
      </c>
      <c r="BS4377" s="15" t="n">
        <v>163</v>
      </c>
      <c r="CO4377" s="15" t="n">
        <v>163</v>
      </c>
      <c r="DK4377" s="15" t="n">
        <v>163</v>
      </c>
      <c r="EG4377" s="15" t="n">
        <v>163</v>
      </c>
      <c r="FC4377" s="15" t="n">
        <v>163</v>
      </c>
      <c r="FY4377" s="15" t="n">
        <v>163</v>
      </c>
      <c r="GU4377" s="15" t="n">
        <v>163</v>
      </c>
    </row>
    <row r="4378">
      <c r="C4378" s="15" t="n">
        <v>164</v>
      </c>
      <c r="AA4378" s="15" t="n">
        <v>164</v>
      </c>
      <c r="AW4378" s="15" t="n">
        <v>164</v>
      </c>
      <c r="BS4378" s="15" t="n">
        <v>164</v>
      </c>
      <c r="CO4378" s="15" t="n">
        <v>164</v>
      </c>
      <c r="DK4378" s="15" t="n">
        <v>164</v>
      </c>
      <c r="EG4378" s="15" t="n">
        <v>164</v>
      </c>
      <c r="FC4378" s="15" t="n">
        <v>164</v>
      </c>
      <c r="FY4378" s="15" t="n">
        <v>164</v>
      </c>
      <c r="GU4378" s="15" t="n">
        <v>164</v>
      </c>
    </row>
    <row r="4379">
      <c r="C4379" s="15" t="n">
        <v>165</v>
      </c>
      <c r="AA4379" s="15" t="n">
        <v>165</v>
      </c>
      <c r="AW4379" s="15" t="n">
        <v>165</v>
      </c>
      <c r="BS4379" s="15" t="n">
        <v>165</v>
      </c>
      <c r="CO4379" s="15" t="n">
        <v>165</v>
      </c>
      <c r="DK4379" s="15" t="n">
        <v>165</v>
      </c>
      <c r="EG4379" s="15" t="n">
        <v>165</v>
      </c>
      <c r="FC4379" s="15" t="n">
        <v>165</v>
      </c>
      <c r="FY4379" s="15" t="n">
        <v>165</v>
      </c>
      <c r="GU4379" s="15" t="n">
        <v>165</v>
      </c>
    </row>
    <row r="4380">
      <c r="C4380" s="15" t="n">
        <v>166</v>
      </c>
      <c r="AA4380" s="15" t="n">
        <v>166</v>
      </c>
      <c r="AW4380" s="15" t="n">
        <v>166</v>
      </c>
      <c r="BS4380" s="15" t="n">
        <v>166</v>
      </c>
      <c r="CO4380" s="15" t="n">
        <v>166</v>
      </c>
      <c r="DK4380" s="15" t="n">
        <v>166</v>
      </c>
      <c r="EG4380" s="15" t="n">
        <v>166</v>
      </c>
      <c r="FC4380" s="15" t="n">
        <v>166</v>
      </c>
      <c r="FY4380" s="15" t="n">
        <v>166</v>
      </c>
      <c r="GU4380" s="15" t="n">
        <v>166</v>
      </c>
    </row>
    <row r="4381">
      <c r="C4381" s="15" t="n">
        <v>167</v>
      </c>
      <c r="AA4381" s="15" t="n">
        <v>167</v>
      </c>
      <c r="AW4381" s="15" t="n">
        <v>167</v>
      </c>
      <c r="BS4381" s="15" t="n">
        <v>167</v>
      </c>
      <c r="CO4381" s="15" t="n">
        <v>167</v>
      </c>
      <c r="DK4381" s="15" t="n">
        <v>167</v>
      </c>
      <c r="EG4381" s="15" t="n">
        <v>167</v>
      </c>
      <c r="FC4381" s="15" t="n">
        <v>167</v>
      </c>
      <c r="FY4381" s="15" t="n">
        <v>167</v>
      </c>
      <c r="GU4381" s="15" t="n">
        <v>167</v>
      </c>
    </row>
    <row r="4382">
      <c r="C4382" s="15" t="n">
        <v>168</v>
      </c>
      <c r="AA4382" s="15" t="n">
        <v>168</v>
      </c>
      <c r="AW4382" s="15" t="n">
        <v>168</v>
      </c>
      <c r="BS4382" s="15" t="n">
        <v>168</v>
      </c>
      <c r="CO4382" s="15" t="n">
        <v>168</v>
      </c>
      <c r="DK4382" s="15" t="n">
        <v>168</v>
      </c>
      <c r="EG4382" s="15" t="n">
        <v>168</v>
      </c>
      <c r="FC4382" s="15" t="n">
        <v>168</v>
      </c>
      <c r="FY4382" s="15" t="n">
        <v>168</v>
      </c>
      <c r="GU4382" s="15" t="n">
        <v>168</v>
      </c>
    </row>
    <row r="4383">
      <c r="C4383" s="15" t="n">
        <v>169</v>
      </c>
      <c r="AA4383" s="15" t="n">
        <v>169</v>
      </c>
      <c r="AW4383" s="15" t="n">
        <v>169</v>
      </c>
      <c r="BS4383" s="15" t="n">
        <v>169</v>
      </c>
      <c r="CO4383" s="15" t="n">
        <v>169</v>
      </c>
      <c r="DK4383" s="15" t="n">
        <v>169</v>
      </c>
      <c r="EG4383" s="15" t="n">
        <v>169</v>
      </c>
      <c r="FC4383" s="15" t="n">
        <v>169</v>
      </c>
      <c r="FY4383" s="15" t="n">
        <v>169</v>
      </c>
      <c r="GU4383" s="15" t="n">
        <v>169</v>
      </c>
    </row>
    <row r="4384">
      <c r="C4384" s="15" t="n">
        <v>170</v>
      </c>
      <c r="AA4384" s="15" t="n">
        <v>170</v>
      </c>
      <c r="AW4384" s="15" t="n">
        <v>170</v>
      </c>
      <c r="BS4384" s="15" t="n">
        <v>170</v>
      </c>
      <c r="CO4384" s="15" t="n">
        <v>170</v>
      </c>
      <c r="DK4384" s="15" t="n">
        <v>170</v>
      </c>
      <c r="EG4384" s="15" t="n">
        <v>170</v>
      </c>
      <c r="FC4384" s="15" t="n">
        <v>170</v>
      </c>
      <c r="FY4384" s="15" t="n">
        <v>170</v>
      </c>
      <c r="GU4384" s="15" t="n">
        <v>170</v>
      </c>
    </row>
    <row r="4385">
      <c r="C4385" s="15" t="n">
        <v>171</v>
      </c>
      <c r="AA4385" s="15" t="n">
        <v>171</v>
      </c>
      <c r="AW4385" s="15" t="n">
        <v>171</v>
      </c>
      <c r="BS4385" s="15" t="n">
        <v>171</v>
      </c>
      <c r="CO4385" s="15" t="n">
        <v>171</v>
      </c>
      <c r="DK4385" s="15" t="n">
        <v>171</v>
      </c>
      <c r="EG4385" s="15" t="n">
        <v>171</v>
      </c>
      <c r="FC4385" s="15" t="n">
        <v>171</v>
      </c>
      <c r="FY4385" s="15" t="n">
        <v>171</v>
      </c>
      <c r="GU4385" s="15" t="n">
        <v>171</v>
      </c>
    </row>
    <row r="4386">
      <c r="C4386" s="15" t="n">
        <v>172</v>
      </c>
      <c r="AA4386" s="15" t="n">
        <v>172</v>
      </c>
      <c r="AW4386" s="15" t="n">
        <v>172</v>
      </c>
      <c r="BS4386" s="15" t="n">
        <v>172</v>
      </c>
      <c r="CO4386" s="15" t="n">
        <v>172</v>
      </c>
      <c r="DK4386" s="15" t="n">
        <v>172</v>
      </c>
      <c r="EG4386" s="15" t="n">
        <v>172</v>
      </c>
      <c r="FC4386" s="15" t="n">
        <v>172</v>
      </c>
      <c r="FY4386" s="15" t="n">
        <v>172</v>
      </c>
      <c r="GU4386" s="15" t="n">
        <v>172</v>
      </c>
    </row>
    <row r="4387">
      <c r="C4387" s="15" t="n">
        <v>173</v>
      </c>
      <c r="AA4387" s="15" t="n">
        <v>173</v>
      </c>
      <c r="AW4387" s="15" t="n">
        <v>173</v>
      </c>
      <c r="BS4387" s="15" t="n">
        <v>173</v>
      </c>
      <c r="CO4387" s="15" t="n">
        <v>173</v>
      </c>
      <c r="DK4387" s="15" t="n">
        <v>173</v>
      </c>
      <c r="EG4387" s="15" t="n">
        <v>173</v>
      </c>
      <c r="FC4387" s="15" t="n">
        <v>173</v>
      </c>
      <c r="FY4387" s="15" t="n">
        <v>173</v>
      </c>
      <c r="GU4387" s="15" t="n">
        <v>173</v>
      </c>
    </row>
    <row r="4388">
      <c r="C4388" s="15" t="n">
        <v>174</v>
      </c>
      <c r="AA4388" s="15" t="n">
        <v>174</v>
      </c>
      <c r="AW4388" s="15" t="n">
        <v>174</v>
      </c>
      <c r="BS4388" s="15" t="n">
        <v>174</v>
      </c>
      <c r="CO4388" s="15" t="n">
        <v>174</v>
      </c>
      <c r="DK4388" s="15" t="n">
        <v>174</v>
      </c>
      <c r="EG4388" s="15" t="n">
        <v>174</v>
      </c>
      <c r="FC4388" s="15" t="n">
        <v>174</v>
      </c>
      <c r="FY4388" s="15" t="n">
        <v>174</v>
      </c>
      <c r="GU4388" s="15" t="n">
        <v>174</v>
      </c>
    </row>
    <row r="4389">
      <c r="C4389" s="15" t="n">
        <v>175</v>
      </c>
      <c r="AA4389" s="15" t="n">
        <v>175</v>
      </c>
      <c r="AW4389" s="15" t="n">
        <v>175</v>
      </c>
      <c r="BS4389" s="15" t="n">
        <v>175</v>
      </c>
      <c r="CO4389" s="15" t="n">
        <v>175</v>
      </c>
      <c r="DK4389" s="15" t="n">
        <v>175</v>
      </c>
      <c r="EG4389" s="15" t="n">
        <v>175</v>
      </c>
      <c r="FC4389" s="15" t="n">
        <v>175</v>
      </c>
      <c r="FY4389" s="15" t="n">
        <v>175</v>
      </c>
      <c r="GU4389" s="15" t="n">
        <v>175</v>
      </c>
    </row>
    <row r="4390">
      <c r="C4390" s="15" t="n">
        <v>176</v>
      </c>
      <c r="AA4390" s="15" t="n">
        <v>176</v>
      </c>
      <c r="AW4390" s="15" t="n">
        <v>176</v>
      </c>
      <c r="BS4390" s="15" t="n">
        <v>176</v>
      </c>
      <c r="CO4390" s="15" t="n">
        <v>176</v>
      </c>
      <c r="DK4390" s="15" t="n">
        <v>176</v>
      </c>
      <c r="EG4390" s="15" t="n">
        <v>176</v>
      </c>
      <c r="FC4390" s="15" t="n">
        <v>176</v>
      </c>
      <c r="FY4390" s="15" t="n">
        <v>176</v>
      </c>
      <c r="GU4390" s="15" t="n">
        <v>176</v>
      </c>
    </row>
    <row r="4391">
      <c r="C4391" s="15" t="n">
        <v>177</v>
      </c>
      <c r="AA4391" s="15" t="n">
        <v>177</v>
      </c>
      <c r="AW4391" s="15" t="n">
        <v>177</v>
      </c>
      <c r="BS4391" s="15" t="n">
        <v>177</v>
      </c>
      <c r="CO4391" s="15" t="n">
        <v>177</v>
      </c>
      <c r="DK4391" s="15" t="n">
        <v>177</v>
      </c>
      <c r="EG4391" s="15" t="n">
        <v>177</v>
      </c>
      <c r="FC4391" s="15" t="n">
        <v>177</v>
      </c>
      <c r="FY4391" s="15" t="n">
        <v>177</v>
      </c>
      <c r="GU4391" s="15" t="n">
        <v>177</v>
      </c>
    </row>
    <row r="4392">
      <c r="C4392" s="15" t="n">
        <v>178</v>
      </c>
      <c r="AA4392" s="15" t="n">
        <v>178</v>
      </c>
      <c r="AW4392" s="15" t="n">
        <v>178</v>
      </c>
      <c r="BS4392" s="15" t="n">
        <v>178</v>
      </c>
      <c r="CO4392" s="15" t="n">
        <v>178</v>
      </c>
      <c r="DK4392" s="15" t="n">
        <v>178</v>
      </c>
      <c r="EG4392" s="15" t="n">
        <v>178</v>
      </c>
      <c r="FC4392" s="15" t="n">
        <v>178</v>
      </c>
      <c r="FY4392" s="15" t="n">
        <v>178</v>
      </c>
      <c r="GU4392" s="15" t="n">
        <v>178</v>
      </c>
    </row>
    <row r="4393">
      <c r="C4393" s="15" t="n">
        <v>179</v>
      </c>
      <c r="AA4393" s="15" t="n">
        <v>179</v>
      </c>
      <c r="AW4393" s="15" t="n">
        <v>179</v>
      </c>
      <c r="BS4393" s="15" t="n">
        <v>179</v>
      </c>
      <c r="CO4393" s="15" t="n">
        <v>179</v>
      </c>
      <c r="DK4393" s="15" t="n">
        <v>179</v>
      </c>
      <c r="EG4393" s="15" t="n">
        <v>179</v>
      </c>
      <c r="FC4393" s="15" t="n">
        <v>179</v>
      </c>
      <c r="FY4393" s="15" t="n">
        <v>179</v>
      </c>
      <c r="GU4393" s="15" t="n">
        <v>179</v>
      </c>
    </row>
    <row r="4394">
      <c r="C4394" s="15" t="n">
        <v>180</v>
      </c>
      <c r="AA4394" s="15" t="n">
        <v>180</v>
      </c>
      <c r="AW4394" s="15" t="n">
        <v>180</v>
      </c>
      <c r="BS4394" s="15" t="n">
        <v>180</v>
      </c>
      <c r="CO4394" s="15" t="n">
        <v>180</v>
      </c>
      <c r="DK4394" s="15" t="n">
        <v>180</v>
      </c>
      <c r="EG4394" s="15" t="n">
        <v>180</v>
      </c>
      <c r="FC4394" s="15" t="n">
        <v>180</v>
      </c>
      <c r="FY4394" s="15" t="n">
        <v>180</v>
      </c>
      <c r="GU4394" s="15" t="n">
        <v>180</v>
      </c>
    </row>
    <row r="4395">
      <c r="C4395" s="15" t="n">
        <v>181</v>
      </c>
      <c r="AA4395" s="15" t="n">
        <v>181</v>
      </c>
      <c r="AW4395" s="15" t="n">
        <v>181</v>
      </c>
      <c r="BS4395" s="15" t="n">
        <v>181</v>
      </c>
      <c r="CO4395" s="15" t="n">
        <v>181</v>
      </c>
      <c r="DK4395" s="15" t="n">
        <v>181</v>
      </c>
      <c r="EG4395" s="15" t="n">
        <v>181</v>
      </c>
      <c r="FC4395" s="15" t="n">
        <v>181</v>
      </c>
      <c r="FY4395" s="15" t="n">
        <v>181</v>
      </c>
      <c r="GU4395" s="15" t="n">
        <v>181</v>
      </c>
    </row>
    <row r="4396">
      <c r="C4396" s="15" t="n">
        <v>182</v>
      </c>
      <c r="AA4396" s="15" t="n">
        <v>182</v>
      </c>
      <c r="AW4396" s="15" t="n">
        <v>182</v>
      </c>
      <c r="BS4396" s="15" t="n">
        <v>182</v>
      </c>
      <c r="CO4396" s="15" t="n">
        <v>182</v>
      </c>
      <c r="DK4396" s="15" t="n">
        <v>182</v>
      </c>
      <c r="EG4396" s="15" t="n">
        <v>182</v>
      </c>
      <c r="FC4396" s="15" t="n">
        <v>182</v>
      </c>
      <c r="FY4396" s="15" t="n">
        <v>182</v>
      </c>
      <c r="GU4396" s="15" t="n">
        <v>182</v>
      </c>
    </row>
    <row r="4397">
      <c r="C4397" s="15" t="n">
        <v>183</v>
      </c>
      <c r="AA4397" s="15" t="n">
        <v>183</v>
      </c>
      <c r="AW4397" s="15" t="n">
        <v>183</v>
      </c>
      <c r="BS4397" s="15" t="n">
        <v>183</v>
      </c>
      <c r="CO4397" s="15" t="n">
        <v>183</v>
      </c>
      <c r="DK4397" s="15" t="n">
        <v>183</v>
      </c>
      <c r="EG4397" s="15" t="n">
        <v>183</v>
      </c>
      <c r="FC4397" s="15" t="n">
        <v>183</v>
      </c>
      <c r="FY4397" s="15" t="n">
        <v>183</v>
      </c>
      <c r="GU4397" s="15" t="n">
        <v>183</v>
      </c>
    </row>
    <row r="4398">
      <c r="C4398" s="15" t="n">
        <v>184</v>
      </c>
      <c r="AA4398" s="15" t="n">
        <v>184</v>
      </c>
      <c r="AW4398" s="15" t="n">
        <v>184</v>
      </c>
      <c r="BS4398" s="15" t="n">
        <v>184</v>
      </c>
      <c r="CO4398" s="15" t="n">
        <v>184</v>
      </c>
      <c r="DK4398" s="15" t="n">
        <v>184</v>
      </c>
      <c r="EG4398" s="15" t="n">
        <v>184</v>
      </c>
      <c r="FC4398" s="15" t="n">
        <v>184</v>
      </c>
      <c r="FY4398" s="15" t="n">
        <v>184</v>
      </c>
      <c r="GU4398" s="15" t="n">
        <v>184</v>
      </c>
    </row>
    <row r="4399">
      <c r="C4399" s="15" t="n">
        <v>185</v>
      </c>
      <c r="AA4399" s="15" t="n">
        <v>185</v>
      </c>
      <c r="AW4399" s="15" t="n">
        <v>185</v>
      </c>
      <c r="BS4399" s="15" t="n">
        <v>185</v>
      </c>
      <c r="CO4399" s="15" t="n">
        <v>185</v>
      </c>
      <c r="DK4399" s="15" t="n">
        <v>185</v>
      </c>
      <c r="EG4399" s="15" t="n">
        <v>185</v>
      </c>
      <c r="FC4399" s="15" t="n">
        <v>185</v>
      </c>
      <c r="FY4399" s="15" t="n">
        <v>185</v>
      </c>
      <c r="GU4399" s="15" t="n">
        <v>185</v>
      </c>
    </row>
    <row r="4400">
      <c r="C4400" s="15" t="n">
        <v>186</v>
      </c>
      <c r="AA4400" s="15" t="n">
        <v>186</v>
      </c>
      <c r="AW4400" s="15" t="n">
        <v>186</v>
      </c>
      <c r="BS4400" s="15" t="n">
        <v>186</v>
      </c>
      <c r="CO4400" s="15" t="n">
        <v>186</v>
      </c>
      <c r="DK4400" s="15" t="n">
        <v>186</v>
      </c>
      <c r="EG4400" s="15" t="n">
        <v>186</v>
      </c>
      <c r="FC4400" s="15" t="n">
        <v>186</v>
      </c>
      <c r="FY4400" s="15" t="n">
        <v>186</v>
      </c>
      <c r="GU4400" s="15" t="n">
        <v>186</v>
      </c>
    </row>
    <row r="4401">
      <c r="C4401" s="15" t="n">
        <v>187</v>
      </c>
      <c r="AA4401" s="15" t="n">
        <v>187</v>
      </c>
      <c r="AW4401" s="15" t="n">
        <v>187</v>
      </c>
      <c r="BS4401" s="15" t="n">
        <v>187</v>
      </c>
      <c r="CO4401" s="15" t="n">
        <v>187</v>
      </c>
      <c r="DK4401" s="15" t="n">
        <v>187</v>
      </c>
      <c r="EG4401" s="15" t="n">
        <v>187</v>
      </c>
      <c r="FC4401" s="15" t="n">
        <v>187</v>
      </c>
      <c r="FY4401" s="15" t="n">
        <v>187</v>
      </c>
      <c r="GU4401" s="15" t="n">
        <v>187</v>
      </c>
    </row>
    <row r="4402">
      <c r="C4402" s="15" t="n">
        <v>188</v>
      </c>
      <c r="AA4402" s="15" t="n">
        <v>188</v>
      </c>
      <c r="AW4402" s="15" t="n">
        <v>188</v>
      </c>
      <c r="BS4402" s="15" t="n">
        <v>188</v>
      </c>
      <c r="CO4402" s="15" t="n">
        <v>188</v>
      </c>
      <c r="DK4402" s="15" t="n">
        <v>188</v>
      </c>
      <c r="EG4402" s="15" t="n">
        <v>188</v>
      </c>
      <c r="FC4402" s="15" t="n">
        <v>188</v>
      </c>
      <c r="FY4402" s="15" t="n">
        <v>188</v>
      </c>
      <c r="GU4402" s="15" t="n">
        <v>188</v>
      </c>
    </row>
    <row r="4403">
      <c r="C4403" s="15" t="n">
        <v>189</v>
      </c>
      <c r="AA4403" s="15" t="n">
        <v>189</v>
      </c>
      <c r="AW4403" s="15" t="n">
        <v>189</v>
      </c>
      <c r="BS4403" s="15" t="n">
        <v>189</v>
      </c>
      <c r="CO4403" s="15" t="n">
        <v>189</v>
      </c>
      <c r="DK4403" s="15" t="n">
        <v>189</v>
      </c>
      <c r="EG4403" s="15" t="n">
        <v>189</v>
      </c>
      <c r="FC4403" s="15" t="n">
        <v>189</v>
      </c>
      <c r="FY4403" s="15" t="n">
        <v>189</v>
      </c>
      <c r="GU4403" s="15" t="n">
        <v>189</v>
      </c>
    </row>
    <row r="4404">
      <c r="C4404" s="15" t="n">
        <v>190</v>
      </c>
      <c r="AA4404" s="15" t="n">
        <v>190</v>
      </c>
      <c r="AW4404" s="15" t="n">
        <v>190</v>
      </c>
      <c r="BS4404" s="15" t="n">
        <v>190</v>
      </c>
      <c r="CO4404" s="15" t="n">
        <v>190</v>
      </c>
      <c r="DK4404" s="15" t="n">
        <v>190</v>
      </c>
      <c r="EG4404" s="15" t="n">
        <v>190</v>
      </c>
      <c r="FC4404" s="15" t="n">
        <v>190</v>
      </c>
      <c r="FY4404" s="15" t="n">
        <v>190</v>
      </c>
      <c r="GU4404" s="15" t="n">
        <v>190</v>
      </c>
    </row>
    <row r="4405">
      <c r="C4405" s="15" t="n">
        <v>191</v>
      </c>
      <c r="AA4405" s="15" t="n">
        <v>191</v>
      </c>
      <c r="AW4405" s="15" t="n">
        <v>191</v>
      </c>
      <c r="BS4405" s="15" t="n">
        <v>191</v>
      </c>
      <c r="CO4405" s="15" t="n">
        <v>191</v>
      </c>
      <c r="DK4405" s="15" t="n">
        <v>191</v>
      </c>
      <c r="EG4405" s="15" t="n">
        <v>191</v>
      </c>
      <c r="FC4405" s="15" t="n">
        <v>191</v>
      </c>
      <c r="FY4405" s="15" t="n">
        <v>191</v>
      </c>
      <c r="GU4405" s="15" t="n">
        <v>191</v>
      </c>
    </row>
    <row r="4406">
      <c r="C4406" s="15" t="n">
        <v>192</v>
      </c>
      <c r="AA4406" s="15" t="n">
        <v>192</v>
      </c>
      <c r="AW4406" s="15" t="n">
        <v>192</v>
      </c>
      <c r="BS4406" s="15" t="n">
        <v>192</v>
      </c>
      <c r="CO4406" s="15" t="n">
        <v>192</v>
      </c>
      <c r="DK4406" s="15" t="n">
        <v>192</v>
      </c>
      <c r="EG4406" s="15" t="n">
        <v>192</v>
      </c>
      <c r="FC4406" s="15" t="n">
        <v>192</v>
      </c>
      <c r="FY4406" s="15" t="n">
        <v>192</v>
      </c>
      <c r="GU4406" s="15" t="n">
        <v>192</v>
      </c>
    </row>
    <row r="4407">
      <c r="C4407" s="15" t="n">
        <v>193</v>
      </c>
      <c r="AA4407" s="15" t="n">
        <v>193</v>
      </c>
      <c r="AW4407" s="15" t="n">
        <v>193</v>
      </c>
      <c r="BS4407" s="15" t="n">
        <v>193</v>
      </c>
      <c r="CO4407" s="15" t="n">
        <v>193</v>
      </c>
      <c r="DK4407" s="15" t="n">
        <v>193</v>
      </c>
      <c r="EG4407" s="15" t="n">
        <v>193</v>
      </c>
      <c r="FC4407" s="15" t="n">
        <v>193</v>
      </c>
      <c r="FY4407" s="15" t="n">
        <v>193</v>
      </c>
      <c r="GU4407" s="15" t="n">
        <v>193</v>
      </c>
    </row>
    <row r="4408">
      <c r="C4408" s="15" t="n">
        <v>194</v>
      </c>
      <c r="AA4408" s="15" t="n">
        <v>194</v>
      </c>
      <c r="AW4408" s="15" t="n">
        <v>194</v>
      </c>
      <c r="BS4408" s="15" t="n">
        <v>194</v>
      </c>
      <c r="CO4408" s="15" t="n">
        <v>194</v>
      </c>
      <c r="DK4408" s="15" t="n">
        <v>194</v>
      </c>
      <c r="EG4408" s="15" t="n">
        <v>194</v>
      </c>
      <c r="FC4408" s="15" t="n">
        <v>194</v>
      </c>
      <c r="FY4408" s="15" t="n">
        <v>194</v>
      </c>
      <c r="GU4408" s="15" t="n">
        <v>194</v>
      </c>
    </row>
    <row r="4409">
      <c r="C4409" s="15" t="n">
        <v>195</v>
      </c>
      <c r="AA4409" s="15" t="n">
        <v>195</v>
      </c>
      <c r="AW4409" s="15" t="n">
        <v>195</v>
      </c>
      <c r="BS4409" s="15" t="n">
        <v>195</v>
      </c>
      <c r="CO4409" s="15" t="n">
        <v>195</v>
      </c>
      <c r="DK4409" s="15" t="n">
        <v>195</v>
      </c>
      <c r="EG4409" s="15" t="n">
        <v>195</v>
      </c>
      <c r="FC4409" s="15" t="n">
        <v>195</v>
      </c>
      <c r="FY4409" s="15" t="n">
        <v>195</v>
      </c>
      <c r="GU4409" s="15" t="n">
        <v>195</v>
      </c>
    </row>
    <row r="4410">
      <c r="C4410" s="15" t="n">
        <v>196</v>
      </c>
      <c r="AA4410" s="15" t="n">
        <v>196</v>
      </c>
      <c r="AW4410" s="15" t="n">
        <v>196</v>
      </c>
      <c r="BS4410" s="15" t="n">
        <v>196</v>
      </c>
      <c r="CO4410" s="15" t="n">
        <v>196</v>
      </c>
      <c r="DK4410" s="15" t="n">
        <v>196</v>
      </c>
      <c r="EG4410" s="15" t="n">
        <v>196</v>
      </c>
      <c r="FC4410" s="15" t="n">
        <v>196</v>
      </c>
      <c r="FY4410" s="15" t="n">
        <v>196</v>
      </c>
      <c r="GU4410" s="15" t="n">
        <v>196</v>
      </c>
    </row>
    <row r="4411">
      <c r="C4411" s="15" t="n">
        <v>197</v>
      </c>
      <c r="AA4411" s="15" t="n">
        <v>197</v>
      </c>
      <c r="AW4411" s="15" t="n">
        <v>197</v>
      </c>
      <c r="BS4411" s="15" t="n">
        <v>197</v>
      </c>
      <c r="CO4411" s="15" t="n">
        <v>197</v>
      </c>
      <c r="DK4411" s="15" t="n">
        <v>197</v>
      </c>
      <c r="EG4411" s="15" t="n">
        <v>197</v>
      </c>
      <c r="FC4411" s="15" t="n">
        <v>197</v>
      </c>
      <c r="FY4411" s="15" t="n">
        <v>197</v>
      </c>
      <c r="GU4411" s="15" t="n">
        <v>197</v>
      </c>
    </row>
    <row r="4412">
      <c r="C4412" s="15" t="n">
        <v>198</v>
      </c>
      <c r="AA4412" s="15" t="n">
        <v>198</v>
      </c>
      <c r="AW4412" s="15" t="n">
        <v>198</v>
      </c>
      <c r="BS4412" s="15" t="n">
        <v>198</v>
      </c>
      <c r="CO4412" s="15" t="n">
        <v>198</v>
      </c>
      <c r="DK4412" s="15" t="n">
        <v>198</v>
      </c>
      <c r="EG4412" s="15" t="n">
        <v>198</v>
      </c>
      <c r="FC4412" s="15" t="n">
        <v>198</v>
      </c>
      <c r="FY4412" s="15" t="n">
        <v>198</v>
      </c>
      <c r="GU4412" s="15" t="n">
        <v>198</v>
      </c>
    </row>
    <row r="4414">
      <c r="C4414" s="15" t="inlineStr">
        <is>
          <t>Radicand</t>
        </is>
      </c>
      <c r="D4414" s="15" t="n">
        <v>22</v>
      </c>
      <c r="E4414" s="15" t="n">
        <v>23</v>
      </c>
      <c r="F4414" s="15" t="n">
        <v>24</v>
      </c>
      <c r="AA4414" s="15" t="inlineStr">
        <is>
          <t>Radicand</t>
        </is>
      </c>
      <c r="AB4414" s="15" t="n">
        <v>22</v>
      </c>
      <c r="AC4414" s="15" t="n">
        <v>23</v>
      </c>
      <c r="AD4414" s="15" t="n">
        <v>24</v>
      </c>
      <c r="AW4414" s="15" t="inlineStr">
        <is>
          <t>Radicand</t>
        </is>
      </c>
      <c r="AX4414" s="15" t="n">
        <v>22</v>
      </c>
      <c r="AY4414" s="15" t="n">
        <v>23</v>
      </c>
      <c r="AZ4414" s="15" t="n">
        <v>24</v>
      </c>
      <c r="BS4414" s="15" t="inlineStr">
        <is>
          <t>Radicand</t>
        </is>
      </c>
      <c r="BT4414" s="15" t="n">
        <v>22</v>
      </c>
      <c r="BU4414" s="15" t="n">
        <v>23</v>
      </c>
      <c r="BV4414" s="15" t="n">
        <v>24</v>
      </c>
      <c r="CO4414" s="15" t="inlineStr">
        <is>
          <t>Radicand</t>
        </is>
      </c>
      <c r="CP4414" s="15" t="n">
        <v>22</v>
      </c>
      <c r="CQ4414" s="15" t="n">
        <v>23</v>
      </c>
      <c r="CR4414" s="15" t="n">
        <v>24</v>
      </c>
      <c r="DK4414" s="15" t="inlineStr">
        <is>
          <t>Radicand</t>
        </is>
      </c>
      <c r="DL4414" s="15" t="n">
        <v>22</v>
      </c>
      <c r="DM4414" s="15" t="n">
        <v>23</v>
      </c>
      <c r="DN4414" s="15" t="n">
        <v>24</v>
      </c>
      <c r="EG4414" s="15" t="inlineStr">
        <is>
          <t>Radicand</t>
        </is>
      </c>
      <c r="EH4414" s="15" t="n">
        <v>22</v>
      </c>
      <c r="EI4414" s="15" t="n">
        <v>23</v>
      </c>
      <c r="EJ4414" s="15" t="n">
        <v>24</v>
      </c>
      <c r="FC4414" s="15" t="inlineStr">
        <is>
          <t>Radicand</t>
        </is>
      </c>
      <c r="FD4414" s="15" t="n">
        <v>22</v>
      </c>
      <c r="FE4414" s="15" t="n">
        <v>23</v>
      </c>
      <c r="FF4414" s="15" t="n">
        <v>24</v>
      </c>
      <c r="FY4414" s="15" t="inlineStr">
        <is>
          <t>Radicand</t>
        </is>
      </c>
      <c r="FZ4414" s="15" t="n">
        <v>22</v>
      </c>
      <c r="GA4414" s="15" t="n">
        <v>23</v>
      </c>
      <c r="GB4414" s="15" t="n">
        <v>24</v>
      </c>
      <c r="GU4414" s="15" t="inlineStr">
        <is>
          <t>Radicand</t>
        </is>
      </c>
      <c r="GV4414" s="15" t="n">
        <v>22</v>
      </c>
      <c r="GW4414" s="15" t="n">
        <v>23</v>
      </c>
      <c r="GX4414" s="15" t="n">
        <v>24</v>
      </c>
    </row>
    <row r="4415">
      <c r="C4415" s="15" t="n">
        <v>9</v>
      </c>
      <c r="AA4415" s="15" t="n">
        <v>9</v>
      </c>
      <c r="AW4415" s="15" t="n">
        <v>9</v>
      </c>
      <c r="BS4415" s="15" t="n">
        <v>9</v>
      </c>
      <c r="CO4415" s="15" t="n">
        <v>9</v>
      </c>
      <c r="DK4415" s="15" t="n">
        <v>9</v>
      </c>
      <c r="EG4415" s="15" t="n">
        <v>9</v>
      </c>
      <c r="FC4415" s="15" t="n">
        <v>9</v>
      </c>
      <c r="FY4415" s="15" t="n">
        <v>9</v>
      </c>
      <c r="GU4415" s="15" t="n">
        <v>9</v>
      </c>
    </row>
    <row r="4416">
      <c r="C4416" s="15" t="n">
        <v>10</v>
      </c>
      <c r="AA4416" s="15" t="n">
        <v>10</v>
      </c>
      <c r="AW4416" s="15" t="n">
        <v>10</v>
      </c>
      <c r="BS4416" s="15" t="n">
        <v>10</v>
      </c>
      <c r="CO4416" s="15" t="n">
        <v>10</v>
      </c>
      <c r="DK4416" s="15" t="n">
        <v>10</v>
      </c>
      <c r="EG4416" s="15" t="n">
        <v>10</v>
      </c>
      <c r="FC4416" s="15" t="n">
        <v>10</v>
      </c>
      <c r="FY4416" s="15" t="n">
        <v>10</v>
      </c>
      <c r="GU4416" s="15" t="n">
        <v>10</v>
      </c>
    </row>
    <row r="4417">
      <c r="C4417" s="15" t="n">
        <v>11</v>
      </c>
      <c r="AA4417" s="15" t="n">
        <v>11</v>
      </c>
      <c r="AW4417" s="15" t="n">
        <v>11</v>
      </c>
      <c r="BS4417" s="15" t="n">
        <v>11</v>
      </c>
      <c r="CO4417" s="15" t="n">
        <v>11</v>
      </c>
      <c r="DK4417" s="15" t="n">
        <v>11</v>
      </c>
      <c r="EG4417" s="15" t="n">
        <v>11</v>
      </c>
      <c r="FC4417" s="15" t="n">
        <v>11</v>
      </c>
      <c r="FY4417" s="15" t="n">
        <v>11</v>
      </c>
      <c r="GU4417" s="15" t="n">
        <v>11</v>
      </c>
    </row>
    <row r="4418">
      <c r="C4418" s="15" t="n">
        <v>12</v>
      </c>
      <c r="AA4418" s="15" t="n">
        <v>12</v>
      </c>
      <c r="AW4418" s="15" t="n">
        <v>12</v>
      </c>
      <c r="BS4418" s="15" t="n">
        <v>12</v>
      </c>
      <c r="CO4418" s="15" t="n">
        <v>12</v>
      </c>
      <c r="DK4418" s="15" t="n">
        <v>12</v>
      </c>
      <c r="EG4418" s="15" t="n">
        <v>12</v>
      </c>
      <c r="FC4418" s="15" t="n">
        <v>12</v>
      </c>
      <c r="FY4418" s="15" t="n">
        <v>12</v>
      </c>
      <c r="GU4418" s="15" t="n">
        <v>12</v>
      </c>
    </row>
    <row r="4419">
      <c r="C4419" s="15" t="n">
        <v>13</v>
      </c>
      <c r="AA4419" s="15" t="n">
        <v>13</v>
      </c>
      <c r="AW4419" s="15" t="n">
        <v>13</v>
      </c>
      <c r="BS4419" s="15" t="n">
        <v>13</v>
      </c>
      <c r="CO4419" s="15" t="n">
        <v>13</v>
      </c>
      <c r="DK4419" s="15" t="n">
        <v>13</v>
      </c>
      <c r="EG4419" s="15" t="n">
        <v>13</v>
      </c>
      <c r="FC4419" s="15" t="n">
        <v>13</v>
      </c>
      <c r="FY4419" s="15" t="n">
        <v>13</v>
      </c>
      <c r="GU4419" s="15" t="n">
        <v>13</v>
      </c>
    </row>
    <row r="4420">
      <c r="C4420" s="15" t="n">
        <v>14</v>
      </c>
      <c r="AA4420" s="15" t="n">
        <v>14</v>
      </c>
      <c r="AW4420" s="15" t="n">
        <v>14</v>
      </c>
      <c r="BS4420" s="15" t="n">
        <v>14</v>
      </c>
      <c r="CO4420" s="15" t="n">
        <v>14</v>
      </c>
      <c r="DK4420" s="15" t="n">
        <v>14</v>
      </c>
      <c r="EG4420" s="15" t="n">
        <v>14</v>
      </c>
      <c r="FC4420" s="15" t="n">
        <v>14</v>
      </c>
      <c r="FY4420" s="15" t="n">
        <v>14</v>
      </c>
      <c r="GU4420" s="15" t="n">
        <v>14</v>
      </c>
    </row>
    <row r="4421">
      <c r="C4421" s="15" t="n">
        <v>15</v>
      </c>
      <c r="AA4421" s="15" t="n">
        <v>15</v>
      </c>
      <c r="AW4421" s="15" t="n">
        <v>15</v>
      </c>
      <c r="BS4421" s="15" t="n">
        <v>15</v>
      </c>
      <c r="CO4421" s="15" t="n">
        <v>15</v>
      </c>
      <c r="DK4421" s="15" t="n">
        <v>15</v>
      </c>
      <c r="EG4421" s="15" t="n">
        <v>15</v>
      </c>
      <c r="FC4421" s="15" t="n">
        <v>15</v>
      </c>
      <c r="FY4421" s="15" t="n">
        <v>15</v>
      </c>
      <c r="GU4421" s="15" t="n">
        <v>15</v>
      </c>
    </row>
    <row r="4422">
      <c r="C4422" s="15" t="n">
        <v>16</v>
      </c>
      <c r="AA4422" s="15" t="n">
        <v>16</v>
      </c>
      <c r="AW4422" s="15" t="n">
        <v>16</v>
      </c>
      <c r="BS4422" s="15" t="n">
        <v>16</v>
      </c>
      <c r="CO4422" s="15" t="n">
        <v>16</v>
      </c>
      <c r="DK4422" s="15" t="n">
        <v>16</v>
      </c>
      <c r="EG4422" s="15" t="n">
        <v>16</v>
      </c>
      <c r="FC4422" s="15" t="n">
        <v>16</v>
      </c>
      <c r="FY4422" s="15" t="n">
        <v>16</v>
      </c>
      <c r="GU4422" s="15" t="n">
        <v>16</v>
      </c>
    </row>
    <row r="4423">
      <c r="C4423" s="15" t="n">
        <v>17</v>
      </c>
      <c r="AA4423" s="15" t="n">
        <v>17</v>
      </c>
      <c r="AW4423" s="15" t="n">
        <v>17</v>
      </c>
      <c r="BS4423" s="15" t="n">
        <v>17</v>
      </c>
      <c r="CO4423" s="15" t="n">
        <v>17</v>
      </c>
      <c r="DK4423" s="15" t="n">
        <v>17</v>
      </c>
      <c r="EG4423" s="15" t="n">
        <v>17</v>
      </c>
      <c r="FC4423" s="15" t="n">
        <v>17</v>
      </c>
      <c r="FY4423" s="15" t="n">
        <v>17</v>
      </c>
      <c r="GU4423" s="15" t="n">
        <v>17</v>
      </c>
    </row>
    <row r="4424">
      <c r="C4424" s="15" t="n">
        <v>18</v>
      </c>
      <c r="AA4424" s="15" t="n">
        <v>18</v>
      </c>
      <c r="AW4424" s="15" t="n">
        <v>18</v>
      </c>
      <c r="BS4424" s="15" t="n">
        <v>18</v>
      </c>
      <c r="CO4424" s="15" t="n">
        <v>18</v>
      </c>
      <c r="DK4424" s="15" t="n">
        <v>18</v>
      </c>
      <c r="EG4424" s="15" t="n">
        <v>18</v>
      </c>
      <c r="FC4424" s="15" t="n">
        <v>18</v>
      </c>
      <c r="FY4424" s="15" t="n">
        <v>18</v>
      </c>
      <c r="GU4424" s="15" t="n">
        <v>18</v>
      </c>
    </row>
    <row r="4425">
      <c r="C4425" s="15" t="n">
        <v>19</v>
      </c>
      <c r="AA4425" s="15" t="n">
        <v>19</v>
      </c>
      <c r="AW4425" s="15" t="n">
        <v>19</v>
      </c>
      <c r="BS4425" s="15" t="n">
        <v>19</v>
      </c>
      <c r="CO4425" s="15" t="n">
        <v>19</v>
      </c>
      <c r="DK4425" s="15" t="n">
        <v>19</v>
      </c>
      <c r="EG4425" s="15" t="n">
        <v>19</v>
      </c>
      <c r="FC4425" s="15" t="n">
        <v>19</v>
      </c>
      <c r="FY4425" s="15" t="n">
        <v>19</v>
      </c>
      <c r="GU4425" s="15" t="n">
        <v>19</v>
      </c>
    </row>
    <row r="4426">
      <c r="C4426" s="15" t="n">
        <v>20</v>
      </c>
      <c r="AA4426" s="15" t="n">
        <v>20</v>
      </c>
      <c r="AW4426" s="15" t="n">
        <v>20</v>
      </c>
      <c r="BS4426" s="15" t="n">
        <v>20</v>
      </c>
      <c r="CO4426" s="15" t="n">
        <v>20</v>
      </c>
      <c r="DK4426" s="15" t="n">
        <v>20</v>
      </c>
      <c r="EG4426" s="15" t="n">
        <v>20</v>
      </c>
      <c r="FC4426" s="15" t="n">
        <v>20</v>
      </c>
      <c r="FY4426" s="15" t="n">
        <v>20</v>
      </c>
      <c r="GU4426" s="15" t="n">
        <v>20</v>
      </c>
    </row>
    <row r="4427">
      <c r="C4427" s="15" t="n">
        <v>21</v>
      </c>
      <c r="AA4427" s="15" t="n">
        <v>21</v>
      </c>
      <c r="AW4427" s="15" t="n">
        <v>21</v>
      </c>
      <c r="BS4427" s="15" t="n">
        <v>21</v>
      </c>
      <c r="CO4427" s="15" t="n">
        <v>21</v>
      </c>
      <c r="DK4427" s="15" t="n">
        <v>21</v>
      </c>
      <c r="EG4427" s="15" t="n">
        <v>21</v>
      </c>
      <c r="FC4427" s="15" t="n">
        <v>21</v>
      </c>
      <c r="FY4427" s="15" t="n">
        <v>21</v>
      </c>
      <c r="GU4427" s="15" t="n">
        <v>21</v>
      </c>
    </row>
    <row r="4428">
      <c r="C4428" s="15" t="n">
        <v>22</v>
      </c>
      <c r="AA4428" s="15" t="n">
        <v>22</v>
      </c>
      <c r="AW4428" s="15" t="n">
        <v>22</v>
      </c>
      <c r="BS4428" s="15" t="n">
        <v>22</v>
      </c>
      <c r="CO4428" s="15" t="n">
        <v>22</v>
      </c>
      <c r="DK4428" s="15" t="n">
        <v>22</v>
      </c>
      <c r="EG4428" s="15" t="n">
        <v>22</v>
      </c>
      <c r="FC4428" s="15" t="n">
        <v>22</v>
      </c>
      <c r="FY4428" s="15" t="n">
        <v>22</v>
      </c>
      <c r="GU4428" s="15" t="n">
        <v>22</v>
      </c>
    </row>
    <row r="4429">
      <c r="C4429" s="15" t="n">
        <v>23</v>
      </c>
      <c r="AA4429" s="15" t="n">
        <v>23</v>
      </c>
      <c r="AW4429" s="15" t="n">
        <v>23</v>
      </c>
      <c r="BS4429" s="15" t="n">
        <v>23</v>
      </c>
      <c r="CO4429" s="15" t="n">
        <v>23</v>
      </c>
      <c r="DK4429" s="15" t="n">
        <v>23</v>
      </c>
      <c r="EG4429" s="15" t="n">
        <v>23</v>
      </c>
      <c r="FC4429" s="15" t="n">
        <v>23</v>
      </c>
      <c r="FY4429" s="15" t="n">
        <v>23</v>
      </c>
      <c r="GU4429" s="15" t="n">
        <v>23</v>
      </c>
    </row>
    <row r="4430">
      <c r="C4430" s="15" t="n">
        <v>24</v>
      </c>
      <c r="AA4430" s="15" t="n">
        <v>24</v>
      </c>
      <c r="AW4430" s="15" t="n">
        <v>24</v>
      </c>
      <c r="BS4430" s="15" t="n">
        <v>24</v>
      </c>
      <c r="CO4430" s="15" t="n">
        <v>24</v>
      </c>
      <c r="DK4430" s="15" t="n">
        <v>24</v>
      </c>
      <c r="EG4430" s="15" t="n">
        <v>24</v>
      </c>
      <c r="FC4430" s="15" t="n">
        <v>24</v>
      </c>
      <c r="FY4430" s="15" t="n">
        <v>24</v>
      </c>
      <c r="GU4430" s="15" t="n">
        <v>24</v>
      </c>
    </row>
    <row r="4431">
      <c r="C4431" s="15" t="n">
        <v>25</v>
      </c>
      <c r="AA4431" s="15" t="n">
        <v>25</v>
      </c>
      <c r="AW4431" s="15" t="n">
        <v>25</v>
      </c>
      <c r="BS4431" s="15" t="n">
        <v>25</v>
      </c>
      <c r="CO4431" s="15" t="n">
        <v>25</v>
      </c>
      <c r="DK4431" s="15" t="n">
        <v>25</v>
      </c>
      <c r="EG4431" s="15" t="n">
        <v>25</v>
      </c>
      <c r="FC4431" s="15" t="n">
        <v>25</v>
      </c>
      <c r="FY4431" s="15" t="n">
        <v>25</v>
      </c>
      <c r="GU4431" s="15" t="n">
        <v>25</v>
      </c>
    </row>
    <row r="4432">
      <c r="C4432" s="15" t="n">
        <v>26</v>
      </c>
      <c r="AA4432" s="15" t="n">
        <v>26</v>
      </c>
      <c r="AW4432" s="15" t="n">
        <v>26</v>
      </c>
      <c r="BS4432" s="15" t="n">
        <v>26</v>
      </c>
      <c r="CO4432" s="15" t="n">
        <v>26</v>
      </c>
      <c r="DK4432" s="15" t="n">
        <v>26</v>
      </c>
      <c r="EG4432" s="15" t="n">
        <v>26</v>
      </c>
      <c r="FC4432" s="15" t="n">
        <v>26</v>
      </c>
      <c r="FY4432" s="15" t="n">
        <v>26</v>
      </c>
      <c r="GU4432" s="15" t="n">
        <v>26</v>
      </c>
    </row>
    <row r="4433">
      <c r="C4433" s="15" t="n">
        <v>27</v>
      </c>
      <c r="AA4433" s="15" t="n">
        <v>27</v>
      </c>
      <c r="AW4433" s="15" t="n">
        <v>27</v>
      </c>
      <c r="BS4433" s="15" t="n">
        <v>27</v>
      </c>
      <c r="CO4433" s="15" t="n">
        <v>27</v>
      </c>
      <c r="DK4433" s="15" t="n">
        <v>27</v>
      </c>
      <c r="EG4433" s="15" t="n">
        <v>27</v>
      </c>
      <c r="FC4433" s="15" t="n">
        <v>27</v>
      </c>
      <c r="FY4433" s="15" t="n">
        <v>27</v>
      </c>
      <c r="GU4433" s="15" t="n">
        <v>27</v>
      </c>
    </row>
    <row r="4434">
      <c r="C4434" s="15" t="n">
        <v>28</v>
      </c>
      <c r="AA4434" s="15" t="n">
        <v>28</v>
      </c>
      <c r="AW4434" s="15" t="n">
        <v>28</v>
      </c>
      <c r="BS4434" s="15" t="n">
        <v>28</v>
      </c>
      <c r="CO4434" s="15" t="n">
        <v>28</v>
      </c>
      <c r="DK4434" s="15" t="n">
        <v>28</v>
      </c>
      <c r="EG4434" s="15" t="n">
        <v>28</v>
      </c>
      <c r="FC4434" s="15" t="n">
        <v>28</v>
      </c>
      <c r="FY4434" s="15" t="n">
        <v>28</v>
      </c>
      <c r="GU4434" s="15" t="n">
        <v>28</v>
      </c>
    </row>
    <row r="4435">
      <c r="C4435" s="15" t="n">
        <v>29</v>
      </c>
      <c r="AA4435" s="15" t="n">
        <v>29</v>
      </c>
      <c r="AW4435" s="15" t="n">
        <v>29</v>
      </c>
      <c r="BS4435" s="15" t="n">
        <v>29</v>
      </c>
      <c r="CO4435" s="15" t="n">
        <v>29</v>
      </c>
      <c r="DK4435" s="15" t="n">
        <v>29</v>
      </c>
      <c r="EG4435" s="15" t="n">
        <v>29</v>
      </c>
      <c r="FC4435" s="15" t="n">
        <v>29</v>
      </c>
      <c r="FY4435" s="15" t="n">
        <v>29</v>
      </c>
      <c r="GU4435" s="15" t="n">
        <v>29</v>
      </c>
    </row>
    <row r="4436">
      <c r="C4436" s="15" t="n">
        <v>30</v>
      </c>
      <c r="AA4436" s="15" t="n">
        <v>30</v>
      </c>
      <c r="AW4436" s="15" t="n">
        <v>30</v>
      </c>
      <c r="BS4436" s="15" t="n">
        <v>30</v>
      </c>
      <c r="CO4436" s="15" t="n">
        <v>30</v>
      </c>
      <c r="DK4436" s="15" t="n">
        <v>30</v>
      </c>
      <c r="EG4436" s="15" t="n">
        <v>30</v>
      </c>
      <c r="FC4436" s="15" t="n">
        <v>30</v>
      </c>
      <c r="FY4436" s="15" t="n">
        <v>30</v>
      </c>
      <c r="GU4436" s="15" t="n">
        <v>30</v>
      </c>
    </row>
    <row r="4437">
      <c r="C4437" s="15" t="n">
        <v>31</v>
      </c>
      <c r="AA4437" s="15" t="n">
        <v>31</v>
      </c>
      <c r="AW4437" s="15" t="n">
        <v>31</v>
      </c>
      <c r="BS4437" s="15" t="n">
        <v>31</v>
      </c>
      <c r="CO4437" s="15" t="n">
        <v>31</v>
      </c>
      <c r="DK4437" s="15" t="n">
        <v>31</v>
      </c>
      <c r="EG4437" s="15" t="n">
        <v>31</v>
      </c>
      <c r="FC4437" s="15" t="n">
        <v>31</v>
      </c>
      <c r="FY4437" s="15" t="n">
        <v>31</v>
      </c>
      <c r="GU4437" s="15" t="n">
        <v>31</v>
      </c>
    </row>
    <row r="4438">
      <c r="C4438" s="15" t="n">
        <v>32</v>
      </c>
      <c r="AA4438" s="15" t="n">
        <v>32</v>
      </c>
      <c r="AW4438" s="15" t="n">
        <v>32</v>
      </c>
      <c r="BS4438" s="15" t="n">
        <v>32</v>
      </c>
      <c r="CO4438" s="15" t="n">
        <v>32</v>
      </c>
      <c r="DK4438" s="15" t="n">
        <v>32</v>
      </c>
      <c r="EG4438" s="15" t="n">
        <v>32</v>
      </c>
      <c r="FC4438" s="15" t="n">
        <v>32</v>
      </c>
      <c r="FY4438" s="15" t="n">
        <v>32</v>
      </c>
      <c r="GU4438" s="15" t="n">
        <v>32</v>
      </c>
    </row>
    <row r="4439">
      <c r="C4439" s="15" t="n">
        <v>33</v>
      </c>
      <c r="AA4439" s="15" t="n">
        <v>33</v>
      </c>
      <c r="AW4439" s="15" t="n">
        <v>33</v>
      </c>
      <c r="BS4439" s="15" t="n">
        <v>33</v>
      </c>
      <c r="CO4439" s="15" t="n">
        <v>33</v>
      </c>
      <c r="DK4439" s="15" t="n">
        <v>33</v>
      </c>
      <c r="EG4439" s="15" t="n">
        <v>33</v>
      </c>
      <c r="FC4439" s="15" t="n">
        <v>33</v>
      </c>
      <c r="FY4439" s="15" t="n">
        <v>33</v>
      </c>
      <c r="GU4439" s="15" t="n">
        <v>33</v>
      </c>
    </row>
    <row r="4440">
      <c r="C4440" s="15" t="n">
        <v>34</v>
      </c>
      <c r="AA4440" s="15" t="n">
        <v>34</v>
      </c>
      <c r="AW4440" s="15" t="n">
        <v>34</v>
      </c>
      <c r="BS4440" s="15" t="n">
        <v>34</v>
      </c>
      <c r="CO4440" s="15" t="n">
        <v>34</v>
      </c>
      <c r="DK4440" s="15" t="n">
        <v>34</v>
      </c>
      <c r="EG4440" s="15" t="n">
        <v>34</v>
      </c>
      <c r="FC4440" s="15" t="n">
        <v>34</v>
      </c>
      <c r="FY4440" s="15" t="n">
        <v>34</v>
      </c>
      <c r="GU4440" s="15" t="n">
        <v>34</v>
      </c>
    </row>
    <row r="4441">
      <c r="C4441" s="15" t="n">
        <v>35</v>
      </c>
      <c r="AA4441" s="15" t="n">
        <v>35</v>
      </c>
      <c r="AW4441" s="15" t="n">
        <v>35</v>
      </c>
      <c r="BS4441" s="15" t="n">
        <v>35</v>
      </c>
      <c r="CO4441" s="15" t="n">
        <v>35</v>
      </c>
      <c r="DK4441" s="15" t="n">
        <v>35</v>
      </c>
      <c r="EG4441" s="15" t="n">
        <v>35</v>
      </c>
      <c r="FC4441" s="15" t="n">
        <v>35</v>
      </c>
      <c r="FY4441" s="15" t="n">
        <v>35</v>
      </c>
      <c r="GU4441" s="15" t="n">
        <v>35</v>
      </c>
    </row>
    <row r="4442">
      <c r="C4442" s="15" t="n">
        <v>36</v>
      </c>
      <c r="AA4442" s="15" t="n">
        <v>36</v>
      </c>
      <c r="AW4442" s="15" t="n">
        <v>36</v>
      </c>
      <c r="BS4442" s="15" t="n">
        <v>36</v>
      </c>
      <c r="CO4442" s="15" t="n">
        <v>36</v>
      </c>
      <c r="DK4442" s="15" t="n">
        <v>36</v>
      </c>
      <c r="EG4442" s="15" t="n">
        <v>36</v>
      </c>
      <c r="FC4442" s="15" t="n">
        <v>36</v>
      </c>
      <c r="FY4442" s="15" t="n">
        <v>36</v>
      </c>
      <c r="GU4442" s="15" t="n">
        <v>36</v>
      </c>
    </row>
    <row r="4443">
      <c r="C4443" s="15" t="n">
        <v>37</v>
      </c>
      <c r="AA4443" s="15" t="n">
        <v>37</v>
      </c>
      <c r="AW4443" s="15" t="n">
        <v>37</v>
      </c>
      <c r="BS4443" s="15" t="n">
        <v>37</v>
      </c>
      <c r="CO4443" s="15" t="n">
        <v>37</v>
      </c>
      <c r="DK4443" s="15" t="n">
        <v>37</v>
      </c>
      <c r="EG4443" s="15" t="n">
        <v>37</v>
      </c>
      <c r="FC4443" s="15" t="n">
        <v>37</v>
      </c>
      <c r="FY4443" s="15" t="n">
        <v>37</v>
      </c>
      <c r="GU4443" s="15" t="n">
        <v>37</v>
      </c>
    </row>
    <row r="4444">
      <c r="C4444" s="15" t="n">
        <v>38</v>
      </c>
      <c r="AA4444" s="15" t="n">
        <v>38</v>
      </c>
      <c r="AW4444" s="15" t="n">
        <v>38</v>
      </c>
      <c r="BS4444" s="15" t="n">
        <v>38</v>
      </c>
      <c r="CO4444" s="15" t="n">
        <v>38</v>
      </c>
      <c r="DK4444" s="15" t="n">
        <v>38</v>
      </c>
      <c r="EG4444" s="15" t="n">
        <v>38</v>
      </c>
      <c r="FC4444" s="15" t="n">
        <v>38</v>
      </c>
      <c r="FY4444" s="15" t="n">
        <v>38</v>
      </c>
      <c r="GU4444" s="15" t="n">
        <v>38</v>
      </c>
    </row>
    <row r="4445">
      <c r="C4445" s="15" t="n">
        <v>39</v>
      </c>
      <c r="AA4445" s="15" t="n">
        <v>39</v>
      </c>
      <c r="AW4445" s="15" t="n">
        <v>39</v>
      </c>
      <c r="BS4445" s="15" t="n">
        <v>39</v>
      </c>
      <c r="CO4445" s="15" t="n">
        <v>39</v>
      </c>
      <c r="DK4445" s="15" t="n">
        <v>39</v>
      </c>
      <c r="EG4445" s="15" t="n">
        <v>39</v>
      </c>
      <c r="FC4445" s="15" t="n">
        <v>39</v>
      </c>
      <c r="FY4445" s="15" t="n">
        <v>39</v>
      </c>
      <c r="GU4445" s="15" t="n">
        <v>39</v>
      </c>
    </row>
    <row r="4446">
      <c r="C4446" s="15" t="n">
        <v>40</v>
      </c>
      <c r="AA4446" s="15" t="n">
        <v>40</v>
      </c>
      <c r="AW4446" s="15" t="n">
        <v>40</v>
      </c>
      <c r="BS4446" s="15" t="n">
        <v>40</v>
      </c>
      <c r="CO4446" s="15" t="n">
        <v>40</v>
      </c>
      <c r="DK4446" s="15" t="n">
        <v>40</v>
      </c>
      <c r="EG4446" s="15" t="n">
        <v>40</v>
      </c>
      <c r="FC4446" s="15" t="n">
        <v>40</v>
      </c>
      <c r="FY4446" s="15" t="n">
        <v>40</v>
      </c>
      <c r="GU4446" s="15" t="n">
        <v>40</v>
      </c>
    </row>
    <row r="4447">
      <c r="C4447" s="15" t="n">
        <v>41</v>
      </c>
      <c r="AA4447" s="15" t="n">
        <v>41</v>
      </c>
      <c r="AW4447" s="15" t="n">
        <v>41</v>
      </c>
      <c r="BS4447" s="15" t="n">
        <v>41</v>
      </c>
      <c r="CO4447" s="15" t="n">
        <v>41</v>
      </c>
      <c r="DK4447" s="15" t="n">
        <v>41</v>
      </c>
      <c r="EG4447" s="15" t="n">
        <v>41</v>
      </c>
      <c r="FC4447" s="15" t="n">
        <v>41</v>
      </c>
      <c r="FY4447" s="15" t="n">
        <v>41</v>
      </c>
      <c r="GU4447" s="15" t="n">
        <v>41</v>
      </c>
    </row>
    <row r="4448">
      <c r="C4448" s="15" t="n">
        <v>42</v>
      </c>
      <c r="AA4448" s="15" t="n">
        <v>42</v>
      </c>
      <c r="AW4448" s="15" t="n">
        <v>42</v>
      </c>
      <c r="BS4448" s="15" t="n">
        <v>42</v>
      </c>
      <c r="CO4448" s="15" t="n">
        <v>42</v>
      </c>
      <c r="DK4448" s="15" t="n">
        <v>42</v>
      </c>
      <c r="EG4448" s="15" t="n">
        <v>42</v>
      </c>
      <c r="FC4448" s="15" t="n">
        <v>42</v>
      </c>
      <c r="FY4448" s="15" t="n">
        <v>42</v>
      </c>
      <c r="GU4448" s="15" t="n">
        <v>42</v>
      </c>
    </row>
    <row r="4449">
      <c r="C4449" s="15" t="n">
        <v>43</v>
      </c>
      <c r="AA4449" s="15" t="n">
        <v>43</v>
      </c>
      <c r="AW4449" s="15" t="n">
        <v>43</v>
      </c>
      <c r="BS4449" s="15" t="n">
        <v>43</v>
      </c>
      <c r="CO4449" s="15" t="n">
        <v>43</v>
      </c>
      <c r="DK4449" s="15" t="n">
        <v>43</v>
      </c>
      <c r="EG4449" s="15" t="n">
        <v>43</v>
      </c>
      <c r="FC4449" s="15" t="n">
        <v>43</v>
      </c>
      <c r="FY4449" s="15" t="n">
        <v>43</v>
      </c>
      <c r="GU4449" s="15" t="n">
        <v>43</v>
      </c>
    </row>
    <row r="4450">
      <c r="C4450" s="15" t="n">
        <v>44</v>
      </c>
      <c r="AA4450" s="15" t="n">
        <v>44</v>
      </c>
      <c r="AW4450" s="15" t="n">
        <v>44</v>
      </c>
      <c r="BS4450" s="15" t="n">
        <v>44</v>
      </c>
      <c r="CO4450" s="15" t="n">
        <v>44</v>
      </c>
      <c r="DK4450" s="15" t="n">
        <v>44</v>
      </c>
      <c r="EG4450" s="15" t="n">
        <v>44</v>
      </c>
      <c r="FC4450" s="15" t="n">
        <v>44</v>
      </c>
      <c r="FY4450" s="15" t="n">
        <v>44</v>
      </c>
      <c r="GU4450" s="15" t="n">
        <v>44</v>
      </c>
    </row>
    <row r="4451">
      <c r="C4451" s="15" t="n">
        <v>45</v>
      </c>
      <c r="AA4451" s="15" t="n">
        <v>45</v>
      </c>
      <c r="AW4451" s="15" t="n">
        <v>45</v>
      </c>
      <c r="BS4451" s="15" t="n">
        <v>45</v>
      </c>
      <c r="CO4451" s="15" t="n">
        <v>45</v>
      </c>
      <c r="DK4451" s="15" t="n">
        <v>45</v>
      </c>
      <c r="EG4451" s="15" t="n">
        <v>45</v>
      </c>
      <c r="FC4451" s="15" t="n">
        <v>45</v>
      </c>
      <c r="FY4451" s="15" t="n">
        <v>45</v>
      </c>
      <c r="GU4451" s="15" t="n">
        <v>45</v>
      </c>
    </row>
    <row r="4452">
      <c r="C4452" s="15" t="n">
        <v>46</v>
      </c>
      <c r="AA4452" s="15" t="n">
        <v>46</v>
      </c>
      <c r="AW4452" s="15" t="n">
        <v>46</v>
      </c>
      <c r="BS4452" s="15" t="n">
        <v>46</v>
      </c>
      <c r="CO4452" s="15" t="n">
        <v>46</v>
      </c>
      <c r="DK4452" s="15" t="n">
        <v>46</v>
      </c>
      <c r="EG4452" s="15" t="n">
        <v>46</v>
      </c>
      <c r="FC4452" s="15" t="n">
        <v>46</v>
      </c>
      <c r="FY4452" s="15" t="n">
        <v>46</v>
      </c>
      <c r="GU4452" s="15" t="n">
        <v>46</v>
      </c>
    </row>
    <row r="4453">
      <c r="C4453" s="15" t="n">
        <v>47</v>
      </c>
      <c r="AA4453" s="15" t="n">
        <v>47</v>
      </c>
      <c r="AW4453" s="15" t="n">
        <v>47</v>
      </c>
      <c r="BS4453" s="15" t="n">
        <v>47</v>
      </c>
      <c r="CO4453" s="15" t="n">
        <v>47</v>
      </c>
      <c r="DK4453" s="15" t="n">
        <v>47</v>
      </c>
      <c r="EG4453" s="15" t="n">
        <v>47</v>
      </c>
      <c r="FC4453" s="15" t="n">
        <v>47</v>
      </c>
      <c r="FY4453" s="15" t="n">
        <v>47</v>
      </c>
      <c r="GU4453" s="15" t="n">
        <v>47</v>
      </c>
    </row>
    <row r="4454">
      <c r="C4454" s="15" t="n">
        <v>48</v>
      </c>
      <c r="AA4454" s="15" t="n">
        <v>48</v>
      </c>
      <c r="AW4454" s="15" t="n">
        <v>48</v>
      </c>
      <c r="BS4454" s="15" t="n">
        <v>48</v>
      </c>
      <c r="CO4454" s="15" t="n">
        <v>48</v>
      </c>
      <c r="DK4454" s="15" t="n">
        <v>48</v>
      </c>
      <c r="EG4454" s="15" t="n">
        <v>48</v>
      </c>
      <c r="FC4454" s="15" t="n">
        <v>48</v>
      </c>
      <c r="FY4454" s="15" t="n">
        <v>48</v>
      </c>
      <c r="GU4454" s="15" t="n">
        <v>48</v>
      </c>
    </row>
    <row r="4455">
      <c r="C4455" s="15" t="n">
        <v>49</v>
      </c>
      <c r="AA4455" s="15" t="n">
        <v>49</v>
      </c>
      <c r="AW4455" s="15" t="n">
        <v>49</v>
      </c>
      <c r="BS4455" s="15" t="n">
        <v>49</v>
      </c>
      <c r="CO4455" s="15" t="n">
        <v>49</v>
      </c>
      <c r="DK4455" s="15" t="n">
        <v>49</v>
      </c>
      <c r="EG4455" s="15" t="n">
        <v>49</v>
      </c>
      <c r="FC4455" s="15" t="n">
        <v>49</v>
      </c>
      <c r="FY4455" s="15" t="n">
        <v>49</v>
      </c>
      <c r="GU4455" s="15" t="n">
        <v>49</v>
      </c>
    </row>
    <row r="4456">
      <c r="C4456" s="15" t="n">
        <v>50</v>
      </c>
      <c r="AA4456" s="15" t="n">
        <v>50</v>
      </c>
      <c r="AW4456" s="15" t="n">
        <v>50</v>
      </c>
      <c r="BS4456" s="15" t="n">
        <v>50</v>
      </c>
      <c r="CO4456" s="15" t="n">
        <v>50</v>
      </c>
      <c r="DK4456" s="15" t="n">
        <v>50</v>
      </c>
      <c r="EG4456" s="15" t="n">
        <v>50</v>
      </c>
      <c r="FC4456" s="15" t="n">
        <v>50</v>
      </c>
      <c r="FY4456" s="15" t="n">
        <v>50</v>
      </c>
      <c r="GU4456" s="15" t="n">
        <v>50</v>
      </c>
    </row>
    <row r="4457">
      <c r="C4457" s="15" t="n">
        <v>51</v>
      </c>
      <c r="AA4457" s="15" t="n">
        <v>51</v>
      </c>
      <c r="AW4457" s="15" t="n">
        <v>51</v>
      </c>
      <c r="BS4457" s="15" t="n">
        <v>51</v>
      </c>
      <c r="CO4457" s="15" t="n">
        <v>51</v>
      </c>
      <c r="DK4457" s="15" t="n">
        <v>51</v>
      </c>
      <c r="EG4457" s="15" t="n">
        <v>51</v>
      </c>
      <c r="FC4457" s="15" t="n">
        <v>51</v>
      </c>
      <c r="FY4457" s="15" t="n">
        <v>51</v>
      </c>
      <c r="GU4457" s="15" t="n">
        <v>51</v>
      </c>
    </row>
    <row r="4458">
      <c r="C4458" s="15" t="n">
        <v>52</v>
      </c>
      <c r="AA4458" s="15" t="n">
        <v>52</v>
      </c>
      <c r="AW4458" s="15" t="n">
        <v>52</v>
      </c>
      <c r="BS4458" s="15" t="n">
        <v>52</v>
      </c>
      <c r="CO4458" s="15" t="n">
        <v>52</v>
      </c>
      <c r="DK4458" s="15" t="n">
        <v>52</v>
      </c>
      <c r="EG4458" s="15" t="n">
        <v>52</v>
      </c>
      <c r="FC4458" s="15" t="n">
        <v>52</v>
      </c>
      <c r="FY4458" s="15" t="n">
        <v>52</v>
      </c>
      <c r="GU4458" s="15" t="n">
        <v>52</v>
      </c>
    </row>
    <row r="4459">
      <c r="C4459" s="15" t="n">
        <v>53</v>
      </c>
      <c r="AA4459" s="15" t="n">
        <v>53</v>
      </c>
      <c r="AW4459" s="15" t="n">
        <v>53</v>
      </c>
      <c r="BS4459" s="15" t="n">
        <v>53</v>
      </c>
      <c r="CO4459" s="15" t="n">
        <v>53</v>
      </c>
      <c r="DK4459" s="15" t="n">
        <v>53</v>
      </c>
      <c r="EG4459" s="15" t="n">
        <v>53</v>
      </c>
      <c r="FC4459" s="15" t="n">
        <v>53</v>
      </c>
      <c r="FY4459" s="15" t="n">
        <v>53</v>
      </c>
      <c r="GU4459" s="15" t="n">
        <v>53</v>
      </c>
    </row>
    <row r="4460">
      <c r="C4460" s="15" t="n">
        <v>54</v>
      </c>
      <c r="AA4460" s="15" t="n">
        <v>54</v>
      </c>
      <c r="AW4460" s="15" t="n">
        <v>54</v>
      </c>
      <c r="BS4460" s="15" t="n">
        <v>54</v>
      </c>
      <c r="CO4460" s="15" t="n">
        <v>54</v>
      </c>
      <c r="DK4460" s="15" t="n">
        <v>54</v>
      </c>
      <c r="EG4460" s="15" t="n">
        <v>54</v>
      </c>
      <c r="FC4460" s="15" t="n">
        <v>54</v>
      </c>
      <c r="FY4460" s="15" t="n">
        <v>54</v>
      </c>
      <c r="GU4460" s="15" t="n">
        <v>54</v>
      </c>
    </row>
    <row r="4461">
      <c r="C4461" s="15" t="n">
        <v>55</v>
      </c>
      <c r="AA4461" s="15" t="n">
        <v>55</v>
      </c>
      <c r="AW4461" s="15" t="n">
        <v>55</v>
      </c>
      <c r="BS4461" s="15" t="n">
        <v>55</v>
      </c>
      <c r="CO4461" s="15" t="n">
        <v>55</v>
      </c>
      <c r="DK4461" s="15" t="n">
        <v>55</v>
      </c>
      <c r="EG4461" s="15" t="n">
        <v>55</v>
      </c>
      <c r="FC4461" s="15" t="n">
        <v>55</v>
      </c>
      <c r="FY4461" s="15" t="n">
        <v>55</v>
      </c>
      <c r="GU4461" s="15" t="n">
        <v>55</v>
      </c>
    </row>
    <row r="4462">
      <c r="C4462" s="15" t="n">
        <v>56</v>
      </c>
      <c r="AA4462" s="15" t="n">
        <v>56</v>
      </c>
      <c r="AW4462" s="15" t="n">
        <v>56</v>
      </c>
      <c r="BS4462" s="15" t="n">
        <v>56</v>
      </c>
      <c r="CO4462" s="15" t="n">
        <v>56</v>
      </c>
      <c r="DK4462" s="15" t="n">
        <v>56</v>
      </c>
      <c r="EG4462" s="15" t="n">
        <v>56</v>
      </c>
      <c r="FC4462" s="15" t="n">
        <v>56</v>
      </c>
      <c r="FY4462" s="15" t="n">
        <v>56</v>
      </c>
      <c r="GU4462" s="15" t="n">
        <v>56</v>
      </c>
    </row>
    <row r="4463">
      <c r="C4463" s="15" t="n">
        <v>57</v>
      </c>
      <c r="AA4463" s="15" t="n">
        <v>57</v>
      </c>
      <c r="AW4463" s="15" t="n">
        <v>57</v>
      </c>
      <c r="BS4463" s="15" t="n">
        <v>57</v>
      </c>
      <c r="CO4463" s="15" t="n">
        <v>57</v>
      </c>
      <c r="DK4463" s="15" t="n">
        <v>57</v>
      </c>
      <c r="EG4463" s="15" t="n">
        <v>57</v>
      </c>
      <c r="FC4463" s="15" t="n">
        <v>57</v>
      </c>
      <c r="FY4463" s="15" t="n">
        <v>57</v>
      </c>
      <c r="GU4463" s="15" t="n">
        <v>57</v>
      </c>
    </row>
    <row r="4464">
      <c r="C4464" s="15" t="n">
        <v>58</v>
      </c>
      <c r="AA4464" s="15" t="n">
        <v>58</v>
      </c>
      <c r="AW4464" s="15" t="n">
        <v>58</v>
      </c>
      <c r="BS4464" s="15" t="n">
        <v>58</v>
      </c>
      <c r="CO4464" s="15" t="n">
        <v>58</v>
      </c>
      <c r="DK4464" s="15" t="n">
        <v>58</v>
      </c>
      <c r="EG4464" s="15" t="n">
        <v>58</v>
      </c>
      <c r="FC4464" s="15" t="n">
        <v>58</v>
      </c>
      <c r="FY4464" s="15" t="n">
        <v>58</v>
      </c>
      <c r="GU4464" s="15" t="n">
        <v>58</v>
      </c>
    </row>
    <row r="4465">
      <c r="C4465" s="15" t="n">
        <v>59</v>
      </c>
      <c r="AA4465" s="15" t="n">
        <v>59</v>
      </c>
      <c r="AW4465" s="15" t="n">
        <v>59</v>
      </c>
      <c r="BS4465" s="15" t="n">
        <v>59</v>
      </c>
      <c r="CO4465" s="15" t="n">
        <v>59</v>
      </c>
      <c r="DK4465" s="15" t="n">
        <v>59</v>
      </c>
      <c r="EG4465" s="15" t="n">
        <v>59</v>
      </c>
      <c r="FC4465" s="15" t="n">
        <v>59</v>
      </c>
      <c r="FY4465" s="15" t="n">
        <v>59</v>
      </c>
      <c r="GU4465" s="15" t="n">
        <v>59</v>
      </c>
    </row>
    <row r="4466">
      <c r="C4466" s="15" t="n">
        <v>60</v>
      </c>
      <c r="AA4466" s="15" t="n">
        <v>60</v>
      </c>
      <c r="AW4466" s="15" t="n">
        <v>60</v>
      </c>
      <c r="BS4466" s="15" t="n">
        <v>60</v>
      </c>
      <c r="CO4466" s="15" t="n">
        <v>60</v>
      </c>
      <c r="DK4466" s="15" t="n">
        <v>60</v>
      </c>
      <c r="EG4466" s="15" t="n">
        <v>60</v>
      </c>
      <c r="FC4466" s="15" t="n">
        <v>60</v>
      </c>
      <c r="FY4466" s="15" t="n">
        <v>60</v>
      </c>
      <c r="GU4466" s="15" t="n">
        <v>60</v>
      </c>
    </row>
    <row r="4467">
      <c r="C4467" s="15" t="n">
        <v>61</v>
      </c>
      <c r="AA4467" s="15" t="n">
        <v>61</v>
      </c>
      <c r="AW4467" s="15" t="n">
        <v>61</v>
      </c>
      <c r="BS4467" s="15" t="n">
        <v>61</v>
      </c>
      <c r="CO4467" s="15" t="n">
        <v>61</v>
      </c>
      <c r="DK4467" s="15" t="n">
        <v>61</v>
      </c>
      <c r="EG4467" s="15" t="n">
        <v>61</v>
      </c>
      <c r="FC4467" s="15" t="n">
        <v>61</v>
      </c>
      <c r="FY4467" s="15" t="n">
        <v>61</v>
      </c>
      <c r="GU4467" s="15" t="n">
        <v>61</v>
      </c>
    </row>
    <row r="4468">
      <c r="C4468" s="15" t="n">
        <v>62</v>
      </c>
      <c r="AA4468" s="15" t="n">
        <v>62</v>
      </c>
      <c r="AW4468" s="15" t="n">
        <v>62</v>
      </c>
      <c r="BS4468" s="15" t="n">
        <v>62</v>
      </c>
      <c r="CO4468" s="15" t="n">
        <v>62</v>
      </c>
      <c r="DK4468" s="15" t="n">
        <v>62</v>
      </c>
      <c r="EG4468" s="15" t="n">
        <v>62</v>
      </c>
      <c r="FC4468" s="15" t="n">
        <v>62</v>
      </c>
      <c r="FY4468" s="15" t="n">
        <v>62</v>
      </c>
      <c r="GU4468" s="15" t="n">
        <v>62</v>
      </c>
    </row>
    <row r="4469">
      <c r="C4469" s="15" t="n">
        <v>63</v>
      </c>
      <c r="AA4469" s="15" t="n">
        <v>63</v>
      </c>
      <c r="AW4469" s="15" t="n">
        <v>63</v>
      </c>
      <c r="BS4469" s="15" t="n">
        <v>63</v>
      </c>
      <c r="CO4469" s="15" t="n">
        <v>63</v>
      </c>
      <c r="DK4469" s="15" t="n">
        <v>63</v>
      </c>
      <c r="EG4469" s="15" t="n">
        <v>63</v>
      </c>
      <c r="FC4469" s="15" t="n">
        <v>63</v>
      </c>
      <c r="FY4469" s="15" t="n">
        <v>63</v>
      </c>
      <c r="GU4469" s="15" t="n">
        <v>63</v>
      </c>
    </row>
    <row r="4470">
      <c r="C4470" s="15" t="n">
        <v>64</v>
      </c>
      <c r="AA4470" s="15" t="n">
        <v>64</v>
      </c>
      <c r="AW4470" s="15" t="n">
        <v>64</v>
      </c>
      <c r="BS4470" s="15" t="n">
        <v>64</v>
      </c>
      <c r="CO4470" s="15" t="n">
        <v>64</v>
      </c>
      <c r="DK4470" s="15" t="n">
        <v>64</v>
      </c>
      <c r="EG4470" s="15" t="n">
        <v>64</v>
      </c>
      <c r="FC4470" s="15" t="n">
        <v>64</v>
      </c>
      <c r="FY4470" s="15" t="n">
        <v>64</v>
      </c>
      <c r="GU4470" s="15" t="n">
        <v>64</v>
      </c>
    </row>
    <row r="4471">
      <c r="C4471" s="15" t="n">
        <v>65</v>
      </c>
      <c r="AA4471" s="15" t="n">
        <v>65</v>
      </c>
      <c r="AW4471" s="15" t="n">
        <v>65</v>
      </c>
      <c r="BS4471" s="15" t="n">
        <v>65</v>
      </c>
      <c r="CO4471" s="15" t="n">
        <v>65</v>
      </c>
      <c r="DK4471" s="15" t="n">
        <v>65</v>
      </c>
      <c r="EG4471" s="15" t="n">
        <v>65</v>
      </c>
      <c r="FC4471" s="15" t="n">
        <v>65</v>
      </c>
      <c r="FY4471" s="15" t="n">
        <v>65</v>
      </c>
      <c r="GU4471" s="15" t="n">
        <v>65</v>
      </c>
    </row>
    <row r="4472">
      <c r="C4472" s="15" t="n">
        <v>66</v>
      </c>
      <c r="AA4472" s="15" t="n">
        <v>66</v>
      </c>
      <c r="AW4472" s="15" t="n">
        <v>66</v>
      </c>
      <c r="BS4472" s="15" t="n">
        <v>66</v>
      </c>
      <c r="CO4472" s="15" t="n">
        <v>66</v>
      </c>
      <c r="DK4472" s="15" t="n">
        <v>66</v>
      </c>
      <c r="EG4472" s="15" t="n">
        <v>66</v>
      </c>
      <c r="FC4472" s="15" t="n">
        <v>66</v>
      </c>
      <c r="FY4472" s="15" t="n">
        <v>66</v>
      </c>
      <c r="GU4472" s="15" t="n">
        <v>66</v>
      </c>
    </row>
    <row r="4473">
      <c r="C4473" s="15" t="n">
        <v>67</v>
      </c>
      <c r="AA4473" s="15" t="n">
        <v>67</v>
      </c>
      <c r="AW4473" s="15" t="n">
        <v>67</v>
      </c>
      <c r="BS4473" s="15" t="n">
        <v>67</v>
      </c>
      <c r="CO4473" s="15" t="n">
        <v>67</v>
      </c>
      <c r="DK4473" s="15" t="n">
        <v>67</v>
      </c>
      <c r="EG4473" s="15" t="n">
        <v>67</v>
      </c>
      <c r="FC4473" s="15" t="n">
        <v>67</v>
      </c>
      <c r="FY4473" s="15" t="n">
        <v>67</v>
      </c>
      <c r="GU4473" s="15" t="n">
        <v>67</v>
      </c>
    </row>
    <row r="4474">
      <c r="C4474" s="15" t="n">
        <v>68</v>
      </c>
      <c r="AA4474" s="15" t="n">
        <v>68</v>
      </c>
      <c r="AW4474" s="15" t="n">
        <v>68</v>
      </c>
      <c r="BS4474" s="15" t="n">
        <v>68</v>
      </c>
      <c r="CO4474" s="15" t="n">
        <v>68</v>
      </c>
      <c r="DK4474" s="15" t="n">
        <v>68</v>
      </c>
      <c r="EG4474" s="15" t="n">
        <v>68</v>
      </c>
      <c r="FC4474" s="15" t="n">
        <v>68</v>
      </c>
      <c r="FY4474" s="15" t="n">
        <v>68</v>
      </c>
      <c r="GU4474" s="15" t="n">
        <v>68</v>
      </c>
    </row>
    <row r="4475">
      <c r="C4475" s="15" t="n">
        <v>69</v>
      </c>
      <c r="AA4475" s="15" t="n">
        <v>69</v>
      </c>
      <c r="AW4475" s="15" t="n">
        <v>69</v>
      </c>
      <c r="BS4475" s="15" t="n">
        <v>69</v>
      </c>
      <c r="CO4475" s="15" t="n">
        <v>69</v>
      </c>
      <c r="DK4475" s="15" t="n">
        <v>69</v>
      </c>
      <c r="EG4475" s="15" t="n">
        <v>69</v>
      </c>
      <c r="FC4475" s="15" t="n">
        <v>69</v>
      </c>
      <c r="FY4475" s="15" t="n">
        <v>69</v>
      </c>
      <c r="GU4475" s="15" t="n">
        <v>69</v>
      </c>
    </row>
    <row r="4476">
      <c r="C4476" s="15" t="n">
        <v>70</v>
      </c>
      <c r="AA4476" s="15" t="n">
        <v>70</v>
      </c>
      <c r="AW4476" s="15" t="n">
        <v>70</v>
      </c>
      <c r="BS4476" s="15" t="n">
        <v>70</v>
      </c>
      <c r="CO4476" s="15" t="n">
        <v>70</v>
      </c>
      <c r="DK4476" s="15" t="n">
        <v>70</v>
      </c>
      <c r="EG4476" s="15" t="n">
        <v>70</v>
      </c>
      <c r="FC4476" s="15" t="n">
        <v>70</v>
      </c>
      <c r="FY4476" s="15" t="n">
        <v>70</v>
      </c>
      <c r="GU4476" s="15" t="n">
        <v>70</v>
      </c>
    </row>
    <row r="4477">
      <c r="C4477" s="15" t="n">
        <v>71</v>
      </c>
      <c r="AA4477" s="15" t="n">
        <v>71</v>
      </c>
      <c r="AW4477" s="15" t="n">
        <v>71</v>
      </c>
      <c r="BS4477" s="15" t="n">
        <v>71</v>
      </c>
      <c r="CO4477" s="15" t="n">
        <v>71</v>
      </c>
      <c r="DK4477" s="15" t="n">
        <v>71</v>
      </c>
      <c r="EG4477" s="15" t="n">
        <v>71</v>
      </c>
      <c r="FC4477" s="15" t="n">
        <v>71</v>
      </c>
      <c r="FY4477" s="15" t="n">
        <v>71</v>
      </c>
      <c r="GU4477" s="15" t="n">
        <v>71</v>
      </c>
    </row>
    <row r="4478">
      <c r="C4478" s="15" t="n">
        <v>72</v>
      </c>
      <c r="AA4478" s="15" t="n">
        <v>72</v>
      </c>
      <c r="AW4478" s="15" t="n">
        <v>72</v>
      </c>
      <c r="BS4478" s="15" t="n">
        <v>72</v>
      </c>
      <c r="CO4478" s="15" t="n">
        <v>72</v>
      </c>
      <c r="DK4478" s="15" t="n">
        <v>72</v>
      </c>
      <c r="EG4478" s="15" t="n">
        <v>72</v>
      </c>
      <c r="FC4478" s="15" t="n">
        <v>72</v>
      </c>
      <c r="FY4478" s="15" t="n">
        <v>72</v>
      </c>
      <c r="GU4478" s="15" t="n">
        <v>72</v>
      </c>
    </row>
    <row r="4479">
      <c r="C4479" s="15" t="n">
        <v>73</v>
      </c>
      <c r="AA4479" s="15" t="n">
        <v>73</v>
      </c>
      <c r="AW4479" s="15" t="n">
        <v>73</v>
      </c>
      <c r="BS4479" s="15" t="n">
        <v>73</v>
      </c>
      <c r="CO4479" s="15" t="n">
        <v>73</v>
      </c>
      <c r="DK4479" s="15" t="n">
        <v>73</v>
      </c>
      <c r="EG4479" s="15" t="n">
        <v>73</v>
      </c>
      <c r="FC4479" s="15" t="n">
        <v>73</v>
      </c>
      <c r="FY4479" s="15" t="n">
        <v>73</v>
      </c>
      <c r="GU4479" s="15" t="n">
        <v>73</v>
      </c>
    </row>
    <row r="4480">
      <c r="C4480" s="15" t="n">
        <v>74</v>
      </c>
      <c r="AA4480" s="15" t="n">
        <v>74</v>
      </c>
      <c r="AW4480" s="15" t="n">
        <v>74</v>
      </c>
      <c r="BS4480" s="15" t="n">
        <v>74</v>
      </c>
      <c r="CO4480" s="15" t="n">
        <v>74</v>
      </c>
      <c r="DK4480" s="15" t="n">
        <v>74</v>
      </c>
      <c r="EG4480" s="15" t="n">
        <v>74</v>
      </c>
      <c r="FC4480" s="15" t="n">
        <v>74</v>
      </c>
      <c r="FY4480" s="15" t="n">
        <v>74</v>
      </c>
      <c r="GU4480" s="15" t="n">
        <v>74</v>
      </c>
    </row>
    <row r="4481">
      <c r="C4481" s="15" t="n">
        <v>75</v>
      </c>
      <c r="AA4481" s="15" t="n">
        <v>75</v>
      </c>
      <c r="AW4481" s="15" t="n">
        <v>75</v>
      </c>
      <c r="BS4481" s="15" t="n">
        <v>75</v>
      </c>
      <c r="CO4481" s="15" t="n">
        <v>75</v>
      </c>
      <c r="DK4481" s="15" t="n">
        <v>75</v>
      </c>
      <c r="EG4481" s="15" t="n">
        <v>75</v>
      </c>
      <c r="FC4481" s="15" t="n">
        <v>75</v>
      </c>
      <c r="FY4481" s="15" t="n">
        <v>75</v>
      </c>
      <c r="GU4481" s="15" t="n">
        <v>75</v>
      </c>
    </row>
    <row r="4482">
      <c r="C4482" s="15" t="n">
        <v>76</v>
      </c>
      <c r="AA4482" s="15" t="n">
        <v>76</v>
      </c>
      <c r="AW4482" s="15" t="n">
        <v>76</v>
      </c>
      <c r="BS4482" s="15" t="n">
        <v>76</v>
      </c>
      <c r="CO4482" s="15" t="n">
        <v>76</v>
      </c>
      <c r="DK4482" s="15" t="n">
        <v>76</v>
      </c>
      <c r="EG4482" s="15" t="n">
        <v>76</v>
      </c>
      <c r="FC4482" s="15" t="n">
        <v>76</v>
      </c>
      <c r="FY4482" s="15" t="n">
        <v>76</v>
      </c>
      <c r="GU4482" s="15" t="n">
        <v>76</v>
      </c>
    </row>
    <row r="4483">
      <c r="C4483" s="15" t="n">
        <v>77</v>
      </c>
      <c r="AA4483" s="15" t="n">
        <v>77</v>
      </c>
      <c r="AW4483" s="15" t="n">
        <v>77</v>
      </c>
      <c r="BS4483" s="15" t="n">
        <v>77</v>
      </c>
      <c r="CO4483" s="15" t="n">
        <v>77</v>
      </c>
      <c r="DK4483" s="15" t="n">
        <v>77</v>
      </c>
      <c r="EG4483" s="15" t="n">
        <v>77</v>
      </c>
      <c r="FC4483" s="15" t="n">
        <v>77</v>
      </c>
      <c r="FY4483" s="15" t="n">
        <v>77</v>
      </c>
      <c r="GU4483" s="15" t="n">
        <v>77</v>
      </c>
    </row>
    <row r="4484">
      <c r="C4484" s="15" t="n">
        <v>78</v>
      </c>
      <c r="AA4484" s="15" t="n">
        <v>78</v>
      </c>
      <c r="AW4484" s="15" t="n">
        <v>78</v>
      </c>
      <c r="BS4484" s="15" t="n">
        <v>78</v>
      </c>
      <c r="CO4484" s="15" t="n">
        <v>78</v>
      </c>
      <c r="DK4484" s="15" t="n">
        <v>78</v>
      </c>
      <c r="EG4484" s="15" t="n">
        <v>78</v>
      </c>
      <c r="FC4484" s="15" t="n">
        <v>78</v>
      </c>
      <c r="FY4484" s="15" t="n">
        <v>78</v>
      </c>
      <c r="GU4484" s="15" t="n">
        <v>78</v>
      </c>
    </row>
    <row r="4485">
      <c r="C4485" s="15" t="n">
        <v>79</v>
      </c>
      <c r="AA4485" s="15" t="n">
        <v>79</v>
      </c>
      <c r="AW4485" s="15" t="n">
        <v>79</v>
      </c>
      <c r="BS4485" s="15" t="n">
        <v>79</v>
      </c>
      <c r="CO4485" s="15" t="n">
        <v>79</v>
      </c>
      <c r="DK4485" s="15" t="n">
        <v>79</v>
      </c>
      <c r="EG4485" s="15" t="n">
        <v>79</v>
      </c>
      <c r="FC4485" s="15" t="n">
        <v>79</v>
      </c>
      <c r="FY4485" s="15" t="n">
        <v>79</v>
      </c>
      <c r="GU4485" s="15" t="n">
        <v>79</v>
      </c>
    </row>
    <row r="4486">
      <c r="C4486" s="15" t="n">
        <v>80</v>
      </c>
      <c r="AA4486" s="15" t="n">
        <v>80</v>
      </c>
      <c r="AW4486" s="15" t="n">
        <v>80</v>
      </c>
      <c r="BS4486" s="15" t="n">
        <v>80</v>
      </c>
      <c r="CO4486" s="15" t="n">
        <v>80</v>
      </c>
      <c r="DK4486" s="15" t="n">
        <v>80</v>
      </c>
      <c r="EG4486" s="15" t="n">
        <v>80</v>
      </c>
      <c r="FC4486" s="15" t="n">
        <v>80</v>
      </c>
      <c r="FY4486" s="15" t="n">
        <v>80</v>
      </c>
      <c r="GU4486" s="15" t="n">
        <v>80</v>
      </c>
    </row>
    <row r="4487">
      <c r="C4487" s="15" t="n">
        <v>81</v>
      </c>
      <c r="AA4487" s="15" t="n">
        <v>81</v>
      </c>
      <c r="AW4487" s="15" t="n">
        <v>81</v>
      </c>
      <c r="BS4487" s="15" t="n">
        <v>81</v>
      </c>
      <c r="CO4487" s="15" t="n">
        <v>81</v>
      </c>
      <c r="DK4487" s="15" t="n">
        <v>81</v>
      </c>
      <c r="EG4487" s="15" t="n">
        <v>81</v>
      </c>
      <c r="FC4487" s="15" t="n">
        <v>81</v>
      </c>
      <c r="FY4487" s="15" t="n">
        <v>81</v>
      </c>
      <c r="GU4487" s="15" t="n">
        <v>81</v>
      </c>
    </row>
    <row r="4488">
      <c r="C4488" s="15" t="n">
        <v>82</v>
      </c>
      <c r="AA4488" s="15" t="n">
        <v>82</v>
      </c>
      <c r="AW4488" s="15" t="n">
        <v>82</v>
      </c>
      <c r="BS4488" s="15" t="n">
        <v>82</v>
      </c>
      <c r="CO4488" s="15" t="n">
        <v>82</v>
      </c>
      <c r="DK4488" s="15" t="n">
        <v>82</v>
      </c>
      <c r="EG4488" s="15" t="n">
        <v>82</v>
      </c>
      <c r="FC4488" s="15" t="n">
        <v>82</v>
      </c>
      <c r="FY4488" s="15" t="n">
        <v>82</v>
      </c>
      <c r="GU4488" s="15" t="n">
        <v>82</v>
      </c>
    </row>
    <row r="4489">
      <c r="C4489" s="15" t="n">
        <v>83</v>
      </c>
      <c r="AA4489" s="15" t="n">
        <v>83</v>
      </c>
      <c r="AW4489" s="15" t="n">
        <v>83</v>
      </c>
      <c r="BS4489" s="15" t="n">
        <v>83</v>
      </c>
      <c r="CO4489" s="15" t="n">
        <v>83</v>
      </c>
      <c r="DK4489" s="15" t="n">
        <v>83</v>
      </c>
      <c r="EG4489" s="15" t="n">
        <v>83</v>
      </c>
      <c r="FC4489" s="15" t="n">
        <v>83</v>
      </c>
      <c r="FY4489" s="15" t="n">
        <v>83</v>
      </c>
      <c r="GU4489" s="15" t="n">
        <v>83</v>
      </c>
    </row>
    <row r="4490">
      <c r="C4490" s="15" t="n">
        <v>84</v>
      </c>
      <c r="AA4490" s="15" t="n">
        <v>84</v>
      </c>
      <c r="AW4490" s="15" t="n">
        <v>84</v>
      </c>
      <c r="BS4490" s="15" t="n">
        <v>84</v>
      </c>
      <c r="CO4490" s="15" t="n">
        <v>84</v>
      </c>
      <c r="DK4490" s="15" t="n">
        <v>84</v>
      </c>
      <c r="EG4490" s="15" t="n">
        <v>84</v>
      </c>
      <c r="FC4490" s="15" t="n">
        <v>84</v>
      </c>
      <c r="FY4490" s="15" t="n">
        <v>84</v>
      </c>
      <c r="GU4490" s="15" t="n">
        <v>84</v>
      </c>
    </row>
    <row r="4491">
      <c r="C4491" s="15" t="n">
        <v>85</v>
      </c>
      <c r="AA4491" s="15" t="n">
        <v>85</v>
      </c>
      <c r="AW4491" s="15" t="n">
        <v>85</v>
      </c>
      <c r="BS4491" s="15" t="n">
        <v>85</v>
      </c>
      <c r="CO4491" s="15" t="n">
        <v>85</v>
      </c>
      <c r="DK4491" s="15" t="n">
        <v>85</v>
      </c>
      <c r="EG4491" s="15" t="n">
        <v>85</v>
      </c>
      <c r="FC4491" s="15" t="n">
        <v>85</v>
      </c>
      <c r="FY4491" s="15" t="n">
        <v>85</v>
      </c>
      <c r="GU4491" s="15" t="n">
        <v>85</v>
      </c>
    </row>
    <row r="4492">
      <c r="C4492" s="15" t="n">
        <v>86</v>
      </c>
      <c r="AA4492" s="15" t="n">
        <v>86</v>
      </c>
      <c r="AW4492" s="15" t="n">
        <v>86</v>
      </c>
      <c r="BS4492" s="15" t="n">
        <v>86</v>
      </c>
      <c r="CO4492" s="15" t="n">
        <v>86</v>
      </c>
      <c r="DK4492" s="15" t="n">
        <v>86</v>
      </c>
      <c r="EG4492" s="15" t="n">
        <v>86</v>
      </c>
      <c r="FC4492" s="15" t="n">
        <v>86</v>
      </c>
      <c r="FY4492" s="15" t="n">
        <v>86</v>
      </c>
      <c r="GU4492" s="15" t="n">
        <v>86</v>
      </c>
    </row>
    <row r="4493">
      <c r="C4493" s="15" t="n">
        <v>87</v>
      </c>
      <c r="AA4493" s="15" t="n">
        <v>87</v>
      </c>
      <c r="AW4493" s="15" t="n">
        <v>87</v>
      </c>
      <c r="BS4493" s="15" t="n">
        <v>87</v>
      </c>
      <c r="CO4493" s="15" t="n">
        <v>87</v>
      </c>
      <c r="DK4493" s="15" t="n">
        <v>87</v>
      </c>
      <c r="EG4493" s="15" t="n">
        <v>87</v>
      </c>
      <c r="FC4493" s="15" t="n">
        <v>87</v>
      </c>
      <c r="FY4493" s="15" t="n">
        <v>87</v>
      </c>
      <c r="GU4493" s="15" t="n">
        <v>87</v>
      </c>
    </row>
    <row r="4494">
      <c r="C4494" s="15" t="n">
        <v>88</v>
      </c>
      <c r="AA4494" s="15" t="n">
        <v>88</v>
      </c>
      <c r="AW4494" s="15" t="n">
        <v>88</v>
      </c>
      <c r="BS4494" s="15" t="n">
        <v>88</v>
      </c>
      <c r="CO4494" s="15" t="n">
        <v>88</v>
      </c>
      <c r="DK4494" s="15" t="n">
        <v>88</v>
      </c>
      <c r="EG4494" s="15" t="n">
        <v>88</v>
      </c>
      <c r="FC4494" s="15" t="n">
        <v>88</v>
      </c>
      <c r="FY4494" s="15" t="n">
        <v>88</v>
      </c>
      <c r="GU4494" s="15" t="n">
        <v>88</v>
      </c>
    </row>
    <row r="4495">
      <c r="C4495" s="15" t="n">
        <v>89</v>
      </c>
      <c r="AA4495" s="15" t="n">
        <v>89</v>
      </c>
      <c r="AW4495" s="15" t="n">
        <v>89</v>
      </c>
      <c r="BS4495" s="15" t="n">
        <v>89</v>
      </c>
      <c r="CO4495" s="15" t="n">
        <v>89</v>
      </c>
      <c r="DK4495" s="15" t="n">
        <v>89</v>
      </c>
      <c r="EG4495" s="15" t="n">
        <v>89</v>
      </c>
      <c r="FC4495" s="15" t="n">
        <v>89</v>
      </c>
      <c r="FY4495" s="15" t="n">
        <v>89</v>
      </c>
      <c r="GU4495" s="15" t="n">
        <v>89</v>
      </c>
    </row>
    <row r="4496">
      <c r="C4496" s="15" t="n">
        <v>90</v>
      </c>
      <c r="AA4496" s="15" t="n">
        <v>90</v>
      </c>
      <c r="AW4496" s="15" t="n">
        <v>90</v>
      </c>
      <c r="BS4496" s="15" t="n">
        <v>90</v>
      </c>
      <c r="CO4496" s="15" t="n">
        <v>90</v>
      </c>
      <c r="DK4496" s="15" t="n">
        <v>90</v>
      </c>
      <c r="EG4496" s="15" t="n">
        <v>90</v>
      </c>
      <c r="FC4496" s="15" t="n">
        <v>90</v>
      </c>
      <c r="FY4496" s="15" t="n">
        <v>90</v>
      </c>
      <c r="GU4496" s="15" t="n">
        <v>90</v>
      </c>
    </row>
    <row r="4497">
      <c r="C4497" s="15" t="n">
        <v>91</v>
      </c>
      <c r="AA4497" s="15" t="n">
        <v>91</v>
      </c>
      <c r="AW4497" s="15" t="n">
        <v>91</v>
      </c>
      <c r="BS4497" s="15" t="n">
        <v>91</v>
      </c>
      <c r="CO4497" s="15" t="n">
        <v>91</v>
      </c>
      <c r="DK4497" s="15" t="n">
        <v>91</v>
      </c>
      <c r="EG4497" s="15" t="n">
        <v>91</v>
      </c>
      <c r="FC4497" s="15" t="n">
        <v>91</v>
      </c>
      <c r="FY4497" s="15" t="n">
        <v>91</v>
      </c>
      <c r="GU4497" s="15" t="n">
        <v>91</v>
      </c>
    </row>
    <row r="4498">
      <c r="C4498" s="15" t="n">
        <v>92</v>
      </c>
      <c r="AA4498" s="15" t="n">
        <v>92</v>
      </c>
      <c r="AW4498" s="15" t="n">
        <v>92</v>
      </c>
      <c r="BS4498" s="15" t="n">
        <v>92</v>
      </c>
      <c r="CO4498" s="15" t="n">
        <v>92</v>
      </c>
      <c r="DK4498" s="15" t="n">
        <v>92</v>
      </c>
      <c r="EG4498" s="15" t="n">
        <v>92</v>
      </c>
      <c r="FC4498" s="15" t="n">
        <v>92</v>
      </c>
      <c r="FY4498" s="15" t="n">
        <v>92</v>
      </c>
      <c r="GU4498" s="15" t="n">
        <v>92</v>
      </c>
    </row>
    <row r="4499">
      <c r="C4499" s="15" t="n">
        <v>93</v>
      </c>
      <c r="AA4499" s="15" t="n">
        <v>93</v>
      </c>
      <c r="AW4499" s="15" t="n">
        <v>93</v>
      </c>
      <c r="BS4499" s="15" t="n">
        <v>93</v>
      </c>
      <c r="CO4499" s="15" t="n">
        <v>93</v>
      </c>
      <c r="DK4499" s="15" t="n">
        <v>93</v>
      </c>
      <c r="EG4499" s="15" t="n">
        <v>93</v>
      </c>
      <c r="FC4499" s="15" t="n">
        <v>93</v>
      </c>
      <c r="FY4499" s="15" t="n">
        <v>93</v>
      </c>
      <c r="GU4499" s="15" t="n">
        <v>93</v>
      </c>
    </row>
    <row r="4500">
      <c r="C4500" s="15" t="n">
        <v>94</v>
      </c>
      <c r="AA4500" s="15" t="n">
        <v>94</v>
      </c>
      <c r="AW4500" s="15" t="n">
        <v>94</v>
      </c>
      <c r="BS4500" s="15" t="n">
        <v>94</v>
      </c>
      <c r="CO4500" s="15" t="n">
        <v>94</v>
      </c>
      <c r="DK4500" s="15" t="n">
        <v>94</v>
      </c>
      <c r="EG4500" s="15" t="n">
        <v>94</v>
      </c>
      <c r="FC4500" s="15" t="n">
        <v>94</v>
      </c>
      <c r="FY4500" s="15" t="n">
        <v>94</v>
      </c>
      <c r="GU4500" s="15" t="n">
        <v>94</v>
      </c>
    </row>
    <row r="4501">
      <c r="C4501" s="15" t="n">
        <v>95</v>
      </c>
      <c r="AA4501" s="15" t="n">
        <v>95</v>
      </c>
      <c r="AW4501" s="15" t="n">
        <v>95</v>
      </c>
      <c r="BS4501" s="15" t="n">
        <v>95</v>
      </c>
      <c r="CO4501" s="15" t="n">
        <v>95</v>
      </c>
      <c r="DK4501" s="15" t="n">
        <v>95</v>
      </c>
      <c r="EG4501" s="15" t="n">
        <v>95</v>
      </c>
      <c r="FC4501" s="15" t="n">
        <v>95</v>
      </c>
      <c r="FY4501" s="15" t="n">
        <v>95</v>
      </c>
      <c r="GU4501" s="15" t="n">
        <v>95</v>
      </c>
    </row>
    <row r="4502">
      <c r="C4502" s="15" t="n">
        <v>96</v>
      </c>
      <c r="AA4502" s="15" t="n">
        <v>96</v>
      </c>
      <c r="AW4502" s="15" t="n">
        <v>96</v>
      </c>
      <c r="BS4502" s="15" t="n">
        <v>96</v>
      </c>
      <c r="CO4502" s="15" t="n">
        <v>96</v>
      </c>
      <c r="DK4502" s="15" t="n">
        <v>96</v>
      </c>
      <c r="EG4502" s="15" t="n">
        <v>96</v>
      </c>
      <c r="FC4502" s="15" t="n">
        <v>96</v>
      </c>
      <c r="FY4502" s="15" t="n">
        <v>96</v>
      </c>
      <c r="GU4502" s="15" t="n">
        <v>96</v>
      </c>
    </row>
    <row r="4503">
      <c r="C4503" s="15" t="n">
        <v>97</v>
      </c>
      <c r="AA4503" s="15" t="n">
        <v>97</v>
      </c>
      <c r="AW4503" s="15" t="n">
        <v>97</v>
      </c>
      <c r="BS4503" s="15" t="n">
        <v>97</v>
      </c>
      <c r="CO4503" s="15" t="n">
        <v>97</v>
      </c>
      <c r="DK4503" s="15" t="n">
        <v>97</v>
      </c>
      <c r="EG4503" s="15" t="n">
        <v>97</v>
      </c>
      <c r="FC4503" s="15" t="n">
        <v>97</v>
      </c>
      <c r="FY4503" s="15" t="n">
        <v>97</v>
      </c>
      <c r="GU4503" s="15" t="n">
        <v>97</v>
      </c>
    </row>
    <row r="4504">
      <c r="C4504" s="15" t="n">
        <v>98</v>
      </c>
      <c r="AA4504" s="15" t="n">
        <v>98</v>
      </c>
      <c r="AW4504" s="15" t="n">
        <v>98</v>
      </c>
      <c r="BS4504" s="15" t="n">
        <v>98</v>
      </c>
      <c r="CO4504" s="15" t="n">
        <v>98</v>
      </c>
      <c r="DK4504" s="15" t="n">
        <v>98</v>
      </c>
      <c r="EG4504" s="15" t="n">
        <v>98</v>
      </c>
      <c r="FC4504" s="15" t="n">
        <v>98</v>
      </c>
      <c r="FY4504" s="15" t="n">
        <v>98</v>
      </c>
      <c r="GU4504" s="15" t="n">
        <v>98</v>
      </c>
    </row>
    <row r="4505">
      <c r="C4505" s="15" t="n">
        <v>99</v>
      </c>
      <c r="AA4505" s="15" t="n">
        <v>99</v>
      </c>
      <c r="AW4505" s="15" t="n">
        <v>99</v>
      </c>
      <c r="BS4505" s="15" t="n">
        <v>99</v>
      </c>
      <c r="CO4505" s="15" t="n">
        <v>99</v>
      </c>
      <c r="DK4505" s="15" t="n">
        <v>99</v>
      </c>
      <c r="EG4505" s="15" t="n">
        <v>99</v>
      </c>
      <c r="FC4505" s="15" t="n">
        <v>99</v>
      </c>
      <c r="FY4505" s="15" t="n">
        <v>99</v>
      </c>
      <c r="GU4505" s="15" t="n">
        <v>99</v>
      </c>
    </row>
    <row r="4506">
      <c r="C4506" s="15" t="n">
        <v>100</v>
      </c>
      <c r="AA4506" s="15" t="n">
        <v>100</v>
      </c>
      <c r="AW4506" s="15" t="n">
        <v>100</v>
      </c>
      <c r="BS4506" s="15" t="n">
        <v>100</v>
      </c>
      <c r="CO4506" s="15" t="n">
        <v>100</v>
      </c>
      <c r="DK4506" s="15" t="n">
        <v>100</v>
      </c>
      <c r="EG4506" s="15" t="n">
        <v>100</v>
      </c>
      <c r="FC4506" s="15" t="n">
        <v>100</v>
      </c>
      <c r="FY4506" s="15" t="n">
        <v>100</v>
      </c>
      <c r="GU4506" s="15" t="n">
        <v>100</v>
      </c>
    </row>
    <row r="4507">
      <c r="C4507" s="15" t="n">
        <v>101</v>
      </c>
      <c r="AA4507" s="15" t="n">
        <v>101</v>
      </c>
      <c r="AW4507" s="15" t="n">
        <v>101</v>
      </c>
      <c r="BS4507" s="15" t="n">
        <v>101</v>
      </c>
      <c r="CO4507" s="15" t="n">
        <v>101</v>
      </c>
      <c r="DK4507" s="15" t="n">
        <v>101</v>
      </c>
      <c r="EG4507" s="15" t="n">
        <v>101</v>
      </c>
      <c r="FC4507" s="15" t="n">
        <v>101</v>
      </c>
      <c r="FY4507" s="15" t="n">
        <v>101</v>
      </c>
      <c r="GU4507" s="15" t="n">
        <v>101</v>
      </c>
    </row>
    <row r="4508">
      <c r="C4508" s="15" t="n">
        <v>102</v>
      </c>
      <c r="AA4508" s="15" t="n">
        <v>102</v>
      </c>
      <c r="AW4508" s="15" t="n">
        <v>102</v>
      </c>
      <c r="BS4508" s="15" t="n">
        <v>102</v>
      </c>
      <c r="CO4508" s="15" t="n">
        <v>102</v>
      </c>
      <c r="DK4508" s="15" t="n">
        <v>102</v>
      </c>
      <c r="EG4508" s="15" t="n">
        <v>102</v>
      </c>
      <c r="FC4508" s="15" t="n">
        <v>102</v>
      </c>
      <c r="FY4508" s="15" t="n">
        <v>102</v>
      </c>
      <c r="GU4508" s="15" t="n">
        <v>102</v>
      </c>
    </row>
    <row r="4509">
      <c r="C4509" s="15" t="n">
        <v>103</v>
      </c>
      <c r="AA4509" s="15" t="n">
        <v>103</v>
      </c>
      <c r="AW4509" s="15" t="n">
        <v>103</v>
      </c>
      <c r="BS4509" s="15" t="n">
        <v>103</v>
      </c>
      <c r="CO4509" s="15" t="n">
        <v>103</v>
      </c>
      <c r="DK4509" s="15" t="n">
        <v>103</v>
      </c>
      <c r="EG4509" s="15" t="n">
        <v>103</v>
      </c>
      <c r="FC4509" s="15" t="n">
        <v>103</v>
      </c>
      <c r="FY4509" s="15" t="n">
        <v>103</v>
      </c>
      <c r="GU4509" s="15" t="n">
        <v>103</v>
      </c>
    </row>
    <row r="4510">
      <c r="C4510" s="15" t="n">
        <v>104</v>
      </c>
      <c r="AA4510" s="15" t="n">
        <v>104</v>
      </c>
      <c r="AW4510" s="15" t="n">
        <v>104</v>
      </c>
      <c r="BS4510" s="15" t="n">
        <v>104</v>
      </c>
      <c r="CO4510" s="15" t="n">
        <v>104</v>
      </c>
      <c r="DK4510" s="15" t="n">
        <v>104</v>
      </c>
      <c r="EG4510" s="15" t="n">
        <v>104</v>
      </c>
      <c r="FC4510" s="15" t="n">
        <v>104</v>
      </c>
      <c r="FY4510" s="15" t="n">
        <v>104</v>
      </c>
      <c r="GU4510" s="15" t="n">
        <v>104</v>
      </c>
    </row>
    <row r="4511">
      <c r="C4511" s="15" t="n">
        <v>105</v>
      </c>
      <c r="AA4511" s="15" t="n">
        <v>105</v>
      </c>
      <c r="AW4511" s="15" t="n">
        <v>105</v>
      </c>
      <c r="BS4511" s="15" t="n">
        <v>105</v>
      </c>
      <c r="CO4511" s="15" t="n">
        <v>105</v>
      </c>
      <c r="DK4511" s="15" t="n">
        <v>105</v>
      </c>
      <c r="EG4511" s="15" t="n">
        <v>105</v>
      </c>
      <c r="FC4511" s="15" t="n">
        <v>105</v>
      </c>
      <c r="FY4511" s="15" t="n">
        <v>105</v>
      </c>
      <c r="GU4511" s="15" t="n">
        <v>105</v>
      </c>
    </row>
    <row r="4512">
      <c r="C4512" s="15" t="n">
        <v>106</v>
      </c>
      <c r="AA4512" s="15" t="n">
        <v>106</v>
      </c>
      <c r="AW4512" s="15" t="n">
        <v>106</v>
      </c>
      <c r="BS4512" s="15" t="n">
        <v>106</v>
      </c>
      <c r="CO4512" s="15" t="n">
        <v>106</v>
      </c>
      <c r="DK4512" s="15" t="n">
        <v>106</v>
      </c>
      <c r="EG4512" s="15" t="n">
        <v>106</v>
      </c>
      <c r="FC4512" s="15" t="n">
        <v>106</v>
      </c>
      <c r="FY4512" s="15" t="n">
        <v>106</v>
      </c>
      <c r="GU4512" s="15" t="n">
        <v>106</v>
      </c>
    </row>
    <row r="4513">
      <c r="C4513" s="15" t="n">
        <v>107</v>
      </c>
      <c r="AA4513" s="15" t="n">
        <v>107</v>
      </c>
      <c r="AW4513" s="15" t="n">
        <v>107</v>
      </c>
      <c r="BS4513" s="15" t="n">
        <v>107</v>
      </c>
      <c r="CO4513" s="15" t="n">
        <v>107</v>
      </c>
      <c r="DK4513" s="15" t="n">
        <v>107</v>
      </c>
      <c r="EG4513" s="15" t="n">
        <v>107</v>
      </c>
      <c r="FC4513" s="15" t="n">
        <v>107</v>
      </c>
      <c r="FY4513" s="15" t="n">
        <v>107</v>
      </c>
      <c r="GU4513" s="15" t="n">
        <v>107</v>
      </c>
    </row>
    <row r="4514">
      <c r="C4514" s="15" t="n">
        <v>108</v>
      </c>
      <c r="AA4514" s="15" t="n">
        <v>108</v>
      </c>
      <c r="AW4514" s="15" t="n">
        <v>108</v>
      </c>
      <c r="BS4514" s="15" t="n">
        <v>108</v>
      </c>
      <c r="CO4514" s="15" t="n">
        <v>108</v>
      </c>
      <c r="DK4514" s="15" t="n">
        <v>108</v>
      </c>
      <c r="EG4514" s="15" t="n">
        <v>108</v>
      </c>
      <c r="FC4514" s="15" t="n">
        <v>108</v>
      </c>
      <c r="FY4514" s="15" t="n">
        <v>108</v>
      </c>
      <c r="GU4514" s="15" t="n">
        <v>108</v>
      </c>
    </row>
    <row r="4515">
      <c r="C4515" s="15" t="n">
        <v>109</v>
      </c>
      <c r="AA4515" s="15" t="n">
        <v>109</v>
      </c>
      <c r="AW4515" s="15" t="n">
        <v>109</v>
      </c>
      <c r="BS4515" s="15" t="n">
        <v>109</v>
      </c>
      <c r="CO4515" s="15" t="n">
        <v>109</v>
      </c>
      <c r="DK4515" s="15" t="n">
        <v>109</v>
      </c>
      <c r="EG4515" s="15" t="n">
        <v>109</v>
      </c>
      <c r="FC4515" s="15" t="n">
        <v>109</v>
      </c>
      <c r="FY4515" s="15" t="n">
        <v>109</v>
      </c>
      <c r="GU4515" s="15" t="n">
        <v>109</v>
      </c>
    </row>
    <row r="4516">
      <c r="C4516" s="15" t="n">
        <v>110</v>
      </c>
      <c r="AA4516" s="15" t="n">
        <v>110</v>
      </c>
      <c r="AW4516" s="15" t="n">
        <v>110</v>
      </c>
      <c r="BS4516" s="15" t="n">
        <v>110</v>
      </c>
      <c r="CO4516" s="15" t="n">
        <v>110</v>
      </c>
      <c r="DK4516" s="15" t="n">
        <v>110</v>
      </c>
      <c r="EG4516" s="15" t="n">
        <v>110</v>
      </c>
      <c r="FC4516" s="15" t="n">
        <v>110</v>
      </c>
      <c r="FY4516" s="15" t="n">
        <v>110</v>
      </c>
      <c r="GU4516" s="15" t="n">
        <v>110</v>
      </c>
    </row>
    <row r="4517">
      <c r="C4517" s="15" t="n">
        <v>111</v>
      </c>
      <c r="AA4517" s="15" t="n">
        <v>111</v>
      </c>
      <c r="AW4517" s="15" t="n">
        <v>111</v>
      </c>
      <c r="BS4517" s="15" t="n">
        <v>111</v>
      </c>
      <c r="CO4517" s="15" t="n">
        <v>111</v>
      </c>
      <c r="DK4517" s="15" t="n">
        <v>111</v>
      </c>
      <c r="EG4517" s="15" t="n">
        <v>111</v>
      </c>
      <c r="FC4517" s="15" t="n">
        <v>111</v>
      </c>
      <c r="FY4517" s="15" t="n">
        <v>111</v>
      </c>
      <c r="GU4517" s="15" t="n">
        <v>111</v>
      </c>
    </row>
    <row r="4518">
      <c r="C4518" s="15" t="n">
        <v>112</v>
      </c>
      <c r="AA4518" s="15" t="n">
        <v>112</v>
      </c>
      <c r="AW4518" s="15" t="n">
        <v>112</v>
      </c>
      <c r="BS4518" s="15" t="n">
        <v>112</v>
      </c>
      <c r="CO4518" s="15" t="n">
        <v>112</v>
      </c>
      <c r="DK4518" s="15" t="n">
        <v>112</v>
      </c>
      <c r="EG4518" s="15" t="n">
        <v>112</v>
      </c>
      <c r="FC4518" s="15" t="n">
        <v>112</v>
      </c>
      <c r="FY4518" s="15" t="n">
        <v>112</v>
      </c>
      <c r="GU4518" s="15" t="n">
        <v>112</v>
      </c>
    </row>
    <row r="4519">
      <c r="C4519" s="15" t="n">
        <v>113</v>
      </c>
      <c r="AA4519" s="15" t="n">
        <v>113</v>
      </c>
      <c r="AW4519" s="15" t="n">
        <v>113</v>
      </c>
      <c r="BS4519" s="15" t="n">
        <v>113</v>
      </c>
      <c r="CO4519" s="15" t="n">
        <v>113</v>
      </c>
      <c r="DK4519" s="15" t="n">
        <v>113</v>
      </c>
      <c r="EG4519" s="15" t="n">
        <v>113</v>
      </c>
      <c r="FC4519" s="15" t="n">
        <v>113</v>
      </c>
      <c r="FY4519" s="15" t="n">
        <v>113</v>
      </c>
      <c r="GU4519" s="15" t="n">
        <v>113</v>
      </c>
    </row>
    <row r="4520">
      <c r="C4520" s="15" t="n">
        <v>114</v>
      </c>
      <c r="AA4520" s="15" t="n">
        <v>114</v>
      </c>
      <c r="AW4520" s="15" t="n">
        <v>114</v>
      </c>
      <c r="BS4520" s="15" t="n">
        <v>114</v>
      </c>
      <c r="CO4520" s="15" t="n">
        <v>114</v>
      </c>
      <c r="DK4520" s="15" t="n">
        <v>114</v>
      </c>
      <c r="EG4520" s="15" t="n">
        <v>114</v>
      </c>
      <c r="FC4520" s="15" t="n">
        <v>114</v>
      </c>
      <c r="FY4520" s="15" t="n">
        <v>114</v>
      </c>
      <c r="GU4520" s="15" t="n">
        <v>114</v>
      </c>
    </row>
    <row r="4521">
      <c r="C4521" s="15" t="n">
        <v>115</v>
      </c>
      <c r="AA4521" s="15" t="n">
        <v>115</v>
      </c>
      <c r="AW4521" s="15" t="n">
        <v>115</v>
      </c>
      <c r="BS4521" s="15" t="n">
        <v>115</v>
      </c>
      <c r="CO4521" s="15" t="n">
        <v>115</v>
      </c>
      <c r="DK4521" s="15" t="n">
        <v>115</v>
      </c>
      <c r="EG4521" s="15" t="n">
        <v>115</v>
      </c>
      <c r="FC4521" s="15" t="n">
        <v>115</v>
      </c>
      <c r="FY4521" s="15" t="n">
        <v>115</v>
      </c>
      <c r="GU4521" s="15" t="n">
        <v>115</v>
      </c>
    </row>
    <row r="4522">
      <c r="C4522" s="15" t="n">
        <v>116</v>
      </c>
      <c r="AA4522" s="15" t="n">
        <v>116</v>
      </c>
      <c r="AW4522" s="15" t="n">
        <v>116</v>
      </c>
      <c r="BS4522" s="15" t="n">
        <v>116</v>
      </c>
      <c r="CO4522" s="15" t="n">
        <v>116</v>
      </c>
      <c r="DK4522" s="15" t="n">
        <v>116</v>
      </c>
      <c r="EG4522" s="15" t="n">
        <v>116</v>
      </c>
      <c r="FC4522" s="15" t="n">
        <v>116</v>
      </c>
      <c r="FY4522" s="15" t="n">
        <v>116</v>
      </c>
      <c r="GU4522" s="15" t="n">
        <v>116</v>
      </c>
    </row>
    <row r="4523">
      <c r="C4523" s="15" t="n">
        <v>117</v>
      </c>
      <c r="AA4523" s="15" t="n">
        <v>117</v>
      </c>
      <c r="AW4523" s="15" t="n">
        <v>117</v>
      </c>
      <c r="BS4523" s="15" t="n">
        <v>117</v>
      </c>
      <c r="CO4523" s="15" t="n">
        <v>117</v>
      </c>
      <c r="DK4523" s="15" t="n">
        <v>117</v>
      </c>
      <c r="EG4523" s="15" t="n">
        <v>117</v>
      </c>
      <c r="FC4523" s="15" t="n">
        <v>117</v>
      </c>
      <c r="FY4523" s="15" t="n">
        <v>117</v>
      </c>
      <c r="GU4523" s="15" t="n">
        <v>117</v>
      </c>
    </row>
    <row r="4524">
      <c r="C4524" s="15" t="n">
        <v>118</v>
      </c>
      <c r="AA4524" s="15" t="n">
        <v>118</v>
      </c>
      <c r="AW4524" s="15" t="n">
        <v>118</v>
      </c>
      <c r="BS4524" s="15" t="n">
        <v>118</v>
      </c>
      <c r="CO4524" s="15" t="n">
        <v>118</v>
      </c>
      <c r="DK4524" s="15" t="n">
        <v>118</v>
      </c>
      <c r="EG4524" s="15" t="n">
        <v>118</v>
      </c>
      <c r="FC4524" s="15" t="n">
        <v>118</v>
      </c>
      <c r="FY4524" s="15" t="n">
        <v>118</v>
      </c>
      <c r="GU4524" s="15" t="n">
        <v>118</v>
      </c>
    </row>
    <row r="4525">
      <c r="C4525" s="15" t="n">
        <v>119</v>
      </c>
      <c r="AA4525" s="15" t="n">
        <v>119</v>
      </c>
      <c r="AW4525" s="15" t="n">
        <v>119</v>
      </c>
      <c r="BS4525" s="15" t="n">
        <v>119</v>
      </c>
      <c r="CO4525" s="15" t="n">
        <v>119</v>
      </c>
      <c r="DK4525" s="15" t="n">
        <v>119</v>
      </c>
      <c r="EG4525" s="15" t="n">
        <v>119</v>
      </c>
      <c r="FC4525" s="15" t="n">
        <v>119</v>
      </c>
      <c r="FY4525" s="15" t="n">
        <v>119</v>
      </c>
      <c r="GU4525" s="15" t="n">
        <v>119</v>
      </c>
    </row>
    <row r="4526">
      <c r="C4526" s="15" t="n">
        <v>120</v>
      </c>
      <c r="AA4526" s="15" t="n">
        <v>120</v>
      </c>
      <c r="AW4526" s="15" t="n">
        <v>120</v>
      </c>
      <c r="BS4526" s="15" t="n">
        <v>120</v>
      </c>
      <c r="CO4526" s="15" t="n">
        <v>120</v>
      </c>
      <c r="DK4526" s="15" t="n">
        <v>120</v>
      </c>
      <c r="EG4526" s="15" t="n">
        <v>120</v>
      </c>
      <c r="FC4526" s="15" t="n">
        <v>120</v>
      </c>
      <c r="FY4526" s="15" t="n">
        <v>120</v>
      </c>
      <c r="GU4526" s="15" t="n">
        <v>120</v>
      </c>
    </row>
    <row r="4527">
      <c r="C4527" s="15" t="n">
        <v>121</v>
      </c>
      <c r="AA4527" s="15" t="n">
        <v>121</v>
      </c>
      <c r="AW4527" s="15" t="n">
        <v>121</v>
      </c>
      <c r="BS4527" s="15" t="n">
        <v>121</v>
      </c>
      <c r="CO4527" s="15" t="n">
        <v>121</v>
      </c>
      <c r="DK4527" s="15" t="n">
        <v>121</v>
      </c>
      <c r="EG4527" s="15" t="n">
        <v>121</v>
      </c>
      <c r="FC4527" s="15" t="n">
        <v>121</v>
      </c>
      <c r="FY4527" s="15" t="n">
        <v>121</v>
      </c>
      <c r="GU4527" s="15" t="n">
        <v>121</v>
      </c>
    </row>
    <row r="4528">
      <c r="C4528" s="15" t="n">
        <v>122</v>
      </c>
      <c r="AA4528" s="15" t="n">
        <v>122</v>
      </c>
      <c r="AW4528" s="15" t="n">
        <v>122</v>
      </c>
      <c r="BS4528" s="15" t="n">
        <v>122</v>
      </c>
      <c r="CO4528" s="15" t="n">
        <v>122</v>
      </c>
      <c r="DK4528" s="15" t="n">
        <v>122</v>
      </c>
      <c r="EG4528" s="15" t="n">
        <v>122</v>
      </c>
      <c r="FC4528" s="15" t="n">
        <v>122</v>
      </c>
      <c r="FY4528" s="15" t="n">
        <v>122</v>
      </c>
      <c r="GU4528" s="15" t="n">
        <v>122</v>
      </c>
    </row>
    <row r="4529">
      <c r="C4529" s="15" t="n">
        <v>123</v>
      </c>
      <c r="AA4529" s="15" t="n">
        <v>123</v>
      </c>
      <c r="AW4529" s="15" t="n">
        <v>123</v>
      </c>
      <c r="BS4529" s="15" t="n">
        <v>123</v>
      </c>
      <c r="CO4529" s="15" t="n">
        <v>123</v>
      </c>
      <c r="DK4529" s="15" t="n">
        <v>123</v>
      </c>
      <c r="EG4529" s="15" t="n">
        <v>123</v>
      </c>
      <c r="FC4529" s="15" t="n">
        <v>123</v>
      </c>
      <c r="FY4529" s="15" t="n">
        <v>123</v>
      </c>
      <c r="GU4529" s="15" t="n">
        <v>123</v>
      </c>
    </row>
    <row r="4530">
      <c r="C4530" s="15" t="n">
        <v>124</v>
      </c>
      <c r="AA4530" s="15" t="n">
        <v>124</v>
      </c>
      <c r="AW4530" s="15" t="n">
        <v>124</v>
      </c>
      <c r="BS4530" s="15" t="n">
        <v>124</v>
      </c>
      <c r="CO4530" s="15" t="n">
        <v>124</v>
      </c>
      <c r="DK4530" s="15" t="n">
        <v>124</v>
      </c>
      <c r="EG4530" s="15" t="n">
        <v>124</v>
      </c>
      <c r="FC4530" s="15" t="n">
        <v>124</v>
      </c>
      <c r="FY4530" s="15" t="n">
        <v>124</v>
      </c>
      <c r="GU4530" s="15" t="n">
        <v>124</v>
      </c>
    </row>
    <row r="4531">
      <c r="C4531" s="15" t="n">
        <v>125</v>
      </c>
      <c r="AA4531" s="15" t="n">
        <v>125</v>
      </c>
      <c r="AW4531" s="15" t="n">
        <v>125</v>
      </c>
      <c r="BS4531" s="15" t="n">
        <v>125</v>
      </c>
      <c r="CO4531" s="15" t="n">
        <v>125</v>
      </c>
      <c r="DK4531" s="15" t="n">
        <v>125</v>
      </c>
      <c r="EG4531" s="15" t="n">
        <v>125</v>
      </c>
      <c r="FC4531" s="15" t="n">
        <v>125</v>
      </c>
      <c r="FY4531" s="15" t="n">
        <v>125</v>
      </c>
      <c r="GU4531" s="15" t="n">
        <v>125</v>
      </c>
    </row>
    <row r="4532">
      <c r="C4532" s="15" t="n">
        <v>126</v>
      </c>
      <c r="AA4532" s="15" t="n">
        <v>126</v>
      </c>
      <c r="AW4532" s="15" t="n">
        <v>126</v>
      </c>
      <c r="BS4532" s="15" t="n">
        <v>126</v>
      </c>
      <c r="CO4532" s="15" t="n">
        <v>126</v>
      </c>
      <c r="DK4532" s="15" t="n">
        <v>126</v>
      </c>
      <c r="EG4532" s="15" t="n">
        <v>126</v>
      </c>
      <c r="FC4532" s="15" t="n">
        <v>126</v>
      </c>
      <c r="FY4532" s="15" t="n">
        <v>126</v>
      </c>
      <c r="GU4532" s="15" t="n">
        <v>126</v>
      </c>
    </row>
    <row r="4533">
      <c r="C4533" s="15" t="n">
        <v>127</v>
      </c>
      <c r="AA4533" s="15" t="n">
        <v>127</v>
      </c>
      <c r="AW4533" s="15" t="n">
        <v>127</v>
      </c>
      <c r="BS4533" s="15" t="n">
        <v>127</v>
      </c>
      <c r="CO4533" s="15" t="n">
        <v>127</v>
      </c>
      <c r="DK4533" s="15" t="n">
        <v>127</v>
      </c>
      <c r="EG4533" s="15" t="n">
        <v>127</v>
      </c>
      <c r="FC4533" s="15" t="n">
        <v>127</v>
      </c>
      <c r="FY4533" s="15" t="n">
        <v>127</v>
      </c>
      <c r="GU4533" s="15" t="n">
        <v>127</v>
      </c>
    </row>
    <row r="4534">
      <c r="C4534" s="15" t="n">
        <v>128</v>
      </c>
      <c r="AA4534" s="15" t="n">
        <v>128</v>
      </c>
      <c r="AW4534" s="15" t="n">
        <v>128</v>
      </c>
      <c r="BS4534" s="15" t="n">
        <v>128</v>
      </c>
      <c r="CO4534" s="15" t="n">
        <v>128</v>
      </c>
      <c r="DK4534" s="15" t="n">
        <v>128</v>
      </c>
      <c r="EG4534" s="15" t="n">
        <v>128</v>
      </c>
      <c r="FC4534" s="15" t="n">
        <v>128</v>
      </c>
      <c r="FY4534" s="15" t="n">
        <v>128</v>
      </c>
      <c r="GU4534" s="15" t="n">
        <v>128</v>
      </c>
    </row>
    <row r="4535">
      <c r="C4535" s="15" t="n">
        <v>129</v>
      </c>
      <c r="AA4535" s="15" t="n">
        <v>129</v>
      </c>
      <c r="AW4535" s="15" t="n">
        <v>129</v>
      </c>
      <c r="BS4535" s="15" t="n">
        <v>129</v>
      </c>
      <c r="CO4535" s="15" t="n">
        <v>129</v>
      </c>
      <c r="DK4535" s="15" t="n">
        <v>129</v>
      </c>
      <c r="EG4535" s="15" t="n">
        <v>129</v>
      </c>
      <c r="FC4535" s="15" t="n">
        <v>129</v>
      </c>
      <c r="FY4535" s="15" t="n">
        <v>129</v>
      </c>
      <c r="GU4535" s="15" t="n">
        <v>129</v>
      </c>
    </row>
    <row r="4536">
      <c r="C4536" s="15" t="n">
        <v>130</v>
      </c>
      <c r="AA4536" s="15" t="n">
        <v>130</v>
      </c>
      <c r="AW4536" s="15" t="n">
        <v>130</v>
      </c>
      <c r="BS4536" s="15" t="n">
        <v>130</v>
      </c>
      <c r="CO4536" s="15" t="n">
        <v>130</v>
      </c>
      <c r="DK4536" s="15" t="n">
        <v>130</v>
      </c>
      <c r="EG4536" s="15" t="n">
        <v>130</v>
      </c>
      <c r="FC4536" s="15" t="n">
        <v>130</v>
      </c>
      <c r="FY4536" s="15" t="n">
        <v>130</v>
      </c>
      <c r="GU4536" s="15" t="n">
        <v>130</v>
      </c>
    </row>
    <row r="4537">
      <c r="C4537" s="15" t="n">
        <v>131</v>
      </c>
      <c r="AA4537" s="15" t="n">
        <v>131</v>
      </c>
      <c r="AW4537" s="15" t="n">
        <v>131</v>
      </c>
      <c r="BS4537" s="15" t="n">
        <v>131</v>
      </c>
      <c r="CO4537" s="15" t="n">
        <v>131</v>
      </c>
      <c r="DK4537" s="15" t="n">
        <v>131</v>
      </c>
      <c r="EG4537" s="15" t="n">
        <v>131</v>
      </c>
      <c r="FC4537" s="15" t="n">
        <v>131</v>
      </c>
      <c r="FY4537" s="15" t="n">
        <v>131</v>
      </c>
      <c r="GU4537" s="15" t="n">
        <v>131</v>
      </c>
    </row>
    <row r="4538">
      <c r="C4538" s="15" t="n">
        <v>132</v>
      </c>
      <c r="AA4538" s="15" t="n">
        <v>132</v>
      </c>
      <c r="AW4538" s="15" t="n">
        <v>132</v>
      </c>
      <c r="BS4538" s="15" t="n">
        <v>132</v>
      </c>
      <c r="CO4538" s="15" t="n">
        <v>132</v>
      </c>
      <c r="DK4538" s="15" t="n">
        <v>132</v>
      </c>
      <c r="EG4538" s="15" t="n">
        <v>132</v>
      </c>
      <c r="FC4538" s="15" t="n">
        <v>132</v>
      </c>
      <c r="FY4538" s="15" t="n">
        <v>132</v>
      </c>
      <c r="GU4538" s="15" t="n">
        <v>132</v>
      </c>
    </row>
    <row r="4539">
      <c r="C4539" s="15" t="n">
        <v>133</v>
      </c>
      <c r="AA4539" s="15" t="n">
        <v>133</v>
      </c>
      <c r="AW4539" s="15" t="n">
        <v>133</v>
      </c>
      <c r="BS4539" s="15" t="n">
        <v>133</v>
      </c>
      <c r="CO4539" s="15" t="n">
        <v>133</v>
      </c>
      <c r="DK4539" s="15" t="n">
        <v>133</v>
      </c>
      <c r="EG4539" s="15" t="n">
        <v>133</v>
      </c>
      <c r="FC4539" s="15" t="n">
        <v>133</v>
      </c>
      <c r="FY4539" s="15" t="n">
        <v>133</v>
      </c>
      <c r="GU4539" s="15" t="n">
        <v>133</v>
      </c>
    </row>
    <row r="4540">
      <c r="C4540" s="15" t="n">
        <v>134</v>
      </c>
      <c r="AA4540" s="15" t="n">
        <v>134</v>
      </c>
      <c r="AW4540" s="15" t="n">
        <v>134</v>
      </c>
      <c r="BS4540" s="15" t="n">
        <v>134</v>
      </c>
      <c r="CO4540" s="15" t="n">
        <v>134</v>
      </c>
      <c r="DK4540" s="15" t="n">
        <v>134</v>
      </c>
      <c r="EG4540" s="15" t="n">
        <v>134</v>
      </c>
      <c r="FC4540" s="15" t="n">
        <v>134</v>
      </c>
      <c r="FY4540" s="15" t="n">
        <v>134</v>
      </c>
      <c r="GU4540" s="15" t="n">
        <v>134</v>
      </c>
    </row>
    <row r="4541">
      <c r="C4541" s="15" t="n">
        <v>135</v>
      </c>
      <c r="AA4541" s="15" t="n">
        <v>135</v>
      </c>
      <c r="AW4541" s="15" t="n">
        <v>135</v>
      </c>
      <c r="BS4541" s="15" t="n">
        <v>135</v>
      </c>
      <c r="CO4541" s="15" t="n">
        <v>135</v>
      </c>
      <c r="DK4541" s="15" t="n">
        <v>135</v>
      </c>
      <c r="EG4541" s="15" t="n">
        <v>135</v>
      </c>
      <c r="FC4541" s="15" t="n">
        <v>135</v>
      </c>
      <c r="FY4541" s="15" t="n">
        <v>135</v>
      </c>
      <c r="GU4541" s="15" t="n">
        <v>135</v>
      </c>
    </row>
    <row r="4542">
      <c r="C4542" s="15" t="n">
        <v>136</v>
      </c>
      <c r="AA4542" s="15" t="n">
        <v>136</v>
      </c>
      <c r="AW4542" s="15" t="n">
        <v>136</v>
      </c>
      <c r="BS4542" s="15" t="n">
        <v>136</v>
      </c>
      <c r="CO4542" s="15" t="n">
        <v>136</v>
      </c>
      <c r="DK4542" s="15" t="n">
        <v>136</v>
      </c>
      <c r="EG4542" s="15" t="n">
        <v>136</v>
      </c>
      <c r="FC4542" s="15" t="n">
        <v>136</v>
      </c>
      <c r="FY4542" s="15" t="n">
        <v>136</v>
      </c>
      <c r="GU4542" s="15" t="n">
        <v>136</v>
      </c>
    </row>
    <row r="4543">
      <c r="C4543" s="15" t="n">
        <v>137</v>
      </c>
      <c r="AA4543" s="15" t="n">
        <v>137</v>
      </c>
      <c r="AW4543" s="15" t="n">
        <v>137</v>
      </c>
      <c r="BS4543" s="15" t="n">
        <v>137</v>
      </c>
      <c r="CO4543" s="15" t="n">
        <v>137</v>
      </c>
      <c r="DK4543" s="15" t="n">
        <v>137</v>
      </c>
      <c r="EG4543" s="15" t="n">
        <v>137</v>
      </c>
      <c r="FC4543" s="15" t="n">
        <v>137</v>
      </c>
      <c r="FY4543" s="15" t="n">
        <v>137</v>
      </c>
      <c r="GU4543" s="15" t="n">
        <v>137</v>
      </c>
    </row>
    <row r="4544">
      <c r="C4544" s="15" t="n">
        <v>138</v>
      </c>
      <c r="AA4544" s="15" t="n">
        <v>138</v>
      </c>
      <c r="AW4544" s="15" t="n">
        <v>138</v>
      </c>
      <c r="BS4544" s="15" t="n">
        <v>138</v>
      </c>
      <c r="CO4544" s="15" t="n">
        <v>138</v>
      </c>
      <c r="DK4544" s="15" t="n">
        <v>138</v>
      </c>
      <c r="EG4544" s="15" t="n">
        <v>138</v>
      </c>
      <c r="FC4544" s="15" t="n">
        <v>138</v>
      </c>
      <c r="FY4544" s="15" t="n">
        <v>138</v>
      </c>
      <c r="GU4544" s="15" t="n">
        <v>138</v>
      </c>
    </row>
    <row r="4545">
      <c r="C4545" s="15" t="n">
        <v>139</v>
      </c>
      <c r="AA4545" s="15" t="n">
        <v>139</v>
      </c>
      <c r="AW4545" s="15" t="n">
        <v>139</v>
      </c>
      <c r="BS4545" s="15" t="n">
        <v>139</v>
      </c>
      <c r="CO4545" s="15" t="n">
        <v>139</v>
      </c>
      <c r="DK4545" s="15" t="n">
        <v>139</v>
      </c>
      <c r="EG4545" s="15" t="n">
        <v>139</v>
      </c>
      <c r="FC4545" s="15" t="n">
        <v>139</v>
      </c>
      <c r="FY4545" s="15" t="n">
        <v>139</v>
      </c>
      <c r="GU4545" s="15" t="n">
        <v>139</v>
      </c>
    </row>
    <row r="4546">
      <c r="C4546" s="15" t="n">
        <v>140</v>
      </c>
      <c r="AA4546" s="15" t="n">
        <v>140</v>
      </c>
      <c r="AW4546" s="15" t="n">
        <v>140</v>
      </c>
      <c r="BS4546" s="15" t="n">
        <v>140</v>
      </c>
      <c r="CO4546" s="15" t="n">
        <v>140</v>
      </c>
      <c r="DK4546" s="15" t="n">
        <v>140</v>
      </c>
      <c r="EG4546" s="15" t="n">
        <v>140</v>
      </c>
      <c r="FC4546" s="15" t="n">
        <v>140</v>
      </c>
      <c r="FY4546" s="15" t="n">
        <v>140</v>
      </c>
      <c r="GU4546" s="15" t="n">
        <v>140</v>
      </c>
    </row>
    <row r="4547">
      <c r="C4547" s="15" t="n">
        <v>141</v>
      </c>
      <c r="AA4547" s="15" t="n">
        <v>141</v>
      </c>
      <c r="AW4547" s="15" t="n">
        <v>141</v>
      </c>
      <c r="BS4547" s="15" t="n">
        <v>141</v>
      </c>
      <c r="CO4547" s="15" t="n">
        <v>141</v>
      </c>
      <c r="DK4547" s="15" t="n">
        <v>141</v>
      </c>
      <c r="EG4547" s="15" t="n">
        <v>141</v>
      </c>
      <c r="FC4547" s="15" t="n">
        <v>141</v>
      </c>
      <c r="FY4547" s="15" t="n">
        <v>141</v>
      </c>
      <c r="GU4547" s="15" t="n">
        <v>141</v>
      </c>
    </row>
    <row r="4548">
      <c r="C4548" s="15" t="n">
        <v>142</v>
      </c>
      <c r="AA4548" s="15" t="n">
        <v>142</v>
      </c>
      <c r="AW4548" s="15" t="n">
        <v>142</v>
      </c>
      <c r="BS4548" s="15" t="n">
        <v>142</v>
      </c>
      <c r="CO4548" s="15" t="n">
        <v>142</v>
      </c>
      <c r="DK4548" s="15" t="n">
        <v>142</v>
      </c>
      <c r="EG4548" s="15" t="n">
        <v>142</v>
      </c>
      <c r="FC4548" s="15" t="n">
        <v>142</v>
      </c>
      <c r="FY4548" s="15" t="n">
        <v>142</v>
      </c>
      <c r="GU4548" s="15" t="n">
        <v>142</v>
      </c>
    </row>
    <row r="4549">
      <c r="C4549" s="15" t="n">
        <v>143</v>
      </c>
      <c r="AA4549" s="15" t="n">
        <v>143</v>
      </c>
      <c r="AW4549" s="15" t="n">
        <v>143</v>
      </c>
      <c r="BS4549" s="15" t="n">
        <v>143</v>
      </c>
      <c r="CO4549" s="15" t="n">
        <v>143</v>
      </c>
      <c r="DK4549" s="15" t="n">
        <v>143</v>
      </c>
      <c r="EG4549" s="15" t="n">
        <v>143</v>
      </c>
      <c r="FC4549" s="15" t="n">
        <v>143</v>
      </c>
      <c r="FY4549" s="15" t="n">
        <v>143</v>
      </c>
      <c r="GU4549" s="15" t="n">
        <v>143</v>
      </c>
    </row>
    <row r="4550">
      <c r="C4550" s="15" t="n">
        <v>144</v>
      </c>
      <c r="AA4550" s="15" t="n">
        <v>144</v>
      </c>
      <c r="AW4550" s="15" t="n">
        <v>144</v>
      </c>
      <c r="BS4550" s="15" t="n">
        <v>144</v>
      </c>
      <c r="CO4550" s="15" t="n">
        <v>144</v>
      </c>
      <c r="DK4550" s="15" t="n">
        <v>144</v>
      </c>
      <c r="EG4550" s="15" t="n">
        <v>144</v>
      </c>
      <c r="FC4550" s="15" t="n">
        <v>144</v>
      </c>
      <c r="FY4550" s="15" t="n">
        <v>144</v>
      </c>
      <c r="GU4550" s="15" t="n">
        <v>144</v>
      </c>
    </row>
    <row r="4551">
      <c r="C4551" s="15" t="n">
        <v>145</v>
      </c>
      <c r="AA4551" s="15" t="n">
        <v>145</v>
      </c>
      <c r="AW4551" s="15" t="n">
        <v>145</v>
      </c>
      <c r="BS4551" s="15" t="n">
        <v>145</v>
      </c>
      <c r="CO4551" s="15" t="n">
        <v>145</v>
      </c>
      <c r="DK4551" s="15" t="n">
        <v>145</v>
      </c>
      <c r="EG4551" s="15" t="n">
        <v>145</v>
      </c>
      <c r="FC4551" s="15" t="n">
        <v>145</v>
      </c>
      <c r="FY4551" s="15" t="n">
        <v>145</v>
      </c>
      <c r="GU4551" s="15" t="n">
        <v>145</v>
      </c>
    </row>
    <row r="4552">
      <c r="C4552" s="15" t="n">
        <v>146</v>
      </c>
      <c r="AA4552" s="15" t="n">
        <v>146</v>
      </c>
      <c r="AW4552" s="15" t="n">
        <v>146</v>
      </c>
      <c r="BS4552" s="15" t="n">
        <v>146</v>
      </c>
      <c r="CO4552" s="15" t="n">
        <v>146</v>
      </c>
      <c r="DK4552" s="15" t="n">
        <v>146</v>
      </c>
      <c r="EG4552" s="15" t="n">
        <v>146</v>
      </c>
      <c r="FC4552" s="15" t="n">
        <v>146</v>
      </c>
      <c r="FY4552" s="15" t="n">
        <v>146</v>
      </c>
      <c r="GU4552" s="15" t="n">
        <v>146</v>
      </c>
    </row>
    <row r="4553">
      <c r="C4553" s="15" t="n">
        <v>147</v>
      </c>
      <c r="AA4553" s="15" t="n">
        <v>147</v>
      </c>
      <c r="AW4553" s="15" t="n">
        <v>147</v>
      </c>
      <c r="BS4553" s="15" t="n">
        <v>147</v>
      </c>
      <c r="CO4553" s="15" t="n">
        <v>147</v>
      </c>
      <c r="DK4553" s="15" t="n">
        <v>147</v>
      </c>
      <c r="EG4553" s="15" t="n">
        <v>147</v>
      </c>
      <c r="FC4553" s="15" t="n">
        <v>147</v>
      </c>
      <c r="FY4553" s="15" t="n">
        <v>147</v>
      </c>
      <c r="GU4553" s="15" t="n">
        <v>147</v>
      </c>
    </row>
    <row r="4554">
      <c r="C4554" s="15" t="n">
        <v>148</v>
      </c>
      <c r="AA4554" s="15" t="n">
        <v>148</v>
      </c>
      <c r="AW4554" s="15" t="n">
        <v>148</v>
      </c>
      <c r="BS4554" s="15" t="n">
        <v>148</v>
      </c>
      <c r="CO4554" s="15" t="n">
        <v>148</v>
      </c>
      <c r="DK4554" s="15" t="n">
        <v>148</v>
      </c>
      <c r="EG4554" s="15" t="n">
        <v>148</v>
      </c>
      <c r="FC4554" s="15" t="n">
        <v>148</v>
      </c>
      <c r="FY4554" s="15" t="n">
        <v>148</v>
      </c>
      <c r="GU4554" s="15" t="n">
        <v>148</v>
      </c>
    </row>
    <row r="4555">
      <c r="C4555" s="15" t="n">
        <v>149</v>
      </c>
      <c r="AA4555" s="15" t="n">
        <v>149</v>
      </c>
      <c r="AW4555" s="15" t="n">
        <v>149</v>
      </c>
      <c r="BS4555" s="15" t="n">
        <v>149</v>
      </c>
      <c r="CO4555" s="15" t="n">
        <v>149</v>
      </c>
      <c r="DK4555" s="15" t="n">
        <v>149</v>
      </c>
      <c r="EG4555" s="15" t="n">
        <v>149</v>
      </c>
      <c r="FC4555" s="15" t="n">
        <v>149</v>
      </c>
      <c r="FY4555" s="15" t="n">
        <v>149</v>
      </c>
      <c r="GU4555" s="15" t="n">
        <v>149</v>
      </c>
    </row>
    <row r="4556">
      <c r="C4556" s="15" t="n">
        <v>150</v>
      </c>
      <c r="AA4556" s="15" t="n">
        <v>150</v>
      </c>
      <c r="AW4556" s="15" t="n">
        <v>150</v>
      </c>
      <c r="BS4556" s="15" t="n">
        <v>150</v>
      </c>
      <c r="CO4556" s="15" t="n">
        <v>150</v>
      </c>
      <c r="DK4556" s="15" t="n">
        <v>150</v>
      </c>
      <c r="EG4556" s="15" t="n">
        <v>150</v>
      </c>
      <c r="FC4556" s="15" t="n">
        <v>150</v>
      </c>
      <c r="FY4556" s="15" t="n">
        <v>150</v>
      </c>
      <c r="GU4556" s="15" t="n">
        <v>150</v>
      </c>
    </row>
    <row r="4557">
      <c r="C4557" s="15" t="n">
        <v>151</v>
      </c>
      <c r="AA4557" s="15" t="n">
        <v>151</v>
      </c>
      <c r="AW4557" s="15" t="n">
        <v>151</v>
      </c>
      <c r="BS4557" s="15" t="n">
        <v>151</v>
      </c>
      <c r="CO4557" s="15" t="n">
        <v>151</v>
      </c>
      <c r="DK4557" s="15" t="n">
        <v>151</v>
      </c>
      <c r="EG4557" s="15" t="n">
        <v>151</v>
      </c>
      <c r="FC4557" s="15" t="n">
        <v>151</v>
      </c>
      <c r="FY4557" s="15" t="n">
        <v>151</v>
      </c>
      <c r="GU4557" s="15" t="n">
        <v>151</v>
      </c>
    </row>
    <row r="4558">
      <c r="C4558" s="15" t="n">
        <v>152</v>
      </c>
      <c r="AA4558" s="15" t="n">
        <v>152</v>
      </c>
      <c r="AW4558" s="15" t="n">
        <v>152</v>
      </c>
      <c r="BS4558" s="15" t="n">
        <v>152</v>
      </c>
      <c r="CO4558" s="15" t="n">
        <v>152</v>
      </c>
      <c r="DK4558" s="15" t="n">
        <v>152</v>
      </c>
      <c r="EG4558" s="15" t="n">
        <v>152</v>
      </c>
      <c r="FC4558" s="15" t="n">
        <v>152</v>
      </c>
      <c r="FY4558" s="15" t="n">
        <v>152</v>
      </c>
      <c r="GU4558" s="15" t="n">
        <v>152</v>
      </c>
    </row>
    <row r="4559">
      <c r="C4559" s="15" t="n">
        <v>153</v>
      </c>
      <c r="AA4559" s="15" t="n">
        <v>153</v>
      </c>
      <c r="AW4559" s="15" t="n">
        <v>153</v>
      </c>
      <c r="BS4559" s="15" t="n">
        <v>153</v>
      </c>
      <c r="CO4559" s="15" t="n">
        <v>153</v>
      </c>
      <c r="DK4559" s="15" t="n">
        <v>153</v>
      </c>
      <c r="EG4559" s="15" t="n">
        <v>153</v>
      </c>
      <c r="FC4559" s="15" t="n">
        <v>153</v>
      </c>
      <c r="FY4559" s="15" t="n">
        <v>153</v>
      </c>
      <c r="GU4559" s="15" t="n">
        <v>153</v>
      </c>
    </row>
    <row r="4560">
      <c r="C4560" s="15" t="n">
        <v>154</v>
      </c>
      <c r="AA4560" s="15" t="n">
        <v>154</v>
      </c>
      <c r="AW4560" s="15" t="n">
        <v>154</v>
      </c>
      <c r="BS4560" s="15" t="n">
        <v>154</v>
      </c>
      <c r="CO4560" s="15" t="n">
        <v>154</v>
      </c>
      <c r="DK4560" s="15" t="n">
        <v>154</v>
      </c>
      <c r="EG4560" s="15" t="n">
        <v>154</v>
      </c>
      <c r="FC4560" s="15" t="n">
        <v>154</v>
      </c>
      <c r="FY4560" s="15" t="n">
        <v>154</v>
      </c>
      <c r="GU4560" s="15" t="n">
        <v>154</v>
      </c>
    </row>
    <row r="4561">
      <c r="C4561" s="15" t="n">
        <v>155</v>
      </c>
      <c r="AA4561" s="15" t="n">
        <v>155</v>
      </c>
      <c r="AW4561" s="15" t="n">
        <v>155</v>
      </c>
      <c r="BS4561" s="15" t="n">
        <v>155</v>
      </c>
      <c r="CO4561" s="15" t="n">
        <v>155</v>
      </c>
      <c r="DK4561" s="15" t="n">
        <v>155</v>
      </c>
      <c r="EG4561" s="15" t="n">
        <v>155</v>
      </c>
      <c r="FC4561" s="15" t="n">
        <v>155</v>
      </c>
      <c r="FY4561" s="15" t="n">
        <v>155</v>
      </c>
      <c r="GU4561" s="15" t="n">
        <v>155</v>
      </c>
    </row>
    <row r="4562">
      <c r="C4562" s="15" t="n">
        <v>156</v>
      </c>
      <c r="AA4562" s="15" t="n">
        <v>156</v>
      </c>
      <c r="AW4562" s="15" t="n">
        <v>156</v>
      </c>
      <c r="BS4562" s="15" t="n">
        <v>156</v>
      </c>
      <c r="CO4562" s="15" t="n">
        <v>156</v>
      </c>
      <c r="DK4562" s="15" t="n">
        <v>156</v>
      </c>
      <c r="EG4562" s="15" t="n">
        <v>156</v>
      </c>
      <c r="FC4562" s="15" t="n">
        <v>156</v>
      </c>
      <c r="FY4562" s="15" t="n">
        <v>156</v>
      </c>
      <c r="GU4562" s="15" t="n">
        <v>156</v>
      </c>
    </row>
    <row r="4563">
      <c r="C4563" s="15" t="n">
        <v>157</v>
      </c>
      <c r="AA4563" s="15" t="n">
        <v>157</v>
      </c>
      <c r="AW4563" s="15" t="n">
        <v>157</v>
      </c>
      <c r="BS4563" s="15" t="n">
        <v>157</v>
      </c>
      <c r="CO4563" s="15" t="n">
        <v>157</v>
      </c>
      <c r="DK4563" s="15" t="n">
        <v>157</v>
      </c>
      <c r="EG4563" s="15" t="n">
        <v>157</v>
      </c>
      <c r="FC4563" s="15" t="n">
        <v>157</v>
      </c>
      <c r="FY4563" s="15" t="n">
        <v>157</v>
      </c>
      <c r="GU4563" s="15" t="n">
        <v>157</v>
      </c>
    </row>
    <row r="4564">
      <c r="C4564" s="15" t="n">
        <v>158</v>
      </c>
      <c r="AA4564" s="15" t="n">
        <v>158</v>
      </c>
      <c r="AW4564" s="15" t="n">
        <v>158</v>
      </c>
      <c r="BS4564" s="15" t="n">
        <v>158</v>
      </c>
      <c r="CO4564" s="15" t="n">
        <v>158</v>
      </c>
      <c r="DK4564" s="15" t="n">
        <v>158</v>
      </c>
      <c r="EG4564" s="15" t="n">
        <v>158</v>
      </c>
      <c r="FC4564" s="15" t="n">
        <v>158</v>
      </c>
      <c r="FY4564" s="15" t="n">
        <v>158</v>
      </c>
      <c r="GU4564" s="15" t="n">
        <v>158</v>
      </c>
    </row>
    <row r="4565">
      <c r="C4565" s="15" t="n">
        <v>159</v>
      </c>
      <c r="AA4565" s="15" t="n">
        <v>159</v>
      </c>
      <c r="AW4565" s="15" t="n">
        <v>159</v>
      </c>
      <c r="BS4565" s="15" t="n">
        <v>159</v>
      </c>
      <c r="CO4565" s="15" t="n">
        <v>159</v>
      </c>
      <c r="DK4565" s="15" t="n">
        <v>159</v>
      </c>
      <c r="EG4565" s="15" t="n">
        <v>159</v>
      </c>
      <c r="FC4565" s="15" t="n">
        <v>159</v>
      </c>
      <c r="FY4565" s="15" t="n">
        <v>159</v>
      </c>
      <c r="GU4565" s="15" t="n">
        <v>159</v>
      </c>
    </row>
    <row r="4566">
      <c r="C4566" s="15" t="n">
        <v>160</v>
      </c>
      <c r="AA4566" s="15" t="n">
        <v>160</v>
      </c>
      <c r="AW4566" s="15" t="n">
        <v>160</v>
      </c>
      <c r="BS4566" s="15" t="n">
        <v>160</v>
      </c>
      <c r="CO4566" s="15" t="n">
        <v>160</v>
      </c>
      <c r="DK4566" s="15" t="n">
        <v>160</v>
      </c>
      <c r="EG4566" s="15" t="n">
        <v>160</v>
      </c>
      <c r="FC4566" s="15" t="n">
        <v>160</v>
      </c>
      <c r="FY4566" s="15" t="n">
        <v>160</v>
      </c>
      <c r="GU4566" s="15" t="n">
        <v>160</v>
      </c>
    </row>
    <row r="4567">
      <c r="C4567" s="15" t="n">
        <v>161</v>
      </c>
      <c r="AA4567" s="15" t="n">
        <v>161</v>
      </c>
      <c r="AW4567" s="15" t="n">
        <v>161</v>
      </c>
      <c r="BS4567" s="15" t="n">
        <v>161</v>
      </c>
      <c r="CO4567" s="15" t="n">
        <v>161</v>
      </c>
      <c r="DK4567" s="15" t="n">
        <v>161</v>
      </c>
      <c r="EG4567" s="15" t="n">
        <v>161</v>
      </c>
      <c r="FC4567" s="15" t="n">
        <v>161</v>
      </c>
      <c r="FY4567" s="15" t="n">
        <v>161</v>
      </c>
      <c r="GU4567" s="15" t="n">
        <v>161</v>
      </c>
    </row>
    <row r="4568">
      <c r="C4568" s="15" t="n">
        <v>162</v>
      </c>
      <c r="AA4568" s="15" t="n">
        <v>162</v>
      </c>
      <c r="AW4568" s="15" t="n">
        <v>162</v>
      </c>
      <c r="BS4568" s="15" t="n">
        <v>162</v>
      </c>
      <c r="CO4568" s="15" t="n">
        <v>162</v>
      </c>
      <c r="DK4568" s="15" t="n">
        <v>162</v>
      </c>
      <c r="EG4568" s="15" t="n">
        <v>162</v>
      </c>
      <c r="FC4568" s="15" t="n">
        <v>162</v>
      </c>
      <c r="FY4568" s="15" t="n">
        <v>162</v>
      </c>
      <c r="GU4568" s="15" t="n">
        <v>162</v>
      </c>
    </row>
    <row r="4569">
      <c r="C4569" s="15" t="n">
        <v>163</v>
      </c>
      <c r="AA4569" s="15" t="n">
        <v>163</v>
      </c>
      <c r="AW4569" s="15" t="n">
        <v>163</v>
      </c>
      <c r="BS4569" s="15" t="n">
        <v>163</v>
      </c>
      <c r="CO4569" s="15" t="n">
        <v>163</v>
      </c>
      <c r="DK4569" s="15" t="n">
        <v>163</v>
      </c>
      <c r="EG4569" s="15" t="n">
        <v>163</v>
      </c>
      <c r="FC4569" s="15" t="n">
        <v>163</v>
      </c>
      <c r="FY4569" s="15" t="n">
        <v>163</v>
      </c>
      <c r="GU4569" s="15" t="n">
        <v>163</v>
      </c>
    </row>
    <row r="4570">
      <c r="C4570" s="15" t="n">
        <v>164</v>
      </c>
      <c r="AA4570" s="15" t="n">
        <v>164</v>
      </c>
      <c r="AW4570" s="15" t="n">
        <v>164</v>
      </c>
      <c r="BS4570" s="15" t="n">
        <v>164</v>
      </c>
      <c r="CO4570" s="15" t="n">
        <v>164</v>
      </c>
      <c r="DK4570" s="15" t="n">
        <v>164</v>
      </c>
      <c r="EG4570" s="15" t="n">
        <v>164</v>
      </c>
      <c r="FC4570" s="15" t="n">
        <v>164</v>
      </c>
      <c r="FY4570" s="15" t="n">
        <v>164</v>
      </c>
      <c r="GU4570" s="15" t="n">
        <v>164</v>
      </c>
    </row>
    <row r="4571">
      <c r="C4571" s="15" t="n">
        <v>165</v>
      </c>
      <c r="AA4571" s="15" t="n">
        <v>165</v>
      </c>
      <c r="AW4571" s="15" t="n">
        <v>165</v>
      </c>
      <c r="BS4571" s="15" t="n">
        <v>165</v>
      </c>
      <c r="CO4571" s="15" t="n">
        <v>165</v>
      </c>
      <c r="DK4571" s="15" t="n">
        <v>165</v>
      </c>
      <c r="EG4571" s="15" t="n">
        <v>165</v>
      </c>
      <c r="FC4571" s="15" t="n">
        <v>165</v>
      </c>
      <c r="FY4571" s="15" t="n">
        <v>165</v>
      </c>
      <c r="GU4571" s="15" t="n">
        <v>165</v>
      </c>
    </row>
    <row r="4572">
      <c r="C4572" s="15" t="n">
        <v>166</v>
      </c>
      <c r="AA4572" s="15" t="n">
        <v>166</v>
      </c>
      <c r="AW4572" s="15" t="n">
        <v>166</v>
      </c>
      <c r="BS4572" s="15" t="n">
        <v>166</v>
      </c>
      <c r="CO4572" s="15" t="n">
        <v>166</v>
      </c>
      <c r="DK4572" s="15" t="n">
        <v>166</v>
      </c>
      <c r="EG4572" s="15" t="n">
        <v>166</v>
      </c>
      <c r="FC4572" s="15" t="n">
        <v>166</v>
      </c>
      <c r="FY4572" s="15" t="n">
        <v>166</v>
      </c>
      <c r="GU4572" s="15" t="n">
        <v>166</v>
      </c>
    </row>
    <row r="4573">
      <c r="C4573" s="15" t="n">
        <v>167</v>
      </c>
      <c r="AA4573" s="15" t="n">
        <v>167</v>
      </c>
      <c r="AW4573" s="15" t="n">
        <v>167</v>
      </c>
      <c r="BS4573" s="15" t="n">
        <v>167</v>
      </c>
      <c r="CO4573" s="15" t="n">
        <v>167</v>
      </c>
      <c r="DK4573" s="15" t="n">
        <v>167</v>
      </c>
      <c r="EG4573" s="15" t="n">
        <v>167</v>
      </c>
      <c r="FC4573" s="15" t="n">
        <v>167</v>
      </c>
      <c r="FY4573" s="15" t="n">
        <v>167</v>
      </c>
      <c r="GU4573" s="15" t="n">
        <v>167</v>
      </c>
    </row>
    <row r="4574">
      <c r="C4574" s="15" t="n">
        <v>168</v>
      </c>
      <c r="AA4574" s="15" t="n">
        <v>168</v>
      </c>
      <c r="AW4574" s="15" t="n">
        <v>168</v>
      </c>
      <c r="BS4574" s="15" t="n">
        <v>168</v>
      </c>
      <c r="CO4574" s="15" t="n">
        <v>168</v>
      </c>
      <c r="DK4574" s="15" t="n">
        <v>168</v>
      </c>
      <c r="EG4574" s="15" t="n">
        <v>168</v>
      </c>
      <c r="FC4574" s="15" t="n">
        <v>168</v>
      </c>
      <c r="FY4574" s="15" t="n">
        <v>168</v>
      </c>
      <c r="GU4574" s="15" t="n">
        <v>168</v>
      </c>
    </row>
    <row r="4575">
      <c r="C4575" s="15" t="n">
        <v>169</v>
      </c>
      <c r="AA4575" s="15" t="n">
        <v>169</v>
      </c>
      <c r="AW4575" s="15" t="n">
        <v>169</v>
      </c>
      <c r="BS4575" s="15" t="n">
        <v>169</v>
      </c>
      <c r="CO4575" s="15" t="n">
        <v>169</v>
      </c>
      <c r="DK4575" s="15" t="n">
        <v>169</v>
      </c>
      <c r="EG4575" s="15" t="n">
        <v>169</v>
      </c>
      <c r="FC4575" s="15" t="n">
        <v>169</v>
      </c>
      <c r="FY4575" s="15" t="n">
        <v>169</v>
      </c>
      <c r="GU4575" s="15" t="n">
        <v>169</v>
      </c>
    </row>
    <row r="4576">
      <c r="C4576" s="15" t="n">
        <v>170</v>
      </c>
      <c r="AA4576" s="15" t="n">
        <v>170</v>
      </c>
      <c r="AW4576" s="15" t="n">
        <v>170</v>
      </c>
      <c r="BS4576" s="15" t="n">
        <v>170</v>
      </c>
      <c r="CO4576" s="15" t="n">
        <v>170</v>
      </c>
      <c r="DK4576" s="15" t="n">
        <v>170</v>
      </c>
      <c r="EG4576" s="15" t="n">
        <v>170</v>
      </c>
      <c r="FC4576" s="15" t="n">
        <v>170</v>
      </c>
      <c r="FY4576" s="15" t="n">
        <v>170</v>
      </c>
      <c r="GU4576" s="15" t="n">
        <v>170</v>
      </c>
    </row>
    <row r="4577">
      <c r="C4577" s="15" t="n">
        <v>171</v>
      </c>
      <c r="AA4577" s="15" t="n">
        <v>171</v>
      </c>
      <c r="AW4577" s="15" t="n">
        <v>171</v>
      </c>
      <c r="BS4577" s="15" t="n">
        <v>171</v>
      </c>
      <c r="CO4577" s="15" t="n">
        <v>171</v>
      </c>
      <c r="DK4577" s="15" t="n">
        <v>171</v>
      </c>
      <c r="EG4577" s="15" t="n">
        <v>171</v>
      </c>
      <c r="FC4577" s="15" t="n">
        <v>171</v>
      </c>
      <c r="FY4577" s="15" t="n">
        <v>171</v>
      </c>
      <c r="GU4577" s="15" t="n">
        <v>171</v>
      </c>
    </row>
    <row r="4578">
      <c r="C4578" s="15" t="n">
        <v>172</v>
      </c>
      <c r="AA4578" s="15" t="n">
        <v>172</v>
      </c>
      <c r="AW4578" s="15" t="n">
        <v>172</v>
      </c>
      <c r="BS4578" s="15" t="n">
        <v>172</v>
      </c>
      <c r="CO4578" s="15" t="n">
        <v>172</v>
      </c>
      <c r="DK4578" s="15" t="n">
        <v>172</v>
      </c>
      <c r="EG4578" s="15" t="n">
        <v>172</v>
      </c>
      <c r="FC4578" s="15" t="n">
        <v>172</v>
      </c>
      <c r="FY4578" s="15" t="n">
        <v>172</v>
      </c>
      <c r="GU4578" s="15" t="n">
        <v>172</v>
      </c>
    </row>
    <row r="4579">
      <c r="C4579" s="15" t="n">
        <v>173</v>
      </c>
      <c r="AA4579" s="15" t="n">
        <v>173</v>
      </c>
      <c r="AW4579" s="15" t="n">
        <v>173</v>
      </c>
      <c r="BS4579" s="15" t="n">
        <v>173</v>
      </c>
      <c r="CO4579" s="15" t="n">
        <v>173</v>
      </c>
      <c r="DK4579" s="15" t="n">
        <v>173</v>
      </c>
      <c r="EG4579" s="15" t="n">
        <v>173</v>
      </c>
      <c r="FC4579" s="15" t="n">
        <v>173</v>
      </c>
      <c r="FY4579" s="15" t="n">
        <v>173</v>
      </c>
      <c r="GU4579" s="15" t="n">
        <v>173</v>
      </c>
    </row>
    <row r="4580">
      <c r="C4580" s="15" t="n">
        <v>174</v>
      </c>
      <c r="AA4580" s="15" t="n">
        <v>174</v>
      </c>
      <c r="AW4580" s="15" t="n">
        <v>174</v>
      </c>
      <c r="BS4580" s="15" t="n">
        <v>174</v>
      </c>
      <c r="CO4580" s="15" t="n">
        <v>174</v>
      </c>
      <c r="DK4580" s="15" t="n">
        <v>174</v>
      </c>
      <c r="EG4580" s="15" t="n">
        <v>174</v>
      </c>
      <c r="FC4580" s="15" t="n">
        <v>174</v>
      </c>
      <c r="FY4580" s="15" t="n">
        <v>174</v>
      </c>
      <c r="GU4580" s="15" t="n">
        <v>174</v>
      </c>
    </row>
    <row r="4581">
      <c r="C4581" s="15" t="n">
        <v>175</v>
      </c>
      <c r="AA4581" s="15" t="n">
        <v>175</v>
      </c>
      <c r="AW4581" s="15" t="n">
        <v>175</v>
      </c>
      <c r="BS4581" s="15" t="n">
        <v>175</v>
      </c>
      <c r="CO4581" s="15" t="n">
        <v>175</v>
      </c>
      <c r="DK4581" s="15" t="n">
        <v>175</v>
      </c>
      <c r="EG4581" s="15" t="n">
        <v>175</v>
      </c>
      <c r="FC4581" s="15" t="n">
        <v>175</v>
      </c>
      <c r="FY4581" s="15" t="n">
        <v>175</v>
      </c>
      <c r="GU4581" s="15" t="n">
        <v>175</v>
      </c>
    </row>
    <row r="4582">
      <c r="C4582" s="15" t="n">
        <v>176</v>
      </c>
      <c r="AA4582" s="15" t="n">
        <v>176</v>
      </c>
      <c r="AW4582" s="15" t="n">
        <v>176</v>
      </c>
      <c r="BS4582" s="15" t="n">
        <v>176</v>
      </c>
      <c r="CO4582" s="15" t="n">
        <v>176</v>
      </c>
      <c r="DK4582" s="15" t="n">
        <v>176</v>
      </c>
      <c r="EG4582" s="15" t="n">
        <v>176</v>
      </c>
      <c r="FC4582" s="15" t="n">
        <v>176</v>
      </c>
      <c r="FY4582" s="15" t="n">
        <v>176</v>
      </c>
      <c r="GU4582" s="15" t="n">
        <v>176</v>
      </c>
    </row>
    <row r="4583">
      <c r="C4583" s="15" t="n">
        <v>177</v>
      </c>
      <c r="AA4583" s="15" t="n">
        <v>177</v>
      </c>
      <c r="AW4583" s="15" t="n">
        <v>177</v>
      </c>
      <c r="BS4583" s="15" t="n">
        <v>177</v>
      </c>
      <c r="CO4583" s="15" t="n">
        <v>177</v>
      </c>
      <c r="DK4583" s="15" t="n">
        <v>177</v>
      </c>
      <c r="EG4583" s="15" t="n">
        <v>177</v>
      </c>
      <c r="FC4583" s="15" t="n">
        <v>177</v>
      </c>
      <c r="FY4583" s="15" t="n">
        <v>177</v>
      </c>
      <c r="GU4583" s="15" t="n">
        <v>177</v>
      </c>
    </row>
    <row r="4584">
      <c r="C4584" s="15" t="n">
        <v>178</v>
      </c>
      <c r="AA4584" s="15" t="n">
        <v>178</v>
      </c>
      <c r="AW4584" s="15" t="n">
        <v>178</v>
      </c>
      <c r="BS4584" s="15" t="n">
        <v>178</v>
      </c>
      <c r="CO4584" s="15" t="n">
        <v>178</v>
      </c>
      <c r="DK4584" s="15" t="n">
        <v>178</v>
      </c>
      <c r="EG4584" s="15" t="n">
        <v>178</v>
      </c>
      <c r="FC4584" s="15" t="n">
        <v>178</v>
      </c>
      <c r="FY4584" s="15" t="n">
        <v>178</v>
      </c>
      <c r="GU4584" s="15" t="n">
        <v>178</v>
      </c>
    </row>
    <row r="4585">
      <c r="C4585" s="15" t="n">
        <v>179</v>
      </c>
      <c r="AA4585" s="15" t="n">
        <v>179</v>
      </c>
      <c r="AW4585" s="15" t="n">
        <v>179</v>
      </c>
      <c r="BS4585" s="15" t="n">
        <v>179</v>
      </c>
      <c r="CO4585" s="15" t="n">
        <v>179</v>
      </c>
      <c r="DK4585" s="15" t="n">
        <v>179</v>
      </c>
      <c r="EG4585" s="15" t="n">
        <v>179</v>
      </c>
      <c r="FC4585" s="15" t="n">
        <v>179</v>
      </c>
      <c r="FY4585" s="15" t="n">
        <v>179</v>
      </c>
      <c r="GU4585" s="15" t="n">
        <v>179</v>
      </c>
    </row>
    <row r="4586">
      <c r="C4586" s="15" t="n">
        <v>180</v>
      </c>
      <c r="AA4586" s="15" t="n">
        <v>180</v>
      </c>
      <c r="AW4586" s="15" t="n">
        <v>180</v>
      </c>
      <c r="BS4586" s="15" t="n">
        <v>180</v>
      </c>
      <c r="CO4586" s="15" t="n">
        <v>180</v>
      </c>
      <c r="DK4586" s="15" t="n">
        <v>180</v>
      </c>
      <c r="EG4586" s="15" t="n">
        <v>180</v>
      </c>
      <c r="FC4586" s="15" t="n">
        <v>180</v>
      </c>
      <c r="FY4586" s="15" t="n">
        <v>180</v>
      </c>
      <c r="GU4586" s="15" t="n">
        <v>180</v>
      </c>
    </row>
    <row r="4587">
      <c r="C4587" s="15" t="n">
        <v>181</v>
      </c>
      <c r="AA4587" s="15" t="n">
        <v>181</v>
      </c>
      <c r="AW4587" s="15" t="n">
        <v>181</v>
      </c>
      <c r="BS4587" s="15" t="n">
        <v>181</v>
      </c>
      <c r="CO4587" s="15" t="n">
        <v>181</v>
      </c>
      <c r="DK4587" s="15" t="n">
        <v>181</v>
      </c>
      <c r="EG4587" s="15" t="n">
        <v>181</v>
      </c>
      <c r="FC4587" s="15" t="n">
        <v>181</v>
      </c>
      <c r="FY4587" s="15" t="n">
        <v>181</v>
      </c>
      <c r="GU4587" s="15" t="n">
        <v>181</v>
      </c>
    </row>
    <row r="4588">
      <c r="C4588" s="15" t="n">
        <v>182</v>
      </c>
      <c r="AA4588" s="15" t="n">
        <v>182</v>
      </c>
      <c r="AW4588" s="15" t="n">
        <v>182</v>
      </c>
      <c r="BS4588" s="15" t="n">
        <v>182</v>
      </c>
      <c r="CO4588" s="15" t="n">
        <v>182</v>
      </c>
      <c r="DK4588" s="15" t="n">
        <v>182</v>
      </c>
      <c r="EG4588" s="15" t="n">
        <v>182</v>
      </c>
      <c r="FC4588" s="15" t="n">
        <v>182</v>
      </c>
      <c r="FY4588" s="15" t="n">
        <v>182</v>
      </c>
      <c r="GU4588" s="15" t="n">
        <v>182</v>
      </c>
    </row>
    <row r="4589">
      <c r="C4589" s="15" t="n">
        <v>183</v>
      </c>
      <c r="AA4589" s="15" t="n">
        <v>183</v>
      </c>
      <c r="AW4589" s="15" t="n">
        <v>183</v>
      </c>
      <c r="BS4589" s="15" t="n">
        <v>183</v>
      </c>
      <c r="CO4589" s="15" t="n">
        <v>183</v>
      </c>
      <c r="DK4589" s="15" t="n">
        <v>183</v>
      </c>
      <c r="EG4589" s="15" t="n">
        <v>183</v>
      </c>
      <c r="FC4589" s="15" t="n">
        <v>183</v>
      </c>
      <c r="FY4589" s="15" t="n">
        <v>183</v>
      </c>
      <c r="GU4589" s="15" t="n">
        <v>183</v>
      </c>
    </row>
    <row r="4590">
      <c r="C4590" s="15" t="n">
        <v>184</v>
      </c>
      <c r="AA4590" s="15" t="n">
        <v>184</v>
      </c>
      <c r="AW4590" s="15" t="n">
        <v>184</v>
      </c>
      <c r="BS4590" s="15" t="n">
        <v>184</v>
      </c>
      <c r="CO4590" s="15" t="n">
        <v>184</v>
      </c>
      <c r="DK4590" s="15" t="n">
        <v>184</v>
      </c>
      <c r="EG4590" s="15" t="n">
        <v>184</v>
      </c>
      <c r="FC4590" s="15" t="n">
        <v>184</v>
      </c>
      <c r="FY4590" s="15" t="n">
        <v>184</v>
      </c>
      <c r="GU4590" s="15" t="n">
        <v>184</v>
      </c>
    </row>
    <row r="4591">
      <c r="C4591" s="15" t="n">
        <v>185</v>
      </c>
      <c r="AA4591" s="15" t="n">
        <v>185</v>
      </c>
      <c r="AW4591" s="15" t="n">
        <v>185</v>
      </c>
      <c r="BS4591" s="15" t="n">
        <v>185</v>
      </c>
      <c r="CO4591" s="15" t="n">
        <v>185</v>
      </c>
      <c r="DK4591" s="15" t="n">
        <v>185</v>
      </c>
      <c r="EG4591" s="15" t="n">
        <v>185</v>
      </c>
      <c r="FC4591" s="15" t="n">
        <v>185</v>
      </c>
      <c r="FY4591" s="15" t="n">
        <v>185</v>
      </c>
      <c r="GU4591" s="15" t="n">
        <v>185</v>
      </c>
    </row>
    <row r="4592">
      <c r="C4592" s="15" t="n">
        <v>186</v>
      </c>
      <c r="AA4592" s="15" t="n">
        <v>186</v>
      </c>
      <c r="AW4592" s="15" t="n">
        <v>186</v>
      </c>
      <c r="BS4592" s="15" t="n">
        <v>186</v>
      </c>
      <c r="CO4592" s="15" t="n">
        <v>186</v>
      </c>
      <c r="DK4592" s="15" t="n">
        <v>186</v>
      </c>
      <c r="EG4592" s="15" t="n">
        <v>186</v>
      </c>
      <c r="FC4592" s="15" t="n">
        <v>186</v>
      </c>
      <c r="FY4592" s="15" t="n">
        <v>186</v>
      </c>
      <c r="GU4592" s="15" t="n">
        <v>186</v>
      </c>
    </row>
    <row r="4593">
      <c r="C4593" s="15" t="n">
        <v>187</v>
      </c>
      <c r="AA4593" s="15" t="n">
        <v>187</v>
      </c>
      <c r="AW4593" s="15" t="n">
        <v>187</v>
      </c>
      <c r="BS4593" s="15" t="n">
        <v>187</v>
      </c>
      <c r="CO4593" s="15" t="n">
        <v>187</v>
      </c>
      <c r="DK4593" s="15" t="n">
        <v>187</v>
      </c>
      <c r="EG4593" s="15" t="n">
        <v>187</v>
      </c>
      <c r="FC4593" s="15" t="n">
        <v>187</v>
      </c>
      <c r="FY4593" s="15" t="n">
        <v>187</v>
      </c>
      <c r="GU4593" s="15" t="n">
        <v>187</v>
      </c>
    </row>
    <row r="4594">
      <c r="C4594" s="15" t="n">
        <v>188</v>
      </c>
      <c r="AA4594" s="15" t="n">
        <v>188</v>
      </c>
      <c r="AW4594" s="15" t="n">
        <v>188</v>
      </c>
      <c r="BS4594" s="15" t="n">
        <v>188</v>
      </c>
      <c r="CO4594" s="15" t="n">
        <v>188</v>
      </c>
      <c r="DK4594" s="15" t="n">
        <v>188</v>
      </c>
      <c r="EG4594" s="15" t="n">
        <v>188</v>
      </c>
      <c r="FC4594" s="15" t="n">
        <v>188</v>
      </c>
      <c r="FY4594" s="15" t="n">
        <v>188</v>
      </c>
      <c r="GU4594" s="15" t="n">
        <v>188</v>
      </c>
    </row>
    <row r="4595">
      <c r="C4595" s="15" t="n">
        <v>189</v>
      </c>
      <c r="AA4595" s="15" t="n">
        <v>189</v>
      </c>
      <c r="AW4595" s="15" t="n">
        <v>189</v>
      </c>
      <c r="BS4595" s="15" t="n">
        <v>189</v>
      </c>
      <c r="CO4595" s="15" t="n">
        <v>189</v>
      </c>
      <c r="DK4595" s="15" t="n">
        <v>189</v>
      </c>
      <c r="EG4595" s="15" t="n">
        <v>189</v>
      </c>
      <c r="FC4595" s="15" t="n">
        <v>189</v>
      </c>
      <c r="FY4595" s="15" t="n">
        <v>189</v>
      </c>
      <c r="GU4595" s="15" t="n">
        <v>189</v>
      </c>
    </row>
    <row r="4596">
      <c r="C4596" s="15" t="n">
        <v>190</v>
      </c>
      <c r="AA4596" s="15" t="n">
        <v>190</v>
      </c>
      <c r="AW4596" s="15" t="n">
        <v>190</v>
      </c>
      <c r="BS4596" s="15" t="n">
        <v>190</v>
      </c>
      <c r="CO4596" s="15" t="n">
        <v>190</v>
      </c>
      <c r="DK4596" s="15" t="n">
        <v>190</v>
      </c>
      <c r="EG4596" s="15" t="n">
        <v>190</v>
      </c>
      <c r="FC4596" s="15" t="n">
        <v>190</v>
      </c>
      <c r="FY4596" s="15" t="n">
        <v>190</v>
      </c>
      <c r="GU4596" s="15" t="n">
        <v>190</v>
      </c>
    </row>
    <row r="4597">
      <c r="C4597" s="15" t="n">
        <v>191</v>
      </c>
      <c r="AA4597" s="15" t="n">
        <v>191</v>
      </c>
      <c r="AW4597" s="15" t="n">
        <v>191</v>
      </c>
      <c r="BS4597" s="15" t="n">
        <v>191</v>
      </c>
      <c r="CO4597" s="15" t="n">
        <v>191</v>
      </c>
      <c r="DK4597" s="15" t="n">
        <v>191</v>
      </c>
      <c r="EG4597" s="15" t="n">
        <v>191</v>
      </c>
      <c r="FC4597" s="15" t="n">
        <v>191</v>
      </c>
      <c r="FY4597" s="15" t="n">
        <v>191</v>
      </c>
      <c r="GU4597" s="15" t="n">
        <v>191</v>
      </c>
    </row>
    <row r="4598">
      <c r="C4598" s="15" t="n">
        <v>192</v>
      </c>
      <c r="AA4598" s="15" t="n">
        <v>192</v>
      </c>
      <c r="AW4598" s="15" t="n">
        <v>192</v>
      </c>
      <c r="BS4598" s="15" t="n">
        <v>192</v>
      </c>
      <c r="CO4598" s="15" t="n">
        <v>192</v>
      </c>
      <c r="DK4598" s="15" t="n">
        <v>192</v>
      </c>
      <c r="EG4598" s="15" t="n">
        <v>192</v>
      </c>
      <c r="FC4598" s="15" t="n">
        <v>192</v>
      </c>
      <c r="FY4598" s="15" t="n">
        <v>192</v>
      </c>
      <c r="GU4598" s="15" t="n">
        <v>192</v>
      </c>
    </row>
    <row r="4599">
      <c r="C4599" s="15" t="n">
        <v>193</v>
      </c>
      <c r="AA4599" s="15" t="n">
        <v>193</v>
      </c>
      <c r="AW4599" s="15" t="n">
        <v>193</v>
      </c>
      <c r="BS4599" s="15" t="n">
        <v>193</v>
      </c>
      <c r="CO4599" s="15" t="n">
        <v>193</v>
      </c>
      <c r="DK4599" s="15" t="n">
        <v>193</v>
      </c>
      <c r="EG4599" s="15" t="n">
        <v>193</v>
      </c>
      <c r="FC4599" s="15" t="n">
        <v>193</v>
      </c>
      <c r="FY4599" s="15" t="n">
        <v>193</v>
      </c>
      <c r="GU4599" s="15" t="n">
        <v>193</v>
      </c>
    </row>
    <row r="4600">
      <c r="C4600" s="15" t="n">
        <v>194</v>
      </c>
      <c r="AA4600" s="15" t="n">
        <v>194</v>
      </c>
      <c r="AW4600" s="15" t="n">
        <v>194</v>
      </c>
      <c r="BS4600" s="15" t="n">
        <v>194</v>
      </c>
      <c r="CO4600" s="15" t="n">
        <v>194</v>
      </c>
      <c r="DK4600" s="15" t="n">
        <v>194</v>
      </c>
      <c r="EG4600" s="15" t="n">
        <v>194</v>
      </c>
      <c r="FC4600" s="15" t="n">
        <v>194</v>
      </c>
      <c r="FY4600" s="15" t="n">
        <v>194</v>
      </c>
      <c r="GU4600" s="15" t="n">
        <v>194</v>
      </c>
    </row>
    <row r="4601">
      <c r="C4601" s="15" t="n">
        <v>195</v>
      </c>
      <c r="AA4601" s="15" t="n">
        <v>195</v>
      </c>
      <c r="AW4601" s="15" t="n">
        <v>195</v>
      </c>
      <c r="BS4601" s="15" t="n">
        <v>195</v>
      </c>
      <c r="CO4601" s="15" t="n">
        <v>195</v>
      </c>
      <c r="DK4601" s="15" t="n">
        <v>195</v>
      </c>
      <c r="EG4601" s="15" t="n">
        <v>195</v>
      </c>
      <c r="FC4601" s="15" t="n">
        <v>195</v>
      </c>
      <c r="FY4601" s="15" t="n">
        <v>195</v>
      </c>
      <c r="GU4601" s="15" t="n">
        <v>195</v>
      </c>
    </row>
    <row r="4602">
      <c r="C4602" s="15" t="n">
        <v>196</v>
      </c>
      <c r="AA4602" s="15" t="n">
        <v>196</v>
      </c>
      <c r="AW4602" s="15" t="n">
        <v>196</v>
      </c>
      <c r="BS4602" s="15" t="n">
        <v>196</v>
      </c>
      <c r="CO4602" s="15" t="n">
        <v>196</v>
      </c>
      <c r="DK4602" s="15" t="n">
        <v>196</v>
      </c>
      <c r="EG4602" s="15" t="n">
        <v>196</v>
      </c>
      <c r="FC4602" s="15" t="n">
        <v>196</v>
      </c>
      <c r="FY4602" s="15" t="n">
        <v>196</v>
      </c>
      <c r="GU4602" s="15" t="n">
        <v>196</v>
      </c>
    </row>
    <row r="4603">
      <c r="C4603" s="15" t="n">
        <v>197</v>
      </c>
      <c r="AA4603" s="15" t="n">
        <v>197</v>
      </c>
      <c r="AW4603" s="15" t="n">
        <v>197</v>
      </c>
      <c r="BS4603" s="15" t="n">
        <v>197</v>
      </c>
      <c r="CO4603" s="15" t="n">
        <v>197</v>
      </c>
      <c r="DK4603" s="15" t="n">
        <v>197</v>
      </c>
      <c r="EG4603" s="15" t="n">
        <v>197</v>
      </c>
      <c r="FC4603" s="15" t="n">
        <v>197</v>
      </c>
      <c r="FY4603" s="15" t="n">
        <v>197</v>
      </c>
      <c r="GU4603" s="15" t="n">
        <v>197</v>
      </c>
    </row>
    <row r="4604">
      <c r="C4604" s="15" t="n">
        <v>198</v>
      </c>
      <c r="AA4604" s="15" t="n">
        <v>198</v>
      </c>
      <c r="AW4604" s="15" t="n">
        <v>198</v>
      </c>
      <c r="BS4604" s="15" t="n">
        <v>198</v>
      </c>
      <c r="CO4604" s="15" t="n">
        <v>198</v>
      </c>
      <c r="DK4604" s="15" t="n">
        <v>198</v>
      </c>
      <c r="EG4604" s="15" t="n">
        <v>198</v>
      </c>
      <c r="FC4604" s="15" t="n">
        <v>198</v>
      </c>
      <c r="FY4604" s="15" t="n">
        <v>198</v>
      </c>
      <c r="GU4604" s="15" t="n">
        <v>198</v>
      </c>
    </row>
    <row r="4606">
      <c r="C4606" s="15" t="inlineStr">
        <is>
          <t>SQRT</t>
        </is>
      </c>
      <c r="D4606" s="15" t="n">
        <v>22</v>
      </c>
      <c r="E4606" s="15" t="n">
        <v>23</v>
      </c>
      <c r="F4606" s="15" t="n">
        <v>24</v>
      </c>
      <c r="AA4606" s="15" t="inlineStr">
        <is>
          <t>SQRT</t>
        </is>
      </c>
      <c r="AB4606" s="15" t="n">
        <v>22</v>
      </c>
      <c r="AC4606" s="15" t="n">
        <v>23</v>
      </c>
      <c r="AD4606" s="15" t="n">
        <v>24</v>
      </c>
      <c r="AW4606" s="15" t="inlineStr">
        <is>
          <t>SQRT</t>
        </is>
      </c>
      <c r="AX4606" s="15" t="n">
        <v>22</v>
      </c>
      <c r="AY4606" s="15" t="n">
        <v>23</v>
      </c>
      <c r="AZ4606" s="15" t="n">
        <v>24</v>
      </c>
      <c r="BS4606" s="15" t="inlineStr">
        <is>
          <t>SQRT</t>
        </is>
      </c>
      <c r="BT4606" s="15" t="n">
        <v>22</v>
      </c>
      <c r="BU4606" s="15" t="n">
        <v>23</v>
      </c>
      <c r="BV4606" s="15" t="n">
        <v>24</v>
      </c>
      <c r="CO4606" s="15" t="inlineStr">
        <is>
          <t>SQRT</t>
        </is>
      </c>
      <c r="CP4606" s="15" t="n">
        <v>22</v>
      </c>
      <c r="CQ4606" s="15" t="n">
        <v>23</v>
      </c>
      <c r="CR4606" s="15" t="n">
        <v>24</v>
      </c>
      <c r="DK4606" s="15" t="inlineStr">
        <is>
          <t>SQRT</t>
        </is>
      </c>
      <c r="DL4606" s="15" t="n">
        <v>22</v>
      </c>
      <c r="DM4606" s="15" t="n">
        <v>23</v>
      </c>
      <c r="DN4606" s="15" t="n">
        <v>24</v>
      </c>
      <c r="EG4606" s="15" t="inlineStr">
        <is>
          <t>SQRT</t>
        </is>
      </c>
      <c r="EH4606" s="15" t="n">
        <v>22</v>
      </c>
      <c r="EI4606" s="15" t="n">
        <v>23</v>
      </c>
      <c r="EJ4606" s="15" t="n">
        <v>24</v>
      </c>
      <c r="FC4606" s="15" t="inlineStr">
        <is>
          <t>SQRT</t>
        </is>
      </c>
      <c r="FD4606" s="15" t="n">
        <v>22</v>
      </c>
      <c r="FE4606" s="15" t="n">
        <v>23</v>
      </c>
      <c r="FF4606" s="15" t="n">
        <v>24</v>
      </c>
      <c r="FY4606" s="15" t="inlineStr">
        <is>
          <t>SQRT</t>
        </is>
      </c>
      <c r="FZ4606" s="15" t="n">
        <v>22</v>
      </c>
      <c r="GA4606" s="15" t="n">
        <v>23</v>
      </c>
      <c r="GB4606" s="15" t="n">
        <v>24</v>
      </c>
      <c r="GU4606" s="15" t="inlineStr">
        <is>
          <t>SQRT</t>
        </is>
      </c>
      <c r="GV4606" s="15" t="n">
        <v>22</v>
      </c>
      <c r="GW4606" s="15" t="n">
        <v>23</v>
      </c>
      <c r="GX4606" s="15" t="n">
        <v>24</v>
      </c>
    </row>
    <row r="4607">
      <c r="C4607" s="15" t="n">
        <v>9</v>
      </c>
      <c r="AA4607" s="15" t="n">
        <v>9</v>
      </c>
      <c r="AW4607" s="15" t="n">
        <v>9</v>
      </c>
      <c r="BS4607" s="15" t="n">
        <v>9</v>
      </c>
      <c r="CO4607" s="15" t="n">
        <v>9</v>
      </c>
      <c r="DK4607" s="15" t="n">
        <v>9</v>
      </c>
      <c r="EG4607" s="15" t="n">
        <v>9</v>
      </c>
      <c r="FC4607" s="15" t="n">
        <v>9</v>
      </c>
      <c r="FY4607" s="15" t="n">
        <v>9</v>
      </c>
      <c r="GU4607" s="15" t="n">
        <v>9</v>
      </c>
    </row>
    <row r="4608">
      <c r="C4608" s="15" t="n">
        <v>10</v>
      </c>
      <c r="AA4608" s="15" t="n">
        <v>10</v>
      </c>
      <c r="AW4608" s="15" t="n">
        <v>10</v>
      </c>
      <c r="BS4608" s="15" t="n">
        <v>10</v>
      </c>
      <c r="CO4608" s="15" t="n">
        <v>10</v>
      </c>
      <c r="DK4608" s="15" t="n">
        <v>10</v>
      </c>
      <c r="EG4608" s="15" t="n">
        <v>10</v>
      </c>
      <c r="FC4608" s="15" t="n">
        <v>10</v>
      </c>
      <c r="FY4608" s="15" t="n">
        <v>10</v>
      </c>
      <c r="GU4608" s="15" t="n">
        <v>10</v>
      </c>
    </row>
    <row r="4609">
      <c r="C4609" s="15" t="n">
        <v>11</v>
      </c>
      <c r="AA4609" s="15" t="n">
        <v>11</v>
      </c>
      <c r="AW4609" s="15" t="n">
        <v>11</v>
      </c>
      <c r="BS4609" s="15" t="n">
        <v>11</v>
      </c>
      <c r="CO4609" s="15" t="n">
        <v>11</v>
      </c>
      <c r="DK4609" s="15" t="n">
        <v>11</v>
      </c>
      <c r="EG4609" s="15" t="n">
        <v>11</v>
      </c>
      <c r="FC4609" s="15" t="n">
        <v>11</v>
      </c>
      <c r="FY4609" s="15" t="n">
        <v>11</v>
      </c>
      <c r="GU4609" s="15" t="n">
        <v>11</v>
      </c>
    </row>
    <row r="4610">
      <c r="C4610" s="15" t="n">
        <v>12</v>
      </c>
      <c r="AA4610" s="15" t="n">
        <v>12</v>
      </c>
      <c r="AW4610" s="15" t="n">
        <v>12</v>
      </c>
      <c r="BS4610" s="15" t="n">
        <v>12</v>
      </c>
      <c r="CO4610" s="15" t="n">
        <v>12</v>
      </c>
      <c r="DK4610" s="15" t="n">
        <v>12</v>
      </c>
      <c r="EG4610" s="15" t="n">
        <v>12</v>
      </c>
      <c r="FC4610" s="15" t="n">
        <v>12</v>
      </c>
      <c r="FY4610" s="15" t="n">
        <v>12</v>
      </c>
      <c r="GU4610" s="15" t="n">
        <v>12</v>
      </c>
    </row>
    <row r="4611">
      <c r="C4611" s="15" t="n">
        <v>13</v>
      </c>
      <c r="AA4611" s="15" t="n">
        <v>13</v>
      </c>
      <c r="AW4611" s="15" t="n">
        <v>13</v>
      </c>
      <c r="BS4611" s="15" t="n">
        <v>13</v>
      </c>
      <c r="CO4611" s="15" t="n">
        <v>13</v>
      </c>
      <c r="DK4611" s="15" t="n">
        <v>13</v>
      </c>
      <c r="EG4611" s="15" t="n">
        <v>13</v>
      </c>
      <c r="FC4611" s="15" t="n">
        <v>13</v>
      </c>
      <c r="FY4611" s="15" t="n">
        <v>13</v>
      </c>
      <c r="GU4611" s="15" t="n">
        <v>13</v>
      </c>
    </row>
    <row r="4612">
      <c r="C4612" s="15" t="n">
        <v>14</v>
      </c>
      <c r="AA4612" s="15" t="n">
        <v>14</v>
      </c>
      <c r="AW4612" s="15" t="n">
        <v>14</v>
      </c>
      <c r="BS4612" s="15" t="n">
        <v>14</v>
      </c>
      <c r="CO4612" s="15" t="n">
        <v>14</v>
      </c>
      <c r="DK4612" s="15" t="n">
        <v>14</v>
      </c>
      <c r="EG4612" s="15" t="n">
        <v>14</v>
      </c>
      <c r="FC4612" s="15" t="n">
        <v>14</v>
      </c>
      <c r="FY4612" s="15" t="n">
        <v>14</v>
      </c>
      <c r="GU4612" s="15" t="n">
        <v>14</v>
      </c>
    </row>
    <row r="4613">
      <c r="C4613" s="15" t="n">
        <v>15</v>
      </c>
      <c r="AA4613" s="15" t="n">
        <v>15</v>
      </c>
      <c r="AW4613" s="15" t="n">
        <v>15</v>
      </c>
      <c r="BS4613" s="15" t="n">
        <v>15</v>
      </c>
      <c r="CO4613" s="15" t="n">
        <v>15</v>
      </c>
      <c r="DK4613" s="15" t="n">
        <v>15</v>
      </c>
      <c r="EG4613" s="15" t="n">
        <v>15</v>
      </c>
      <c r="FC4613" s="15" t="n">
        <v>15</v>
      </c>
      <c r="FY4613" s="15" t="n">
        <v>15</v>
      </c>
      <c r="GU4613" s="15" t="n">
        <v>15</v>
      </c>
    </row>
    <row r="4614">
      <c r="C4614" s="15" t="n">
        <v>16</v>
      </c>
      <c r="AA4614" s="15" t="n">
        <v>16</v>
      </c>
      <c r="AW4614" s="15" t="n">
        <v>16</v>
      </c>
      <c r="BS4614" s="15" t="n">
        <v>16</v>
      </c>
      <c r="CO4614" s="15" t="n">
        <v>16</v>
      </c>
      <c r="DK4614" s="15" t="n">
        <v>16</v>
      </c>
      <c r="EG4614" s="15" t="n">
        <v>16</v>
      </c>
      <c r="FC4614" s="15" t="n">
        <v>16</v>
      </c>
      <c r="FY4614" s="15" t="n">
        <v>16</v>
      </c>
      <c r="GU4614" s="15" t="n">
        <v>16</v>
      </c>
    </row>
    <row r="4615">
      <c r="C4615" s="15" t="n">
        <v>17</v>
      </c>
      <c r="AA4615" s="15" t="n">
        <v>17</v>
      </c>
      <c r="AW4615" s="15" t="n">
        <v>17</v>
      </c>
      <c r="BS4615" s="15" t="n">
        <v>17</v>
      </c>
      <c r="CO4615" s="15" t="n">
        <v>17</v>
      </c>
      <c r="DK4615" s="15" t="n">
        <v>17</v>
      </c>
      <c r="EG4615" s="15" t="n">
        <v>17</v>
      </c>
      <c r="FC4615" s="15" t="n">
        <v>17</v>
      </c>
      <c r="FY4615" s="15" t="n">
        <v>17</v>
      </c>
      <c r="GU4615" s="15" t="n">
        <v>17</v>
      </c>
    </row>
    <row r="4616">
      <c r="C4616" s="15" t="n">
        <v>18</v>
      </c>
      <c r="AA4616" s="15" t="n">
        <v>18</v>
      </c>
      <c r="AW4616" s="15" t="n">
        <v>18</v>
      </c>
      <c r="BS4616" s="15" t="n">
        <v>18</v>
      </c>
      <c r="CO4616" s="15" t="n">
        <v>18</v>
      </c>
      <c r="DK4616" s="15" t="n">
        <v>18</v>
      </c>
      <c r="EG4616" s="15" t="n">
        <v>18</v>
      </c>
      <c r="FC4616" s="15" t="n">
        <v>18</v>
      </c>
      <c r="FY4616" s="15" t="n">
        <v>18</v>
      </c>
      <c r="GU4616" s="15" t="n">
        <v>18</v>
      </c>
    </row>
    <row r="4617">
      <c r="C4617" s="15" t="n">
        <v>19</v>
      </c>
      <c r="AA4617" s="15" t="n">
        <v>19</v>
      </c>
      <c r="AW4617" s="15" t="n">
        <v>19</v>
      </c>
      <c r="BS4617" s="15" t="n">
        <v>19</v>
      </c>
      <c r="CO4617" s="15" t="n">
        <v>19</v>
      </c>
      <c r="DK4617" s="15" t="n">
        <v>19</v>
      </c>
      <c r="EG4617" s="15" t="n">
        <v>19</v>
      </c>
      <c r="FC4617" s="15" t="n">
        <v>19</v>
      </c>
      <c r="FY4617" s="15" t="n">
        <v>19</v>
      </c>
      <c r="GU4617" s="15" t="n">
        <v>19</v>
      </c>
    </row>
    <row r="4618">
      <c r="C4618" s="15" t="n">
        <v>20</v>
      </c>
      <c r="AA4618" s="15" t="n">
        <v>20</v>
      </c>
      <c r="AW4618" s="15" t="n">
        <v>20</v>
      </c>
      <c r="BS4618" s="15" t="n">
        <v>20</v>
      </c>
      <c r="CO4618" s="15" t="n">
        <v>20</v>
      </c>
      <c r="DK4618" s="15" t="n">
        <v>20</v>
      </c>
      <c r="EG4618" s="15" t="n">
        <v>20</v>
      </c>
      <c r="FC4618" s="15" t="n">
        <v>20</v>
      </c>
      <c r="FY4618" s="15" t="n">
        <v>20</v>
      </c>
      <c r="GU4618" s="15" t="n">
        <v>20</v>
      </c>
    </row>
    <row r="4619">
      <c r="C4619" s="15" t="n">
        <v>21</v>
      </c>
      <c r="AA4619" s="15" t="n">
        <v>21</v>
      </c>
      <c r="AW4619" s="15" t="n">
        <v>21</v>
      </c>
      <c r="BS4619" s="15" t="n">
        <v>21</v>
      </c>
      <c r="CO4619" s="15" t="n">
        <v>21</v>
      </c>
      <c r="DK4619" s="15" t="n">
        <v>21</v>
      </c>
      <c r="EG4619" s="15" t="n">
        <v>21</v>
      </c>
      <c r="FC4619" s="15" t="n">
        <v>21</v>
      </c>
      <c r="FY4619" s="15" t="n">
        <v>21</v>
      </c>
      <c r="GU4619" s="15" t="n">
        <v>21</v>
      </c>
    </row>
    <row r="4620">
      <c r="C4620" s="15" t="n">
        <v>22</v>
      </c>
      <c r="AA4620" s="15" t="n">
        <v>22</v>
      </c>
      <c r="AW4620" s="15" t="n">
        <v>22</v>
      </c>
      <c r="BS4620" s="15" t="n">
        <v>22</v>
      </c>
      <c r="CO4620" s="15" t="n">
        <v>22</v>
      </c>
      <c r="DK4620" s="15" t="n">
        <v>22</v>
      </c>
      <c r="EG4620" s="15" t="n">
        <v>22</v>
      </c>
      <c r="FC4620" s="15" t="n">
        <v>22</v>
      </c>
      <c r="FY4620" s="15" t="n">
        <v>22</v>
      </c>
      <c r="GU4620" s="15" t="n">
        <v>22</v>
      </c>
    </row>
    <row r="4621">
      <c r="C4621" s="15" t="n">
        <v>23</v>
      </c>
      <c r="AA4621" s="15" t="n">
        <v>23</v>
      </c>
      <c r="AW4621" s="15" t="n">
        <v>23</v>
      </c>
      <c r="BS4621" s="15" t="n">
        <v>23</v>
      </c>
      <c r="CO4621" s="15" t="n">
        <v>23</v>
      </c>
      <c r="DK4621" s="15" t="n">
        <v>23</v>
      </c>
      <c r="EG4621" s="15" t="n">
        <v>23</v>
      </c>
      <c r="FC4621" s="15" t="n">
        <v>23</v>
      </c>
      <c r="FY4621" s="15" t="n">
        <v>23</v>
      </c>
      <c r="GU4621" s="15" t="n">
        <v>23</v>
      </c>
    </row>
    <row r="4622">
      <c r="C4622" s="15" t="n">
        <v>24</v>
      </c>
      <c r="AA4622" s="15" t="n">
        <v>24</v>
      </c>
      <c r="AW4622" s="15" t="n">
        <v>24</v>
      </c>
      <c r="BS4622" s="15" t="n">
        <v>24</v>
      </c>
      <c r="CO4622" s="15" t="n">
        <v>24</v>
      </c>
      <c r="DK4622" s="15" t="n">
        <v>24</v>
      </c>
      <c r="EG4622" s="15" t="n">
        <v>24</v>
      </c>
      <c r="FC4622" s="15" t="n">
        <v>24</v>
      </c>
      <c r="FY4622" s="15" t="n">
        <v>24</v>
      </c>
      <c r="GU4622" s="15" t="n">
        <v>24</v>
      </c>
    </row>
    <row r="4623">
      <c r="C4623" s="15" t="n">
        <v>25</v>
      </c>
      <c r="AA4623" s="15" t="n">
        <v>25</v>
      </c>
      <c r="AW4623" s="15" t="n">
        <v>25</v>
      </c>
      <c r="BS4623" s="15" t="n">
        <v>25</v>
      </c>
      <c r="CO4623" s="15" t="n">
        <v>25</v>
      </c>
      <c r="DK4623" s="15" t="n">
        <v>25</v>
      </c>
      <c r="EG4623" s="15" t="n">
        <v>25</v>
      </c>
      <c r="FC4623" s="15" t="n">
        <v>25</v>
      </c>
      <c r="FY4623" s="15" t="n">
        <v>25</v>
      </c>
      <c r="GU4623" s="15" t="n">
        <v>25</v>
      </c>
    </row>
    <row r="4624">
      <c r="C4624" s="15" t="n">
        <v>26</v>
      </c>
      <c r="AA4624" s="15" t="n">
        <v>26</v>
      </c>
      <c r="AW4624" s="15" t="n">
        <v>26</v>
      </c>
      <c r="BS4624" s="15" t="n">
        <v>26</v>
      </c>
      <c r="CO4624" s="15" t="n">
        <v>26</v>
      </c>
      <c r="DK4624" s="15" t="n">
        <v>26</v>
      </c>
      <c r="EG4624" s="15" t="n">
        <v>26</v>
      </c>
      <c r="FC4624" s="15" t="n">
        <v>26</v>
      </c>
      <c r="FY4624" s="15" t="n">
        <v>26</v>
      </c>
      <c r="GU4624" s="15" t="n">
        <v>26</v>
      </c>
    </row>
    <row r="4625">
      <c r="C4625" s="15" t="n">
        <v>27</v>
      </c>
      <c r="AA4625" s="15" t="n">
        <v>27</v>
      </c>
      <c r="AW4625" s="15" t="n">
        <v>27</v>
      </c>
      <c r="BS4625" s="15" t="n">
        <v>27</v>
      </c>
      <c r="CO4625" s="15" t="n">
        <v>27</v>
      </c>
      <c r="DK4625" s="15" t="n">
        <v>27</v>
      </c>
      <c r="EG4625" s="15" t="n">
        <v>27</v>
      </c>
      <c r="FC4625" s="15" t="n">
        <v>27</v>
      </c>
      <c r="FY4625" s="15" t="n">
        <v>27</v>
      </c>
      <c r="GU4625" s="15" t="n">
        <v>27</v>
      </c>
    </row>
    <row r="4626">
      <c r="C4626" s="15" t="n">
        <v>28</v>
      </c>
      <c r="AA4626" s="15" t="n">
        <v>28</v>
      </c>
      <c r="AW4626" s="15" t="n">
        <v>28</v>
      </c>
      <c r="BS4626" s="15" t="n">
        <v>28</v>
      </c>
      <c r="CO4626" s="15" t="n">
        <v>28</v>
      </c>
      <c r="DK4626" s="15" t="n">
        <v>28</v>
      </c>
      <c r="EG4626" s="15" t="n">
        <v>28</v>
      </c>
      <c r="FC4626" s="15" t="n">
        <v>28</v>
      </c>
      <c r="FY4626" s="15" t="n">
        <v>28</v>
      </c>
      <c r="GU4626" s="15" t="n">
        <v>28</v>
      </c>
    </row>
    <row r="4627">
      <c r="C4627" s="15" t="n">
        <v>29</v>
      </c>
      <c r="AA4627" s="15" t="n">
        <v>29</v>
      </c>
      <c r="AW4627" s="15" t="n">
        <v>29</v>
      </c>
      <c r="BS4627" s="15" t="n">
        <v>29</v>
      </c>
      <c r="CO4627" s="15" t="n">
        <v>29</v>
      </c>
      <c r="DK4627" s="15" t="n">
        <v>29</v>
      </c>
      <c r="EG4627" s="15" t="n">
        <v>29</v>
      </c>
      <c r="FC4627" s="15" t="n">
        <v>29</v>
      </c>
      <c r="FY4627" s="15" t="n">
        <v>29</v>
      </c>
      <c r="GU4627" s="15" t="n">
        <v>29</v>
      </c>
    </row>
    <row r="4628">
      <c r="C4628" s="15" t="n">
        <v>30</v>
      </c>
      <c r="AA4628" s="15" t="n">
        <v>30</v>
      </c>
      <c r="AW4628" s="15" t="n">
        <v>30</v>
      </c>
      <c r="BS4628" s="15" t="n">
        <v>30</v>
      </c>
      <c r="CO4628" s="15" t="n">
        <v>30</v>
      </c>
      <c r="DK4628" s="15" t="n">
        <v>30</v>
      </c>
      <c r="EG4628" s="15" t="n">
        <v>30</v>
      </c>
      <c r="FC4628" s="15" t="n">
        <v>30</v>
      </c>
      <c r="FY4628" s="15" t="n">
        <v>30</v>
      </c>
      <c r="GU4628" s="15" t="n">
        <v>30</v>
      </c>
    </row>
    <row r="4629">
      <c r="C4629" s="15" t="n">
        <v>31</v>
      </c>
      <c r="AA4629" s="15" t="n">
        <v>31</v>
      </c>
      <c r="AW4629" s="15" t="n">
        <v>31</v>
      </c>
      <c r="BS4629" s="15" t="n">
        <v>31</v>
      </c>
      <c r="CO4629" s="15" t="n">
        <v>31</v>
      </c>
      <c r="DK4629" s="15" t="n">
        <v>31</v>
      </c>
      <c r="EG4629" s="15" t="n">
        <v>31</v>
      </c>
      <c r="FC4629" s="15" t="n">
        <v>31</v>
      </c>
      <c r="FY4629" s="15" t="n">
        <v>31</v>
      </c>
      <c r="GU4629" s="15" t="n">
        <v>31</v>
      </c>
    </row>
    <row r="4630">
      <c r="C4630" s="15" t="n">
        <v>32</v>
      </c>
      <c r="AA4630" s="15" t="n">
        <v>32</v>
      </c>
      <c r="AW4630" s="15" t="n">
        <v>32</v>
      </c>
      <c r="BS4630" s="15" t="n">
        <v>32</v>
      </c>
      <c r="CO4630" s="15" t="n">
        <v>32</v>
      </c>
      <c r="DK4630" s="15" t="n">
        <v>32</v>
      </c>
      <c r="EG4630" s="15" t="n">
        <v>32</v>
      </c>
      <c r="FC4630" s="15" t="n">
        <v>32</v>
      </c>
      <c r="FY4630" s="15" t="n">
        <v>32</v>
      </c>
      <c r="GU4630" s="15" t="n">
        <v>32</v>
      </c>
    </row>
    <row r="4631">
      <c r="C4631" s="15" t="n">
        <v>33</v>
      </c>
      <c r="AA4631" s="15" t="n">
        <v>33</v>
      </c>
      <c r="AW4631" s="15" t="n">
        <v>33</v>
      </c>
      <c r="BS4631" s="15" t="n">
        <v>33</v>
      </c>
      <c r="CO4631" s="15" t="n">
        <v>33</v>
      </c>
      <c r="DK4631" s="15" t="n">
        <v>33</v>
      </c>
      <c r="EG4631" s="15" t="n">
        <v>33</v>
      </c>
      <c r="FC4631" s="15" t="n">
        <v>33</v>
      </c>
      <c r="FY4631" s="15" t="n">
        <v>33</v>
      </c>
      <c r="GU4631" s="15" t="n">
        <v>33</v>
      </c>
    </row>
    <row r="4632">
      <c r="C4632" s="15" t="n">
        <v>34</v>
      </c>
      <c r="AA4632" s="15" t="n">
        <v>34</v>
      </c>
      <c r="AW4632" s="15" t="n">
        <v>34</v>
      </c>
      <c r="BS4632" s="15" t="n">
        <v>34</v>
      </c>
      <c r="CO4632" s="15" t="n">
        <v>34</v>
      </c>
      <c r="DK4632" s="15" t="n">
        <v>34</v>
      </c>
      <c r="EG4632" s="15" t="n">
        <v>34</v>
      </c>
      <c r="FC4632" s="15" t="n">
        <v>34</v>
      </c>
      <c r="FY4632" s="15" t="n">
        <v>34</v>
      </c>
      <c r="GU4632" s="15" t="n">
        <v>34</v>
      </c>
    </row>
    <row r="4633">
      <c r="C4633" s="15" t="n">
        <v>35</v>
      </c>
      <c r="AA4633" s="15" t="n">
        <v>35</v>
      </c>
      <c r="AW4633" s="15" t="n">
        <v>35</v>
      </c>
      <c r="BS4633" s="15" t="n">
        <v>35</v>
      </c>
      <c r="CO4633" s="15" t="n">
        <v>35</v>
      </c>
      <c r="DK4633" s="15" t="n">
        <v>35</v>
      </c>
      <c r="EG4633" s="15" t="n">
        <v>35</v>
      </c>
      <c r="FC4633" s="15" t="n">
        <v>35</v>
      </c>
      <c r="FY4633" s="15" t="n">
        <v>35</v>
      </c>
      <c r="GU4633" s="15" t="n">
        <v>35</v>
      </c>
    </row>
    <row r="4634">
      <c r="C4634" s="15" t="n">
        <v>36</v>
      </c>
      <c r="AA4634" s="15" t="n">
        <v>36</v>
      </c>
      <c r="AW4634" s="15" t="n">
        <v>36</v>
      </c>
      <c r="BS4634" s="15" t="n">
        <v>36</v>
      </c>
      <c r="CO4634" s="15" t="n">
        <v>36</v>
      </c>
      <c r="DK4634" s="15" t="n">
        <v>36</v>
      </c>
      <c r="EG4634" s="15" t="n">
        <v>36</v>
      </c>
      <c r="FC4634" s="15" t="n">
        <v>36</v>
      </c>
      <c r="FY4634" s="15" t="n">
        <v>36</v>
      </c>
      <c r="GU4634" s="15" t="n">
        <v>36</v>
      </c>
    </row>
    <row r="4635">
      <c r="C4635" s="15" t="n">
        <v>37</v>
      </c>
      <c r="AA4635" s="15" t="n">
        <v>37</v>
      </c>
      <c r="AW4635" s="15" t="n">
        <v>37</v>
      </c>
      <c r="BS4635" s="15" t="n">
        <v>37</v>
      </c>
      <c r="CO4635" s="15" t="n">
        <v>37</v>
      </c>
      <c r="DK4635" s="15" t="n">
        <v>37</v>
      </c>
      <c r="EG4635" s="15" t="n">
        <v>37</v>
      </c>
      <c r="FC4635" s="15" t="n">
        <v>37</v>
      </c>
      <c r="FY4635" s="15" t="n">
        <v>37</v>
      </c>
      <c r="GU4635" s="15" t="n">
        <v>37</v>
      </c>
    </row>
    <row r="4636">
      <c r="C4636" s="15" t="n">
        <v>38</v>
      </c>
      <c r="AA4636" s="15" t="n">
        <v>38</v>
      </c>
      <c r="AW4636" s="15" t="n">
        <v>38</v>
      </c>
      <c r="BS4636" s="15" t="n">
        <v>38</v>
      </c>
      <c r="CO4636" s="15" t="n">
        <v>38</v>
      </c>
      <c r="DK4636" s="15" t="n">
        <v>38</v>
      </c>
      <c r="EG4636" s="15" t="n">
        <v>38</v>
      </c>
      <c r="FC4636" s="15" t="n">
        <v>38</v>
      </c>
      <c r="FY4636" s="15" t="n">
        <v>38</v>
      </c>
      <c r="GU4636" s="15" t="n">
        <v>38</v>
      </c>
    </row>
    <row r="4637">
      <c r="C4637" s="15" t="n">
        <v>39</v>
      </c>
      <c r="AA4637" s="15" t="n">
        <v>39</v>
      </c>
      <c r="AW4637" s="15" t="n">
        <v>39</v>
      </c>
      <c r="BS4637" s="15" t="n">
        <v>39</v>
      </c>
      <c r="CO4637" s="15" t="n">
        <v>39</v>
      </c>
      <c r="DK4637" s="15" t="n">
        <v>39</v>
      </c>
      <c r="EG4637" s="15" t="n">
        <v>39</v>
      </c>
      <c r="FC4637" s="15" t="n">
        <v>39</v>
      </c>
      <c r="FY4637" s="15" t="n">
        <v>39</v>
      </c>
      <c r="GU4637" s="15" t="n">
        <v>39</v>
      </c>
    </row>
    <row r="4638">
      <c r="C4638" s="15" t="n">
        <v>40</v>
      </c>
      <c r="AA4638" s="15" t="n">
        <v>40</v>
      </c>
      <c r="AW4638" s="15" t="n">
        <v>40</v>
      </c>
      <c r="BS4638" s="15" t="n">
        <v>40</v>
      </c>
      <c r="CO4638" s="15" t="n">
        <v>40</v>
      </c>
      <c r="DK4638" s="15" t="n">
        <v>40</v>
      </c>
      <c r="EG4638" s="15" t="n">
        <v>40</v>
      </c>
      <c r="FC4638" s="15" t="n">
        <v>40</v>
      </c>
      <c r="FY4638" s="15" t="n">
        <v>40</v>
      </c>
      <c r="GU4638" s="15" t="n">
        <v>40</v>
      </c>
    </row>
    <row r="4639">
      <c r="C4639" s="15" t="n">
        <v>41</v>
      </c>
      <c r="AA4639" s="15" t="n">
        <v>41</v>
      </c>
      <c r="AW4639" s="15" t="n">
        <v>41</v>
      </c>
      <c r="BS4639" s="15" t="n">
        <v>41</v>
      </c>
      <c r="CO4639" s="15" t="n">
        <v>41</v>
      </c>
      <c r="DK4639" s="15" t="n">
        <v>41</v>
      </c>
      <c r="EG4639" s="15" t="n">
        <v>41</v>
      </c>
      <c r="FC4639" s="15" t="n">
        <v>41</v>
      </c>
      <c r="FY4639" s="15" t="n">
        <v>41</v>
      </c>
      <c r="GU4639" s="15" t="n">
        <v>41</v>
      </c>
    </row>
    <row r="4640">
      <c r="C4640" s="15" t="n">
        <v>42</v>
      </c>
      <c r="AA4640" s="15" t="n">
        <v>42</v>
      </c>
      <c r="AW4640" s="15" t="n">
        <v>42</v>
      </c>
      <c r="BS4640" s="15" t="n">
        <v>42</v>
      </c>
      <c r="CO4640" s="15" t="n">
        <v>42</v>
      </c>
      <c r="DK4640" s="15" t="n">
        <v>42</v>
      </c>
      <c r="EG4640" s="15" t="n">
        <v>42</v>
      </c>
      <c r="FC4640" s="15" t="n">
        <v>42</v>
      </c>
      <c r="FY4640" s="15" t="n">
        <v>42</v>
      </c>
      <c r="GU4640" s="15" t="n">
        <v>42</v>
      </c>
    </row>
    <row r="4641">
      <c r="C4641" s="15" t="n">
        <v>43</v>
      </c>
      <c r="AA4641" s="15" t="n">
        <v>43</v>
      </c>
      <c r="AW4641" s="15" t="n">
        <v>43</v>
      </c>
      <c r="BS4641" s="15" t="n">
        <v>43</v>
      </c>
      <c r="CO4641" s="15" t="n">
        <v>43</v>
      </c>
      <c r="DK4641" s="15" t="n">
        <v>43</v>
      </c>
      <c r="EG4641" s="15" t="n">
        <v>43</v>
      </c>
      <c r="FC4641" s="15" t="n">
        <v>43</v>
      </c>
      <c r="FY4641" s="15" t="n">
        <v>43</v>
      </c>
      <c r="GU4641" s="15" t="n">
        <v>43</v>
      </c>
    </row>
    <row r="4642">
      <c r="C4642" s="15" t="n">
        <v>44</v>
      </c>
      <c r="AA4642" s="15" t="n">
        <v>44</v>
      </c>
      <c r="AW4642" s="15" t="n">
        <v>44</v>
      </c>
      <c r="BS4642" s="15" t="n">
        <v>44</v>
      </c>
      <c r="CO4642" s="15" t="n">
        <v>44</v>
      </c>
      <c r="DK4642" s="15" t="n">
        <v>44</v>
      </c>
      <c r="EG4642" s="15" t="n">
        <v>44</v>
      </c>
      <c r="FC4642" s="15" t="n">
        <v>44</v>
      </c>
      <c r="FY4642" s="15" t="n">
        <v>44</v>
      </c>
      <c r="GU4642" s="15" t="n">
        <v>44</v>
      </c>
    </row>
    <row r="4643">
      <c r="C4643" s="15" t="n">
        <v>45</v>
      </c>
      <c r="AA4643" s="15" t="n">
        <v>45</v>
      </c>
      <c r="AW4643" s="15" t="n">
        <v>45</v>
      </c>
      <c r="BS4643" s="15" t="n">
        <v>45</v>
      </c>
      <c r="CO4643" s="15" t="n">
        <v>45</v>
      </c>
      <c r="DK4643" s="15" t="n">
        <v>45</v>
      </c>
      <c r="EG4643" s="15" t="n">
        <v>45</v>
      </c>
      <c r="FC4643" s="15" t="n">
        <v>45</v>
      </c>
      <c r="FY4643" s="15" t="n">
        <v>45</v>
      </c>
      <c r="GU4643" s="15" t="n">
        <v>45</v>
      </c>
    </row>
    <row r="4644">
      <c r="C4644" s="15" t="n">
        <v>46</v>
      </c>
      <c r="AA4644" s="15" t="n">
        <v>46</v>
      </c>
      <c r="AW4644" s="15" t="n">
        <v>46</v>
      </c>
      <c r="BS4644" s="15" t="n">
        <v>46</v>
      </c>
      <c r="CO4644" s="15" t="n">
        <v>46</v>
      </c>
      <c r="DK4644" s="15" t="n">
        <v>46</v>
      </c>
      <c r="EG4644" s="15" t="n">
        <v>46</v>
      </c>
      <c r="FC4644" s="15" t="n">
        <v>46</v>
      </c>
      <c r="FY4644" s="15" t="n">
        <v>46</v>
      </c>
      <c r="GU4644" s="15" t="n">
        <v>46</v>
      </c>
    </row>
    <row r="4645">
      <c r="C4645" s="15" t="n">
        <v>47</v>
      </c>
      <c r="AA4645" s="15" t="n">
        <v>47</v>
      </c>
      <c r="AW4645" s="15" t="n">
        <v>47</v>
      </c>
      <c r="BS4645" s="15" t="n">
        <v>47</v>
      </c>
      <c r="CO4645" s="15" t="n">
        <v>47</v>
      </c>
      <c r="DK4645" s="15" t="n">
        <v>47</v>
      </c>
      <c r="EG4645" s="15" t="n">
        <v>47</v>
      </c>
      <c r="FC4645" s="15" t="n">
        <v>47</v>
      </c>
      <c r="FY4645" s="15" t="n">
        <v>47</v>
      </c>
      <c r="GU4645" s="15" t="n">
        <v>47</v>
      </c>
    </row>
    <row r="4646">
      <c r="C4646" s="15" t="n">
        <v>48</v>
      </c>
      <c r="AA4646" s="15" t="n">
        <v>48</v>
      </c>
      <c r="AW4646" s="15" t="n">
        <v>48</v>
      </c>
      <c r="BS4646" s="15" t="n">
        <v>48</v>
      </c>
      <c r="CO4646" s="15" t="n">
        <v>48</v>
      </c>
      <c r="DK4646" s="15" t="n">
        <v>48</v>
      </c>
      <c r="EG4646" s="15" t="n">
        <v>48</v>
      </c>
      <c r="FC4646" s="15" t="n">
        <v>48</v>
      </c>
      <c r="FY4646" s="15" t="n">
        <v>48</v>
      </c>
      <c r="GU4646" s="15" t="n">
        <v>48</v>
      </c>
    </row>
    <row r="4647">
      <c r="C4647" s="15" t="n">
        <v>49</v>
      </c>
      <c r="AA4647" s="15" t="n">
        <v>49</v>
      </c>
      <c r="AW4647" s="15" t="n">
        <v>49</v>
      </c>
      <c r="BS4647" s="15" t="n">
        <v>49</v>
      </c>
      <c r="CO4647" s="15" t="n">
        <v>49</v>
      </c>
      <c r="DK4647" s="15" t="n">
        <v>49</v>
      </c>
      <c r="EG4647" s="15" t="n">
        <v>49</v>
      </c>
      <c r="FC4647" s="15" t="n">
        <v>49</v>
      </c>
      <c r="FY4647" s="15" t="n">
        <v>49</v>
      </c>
      <c r="GU4647" s="15" t="n">
        <v>49</v>
      </c>
    </row>
    <row r="4648">
      <c r="C4648" s="15" t="n">
        <v>50</v>
      </c>
      <c r="AA4648" s="15" t="n">
        <v>50</v>
      </c>
      <c r="AW4648" s="15" t="n">
        <v>50</v>
      </c>
      <c r="BS4648" s="15" t="n">
        <v>50</v>
      </c>
      <c r="CO4648" s="15" t="n">
        <v>50</v>
      </c>
      <c r="DK4648" s="15" t="n">
        <v>50</v>
      </c>
      <c r="EG4648" s="15" t="n">
        <v>50</v>
      </c>
      <c r="FC4648" s="15" t="n">
        <v>50</v>
      </c>
      <c r="FY4648" s="15" t="n">
        <v>50</v>
      </c>
      <c r="GU4648" s="15" t="n">
        <v>50</v>
      </c>
    </row>
    <row r="4649">
      <c r="C4649" s="15" t="n">
        <v>51</v>
      </c>
      <c r="AA4649" s="15" t="n">
        <v>51</v>
      </c>
      <c r="AW4649" s="15" t="n">
        <v>51</v>
      </c>
      <c r="BS4649" s="15" t="n">
        <v>51</v>
      </c>
      <c r="CO4649" s="15" t="n">
        <v>51</v>
      </c>
      <c r="DK4649" s="15" t="n">
        <v>51</v>
      </c>
      <c r="EG4649" s="15" t="n">
        <v>51</v>
      </c>
      <c r="FC4649" s="15" t="n">
        <v>51</v>
      </c>
      <c r="FY4649" s="15" t="n">
        <v>51</v>
      </c>
      <c r="GU4649" s="15" t="n">
        <v>51</v>
      </c>
    </row>
    <row r="4650">
      <c r="C4650" s="15" t="n">
        <v>52</v>
      </c>
      <c r="AA4650" s="15" t="n">
        <v>52</v>
      </c>
      <c r="AW4650" s="15" t="n">
        <v>52</v>
      </c>
      <c r="BS4650" s="15" t="n">
        <v>52</v>
      </c>
      <c r="CO4650" s="15" t="n">
        <v>52</v>
      </c>
      <c r="DK4650" s="15" t="n">
        <v>52</v>
      </c>
      <c r="EG4650" s="15" t="n">
        <v>52</v>
      </c>
      <c r="FC4650" s="15" t="n">
        <v>52</v>
      </c>
      <c r="FY4650" s="15" t="n">
        <v>52</v>
      </c>
      <c r="GU4650" s="15" t="n">
        <v>52</v>
      </c>
    </row>
    <row r="4651">
      <c r="C4651" s="15" t="n">
        <v>53</v>
      </c>
      <c r="AA4651" s="15" t="n">
        <v>53</v>
      </c>
      <c r="AW4651" s="15" t="n">
        <v>53</v>
      </c>
      <c r="BS4651" s="15" t="n">
        <v>53</v>
      </c>
      <c r="CO4651" s="15" t="n">
        <v>53</v>
      </c>
      <c r="DK4651" s="15" t="n">
        <v>53</v>
      </c>
      <c r="EG4651" s="15" t="n">
        <v>53</v>
      </c>
      <c r="FC4651" s="15" t="n">
        <v>53</v>
      </c>
      <c r="FY4651" s="15" t="n">
        <v>53</v>
      </c>
      <c r="GU4651" s="15" t="n">
        <v>53</v>
      </c>
    </row>
    <row r="4652">
      <c r="C4652" s="15" t="n">
        <v>54</v>
      </c>
      <c r="AA4652" s="15" t="n">
        <v>54</v>
      </c>
      <c r="AW4652" s="15" t="n">
        <v>54</v>
      </c>
      <c r="BS4652" s="15" t="n">
        <v>54</v>
      </c>
      <c r="CO4652" s="15" t="n">
        <v>54</v>
      </c>
      <c r="DK4652" s="15" t="n">
        <v>54</v>
      </c>
      <c r="EG4652" s="15" t="n">
        <v>54</v>
      </c>
      <c r="FC4652" s="15" t="n">
        <v>54</v>
      </c>
      <c r="FY4652" s="15" t="n">
        <v>54</v>
      </c>
      <c r="GU4652" s="15" t="n">
        <v>54</v>
      </c>
    </row>
    <row r="4653">
      <c r="C4653" s="15" t="n">
        <v>55</v>
      </c>
      <c r="AA4653" s="15" t="n">
        <v>55</v>
      </c>
      <c r="AW4653" s="15" t="n">
        <v>55</v>
      </c>
      <c r="BS4653" s="15" t="n">
        <v>55</v>
      </c>
      <c r="CO4653" s="15" t="n">
        <v>55</v>
      </c>
      <c r="DK4653" s="15" t="n">
        <v>55</v>
      </c>
      <c r="EG4653" s="15" t="n">
        <v>55</v>
      </c>
      <c r="FC4653" s="15" t="n">
        <v>55</v>
      </c>
      <c r="FY4653" s="15" t="n">
        <v>55</v>
      </c>
      <c r="GU4653" s="15" t="n">
        <v>55</v>
      </c>
    </row>
    <row r="4654">
      <c r="C4654" s="15" t="n">
        <v>56</v>
      </c>
      <c r="AA4654" s="15" t="n">
        <v>56</v>
      </c>
      <c r="AW4654" s="15" t="n">
        <v>56</v>
      </c>
      <c r="BS4654" s="15" t="n">
        <v>56</v>
      </c>
      <c r="CO4654" s="15" t="n">
        <v>56</v>
      </c>
      <c r="DK4654" s="15" t="n">
        <v>56</v>
      </c>
      <c r="EG4654" s="15" t="n">
        <v>56</v>
      </c>
      <c r="FC4654" s="15" t="n">
        <v>56</v>
      </c>
      <c r="FY4654" s="15" t="n">
        <v>56</v>
      </c>
      <c r="GU4654" s="15" t="n">
        <v>56</v>
      </c>
    </row>
    <row r="4655">
      <c r="C4655" s="15" t="n">
        <v>57</v>
      </c>
      <c r="AA4655" s="15" t="n">
        <v>57</v>
      </c>
      <c r="AW4655" s="15" t="n">
        <v>57</v>
      </c>
      <c r="BS4655" s="15" t="n">
        <v>57</v>
      </c>
      <c r="CO4655" s="15" t="n">
        <v>57</v>
      </c>
      <c r="DK4655" s="15" t="n">
        <v>57</v>
      </c>
      <c r="EG4655" s="15" t="n">
        <v>57</v>
      </c>
      <c r="FC4655" s="15" t="n">
        <v>57</v>
      </c>
      <c r="FY4655" s="15" t="n">
        <v>57</v>
      </c>
      <c r="GU4655" s="15" t="n">
        <v>57</v>
      </c>
    </row>
    <row r="4656">
      <c r="C4656" s="15" t="n">
        <v>58</v>
      </c>
      <c r="AA4656" s="15" t="n">
        <v>58</v>
      </c>
      <c r="AW4656" s="15" t="n">
        <v>58</v>
      </c>
      <c r="BS4656" s="15" t="n">
        <v>58</v>
      </c>
      <c r="CO4656" s="15" t="n">
        <v>58</v>
      </c>
      <c r="DK4656" s="15" t="n">
        <v>58</v>
      </c>
      <c r="EG4656" s="15" t="n">
        <v>58</v>
      </c>
      <c r="FC4656" s="15" t="n">
        <v>58</v>
      </c>
      <c r="FY4656" s="15" t="n">
        <v>58</v>
      </c>
      <c r="GU4656" s="15" t="n">
        <v>58</v>
      </c>
    </row>
    <row r="4657">
      <c r="C4657" s="15" t="n">
        <v>59</v>
      </c>
      <c r="AA4657" s="15" t="n">
        <v>59</v>
      </c>
      <c r="AW4657" s="15" t="n">
        <v>59</v>
      </c>
      <c r="BS4657" s="15" t="n">
        <v>59</v>
      </c>
      <c r="CO4657" s="15" t="n">
        <v>59</v>
      </c>
      <c r="DK4657" s="15" t="n">
        <v>59</v>
      </c>
      <c r="EG4657" s="15" t="n">
        <v>59</v>
      </c>
      <c r="FC4657" s="15" t="n">
        <v>59</v>
      </c>
      <c r="FY4657" s="15" t="n">
        <v>59</v>
      </c>
      <c r="GU4657" s="15" t="n">
        <v>59</v>
      </c>
    </row>
    <row r="4658">
      <c r="C4658" s="15" t="n">
        <v>60</v>
      </c>
      <c r="AA4658" s="15" t="n">
        <v>60</v>
      </c>
      <c r="AW4658" s="15" t="n">
        <v>60</v>
      </c>
      <c r="BS4658" s="15" t="n">
        <v>60</v>
      </c>
      <c r="CO4658" s="15" t="n">
        <v>60</v>
      </c>
      <c r="DK4658" s="15" t="n">
        <v>60</v>
      </c>
      <c r="EG4658" s="15" t="n">
        <v>60</v>
      </c>
      <c r="FC4658" s="15" t="n">
        <v>60</v>
      </c>
      <c r="FY4658" s="15" t="n">
        <v>60</v>
      </c>
      <c r="GU4658" s="15" t="n">
        <v>60</v>
      </c>
    </row>
    <row r="4659">
      <c r="C4659" s="15" t="n">
        <v>61</v>
      </c>
      <c r="AA4659" s="15" t="n">
        <v>61</v>
      </c>
      <c r="AW4659" s="15" t="n">
        <v>61</v>
      </c>
      <c r="BS4659" s="15" t="n">
        <v>61</v>
      </c>
      <c r="CO4659" s="15" t="n">
        <v>61</v>
      </c>
      <c r="DK4659" s="15" t="n">
        <v>61</v>
      </c>
      <c r="EG4659" s="15" t="n">
        <v>61</v>
      </c>
      <c r="FC4659" s="15" t="n">
        <v>61</v>
      </c>
      <c r="FY4659" s="15" t="n">
        <v>61</v>
      </c>
      <c r="GU4659" s="15" t="n">
        <v>61</v>
      </c>
    </row>
    <row r="4660">
      <c r="C4660" s="15" t="n">
        <v>62</v>
      </c>
      <c r="AA4660" s="15" t="n">
        <v>62</v>
      </c>
      <c r="AW4660" s="15" t="n">
        <v>62</v>
      </c>
      <c r="BS4660" s="15" t="n">
        <v>62</v>
      </c>
      <c r="CO4660" s="15" t="n">
        <v>62</v>
      </c>
      <c r="DK4660" s="15" t="n">
        <v>62</v>
      </c>
      <c r="EG4660" s="15" t="n">
        <v>62</v>
      </c>
      <c r="FC4660" s="15" t="n">
        <v>62</v>
      </c>
      <c r="FY4660" s="15" t="n">
        <v>62</v>
      </c>
      <c r="GU4660" s="15" t="n">
        <v>62</v>
      </c>
    </row>
    <row r="4661">
      <c r="C4661" s="15" t="n">
        <v>63</v>
      </c>
      <c r="AA4661" s="15" t="n">
        <v>63</v>
      </c>
      <c r="AW4661" s="15" t="n">
        <v>63</v>
      </c>
      <c r="BS4661" s="15" t="n">
        <v>63</v>
      </c>
      <c r="CO4661" s="15" t="n">
        <v>63</v>
      </c>
      <c r="DK4661" s="15" t="n">
        <v>63</v>
      </c>
      <c r="EG4661" s="15" t="n">
        <v>63</v>
      </c>
      <c r="FC4661" s="15" t="n">
        <v>63</v>
      </c>
      <c r="FY4661" s="15" t="n">
        <v>63</v>
      </c>
      <c r="GU4661" s="15" t="n">
        <v>63</v>
      </c>
    </row>
    <row r="4662">
      <c r="C4662" s="15" t="n">
        <v>64</v>
      </c>
      <c r="AA4662" s="15" t="n">
        <v>64</v>
      </c>
      <c r="AW4662" s="15" t="n">
        <v>64</v>
      </c>
      <c r="BS4662" s="15" t="n">
        <v>64</v>
      </c>
      <c r="CO4662" s="15" t="n">
        <v>64</v>
      </c>
      <c r="DK4662" s="15" t="n">
        <v>64</v>
      </c>
      <c r="EG4662" s="15" t="n">
        <v>64</v>
      </c>
      <c r="FC4662" s="15" t="n">
        <v>64</v>
      </c>
      <c r="FY4662" s="15" t="n">
        <v>64</v>
      </c>
      <c r="GU4662" s="15" t="n">
        <v>64</v>
      </c>
    </row>
    <row r="4663">
      <c r="C4663" s="15" t="n">
        <v>65</v>
      </c>
      <c r="AA4663" s="15" t="n">
        <v>65</v>
      </c>
      <c r="AW4663" s="15" t="n">
        <v>65</v>
      </c>
      <c r="BS4663" s="15" t="n">
        <v>65</v>
      </c>
      <c r="CO4663" s="15" t="n">
        <v>65</v>
      </c>
      <c r="DK4663" s="15" t="n">
        <v>65</v>
      </c>
      <c r="EG4663" s="15" t="n">
        <v>65</v>
      </c>
      <c r="FC4663" s="15" t="n">
        <v>65</v>
      </c>
      <c r="FY4663" s="15" t="n">
        <v>65</v>
      </c>
      <c r="GU4663" s="15" t="n">
        <v>65</v>
      </c>
    </row>
    <row r="4664">
      <c r="C4664" s="15" t="n">
        <v>66</v>
      </c>
      <c r="AA4664" s="15" t="n">
        <v>66</v>
      </c>
      <c r="AW4664" s="15" t="n">
        <v>66</v>
      </c>
      <c r="BS4664" s="15" t="n">
        <v>66</v>
      </c>
      <c r="CO4664" s="15" t="n">
        <v>66</v>
      </c>
      <c r="DK4664" s="15" t="n">
        <v>66</v>
      </c>
      <c r="EG4664" s="15" t="n">
        <v>66</v>
      </c>
      <c r="FC4664" s="15" t="n">
        <v>66</v>
      </c>
      <c r="FY4664" s="15" t="n">
        <v>66</v>
      </c>
      <c r="GU4664" s="15" t="n">
        <v>66</v>
      </c>
    </row>
    <row r="4665">
      <c r="C4665" s="15" t="n">
        <v>67</v>
      </c>
      <c r="AA4665" s="15" t="n">
        <v>67</v>
      </c>
      <c r="AW4665" s="15" t="n">
        <v>67</v>
      </c>
      <c r="BS4665" s="15" t="n">
        <v>67</v>
      </c>
      <c r="CO4665" s="15" t="n">
        <v>67</v>
      </c>
      <c r="DK4665" s="15" t="n">
        <v>67</v>
      </c>
      <c r="EG4665" s="15" t="n">
        <v>67</v>
      </c>
      <c r="FC4665" s="15" t="n">
        <v>67</v>
      </c>
      <c r="FY4665" s="15" t="n">
        <v>67</v>
      </c>
      <c r="GU4665" s="15" t="n">
        <v>67</v>
      </c>
    </row>
    <row r="4666">
      <c r="C4666" s="15" t="n">
        <v>68</v>
      </c>
      <c r="AA4666" s="15" t="n">
        <v>68</v>
      </c>
      <c r="AW4666" s="15" t="n">
        <v>68</v>
      </c>
      <c r="BS4666" s="15" t="n">
        <v>68</v>
      </c>
      <c r="CO4666" s="15" t="n">
        <v>68</v>
      </c>
      <c r="DK4666" s="15" t="n">
        <v>68</v>
      </c>
      <c r="EG4666" s="15" t="n">
        <v>68</v>
      </c>
      <c r="FC4666" s="15" t="n">
        <v>68</v>
      </c>
      <c r="FY4666" s="15" t="n">
        <v>68</v>
      </c>
      <c r="GU4666" s="15" t="n">
        <v>68</v>
      </c>
    </row>
    <row r="4667">
      <c r="C4667" s="15" t="n">
        <v>69</v>
      </c>
      <c r="AA4667" s="15" t="n">
        <v>69</v>
      </c>
      <c r="AW4667" s="15" t="n">
        <v>69</v>
      </c>
      <c r="BS4667" s="15" t="n">
        <v>69</v>
      </c>
      <c r="CO4667" s="15" t="n">
        <v>69</v>
      </c>
      <c r="DK4667" s="15" t="n">
        <v>69</v>
      </c>
      <c r="EG4667" s="15" t="n">
        <v>69</v>
      </c>
      <c r="FC4667" s="15" t="n">
        <v>69</v>
      </c>
      <c r="FY4667" s="15" t="n">
        <v>69</v>
      </c>
      <c r="GU4667" s="15" t="n">
        <v>69</v>
      </c>
    </row>
    <row r="4668">
      <c r="C4668" s="15" t="n">
        <v>70</v>
      </c>
      <c r="AA4668" s="15" t="n">
        <v>70</v>
      </c>
      <c r="AW4668" s="15" t="n">
        <v>70</v>
      </c>
      <c r="BS4668" s="15" t="n">
        <v>70</v>
      </c>
      <c r="CO4668" s="15" t="n">
        <v>70</v>
      </c>
      <c r="DK4668" s="15" t="n">
        <v>70</v>
      </c>
      <c r="EG4668" s="15" t="n">
        <v>70</v>
      </c>
      <c r="FC4668" s="15" t="n">
        <v>70</v>
      </c>
      <c r="FY4668" s="15" t="n">
        <v>70</v>
      </c>
      <c r="GU4668" s="15" t="n">
        <v>70</v>
      </c>
    </row>
    <row r="4669">
      <c r="C4669" s="15" t="n">
        <v>71</v>
      </c>
      <c r="AA4669" s="15" t="n">
        <v>71</v>
      </c>
      <c r="AW4669" s="15" t="n">
        <v>71</v>
      </c>
      <c r="BS4669" s="15" t="n">
        <v>71</v>
      </c>
      <c r="CO4669" s="15" t="n">
        <v>71</v>
      </c>
      <c r="DK4669" s="15" t="n">
        <v>71</v>
      </c>
      <c r="EG4669" s="15" t="n">
        <v>71</v>
      </c>
      <c r="FC4669" s="15" t="n">
        <v>71</v>
      </c>
      <c r="FY4669" s="15" t="n">
        <v>71</v>
      </c>
      <c r="GU4669" s="15" t="n">
        <v>71</v>
      </c>
    </row>
    <row r="4670">
      <c r="C4670" s="15" t="n">
        <v>72</v>
      </c>
      <c r="AA4670" s="15" t="n">
        <v>72</v>
      </c>
      <c r="AW4670" s="15" t="n">
        <v>72</v>
      </c>
      <c r="BS4670" s="15" t="n">
        <v>72</v>
      </c>
      <c r="CO4670" s="15" t="n">
        <v>72</v>
      </c>
      <c r="DK4670" s="15" t="n">
        <v>72</v>
      </c>
      <c r="EG4670" s="15" t="n">
        <v>72</v>
      </c>
      <c r="FC4670" s="15" t="n">
        <v>72</v>
      </c>
      <c r="FY4670" s="15" t="n">
        <v>72</v>
      </c>
      <c r="GU4670" s="15" t="n">
        <v>72</v>
      </c>
    </row>
    <row r="4671">
      <c r="C4671" s="15" t="n">
        <v>73</v>
      </c>
      <c r="AA4671" s="15" t="n">
        <v>73</v>
      </c>
      <c r="AW4671" s="15" t="n">
        <v>73</v>
      </c>
      <c r="BS4671" s="15" t="n">
        <v>73</v>
      </c>
      <c r="CO4671" s="15" t="n">
        <v>73</v>
      </c>
      <c r="DK4671" s="15" t="n">
        <v>73</v>
      </c>
      <c r="EG4671" s="15" t="n">
        <v>73</v>
      </c>
      <c r="FC4671" s="15" t="n">
        <v>73</v>
      </c>
      <c r="FY4671" s="15" t="n">
        <v>73</v>
      </c>
      <c r="GU4671" s="15" t="n">
        <v>73</v>
      </c>
    </row>
    <row r="4672">
      <c r="C4672" s="15" t="n">
        <v>74</v>
      </c>
      <c r="AA4672" s="15" t="n">
        <v>74</v>
      </c>
      <c r="AW4672" s="15" t="n">
        <v>74</v>
      </c>
      <c r="BS4672" s="15" t="n">
        <v>74</v>
      </c>
      <c r="CO4672" s="15" t="n">
        <v>74</v>
      </c>
      <c r="DK4672" s="15" t="n">
        <v>74</v>
      </c>
      <c r="EG4672" s="15" t="n">
        <v>74</v>
      </c>
      <c r="FC4672" s="15" t="n">
        <v>74</v>
      </c>
      <c r="FY4672" s="15" t="n">
        <v>74</v>
      </c>
      <c r="GU4672" s="15" t="n">
        <v>74</v>
      </c>
    </row>
    <row r="4673">
      <c r="C4673" s="15" t="n">
        <v>75</v>
      </c>
      <c r="AA4673" s="15" t="n">
        <v>75</v>
      </c>
      <c r="AW4673" s="15" t="n">
        <v>75</v>
      </c>
      <c r="BS4673" s="15" t="n">
        <v>75</v>
      </c>
      <c r="CO4673" s="15" t="n">
        <v>75</v>
      </c>
      <c r="DK4673" s="15" t="n">
        <v>75</v>
      </c>
      <c r="EG4673" s="15" t="n">
        <v>75</v>
      </c>
      <c r="FC4673" s="15" t="n">
        <v>75</v>
      </c>
      <c r="FY4673" s="15" t="n">
        <v>75</v>
      </c>
      <c r="GU4673" s="15" t="n">
        <v>75</v>
      </c>
    </row>
    <row r="4674">
      <c r="C4674" s="15" t="n">
        <v>76</v>
      </c>
      <c r="AA4674" s="15" t="n">
        <v>76</v>
      </c>
      <c r="AW4674" s="15" t="n">
        <v>76</v>
      </c>
      <c r="BS4674" s="15" t="n">
        <v>76</v>
      </c>
      <c r="CO4674" s="15" t="n">
        <v>76</v>
      </c>
      <c r="DK4674" s="15" t="n">
        <v>76</v>
      </c>
      <c r="EG4674" s="15" t="n">
        <v>76</v>
      </c>
      <c r="FC4674" s="15" t="n">
        <v>76</v>
      </c>
      <c r="FY4674" s="15" t="n">
        <v>76</v>
      </c>
      <c r="GU4674" s="15" t="n">
        <v>76</v>
      </c>
    </row>
    <row r="4675">
      <c r="C4675" s="15" t="n">
        <v>77</v>
      </c>
      <c r="AA4675" s="15" t="n">
        <v>77</v>
      </c>
      <c r="AW4675" s="15" t="n">
        <v>77</v>
      </c>
      <c r="BS4675" s="15" t="n">
        <v>77</v>
      </c>
      <c r="CO4675" s="15" t="n">
        <v>77</v>
      </c>
      <c r="DK4675" s="15" t="n">
        <v>77</v>
      </c>
      <c r="EG4675" s="15" t="n">
        <v>77</v>
      </c>
      <c r="FC4675" s="15" t="n">
        <v>77</v>
      </c>
      <c r="FY4675" s="15" t="n">
        <v>77</v>
      </c>
      <c r="GU4675" s="15" t="n">
        <v>77</v>
      </c>
    </row>
    <row r="4676">
      <c r="C4676" s="15" t="n">
        <v>78</v>
      </c>
      <c r="AA4676" s="15" t="n">
        <v>78</v>
      </c>
      <c r="AW4676" s="15" t="n">
        <v>78</v>
      </c>
      <c r="BS4676" s="15" t="n">
        <v>78</v>
      </c>
      <c r="CO4676" s="15" t="n">
        <v>78</v>
      </c>
      <c r="DK4676" s="15" t="n">
        <v>78</v>
      </c>
      <c r="EG4676" s="15" t="n">
        <v>78</v>
      </c>
      <c r="FC4676" s="15" t="n">
        <v>78</v>
      </c>
      <c r="FY4676" s="15" t="n">
        <v>78</v>
      </c>
      <c r="GU4676" s="15" t="n">
        <v>78</v>
      </c>
    </row>
    <row r="4677">
      <c r="C4677" s="15" t="n">
        <v>79</v>
      </c>
      <c r="AA4677" s="15" t="n">
        <v>79</v>
      </c>
      <c r="AW4677" s="15" t="n">
        <v>79</v>
      </c>
      <c r="BS4677" s="15" t="n">
        <v>79</v>
      </c>
      <c r="CO4677" s="15" t="n">
        <v>79</v>
      </c>
      <c r="DK4677" s="15" t="n">
        <v>79</v>
      </c>
      <c r="EG4677" s="15" t="n">
        <v>79</v>
      </c>
      <c r="FC4677" s="15" t="n">
        <v>79</v>
      </c>
      <c r="FY4677" s="15" t="n">
        <v>79</v>
      </c>
      <c r="GU4677" s="15" t="n">
        <v>79</v>
      </c>
    </row>
    <row r="4678">
      <c r="C4678" s="15" t="n">
        <v>80</v>
      </c>
      <c r="AA4678" s="15" t="n">
        <v>80</v>
      </c>
      <c r="AW4678" s="15" t="n">
        <v>80</v>
      </c>
      <c r="BS4678" s="15" t="n">
        <v>80</v>
      </c>
      <c r="CO4678" s="15" t="n">
        <v>80</v>
      </c>
      <c r="DK4678" s="15" t="n">
        <v>80</v>
      </c>
      <c r="EG4678" s="15" t="n">
        <v>80</v>
      </c>
      <c r="FC4678" s="15" t="n">
        <v>80</v>
      </c>
      <c r="FY4678" s="15" t="n">
        <v>80</v>
      </c>
      <c r="GU4678" s="15" t="n">
        <v>80</v>
      </c>
    </row>
    <row r="4679">
      <c r="C4679" s="15" t="n">
        <v>81</v>
      </c>
      <c r="AA4679" s="15" t="n">
        <v>81</v>
      </c>
      <c r="AW4679" s="15" t="n">
        <v>81</v>
      </c>
      <c r="BS4679" s="15" t="n">
        <v>81</v>
      </c>
      <c r="CO4679" s="15" t="n">
        <v>81</v>
      </c>
      <c r="DK4679" s="15" t="n">
        <v>81</v>
      </c>
      <c r="EG4679" s="15" t="n">
        <v>81</v>
      </c>
      <c r="FC4679" s="15" t="n">
        <v>81</v>
      </c>
      <c r="FY4679" s="15" t="n">
        <v>81</v>
      </c>
      <c r="GU4679" s="15" t="n">
        <v>81</v>
      </c>
    </row>
    <row r="4680">
      <c r="C4680" s="15" t="n">
        <v>82</v>
      </c>
      <c r="AA4680" s="15" t="n">
        <v>82</v>
      </c>
      <c r="AW4680" s="15" t="n">
        <v>82</v>
      </c>
      <c r="BS4680" s="15" t="n">
        <v>82</v>
      </c>
      <c r="CO4680" s="15" t="n">
        <v>82</v>
      </c>
      <c r="DK4680" s="15" t="n">
        <v>82</v>
      </c>
      <c r="EG4680" s="15" t="n">
        <v>82</v>
      </c>
      <c r="FC4680" s="15" t="n">
        <v>82</v>
      </c>
      <c r="FY4680" s="15" t="n">
        <v>82</v>
      </c>
      <c r="GU4680" s="15" t="n">
        <v>82</v>
      </c>
    </row>
    <row r="4681">
      <c r="C4681" s="15" t="n">
        <v>83</v>
      </c>
      <c r="AA4681" s="15" t="n">
        <v>83</v>
      </c>
      <c r="AW4681" s="15" t="n">
        <v>83</v>
      </c>
      <c r="BS4681" s="15" t="n">
        <v>83</v>
      </c>
      <c r="CO4681" s="15" t="n">
        <v>83</v>
      </c>
      <c r="DK4681" s="15" t="n">
        <v>83</v>
      </c>
      <c r="EG4681" s="15" t="n">
        <v>83</v>
      </c>
      <c r="FC4681" s="15" t="n">
        <v>83</v>
      </c>
      <c r="FY4681" s="15" t="n">
        <v>83</v>
      </c>
      <c r="GU4681" s="15" t="n">
        <v>83</v>
      </c>
    </row>
    <row r="4682">
      <c r="C4682" s="15" t="n">
        <v>84</v>
      </c>
      <c r="AA4682" s="15" t="n">
        <v>84</v>
      </c>
      <c r="AW4682" s="15" t="n">
        <v>84</v>
      </c>
      <c r="BS4682" s="15" t="n">
        <v>84</v>
      </c>
      <c r="CO4682" s="15" t="n">
        <v>84</v>
      </c>
      <c r="DK4682" s="15" t="n">
        <v>84</v>
      </c>
      <c r="EG4682" s="15" t="n">
        <v>84</v>
      </c>
      <c r="FC4682" s="15" t="n">
        <v>84</v>
      </c>
      <c r="FY4682" s="15" t="n">
        <v>84</v>
      </c>
      <c r="GU4682" s="15" t="n">
        <v>84</v>
      </c>
    </row>
    <row r="4683">
      <c r="C4683" s="15" t="n">
        <v>85</v>
      </c>
      <c r="AA4683" s="15" t="n">
        <v>85</v>
      </c>
      <c r="AW4683" s="15" t="n">
        <v>85</v>
      </c>
      <c r="BS4683" s="15" t="n">
        <v>85</v>
      </c>
      <c r="CO4683" s="15" t="n">
        <v>85</v>
      </c>
      <c r="DK4683" s="15" t="n">
        <v>85</v>
      </c>
      <c r="EG4683" s="15" t="n">
        <v>85</v>
      </c>
      <c r="FC4683" s="15" t="n">
        <v>85</v>
      </c>
      <c r="FY4683" s="15" t="n">
        <v>85</v>
      </c>
      <c r="GU4683" s="15" t="n">
        <v>85</v>
      </c>
    </row>
    <row r="4684">
      <c r="C4684" s="15" t="n">
        <v>86</v>
      </c>
      <c r="AA4684" s="15" t="n">
        <v>86</v>
      </c>
      <c r="AW4684" s="15" t="n">
        <v>86</v>
      </c>
      <c r="BS4684" s="15" t="n">
        <v>86</v>
      </c>
      <c r="CO4684" s="15" t="n">
        <v>86</v>
      </c>
      <c r="DK4684" s="15" t="n">
        <v>86</v>
      </c>
      <c r="EG4684" s="15" t="n">
        <v>86</v>
      </c>
      <c r="FC4684" s="15" t="n">
        <v>86</v>
      </c>
      <c r="FY4684" s="15" t="n">
        <v>86</v>
      </c>
      <c r="GU4684" s="15" t="n">
        <v>86</v>
      </c>
    </row>
    <row r="4685">
      <c r="C4685" s="15" t="n">
        <v>87</v>
      </c>
      <c r="AA4685" s="15" t="n">
        <v>87</v>
      </c>
      <c r="AW4685" s="15" t="n">
        <v>87</v>
      </c>
      <c r="BS4685" s="15" t="n">
        <v>87</v>
      </c>
      <c r="CO4685" s="15" t="n">
        <v>87</v>
      </c>
      <c r="DK4685" s="15" t="n">
        <v>87</v>
      </c>
      <c r="EG4685" s="15" t="n">
        <v>87</v>
      </c>
      <c r="FC4685" s="15" t="n">
        <v>87</v>
      </c>
      <c r="FY4685" s="15" t="n">
        <v>87</v>
      </c>
      <c r="GU4685" s="15" t="n">
        <v>87</v>
      </c>
    </row>
    <row r="4686">
      <c r="C4686" s="15" t="n">
        <v>88</v>
      </c>
      <c r="AA4686" s="15" t="n">
        <v>88</v>
      </c>
      <c r="AW4686" s="15" t="n">
        <v>88</v>
      </c>
      <c r="BS4686" s="15" t="n">
        <v>88</v>
      </c>
      <c r="CO4686" s="15" t="n">
        <v>88</v>
      </c>
      <c r="DK4686" s="15" t="n">
        <v>88</v>
      </c>
      <c r="EG4686" s="15" t="n">
        <v>88</v>
      </c>
      <c r="FC4686" s="15" t="n">
        <v>88</v>
      </c>
      <c r="FY4686" s="15" t="n">
        <v>88</v>
      </c>
      <c r="GU4686" s="15" t="n">
        <v>88</v>
      </c>
    </row>
    <row r="4687">
      <c r="C4687" s="15" t="n">
        <v>89</v>
      </c>
      <c r="AA4687" s="15" t="n">
        <v>89</v>
      </c>
      <c r="AW4687" s="15" t="n">
        <v>89</v>
      </c>
      <c r="BS4687" s="15" t="n">
        <v>89</v>
      </c>
      <c r="CO4687" s="15" t="n">
        <v>89</v>
      </c>
      <c r="DK4687" s="15" t="n">
        <v>89</v>
      </c>
      <c r="EG4687" s="15" t="n">
        <v>89</v>
      </c>
      <c r="FC4687" s="15" t="n">
        <v>89</v>
      </c>
      <c r="FY4687" s="15" t="n">
        <v>89</v>
      </c>
      <c r="GU4687" s="15" t="n">
        <v>89</v>
      </c>
    </row>
    <row r="4688">
      <c r="C4688" s="15" t="n">
        <v>90</v>
      </c>
      <c r="AA4688" s="15" t="n">
        <v>90</v>
      </c>
      <c r="AW4688" s="15" t="n">
        <v>90</v>
      </c>
      <c r="BS4688" s="15" t="n">
        <v>90</v>
      </c>
      <c r="CO4688" s="15" t="n">
        <v>90</v>
      </c>
      <c r="DK4688" s="15" t="n">
        <v>90</v>
      </c>
      <c r="EG4688" s="15" t="n">
        <v>90</v>
      </c>
      <c r="FC4688" s="15" t="n">
        <v>90</v>
      </c>
      <c r="FY4688" s="15" t="n">
        <v>90</v>
      </c>
      <c r="GU4688" s="15" t="n">
        <v>90</v>
      </c>
    </row>
    <row r="4689">
      <c r="C4689" s="15" t="n">
        <v>91</v>
      </c>
      <c r="AA4689" s="15" t="n">
        <v>91</v>
      </c>
      <c r="AW4689" s="15" t="n">
        <v>91</v>
      </c>
      <c r="BS4689" s="15" t="n">
        <v>91</v>
      </c>
      <c r="CO4689" s="15" t="n">
        <v>91</v>
      </c>
      <c r="DK4689" s="15" t="n">
        <v>91</v>
      </c>
      <c r="EG4689" s="15" t="n">
        <v>91</v>
      </c>
      <c r="FC4689" s="15" t="n">
        <v>91</v>
      </c>
      <c r="FY4689" s="15" t="n">
        <v>91</v>
      </c>
      <c r="GU4689" s="15" t="n">
        <v>91</v>
      </c>
    </row>
    <row r="4690">
      <c r="C4690" s="15" t="n">
        <v>92</v>
      </c>
      <c r="AA4690" s="15" t="n">
        <v>92</v>
      </c>
      <c r="AW4690" s="15" t="n">
        <v>92</v>
      </c>
      <c r="BS4690" s="15" t="n">
        <v>92</v>
      </c>
      <c r="CO4690" s="15" t="n">
        <v>92</v>
      </c>
      <c r="DK4690" s="15" t="n">
        <v>92</v>
      </c>
      <c r="EG4690" s="15" t="n">
        <v>92</v>
      </c>
      <c r="FC4690" s="15" t="n">
        <v>92</v>
      </c>
      <c r="FY4690" s="15" t="n">
        <v>92</v>
      </c>
      <c r="GU4690" s="15" t="n">
        <v>92</v>
      </c>
    </row>
    <row r="4691">
      <c r="C4691" s="15" t="n">
        <v>93</v>
      </c>
      <c r="AA4691" s="15" t="n">
        <v>93</v>
      </c>
      <c r="AW4691" s="15" t="n">
        <v>93</v>
      </c>
      <c r="BS4691" s="15" t="n">
        <v>93</v>
      </c>
      <c r="CO4691" s="15" t="n">
        <v>93</v>
      </c>
      <c r="DK4691" s="15" t="n">
        <v>93</v>
      </c>
      <c r="EG4691" s="15" t="n">
        <v>93</v>
      </c>
      <c r="FC4691" s="15" t="n">
        <v>93</v>
      </c>
      <c r="FY4691" s="15" t="n">
        <v>93</v>
      </c>
      <c r="GU4691" s="15" t="n">
        <v>93</v>
      </c>
    </row>
    <row r="4692">
      <c r="C4692" s="15" t="n">
        <v>94</v>
      </c>
      <c r="AA4692" s="15" t="n">
        <v>94</v>
      </c>
      <c r="AW4692" s="15" t="n">
        <v>94</v>
      </c>
      <c r="BS4692" s="15" t="n">
        <v>94</v>
      </c>
      <c r="CO4692" s="15" t="n">
        <v>94</v>
      </c>
      <c r="DK4692" s="15" t="n">
        <v>94</v>
      </c>
      <c r="EG4692" s="15" t="n">
        <v>94</v>
      </c>
      <c r="FC4692" s="15" t="n">
        <v>94</v>
      </c>
      <c r="FY4692" s="15" t="n">
        <v>94</v>
      </c>
      <c r="GU4692" s="15" t="n">
        <v>94</v>
      </c>
    </row>
    <row r="4693">
      <c r="C4693" s="15" t="n">
        <v>95</v>
      </c>
      <c r="AA4693" s="15" t="n">
        <v>95</v>
      </c>
      <c r="AW4693" s="15" t="n">
        <v>95</v>
      </c>
      <c r="BS4693" s="15" t="n">
        <v>95</v>
      </c>
      <c r="CO4693" s="15" t="n">
        <v>95</v>
      </c>
      <c r="DK4693" s="15" t="n">
        <v>95</v>
      </c>
      <c r="EG4693" s="15" t="n">
        <v>95</v>
      </c>
      <c r="FC4693" s="15" t="n">
        <v>95</v>
      </c>
      <c r="FY4693" s="15" t="n">
        <v>95</v>
      </c>
      <c r="GU4693" s="15" t="n">
        <v>95</v>
      </c>
    </row>
    <row r="4694">
      <c r="C4694" s="15" t="n">
        <v>96</v>
      </c>
      <c r="AA4694" s="15" t="n">
        <v>96</v>
      </c>
      <c r="AW4694" s="15" t="n">
        <v>96</v>
      </c>
      <c r="BS4694" s="15" t="n">
        <v>96</v>
      </c>
      <c r="CO4694" s="15" t="n">
        <v>96</v>
      </c>
      <c r="DK4694" s="15" t="n">
        <v>96</v>
      </c>
      <c r="EG4694" s="15" t="n">
        <v>96</v>
      </c>
      <c r="FC4694" s="15" t="n">
        <v>96</v>
      </c>
      <c r="FY4694" s="15" t="n">
        <v>96</v>
      </c>
      <c r="GU4694" s="15" t="n">
        <v>96</v>
      </c>
    </row>
    <row r="4695">
      <c r="C4695" s="15" t="n">
        <v>97</v>
      </c>
      <c r="AA4695" s="15" t="n">
        <v>97</v>
      </c>
      <c r="AW4695" s="15" t="n">
        <v>97</v>
      </c>
      <c r="BS4695" s="15" t="n">
        <v>97</v>
      </c>
      <c r="CO4695" s="15" t="n">
        <v>97</v>
      </c>
      <c r="DK4695" s="15" t="n">
        <v>97</v>
      </c>
      <c r="EG4695" s="15" t="n">
        <v>97</v>
      </c>
      <c r="FC4695" s="15" t="n">
        <v>97</v>
      </c>
      <c r="FY4695" s="15" t="n">
        <v>97</v>
      </c>
      <c r="GU4695" s="15" t="n">
        <v>97</v>
      </c>
    </row>
    <row r="4696">
      <c r="C4696" s="15" t="n">
        <v>98</v>
      </c>
      <c r="AA4696" s="15" t="n">
        <v>98</v>
      </c>
      <c r="AW4696" s="15" t="n">
        <v>98</v>
      </c>
      <c r="BS4696" s="15" t="n">
        <v>98</v>
      </c>
      <c r="CO4696" s="15" t="n">
        <v>98</v>
      </c>
      <c r="DK4696" s="15" t="n">
        <v>98</v>
      </c>
      <c r="EG4696" s="15" t="n">
        <v>98</v>
      </c>
      <c r="FC4696" s="15" t="n">
        <v>98</v>
      </c>
      <c r="FY4696" s="15" t="n">
        <v>98</v>
      </c>
      <c r="GU4696" s="15" t="n">
        <v>98</v>
      </c>
    </row>
    <row r="4697">
      <c r="C4697" s="15" t="n">
        <v>99</v>
      </c>
      <c r="AA4697" s="15" t="n">
        <v>99</v>
      </c>
      <c r="AW4697" s="15" t="n">
        <v>99</v>
      </c>
      <c r="BS4697" s="15" t="n">
        <v>99</v>
      </c>
      <c r="CO4697" s="15" t="n">
        <v>99</v>
      </c>
      <c r="DK4697" s="15" t="n">
        <v>99</v>
      </c>
      <c r="EG4697" s="15" t="n">
        <v>99</v>
      </c>
      <c r="FC4697" s="15" t="n">
        <v>99</v>
      </c>
      <c r="FY4697" s="15" t="n">
        <v>99</v>
      </c>
      <c r="GU4697" s="15" t="n">
        <v>99</v>
      </c>
    </row>
    <row r="4698">
      <c r="C4698" s="15" t="n">
        <v>100</v>
      </c>
      <c r="AA4698" s="15" t="n">
        <v>100</v>
      </c>
      <c r="AW4698" s="15" t="n">
        <v>100</v>
      </c>
      <c r="BS4698" s="15" t="n">
        <v>100</v>
      </c>
      <c r="CO4698" s="15" t="n">
        <v>100</v>
      </c>
      <c r="DK4698" s="15" t="n">
        <v>100</v>
      </c>
      <c r="EG4698" s="15" t="n">
        <v>100</v>
      </c>
      <c r="FC4698" s="15" t="n">
        <v>100</v>
      </c>
      <c r="FY4698" s="15" t="n">
        <v>100</v>
      </c>
      <c r="GU4698" s="15" t="n">
        <v>100</v>
      </c>
    </row>
    <row r="4699">
      <c r="C4699" s="15" t="n">
        <v>101</v>
      </c>
      <c r="AA4699" s="15" t="n">
        <v>101</v>
      </c>
      <c r="AW4699" s="15" t="n">
        <v>101</v>
      </c>
      <c r="BS4699" s="15" t="n">
        <v>101</v>
      </c>
      <c r="CO4699" s="15" t="n">
        <v>101</v>
      </c>
      <c r="DK4699" s="15" t="n">
        <v>101</v>
      </c>
      <c r="EG4699" s="15" t="n">
        <v>101</v>
      </c>
      <c r="FC4699" s="15" t="n">
        <v>101</v>
      </c>
      <c r="FY4699" s="15" t="n">
        <v>101</v>
      </c>
      <c r="GU4699" s="15" t="n">
        <v>101</v>
      </c>
    </row>
    <row r="4700">
      <c r="C4700" s="15" t="n">
        <v>102</v>
      </c>
      <c r="AA4700" s="15" t="n">
        <v>102</v>
      </c>
      <c r="AW4700" s="15" t="n">
        <v>102</v>
      </c>
      <c r="BS4700" s="15" t="n">
        <v>102</v>
      </c>
      <c r="CO4700" s="15" t="n">
        <v>102</v>
      </c>
      <c r="DK4700" s="15" t="n">
        <v>102</v>
      </c>
      <c r="EG4700" s="15" t="n">
        <v>102</v>
      </c>
      <c r="FC4700" s="15" t="n">
        <v>102</v>
      </c>
      <c r="FY4700" s="15" t="n">
        <v>102</v>
      </c>
      <c r="GU4700" s="15" t="n">
        <v>102</v>
      </c>
    </row>
    <row r="4701">
      <c r="C4701" s="15" t="n">
        <v>103</v>
      </c>
      <c r="AA4701" s="15" t="n">
        <v>103</v>
      </c>
      <c r="AW4701" s="15" t="n">
        <v>103</v>
      </c>
      <c r="BS4701" s="15" t="n">
        <v>103</v>
      </c>
      <c r="CO4701" s="15" t="n">
        <v>103</v>
      </c>
      <c r="DK4701" s="15" t="n">
        <v>103</v>
      </c>
      <c r="EG4701" s="15" t="n">
        <v>103</v>
      </c>
      <c r="FC4701" s="15" t="n">
        <v>103</v>
      </c>
      <c r="FY4701" s="15" t="n">
        <v>103</v>
      </c>
      <c r="GU4701" s="15" t="n">
        <v>103</v>
      </c>
    </row>
    <row r="4702">
      <c r="C4702" s="15" t="n">
        <v>104</v>
      </c>
      <c r="AA4702" s="15" t="n">
        <v>104</v>
      </c>
      <c r="AW4702" s="15" t="n">
        <v>104</v>
      </c>
      <c r="BS4702" s="15" t="n">
        <v>104</v>
      </c>
      <c r="CO4702" s="15" t="n">
        <v>104</v>
      </c>
      <c r="DK4702" s="15" t="n">
        <v>104</v>
      </c>
      <c r="EG4702" s="15" t="n">
        <v>104</v>
      </c>
      <c r="FC4702" s="15" t="n">
        <v>104</v>
      </c>
      <c r="FY4702" s="15" t="n">
        <v>104</v>
      </c>
      <c r="GU4702" s="15" t="n">
        <v>104</v>
      </c>
    </row>
    <row r="4703">
      <c r="C4703" s="15" t="n">
        <v>105</v>
      </c>
      <c r="AA4703" s="15" t="n">
        <v>105</v>
      </c>
      <c r="AW4703" s="15" t="n">
        <v>105</v>
      </c>
      <c r="BS4703" s="15" t="n">
        <v>105</v>
      </c>
      <c r="CO4703" s="15" t="n">
        <v>105</v>
      </c>
      <c r="DK4703" s="15" t="n">
        <v>105</v>
      </c>
      <c r="EG4703" s="15" t="n">
        <v>105</v>
      </c>
      <c r="FC4703" s="15" t="n">
        <v>105</v>
      </c>
      <c r="FY4703" s="15" t="n">
        <v>105</v>
      </c>
      <c r="GU4703" s="15" t="n">
        <v>105</v>
      </c>
    </row>
    <row r="4704">
      <c r="C4704" s="15" t="n">
        <v>106</v>
      </c>
      <c r="AA4704" s="15" t="n">
        <v>106</v>
      </c>
      <c r="AW4704" s="15" t="n">
        <v>106</v>
      </c>
      <c r="BS4704" s="15" t="n">
        <v>106</v>
      </c>
      <c r="CO4704" s="15" t="n">
        <v>106</v>
      </c>
      <c r="DK4704" s="15" t="n">
        <v>106</v>
      </c>
      <c r="EG4704" s="15" t="n">
        <v>106</v>
      </c>
      <c r="FC4704" s="15" t="n">
        <v>106</v>
      </c>
      <c r="FY4704" s="15" t="n">
        <v>106</v>
      </c>
      <c r="GU4704" s="15" t="n">
        <v>106</v>
      </c>
    </row>
    <row r="4705">
      <c r="C4705" s="15" t="n">
        <v>107</v>
      </c>
      <c r="AA4705" s="15" t="n">
        <v>107</v>
      </c>
      <c r="AW4705" s="15" t="n">
        <v>107</v>
      </c>
      <c r="BS4705" s="15" t="n">
        <v>107</v>
      </c>
      <c r="CO4705" s="15" t="n">
        <v>107</v>
      </c>
      <c r="DK4705" s="15" t="n">
        <v>107</v>
      </c>
      <c r="EG4705" s="15" t="n">
        <v>107</v>
      </c>
      <c r="FC4705" s="15" t="n">
        <v>107</v>
      </c>
      <c r="FY4705" s="15" t="n">
        <v>107</v>
      </c>
      <c r="GU4705" s="15" t="n">
        <v>107</v>
      </c>
    </row>
    <row r="4706">
      <c r="C4706" s="15" t="n">
        <v>108</v>
      </c>
      <c r="AA4706" s="15" t="n">
        <v>108</v>
      </c>
      <c r="AW4706" s="15" t="n">
        <v>108</v>
      </c>
      <c r="BS4706" s="15" t="n">
        <v>108</v>
      </c>
      <c r="CO4706" s="15" t="n">
        <v>108</v>
      </c>
      <c r="DK4706" s="15" t="n">
        <v>108</v>
      </c>
      <c r="EG4706" s="15" t="n">
        <v>108</v>
      </c>
      <c r="FC4706" s="15" t="n">
        <v>108</v>
      </c>
      <c r="FY4706" s="15" t="n">
        <v>108</v>
      </c>
      <c r="GU4706" s="15" t="n">
        <v>108</v>
      </c>
    </row>
    <row r="4707">
      <c r="C4707" s="15" t="n">
        <v>109</v>
      </c>
      <c r="AA4707" s="15" t="n">
        <v>109</v>
      </c>
      <c r="AW4707" s="15" t="n">
        <v>109</v>
      </c>
      <c r="BS4707" s="15" t="n">
        <v>109</v>
      </c>
      <c r="CO4707" s="15" t="n">
        <v>109</v>
      </c>
      <c r="DK4707" s="15" t="n">
        <v>109</v>
      </c>
      <c r="EG4707" s="15" t="n">
        <v>109</v>
      </c>
      <c r="FC4707" s="15" t="n">
        <v>109</v>
      </c>
      <c r="FY4707" s="15" t="n">
        <v>109</v>
      </c>
      <c r="GU4707" s="15" t="n">
        <v>109</v>
      </c>
    </row>
    <row r="4708">
      <c r="C4708" s="15" t="n">
        <v>110</v>
      </c>
      <c r="AA4708" s="15" t="n">
        <v>110</v>
      </c>
      <c r="AW4708" s="15" t="n">
        <v>110</v>
      </c>
      <c r="BS4708" s="15" t="n">
        <v>110</v>
      </c>
      <c r="CO4708" s="15" t="n">
        <v>110</v>
      </c>
      <c r="DK4708" s="15" t="n">
        <v>110</v>
      </c>
      <c r="EG4708" s="15" t="n">
        <v>110</v>
      </c>
      <c r="FC4708" s="15" t="n">
        <v>110</v>
      </c>
      <c r="FY4708" s="15" t="n">
        <v>110</v>
      </c>
      <c r="GU4708" s="15" t="n">
        <v>110</v>
      </c>
    </row>
    <row r="4709">
      <c r="C4709" s="15" t="n">
        <v>111</v>
      </c>
      <c r="AA4709" s="15" t="n">
        <v>111</v>
      </c>
      <c r="AW4709" s="15" t="n">
        <v>111</v>
      </c>
      <c r="BS4709" s="15" t="n">
        <v>111</v>
      </c>
      <c r="CO4709" s="15" t="n">
        <v>111</v>
      </c>
      <c r="DK4709" s="15" t="n">
        <v>111</v>
      </c>
      <c r="EG4709" s="15" t="n">
        <v>111</v>
      </c>
      <c r="FC4709" s="15" t="n">
        <v>111</v>
      </c>
      <c r="FY4709" s="15" t="n">
        <v>111</v>
      </c>
      <c r="GU4709" s="15" t="n">
        <v>111</v>
      </c>
    </row>
    <row r="4710">
      <c r="C4710" s="15" t="n">
        <v>112</v>
      </c>
      <c r="AA4710" s="15" t="n">
        <v>112</v>
      </c>
      <c r="AW4710" s="15" t="n">
        <v>112</v>
      </c>
      <c r="BS4710" s="15" t="n">
        <v>112</v>
      </c>
      <c r="CO4710" s="15" t="n">
        <v>112</v>
      </c>
      <c r="DK4710" s="15" t="n">
        <v>112</v>
      </c>
      <c r="EG4710" s="15" t="n">
        <v>112</v>
      </c>
      <c r="FC4710" s="15" t="n">
        <v>112</v>
      </c>
      <c r="FY4710" s="15" t="n">
        <v>112</v>
      </c>
      <c r="GU4710" s="15" t="n">
        <v>112</v>
      </c>
    </row>
    <row r="4711">
      <c r="C4711" s="15" t="n">
        <v>113</v>
      </c>
      <c r="AA4711" s="15" t="n">
        <v>113</v>
      </c>
      <c r="AW4711" s="15" t="n">
        <v>113</v>
      </c>
      <c r="BS4711" s="15" t="n">
        <v>113</v>
      </c>
      <c r="CO4711" s="15" t="n">
        <v>113</v>
      </c>
      <c r="DK4711" s="15" t="n">
        <v>113</v>
      </c>
      <c r="EG4711" s="15" t="n">
        <v>113</v>
      </c>
      <c r="FC4711" s="15" t="n">
        <v>113</v>
      </c>
      <c r="FY4711" s="15" t="n">
        <v>113</v>
      </c>
      <c r="GU4711" s="15" t="n">
        <v>113</v>
      </c>
    </row>
    <row r="4712">
      <c r="C4712" s="15" t="n">
        <v>114</v>
      </c>
      <c r="AA4712" s="15" t="n">
        <v>114</v>
      </c>
      <c r="AW4712" s="15" t="n">
        <v>114</v>
      </c>
      <c r="BS4712" s="15" t="n">
        <v>114</v>
      </c>
      <c r="CO4712" s="15" t="n">
        <v>114</v>
      </c>
      <c r="DK4712" s="15" t="n">
        <v>114</v>
      </c>
      <c r="EG4712" s="15" t="n">
        <v>114</v>
      </c>
      <c r="FC4712" s="15" t="n">
        <v>114</v>
      </c>
      <c r="FY4712" s="15" t="n">
        <v>114</v>
      </c>
      <c r="GU4712" s="15" t="n">
        <v>114</v>
      </c>
    </row>
    <row r="4713">
      <c r="C4713" s="15" t="n">
        <v>115</v>
      </c>
      <c r="AA4713" s="15" t="n">
        <v>115</v>
      </c>
      <c r="AW4713" s="15" t="n">
        <v>115</v>
      </c>
      <c r="BS4713" s="15" t="n">
        <v>115</v>
      </c>
      <c r="CO4713" s="15" t="n">
        <v>115</v>
      </c>
      <c r="DK4713" s="15" t="n">
        <v>115</v>
      </c>
      <c r="EG4713" s="15" t="n">
        <v>115</v>
      </c>
      <c r="FC4713" s="15" t="n">
        <v>115</v>
      </c>
      <c r="FY4713" s="15" t="n">
        <v>115</v>
      </c>
      <c r="GU4713" s="15" t="n">
        <v>115</v>
      </c>
    </row>
    <row r="4714">
      <c r="C4714" s="15" t="n">
        <v>116</v>
      </c>
      <c r="AA4714" s="15" t="n">
        <v>116</v>
      </c>
      <c r="AW4714" s="15" t="n">
        <v>116</v>
      </c>
      <c r="BS4714" s="15" t="n">
        <v>116</v>
      </c>
      <c r="CO4714" s="15" t="n">
        <v>116</v>
      </c>
      <c r="DK4714" s="15" t="n">
        <v>116</v>
      </c>
      <c r="EG4714" s="15" t="n">
        <v>116</v>
      </c>
      <c r="FC4714" s="15" t="n">
        <v>116</v>
      </c>
      <c r="FY4714" s="15" t="n">
        <v>116</v>
      </c>
      <c r="GU4714" s="15" t="n">
        <v>116</v>
      </c>
    </row>
    <row r="4715">
      <c r="C4715" s="15" t="n">
        <v>117</v>
      </c>
      <c r="AA4715" s="15" t="n">
        <v>117</v>
      </c>
      <c r="AW4715" s="15" t="n">
        <v>117</v>
      </c>
      <c r="BS4715" s="15" t="n">
        <v>117</v>
      </c>
      <c r="CO4715" s="15" t="n">
        <v>117</v>
      </c>
      <c r="DK4715" s="15" t="n">
        <v>117</v>
      </c>
      <c r="EG4715" s="15" t="n">
        <v>117</v>
      </c>
      <c r="FC4715" s="15" t="n">
        <v>117</v>
      </c>
      <c r="FY4715" s="15" t="n">
        <v>117</v>
      </c>
      <c r="GU4715" s="15" t="n">
        <v>117</v>
      </c>
    </row>
    <row r="4716">
      <c r="C4716" s="15" t="n">
        <v>118</v>
      </c>
      <c r="AA4716" s="15" t="n">
        <v>118</v>
      </c>
      <c r="AW4716" s="15" t="n">
        <v>118</v>
      </c>
      <c r="BS4716" s="15" t="n">
        <v>118</v>
      </c>
      <c r="CO4716" s="15" t="n">
        <v>118</v>
      </c>
      <c r="DK4716" s="15" t="n">
        <v>118</v>
      </c>
      <c r="EG4716" s="15" t="n">
        <v>118</v>
      </c>
      <c r="FC4716" s="15" t="n">
        <v>118</v>
      </c>
      <c r="FY4716" s="15" t="n">
        <v>118</v>
      </c>
      <c r="GU4716" s="15" t="n">
        <v>118</v>
      </c>
    </row>
    <row r="4717">
      <c r="C4717" s="15" t="n">
        <v>119</v>
      </c>
      <c r="AA4717" s="15" t="n">
        <v>119</v>
      </c>
      <c r="AW4717" s="15" t="n">
        <v>119</v>
      </c>
      <c r="BS4717" s="15" t="n">
        <v>119</v>
      </c>
      <c r="CO4717" s="15" t="n">
        <v>119</v>
      </c>
      <c r="DK4717" s="15" t="n">
        <v>119</v>
      </c>
      <c r="EG4717" s="15" t="n">
        <v>119</v>
      </c>
      <c r="FC4717" s="15" t="n">
        <v>119</v>
      </c>
      <c r="FY4717" s="15" t="n">
        <v>119</v>
      </c>
      <c r="GU4717" s="15" t="n">
        <v>119</v>
      </c>
    </row>
    <row r="4718">
      <c r="C4718" s="15" t="n">
        <v>120</v>
      </c>
      <c r="AA4718" s="15" t="n">
        <v>120</v>
      </c>
      <c r="AW4718" s="15" t="n">
        <v>120</v>
      </c>
      <c r="BS4718" s="15" t="n">
        <v>120</v>
      </c>
      <c r="CO4718" s="15" t="n">
        <v>120</v>
      </c>
      <c r="DK4718" s="15" t="n">
        <v>120</v>
      </c>
      <c r="EG4718" s="15" t="n">
        <v>120</v>
      </c>
      <c r="FC4718" s="15" t="n">
        <v>120</v>
      </c>
      <c r="FY4718" s="15" t="n">
        <v>120</v>
      </c>
      <c r="GU4718" s="15" t="n">
        <v>120</v>
      </c>
    </row>
    <row r="4719">
      <c r="C4719" s="15" t="n">
        <v>121</v>
      </c>
      <c r="AA4719" s="15" t="n">
        <v>121</v>
      </c>
      <c r="AW4719" s="15" t="n">
        <v>121</v>
      </c>
      <c r="BS4719" s="15" t="n">
        <v>121</v>
      </c>
      <c r="CO4719" s="15" t="n">
        <v>121</v>
      </c>
      <c r="DK4719" s="15" t="n">
        <v>121</v>
      </c>
      <c r="EG4719" s="15" t="n">
        <v>121</v>
      </c>
      <c r="FC4719" s="15" t="n">
        <v>121</v>
      </c>
      <c r="FY4719" s="15" t="n">
        <v>121</v>
      </c>
      <c r="GU4719" s="15" t="n">
        <v>121</v>
      </c>
    </row>
    <row r="4720">
      <c r="C4720" s="15" t="n">
        <v>122</v>
      </c>
      <c r="AA4720" s="15" t="n">
        <v>122</v>
      </c>
      <c r="AW4720" s="15" t="n">
        <v>122</v>
      </c>
      <c r="BS4720" s="15" t="n">
        <v>122</v>
      </c>
      <c r="CO4720" s="15" t="n">
        <v>122</v>
      </c>
      <c r="DK4720" s="15" t="n">
        <v>122</v>
      </c>
      <c r="EG4720" s="15" t="n">
        <v>122</v>
      </c>
      <c r="FC4720" s="15" t="n">
        <v>122</v>
      </c>
      <c r="FY4720" s="15" t="n">
        <v>122</v>
      </c>
      <c r="GU4720" s="15" t="n">
        <v>122</v>
      </c>
    </row>
    <row r="4721">
      <c r="C4721" s="15" t="n">
        <v>123</v>
      </c>
      <c r="AA4721" s="15" t="n">
        <v>123</v>
      </c>
      <c r="AW4721" s="15" t="n">
        <v>123</v>
      </c>
      <c r="BS4721" s="15" t="n">
        <v>123</v>
      </c>
      <c r="CO4721" s="15" t="n">
        <v>123</v>
      </c>
      <c r="DK4721" s="15" t="n">
        <v>123</v>
      </c>
      <c r="EG4721" s="15" t="n">
        <v>123</v>
      </c>
      <c r="FC4721" s="15" t="n">
        <v>123</v>
      </c>
      <c r="FY4721" s="15" t="n">
        <v>123</v>
      </c>
      <c r="GU4721" s="15" t="n">
        <v>123</v>
      </c>
    </row>
    <row r="4722">
      <c r="C4722" s="15" t="n">
        <v>124</v>
      </c>
      <c r="AA4722" s="15" t="n">
        <v>124</v>
      </c>
      <c r="AW4722" s="15" t="n">
        <v>124</v>
      </c>
      <c r="BS4722" s="15" t="n">
        <v>124</v>
      </c>
      <c r="CO4722" s="15" t="n">
        <v>124</v>
      </c>
      <c r="DK4722" s="15" t="n">
        <v>124</v>
      </c>
      <c r="EG4722" s="15" t="n">
        <v>124</v>
      </c>
      <c r="FC4722" s="15" t="n">
        <v>124</v>
      </c>
      <c r="FY4722" s="15" t="n">
        <v>124</v>
      </c>
      <c r="GU4722" s="15" t="n">
        <v>124</v>
      </c>
    </row>
    <row r="4723">
      <c r="C4723" s="15" t="n">
        <v>125</v>
      </c>
      <c r="AA4723" s="15" t="n">
        <v>125</v>
      </c>
      <c r="AW4723" s="15" t="n">
        <v>125</v>
      </c>
      <c r="BS4723" s="15" t="n">
        <v>125</v>
      </c>
      <c r="CO4723" s="15" t="n">
        <v>125</v>
      </c>
      <c r="DK4723" s="15" t="n">
        <v>125</v>
      </c>
      <c r="EG4723" s="15" t="n">
        <v>125</v>
      </c>
      <c r="FC4723" s="15" t="n">
        <v>125</v>
      </c>
      <c r="FY4723" s="15" t="n">
        <v>125</v>
      </c>
      <c r="GU4723" s="15" t="n">
        <v>125</v>
      </c>
    </row>
    <row r="4724">
      <c r="C4724" s="15" t="n">
        <v>126</v>
      </c>
      <c r="AA4724" s="15" t="n">
        <v>126</v>
      </c>
      <c r="AW4724" s="15" t="n">
        <v>126</v>
      </c>
      <c r="BS4724" s="15" t="n">
        <v>126</v>
      </c>
      <c r="CO4724" s="15" t="n">
        <v>126</v>
      </c>
      <c r="DK4724" s="15" t="n">
        <v>126</v>
      </c>
      <c r="EG4724" s="15" t="n">
        <v>126</v>
      </c>
      <c r="FC4724" s="15" t="n">
        <v>126</v>
      </c>
      <c r="FY4724" s="15" t="n">
        <v>126</v>
      </c>
      <c r="GU4724" s="15" t="n">
        <v>126</v>
      </c>
    </row>
    <row r="4725">
      <c r="C4725" s="15" t="n">
        <v>127</v>
      </c>
      <c r="AA4725" s="15" t="n">
        <v>127</v>
      </c>
      <c r="AW4725" s="15" t="n">
        <v>127</v>
      </c>
      <c r="BS4725" s="15" t="n">
        <v>127</v>
      </c>
      <c r="CO4725" s="15" t="n">
        <v>127</v>
      </c>
      <c r="DK4725" s="15" t="n">
        <v>127</v>
      </c>
      <c r="EG4725" s="15" t="n">
        <v>127</v>
      </c>
      <c r="FC4725" s="15" t="n">
        <v>127</v>
      </c>
      <c r="FY4725" s="15" t="n">
        <v>127</v>
      </c>
      <c r="GU4725" s="15" t="n">
        <v>127</v>
      </c>
    </row>
    <row r="4726">
      <c r="C4726" s="15" t="n">
        <v>128</v>
      </c>
      <c r="AA4726" s="15" t="n">
        <v>128</v>
      </c>
      <c r="AW4726" s="15" t="n">
        <v>128</v>
      </c>
      <c r="BS4726" s="15" t="n">
        <v>128</v>
      </c>
      <c r="CO4726" s="15" t="n">
        <v>128</v>
      </c>
      <c r="DK4726" s="15" t="n">
        <v>128</v>
      </c>
      <c r="EG4726" s="15" t="n">
        <v>128</v>
      </c>
      <c r="FC4726" s="15" t="n">
        <v>128</v>
      </c>
      <c r="FY4726" s="15" t="n">
        <v>128</v>
      </c>
      <c r="GU4726" s="15" t="n">
        <v>128</v>
      </c>
    </row>
    <row r="4727">
      <c r="C4727" s="15" t="n">
        <v>129</v>
      </c>
      <c r="AA4727" s="15" t="n">
        <v>129</v>
      </c>
      <c r="AW4727" s="15" t="n">
        <v>129</v>
      </c>
      <c r="BS4727" s="15" t="n">
        <v>129</v>
      </c>
      <c r="CO4727" s="15" t="n">
        <v>129</v>
      </c>
      <c r="DK4727" s="15" t="n">
        <v>129</v>
      </c>
      <c r="EG4727" s="15" t="n">
        <v>129</v>
      </c>
      <c r="FC4727" s="15" t="n">
        <v>129</v>
      </c>
      <c r="FY4727" s="15" t="n">
        <v>129</v>
      </c>
      <c r="GU4727" s="15" t="n">
        <v>129</v>
      </c>
    </row>
    <row r="4728">
      <c r="C4728" s="15" t="n">
        <v>130</v>
      </c>
      <c r="AA4728" s="15" t="n">
        <v>130</v>
      </c>
      <c r="AW4728" s="15" t="n">
        <v>130</v>
      </c>
      <c r="BS4728" s="15" t="n">
        <v>130</v>
      </c>
      <c r="CO4728" s="15" t="n">
        <v>130</v>
      </c>
      <c r="DK4728" s="15" t="n">
        <v>130</v>
      </c>
      <c r="EG4728" s="15" t="n">
        <v>130</v>
      </c>
      <c r="FC4728" s="15" t="n">
        <v>130</v>
      </c>
      <c r="FY4728" s="15" t="n">
        <v>130</v>
      </c>
      <c r="GU4728" s="15" t="n">
        <v>130</v>
      </c>
    </row>
    <row r="4729">
      <c r="C4729" s="15" t="n">
        <v>131</v>
      </c>
      <c r="AA4729" s="15" t="n">
        <v>131</v>
      </c>
      <c r="AW4729" s="15" t="n">
        <v>131</v>
      </c>
      <c r="BS4729" s="15" t="n">
        <v>131</v>
      </c>
      <c r="CO4729" s="15" t="n">
        <v>131</v>
      </c>
      <c r="DK4729" s="15" t="n">
        <v>131</v>
      </c>
      <c r="EG4729" s="15" t="n">
        <v>131</v>
      </c>
      <c r="FC4729" s="15" t="n">
        <v>131</v>
      </c>
      <c r="FY4729" s="15" t="n">
        <v>131</v>
      </c>
      <c r="GU4729" s="15" t="n">
        <v>131</v>
      </c>
    </row>
    <row r="4730">
      <c r="C4730" s="15" t="n">
        <v>132</v>
      </c>
      <c r="AA4730" s="15" t="n">
        <v>132</v>
      </c>
      <c r="AW4730" s="15" t="n">
        <v>132</v>
      </c>
      <c r="BS4730" s="15" t="n">
        <v>132</v>
      </c>
      <c r="CO4730" s="15" t="n">
        <v>132</v>
      </c>
      <c r="DK4730" s="15" t="n">
        <v>132</v>
      </c>
      <c r="EG4730" s="15" t="n">
        <v>132</v>
      </c>
      <c r="FC4730" s="15" t="n">
        <v>132</v>
      </c>
      <c r="FY4730" s="15" t="n">
        <v>132</v>
      </c>
      <c r="GU4730" s="15" t="n">
        <v>132</v>
      </c>
    </row>
    <row r="4731">
      <c r="C4731" s="15" t="n">
        <v>133</v>
      </c>
      <c r="AA4731" s="15" t="n">
        <v>133</v>
      </c>
      <c r="AW4731" s="15" t="n">
        <v>133</v>
      </c>
      <c r="BS4731" s="15" t="n">
        <v>133</v>
      </c>
      <c r="CO4731" s="15" t="n">
        <v>133</v>
      </c>
      <c r="DK4731" s="15" t="n">
        <v>133</v>
      </c>
      <c r="EG4731" s="15" t="n">
        <v>133</v>
      </c>
      <c r="FC4731" s="15" t="n">
        <v>133</v>
      </c>
      <c r="FY4731" s="15" t="n">
        <v>133</v>
      </c>
      <c r="GU4731" s="15" t="n">
        <v>133</v>
      </c>
    </row>
    <row r="4732">
      <c r="C4732" s="15" t="n">
        <v>134</v>
      </c>
      <c r="AA4732" s="15" t="n">
        <v>134</v>
      </c>
      <c r="AW4732" s="15" t="n">
        <v>134</v>
      </c>
      <c r="BS4732" s="15" t="n">
        <v>134</v>
      </c>
      <c r="CO4732" s="15" t="n">
        <v>134</v>
      </c>
      <c r="DK4732" s="15" t="n">
        <v>134</v>
      </c>
      <c r="EG4732" s="15" t="n">
        <v>134</v>
      </c>
      <c r="FC4732" s="15" t="n">
        <v>134</v>
      </c>
      <c r="FY4732" s="15" t="n">
        <v>134</v>
      </c>
      <c r="GU4732" s="15" t="n">
        <v>134</v>
      </c>
    </row>
    <row r="4733">
      <c r="C4733" s="15" t="n">
        <v>135</v>
      </c>
      <c r="AA4733" s="15" t="n">
        <v>135</v>
      </c>
      <c r="AW4733" s="15" t="n">
        <v>135</v>
      </c>
      <c r="BS4733" s="15" t="n">
        <v>135</v>
      </c>
      <c r="CO4733" s="15" t="n">
        <v>135</v>
      </c>
      <c r="DK4733" s="15" t="n">
        <v>135</v>
      </c>
      <c r="EG4733" s="15" t="n">
        <v>135</v>
      </c>
      <c r="FC4733" s="15" t="n">
        <v>135</v>
      </c>
      <c r="FY4733" s="15" t="n">
        <v>135</v>
      </c>
      <c r="GU4733" s="15" t="n">
        <v>135</v>
      </c>
    </row>
    <row r="4734">
      <c r="C4734" s="15" t="n">
        <v>136</v>
      </c>
      <c r="AA4734" s="15" t="n">
        <v>136</v>
      </c>
      <c r="AW4734" s="15" t="n">
        <v>136</v>
      </c>
      <c r="BS4734" s="15" t="n">
        <v>136</v>
      </c>
      <c r="CO4734" s="15" t="n">
        <v>136</v>
      </c>
      <c r="DK4734" s="15" t="n">
        <v>136</v>
      </c>
      <c r="EG4734" s="15" t="n">
        <v>136</v>
      </c>
      <c r="FC4734" s="15" t="n">
        <v>136</v>
      </c>
      <c r="FY4734" s="15" t="n">
        <v>136</v>
      </c>
      <c r="GU4734" s="15" t="n">
        <v>136</v>
      </c>
    </row>
    <row r="4735">
      <c r="C4735" s="15" t="n">
        <v>137</v>
      </c>
      <c r="AA4735" s="15" t="n">
        <v>137</v>
      </c>
      <c r="AW4735" s="15" t="n">
        <v>137</v>
      </c>
      <c r="BS4735" s="15" t="n">
        <v>137</v>
      </c>
      <c r="CO4735" s="15" t="n">
        <v>137</v>
      </c>
      <c r="DK4735" s="15" t="n">
        <v>137</v>
      </c>
      <c r="EG4735" s="15" t="n">
        <v>137</v>
      </c>
      <c r="FC4735" s="15" t="n">
        <v>137</v>
      </c>
      <c r="FY4735" s="15" t="n">
        <v>137</v>
      </c>
      <c r="GU4735" s="15" t="n">
        <v>137</v>
      </c>
    </row>
    <row r="4736">
      <c r="C4736" s="15" t="n">
        <v>138</v>
      </c>
      <c r="AA4736" s="15" t="n">
        <v>138</v>
      </c>
      <c r="AW4736" s="15" t="n">
        <v>138</v>
      </c>
      <c r="BS4736" s="15" t="n">
        <v>138</v>
      </c>
      <c r="CO4736" s="15" t="n">
        <v>138</v>
      </c>
      <c r="DK4736" s="15" t="n">
        <v>138</v>
      </c>
      <c r="EG4736" s="15" t="n">
        <v>138</v>
      </c>
      <c r="FC4736" s="15" t="n">
        <v>138</v>
      </c>
      <c r="FY4736" s="15" t="n">
        <v>138</v>
      </c>
      <c r="GU4736" s="15" t="n">
        <v>138</v>
      </c>
    </row>
    <row r="4737">
      <c r="C4737" s="15" t="n">
        <v>139</v>
      </c>
      <c r="AA4737" s="15" t="n">
        <v>139</v>
      </c>
      <c r="AW4737" s="15" t="n">
        <v>139</v>
      </c>
      <c r="BS4737" s="15" t="n">
        <v>139</v>
      </c>
      <c r="CO4737" s="15" t="n">
        <v>139</v>
      </c>
      <c r="DK4737" s="15" t="n">
        <v>139</v>
      </c>
      <c r="EG4737" s="15" t="n">
        <v>139</v>
      </c>
      <c r="FC4737" s="15" t="n">
        <v>139</v>
      </c>
      <c r="FY4737" s="15" t="n">
        <v>139</v>
      </c>
      <c r="GU4737" s="15" t="n">
        <v>139</v>
      </c>
    </row>
    <row r="4738">
      <c r="C4738" s="15" t="n">
        <v>140</v>
      </c>
      <c r="AA4738" s="15" t="n">
        <v>140</v>
      </c>
      <c r="AW4738" s="15" t="n">
        <v>140</v>
      </c>
      <c r="BS4738" s="15" t="n">
        <v>140</v>
      </c>
      <c r="CO4738" s="15" t="n">
        <v>140</v>
      </c>
      <c r="DK4738" s="15" t="n">
        <v>140</v>
      </c>
      <c r="EG4738" s="15" t="n">
        <v>140</v>
      </c>
      <c r="FC4738" s="15" t="n">
        <v>140</v>
      </c>
      <c r="FY4738" s="15" t="n">
        <v>140</v>
      </c>
      <c r="GU4738" s="15" t="n">
        <v>140</v>
      </c>
    </row>
    <row r="4739">
      <c r="C4739" s="15" t="n">
        <v>141</v>
      </c>
      <c r="AA4739" s="15" t="n">
        <v>141</v>
      </c>
      <c r="AW4739" s="15" t="n">
        <v>141</v>
      </c>
      <c r="BS4739" s="15" t="n">
        <v>141</v>
      </c>
      <c r="CO4739" s="15" t="n">
        <v>141</v>
      </c>
      <c r="DK4739" s="15" t="n">
        <v>141</v>
      </c>
      <c r="EG4739" s="15" t="n">
        <v>141</v>
      </c>
      <c r="FC4739" s="15" t="n">
        <v>141</v>
      </c>
      <c r="FY4739" s="15" t="n">
        <v>141</v>
      </c>
      <c r="GU4739" s="15" t="n">
        <v>141</v>
      </c>
    </row>
    <row r="4740">
      <c r="C4740" s="15" t="n">
        <v>142</v>
      </c>
      <c r="AA4740" s="15" t="n">
        <v>142</v>
      </c>
      <c r="AW4740" s="15" t="n">
        <v>142</v>
      </c>
      <c r="BS4740" s="15" t="n">
        <v>142</v>
      </c>
      <c r="CO4740" s="15" t="n">
        <v>142</v>
      </c>
      <c r="DK4740" s="15" t="n">
        <v>142</v>
      </c>
      <c r="EG4740" s="15" t="n">
        <v>142</v>
      </c>
      <c r="FC4740" s="15" t="n">
        <v>142</v>
      </c>
      <c r="FY4740" s="15" t="n">
        <v>142</v>
      </c>
      <c r="GU4740" s="15" t="n">
        <v>142</v>
      </c>
    </row>
    <row r="4741">
      <c r="C4741" s="15" t="n">
        <v>143</v>
      </c>
      <c r="AA4741" s="15" t="n">
        <v>143</v>
      </c>
      <c r="AW4741" s="15" t="n">
        <v>143</v>
      </c>
      <c r="BS4741" s="15" t="n">
        <v>143</v>
      </c>
      <c r="CO4741" s="15" t="n">
        <v>143</v>
      </c>
      <c r="DK4741" s="15" t="n">
        <v>143</v>
      </c>
      <c r="EG4741" s="15" t="n">
        <v>143</v>
      </c>
      <c r="FC4741" s="15" t="n">
        <v>143</v>
      </c>
      <c r="FY4741" s="15" t="n">
        <v>143</v>
      </c>
      <c r="GU4741" s="15" t="n">
        <v>143</v>
      </c>
    </row>
    <row r="4742">
      <c r="C4742" s="15" t="n">
        <v>144</v>
      </c>
      <c r="AA4742" s="15" t="n">
        <v>144</v>
      </c>
      <c r="AW4742" s="15" t="n">
        <v>144</v>
      </c>
      <c r="BS4742" s="15" t="n">
        <v>144</v>
      </c>
      <c r="CO4742" s="15" t="n">
        <v>144</v>
      </c>
      <c r="DK4742" s="15" t="n">
        <v>144</v>
      </c>
      <c r="EG4742" s="15" t="n">
        <v>144</v>
      </c>
      <c r="FC4742" s="15" t="n">
        <v>144</v>
      </c>
      <c r="FY4742" s="15" t="n">
        <v>144</v>
      </c>
      <c r="GU4742" s="15" t="n">
        <v>144</v>
      </c>
    </row>
    <row r="4743">
      <c r="C4743" s="15" t="n">
        <v>145</v>
      </c>
      <c r="AA4743" s="15" t="n">
        <v>145</v>
      </c>
      <c r="AW4743" s="15" t="n">
        <v>145</v>
      </c>
      <c r="BS4743" s="15" t="n">
        <v>145</v>
      </c>
      <c r="CO4743" s="15" t="n">
        <v>145</v>
      </c>
      <c r="DK4743" s="15" t="n">
        <v>145</v>
      </c>
      <c r="EG4743" s="15" t="n">
        <v>145</v>
      </c>
      <c r="FC4743" s="15" t="n">
        <v>145</v>
      </c>
      <c r="FY4743" s="15" t="n">
        <v>145</v>
      </c>
      <c r="GU4743" s="15" t="n">
        <v>145</v>
      </c>
    </row>
    <row r="4744">
      <c r="C4744" s="15" t="n">
        <v>146</v>
      </c>
      <c r="AA4744" s="15" t="n">
        <v>146</v>
      </c>
      <c r="AW4744" s="15" t="n">
        <v>146</v>
      </c>
      <c r="BS4744" s="15" t="n">
        <v>146</v>
      </c>
      <c r="CO4744" s="15" t="n">
        <v>146</v>
      </c>
      <c r="DK4744" s="15" t="n">
        <v>146</v>
      </c>
      <c r="EG4744" s="15" t="n">
        <v>146</v>
      </c>
      <c r="FC4744" s="15" t="n">
        <v>146</v>
      </c>
      <c r="FY4744" s="15" t="n">
        <v>146</v>
      </c>
      <c r="GU4744" s="15" t="n">
        <v>146</v>
      </c>
    </row>
    <row r="4745">
      <c r="C4745" s="15" t="n">
        <v>147</v>
      </c>
      <c r="AA4745" s="15" t="n">
        <v>147</v>
      </c>
      <c r="AW4745" s="15" t="n">
        <v>147</v>
      </c>
      <c r="BS4745" s="15" t="n">
        <v>147</v>
      </c>
      <c r="CO4745" s="15" t="n">
        <v>147</v>
      </c>
      <c r="DK4745" s="15" t="n">
        <v>147</v>
      </c>
      <c r="EG4745" s="15" t="n">
        <v>147</v>
      </c>
      <c r="FC4745" s="15" t="n">
        <v>147</v>
      </c>
      <c r="FY4745" s="15" t="n">
        <v>147</v>
      </c>
      <c r="GU4745" s="15" t="n">
        <v>147</v>
      </c>
    </row>
    <row r="4746">
      <c r="C4746" s="15" t="n">
        <v>148</v>
      </c>
      <c r="AA4746" s="15" t="n">
        <v>148</v>
      </c>
      <c r="AW4746" s="15" t="n">
        <v>148</v>
      </c>
      <c r="BS4746" s="15" t="n">
        <v>148</v>
      </c>
      <c r="CO4746" s="15" t="n">
        <v>148</v>
      </c>
      <c r="DK4746" s="15" t="n">
        <v>148</v>
      </c>
      <c r="EG4746" s="15" t="n">
        <v>148</v>
      </c>
      <c r="FC4746" s="15" t="n">
        <v>148</v>
      </c>
      <c r="FY4746" s="15" t="n">
        <v>148</v>
      </c>
      <c r="GU4746" s="15" t="n">
        <v>148</v>
      </c>
    </row>
    <row r="4747">
      <c r="C4747" s="15" t="n">
        <v>149</v>
      </c>
      <c r="AA4747" s="15" t="n">
        <v>149</v>
      </c>
      <c r="AW4747" s="15" t="n">
        <v>149</v>
      </c>
      <c r="BS4747" s="15" t="n">
        <v>149</v>
      </c>
      <c r="CO4747" s="15" t="n">
        <v>149</v>
      </c>
      <c r="DK4747" s="15" t="n">
        <v>149</v>
      </c>
      <c r="EG4747" s="15" t="n">
        <v>149</v>
      </c>
      <c r="FC4747" s="15" t="n">
        <v>149</v>
      </c>
      <c r="FY4747" s="15" t="n">
        <v>149</v>
      </c>
      <c r="GU4747" s="15" t="n">
        <v>149</v>
      </c>
    </row>
    <row r="4748">
      <c r="C4748" s="15" t="n">
        <v>150</v>
      </c>
      <c r="AA4748" s="15" t="n">
        <v>150</v>
      </c>
      <c r="AW4748" s="15" t="n">
        <v>150</v>
      </c>
      <c r="BS4748" s="15" t="n">
        <v>150</v>
      </c>
      <c r="CO4748" s="15" t="n">
        <v>150</v>
      </c>
      <c r="DK4748" s="15" t="n">
        <v>150</v>
      </c>
      <c r="EG4748" s="15" t="n">
        <v>150</v>
      </c>
      <c r="FC4748" s="15" t="n">
        <v>150</v>
      </c>
      <c r="FY4748" s="15" t="n">
        <v>150</v>
      </c>
      <c r="GU4748" s="15" t="n">
        <v>150</v>
      </c>
    </row>
    <row r="4749">
      <c r="C4749" s="15" t="n">
        <v>151</v>
      </c>
      <c r="AA4749" s="15" t="n">
        <v>151</v>
      </c>
      <c r="AW4749" s="15" t="n">
        <v>151</v>
      </c>
      <c r="BS4749" s="15" t="n">
        <v>151</v>
      </c>
      <c r="CO4749" s="15" t="n">
        <v>151</v>
      </c>
      <c r="DK4749" s="15" t="n">
        <v>151</v>
      </c>
      <c r="EG4749" s="15" t="n">
        <v>151</v>
      </c>
      <c r="FC4749" s="15" t="n">
        <v>151</v>
      </c>
      <c r="FY4749" s="15" t="n">
        <v>151</v>
      </c>
      <c r="GU4749" s="15" t="n">
        <v>151</v>
      </c>
    </row>
    <row r="4750">
      <c r="C4750" s="15" t="n">
        <v>152</v>
      </c>
      <c r="AA4750" s="15" t="n">
        <v>152</v>
      </c>
      <c r="AW4750" s="15" t="n">
        <v>152</v>
      </c>
      <c r="BS4750" s="15" t="n">
        <v>152</v>
      </c>
      <c r="CO4750" s="15" t="n">
        <v>152</v>
      </c>
      <c r="DK4750" s="15" t="n">
        <v>152</v>
      </c>
      <c r="EG4750" s="15" t="n">
        <v>152</v>
      </c>
      <c r="FC4750" s="15" t="n">
        <v>152</v>
      </c>
      <c r="FY4750" s="15" t="n">
        <v>152</v>
      </c>
      <c r="GU4750" s="15" t="n">
        <v>152</v>
      </c>
    </row>
    <row r="4751">
      <c r="C4751" s="15" t="n">
        <v>153</v>
      </c>
      <c r="AA4751" s="15" t="n">
        <v>153</v>
      </c>
      <c r="AW4751" s="15" t="n">
        <v>153</v>
      </c>
      <c r="BS4751" s="15" t="n">
        <v>153</v>
      </c>
      <c r="CO4751" s="15" t="n">
        <v>153</v>
      </c>
      <c r="DK4751" s="15" t="n">
        <v>153</v>
      </c>
      <c r="EG4751" s="15" t="n">
        <v>153</v>
      </c>
      <c r="FC4751" s="15" t="n">
        <v>153</v>
      </c>
      <c r="FY4751" s="15" t="n">
        <v>153</v>
      </c>
      <c r="GU4751" s="15" t="n">
        <v>153</v>
      </c>
    </row>
    <row r="4752">
      <c r="C4752" s="15" t="n">
        <v>154</v>
      </c>
      <c r="AA4752" s="15" t="n">
        <v>154</v>
      </c>
      <c r="AW4752" s="15" t="n">
        <v>154</v>
      </c>
      <c r="BS4752" s="15" t="n">
        <v>154</v>
      </c>
      <c r="CO4752" s="15" t="n">
        <v>154</v>
      </c>
      <c r="DK4752" s="15" t="n">
        <v>154</v>
      </c>
      <c r="EG4752" s="15" t="n">
        <v>154</v>
      </c>
      <c r="FC4752" s="15" t="n">
        <v>154</v>
      </c>
      <c r="FY4752" s="15" t="n">
        <v>154</v>
      </c>
      <c r="GU4752" s="15" t="n">
        <v>154</v>
      </c>
    </row>
    <row r="4753">
      <c r="C4753" s="15" t="n">
        <v>155</v>
      </c>
      <c r="AA4753" s="15" t="n">
        <v>155</v>
      </c>
      <c r="AW4753" s="15" t="n">
        <v>155</v>
      </c>
      <c r="BS4753" s="15" t="n">
        <v>155</v>
      </c>
      <c r="CO4753" s="15" t="n">
        <v>155</v>
      </c>
      <c r="DK4753" s="15" t="n">
        <v>155</v>
      </c>
      <c r="EG4753" s="15" t="n">
        <v>155</v>
      </c>
      <c r="FC4753" s="15" t="n">
        <v>155</v>
      </c>
      <c r="FY4753" s="15" t="n">
        <v>155</v>
      </c>
      <c r="GU4753" s="15" t="n">
        <v>155</v>
      </c>
    </row>
    <row r="4754">
      <c r="C4754" s="15" t="n">
        <v>156</v>
      </c>
      <c r="AA4754" s="15" t="n">
        <v>156</v>
      </c>
      <c r="AW4754" s="15" t="n">
        <v>156</v>
      </c>
      <c r="BS4754" s="15" t="n">
        <v>156</v>
      </c>
      <c r="CO4754" s="15" t="n">
        <v>156</v>
      </c>
      <c r="DK4754" s="15" t="n">
        <v>156</v>
      </c>
      <c r="EG4754" s="15" t="n">
        <v>156</v>
      </c>
      <c r="FC4754" s="15" t="n">
        <v>156</v>
      </c>
      <c r="FY4754" s="15" t="n">
        <v>156</v>
      </c>
      <c r="GU4754" s="15" t="n">
        <v>156</v>
      </c>
    </row>
    <row r="4755">
      <c r="C4755" s="15" t="n">
        <v>157</v>
      </c>
      <c r="AA4755" s="15" t="n">
        <v>157</v>
      </c>
      <c r="AW4755" s="15" t="n">
        <v>157</v>
      </c>
      <c r="BS4755" s="15" t="n">
        <v>157</v>
      </c>
      <c r="CO4755" s="15" t="n">
        <v>157</v>
      </c>
      <c r="DK4755" s="15" t="n">
        <v>157</v>
      </c>
      <c r="EG4755" s="15" t="n">
        <v>157</v>
      </c>
      <c r="FC4755" s="15" t="n">
        <v>157</v>
      </c>
      <c r="FY4755" s="15" t="n">
        <v>157</v>
      </c>
      <c r="GU4755" s="15" t="n">
        <v>157</v>
      </c>
    </row>
    <row r="4756">
      <c r="C4756" s="15" t="n">
        <v>158</v>
      </c>
      <c r="AA4756" s="15" t="n">
        <v>158</v>
      </c>
      <c r="AW4756" s="15" t="n">
        <v>158</v>
      </c>
      <c r="BS4756" s="15" t="n">
        <v>158</v>
      </c>
      <c r="CO4756" s="15" t="n">
        <v>158</v>
      </c>
      <c r="DK4756" s="15" t="n">
        <v>158</v>
      </c>
      <c r="EG4756" s="15" t="n">
        <v>158</v>
      </c>
      <c r="FC4756" s="15" t="n">
        <v>158</v>
      </c>
      <c r="FY4756" s="15" t="n">
        <v>158</v>
      </c>
      <c r="GU4756" s="15" t="n">
        <v>158</v>
      </c>
    </row>
    <row r="4757">
      <c r="C4757" s="15" t="n">
        <v>159</v>
      </c>
      <c r="AA4757" s="15" t="n">
        <v>159</v>
      </c>
      <c r="AW4757" s="15" t="n">
        <v>159</v>
      </c>
      <c r="BS4757" s="15" t="n">
        <v>159</v>
      </c>
      <c r="CO4757" s="15" t="n">
        <v>159</v>
      </c>
      <c r="DK4757" s="15" t="n">
        <v>159</v>
      </c>
      <c r="EG4757" s="15" t="n">
        <v>159</v>
      </c>
      <c r="FC4757" s="15" t="n">
        <v>159</v>
      </c>
      <c r="FY4757" s="15" t="n">
        <v>159</v>
      </c>
      <c r="GU4757" s="15" t="n">
        <v>159</v>
      </c>
    </row>
    <row r="4758">
      <c r="C4758" s="15" t="n">
        <v>160</v>
      </c>
      <c r="AA4758" s="15" t="n">
        <v>160</v>
      </c>
      <c r="AW4758" s="15" t="n">
        <v>160</v>
      </c>
      <c r="BS4758" s="15" t="n">
        <v>160</v>
      </c>
      <c r="CO4758" s="15" t="n">
        <v>160</v>
      </c>
      <c r="DK4758" s="15" t="n">
        <v>160</v>
      </c>
      <c r="EG4758" s="15" t="n">
        <v>160</v>
      </c>
      <c r="FC4758" s="15" t="n">
        <v>160</v>
      </c>
      <c r="FY4758" s="15" t="n">
        <v>160</v>
      </c>
      <c r="GU4758" s="15" t="n">
        <v>160</v>
      </c>
    </row>
    <row r="4759">
      <c r="C4759" s="15" t="n">
        <v>161</v>
      </c>
      <c r="AA4759" s="15" t="n">
        <v>161</v>
      </c>
      <c r="AW4759" s="15" t="n">
        <v>161</v>
      </c>
      <c r="BS4759" s="15" t="n">
        <v>161</v>
      </c>
      <c r="CO4759" s="15" t="n">
        <v>161</v>
      </c>
      <c r="DK4759" s="15" t="n">
        <v>161</v>
      </c>
      <c r="EG4759" s="15" t="n">
        <v>161</v>
      </c>
      <c r="FC4759" s="15" t="n">
        <v>161</v>
      </c>
      <c r="FY4759" s="15" t="n">
        <v>161</v>
      </c>
      <c r="GU4759" s="15" t="n">
        <v>161</v>
      </c>
    </row>
    <row r="4760">
      <c r="C4760" s="15" t="n">
        <v>162</v>
      </c>
      <c r="AA4760" s="15" t="n">
        <v>162</v>
      </c>
      <c r="AW4760" s="15" t="n">
        <v>162</v>
      </c>
      <c r="BS4760" s="15" t="n">
        <v>162</v>
      </c>
      <c r="CO4760" s="15" t="n">
        <v>162</v>
      </c>
      <c r="DK4760" s="15" t="n">
        <v>162</v>
      </c>
      <c r="EG4760" s="15" t="n">
        <v>162</v>
      </c>
      <c r="FC4760" s="15" t="n">
        <v>162</v>
      </c>
      <c r="FY4760" s="15" t="n">
        <v>162</v>
      </c>
      <c r="GU4760" s="15" t="n">
        <v>162</v>
      </c>
    </row>
    <row r="4761">
      <c r="C4761" s="15" t="n">
        <v>163</v>
      </c>
      <c r="AA4761" s="15" t="n">
        <v>163</v>
      </c>
      <c r="AW4761" s="15" t="n">
        <v>163</v>
      </c>
      <c r="BS4761" s="15" t="n">
        <v>163</v>
      </c>
      <c r="CO4761" s="15" t="n">
        <v>163</v>
      </c>
      <c r="DK4761" s="15" t="n">
        <v>163</v>
      </c>
      <c r="EG4761" s="15" t="n">
        <v>163</v>
      </c>
      <c r="FC4761" s="15" t="n">
        <v>163</v>
      </c>
      <c r="FY4761" s="15" t="n">
        <v>163</v>
      </c>
      <c r="GU4761" s="15" t="n">
        <v>163</v>
      </c>
    </row>
    <row r="4762">
      <c r="C4762" s="15" t="n">
        <v>164</v>
      </c>
      <c r="AA4762" s="15" t="n">
        <v>164</v>
      </c>
      <c r="AW4762" s="15" t="n">
        <v>164</v>
      </c>
      <c r="BS4762" s="15" t="n">
        <v>164</v>
      </c>
      <c r="CO4762" s="15" t="n">
        <v>164</v>
      </c>
      <c r="DK4762" s="15" t="n">
        <v>164</v>
      </c>
      <c r="EG4762" s="15" t="n">
        <v>164</v>
      </c>
      <c r="FC4762" s="15" t="n">
        <v>164</v>
      </c>
      <c r="FY4762" s="15" t="n">
        <v>164</v>
      </c>
      <c r="GU4762" s="15" t="n">
        <v>164</v>
      </c>
    </row>
    <row r="4763">
      <c r="C4763" s="15" t="n">
        <v>165</v>
      </c>
      <c r="AA4763" s="15" t="n">
        <v>165</v>
      </c>
      <c r="AW4763" s="15" t="n">
        <v>165</v>
      </c>
      <c r="BS4763" s="15" t="n">
        <v>165</v>
      </c>
      <c r="CO4763" s="15" t="n">
        <v>165</v>
      </c>
      <c r="DK4763" s="15" t="n">
        <v>165</v>
      </c>
      <c r="EG4763" s="15" t="n">
        <v>165</v>
      </c>
      <c r="FC4763" s="15" t="n">
        <v>165</v>
      </c>
      <c r="FY4763" s="15" t="n">
        <v>165</v>
      </c>
      <c r="GU4763" s="15" t="n">
        <v>165</v>
      </c>
    </row>
    <row r="4764">
      <c r="C4764" s="15" t="n">
        <v>166</v>
      </c>
      <c r="AA4764" s="15" t="n">
        <v>166</v>
      </c>
      <c r="AW4764" s="15" t="n">
        <v>166</v>
      </c>
      <c r="BS4764" s="15" t="n">
        <v>166</v>
      </c>
      <c r="CO4764" s="15" t="n">
        <v>166</v>
      </c>
      <c r="DK4764" s="15" t="n">
        <v>166</v>
      </c>
      <c r="EG4764" s="15" t="n">
        <v>166</v>
      </c>
      <c r="FC4764" s="15" t="n">
        <v>166</v>
      </c>
      <c r="FY4764" s="15" t="n">
        <v>166</v>
      </c>
      <c r="GU4764" s="15" t="n">
        <v>166</v>
      </c>
    </row>
    <row r="4765">
      <c r="C4765" s="15" t="n">
        <v>167</v>
      </c>
      <c r="AA4765" s="15" t="n">
        <v>167</v>
      </c>
      <c r="AW4765" s="15" t="n">
        <v>167</v>
      </c>
      <c r="BS4765" s="15" t="n">
        <v>167</v>
      </c>
      <c r="CO4765" s="15" t="n">
        <v>167</v>
      </c>
      <c r="DK4765" s="15" t="n">
        <v>167</v>
      </c>
      <c r="EG4765" s="15" t="n">
        <v>167</v>
      </c>
      <c r="FC4765" s="15" t="n">
        <v>167</v>
      </c>
      <c r="FY4765" s="15" t="n">
        <v>167</v>
      </c>
      <c r="GU4765" s="15" t="n">
        <v>167</v>
      </c>
    </row>
    <row r="4766">
      <c r="C4766" s="15" t="n">
        <v>168</v>
      </c>
      <c r="AA4766" s="15" t="n">
        <v>168</v>
      </c>
      <c r="AW4766" s="15" t="n">
        <v>168</v>
      </c>
      <c r="BS4766" s="15" t="n">
        <v>168</v>
      </c>
      <c r="CO4766" s="15" t="n">
        <v>168</v>
      </c>
      <c r="DK4766" s="15" t="n">
        <v>168</v>
      </c>
      <c r="EG4766" s="15" t="n">
        <v>168</v>
      </c>
      <c r="FC4766" s="15" t="n">
        <v>168</v>
      </c>
      <c r="FY4766" s="15" t="n">
        <v>168</v>
      </c>
      <c r="GU4766" s="15" t="n">
        <v>168</v>
      </c>
    </row>
    <row r="4767">
      <c r="C4767" s="15" t="n">
        <v>169</v>
      </c>
      <c r="AA4767" s="15" t="n">
        <v>169</v>
      </c>
      <c r="AW4767" s="15" t="n">
        <v>169</v>
      </c>
      <c r="BS4767" s="15" t="n">
        <v>169</v>
      </c>
      <c r="CO4767" s="15" t="n">
        <v>169</v>
      </c>
      <c r="DK4767" s="15" t="n">
        <v>169</v>
      </c>
      <c r="EG4767" s="15" t="n">
        <v>169</v>
      </c>
      <c r="FC4767" s="15" t="n">
        <v>169</v>
      </c>
      <c r="FY4767" s="15" t="n">
        <v>169</v>
      </c>
      <c r="GU4767" s="15" t="n">
        <v>169</v>
      </c>
    </row>
    <row r="4768">
      <c r="C4768" s="15" t="n">
        <v>170</v>
      </c>
      <c r="AA4768" s="15" t="n">
        <v>170</v>
      </c>
      <c r="AW4768" s="15" t="n">
        <v>170</v>
      </c>
      <c r="BS4768" s="15" t="n">
        <v>170</v>
      </c>
      <c r="CO4768" s="15" t="n">
        <v>170</v>
      </c>
      <c r="DK4768" s="15" t="n">
        <v>170</v>
      </c>
      <c r="EG4768" s="15" t="n">
        <v>170</v>
      </c>
      <c r="FC4768" s="15" t="n">
        <v>170</v>
      </c>
      <c r="FY4768" s="15" t="n">
        <v>170</v>
      </c>
      <c r="GU4768" s="15" t="n">
        <v>170</v>
      </c>
    </row>
    <row r="4769">
      <c r="C4769" s="15" t="n">
        <v>171</v>
      </c>
      <c r="AA4769" s="15" t="n">
        <v>171</v>
      </c>
      <c r="AW4769" s="15" t="n">
        <v>171</v>
      </c>
      <c r="BS4769" s="15" t="n">
        <v>171</v>
      </c>
      <c r="CO4769" s="15" t="n">
        <v>171</v>
      </c>
      <c r="DK4769" s="15" t="n">
        <v>171</v>
      </c>
      <c r="EG4769" s="15" t="n">
        <v>171</v>
      </c>
      <c r="FC4769" s="15" t="n">
        <v>171</v>
      </c>
      <c r="FY4769" s="15" t="n">
        <v>171</v>
      </c>
      <c r="GU4769" s="15" t="n">
        <v>171</v>
      </c>
    </row>
    <row r="4770">
      <c r="C4770" s="15" t="n">
        <v>172</v>
      </c>
      <c r="AA4770" s="15" t="n">
        <v>172</v>
      </c>
      <c r="AW4770" s="15" t="n">
        <v>172</v>
      </c>
      <c r="BS4770" s="15" t="n">
        <v>172</v>
      </c>
      <c r="CO4770" s="15" t="n">
        <v>172</v>
      </c>
      <c r="DK4770" s="15" t="n">
        <v>172</v>
      </c>
      <c r="EG4770" s="15" t="n">
        <v>172</v>
      </c>
      <c r="FC4770" s="15" t="n">
        <v>172</v>
      </c>
      <c r="FY4770" s="15" t="n">
        <v>172</v>
      </c>
      <c r="GU4770" s="15" t="n">
        <v>172</v>
      </c>
    </row>
    <row r="4771">
      <c r="C4771" s="15" t="n">
        <v>173</v>
      </c>
      <c r="AA4771" s="15" t="n">
        <v>173</v>
      </c>
      <c r="AW4771" s="15" t="n">
        <v>173</v>
      </c>
      <c r="BS4771" s="15" t="n">
        <v>173</v>
      </c>
      <c r="CO4771" s="15" t="n">
        <v>173</v>
      </c>
      <c r="DK4771" s="15" t="n">
        <v>173</v>
      </c>
      <c r="EG4771" s="15" t="n">
        <v>173</v>
      </c>
      <c r="FC4771" s="15" t="n">
        <v>173</v>
      </c>
      <c r="FY4771" s="15" t="n">
        <v>173</v>
      </c>
      <c r="GU4771" s="15" t="n">
        <v>173</v>
      </c>
    </row>
    <row r="4772">
      <c r="C4772" s="15" t="n">
        <v>174</v>
      </c>
      <c r="AA4772" s="15" t="n">
        <v>174</v>
      </c>
      <c r="AW4772" s="15" t="n">
        <v>174</v>
      </c>
      <c r="BS4772" s="15" t="n">
        <v>174</v>
      </c>
      <c r="CO4772" s="15" t="n">
        <v>174</v>
      </c>
      <c r="DK4772" s="15" t="n">
        <v>174</v>
      </c>
      <c r="EG4772" s="15" t="n">
        <v>174</v>
      </c>
      <c r="FC4772" s="15" t="n">
        <v>174</v>
      </c>
      <c r="FY4772" s="15" t="n">
        <v>174</v>
      </c>
      <c r="GU4772" s="15" t="n">
        <v>174</v>
      </c>
    </row>
    <row r="4773">
      <c r="C4773" s="15" t="n">
        <v>175</v>
      </c>
      <c r="AA4773" s="15" t="n">
        <v>175</v>
      </c>
      <c r="AW4773" s="15" t="n">
        <v>175</v>
      </c>
      <c r="BS4773" s="15" t="n">
        <v>175</v>
      </c>
      <c r="CO4773" s="15" t="n">
        <v>175</v>
      </c>
      <c r="DK4773" s="15" t="n">
        <v>175</v>
      </c>
      <c r="EG4773" s="15" t="n">
        <v>175</v>
      </c>
      <c r="FC4773" s="15" t="n">
        <v>175</v>
      </c>
      <c r="FY4773" s="15" t="n">
        <v>175</v>
      </c>
      <c r="GU4773" s="15" t="n">
        <v>175</v>
      </c>
    </row>
    <row r="4774">
      <c r="C4774" s="15" t="n">
        <v>176</v>
      </c>
      <c r="AA4774" s="15" t="n">
        <v>176</v>
      </c>
      <c r="AW4774" s="15" t="n">
        <v>176</v>
      </c>
      <c r="BS4774" s="15" t="n">
        <v>176</v>
      </c>
      <c r="CO4774" s="15" t="n">
        <v>176</v>
      </c>
      <c r="DK4774" s="15" t="n">
        <v>176</v>
      </c>
      <c r="EG4774" s="15" t="n">
        <v>176</v>
      </c>
      <c r="FC4774" s="15" t="n">
        <v>176</v>
      </c>
      <c r="FY4774" s="15" t="n">
        <v>176</v>
      </c>
      <c r="GU4774" s="15" t="n">
        <v>176</v>
      </c>
    </row>
    <row r="4775">
      <c r="C4775" s="15" t="n">
        <v>177</v>
      </c>
      <c r="AA4775" s="15" t="n">
        <v>177</v>
      </c>
      <c r="AW4775" s="15" t="n">
        <v>177</v>
      </c>
      <c r="BS4775" s="15" t="n">
        <v>177</v>
      </c>
      <c r="CO4775" s="15" t="n">
        <v>177</v>
      </c>
      <c r="DK4775" s="15" t="n">
        <v>177</v>
      </c>
      <c r="EG4775" s="15" t="n">
        <v>177</v>
      </c>
      <c r="FC4775" s="15" t="n">
        <v>177</v>
      </c>
      <c r="FY4775" s="15" t="n">
        <v>177</v>
      </c>
      <c r="GU4775" s="15" t="n">
        <v>177</v>
      </c>
    </row>
    <row r="4776">
      <c r="C4776" s="15" t="n">
        <v>178</v>
      </c>
      <c r="AA4776" s="15" t="n">
        <v>178</v>
      </c>
      <c r="AW4776" s="15" t="n">
        <v>178</v>
      </c>
      <c r="BS4776" s="15" t="n">
        <v>178</v>
      </c>
      <c r="CO4776" s="15" t="n">
        <v>178</v>
      </c>
      <c r="DK4776" s="15" t="n">
        <v>178</v>
      </c>
      <c r="EG4776" s="15" t="n">
        <v>178</v>
      </c>
      <c r="FC4776" s="15" t="n">
        <v>178</v>
      </c>
      <c r="FY4776" s="15" t="n">
        <v>178</v>
      </c>
      <c r="GU4776" s="15" t="n">
        <v>178</v>
      </c>
    </row>
    <row r="4777">
      <c r="C4777" s="15" t="n">
        <v>179</v>
      </c>
      <c r="AA4777" s="15" t="n">
        <v>179</v>
      </c>
      <c r="AW4777" s="15" t="n">
        <v>179</v>
      </c>
      <c r="BS4777" s="15" t="n">
        <v>179</v>
      </c>
      <c r="CO4777" s="15" t="n">
        <v>179</v>
      </c>
      <c r="DK4777" s="15" t="n">
        <v>179</v>
      </c>
      <c r="EG4777" s="15" t="n">
        <v>179</v>
      </c>
      <c r="FC4777" s="15" t="n">
        <v>179</v>
      </c>
      <c r="FY4777" s="15" t="n">
        <v>179</v>
      </c>
      <c r="GU4777" s="15" t="n">
        <v>179</v>
      </c>
    </row>
    <row r="4778">
      <c r="C4778" s="15" t="n">
        <v>180</v>
      </c>
      <c r="AA4778" s="15" t="n">
        <v>180</v>
      </c>
      <c r="AW4778" s="15" t="n">
        <v>180</v>
      </c>
      <c r="BS4778" s="15" t="n">
        <v>180</v>
      </c>
      <c r="CO4778" s="15" t="n">
        <v>180</v>
      </c>
      <c r="DK4778" s="15" t="n">
        <v>180</v>
      </c>
      <c r="EG4778" s="15" t="n">
        <v>180</v>
      </c>
      <c r="FC4778" s="15" t="n">
        <v>180</v>
      </c>
      <c r="FY4778" s="15" t="n">
        <v>180</v>
      </c>
      <c r="GU4778" s="15" t="n">
        <v>180</v>
      </c>
    </row>
    <row r="4779">
      <c r="C4779" s="15" t="n">
        <v>181</v>
      </c>
      <c r="AA4779" s="15" t="n">
        <v>181</v>
      </c>
      <c r="AW4779" s="15" t="n">
        <v>181</v>
      </c>
      <c r="BS4779" s="15" t="n">
        <v>181</v>
      </c>
      <c r="CO4779" s="15" t="n">
        <v>181</v>
      </c>
      <c r="DK4779" s="15" t="n">
        <v>181</v>
      </c>
      <c r="EG4779" s="15" t="n">
        <v>181</v>
      </c>
      <c r="FC4779" s="15" t="n">
        <v>181</v>
      </c>
      <c r="FY4779" s="15" t="n">
        <v>181</v>
      </c>
      <c r="GU4779" s="15" t="n">
        <v>181</v>
      </c>
    </row>
    <row r="4780">
      <c r="C4780" s="15" t="n">
        <v>182</v>
      </c>
      <c r="AA4780" s="15" t="n">
        <v>182</v>
      </c>
      <c r="AW4780" s="15" t="n">
        <v>182</v>
      </c>
      <c r="BS4780" s="15" t="n">
        <v>182</v>
      </c>
      <c r="CO4780" s="15" t="n">
        <v>182</v>
      </c>
      <c r="DK4780" s="15" t="n">
        <v>182</v>
      </c>
      <c r="EG4780" s="15" t="n">
        <v>182</v>
      </c>
      <c r="FC4780" s="15" t="n">
        <v>182</v>
      </c>
      <c r="FY4780" s="15" t="n">
        <v>182</v>
      </c>
      <c r="GU4780" s="15" t="n">
        <v>182</v>
      </c>
    </row>
    <row r="4781">
      <c r="C4781" s="15" t="n">
        <v>183</v>
      </c>
      <c r="AA4781" s="15" t="n">
        <v>183</v>
      </c>
      <c r="AW4781" s="15" t="n">
        <v>183</v>
      </c>
      <c r="BS4781" s="15" t="n">
        <v>183</v>
      </c>
      <c r="CO4781" s="15" t="n">
        <v>183</v>
      </c>
      <c r="DK4781" s="15" t="n">
        <v>183</v>
      </c>
      <c r="EG4781" s="15" t="n">
        <v>183</v>
      </c>
      <c r="FC4781" s="15" t="n">
        <v>183</v>
      </c>
      <c r="FY4781" s="15" t="n">
        <v>183</v>
      </c>
      <c r="GU4781" s="15" t="n">
        <v>183</v>
      </c>
    </row>
    <row r="4782">
      <c r="C4782" s="15" t="n">
        <v>184</v>
      </c>
      <c r="AA4782" s="15" t="n">
        <v>184</v>
      </c>
      <c r="AW4782" s="15" t="n">
        <v>184</v>
      </c>
      <c r="BS4782" s="15" t="n">
        <v>184</v>
      </c>
      <c r="CO4782" s="15" t="n">
        <v>184</v>
      </c>
      <c r="DK4782" s="15" t="n">
        <v>184</v>
      </c>
      <c r="EG4782" s="15" t="n">
        <v>184</v>
      </c>
      <c r="FC4782" s="15" t="n">
        <v>184</v>
      </c>
      <c r="FY4782" s="15" t="n">
        <v>184</v>
      </c>
      <c r="GU4782" s="15" t="n">
        <v>184</v>
      </c>
    </row>
    <row r="4783">
      <c r="C4783" s="15" t="n">
        <v>185</v>
      </c>
      <c r="AA4783" s="15" t="n">
        <v>185</v>
      </c>
      <c r="AW4783" s="15" t="n">
        <v>185</v>
      </c>
      <c r="BS4783" s="15" t="n">
        <v>185</v>
      </c>
      <c r="CO4783" s="15" t="n">
        <v>185</v>
      </c>
      <c r="DK4783" s="15" t="n">
        <v>185</v>
      </c>
      <c r="EG4783" s="15" t="n">
        <v>185</v>
      </c>
      <c r="FC4783" s="15" t="n">
        <v>185</v>
      </c>
      <c r="FY4783" s="15" t="n">
        <v>185</v>
      </c>
      <c r="GU4783" s="15" t="n">
        <v>185</v>
      </c>
    </row>
    <row r="4784">
      <c r="C4784" s="15" t="n">
        <v>186</v>
      </c>
      <c r="AA4784" s="15" t="n">
        <v>186</v>
      </c>
      <c r="AW4784" s="15" t="n">
        <v>186</v>
      </c>
      <c r="BS4784" s="15" t="n">
        <v>186</v>
      </c>
      <c r="CO4784" s="15" t="n">
        <v>186</v>
      </c>
      <c r="DK4784" s="15" t="n">
        <v>186</v>
      </c>
      <c r="EG4784" s="15" t="n">
        <v>186</v>
      </c>
      <c r="FC4784" s="15" t="n">
        <v>186</v>
      </c>
      <c r="FY4784" s="15" t="n">
        <v>186</v>
      </c>
      <c r="GU4784" s="15" t="n">
        <v>186</v>
      </c>
    </row>
    <row r="4785">
      <c r="C4785" s="15" t="n">
        <v>187</v>
      </c>
      <c r="AA4785" s="15" t="n">
        <v>187</v>
      </c>
      <c r="AW4785" s="15" t="n">
        <v>187</v>
      </c>
      <c r="BS4785" s="15" t="n">
        <v>187</v>
      </c>
      <c r="CO4785" s="15" t="n">
        <v>187</v>
      </c>
      <c r="DK4785" s="15" t="n">
        <v>187</v>
      </c>
      <c r="EG4785" s="15" t="n">
        <v>187</v>
      </c>
      <c r="FC4785" s="15" t="n">
        <v>187</v>
      </c>
      <c r="FY4785" s="15" t="n">
        <v>187</v>
      </c>
      <c r="GU4785" s="15" t="n">
        <v>187</v>
      </c>
    </row>
    <row r="4786">
      <c r="C4786" s="15" t="n">
        <v>188</v>
      </c>
      <c r="AA4786" s="15" t="n">
        <v>188</v>
      </c>
      <c r="AW4786" s="15" t="n">
        <v>188</v>
      </c>
      <c r="BS4786" s="15" t="n">
        <v>188</v>
      </c>
      <c r="CO4786" s="15" t="n">
        <v>188</v>
      </c>
      <c r="DK4786" s="15" t="n">
        <v>188</v>
      </c>
      <c r="EG4786" s="15" t="n">
        <v>188</v>
      </c>
      <c r="FC4786" s="15" t="n">
        <v>188</v>
      </c>
      <c r="FY4786" s="15" t="n">
        <v>188</v>
      </c>
      <c r="GU4786" s="15" t="n">
        <v>188</v>
      </c>
    </row>
    <row r="4787">
      <c r="C4787" s="15" t="n">
        <v>189</v>
      </c>
      <c r="AA4787" s="15" t="n">
        <v>189</v>
      </c>
      <c r="AW4787" s="15" t="n">
        <v>189</v>
      </c>
      <c r="BS4787" s="15" t="n">
        <v>189</v>
      </c>
      <c r="CO4787" s="15" t="n">
        <v>189</v>
      </c>
      <c r="DK4787" s="15" t="n">
        <v>189</v>
      </c>
      <c r="EG4787" s="15" t="n">
        <v>189</v>
      </c>
      <c r="FC4787" s="15" t="n">
        <v>189</v>
      </c>
      <c r="FY4787" s="15" t="n">
        <v>189</v>
      </c>
      <c r="GU4787" s="15" t="n">
        <v>189</v>
      </c>
    </row>
    <row r="4788">
      <c r="C4788" s="15" t="n">
        <v>190</v>
      </c>
      <c r="AA4788" s="15" t="n">
        <v>190</v>
      </c>
      <c r="AW4788" s="15" t="n">
        <v>190</v>
      </c>
      <c r="BS4788" s="15" t="n">
        <v>190</v>
      </c>
      <c r="CO4788" s="15" t="n">
        <v>190</v>
      </c>
      <c r="DK4788" s="15" t="n">
        <v>190</v>
      </c>
      <c r="EG4788" s="15" t="n">
        <v>190</v>
      </c>
      <c r="FC4788" s="15" t="n">
        <v>190</v>
      </c>
      <c r="FY4788" s="15" t="n">
        <v>190</v>
      </c>
      <c r="GU4788" s="15" t="n">
        <v>190</v>
      </c>
    </row>
    <row r="4789">
      <c r="C4789" s="15" t="n">
        <v>191</v>
      </c>
      <c r="AA4789" s="15" t="n">
        <v>191</v>
      </c>
      <c r="AW4789" s="15" t="n">
        <v>191</v>
      </c>
      <c r="BS4789" s="15" t="n">
        <v>191</v>
      </c>
      <c r="CO4789" s="15" t="n">
        <v>191</v>
      </c>
      <c r="DK4789" s="15" t="n">
        <v>191</v>
      </c>
      <c r="EG4789" s="15" t="n">
        <v>191</v>
      </c>
      <c r="FC4789" s="15" t="n">
        <v>191</v>
      </c>
      <c r="FY4789" s="15" t="n">
        <v>191</v>
      </c>
      <c r="GU4789" s="15" t="n">
        <v>191</v>
      </c>
    </row>
    <row r="4790">
      <c r="C4790" s="15" t="n">
        <v>192</v>
      </c>
      <c r="AA4790" s="15" t="n">
        <v>192</v>
      </c>
      <c r="AW4790" s="15" t="n">
        <v>192</v>
      </c>
      <c r="BS4790" s="15" t="n">
        <v>192</v>
      </c>
      <c r="CO4790" s="15" t="n">
        <v>192</v>
      </c>
      <c r="DK4790" s="15" t="n">
        <v>192</v>
      </c>
      <c r="EG4790" s="15" t="n">
        <v>192</v>
      </c>
      <c r="FC4790" s="15" t="n">
        <v>192</v>
      </c>
      <c r="FY4790" s="15" t="n">
        <v>192</v>
      </c>
      <c r="GU4790" s="15" t="n">
        <v>192</v>
      </c>
    </row>
    <row r="4791">
      <c r="C4791" s="15" t="n">
        <v>193</v>
      </c>
      <c r="AA4791" s="15" t="n">
        <v>193</v>
      </c>
      <c r="AW4791" s="15" t="n">
        <v>193</v>
      </c>
      <c r="BS4791" s="15" t="n">
        <v>193</v>
      </c>
      <c r="CO4791" s="15" t="n">
        <v>193</v>
      </c>
      <c r="DK4791" s="15" t="n">
        <v>193</v>
      </c>
      <c r="EG4791" s="15" t="n">
        <v>193</v>
      </c>
      <c r="FC4791" s="15" t="n">
        <v>193</v>
      </c>
      <c r="FY4791" s="15" t="n">
        <v>193</v>
      </c>
      <c r="GU4791" s="15" t="n">
        <v>193</v>
      </c>
    </row>
    <row r="4792">
      <c r="C4792" s="15" t="n">
        <v>194</v>
      </c>
      <c r="AA4792" s="15" t="n">
        <v>194</v>
      </c>
      <c r="AW4792" s="15" t="n">
        <v>194</v>
      </c>
      <c r="BS4792" s="15" t="n">
        <v>194</v>
      </c>
      <c r="CO4792" s="15" t="n">
        <v>194</v>
      </c>
      <c r="DK4792" s="15" t="n">
        <v>194</v>
      </c>
      <c r="EG4792" s="15" t="n">
        <v>194</v>
      </c>
      <c r="FC4792" s="15" t="n">
        <v>194</v>
      </c>
      <c r="FY4792" s="15" t="n">
        <v>194</v>
      </c>
      <c r="GU4792" s="15" t="n">
        <v>194</v>
      </c>
    </row>
    <row r="4793">
      <c r="C4793" s="15" t="n">
        <v>195</v>
      </c>
      <c r="AA4793" s="15" t="n">
        <v>195</v>
      </c>
      <c r="AW4793" s="15" t="n">
        <v>195</v>
      </c>
      <c r="BS4793" s="15" t="n">
        <v>195</v>
      </c>
      <c r="CO4793" s="15" t="n">
        <v>195</v>
      </c>
      <c r="DK4793" s="15" t="n">
        <v>195</v>
      </c>
      <c r="EG4793" s="15" t="n">
        <v>195</v>
      </c>
      <c r="FC4793" s="15" t="n">
        <v>195</v>
      </c>
      <c r="FY4793" s="15" t="n">
        <v>195</v>
      </c>
      <c r="GU4793" s="15" t="n">
        <v>195</v>
      </c>
    </row>
    <row r="4794">
      <c r="C4794" s="15" t="n">
        <v>196</v>
      </c>
      <c r="AA4794" s="15" t="n">
        <v>196</v>
      </c>
      <c r="AW4794" s="15" t="n">
        <v>196</v>
      </c>
      <c r="BS4794" s="15" t="n">
        <v>196</v>
      </c>
      <c r="CO4794" s="15" t="n">
        <v>196</v>
      </c>
      <c r="DK4794" s="15" t="n">
        <v>196</v>
      </c>
      <c r="EG4794" s="15" t="n">
        <v>196</v>
      </c>
      <c r="FC4794" s="15" t="n">
        <v>196</v>
      </c>
      <c r="FY4794" s="15" t="n">
        <v>196</v>
      </c>
      <c r="GU4794" s="15" t="n">
        <v>196</v>
      </c>
    </row>
    <row r="4795">
      <c r="C4795" s="15" t="n">
        <v>197</v>
      </c>
      <c r="AA4795" s="15" t="n">
        <v>197</v>
      </c>
      <c r="AW4795" s="15" t="n">
        <v>197</v>
      </c>
      <c r="BS4795" s="15" t="n">
        <v>197</v>
      </c>
      <c r="CO4795" s="15" t="n">
        <v>197</v>
      </c>
      <c r="DK4795" s="15" t="n">
        <v>197</v>
      </c>
      <c r="EG4795" s="15" t="n">
        <v>197</v>
      </c>
      <c r="FC4795" s="15" t="n">
        <v>197</v>
      </c>
      <c r="FY4795" s="15" t="n">
        <v>197</v>
      </c>
      <c r="GU4795" s="15" t="n">
        <v>197</v>
      </c>
    </row>
    <row r="4796">
      <c r="C4796" s="15" t="n">
        <v>198</v>
      </c>
      <c r="AA4796" s="15" t="n">
        <v>198</v>
      </c>
      <c r="AW4796" s="15" t="n">
        <v>198</v>
      </c>
      <c r="BS4796" s="15" t="n">
        <v>198</v>
      </c>
      <c r="CO4796" s="15" t="n">
        <v>198</v>
      </c>
      <c r="DK4796" s="15" t="n">
        <v>198</v>
      </c>
      <c r="EG4796" s="15" t="n">
        <v>198</v>
      </c>
      <c r="FC4796" s="15" t="n">
        <v>198</v>
      </c>
      <c r="FY4796" s="15" t="n">
        <v>198</v>
      </c>
      <c r="GU4796" s="15" t="n">
        <v>198</v>
      </c>
    </row>
    <row r="4798">
      <c r="C4798" s="15" t="inlineStr">
        <is>
          <t>ND*ELT</t>
        </is>
      </c>
      <c r="D4798" s="15" t="n">
        <v>22</v>
      </c>
      <c r="E4798" s="15" t="n">
        <v>23</v>
      </c>
      <c r="F4798" s="15" t="n">
        <v>24</v>
      </c>
      <c r="AA4798" s="15" t="inlineStr">
        <is>
          <t>ND*ELT</t>
        </is>
      </c>
      <c r="AB4798" s="15" t="n">
        <v>22</v>
      </c>
      <c r="AC4798" s="15" t="n">
        <v>23</v>
      </c>
      <c r="AD4798" s="15" t="n">
        <v>24</v>
      </c>
      <c r="AW4798" s="15" t="inlineStr">
        <is>
          <t>ND*ELT</t>
        </is>
      </c>
      <c r="AX4798" s="15" t="n">
        <v>22</v>
      </c>
      <c r="AY4798" s="15" t="n">
        <v>23</v>
      </c>
      <c r="AZ4798" s="15" t="n">
        <v>24</v>
      </c>
      <c r="BS4798" s="15" t="inlineStr">
        <is>
          <t>ND*ELT</t>
        </is>
      </c>
      <c r="BT4798" s="15" t="n">
        <v>22</v>
      </c>
      <c r="BU4798" s="15" t="n">
        <v>23</v>
      </c>
      <c r="BV4798" s="15" t="n">
        <v>24</v>
      </c>
      <c r="CO4798" s="15" t="inlineStr">
        <is>
          <t>ND*ELT</t>
        </is>
      </c>
      <c r="CP4798" s="15" t="n">
        <v>22</v>
      </c>
      <c r="CQ4798" s="15" t="n">
        <v>23</v>
      </c>
      <c r="CR4798" s="15" t="n">
        <v>24</v>
      </c>
      <c r="DK4798" s="15" t="inlineStr">
        <is>
          <t>ND*ELT</t>
        </is>
      </c>
      <c r="DL4798" s="15" t="n">
        <v>22</v>
      </c>
      <c r="DM4798" s="15" t="n">
        <v>23</v>
      </c>
      <c r="DN4798" s="15" t="n">
        <v>24</v>
      </c>
      <c r="EG4798" s="15" t="inlineStr">
        <is>
          <t>ND*ELT</t>
        </is>
      </c>
      <c r="EH4798" s="15" t="n">
        <v>22</v>
      </c>
      <c r="EI4798" s="15" t="n">
        <v>23</v>
      </c>
      <c r="EJ4798" s="15" t="n">
        <v>24</v>
      </c>
      <c r="FC4798" s="15" t="inlineStr">
        <is>
          <t>ND*ELT</t>
        </is>
      </c>
      <c r="FD4798" s="15" t="n">
        <v>22</v>
      </c>
      <c r="FE4798" s="15" t="n">
        <v>23</v>
      </c>
      <c r="FF4798" s="15" t="n">
        <v>24</v>
      </c>
      <c r="FY4798" s="15" t="inlineStr">
        <is>
          <t>ND*ELT</t>
        </is>
      </c>
      <c r="FZ4798" s="15" t="n">
        <v>22</v>
      </c>
      <c r="GA4798" s="15" t="n">
        <v>23</v>
      </c>
      <c r="GB4798" s="15" t="n">
        <v>24</v>
      </c>
      <c r="GU4798" s="15" t="inlineStr">
        <is>
          <t>ND*ELT</t>
        </is>
      </c>
      <c r="GV4798" s="15" t="n">
        <v>22</v>
      </c>
      <c r="GW4798" s="15" t="n">
        <v>23</v>
      </c>
      <c r="GX4798" s="15" t="n">
        <v>24</v>
      </c>
    </row>
    <row r="4799">
      <c r="C4799" s="15" t="n">
        <v>9</v>
      </c>
      <c r="AA4799" s="15" t="n">
        <v>9</v>
      </c>
      <c r="AW4799" s="15" t="n">
        <v>9</v>
      </c>
      <c r="BS4799" s="15" t="n">
        <v>9</v>
      </c>
      <c r="CO4799" s="15" t="n">
        <v>9</v>
      </c>
      <c r="DK4799" s="15" t="n">
        <v>9</v>
      </c>
      <c r="EG4799" s="15" t="n">
        <v>9</v>
      </c>
      <c r="FC4799" s="15" t="n">
        <v>9</v>
      </c>
      <c r="FY4799" s="15" t="n">
        <v>9</v>
      </c>
      <c r="GU4799" s="15" t="n">
        <v>9</v>
      </c>
    </row>
    <row r="4800">
      <c r="C4800" s="15" t="n">
        <v>10</v>
      </c>
      <c r="AA4800" s="15" t="n">
        <v>10</v>
      </c>
      <c r="AW4800" s="15" t="n">
        <v>10</v>
      </c>
      <c r="BS4800" s="15" t="n">
        <v>10</v>
      </c>
      <c r="CO4800" s="15" t="n">
        <v>10</v>
      </c>
      <c r="DK4800" s="15" t="n">
        <v>10</v>
      </c>
      <c r="EG4800" s="15" t="n">
        <v>10</v>
      </c>
      <c r="FC4800" s="15" t="n">
        <v>10</v>
      </c>
      <c r="FY4800" s="15" t="n">
        <v>10</v>
      </c>
      <c r="GU4800" s="15" t="n">
        <v>10</v>
      </c>
    </row>
    <row r="4801">
      <c r="C4801" s="15" t="n">
        <v>11</v>
      </c>
      <c r="AA4801" s="15" t="n">
        <v>11</v>
      </c>
      <c r="AW4801" s="15" t="n">
        <v>11</v>
      </c>
      <c r="BS4801" s="15" t="n">
        <v>11</v>
      </c>
      <c r="CO4801" s="15" t="n">
        <v>11</v>
      </c>
      <c r="DK4801" s="15" t="n">
        <v>11</v>
      </c>
      <c r="EG4801" s="15" t="n">
        <v>11</v>
      </c>
      <c r="FC4801" s="15" t="n">
        <v>11</v>
      </c>
      <c r="FY4801" s="15" t="n">
        <v>11</v>
      </c>
      <c r="GU4801" s="15" t="n">
        <v>11</v>
      </c>
    </row>
    <row r="4802">
      <c r="C4802" s="15" t="n">
        <v>12</v>
      </c>
      <c r="AA4802" s="15" t="n">
        <v>12</v>
      </c>
      <c r="AW4802" s="15" t="n">
        <v>12</v>
      </c>
      <c r="BS4802" s="15" t="n">
        <v>12</v>
      </c>
      <c r="CO4802" s="15" t="n">
        <v>12</v>
      </c>
      <c r="DK4802" s="15" t="n">
        <v>12</v>
      </c>
      <c r="EG4802" s="15" t="n">
        <v>12</v>
      </c>
      <c r="FC4802" s="15" t="n">
        <v>12</v>
      </c>
      <c r="FY4802" s="15" t="n">
        <v>12</v>
      </c>
      <c r="GU4802" s="15" t="n">
        <v>12</v>
      </c>
    </row>
    <row r="4803">
      <c r="C4803" s="15" t="n">
        <v>13</v>
      </c>
      <c r="AA4803" s="15" t="n">
        <v>13</v>
      </c>
      <c r="AW4803" s="15" t="n">
        <v>13</v>
      </c>
      <c r="BS4803" s="15" t="n">
        <v>13</v>
      </c>
      <c r="CO4803" s="15" t="n">
        <v>13</v>
      </c>
      <c r="DK4803" s="15" t="n">
        <v>13</v>
      </c>
      <c r="EG4803" s="15" t="n">
        <v>13</v>
      </c>
      <c r="FC4803" s="15" t="n">
        <v>13</v>
      </c>
      <c r="FY4803" s="15" t="n">
        <v>13</v>
      </c>
      <c r="GU4803" s="15" t="n">
        <v>13</v>
      </c>
    </row>
    <row r="4804">
      <c r="C4804" s="15" t="n">
        <v>14</v>
      </c>
      <c r="AA4804" s="15" t="n">
        <v>14</v>
      </c>
      <c r="AW4804" s="15" t="n">
        <v>14</v>
      </c>
      <c r="BS4804" s="15" t="n">
        <v>14</v>
      </c>
      <c r="CO4804" s="15" t="n">
        <v>14</v>
      </c>
      <c r="DK4804" s="15" t="n">
        <v>14</v>
      </c>
      <c r="EG4804" s="15" t="n">
        <v>14</v>
      </c>
      <c r="FC4804" s="15" t="n">
        <v>14</v>
      </c>
      <c r="FY4804" s="15" t="n">
        <v>14</v>
      </c>
      <c r="GU4804" s="15" t="n">
        <v>14</v>
      </c>
    </row>
    <row r="4805">
      <c r="C4805" s="15" t="n">
        <v>15</v>
      </c>
      <c r="AA4805" s="15" t="n">
        <v>15</v>
      </c>
      <c r="AW4805" s="15" t="n">
        <v>15</v>
      </c>
      <c r="BS4805" s="15" t="n">
        <v>15</v>
      </c>
      <c r="CO4805" s="15" t="n">
        <v>15</v>
      </c>
      <c r="DK4805" s="15" t="n">
        <v>15</v>
      </c>
      <c r="EG4805" s="15" t="n">
        <v>15</v>
      </c>
      <c r="FC4805" s="15" t="n">
        <v>15</v>
      </c>
      <c r="FY4805" s="15" t="n">
        <v>15</v>
      </c>
      <c r="GU4805" s="15" t="n">
        <v>15</v>
      </c>
    </row>
    <row r="4806">
      <c r="C4806" s="15" t="n">
        <v>16</v>
      </c>
      <c r="AA4806" s="15" t="n">
        <v>16</v>
      </c>
      <c r="AW4806" s="15" t="n">
        <v>16</v>
      </c>
      <c r="BS4806" s="15" t="n">
        <v>16</v>
      </c>
      <c r="CO4806" s="15" t="n">
        <v>16</v>
      </c>
      <c r="DK4806" s="15" t="n">
        <v>16</v>
      </c>
      <c r="EG4806" s="15" t="n">
        <v>16</v>
      </c>
      <c r="FC4806" s="15" t="n">
        <v>16</v>
      </c>
      <c r="FY4806" s="15" t="n">
        <v>16</v>
      </c>
      <c r="GU4806" s="15" t="n">
        <v>16</v>
      </c>
    </row>
    <row r="4807">
      <c r="C4807" s="15" t="n">
        <v>17</v>
      </c>
      <c r="AA4807" s="15" t="n">
        <v>17</v>
      </c>
      <c r="AW4807" s="15" t="n">
        <v>17</v>
      </c>
      <c r="BS4807" s="15" t="n">
        <v>17</v>
      </c>
      <c r="CO4807" s="15" t="n">
        <v>17</v>
      </c>
      <c r="DK4807" s="15" t="n">
        <v>17</v>
      </c>
      <c r="EG4807" s="15" t="n">
        <v>17</v>
      </c>
      <c r="FC4807" s="15" t="n">
        <v>17</v>
      </c>
      <c r="FY4807" s="15" t="n">
        <v>17</v>
      </c>
      <c r="GU4807" s="15" t="n">
        <v>17</v>
      </c>
    </row>
    <row r="4808">
      <c r="C4808" s="15" t="n">
        <v>18</v>
      </c>
      <c r="AA4808" s="15" t="n">
        <v>18</v>
      </c>
      <c r="AW4808" s="15" t="n">
        <v>18</v>
      </c>
      <c r="BS4808" s="15" t="n">
        <v>18</v>
      </c>
      <c r="CO4808" s="15" t="n">
        <v>18</v>
      </c>
      <c r="DK4808" s="15" t="n">
        <v>18</v>
      </c>
      <c r="EG4808" s="15" t="n">
        <v>18</v>
      </c>
      <c r="FC4808" s="15" t="n">
        <v>18</v>
      </c>
      <c r="FY4808" s="15" t="n">
        <v>18</v>
      </c>
      <c r="GU4808" s="15" t="n">
        <v>18</v>
      </c>
    </row>
    <row r="4809">
      <c r="C4809" s="15" t="n">
        <v>19</v>
      </c>
      <c r="AA4809" s="15" t="n">
        <v>19</v>
      </c>
      <c r="AW4809" s="15" t="n">
        <v>19</v>
      </c>
      <c r="BS4809" s="15" t="n">
        <v>19</v>
      </c>
      <c r="CO4809" s="15" t="n">
        <v>19</v>
      </c>
      <c r="DK4809" s="15" t="n">
        <v>19</v>
      </c>
      <c r="EG4809" s="15" t="n">
        <v>19</v>
      </c>
      <c r="FC4809" s="15" t="n">
        <v>19</v>
      </c>
      <c r="FY4809" s="15" t="n">
        <v>19</v>
      </c>
      <c r="GU4809" s="15" t="n">
        <v>19</v>
      </c>
    </row>
    <row r="4810">
      <c r="C4810" s="15" t="n">
        <v>20</v>
      </c>
      <c r="AA4810" s="15" t="n">
        <v>20</v>
      </c>
      <c r="AW4810" s="15" t="n">
        <v>20</v>
      </c>
      <c r="BS4810" s="15" t="n">
        <v>20</v>
      </c>
      <c r="CO4810" s="15" t="n">
        <v>20</v>
      </c>
      <c r="DK4810" s="15" t="n">
        <v>20</v>
      </c>
      <c r="EG4810" s="15" t="n">
        <v>20</v>
      </c>
      <c r="FC4810" s="15" t="n">
        <v>20</v>
      </c>
      <c r="FY4810" s="15" t="n">
        <v>20</v>
      </c>
      <c r="GU4810" s="15" t="n">
        <v>20</v>
      </c>
    </row>
    <row r="4811">
      <c r="C4811" s="15" t="n">
        <v>21</v>
      </c>
      <c r="AA4811" s="15" t="n">
        <v>21</v>
      </c>
      <c r="AW4811" s="15" t="n">
        <v>21</v>
      </c>
      <c r="BS4811" s="15" t="n">
        <v>21</v>
      </c>
      <c r="CO4811" s="15" t="n">
        <v>21</v>
      </c>
      <c r="DK4811" s="15" t="n">
        <v>21</v>
      </c>
      <c r="EG4811" s="15" t="n">
        <v>21</v>
      </c>
      <c r="FC4811" s="15" t="n">
        <v>21</v>
      </c>
      <c r="FY4811" s="15" t="n">
        <v>21</v>
      </c>
      <c r="GU4811" s="15" t="n">
        <v>21</v>
      </c>
    </row>
    <row r="4812">
      <c r="C4812" s="15" t="n">
        <v>22</v>
      </c>
      <c r="AA4812" s="15" t="n">
        <v>22</v>
      </c>
      <c r="AW4812" s="15" t="n">
        <v>22</v>
      </c>
      <c r="BS4812" s="15" t="n">
        <v>22</v>
      </c>
      <c r="CO4812" s="15" t="n">
        <v>22</v>
      </c>
      <c r="DK4812" s="15" t="n">
        <v>22</v>
      </c>
      <c r="EG4812" s="15" t="n">
        <v>22</v>
      </c>
      <c r="FC4812" s="15" t="n">
        <v>22</v>
      </c>
      <c r="FY4812" s="15" t="n">
        <v>22</v>
      </c>
      <c r="GU4812" s="15" t="n">
        <v>22</v>
      </c>
    </row>
    <row r="4813">
      <c r="C4813" s="15" t="n">
        <v>23</v>
      </c>
      <c r="AA4813" s="15" t="n">
        <v>23</v>
      </c>
      <c r="AW4813" s="15" t="n">
        <v>23</v>
      </c>
      <c r="BS4813" s="15" t="n">
        <v>23</v>
      </c>
      <c r="CO4813" s="15" t="n">
        <v>23</v>
      </c>
      <c r="DK4813" s="15" t="n">
        <v>23</v>
      </c>
      <c r="EG4813" s="15" t="n">
        <v>23</v>
      </c>
      <c r="FC4813" s="15" t="n">
        <v>23</v>
      </c>
      <c r="FY4813" s="15" t="n">
        <v>23</v>
      </c>
      <c r="GU4813" s="15" t="n">
        <v>23</v>
      </c>
    </row>
    <row r="4814">
      <c r="C4814" s="15" t="n">
        <v>24</v>
      </c>
      <c r="AA4814" s="15" t="n">
        <v>24</v>
      </c>
      <c r="AW4814" s="15" t="n">
        <v>24</v>
      </c>
      <c r="BS4814" s="15" t="n">
        <v>24</v>
      </c>
      <c r="CO4814" s="15" t="n">
        <v>24</v>
      </c>
      <c r="DK4814" s="15" t="n">
        <v>24</v>
      </c>
      <c r="EG4814" s="15" t="n">
        <v>24</v>
      </c>
      <c r="FC4814" s="15" t="n">
        <v>24</v>
      </c>
      <c r="FY4814" s="15" t="n">
        <v>24</v>
      </c>
      <c r="GU4814" s="15" t="n">
        <v>24</v>
      </c>
    </row>
    <row r="4815">
      <c r="C4815" s="15" t="n">
        <v>25</v>
      </c>
      <c r="AA4815" s="15" t="n">
        <v>25</v>
      </c>
      <c r="AW4815" s="15" t="n">
        <v>25</v>
      </c>
      <c r="BS4815" s="15" t="n">
        <v>25</v>
      </c>
      <c r="CO4815" s="15" t="n">
        <v>25</v>
      </c>
      <c r="DK4815" s="15" t="n">
        <v>25</v>
      </c>
      <c r="EG4815" s="15" t="n">
        <v>25</v>
      </c>
      <c r="FC4815" s="15" t="n">
        <v>25</v>
      </c>
      <c r="FY4815" s="15" t="n">
        <v>25</v>
      </c>
      <c r="GU4815" s="15" t="n">
        <v>25</v>
      </c>
    </row>
    <row r="4816">
      <c r="C4816" s="15" t="n">
        <v>26</v>
      </c>
      <c r="AA4816" s="15" t="n">
        <v>26</v>
      </c>
      <c r="AW4816" s="15" t="n">
        <v>26</v>
      </c>
      <c r="BS4816" s="15" t="n">
        <v>26</v>
      </c>
      <c r="CO4816" s="15" t="n">
        <v>26</v>
      </c>
      <c r="DK4816" s="15" t="n">
        <v>26</v>
      </c>
      <c r="EG4816" s="15" t="n">
        <v>26</v>
      </c>
      <c r="FC4816" s="15" t="n">
        <v>26</v>
      </c>
      <c r="FY4816" s="15" t="n">
        <v>26</v>
      </c>
      <c r="GU4816" s="15" t="n">
        <v>26</v>
      </c>
    </row>
    <row r="4817">
      <c r="C4817" s="15" t="n">
        <v>27</v>
      </c>
      <c r="AA4817" s="15" t="n">
        <v>27</v>
      </c>
      <c r="AW4817" s="15" t="n">
        <v>27</v>
      </c>
      <c r="BS4817" s="15" t="n">
        <v>27</v>
      </c>
      <c r="CO4817" s="15" t="n">
        <v>27</v>
      </c>
      <c r="DK4817" s="15" t="n">
        <v>27</v>
      </c>
      <c r="EG4817" s="15" t="n">
        <v>27</v>
      </c>
      <c r="FC4817" s="15" t="n">
        <v>27</v>
      </c>
      <c r="FY4817" s="15" t="n">
        <v>27</v>
      </c>
      <c r="GU4817" s="15" t="n">
        <v>27</v>
      </c>
    </row>
    <row r="4818">
      <c r="C4818" s="15" t="n">
        <v>28</v>
      </c>
      <c r="AA4818" s="15" t="n">
        <v>28</v>
      </c>
      <c r="AW4818" s="15" t="n">
        <v>28</v>
      </c>
      <c r="BS4818" s="15" t="n">
        <v>28</v>
      </c>
      <c r="CO4818" s="15" t="n">
        <v>28</v>
      </c>
      <c r="DK4818" s="15" t="n">
        <v>28</v>
      </c>
      <c r="EG4818" s="15" t="n">
        <v>28</v>
      </c>
      <c r="FC4818" s="15" t="n">
        <v>28</v>
      </c>
      <c r="FY4818" s="15" t="n">
        <v>28</v>
      </c>
      <c r="GU4818" s="15" t="n">
        <v>28</v>
      </c>
    </row>
    <row r="4819">
      <c r="C4819" s="15" t="n">
        <v>29</v>
      </c>
      <c r="AA4819" s="15" t="n">
        <v>29</v>
      </c>
      <c r="AW4819" s="15" t="n">
        <v>29</v>
      </c>
      <c r="BS4819" s="15" t="n">
        <v>29</v>
      </c>
      <c r="CO4819" s="15" t="n">
        <v>29</v>
      </c>
      <c r="DK4819" s="15" t="n">
        <v>29</v>
      </c>
      <c r="EG4819" s="15" t="n">
        <v>29</v>
      </c>
      <c r="FC4819" s="15" t="n">
        <v>29</v>
      </c>
      <c r="FY4819" s="15" t="n">
        <v>29</v>
      </c>
      <c r="GU4819" s="15" t="n">
        <v>29</v>
      </c>
    </row>
    <row r="4820">
      <c r="C4820" s="15" t="n">
        <v>30</v>
      </c>
      <c r="AA4820" s="15" t="n">
        <v>30</v>
      </c>
      <c r="AW4820" s="15" t="n">
        <v>30</v>
      </c>
      <c r="BS4820" s="15" t="n">
        <v>30</v>
      </c>
      <c r="CO4820" s="15" t="n">
        <v>30</v>
      </c>
      <c r="DK4820" s="15" t="n">
        <v>30</v>
      </c>
      <c r="EG4820" s="15" t="n">
        <v>30</v>
      </c>
      <c r="FC4820" s="15" t="n">
        <v>30</v>
      </c>
      <c r="FY4820" s="15" t="n">
        <v>30</v>
      </c>
      <c r="GU4820" s="15" t="n">
        <v>30</v>
      </c>
    </row>
    <row r="4821">
      <c r="C4821" s="15" t="n">
        <v>31</v>
      </c>
      <c r="AA4821" s="15" t="n">
        <v>31</v>
      </c>
      <c r="AW4821" s="15" t="n">
        <v>31</v>
      </c>
      <c r="BS4821" s="15" t="n">
        <v>31</v>
      </c>
      <c r="CO4821" s="15" t="n">
        <v>31</v>
      </c>
      <c r="DK4821" s="15" t="n">
        <v>31</v>
      </c>
      <c r="EG4821" s="15" t="n">
        <v>31</v>
      </c>
      <c r="FC4821" s="15" t="n">
        <v>31</v>
      </c>
      <c r="FY4821" s="15" t="n">
        <v>31</v>
      </c>
      <c r="GU4821" s="15" t="n">
        <v>31</v>
      </c>
    </row>
    <row r="4822">
      <c r="C4822" s="15" t="n">
        <v>32</v>
      </c>
      <c r="AA4822" s="15" t="n">
        <v>32</v>
      </c>
      <c r="AW4822" s="15" t="n">
        <v>32</v>
      </c>
      <c r="BS4822" s="15" t="n">
        <v>32</v>
      </c>
      <c r="CO4822" s="15" t="n">
        <v>32</v>
      </c>
      <c r="DK4822" s="15" t="n">
        <v>32</v>
      </c>
      <c r="EG4822" s="15" t="n">
        <v>32</v>
      </c>
      <c r="FC4822" s="15" t="n">
        <v>32</v>
      </c>
      <c r="FY4822" s="15" t="n">
        <v>32</v>
      </c>
      <c r="GU4822" s="15" t="n">
        <v>32</v>
      </c>
    </row>
    <row r="4823">
      <c r="C4823" s="15" t="n">
        <v>33</v>
      </c>
      <c r="AA4823" s="15" t="n">
        <v>33</v>
      </c>
      <c r="AW4823" s="15" t="n">
        <v>33</v>
      </c>
      <c r="BS4823" s="15" t="n">
        <v>33</v>
      </c>
      <c r="CO4823" s="15" t="n">
        <v>33</v>
      </c>
      <c r="DK4823" s="15" t="n">
        <v>33</v>
      </c>
      <c r="EG4823" s="15" t="n">
        <v>33</v>
      </c>
      <c r="FC4823" s="15" t="n">
        <v>33</v>
      </c>
      <c r="FY4823" s="15" t="n">
        <v>33</v>
      </c>
      <c r="GU4823" s="15" t="n">
        <v>33</v>
      </c>
    </row>
    <row r="4824">
      <c r="C4824" s="15" t="n">
        <v>34</v>
      </c>
      <c r="AA4824" s="15" t="n">
        <v>34</v>
      </c>
      <c r="AW4824" s="15" t="n">
        <v>34</v>
      </c>
      <c r="BS4824" s="15" t="n">
        <v>34</v>
      </c>
      <c r="CO4824" s="15" t="n">
        <v>34</v>
      </c>
      <c r="DK4824" s="15" t="n">
        <v>34</v>
      </c>
      <c r="EG4824" s="15" t="n">
        <v>34</v>
      </c>
      <c r="FC4824" s="15" t="n">
        <v>34</v>
      </c>
      <c r="FY4824" s="15" t="n">
        <v>34</v>
      </c>
      <c r="GU4824" s="15" t="n">
        <v>34</v>
      </c>
    </row>
    <row r="4825">
      <c r="C4825" s="15" t="n">
        <v>35</v>
      </c>
      <c r="AA4825" s="15" t="n">
        <v>35</v>
      </c>
      <c r="AW4825" s="15" t="n">
        <v>35</v>
      </c>
      <c r="BS4825" s="15" t="n">
        <v>35</v>
      </c>
      <c r="CO4825" s="15" t="n">
        <v>35</v>
      </c>
      <c r="DK4825" s="15" t="n">
        <v>35</v>
      </c>
      <c r="EG4825" s="15" t="n">
        <v>35</v>
      </c>
      <c r="FC4825" s="15" t="n">
        <v>35</v>
      </c>
      <c r="FY4825" s="15" t="n">
        <v>35</v>
      </c>
      <c r="GU4825" s="15" t="n">
        <v>35</v>
      </c>
    </row>
    <row r="4826">
      <c r="C4826" s="15" t="n">
        <v>36</v>
      </c>
      <c r="AA4826" s="15" t="n">
        <v>36</v>
      </c>
      <c r="AW4826" s="15" t="n">
        <v>36</v>
      </c>
      <c r="BS4826" s="15" t="n">
        <v>36</v>
      </c>
      <c r="CO4826" s="15" t="n">
        <v>36</v>
      </c>
      <c r="DK4826" s="15" t="n">
        <v>36</v>
      </c>
      <c r="EG4826" s="15" t="n">
        <v>36</v>
      </c>
      <c r="FC4826" s="15" t="n">
        <v>36</v>
      </c>
      <c r="FY4826" s="15" t="n">
        <v>36</v>
      </c>
      <c r="GU4826" s="15" t="n">
        <v>36</v>
      </c>
    </row>
    <row r="4827">
      <c r="C4827" s="15" t="n">
        <v>37</v>
      </c>
      <c r="AA4827" s="15" t="n">
        <v>37</v>
      </c>
      <c r="AW4827" s="15" t="n">
        <v>37</v>
      </c>
      <c r="BS4827" s="15" t="n">
        <v>37</v>
      </c>
      <c r="CO4827" s="15" t="n">
        <v>37</v>
      </c>
      <c r="DK4827" s="15" t="n">
        <v>37</v>
      </c>
      <c r="EG4827" s="15" t="n">
        <v>37</v>
      </c>
      <c r="FC4827" s="15" t="n">
        <v>37</v>
      </c>
      <c r="FY4827" s="15" t="n">
        <v>37</v>
      </c>
      <c r="GU4827" s="15" t="n">
        <v>37</v>
      </c>
    </row>
    <row r="4828">
      <c r="C4828" s="15" t="n">
        <v>38</v>
      </c>
      <c r="AA4828" s="15" t="n">
        <v>38</v>
      </c>
      <c r="AW4828" s="15" t="n">
        <v>38</v>
      </c>
      <c r="BS4828" s="15" t="n">
        <v>38</v>
      </c>
      <c r="CO4828" s="15" t="n">
        <v>38</v>
      </c>
      <c r="DK4828" s="15" t="n">
        <v>38</v>
      </c>
      <c r="EG4828" s="15" t="n">
        <v>38</v>
      </c>
      <c r="FC4828" s="15" t="n">
        <v>38</v>
      </c>
      <c r="FY4828" s="15" t="n">
        <v>38</v>
      </c>
      <c r="GU4828" s="15" t="n">
        <v>38</v>
      </c>
    </row>
    <row r="4829">
      <c r="C4829" s="15" t="n">
        <v>39</v>
      </c>
      <c r="AA4829" s="15" t="n">
        <v>39</v>
      </c>
      <c r="AW4829" s="15" t="n">
        <v>39</v>
      </c>
      <c r="BS4829" s="15" t="n">
        <v>39</v>
      </c>
      <c r="CO4829" s="15" t="n">
        <v>39</v>
      </c>
      <c r="DK4829" s="15" t="n">
        <v>39</v>
      </c>
      <c r="EG4829" s="15" t="n">
        <v>39</v>
      </c>
      <c r="FC4829" s="15" t="n">
        <v>39</v>
      </c>
      <c r="FY4829" s="15" t="n">
        <v>39</v>
      </c>
      <c r="GU4829" s="15" t="n">
        <v>39</v>
      </c>
    </row>
    <row r="4830">
      <c r="C4830" s="15" t="n">
        <v>40</v>
      </c>
      <c r="AA4830" s="15" t="n">
        <v>40</v>
      </c>
      <c r="AW4830" s="15" t="n">
        <v>40</v>
      </c>
      <c r="BS4830" s="15" t="n">
        <v>40</v>
      </c>
      <c r="CO4830" s="15" t="n">
        <v>40</v>
      </c>
      <c r="DK4830" s="15" t="n">
        <v>40</v>
      </c>
      <c r="EG4830" s="15" t="n">
        <v>40</v>
      </c>
      <c r="FC4830" s="15" t="n">
        <v>40</v>
      </c>
      <c r="FY4830" s="15" t="n">
        <v>40</v>
      </c>
      <c r="GU4830" s="15" t="n">
        <v>40</v>
      </c>
    </row>
    <row r="4831">
      <c r="C4831" s="15" t="n">
        <v>41</v>
      </c>
      <c r="AA4831" s="15" t="n">
        <v>41</v>
      </c>
      <c r="AW4831" s="15" t="n">
        <v>41</v>
      </c>
      <c r="BS4831" s="15" t="n">
        <v>41</v>
      </c>
      <c r="CO4831" s="15" t="n">
        <v>41</v>
      </c>
      <c r="DK4831" s="15" t="n">
        <v>41</v>
      </c>
      <c r="EG4831" s="15" t="n">
        <v>41</v>
      </c>
      <c r="FC4831" s="15" t="n">
        <v>41</v>
      </c>
      <c r="FY4831" s="15" t="n">
        <v>41</v>
      </c>
      <c r="GU4831" s="15" t="n">
        <v>41</v>
      </c>
    </row>
    <row r="4832">
      <c r="C4832" s="15" t="n">
        <v>42</v>
      </c>
      <c r="AA4832" s="15" t="n">
        <v>42</v>
      </c>
      <c r="AW4832" s="15" t="n">
        <v>42</v>
      </c>
      <c r="BS4832" s="15" t="n">
        <v>42</v>
      </c>
      <c r="CO4832" s="15" t="n">
        <v>42</v>
      </c>
      <c r="DK4832" s="15" t="n">
        <v>42</v>
      </c>
      <c r="EG4832" s="15" t="n">
        <v>42</v>
      </c>
      <c r="FC4832" s="15" t="n">
        <v>42</v>
      </c>
      <c r="FY4832" s="15" t="n">
        <v>42</v>
      </c>
      <c r="GU4832" s="15" t="n">
        <v>42</v>
      </c>
    </row>
    <row r="4833">
      <c r="C4833" s="15" t="n">
        <v>43</v>
      </c>
      <c r="AA4833" s="15" t="n">
        <v>43</v>
      </c>
      <c r="AW4833" s="15" t="n">
        <v>43</v>
      </c>
      <c r="BS4833" s="15" t="n">
        <v>43</v>
      </c>
      <c r="CO4833" s="15" t="n">
        <v>43</v>
      </c>
      <c r="DK4833" s="15" t="n">
        <v>43</v>
      </c>
      <c r="EG4833" s="15" t="n">
        <v>43</v>
      </c>
      <c r="FC4833" s="15" t="n">
        <v>43</v>
      </c>
      <c r="FY4833" s="15" t="n">
        <v>43</v>
      </c>
      <c r="GU4833" s="15" t="n">
        <v>43</v>
      </c>
    </row>
    <row r="4834">
      <c r="C4834" s="15" t="n">
        <v>44</v>
      </c>
      <c r="AA4834" s="15" t="n">
        <v>44</v>
      </c>
      <c r="AW4834" s="15" t="n">
        <v>44</v>
      </c>
      <c r="BS4834" s="15" t="n">
        <v>44</v>
      </c>
      <c r="CO4834" s="15" t="n">
        <v>44</v>
      </c>
      <c r="DK4834" s="15" t="n">
        <v>44</v>
      </c>
      <c r="EG4834" s="15" t="n">
        <v>44</v>
      </c>
      <c r="FC4834" s="15" t="n">
        <v>44</v>
      </c>
      <c r="FY4834" s="15" t="n">
        <v>44</v>
      </c>
      <c r="GU4834" s="15" t="n">
        <v>44</v>
      </c>
    </row>
    <row r="4835">
      <c r="C4835" s="15" t="n">
        <v>45</v>
      </c>
      <c r="AA4835" s="15" t="n">
        <v>45</v>
      </c>
      <c r="AW4835" s="15" t="n">
        <v>45</v>
      </c>
      <c r="BS4835" s="15" t="n">
        <v>45</v>
      </c>
      <c r="CO4835" s="15" t="n">
        <v>45</v>
      </c>
      <c r="DK4835" s="15" t="n">
        <v>45</v>
      </c>
      <c r="EG4835" s="15" t="n">
        <v>45</v>
      </c>
      <c r="FC4835" s="15" t="n">
        <v>45</v>
      </c>
      <c r="FY4835" s="15" t="n">
        <v>45</v>
      </c>
      <c r="GU4835" s="15" t="n">
        <v>45</v>
      </c>
    </row>
    <row r="4836">
      <c r="C4836" s="15" t="n">
        <v>46</v>
      </c>
      <c r="AA4836" s="15" t="n">
        <v>46</v>
      </c>
      <c r="AW4836" s="15" t="n">
        <v>46</v>
      </c>
      <c r="BS4836" s="15" t="n">
        <v>46</v>
      </c>
      <c r="CO4836" s="15" t="n">
        <v>46</v>
      </c>
      <c r="DK4836" s="15" t="n">
        <v>46</v>
      </c>
      <c r="EG4836" s="15" t="n">
        <v>46</v>
      </c>
      <c r="FC4836" s="15" t="n">
        <v>46</v>
      </c>
      <c r="FY4836" s="15" t="n">
        <v>46</v>
      </c>
      <c r="GU4836" s="15" t="n">
        <v>46</v>
      </c>
    </row>
    <row r="4837">
      <c r="C4837" s="15" t="n">
        <v>47</v>
      </c>
      <c r="AA4837" s="15" t="n">
        <v>47</v>
      </c>
      <c r="AW4837" s="15" t="n">
        <v>47</v>
      </c>
      <c r="BS4837" s="15" t="n">
        <v>47</v>
      </c>
      <c r="CO4837" s="15" t="n">
        <v>47</v>
      </c>
      <c r="DK4837" s="15" t="n">
        <v>47</v>
      </c>
      <c r="EG4837" s="15" t="n">
        <v>47</v>
      </c>
      <c r="FC4837" s="15" t="n">
        <v>47</v>
      </c>
      <c r="FY4837" s="15" t="n">
        <v>47</v>
      </c>
      <c r="GU4837" s="15" t="n">
        <v>47</v>
      </c>
    </row>
    <row r="4838">
      <c r="C4838" s="15" t="n">
        <v>48</v>
      </c>
      <c r="AA4838" s="15" t="n">
        <v>48</v>
      </c>
      <c r="AW4838" s="15" t="n">
        <v>48</v>
      </c>
      <c r="BS4838" s="15" t="n">
        <v>48</v>
      </c>
      <c r="CO4838" s="15" t="n">
        <v>48</v>
      </c>
      <c r="DK4838" s="15" t="n">
        <v>48</v>
      </c>
      <c r="EG4838" s="15" t="n">
        <v>48</v>
      </c>
      <c r="FC4838" s="15" t="n">
        <v>48</v>
      </c>
      <c r="FY4838" s="15" t="n">
        <v>48</v>
      </c>
      <c r="GU4838" s="15" t="n">
        <v>48</v>
      </c>
    </row>
    <row r="4839">
      <c r="C4839" s="15" t="n">
        <v>49</v>
      </c>
      <c r="AA4839" s="15" t="n">
        <v>49</v>
      </c>
      <c r="AW4839" s="15" t="n">
        <v>49</v>
      </c>
      <c r="BS4839" s="15" t="n">
        <v>49</v>
      </c>
      <c r="CO4839" s="15" t="n">
        <v>49</v>
      </c>
      <c r="DK4839" s="15" t="n">
        <v>49</v>
      </c>
      <c r="EG4839" s="15" t="n">
        <v>49</v>
      </c>
      <c r="FC4839" s="15" t="n">
        <v>49</v>
      </c>
      <c r="FY4839" s="15" t="n">
        <v>49</v>
      </c>
      <c r="GU4839" s="15" t="n">
        <v>49</v>
      </c>
    </row>
    <row r="4840">
      <c r="C4840" s="15" t="n">
        <v>50</v>
      </c>
      <c r="AA4840" s="15" t="n">
        <v>50</v>
      </c>
      <c r="AW4840" s="15" t="n">
        <v>50</v>
      </c>
      <c r="BS4840" s="15" t="n">
        <v>50</v>
      </c>
      <c r="CO4840" s="15" t="n">
        <v>50</v>
      </c>
      <c r="DK4840" s="15" t="n">
        <v>50</v>
      </c>
      <c r="EG4840" s="15" t="n">
        <v>50</v>
      </c>
      <c r="FC4840" s="15" t="n">
        <v>50</v>
      </c>
      <c r="FY4840" s="15" t="n">
        <v>50</v>
      </c>
      <c r="GU4840" s="15" t="n">
        <v>50</v>
      </c>
    </row>
    <row r="4841">
      <c r="C4841" s="15" t="n">
        <v>51</v>
      </c>
      <c r="AA4841" s="15" t="n">
        <v>51</v>
      </c>
      <c r="AW4841" s="15" t="n">
        <v>51</v>
      </c>
      <c r="BS4841" s="15" t="n">
        <v>51</v>
      </c>
      <c r="CO4841" s="15" t="n">
        <v>51</v>
      </c>
      <c r="DK4841" s="15" t="n">
        <v>51</v>
      </c>
      <c r="EG4841" s="15" t="n">
        <v>51</v>
      </c>
      <c r="FC4841" s="15" t="n">
        <v>51</v>
      </c>
      <c r="FY4841" s="15" t="n">
        <v>51</v>
      </c>
      <c r="GU4841" s="15" t="n">
        <v>51</v>
      </c>
    </row>
    <row r="4842">
      <c r="C4842" s="15" t="n">
        <v>52</v>
      </c>
      <c r="AA4842" s="15" t="n">
        <v>52</v>
      </c>
      <c r="AW4842" s="15" t="n">
        <v>52</v>
      </c>
      <c r="BS4842" s="15" t="n">
        <v>52</v>
      </c>
      <c r="CO4842" s="15" t="n">
        <v>52</v>
      </c>
      <c r="DK4842" s="15" t="n">
        <v>52</v>
      </c>
      <c r="EG4842" s="15" t="n">
        <v>52</v>
      </c>
      <c r="FC4842" s="15" t="n">
        <v>52</v>
      </c>
      <c r="FY4842" s="15" t="n">
        <v>52</v>
      </c>
      <c r="GU4842" s="15" t="n">
        <v>52</v>
      </c>
    </row>
    <row r="4843">
      <c r="C4843" s="15" t="n">
        <v>53</v>
      </c>
      <c r="AA4843" s="15" t="n">
        <v>53</v>
      </c>
      <c r="AW4843" s="15" t="n">
        <v>53</v>
      </c>
      <c r="BS4843" s="15" t="n">
        <v>53</v>
      </c>
      <c r="CO4843" s="15" t="n">
        <v>53</v>
      </c>
      <c r="DK4843" s="15" t="n">
        <v>53</v>
      </c>
      <c r="EG4843" s="15" t="n">
        <v>53</v>
      </c>
      <c r="FC4843" s="15" t="n">
        <v>53</v>
      </c>
      <c r="FY4843" s="15" t="n">
        <v>53</v>
      </c>
      <c r="GU4843" s="15" t="n">
        <v>53</v>
      </c>
    </row>
    <row r="4844">
      <c r="C4844" s="15" t="n">
        <v>54</v>
      </c>
      <c r="AA4844" s="15" t="n">
        <v>54</v>
      </c>
      <c r="AW4844" s="15" t="n">
        <v>54</v>
      </c>
      <c r="BS4844" s="15" t="n">
        <v>54</v>
      </c>
      <c r="CO4844" s="15" t="n">
        <v>54</v>
      </c>
      <c r="DK4844" s="15" t="n">
        <v>54</v>
      </c>
      <c r="EG4844" s="15" t="n">
        <v>54</v>
      </c>
      <c r="FC4844" s="15" t="n">
        <v>54</v>
      </c>
      <c r="FY4844" s="15" t="n">
        <v>54</v>
      </c>
      <c r="GU4844" s="15" t="n">
        <v>54</v>
      </c>
    </row>
    <row r="4845">
      <c r="C4845" s="15" t="n">
        <v>55</v>
      </c>
      <c r="AA4845" s="15" t="n">
        <v>55</v>
      </c>
      <c r="AW4845" s="15" t="n">
        <v>55</v>
      </c>
      <c r="BS4845" s="15" t="n">
        <v>55</v>
      </c>
      <c r="CO4845" s="15" t="n">
        <v>55</v>
      </c>
      <c r="DK4845" s="15" t="n">
        <v>55</v>
      </c>
      <c r="EG4845" s="15" t="n">
        <v>55</v>
      </c>
      <c r="FC4845" s="15" t="n">
        <v>55</v>
      </c>
      <c r="FY4845" s="15" t="n">
        <v>55</v>
      </c>
      <c r="GU4845" s="15" t="n">
        <v>55</v>
      </c>
    </row>
    <row r="4846">
      <c r="C4846" s="15" t="n">
        <v>56</v>
      </c>
      <c r="AA4846" s="15" t="n">
        <v>56</v>
      </c>
      <c r="AW4846" s="15" t="n">
        <v>56</v>
      </c>
      <c r="BS4846" s="15" t="n">
        <v>56</v>
      </c>
      <c r="CO4846" s="15" t="n">
        <v>56</v>
      </c>
      <c r="DK4846" s="15" t="n">
        <v>56</v>
      </c>
      <c r="EG4846" s="15" t="n">
        <v>56</v>
      </c>
      <c r="FC4846" s="15" t="n">
        <v>56</v>
      </c>
      <c r="FY4846" s="15" t="n">
        <v>56</v>
      </c>
      <c r="GU4846" s="15" t="n">
        <v>56</v>
      </c>
    </row>
    <row r="4847">
      <c r="C4847" s="15" t="n">
        <v>57</v>
      </c>
      <c r="AA4847" s="15" t="n">
        <v>57</v>
      </c>
      <c r="AW4847" s="15" t="n">
        <v>57</v>
      </c>
      <c r="BS4847" s="15" t="n">
        <v>57</v>
      </c>
      <c r="CO4847" s="15" t="n">
        <v>57</v>
      </c>
      <c r="DK4847" s="15" t="n">
        <v>57</v>
      </c>
      <c r="EG4847" s="15" t="n">
        <v>57</v>
      </c>
      <c r="FC4847" s="15" t="n">
        <v>57</v>
      </c>
      <c r="FY4847" s="15" t="n">
        <v>57</v>
      </c>
      <c r="GU4847" s="15" t="n">
        <v>57</v>
      </c>
    </row>
    <row r="4848">
      <c r="C4848" s="15" t="n">
        <v>58</v>
      </c>
      <c r="AA4848" s="15" t="n">
        <v>58</v>
      </c>
      <c r="AW4848" s="15" t="n">
        <v>58</v>
      </c>
      <c r="BS4848" s="15" t="n">
        <v>58</v>
      </c>
      <c r="CO4848" s="15" t="n">
        <v>58</v>
      </c>
      <c r="DK4848" s="15" t="n">
        <v>58</v>
      </c>
      <c r="EG4848" s="15" t="n">
        <v>58</v>
      </c>
      <c r="FC4848" s="15" t="n">
        <v>58</v>
      </c>
      <c r="FY4848" s="15" t="n">
        <v>58</v>
      </c>
      <c r="GU4848" s="15" t="n">
        <v>58</v>
      </c>
    </row>
    <row r="4849">
      <c r="C4849" s="15" t="n">
        <v>59</v>
      </c>
      <c r="AA4849" s="15" t="n">
        <v>59</v>
      </c>
      <c r="AW4849" s="15" t="n">
        <v>59</v>
      </c>
      <c r="BS4849" s="15" t="n">
        <v>59</v>
      </c>
      <c r="CO4849" s="15" t="n">
        <v>59</v>
      </c>
      <c r="DK4849" s="15" t="n">
        <v>59</v>
      </c>
      <c r="EG4849" s="15" t="n">
        <v>59</v>
      </c>
      <c r="FC4849" s="15" t="n">
        <v>59</v>
      </c>
      <c r="FY4849" s="15" t="n">
        <v>59</v>
      </c>
      <c r="GU4849" s="15" t="n">
        <v>59</v>
      </c>
    </row>
    <row r="4850">
      <c r="C4850" s="15" t="n">
        <v>60</v>
      </c>
      <c r="AA4850" s="15" t="n">
        <v>60</v>
      </c>
      <c r="AW4850" s="15" t="n">
        <v>60</v>
      </c>
      <c r="BS4850" s="15" t="n">
        <v>60</v>
      </c>
      <c r="CO4850" s="15" t="n">
        <v>60</v>
      </c>
      <c r="DK4850" s="15" t="n">
        <v>60</v>
      </c>
      <c r="EG4850" s="15" t="n">
        <v>60</v>
      </c>
      <c r="FC4850" s="15" t="n">
        <v>60</v>
      </c>
      <c r="FY4850" s="15" t="n">
        <v>60</v>
      </c>
      <c r="GU4850" s="15" t="n">
        <v>60</v>
      </c>
    </row>
    <row r="4851">
      <c r="C4851" s="15" t="n">
        <v>61</v>
      </c>
      <c r="AA4851" s="15" t="n">
        <v>61</v>
      </c>
      <c r="AW4851" s="15" t="n">
        <v>61</v>
      </c>
      <c r="BS4851" s="15" t="n">
        <v>61</v>
      </c>
      <c r="CO4851" s="15" t="n">
        <v>61</v>
      </c>
      <c r="DK4851" s="15" t="n">
        <v>61</v>
      </c>
      <c r="EG4851" s="15" t="n">
        <v>61</v>
      </c>
      <c r="FC4851" s="15" t="n">
        <v>61</v>
      </c>
      <c r="FY4851" s="15" t="n">
        <v>61</v>
      </c>
      <c r="GU4851" s="15" t="n">
        <v>61</v>
      </c>
    </row>
    <row r="4852">
      <c r="C4852" s="15" t="n">
        <v>62</v>
      </c>
      <c r="AA4852" s="15" t="n">
        <v>62</v>
      </c>
      <c r="AW4852" s="15" t="n">
        <v>62</v>
      </c>
      <c r="BS4852" s="15" t="n">
        <v>62</v>
      </c>
      <c r="CO4852" s="15" t="n">
        <v>62</v>
      </c>
      <c r="DK4852" s="15" t="n">
        <v>62</v>
      </c>
      <c r="EG4852" s="15" t="n">
        <v>62</v>
      </c>
      <c r="FC4852" s="15" t="n">
        <v>62</v>
      </c>
      <c r="FY4852" s="15" t="n">
        <v>62</v>
      </c>
      <c r="GU4852" s="15" t="n">
        <v>62</v>
      </c>
    </row>
    <row r="4853">
      <c r="C4853" s="15" t="n">
        <v>63</v>
      </c>
      <c r="AA4853" s="15" t="n">
        <v>63</v>
      </c>
      <c r="AW4853" s="15" t="n">
        <v>63</v>
      </c>
      <c r="BS4853" s="15" t="n">
        <v>63</v>
      </c>
      <c r="CO4853" s="15" t="n">
        <v>63</v>
      </c>
      <c r="DK4853" s="15" t="n">
        <v>63</v>
      </c>
      <c r="EG4853" s="15" t="n">
        <v>63</v>
      </c>
      <c r="FC4853" s="15" t="n">
        <v>63</v>
      </c>
      <c r="FY4853" s="15" t="n">
        <v>63</v>
      </c>
      <c r="GU4853" s="15" t="n">
        <v>63</v>
      </c>
    </row>
    <row r="4854">
      <c r="C4854" s="15" t="n">
        <v>64</v>
      </c>
      <c r="AA4854" s="15" t="n">
        <v>64</v>
      </c>
      <c r="AW4854" s="15" t="n">
        <v>64</v>
      </c>
      <c r="BS4854" s="15" t="n">
        <v>64</v>
      </c>
      <c r="CO4854" s="15" t="n">
        <v>64</v>
      </c>
      <c r="DK4854" s="15" t="n">
        <v>64</v>
      </c>
      <c r="EG4854" s="15" t="n">
        <v>64</v>
      </c>
      <c r="FC4854" s="15" t="n">
        <v>64</v>
      </c>
      <c r="FY4854" s="15" t="n">
        <v>64</v>
      </c>
      <c r="GU4854" s="15" t="n">
        <v>64</v>
      </c>
    </row>
    <row r="4855">
      <c r="C4855" s="15" t="n">
        <v>65</v>
      </c>
      <c r="AA4855" s="15" t="n">
        <v>65</v>
      </c>
      <c r="AW4855" s="15" t="n">
        <v>65</v>
      </c>
      <c r="BS4855" s="15" t="n">
        <v>65</v>
      </c>
      <c r="CO4855" s="15" t="n">
        <v>65</v>
      </c>
      <c r="DK4855" s="15" t="n">
        <v>65</v>
      </c>
      <c r="EG4855" s="15" t="n">
        <v>65</v>
      </c>
      <c r="FC4855" s="15" t="n">
        <v>65</v>
      </c>
      <c r="FY4855" s="15" t="n">
        <v>65</v>
      </c>
      <c r="GU4855" s="15" t="n">
        <v>65</v>
      </c>
    </row>
    <row r="4856">
      <c r="C4856" s="15" t="n">
        <v>66</v>
      </c>
      <c r="AA4856" s="15" t="n">
        <v>66</v>
      </c>
      <c r="AW4856" s="15" t="n">
        <v>66</v>
      </c>
      <c r="BS4856" s="15" t="n">
        <v>66</v>
      </c>
      <c r="CO4856" s="15" t="n">
        <v>66</v>
      </c>
      <c r="DK4856" s="15" t="n">
        <v>66</v>
      </c>
      <c r="EG4856" s="15" t="n">
        <v>66</v>
      </c>
      <c r="FC4856" s="15" t="n">
        <v>66</v>
      </c>
      <c r="FY4856" s="15" t="n">
        <v>66</v>
      </c>
      <c r="GU4856" s="15" t="n">
        <v>66</v>
      </c>
    </row>
    <row r="4857">
      <c r="C4857" s="15" t="n">
        <v>67</v>
      </c>
      <c r="AA4857" s="15" t="n">
        <v>67</v>
      </c>
      <c r="AW4857" s="15" t="n">
        <v>67</v>
      </c>
      <c r="BS4857" s="15" t="n">
        <v>67</v>
      </c>
      <c r="CO4857" s="15" t="n">
        <v>67</v>
      </c>
      <c r="DK4857" s="15" t="n">
        <v>67</v>
      </c>
      <c r="EG4857" s="15" t="n">
        <v>67</v>
      </c>
      <c r="FC4857" s="15" t="n">
        <v>67</v>
      </c>
      <c r="FY4857" s="15" t="n">
        <v>67</v>
      </c>
      <c r="GU4857" s="15" t="n">
        <v>67</v>
      </c>
    </row>
    <row r="4858">
      <c r="C4858" s="15" t="n">
        <v>68</v>
      </c>
      <c r="AA4858" s="15" t="n">
        <v>68</v>
      </c>
      <c r="AW4858" s="15" t="n">
        <v>68</v>
      </c>
      <c r="BS4858" s="15" t="n">
        <v>68</v>
      </c>
      <c r="CO4858" s="15" t="n">
        <v>68</v>
      </c>
      <c r="DK4858" s="15" t="n">
        <v>68</v>
      </c>
      <c r="EG4858" s="15" t="n">
        <v>68</v>
      </c>
      <c r="FC4858" s="15" t="n">
        <v>68</v>
      </c>
      <c r="FY4858" s="15" t="n">
        <v>68</v>
      </c>
      <c r="GU4858" s="15" t="n">
        <v>68</v>
      </c>
    </row>
    <row r="4859">
      <c r="C4859" s="15" t="n">
        <v>69</v>
      </c>
      <c r="AA4859" s="15" t="n">
        <v>69</v>
      </c>
      <c r="AW4859" s="15" t="n">
        <v>69</v>
      </c>
      <c r="BS4859" s="15" t="n">
        <v>69</v>
      </c>
      <c r="CO4859" s="15" t="n">
        <v>69</v>
      </c>
      <c r="DK4859" s="15" t="n">
        <v>69</v>
      </c>
      <c r="EG4859" s="15" t="n">
        <v>69</v>
      </c>
      <c r="FC4859" s="15" t="n">
        <v>69</v>
      </c>
      <c r="FY4859" s="15" t="n">
        <v>69</v>
      </c>
      <c r="GU4859" s="15" t="n">
        <v>69</v>
      </c>
    </row>
    <row r="4860">
      <c r="C4860" s="15" t="n">
        <v>70</v>
      </c>
      <c r="AA4860" s="15" t="n">
        <v>70</v>
      </c>
      <c r="AW4860" s="15" t="n">
        <v>70</v>
      </c>
      <c r="BS4860" s="15" t="n">
        <v>70</v>
      </c>
      <c r="CO4860" s="15" t="n">
        <v>70</v>
      </c>
      <c r="DK4860" s="15" t="n">
        <v>70</v>
      </c>
      <c r="EG4860" s="15" t="n">
        <v>70</v>
      </c>
      <c r="FC4860" s="15" t="n">
        <v>70</v>
      </c>
      <c r="FY4860" s="15" t="n">
        <v>70</v>
      </c>
      <c r="GU4860" s="15" t="n">
        <v>70</v>
      </c>
    </row>
    <row r="4861">
      <c r="C4861" s="15" t="n">
        <v>71</v>
      </c>
      <c r="AA4861" s="15" t="n">
        <v>71</v>
      </c>
      <c r="AW4861" s="15" t="n">
        <v>71</v>
      </c>
      <c r="BS4861" s="15" t="n">
        <v>71</v>
      </c>
      <c r="CO4861" s="15" t="n">
        <v>71</v>
      </c>
      <c r="DK4861" s="15" t="n">
        <v>71</v>
      </c>
      <c r="EG4861" s="15" t="n">
        <v>71</v>
      </c>
      <c r="FC4861" s="15" t="n">
        <v>71</v>
      </c>
      <c r="FY4861" s="15" t="n">
        <v>71</v>
      </c>
      <c r="GU4861" s="15" t="n">
        <v>71</v>
      </c>
    </row>
    <row r="4862">
      <c r="C4862" s="15" t="n">
        <v>72</v>
      </c>
      <c r="AA4862" s="15" t="n">
        <v>72</v>
      </c>
      <c r="AW4862" s="15" t="n">
        <v>72</v>
      </c>
      <c r="BS4862" s="15" t="n">
        <v>72</v>
      </c>
      <c r="CO4862" s="15" t="n">
        <v>72</v>
      </c>
      <c r="DK4862" s="15" t="n">
        <v>72</v>
      </c>
      <c r="EG4862" s="15" t="n">
        <v>72</v>
      </c>
      <c r="FC4862" s="15" t="n">
        <v>72</v>
      </c>
      <c r="FY4862" s="15" t="n">
        <v>72</v>
      </c>
      <c r="GU4862" s="15" t="n">
        <v>72</v>
      </c>
    </row>
    <row r="4863">
      <c r="C4863" s="15" t="n">
        <v>73</v>
      </c>
      <c r="AA4863" s="15" t="n">
        <v>73</v>
      </c>
      <c r="AW4863" s="15" t="n">
        <v>73</v>
      </c>
      <c r="BS4863" s="15" t="n">
        <v>73</v>
      </c>
      <c r="CO4863" s="15" t="n">
        <v>73</v>
      </c>
      <c r="DK4863" s="15" t="n">
        <v>73</v>
      </c>
      <c r="EG4863" s="15" t="n">
        <v>73</v>
      </c>
      <c r="FC4863" s="15" t="n">
        <v>73</v>
      </c>
      <c r="FY4863" s="15" t="n">
        <v>73</v>
      </c>
      <c r="GU4863" s="15" t="n">
        <v>73</v>
      </c>
    </row>
    <row r="4864">
      <c r="C4864" s="15" t="n">
        <v>74</v>
      </c>
      <c r="AA4864" s="15" t="n">
        <v>74</v>
      </c>
      <c r="AW4864" s="15" t="n">
        <v>74</v>
      </c>
      <c r="BS4864" s="15" t="n">
        <v>74</v>
      </c>
      <c r="CO4864" s="15" t="n">
        <v>74</v>
      </c>
      <c r="DK4864" s="15" t="n">
        <v>74</v>
      </c>
      <c r="EG4864" s="15" t="n">
        <v>74</v>
      </c>
      <c r="FC4864" s="15" t="n">
        <v>74</v>
      </c>
      <c r="FY4864" s="15" t="n">
        <v>74</v>
      </c>
      <c r="GU4864" s="15" t="n">
        <v>74</v>
      </c>
    </row>
    <row r="4865">
      <c r="C4865" s="15" t="n">
        <v>75</v>
      </c>
      <c r="AA4865" s="15" t="n">
        <v>75</v>
      </c>
      <c r="AW4865" s="15" t="n">
        <v>75</v>
      </c>
      <c r="BS4865" s="15" t="n">
        <v>75</v>
      </c>
      <c r="CO4865" s="15" t="n">
        <v>75</v>
      </c>
      <c r="DK4865" s="15" t="n">
        <v>75</v>
      </c>
      <c r="EG4865" s="15" t="n">
        <v>75</v>
      </c>
      <c r="FC4865" s="15" t="n">
        <v>75</v>
      </c>
      <c r="FY4865" s="15" t="n">
        <v>75</v>
      </c>
      <c r="GU4865" s="15" t="n">
        <v>75</v>
      </c>
    </row>
    <row r="4866">
      <c r="C4866" s="15" t="n">
        <v>76</v>
      </c>
      <c r="AA4866" s="15" t="n">
        <v>76</v>
      </c>
      <c r="AW4866" s="15" t="n">
        <v>76</v>
      </c>
      <c r="BS4866" s="15" t="n">
        <v>76</v>
      </c>
      <c r="CO4866" s="15" t="n">
        <v>76</v>
      </c>
      <c r="DK4866" s="15" t="n">
        <v>76</v>
      </c>
      <c r="EG4866" s="15" t="n">
        <v>76</v>
      </c>
      <c r="FC4866" s="15" t="n">
        <v>76</v>
      </c>
      <c r="FY4866" s="15" t="n">
        <v>76</v>
      </c>
      <c r="GU4866" s="15" t="n">
        <v>76</v>
      </c>
    </row>
    <row r="4867">
      <c r="C4867" s="15" t="n">
        <v>77</v>
      </c>
      <c r="AA4867" s="15" t="n">
        <v>77</v>
      </c>
      <c r="AW4867" s="15" t="n">
        <v>77</v>
      </c>
      <c r="BS4867" s="15" t="n">
        <v>77</v>
      </c>
      <c r="CO4867" s="15" t="n">
        <v>77</v>
      </c>
      <c r="DK4867" s="15" t="n">
        <v>77</v>
      </c>
      <c r="EG4867" s="15" t="n">
        <v>77</v>
      </c>
      <c r="FC4867" s="15" t="n">
        <v>77</v>
      </c>
      <c r="FY4867" s="15" t="n">
        <v>77</v>
      </c>
      <c r="GU4867" s="15" t="n">
        <v>77</v>
      </c>
    </row>
    <row r="4868">
      <c r="C4868" s="15" t="n">
        <v>78</v>
      </c>
      <c r="AA4868" s="15" t="n">
        <v>78</v>
      </c>
      <c r="AW4868" s="15" t="n">
        <v>78</v>
      </c>
      <c r="BS4868" s="15" t="n">
        <v>78</v>
      </c>
      <c r="CO4868" s="15" t="n">
        <v>78</v>
      </c>
      <c r="DK4868" s="15" t="n">
        <v>78</v>
      </c>
      <c r="EG4868" s="15" t="n">
        <v>78</v>
      </c>
      <c r="FC4868" s="15" t="n">
        <v>78</v>
      </c>
      <c r="FY4868" s="15" t="n">
        <v>78</v>
      </c>
      <c r="GU4868" s="15" t="n">
        <v>78</v>
      </c>
    </row>
    <row r="4869">
      <c r="C4869" s="15" t="n">
        <v>79</v>
      </c>
      <c r="AA4869" s="15" t="n">
        <v>79</v>
      </c>
      <c r="AW4869" s="15" t="n">
        <v>79</v>
      </c>
      <c r="BS4869" s="15" t="n">
        <v>79</v>
      </c>
      <c r="CO4869" s="15" t="n">
        <v>79</v>
      </c>
      <c r="DK4869" s="15" t="n">
        <v>79</v>
      </c>
      <c r="EG4869" s="15" t="n">
        <v>79</v>
      </c>
      <c r="FC4869" s="15" t="n">
        <v>79</v>
      </c>
      <c r="FY4869" s="15" t="n">
        <v>79</v>
      </c>
      <c r="GU4869" s="15" t="n">
        <v>79</v>
      </c>
    </row>
    <row r="4870">
      <c r="C4870" s="15" t="n">
        <v>80</v>
      </c>
      <c r="AA4870" s="15" t="n">
        <v>80</v>
      </c>
      <c r="AW4870" s="15" t="n">
        <v>80</v>
      </c>
      <c r="BS4870" s="15" t="n">
        <v>80</v>
      </c>
      <c r="CO4870" s="15" t="n">
        <v>80</v>
      </c>
      <c r="DK4870" s="15" t="n">
        <v>80</v>
      </c>
      <c r="EG4870" s="15" t="n">
        <v>80</v>
      </c>
      <c r="FC4870" s="15" t="n">
        <v>80</v>
      </c>
      <c r="FY4870" s="15" t="n">
        <v>80</v>
      </c>
      <c r="GU4870" s="15" t="n">
        <v>80</v>
      </c>
    </row>
    <row r="4871">
      <c r="C4871" s="15" t="n">
        <v>81</v>
      </c>
      <c r="AA4871" s="15" t="n">
        <v>81</v>
      </c>
      <c r="AW4871" s="15" t="n">
        <v>81</v>
      </c>
      <c r="BS4871" s="15" t="n">
        <v>81</v>
      </c>
      <c r="CO4871" s="15" t="n">
        <v>81</v>
      </c>
      <c r="DK4871" s="15" t="n">
        <v>81</v>
      </c>
      <c r="EG4871" s="15" t="n">
        <v>81</v>
      </c>
      <c r="FC4871" s="15" t="n">
        <v>81</v>
      </c>
      <c r="FY4871" s="15" t="n">
        <v>81</v>
      </c>
      <c r="GU4871" s="15" t="n">
        <v>81</v>
      </c>
    </row>
    <row r="4872">
      <c r="C4872" s="15" t="n">
        <v>82</v>
      </c>
      <c r="AA4872" s="15" t="n">
        <v>82</v>
      </c>
      <c r="AW4872" s="15" t="n">
        <v>82</v>
      </c>
      <c r="BS4872" s="15" t="n">
        <v>82</v>
      </c>
      <c r="CO4872" s="15" t="n">
        <v>82</v>
      </c>
      <c r="DK4872" s="15" t="n">
        <v>82</v>
      </c>
      <c r="EG4872" s="15" t="n">
        <v>82</v>
      </c>
      <c r="FC4872" s="15" t="n">
        <v>82</v>
      </c>
      <c r="FY4872" s="15" t="n">
        <v>82</v>
      </c>
      <c r="GU4872" s="15" t="n">
        <v>82</v>
      </c>
    </row>
    <row r="4873">
      <c r="C4873" s="15" t="n">
        <v>83</v>
      </c>
      <c r="AA4873" s="15" t="n">
        <v>83</v>
      </c>
      <c r="AW4873" s="15" t="n">
        <v>83</v>
      </c>
      <c r="BS4873" s="15" t="n">
        <v>83</v>
      </c>
      <c r="CO4873" s="15" t="n">
        <v>83</v>
      </c>
      <c r="DK4873" s="15" t="n">
        <v>83</v>
      </c>
      <c r="EG4873" s="15" t="n">
        <v>83</v>
      </c>
      <c r="FC4873" s="15" t="n">
        <v>83</v>
      </c>
      <c r="FY4873" s="15" t="n">
        <v>83</v>
      </c>
      <c r="GU4873" s="15" t="n">
        <v>83</v>
      </c>
    </row>
    <row r="4874">
      <c r="C4874" s="15" t="n">
        <v>84</v>
      </c>
      <c r="AA4874" s="15" t="n">
        <v>84</v>
      </c>
      <c r="AW4874" s="15" t="n">
        <v>84</v>
      </c>
      <c r="BS4874" s="15" t="n">
        <v>84</v>
      </c>
      <c r="CO4874" s="15" t="n">
        <v>84</v>
      </c>
      <c r="DK4874" s="15" t="n">
        <v>84</v>
      </c>
      <c r="EG4874" s="15" t="n">
        <v>84</v>
      </c>
      <c r="FC4874" s="15" t="n">
        <v>84</v>
      </c>
      <c r="FY4874" s="15" t="n">
        <v>84</v>
      </c>
      <c r="GU4874" s="15" t="n">
        <v>84</v>
      </c>
    </row>
    <row r="4875">
      <c r="C4875" s="15" t="n">
        <v>85</v>
      </c>
      <c r="AA4875" s="15" t="n">
        <v>85</v>
      </c>
      <c r="AW4875" s="15" t="n">
        <v>85</v>
      </c>
      <c r="BS4875" s="15" t="n">
        <v>85</v>
      </c>
      <c r="CO4875" s="15" t="n">
        <v>85</v>
      </c>
      <c r="DK4875" s="15" t="n">
        <v>85</v>
      </c>
      <c r="EG4875" s="15" t="n">
        <v>85</v>
      </c>
      <c r="FC4875" s="15" t="n">
        <v>85</v>
      </c>
      <c r="FY4875" s="15" t="n">
        <v>85</v>
      </c>
      <c r="GU4875" s="15" t="n">
        <v>85</v>
      </c>
    </row>
    <row r="4876">
      <c r="C4876" s="15" t="n">
        <v>86</v>
      </c>
      <c r="AA4876" s="15" t="n">
        <v>86</v>
      </c>
      <c r="AW4876" s="15" t="n">
        <v>86</v>
      </c>
      <c r="BS4876" s="15" t="n">
        <v>86</v>
      </c>
      <c r="CO4876" s="15" t="n">
        <v>86</v>
      </c>
      <c r="DK4876" s="15" t="n">
        <v>86</v>
      </c>
      <c r="EG4876" s="15" t="n">
        <v>86</v>
      </c>
      <c r="FC4876" s="15" t="n">
        <v>86</v>
      </c>
      <c r="FY4876" s="15" t="n">
        <v>86</v>
      </c>
      <c r="GU4876" s="15" t="n">
        <v>86</v>
      </c>
    </row>
    <row r="4877">
      <c r="C4877" s="15" t="n">
        <v>87</v>
      </c>
      <c r="AA4877" s="15" t="n">
        <v>87</v>
      </c>
      <c r="AW4877" s="15" t="n">
        <v>87</v>
      </c>
      <c r="BS4877" s="15" t="n">
        <v>87</v>
      </c>
      <c r="CO4877" s="15" t="n">
        <v>87</v>
      </c>
      <c r="DK4877" s="15" t="n">
        <v>87</v>
      </c>
      <c r="EG4877" s="15" t="n">
        <v>87</v>
      </c>
      <c r="FC4877" s="15" t="n">
        <v>87</v>
      </c>
      <c r="FY4877" s="15" t="n">
        <v>87</v>
      </c>
      <c r="GU4877" s="15" t="n">
        <v>87</v>
      </c>
    </row>
    <row r="4878">
      <c r="C4878" s="15" t="n">
        <v>88</v>
      </c>
      <c r="AA4878" s="15" t="n">
        <v>88</v>
      </c>
      <c r="AW4878" s="15" t="n">
        <v>88</v>
      </c>
      <c r="BS4878" s="15" t="n">
        <v>88</v>
      </c>
      <c r="CO4878" s="15" t="n">
        <v>88</v>
      </c>
      <c r="DK4878" s="15" t="n">
        <v>88</v>
      </c>
      <c r="EG4878" s="15" t="n">
        <v>88</v>
      </c>
      <c r="FC4878" s="15" t="n">
        <v>88</v>
      </c>
      <c r="FY4878" s="15" t="n">
        <v>88</v>
      </c>
      <c r="GU4878" s="15" t="n">
        <v>88</v>
      </c>
    </row>
    <row r="4879">
      <c r="C4879" s="15" t="n">
        <v>89</v>
      </c>
      <c r="AA4879" s="15" t="n">
        <v>89</v>
      </c>
      <c r="AW4879" s="15" t="n">
        <v>89</v>
      </c>
      <c r="BS4879" s="15" t="n">
        <v>89</v>
      </c>
      <c r="CO4879" s="15" t="n">
        <v>89</v>
      </c>
      <c r="DK4879" s="15" t="n">
        <v>89</v>
      </c>
      <c r="EG4879" s="15" t="n">
        <v>89</v>
      </c>
      <c r="FC4879" s="15" t="n">
        <v>89</v>
      </c>
      <c r="FY4879" s="15" t="n">
        <v>89</v>
      </c>
      <c r="GU4879" s="15" t="n">
        <v>89</v>
      </c>
    </row>
    <row r="4880">
      <c r="C4880" s="15" t="n">
        <v>90</v>
      </c>
      <c r="AA4880" s="15" t="n">
        <v>90</v>
      </c>
      <c r="AW4880" s="15" t="n">
        <v>90</v>
      </c>
      <c r="BS4880" s="15" t="n">
        <v>90</v>
      </c>
      <c r="CO4880" s="15" t="n">
        <v>90</v>
      </c>
      <c r="DK4880" s="15" t="n">
        <v>90</v>
      </c>
      <c r="EG4880" s="15" t="n">
        <v>90</v>
      </c>
      <c r="FC4880" s="15" t="n">
        <v>90</v>
      </c>
      <c r="FY4880" s="15" t="n">
        <v>90</v>
      </c>
      <c r="GU4880" s="15" t="n">
        <v>90</v>
      </c>
    </row>
    <row r="4881">
      <c r="C4881" s="15" t="n">
        <v>91</v>
      </c>
      <c r="AA4881" s="15" t="n">
        <v>91</v>
      </c>
      <c r="AW4881" s="15" t="n">
        <v>91</v>
      </c>
      <c r="BS4881" s="15" t="n">
        <v>91</v>
      </c>
      <c r="CO4881" s="15" t="n">
        <v>91</v>
      </c>
      <c r="DK4881" s="15" t="n">
        <v>91</v>
      </c>
      <c r="EG4881" s="15" t="n">
        <v>91</v>
      </c>
      <c r="FC4881" s="15" t="n">
        <v>91</v>
      </c>
      <c r="FY4881" s="15" t="n">
        <v>91</v>
      </c>
      <c r="GU4881" s="15" t="n">
        <v>91</v>
      </c>
    </row>
    <row r="4882">
      <c r="C4882" s="15" t="n">
        <v>92</v>
      </c>
      <c r="AA4882" s="15" t="n">
        <v>92</v>
      </c>
      <c r="AW4882" s="15" t="n">
        <v>92</v>
      </c>
      <c r="BS4882" s="15" t="n">
        <v>92</v>
      </c>
      <c r="CO4882" s="15" t="n">
        <v>92</v>
      </c>
      <c r="DK4882" s="15" t="n">
        <v>92</v>
      </c>
      <c r="EG4882" s="15" t="n">
        <v>92</v>
      </c>
      <c r="FC4882" s="15" t="n">
        <v>92</v>
      </c>
      <c r="FY4882" s="15" t="n">
        <v>92</v>
      </c>
      <c r="GU4882" s="15" t="n">
        <v>92</v>
      </c>
    </row>
    <row r="4883">
      <c r="C4883" s="15" t="n">
        <v>93</v>
      </c>
      <c r="AA4883" s="15" t="n">
        <v>93</v>
      </c>
      <c r="AW4883" s="15" t="n">
        <v>93</v>
      </c>
      <c r="BS4883" s="15" t="n">
        <v>93</v>
      </c>
      <c r="CO4883" s="15" t="n">
        <v>93</v>
      </c>
      <c r="DK4883" s="15" t="n">
        <v>93</v>
      </c>
      <c r="EG4883" s="15" t="n">
        <v>93</v>
      </c>
      <c r="FC4883" s="15" t="n">
        <v>93</v>
      </c>
      <c r="FY4883" s="15" t="n">
        <v>93</v>
      </c>
      <c r="GU4883" s="15" t="n">
        <v>93</v>
      </c>
    </row>
    <row r="4884">
      <c r="C4884" s="15" t="n">
        <v>94</v>
      </c>
      <c r="AA4884" s="15" t="n">
        <v>94</v>
      </c>
      <c r="AW4884" s="15" t="n">
        <v>94</v>
      </c>
      <c r="BS4884" s="15" t="n">
        <v>94</v>
      </c>
      <c r="CO4884" s="15" t="n">
        <v>94</v>
      </c>
      <c r="DK4884" s="15" t="n">
        <v>94</v>
      </c>
      <c r="EG4884" s="15" t="n">
        <v>94</v>
      </c>
      <c r="FC4884" s="15" t="n">
        <v>94</v>
      </c>
      <c r="FY4884" s="15" t="n">
        <v>94</v>
      </c>
      <c r="GU4884" s="15" t="n">
        <v>94</v>
      </c>
    </row>
    <row r="4885">
      <c r="C4885" s="15" t="n">
        <v>95</v>
      </c>
      <c r="AA4885" s="15" t="n">
        <v>95</v>
      </c>
      <c r="AW4885" s="15" t="n">
        <v>95</v>
      </c>
      <c r="BS4885" s="15" t="n">
        <v>95</v>
      </c>
      <c r="CO4885" s="15" t="n">
        <v>95</v>
      </c>
      <c r="DK4885" s="15" t="n">
        <v>95</v>
      </c>
      <c r="EG4885" s="15" t="n">
        <v>95</v>
      </c>
      <c r="FC4885" s="15" t="n">
        <v>95</v>
      </c>
      <c r="FY4885" s="15" t="n">
        <v>95</v>
      </c>
      <c r="GU4885" s="15" t="n">
        <v>95</v>
      </c>
    </row>
    <row r="4886">
      <c r="C4886" s="15" t="n">
        <v>96</v>
      </c>
      <c r="AA4886" s="15" t="n">
        <v>96</v>
      </c>
      <c r="AW4886" s="15" t="n">
        <v>96</v>
      </c>
      <c r="BS4886" s="15" t="n">
        <v>96</v>
      </c>
      <c r="CO4886" s="15" t="n">
        <v>96</v>
      </c>
      <c r="DK4886" s="15" t="n">
        <v>96</v>
      </c>
      <c r="EG4886" s="15" t="n">
        <v>96</v>
      </c>
      <c r="FC4886" s="15" t="n">
        <v>96</v>
      </c>
      <c r="FY4886" s="15" t="n">
        <v>96</v>
      </c>
      <c r="GU4886" s="15" t="n">
        <v>96</v>
      </c>
    </row>
    <row r="4887">
      <c r="C4887" s="15" t="n">
        <v>97</v>
      </c>
      <c r="AA4887" s="15" t="n">
        <v>97</v>
      </c>
      <c r="AW4887" s="15" t="n">
        <v>97</v>
      </c>
      <c r="BS4887" s="15" t="n">
        <v>97</v>
      </c>
      <c r="CO4887" s="15" t="n">
        <v>97</v>
      </c>
      <c r="DK4887" s="15" t="n">
        <v>97</v>
      </c>
      <c r="EG4887" s="15" t="n">
        <v>97</v>
      </c>
      <c r="FC4887" s="15" t="n">
        <v>97</v>
      </c>
      <c r="FY4887" s="15" t="n">
        <v>97</v>
      </c>
      <c r="GU4887" s="15" t="n">
        <v>97</v>
      </c>
    </row>
    <row r="4888">
      <c r="C4888" s="15" t="n">
        <v>98</v>
      </c>
      <c r="AA4888" s="15" t="n">
        <v>98</v>
      </c>
      <c r="AW4888" s="15" t="n">
        <v>98</v>
      </c>
      <c r="BS4888" s="15" t="n">
        <v>98</v>
      </c>
      <c r="CO4888" s="15" t="n">
        <v>98</v>
      </c>
      <c r="DK4888" s="15" t="n">
        <v>98</v>
      </c>
      <c r="EG4888" s="15" t="n">
        <v>98</v>
      </c>
      <c r="FC4888" s="15" t="n">
        <v>98</v>
      </c>
      <c r="FY4888" s="15" t="n">
        <v>98</v>
      </c>
      <c r="GU4888" s="15" t="n">
        <v>98</v>
      </c>
    </row>
    <row r="4889">
      <c r="C4889" s="15" t="n">
        <v>99</v>
      </c>
      <c r="AA4889" s="15" t="n">
        <v>99</v>
      </c>
      <c r="AW4889" s="15" t="n">
        <v>99</v>
      </c>
      <c r="BS4889" s="15" t="n">
        <v>99</v>
      </c>
      <c r="CO4889" s="15" t="n">
        <v>99</v>
      </c>
      <c r="DK4889" s="15" t="n">
        <v>99</v>
      </c>
      <c r="EG4889" s="15" t="n">
        <v>99</v>
      </c>
      <c r="FC4889" s="15" t="n">
        <v>99</v>
      </c>
      <c r="FY4889" s="15" t="n">
        <v>99</v>
      </c>
      <c r="GU4889" s="15" t="n">
        <v>99</v>
      </c>
    </row>
    <row r="4890">
      <c r="C4890" s="15" t="n">
        <v>100</v>
      </c>
      <c r="AA4890" s="15" t="n">
        <v>100</v>
      </c>
      <c r="AW4890" s="15" t="n">
        <v>100</v>
      </c>
      <c r="BS4890" s="15" t="n">
        <v>100</v>
      </c>
      <c r="CO4890" s="15" t="n">
        <v>100</v>
      </c>
      <c r="DK4890" s="15" t="n">
        <v>100</v>
      </c>
      <c r="EG4890" s="15" t="n">
        <v>100</v>
      </c>
      <c r="FC4890" s="15" t="n">
        <v>100</v>
      </c>
      <c r="FY4890" s="15" t="n">
        <v>100</v>
      </c>
      <c r="GU4890" s="15" t="n">
        <v>100</v>
      </c>
    </row>
    <row r="4891">
      <c r="C4891" s="15" t="n">
        <v>101</v>
      </c>
      <c r="AA4891" s="15" t="n">
        <v>101</v>
      </c>
      <c r="AW4891" s="15" t="n">
        <v>101</v>
      </c>
      <c r="BS4891" s="15" t="n">
        <v>101</v>
      </c>
      <c r="CO4891" s="15" t="n">
        <v>101</v>
      </c>
      <c r="DK4891" s="15" t="n">
        <v>101</v>
      </c>
      <c r="EG4891" s="15" t="n">
        <v>101</v>
      </c>
      <c r="FC4891" s="15" t="n">
        <v>101</v>
      </c>
      <c r="FY4891" s="15" t="n">
        <v>101</v>
      </c>
      <c r="GU4891" s="15" t="n">
        <v>101</v>
      </c>
    </row>
    <row r="4892">
      <c r="C4892" s="15" t="n">
        <v>102</v>
      </c>
      <c r="AA4892" s="15" t="n">
        <v>102</v>
      </c>
      <c r="AW4892" s="15" t="n">
        <v>102</v>
      </c>
      <c r="BS4892" s="15" t="n">
        <v>102</v>
      </c>
      <c r="CO4892" s="15" t="n">
        <v>102</v>
      </c>
      <c r="DK4892" s="15" t="n">
        <v>102</v>
      </c>
      <c r="EG4892" s="15" t="n">
        <v>102</v>
      </c>
      <c r="FC4892" s="15" t="n">
        <v>102</v>
      </c>
      <c r="FY4892" s="15" t="n">
        <v>102</v>
      </c>
      <c r="GU4892" s="15" t="n">
        <v>102</v>
      </c>
    </row>
    <row r="4893">
      <c r="C4893" s="15" t="n">
        <v>103</v>
      </c>
      <c r="AA4893" s="15" t="n">
        <v>103</v>
      </c>
      <c r="AW4893" s="15" t="n">
        <v>103</v>
      </c>
      <c r="BS4893" s="15" t="n">
        <v>103</v>
      </c>
      <c r="CO4893" s="15" t="n">
        <v>103</v>
      </c>
      <c r="DK4893" s="15" t="n">
        <v>103</v>
      </c>
      <c r="EG4893" s="15" t="n">
        <v>103</v>
      </c>
      <c r="FC4893" s="15" t="n">
        <v>103</v>
      </c>
      <c r="FY4893" s="15" t="n">
        <v>103</v>
      </c>
      <c r="GU4893" s="15" t="n">
        <v>103</v>
      </c>
    </row>
    <row r="4894">
      <c r="C4894" s="15" t="n">
        <v>104</v>
      </c>
      <c r="AA4894" s="15" t="n">
        <v>104</v>
      </c>
      <c r="AW4894" s="15" t="n">
        <v>104</v>
      </c>
      <c r="BS4894" s="15" t="n">
        <v>104</v>
      </c>
      <c r="CO4894" s="15" t="n">
        <v>104</v>
      </c>
      <c r="DK4894" s="15" t="n">
        <v>104</v>
      </c>
      <c r="EG4894" s="15" t="n">
        <v>104</v>
      </c>
      <c r="FC4894" s="15" t="n">
        <v>104</v>
      </c>
      <c r="FY4894" s="15" t="n">
        <v>104</v>
      </c>
      <c r="GU4894" s="15" t="n">
        <v>104</v>
      </c>
    </row>
    <row r="4895">
      <c r="C4895" s="15" t="n">
        <v>105</v>
      </c>
      <c r="AA4895" s="15" t="n">
        <v>105</v>
      </c>
      <c r="AW4895" s="15" t="n">
        <v>105</v>
      </c>
      <c r="BS4895" s="15" t="n">
        <v>105</v>
      </c>
      <c r="CO4895" s="15" t="n">
        <v>105</v>
      </c>
      <c r="DK4895" s="15" t="n">
        <v>105</v>
      </c>
      <c r="EG4895" s="15" t="n">
        <v>105</v>
      </c>
      <c r="FC4895" s="15" t="n">
        <v>105</v>
      </c>
      <c r="FY4895" s="15" t="n">
        <v>105</v>
      </c>
      <c r="GU4895" s="15" t="n">
        <v>105</v>
      </c>
    </row>
    <row r="4896">
      <c r="C4896" s="15" t="n">
        <v>106</v>
      </c>
      <c r="AA4896" s="15" t="n">
        <v>106</v>
      </c>
      <c r="AW4896" s="15" t="n">
        <v>106</v>
      </c>
      <c r="BS4896" s="15" t="n">
        <v>106</v>
      </c>
      <c r="CO4896" s="15" t="n">
        <v>106</v>
      </c>
      <c r="DK4896" s="15" t="n">
        <v>106</v>
      </c>
      <c r="EG4896" s="15" t="n">
        <v>106</v>
      </c>
      <c r="FC4896" s="15" t="n">
        <v>106</v>
      </c>
      <c r="FY4896" s="15" t="n">
        <v>106</v>
      </c>
      <c r="GU4896" s="15" t="n">
        <v>106</v>
      </c>
    </row>
    <row r="4897">
      <c r="C4897" s="15" t="n">
        <v>107</v>
      </c>
      <c r="AA4897" s="15" t="n">
        <v>107</v>
      </c>
      <c r="AW4897" s="15" t="n">
        <v>107</v>
      </c>
      <c r="BS4897" s="15" t="n">
        <v>107</v>
      </c>
      <c r="CO4897" s="15" t="n">
        <v>107</v>
      </c>
      <c r="DK4897" s="15" t="n">
        <v>107</v>
      </c>
      <c r="EG4897" s="15" t="n">
        <v>107</v>
      </c>
      <c r="FC4897" s="15" t="n">
        <v>107</v>
      </c>
      <c r="FY4897" s="15" t="n">
        <v>107</v>
      </c>
      <c r="GU4897" s="15" t="n">
        <v>107</v>
      </c>
    </row>
    <row r="4898">
      <c r="C4898" s="15" t="n">
        <v>108</v>
      </c>
      <c r="AA4898" s="15" t="n">
        <v>108</v>
      </c>
      <c r="AW4898" s="15" t="n">
        <v>108</v>
      </c>
      <c r="BS4898" s="15" t="n">
        <v>108</v>
      </c>
      <c r="CO4898" s="15" t="n">
        <v>108</v>
      </c>
      <c r="DK4898" s="15" t="n">
        <v>108</v>
      </c>
      <c r="EG4898" s="15" t="n">
        <v>108</v>
      </c>
      <c r="FC4898" s="15" t="n">
        <v>108</v>
      </c>
      <c r="FY4898" s="15" t="n">
        <v>108</v>
      </c>
      <c r="GU4898" s="15" t="n">
        <v>108</v>
      </c>
    </row>
    <row r="4899">
      <c r="C4899" s="15" t="n">
        <v>109</v>
      </c>
      <c r="AA4899" s="15" t="n">
        <v>109</v>
      </c>
      <c r="AW4899" s="15" t="n">
        <v>109</v>
      </c>
      <c r="BS4899" s="15" t="n">
        <v>109</v>
      </c>
      <c r="CO4899" s="15" t="n">
        <v>109</v>
      </c>
      <c r="DK4899" s="15" t="n">
        <v>109</v>
      </c>
      <c r="EG4899" s="15" t="n">
        <v>109</v>
      </c>
      <c r="FC4899" s="15" t="n">
        <v>109</v>
      </c>
      <c r="FY4899" s="15" t="n">
        <v>109</v>
      </c>
      <c r="GU4899" s="15" t="n">
        <v>109</v>
      </c>
    </row>
    <row r="4900">
      <c r="C4900" s="15" t="n">
        <v>110</v>
      </c>
      <c r="AA4900" s="15" t="n">
        <v>110</v>
      </c>
      <c r="AW4900" s="15" t="n">
        <v>110</v>
      </c>
      <c r="BS4900" s="15" t="n">
        <v>110</v>
      </c>
      <c r="CO4900" s="15" t="n">
        <v>110</v>
      </c>
      <c r="DK4900" s="15" t="n">
        <v>110</v>
      </c>
      <c r="EG4900" s="15" t="n">
        <v>110</v>
      </c>
      <c r="FC4900" s="15" t="n">
        <v>110</v>
      </c>
      <c r="FY4900" s="15" t="n">
        <v>110</v>
      </c>
      <c r="GU4900" s="15" t="n">
        <v>110</v>
      </c>
    </row>
    <row r="4901">
      <c r="C4901" s="15" t="n">
        <v>111</v>
      </c>
      <c r="AA4901" s="15" t="n">
        <v>111</v>
      </c>
      <c r="AW4901" s="15" t="n">
        <v>111</v>
      </c>
      <c r="BS4901" s="15" t="n">
        <v>111</v>
      </c>
      <c r="CO4901" s="15" t="n">
        <v>111</v>
      </c>
      <c r="DK4901" s="15" t="n">
        <v>111</v>
      </c>
      <c r="EG4901" s="15" t="n">
        <v>111</v>
      </c>
      <c r="FC4901" s="15" t="n">
        <v>111</v>
      </c>
      <c r="FY4901" s="15" t="n">
        <v>111</v>
      </c>
      <c r="GU4901" s="15" t="n">
        <v>111</v>
      </c>
    </row>
    <row r="4902">
      <c r="C4902" s="15" t="n">
        <v>112</v>
      </c>
      <c r="AA4902" s="15" t="n">
        <v>112</v>
      </c>
      <c r="AW4902" s="15" t="n">
        <v>112</v>
      </c>
      <c r="BS4902" s="15" t="n">
        <v>112</v>
      </c>
      <c r="CO4902" s="15" t="n">
        <v>112</v>
      </c>
      <c r="DK4902" s="15" t="n">
        <v>112</v>
      </c>
      <c r="EG4902" s="15" t="n">
        <v>112</v>
      </c>
      <c r="FC4902" s="15" t="n">
        <v>112</v>
      </c>
      <c r="FY4902" s="15" t="n">
        <v>112</v>
      </c>
      <c r="GU4902" s="15" t="n">
        <v>112</v>
      </c>
    </row>
    <row r="4903">
      <c r="C4903" s="15" t="n">
        <v>113</v>
      </c>
      <c r="AA4903" s="15" t="n">
        <v>113</v>
      </c>
      <c r="AW4903" s="15" t="n">
        <v>113</v>
      </c>
      <c r="BS4903" s="15" t="n">
        <v>113</v>
      </c>
      <c r="CO4903" s="15" t="n">
        <v>113</v>
      </c>
      <c r="DK4903" s="15" t="n">
        <v>113</v>
      </c>
      <c r="EG4903" s="15" t="n">
        <v>113</v>
      </c>
      <c r="FC4903" s="15" t="n">
        <v>113</v>
      </c>
      <c r="FY4903" s="15" t="n">
        <v>113</v>
      </c>
      <c r="GU4903" s="15" t="n">
        <v>113</v>
      </c>
    </row>
    <row r="4904">
      <c r="C4904" s="15" t="n">
        <v>114</v>
      </c>
      <c r="AA4904" s="15" t="n">
        <v>114</v>
      </c>
      <c r="AW4904" s="15" t="n">
        <v>114</v>
      </c>
      <c r="BS4904" s="15" t="n">
        <v>114</v>
      </c>
      <c r="CO4904" s="15" t="n">
        <v>114</v>
      </c>
      <c r="DK4904" s="15" t="n">
        <v>114</v>
      </c>
      <c r="EG4904" s="15" t="n">
        <v>114</v>
      </c>
      <c r="FC4904" s="15" t="n">
        <v>114</v>
      </c>
      <c r="FY4904" s="15" t="n">
        <v>114</v>
      </c>
      <c r="GU4904" s="15" t="n">
        <v>114</v>
      </c>
    </row>
    <row r="4905">
      <c r="C4905" s="15" t="n">
        <v>115</v>
      </c>
      <c r="AA4905" s="15" t="n">
        <v>115</v>
      </c>
      <c r="AW4905" s="15" t="n">
        <v>115</v>
      </c>
      <c r="BS4905" s="15" t="n">
        <v>115</v>
      </c>
      <c r="CO4905" s="15" t="n">
        <v>115</v>
      </c>
      <c r="DK4905" s="15" t="n">
        <v>115</v>
      </c>
      <c r="EG4905" s="15" t="n">
        <v>115</v>
      </c>
      <c r="FC4905" s="15" t="n">
        <v>115</v>
      </c>
      <c r="FY4905" s="15" t="n">
        <v>115</v>
      </c>
      <c r="GU4905" s="15" t="n">
        <v>115</v>
      </c>
    </row>
    <row r="4906">
      <c r="C4906" s="15" t="n">
        <v>116</v>
      </c>
      <c r="AA4906" s="15" t="n">
        <v>116</v>
      </c>
      <c r="AW4906" s="15" t="n">
        <v>116</v>
      </c>
      <c r="BS4906" s="15" t="n">
        <v>116</v>
      </c>
      <c r="CO4906" s="15" t="n">
        <v>116</v>
      </c>
      <c r="DK4906" s="15" t="n">
        <v>116</v>
      </c>
      <c r="EG4906" s="15" t="n">
        <v>116</v>
      </c>
      <c r="FC4906" s="15" t="n">
        <v>116</v>
      </c>
      <c r="FY4906" s="15" t="n">
        <v>116</v>
      </c>
      <c r="GU4906" s="15" t="n">
        <v>116</v>
      </c>
    </row>
    <row r="4907">
      <c r="C4907" s="15" t="n">
        <v>117</v>
      </c>
      <c r="AA4907" s="15" t="n">
        <v>117</v>
      </c>
      <c r="AW4907" s="15" t="n">
        <v>117</v>
      </c>
      <c r="BS4907" s="15" t="n">
        <v>117</v>
      </c>
      <c r="CO4907" s="15" t="n">
        <v>117</v>
      </c>
      <c r="DK4907" s="15" t="n">
        <v>117</v>
      </c>
      <c r="EG4907" s="15" t="n">
        <v>117</v>
      </c>
      <c r="FC4907" s="15" t="n">
        <v>117</v>
      </c>
      <c r="FY4907" s="15" t="n">
        <v>117</v>
      </c>
      <c r="GU4907" s="15" t="n">
        <v>117</v>
      </c>
    </row>
    <row r="4908">
      <c r="C4908" s="15" t="n">
        <v>118</v>
      </c>
      <c r="AA4908" s="15" t="n">
        <v>118</v>
      </c>
      <c r="AW4908" s="15" t="n">
        <v>118</v>
      </c>
      <c r="BS4908" s="15" t="n">
        <v>118</v>
      </c>
      <c r="CO4908" s="15" t="n">
        <v>118</v>
      </c>
      <c r="DK4908" s="15" t="n">
        <v>118</v>
      </c>
      <c r="EG4908" s="15" t="n">
        <v>118</v>
      </c>
      <c r="FC4908" s="15" t="n">
        <v>118</v>
      </c>
      <c r="FY4908" s="15" t="n">
        <v>118</v>
      </c>
      <c r="GU4908" s="15" t="n">
        <v>118</v>
      </c>
    </row>
    <row r="4909">
      <c r="C4909" s="15" t="n">
        <v>119</v>
      </c>
      <c r="AA4909" s="15" t="n">
        <v>119</v>
      </c>
      <c r="AW4909" s="15" t="n">
        <v>119</v>
      </c>
      <c r="BS4909" s="15" t="n">
        <v>119</v>
      </c>
      <c r="CO4909" s="15" t="n">
        <v>119</v>
      </c>
      <c r="DK4909" s="15" t="n">
        <v>119</v>
      </c>
      <c r="EG4909" s="15" t="n">
        <v>119</v>
      </c>
      <c r="FC4909" s="15" t="n">
        <v>119</v>
      </c>
      <c r="FY4909" s="15" t="n">
        <v>119</v>
      </c>
      <c r="GU4909" s="15" t="n">
        <v>119</v>
      </c>
    </row>
    <row r="4910">
      <c r="C4910" s="15" t="n">
        <v>120</v>
      </c>
      <c r="AA4910" s="15" t="n">
        <v>120</v>
      </c>
      <c r="AW4910" s="15" t="n">
        <v>120</v>
      </c>
      <c r="BS4910" s="15" t="n">
        <v>120</v>
      </c>
      <c r="CO4910" s="15" t="n">
        <v>120</v>
      </c>
      <c r="DK4910" s="15" t="n">
        <v>120</v>
      </c>
      <c r="EG4910" s="15" t="n">
        <v>120</v>
      </c>
      <c r="FC4910" s="15" t="n">
        <v>120</v>
      </c>
      <c r="FY4910" s="15" t="n">
        <v>120</v>
      </c>
      <c r="GU4910" s="15" t="n">
        <v>120</v>
      </c>
    </row>
    <row r="4911">
      <c r="C4911" s="15" t="n">
        <v>121</v>
      </c>
      <c r="AA4911" s="15" t="n">
        <v>121</v>
      </c>
      <c r="AW4911" s="15" t="n">
        <v>121</v>
      </c>
      <c r="BS4911" s="15" t="n">
        <v>121</v>
      </c>
      <c r="CO4911" s="15" t="n">
        <v>121</v>
      </c>
      <c r="DK4911" s="15" t="n">
        <v>121</v>
      </c>
      <c r="EG4911" s="15" t="n">
        <v>121</v>
      </c>
      <c r="FC4911" s="15" t="n">
        <v>121</v>
      </c>
      <c r="FY4911" s="15" t="n">
        <v>121</v>
      </c>
      <c r="GU4911" s="15" t="n">
        <v>121</v>
      </c>
    </row>
    <row r="4912">
      <c r="C4912" s="15" t="n">
        <v>122</v>
      </c>
      <c r="AA4912" s="15" t="n">
        <v>122</v>
      </c>
      <c r="AW4912" s="15" t="n">
        <v>122</v>
      </c>
      <c r="BS4912" s="15" t="n">
        <v>122</v>
      </c>
      <c r="CO4912" s="15" t="n">
        <v>122</v>
      </c>
      <c r="DK4912" s="15" t="n">
        <v>122</v>
      </c>
      <c r="EG4912" s="15" t="n">
        <v>122</v>
      </c>
      <c r="FC4912" s="15" t="n">
        <v>122</v>
      </c>
      <c r="FY4912" s="15" t="n">
        <v>122</v>
      </c>
      <c r="GU4912" s="15" t="n">
        <v>122</v>
      </c>
    </row>
    <row r="4913">
      <c r="C4913" s="15" t="n">
        <v>123</v>
      </c>
      <c r="AA4913" s="15" t="n">
        <v>123</v>
      </c>
      <c r="AW4913" s="15" t="n">
        <v>123</v>
      </c>
      <c r="BS4913" s="15" t="n">
        <v>123</v>
      </c>
      <c r="CO4913" s="15" t="n">
        <v>123</v>
      </c>
      <c r="DK4913" s="15" t="n">
        <v>123</v>
      </c>
      <c r="EG4913" s="15" t="n">
        <v>123</v>
      </c>
      <c r="FC4913" s="15" t="n">
        <v>123</v>
      </c>
      <c r="FY4913" s="15" t="n">
        <v>123</v>
      </c>
      <c r="GU4913" s="15" t="n">
        <v>123</v>
      </c>
    </row>
    <row r="4914">
      <c r="C4914" s="15" t="n">
        <v>124</v>
      </c>
      <c r="AA4914" s="15" t="n">
        <v>124</v>
      </c>
      <c r="AW4914" s="15" t="n">
        <v>124</v>
      </c>
      <c r="BS4914" s="15" t="n">
        <v>124</v>
      </c>
      <c r="CO4914" s="15" t="n">
        <v>124</v>
      </c>
      <c r="DK4914" s="15" t="n">
        <v>124</v>
      </c>
      <c r="EG4914" s="15" t="n">
        <v>124</v>
      </c>
      <c r="FC4914" s="15" t="n">
        <v>124</v>
      </c>
      <c r="FY4914" s="15" t="n">
        <v>124</v>
      </c>
      <c r="GU4914" s="15" t="n">
        <v>124</v>
      </c>
    </row>
    <row r="4915">
      <c r="C4915" s="15" t="n">
        <v>125</v>
      </c>
      <c r="AA4915" s="15" t="n">
        <v>125</v>
      </c>
      <c r="AW4915" s="15" t="n">
        <v>125</v>
      </c>
      <c r="BS4915" s="15" t="n">
        <v>125</v>
      </c>
      <c r="CO4915" s="15" t="n">
        <v>125</v>
      </c>
      <c r="DK4915" s="15" t="n">
        <v>125</v>
      </c>
      <c r="EG4915" s="15" t="n">
        <v>125</v>
      </c>
      <c r="FC4915" s="15" t="n">
        <v>125</v>
      </c>
      <c r="FY4915" s="15" t="n">
        <v>125</v>
      </c>
      <c r="GU4915" s="15" t="n">
        <v>125</v>
      </c>
    </row>
    <row r="4916">
      <c r="C4916" s="15" t="n">
        <v>126</v>
      </c>
      <c r="AA4916" s="15" t="n">
        <v>126</v>
      </c>
      <c r="AW4916" s="15" t="n">
        <v>126</v>
      </c>
      <c r="BS4916" s="15" t="n">
        <v>126</v>
      </c>
      <c r="CO4916" s="15" t="n">
        <v>126</v>
      </c>
      <c r="DK4916" s="15" t="n">
        <v>126</v>
      </c>
      <c r="EG4916" s="15" t="n">
        <v>126</v>
      </c>
      <c r="FC4916" s="15" t="n">
        <v>126</v>
      </c>
      <c r="FY4916" s="15" t="n">
        <v>126</v>
      </c>
      <c r="GU4916" s="15" t="n">
        <v>126</v>
      </c>
    </row>
    <row r="4917">
      <c r="C4917" s="15" t="n">
        <v>127</v>
      </c>
      <c r="AA4917" s="15" t="n">
        <v>127</v>
      </c>
      <c r="AW4917" s="15" t="n">
        <v>127</v>
      </c>
      <c r="BS4917" s="15" t="n">
        <v>127</v>
      </c>
      <c r="CO4917" s="15" t="n">
        <v>127</v>
      </c>
      <c r="DK4917" s="15" t="n">
        <v>127</v>
      </c>
      <c r="EG4917" s="15" t="n">
        <v>127</v>
      </c>
      <c r="FC4917" s="15" t="n">
        <v>127</v>
      </c>
      <c r="FY4917" s="15" t="n">
        <v>127</v>
      </c>
      <c r="GU4917" s="15" t="n">
        <v>127</v>
      </c>
    </row>
    <row r="4918">
      <c r="C4918" s="15" t="n">
        <v>128</v>
      </c>
      <c r="AA4918" s="15" t="n">
        <v>128</v>
      </c>
      <c r="AW4918" s="15" t="n">
        <v>128</v>
      </c>
      <c r="BS4918" s="15" t="n">
        <v>128</v>
      </c>
      <c r="CO4918" s="15" t="n">
        <v>128</v>
      </c>
      <c r="DK4918" s="15" t="n">
        <v>128</v>
      </c>
      <c r="EG4918" s="15" t="n">
        <v>128</v>
      </c>
      <c r="FC4918" s="15" t="n">
        <v>128</v>
      </c>
      <c r="FY4918" s="15" t="n">
        <v>128</v>
      </c>
      <c r="GU4918" s="15" t="n">
        <v>128</v>
      </c>
    </row>
    <row r="4919">
      <c r="C4919" s="15" t="n">
        <v>129</v>
      </c>
      <c r="AA4919" s="15" t="n">
        <v>129</v>
      </c>
      <c r="AW4919" s="15" t="n">
        <v>129</v>
      </c>
      <c r="BS4919" s="15" t="n">
        <v>129</v>
      </c>
      <c r="CO4919" s="15" t="n">
        <v>129</v>
      </c>
      <c r="DK4919" s="15" t="n">
        <v>129</v>
      </c>
      <c r="EG4919" s="15" t="n">
        <v>129</v>
      </c>
      <c r="FC4919" s="15" t="n">
        <v>129</v>
      </c>
      <c r="FY4919" s="15" t="n">
        <v>129</v>
      </c>
      <c r="GU4919" s="15" t="n">
        <v>129</v>
      </c>
    </row>
    <row r="4920">
      <c r="C4920" s="15" t="n">
        <v>130</v>
      </c>
      <c r="AA4920" s="15" t="n">
        <v>130</v>
      </c>
      <c r="AW4920" s="15" t="n">
        <v>130</v>
      </c>
      <c r="BS4920" s="15" t="n">
        <v>130</v>
      </c>
      <c r="CO4920" s="15" t="n">
        <v>130</v>
      </c>
      <c r="DK4920" s="15" t="n">
        <v>130</v>
      </c>
      <c r="EG4920" s="15" t="n">
        <v>130</v>
      </c>
      <c r="FC4920" s="15" t="n">
        <v>130</v>
      </c>
      <c r="FY4920" s="15" t="n">
        <v>130</v>
      </c>
      <c r="GU4920" s="15" t="n">
        <v>130</v>
      </c>
    </row>
    <row r="4921">
      <c r="C4921" s="15" t="n">
        <v>131</v>
      </c>
      <c r="AA4921" s="15" t="n">
        <v>131</v>
      </c>
      <c r="AW4921" s="15" t="n">
        <v>131</v>
      </c>
      <c r="BS4921" s="15" t="n">
        <v>131</v>
      </c>
      <c r="CO4921" s="15" t="n">
        <v>131</v>
      </c>
      <c r="DK4921" s="15" t="n">
        <v>131</v>
      </c>
      <c r="EG4921" s="15" t="n">
        <v>131</v>
      </c>
      <c r="FC4921" s="15" t="n">
        <v>131</v>
      </c>
      <c r="FY4921" s="15" t="n">
        <v>131</v>
      </c>
      <c r="GU4921" s="15" t="n">
        <v>131</v>
      </c>
    </row>
    <row r="4922">
      <c r="C4922" s="15" t="n">
        <v>132</v>
      </c>
      <c r="AA4922" s="15" t="n">
        <v>132</v>
      </c>
      <c r="AW4922" s="15" t="n">
        <v>132</v>
      </c>
      <c r="BS4922" s="15" t="n">
        <v>132</v>
      </c>
      <c r="CO4922" s="15" t="n">
        <v>132</v>
      </c>
      <c r="DK4922" s="15" t="n">
        <v>132</v>
      </c>
      <c r="EG4922" s="15" t="n">
        <v>132</v>
      </c>
      <c r="FC4922" s="15" t="n">
        <v>132</v>
      </c>
      <c r="FY4922" s="15" t="n">
        <v>132</v>
      </c>
      <c r="GU4922" s="15" t="n">
        <v>132</v>
      </c>
    </row>
    <row r="4923">
      <c r="C4923" s="15" t="n">
        <v>133</v>
      </c>
      <c r="AA4923" s="15" t="n">
        <v>133</v>
      </c>
      <c r="AW4923" s="15" t="n">
        <v>133</v>
      </c>
      <c r="BS4923" s="15" t="n">
        <v>133</v>
      </c>
      <c r="CO4923" s="15" t="n">
        <v>133</v>
      </c>
      <c r="DK4923" s="15" t="n">
        <v>133</v>
      </c>
      <c r="EG4923" s="15" t="n">
        <v>133</v>
      </c>
      <c r="FC4923" s="15" t="n">
        <v>133</v>
      </c>
      <c r="FY4923" s="15" t="n">
        <v>133</v>
      </c>
      <c r="GU4923" s="15" t="n">
        <v>133</v>
      </c>
    </row>
    <row r="4924">
      <c r="C4924" s="15" t="n">
        <v>134</v>
      </c>
      <c r="AA4924" s="15" t="n">
        <v>134</v>
      </c>
      <c r="AW4924" s="15" t="n">
        <v>134</v>
      </c>
      <c r="BS4924" s="15" t="n">
        <v>134</v>
      </c>
      <c r="CO4924" s="15" t="n">
        <v>134</v>
      </c>
      <c r="DK4924" s="15" t="n">
        <v>134</v>
      </c>
      <c r="EG4924" s="15" t="n">
        <v>134</v>
      </c>
      <c r="FC4924" s="15" t="n">
        <v>134</v>
      </c>
      <c r="FY4924" s="15" t="n">
        <v>134</v>
      </c>
      <c r="GU4924" s="15" t="n">
        <v>134</v>
      </c>
    </row>
    <row r="4925">
      <c r="C4925" s="15" t="n">
        <v>135</v>
      </c>
      <c r="AA4925" s="15" t="n">
        <v>135</v>
      </c>
      <c r="AW4925" s="15" t="n">
        <v>135</v>
      </c>
      <c r="BS4925" s="15" t="n">
        <v>135</v>
      </c>
      <c r="CO4925" s="15" t="n">
        <v>135</v>
      </c>
      <c r="DK4925" s="15" t="n">
        <v>135</v>
      </c>
      <c r="EG4925" s="15" t="n">
        <v>135</v>
      </c>
      <c r="FC4925" s="15" t="n">
        <v>135</v>
      </c>
      <c r="FY4925" s="15" t="n">
        <v>135</v>
      </c>
      <c r="GU4925" s="15" t="n">
        <v>135</v>
      </c>
    </row>
    <row r="4926">
      <c r="C4926" s="15" t="n">
        <v>136</v>
      </c>
      <c r="AA4926" s="15" t="n">
        <v>136</v>
      </c>
      <c r="AW4926" s="15" t="n">
        <v>136</v>
      </c>
      <c r="BS4926" s="15" t="n">
        <v>136</v>
      </c>
      <c r="CO4926" s="15" t="n">
        <v>136</v>
      </c>
      <c r="DK4926" s="15" t="n">
        <v>136</v>
      </c>
      <c r="EG4926" s="15" t="n">
        <v>136</v>
      </c>
      <c r="FC4926" s="15" t="n">
        <v>136</v>
      </c>
      <c r="FY4926" s="15" t="n">
        <v>136</v>
      </c>
      <c r="GU4926" s="15" t="n">
        <v>136</v>
      </c>
    </row>
    <row r="4927">
      <c r="C4927" s="15" t="n">
        <v>137</v>
      </c>
      <c r="AA4927" s="15" t="n">
        <v>137</v>
      </c>
      <c r="AW4927" s="15" t="n">
        <v>137</v>
      </c>
      <c r="BS4927" s="15" t="n">
        <v>137</v>
      </c>
      <c r="CO4927" s="15" t="n">
        <v>137</v>
      </c>
      <c r="DK4927" s="15" t="n">
        <v>137</v>
      </c>
      <c r="EG4927" s="15" t="n">
        <v>137</v>
      </c>
      <c r="FC4927" s="15" t="n">
        <v>137</v>
      </c>
      <c r="FY4927" s="15" t="n">
        <v>137</v>
      </c>
      <c r="GU4927" s="15" t="n">
        <v>137</v>
      </c>
    </row>
    <row r="4928">
      <c r="C4928" s="15" t="n">
        <v>138</v>
      </c>
      <c r="AA4928" s="15" t="n">
        <v>138</v>
      </c>
      <c r="AW4928" s="15" t="n">
        <v>138</v>
      </c>
      <c r="BS4928" s="15" t="n">
        <v>138</v>
      </c>
      <c r="CO4928" s="15" t="n">
        <v>138</v>
      </c>
      <c r="DK4928" s="15" t="n">
        <v>138</v>
      </c>
      <c r="EG4928" s="15" t="n">
        <v>138</v>
      </c>
      <c r="FC4928" s="15" t="n">
        <v>138</v>
      </c>
      <c r="FY4928" s="15" t="n">
        <v>138</v>
      </c>
      <c r="GU4928" s="15" t="n">
        <v>138</v>
      </c>
    </row>
    <row r="4929">
      <c r="C4929" s="15" t="n">
        <v>139</v>
      </c>
      <c r="AA4929" s="15" t="n">
        <v>139</v>
      </c>
      <c r="AW4929" s="15" t="n">
        <v>139</v>
      </c>
      <c r="BS4929" s="15" t="n">
        <v>139</v>
      </c>
      <c r="CO4929" s="15" t="n">
        <v>139</v>
      </c>
      <c r="DK4929" s="15" t="n">
        <v>139</v>
      </c>
      <c r="EG4929" s="15" t="n">
        <v>139</v>
      </c>
      <c r="FC4929" s="15" t="n">
        <v>139</v>
      </c>
      <c r="FY4929" s="15" t="n">
        <v>139</v>
      </c>
      <c r="GU4929" s="15" t="n">
        <v>139</v>
      </c>
    </row>
    <row r="4930">
      <c r="C4930" s="15" t="n">
        <v>140</v>
      </c>
      <c r="AA4930" s="15" t="n">
        <v>140</v>
      </c>
      <c r="AW4930" s="15" t="n">
        <v>140</v>
      </c>
      <c r="BS4930" s="15" t="n">
        <v>140</v>
      </c>
      <c r="CO4930" s="15" t="n">
        <v>140</v>
      </c>
      <c r="DK4930" s="15" t="n">
        <v>140</v>
      </c>
      <c r="EG4930" s="15" t="n">
        <v>140</v>
      </c>
      <c r="FC4930" s="15" t="n">
        <v>140</v>
      </c>
      <c r="FY4930" s="15" t="n">
        <v>140</v>
      </c>
      <c r="GU4930" s="15" t="n">
        <v>140</v>
      </c>
    </row>
    <row r="4931">
      <c r="C4931" s="15" t="n">
        <v>141</v>
      </c>
      <c r="AA4931" s="15" t="n">
        <v>141</v>
      </c>
      <c r="AW4931" s="15" t="n">
        <v>141</v>
      </c>
      <c r="BS4931" s="15" t="n">
        <v>141</v>
      </c>
      <c r="CO4931" s="15" t="n">
        <v>141</v>
      </c>
      <c r="DK4931" s="15" t="n">
        <v>141</v>
      </c>
      <c r="EG4931" s="15" t="n">
        <v>141</v>
      </c>
      <c r="FC4931" s="15" t="n">
        <v>141</v>
      </c>
      <c r="FY4931" s="15" t="n">
        <v>141</v>
      </c>
      <c r="GU4931" s="15" t="n">
        <v>141</v>
      </c>
    </row>
    <row r="4932">
      <c r="C4932" s="15" t="n">
        <v>142</v>
      </c>
      <c r="AA4932" s="15" t="n">
        <v>142</v>
      </c>
      <c r="AW4932" s="15" t="n">
        <v>142</v>
      </c>
      <c r="BS4932" s="15" t="n">
        <v>142</v>
      </c>
      <c r="CO4932" s="15" t="n">
        <v>142</v>
      </c>
      <c r="DK4932" s="15" t="n">
        <v>142</v>
      </c>
      <c r="EG4932" s="15" t="n">
        <v>142</v>
      </c>
      <c r="FC4932" s="15" t="n">
        <v>142</v>
      </c>
      <c r="FY4932" s="15" t="n">
        <v>142</v>
      </c>
      <c r="GU4932" s="15" t="n">
        <v>142</v>
      </c>
    </row>
    <row r="4933">
      <c r="C4933" s="15" t="n">
        <v>143</v>
      </c>
      <c r="AA4933" s="15" t="n">
        <v>143</v>
      </c>
      <c r="AW4933" s="15" t="n">
        <v>143</v>
      </c>
      <c r="BS4933" s="15" t="n">
        <v>143</v>
      </c>
      <c r="CO4933" s="15" t="n">
        <v>143</v>
      </c>
      <c r="DK4933" s="15" t="n">
        <v>143</v>
      </c>
      <c r="EG4933" s="15" t="n">
        <v>143</v>
      </c>
      <c r="FC4933" s="15" t="n">
        <v>143</v>
      </c>
      <c r="FY4933" s="15" t="n">
        <v>143</v>
      </c>
      <c r="GU4933" s="15" t="n">
        <v>143</v>
      </c>
    </row>
    <row r="4934">
      <c r="C4934" s="15" t="n">
        <v>144</v>
      </c>
      <c r="AA4934" s="15" t="n">
        <v>144</v>
      </c>
      <c r="AW4934" s="15" t="n">
        <v>144</v>
      </c>
      <c r="BS4934" s="15" t="n">
        <v>144</v>
      </c>
      <c r="CO4934" s="15" t="n">
        <v>144</v>
      </c>
      <c r="DK4934" s="15" t="n">
        <v>144</v>
      </c>
      <c r="EG4934" s="15" t="n">
        <v>144</v>
      </c>
      <c r="FC4934" s="15" t="n">
        <v>144</v>
      </c>
      <c r="FY4934" s="15" t="n">
        <v>144</v>
      </c>
      <c r="GU4934" s="15" t="n">
        <v>144</v>
      </c>
    </row>
    <row r="4935">
      <c r="C4935" s="15" t="n">
        <v>145</v>
      </c>
      <c r="AA4935" s="15" t="n">
        <v>145</v>
      </c>
      <c r="AW4935" s="15" t="n">
        <v>145</v>
      </c>
      <c r="BS4935" s="15" t="n">
        <v>145</v>
      </c>
      <c r="CO4935" s="15" t="n">
        <v>145</v>
      </c>
      <c r="DK4935" s="15" t="n">
        <v>145</v>
      </c>
      <c r="EG4935" s="15" t="n">
        <v>145</v>
      </c>
      <c r="FC4935" s="15" t="n">
        <v>145</v>
      </c>
      <c r="FY4935" s="15" t="n">
        <v>145</v>
      </c>
      <c r="GU4935" s="15" t="n">
        <v>145</v>
      </c>
    </row>
    <row r="4936">
      <c r="C4936" s="15" t="n">
        <v>146</v>
      </c>
      <c r="AA4936" s="15" t="n">
        <v>146</v>
      </c>
      <c r="AW4936" s="15" t="n">
        <v>146</v>
      </c>
      <c r="BS4936" s="15" t="n">
        <v>146</v>
      </c>
      <c r="CO4936" s="15" t="n">
        <v>146</v>
      </c>
      <c r="DK4936" s="15" t="n">
        <v>146</v>
      </c>
      <c r="EG4936" s="15" t="n">
        <v>146</v>
      </c>
      <c r="FC4936" s="15" t="n">
        <v>146</v>
      </c>
      <c r="FY4936" s="15" t="n">
        <v>146</v>
      </c>
      <c r="GU4936" s="15" t="n">
        <v>146</v>
      </c>
    </row>
    <row r="4937">
      <c r="C4937" s="15" t="n">
        <v>147</v>
      </c>
      <c r="AA4937" s="15" t="n">
        <v>147</v>
      </c>
      <c r="AW4937" s="15" t="n">
        <v>147</v>
      </c>
      <c r="BS4937" s="15" t="n">
        <v>147</v>
      </c>
      <c r="CO4937" s="15" t="n">
        <v>147</v>
      </c>
      <c r="DK4937" s="15" t="n">
        <v>147</v>
      </c>
      <c r="EG4937" s="15" t="n">
        <v>147</v>
      </c>
      <c r="FC4937" s="15" t="n">
        <v>147</v>
      </c>
      <c r="FY4937" s="15" t="n">
        <v>147</v>
      </c>
      <c r="GU4937" s="15" t="n">
        <v>147</v>
      </c>
    </row>
    <row r="4938">
      <c r="C4938" s="15" t="n">
        <v>148</v>
      </c>
      <c r="AA4938" s="15" t="n">
        <v>148</v>
      </c>
      <c r="AW4938" s="15" t="n">
        <v>148</v>
      </c>
      <c r="BS4938" s="15" t="n">
        <v>148</v>
      </c>
      <c r="CO4938" s="15" t="n">
        <v>148</v>
      </c>
      <c r="DK4938" s="15" t="n">
        <v>148</v>
      </c>
      <c r="EG4938" s="15" t="n">
        <v>148</v>
      </c>
      <c r="FC4938" s="15" t="n">
        <v>148</v>
      </c>
      <c r="FY4938" s="15" t="n">
        <v>148</v>
      </c>
      <c r="GU4938" s="15" t="n">
        <v>148</v>
      </c>
    </row>
    <row r="4939">
      <c r="C4939" s="15" t="n">
        <v>149</v>
      </c>
      <c r="AA4939" s="15" t="n">
        <v>149</v>
      </c>
      <c r="AW4939" s="15" t="n">
        <v>149</v>
      </c>
      <c r="BS4939" s="15" t="n">
        <v>149</v>
      </c>
      <c r="CO4939" s="15" t="n">
        <v>149</v>
      </c>
      <c r="DK4939" s="15" t="n">
        <v>149</v>
      </c>
      <c r="EG4939" s="15" t="n">
        <v>149</v>
      </c>
      <c r="FC4939" s="15" t="n">
        <v>149</v>
      </c>
      <c r="FY4939" s="15" t="n">
        <v>149</v>
      </c>
      <c r="GU4939" s="15" t="n">
        <v>149</v>
      </c>
    </row>
    <row r="4940">
      <c r="C4940" s="15" t="n">
        <v>150</v>
      </c>
      <c r="AA4940" s="15" t="n">
        <v>150</v>
      </c>
      <c r="AW4940" s="15" t="n">
        <v>150</v>
      </c>
      <c r="BS4940" s="15" t="n">
        <v>150</v>
      </c>
      <c r="CO4940" s="15" t="n">
        <v>150</v>
      </c>
      <c r="DK4940" s="15" t="n">
        <v>150</v>
      </c>
      <c r="EG4940" s="15" t="n">
        <v>150</v>
      </c>
      <c r="FC4940" s="15" t="n">
        <v>150</v>
      </c>
      <c r="FY4940" s="15" t="n">
        <v>150</v>
      </c>
      <c r="GU4940" s="15" t="n">
        <v>150</v>
      </c>
    </row>
    <row r="4941">
      <c r="C4941" s="15" t="n">
        <v>151</v>
      </c>
      <c r="AA4941" s="15" t="n">
        <v>151</v>
      </c>
      <c r="AW4941" s="15" t="n">
        <v>151</v>
      </c>
      <c r="BS4941" s="15" t="n">
        <v>151</v>
      </c>
      <c r="CO4941" s="15" t="n">
        <v>151</v>
      </c>
      <c r="DK4941" s="15" t="n">
        <v>151</v>
      </c>
      <c r="EG4941" s="15" t="n">
        <v>151</v>
      </c>
      <c r="FC4941" s="15" t="n">
        <v>151</v>
      </c>
      <c r="FY4941" s="15" t="n">
        <v>151</v>
      </c>
      <c r="GU4941" s="15" t="n">
        <v>151</v>
      </c>
    </row>
    <row r="4942">
      <c r="C4942" s="15" t="n">
        <v>152</v>
      </c>
      <c r="AA4942" s="15" t="n">
        <v>152</v>
      </c>
      <c r="AW4942" s="15" t="n">
        <v>152</v>
      </c>
      <c r="BS4942" s="15" t="n">
        <v>152</v>
      </c>
      <c r="CO4942" s="15" t="n">
        <v>152</v>
      </c>
      <c r="DK4942" s="15" t="n">
        <v>152</v>
      </c>
      <c r="EG4942" s="15" t="n">
        <v>152</v>
      </c>
      <c r="FC4942" s="15" t="n">
        <v>152</v>
      </c>
      <c r="FY4942" s="15" t="n">
        <v>152</v>
      </c>
      <c r="GU4942" s="15" t="n">
        <v>152</v>
      </c>
    </row>
    <row r="4943">
      <c r="C4943" s="15" t="n">
        <v>153</v>
      </c>
      <c r="AA4943" s="15" t="n">
        <v>153</v>
      </c>
      <c r="AW4943" s="15" t="n">
        <v>153</v>
      </c>
      <c r="BS4943" s="15" t="n">
        <v>153</v>
      </c>
      <c r="CO4943" s="15" t="n">
        <v>153</v>
      </c>
      <c r="DK4943" s="15" t="n">
        <v>153</v>
      </c>
      <c r="EG4943" s="15" t="n">
        <v>153</v>
      </c>
      <c r="FC4943" s="15" t="n">
        <v>153</v>
      </c>
      <c r="FY4943" s="15" t="n">
        <v>153</v>
      </c>
      <c r="GU4943" s="15" t="n">
        <v>153</v>
      </c>
    </row>
    <row r="4944">
      <c r="C4944" s="15" t="n">
        <v>154</v>
      </c>
      <c r="AA4944" s="15" t="n">
        <v>154</v>
      </c>
      <c r="AW4944" s="15" t="n">
        <v>154</v>
      </c>
      <c r="BS4944" s="15" t="n">
        <v>154</v>
      </c>
      <c r="CO4944" s="15" t="n">
        <v>154</v>
      </c>
      <c r="DK4944" s="15" t="n">
        <v>154</v>
      </c>
      <c r="EG4944" s="15" t="n">
        <v>154</v>
      </c>
      <c r="FC4944" s="15" t="n">
        <v>154</v>
      </c>
      <c r="FY4944" s="15" t="n">
        <v>154</v>
      </c>
      <c r="GU4944" s="15" t="n">
        <v>154</v>
      </c>
    </row>
    <row r="4945">
      <c r="C4945" s="15" t="n">
        <v>155</v>
      </c>
      <c r="AA4945" s="15" t="n">
        <v>155</v>
      </c>
      <c r="AW4945" s="15" t="n">
        <v>155</v>
      </c>
      <c r="BS4945" s="15" t="n">
        <v>155</v>
      </c>
      <c r="CO4945" s="15" t="n">
        <v>155</v>
      </c>
      <c r="DK4945" s="15" t="n">
        <v>155</v>
      </c>
      <c r="EG4945" s="15" t="n">
        <v>155</v>
      </c>
      <c r="FC4945" s="15" t="n">
        <v>155</v>
      </c>
      <c r="FY4945" s="15" t="n">
        <v>155</v>
      </c>
      <c r="GU4945" s="15" t="n">
        <v>155</v>
      </c>
    </row>
    <row r="4946">
      <c r="C4946" s="15" t="n">
        <v>156</v>
      </c>
      <c r="AA4946" s="15" t="n">
        <v>156</v>
      </c>
      <c r="AW4946" s="15" t="n">
        <v>156</v>
      </c>
      <c r="BS4946" s="15" t="n">
        <v>156</v>
      </c>
      <c r="CO4946" s="15" t="n">
        <v>156</v>
      </c>
      <c r="DK4946" s="15" t="n">
        <v>156</v>
      </c>
      <c r="EG4946" s="15" t="n">
        <v>156</v>
      </c>
      <c r="FC4946" s="15" t="n">
        <v>156</v>
      </c>
      <c r="FY4946" s="15" t="n">
        <v>156</v>
      </c>
      <c r="GU4946" s="15" t="n">
        <v>156</v>
      </c>
    </row>
    <row r="4947">
      <c r="C4947" s="15" t="n">
        <v>157</v>
      </c>
      <c r="AA4947" s="15" t="n">
        <v>157</v>
      </c>
      <c r="AW4947" s="15" t="n">
        <v>157</v>
      </c>
      <c r="BS4947" s="15" t="n">
        <v>157</v>
      </c>
      <c r="CO4947" s="15" t="n">
        <v>157</v>
      </c>
      <c r="DK4947" s="15" t="n">
        <v>157</v>
      </c>
      <c r="EG4947" s="15" t="n">
        <v>157</v>
      </c>
      <c r="FC4947" s="15" t="n">
        <v>157</v>
      </c>
      <c r="FY4947" s="15" t="n">
        <v>157</v>
      </c>
      <c r="GU4947" s="15" t="n">
        <v>157</v>
      </c>
    </row>
    <row r="4948">
      <c r="C4948" s="15" t="n">
        <v>158</v>
      </c>
      <c r="AA4948" s="15" t="n">
        <v>158</v>
      </c>
      <c r="AW4948" s="15" t="n">
        <v>158</v>
      </c>
      <c r="BS4948" s="15" t="n">
        <v>158</v>
      </c>
      <c r="CO4948" s="15" t="n">
        <v>158</v>
      </c>
      <c r="DK4948" s="15" t="n">
        <v>158</v>
      </c>
      <c r="EG4948" s="15" t="n">
        <v>158</v>
      </c>
      <c r="FC4948" s="15" t="n">
        <v>158</v>
      </c>
      <c r="FY4948" s="15" t="n">
        <v>158</v>
      </c>
      <c r="GU4948" s="15" t="n">
        <v>158</v>
      </c>
    </row>
    <row r="4949">
      <c r="C4949" s="15" t="n">
        <v>159</v>
      </c>
      <c r="AA4949" s="15" t="n">
        <v>159</v>
      </c>
      <c r="AW4949" s="15" t="n">
        <v>159</v>
      </c>
      <c r="BS4949" s="15" t="n">
        <v>159</v>
      </c>
      <c r="CO4949" s="15" t="n">
        <v>159</v>
      </c>
      <c r="DK4949" s="15" t="n">
        <v>159</v>
      </c>
      <c r="EG4949" s="15" t="n">
        <v>159</v>
      </c>
      <c r="FC4949" s="15" t="n">
        <v>159</v>
      </c>
      <c r="FY4949" s="15" t="n">
        <v>159</v>
      </c>
      <c r="GU4949" s="15" t="n">
        <v>159</v>
      </c>
    </row>
    <row r="4950">
      <c r="C4950" s="15" t="n">
        <v>160</v>
      </c>
      <c r="AA4950" s="15" t="n">
        <v>160</v>
      </c>
      <c r="AW4950" s="15" t="n">
        <v>160</v>
      </c>
      <c r="BS4950" s="15" t="n">
        <v>160</v>
      </c>
      <c r="CO4950" s="15" t="n">
        <v>160</v>
      </c>
      <c r="DK4950" s="15" t="n">
        <v>160</v>
      </c>
      <c r="EG4950" s="15" t="n">
        <v>160</v>
      </c>
      <c r="FC4950" s="15" t="n">
        <v>160</v>
      </c>
      <c r="FY4950" s="15" t="n">
        <v>160</v>
      </c>
      <c r="GU4950" s="15" t="n">
        <v>160</v>
      </c>
    </row>
    <row r="4951">
      <c r="C4951" s="15" t="n">
        <v>161</v>
      </c>
      <c r="AA4951" s="15" t="n">
        <v>161</v>
      </c>
      <c r="AW4951" s="15" t="n">
        <v>161</v>
      </c>
      <c r="BS4951" s="15" t="n">
        <v>161</v>
      </c>
      <c r="CO4951" s="15" t="n">
        <v>161</v>
      </c>
      <c r="DK4951" s="15" t="n">
        <v>161</v>
      </c>
      <c r="EG4951" s="15" t="n">
        <v>161</v>
      </c>
      <c r="FC4951" s="15" t="n">
        <v>161</v>
      </c>
      <c r="FY4951" s="15" t="n">
        <v>161</v>
      </c>
      <c r="GU4951" s="15" t="n">
        <v>161</v>
      </c>
    </row>
    <row r="4952">
      <c r="C4952" s="15" t="n">
        <v>162</v>
      </c>
      <c r="AA4952" s="15" t="n">
        <v>162</v>
      </c>
      <c r="AW4952" s="15" t="n">
        <v>162</v>
      </c>
      <c r="BS4952" s="15" t="n">
        <v>162</v>
      </c>
      <c r="CO4952" s="15" t="n">
        <v>162</v>
      </c>
      <c r="DK4952" s="15" t="n">
        <v>162</v>
      </c>
      <c r="EG4952" s="15" t="n">
        <v>162</v>
      </c>
      <c r="FC4952" s="15" t="n">
        <v>162</v>
      </c>
      <c r="FY4952" s="15" t="n">
        <v>162</v>
      </c>
      <c r="GU4952" s="15" t="n">
        <v>162</v>
      </c>
    </row>
    <row r="4953">
      <c r="C4953" s="15" t="n">
        <v>163</v>
      </c>
      <c r="AA4953" s="15" t="n">
        <v>163</v>
      </c>
      <c r="AW4953" s="15" t="n">
        <v>163</v>
      </c>
      <c r="BS4953" s="15" t="n">
        <v>163</v>
      </c>
      <c r="CO4953" s="15" t="n">
        <v>163</v>
      </c>
      <c r="DK4953" s="15" t="n">
        <v>163</v>
      </c>
      <c r="EG4953" s="15" t="n">
        <v>163</v>
      </c>
      <c r="FC4953" s="15" t="n">
        <v>163</v>
      </c>
      <c r="FY4953" s="15" t="n">
        <v>163</v>
      </c>
      <c r="GU4953" s="15" t="n">
        <v>163</v>
      </c>
    </row>
    <row r="4954">
      <c r="C4954" s="15" t="n">
        <v>164</v>
      </c>
      <c r="AA4954" s="15" t="n">
        <v>164</v>
      </c>
      <c r="AW4954" s="15" t="n">
        <v>164</v>
      </c>
      <c r="BS4954" s="15" t="n">
        <v>164</v>
      </c>
      <c r="CO4954" s="15" t="n">
        <v>164</v>
      </c>
      <c r="DK4954" s="15" t="n">
        <v>164</v>
      </c>
      <c r="EG4954" s="15" t="n">
        <v>164</v>
      </c>
      <c r="FC4954" s="15" t="n">
        <v>164</v>
      </c>
      <c r="FY4954" s="15" t="n">
        <v>164</v>
      </c>
      <c r="GU4954" s="15" t="n">
        <v>164</v>
      </c>
    </row>
    <row r="4955">
      <c r="C4955" s="15" t="n">
        <v>165</v>
      </c>
      <c r="AA4955" s="15" t="n">
        <v>165</v>
      </c>
      <c r="AW4955" s="15" t="n">
        <v>165</v>
      </c>
      <c r="BS4955" s="15" t="n">
        <v>165</v>
      </c>
      <c r="CO4955" s="15" t="n">
        <v>165</v>
      </c>
      <c r="DK4955" s="15" t="n">
        <v>165</v>
      </c>
      <c r="EG4955" s="15" t="n">
        <v>165</v>
      </c>
      <c r="FC4955" s="15" t="n">
        <v>165</v>
      </c>
      <c r="FY4955" s="15" t="n">
        <v>165</v>
      </c>
      <c r="GU4955" s="15" t="n">
        <v>165</v>
      </c>
    </row>
    <row r="4956">
      <c r="C4956" s="15" t="n">
        <v>166</v>
      </c>
      <c r="AA4956" s="15" t="n">
        <v>166</v>
      </c>
      <c r="AW4956" s="15" t="n">
        <v>166</v>
      </c>
      <c r="BS4956" s="15" t="n">
        <v>166</v>
      </c>
      <c r="CO4956" s="15" t="n">
        <v>166</v>
      </c>
      <c r="DK4956" s="15" t="n">
        <v>166</v>
      </c>
      <c r="EG4956" s="15" t="n">
        <v>166</v>
      </c>
      <c r="FC4956" s="15" t="n">
        <v>166</v>
      </c>
      <c r="FY4956" s="15" t="n">
        <v>166</v>
      </c>
      <c r="GU4956" s="15" t="n">
        <v>166</v>
      </c>
    </row>
    <row r="4957">
      <c r="C4957" s="15" t="n">
        <v>167</v>
      </c>
      <c r="AA4957" s="15" t="n">
        <v>167</v>
      </c>
      <c r="AW4957" s="15" t="n">
        <v>167</v>
      </c>
      <c r="BS4957" s="15" t="n">
        <v>167</v>
      </c>
      <c r="CO4957" s="15" t="n">
        <v>167</v>
      </c>
      <c r="DK4957" s="15" t="n">
        <v>167</v>
      </c>
      <c r="EG4957" s="15" t="n">
        <v>167</v>
      </c>
      <c r="FC4957" s="15" t="n">
        <v>167</v>
      </c>
      <c r="FY4957" s="15" t="n">
        <v>167</v>
      </c>
      <c r="GU4957" s="15" t="n">
        <v>167</v>
      </c>
    </row>
    <row r="4958">
      <c r="C4958" s="15" t="n">
        <v>168</v>
      </c>
      <c r="AA4958" s="15" t="n">
        <v>168</v>
      </c>
      <c r="AW4958" s="15" t="n">
        <v>168</v>
      </c>
      <c r="BS4958" s="15" t="n">
        <v>168</v>
      </c>
      <c r="CO4958" s="15" t="n">
        <v>168</v>
      </c>
      <c r="DK4958" s="15" t="n">
        <v>168</v>
      </c>
      <c r="EG4958" s="15" t="n">
        <v>168</v>
      </c>
      <c r="FC4958" s="15" t="n">
        <v>168</v>
      </c>
      <c r="FY4958" s="15" t="n">
        <v>168</v>
      </c>
      <c r="GU4958" s="15" t="n">
        <v>168</v>
      </c>
    </row>
    <row r="4959">
      <c r="C4959" s="15" t="n">
        <v>169</v>
      </c>
      <c r="AA4959" s="15" t="n">
        <v>169</v>
      </c>
      <c r="AW4959" s="15" t="n">
        <v>169</v>
      </c>
      <c r="BS4959" s="15" t="n">
        <v>169</v>
      </c>
      <c r="CO4959" s="15" t="n">
        <v>169</v>
      </c>
      <c r="DK4959" s="15" t="n">
        <v>169</v>
      </c>
      <c r="EG4959" s="15" t="n">
        <v>169</v>
      </c>
      <c r="FC4959" s="15" t="n">
        <v>169</v>
      </c>
      <c r="FY4959" s="15" t="n">
        <v>169</v>
      </c>
      <c r="GU4959" s="15" t="n">
        <v>169</v>
      </c>
    </row>
    <row r="4960">
      <c r="C4960" s="15" t="n">
        <v>170</v>
      </c>
      <c r="AA4960" s="15" t="n">
        <v>170</v>
      </c>
      <c r="AW4960" s="15" t="n">
        <v>170</v>
      </c>
      <c r="BS4960" s="15" t="n">
        <v>170</v>
      </c>
      <c r="CO4960" s="15" t="n">
        <v>170</v>
      </c>
      <c r="DK4960" s="15" t="n">
        <v>170</v>
      </c>
      <c r="EG4960" s="15" t="n">
        <v>170</v>
      </c>
      <c r="FC4960" s="15" t="n">
        <v>170</v>
      </c>
      <c r="FY4960" s="15" t="n">
        <v>170</v>
      </c>
      <c r="GU4960" s="15" t="n">
        <v>170</v>
      </c>
    </row>
    <row r="4961">
      <c r="C4961" s="15" t="n">
        <v>171</v>
      </c>
      <c r="AA4961" s="15" t="n">
        <v>171</v>
      </c>
      <c r="AW4961" s="15" t="n">
        <v>171</v>
      </c>
      <c r="BS4961" s="15" t="n">
        <v>171</v>
      </c>
      <c r="CO4961" s="15" t="n">
        <v>171</v>
      </c>
      <c r="DK4961" s="15" t="n">
        <v>171</v>
      </c>
      <c r="EG4961" s="15" t="n">
        <v>171</v>
      </c>
      <c r="FC4961" s="15" t="n">
        <v>171</v>
      </c>
      <c r="FY4961" s="15" t="n">
        <v>171</v>
      </c>
      <c r="GU4961" s="15" t="n">
        <v>171</v>
      </c>
    </row>
    <row r="4962">
      <c r="C4962" s="15" t="n">
        <v>172</v>
      </c>
      <c r="AA4962" s="15" t="n">
        <v>172</v>
      </c>
      <c r="AW4962" s="15" t="n">
        <v>172</v>
      </c>
      <c r="BS4962" s="15" t="n">
        <v>172</v>
      </c>
      <c r="CO4962" s="15" t="n">
        <v>172</v>
      </c>
      <c r="DK4962" s="15" t="n">
        <v>172</v>
      </c>
      <c r="EG4962" s="15" t="n">
        <v>172</v>
      </c>
      <c r="FC4962" s="15" t="n">
        <v>172</v>
      </c>
      <c r="FY4962" s="15" t="n">
        <v>172</v>
      </c>
      <c r="GU4962" s="15" t="n">
        <v>172</v>
      </c>
    </row>
    <row r="4963">
      <c r="C4963" s="15" t="n">
        <v>173</v>
      </c>
      <c r="AA4963" s="15" t="n">
        <v>173</v>
      </c>
      <c r="AW4963" s="15" t="n">
        <v>173</v>
      </c>
      <c r="BS4963" s="15" t="n">
        <v>173</v>
      </c>
      <c r="CO4963" s="15" t="n">
        <v>173</v>
      </c>
      <c r="DK4963" s="15" t="n">
        <v>173</v>
      </c>
      <c r="EG4963" s="15" t="n">
        <v>173</v>
      </c>
      <c r="FC4963" s="15" t="n">
        <v>173</v>
      </c>
      <c r="FY4963" s="15" t="n">
        <v>173</v>
      </c>
      <c r="GU4963" s="15" t="n">
        <v>173</v>
      </c>
    </row>
    <row r="4964">
      <c r="C4964" s="15" t="n">
        <v>174</v>
      </c>
      <c r="AA4964" s="15" t="n">
        <v>174</v>
      </c>
      <c r="AW4964" s="15" t="n">
        <v>174</v>
      </c>
      <c r="BS4964" s="15" t="n">
        <v>174</v>
      </c>
      <c r="CO4964" s="15" t="n">
        <v>174</v>
      </c>
      <c r="DK4964" s="15" t="n">
        <v>174</v>
      </c>
      <c r="EG4964" s="15" t="n">
        <v>174</v>
      </c>
      <c r="FC4964" s="15" t="n">
        <v>174</v>
      </c>
      <c r="FY4964" s="15" t="n">
        <v>174</v>
      </c>
      <c r="GU4964" s="15" t="n">
        <v>174</v>
      </c>
    </row>
    <row r="4965">
      <c r="C4965" s="15" t="n">
        <v>175</v>
      </c>
      <c r="AA4965" s="15" t="n">
        <v>175</v>
      </c>
      <c r="AW4965" s="15" t="n">
        <v>175</v>
      </c>
      <c r="BS4965" s="15" t="n">
        <v>175</v>
      </c>
      <c r="CO4965" s="15" t="n">
        <v>175</v>
      </c>
      <c r="DK4965" s="15" t="n">
        <v>175</v>
      </c>
      <c r="EG4965" s="15" t="n">
        <v>175</v>
      </c>
      <c r="FC4965" s="15" t="n">
        <v>175</v>
      </c>
      <c r="FY4965" s="15" t="n">
        <v>175</v>
      </c>
      <c r="GU4965" s="15" t="n">
        <v>175</v>
      </c>
    </row>
    <row r="4966">
      <c r="C4966" s="15" t="n">
        <v>176</v>
      </c>
      <c r="AA4966" s="15" t="n">
        <v>176</v>
      </c>
      <c r="AW4966" s="15" t="n">
        <v>176</v>
      </c>
      <c r="BS4966" s="15" t="n">
        <v>176</v>
      </c>
      <c r="CO4966" s="15" t="n">
        <v>176</v>
      </c>
      <c r="DK4966" s="15" t="n">
        <v>176</v>
      </c>
      <c r="EG4966" s="15" t="n">
        <v>176</v>
      </c>
      <c r="FC4966" s="15" t="n">
        <v>176</v>
      </c>
      <c r="FY4966" s="15" t="n">
        <v>176</v>
      </c>
      <c r="GU4966" s="15" t="n">
        <v>176</v>
      </c>
    </row>
    <row r="4967">
      <c r="C4967" s="15" t="n">
        <v>177</v>
      </c>
      <c r="AA4967" s="15" t="n">
        <v>177</v>
      </c>
      <c r="AW4967" s="15" t="n">
        <v>177</v>
      </c>
      <c r="BS4967" s="15" t="n">
        <v>177</v>
      </c>
      <c r="CO4967" s="15" t="n">
        <v>177</v>
      </c>
      <c r="DK4967" s="15" t="n">
        <v>177</v>
      </c>
      <c r="EG4967" s="15" t="n">
        <v>177</v>
      </c>
      <c r="FC4967" s="15" t="n">
        <v>177</v>
      </c>
      <c r="FY4967" s="15" t="n">
        <v>177</v>
      </c>
      <c r="GU4967" s="15" t="n">
        <v>177</v>
      </c>
    </row>
    <row r="4968">
      <c r="C4968" s="15" t="n">
        <v>178</v>
      </c>
      <c r="AA4968" s="15" t="n">
        <v>178</v>
      </c>
      <c r="AW4968" s="15" t="n">
        <v>178</v>
      </c>
      <c r="BS4968" s="15" t="n">
        <v>178</v>
      </c>
      <c r="CO4968" s="15" t="n">
        <v>178</v>
      </c>
      <c r="DK4968" s="15" t="n">
        <v>178</v>
      </c>
      <c r="EG4968" s="15" t="n">
        <v>178</v>
      </c>
      <c r="FC4968" s="15" t="n">
        <v>178</v>
      </c>
      <c r="FY4968" s="15" t="n">
        <v>178</v>
      </c>
      <c r="GU4968" s="15" t="n">
        <v>178</v>
      </c>
    </row>
    <row r="4969">
      <c r="C4969" s="15" t="n">
        <v>179</v>
      </c>
      <c r="AA4969" s="15" t="n">
        <v>179</v>
      </c>
      <c r="AW4969" s="15" t="n">
        <v>179</v>
      </c>
      <c r="BS4969" s="15" t="n">
        <v>179</v>
      </c>
      <c r="CO4969" s="15" t="n">
        <v>179</v>
      </c>
      <c r="DK4969" s="15" t="n">
        <v>179</v>
      </c>
      <c r="EG4969" s="15" t="n">
        <v>179</v>
      </c>
      <c r="FC4969" s="15" t="n">
        <v>179</v>
      </c>
      <c r="FY4969" s="15" t="n">
        <v>179</v>
      </c>
      <c r="GU4969" s="15" t="n">
        <v>179</v>
      </c>
    </row>
    <row r="4970">
      <c r="C4970" s="15" t="n">
        <v>180</v>
      </c>
      <c r="AA4970" s="15" t="n">
        <v>180</v>
      </c>
      <c r="AW4970" s="15" t="n">
        <v>180</v>
      </c>
      <c r="BS4970" s="15" t="n">
        <v>180</v>
      </c>
      <c r="CO4970" s="15" t="n">
        <v>180</v>
      </c>
      <c r="DK4970" s="15" t="n">
        <v>180</v>
      </c>
      <c r="EG4970" s="15" t="n">
        <v>180</v>
      </c>
      <c r="FC4970" s="15" t="n">
        <v>180</v>
      </c>
      <c r="FY4970" s="15" t="n">
        <v>180</v>
      </c>
      <c r="GU4970" s="15" t="n">
        <v>180</v>
      </c>
    </row>
    <row r="4971">
      <c r="C4971" s="15" t="n">
        <v>181</v>
      </c>
      <c r="AA4971" s="15" t="n">
        <v>181</v>
      </c>
      <c r="AW4971" s="15" t="n">
        <v>181</v>
      </c>
      <c r="BS4971" s="15" t="n">
        <v>181</v>
      </c>
      <c r="CO4971" s="15" t="n">
        <v>181</v>
      </c>
      <c r="DK4971" s="15" t="n">
        <v>181</v>
      </c>
      <c r="EG4971" s="15" t="n">
        <v>181</v>
      </c>
      <c r="FC4971" s="15" t="n">
        <v>181</v>
      </c>
      <c r="FY4971" s="15" t="n">
        <v>181</v>
      </c>
      <c r="GU4971" s="15" t="n">
        <v>181</v>
      </c>
    </row>
    <row r="4972">
      <c r="C4972" s="15" t="n">
        <v>182</v>
      </c>
      <c r="AA4972" s="15" t="n">
        <v>182</v>
      </c>
      <c r="AW4972" s="15" t="n">
        <v>182</v>
      </c>
      <c r="BS4972" s="15" t="n">
        <v>182</v>
      </c>
      <c r="CO4972" s="15" t="n">
        <v>182</v>
      </c>
      <c r="DK4972" s="15" t="n">
        <v>182</v>
      </c>
      <c r="EG4972" s="15" t="n">
        <v>182</v>
      </c>
      <c r="FC4972" s="15" t="n">
        <v>182</v>
      </c>
      <c r="FY4972" s="15" t="n">
        <v>182</v>
      </c>
      <c r="GU4972" s="15" t="n">
        <v>182</v>
      </c>
    </row>
    <row r="4973">
      <c r="C4973" s="15" t="n">
        <v>183</v>
      </c>
      <c r="AA4973" s="15" t="n">
        <v>183</v>
      </c>
      <c r="AW4973" s="15" t="n">
        <v>183</v>
      </c>
      <c r="BS4973" s="15" t="n">
        <v>183</v>
      </c>
      <c r="CO4973" s="15" t="n">
        <v>183</v>
      </c>
      <c r="DK4973" s="15" t="n">
        <v>183</v>
      </c>
      <c r="EG4973" s="15" t="n">
        <v>183</v>
      </c>
      <c r="FC4973" s="15" t="n">
        <v>183</v>
      </c>
      <c r="FY4973" s="15" t="n">
        <v>183</v>
      </c>
      <c r="GU4973" s="15" t="n">
        <v>183</v>
      </c>
    </row>
    <row r="4974">
      <c r="C4974" s="15" t="n">
        <v>184</v>
      </c>
      <c r="AA4974" s="15" t="n">
        <v>184</v>
      </c>
      <c r="AW4974" s="15" t="n">
        <v>184</v>
      </c>
      <c r="BS4974" s="15" t="n">
        <v>184</v>
      </c>
      <c r="CO4974" s="15" t="n">
        <v>184</v>
      </c>
      <c r="DK4974" s="15" t="n">
        <v>184</v>
      </c>
      <c r="EG4974" s="15" t="n">
        <v>184</v>
      </c>
      <c r="FC4974" s="15" t="n">
        <v>184</v>
      </c>
      <c r="FY4974" s="15" t="n">
        <v>184</v>
      </c>
      <c r="GU4974" s="15" t="n">
        <v>184</v>
      </c>
    </row>
    <row r="4975">
      <c r="C4975" s="15" t="n">
        <v>185</v>
      </c>
      <c r="AA4975" s="15" t="n">
        <v>185</v>
      </c>
      <c r="AW4975" s="15" t="n">
        <v>185</v>
      </c>
      <c r="BS4975" s="15" t="n">
        <v>185</v>
      </c>
      <c r="CO4975" s="15" t="n">
        <v>185</v>
      </c>
      <c r="DK4975" s="15" t="n">
        <v>185</v>
      </c>
      <c r="EG4975" s="15" t="n">
        <v>185</v>
      </c>
      <c r="FC4975" s="15" t="n">
        <v>185</v>
      </c>
      <c r="FY4975" s="15" t="n">
        <v>185</v>
      </c>
      <c r="GU4975" s="15" t="n">
        <v>185</v>
      </c>
    </row>
    <row r="4976">
      <c r="C4976" s="15" t="n">
        <v>186</v>
      </c>
      <c r="AA4976" s="15" t="n">
        <v>186</v>
      </c>
      <c r="AW4976" s="15" t="n">
        <v>186</v>
      </c>
      <c r="BS4976" s="15" t="n">
        <v>186</v>
      </c>
      <c r="CO4976" s="15" t="n">
        <v>186</v>
      </c>
      <c r="DK4976" s="15" t="n">
        <v>186</v>
      </c>
      <c r="EG4976" s="15" t="n">
        <v>186</v>
      </c>
      <c r="FC4976" s="15" t="n">
        <v>186</v>
      </c>
      <c r="FY4976" s="15" t="n">
        <v>186</v>
      </c>
      <c r="GU4976" s="15" t="n">
        <v>186</v>
      </c>
    </row>
    <row r="4977">
      <c r="C4977" s="15" t="n">
        <v>187</v>
      </c>
      <c r="AA4977" s="15" t="n">
        <v>187</v>
      </c>
      <c r="AW4977" s="15" t="n">
        <v>187</v>
      </c>
      <c r="BS4977" s="15" t="n">
        <v>187</v>
      </c>
      <c r="CO4977" s="15" t="n">
        <v>187</v>
      </c>
      <c r="DK4977" s="15" t="n">
        <v>187</v>
      </c>
      <c r="EG4977" s="15" t="n">
        <v>187</v>
      </c>
      <c r="FC4977" s="15" t="n">
        <v>187</v>
      </c>
      <c r="FY4977" s="15" t="n">
        <v>187</v>
      </c>
      <c r="GU4977" s="15" t="n">
        <v>187</v>
      </c>
    </row>
    <row r="4978">
      <c r="C4978" s="15" t="n">
        <v>188</v>
      </c>
      <c r="AA4978" s="15" t="n">
        <v>188</v>
      </c>
      <c r="AW4978" s="15" t="n">
        <v>188</v>
      </c>
      <c r="BS4978" s="15" t="n">
        <v>188</v>
      </c>
      <c r="CO4978" s="15" t="n">
        <v>188</v>
      </c>
      <c r="DK4978" s="15" t="n">
        <v>188</v>
      </c>
      <c r="EG4978" s="15" t="n">
        <v>188</v>
      </c>
      <c r="FC4978" s="15" t="n">
        <v>188</v>
      </c>
      <c r="FY4978" s="15" t="n">
        <v>188</v>
      </c>
      <c r="GU4978" s="15" t="n">
        <v>188</v>
      </c>
    </row>
    <row r="4979">
      <c r="C4979" s="15" t="n">
        <v>189</v>
      </c>
      <c r="AA4979" s="15" t="n">
        <v>189</v>
      </c>
      <c r="AW4979" s="15" t="n">
        <v>189</v>
      </c>
      <c r="BS4979" s="15" t="n">
        <v>189</v>
      </c>
      <c r="CO4979" s="15" t="n">
        <v>189</v>
      </c>
      <c r="DK4979" s="15" t="n">
        <v>189</v>
      </c>
      <c r="EG4979" s="15" t="n">
        <v>189</v>
      </c>
      <c r="FC4979" s="15" t="n">
        <v>189</v>
      </c>
      <c r="FY4979" s="15" t="n">
        <v>189</v>
      </c>
      <c r="GU4979" s="15" t="n">
        <v>189</v>
      </c>
    </row>
    <row r="4980">
      <c r="C4980" s="15" t="n">
        <v>190</v>
      </c>
      <c r="AA4980" s="15" t="n">
        <v>190</v>
      </c>
      <c r="AW4980" s="15" t="n">
        <v>190</v>
      </c>
      <c r="BS4980" s="15" t="n">
        <v>190</v>
      </c>
      <c r="CO4980" s="15" t="n">
        <v>190</v>
      </c>
      <c r="DK4980" s="15" t="n">
        <v>190</v>
      </c>
      <c r="EG4980" s="15" t="n">
        <v>190</v>
      </c>
      <c r="FC4980" s="15" t="n">
        <v>190</v>
      </c>
      <c r="FY4980" s="15" t="n">
        <v>190</v>
      </c>
      <c r="GU4980" s="15" t="n">
        <v>190</v>
      </c>
    </row>
    <row r="4981">
      <c r="C4981" s="15" t="n">
        <v>191</v>
      </c>
      <c r="AA4981" s="15" t="n">
        <v>191</v>
      </c>
      <c r="AW4981" s="15" t="n">
        <v>191</v>
      </c>
      <c r="BS4981" s="15" t="n">
        <v>191</v>
      </c>
      <c r="CO4981" s="15" t="n">
        <v>191</v>
      </c>
      <c r="DK4981" s="15" t="n">
        <v>191</v>
      </c>
      <c r="EG4981" s="15" t="n">
        <v>191</v>
      </c>
      <c r="FC4981" s="15" t="n">
        <v>191</v>
      </c>
      <c r="FY4981" s="15" t="n">
        <v>191</v>
      </c>
      <c r="GU4981" s="15" t="n">
        <v>191</v>
      </c>
    </row>
    <row r="4982">
      <c r="C4982" s="15" t="n">
        <v>192</v>
      </c>
      <c r="AA4982" s="15" t="n">
        <v>192</v>
      </c>
      <c r="AW4982" s="15" t="n">
        <v>192</v>
      </c>
      <c r="BS4982" s="15" t="n">
        <v>192</v>
      </c>
      <c r="CO4982" s="15" t="n">
        <v>192</v>
      </c>
      <c r="DK4982" s="15" t="n">
        <v>192</v>
      </c>
      <c r="EG4982" s="15" t="n">
        <v>192</v>
      </c>
      <c r="FC4982" s="15" t="n">
        <v>192</v>
      </c>
      <c r="FY4982" s="15" t="n">
        <v>192</v>
      </c>
      <c r="GU4982" s="15" t="n">
        <v>192</v>
      </c>
    </row>
    <row r="4983">
      <c r="C4983" s="15" t="n">
        <v>193</v>
      </c>
      <c r="AA4983" s="15" t="n">
        <v>193</v>
      </c>
      <c r="AW4983" s="15" t="n">
        <v>193</v>
      </c>
      <c r="BS4983" s="15" t="n">
        <v>193</v>
      </c>
      <c r="CO4983" s="15" t="n">
        <v>193</v>
      </c>
      <c r="DK4983" s="15" t="n">
        <v>193</v>
      </c>
      <c r="EG4983" s="15" t="n">
        <v>193</v>
      </c>
      <c r="FC4983" s="15" t="n">
        <v>193</v>
      </c>
      <c r="FY4983" s="15" t="n">
        <v>193</v>
      </c>
      <c r="GU4983" s="15" t="n">
        <v>193</v>
      </c>
    </row>
    <row r="4984">
      <c r="C4984" s="15" t="n">
        <v>194</v>
      </c>
      <c r="AA4984" s="15" t="n">
        <v>194</v>
      </c>
      <c r="AW4984" s="15" t="n">
        <v>194</v>
      </c>
      <c r="BS4984" s="15" t="n">
        <v>194</v>
      </c>
      <c r="CO4984" s="15" t="n">
        <v>194</v>
      </c>
      <c r="DK4984" s="15" t="n">
        <v>194</v>
      </c>
      <c r="EG4984" s="15" t="n">
        <v>194</v>
      </c>
      <c r="FC4984" s="15" t="n">
        <v>194</v>
      </c>
      <c r="FY4984" s="15" t="n">
        <v>194</v>
      </c>
      <c r="GU4984" s="15" t="n">
        <v>194</v>
      </c>
    </row>
    <row r="4985">
      <c r="C4985" s="15" t="n">
        <v>195</v>
      </c>
      <c r="AA4985" s="15" t="n">
        <v>195</v>
      </c>
      <c r="AW4985" s="15" t="n">
        <v>195</v>
      </c>
      <c r="BS4985" s="15" t="n">
        <v>195</v>
      </c>
      <c r="CO4985" s="15" t="n">
        <v>195</v>
      </c>
      <c r="DK4985" s="15" t="n">
        <v>195</v>
      </c>
      <c r="EG4985" s="15" t="n">
        <v>195</v>
      </c>
      <c r="FC4985" s="15" t="n">
        <v>195</v>
      </c>
      <c r="FY4985" s="15" t="n">
        <v>195</v>
      </c>
      <c r="GU4985" s="15" t="n">
        <v>195</v>
      </c>
    </row>
    <row r="4986">
      <c r="C4986" s="15" t="n">
        <v>196</v>
      </c>
      <c r="AA4986" s="15" t="n">
        <v>196</v>
      </c>
      <c r="AW4986" s="15" t="n">
        <v>196</v>
      </c>
      <c r="BS4986" s="15" t="n">
        <v>196</v>
      </c>
      <c r="CO4986" s="15" t="n">
        <v>196</v>
      </c>
      <c r="DK4986" s="15" t="n">
        <v>196</v>
      </c>
      <c r="EG4986" s="15" t="n">
        <v>196</v>
      </c>
      <c r="FC4986" s="15" t="n">
        <v>196</v>
      </c>
      <c r="FY4986" s="15" t="n">
        <v>196</v>
      </c>
      <c r="GU4986" s="15" t="n">
        <v>196</v>
      </c>
    </row>
    <row r="4987">
      <c r="C4987" s="15" t="n">
        <v>197</v>
      </c>
      <c r="AA4987" s="15" t="n">
        <v>197</v>
      </c>
      <c r="AW4987" s="15" t="n">
        <v>197</v>
      </c>
      <c r="BS4987" s="15" t="n">
        <v>197</v>
      </c>
      <c r="CO4987" s="15" t="n">
        <v>197</v>
      </c>
      <c r="DK4987" s="15" t="n">
        <v>197</v>
      </c>
      <c r="EG4987" s="15" t="n">
        <v>197</v>
      </c>
      <c r="FC4987" s="15" t="n">
        <v>197</v>
      </c>
      <c r="FY4987" s="15" t="n">
        <v>197</v>
      </c>
      <c r="GU4987" s="15" t="n">
        <v>197</v>
      </c>
    </row>
    <row r="4988">
      <c r="C4988" s="15" t="n">
        <v>198</v>
      </c>
      <c r="AA4988" s="15" t="n">
        <v>198</v>
      </c>
      <c r="AW4988" s="15" t="n">
        <v>198</v>
      </c>
      <c r="BS4988" s="15" t="n">
        <v>198</v>
      </c>
      <c r="CO4988" s="15" t="n">
        <v>198</v>
      </c>
      <c r="DK4988" s="15" t="n">
        <v>198</v>
      </c>
      <c r="EG4988" s="15" t="n">
        <v>198</v>
      </c>
      <c r="FC4988" s="15" t="n">
        <v>198</v>
      </c>
      <c r="FY4988" s="15" t="n">
        <v>198</v>
      </c>
      <c r="GU4988" s="15" t="n">
        <v>198</v>
      </c>
    </row>
    <row r="4990">
      <c r="C4990" s="15" t="inlineStr">
        <is>
          <t>Aleatória RLT</t>
        </is>
      </c>
      <c r="D4990" s="15" t="n">
        <v>22</v>
      </c>
      <c r="E4990" s="15" t="n">
        <v>23</v>
      </c>
      <c r="F4990" s="15" t="n">
        <v>24</v>
      </c>
      <c r="AA4990" s="15" t="inlineStr">
        <is>
          <t>Aleatória RLT</t>
        </is>
      </c>
      <c r="AB4990" s="15" t="n">
        <v>22</v>
      </c>
      <c r="AC4990" s="15" t="n">
        <v>23</v>
      </c>
      <c r="AD4990" s="15" t="n">
        <v>24</v>
      </c>
      <c r="AW4990" s="15" t="inlineStr">
        <is>
          <t>Aleatória RLT</t>
        </is>
      </c>
      <c r="AX4990" s="15" t="n">
        <v>22</v>
      </c>
      <c r="AY4990" s="15" t="n">
        <v>23</v>
      </c>
      <c r="AZ4990" s="15" t="n">
        <v>24</v>
      </c>
      <c r="BS4990" s="15" t="inlineStr">
        <is>
          <t>Aleatória RLT</t>
        </is>
      </c>
      <c r="BT4990" s="15" t="n">
        <v>22</v>
      </c>
      <c r="BU4990" s="15" t="n">
        <v>23</v>
      </c>
      <c r="BV4990" s="15" t="n">
        <v>24</v>
      </c>
      <c r="CO4990" s="15" t="inlineStr">
        <is>
          <t>Aleatória RLT</t>
        </is>
      </c>
      <c r="CP4990" s="15" t="n">
        <v>22</v>
      </c>
      <c r="CQ4990" s="15" t="n">
        <v>23</v>
      </c>
      <c r="CR4990" s="15" t="n">
        <v>24</v>
      </c>
      <c r="DK4990" s="15" t="inlineStr">
        <is>
          <t>Aleatória RLT</t>
        </is>
      </c>
      <c r="DL4990" s="15" t="n">
        <v>22</v>
      </c>
      <c r="DM4990" s="15" t="n">
        <v>23</v>
      </c>
      <c r="DN4990" s="15" t="n">
        <v>24</v>
      </c>
      <c r="EG4990" s="15" t="inlineStr">
        <is>
          <t>Aleatória RLT</t>
        </is>
      </c>
      <c r="EH4990" s="15" t="n">
        <v>22</v>
      </c>
      <c r="EI4990" s="15" t="n">
        <v>23</v>
      </c>
      <c r="EJ4990" s="15" t="n">
        <v>24</v>
      </c>
      <c r="FC4990" s="15" t="inlineStr">
        <is>
          <t>Aleatória RLT</t>
        </is>
      </c>
      <c r="FD4990" s="15" t="n">
        <v>22</v>
      </c>
      <c r="FE4990" s="15" t="n">
        <v>23</v>
      </c>
      <c r="FF4990" s="15" t="n">
        <v>24</v>
      </c>
      <c r="FY4990" s="15" t="inlineStr">
        <is>
          <t>Aleatória RLT</t>
        </is>
      </c>
      <c r="FZ4990" s="15" t="n">
        <v>22</v>
      </c>
      <c r="GA4990" s="15" t="n">
        <v>23</v>
      </c>
      <c r="GB4990" s="15" t="n">
        <v>24</v>
      </c>
      <c r="GU4990" s="15" t="inlineStr">
        <is>
          <t>Aleatória RLT</t>
        </is>
      </c>
      <c r="GV4990" s="15" t="n">
        <v>22</v>
      </c>
      <c r="GW4990" s="15" t="n">
        <v>23</v>
      </c>
      <c r="GX4990" s="15" t="n">
        <v>24</v>
      </c>
    </row>
    <row r="4991">
      <c r="C4991" s="15" t="n">
        <v>9</v>
      </c>
      <c r="AA4991" s="15" t="n">
        <v>9</v>
      </c>
      <c r="AW4991" s="15" t="n">
        <v>9</v>
      </c>
      <c r="BS4991" s="15" t="n">
        <v>9</v>
      </c>
      <c r="CO4991" s="15" t="n">
        <v>9</v>
      </c>
      <c r="DK4991" s="15" t="n">
        <v>9</v>
      </c>
      <c r="EG4991" s="15" t="n">
        <v>9</v>
      </c>
      <c r="FC4991" s="15" t="n">
        <v>9</v>
      </c>
      <c r="FY4991" s="15" t="n">
        <v>9</v>
      </c>
      <c r="GU4991" s="15" t="n">
        <v>9</v>
      </c>
    </row>
    <row r="4992">
      <c r="C4992" s="15" t="n">
        <v>10</v>
      </c>
      <c r="AA4992" s="15" t="n">
        <v>10</v>
      </c>
      <c r="AW4992" s="15" t="n">
        <v>10</v>
      </c>
      <c r="BS4992" s="15" t="n">
        <v>10</v>
      </c>
      <c r="CO4992" s="15" t="n">
        <v>10</v>
      </c>
      <c r="DK4992" s="15" t="n">
        <v>10</v>
      </c>
      <c r="EG4992" s="15" t="n">
        <v>10</v>
      </c>
      <c r="FC4992" s="15" t="n">
        <v>10</v>
      </c>
      <c r="FY4992" s="15" t="n">
        <v>10</v>
      </c>
      <c r="GU4992" s="15" t="n">
        <v>10</v>
      </c>
    </row>
    <row r="4993">
      <c r="C4993" s="15" t="n">
        <v>11</v>
      </c>
      <c r="AA4993" s="15" t="n">
        <v>11</v>
      </c>
      <c r="AW4993" s="15" t="n">
        <v>11</v>
      </c>
      <c r="BS4993" s="15" t="n">
        <v>11</v>
      </c>
      <c r="CO4993" s="15" t="n">
        <v>11</v>
      </c>
      <c r="DK4993" s="15" t="n">
        <v>11</v>
      </c>
      <c r="EG4993" s="15" t="n">
        <v>11</v>
      </c>
      <c r="FC4993" s="15" t="n">
        <v>11</v>
      </c>
      <c r="FY4993" s="15" t="n">
        <v>11</v>
      </c>
      <c r="GU4993" s="15" t="n">
        <v>11</v>
      </c>
    </row>
    <row r="4994">
      <c r="C4994" s="15" t="n">
        <v>12</v>
      </c>
      <c r="AA4994" s="15" t="n">
        <v>12</v>
      </c>
      <c r="AW4994" s="15" t="n">
        <v>12</v>
      </c>
      <c r="BS4994" s="15" t="n">
        <v>12</v>
      </c>
      <c r="CO4994" s="15" t="n">
        <v>12</v>
      </c>
      <c r="DK4994" s="15" t="n">
        <v>12</v>
      </c>
      <c r="EG4994" s="15" t="n">
        <v>12</v>
      </c>
      <c r="FC4994" s="15" t="n">
        <v>12</v>
      </c>
      <c r="FY4994" s="15" t="n">
        <v>12</v>
      </c>
      <c r="GU4994" s="15" t="n">
        <v>12</v>
      </c>
    </row>
    <row r="4995">
      <c r="C4995" s="15" t="n">
        <v>13</v>
      </c>
      <c r="AA4995" s="15" t="n">
        <v>13</v>
      </c>
      <c r="AW4995" s="15" t="n">
        <v>13</v>
      </c>
      <c r="BS4995" s="15" t="n">
        <v>13</v>
      </c>
      <c r="CO4995" s="15" t="n">
        <v>13</v>
      </c>
      <c r="DK4995" s="15" t="n">
        <v>13</v>
      </c>
      <c r="EG4995" s="15" t="n">
        <v>13</v>
      </c>
      <c r="FC4995" s="15" t="n">
        <v>13</v>
      </c>
      <c r="FY4995" s="15" t="n">
        <v>13</v>
      </c>
      <c r="GU4995" s="15" t="n">
        <v>13</v>
      </c>
    </row>
    <row r="4996">
      <c r="C4996" s="15" t="n">
        <v>14</v>
      </c>
      <c r="AA4996" s="15" t="n">
        <v>14</v>
      </c>
      <c r="AW4996" s="15" t="n">
        <v>14</v>
      </c>
      <c r="BS4996" s="15" t="n">
        <v>14</v>
      </c>
      <c r="CO4996" s="15" t="n">
        <v>14</v>
      </c>
      <c r="DK4996" s="15" t="n">
        <v>14</v>
      </c>
      <c r="EG4996" s="15" t="n">
        <v>14</v>
      </c>
      <c r="FC4996" s="15" t="n">
        <v>14</v>
      </c>
      <c r="FY4996" s="15" t="n">
        <v>14</v>
      </c>
      <c r="GU4996" s="15" t="n">
        <v>14</v>
      </c>
    </row>
    <row r="4997">
      <c r="C4997" s="15" t="n">
        <v>15</v>
      </c>
      <c r="AA4997" s="15" t="n">
        <v>15</v>
      </c>
      <c r="AW4997" s="15" t="n">
        <v>15</v>
      </c>
      <c r="BS4997" s="15" t="n">
        <v>15</v>
      </c>
      <c r="CO4997" s="15" t="n">
        <v>15</v>
      </c>
      <c r="DK4997" s="15" t="n">
        <v>15</v>
      </c>
      <c r="EG4997" s="15" t="n">
        <v>15</v>
      </c>
      <c r="FC4997" s="15" t="n">
        <v>15</v>
      </c>
      <c r="FY4997" s="15" t="n">
        <v>15</v>
      </c>
      <c r="GU4997" s="15" t="n">
        <v>15</v>
      </c>
    </row>
    <row r="4998">
      <c r="C4998" s="15" t="n">
        <v>16</v>
      </c>
      <c r="AA4998" s="15" t="n">
        <v>16</v>
      </c>
      <c r="AW4998" s="15" t="n">
        <v>16</v>
      </c>
      <c r="BS4998" s="15" t="n">
        <v>16</v>
      </c>
      <c r="CO4998" s="15" t="n">
        <v>16</v>
      </c>
      <c r="DK4998" s="15" t="n">
        <v>16</v>
      </c>
      <c r="EG4998" s="15" t="n">
        <v>16</v>
      </c>
      <c r="FC4998" s="15" t="n">
        <v>16</v>
      </c>
      <c r="FY4998" s="15" t="n">
        <v>16</v>
      </c>
      <c r="GU4998" s="15" t="n">
        <v>16</v>
      </c>
    </row>
    <row r="4999">
      <c r="C4999" s="15" t="n">
        <v>17</v>
      </c>
      <c r="AA4999" s="15" t="n">
        <v>17</v>
      </c>
      <c r="AW4999" s="15" t="n">
        <v>17</v>
      </c>
      <c r="BS4999" s="15" t="n">
        <v>17</v>
      </c>
      <c r="CO4999" s="15" t="n">
        <v>17</v>
      </c>
      <c r="DK4999" s="15" t="n">
        <v>17</v>
      </c>
      <c r="EG4999" s="15" t="n">
        <v>17</v>
      </c>
      <c r="FC4999" s="15" t="n">
        <v>17</v>
      </c>
      <c r="FY4999" s="15" t="n">
        <v>17</v>
      </c>
      <c r="GU4999" s="15" t="n">
        <v>17</v>
      </c>
    </row>
    <row r="5000">
      <c r="C5000" s="15" t="n">
        <v>18</v>
      </c>
      <c r="AA5000" s="15" t="n">
        <v>18</v>
      </c>
      <c r="AW5000" s="15" t="n">
        <v>18</v>
      </c>
      <c r="BS5000" s="15" t="n">
        <v>18</v>
      </c>
      <c r="CO5000" s="15" t="n">
        <v>18</v>
      </c>
      <c r="DK5000" s="15" t="n">
        <v>18</v>
      </c>
      <c r="EG5000" s="15" t="n">
        <v>18</v>
      </c>
      <c r="FC5000" s="15" t="n">
        <v>18</v>
      </c>
      <c r="FY5000" s="15" t="n">
        <v>18</v>
      </c>
      <c r="GU5000" s="15" t="n">
        <v>18</v>
      </c>
    </row>
    <row r="5001">
      <c r="C5001" s="15" t="n">
        <v>19</v>
      </c>
      <c r="AA5001" s="15" t="n">
        <v>19</v>
      </c>
      <c r="AW5001" s="15" t="n">
        <v>19</v>
      </c>
      <c r="BS5001" s="15" t="n">
        <v>19</v>
      </c>
      <c r="CO5001" s="15" t="n">
        <v>19</v>
      </c>
      <c r="DK5001" s="15" t="n">
        <v>19</v>
      </c>
      <c r="EG5001" s="15" t="n">
        <v>19</v>
      </c>
      <c r="FC5001" s="15" t="n">
        <v>19</v>
      </c>
      <c r="FY5001" s="15" t="n">
        <v>19</v>
      </c>
      <c r="GU5001" s="15" t="n">
        <v>19</v>
      </c>
    </row>
    <row r="5002">
      <c r="C5002" s="15" t="n">
        <v>20</v>
      </c>
      <c r="AA5002" s="15" t="n">
        <v>20</v>
      </c>
      <c r="AW5002" s="15" t="n">
        <v>20</v>
      </c>
      <c r="BS5002" s="15" t="n">
        <v>20</v>
      </c>
      <c r="CO5002" s="15" t="n">
        <v>20</v>
      </c>
      <c r="DK5002" s="15" t="n">
        <v>20</v>
      </c>
      <c r="EG5002" s="15" t="n">
        <v>20</v>
      </c>
      <c r="FC5002" s="15" t="n">
        <v>20</v>
      </c>
      <c r="FY5002" s="15" t="n">
        <v>20</v>
      </c>
      <c r="GU5002" s="15" t="n">
        <v>20</v>
      </c>
    </row>
    <row r="5003">
      <c r="C5003" s="15" t="n">
        <v>21</v>
      </c>
      <c r="AA5003" s="15" t="n">
        <v>21</v>
      </c>
      <c r="AW5003" s="15" t="n">
        <v>21</v>
      </c>
      <c r="BS5003" s="15" t="n">
        <v>21</v>
      </c>
      <c r="CO5003" s="15" t="n">
        <v>21</v>
      </c>
      <c r="DK5003" s="15" t="n">
        <v>21</v>
      </c>
      <c r="EG5003" s="15" t="n">
        <v>21</v>
      </c>
      <c r="FC5003" s="15" t="n">
        <v>21</v>
      </c>
      <c r="FY5003" s="15" t="n">
        <v>21</v>
      </c>
      <c r="GU5003" s="15" t="n">
        <v>21</v>
      </c>
    </row>
    <row r="5004">
      <c r="C5004" s="15" t="n">
        <v>22</v>
      </c>
      <c r="AA5004" s="15" t="n">
        <v>22</v>
      </c>
      <c r="AW5004" s="15" t="n">
        <v>22</v>
      </c>
      <c r="BS5004" s="15" t="n">
        <v>22</v>
      </c>
      <c r="CO5004" s="15" t="n">
        <v>22</v>
      </c>
      <c r="DK5004" s="15" t="n">
        <v>22</v>
      </c>
      <c r="EG5004" s="15" t="n">
        <v>22</v>
      </c>
      <c r="FC5004" s="15" t="n">
        <v>22</v>
      </c>
      <c r="FY5004" s="15" t="n">
        <v>22</v>
      </c>
      <c r="GU5004" s="15" t="n">
        <v>22</v>
      </c>
    </row>
    <row r="5005">
      <c r="C5005" s="15" t="n">
        <v>23</v>
      </c>
      <c r="AA5005" s="15" t="n">
        <v>23</v>
      </c>
      <c r="AW5005" s="15" t="n">
        <v>23</v>
      </c>
      <c r="BS5005" s="15" t="n">
        <v>23</v>
      </c>
      <c r="CO5005" s="15" t="n">
        <v>23</v>
      </c>
      <c r="DK5005" s="15" t="n">
        <v>23</v>
      </c>
      <c r="EG5005" s="15" t="n">
        <v>23</v>
      </c>
      <c r="FC5005" s="15" t="n">
        <v>23</v>
      </c>
      <c r="FY5005" s="15" t="n">
        <v>23</v>
      </c>
      <c r="GU5005" s="15" t="n">
        <v>23</v>
      </c>
    </row>
    <row r="5006">
      <c r="C5006" s="15" t="n">
        <v>24</v>
      </c>
      <c r="AA5006" s="15" t="n">
        <v>24</v>
      </c>
      <c r="AW5006" s="15" t="n">
        <v>24</v>
      </c>
      <c r="BS5006" s="15" t="n">
        <v>24</v>
      </c>
      <c r="CO5006" s="15" t="n">
        <v>24</v>
      </c>
      <c r="DK5006" s="15" t="n">
        <v>24</v>
      </c>
      <c r="EG5006" s="15" t="n">
        <v>24</v>
      </c>
      <c r="FC5006" s="15" t="n">
        <v>24</v>
      </c>
      <c r="FY5006" s="15" t="n">
        <v>24</v>
      </c>
      <c r="GU5006" s="15" t="n">
        <v>24</v>
      </c>
    </row>
    <row r="5007">
      <c r="C5007" s="15" t="n">
        <v>25</v>
      </c>
      <c r="AA5007" s="15" t="n">
        <v>25</v>
      </c>
      <c r="AW5007" s="15" t="n">
        <v>25</v>
      </c>
      <c r="BS5007" s="15" t="n">
        <v>25</v>
      </c>
      <c r="CO5007" s="15" t="n">
        <v>25</v>
      </c>
      <c r="DK5007" s="15" t="n">
        <v>25</v>
      </c>
      <c r="EG5007" s="15" t="n">
        <v>25</v>
      </c>
      <c r="FC5007" s="15" t="n">
        <v>25</v>
      </c>
      <c r="FY5007" s="15" t="n">
        <v>25</v>
      </c>
      <c r="GU5007" s="15" t="n">
        <v>25</v>
      </c>
    </row>
    <row r="5008">
      <c r="C5008" s="15" t="n">
        <v>26</v>
      </c>
      <c r="AA5008" s="15" t="n">
        <v>26</v>
      </c>
      <c r="AW5008" s="15" t="n">
        <v>26</v>
      </c>
      <c r="BS5008" s="15" t="n">
        <v>26</v>
      </c>
      <c r="CO5008" s="15" t="n">
        <v>26</v>
      </c>
      <c r="DK5008" s="15" t="n">
        <v>26</v>
      </c>
      <c r="EG5008" s="15" t="n">
        <v>26</v>
      </c>
      <c r="FC5008" s="15" t="n">
        <v>26</v>
      </c>
      <c r="FY5008" s="15" t="n">
        <v>26</v>
      </c>
      <c r="GU5008" s="15" t="n">
        <v>26</v>
      </c>
    </row>
    <row r="5009">
      <c r="C5009" s="15" t="n">
        <v>27</v>
      </c>
      <c r="AA5009" s="15" t="n">
        <v>27</v>
      </c>
      <c r="AW5009" s="15" t="n">
        <v>27</v>
      </c>
      <c r="BS5009" s="15" t="n">
        <v>27</v>
      </c>
      <c r="CO5009" s="15" t="n">
        <v>27</v>
      </c>
      <c r="DK5009" s="15" t="n">
        <v>27</v>
      </c>
      <c r="EG5009" s="15" t="n">
        <v>27</v>
      </c>
      <c r="FC5009" s="15" t="n">
        <v>27</v>
      </c>
      <c r="FY5009" s="15" t="n">
        <v>27</v>
      </c>
      <c r="GU5009" s="15" t="n">
        <v>27</v>
      </c>
    </row>
    <row r="5010">
      <c r="C5010" s="15" t="n">
        <v>28</v>
      </c>
      <c r="AA5010" s="15" t="n">
        <v>28</v>
      </c>
      <c r="AW5010" s="15" t="n">
        <v>28</v>
      </c>
      <c r="BS5010" s="15" t="n">
        <v>28</v>
      </c>
      <c r="CO5010" s="15" t="n">
        <v>28</v>
      </c>
      <c r="DK5010" s="15" t="n">
        <v>28</v>
      </c>
      <c r="EG5010" s="15" t="n">
        <v>28</v>
      </c>
      <c r="FC5010" s="15" t="n">
        <v>28</v>
      </c>
      <c r="FY5010" s="15" t="n">
        <v>28</v>
      </c>
      <c r="GU5010" s="15" t="n">
        <v>28</v>
      </c>
    </row>
    <row r="5011">
      <c r="C5011" s="15" t="n">
        <v>29</v>
      </c>
      <c r="AA5011" s="15" t="n">
        <v>29</v>
      </c>
      <c r="AW5011" s="15" t="n">
        <v>29</v>
      </c>
      <c r="BS5011" s="15" t="n">
        <v>29</v>
      </c>
      <c r="CO5011" s="15" t="n">
        <v>29</v>
      </c>
      <c r="DK5011" s="15" t="n">
        <v>29</v>
      </c>
      <c r="EG5011" s="15" t="n">
        <v>29</v>
      </c>
      <c r="FC5011" s="15" t="n">
        <v>29</v>
      </c>
      <c r="FY5011" s="15" t="n">
        <v>29</v>
      </c>
      <c r="GU5011" s="15" t="n">
        <v>29</v>
      </c>
    </row>
    <row r="5012">
      <c r="C5012" s="15" t="n">
        <v>30</v>
      </c>
      <c r="AA5012" s="15" t="n">
        <v>30</v>
      </c>
      <c r="AW5012" s="15" t="n">
        <v>30</v>
      </c>
      <c r="BS5012" s="15" t="n">
        <v>30</v>
      </c>
      <c r="CO5012" s="15" t="n">
        <v>30</v>
      </c>
      <c r="DK5012" s="15" t="n">
        <v>30</v>
      </c>
      <c r="EG5012" s="15" t="n">
        <v>30</v>
      </c>
      <c r="FC5012" s="15" t="n">
        <v>30</v>
      </c>
      <c r="FY5012" s="15" t="n">
        <v>30</v>
      </c>
      <c r="GU5012" s="15" t="n">
        <v>30</v>
      </c>
    </row>
    <row r="5013">
      <c r="C5013" s="15" t="n">
        <v>31</v>
      </c>
      <c r="AA5013" s="15" t="n">
        <v>31</v>
      </c>
      <c r="AW5013" s="15" t="n">
        <v>31</v>
      </c>
      <c r="BS5013" s="15" t="n">
        <v>31</v>
      </c>
      <c r="CO5013" s="15" t="n">
        <v>31</v>
      </c>
      <c r="DK5013" s="15" t="n">
        <v>31</v>
      </c>
      <c r="EG5013" s="15" t="n">
        <v>31</v>
      </c>
      <c r="FC5013" s="15" t="n">
        <v>31</v>
      </c>
      <c r="FY5013" s="15" t="n">
        <v>31</v>
      </c>
      <c r="GU5013" s="15" t="n">
        <v>31</v>
      </c>
    </row>
    <row r="5014">
      <c r="C5014" s="15" t="n">
        <v>32</v>
      </c>
      <c r="AA5014" s="15" t="n">
        <v>32</v>
      </c>
      <c r="AW5014" s="15" t="n">
        <v>32</v>
      </c>
      <c r="BS5014" s="15" t="n">
        <v>32</v>
      </c>
      <c r="CO5014" s="15" t="n">
        <v>32</v>
      </c>
      <c r="DK5014" s="15" t="n">
        <v>32</v>
      </c>
      <c r="EG5014" s="15" t="n">
        <v>32</v>
      </c>
      <c r="FC5014" s="15" t="n">
        <v>32</v>
      </c>
      <c r="FY5014" s="15" t="n">
        <v>32</v>
      </c>
      <c r="GU5014" s="15" t="n">
        <v>32</v>
      </c>
    </row>
    <row r="5015">
      <c r="C5015" s="15" t="n">
        <v>33</v>
      </c>
      <c r="AA5015" s="15" t="n">
        <v>33</v>
      </c>
      <c r="AW5015" s="15" t="n">
        <v>33</v>
      </c>
      <c r="BS5015" s="15" t="n">
        <v>33</v>
      </c>
      <c r="CO5015" s="15" t="n">
        <v>33</v>
      </c>
      <c r="DK5015" s="15" t="n">
        <v>33</v>
      </c>
      <c r="EG5015" s="15" t="n">
        <v>33</v>
      </c>
      <c r="FC5015" s="15" t="n">
        <v>33</v>
      </c>
      <c r="FY5015" s="15" t="n">
        <v>33</v>
      </c>
      <c r="GU5015" s="15" t="n">
        <v>33</v>
      </c>
    </row>
    <row r="5016">
      <c r="C5016" s="15" t="n">
        <v>34</v>
      </c>
      <c r="AA5016" s="15" t="n">
        <v>34</v>
      </c>
      <c r="AW5016" s="15" t="n">
        <v>34</v>
      </c>
      <c r="BS5016" s="15" t="n">
        <v>34</v>
      </c>
      <c r="CO5016" s="15" t="n">
        <v>34</v>
      </c>
      <c r="DK5016" s="15" t="n">
        <v>34</v>
      </c>
      <c r="EG5016" s="15" t="n">
        <v>34</v>
      </c>
      <c r="FC5016" s="15" t="n">
        <v>34</v>
      </c>
      <c r="FY5016" s="15" t="n">
        <v>34</v>
      </c>
      <c r="GU5016" s="15" t="n">
        <v>34</v>
      </c>
    </row>
    <row r="5017">
      <c r="C5017" s="15" t="n">
        <v>35</v>
      </c>
      <c r="AA5017" s="15" t="n">
        <v>35</v>
      </c>
      <c r="AW5017" s="15" t="n">
        <v>35</v>
      </c>
      <c r="BS5017" s="15" t="n">
        <v>35</v>
      </c>
      <c r="CO5017" s="15" t="n">
        <v>35</v>
      </c>
      <c r="DK5017" s="15" t="n">
        <v>35</v>
      </c>
      <c r="EG5017" s="15" t="n">
        <v>35</v>
      </c>
      <c r="FC5017" s="15" t="n">
        <v>35</v>
      </c>
      <c r="FY5017" s="15" t="n">
        <v>35</v>
      </c>
      <c r="GU5017" s="15" t="n">
        <v>35</v>
      </c>
    </row>
    <row r="5018">
      <c r="C5018" s="15" t="n">
        <v>36</v>
      </c>
      <c r="AA5018" s="15" t="n">
        <v>36</v>
      </c>
      <c r="AW5018" s="15" t="n">
        <v>36</v>
      </c>
      <c r="BS5018" s="15" t="n">
        <v>36</v>
      </c>
      <c r="CO5018" s="15" t="n">
        <v>36</v>
      </c>
      <c r="DK5018" s="15" t="n">
        <v>36</v>
      </c>
      <c r="EG5018" s="15" t="n">
        <v>36</v>
      </c>
      <c r="FC5018" s="15" t="n">
        <v>36</v>
      </c>
      <c r="FY5018" s="15" t="n">
        <v>36</v>
      </c>
      <c r="GU5018" s="15" t="n">
        <v>36</v>
      </c>
    </row>
    <row r="5019">
      <c r="C5019" s="15" t="n">
        <v>37</v>
      </c>
      <c r="AA5019" s="15" t="n">
        <v>37</v>
      </c>
      <c r="AW5019" s="15" t="n">
        <v>37</v>
      </c>
      <c r="BS5019" s="15" t="n">
        <v>37</v>
      </c>
      <c r="CO5019" s="15" t="n">
        <v>37</v>
      </c>
      <c r="DK5019" s="15" t="n">
        <v>37</v>
      </c>
      <c r="EG5019" s="15" t="n">
        <v>37</v>
      </c>
      <c r="FC5019" s="15" t="n">
        <v>37</v>
      </c>
      <c r="FY5019" s="15" t="n">
        <v>37</v>
      </c>
      <c r="GU5019" s="15" t="n">
        <v>37</v>
      </c>
    </row>
    <row r="5020">
      <c r="C5020" s="15" t="n">
        <v>38</v>
      </c>
      <c r="AA5020" s="15" t="n">
        <v>38</v>
      </c>
      <c r="AW5020" s="15" t="n">
        <v>38</v>
      </c>
      <c r="BS5020" s="15" t="n">
        <v>38</v>
      </c>
      <c r="CO5020" s="15" t="n">
        <v>38</v>
      </c>
      <c r="DK5020" s="15" t="n">
        <v>38</v>
      </c>
      <c r="EG5020" s="15" t="n">
        <v>38</v>
      </c>
      <c r="FC5020" s="15" t="n">
        <v>38</v>
      </c>
      <c r="FY5020" s="15" t="n">
        <v>38</v>
      </c>
      <c r="GU5020" s="15" t="n">
        <v>38</v>
      </c>
    </row>
    <row r="5021">
      <c r="C5021" s="15" t="n">
        <v>39</v>
      </c>
      <c r="AA5021" s="15" t="n">
        <v>39</v>
      </c>
      <c r="AW5021" s="15" t="n">
        <v>39</v>
      </c>
      <c r="BS5021" s="15" t="n">
        <v>39</v>
      </c>
      <c r="CO5021" s="15" t="n">
        <v>39</v>
      </c>
      <c r="DK5021" s="15" t="n">
        <v>39</v>
      </c>
      <c r="EG5021" s="15" t="n">
        <v>39</v>
      </c>
      <c r="FC5021" s="15" t="n">
        <v>39</v>
      </c>
      <c r="FY5021" s="15" t="n">
        <v>39</v>
      </c>
      <c r="GU5021" s="15" t="n">
        <v>39</v>
      </c>
    </row>
    <row r="5022">
      <c r="C5022" s="15" t="n">
        <v>40</v>
      </c>
      <c r="AA5022" s="15" t="n">
        <v>40</v>
      </c>
      <c r="AW5022" s="15" t="n">
        <v>40</v>
      </c>
      <c r="BS5022" s="15" t="n">
        <v>40</v>
      </c>
      <c r="CO5022" s="15" t="n">
        <v>40</v>
      </c>
      <c r="DK5022" s="15" t="n">
        <v>40</v>
      </c>
      <c r="EG5022" s="15" t="n">
        <v>40</v>
      </c>
      <c r="FC5022" s="15" t="n">
        <v>40</v>
      </c>
      <c r="FY5022" s="15" t="n">
        <v>40</v>
      </c>
      <c r="GU5022" s="15" t="n">
        <v>40</v>
      </c>
    </row>
    <row r="5023">
      <c r="C5023" s="15" t="n">
        <v>41</v>
      </c>
      <c r="AA5023" s="15" t="n">
        <v>41</v>
      </c>
      <c r="AW5023" s="15" t="n">
        <v>41</v>
      </c>
      <c r="BS5023" s="15" t="n">
        <v>41</v>
      </c>
      <c r="CO5023" s="15" t="n">
        <v>41</v>
      </c>
      <c r="DK5023" s="15" t="n">
        <v>41</v>
      </c>
      <c r="EG5023" s="15" t="n">
        <v>41</v>
      </c>
      <c r="FC5023" s="15" t="n">
        <v>41</v>
      </c>
      <c r="FY5023" s="15" t="n">
        <v>41</v>
      </c>
      <c r="GU5023" s="15" t="n">
        <v>41</v>
      </c>
    </row>
    <row r="5024">
      <c r="C5024" s="15" t="n">
        <v>42</v>
      </c>
      <c r="AA5024" s="15" t="n">
        <v>42</v>
      </c>
      <c r="AW5024" s="15" t="n">
        <v>42</v>
      </c>
      <c r="BS5024" s="15" t="n">
        <v>42</v>
      </c>
      <c r="CO5024" s="15" t="n">
        <v>42</v>
      </c>
      <c r="DK5024" s="15" t="n">
        <v>42</v>
      </c>
      <c r="EG5024" s="15" t="n">
        <v>42</v>
      </c>
      <c r="FC5024" s="15" t="n">
        <v>42</v>
      </c>
      <c r="FY5024" s="15" t="n">
        <v>42</v>
      </c>
      <c r="GU5024" s="15" t="n">
        <v>42</v>
      </c>
    </row>
    <row r="5025">
      <c r="C5025" s="15" t="n">
        <v>43</v>
      </c>
      <c r="AA5025" s="15" t="n">
        <v>43</v>
      </c>
      <c r="AW5025" s="15" t="n">
        <v>43</v>
      </c>
      <c r="BS5025" s="15" t="n">
        <v>43</v>
      </c>
      <c r="CO5025" s="15" t="n">
        <v>43</v>
      </c>
      <c r="DK5025" s="15" t="n">
        <v>43</v>
      </c>
      <c r="EG5025" s="15" t="n">
        <v>43</v>
      </c>
      <c r="FC5025" s="15" t="n">
        <v>43</v>
      </c>
      <c r="FY5025" s="15" t="n">
        <v>43</v>
      </c>
      <c r="GU5025" s="15" t="n">
        <v>43</v>
      </c>
    </row>
    <row r="5026">
      <c r="C5026" s="15" t="n">
        <v>44</v>
      </c>
      <c r="AA5026" s="15" t="n">
        <v>44</v>
      </c>
      <c r="AW5026" s="15" t="n">
        <v>44</v>
      </c>
      <c r="BS5026" s="15" t="n">
        <v>44</v>
      </c>
      <c r="CO5026" s="15" t="n">
        <v>44</v>
      </c>
      <c r="DK5026" s="15" t="n">
        <v>44</v>
      </c>
      <c r="EG5026" s="15" t="n">
        <v>44</v>
      </c>
      <c r="FC5026" s="15" t="n">
        <v>44</v>
      </c>
      <c r="FY5026" s="15" t="n">
        <v>44</v>
      </c>
      <c r="GU5026" s="15" t="n">
        <v>44</v>
      </c>
    </row>
    <row r="5027">
      <c r="C5027" s="15" t="n">
        <v>45</v>
      </c>
      <c r="AA5027" s="15" t="n">
        <v>45</v>
      </c>
      <c r="AW5027" s="15" t="n">
        <v>45</v>
      </c>
      <c r="BS5027" s="15" t="n">
        <v>45</v>
      </c>
      <c r="CO5027" s="15" t="n">
        <v>45</v>
      </c>
      <c r="DK5027" s="15" t="n">
        <v>45</v>
      </c>
      <c r="EG5027" s="15" t="n">
        <v>45</v>
      </c>
      <c r="FC5027" s="15" t="n">
        <v>45</v>
      </c>
      <c r="FY5027" s="15" t="n">
        <v>45</v>
      </c>
      <c r="GU5027" s="15" t="n">
        <v>45</v>
      </c>
    </row>
    <row r="5028">
      <c r="C5028" s="15" t="n">
        <v>46</v>
      </c>
      <c r="AA5028" s="15" t="n">
        <v>46</v>
      </c>
      <c r="AW5028" s="15" t="n">
        <v>46</v>
      </c>
      <c r="BS5028" s="15" t="n">
        <v>46</v>
      </c>
      <c r="CO5028" s="15" t="n">
        <v>46</v>
      </c>
      <c r="DK5028" s="15" t="n">
        <v>46</v>
      </c>
      <c r="EG5028" s="15" t="n">
        <v>46</v>
      </c>
      <c r="FC5028" s="15" t="n">
        <v>46</v>
      </c>
      <c r="FY5028" s="15" t="n">
        <v>46</v>
      </c>
      <c r="GU5028" s="15" t="n">
        <v>46</v>
      </c>
    </row>
    <row r="5029">
      <c r="C5029" s="15" t="n">
        <v>47</v>
      </c>
      <c r="AA5029" s="15" t="n">
        <v>47</v>
      </c>
      <c r="AW5029" s="15" t="n">
        <v>47</v>
      </c>
      <c r="BS5029" s="15" t="n">
        <v>47</v>
      </c>
      <c r="CO5029" s="15" t="n">
        <v>47</v>
      </c>
      <c r="DK5029" s="15" t="n">
        <v>47</v>
      </c>
      <c r="EG5029" s="15" t="n">
        <v>47</v>
      </c>
      <c r="FC5029" s="15" t="n">
        <v>47</v>
      </c>
      <c r="FY5029" s="15" t="n">
        <v>47</v>
      </c>
      <c r="GU5029" s="15" t="n">
        <v>47</v>
      </c>
    </row>
    <row r="5030">
      <c r="C5030" s="15" t="n">
        <v>48</v>
      </c>
      <c r="AA5030" s="15" t="n">
        <v>48</v>
      </c>
      <c r="AW5030" s="15" t="n">
        <v>48</v>
      </c>
      <c r="BS5030" s="15" t="n">
        <v>48</v>
      </c>
      <c r="CO5030" s="15" t="n">
        <v>48</v>
      </c>
      <c r="DK5030" s="15" t="n">
        <v>48</v>
      </c>
      <c r="EG5030" s="15" t="n">
        <v>48</v>
      </c>
      <c r="FC5030" s="15" t="n">
        <v>48</v>
      </c>
      <c r="FY5030" s="15" t="n">
        <v>48</v>
      </c>
      <c r="GU5030" s="15" t="n">
        <v>48</v>
      </c>
    </row>
    <row r="5031">
      <c r="C5031" s="15" t="n">
        <v>49</v>
      </c>
      <c r="AA5031" s="15" t="n">
        <v>49</v>
      </c>
      <c r="AW5031" s="15" t="n">
        <v>49</v>
      </c>
      <c r="BS5031" s="15" t="n">
        <v>49</v>
      </c>
      <c r="CO5031" s="15" t="n">
        <v>49</v>
      </c>
      <c r="DK5031" s="15" t="n">
        <v>49</v>
      </c>
      <c r="EG5031" s="15" t="n">
        <v>49</v>
      </c>
      <c r="FC5031" s="15" t="n">
        <v>49</v>
      </c>
      <c r="FY5031" s="15" t="n">
        <v>49</v>
      </c>
      <c r="GU5031" s="15" t="n">
        <v>49</v>
      </c>
    </row>
    <row r="5032">
      <c r="C5032" s="15" t="n">
        <v>50</v>
      </c>
      <c r="AA5032" s="15" t="n">
        <v>50</v>
      </c>
      <c r="AW5032" s="15" t="n">
        <v>50</v>
      </c>
      <c r="BS5032" s="15" t="n">
        <v>50</v>
      </c>
      <c r="CO5032" s="15" t="n">
        <v>50</v>
      </c>
      <c r="DK5032" s="15" t="n">
        <v>50</v>
      </c>
      <c r="EG5032" s="15" t="n">
        <v>50</v>
      </c>
      <c r="FC5032" s="15" t="n">
        <v>50</v>
      </c>
      <c r="FY5032" s="15" t="n">
        <v>50</v>
      </c>
      <c r="GU5032" s="15" t="n">
        <v>50</v>
      </c>
    </row>
    <row r="5033">
      <c r="C5033" s="15" t="n">
        <v>51</v>
      </c>
      <c r="AA5033" s="15" t="n">
        <v>51</v>
      </c>
      <c r="AW5033" s="15" t="n">
        <v>51</v>
      </c>
      <c r="BS5033" s="15" t="n">
        <v>51</v>
      </c>
      <c r="CO5033" s="15" t="n">
        <v>51</v>
      </c>
      <c r="DK5033" s="15" t="n">
        <v>51</v>
      </c>
      <c r="EG5033" s="15" t="n">
        <v>51</v>
      </c>
      <c r="FC5033" s="15" t="n">
        <v>51</v>
      </c>
      <c r="FY5033" s="15" t="n">
        <v>51</v>
      </c>
      <c r="GU5033" s="15" t="n">
        <v>51</v>
      </c>
    </row>
    <row r="5034">
      <c r="C5034" s="15" t="n">
        <v>52</v>
      </c>
      <c r="AA5034" s="15" t="n">
        <v>52</v>
      </c>
      <c r="AW5034" s="15" t="n">
        <v>52</v>
      </c>
      <c r="BS5034" s="15" t="n">
        <v>52</v>
      </c>
      <c r="CO5034" s="15" t="n">
        <v>52</v>
      </c>
      <c r="DK5034" s="15" t="n">
        <v>52</v>
      </c>
      <c r="EG5034" s="15" t="n">
        <v>52</v>
      </c>
      <c r="FC5034" s="15" t="n">
        <v>52</v>
      </c>
      <c r="FY5034" s="15" t="n">
        <v>52</v>
      </c>
      <c r="GU5034" s="15" t="n">
        <v>52</v>
      </c>
    </row>
    <row r="5035">
      <c r="C5035" s="15" t="n">
        <v>53</v>
      </c>
      <c r="AA5035" s="15" t="n">
        <v>53</v>
      </c>
      <c r="AW5035" s="15" t="n">
        <v>53</v>
      </c>
      <c r="BS5035" s="15" t="n">
        <v>53</v>
      </c>
      <c r="CO5035" s="15" t="n">
        <v>53</v>
      </c>
      <c r="DK5035" s="15" t="n">
        <v>53</v>
      </c>
      <c r="EG5035" s="15" t="n">
        <v>53</v>
      </c>
      <c r="FC5035" s="15" t="n">
        <v>53</v>
      </c>
      <c r="FY5035" s="15" t="n">
        <v>53</v>
      </c>
      <c r="GU5035" s="15" t="n">
        <v>53</v>
      </c>
    </row>
    <row r="5036">
      <c r="C5036" s="15" t="n">
        <v>54</v>
      </c>
      <c r="AA5036" s="15" t="n">
        <v>54</v>
      </c>
      <c r="AW5036" s="15" t="n">
        <v>54</v>
      </c>
      <c r="BS5036" s="15" t="n">
        <v>54</v>
      </c>
      <c r="CO5036" s="15" t="n">
        <v>54</v>
      </c>
      <c r="DK5036" s="15" t="n">
        <v>54</v>
      </c>
      <c r="EG5036" s="15" t="n">
        <v>54</v>
      </c>
      <c r="FC5036" s="15" t="n">
        <v>54</v>
      </c>
      <c r="FY5036" s="15" t="n">
        <v>54</v>
      </c>
      <c r="GU5036" s="15" t="n">
        <v>54</v>
      </c>
    </row>
    <row r="5037">
      <c r="C5037" s="15" t="n">
        <v>55</v>
      </c>
      <c r="AA5037" s="15" t="n">
        <v>55</v>
      </c>
      <c r="AW5037" s="15" t="n">
        <v>55</v>
      </c>
      <c r="BS5037" s="15" t="n">
        <v>55</v>
      </c>
      <c r="CO5037" s="15" t="n">
        <v>55</v>
      </c>
      <c r="DK5037" s="15" t="n">
        <v>55</v>
      </c>
      <c r="EG5037" s="15" t="n">
        <v>55</v>
      </c>
      <c r="FC5037" s="15" t="n">
        <v>55</v>
      </c>
      <c r="FY5037" s="15" t="n">
        <v>55</v>
      </c>
      <c r="GU5037" s="15" t="n">
        <v>55</v>
      </c>
    </row>
    <row r="5038">
      <c r="C5038" s="15" t="n">
        <v>56</v>
      </c>
      <c r="AA5038" s="15" t="n">
        <v>56</v>
      </c>
      <c r="AW5038" s="15" t="n">
        <v>56</v>
      </c>
      <c r="BS5038" s="15" t="n">
        <v>56</v>
      </c>
      <c r="CO5038" s="15" t="n">
        <v>56</v>
      </c>
      <c r="DK5038" s="15" t="n">
        <v>56</v>
      </c>
      <c r="EG5038" s="15" t="n">
        <v>56</v>
      </c>
      <c r="FC5038" s="15" t="n">
        <v>56</v>
      </c>
      <c r="FY5038" s="15" t="n">
        <v>56</v>
      </c>
      <c r="GU5038" s="15" t="n">
        <v>56</v>
      </c>
    </row>
    <row r="5039">
      <c r="C5039" s="15" t="n">
        <v>57</v>
      </c>
      <c r="AA5039" s="15" t="n">
        <v>57</v>
      </c>
      <c r="AW5039" s="15" t="n">
        <v>57</v>
      </c>
      <c r="BS5039" s="15" t="n">
        <v>57</v>
      </c>
      <c r="CO5039" s="15" t="n">
        <v>57</v>
      </c>
      <c r="DK5039" s="15" t="n">
        <v>57</v>
      </c>
      <c r="EG5039" s="15" t="n">
        <v>57</v>
      </c>
      <c r="FC5039" s="15" t="n">
        <v>57</v>
      </c>
      <c r="FY5039" s="15" t="n">
        <v>57</v>
      </c>
      <c r="GU5039" s="15" t="n">
        <v>57</v>
      </c>
    </row>
    <row r="5040">
      <c r="C5040" s="15" t="n">
        <v>58</v>
      </c>
      <c r="AA5040" s="15" t="n">
        <v>58</v>
      </c>
      <c r="AW5040" s="15" t="n">
        <v>58</v>
      </c>
      <c r="BS5040" s="15" t="n">
        <v>58</v>
      </c>
      <c r="CO5040" s="15" t="n">
        <v>58</v>
      </c>
      <c r="DK5040" s="15" t="n">
        <v>58</v>
      </c>
      <c r="EG5040" s="15" t="n">
        <v>58</v>
      </c>
      <c r="FC5040" s="15" t="n">
        <v>58</v>
      </c>
      <c r="FY5040" s="15" t="n">
        <v>58</v>
      </c>
      <c r="GU5040" s="15" t="n">
        <v>58</v>
      </c>
    </row>
    <row r="5041">
      <c r="C5041" s="15" t="n">
        <v>59</v>
      </c>
      <c r="AA5041" s="15" t="n">
        <v>59</v>
      </c>
      <c r="AW5041" s="15" t="n">
        <v>59</v>
      </c>
      <c r="BS5041" s="15" t="n">
        <v>59</v>
      </c>
      <c r="CO5041" s="15" t="n">
        <v>59</v>
      </c>
      <c r="DK5041" s="15" t="n">
        <v>59</v>
      </c>
      <c r="EG5041" s="15" t="n">
        <v>59</v>
      </c>
      <c r="FC5041" s="15" t="n">
        <v>59</v>
      </c>
      <c r="FY5041" s="15" t="n">
        <v>59</v>
      </c>
      <c r="GU5041" s="15" t="n">
        <v>59</v>
      </c>
    </row>
    <row r="5042">
      <c r="C5042" s="15" t="n">
        <v>60</v>
      </c>
      <c r="AA5042" s="15" t="n">
        <v>60</v>
      </c>
      <c r="AW5042" s="15" t="n">
        <v>60</v>
      </c>
      <c r="BS5042" s="15" t="n">
        <v>60</v>
      </c>
      <c r="CO5042" s="15" t="n">
        <v>60</v>
      </c>
      <c r="DK5042" s="15" t="n">
        <v>60</v>
      </c>
      <c r="EG5042" s="15" t="n">
        <v>60</v>
      </c>
      <c r="FC5042" s="15" t="n">
        <v>60</v>
      </c>
      <c r="FY5042" s="15" t="n">
        <v>60</v>
      </c>
      <c r="GU5042" s="15" t="n">
        <v>60</v>
      </c>
    </row>
    <row r="5043">
      <c r="C5043" s="15" t="n">
        <v>61</v>
      </c>
      <c r="AA5043" s="15" t="n">
        <v>61</v>
      </c>
      <c r="AW5043" s="15" t="n">
        <v>61</v>
      </c>
      <c r="BS5043" s="15" t="n">
        <v>61</v>
      </c>
      <c r="CO5043" s="15" t="n">
        <v>61</v>
      </c>
      <c r="DK5043" s="15" t="n">
        <v>61</v>
      </c>
      <c r="EG5043" s="15" t="n">
        <v>61</v>
      </c>
      <c r="FC5043" s="15" t="n">
        <v>61</v>
      </c>
      <c r="FY5043" s="15" t="n">
        <v>61</v>
      </c>
      <c r="GU5043" s="15" t="n">
        <v>61</v>
      </c>
    </row>
    <row r="5044">
      <c r="C5044" s="15" t="n">
        <v>62</v>
      </c>
      <c r="AA5044" s="15" t="n">
        <v>62</v>
      </c>
      <c r="AW5044" s="15" t="n">
        <v>62</v>
      </c>
      <c r="BS5044" s="15" t="n">
        <v>62</v>
      </c>
      <c r="CO5044" s="15" t="n">
        <v>62</v>
      </c>
      <c r="DK5044" s="15" t="n">
        <v>62</v>
      </c>
      <c r="EG5044" s="15" t="n">
        <v>62</v>
      </c>
      <c r="FC5044" s="15" t="n">
        <v>62</v>
      </c>
      <c r="FY5044" s="15" t="n">
        <v>62</v>
      </c>
      <c r="GU5044" s="15" t="n">
        <v>62</v>
      </c>
    </row>
    <row r="5045">
      <c r="C5045" s="15" t="n">
        <v>63</v>
      </c>
      <c r="AA5045" s="15" t="n">
        <v>63</v>
      </c>
      <c r="AW5045" s="15" t="n">
        <v>63</v>
      </c>
      <c r="BS5045" s="15" t="n">
        <v>63</v>
      </c>
      <c r="CO5045" s="15" t="n">
        <v>63</v>
      </c>
      <c r="DK5045" s="15" t="n">
        <v>63</v>
      </c>
      <c r="EG5045" s="15" t="n">
        <v>63</v>
      </c>
      <c r="FC5045" s="15" t="n">
        <v>63</v>
      </c>
      <c r="FY5045" s="15" t="n">
        <v>63</v>
      </c>
      <c r="GU5045" s="15" t="n">
        <v>63</v>
      </c>
    </row>
    <row r="5046">
      <c r="C5046" s="15" t="n">
        <v>64</v>
      </c>
      <c r="AA5046" s="15" t="n">
        <v>64</v>
      </c>
      <c r="AW5046" s="15" t="n">
        <v>64</v>
      </c>
      <c r="BS5046" s="15" t="n">
        <v>64</v>
      </c>
      <c r="CO5046" s="15" t="n">
        <v>64</v>
      </c>
      <c r="DK5046" s="15" t="n">
        <v>64</v>
      </c>
      <c r="EG5046" s="15" t="n">
        <v>64</v>
      </c>
      <c r="FC5046" s="15" t="n">
        <v>64</v>
      </c>
      <c r="FY5046" s="15" t="n">
        <v>64</v>
      </c>
      <c r="GU5046" s="15" t="n">
        <v>64</v>
      </c>
    </row>
    <row r="5047">
      <c r="C5047" s="15" t="n">
        <v>65</v>
      </c>
      <c r="AA5047" s="15" t="n">
        <v>65</v>
      </c>
      <c r="AW5047" s="15" t="n">
        <v>65</v>
      </c>
      <c r="BS5047" s="15" t="n">
        <v>65</v>
      </c>
      <c r="CO5047" s="15" t="n">
        <v>65</v>
      </c>
      <c r="DK5047" s="15" t="n">
        <v>65</v>
      </c>
      <c r="EG5047" s="15" t="n">
        <v>65</v>
      </c>
      <c r="FC5047" s="15" t="n">
        <v>65</v>
      </c>
      <c r="FY5047" s="15" t="n">
        <v>65</v>
      </c>
      <c r="GU5047" s="15" t="n">
        <v>65</v>
      </c>
    </row>
    <row r="5048">
      <c r="C5048" s="15" t="n">
        <v>66</v>
      </c>
      <c r="AA5048" s="15" t="n">
        <v>66</v>
      </c>
      <c r="AW5048" s="15" t="n">
        <v>66</v>
      </c>
      <c r="BS5048" s="15" t="n">
        <v>66</v>
      </c>
      <c r="CO5048" s="15" t="n">
        <v>66</v>
      </c>
      <c r="DK5048" s="15" t="n">
        <v>66</v>
      </c>
      <c r="EG5048" s="15" t="n">
        <v>66</v>
      </c>
      <c r="FC5048" s="15" t="n">
        <v>66</v>
      </c>
      <c r="FY5048" s="15" t="n">
        <v>66</v>
      </c>
      <c r="GU5048" s="15" t="n">
        <v>66</v>
      </c>
    </row>
    <row r="5049">
      <c r="C5049" s="15" t="n">
        <v>67</v>
      </c>
      <c r="AA5049" s="15" t="n">
        <v>67</v>
      </c>
      <c r="AW5049" s="15" t="n">
        <v>67</v>
      </c>
      <c r="BS5049" s="15" t="n">
        <v>67</v>
      </c>
      <c r="CO5049" s="15" t="n">
        <v>67</v>
      </c>
      <c r="DK5049" s="15" t="n">
        <v>67</v>
      </c>
      <c r="EG5049" s="15" t="n">
        <v>67</v>
      </c>
      <c r="FC5049" s="15" t="n">
        <v>67</v>
      </c>
      <c r="FY5049" s="15" t="n">
        <v>67</v>
      </c>
      <c r="GU5049" s="15" t="n">
        <v>67</v>
      </c>
    </row>
    <row r="5050">
      <c r="C5050" s="15" t="n">
        <v>68</v>
      </c>
      <c r="AA5050" s="15" t="n">
        <v>68</v>
      </c>
      <c r="AW5050" s="15" t="n">
        <v>68</v>
      </c>
      <c r="BS5050" s="15" t="n">
        <v>68</v>
      </c>
      <c r="CO5050" s="15" t="n">
        <v>68</v>
      </c>
      <c r="DK5050" s="15" t="n">
        <v>68</v>
      </c>
      <c r="EG5050" s="15" t="n">
        <v>68</v>
      </c>
      <c r="FC5050" s="15" t="n">
        <v>68</v>
      </c>
      <c r="FY5050" s="15" t="n">
        <v>68</v>
      </c>
      <c r="GU5050" s="15" t="n">
        <v>68</v>
      </c>
    </row>
    <row r="5051">
      <c r="C5051" s="15" t="n">
        <v>69</v>
      </c>
      <c r="AA5051" s="15" t="n">
        <v>69</v>
      </c>
      <c r="AW5051" s="15" t="n">
        <v>69</v>
      </c>
      <c r="BS5051" s="15" t="n">
        <v>69</v>
      </c>
      <c r="CO5051" s="15" t="n">
        <v>69</v>
      </c>
      <c r="DK5051" s="15" t="n">
        <v>69</v>
      </c>
      <c r="EG5051" s="15" t="n">
        <v>69</v>
      </c>
      <c r="FC5051" s="15" t="n">
        <v>69</v>
      </c>
      <c r="FY5051" s="15" t="n">
        <v>69</v>
      </c>
      <c r="GU5051" s="15" t="n">
        <v>69</v>
      </c>
    </row>
    <row r="5052">
      <c r="C5052" s="15" t="n">
        <v>70</v>
      </c>
      <c r="AA5052" s="15" t="n">
        <v>70</v>
      </c>
      <c r="AW5052" s="15" t="n">
        <v>70</v>
      </c>
      <c r="BS5052" s="15" t="n">
        <v>70</v>
      </c>
      <c r="CO5052" s="15" t="n">
        <v>70</v>
      </c>
      <c r="DK5052" s="15" t="n">
        <v>70</v>
      </c>
      <c r="EG5052" s="15" t="n">
        <v>70</v>
      </c>
      <c r="FC5052" s="15" t="n">
        <v>70</v>
      </c>
      <c r="FY5052" s="15" t="n">
        <v>70</v>
      </c>
      <c r="GU5052" s="15" t="n">
        <v>70</v>
      </c>
    </row>
    <row r="5053">
      <c r="C5053" s="15" t="n">
        <v>71</v>
      </c>
      <c r="AA5053" s="15" t="n">
        <v>71</v>
      </c>
      <c r="AW5053" s="15" t="n">
        <v>71</v>
      </c>
      <c r="BS5053" s="15" t="n">
        <v>71</v>
      </c>
      <c r="CO5053" s="15" t="n">
        <v>71</v>
      </c>
      <c r="DK5053" s="15" t="n">
        <v>71</v>
      </c>
      <c r="EG5053" s="15" t="n">
        <v>71</v>
      </c>
      <c r="FC5053" s="15" t="n">
        <v>71</v>
      </c>
      <c r="FY5053" s="15" t="n">
        <v>71</v>
      </c>
      <c r="GU5053" s="15" t="n">
        <v>71</v>
      </c>
    </row>
    <row r="5054">
      <c r="C5054" s="15" t="n">
        <v>72</v>
      </c>
      <c r="AA5054" s="15" t="n">
        <v>72</v>
      </c>
      <c r="AW5054" s="15" t="n">
        <v>72</v>
      </c>
      <c r="BS5054" s="15" t="n">
        <v>72</v>
      </c>
      <c r="CO5054" s="15" t="n">
        <v>72</v>
      </c>
      <c r="DK5054" s="15" t="n">
        <v>72</v>
      </c>
      <c r="EG5054" s="15" t="n">
        <v>72</v>
      </c>
      <c r="FC5054" s="15" t="n">
        <v>72</v>
      </c>
      <c r="FY5054" s="15" t="n">
        <v>72</v>
      </c>
      <c r="GU5054" s="15" t="n">
        <v>72</v>
      </c>
    </row>
    <row r="5055">
      <c r="C5055" s="15" t="n">
        <v>73</v>
      </c>
      <c r="AA5055" s="15" t="n">
        <v>73</v>
      </c>
      <c r="AW5055" s="15" t="n">
        <v>73</v>
      </c>
      <c r="BS5055" s="15" t="n">
        <v>73</v>
      </c>
      <c r="CO5055" s="15" t="n">
        <v>73</v>
      </c>
      <c r="DK5055" s="15" t="n">
        <v>73</v>
      </c>
      <c r="EG5055" s="15" t="n">
        <v>73</v>
      </c>
      <c r="FC5055" s="15" t="n">
        <v>73</v>
      </c>
      <c r="FY5055" s="15" t="n">
        <v>73</v>
      </c>
      <c r="GU5055" s="15" t="n">
        <v>73</v>
      </c>
    </row>
    <row r="5056">
      <c r="C5056" s="15" t="n">
        <v>74</v>
      </c>
      <c r="AA5056" s="15" t="n">
        <v>74</v>
      </c>
      <c r="AW5056" s="15" t="n">
        <v>74</v>
      </c>
      <c r="BS5056" s="15" t="n">
        <v>74</v>
      </c>
      <c r="CO5056" s="15" t="n">
        <v>74</v>
      </c>
      <c r="DK5056" s="15" t="n">
        <v>74</v>
      </c>
      <c r="EG5056" s="15" t="n">
        <v>74</v>
      </c>
      <c r="FC5056" s="15" t="n">
        <v>74</v>
      </c>
      <c r="FY5056" s="15" t="n">
        <v>74</v>
      </c>
      <c r="GU5056" s="15" t="n">
        <v>74</v>
      </c>
    </row>
    <row r="5057">
      <c r="C5057" s="15" t="n">
        <v>75</v>
      </c>
      <c r="AA5057" s="15" t="n">
        <v>75</v>
      </c>
      <c r="AW5057" s="15" t="n">
        <v>75</v>
      </c>
      <c r="BS5057" s="15" t="n">
        <v>75</v>
      </c>
      <c r="CO5057" s="15" t="n">
        <v>75</v>
      </c>
      <c r="DK5057" s="15" t="n">
        <v>75</v>
      </c>
      <c r="EG5057" s="15" t="n">
        <v>75</v>
      </c>
      <c r="FC5057" s="15" t="n">
        <v>75</v>
      </c>
      <c r="FY5057" s="15" t="n">
        <v>75</v>
      </c>
      <c r="GU5057" s="15" t="n">
        <v>75</v>
      </c>
    </row>
    <row r="5058">
      <c r="C5058" s="15" t="n">
        <v>76</v>
      </c>
      <c r="AA5058" s="15" t="n">
        <v>76</v>
      </c>
      <c r="AW5058" s="15" t="n">
        <v>76</v>
      </c>
      <c r="BS5058" s="15" t="n">
        <v>76</v>
      </c>
      <c r="CO5058" s="15" t="n">
        <v>76</v>
      </c>
      <c r="DK5058" s="15" t="n">
        <v>76</v>
      </c>
      <c r="EG5058" s="15" t="n">
        <v>76</v>
      </c>
      <c r="FC5058" s="15" t="n">
        <v>76</v>
      </c>
      <c r="FY5058" s="15" t="n">
        <v>76</v>
      </c>
      <c r="GU5058" s="15" t="n">
        <v>76</v>
      </c>
    </row>
    <row r="5059">
      <c r="C5059" s="15" t="n">
        <v>77</v>
      </c>
      <c r="AA5059" s="15" t="n">
        <v>77</v>
      </c>
      <c r="AW5059" s="15" t="n">
        <v>77</v>
      </c>
      <c r="BS5059" s="15" t="n">
        <v>77</v>
      </c>
      <c r="CO5059" s="15" t="n">
        <v>77</v>
      </c>
      <c r="DK5059" s="15" t="n">
        <v>77</v>
      </c>
      <c r="EG5059" s="15" t="n">
        <v>77</v>
      </c>
      <c r="FC5059" s="15" t="n">
        <v>77</v>
      </c>
      <c r="FY5059" s="15" t="n">
        <v>77</v>
      </c>
      <c r="GU5059" s="15" t="n">
        <v>77</v>
      </c>
    </row>
    <row r="5060">
      <c r="C5060" s="15" t="n">
        <v>78</v>
      </c>
      <c r="AA5060" s="15" t="n">
        <v>78</v>
      </c>
      <c r="AW5060" s="15" t="n">
        <v>78</v>
      </c>
      <c r="BS5060" s="15" t="n">
        <v>78</v>
      </c>
      <c r="CO5060" s="15" t="n">
        <v>78</v>
      </c>
      <c r="DK5060" s="15" t="n">
        <v>78</v>
      </c>
      <c r="EG5060" s="15" t="n">
        <v>78</v>
      </c>
      <c r="FC5060" s="15" t="n">
        <v>78</v>
      </c>
      <c r="FY5060" s="15" t="n">
        <v>78</v>
      </c>
      <c r="GU5060" s="15" t="n">
        <v>78</v>
      </c>
    </row>
    <row r="5061">
      <c r="C5061" s="15" t="n">
        <v>79</v>
      </c>
      <c r="AA5061" s="15" t="n">
        <v>79</v>
      </c>
      <c r="AW5061" s="15" t="n">
        <v>79</v>
      </c>
      <c r="BS5061" s="15" t="n">
        <v>79</v>
      </c>
      <c r="CO5061" s="15" t="n">
        <v>79</v>
      </c>
      <c r="DK5061" s="15" t="n">
        <v>79</v>
      </c>
      <c r="EG5061" s="15" t="n">
        <v>79</v>
      </c>
      <c r="FC5061" s="15" t="n">
        <v>79</v>
      </c>
      <c r="FY5061" s="15" t="n">
        <v>79</v>
      </c>
      <c r="GU5061" s="15" t="n">
        <v>79</v>
      </c>
    </row>
    <row r="5062">
      <c r="C5062" s="15" t="n">
        <v>80</v>
      </c>
      <c r="AA5062" s="15" t="n">
        <v>80</v>
      </c>
      <c r="AW5062" s="15" t="n">
        <v>80</v>
      </c>
      <c r="BS5062" s="15" t="n">
        <v>80</v>
      </c>
      <c r="CO5062" s="15" t="n">
        <v>80</v>
      </c>
      <c r="DK5062" s="15" t="n">
        <v>80</v>
      </c>
      <c r="EG5062" s="15" t="n">
        <v>80</v>
      </c>
      <c r="FC5062" s="15" t="n">
        <v>80</v>
      </c>
      <c r="FY5062" s="15" t="n">
        <v>80</v>
      </c>
      <c r="GU5062" s="15" t="n">
        <v>80</v>
      </c>
    </row>
    <row r="5063">
      <c r="C5063" s="15" t="n">
        <v>81</v>
      </c>
      <c r="AA5063" s="15" t="n">
        <v>81</v>
      </c>
      <c r="AW5063" s="15" t="n">
        <v>81</v>
      </c>
      <c r="BS5063" s="15" t="n">
        <v>81</v>
      </c>
      <c r="CO5063" s="15" t="n">
        <v>81</v>
      </c>
      <c r="DK5063" s="15" t="n">
        <v>81</v>
      </c>
      <c r="EG5063" s="15" t="n">
        <v>81</v>
      </c>
      <c r="FC5063" s="15" t="n">
        <v>81</v>
      </c>
      <c r="FY5063" s="15" t="n">
        <v>81</v>
      </c>
      <c r="GU5063" s="15" t="n">
        <v>81</v>
      </c>
    </row>
    <row r="5064">
      <c r="C5064" s="15" t="n">
        <v>82</v>
      </c>
      <c r="AA5064" s="15" t="n">
        <v>82</v>
      </c>
      <c r="AW5064" s="15" t="n">
        <v>82</v>
      </c>
      <c r="BS5064" s="15" t="n">
        <v>82</v>
      </c>
      <c r="CO5064" s="15" t="n">
        <v>82</v>
      </c>
      <c r="DK5064" s="15" t="n">
        <v>82</v>
      </c>
      <c r="EG5064" s="15" t="n">
        <v>82</v>
      </c>
      <c r="FC5064" s="15" t="n">
        <v>82</v>
      </c>
      <c r="FY5064" s="15" t="n">
        <v>82</v>
      </c>
      <c r="GU5064" s="15" t="n">
        <v>82</v>
      </c>
    </row>
    <row r="5065">
      <c r="C5065" s="15" t="n">
        <v>83</v>
      </c>
      <c r="AA5065" s="15" t="n">
        <v>83</v>
      </c>
      <c r="AW5065" s="15" t="n">
        <v>83</v>
      </c>
      <c r="BS5065" s="15" t="n">
        <v>83</v>
      </c>
      <c r="CO5065" s="15" t="n">
        <v>83</v>
      </c>
      <c r="DK5065" s="15" t="n">
        <v>83</v>
      </c>
      <c r="EG5065" s="15" t="n">
        <v>83</v>
      </c>
      <c r="FC5065" s="15" t="n">
        <v>83</v>
      </c>
      <c r="FY5065" s="15" t="n">
        <v>83</v>
      </c>
      <c r="GU5065" s="15" t="n">
        <v>83</v>
      </c>
    </row>
    <row r="5066">
      <c r="C5066" s="15" t="n">
        <v>84</v>
      </c>
      <c r="AA5066" s="15" t="n">
        <v>84</v>
      </c>
      <c r="AW5066" s="15" t="n">
        <v>84</v>
      </c>
      <c r="BS5066" s="15" t="n">
        <v>84</v>
      </c>
      <c r="CO5066" s="15" t="n">
        <v>84</v>
      </c>
      <c r="DK5066" s="15" t="n">
        <v>84</v>
      </c>
      <c r="EG5066" s="15" t="n">
        <v>84</v>
      </c>
      <c r="FC5066" s="15" t="n">
        <v>84</v>
      </c>
      <c r="FY5066" s="15" t="n">
        <v>84</v>
      </c>
      <c r="GU5066" s="15" t="n">
        <v>84</v>
      </c>
    </row>
    <row r="5067">
      <c r="C5067" s="15" t="n">
        <v>85</v>
      </c>
      <c r="AA5067" s="15" t="n">
        <v>85</v>
      </c>
      <c r="AW5067" s="15" t="n">
        <v>85</v>
      </c>
      <c r="BS5067" s="15" t="n">
        <v>85</v>
      </c>
      <c r="CO5067" s="15" t="n">
        <v>85</v>
      </c>
      <c r="DK5067" s="15" t="n">
        <v>85</v>
      </c>
      <c r="EG5067" s="15" t="n">
        <v>85</v>
      </c>
      <c r="FC5067" s="15" t="n">
        <v>85</v>
      </c>
      <c r="FY5067" s="15" t="n">
        <v>85</v>
      </c>
      <c r="GU5067" s="15" t="n">
        <v>85</v>
      </c>
    </row>
    <row r="5068">
      <c r="C5068" s="15" t="n">
        <v>86</v>
      </c>
      <c r="AA5068" s="15" t="n">
        <v>86</v>
      </c>
      <c r="AW5068" s="15" t="n">
        <v>86</v>
      </c>
      <c r="BS5068" s="15" t="n">
        <v>86</v>
      </c>
      <c r="CO5068" s="15" t="n">
        <v>86</v>
      </c>
      <c r="DK5068" s="15" t="n">
        <v>86</v>
      </c>
      <c r="EG5068" s="15" t="n">
        <v>86</v>
      </c>
      <c r="FC5068" s="15" t="n">
        <v>86</v>
      </c>
      <c r="FY5068" s="15" t="n">
        <v>86</v>
      </c>
      <c r="GU5068" s="15" t="n">
        <v>86</v>
      </c>
    </row>
    <row r="5069">
      <c r="C5069" s="15" t="n">
        <v>87</v>
      </c>
      <c r="AA5069" s="15" t="n">
        <v>87</v>
      </c>
      <c r="AW5069" s="15" t="n">
        <v>87</v>
      </c>
      <c r="BS5069" s="15" t="n">
        <v>87</v>
      </c>
      <c r="CO5069" s="15" t="n">
        <v>87</v>
      </c>
      <c r="DK5069" s="15" t="n">
        <v>87</v>
      </c>
      <c r="EG5069" s="15" t="n">
        <v>87</v>
      </c>
      <c r="FC5069" s="15" t="n">
        <v>87</v>
      </c>
      <c r="FY5069" s="15" t="n">
        <v>87</v>
      </c>
      <c r="GU5069" s="15" t="n">
        <v>87</v>
      </c>
    </row>
    <row r="5070">
      <c r="C5070" s="15" t="n">
        <v>88</v>
      </c>
      <c r="AA5070" s="15" t="n">
        <v>88</v>
      </c>
      <c r="AW5070" s="15" t="n">
        <v>88</v>
      </c>
      <c r="BS5070" s="15" t="n">
        <v>88</v>
      </c>
      <c r="CO5070" s="15" t="n">
        <v>88</v>
      </c>
      <c r="DK5070" s="15" t="n">
        <v>88</v>
      </c>
      <c r="EG5070" s="15" t="n">
        <v>88</v>
      </c>
      <c r="FC5070" s="15" t="n">
        <v>88</v>
      </c>
      <c r="FY5070" s="15" t="n">
        <v>88</v>
      </c>
      <c r="GU5070" s="15" t="n">
        <v>88</v>
      </c>
    </row>
    <row r="5071">
      <c r="C5071" s="15" t="n">
        <v>89</v>
      </c>
      <c r="AA5071" s="15" t="n">
        <v>89</v>
      </c>
      <c r="AW5071" s="15" t="n">
        <v>89</v>
      </c>
      <c r="BS5071" s="15" t="n">
        <v>89</v>
      </c>
      <c r="CO5071" s="15" t="n">
        <v>89</v>
      </c>
      <c r="DK5071" s="15" t="n">
        <v>89</v>
      </c>
      <c r="EG5071" s="15" t="n">
        <v>89</v>
      </c>
      <c r="FC5071" s="15" t="n">
        <v>89</v>
      </c>
      <c r="FY5071" s="15" t="n">
        <v>89</v>
      </c>
      <c r="GU5071" s="15" t="n">
        <v>89</v>
      </c>
    </row>
    <row r="5072">
      <c r="C5072" s="15" t="n">
        <v>90</v>
      </c>
      <c r="AA5072" s="15" t="n">
        <v>90</v>
      </c>
      <c r="AW5072" s="15" t="n">
        <v>90</v>
      </c>
      <c r="BS5072" s="15" t="n">
        <v>90</v>
      </c>
      <c r="CO5072" s="15" t="n">
        <v>90</v>
      </c>
      <c r="DK5072" s="15" t="n">
        <v>90</v>
      </c>
      <c r="EG5072" s="15" t="n">
        <v>90</v>
      </c>
      <c r="FC5072" s="15" t="n">
        <v>90</v>
      </c>
      <c r="FY5072" s="15" t="n">
        <v>90</v>
      </c>
      <c r="GU5072" s="15" t="n">
        <v>90</v>
      </c>
    </row>
    <row r="5073">
      <c r="C5073" s="15" t="n">
        <v>91</v>
      </c>
      <c r="AA5073" s="15" t="n">
        <v>91</v>
      </c>
      <c r="AW5073" s="15" t="n">
        <v>91</v>
      </c>
      <c r="BS5073" s="15" t="n">
        <v>91</v>
      </c>
      <c r="CO5073" s="15" t="n">
        <v>91</v>
      </c>
      <c r="DK5073" s="15" t="n">
        <v>91</v>
      </c>
      <c r="EG5073" s="15" t="n">
        <v>91</v>
      </c>
      <c r="FC5073" s="15" t="n">
        <v>91</v>
      </c>
      <c r="FY5073" s="15" t="n">
        <v>91</v>
      </c>
      <c r="GU5073" s="15" t="n">
        <v>91</v>
      </c>
    </row>
    <row r="5074">
      <c r="C5074" s="15" t="n">
        <v>92</v>
      </c>
      <c r="AA5074" s="15" t="n">
        <v>92</v>
      </c>
      <c r="AW5074" s="15" t="n">
        <v>92</v>
      </c>
      <c r="BS5074" s="15" t="n">
        <v>92</v>
      </c>
      <c r="CO5074" s="15" t="n">
        <v>92</v>
      </c>
      <c r="DK5074" s="15" t="n">
        <v>92</v>
      </c>
      <c r="EG5074" s="15" t="n">
        <v>92</v>
      </c>
      <c r="FC5074" s="15" t="n">
        <v>92</v>
      </c>
      <c r="FY5074" s="15" t="n">
        <v>92</v>
      </c>
      <c r="GU5074" s="15" t="n">
        <v>92</v>
      </c>
    </row>
    <row r="5075">
      <c r="C5075" s="15" t="n">
        <v>93</v>
      </c>
      <c r="AA5075" s="15" t="n">
        <v>93</v>
      </c>
      <c r="AW5075" s="15" t="n">
        <v>93</v>
      </c>
      <c r="BS5075" s="15" t="n">
        <v>93</v>
      </c>
      <c r="CO5075" s="15" t="n">
        <v>93</v>
      </c>
      <c r="DK5075" s="15" t="n">
        <v>93</v>
      </c>
      <c r="EG5075" s="15" t="n">
        <v>93</v>
      </c>
      <c r="FC5075" s="15" t="n">
        <v>93</v>
      </c>
      <c r="FY5075" s="15" t="n">
        <v>93</v>
      </c>
      <c r="GU5075" s="15" t="n">
        <v>93</v>
      </c>
    </row>
    <row r="5076">
      <c r="C5076" s="15" t="n">
        <v>94</v>
      </c>
      <c r="AA5076" s="15" t="n">
        <v>94</v>
      </c>
      <c r="AW5076" s="15" t="n">
        <v>94</v>
      </c>
      <c r="BS5076" s="15" t="n">
        <v>94</v>
      </c>
      <c r="CO5076" s="15" t="n">
        <v>94</v>
      </c>
      <c r="DK5076" s="15" t="n">
        <v>94</v>
      </c>
      <c r="EG5076" s="15" t="n">
        <v>94</v>
      </c>
      <c r="FC5076" s="15" t="n">
        <v>94</v>
      </c>
      <c r="FY5076" s="15" t="n">
        <v>94</v>
      </c>
      <c r="GU5076" s="15" t="n">
        <v>94</v>
      </c>
    </row>
    <row r="5077">
      <c r="C5077" s="15" t="n">
        <v>95</v>
      </c>
      <c r="AA5077" s="15" t="n">
        <v>95</v>
      </c>
      <c r="AW5077" s="15" t="n">
        <v>95</v>
      </c>
      <c r="BS5077" s="15" t="n">
        <v>95</v>
      </c>
      <c r="CO5077" s="15" t="n">
        <v>95</v>
      </c>
      <c r="DK5077" s="15" t="n">
        <v>95</v>
      </c>
      <c r="EG5077" s="15" t="n">
        <v>95</v>
      </c>
      <c r="FC5077" s="15" t="n">
        <v>95</v>
      </c>
      <c r="FY5077" s="15" t="n">
        <v>95</v>
      </c>
      <c r="GU5077" s="15" t="n">
        <v>95</v>
      </c>
    </row>
    <row r="5078">
      <c r="C5078" s="15" t="n">
        <v>96</v>
      </c>
      <c r="AA5078" s="15" t="n">
        <v>96</v>
      </c>
      <c r="AW5078" s="15" t="n">
        <v>96</v>
      </c>
      <c r="BS5078" s="15" t="n">
        <v>96</v>
      </c>
      <c r="CO5078" s="15" t="n">
        <v>96</v>
      </c>
      <c r="DK5078" s="15" t="n">
        <v>96</v>
      </c>
      <c r="EG5078" s="15" t="n">
        <v>96</v>
      </c>
      <c r="FC5078" s="15" t="n">
        <v>96</v>
      </c>
      <c r="FY5078" s="15" t="n">
        <v>96</v>
      </c>
      <c r="GU5078" s="15" t="n">
        <v>96</v>
      </c>
    </row>
    <row r="5079">
      <c r="C5079" s="15" t="n">
        <v>97</v>
      </c>
      <c r="AA5079" s="15" t="n">
        <v>97</v>
      </c>
      <c r="AW5079" s="15" t="n">
        <v>97</v>
      </c>
      <c r="BS5079" s="15" t="n">
        <v>97</v>
      </c>
      <c r="CO5079" s="15" t="n">
        <v>97</v>
      </c>
      <c r="DK5079" s="15" t="n">
        <v>97</v>
      </c>
      <c r="EG5079" s="15" t="n">
        <v>97</v>
      </c>
      <c r="FC5079" s="15" t="n">
        <v>97</v>
      </c>
      <c r="FY5079" s="15" t="n">
        <v>97</v>
      </c>
      <c r="GU5079" s="15" t="n">
        <v>97</v>
      </c>
    </row>
    <row r="5080">
      <c r="C5080" s="15" t="n">
        <v>98</v>
      </c>
      <c r="AA5080" s="15" t="n">
        <v>98</v>
      </c>
      <c r="AW5080" s="15" t="n">
        <v>98</v>
      </c>
      <c r="BS5080" s="15" t="n">
        <v>98</v>
      </c>
      <c r="CO5080" s="15" t="n">
        <v>98</v>
      </c>
      <c r="DK5080" s="15" t="n">
        <v>98</v>
      </c>
      <c r="EG5080" s="15" t="n">
        <v>98</v>
      </c>
      <c r="FC5080" s="15" t="n">
        <v>98</v>
      </c>
      <c r="FY5080" s="15" t="n">
        <v>98</v>
      </c>
      <c r="GU5080" s="15" t="n">
        <v>98</v>
      </c>
    </row>
    <row r="5081">
      <c r="C5081" s="15" t="n">
        <v>99</v>
      </c>
      <c r="AA5081" s="15" t="n">
        <v>99</v>
      </c>
      <c r="AW5081" s="15" t="n">
        <v>99</v>
      </c>
      <c r="BS5081" s="15" t="n">
        <v>99</v>
      </c>
      <c r="CO5081" s="15" t="n">
        <v>99</v>
      </c>
      <c r="DK5081" s="15" t="n">
        <v>99</v>
      </c>
      <c r="EG5081" s="15" t="n">
        <v>99</v>
      </c>
      <c r="FC5081" s="15" t="n">
        <v>99</v>
      </c>
      <c r="FY5081" s="15" t="n">
        <v>99</v>
      </c>
      <c r="GU5081" s="15" t="n">
        <v>99</v>
      </c>
    </row>
    <row r="5082">
      <c r="C5082" s="15" t="n">
        <v>100</v>
      </c>
      <c r="AA5082" s="15" t="n">
        <v>100</v>
      </c>
      <c r="AW5082" s="15" t="n">
        <v>100</v>
      </c>
      <c r="BS5082" s="15" t="n">
        <v>100</v>
      </c>
      <c r="CO5082" s="15" t="n">
        <v>100</v>
      </c>
      <c r="DK5082" s="15" t="n">
        <v>100</v>
      </c>
      <c r="EG5082" s="15" t="n">
        <v>100</v>
      </c>
      <c r="FC5082" s="15" t="n">
        <v>100</v>
      </c>
      <c r="FY5082" s="15" t="n">
        <v>100</v>
      </c>
      <c r="GU5082" s="15" t="n">
        <v>100</v>
      </c>
    </row>
    <row r="5083">
      <c r="C5083" s="15" t="n">
        <v>101</v>
      </c>
      <c r="AA5083" s="15" t="n">
        <v>101</v>
      </c>
      <c r="AW5083" s="15" t="n">
        <v>101</v>
      </c>
      <c r="BS5083" s="15" t="n">
        <v>101</v>
      </c>
      <c r="CO5083" s="15" t="n">
        <v>101</v>
      </c>
      <c r="DK5083" s="15" t="n">
        <v>101</v>
      </c>
      <c r="EG5083" s="15" t="n">
        <v>101</v>
      </c>
      <c r="FC5083" s="15" t="n">
        <v>101</v>
      </c>
      <c r="FY5083" s="15" t="n">
        <v>101</v>
      </c>
      <c r="GU5083" s="15" t="n">
        <v>101</v>
      </c>
    </row>
    <row r="5084">
      <c r="C5084" s="15" t="n">
        <v>102</v>
      </c>
      <c r="AA5084" s="15" t="n">
        <v>102</v>
      </c>
      <c r="AW5084" s="15" t="n">
        <v>102</v>
      </c>
      <c r="BS5084" s="15" t="n">
        <v>102</v>
      </c>
      <c r="CO5084" s="15" t="n">
        <v>102</v>
      </c>
      <c r="DK5084" s="15" t="n">
        <v>102</v>
      </c>
      <c r="EG5084" s="15" t="n">
        <v>102</v>
      </c>
      <c r="FC5084" s="15" t="n">
        <v>102</v>
      </c>
      <c r="FY5084" s="15" t="n">
        <v>102</v>
      </c>
      <c r="GU5084" s="15" t="n">
        <v>102</v>
      </c>
    </row>
    <row r="5085">
      <c r="C5085" s="15" t="n">
        <v>103</v>
      </c>
      <c r="AA5085" s="15" t="n">
        <v>103</v>
      </c>
      <c r="AW5085" s="15" t="n">
        <v>103</v>
      </c>
      <c r="BS5085" s="15" t="n">
        <v>103</v>
      </c>
      <c r="CO5085" s="15" t="n">
        <v>103</v>
      </c>
      <c r="DK5085" s="15" t="n">
        <v>103</v>
      </c>
      <c r="EG5085" s="15" t="n">
        <v>103</v>
      </c>
      <c r="FC5085" s="15" t="n">
        <v>103</v>
      </c>
      <c r="FY5085" s="15" t="n">
        <v>103</v>
      </c>
      <c r="GU5085" s="15" t="n">
        <v>103</v>
      </c>
    </row>
    <row r="5086">
      <c r="C5086" s="15" t="n">
        <v>104</v>
      </c>
      <c r="AA5086" s="15" t="n">
        <v>104</v>
      </c>
      <c r="AW5086" s="15" t="n">
        <v>104</v>
      </c>
      <c r="BS5086" s="15" t="n">
        <v>104</v>
      </c>
      <c r="CO5086" s="15" t="n">
        <v>104</v>
      </c>
      <c r="DK5086" s="15" t="n">
        <v>104</v>
      </c>
      <c r="EG5086" s="15" t="n">
        <v>104</v>
      </c>
      <c r="FC5086" s="15" t="n">
        <v>104</v>
      </c>
      <c r="FY5086" s="15" t="n">
        <v>104</v>
      </c>
      <c r="GU5086" s="15" t="n">
        <v>104</v>
      </c>
    </row>
    <row r="5087">
      <c r="C5087" s="15" t="n">
        <v>105</v>
      </c>
      <c r="AA5087" s="15" t="n">
        <v>105</v>
      </c>
      <c r="AW5087" s="15" t="n">
        <v>105</v>
      </c>
      <c r="BS5087" s="15" t="n">
        <v>105</v>
      </c>
      <c r="CO5087" s="15" t="n">
        <v>105</v>
      </c>
      <c r="DK5087" s="15" t="n">
        <v>105</v>
      </c>
      <c r="EG5087" s="15" t="n">
        <v>105</v>
      </c>
      <c r="FC5087" s="15" t="n">
        <v>105</v>
      </c>
      <c r="FY5087" s="15" t="n">
        <v>105</v>
      </c>
      <c r="GU5087" s="15" t="n">
        <v>105</v>
      </c>
    </row>
    <row r="5088">
      <c r="C5088" s="15" t="n">
        <v>106</v>
      </c>
      <c r="AA5088" s="15" t="n">
        <v>106</v>
      </c>
      <c r="AW5088" s="15" t="n">
        <v>106</v>
      </c>
      <c r="BS5088" s="15" t="n">
        <v>106</v>
      </c>
      <c r="CO5088" s="15" t="n">
        <v>106</v>
      </c>
      <c r="DK5088" s="15" t="n">
        <v>106</v>
      </c>
      <c r="EG5088" s="15" t="n">
        <v>106</v>
      </c>
      <c r="FC5088" s="15" t="n">
        <v>106</v>
      </c>
      <c r="FY5088" s="15" t="n">
        <v>106</v>
      </c>
      <c r="GU5088" s="15" t="n">
        <v>106</v>
      </c>
    </row>
    <row r="5089">
      <c r="C5089" s="15" t="n">
        <v>107</v>
      </c>
      <c r="AA5089" s="15" t="n">
        <v>107</v>
      </c>
      <c r="AW5089" s="15" t="n">
        <v>107</v>
      </c>
      <c r="BS5089" s="15" t="n">
        <v>107</v>
      </c>
      <c r="CO5089" s="15" t="n">
        <v>107</v>
      </c>
      <c r="DK5089" s="15" t="n">
        <v>107</v>
      </c>
      <c r="EG5089" s="15" t="n">
        <v>107</v>
      </c>
      <c r="FC5089" s="15" t="n">
        <v>107</v>
      </c>
      <c r="FY5089" s="15" t="n">
        <v>107</v>
      </c>
      <c r="GU5089" s="15" t="n">
        <v>107</v>
      </c>
    </row>
    <row r="5090">
      <c r="C5090" s="15" t="n">
        <v>108</v>
      </c>
      <c r="AA5090" s="15" t="n">
        <v>108</v>
      </c>
      <c r="AW5090" s="15" t="n">
        <v>108</v>
      </c>
      <c r="BS5090" s="15" t="n">
        <v>108</v>
      </c>
      <c r="CO5090" s="15" t="n">
        <v>108</v>
      </c>
      <c r="DK5090" s="15" t="n">
        <v>108</v>
      </c>
      <c r="EG5090" s="15" t="n">
        <v>108</v>
      </c>
      <c r="FC5090" s="15" t="n">
        <v>108</v>
      </c>
      <c r="FY5090" s="15" t="n">
        <v>108</v>
      </c>
      <c r="GU5090" s="15" t="n">
        <v>108</v>
      </c>
    </row>
    <row r="5091">
      <c r="C5091" s="15" t="n">
        <v>109</v>
      </c>
      <c r="AA5091" s="15" t="n">
        <v>109</v>
      </c>
      <c r="AW5091" s="15" t="n">
        <v>109</v>
      </c>
      <c r="BS5091" s="15" t="n">
        <v>109</v>
      </c>
      <c r="CO5091" s="15" t="n">
        <v>109</v>
      </c>
      <c r="DK5091" s="15" t="n">
        <v>109</v>
      </c>
      <c r="EG5091" s="15" t="n">
        <v>109</v>
      </c>
      <c r="FC5091" s="15" t="n">
        <v>109</v>
      </c>
      <c r="FY5091" s="15" t="n">
        <v>109</v>
      </c>
      <c r="GU5091" s="15" t="n">
        <v>109</v>
      </c>
    </row>
    <row r="5092">
      <c r="C5092" s="15" t="n">
        <v>110</v>
      </c>
      <c r="AA5092" s="15" t="n">
        <v>110</v>
      </c>
      <c r="AW5092" s="15" t="n">
        <v>110</v>
      </c>
      <c r="BS5092" s="15" t="n">
        <v>110</v>
      </c>
      <c r="CO5092" s="15" t="n">
        <v>110</v>
      </c>
      <c r="DK5092" s="15" t="n">
        <v>110</v>
      </c>
      <c r="EG5092" s="15" t="n">
        <v>110</v>
      </c>
      <c r="FC5092" s="15" t="n">
        <v>110</v>
      </c>
      <c r="FY5092" s="15" t="n">
        <v>110</v>
      </c>
      <c r="GU5092" s="15" t="n">
        <v>110</v>
      </c>
    </row>
    <row r="5093">
      <c r="C5093" s="15" t="n">
        <v>111</v>
      </c>
      <c r="AA5093" s="15" t="n">
        <v>111</v>
      </c>
      <c r="AW5093" s="15" t="n">
        <v>111</v>
      </c>
      <c r="BS5093" s="15" t="n">
        <v>111</v>
      </c>
      <c r="CO5093" s="15" t="n">
        <v>111</v>
      </c>
      <c r="DK5093" s="15" t="n">
        <v>111</v>
      </c>
      <c r="EG5093" s="15" t="n">
        <v>111</v>
      </c>
      <c r="FC5093" s="15" t="n">
        <v>111</v>
      </c>
      <c r="FY5093" s="15" t="n">
        <v>111</v>
      </c>
      <c r="GU5093" s="15" t="n">
        <v>111</v>
      </c>
    </row>
    <row r="5094">
      <c r="C5094" s="15" t="n">
        <v>112</v>
      </c>
      <c r="AA5094" s="15" t="n">
        <v>112</v>
      </c>
      <c r="AW5094" s="15" t="n">
        <v>112</v>
      </c>
      <c r="BS5094" s="15" t="n">
        <v>112</v>
      </c>
      <c r="CO5094" s="15" t="n">
        <v>112</v>
      </c>
      <c r="DK5094" s="15" t="n">
        <v>112</v>
      </c>
      <c r="EG5094" s="15" t="n">
        <v>112</v>
      </c>
      <c r="FC5094" s="15" t="n">
        <v>112</v>
      </c>
      <c r="FY5094" s="15" t="n">
        <v>112</v>
      </c>
      <c r="GU5094" s="15" t="n">
        <v>112</v>
      </c>
    </row>
    <row r="5095">
      <c r="C5095" s="15" t="n">
        <v>113</v>
      </c>
      <c r="AA5095" s="15" t="n">
        <v>113</v>
      </c>
      <c r="AW5095" s="15" t="n">
        <v>113</v>
      </c>
      <c r="BS5095" s="15" t="n">
        <v>113</v>
      </c>
      <c r="CO5095" s="15" t="n">
        <v>113</v>
      </c>
      <c r="DK5095" s="15" t="n">
        <v>113</v>
      </c>
      <c r="EG5095" s="15" t="n">
        <v>113</v>
      </c>
      <c r="FC5095" s="15" t="n">
        <v>113</v>
      </c>
      <c r="FY5095" s="15" t="n">
        <v>113</v>
      </c>
      <c r="GU5095" s="15" t="n">
        <v>113</v>
      </c>
    </row>
    <row r="5096">
      <c r="C5096" s="15" t="n">
        <v>114</v>
      </c>
      <c r="AA5096" s="15" t="n">
        <v>114</v>
      </c>
      <c r="AW5096" s="15" t="n">
        <v>114</v>
      </c>
      <c r="BS5096" s="15" t="n">
        <v>114</v>
      </c>
      <c r="CO5096" s="15" t="n">
        <v>114</v>
      </c>
      <c r="DK5096" s="15" t="n">
        <v>114</v>
      </c>
      <c r="EG5096" s="15" t="n">
        <v>114</v>
      </c>
      <c r="FC5096" s="15" t="n">
        <v>114</v>
      </c>
      <c r="FY5096" s="15" t="n">
        <v>114</v>
      </c>
      <c r="GU5096" s="15" t="n">
        <v>114</v>
      </c>
    </row>
    <row r="5097">
      <c r="C5097" s="15" t="n">
        <v>115</v>
      </c>
      <c r="AA5097" s="15" t="n">
        <v>115</v>
      </c>
      <c r="AW5097" s="15" t="n">
        <v>115</v>
      </c>
      <c r="BS5097" s="15" t="n">
        <v>115</v>
      </c>
      <c r="CO5097" s="15" t="n">
        <v>115</v>
      </c>
      <c r="DK5097" s="15" t="n">
        <v>115</v>
      </c>
      <c r="EG5097" s="15" t="n">
        <v>115</v>
      </c>
      <c r="FC5097" s="15" t="n">
        <v>115</v>
      </c>
      <c r="FY5097" s="15" t="n">
        <v>115</v>
      </c>
      <c r="GU5097" s="15" t="n">
        <v>115</v>
      </c>
    </row>
    <row r="5098">
      <c r="C5098" s="15" t="n">
        <v>116</v>
      </c>
      <c r="AA5098" s="15" t="n">
        <v>116</v>
      </c>
      <c r="AW5098" s="15" t="n">
        <v>116</v>
      </c>
      <c r="BS5098" s="15" t="n">
        <v>116</v>
      </c>
      <c r="CO5098" s="15" t="n">
        <v>116</v>
      </c>
      <c r="DK5098" s="15" t="n">
        <v>116</v>
      </c>
      <c r="EG5098" s="15" t="n">
        <v>116</v>
      </c>
      <c r="FC5098" s="15" t="n">
        <v>116</v>
      </c>
      <c r="FY5098" s="15" t="n">
        <v>116</v>
      </c>
      <c r="GU5098" s="15" t="n">
        <v>116</v>
      </c>
    </row>
    <row r="5099">
      <c r="C5099" s="15" t="n">
        <v>117</v>
      </c>
      <c r="AA5099" s="15" t="n">
        <v>117</v>
      </c>
      <c r="AW5099" s="15" t="n">
        <v>117</v>
      </c>
      <c r="BS5099" s="15" t="n">
        <v>117</v>
      </c>
      <c r="CO5099" s="15" t="n">
        <v>117</v>
      </c>
      <c r="DK5099" s="15" t="n">
        <v>117</v>
      </c>
      <c r="EG5099" s="15" t="n">
        <v>117</v>
      </c>
      <c r="FC5099" s="15" t="n">
        <v>117</v>
      </c>
      <c r="FY5099" s="15" t="n">
        <v>117</v>
      </c>
      <c r="GU5099" s="15" t="n">
        <v>117</v>
      </c>
    </row>
    <row r="5100">
      <c r="C5100" s="15" t="n">
        <v>118</v>
      </c>
      <c r="AA5100" s="15" t="n">
        <v>118</v>
      </c>
      <c r="AW5100" s="15" t="n">
        <v>118</v>
      </c>
      <c r="BS5100" s="15" t="n">
        <v>118</v>
      </c>
      <c r="CO5100" s="15" t="n">
        <v>118</v>
      </c>
      <c r="DK5100" s="15" t="n">
        <v>118</v>
      </c>
      <c r="EG5100" s="15" t="n">
        <v>118</v>
      </c>
      <c r="FC5100" s="15" t="n">
        <v>118</v>
      </c>
      <c r="FY5100" s="15" t="n">
        <v>118</v>
      </c>
      <c r="GU5100" s="15" t="n">
        <v>118</v>
      </c>
    </row>
    <row r="5101">
      <c r="C5101" s="15" t="n">
        <v>119</v>
      </c>
      <c r="AA5101" s="15" t="n">
        <v>119</v>
      </c>
      <c r="AW5101" s="15" t="n">
        <v>119</v>
      </c>
      <c r="BS5101" s="15" t="n">
        <v>119</v>
      </c>
      <c r="CO5101" s="15" t="n">
        <v>119</v>
      </c>
      <c r="DK5101" s="15" t="n">
        <v>119</v>
      </c>
      <c r="EG5101" s="15" t="n">
        <v>119</v>
      </c>
      <c r="FC5101" s="15" t="n">
        <v>119</v>
      </c>
      <c r="FY5101" s="15" t="n">
        <v>119</v>
      </c>
      <c r="GU5101" s="15" t="n">
        <v>119</v>
      </c>
    </row>
    <row r="5102">
      <c r="C5102" s="15" t="n">
        <v>120</v>
      </c>
      <c r="AA5102" s="15" t="n">
        <v>120</v>
      </c>
      <c r="AW5102" s="15" t="n">
        <v>120</v>
      </c>
      <c r="BS5102" s="15" t="n">
        <v>120</v>
      </c>
      <c r="CO5102" s="15" t="n">
        <v>120</v>
      </c>
      <c r="DK5102" s="15" t="n">
        <v>120</v>
      </c>
      <c r="EG5102" s="15" t="n">
        <v>120</v>
      </c>
      <c r="FC5102" s="15" t="n">
        <v>120</v>
      </c>
      <c r="FY5102" s="15" t="n">
        <v>120</v>
      </c>
      <c r="GU5102" s="15" t="n">
        <v>120</v>
      </c>
    </row>
    <row r="5103">
      <c r="C5103" s="15" t="n">
        <v>121</v>
      </c>
      <c r="AA5103" s="15" t="n">
        <v>121</v>
      </c>
      <c r="AW5103" s="15" t="n">
        <v>121</v>
      </c>
      <c r="BS5103" s="15" t="n">
        <v>121</v>
      </c>
      <c r="CO5103" s="15" t="n">
        <v>121</v>
      </c>
      <c r="DK5103" s="15" t="n">
        <v>121</v>
      </c>
      <c r="EG5103" s="15" t="n">
        <v>121</v>
      </c>
      <c r="FC5103" s="15" t="n">
        <v>121</v>
      </c>
      <c r="FY5103" s="15" t="n">
        <v>121</v>
      </c>
      <c r="GU5103" s="15" t="n">
        <v>121</v>
      </c>
    </row>
    <row r="5104">
      <c r="C5104" s="15" t="n">
        <v>122</v>
      </c>
      <c r="AA5104" s="15" t="n">
        <v>122</v>
      </c>
      <c r="AW5104" s="15" t="n">
        <v>122</v>
      </c>
      <c r="BS5104" s="15" t="n">
        <v>122</v>
      </c>
      <c r="CO5104" s="15" t="n">
        <v>122</v>
      </c>
      <c r="DK5104" s="15" t="n">
        <v>122</v>
      </c>
      <c r="EG5104" s="15" t="n">
        <v>122</v>
      </c>
      <c r="FC5104" s="15" t="n">
        <v>122</v>
      </c>
      <c r="FY5104" s="15" t="n">
        <v>122</v>
      </c>
      <c r="GU5104" s="15" t="n">
        <v>122</v>
      </c>
    </row>
    <row r="5105">
      <c r="C5105" s="15" t="n">
        <v>123</v>
      </c>
      <c r="AA5105" s="15" t="n">
        <v>123</v>
      </c>
      <c r="AW5105" s="15" t="n">
        <v>123</v>
      </c>
      <c r="BS5105" s="15" t="n">
        <v>123</v>
      </c>
      <c r="CO5105" s="15" t="n">
        <v>123</v>
      </c>
      <c r="DK5105" s="15" t="n">
        <v>123</v>
      </c>
      <c r="EG5105" s="15" t="n">
        <v>123</v>
      </c>
      <c r="FC5105" s="15" t="n">
        <v>123</v>
      </c>
      <c r="FY5105" s="15" t="n">
        <v>123</v>
      </c>
      <c r="GU5105" s="15" t="n">
        <v>123</v>
      </c>
    </row>
    <row r="5106">
      <c r="C5106" s="15" t="n">
        <v>124</v>
      </c>
      <c r="AA5106" s="15" t="n">
        <v>124</v>
      </c>
      <c r="AW5106" s="15" t="n">
        <v>124</v>
      </c>
      <c r="BS5106" s="15" t="n">
        <v>124</v>
      </c>
      <c r="CO5106" s="15" t="n">
        <v>124</v>
      </c>
      <c r="DK5106" s="15" t="n">
        <v>124</v>
      </c>
      <c r="EG5106" s="15" t="n">
        <v>124</v>
      </c>
      <c r="FC5106" s="15" t="n">
        <v>124</v>
      </c>
      <c r="FY5106" s="15" t="n">
        <v>124</v>
      </c>
      <c r="GU5106" s="15" t="n">
        <v>124</v>
      </c>
    </row>
    <row r="5107">
      <c r="C5107" s="15" t="n">
        <v>125</v>
      </c>
      <c r="AA5107" s="15" t="n">
        <v>125</v>
      </c>
      <c r="AW5107" s="15" t="n">
        <v>125</v>
      </c>
      <c r="BS5107" s="15" t="n">
        <v>125</v>
      </c>
      <c r="CO5107" s="15" t="n">
        <v>125</v>
      </c>
      <c r="DK5107" s="15" t="n">
        <v>125</v>
      </c>
      <c r="EG5107" s="15" t="n">
        <v>125</v>
      </c>
      <c r="FC5107" s="15" t="n">
        <v>125</v>
      </c>
      <c r="FY5107" s="15" t="n">
        <v>125</v>
      </c>
      <c r="GU5107" s="15" t="n">
        <v>125</v>
      </c>
    </row>
    <row r="5108">
      <c r="C5108" s="15" t="n">
        <v>126</v>
      </c>
      <c r="AA5108" s="15" t="n">
        <v>126</v>
      </c>
      <c r="AW5108" s="15" t="n">
        <v>126</v>
      </c>
      <c r="BS5108" s="15" t="n">
        <v>126</v>
      </c>
      <c r="CO5108" s="15" t="n">
        <v>126</v>
      </c>
      <c r="DK5108" s="15" t="n">
        <v>126</v>
      </c>
      <c r="EG5108" s="15" t="n">
        <v>126</v>
      </c>
      <c r="FC5108" s="15" t="n">
        <v>126</v>
      </c>
      <c r="FY5108" s="15" t="n">
        <v>126</v>
      </c>
      <c r="GU5108" s="15" t="n">
        <v>126</v>
      </c>
    </row>
    <row r="5109">
      <c r="C5109" s="15" t="n">
        <v>127</v>
      </c>
      <c r="AA5109" s="15" t="n">
        <v>127</v>
      </c>
      <c r="AW5109" s="15" t="n">
        <v>127</v>
      </c>
      <c r="BS5109" s="15" t="n">
        <v>127</v>
      </c>
      <c r="CO5109" s="15" t="n">
        <v>127</v>
      </c>
      <c r="DK5109" s="15" t="n">
        <v>127</v>
      </c>
      <c r="EG5109" s="15" t="n">
        <v>127</v>
      </c>
      <c r="FC5109" s="15" t="n">
        <v>127</v>
      </c>
      <c r="FY5109" s="15" t="n">
        <v>127</v>
      </c>
      <c r="GU5109" s="15" t="n">
        <v>127</v>
      </c>
    </row>
    <row r="5110">
      <c r="C5110" s="15" t="n">
        <v>128</v>
      </c>
      <c r="AA5110" s="15" t="n">
        <v>128</v>
      </c>
      <c r="AW5110" s="15" t="n">
        <v>128</v>
      </c>
      <c r="BS5110" s="15" t="n">
        <v>128</v>
      </c>
      <c r="CO5110" s="15" t="n">
        <v>128</v>
      </c>
      <c r="DK5110" s="15" t="n">
        <v>128</v>
      </c>
      <c r="EG5110" s="15" t="n">
        <v>128</v>
      </c>
      <c r="FC5110" s="15" t="n">
        <v>128</v>
      </c>
      <c r="FY5110" s="15" t="n">
        <v>128</v>
      </c>
      <c r="GU5110" s="15" t="n">
        <v>128</v>
      </c>
    </row>
    <row r="5111">
      <c r="C5111" s="15" t="n">
        <v>129</v>
      </c>
      <c r="AA5111" s="15" t="n">
        <v>129</v>
      </c>
      <c r="AW5111" s="15" t="n">
        <v>129</v>
      </c>
      <c r="BS5111" s="15" t="n">
        <v>129</v>
      </c>
      <c r="CO5111" s="15" t="n">
        <v>129</v>
      </c>
      <c r="DK5111" s="15" t="n">
        <v>129</v>
      </c>
      <c r="EG5111" s="15" t="n">
        <v>129</v>
      </c>
      <c r="FC5111" s="15" t="n">
        <v>129</v>
      </c>
      <c r="FY5111" s="15" t="n">
        <v>129</v>
      </c>
      <c r="GU5111" s="15" t="n">
        <v>129</v>
      </c>
    </row>
    <row r="5112">
      <c r="C5112" s="15" t="n">
        <v>130</v>
      </c>
      <c r="AA5112" s="15" t="n">
        <v>130</v>
      </c>
      <c r="AW5112" s="15" t="n">
        <v>130</v>
      </c>
      <c r="BS5112" s="15" t="n">
        <v>130</v>
      </c>
      <c r="CO5112" s="15" t="n">
        <v>130</v>
      </c>
      <c r="DK5112" s="15" t="n">
        <v>130</v>
      </c>
      <c r="EG5112" s="15" t="n">
        <v>130</v>
      </c>
      <c r="FC5112" s="15" t="n">
        <v>130</v>
      </c>
      <c r="FY5112" s="15" t="n">
        <v>130</v>
      </c>
      <c r="GU5112" s="15" t="n">
        <v>130</v>
      </c>
    </row>
    <row r="5113">
      <c r="C5113" s="15" t="n">
        <v>131</v>
      </c>
      <c r="AA5113" s="15" t="n">
        <v>131</v>
      </c>
      <c r="AW5113" s="15" t="n">
        <v>131</v>
      </c>
      <c r="BS5113" s="15" t="n">
        <v>131</v>
      </c>
      <c r="CO5113" s="15" t="n">
        <v>131</v>
      </c>
      <c r="DK5113" s="15" t="n">
        <v>131</v>
      </c>
      <c r="EG5113" s="15" t="n">
        <v>131</v>
      </c>
      <c r="FC5113" s="15" t="n">
        <v>131</v>
      </c>
      <c r="FY5113" s="15" t="n">
        <v>131</v>
      </c>
      <c r="GU5113" s="15" t="n">
        <v>131</v>
      </c>
    </row>
    <row r="5114">
      <c r="C5114" s="15" t="n">
        <v>132</v>
      </c>
      <c r="AA5114" s="15" t="n">
        <v>132</v>
      </c>
      <c r="AW5114" s="15" t="n">
        <v>132</v>
      </c>
      <c r="BS5114" s="15" t="n">
        <v>132</v>
      </c>
      <c r="CO5114" s="15" t="n">
        <v>132</v>
      </c>
      <c r="DK5114" s="15" t="n">
        <v>132</v>
      </c>
      <c r="EG5114" s="15" t="n">
        <v>132</v>
      </c>
      <c r="FC5114" s="15" t="n">
        <v>132</v>
      </c>
      <c r="FY5114" s="15" t="n">
        <v>132</v>
      </c>
      <c r="GU5114" s="15" t="n">
        <v>132</v>
      </c>
    </row>
    <row r="5115">
      <c r="C5115" s="15" t="n">
        <v>133</v>
      </c>
      <c r="AA5115" s="15" t="n">
        <v>133</v>
      </c>
      <c r="AW5115" s="15" t="n">
        <v>133</v>
      </c>
      <c r="BS5115" s="15" t="n">
        <v>133</v>
      </c>
      <c r="CO5115" s="15" t="n">
        <v>133</v>
      </c>
      <c r="DK5115" s="15" t="n">
        <v>133</v>
      </c>
      <c r="EG5115" s="15" t="n">
        <v>133</v>
      </c>
      <c r="FC5115" s="15" t="n">
        <v>133</v>
      </c>
      <c r="FY5115" s="15" t="n">
        <v>133</v>
      </c>
      <c r="GU5115" s="15" t="n">
        <v>133</v>
      </c>
    </row>
    <row r="5116">
      <c r="C5116" s="15" t="n">
        <v>134</v>
      </c>
      <c r="AA5116" s="15" t="n">
        <v>134</v>
      </c>
      <c r="AW5116" s="15" t="n">
        <v>134</v>
      </c>
      <c r="BS5116" s="15" t="n">
        <v>134</v>
      </c>
      <c r="CO5116" s="15" t="n">
        <v>134</v>
      </c>
      <c r="DK5116" s="15" t="n">
        <v>134</v>
      </c>
      <c r="EG5116" s="15" t="n">
        <v>134</v>
      </c>
      <c r="FC5116" s="15" t="n">
        <v>134</v>
      </c>
      <c r="FY5116" s="15" t="n">
        <v>134</v>
      </c>
      <c r="GU5116" s="15" t="n">
        <v>134</v>
      </c>
    </row>
    <row r="5117">
      <c r="C5117" s="15" t="n">
        <v>135</v>
      </c>
      <c r="AA5117" s="15" t="n">
        <v>135</v>
      </c>
      <c r="AW5117" s="15" t="n">
        <v>135</v>
      </c>
      <c r="BS5117" s="15" t="n">
        <v>135</v>
      </c>
      <c r="CO5117" s="15" t="n">
        <v>135</v>
      </c>
      <c r="DK5117" s="15" t="n">
        <v>135</v>
      </c>
      <c r="EG5117" s="15" t="n">
        <v>135</v>
      </c>
      <c r="FC5117" s="15" t="n">
        <v>135</v>
      </c>
      <c r="FY5117" s="15" t="n">
        <v>135</v>
      </c>
      <c r="GU5117" s="15" t="n">
        <v>135</v>
      </c>
    </row>
    <row r="5118">
      <c r="C5118" s="15" t="n">
        <v>136</v>
      </c>
      <c r="AA5118" s="15" t="n">
        <v>136</v>
      </c>
      <c r="AW5118" s="15" t="n">
        <v>136</v>
      </c>
      <c r="BS5118" s="15" t="n">
        <v>136</v>
      </c>
      <c r="CO5118" s="15" t="n">
        <v>136</v>
      </c>
      <c r="DK5118" s="15" t="n">
        <v>136</v>
      </c>
      <c r="EG5118" s="15" t="n">
        <v>136</v>
      </c>
      <c r="FC5118" s="15" t="n">
        <v>136</v>
      </c>
      <c r="FY5118" s="15" t="n">
        <v>136</v>
      </c>
      <c r="GU5118" s="15" t="n">
        <v>136</v>
      </c>
    </row>
    <row r="5119">
      <c r="C5119" s="15" t="n">
        <v>137</v>
      </c>
      <c r="AA5119" s="15" t="n">
        <v>137</v>
      </c>
      <c r="AW5119" s="15" t="n">
        <v>137</v>
      </c>
      <c r="BS5119" s="15" t="n">
        <v>137</v>
      </c>
      <c r="CO5119" s="15" t="n">
        <v>137</v>
      </c>
      <c r="DK5119" s="15" t="n">
        <v>137</v>
      </c>
      <c r="EG5119" s="15" t="n">
        <v>137</v>
      </c>
      <c r="FC5119" s="15" t="n">
        <v>137</v>
      </c>
      <c r="FY5119" s="15" t="n">
        <v>137</v>
      </c>
      <c r="GU5119" s="15" t="n">
        <v>137</v>
      </c>
    </row>
    <row r="5120">
      <c r="C5120" s="15" t="n">
        <v>138</v>
      </c>
      <c r="AA5120" s="15" t="n">
        <v>138</v>
      </c>
      <c r="AW5120" s="15" t="n">
        <v>138</v>
      </c>
      <c r="BS5120" s="15" t="n">
        <v>138</v>
      </c>
      <c r="CO5120" s="15" t="n">
        <v>138</v>
      </c>
      <c r="DK5120" s="15" t="n">
        <v>138</v>
      </c>
      <c r="EG5120" s="15" t="n">
        <v>138</v>
      </c>
      <c r="FC5120" s="15" t="n">
        <v>138</v>
      </c>
      <c r="FY5120" s="15" t="n">
        <v>138</v>
      </c>
      <c r="GU5120" s="15" t="n">
        <v>138</v>
      </c>
    </row>
    <row r="5121">
      <c r="C5121" s="15" t="n">
        <v>139</v>
      </c>
      <c r="AA5121" s="15" t="n">
        <v>139</v>
      </c>
      <c r="AW5121" s="15" t="n">
        <v>139</v>
      </c>
      <c r="BS5121" s="15" t="n">
        <v>139</v>
      </c>
      <c r="CO5121" s="15" t="n">
        <v>139</v>
      </c>
      <c r="DK5121" s="15" t="n">
        <v>139</v>
      </c>
      <c r="EG5121" s="15" t="n">
        <v>139</v>
      </c>
      <c r="FC5121" s="15" t="n">
        <v>139</v>
      </c>
      <c r="FY5121" s="15" t="n">
        <v>139</v>
      </c>
      <c r="GU5121" s="15" t="n">
        <v>139</v>
      </c>
    </row>
    <row r="5122">
      <c r="C5122" s="15" t="n">
        <v>140</v>
      </c>
      <c r="AA5122" s="15" t="n">
        <v>140</v>
      </c>
      <c r="AW5122" s="15" t="n">
        <v>140</v>
      </c>
      <c r="BS5122" s="15" t="n">
        <v>140</v>
      </c>
      <c r="CO5122" s="15" t="n">
        <v>140</v>
      </c>
      <c r="DK5122" s="15" t="n">
        <v>140</v>
      </c>
      <c r="EG5122" s="15" t="n">
        <v>140</v>
      </c>
      <c r="FC5122" s="15" t="n">
        <v>140</v>
      </c>
      <c r="FY5122" s="15" t="n">
        <v>140</v>
      </c>
      <c r="GU5122" s="15" t="n">
        <v>140</v>
      </c>
    </row>
    <row r="5123">
      <c r="C5123" s="15" t="n">
        <v>141</v>
      </c>
      <c r="AA5123" s="15" t="n">
        <v>141</v>
      </c>
      <c r="AW5123" s="15" t="n">
        <v>141</v>
      </c>
      <c r="BS5123" s="15" t="n">
        <v>141</v>
      </c>
      <c r="CO5123" s="15" t="n">
        <v>141</v>
      </c>
      <c r="DK5123" s="15" t="n">
        <v>141</v>
      </c>
      <c r="EG5123" s="15" t="n">
        <v>141</v>
      </c>
      <c r="FC5123" s="15" t="n">
        <v>141</v>
      </c>
      <c r="FY5123" s="15" t="n">
        <v>141</v>
      </c>
      <c r="GU5123" s="15" t="n">
        <v>141</v>
      </c>
    </row>
    <row r="5124">
      <c r="C5124" s="15" t="n">
        <v>142</v>
      </c>
      <c r="AA5124" s="15" t="n">
        <v>142</v>
      </c>
      <c r="AW5124" s="15" t="n">
        <v>142</v>
      </c>
      <c r="BS5124" s="15" t="n">
        <v>142</v>
      </c>
      <c r="CO5124" s="15" t="n">
        <v>142</v>
      </c>
      <c r="DK5124" s="15" t="n">
        <v>142</v>
      </c>
      <c r="EG5124" s="15" t="n">
        <v>142</v>
      </c>
      <c r="FC5124" s="15" t="n">
        <v>142</v>
      </c>
      <c r="FY5124" s="15" t="n">
        <v>142</v>
      </c>
      <c r="GU5124" s="15" t="n">
        <v>142</v>
      </c>
    </row>
    <row r="5125">
      <c r="C5125" s="15" t="n">
        <v>143</v>
      </c>
      <c r="AA5125" s="15" t="n">
        <v>143</v>
      </c>
      <c r="AW5125" s="15" t="n">
        <v>143</v>
      </c>
      <c r="BS5125" s="15" t="n">
        <v>143</v>
      </c>
      <c r="CO5125" s="15" t="n">
        <v>143</v>
      </c>
      <c r="DK5125" s="15" t="n">
        <v>143</v>
      </c>
      <c r="EG5125" s="15" t="n">
        <v>143</v>
      </c>
      <c r="FC5125" s="15" t="n">
        <v>143</v>
      </c>
      <c r="FY5125" s="15" t="n">
        <v>143</v>
      </c>
      <c r="GU5125" s="15" t="n">
        <v>143</v>
      </c>
    </row>
    <row r="5126">
      <c r="C5126" s="15" t="n">
        <v>144</v>
      </c>
      <c r="AA5126" s="15" t="n">
        <v>144</v>
      </c>
      <c r="AW5126" s="15" t="n">
        <v>144</v>
      </c>
      <c r="BS5126" s="15" t="n">
        <v>144</v>
      </c>
      <c r="CO5126" s="15" t="n">
        <v>144</v>
      </c>
      <c r="DK5126" s="15" t="n">
        <v>144</v>
      </c>
      <c r="EG5126" s="15" t="n">
        <v>144</v>
      </c>
      <c r="FC5126" s="15" t="n">
        <v>144</v>
      </c>
      <c r="FY5126" s="15" t="n">
        <v>144</v>
      </c>
      <c r="GU5126" s="15" t="n">
        <v>144</v>
      </c>
    </row>
    <row r="5127">
      <c r="C5127" s="15" t="n">
        <v>145</v>
      </c>
      <c r="AA5127" s="15" t="n">
        <v>145</v>
      </c>
      <c r="AW5127" s="15" t="n">
        <v>145</v>
      </c>
      <c r="BS5127" s="15" t="n">
        <v>145</v>
      </c>
      <c r="CO5127" s="15" t="n">
        <v>145</v>
      </c>
      <c r="DK5127" s="15" t="n">
        <v>145</v>
      </c>
      <c r="EG5127" s="15" t="n">
        <v>145</v>
      </c>
      <c r="FC5127" s="15" t="n">
        <v>145</v>
      </c>
      <c r="FY5127" s="15" t="n">
        <v>145</v>
      </c>
      <c r="GU5127" s="15" t="n">
        <v>145</v>
      </c>
    </row>
    <row r="5128">
      <c r="C5128" s="15" t="n">
        <v>146</v>
      </c>
      <c r="AA5128" s="15" t="n">
        <v>146</v>
      </c>
      <c r="AW5128" s="15" t="n">
        <v>146</v>
      </c>
      <c r="BS5128" s="15" t="n">
        <v>146</v>
      </c>
      <c r="CO5128" s="15" t="n">
        <v>146</v>
      </c>
      <c r="DK5128" s="15" t="n">
        <v>146</v>
      </c>
      <c r="EG5128" s="15" t="n">
        <v>146</v>
      </c>
      <c r="FC5128" s="15" t="n">
        <v>146</v>
      </c>
      <c r="FY5128" s="15" t="n">
        <v>146</v>
      </c>
      <c r="GU5128" s="15" t="n">
        <v>146</v>
      </c>
    </row>
    <row r="5129">
      <c r="C5129" s="15" t="n">
        <v>147</v>
      </c>
      <c r="AA5129" s="15" t="n">
        <v>147</v>
      </c>
      <c r="AW5129" s="15" t="n">
        <v>147</v>
      </c>
      <c r="BS5129" s="15" t="n">
        <v>147</v>
      </c>
      <c r="CO5129" s="15" t="n">
        <v>147</v>
      </c>
      <c r="DK5129" s="15" t="n">
        <v>147</v>
      </c>
      <c r="EG5129" s="15" t="n">
        <v>147</v>
      </c>
      <c r="FC5129" s="15" t="n">
        <v>147</v>
      </c>
      <c r="FY5129" s="15" t="n">
        <v>147</v>
      </c>
      <c r="GU5129" s="15" t="n">
        <v>147</v>
      </c>
    </row>
    <row r="5130">
      <c r="C5130" s="15" t="n">
        <v>148</v>
      </c>
      <c r="AA5130" s="15" t="n">
        <v>148</v>
      </c>
      <c r="AW5130" s="15" t="n">
        <v>148</v>
      </c>
      <c r="BS5130" s="15" t="n">
        <v>148</v>
      </c>
      <c r="CO5130" s="15" t="n">
        <v>148</v>
      </c>
      <c r="DK5130" s="15" t="n">
        <v>148</v>
      </c>
      <c r="EG5130" s="15" t="n">
        <v>148</v>
      </c>
      <c r="FC5130" s="15" t="n">
        <v>148</v>
      </c>
      <c r="FY5130" s="15" t="n">
        <v>148</v>
      </c>
      <c r="GU5130" s="15" t="n">
        <v>148</v>
      </c>
    </row>
    <row r="5131">
      <c r="C5131" s="15" t="n">
        <v>149</v>
      </c>
      <c r="AA5131" s="15" t="n">
        <v>149</v>
      </c>
      <c r="AW5131" s="15" t="n">
        <v>149</v>
      </c>
      <c r="BS5131" s="15" t="n">
        <v>149</v>
      </c>
      <c r="CO5131" s="15" t="n">
        <v>149</v>
      </c>
      <c r="DK5131" s="15" t="n">
        <v>149</v>
      </c>
      <c r="EG5131" s="15" t="n">
        <v>149</v>
      </c>
      <c r="FC5131" s="15" t="n">
        <v>149</v>
      </c>
      <c r="FY5131" s="15" t="n">
        <v>149</v>
      </c>
      <c r="GU5131" s="15" t="n">
        <v>149</v>
      </c>
    </row>
    <row r="5132">
      <c r="C5132" s="15" t="n">
        <v>150</v>
      </c>
      <c r="AA5132" s="15" t="n">
        <v>150</v>
      </c>
      <c r="AW5132" s="15" t="n">
        <v>150</v>
      </c>
      <c r="BS5132" s="15" t="n">
        <v>150</v>
      </c>
      <c r="CO5132" s="15" t="n">
        <v>150</v>
      </c>
      <c r="DK5132" s="15" t="n">
        <v>150</v>
      </c>
      <c r="EG5132" s="15" t="n">
        <v>150</v>
      </c>
      <c r="FC5132" s="15" t="n">
        <v>150</v>
      </c>
      <c r="FY5132" s="15" t="n">
        <v>150</v>
      </c>
      <c r="GU5132" s="15" t="n">
        <v>150</v>
      </c>
    </row>
    <row r="5133">
      <c r="C5133" s="15" t="n">
        <v>151</v>
      </c>
      <c r="AA5133" s="15" t="n">
        <v>151</v>
      </c>
      <c r="AW5133" s="15" t="n">
        <v>151</v>
      </c>
      <c r="BS5133" s="15" t="n">
        <v>151</v>
      </c>
      <c r="CO5133" s="15" t="n">
        <v>151</v>
      </c>
      <c r="DK5133" s="15" t="n">
        <v>151</v>
      </c>
      <c r="EG5133" s="15" t="n">
        <v>151</v>
      </c>
      <c r="FC5133" s="15" t="n">
        <v>151</v>
      </c>
      <c r="FY5133" s="15" t="n">
        <v>151</v>
      </c>
      <c r="GU5133" s="15" t="n">
        <v>151</v>
      </c>
    </row>
    <row r="5134">
      <c r="C5134" s="15" t="n">
        <v>152</v>
      </c>
      <c r="AA5134" s="15" t="n">
        <v>152</v>
      </c>
      <c r="AW5134" s="15" t="n">
        <v>152</v>
      </c>
      <c r="BS5134" s="15" t="n">
        <v>152</v>
      </c>
      <c r="CO5134" s="15" t="n">
        <v>152</v>
      </c>
      <c r="DK5134" s="15" t="n">
        <v>152</v>
      </c>
      <c r="EG5134" s="15" t="n">
        <v>152</v>
      </c>
      <c r="FC5134" s="15" t="n">
        <v>152</v>
      </c>
      <c r="FY5134" s="15" t="n">
        <v>152</v>
      </c>
      <c r="GU5134" s="15" t="n">
        <v>152</v>
      </c>
    </row>
    <row r="5135">
      <c r="C5135" s="15" t="n">
        <v>153</v>
      </c>
      <c r="AA5135" s="15" t="n">
        <v>153</v>
      </c>
      <c r="AW5135" s="15" t="n">
        <v>153</v>
      </c>
      <c r="BS5135" s="15" t="n">
        <v>153</v>
      </c>
      <c r="CO5135" s="15" t="n">
        <v>153</v>
      </c>
      <c r="DK5135" s="15" t="n">
        <v>153</v>
      </c>
      <c r="EG5135" s="15" t="n">
        <v>153</v>
      </c>
      <c r="FC5135" s="15" t="n">
        <v>153</v>
      </c>
      <c r="FY5135" s="15" t="n">
        <v>153</v>
      </c>
      <c r="GU5135" s="15" t="n">
        <v>153</v>
      </c>
    </row>
    <row r="5136">
      <c r="C5136" s="15" t="n">
        <v>154</v>
      </c>
      <c r="AA5136" s="15" t="n">
        <v>154</v>
      </c>
      <c r="AW5136" s="15" t="n">
        <v>154</v>
      </c>
      <c r="BS5136" s="15" t="n">
        <v>154</v>
      </c>
      <c r="CO5136" s="15" t="n">
        <v>154</v>
      </c>
      <c r="DK5136" s="15" t="n">
        <v>154</v>
      </c>
      <c r="EG5136" s="15" t="n">
        <v>154</v>
      </c>
      <c r="FC5136" s="15" t="n">
        <v>154</v>
      </c>
      <c r="FY5136" s="15" t="n">
        <v>154</v>
      </c>
      <c r="GU5136" s="15" t="n">
        <v>154</v>
      </c>
    </row>
    <row r="5137">
      <c r="C5137" s="15" t="n">
        <v>155</v>
      </c>
      <c r="AA5137" s="15" t="n">
        <v>155</v>
      </c>
      <c r="AW5137" s="15" t="n">
        <v>155</v>
      </c>
      <c r="BS5137" s="15" t="n">
        <v>155</v>
      </c>
      <c r="CO5137" s="15" t="n">
        <v>155</v>
      </c>
      <c r="DK5137" s="15" t="n">
        <v>155</v>
      </c>
      <c r="EG5137" s="15" t="n">
        <v>155</v>
      </c>
      <c r="FC5137" s="15" t="n">
        <v>155</v>
      </c>
      <c r="FY5137" s="15" t="n">
        <v>155</v>
      </c>
      <c r="GU5137" s="15" t="n">
        <v>155</v>
      </c>
    </row>
    <row r="5138">
      <c r="C5138" s="15" t="n">
        <v>156</v>
      </c>
      <c r="AA5138" s="15" t="n">
        <v>156</v>
      </c>
      <c r="AW5138" s="15" t="n">
        <v>156</v>
      </c>
      <c r="BS5138" s="15" t="n">
        <v>156</v>
      </c>
      <c r="CO5138" s="15" t="n">
        <v>156</v>
      </c>
      <c r="DK5138" s="15" t="n">
        <v>156</v>
      </c>
      <c r="EG5138" s="15" t="n">
        <v>156</v>
      </c>
      <c r="FC5138" s="15" t="n">
        <v>156</v>
      </c>
      <c r="FY5138" s="15" t="n">
        <v>156</v>
      </c>
      <c r="GU5138" s="15" t="n">
        <v>156</v>
      </c>
    </row>
    <row r="5139">
      <c r="C5139" s="15" t="n">
        <v>157</v>
      </c>
      <c r="AA5139" s="15" t="n">
        <v>157</v>
      </c>
      <c r="AW5139" s="15" t="n">
        <v>157</v>
      </c>
      <c r="BS5139" s="15" t="n">
        <v>157</v>
      </c>
      <c r="CO5139" s="15" t="n">
        <v>157</v>
      </c>
      <c r="DK5139" s="15" t="n">
        <v>157</v>
      </c>
      <c r="EG5139" s="15" t="n">
        <v>157</v>
      </c>
      <c r="FC5139" s="15" t="n">
        <v>157</v>
      </c>
      <c r="FY5139" s="15" t="n">
        <v>157</v>
      </c>
      <c r="GU5139" s="15" t="n">
        <v>157</v>
      </c>
    </row>
    <row r="5140">
      <c r="C5140" s="15" t="n">
        <v>158</v>
      </c>
      <c r="AA5140" s="15" t="n">
        <v>158</v>
      </c>
      <c r="AW5140" s="15" t="n">
        <v>158</v>
      </c>
      <c r="BS5140" s="15" t="n">
        <v>158</v>
      </c>
      <c r="CO5140" s="15" t="n">
        <v>158</v>
      </c>
      <c r="DK5140" s="15" t="n">
        <v>158</v>
      </c>
      <c r="EG5140" s="15" t="n">
        <v>158</v>
      </c>
      <c r="FC5140" s="15" t="n">
        <v>158</v>
      </c>
      <c r="FY5140" s="15" t="n">
        <v>158</v>
      </c>
      <c r="GU5140" s="15" t="n">
        <v>158</v>
      </c>
    </row>
    <row r="5141">
      <c r="C5141" s="15" t="n">
        <v>159</v>
      </c>
      <c r="AA5141" s="15" t="n">
        <v>159</v>
      </c>
      <c r="AW5141" s="15" t="n">
        <v>159</v>
      </c>
      <c r="BS5141" s="15" t="n">
        <v>159</v>
      </c>
      <c r="CO5141" s="15" t="n">
        <v>159</v>
      </c>
      <c r="DK5141" s="15" t="n">
        <v>159</v>
      </c>
      <c r="EG5141" s="15" t="n">
        <v>159</v>
      </c>
      <c r="FC5141" s="15" t="n">
        <v>159</v>
      </c>
      <c r="FY5141" s="15" t="n">
        <v>159</v>
      </c>
      <c r="GU5141" s="15" t="n">
        <v>159</v>
      </c>
    </row>
    <row r="5142">
      <c r="C5142" s="15" t="n">
        <v>160</v>
      </c>
      <c r="AA5142" s="15" t="n">
        <v>160</v>
      </c>
      <c r="AW5142" s="15" t="n">
        <v>160</v>
      </c>
      <c r="BS5142" s="15" t="n">
        <v>160</v>
      </c>
      <c r="CO5142" s="15" t="n">
        <v>160</v>
      </c>
      <c r="DK5142" s="15" t="n">
        <v>160</v>
      </c>
      <c r="EG5142" s="15" t="n">
        <v>160</v>
      </c>
      <c r="FC5142" s="15" t="n">
        <v>160</v>
      </c>
      <c r="FY5142" s="15" t="n">
        <v>160</v>
      </c>
      <c r="GU5142" s="15" t="n">
        <v>160</v>
      </c>
    </row>
    <row r="5143">
      <c r="C5143" s="15" t="n">
        <v>161</v>
      </c>
      <c r="AA5143" s="15" t="n">
        <v>161</v>
      </c>
      <c r="AW5143" s="15" t="n">
        <v>161</v>
      </c>
      <c r="BS5143" s="15" t="n">
        <v>161</v>
      </c>
      <c r="CO5143" s="15" t="n">
        <v>161</v>
      </c>
      <c r="DK5143" s="15" t="n">
        <v>161</v>
      </c>
      <c r="EG5143" s="15" t="n">
        <v>161</v>
      </c>
      <c r="FC5143" s="15" t="n">
        <v>161</v>
      </c>
      <c r="FY5143" s="15" t="n">
        <v>161</v>
      </c>
      <c r="GU5143" s="15" t="n">
        <v>161</v>
      </c>
    </row>
    <row r="5144">
      <c r="C5144" s="15" t="n">
        <v>162</v>
      </c>
      <c r="AA5144" s="15" t="n">
        <v>162</v>
      </c>
      <c r="AW5144" s="15" t="n">
        <v>162</v>
      </c>
      <c r="BS5144" s="15" t="n">
        <v>162</v>
      </c>
      <c r="CO5144" s="15" t="n">
        <v>162</v>
      </c>
      <c r="DK5144" s="15" t="n">
        <v>162</v>
      </c>
      <c r="EG5144" s="15" t="n">
        <v>162</v>
      </c>
      <c r="FC5144" s="15" t="n">
        <v>162</v>
      </c>
      <c r="FY5144" s="15" t="n">
        <v>162</v>
      </c>
      <c r="GU5144" s="15" t="n">
        <v>162</v>
      </c>
    </row>
    <row r="5145">
      <c r="C5145" s="15" t="n">
        <v>163</v>
      </c>
      <c r="AA5145" s="15" t="n">
        <v>163</v>
      </c>
      <c r="AW5145" s="15" t="n">
        <v>163</v>
      </c>
      <c r="BS5145" s="15" t="n">
        <v>163</v>
      </c>
      <c r="CO5145" s="15" t="n">
        <v>163</v>
      </c>
      <c r="DK5145" s="15" t="n">
        <v>163</v>
      </c>
      <c r="EG5145" s="15" t="n">
        <v>163</v>
      </c>
      <c r="FC5145" s="15" t="n">
        <v>163</v>
      </c>
      <c r="FY5145" s="15" t="n">
        <v>163</v>
      </c>
      <c r="GU5145" s="15" t="n">
        <v>163</v>
      </c>
    </row>
    <row r="5146">
      <c r="C5146" s="15" t="n">
        <v>164</v>
      </c>
      <c r="AA5146" s="15" t="n">
        <v>164</v>
      </c>
      <c r="AW5146" s="15" t="n">
        <v>164</v>
      </c>
      <c r="BS5146" s="15" t="n">
        <v>164</v>
      </c>
      <c r="CO5146" s="15" t="n">
        <v>164</v>
      </c>
      <c r="DK5146" s="15" t="n">
        <v>164</v>
      </c>
      <c r="EG5146" s="15" t="n">
        <v>164</v>
      </c>
      <c r="FC5146" s="15" t="n">
        <v>164</v>
      </c>
      <c r="FY5146" s="15" t="n">
        <v>164</v>
      </c>
      <c r="GU5146" s="15" t="n">
        <v>164</v>
      </c>
    </row>
    <row r="5147">
      <c r="C5147" s="15" t="n">
        <v>165</v>
      </c>
      <c r="AA5147" s="15" t="n">
        <v>165</v>
      </c>
      <c r="AW5147" s="15" t="n">
        <v>165</v>
      </c>
      <c r="BS5147" s="15" t="n">
        <v>165</v>
      </c>
      <c r="CO5147" s="15" t="n">
        <v>165</v>
      </c>
      <c r="DK5147" s="15" t="n">
        <v>165</v>
      </c>
      <c r="EG5147" s="15" t="n">
        <v>165</v>
      </c>
      <c r="FC5147" s="15" t="n">
        <v>165</v>
      </c>
      <c r="FY5147" s="15" t="n">
        <v>165</v>
      </c>
      <c r="GU5147" s="15" t="n">
        <v>165</v>
      </c>
    </row>
    <row r="5148">
      <c r="C5148" s="15" t="n">
        <v>166</v>
      </c>
      <c r="AA5148" s="15" t="n">
        <v>166</v>
      </c>
      <c r="AW5148" s="15" t="n">
        <v>166</v>
      </c>
      <c r="BS5148" s="15" t="n">
        <v>166</v>
      </c>
      <c r="CO5148" s="15" t="n">
        <v>166</v>
      </c>
      <c r="DK5148" s="15" t="n">
        <v>166</v>
      </c>
      <c r="EG5148" s="15" t="n">
        <v>166</v>
      </c>
      <c r="FC5148" s="15" t="n">
        <v>166</v>
      </c>
      <c r="FY5148" s="15" t="n">
        <v>166</v>
      </c>
      <c r="GU5148" s="15" t="n">
        <v>166</v>
      </c>
    </row>
    <row r="5149">
      <c r="C5149" s="15" t="n">
        <v>167</v>
      </c>
      <c r="AA5149" s="15" t="n">
        <v>167</v>
      </c>
      <c r="AW5149" s="15" t="n">
        <v>167</v>
      </c>
      <c r="BS5149" s="15" t="n">
        <v>167</v>
      </c>
      <c r="CO5149" s="15" t="n">
        <v>167</v>
      </c>
      <c r="DK5149" s="15" t="n">
        <v>167</v>
      </c>
      <c r="EG5149" s="15" t="n">
        <v>167</v>
      </c>
      <c r="FC5149" s="15" t="n">
        <v>167</v>
      </c>
      <c r="FY5149" s="15" t="n">
        <v>167</v>
      </c>
      <c r="GU5149" s="15" t="n">
        <v>167</v>
      </c>
    </row>
    <row r="5150">
      <c r="C5150" s="15" t="n">
        <v>168</v>
      </c>
      <c r="AA5150" s="15" t="n">
        <v>168</v>
      </c>
      <c r="AW5150" s="15" t="n">
        <v>168</v>
      </c>
      <c r="BS5150" s="15" t="n">
        <v>168</v>
      </c>
      <c r="CO5150" s="15" t="n">
        <v>168</v>
      </c>
      <c r="DK5150" s="15" t="n">
        <v>168</v>
      </c>
      <c r="EG5150" s="15" t="n">
        <v>168</v>
      </c>
      <c r="FC5150" s="15" t="n">
        <v>168</v>
      </c>
      <c r="FY5150" s="15" t="n">
        <v>168</v>
      </c>
      <c r="GU5150" s="15" t="n">
        <v>168</v>
      </c>
    </row>
    <row r="5151">
      <c r="C5151" s="15" t="n">
        <v>169</v>
      </c>
      <c r="AA5151" s="15" t="n">
        <v>169</v>
      </c>
      <c r="AW5151" s="15" t="n">
        <v>169</v>
      </c>
      <c r="BS5151" s="15" t="n">
        <v>169</v>
      </c>
      <c r="CO5151" s="15" t="n">
        <v>169</v>
      </c>
      <c r="DK5151" s="15" t="n">
        <v>169</v>
      </c>
      <c r="EG5151" s="15" t="n">
        <v>169</v>
      </c>
      <c r="FC5151" s="15" t="n">
        <v>169</v>
      </c>
      <c r="FY5151" s="15" t="n">
        <v>169</v>
      </c>
      <c r="GU5151" s="15" t="n">
        <v>169</v>
      </c>
    </row>
    <row r="5152">
      <c r="C5152" s="15" t="n">
        <v>170</v>
      </c>
      <c r="AA5152" s="15" t="n">
        <v>170</v>
      </c>
      <c r="AW5152" s="15" t="n">
        <v>170</v>
      </c>
      <c r="BS5152" s="15" t="n">
        <v>170</v>
      </c>
      <c r="CO5152" s="15" t="n">
        <v>170</v>
      </c>
      <c r="DK5152" s="15" t="n">
        <v>170</v>
      </c>
      <c r="EG5152" s="15" t="n">
        <v>170</v>
      </c>
      <c r="FC5152" s="15" t="n">
        <v>170</v>
      </c>
      <c r="FY5152" s="15" t="n">
        <v>170</v>
      </c>
      <c r="GU5152" s="15" t="n">
        <v>170</v>
      </c>
    </row>
    <row r="5153">
      <c r="C5153" s="15" t="n">
        <v>171</v>
      </c>
      <c r="AA5153" s="15" t="n">
        <v>171</v>
      </c>
      <c r="AW5153" s="15" t="n">
        <v>171</v>
      </c>
      <c r="BS5153" s="15" t="n">
        <v>171</v>
      </c>
      <c r="CO5153" s="15" t="n">
        <v>171</v>
      </c>
      <c r="DK5153" s="15" t="n">
        <v>171</v>
      </c>
      <c r="EG5153" s="15" t="n">
        <v>171</v>
      </c>
      <c r="FC5153" s="15" t="n">
        <v>171</v>
      </c>
      <c r="FY5153" s="15" t="n">
        <v>171</v>
      </c>
      <c r="GU5153" s="15" t="n">
        <v>171</v>
      </c>
    </row>
    <row r="5154">
      <c r="C5154" s="15" t="n">
        <v>172</v>
      </c>
      <c r="AA5154" s="15" t="n">
        <v>172</v>
      </c>
      <c r="AW5154" s="15" t="n">
        <v>172</v>
      </c>
      <c r="BS5154" s="15" t="n">
        <v>172</v>
      </c>
      <c r="CO5154" s="15" t="n">
        <v>172</v>
      </c>
      <c r="DK5154" s="15" t="n">
        <v>172</v>
      </c>
      <c r="EG5154" s="15" t="n">
        <v>172</v>
      </c>
      <c r="FC5154" s="15" t="n">
        <v>172</v>
      </c>
      <c r="FY5154" s="15" t="n">
        <v>172</v>
      </c>
      <c r="GU5154" s="15" t="n">
        <v>172</v>
      </c>
    </row>
    <row r="5155">
      <c r="C5155" s="15" t="n">
        <v>173</v>
      </c>
      <c r="AA5155" s="15" t="n">
        <v>173</v>
      </c>
      <c r="AW5155" s="15" t="n">
        <v>173</v>
      </c>
      <c r="BS5155" s="15" t="n">
        <v>173</v>
      </c>
      <c r="CO5155" s="15" t="n">
        <v>173</v>
      </c>
      <c r="DK5155" s="15" t="n">
        <v>173</v>
      </c>
      <c r="EG5155" s="15" t="n">
        <v>173</v>
      </c>
      <c r="FC5155" s="15" t="n">
        <v>173</v>
      </c>
      <c r="FY5155" s="15" t="n">
        <v>173</v>
      </c>
      <c r="GU5155" s="15" t="n">
        <v>173</v>
      </c>
    </row>
    <row r="5156">
      <c r="C5156" s="15" t="n">
        <v>174</v>
      </c>
      <c r="AA5156" s="15" t="n">
        <v>174</v>
      </c>
      <c r="AW5156" s="15" t="n">
        <v>174</v>
      </c>
      <c r="BS5156" s="15" t="n">
        <v>174</v>
      </c>
      <c r="CO5156" s="15" t="n">
        <v>174</v>
      </c>
      <c r="DK5156" s="15" t="n">
        <v>174</v>
      </c>
      <c r="EG5156" s="15" t="n">
        <v>174</v>
      </c>
      <c r="FC5156" s="15" t="n">
        <v>174</v>
      </c>
      <c r="FY5156" s="15" t="n">
        <v>174</v>
      </c>
      <c r="GU5156" s="15" t="n">
        <v>174</v>
      </c>
    </row>
    <row r="5157">
      <c r="C5157" s="15" t="n">
        <v>175</v>
      </c>
      <c r="AA5157" s="15" t="n">
        <v>175</v>
      </c>
      <c r="AW5157" s="15" t="n">
        <v>175</v>
      </c>
      <c r="BS5157" s="15" t="n">
        <v>175</v>
      </c>
      <c r="CO5157" s="15" t="n">
        <v>175</v>
      </c>
      <c r="DK5157" s="15" t="n">
        <v>175</v>
      </c>
      <c r="EG5157" s="15" t="n">
        <v>175</v>
      </c>
      <c r="FC5157" s="15" t="n">
        <v>175</v>
      </c>
      <c r="FY5157" s="15" t="n">
        <v>175</v>
      </c>
      <c r="GU5157" s="15" t="n">
        <v>175</v>
      </c>
    </row>
    <row r="5158">
      <c r="C5158" s="15" t="n">
        <v>176</v>
      </c>
      <c r="AA5158" s="15" t="n">
        <v>176</v>
      </c>
      <c r="AW5158" s="15" t="n">
        <v>176</v>
      </c>
      <c r="BS5158" s="15" t="n">
        <v>176</v>
      </c>
      <c r="CO5158" s="15" t="n">
        <v>176</v>
      </c>
      <c r="DK5158" s="15" t="n">
        <v>176</v>
      </c>
      <c r="EG5158" s="15" t="n">
        <v>176</v>
      </c>
      <c r="FC5158" s="15" t="n">
        <v>176</v>
      </c>
      <c r="FY5158" s="15" t="n">
        <v>176</v>
      </c>
      <c r="GU5158" s="15" t="n">
        <v>176</v>
      </c>
    </row>
    <row r="5159">
      <c r="C5159" s="15" t="n">
        <v>177</v>
      </c>
      <c r="AA5159" s="15" t="n">
        <v>177</v>
      </c>
      <c r="AW5159" s="15" t="n">
        <v>177</v>
      </c>
      <c r="BS5159" s="15" t="n">
        <v>177</v>
      </c>
      <c r="CO5159" s="15" t="n">
        <v>177</v>
      </c>
      <c r="DK5159" s="15" t="n">
        <v>177</v>
      </c>
      <c r="EG5159" s="15" t="n">
        <v>177</v>
      </c>
      <c r="FC5159" s="15" t="n">
        <v>177</v>
      </c>
      <c r="FY5159" s="15" t="n">
        <v>177</v>
      </c>
      <c r="GU5159" s="15" t="n">
        <v>177</v>
      </c>
    </row>
    <row r="5160">
      <c r="C5160" s="15" t="n">
        <v>178</v>
      </c>
      <c r="AA5160" s="15" t="n">
        <v>178</v>
      </c>
      <c r="AW5160" s="15" t="n">
        <v>178</v>
      </c>
      <c r="BS5160" s="15" t="n">
        <v>178</v>
      </c>
      <c r="CO5160" s="15" t="n">
        <v>178</v>
      </c>
      <c r="DK5160" s="15" t="n">
        <v>178</v>
      </c>
      <c r="EG5160" s="15" t="n">
        <v>178</v>
      </c>
      <c r="FC5160" s="15" t="n">
        <v>178</v>
      </c>
      <c r="FY5160" s="15" t="n">
        <v>178</v>
      </c>
      <c r="GU5160" s="15" t="n">
        <v>178</v>
      </c>
    </row>
    <row r="5161">
      <c r="C5161" s="15" t="n">
        <v>179</v>
      </c>
      <c r="AA5161" s="15" t="n">
        <v>179</v>
      </c>
      <c r="AW5161" s="15" t="n">
        <v>179</v>
      </c>
      <c r="BS5161" s="15" t="n">
        <v>179</v>
      </c>
      <c r="CO5161" s="15" t="n">
        <v>179</v>
      </c>
      <c r="DK5161" s="15" t="n">
        <v>179</v>
      </c>
      <c r="EG5161" s="15" t="n">
        <v>179</v>
      </c>
      <c r="FC5161" s="15" t="n">
        <v>179</v>
      </c>
      <c r="FY5161" s="15" t="n">
        <v>179</v>
      </c>
      <c r="GU5161" s="15" t="n">
        <v>179</v>
      </c>
    </row>
    <row r="5162">
      <c r="C5162" s="15" t="n">
        <v>180</v>
      </c>
      <c r="AA5162" s="15" t="n">
        <v>180</v>
      </c>
      <c r="AW5162" s="15" t="n">
        <v>180</v>
      </c>
      <c r="BS5162" s="15" t="n">
        <v>180</v>
      </c>
      <c r="CO5162" s="15" t="n">
        <v>180</v>
      </c>
      <c r="DK5162" s="15" t="n">
        <v>180</v>
      </c>
      <c r="EG5162" s="15" t="n">
        <v>180</v>
      </c>
      <c r="FC5162" s="15" t="n">
        <v>180</v>
      </c>
      <c r="FY5162" s="15" t="n">
        <v>180</v>
      </c>
      <c r="GU5162" s="15" t="n">
        <v>180</v>
      </c>
    </row>
    <row r="5163">
      <c r="C5163" s="15" t="n">
        <v>181</v>
      </c>
      <c r="AA5163" s="15" t="n">
        <v>181</v>
      </c>
      <c r="AW5163" s="15" t="n">
        <v>181</v>
      </c>
      <c r="BS5163" s="15" t="n">
        <v>181</v>
      </c>
      <c r="CO5163" s="15" t="n">
        <v>181</v>
      </c>
      <c r="DK5163" s="15" t="n">
        <v>181</v>
      </c>
      <c r="EG5163" s="15" t="n">
        <v>181</v>
      </c>
      <c r="FC5163" s="15" t="n">
        <v>181</v>
      </c>
      <c r="FY5163" s="15" t="n">
        <v>181</v>
      </c>
      <c r="GU5163" s="15" t="n">
        <v>181</v>
      </c>
    </row>
    <row r="5164">
      <c r="C5164" s="15" t="n">
        <v>182</v>
      </c>
      <c r="AA5164" s="15" t="n">
        <v>182</v>
      </c>
      <c r="AW5164" s="15" t="n">
        <v>182</v>
      </c>
      <c r="BS5164" s="15" t="n">
        <v>182</v>
      </c>
      <c r="CO5164" s="15" t="n">
        <v>182</v>
      </c>
      <c r="DK5164" s="15" t="n">
        <v>182</v>
      </c>
      <c r="EG5164" s="15" t="n">
        <v>182</v>
      </c>
      <c r="FC5164" s="15" t="n">
        <v>182</v>
      </c>
      <c r="FY5164" s="15" t="n">
        <v>182</v>
      </c>
      <c r="GU5164" s="15" t="n">
        <v>182</v>
      </c>
    </row>
    <row r="5165">
      <c r="C5165" s="15" t="n">
        <v>183</v>
      </c>
      <c r="AA5165" s="15" t="n">
        <v>183</v>
      </c>
      <c r="AW5165" s="15" t="n">
        <v>183</v>
      </c>
      <c r="BS5165" s="15" t="n">
        <v>183</v>
      </c>
      <c r="CO5165" s="15" t="n">
        <v>183</v>
      </c>
      <c r="DK5165" s="15" t="n">
        <v>183</v>
      </c>
      <c r="EG5165" s="15" t="n">
        <v>183</v>
      </c>
      <c r="FC5165" s="15" t="n">
        <v>183</v>
      </c>
      <c r="FY5165" s="15" t="n">
        <v>183</v>
      </c>
      <c r="GU5165" s="15" t="n">
        <v>183</v>
      </c>
    </row>
    <row r="5166">
      <c r="C5166" s="15" t="n">
        <v>184</v>
      </c>
      <c r="AA5166" s="15" t="n">
        <v>184</v>
      </c>
      <c r="AW5166" s="15" t="n">
        <v>184</v>
      </c>
      <c r="BS5166" s="15" t="n">
        <v>184</v>
      </c>
      <c r="CO5166" s="15" t="n">
        <v>184</v>
      </c>
      <c r="DK5166" s="15" t="n">
        <v>184</v>
      </c>
      <c r="EG5166" s="15" t="n">
        <v>184</v>
      </c>
      <c r="FC5166" s="15" t="n">
        <v>184</v>
      </c>
      <c r="FY5166" s="15" t="n">
        <v>184</v>
      </c>
      <c r="GU5166" s="15" t="n">
        <v>184</v>
      </c>
    </row>
    <row r="5167">
      <c r="C5167" s="15" t="n">
        <v>185</v>
      </c>
      <c r="AA5167" s="15" t="n">
        <v>185</v>
      </c>
      <c r="AW5167" s="15" t="n">
        <v>185</v>
      </c>
      <c r="BS5167" s="15" t="n">
        <v>185</v>
      </c>
      <c r="CO5167" s="15" t="n">
        <v>185</v>
      </c>
      <c r="DK5167" s="15" t="n">
        <v>185</v>
      </c>
      <c r="EG5167" s="15" t="n">
        <v>185</v>
      </c>
      <c r="FC5167" s="15" t="n">
        <v>185</v>
      </c>
      <c r="FY5167" s="15" t="n">
        <v>185</v>
      </c>
      <c r="GU5167" s="15" t="n">
        <v>185</v>
      </c>
    </row>
    <row r="5168">
      <c r="C5168" s="15" t="n">
        <v>186</v>
      </c>
      <c r="AA5168" s="15" t="n">
        <v>186</v>
      </c>
      <c r="AW5168" s="15" t="n">
        <v>186</v>
      </c>
      <c r="BS5168" s="15" t="n">
        <v>186</v>
      </c>
      <c r="CO5168" s="15" t="n">
        <v>186</v>
      </c>
      <c r="DK5168" s="15" t="n">
        <v>186</v>
      </c>
      <c r="EG5168" s="15" t="n">
        <v>186</v>
      </c>
      <c r="FC5168" s="15" t="n">
        <v>186</v>
      </c>
      <c r="FY5168" s="15" t="n">
        <v>186</v>
      </c>
      <c r="GU5168" s="15" t="n">
        <v>186</v>
      </c>
    </row>
    <row r="5169">
      <c r="C5169" s="15" t="n">
        <v>187</v>
      </c>
      <c r="AA5169" s="15" t="n">
        <v>187</v>
      </c>
      <c r="AW5169" s="15" t="n">
        <v>187</v>
      </c>
      <c r="BS5169" s="15" t="n">
        <v>187</v>
      </c>
      <c r="CO5169" s="15" t="n">
        <v>187</v>
      </c>
      <c r="DK5169" s="15" t="n">
        <v>187</v>
      </c>
      <c r="EG5169" s="15" t="n">
        <v>187</v>
      </c>
      <c r="FC5169" s="15" t="n">
        <v>187</v>
      </c>
      <c r="FY5169" s="15" t="n">
        <v>187</v>
      </c>
      <c r="GU5169" s="15" t="n">
        <v>187</v>
      </c>
    </row>
    <row r="5170">
      <c r="C5170" s="15" t="n">
        <v>188</v>
      </c>
      <c r="AA5170" s="15" t="n">
        <v>188</v>
      </c>
      <c r="AW5170" s="15" t="n">
        <v>188</v>
      </c>
      <c r="BS5170" s="15" t="n">
        <v>188</v>
      </c>
      <c r="CO5170" s="15" t="n">
        <v>188</v>
      </c>
      <c r="DK5170" s="15" t="n">
        <v>188</v>
      </c>
      <c r="EG5170" s="15" t="n">
        <v>188</v>
      </c>
      <c r="FC5170" s="15" t="n">
        <v>188</v>
      </c>
      <c r="FY5170" s="15" t="n">
        <v>188</v>
      </c>
      <c r="GU5170" s="15" t="n">
        <v>188</v>
      </c>
    </row>
    <row r="5171">
      <c r="C5171" s="15" t="n">
        <v>189</v>
      </c>
      <c r="AA5171" s="15" t="n">
        <v>189</v>
      </c>
      <c r="AW5171" s="15" t="n">
        <v>189</v>
      </c>
      <c r="BS5171" s="15" t="n">
        <v>189</v>
      </c>
      <c r="CO5171" s="15" t="n">
        <v>189</v>
      </c>
      <c r="DK5171" s="15" t="n">
        <v>189</v>
      </c>
      <c r="EG5171" s="15" t="n">
        <v>189</v>
      </c>
      <c r="FC5171" s="15" t="n">
        <v>189</v>
      </c>
      <c r="FY5171" s="15" t="n">
        <v>189</v>
      </c>
      <c r="GU5171" s="15" t="n">
        <v>189</v>
      </c>
    </row>
    <row r="5172">
      <c r="C5172" s="15" t="n">
        <v>190</v>
      </c>
      <c r="AA5172" s="15" t="n">
        <v>190</v>
      </c>
      <c r="AW5172" s="15" t="n">
        <v>190</v>
      </c>
      <c r="BS5172" s="15" t="n">
        <v>190</v>
      </c>
      <c r="CO5172" s="15" t="n">
        <v>190</v>
      </c>
      <c r="DK5172" s="15" t="n">
        <v>190</v>
      </c>
      <c r="EG5172" s="15" t="n">
        <v>190</v>
      </c>
      <c r="FC5172" s="15" t="n">
        <v>190</v>
      </c>
      <c r="FY5172" s="15" t="n">
        <v>190</v>
      </c>
      <c r="GU5172" s="15" t="n">
        <v>190</v>
      </c>
    </row>
    <row r="5173">
      <c r="C5173" s="15" t="n">
        <v>191</v>
      </c>
      <c r="AA5173" s="15" t="n">
        <v>191</v>
      </c>
      <c r="AW5173" s="15" t="n">
        <v>191</v>
      </c>
      <c r="BS5173" s="15" t="n">
        <v>191</v>
      </c>
      <c r="CO5173" s="15" t="n">
        <v>191</v>
      </c>
      <c r="DK5173" s="15" t="n">
        <v>191</v>
      </c>
      <c r="EG5173" s="15" t="n">
        <v>191</v>
      </c>
      <c r="FC5173" s="15" t="n">
        <v>191</v>
      </c>
      <c r="FY5173" s="15" t="n">
        <v>191</v>
      </c>
      <c r="GU5173" s="15" t="n">
        <v>191</v>
      </c>
    </row>
    <row r="5174">
      <c r="C5174" s="15" t="n">
        <v>192</v>
      </c>
      <c r="AA5174" s="15" t="n">
        <v>192</v>
      </c>
      <c r="AW5174" s="15" t="n">
        <v>192</v>
      </c>
      <c r="BS5174" s="15" t="n">
        <v>192</v>
      </c>
      <c r="CO5174" s="15" t="n">
        <v>192</v>
      </c>
      <c r="DK5174" s="15" t="n">
        <v>192</v>
      </c>
      <c r="EG5174" s="15" t="n">
        <v>192</v>
      </c>
      <c r="FC5174" s="15" t="n">
        <v>192</v>
      </c>
      <c r="FY5174" s="15" t="n">
        <v>192</v>
      </c>
      <c r="GU5174" s="15" t="n">
        <v>192</v>
      </c>
    </row>
    <row r="5175">
      <c r="C5175" s="15" t="n">
        <v>193</v>
      </c>
      <c r="AA5175" s="15" t="n">
        <v>193</v>
      </c>
      <c r="AW5175" s="15" t="n">
        <v>193</v>
      </c>
      <c r="BS5175" s="15" t="n">
        <v>193</v>
      </c>
      <c r="CO5175" s="15" t="n">
        <v>193</v>
      </c>
      <c r="DK5175" s="15" t="n">
        <v>193</v>
      </c>
      <c r="EG5175" s="15" t="n">
        <v>193</v>
      </c>
      <c r="FC5175" s="15" t="n">
        <v>193</v>
      </c>
      <c r="FY5175" s="15" t="n">
        <v>193</v>
      </c>
      <c r="GU5175" s="15" t="n">
        <v>193</v>
      </c>
    </row>
    <row r="5176">
      <c r="C5176" s="15" t="n">
        <v>194</v>
      </c>
      <c r="AA5176" s="15" t="n">
        <v>194</v>
      </c>
      <c r="AW5176" s="15" t="n">
        <v>194</v>
      </c>
      <c r="BS5176" s="15" t="n">
        <v>194</v>
      </c>
      <c r="CO5176" s="15" t="n">
        <v>194</v>
      </c>
      <c r="DK5176" s="15" t="n">
        <v>194</v>
      </c>
      <c r="EG5176" s="15" t="n">
        <v>194</v>
      </c>
      <c r="FC5176" s="15" t="n">
        <v>194</v>
      </c>
      <c r="FY5176" s="15" t="n">
        <v>194</v>
      </c>
      <c r="GU5176" s="15" t="n">
        <v>194</v>
      </c>
    </row>
    <row r="5177">
      <c r="C5177" s="15" t="n">
        <v>195</v>
      </c>
      <c r="AA5177" s="15" t="n">
        <v>195</v>
      </c>
      <c r="AW5177" s="15" t="n">
        <v>195</v>
      </c>
      <c r="BS5177" s="15" t="n">
        <v>195</v>
      </c>
      <c r="CO5177" s="15" t="n">
        <v>195</v>
      </c>
      <c r="DK5177" s="15" t="n">
        <v>195</v>
      </c>
      <c r="EG5177" s="15" t="n">
        <v>195</v>
      </c>
      <c r="FC5177" s="15" t="n">
        <v>195</v>
      </c>
      <c r="FY5177" s="15" t="n">
        <v>195</v>
      </c>
      <c r="GU5177" s="15" t="n">
        <v>195</v>
      </c>
    </row>
    <row r="5178">
      <c r="C5178" s="15" t="n">
        <v>196</v>
      </c>
      <c r="AA5178" s="15" t="n">
        <v>196</v>
      </c>
      <c r="AW5178" s="15" t="n">
        <v>196</v>
      </c>
      <c r="BS5178" s="15" t="n">
        <v>196</v>
      </c>
      <c r="CO5178" s="15" t="n">
        <v>196</v>
      </c>
      <c r="DK5178" s="15" t="n">
        <v>196</v>
      </c>
      <c r="EG5178" s="15" t="n">
        <v>196</v>
      </c>
      <c r="FC5178" s="15" t="n">
        <v>196</v>
      </c>
      <c r="FY5178" s="15" t="n">
        <v>196</v>
      </c>
      <c r="GU5178" s="15" t="n">
        <v>196</v>
      </c>
    </row>
    <row r="5179">
      <c r="C5179" s="15" t="n">
        <v>197</v>
      </c>
      <c r="AA5179" s="15" t="n">
        <v>197</v>
      </c>
      <c r="AW5179" s="15" t="n">
        <v>197</v>
      </c>
      <c r="BS5179" s="15" t="n">
        <v>197</v>
      </c>
      <c r="CO5179" s="15" t="n">
        <v>197</v>
      </c>
      <c r="DK5179" s="15" t="n">
        <v>197</v>
      </c>
      <c r="EG5179" s="15" t="n">
        <v>197</v>
      </c>
      <c r="FC5179" s="15" t="n">
        <v>197</v>
      </c>
      <c r="FY5179" s="15" t="n">
        <v>197</v>
      </c>
      <c r="GU5179" s="15" t="n">
        <v>197</v>
      </c>
    </row>
    <row r="5180">
      <c r="C5180" s="15" t="n">
        <v>198</v>
      </c>
      <c r="AA5180" s="15" t="n">
        <v>198</v>
      </c>
      <c r="AW5180" s="15" t="n">
        <v>198</v>
      </c>
      <c r="BS5180" s="15" t="n">
        <v>198</v>
      </c>
      <c r="CO5180" s="15" t="n">
        <v>198</v>
      </c>
      <c r="DK5180" s="15" t="n">
        <v>198</v>
      </c>
      <c r="EG5180" s="15" t="n">
        <v>198</v>
      </c>
      <c r="FC5180" s="15" t="n">
        <v>198</v>
      </c>
      <c r="FY5180" s="15" t="n">
        <v>198</v>
      </c>
      <c r="GU5180" s="15" t="n">
        <v>198</v>
      </c>
    </row>
    <row r="5182">
      <c r="B5182" s="15" t="inlineStr">
        <is>
          <t>NOVA</t>
        </is>
      </c>
      <c r="C5182" s="15" t="inlineStr">
        <is>
          <t>ActualRotr</t>
        </is>
      </c>
      <c r="D5182" s="15" t="n">
        <v>22</v>
      </c>
      <c r="E5182" s="15" t="n">
        <v>23</v>
      </c>
      <c r="F5182" s="15" t="n">
        <v>24</v>
      </c>
      <c r="Z5182" s="15" t="inlineStr">
        <is>
          <t>NOVA</t>
        </is>
      </c>
      <c r="AA5182" s="15" t="inlineStr">
        <is>
          <t>ActualRotr</t>
        </is>
      </c>
      <c r="AB5182" s="15" t="n">
        <v>22</v>
      </c>
      <c r="AC5182" s="15" t="n">
        <v>23</v>
      </c>
      <c r="AD5182" s="15" t="n">
        <v>24</v>
      </c>
      <c r="AV5182" s="15" t="inlineStr">
        <is>
          <t>NOVA</t>
        </is>
      </c>
      <c r="AW5182" s="15" t="inlineStr">
        <is>
          <t>ActualRotr</t>
        </is>
      </c>
      <c r="AX5182" s="15" t="n">
        <v>22</v>
      </c>
      <c r="AY5182" s="15" t="n">
        <v>23</v>
      </c>
      <c r="AZ5182" s="15" t="n">
        <v>24</v>
      </c>
      <c r="BR5182" s="15" t="inlineStr">
        <is>
          <t>NOVA</t>
        </is>
      </c>
      <c r="BS5182" s="15" t="inlineStr">
        <is>
          <t>ActualRotr</t>
        </is>
      </c>
      <c r="BT5182" s="15" t="n">
        <v>22</v>
      </c>
      <c r="BU5182" s="15" t="n">
        <v>23</v>
      </c>
      <c r="BV5182" s="15" t="n">
        <v>24</v>
      </c>
      <c r="CN5182" s="15" t="inlineStr">
        <is>
          <t>NOVA</t>
        </is>
      </c>
      <c r="CO5182" s="15" t="inlineStr">
        <is>
          <t>ActualRotr</t>
        </is>
      </c>
      <c r="CP5182" s="15" t="n">
        <v>22</v>
      </c>
      <c r="CQ5182" s="15" t="n">
        <v>23</v>
      </c>
      <c r="CR5182" s="15" t="n">
        <v>24</v>
      </c>
      <c r="DJ5182" s="15" t="inlineStr">
        <is>
          <t>NOVA</t>
        </is>
      </c>
      <c r="DK5182" s="15" t="inlineStr">
        <is>
          <t>ActualRotr</t>
        </is>
      </c>
      <c r="DL5182" s="15" t="n">
        <v>22</v>
      </c>
      <c r="DM5182" s="15" t="n">
        <v>23</v>
      </c>
      <c r="DN5182" s="15" t="n">
        <v>24</v>
      </c>
      <c r="EF5182" s="15" t="inlineStr">
        <is>
          <t>NOVA</t>
        </is>
      </c>
      <c r="EG5182" s="15" t="inlineStr">
        <is>
          <t>ActualRotr</t>
        </is>
      </c>
      <c r="EH5182" s="15" t="n">
        <v>22</v>
      </c>
      <c r="EI5182" s="15" t="n">
        <v>23</v>
      </c>
      <c r="EJ5182" s="15" t="n">
        <v>24</v>
      </c>
      <c r="FB5182" s="15" t="inlineStr">
        <is>
          <t>NOVA</t>
        </is>
      </c>
      <c r="FC5182" s="15" t="inlineStr">
        <is>
          <t>ActualRotr</t>
        </is>
      </c>
      <c r="FD5182" s="15" t="n">
        <v>22</v>
      </c>
      <c r="FE5182" s="15" t="n">
        <v>23</v>
      </c>
      <c r="FF5182" s="15" t="n">
        <v>24</v>
      </c>
      <c r="FX5182" s="15" t="inlineStr">
        <is>
          <t>NOVA</t>
        </is>
      </c>
      <c r="FY5182" s="15" t="inlineStr">
        <is>
          <t>ActualRotr</t>
        </is>
      </c>
      <c r="FZ5182" s="15" t="n">
        <v>22</v>
      </c>
      <c r="GA5182" s="15" t="n">
        <v>23</v>
      </c>
      <c r="GB5182" s="15" t="n">
        <v>24</v>
      </c>
      <c r="GT5182" s="15" t="inlineStr">
        <is>
          <t>NOVA</t>
        </is>
      </c>
      <c r="GU5182" s="15" t="inlineStr">
        <is>
          <t>ActualRotr</t>
        </is>
      </c>
      <c r="GV5182" s="15" t="n">
        <v>22</v>
      </c>
      <c r="GW5182" s="15" t="n">
        <v>23</v>
      </c>
      <c r="GX5182" s="15" t="n">
        <v>24</v>
      </c>
    </row>
    <row r="5183">
      <c r="C5183" s="15" t="n">
        <v>9</v>
      </c>
      <c r="AA5183" s="15" t="n">
        <v>9</v>
      </c>
      <c r="AW5183" s="15" t="n">
        <v>9</v>
      </c>
      <c r="BS5183" s="15" t="n">
        <v>9</v>
      </c>
      <c r="CO5183" s="15" t="n">
        <v>9</v>
      </c>
      <c r="DK5183" s="15" t="n">
        <v>9</v>
      </c>
      <c r="EG5183" s="15" t="n">
        <v>9</v>
      </c>
      <c r="FC5183" s="15" t="n">
        <v>9</v>
      </c>
      <c r="FY5183" s="15" t="n">
        <v>9</v>
      </c>
      <c r="GU5183" s="15" t="n">
        <v>9</v>
      </c>
    </row>
    <row r="5184">
      <c r="C5184" s="15" t="n">
        <v>10</v>
      </c>
      <c r="AA5184" s="15" t="n">
        <v>10</v>
      </c>
      <c r="AW5184" s="15" t="n">
        <v>10</v>
      </c>
      <c r="BS5184" s="15" t="n">
        <v>10</v>
      </c>
      <c r="CO5184" s="15" t="n">
        <v>10</v>
      </c>
      <c r="DK5184" s="15" t="n">
        <v>10</v>
      </c>
      <c r="EG5184" s="15" t="n">
        <v>10</v>
      </c>
      <c r="FC5184" s="15" t="n">
        <v>10</v>
      </c>
      <c r="FY5184" s="15" t="n">
        <v>10</v>
      </c>
      <c r="GU5184" s="15" t="n">
        <v>10</v>
      </c>
    </row>
    <row r="5185">
      <c r="C5185" s="15" t="n">
        <v>11</v>
      </c>
      <c r="AA5185" s="15" t="n">
        <v>11</v>
      </c>
      <c r="AW5185" s="15" t="n">
        <v>11</v>
      </c>
      <c r="BS5185" s="15" t="n">
        <v>11</v>
      </c>
      <c r="CO5185" s="15" t="n">
        <v>11</v>
      </c>
      <c r="DK5185" s="15" t="n">
        <v>11</v>
      </c>
      <c r="EG5185" s="15" t="n">
        <v>11</v>
      </c>
      <c r="FC5185" s="15" t="n">
        <v>11</v>
      </c>
      <c r="FY5185" s="15" t="n">
        <v>11</v>
      </c>
      <c r="GU5185" s="15" t="n">
        <v>11</v>
      </c>
    </row>
    <row r="5186">
      <c r="C5186" s="15" t="n">
        <v>12</v>
      </c>
      <c r="AA5186" s="15" t="n">
        <v>12</v>
      </c>
      <c r="AW5186" s="15" t="n">
        <v>12</v>
      </c>
      <c r="BS5186" s="15" t="n">
        <v>12</v>
      </c>
      <c r="CO5186" s="15" t="n">
        <v>12</v>
      </c>
      <c r="DK5186" s="15" t="n">
        <v>12</v>
      </c>
      <c r="EG5186" s="15" t="n">
        <v>12</v>
      </c>
      <c r="FC5186" s="15" t="n">
        <v>12</v>
      </c>
      <c r="FY5186" s="15" t="n">
        <v>12</v>
      </c>
      <c r="GU5186" s="15" t="n">
        <v>12</v>
      </c>
    </row>
    <row r="5187">
      <c r="C5187" s="15" t="n">
        <v>13</v>
      </c>
      <c r="AA5187" s="15" t="n">
        <v>13</v>
      </c>
      <c r="AW5187" s="15" t="n">
        <v>13</v>
      </c>
      <c r="BS5187" s="15" t="n">
        <v>13</v>
      </c>
      <c r="CO5187" s="15" t="n">
        <v>13</v>
      </c>
      <c r="DK5187" s="15" t="n">
        <v>13</v>
      </c>
      <c r="EG5187" s="15" t="n">
        <v>13</v>
      </c>
      <c r="FC5187" s="15" t="n">
        <v>13</v>
      </c>
      <c r="FY5187" s="15" t="n">
        <v>13</v>
      </c>
      <c r="GU5187" s="15" t="n">
        <v>13</v>
      </c>
    </row>
    <row r="5188">
      <c r="C5188" s="15" t="n">
        <v>14</v>
      </c>
      <c r="AA5188" s="15" t="n">
        <v>14</v>
      </c>
      <c r="AW5188" s="15" t="n">
        <v>14</v>
      </c>
      <c r="BS5188" s="15" t="n">
        <v>14</v>
      </c>
      <c r="CO5188" s="15" t="n">
        <v>14</v>
      </c>
      <c r="DK5188" s="15" t="n">
        <v>14</v>
      </c>
      <c r="EG5188" s="15" t="n">
        <v>14</v>
      </c>
      <c r="FC5188" s="15" t="n">
        <v>14</v>
      </c>
      <c r="FY5188" s="15" t="n">
        <v>14</v>
      </c>
      <c r="GU5188" s="15" t="n">
        <v>14</v>
      </c>
    </row>
    <row r="5189">
      <c r="C5189" s="15" t="n">
        <v>15</v>
      </c>
      <c r="AA5189" s="15" t="n">
        <v>15</v>
      </c>
      <c r="AW5189" s="15" t="n">
        <v>15</v>
      </c>
      <c r="BS5189" s="15" t="n">
        <v>15</v>
      </c>
      <c r="CO5189" s="15" t="n">
        <v>15</v>
      </c>
      <c r="DK5189" s="15" t="n">
        <v>15</v>
      </c>
      <c r="EG5189" s="15" t="n">
        <v>15</v>
      </c>
      <c r="FC5189" s="15" t="n">
        <v>15</v>
      </c>
      <c r="FY5189" s="15" t="n">
        <v>15</v>
      </c>
      <c r="GU5189" s="15" t="n">
        <v>15</v>
      </c>
    </row>
    <row r="5190">
      <c r="C5190" s="15" t="n">
        <v>16</v>
      </c>
      <c r="AA5190" s="15" t="n">
        <v>16</v>
      </c>
      <c r="AW5190" s="15" t="n">
        <v>16</v>
      </c>
      <c r="BS5190" s="15" t="n">
        <v>16</v>
      </c>
      <c r="CO5190" s="15" t="n">
        <v>16</v>
      </c>
      <c r="DK5190" s="15" t="n">
        <v>16</v>
      </c>
      <c r="EG5190" s="15" t="n">
        <v>16</v>
      </c>
      <c r="FC5190" s="15" t="n">
        <v>16</v>
      </c>
      <c r="FY5190" s="15" t="n">
        <v>16</v>
      </c>
      <c r="GU5190" s="15" t="n">
        <v>16</v>
      </c>
    </row>
    <row r="5191">
      <c r="C5191" s="15" t="n">
        <v>17</v>
      </c>
      <c r="AA5191" s="15" t="n">
        <v>17</v>
      </c>
      <c r="AW5191" s="15" t="n">
        <v>17</v>
      </c>
      <c r="BS5191" s="15" t="n">
        <v>17</v>
      </c>
      <c r="CO5191" s="15" t="n">
        <v>17</v>
      </c>
      <c r="DK5191" s="15" t="n">
        <v>17</v>
      </c>
      <c r="EG5191" s="15" t="n">
        <v>17</v>
      </c>
      <c r="FC5191" s="15" t="n">
        <v>17</v>
      </c>
      <c r="FY5191" s="15" t="n">
        <v>17</v>
      </c>
      <c r="GU5191" s="15" t="n">
        <v>17</v>
      </c>
    </row>
    <row r="5192">
      <c r="C5192" s="15" t="n">
        <v>18</v>
      </c>
      <c r="AA5192" s="15" t="n">
        <v>18</v>
      </c>
      <c r="AW5192" s="15" t="n">
        <v>18</v>
      </c>
      <c r="BS5192" s="15" t="n">
        <v>18</v>
      </c>
      <c r="CO5192" s="15" t="n">
        <v>18</v>
      </c>
      <c r="DK5192" s="15" t="n">
        <v>18</v>
      </c>
      <c r="EG5192" s="15" t="n">
        <v>18</v>
      </c>
      <c r="FC5192" s="15" t="n">
        <v>18</v>
      </c>
      <c r="FY5192" s="15" t="n">
        <v>18</v>
      </c>
      <c r="GU5192" s="15" t="n">
        <v>18</v>
      </c>
    </row>
    <row r="5193">
      <c r="C5193" s="15" t="n">
        <v>19</v>
      </c>
      <c r="AA5193" s="15" t="n">
        <v>19</v>
      </c>
      <c r="AW5193" s="15" t="n">
        <v>19</v>
      </c>
      <c r="BS5193" s="15" t="n">
        <v>19</v>
      </c>
      <c r="CO5193" s="15" t="n">
        <v>19</v>
      </c>
      <c r="DK5193" s="15" t="n">
        <v>19</v>
      </c>
      <c r="EG5193" s="15" t="n">
        <v>19</v>
      </c>
      <c r="FC5193" s="15" t="n">
        <v>19</v>
      </c>
      <c r="FY5193" s="15" t="n">
        <v>19</v>
      </c>
      <c r="GU5193" s="15" t="n">
        <v>19</v>
      </c>
    </row>
    <row r="5194">
      <c r="C5194" s="15" t="n">
        <v>20</v>
      </c>
      <c r="AA5194" s="15" t="n">
        <v>20</v>
      </c>
      <c r="AW5194" s="15" t="n">
        <v>20</v>
      </c>
      <c r="BS5194" s="15" t="n">
        <v>20</v>
      </c>
      <c r="CO5194" s="15" t="n">
        <v>20</v>
      </c>
      <c r="DK5194" s="15" t="n">
        <v>20</v>
      </c>
      <c r="EG5194" s="15" t="n">
        <v>20</v>
      </c>
      <c r="FC5194" s="15" t="n">
        <v>20</v>
      </c>
      <c r="FY5194" s="15" t="n">
        <v>20</v>
      </c>
      <c r="GU5194" s="15" t="n">
        <v>20</v>
      </c>
    </row>
    <row r="5195">
      <c r="C5195" s="15" t="n">
        <v>21</v>
      </c>
      <c r="AA5195" s="15" t="n">
        <v>21</v>
      </c>
      <c r="AW5195" s="15" t="n">
        <v>21</v>
      </c>
      <c r="BS5195" s="15" t="n">
        <v>21</v>
      </c>
      <c r="CO5195" s="15" t="n">
        <v>21</v>
      </c>
      <c r="DK5195" s="15" t="n">
        <v>21</v>
      </c>
      <c r="EG5195" s="15" t="n">
        <v>21</v>
      </c>
      <c r="FC5195" s="15" t="n">
        <v>21</v>
      </c>
      <c r="FY5195" s="15" t="n">
        <v>21</v>
      </c>
      <c r="GU5195" s="15" t="n">
        <v>21</v>
      </c>
    </row>
    <row r="5196">
      <c r="C5196" s="15" t="n">
        <v>22</v>
      </c>
      <c r="AA5196" s="15" t="n">
        <v>22</v>
      </c>
      <c r="AW5196" s="15" t="n">
        <v>22</v>
      </c>
      <c r="BS5196" s="15" t="n">
        <v>22</v>
      </c>
      <c r="CO5196" s="15" t="n">
        <v>22</v>
      </c>
      <c r="DK5196" s="15" t="n">
        <v>22</v>
      </c>
      <c r="EG5196" s="15" t="n">
        <v>22</v>
      </c>
      <c r="FC5196" s="15" t="n">
        <v>22</v>
      </c>
      <c r="FY5196" s="15" t="n">
        <v>22</v>
      </c>
      <c r="GU5196" s="15" t="n">
        <v>22</v>
      </c>
    </row>
    <row r="5197">
      <c r="C5197" s="15" t="n">
        <v>23</v>
      </c>
      <c r="AA5197" s="15" t="n">
        <v>23</v>
      </c>
      <c r="AW5197" s="15" t="n">
        <v>23</v>
      </c>
      <c r="BS5197" s="15" t="n">
        <v>23</v>
      </c>
      <c r="CO5197" s="15" t="n">
        <v>23</v>
      </c>
      <c r="DK5197" s="15" t="n">
        <v>23</v>
      </c>
      <c r="EG5197" s="15" t="n">
        <v>23</v>
      </c>
      <c r="FC5197" s="15" t="n">
        <v>23</v>
      </c>
      <c r="FY5197" s="15" t="n">
        <v>23</v>
      </c>
      <c r="GU5197" s="15" t="n">
        <v>23</v>
      </c>
    </row>
    <row r="5198">
      <c r="C5198" s="15" t="n">
        <v>24</v>
      </c>
      <c r="AA5198" s="15" t="n">
        <v>24</v>
      </c>
      <c r="AW5198" s="15" t="n">
        <v>24</v>
      </c>
      <c r="BS5198" s="15" t="n">
        <v>24</v>
      </c>
      <c r="CO5198" s="15" t="n">
        <v>24</v>
      </c>
      <c r="DK5198" s="15" t="n">
        <v>24</v>
      </c>
      <c r="EG5198" s="15" t="n">
        <v>24</v>
      </c>
      <c r="FC5198" s="15" t="n">
        <v>24</v>
      </c>
      <c r="FY5198" s="15" t="n">
        <v>24</v>
      </c>
      <c r="GU5198" s="15" t="n">
        <v>24</v>
      </c>
    </row>
    <row r="5199">
      <c r="C5199" s="15" t="n">
        <v>25</v>
      </c>
      <c r="AA5199" s="15" t="n">
        <v>25</v>
      </c>
      <c r="AW5199" s="15" t="n">
        <v>25</v>
      </c>
      <c r="BS5199" s="15" t="n">
        <v>25</v>
      </c>
      <c r="CO5199" s="15" t="n">
        <v>25</v>
      </c>
      <c r="DK5199" s="15" t="n">
        <v>25</v>
      </c>
      <c r="EG5199" s="15" t="n">
        <v>25</v>
      </c>
      <c r="FC5199" s="15" t="n">
        <v>25</v>
      </c>
      <c r="FY5199" s="15" t="n">
        <v>25</v>
      </c>
      <c r="GU5199" s="15" t="n">
        <v>25</v>
      </c>
    </row>
    <row r="5200">
      <c r="C5200" s="15" t="n">
        <v>26</v>
      </c>
      <c r="AA5200" s="15" t="n">
        <v>26</v>
      </c>
      <c r="AW5200" s="15" t="n">
        <v>26</v>
      </c>
      <c r="BS5200" s="15" t="n">
        <v>26</v>
      </c>
      <c r="CO5200" s="15" t="n">
        <v>26</v>
      </c>
      <c r="DK5200" s="15" t="n">
        <v>26</v>
      </c>
      <c r="EG5200" s="15" t="n">
        <v>26</v>
      </c>
      <c r="FC5200" s="15" t="n">
        <v>26</v>
      </c>
      <c r="FY5200" s="15" t="n">
        <v>26</v>
      </c>
      <c r="GU5200" s="15" t="n">
        <v>26</v>
      </c>
    </row>
    <row r="5201">
      <c r="C5201" s="15" t="n">
        <v>27</v>
      </c>
      <c r="AA5201" s="15" t="n">
        <v>27</v>
      </c>
      <c r="AW5201" s="15" t="n">
        <v>27</v>
      </c>
      <c r="BS5201" s="15" t="n">
        <v>27</v>
      </c>
      <c r="CO5201" s="15" t="n">
        <v>27</v>
      </c>
      <c r="DK5201" s="15" t="n">
        <v>27</v>
      </c>
      <c r="EG5201" s="15" t="n">
        <v>27</v>
      </c>
      <c r="FC5201" s="15" t="n">
        <v>27</v>
      </c>
      <c r="FY5201" s="15" t="n">
        <v>27</v>
      </c>
      <c r="GU5201" s="15" t="n">
        <v>27</v>
      </c>
    </row>
    <row r="5202">
      <c r="C5202" s="15" t="n">
        <v>28</v>
      </c>
      <c r="AA5202" s="15" t="n">
        <v>28</v>
      </c>
      <c r="AW5202" s="15" t="n">
        <v>28</v>
      </c>
      <c r="BS5202" s="15" t="n">
        <v>28</v>
      </c>
      <c r="CO5202" s="15" t="n">
        <v>28</v>
      </c>
      <c r="DK5202" s="15" t="n">
        <v>28</v>
      </c>
      <c r="EG5202" s="15" t="n">
        <v>28</v>
      </c>
      <c r="FC5202" s="15" t="n">
        <v>28</v>
      </c>
      <c r="FY5202" s="15" t="n">
        <v>28</v>
      </c>
      <c r="GU5202" s="15" t="n">
        <v>28</v>
      </c>
    </row>
    <row r="5203">
      <c r="C5203" s="15" t="n">
        <v>29</v>
      </c>
      <c r="AA5203" s="15" t="n">
        <v>29</v>
      </c>
      <c r="AW5203" s="15" t="n">
        <v>29</v>
      </c>
      <c r="BS5203" s="15" t="n">
        <v>29</v>
      </c>
      <c r="CO5203" s="15" t="n">
        <v>29</v>
      </c>
      <c r="DK5203" s="15" t="n">
        <v>29</v>
      </c>
      <c r="EG5203" s="15" t="n">
        <v>29</v>
      </c>
      <c r="FC5203" s="15" t="n">
        <v>29</v>
      </c>
      <c r="FY5203" s="15" t="n">
        <v>29</v>
      </c>
      <c r="GU5203" s="15" t="n">
        <v>29</v>
      </c>
    </row>
    <row r="5204">
      <c r="C5204" s="15" t="n">
        <v>30</v>
      </c>
      <c r="AA5204" s="15" t="n">
        <v>30</v>
      </c>
      <c r="AW5204" s="15" t="n">
        <v>30</v>
      </c>
      <c r="BS5204" s="15" t="n">
        <v>30</v>
      </c>
      <c r="CO5204" s="15" t="n">
        <v>30</v>
      </c>
      <c r="DK5204" s="15" t="n">
        <v>30</v>
      </c>
      <c r="EG5204" s="15" t="n">
        <v>30</v>
      </c>
      <c r="FC5204" s="15" t="n">
        <v>30</v>
      </c>
      <c r="FY5204" s="15" t="n">
        <v>30</v>
      </c>
      <c r="GU5204" s="15" t="n">
        <v>30</v>
      </c>
    </row>
    <row r="5205">
      <c r="C5205" s="15" t="n">
        <v>31</v>
      </c>
      <c r="AA5205" s="15" t="n">
        <v>31</v>
      </c>
      <c r="AW5205" s="15" t="n">
        <v>31</v>
      </c>
      <c r="BS5205" s="15" t="n">
        <v>31</v>
      </c>
      <c r="CO5205" s="15" t="n">
        <v>31</v>
      </c>
      <c r="DK5205" s="15" t="n">
        <v>31</v>
      </c>
      <c r="EG5205" s="15" t="n">
        <v>31</v>
      </c>
      <c r="FC5205" s="15" t="n">
        <v>31</v>
      </c>
      <c r="FY5205" s="15" t="n">
        <v>31</v>
      </c>
      <c r="GU5205" s="15" t="n">
        <v>31</v>
      </c>
    </row>
    <row r="5206">
      <c r="C5206" s="15" t="n">
        <v>32</v>
      </c>
      <c r="AA5206" s="15" t="n">
        <v>32</v>
      </c>
      <c r="AW5206" s="15" t="n">
        <v>32</v>
      </c>
      <c r="BS5206" s="15" t="n">
        <v>32</v>
      </c>
      <c r="CO5206" s="15" t="n">
        <v>32</v>
      </c>
      <c r="DK5206" s="15" t="n">
        <v>32</v>
      </c>
      <c r="EG5206" s="15" t="n">
        <v>32</v>
      </c>
      <c r="FC5206" s="15" t="n">
        <v>32</v>
      </c>
      <c r="FY5206" s="15" t="n">
        <v>32</v>
      </c>
      <c r="GU5206" s="15" t="n">
        <v>32</v>
      </c>
    </row>
    <row r="5207">
      <c r="C5207" s="15" t="n">
        <v>33</v>
      </c>
      <c r="AA5207" s="15" t="n">
        <v>33</v>
      </c>
      <c r="AW5207" s="15" t="n">
        <v>33</v>
      </c>
      <c r="BS5207" s="15" t="n">
        <v>33</v>
      </c>
      <c r="CO5207" s="15" t="n">
        <v>33</v>
      </c>
      <c r="DK5207" s="15" t="n">
        <v>33</v>
      </c>
      <c r="EG5207" s="15" t="n">
        <v>33</v>
      </c>
      <c r="FC5207" s="15" t="n">
        <v>33</v>
      </c>
      <c r="FY5207" s="15" t="n">
        <v>33</v>
      </c>
      <c r="GU5207" s="15" t="n">
        <v>33</v>
      </c>
    </row>
    <row r="5208">
      <c r="C5208" s="15" t="n">
        <v>34</v>
      </c>
      <c r="AA5208" s="15" t="n">
        <v>34</v>
      </c>
      <c r="AW5208" s="15" t="n">
        <v>34</v>
      </c>
      <c r="BS5208" s="15" t="n">
        <v>34</v>
      </c>
      <c r="CO5208" s="15" t="n">
        <v>34</v>
      </c>
      <c r="DK5208" s="15" t="n">
        <v>34</v>
      </c>
      <c r="EG5208" s="15" t="n">
        <v>34</v>
      </c>
      <c r="FC5208" s="15" t="n">
        <v>34</v>
      </c>
      <c r="FY5208" s="15" t="n">
        <v>34</v>
      </c>
      <c r="GU5208" s="15" t="n">
        <v>34</v>
      </c>
    </row>
    <row r="5209">
      <c r="C5209" s="15" t="n">
        <v>35</v>
      </c>
      <c r="AA5209" s="15" t="n">
        <v>35</v>
      </c>
      <c r="AW5209" s="15" t="n">
        <v>35</v>
      </c>
      <c r="BS5209" s="15" t="n">
        <v>35</v>
      </c>
      <c r="CO5209" s="15" t="n">
        <v>35</v>
      </c>
      <c r="DK5209" s="15" t="n">
        <v>35</v>
      </c>
      <c r="EG5209" s="15" t="n">
        <v>35</v>
      </c>
      <c r="FC5209" s="15" t="n">
        <v>35</v>
      </c>
      <c r="FY5209" s="15" t="n">
        <v>35</v>
      </c>
      <c r="GU5209" s="15" t="n">
        <v>35</v>
      </c>
    </row>
    <row r="5210">
      <c r="C5210" s="15" t="n">
        <v>36</v>
      </c>
      <c r="AA5210" s="15" t="n">
        <v>36</v>
      </c>
      <c r="AW5210" s="15" t="n">
        <v>36</v>
      </c>
      <c r="BS5210" s="15" t="n">
        <v>36</v>
      </c>
      <c r="CO5210" s="15" t="n">
        <v>36</v>
      </c>
      <c r="DK5210" s="15" t="n">
        <v>36</v>
      </c>
      <c r="EG5210" s="15" t="n">
        <v>36</v>
      </c>
      <c r="FC5210" s="15" t="n">
        <v>36</v>
      </c>
      <c r="FY5210" s="15" t="n">
        <v>36</v>
      </c>
      <c r="GU5210" s="15" t="n">
        <v>36</v>
      </c>
    </row>
    <row r="5211">
      <c r="C5211" s="15" t="n">
        <v>37</v>
      </c>
      <c r="AA5211" s="15" t="n">
        <v>37</v>
      </c>
      <c r="AW5211" s="15" t="n">
        <v>37</v>
      </c>
      <c r="BS5211" s="15" t="n">
        <v>37</v>
      </c>
      <c r="CO5211" s="15" t="n">
        <v>37</v>
      </c>
      <c r="DK5211" s="15" t="n">
        <v>37</v>
      </c>
      <c r="EG5211" s="15" t="n">
        <v>37</v>
      </c>
      <c r="FC5211" s="15" t="n">
        <v>37</v>
      </c>
      <c r="FY5211" s="15" t="n">
        <v>37</v>
      </c>
      <c r="GU5211" s="15" t="n">
        <v>37</v>
      </c>
    </row>
    <row r="5212">
      <c r="C5212" s="15" t="n">
        <v>38</v>
      </c>
      <c r="AA5212" s="15" t="n">
        <v>38</v>
      </c>
      <c r="AW5212" s="15" t="n">
        <v>38</v>
      </c>
      <c r="BS5212" s="15" t="n">
        <v>38</v>
      </c>
      <c r="CO5212" s="15" t="n">
        <v>38</v>
      </c>
      <c r="DK5212" s="15" t="n">
        <v>38</v>
      </c>
      <c r="EG5212" s="15" t="n">
        <v>38</v>
      </c>
      <c r="FC5212" s="15" t="n">
        <v>38</v>
      </c>
      <c r="FY5212" s="15" t="n">
        <v>38</v>
      </c>
      <c r="GU5212" s="15" t="n">
        <v>38</v>
      </c>
    </row>
    <row r="5213">
      <c r="C5213" s="15" t="n">
        <v>39</v>
      </c>
      <c r="AA5213" s="15" t="n">
        <v>39</v>
      </c>
      <c r="AW5213" s="15" t="n">
        <v>39</v>
      </c>
      <c r="BS5213" s="15" t="n">
        <v>39</v>
      </c>
      <c r="CO5213" s="15" t="n">
        <v>39</v>
      </c>
      <c r="DK5213" s="15" t="n">
        <v>39</v>
      </c>
      <c r="EG5213" s="15" t="n">
        <v>39</v>
      </c>
      <c r="FC5213" s="15" t="n">
        <v>39</v>
      </c>
      <c r="FY5213" s="15" t="n">
        <v>39</v>
      </c>
      <c r="GU5213" s="15" t="n">
        <v>39</v>
      </c>
    </row>
    <row r="5214">
      <c r="C5214" s="15" t="n">
        <v>40</v>
      </c>
      <c r="AA5214" s="15" t="n">
        <v>40</v>
      </c>
      <c r="AW5214" s="15" t="n">
        <v>40</v>
      </c>
      <c r="BS5214" s="15" t="n">
        <v>40</v>
      </c>
      <c r="CO5214" s="15" t="n">
        <v>40</v>
      </c>
      <c r="DK5214" s="15" t="n">
        <v>40</v>
      </c>
      <c r="EG5214" s="15" t="n">
        <v>40</v>
      </c>
      <c r="FC5214" s="15" t="n">
        <v>40</v>
      </c>
      <c r="FY5214" s="15" t="n">
        <v>40</v>
      </c>
      <c r="GU5214" s="15" t="n">
        <v>40</v>
      </c>
    </row>
    <row r="5215">
      <c r="C5215" s="15" t="n">
        <v>41</v>
      </c>
      <c r="AA5215" s="15" t="n">
        <v>41</v>
      </c>
      <c r="AW5215" s="15" t="n">
        <v>41</v>
      </c>
      <c r="BS5215" s="15" t="n">
        <v>41</v>
      </c>
      <c r="CO5215" s="15" t="n">
        <v>41</v>
      </c>
      <c r="DK5215" s="15" t="n">
        <v>41</v>
      </c>
      <c r="EG5215" s="15" t="n">
        <v>41</v>
      </c>
      <c r="FC5215" s="15" t="n">
        <v>41</v>
      </c>
      <c r="FY5215" s="15" t="n">
        <v>41</v>
      </c>
      <c r="GU5215" s="15" t="n">
        <v>41</v>
      </c>
    </row>
    <row r="5216">
      <c r="C5216" s="15" t="n">
        <v>42</v>
      </c>
      <c r="AA5216" s="15" t="n">
        <v>42</v>
      </c>
      <c r="AW5216" s="15" t="n">
        <v>42</v>
      </c>
      <c r="BS5216" s="15" t="n">
        <v>42</v>
      </c>
      <c r="CO5216" s="15" t="n">
        <v>42</v>
      </c>
      <c r="DK5216" s="15" t="n">
        <v>42</v>
      </c>
      <c r="EG5216" s="15" t="n">
        <v>42</v>
      </c>
      <c r="FC5216" s="15" t="n">
        <v>42</v>
      </c>
      <c r="FY5216" s="15" t="n">
        <v>42</v>
      </c>
      <c r="GU5216" s="15" t="n">
        <v>42</v>
      </c>
    </row>
    <row r="5217">
      <c r="C5217" s="15" t="n">
        <v>43</v>
      </c>
      <c r="AA5217" s="15" t="n">
        <v>43</v>
      </c>
      <c r="AW5217" s="15" t="n">
        <v>43</v>
      </c>
      <c r="BS5217" s="15" t="n">
        <v>43</v>
      </c>
      <c r="CO5217" s="15" t="n">
        <v>43</v>
      </c>
      <c r="DK5217" s="15" t="n">
        <v>43</v>
      </c>
      <c r="EG5217" s="15" t="n">
        <v>43</v>
      </c>
      <c r="FC5217" s="15" t="n">
        <v>43</v>
      </c>
      <c r="FY5217" s="15" t="n">
        <v>43</v>
      </c>
      <c r="GU5217" s="15" t="n">
        <v>43</v>
      </c>
    </row>
    <row r="5218">
      <c r="C5218" s="15" t="n">
        <v>44</v>
      </c>
      <c r="AA5218" s="15" t="n">
        <v>44</v>
      </c>
      <c r="AW5218" s="15" t="n">
        <v>44</v>
      </c>
      <c r="BS5218" s="15" t="n">
        <v>44</v>
      </c>
      <c r="CO5218" s="15" t="n">
        <v>44</v>
      </c>
      <c r="DK5218" s="15" t="n">
        <v>44</v>
      </c>
      <c r="EG5218" s="15" t="n">
        <v>44</v>
      </c>
      <c r="FC5218" s="15" t="n">
        <v>44</v>
      </c>
      <c r="FY5218" s="15" t="n">
        <v>44</v>
      </c>
      <c r="GU5218" s="15" t="n">
        <v>44</v>
      </c>
    </row>
    <row r="5219">
      <c r="C5219" s="15" t="n">
        <v>45</v>
      </c>
      <c r="AA5219" s="15" t="n">
        <v>45</v>
      </c>
      <c r="AW5219" s="15" t="n">
        <v>45</v>
      </c>
      <c r="BS5219" s="15" t="n">
        <v>45</v>
      </c>
      <c r="CO5219" s="15" t="n">
        <v>45</v>
      </c>
      <c r="DK5219" s="15" t="n">
        <v>45</v>
      </c>
      <c r="EG5219" s="15" t="n">
        <v>45</v>
      </c>
      <c r="FC5219" s="15" t="n">
        <v>45</v>
      </c>
      <c r="FY5219" s="15" t="n">
        <v>45</v>
      </c>
      <c r="GU5219" s="15" t="n">
        <v>45</v>
      </c>
    </row>
    <row r="5220">
      <c r="C5220" s="15" t="n">
        <v>46</v>
      </c>
      <c r="AA5220" s="15" t="n">
        <v>46</v>
      </c>
      <c r="AW5220" s="15" t="n">
        <v>46</v>
      </c>
      <c r="BS5220" s="15" t="n">
        <v>46</v>
      </c>
      <c r="CO5220" s="15" t="n">
        <v>46</v>
      </c>
      <c r="DK5220" s="15" t="n">
        <v>46</v>
      </c>
      <c r="EG5220" s="15" t="n">
        <v>46</v>
      </c>
      <c r="FC5220" s="15" t="n">
        <v>46</v>
      </c>
      <c r="FY5220" s="15" t="n">
        <v>46</v>
      </c>
      <c r="GU5220" s="15" t="n">
        <v>46</v>
      </c>
    </row>
    <row r="5221">
      <c r="C5221" s="15" t="n">
        <v>47</v>
      </c>
      <c r="AA5221" s="15" t="n">
        <v>47</v>
      </c>
      <c r="AW5221" s="15" t="n">
        <v>47</v>
      </c>
      <c r="BS5221" s="15" t="n">
        <v>47</v>
      </c>
      <c r="CO5221" s="15" t="n">
        <v>47</v>
      </c>
      <c r="DK5221" s="15" t="n">
        <v>47</v>
      </c>
      <c r="EG5221" s="15" t="n">
        <v>47</v>
      </c>
      <c r="FC5221" s="15" t="n">
        <v>47</v>
      </c>
      <c r="FY5221" s="15" t="n">
        <v>47</v>
      </c>
      <c r="GU5221" s="15" t="n">
        <v>47</v>
      </c>
    </row>
    <row r="5222">
      <c r="C5222" s="15" t="n">
        <v>48</v>
      </c>
      <c r="AA5222" s="15" t="n">
        <v>48</v>
      </c>
      <c r="AW5222" s="15" t="n">
        <v>48</v>
      </c>
      <c r="BS5222" s="15" t="n">
        <v>48</v>
      </c>
      <c r="CO5222" s="15" t="n">
        <v>48</v>
      </c>
      <c r="DK5222" s="15" t="n">
        <v>48</v>
      </c>
      <c r="EG5222" s="15" t="n">
        <v>48</v>
      </c>
      <c r="FC5222" s="15" t="n">
        <v>48</v>
      </c>
      <c r="FY5222" s="15" t="n">
        <v>48</v>
      </c>
      <c r="GU5222" s="15" t="n">
        <v>48</v>
      </c>
    </row>
    <row r="5223">
      <c r="C5223" s="15" t="n">
        <v>49</v>
      </c>
      <c r="AA5223" s="15" t="n">
        <v>49</v>
      </c>
      <c r="AW5223" s="15" t="n">
        <v>49</v>
      </c>
      <c r="BS5223" s="15" t="n">
        <v>49</v>
      </c>
      <c r="CO5223" s="15" t="n">
        <v>49</v>
      </c>
      <c r="DK5223" s="15" t="n">
        <v>49</v>
      </c>
      <c r="EG5223" s="15" t="n">
        <v>49</v>
      </c>
      <c r="FC5223" s="15" t="n">
        <v>49</v>
      </c>
      <c r="FY5223" s="15" t="n">
        <v>49</v>
      </c>
      <c r="GU5223" s="15" t="n">
        <v>49</v>
      </c>
    </row>
    <row r="5224">
      <c r="C5224" s="15" t="n">
        <v>50</v>
      </c>
      <c r="AA5224" s="15" t="n">
        <v>50</v>
      </c>
      <c r="AW5224" s="15" t="n">
        <v>50</v>
      </c>
      <c r="BS5224" s="15" t="n">
        <v>50</v>
      </c>
      <c r="CO5224" s="15" t="n">
        <v>50</v>
      </c>
      <c r="DK5224" s="15" t="n">
        <v>50</v>
      </c>
      <c r="EG5224" s="15" t="n">
        <v>50</v>
      </c>
      <c r="FC5224" s="15" t="n">
        <v>50</v>
      </c>
      <c r="FY5224" s="15" t="n">
        <v>50</v>
      </c>
      <c r="GU5224" s="15" t="n">
        <v>50</v>
      </c>
    </row>
    <row r="5225">
      <c r="C5225" s="15" t="n">
        <v>51</v>
      </c>
      <c r="AA5225" s="15" t="n">
        <v>51</v>
      </c>
      <c r="AW5225" s="15" t="n">
        <v>51</v>
      </c>
      <c r="BS5225" s="15" t="n">
        <v>51</v>
      </c>
      <c r="CO5225" s="15" t="n">
        <v>51</v>
      </c>
      <c r="DK5225" s="15" t="n">
        <v>51</v>
      </c>
      <c r="EG5225" s="15" t="n">
        <v>51</v>
      </c>
      <c r="FC5225" s="15" t="n">
        <v>51</v>
      </c>
      <c r="FY5225" s="15" t="n">
        <v>51</v>
      </c>
      <c r="GU5225" s="15" t="n">
        <v>51</v>
      </c>
    </row>
    <row r="5226">
      <c r="C5226" s="15" t="n">
        <v>52</v>
      </c>
      <c r="AA5226" s="15" t="n">
        <v>52</v>
      </c>
      <c r="AW5226" s="15" t="n">
        <v>52</v>
      </c>
      <c r="BS5226" s="15" t="n">
        <v>52</v>
      </c>
      <c r="CO5226" s="15" t="n">
        <v>52</v>
      </c>
      <c r="DK5226" s="15" t="n">
        <v>52</v>
      </c>
      <c r="EG5226" s="15" t="n">
        <v>52</v>
      </c>
      <c r="FC5226" s="15" t="n">
        <v>52</v>
      </c>
      <c r="FY5226" s="15" t="n">
        <v>52</v>
      </c>
      <c r="GU5226" s="15" t="n">
        <v>52</v>
      </c>
    </row>
    <row r="5227">
      <c r="C5227" s="15" t="n">
        <v>53</v>
      </c>
      <c r="AA5227" s="15" t="n">
        <v>53</v>
      </c>
      <c r="AW5227" s="15" t="n">
        <v>53</v>
      </c>
      <c r="BS5227" s="15" t="n">
        <v>53</v>
      </c>
      <c r="CO5227" s="15" t="n">
        <v>53</v>
      </c>
      <c r="DK5227" s="15" t="n">
        <v>53</v>
      </c>
      <c r="EG5227" s="15" t="n">
        <v>53</v>
      </c>
      <c r="FC5227" s="15" t="n">
        <v>53</v>
      </c>
      <c r="FY5227" s="15" t="n">
        <v>53</v>
      </c>
      <c r="GU5227" s="15" t="n">
        <v>53</v>
      </c>
    </row>
    <row r="5228">
      <c r="C5228" s="15" t="n">
        <v>54</v>
      </c>
      <c r="AA5228" s="15" t="n">
        <v>54</v>
      </c>
      <c r="AW5228" s="15" t="n">
        <v>54</v>
      </c>
      <c r="BS5228" s="15" t="n">
        <v>54</v>
      </c>
      <c r="CO5228" s="15" t="n">
        <v>54</v>
      </c>
      <c r="DK5228" s="15" t="n">
        <v>54</v>
      </c>
      <c r="EG5228" s="15" t="n">
        <v>54</v>
      </c>
      <c r="FC5228" s="15" t="n">
        <v>54</v>
      </c>
      <c r="FY5228" s="15" t="n">
        <v>54</v>
      </c>
      <c r="GU5228" s="15" t="n">
        <v>54</v>
      </c>
    </row>
    <row r="5229">
      <c r="C5229" s="15" t="n">
        <v>55</v>
      </c>
      <c r="AA5229" s="15" t="n">
        <v>55</v>
      </c>
      <c r="AW5229" s="15" t="n">
        <v>55</v>
      </c>
      <c r="BS5229" s="15" t="n">
        <v>55</v>
      </c>
      <c r="CO5229" s="15" t="n">
        <v>55</v>
      </c>
      <c r="DK5229" s="15" t="n">
        <v>55</v>
      </c>
      <c r="EG5229" s="15" t="n">
        <v>55</v>
      </c>
      <c r="FC5229" s="15" t="n">
        <v>55</v>
      </c>
      <c r="FY5229" s="15" t="n">
        <v>55</v>
      </c>
      <c r="GU5229" s="15" t="n">
        <v>55</v>
      </c>
    </row>
    <row r="5230">
      <c r="C5230" s="15" t="n">
        <v>56</v>
      </c>
      <c r="AA5230" s="15" t="n">
        <v>56</v>
      </c>
      <c r="AW5230" s="15" t="n">
        <v>56</v>
      </c>
      <c r="BS5230" s="15" t="n">
        <v>56</v>
      </c>
      <c r="CO5230" s="15" t="n">
        <v>56</v>
      </c>
      <c r="DK5230" s="15" t="n">
        <v>56</v>
      </c>
      <c r="EG5230" s="15" t="n">
        <v>56</v>
      </c>
      <c r="FC5230" s="15" t="n">
        <v>56</v>
      </c>
      <c r="FY5230" s="15" t="n">
        <v>56</v>
      </c>
      <c r="GU5230" s="15" t="n">
        <v>56</v>
      </c>
    </row>
    <row r="5231">
      <c r="C5231" s="15" t="n">
        <v>57</v>
      </c>
      <c r="AA5231" s="15" t="n">
        <v>57</v>
      </c>
      <c r="AW5231" s="15" t="n">
        <v>57</v>
      </c>
      <c r="BS5231" s="15" t="n">
        <v>57</v>
      </c>
      <c r="CO5231" s="15" t="n">
        <v>57</v>
      </c>
      <c r="DK5231" s="15" t="n">
        <v>57</v>
      </c>
      <c r="EG5231" s="15" t="n">
        <v>57</v>
      </c>
      <c r="FC5231" s="15" t="n">
        <v>57</v>
      </c>
      <c r="FY5231" s="15" t="n">
        <v>57</v>
      </c>
      <c r="GU5231" s="15" t="n">
        <v>57</v>
      </c>
    </row>
    <row r="5232">
      <c r="C5232" s="15" t="n">
        <v>58</v>
      </c>
      <c r="AA5232" s="15" t="n">
        <v>58</v>
      </c>
      <c r="AW5232" s="15" t="n">
        <v>58</v>
      </c>
      <c r="BS5232" s="15" t="n">
        <v>58</v>
      </c>
      <c r="CO5232" s="15" t="n">
        <v>58</v>
      </c>
      <c r="DK5232" s="15" t="n">
        <v>58</v>
      </c>
      <c r="EG5232" s="15" t="n">
        <v>58</v>
      </c>
      <c r="FC5232" s="15" t="n">
        <v>58</v>
      </c>
      <c r="FY5232" s="15" t="n">
        <v>58</v>
      </c>
      <c r="GU5232" s="15" t="n">
        <v>58</v>
      </c>
    </row>
    <row r="5233">
      <c r="C5233" s="15" t="n">
        <v>59</v>
      </c>
      <c r="AA5233" s="15" t="n">
        <v>59</v>
      </c>
      <c r="AW5233" s="15" t="n">
        <v>59</v>
      </c>
      <c r="BS5233" s="15" t="n">
        <v>59</v>
      </c>
      <c r="CO5233" s="15" t="n">
        <v>59</v>
      </c>
      <c r="DK5233" s="15" t="n">
        <v>59</v>
      </c>
      <c r="EG5233" s="15" t="n">
        <v>59</v>
      </c>
      <c r="FC5233" s="15" t="n">
        <v>59</v>
      </c>
      <c r="FY5233" s="15" t="n">
        <v>59</v>
      </c>
      <c r="GU5233" s="15" t="n">
        <v>59</v>
      </c>
    </row>
    <row r="5234">
      <c r="C5234" s="15" t="n">
        <v>60</v>
      </c>
      <c r="AA5234" s="15" t="n">
        <v>60</v>
      </c>
      <c r="AW5234" s="15" t="n">
        <v>60</v>
      </c>
      <c r="BS5234" s="15" t="n">
        <v>60</v>
      </c>
      <c r="CO5234" s="15" t="n">
        <v>60</v>
      </c>
      <c r="DK5234" s="15" t="n">
        <v>60</v>
      </c>
      <c r="EG5234" s="15" t="n">
        <v>60</v>
      </c>
      <c r="FC5234" s="15" t="n">
        <v>60</v>
      </c>
      <c r="FY5234" s="15" t="n">
        <v>60</v>
      </c>
      <c r="GU5234" s="15" t="n">
        <v>60</v>
      </c>
    </row>
    <row r="5235">
      <c r="C5235" s="15" t="n">
        <v>61</v>
      </c>
      <c r="AA5235" s="15" t="n">
        <v>61</v>
      </c>
      <c r="AW5235" s="15" t="n">
        <v>61</v>
      </c>
      <c r="BS5235" s="15" t="n">
        <v>61</v>
      </c>
      <c r="CO5235" s="15" t="n">
        <v>61</v>
      </c>
      <c r="DK5235" s="15" t="n">
        <v>61</v>
      </c>
      <c r="EG5235" s="15" t="n">
        <v>61</v>
      </c>
      <c r="FC5235" s="15" t="n">
        <v>61</v>
      </c>
      <c r="FY5235" s="15" t="n">
        <v>61</v>
      </c>
      <c r="GU5235" s="15" t="n">
        <v>61</v>
      </c>
    </row>
    <row r="5236">
      <c r="C5236" s="15" t="n">
        <v>62</v>
      </c>
      <c r="AA5236" s="15" t="n">
        <v>62</v>
      </c>
      <c r="AW5236" s="15" t="n">
        <v>62</v>
      </c>
      <c r="BS5236" s="15" t="n">
        <v>62</v>
      </c>
      <c r="CO5236" s="15" t="n">
        <v>62</v>
      </c>
      <c r="DK5236" s="15" t="n">
        <v>62</v>
      </c>
      <c r="EG5236" s="15" t="n">
        <v>62</v>
      </c>
      <c r="FC5236" s="15" t="n">
        <v>62</v>
      </c>
      <c r="FY5236" s="15" t="n">
        <v>62</v>
      </c>
      <c r="GU5236" s="15" t="n">
        <v>62</v>
      </c>
    </row>
    <row r="5237">
      <c r="C5237" s="15" t="n">
        <v>63</v>
      </c>
      <c r="AA5237" s="15" t="n">
        <v>63</v>
      </c>
      <c r="AW5237" s="15" t="n">
        <v>63</v>
      </c>
      <c r="BS5237" s="15" t="n">
        <v>63</v>
      </c>
      <c r="CO5237" s="15" t="n">
        <v>63</v>
      </c>
      <c r="DK5237" s="15" t="n">
        <v>63</v>
      </c>
      <c r="EG5237" s="15" t="n">
        <v>63</v>
      </c>
      <c r="FC5237" s="15" t="n">
        <v>63</v>
      </c>
      <c r="FY5237" s="15" t="n">
        <v>63</v>
      </c>
      <c r="GU5237" s="15" t="n">
        <v>63</v>
      </c>
    </row>
    <row r="5238">
      <c r="C5238" s="15" t="n">
        <v>64</v>
      </c>
      <c r="AA5238" s="15" t="n">
        <v>64</v>
      </c>
      <c r="AW5238" s="15" t="n">
        <v>64</v>
      </c>
      <c r="BS5238" s="15" t="n">
        <v>64</v>
      </c>
      <c r="CO5238" s="15" t="n">
        <v>64</v>
      </c>
      <c r="DK5238" s="15" t="n">
        <v>64</v>
      </c>
      <c r="EG5238" s="15" t="n">
        <v>64</v>
      </c>
      <c r="FC5238" s="15" t="n">
        <v>64</v>
      </c>
      <c r="FY5238" s="15" t="n">
        <v>64</v>
      </c>
      <c r="GU5238" s="15" t="n">
        <v>64</v>
      </c>
    </row>
    <row r="5239">
      <c r="C5239" s="15" t="n">
        <v>65</v>
      </c>
      <c r="AA5239" s="15" t="n">
        <v>65</v>
      </c>
      <c r="AW5239" s="15" t="n">
        <v>65</v>
      </c>
      <c r="BS5239" s="15" t="n">
        <v>65</v>
      </c>
      <c r="CO5239" s="15" t="n">
        <v>65</v>
      </c>
      <c r="DK5239" s="15" t="n">
        <v>65</v>
      </c>
      <c r="EG5239" s="15" t="n">
        <v>65</v>
      </c>
      <c r="FC5239" s="15" t="n">
        <v>65</v>
      </c>
      <c r="FY5239" s="15" t="n">
        <v>65</v>
      </c>
      <c r="GU5239" s="15" t="n">
        <v>65</v>
      </c>
    </row>
    <row r="5240">
      <c r="C5240" s="15" t="n">
        <v>66</v>
      </c>
      <c r="AA5240" s="15" t="n">
        <v>66</v>
      </c>
      <c r="AW5240" s="15" t="n">
        <v>66</v>
      </c>
      <c r="BS5240" s="15" t="n">
        <v>66</v>
      </c>
      <c r="CO5240" s="15" t="n">
        <v>66</v>
      </c>
      <c r="DK5240" s="15" t="n">
        <v>66</v>
      </c>
      <c r="EG5240" s="15" t="n">
        <v>66</v>
      </c>
      <c r="FC5240" s="15" t="n">
        <v>66</v>
      </c>
      <c r="FY5240" s="15" t="n">
        <v>66</v>
      </c>
      <c r="GU5240" s="15" t="n">
        <v>66</v>
      </c>
    </row>
    <row r="5241">
      <c r="C5241" s="15" t="n">
        <v>67</v>
      </c>
      <c r="AA5241" s="15" t="n">
        <v>67</v>
      </c>
      <c r="AW5241" s="15" t="n">
        <v>67</v>
      </c>
      <c r="BS5241" s="15" t="n">
        <v>67</v>
      </c>
      <c r="CO5241" s="15" t="n">
        <v>67</v>
      </c>
      <c r="DK5241" s="15" t="n">
        <v>67</v>
      </c>
      <c r="EG5241" s="15" t="n">
        <v>67</v>
      </c>
      <c r="FC5241" s="15" t="n">
        <v>67</v>
      </c>
      <c r="FY5241" s="15" t="n">
        <v>67</v>
      </c>
      <c r="GU5241" s="15" t="n">
        <v>67</v>
      </c>
    </row>
    <row r="5242">
      <c r="C5242" s="15" t="n">
        <v>68</v>
      </c>
      <c r="AA5242" s="15" t="n">
        <v>68</v>
      </c>
      <c r="AW5242" s="15" t="n">
        <v>68</v>
      </c>
      <c r="BS5242" s="15" t="n">
        <v>68</v>
      </c>
      <c r="CO5242" s="15" t="n">
        <v>68</v>
      </c>
      <c r="DK5242" s="15" t="n">
        <v>68</v>
      </c>
      <c r="EG5242" s="15" t="n">
        <v>68</v>
      </c>
      <c r="FC5242" s="15" t="n">
        <v>68</v>
      </c>
      <c r="FY5242" s="15" t="n">
        <v>68</v>
      </c>
      <c r="GU5242" s="15" t="n">
        <v>68</v>
      </c>
    </row>
    <row r="5243">
      <c r="C5243" s="15" t="n">
        <v>69</v>
      </c>
      <c r="AA5243" s="15" t="n">
        <v>69</v>
      </c>
      <c r="AW5243" s="15" t="n">
        <v>69</v>
      </c>
      <c r="BS5243" s="15" t="n">
        <v>69</v>
      </c>
      <c r="CO5243" s="15" t="n">
        <v>69</v>
      </c>
      <c r="DK5243" s="15" t="n">
        <v>69</v>
      </c>
      <c r="EG5243" s="15" t="n">
        <v>69</v>
      </c>
      <c r="FC5243" s="15" t="n">
        <v>69</v>
      </c>
      <c r="FY5243" s="15" t="n">
        <v>69</v>
      </c>
      <c r="GU5243" s="15" t="n">
        <v>69</v>
      </c>
    </row>
    <row r="5244">
      <c r="C5244" s="15" t="n">
        <v>70</v>
      </c>
      <c r="AA5244" s="15" t="n">
        <v>70</v>
      </c>
      <c r="AW5244" s="15" t="n">
        <v>70</v>
      </c>
      <c r="BS5244" s="15" t="n">
        <v>70</v>
      </c>
      <c r="CO5244" s="15" t="n">
        <v>70</v>
      </c>
      <c r="DK5244" s="15" t="n">
        <v>70</v>
      </c>
      <c r="EG5244" s="15" t="n">
        <v>70</v>
      </c>
      <c r="FC5244" s="15" t="n">
        <v>70</v>
      </c>
      <c r="FY5244" s="15" t="n">
        <v>70</v>
      </c>
      <c r="GU5244" s="15" t="n">
        <v>70</v>
      </c>
    </row>
    <row r="5245">
      <c r="C5245" s="15" t="n">
        <v>71</v>
      </c>
      <c r="AA5245" s="15" t="n">
        <v>71</v>
      </c>
      <c r="AW5245" s="15" t="n">
        <v>71</v>
      </c>
      <c r="BS5245" s="15" t="n">
        <v>71</v>
      </c>
      <c r="CO5245" s="15" t="n">
        <v>71</v>
      </c>
      <c r="DK5245" s="15" t="n">
        <v>71</v>
      </c>
      <c r="EG5245" s="15" t="n">
        <v>71</v>
      </c>
      <c r="FC5245" s="15" t="n">
        <v>71</v>
      </c>
      <c r="FY5245" s="15" t="n">
        <v>71</v>
      </c>
      <c r="GU5245" s="15" t="n">
        <v>71</v>
      </c>
    </row>
    <row r="5246">
      <c r="C5246" s="15" t="n">
        <v>72</v>
      </c>
      <c r="AA5246" s="15" t="n">
        <v>72</v>
      </c>
      <c r="AW5246" s="15" t="n">
        <v>72</v>
      </c>
      <c r="BS5246" s="15" t="n">
        <v>72</v>
      </c>
      <c r="CO5246" s="15" t="n">
        <v>72</v>
      </c>
      <c r="DK5246" s="15" t="n">
        <v>72</v>
      </c>
      <c r="EG5246" s="15" t="n">
        <v>72</v>
      </c>
      <c r="FC5246" s="15" t="n">
        <v>72</v>
      </c>
      <c r="FY5246" s="15" t="n">
        <v>72</v>
      </c>
      <c r="GU5246" s="15" t="n">
        <v>72</v>
      </c>
    </row>
    <row r="5247">
      <c r="C5247" s="15" t="n">
        <v>73</v>
      </c>
      <c r="AA5247" s="15" t="n">
        <v>73</v>
      </c>
      <c r="AW5247" s="15" t="n">
        <v>73</v>
      </c>
      <c r="BS5247" s="15" t="n">
        <v>73</v>
      </c>
      <c r="CO5247" s="15" t="n">
        <v>73</v>
      </c>
      <c r="DK5247" s="15" t="n">
        <v>73</v>
      </c>
      <c r="EG5247" s="15" t="n">
        <v>73</v>
      </c>
      <c r="FC5247" s="15" t="n">
        <v>73</v>
      </c>
      <c r="FY5247" s="15" t="n">
        <v>73</v>
      </c>
      <c r="GU5247" s="15" t="n">
        <v>73</v>
      </c>
    </row>
    <row r="5248">
      <c r="C5248" s="15" t="n">
        <v>74</v>
      </c>
      <c r="AA5248" s="15" t="n">
        <v>74</v>
      </c>
      <c r="AW5248" s="15" t="n">
        <v>74</v>
      </c>
      <c r="BS5248" s="15" t="n">
        <v>74</v>
      </c>
      <c r="CO5248" s="15" t="n">
        <v>74</v>
      </c>
      <c r="DK5248" s="15" t="n">
        <v>74</v>
      </c>
      <c r="EG5248" s="15" t="n">
        <v>74</v>
      </c>
      <c r="FC5248" s="15" t="n">
        <v>74</v>
      </c>
      <c r="FY5248" s="15" t="n">
        <v>74</v>
      </c>
      <c r="GU5248" s="15" t="n">
        <v>74</v>
      </c>
    </row>
    <row r="5249">
      <c r="C5249" s="15" t="n">
        <v>75</v>
      </c>
      <c r="AA5249" s="15" t="n">
        <v>75</v>
      </c>
      <c r="AW5249" s="15" t="n">
        <v>75</v>
      </c>
      <c r="BS5249" s="15" t="n">
        <v>75</v>
      </c>
      <c r="CO5249" s="15" t="n">
        <v>75</v>
      </c>
      <c r="DK5249" s="15" t="n">
        <v>75</v>
      </c>
      <c r="EG5249" s="15" t="n">
        <v>75</v>
      </c>
      <c r="FC5249" s="15" t="n">
        <v>75</v>
      </c>
      <c r="FY5249" s="15" t="n">
        <v>75</v>
      </c>
      <c r="GU5249" s="15" t="n">
        <v>75</v>
      </c>
    </row>
    <row r="5250">
      <c r="C5250" s="15" t="n">
        <v>76</v>
      </c>
      <c r="AA5250" s="15" t="n">
        <v>76</v>
      </c>
      <c r="AW5250" s="15" t="n">
        <v>76</v>
      </c>
      <c r="BS5250" s="15" t="n">
        <v>76</v>
      </c>
      <c r="CO5250" s="15" t="n">
        <v>76</v>
      </c>
      <c r="DK5250" s="15" t="n">
        <v>76</v>
      </c>
      <c r="EG5250" s="15" t="n">
        <v>76</v>
      </c>
      <c r="FC5250" s="15" t="n">
        <v>76</v>
      </c>
      <c r="FY5250" s="15" t="n">
        <v>76</v>
      </c>
      <c r="GU5250" s="15" t="n">
        <v>76</v>
      </c>
    </row>
    <row r="5251">
      <c r="C5251" s="15" t="n">
        <v>77</v>
      </c>
      <c r="AA5251" s="15" t="n">
        <v>77</v>
      </c>
      <c r="AW5251" s="15" t="n">
        <v>77</v>
      </c>
      <c r="BS5251" s="15" t="n">
        <v>77</v>
      </c>
      <c r="CO5251" s="15" t="n">
        <v>77</v>
      </c>
      <c r="DK5251" s="15" t="n">
        <v>77</v>
      </c>
      <c r="EG5251" s="15" t="n">
        <v>77</v>
      </c>
      <c r="FC5251" s="15" t="n">
        <v>77</v>
      </c>
      <c r="FY5251" s="15" t="n">
        <v>77</v>
      </c>
      <c r="GU5251" s="15" t="n">
        <v>77</v>
      </c>
    </row>
    <row r="5252">
      <c r="C5252" s="15" t="n">
        <v>78</v>
      </c>
      <c r="AA5252" s="15" t="n">
        <v>78</v>
      </c>
      <c r="AW5252" s="15" t="n">
        <v>78</v>
      </c>
      <c r="BS5252" s="15" t="n">
        <v>78</v>
      </c>
      <c r="CO5252" s="15" t="n">
        <v>78</v>
      </c>
      <c r="DK5252" s="15" t="n">
        <v>78</v>
      </c>
      <c r="EG5252" s="15" t="n">
        <v>78</v>
      </c>
      <c r="FC5252" s="15" t="n">
        <v>78</v>
      </c>
      <c r="FY5252" s="15" t="n">
        <v>78</v>
      </c>
      <c r="GU5252" s="15" t="n">
        <v>78</v>
      </c>
    </row>
    <row r="5253">
      <c r="C5253" s="15" t="n">
        <v>79</v>
      </c>
      <c r="AA5253" s="15" t="n">
        <v>79</v>
      </c>
      <c r="AW5253" s="15" t="n">
        <v>79</v>
      </c>
      <c r="BS5253" s="15" t="n">
        <v>79</v>
      </c>
      <c r="CO5253" s="15" t="n">
        <v>79</v>
      </c>
      <c r="DK5253" s="15" t="n">
        <v>79</v>
      </c>
      <c r="EG5253" s="15" t="n">
        <v>79</v>
      </c>
      <c r="FC5253" s="15" t="n">
        <v>79</v>
      </c>
      <c r="FY5253" s="15" t="n">
        <v>79</v>
      </c>
      <c r="GU5253" s="15" t="n">
        <v>79</v>
      </c>
    </row>
    <row r="5254">
      <c r="C5254" s="15" t="n">
        <v>80</v>
      </c>
      <c r="AA5254" s="15" t="n">
        <v>80</v>
      </c>
      <c r="AW5254" s="15" t="n">
        <v>80</v>
      </c>
      <c r="BS5254" s="15" t="n">
        <v>80</v>
      </c>
      <c r="CO5254" s="15" t="n">
        <v>80</v>
      </c>
      <c r="DK5254" s="15" t="n">
        <v>80</v>
      </c>
      <c r="EG5254" s="15" t="n">
        <v>80</v>
      </c>
      <c r="FC5254" s="15" t="n">
        <v>80</v>
      </c>
      <c r="FY5254" s="15" t="n">
        <v>80</v>
      </c>
      <c r="GU5254" s="15" t="n">
        <v>80</v>
      </c>
    </row>
    <row r="5255">
      <c r="C5255" s="15" t="n">
        <v>81</v>
      </c>
      <c r="AA5255" s="15" t="n">
        <v>81</v>
      </c>
      <c r="AW5255" s="15" t="n">
        <v>81</v>
      </c>
      <c r="BS5255" s="15" t="n">
        <v>81</v>
      </c>
      <c r="CO5255" s="15" t="n">
        <v>81</v>
      </c>
      <c r="DK5255" s="15" t="n">
        <v>81</v>
      </c>
      <c r="EG5255" s="15" t="n">
        <v>81</v>
      </c>
      <c r="FC5255" s="15" t="n">
        <v>81</v>
      </c>
      <c r="FY5255" s="15" t="n">
        <v>81</v>
      </c>
      <c r="GU5255" s="15" t="n">
        <v>81</v>
      </c>
    </row>
    <row r="5256">
      <c r="C5256" s="15" t="n">
        <v>82</v>
      </c>
      <c r="AA5256" s="15" t="n">
        <v>82</v>
      </c>
      <c r="AW5256" s="15" t="n">
        <v>82</v>
      </c>
      <c r="BS5256" s="15" t="n">
        <v>82</v>
      </c>
      <c r="CO5256" s="15" t="n">
        <v>82</v>
      </c>
      <c r="DK5256" s="15" t="n">
        <v>82</v>
      </c>
      <c r="EG5256" s="15" t="n">
        <v>82</v>
      </c>
      <c r="FC5256" s="15" t="n">
        <v>82</v>
      </c>
      <c r="FY5256" s="15" t="n">
        <v>82</v>
      </c>
      <c r="GU5256" s="15" t="n">
        <v>82</v>
      </c>
    </row>
    <row r="5257">
      <c r="C5257" s="15" t="n">
        <v>83</v>
      </c>
      <c r="AA5257" s="15" t="n">
        <v>83</v>
      </c>
      <c r="AW5257" s="15" t="n">
        <v>83</v>
      </c>
      <c r="BS5257" s="15" t="n">
        <v>83</v>
      </c>
      <c r="CO5257" s="15" t="n">
        <v>83</v>
      </c>
      <c r="DK5257" s="15" t="n">
        <v>83</v>
      </c>
      <c r="EG5257" s="15" t="n">
        <v>83</v>
      </c>
      <c r="FC5257" s="15" t="n">
        <v>83</v>
      </c>
      <c r="FY5257" s="15" t="n">
        <v>83</v>
      </c>
      <c r="GU5257" s="15" t="n">
        <v>83</v>
      </c>
    </row>
    <row r="5258">
      <c r="C5258" s="15" t="n">
        <v>84</v>
      </c>
      <c r="AA5258" s="15" t="n">
        <v>84</v>
      </c>
      <c r="AW5258" s="15" t="n">
        <v>84</v>
      </c>
      <c r="BS5258" s="15" t="n">
        <v>84</v>
      </c>
      <c r="CO5258" s="15" t="n">
        <v>84</v>
      </c>
      <c r="DK5258" s="15" t="n">
        <v>84</v>
      </c>
      <c r="EG5258" s="15" t="n">
        <v>84</v>
      </c>
      <c r="FC5258" s="15" t="n">
        <v>84</v>
      </c>
      <c r="FY5258" s="15" t="n">
        <v>84</v>
      </c>
      <c r="GU5258" s="15" t="n">
        <v>84</v>
      </c>
    </row>
    <row r="5259">
      <c r="C5259" s="15" t="n">
        <v>85</v>
      </c>
      <c r="AA5259" s="15" t="n">
        <v>85</v>
      </c>
      <c r="AW5259" s="15" t="n">
        <v>85</v>
      </c>
      <c r="BS5259" s="15" t="n">
        <v>85</v>
      </c>
      <c r="CO5259" s="15" t="n">
        <v>85</v>
      </c>
      <c r="DK5259" s="15" t="n">
        <v>85</v>
      </c>
      <c r="EG5259" s="15" t="n">
        <v>85</v>
      </c>
      <c r="FC5259" s="15" t="n">
        <v>85</v>
      </c>
      <c r="FY5259" s="15" t="n">
        <v>85</v>
      </c>
      <c r="GU5259" s="15" t="n">
        <v>85</v>
      </c>
    </row>
    <row r="5260">
      <c r="C5260" s="15" t="n">
        <v>86</v>
      </c>
      <c r="AA5260" s="15" t="n">
        <v>86</v>
      </c>
      <c r="AW5260" s="15" t="n">
        <v>86</v>
      </c>
      <c r="BS5260" s="15" t="n">
        <v>86</v>
      </c>
      <c r="CO5260" s="15" t="n">
        <v>86</v>
      </c>
      <c r="DK5260" s="15" t="n">
        <v>86</v>
      </c>
      <c r="EG5260" s="15" t="n">
        <v>86</v>
      </c>
      <c r="FC5260" s="15" t="n">
        <v>86</v>
      </c>
      <c r="FY5260" s="15" t="n">
        <v>86</v>
      </c>
      <c r="GU5260" s="15" t="n">
        <v>86</v>
      </c>
    </row>
    <row r="5261">
      <c r="C5261" s="15" t="n">
        <v>87</v>
      </c>
      <c r="AA5261" s="15" t="n">
        <v>87</v>
      </c>
      <c r="AW5261" s="15" t="n">
        <v>87</v>
      </c>
      <c r="BS5261" s="15" t="n">
        <v>87</v>
      </c>
      <c r="CO5261" s="15" t="n">
        <v>87</v>
      </c>
      <c r="DK5261" s="15" t="n">
        <v>87</v>
      </c>
      <c r="EG5261" s="15" t="n">
        <v>87</v>
      </c>
      <c r="FC5261" s="15" t="n">
        <v>87</v>
      </c>
      <c r="FY5261" s="15" t="n">
        <v>87</v>
      </c>
      <c r="GU5261" s="15" t="n">
        <v>87</v>
      </c>
    </row>
    <row r="5262">
      <c r="C5262" s="15" t="n">
        <v>88</v>
      </c>
      <c r="AA5262" s="15" t="n">
        <v>88</v>
      </c>
      <c r="AW5262" s="15" t="n">
        <v>88</v>
      </c>
      <c r="BS5262" s="15" t="n">
        <v>88</v>
      </c>
      <c r="CO5262" s="15" t="n">
        <v>88</v>
      </c>
      <c r="DK5262" s="15" t="n">
        <v>88</v>
      </c>
      <c r="EG5262" s="15" t="n">
        <v>88</v>
      </c>
      <c r="FC5262" s="15" t="n">
        <v>88</v>
      </c>
      <c r="FY5262" s="15" t="n">
        <v>88</v>
      </c>
      <c r="GU5262" s="15" t="n">
        <v>88</v>
      </c>
    </row>
    <row r="5263">
      <c r="C5263" s="15" t="n">
        <v>89</v>
      </c>
      <c r="AA5263" s="15" t="n">
        <v>89</v>
      </c>
      <c r="AW5263" s="15" t="n">
        <v>89</v>
      </c>
      <c r="BS5263" s="15" t="n">
        <v>89</v>
      </c>
      <c r="CO5263" s="15" t="n">
        <v>89</v>
      </c>
      <c r="DK5263" s="15" t="n">
        <v>89</v>
      </c>
      <c r="EG5263" s="15" t="n">
        <v>89</v>
      </c>
      <c r="FC5263" s="15" t="n">
        <v>89</v>
      </c>
      <c r="FY5263" s="15" t="n">
        <v>89</v>
      </c>
      <c r="GU5263" s="15" t="n">
        <v>89</v>
      </c>
    </row>
    <row r="5264">
      <c r="C5264" s="15" t="n">
        <v>90</v>
      </c>
      <c r="AA5264" s="15" t="n">
        <v>90</v>
      </c>
      <c r="AW5264" s="15" t="n">
        <v>90</v>
      </c>
      <c r="BS5264" s="15" t="n">
        <v>90</v>
      </c>
      <c r="CO5264" s="15" t="n">
        <v>90</v>
      </c>
      <c r="DK5264" s="15" t="n">
        <v>90</v>
      </c>
      <c r="EG5264" s="15" t="n">
        <v>90</v>
      </c>
      <c r="FC5264" s="15" t="n">
        <v>90</v>
      </c>
      <c r="FY5264" s="15" t="n">
        <v>90</v>
      </c>
      <c r="GU5264" s="15" t="n">
        <v>90</v>
      </c>
    </row>
    <row r="5265">
      <c r="C5265" s="15" t="n">
        <v>91</v>
      </c>
      <c r="AA5265" s="15" t="n">
        <v>91</v>
      </c>
      <c r="AW5265" s="15" t="n">
        <v>91</v>
      </c>
      <c r="BS5265" s="15" t="n">
        <v>91</v>
      </c>
      <c r="CO5265" s="15" t="n">
        <v>91</v>
      </c>
      <c r="DK5265" s="15" t="n">
        <v>91</v>
      </c>
      <c r="EG5265" s="15" t="n">
        <v>91</v>
      </c>
      <c r="FC5265" s="15" t="n">
        <v>91</v>
      </c>
      <c r="FY5265" s="15" t="n">
        <v>91</v>
      </c>
      <c r="GU5265" s="15" t="n">
        <v>91</v>
      </c>
    </row>
    <row r="5266">
      <c r="C5266" s="15" t="n">
        <v>92</v>
      </c>
      <c r="AA5266" s="15" t="n">
        <v>92</v>
      </c>
      <c r="AW5266" s="15" t="n">
        <v>92</v>
      </c>
      <c r="BS5266" s="15" t="n">
        <v>92</v>
      </c>
      <c r="CO5266" s="15" t="n">
        <v>92</v>
      </c>
      <c r="DK5266" s="15" t="n">
        <v>92</v>
      </c>
      <c r="EG5266" s="15" t="n">
        <v>92</v>
      </c>
      <c r="FC5266" s="15" t="n">
        <v>92</v>
      </c>
      <c r="FY5266" s="15" t="n">
        <v>92</v>
      </c>
      <c r="GU5266" s="15" t="n">
        <v>92</v>
      </c>
    </row>
    <row r="5267">
      <c r="C5267" s="15" t="n">
        <v>93</v>
      </c>
      <c r="AA5267" s="15" t="n">
        <v>93</v>
      </c>
      <c r="AW5267" s="15" t="n">
        <v>93</v>
      </c>
      <c r="BS5267" s="15" t="n">
        <v>93</v>
      </c>
      <c r="CO5267" s="15" t="n">
        <v>93</v>
      </c>
      <c r="DK5267" s="15" t="n">
        <v>93</v>
      </c>
      <c r="EG5267" s="15" t="n">
        <v>93</v>
      </c>
      <c r="FC5267" s="15" t="n">
        <v>93</v>
      </c>
      <c r="FY5267" s="15" t="n">
        <v>93</v>
      </c>
      <c r="GU5267" s="15" t="n">
        <v>93</v>
      </c>
    </row>
    <row r="5268">
      <c r="C5268" s="15" t="n">
        <v>94</v>
      </c>
      <c r="AA5268" s="15" t="n">
        <v>94</v>
      </c>
      <c r="AW5268" s="15" t="n">
        <v>94</v>
      </c>
      <c r="BS5268" s="15" t="n">
        <v>94</v>
      </c>
      <c r="CO5268" s="15" t="n">
        <v>94</v>
      </c>
      <c r="DK5268" s="15" t="n">
        <v>94</v>
      </c>
      <c r="EG5268" s="15" t="n">
        <v>94</v>
      </c>
      <c r="FC5268" s="15" t="n">
        <v>94</v>
      </c>
      <c r="FY5268" s="15" t="n">
        <v>94</v>
      </c>
      <c r="GU5268" s="15" t="n">
        <v>94</v>
      </c>
    </row>
    <row r="5269">
      <c r="C5269" s="15" t="n">
        <v>95</v>
      </c>
      <c r="AA5269" s="15" t="n">
        <v>95</v>
      </c>
      <c r="AW5269" s="15" t="n">
        <v>95</v>
      </c>
      <c r="BS5269" s="15" t="n">
        <v>95</v>
      </c>
      <c r="CO5269" s="15" t="n">
        <v>95</v>
      </c>
      <c r="DK5269" s="15" t="n">
        <v>95</v>
      </c>
      <c r="EG5269" s="15" t="n">
        <v>95</v>
      </c>
      <c r="FC5269" s="15" t="n">
        <v>95</v>
      </c>
      <c r="FY5269" s="15" t="n">
        <v>95</v>
      </c>
      <c r="GU5269" s="15" t="n">
        <v>95</v>
      </c>
    </row>
    <row r="5270">
      <c r="C5270" s="15" t="n">
        <v>96</v>
      </c>
      <c r="AA5270" s="15" t="n">
        <v>96</v>
      </c>
      <c r="AW5270" s="15" t="n">
        <v>96</v>
      </c>
      <c r="BS5270" s="15" t="n">
        <v>96</v>
      </c>
      <c r="CO5270" s="15" t="n">
        <v>96</v>
      </c>
      <c r="DK5270" s="15" t="n">
        <v>96</v>
      </c>
      <c r="EG5270" s="15" t="n">
        <v>96</v>
      </c>
      <c r="FC5270" s="15" t="n">
        <v>96</v>
      </c>
      <c r="FY5270" s="15" t="n">
        <v>96</v>
      </c>
      <c r="GU5270" s="15" t="n">
        <v>96</v>
      </c>
    </row>
    <row r="5271">
      <c r="C5271" s="15" t="n">
        <v>97</v>
      </c>
      <c r="AA5271" s="15" t="n">
        <v>97</v>
      </c>
      <c r="AW5271" s="15" t="n">
        <v>97</v>
      </c>
      <c r="BS5271" s="15" t="n">
        <v>97</v>
      </c>
      <c r="CO5271" s="15" t="n">
        <v>97</v>
      </c>
      <c r="DK5271" s="15" t="n">
        <v>97</v>
      </c>
      <c r="EG5271" s="15" t="n">
        <v>97</v>
      </c>
      <c r="FC5271" s="15" t="n">
        <v>97</v>
      </c>
      <c r="FY5271" s="15" t="n">
        <v>97</v>
      </c>
      <c r="GU5271" s="15" t="n">
        <v>97</v>
      </c>
    </row>
    <row r="5272">
      <c r="C5272" s="15" t="n">
        <v>98</v>
      </c>
      <c r="AA5272" s="15" t="n">
        <v>98</v>
      </c>
      <c r="AW5272" s="15" t="n">
        <v>98</v>
      </c>
      <c r="BS5272" s="15" t="n">
        <v>98</v>
      </c>
      <c r="CO5272" s="15" t="n">
        <v>98</v>
      </c>
      <c r="DK5272" s="15" t="n">
        <v>98</v>
      </c>
      <c r="EG5272" s="15" t="n">
        <v>98</v>
      </c>
      <c r="FC5272" s="15" t="n">
        <v>98</v>
      </c>
      <c r="FY5272" s="15" t="n">
        <v>98</v>
      </c>
      <c r="GU5272" s="15" t="n">
        <v>98</v>
      </c>
    </row>
    <row r="5273">
      <c r="C5273" s="15" t="n">
        <v>99</v>
      </c>
      <c r="AA5273" s="15" t="n">
        <v>99</v>
      </c>
      <c r="AW5273" s="15" t="n">
        <v>99</v>
      </c>
      <c r="BS5273" s="15" t="n">
        <v>99</v>
      </c>
      <c r="CO5273" s="15" t="n">
        <v>99</v>
      </c>
      <c r="DK5273" s="15" t="n">
        <v>99</v>
      </c>
      <c r="EG5273" s="15" t="n">
        <v>99</v>
      </c>
      <c r="FC5273" s="15" t="n">
        <v>99</v>
      </c>
      <c r="FY5273" s="15" t="n">
        <v>99</v>
      </c>
      <c r="GU5273" s="15" t="n">
        <v>99</v>
      </c>
    </row>
    <row r="5274">
      <c r="C5274" s="15" t="n">
        <v>100</v>
      </c>
      <c r="AA5274" s="15" t="n">
        <v>100</v>
      </c>
      <c r="AW5274" s="15" t="n">
        <v>100</v>
      </c>
      <c r="BS5274" s="15" t="n">
        <v>100</v>
      </c>
      <c r="CO5274" s="15" t="n">
        <v>100</v>
      </c>
      <c r="DK5274" s="15" t="n">
        <v>100</v>
      </c>
      <c r="EG5274" s="15" t="n">
        <v>100</v>
      </c>
      <c r="FC5274" s="15" t="n">
        <v>100</v>
      </c>
      <c r="FY5274" s="15" t="n">
        <v>100</v>
      </c>
      <c r="GU5274" s="15" t="n">
        <v>100</v>
      </c>
    </row>
    <row r="5275">
      <c r="C5275" s="15" t="n">
        <v>101</v>
      </c>
      <c r="AA5275" s="15" t="n">
        <v>101</v>
      </c>
      <c r="AW5275" s="15" t="n">
        <v>101</v>
      </c>
      <c r="BS5275" s="15" t="n">
        <v>101</v>
      </c>
      <c r="CO5275" s="15" t="n">
        <v>101</v>
      </c>
      <c r="DK5275" s="15" t="n">
        <v>101</v>
      </c>
      <c r="EG5275" s="15" t="n">
        <v>101</v>
      </c>
      <c r="FC5275" s="15" t="n">
        <v>101</v>
      </c>
      <c r="FY5275" s="15" t="n">
        <v>101</v>
      </c>
      <c r="GU5275" s="15" t="n">
        <v>101</v>
      </c>
    </row>
    <row r="5276">
      <c r="C5276" s="15" t="n">
        <v>102</v>
      </c>
      <c r="AA5276" s="15" t="n">
        <v>102</v>
      </c>
      <c r="AW5276" s="15" t="n">
        <v>102</v>
      </c>
      <c r="BS5276" s="15" t="n">
        <v>102</v>
      </c>
      <c r="CO5276" s="15" t="n">
        <v>102</v>
      </c>
      <c r="DK5276" s="15" t="n">
        <v>102</v>
      </c>
      <c r="EG5276" s="15" t="n">
        <v>102</v>
      </c>
      <c r="FC5276" s="15" t="n">
        <v>102</v>
      </c>
      <c r="FY5276" s="15" t="n">
        <v>102</v>
      </c>
      <c r="GU5276" s="15" t="n">
        <v>102</v>
      </c>
    </row>
    <row r="5277">
      <c r="C5277" s="15" t="n">
        <v>103</v>
      </c>
      <c r="AA5277" s="15" t="n">
        <v>103</v>
      </c>
      <c r="AW5277" s="15" t="n">
        <v>103</v>
      </c>
      <c r="BS5277" s="15" t="n">
        <v>103</v>
      </c>
      <c r="CO5277" s="15" t="n">
        <v>103</v>
      </c>
      <c r="DK5277" s="15" t="n">
        <v>103</v>
      </c>
      <c r="EG5277" s="15" t="n">
        <v>103</v>
      </c>
      <c r="FC5277" s="15" t="n">
        <v>103</v>
      </c>
      <c r="FY5277" s="15" t="n">
        <v>103</v>
      </c>
      <c r="GU5277" s="15" t="n">
        <v>103</v>
      </c>
    </row>
    <row r="5278">
      <c r="C5278" s="15" t="n">
        <v>104</v>
      </c>
      <c r="AA5278" s="15" t="n">
        <v>104</v>
      </c>
      <c r="AW5278" s="15" t="n">
        <v>104</v>
      </c>
      <c r="BS5278" s="15" t="n">
        <v>104</v>
      </c>
      <c r="CO5278" s="15" t="n">
        <v>104</v>
      </c>
      <c r="DK5278" s="15" t="n">
        <v>104</v>
      </c>
      <c r="EG5278" s="15" t="n">
        <v>104</v>
      </c>
      <c r="FC5278" s="15" t="n">
        <v>104</v>
      </c>
      <c r="FY5278" s="15" t="n">
        <v>104</v>
      </c>
      <c r="GU5278" s="15" t="n">
        <v>104</v>
      </c>
    </row>
    <row r="5279">
      <c r="C5279" s="15" t="n">
        <v>105</v>
      </c>
      <c r="AA5279" s="15" t="n">
        <v>105</v>
      </c>
      <c r="AW5279" s="15" t="n">
        <v>105</v>
      </c>
      <c r="BS5279" s="15" t="n">
        <v>105</v>
      </c>
      <c r="CO5279" s="15" t="n">
        <v>105</v>
      </c>
      <c r="DK5279" s="15" t="n">
        <v>105</v>
      </c>
      <c r="EG5279" s="15" t="n">
        <v>105</v>
      </c>
      <c r="FC5279" s="15" t="n">
        <v>105</v>
      </c>
      <c r="FY5279" s="15" t="n">
        <v>105</v>
      </c>
      <c r="GU5279" s="15" t="n">
        <v>105</v>
      </c>
    </row>
    <row r="5280">
      <c r="C5280" s="15" t="n">
        <v>106</v>
      </c>
      <c r="AA5280" s="15" t="n">
        <v>106</v>
      </c>
      <c r="AW5280" s="15" t="n">
        <v>106</v>
      </c>
      <c r="BS5280" s="15" t="n">
        <v>106</v>
      </c>
      <c r="CO5280" s="15" t="n">
        <v>106</v>
      </c>
      <c r="DK5280" s="15" t="n">
        <v>106</v>
      </c>
      <c r="EG5280" s="15" t="n">
        <v>106</v>
      </c>
      <c r="FC5280" s="15" t="n">
        <v>106</v>
      </c>
      <c r="FY5280" s="15" t="n">
        <v>106</v>
      </c>
      <c r="GU5280" s="15" t="n">
        <v>106</v>
      </c>
    </row>
    <row r="5281">
      <c r="C5281" s="15" t="n">
        <v>107</v>
      </c>
      <c r="AA5281" s="15" t="n">
        <v>107</v>
      </c>
      <c r="AW5281" s="15" t="n">
        <v>107</v>
      </c>
      <c r="BS5281" s="15" t="n">
        <v>107</v>
      </c>
      <c r="CO5281" s="15" t="n">
        <v>107</v>
      </c>
      <c r="DK5281" s="15" t="n">
        <v>107</v>
      </c>
      <c r="EG5281" s="15" t="n">
        <v>107</v>
      </c>
      <c r="FC5281" s="15" t="n">
        <v>107</v>
      </c>
      <c r="FY5281" s="15" t="n">
        <v>107</v>
      </c>
      <c r="GU5281" s="15" t="n">
        <v>107</v>
      </c>
    </row>
    <row r="5282">
      <c r="C5282" s="15" t="n">
        <v>108</v>
      </c>
      <c r="AA5282" s="15" t="n">
        <v>108</v>
      </c>
      <c r="AW5282" s="15" t="n">
        <v>108</v>
      </c>
      <c r="BS5282" s="15" t="n">
        <v>108</v>
      </c>
      <c r="CO5282" s="15" t="n">
        <v>108</v>
      </c>
      <c r="DK5282" s="15" t="n">
        <v>108</v>
      </c>
      <c r="EG5282" s="15" t="n">
        <v>108</v>
      </c>
      <c r="FC5282" s="15" t="n">
        <v>108</v>
      </c>
      <c r="FY5282" s="15" t="n">
        <v>108</v>
      </c>
      <c r="GU5282" s="15" t="n">
        <v>108</v>
      </c>
    </row>
    <row r="5283">
      <c r="C5283" s="15" t="n">
        <v>109</v>
      </c>
      <c r="AA5283" s="15" t="n">
        <v>109</v>
      </c>
      <c r="AW5283" s="15" t="n">
        <v>109</v>
      </c>
      <c r="BS5283" s="15" t="n">
        <v>109</v>
      </c>
      <c r="CO5283" s="15" t="n">
        <v>109</v>
      </c>
      <c r="DK5283" s="15" t="n">
        <v>109</v>
      </c>
      <c r="EG5283" s="15" t="n">
        <v>109</v>
      </c>
      <c r="FC5283" s="15" t="n">
        <v>109</v>
      </c>
      <c r="FY5283" s="15" t="n">
        <v>109</v>
      </c>
      <c r="GU5283" s="15" t="n">
        <v>109</v>
      </c>
    </row>
    <row r="5284">
      <c r="C5284" s="15" t="n">
        <v>110</v>
      </c>
      <c r="AA5284" s="15" t="n">
        <v>110</v>
      </c>
      <c r="AW5284" s="15" t="n">
        <v>110</v>
      </c>
      <c r="BS5284" s="15" t="n">
        <v>110</v>
      </c>
      <c r="CO5284" s="15" t="n">
        <v>110</v>
      </c>
      <c r="DK5284" s="15" t="n">
        <v>110</v>
      </c>
      <c r="EG5284" s="15" t="n">
        <v>110</v>
      </c>
      <c r="FC5284" s="15" t="n">
        <v>110</v>
      </c>
      <c r="FY5284" s="15" t="n">
        <v>110</v>
      </c>
      <c r="GU5284" s="15" t="n">
        <v>110</v>
      </c>
    </row>
    <row r="5285">
      <c r="C5285" s="15" t="n">
        <v>111</v>
      </c>
      <c r="AA5285" s="15" t="n">
        <v>111</v>
      </c>
      <c r="AW5285" s="15" t="n">
        <v>111</v>
      </c>
      <c r="BS5285" s="15" t="n">
        <v>111</v>
      </c>
      <c r="CO5285" s="15" t="n">
        <v>111</v>
      </c>
      <c r="DK5285" s="15" t="n">
        <v>111</v>
      </c>
      <c r="EG5285" s="15" t="n">
        <v>111</v>
      </c>
      <c r="FC5285" s="15" t="n">
        <v>111</v>
      </c>
      <c r="FY5285" s="15" t="n">
        <v>111</v>
      </c>
      <c r="GU5285" s="15" t="n">
        <v>111</v>
      </c>
    </row>
    <row r="5286">
      <c r="C5286" s="15" t="n">
        <v>112</v>
      </c>
      <c r="AA5286" s="15" t="n">
        <v>112</v>
      </c>
      <c r="AW5286" s="15" t="n">
        <v>112</v>
      </c>
      <c r="BS5286" s="15" t="n">
        <v>112</v>
      </c>
      <c r="CO5286" s="15" t="n">
        <v>112</v>
      </c>
      <c r="DK5286" s="15" t="n">
        <v>112</v>
      </c>
      <c r="EG5286" s="15" t="n">
        <v>112</v>
      </c>
      <c r="FC5286" s="15" t="n">
        <v>112</v>
      </c>
      <c r="FY5286" s="15" t="n">
        <v>112</v>
      </c>
      <c r="GU5286" s="15" t="n">
        <v>112</v>
      </c>
    </row>
    <row r="5287">
      <c r="C5287" s="15" t="n">
        <v>113</v>
      </c>
      <c r="AA5287" s="15" t="n">
        <v>113</v>
      </c>
      <c r="AW5287" s="15" t="n">
        <v>113</v>
      </c>
      <c r="BS5287" s="15" t="n">
        <v>113</v>
      </c>
      <c r="CO5287" s="15" t="n">
        <v>113</v>
      </c>
      <c r="DK5287" s="15" t="n">
        <v>113</v>
      </c>
      <c r="EG5287" s="15" t="n">
        <v>113</v>
      </c>
      <c r="FC5287" s="15" t="n">
        <v>113</v>
      </c>
      <c r="FY5287" s="15" t="n">
        <v>113</v>
      </c>
      <c r="GU5287" s="15" t="n">
        <v>113</v>
      </c>
    </row>
    <row r="5288">
      <c r="C5288" s="15" t="n">
        <v>114</v>
      </c>
      <c r="AA5288" s="15" t="n">
        <v>114</v>
      </c>
      <c r="AW5288" s="15" t="n">
        <v>114</v>
      </c>
      <c r="BS5288" s="15" t="n">
        <v>114</v>
      </c>
      <c r="CO5288" s="15" t="n">
        <v>114</v>
      </c>
      <c r="DK5288" s="15" t="n">
        <v>114</v>
      </c>
      <c r="EG5288" s="15" t="n">
        <v>114</v>
      </c>
      <c r="FC5288" s="15" t="n">
        <v>114</v>
      </c>
      <c r="FY5288" s="15" t="n">
        <v>114</v>
      </c>
      <c r="GU5288" s="15" t="n">
        <v>114</v>
      </c>
    </row>
    <row r="5289">
      <c r="C5289" s="15" t="n">
        <v>115</v>
      </c>
      <c r="AA5289" s="15" t="n">
        <v>115</v>
      </c>
      <c r="AW5289" s="15" t="n">
        <v>115</v>
      </c>
      <c r="BS5289" s="15" t="n">
        <v>115</v>
      </c>
      <c r="CO5289" s="15" t="n">
        <v>115</v>
      </c>
      <c r="DK5289" s="15" t="n">
        <v>115</v>
      </c>
      <c r="EG5289" s="15" t="n">
        <v>115</v>
      </c>
      <c r="FC5289" s="15" t="n">
        <v>115</v>
      </c>
      <c r="FY5289" s="15" t="n">
        <v>115</v>
      </c>
      <c r="GU5289" s="15" t="n">
        <v>115</v>
      </c>
    </row>
    <row r="5290">
      <c r="C5290" s="15" t="n">
        <v>116</v>
      </c>
      <c r="AA5290" s="15" t="n">
        <v>116</v>
      </c>
      <c r="AW5290" s="15" t="n">
        <v>116</v>
      </c>
      <c r="BS5290" s="15" t="n">
        <v>116</v>
      </c>
      <c r="CO5290" s="15" t="n">
        <v>116</v>
      </c>
      <c r="DK5290" s="15" t="n">
        <v>116</v>
      </c>
      <c r="EG5290" s="15" t="n">
        <v>116</v>
      </c>
      <c r="FC5290" s="15" t="n">
        <v>116</v>
      </c>
      <c r="FY5290" s="15" t="n">
        <v>116</v>
      </c>
      <c r="GU5290" s="15" t="n">
        <v>116</v>
      </c>
    </row>
    <row r="5291">
      <c r="C5291" s="15" t="n">
        <v>117</v>
      </c>
      <c r="AA5291" s="15" t="n">
        <v>117</v>
      </c>
      <c r="AW5291" s="15" t="n">
        <v>117</v>
      </c>
      <c r="BS5291" s="15" t="n">
        <v>117</v>
      </c>
      <c r="CO5291" s="15" t="n">
        <v>117</v>
      </c>
      <c r="DK5291" s="15" t="n">
        <v>117</v>
      </c>
      <c r="EG5291" s="15" t="n">
        <v>117</v>
      </c>
      <c r="FC5291" s="15" t="n">
        <v>117</v>
      </c>
      <c r="FY5291" s="15" t="n">
        <v>117</v>
      </c>
      <c r="GU5291" s="15" t="n">
        <v>117</v>
      </c>
    </row>
    <row r="5292">
      <c r="C5292" s="15" t="n">
        <v>118</v>
      </c>
      <c r="AA5292" s="15" t="n">
        <v>118</v>
      </c>
      <c r="AW5292" s="15" t="n">
        <v>118</v>
      </c>
      <c r="BS5292" s="15" t="n">
        <v>118</v>
      </c>
      <c r="CO5292" s="15" t="n">
        <v>118</v>
      </c>
      <c r="DK5292" s="15" t="n">
        <v>118</v>
      </c>
      <c r="EG5292" s="15" t="n">
        <v>118</v>
      </c>
      <c r="FC5292" s="15" t="n">
        <v>118</v>
      </c>
      <c r="FY5292" s="15" t="n">
        <v>118</v>
      </c>
      <c r="GU5292" s="15" t="n">
        <v>118</v>
      </c>
    </row>
    <row r="5293">
      <c r="C5293" s="15" t="n">
        <v>119</v>
      </c>
      <c r="AA5293" s="15" t="n">
        <v>119</v>
      </c>
      <c r="AW5293" s="15" t="n">
        <v>119</v>
      </c>
      <c r="BS5293" s="15" t="n">
        <v>119</v>
      </c>
      <c r="CO5293" s="15" t="n">
        <v>119</v>
      </c>
      <c r="DK5293" s="15" t="n">
        <v>119</v>
      </c>
      <c r="EG5293" s="15" t="n">
        <v>119</v>
      </c>
      <c r="FC5293" s="15" t="n">
        <v>119</v>
      </c>
      <c r="FY5293" s="15" t="n">
        <v>119</v>
      </c>
      <c r="GU5293" s="15" t="n">
        <v>119</v>
      </c>
    </row>
    <row r="5294">
      <c r="C5294" s="15" t="n">
        <v>120</v>
      </c>
      <c r="AA5294" s="15" t="n">
        <v>120</v>
      </c>
      <c r="AW5294" s="15" t="n">
        <v>120</v>
      </c>
      <c r="BS5294" s="15" t="n">
        <v>120</v>
      </c>
      <c r="CO5294" s="15" t="n">
        <v>120</v>
      </c>
      <c r="DK5294" s="15" t="n">
        <v>120</v>
      </c>
      <c r="EG5294" s="15" t="n">
        <v>120</v>
      </c>
      <c r="FC5294" s="15" t="n">
        <v>120</v>
      </c>
      <c r="FY5294" s="15" t="n">
        <v>120</v>
      </c>
      <c r="GU5294" s="15" t="n">
        <v>120</v>
      </c>
    </row>
    <row r="5295">
      <c r="C5295" s="15" t="n">
        <v>121</v>
      </c>
      <c r="AA5295" s="15" t="n">
        <v>121</v>
      </c>
      <c r="AW5295" s="15" t="n">
        <v>121</v>
      </c>
      <c r="BS5295" s="15" t="n">
        <v>121</v>
      </c>
      <c r="CO5295" s="15" t="n">
        <v>121</v>
      </c>
      <c r="DK5295" s="15" t="n">
        <v>121</v>
      </c>
      <c r="EG5295" s="15" t="n">
        <v>121</v>
      </c>
      <c r="FC5295" s="15" t="n">
        <v>121</v>
      </c>
      <c r="FY5295" s="15" t="n">
        <v>121</v>
      </c>
      <c r="GU5295" s="15" t="n">
        <v>121</v>
      </c>
    </row>
    <row r="5296">
      <c r="C5296" s="15" t="n">
        <v>122</v>
      </c>
      <c r="AA5296" s="15" t="n">
        <v>122</v>
      </c>
      <c r="AW5296" s="15" t="n">
        <v>122</v>
      </c>
      <c r="BS5296" s="15" t="n">
        <v>122</v>
      </c>
      <c r="CO5296" s="15" t="n">
        <v>122</v>
      </c>
      <c r="DK5296" s="15" t="n">
        <v>122</v>
      </c>
      <c r="EG5296" s="15" t="n">
        <v>122</v>
      </c>
      <c r="FC5296" s="15" t="n">
        <v>122</v>
      </c>
      <c r="FY5296" s="15" t="n">
        <v>122</v>
      </c>
      <c r="GU5296" s="15" t="n">
        <v>122</v>
      </c>
    </row>
    <row r="5297">
      <c r="C5297" s="15" t="n">
        <v>123</v>
      </c>
      <c r="AA5297" s="15" t="n">
        <v>123</v>
      </c>
      <c r="AW5297" s="15" t="n">
        <v>123</v>
      </c>
      <c r="BS5297" s="15" t="n">
        <v>123</v>
      </c>
      <c r="CO5297" s="15" t="n">
        <v>123</v>
      </c>
      <c r="DK5297" s="15" t="n">
        <v>123</v>
      </c>
      <c r="EG5297" s="15" t="n">
        <v>123</v>
      </c>
      <c r="FC5297" s="15" t="n">
        <v>123</v>
      </c>
      <c r="FY5297" s="15" t="n">
        <v>123</v>
      </c>
      <c r="GU5297" s="15" t="n">
        <v>123</v>
      </c>
    </row>
    <row r="5298">
      <c r="C5298" s="15" t="n">
        <v>124</v>
      </c>
      <c r="AA5298" s="15" t="n">
        <v>124</v>
      </c>
      <c r="AW5298" s="15" t="n">
        <v>124</v>
      </c>
      <c r="BS5298" s="15" t="n">
        <v>124</v>
      </c>
      <c r="CO5298" s="15" t="n">
        <v>124</v>
      </c>
      <c r="DK5298" s="15" t="n">
        <v>124</v>
      </c>
      <c r="EG5298" s="15" t="n">
        <v>124</v>
      </c>
      <c r="FC5298" s="15" t="n">
        <v>124</v>
      </c>
      <c r="FY5298" s="15" t="n">
        <v>124</v>
      </c>
      <c r="GU5298" s="15" t="n">
        <v>124</v>
      </c>
    </row>
    <row r="5299">
      <c r="C5299" s="15" t="n">
        <v>125</v>
      </c>
      <c r="AA5299" s="15" t="n">
        <v>125</v>
      </c>
      <c r="AW5299" s="15" t="n">
        <v>125</v>
      </c>
      <c r="BS5299" s="15" t="n">
        <v>125</v>
      </c>
      <c r="CO5299" s="15" t="n">
        <v>125</v>
      </c>
      <c r="DK5299" s="15" t="n">
        <v>125</v>
      </c>
      <c r="EG5299" s="15" t="n">
        <v>125</v>
      </c>
      <c r="FC5299" s="15" t="n">
        <v>125</v>
      </c>
      <c r="FY5299" s="15" t="n">
        <v>125</v>
      </c>
      <c r="GU5299" s="15" t="n">
        <v>125</v>
      </c>
    </row>
    <row r="5300">
      <c r="C5300" s="15" t="n">
        <v>126</v>
      </c>
      <c r="AA5300" s="15" t="n">
        <v>126</v>
      </c>
      <c r="AW5300" s="15" t="n">
        <v>126</v>
      </c>
      <c r="BS5300" s="15" t="n">
        <v>126</v>
      </c>
      <c r="CO5300" s="15" t="n">
        <v>126</v>
      </c>
      <c r="DK5300" s="15" t="n">
        <v>126</v>
      </c>
      <c r="EG5300" s="15" t="n">
        <v>126</v>
      </c>
      <c r="FC5300" s="15" t="n">
        <v>126</v>
      </c>
      <c r="FY5300" s="15" t="n">
        <v>126</v>
      </c>
      <c r="GU5300" s="15" t="n">
        <v>126</v>
      </c>
    </row>
    <row r="5301">
      <c r="C5301" s="15" t="n">
        <v>127</v>
      </c>
      <c r="AA5301" s="15" t="n">
        <v>127</v>
      </c>
      <c r="AW5301" s="15" t="n">
        <v>127</v>
      </c>
      <c r="BS5301" s="15" t="n">
        <v>127</v>
      </c>
      <c r="CO5301" s="15" t="n">
        <v>127</v>
      </c>
      <c r="DK5301" s="15" t="n">
        <v>127</v>
      </c>
      <c r="EG5301" s="15" t="n">
        <v>127</v>
      </c>
      <c r="FC5301" s="15" t="n">
        <v>127</v>
      </c>
      <c r="FY5301" s="15" t="n">
        <v>127</v>
      </c>
      <c r="GU5301" s="15" t="n">
        <v>127</v>
      </c>
    </row>
    <row r="5302">
      <c r="C5302" s="15" t="n">
        <v>128</v>
      </c>
      <c r="AA5302" s="15" t="n">
        <v>128</v>
      </c>
      <c r="AW5302" s="15" t="n">
        <v>128</v>
      </c>
      <c r="BS5302" s="15" t="n">
        <v>128</v>
      </c>
      <c r="CO5302" s="15" t="n">
        <v>128</v>
      </c>
      <c r="DK5302" s="15" t="n">
        <v>128</v>
      </c>
      <c r="EG5302" s="15" t="n">
        <v>128</v>
      </c>
      <c r="FC5302" s="15" t="n">
        <v>128</v>
      </c>
      <c r="FY5302" s="15" t="n">
        <v>128</v>
      </c>
      <c r="GU5302" s="15" t="n">
        <v>128</v>
      </c>
    </row>
    <row r="5303">
      <c r="C5303" s="15" t="n">
        <v>129</v>
      </c>
      <c r="AA5303" s="15" t="n">
        <v>129</v>
      </c>
      <c r="AW5303" s="15" t="n">
        <v>129</v>
      </c>
      <c r="BS5303" s="15" t="n">
        <v>129</v>
      </c>
      <c r="CO5303" s="15" t="n">
        <v>129</v>
      </c>
      <c r="DK5303" s="15" t="n">
        <v>129</v>
      </c>
      <c r="EG5303" s="15" t="n">
        <v>129</v>
      </c>
      <c r="FC5303" s="15" t="n">
        <v>129</v>
      </c>
      <c r="FY5303" s="15" t="n">
        <v>129</v>
      </c>
      <c r="GU5303" s="15" t="n">
        <v>129</v>
      </c>
    </row>
    <row r="5304">
      <c r="C5304" s="15" t="n">
        <v>130</v>
      </c>
      <c r="AA5304" s="15" t="n">
        <v>130</v>
      </c>
      <c r="AW5304" s="15" t="n">
        <v>130</v>
      </c>
      <c r="BS5304" s="15" t="n">
        <v>130</v>
      </c>
      <c r="CO5304" s="15" t="n">
        <v>130</v>
      </c>
      <c r="DK5304" s="15" t="n">
        <v>130</v>
      </c>
      <c r="EG5304" s="15" t="n">
        <v>130</v>
      </c>
      <c r="FC5304" s="15" t="n">
        <v>130</v>
      </c>
      <c r="FY5304" s="15" t="n">
        <v>130</v>
      </c>
      <c r="GU5304" s="15" t="n">
        <v>130</v>
      </c>
    </row>
    <row r="5305">
      <c r="C5305" s="15" t="n">
        <v>131</v>
      </c>
      <c r="AA5305" s="15" t="n">
        <v>131</v>
      </c>
      <c r="AW5305" s="15" t="n">
        <v>131</v>
      </c>
      <c r="BS5305" s="15" t="n">
        <v>131</v>
      </c>
      <c r="CO5305" s="15" t="n">
        <v>131</v>
      </c>
      <c r="DK5305" s="15" t="n">
        <v>131</v>
      </c>
      <c r="EG5305" s="15" t="n">
        <v>131</v>
      </c>
      <c r="FC5305" s="15" t="n">
        <v>131</v>
      </c>
      <c r="FY5305" s="15" t="n">
        <v>131</v>
      </c>
      <c r="GU5305" s="15" t="n">
        <v>131</v>
      </c>
    </row>
    <row r="5306">
      <c r="C5306" s="15" t="n">
        <v>132</v>
      </c>
      <c r="AA5306" s="15" t="n">
        <v>132</v>
      </c>
      <c r="AW5306" s="15" t="n">
        <v>132</v>
      </c>
      <c r="BS5306" s="15" t="n">
        <v>132</v>
      </c>
      <c r="CO5306" s="15" t="n">
        <v>132</v>
      </c>
      <c r="DK5306" s="15" t="n">
        <v>132</v>
      </c>
      <c r="EG5306" s="15" t="n">
        <v>132</v>
      </c>
      <c r="FC5306" s="15" t="n">
        <v>132</v>
      </c>
      <c r="FY5306" s="15" t="n">
        <v>132</v>
      </c>
      <c r="GU5306" s="15" t="n">
        <v>132</v>
      </c>
    </row>
    <row r="5307">
      <c r="C5307" s="15" t="n">
        <v>133</v>
      </c>
      <c r="AA5307" s="15" t="n">
        <v>133</v>
      </c>
      <c r="AW5307" s="15" t="n">
        <v>133</v>
      </c>
      <c r="BS5307" s="15" t="n">
        <v>133</v>
      </c>
      <c r="CO5307" s="15" t="n">
        <v>133</v>
      </c>
      <c r="DK5307" s="15" t="n">
        <v>133</v>
      </c>
      <c r="EG5307" s="15" t="n">
        <v>133</v>
      </c>
      <c r="FC5307" s="15" t="n">
        <v>133</v>
      </c>
      <c r="FY5307" s="15" t="n">
        <v>133</v>
      </c>
      <c r="GU5307" s="15" t="n">
        <v>133</v>
      </c>
    </row>
    <row r="5308">
      <c r="C5308" s="15" t="n">
        <v>134</v>
      </c>
      <c r="AA5308" s="15" t="n">
        <v>134</v>
      </c>
      <c r="AW5308" s="15" t="n">
        <v>134</v>
      </c>
      <c r="BS5308" s="15" t="n">
        <v>134</v>
      </c>
      <c r="CO5308" s="15" t="n">
        <v>134</v>
      </c>
      <c r="DK5308" s="15" t="n">
        <v>134</v>
      </c>
      <c r="EG5308" s="15" t="n">
        <v>134</v>
      </c>
      <c r="FC5308" s="15" t="n">
        <v>134</v>
      </c>
      <c r="FY5308" s="15" t="n">
        <v>134</v>
      </c>
      <c r="GU5308" s="15" t="n">
        <v>134</v>
      </c>
    </row>
    <row r="5309">
      <c r="C5309" s="15" t="n">
        <v>135</v>
      </c>
      <c r="AA5309" s="15" t="n">
        <v>135</v>
      </c>
      <c r="AW5309" s="15" t="n">
        <v>135</v>
      </c>
      <c r="BS5309" s="15" t="n">
        <v>135</v>
      </c>
      <c r="CO5309" s="15" t="n">
        <v>135</v>
      </c>
      <c r="DK5309" s="15" t="n">
        <v>135</v>
      </c>
      <c r="EG5309" s="15" t="n">
        <v>135</v>
      </c>
      <c r="FC5309" s="15" t="n">
        <v>135</v>
      </c>
      <c r="FY5309" s="15" t="n">
        <v>135</v>
      </c>
      <c r="GU5309" s="15" t="n">
        <v>135</v>
      </c>
    </row>
    <row r="5310">
      <c r="C5310" s="15" t="n">
        <v>136</v>
      </c>
      <c r="AA5310" s="15" t="n">
        <v>136</v>
      </c>
      <c r="AW5310" s="15" t="n">
        <v>136</v>
      </c>
      <c r="BS5310" s="15" t="n">
        <v>136</v>
      </c>
      <c r="CO5310" s="15" t="n">
        <v>136</v>
      </c>
      <c r="DK5310" s="15" t="n">
        <v>136</v>
      </c>
      <c r="EG5310" s="15" t="n">
        <v>136</v>
      </c>
      <c r="FC5310" s="15" t="n">
        <v>136</v>
      </c>
      <c r="FY5310" s="15" t="n">
        <v>136</v>
      </c>
      <c r="GU5310" s="15" t="n">
        <v>136</v>
      </c>
    </row>
    <row r="5311">
      <c r="C5311" s="15" t="n">
        <v>137</v>
      </c>
      <c r="AA5311" s="15" t="n">
        <v>137</v>
      </c>
      <c r="AW5311" s="15" t="n">
        <v>137</v>
      </c>
      <c r="BS5311" s="15" t="n">
        <v>137</v>
      </c>
      <c r="CO5311" s="15" t="n">
        <v>137</v>
      </c>
      <c r="DK5311" s="15" t="n">
        <v>137</v>
      </c>
      <c r="EG5311" s="15" t="n">
        <v>137</v>
      </c>
      <c r="FC5311" s="15" t="n">
        <v>137</v>
      </c>
      <c r="FY5311" s="15" t="n">
        <v>137</v>
      </c>
      <c r="GU5311" s="15" t="n">
        <v>137</v>
      </c>
    </row>
    <row r="5312">
      <c r="C5312" s="15" t="n">
        <v>138</v>
      </c>
      <c r="AA5312" s="15" t="n">
        <v>138</v>
      </c>
      <c r="AW5312" s="15" t="n">
        <v>138</v>
      </c>
      <c r="BS5312" s="15" t="n">
        <v>138</v>
      </c>
      <c r="CO5312" s="15" t="n">
        <v>138</v>
      </c>
      <c r="DK5312" s="15" t="n">
        <v>138</v>
      </c>
      <c r="EG5312" s="15" t="n">
        <v>138</v>
      </c>
      <c r="FC5312" s="15" t="n">
        <v>138</v>
      </c>
      <c r="FY5312" s="15" t="n">
        <v>138</v>
      </c>
      <c r="GU5312" s="15" t="n">
        <v>138</v>
      </c>
    </row>
    <row r="5313">
      <c r="C5313" s="15" t="n">
        <v>139</v>
      </c>
      <c r="AA5313" s="15" t="n">
        <v>139</v>
      </c>
      <c r="AW5313" s="15" t="n">
        <v>139</v>
      </c>
      <c r="BS5313" s="15" t="n">
        <v>139</v>
      </c>
      <c r="CO5313" s="15" t="n">
        <v>139</v>
      </c>
      <c r="DK5313" s="15" t="n">
        <v>139</v>
      </c>
      <c r="EG5313" s="15" t="n">
        <v>139</v>
      </c>
      <c r="FC5313" s="15" t="n">
        <v>139</v>
      </c>
      <c r="FY5313" s="15" t="n">
        <v>139</v>
      </c>
      <c r="GU5313" s="15" t="n">
        <v>139</v>
      </c>
    </row>
    <row r="5314">
      <c r="C5314" s="15" t="n">
        <v>140</v>
      </c>
      <c r="AA5314" s="15" t="n">
        <v>140</v>
      </c>
      <c r="AW5314" s="15" t="n">
        <v>140</v>
      </c>
      <c r="BS5314" s="15" t="n">
        <v>140</v>
      </c>
      <c r="CO5314" s="15" t="n">
        <v>140</v>
      </c>
      <c r="DK5314" s="15" t="n">
        <v>140</v>
      </c>
      <c r="EG5314" s="15" t="n">
        <v>140</v>
      </c>
      <c r="FC5314" s="15" t="n">
        <v>140</v>
      </c>
      <c r="FY5314" s="15" t="n">
        <v>140</v>
      </c>
      <c r="GU5314" s="15" t="n">
        <v>140</v>
      </c>
    </row>
    <row r="5315">
      <c r="C5315" s="15" t="n">
        <v>141</v>
      </c>
      <c r="AA5315" s="15" t="n">
        <v>141</v>
      </c>
      <c r="AW5315" s="15" t="n">
        <v>141</v>
      </c>
      <c r="BS5315" s="15" t="n">
        <v>141</v>
      </c>
      <c r="CO5315" s="15" t="n">
        <v>141</v>
      </c>
      <c r="DK5315" s="15" t="n">
        <v>141</v>
      </c>
      <c r="EG5315" s="15" t="n">
        <v>141</v>
      </c>
      <c r="FC5315" s="15" t="n">
        <v>141</v>
      </c>
      <c r="FY5315" s="15" t="n">
        <v>141</v>
      </c>
      <c r="GU5315" s="15" t="n">
        <v>141</v>
      </c>
    </row>
    <row r="5316">
      <c r="C5316" s="15" t="n">
        <v>142</v>
      </c>
      <c r="AA5316" s="15" t="n">
        <v>142</v>
      </c>
      <c r="AW5316" s="15" t="n">
        <v>142</v>
      </c>
      <c r="BS5316" s="15" t="n">
        <v>142</v>
      </c>
      <c r="CO5316" s="15" t="n">
        <v>142</v>
      </c>
      <c r="DK5316" s="15" t="n">
        <v>142</v>
      </c>
      <c r="EG5316" s="15" t="n">
        <v>142</v>
      </c>
      <c r="FC5316" s="15" t="n">
        <v>142</v>
      </c>
      <c r="FY5316" s="15" t="n">
        <v>142</v>
      </c>
      <c r="GU5316" s="15" t="n">
        <v>142</v>
      </c>
    </row>
    <row r="5317">
      <c r="C5317" s="15" t="n">
        <v>143</v>
      </c>
      <c r="AA5317" s="15" t="n">
        <v>143</v>
      </c>
      <c r="AW5317" s="15" t="n">
        <v>143</v>
      </c>
      <c r="BS5317" s="15" t="n">
        <v>143</v>
      </c>
      <c r="CO5317" s="15" t="n">
        <v>143</v>
      </c>
      <c r="DK5317" s="15" t="n">
        <v>143</v>
      </c>
      <c r="EG5317" s="15" t="n">
        <v>143</v>
      </c>
      <c r="FC5317" s="15" t="n">
        <v>143</v>
      </c>
      <c r="FY5317" s="15" t="n">
        <v>143</v>
      </c>
      <c r="GU5317" s="15" t="n">
        <v>143</v>
      </c>
    </row>
    <row r="5318">
      <c r="C5318" s="15" t="n">
        <v>144</v>
      </c>
      <c r="AA5318" s="15" t="n">
        <v>144</v>
      </c>
      <c r="AW5318" s="15" t="n">
        <v>144</v>
      </c>
      <c r="BS5318" s="15" t="n">
        <v>144</v>
      </c>
      <c r="CO5318" s="15" t="n">
        <v>144</v>
      </c>
      <c r="DK5318" s="15" t="n">
        <v>144</v>
      </c>
      <c r="EG5318" s="15" t="n">
        <v>144</v>
      </c>
      <c r="FC5318" s="15" t="n">
        <v>144</v>
      </c>
      <c r="FY5318" s="15" t="n">
        <v>144</v>
      </c>
      <c r="GU5318" s="15" t="n">
        <v>144</v>
      </c>
    </row>
    <row r="5319">
      <c r="C5319" s="15" t="n">
        <v>145</v>
      </c>
      <c r="AA5319" s="15" t="n">
        <v>145</v>
      </c>
      <c r="AW5319" s="15" t="n">
        <v>145</v>
      </c>
      <c r="BS5319" s="15" t="n">
        <v>145</v>
      </c>
      <c r="CO5319" s="15" t="n">
        <v>145</v>
      </c>
      <c r="DK5319" s="15" t="n">
        <v>145</v>
      </c>
      <c r="EG5319" s="15" t="n">
        <v>145</v>
      </c>
      <c r="FC5319" s="15" t="n">
        <v>145</v>
      </c>
      <c r="FY5319" s="15" t="n">
        <v>145</v>
      </c>
      <c r="GU5319" s="15" t="n">
        <v>145</v>
      </c>
    </row>
    <row r="5320">
      <c r="C5320" s="15" t="n">
        <v>146</v>
      </c>
      <c r="AA5320" s="15" t="n">
        <v>146</v>
      </c>
      <c r="AW5320" s="15" t="n">
        <v>146</v>
      </c>
      <c r="BS5320" s="15" t="n">
        <v>146</v>
      </c>
      <c r="CO5320" s="15" t="n">
        <v>146</v>
      </c>
      <c r="DK5320" s="15" t="n">
        <v>146</v>
      </c>
      <c r="EG5320" s="15" t="n">
        <v>146</v>
      </c>
      <c r="FC5320" s="15" t="n">
        <v>146</v>
      </c>
      <c r="FY5320" s="15" t="n">
        <v>146</v>
      </c>
      <c r="GU5320" s="15" t="n">
        <v>146</v>
      </c>
    </row>
    <row r="5321">
      <c r="C5321" s="15" t="n">
        <v>147</v>
      </c>
      <c r="AA5321" s="15" t="n">
        <v>147</v>
      </c>
      <c r="AW5321" s="15" t="n">
        <v>147</v>
      </c>
      <c r="BS5321" s="15" t="n">
        <v>147</v>
      </c>
      <c r="CO5321" s="15" t="n">
        <v>147</v>
      </c>
      <c r="DK5321" s="15" t="n">
        <v>147</v>
      </c>
      <c r="EG5321" s="15" t="n">
        <v>147</v>
      </c>
      <c r="FC5321" s="15" t="n">
        <v>147</v>
      </c>
      <c r="FY5321" s="15" t="n">
        <v>147</v>
      </c>
      <c r="GU5321" s="15" t="n">
        <v>147</v>
      </c>
    </row>
    <row r="5322">
      <c r="C5322" s="15" t="n">
        <v>148</v>
      </c>
      <c r="AA5322" s="15" t="n">
        <v>148</v>
      </c>
      <c r="AW5322" s="15" t="n">
        <v>148</v>
      </c>
      <c r="BS5322" s="15" t="n">
        <v>148</v>
      </c>
      <c r="CO5322" s="15" t="n">
        <v>148</v>
      </c>
      <c r="DK5322" s="15" t="n">
        <v>148</v>
      </c>
      <c r="EG5322" s="15" t="n">
        <v>148</v>
      </c>
      <c r="FC5322" s="15" t="n">
        <v>148</v>
      </c>
      <c r="FY5322" s="15" t="n">
        <v>148</v>
      </c>
      <c r="GU5322" s="15" t="n">
        <v>148</v>
      </c>
    </row>
    <row r="5323">
      <c r="C5323" s="15" t="n">
        <v>149</v>
      </c>
      <c r="AA5323" s="15" t="n">
        <v>149</v>
      </c>
      <c r="AW5323" s="15" t="n">
        <v>149</v>
      </c>
      <c r="BS5323" s="15" t="n">
        <v>149</v>
      </c>
      <c r="CO5323" s="15" t="n">
        <v>149</v>
      </c>
      <c r="DK5323" s="15" t="n">
        <v>149</v>
      </c>
      <c r="EG5323" s="15" t="n">
        <v>149</v>
      </c>
      <c r="FC5323" s="15" t="n">
        <v>149</v>
      </c>
      <c r="FY5323" s="15" t="n">
        <v>149</v>
      </c>
      <c r="GU5323" s="15" t="n">
        <v>149</v>
      </c>
    </row>
    <row r="5324">
      <c r="C5324" s="15" t="n">
        <v>150</v>
      </c>
      <c r="AA5324" s="15" t="n">
        <v>150</v>
      </c>
      <c r="AW5324" s="15" t="n">
        <v>150</v>
      </c>
      <c r="BS5324" s="15" t="n">
        <v>150</v>
      </c>
      <c r="CO5324" s="15" t="n">
        <v>150</v>
      </c>
      <c r="DK5324" s="15" t="n">
        <v>150</v>
      </c>
      <c r="EG5324" s="15" t="n">
        <v>150</v>
      </c>
      <c r="FC5324" s="15" t="n">
        <v>150</v>
      </c>
      <c r="FY5324" s="15" t="n">
        <v>150</v>
      </c>
      <c r="GU5324" s="15" t="n">
        <v>150</v>
      </c>
    </row>
    <row r="5325">
      <c r="C5325" s="15" t="n">
        <v>151</v>
      </c>
      <c r="AA5325" s="15" t="n">
        <v>151</v>
      </c>
      <c r="AW5325" s="15" t="n">
        <v>151</v>
      </c>
      <c r="BS5325" s="15" t="n">
        <v>151</v>
      </c>
      <c r="CO5325" s="15" t="n">
        <v>151</v>
      </c>
      <c r="DK5325" s="15" t="n">
        <v>151</v>
      </c>
      <c r="EG5325" s="15" t="n">
        <v>151</v>
      </c>
      <c r="FC5325" s="15" t="n">
        <v>151</v>
      </c>
      <c r="FY5325" s="15" t="n">
        <v>151</v>
      </c>
      <c r="GU5325" s="15" t="n">
        <v>151</v>
      </c>
    </row>
    <row r="5326">
      <c r="C5326" s="15" t="n">
        <v>152</v>
      </c>
      <c r="AA5326" s="15" t="n">
        <v>152</v>
      </c>
      <c r="AW5326" s="15" t="n">
        <v>152</v>
      </c>
      <c r="BS5326" s="15" t="n">
        <v>152</v>
      </c>
      <c r="CO5326" s="15" t="n">
        <v>152</v>
      </c>
      <c r="DK5326" s="15" t="n">
        <v>152</v>
      </c>
      <c r="EG5326" s="15" t="n">
        <v>152</v>
      </c>
      <c r="FC5326" s="15" t="n">
        <v>152</v>
      </c>
      <c r="FY5326" s="15" t="n">
        <v>152</v>
      </c>
      <c r="GU5326" s="15" t="n">
        <v>152</v>
      </c>
    </row>
    <row r="5327">
      <c r="C5327" s="15" t="n">
        <v>153</v>
      </c>
      <c r="AA5327" s="15" t="n">
        <v>153</v>
      </c>
      <c r="AW5327" s="15" t="n">
        <v>153</v>
      </c>
      <c r="BS5327" s="15" t="n">
        <v>153</v>
      </c>
      <c r="CO5327" s="15" t="n">
        <v>153</v>
      </c>
      <c r="DK5327" s="15" t="n">
        <v>153</v>
      </c>
      <c r="EG5327" s="15" t="n">
        <v>153</v>
      </c>
      <c r="FC5327" s="15" t="n">
        <v>153</v>
      </c>
      <c r="FY5327" s="15" t="n">
        <v>153</v>
      </c>
      <c r="GU5327" s="15" t="n">
        <v>153</v>
      </c>
    </row>
    <row r="5328">
      <c r="C5328" s="15" t="n">
        <v>154</v>
      </c>
      <c r="AA5328" s="15" t="n">
        <v>154</v>
      </c>
      <c r="AW5328" s="15" t="n">
        <v>154</v>
      </c>
      <c r="BS5328" s="15" t="n">
        <v>154</v>
      </c>
      <c r="CO5328" s="15" t="n">
        <v>154</v>
      </c>
      <c r="DK5328" s="15" t="n">
        <v>154</v>
      </c>
      <c r="EG5328" s="15" t="n">
        <v>154</v>
      </c>
      <c r="FC5328" s="15" t="n">
        <v>154</v>
      </c>
      <c r="FY5328" s="15" t="n">
        <v>154</v>
      </c>
      <c r="GU5328" s="15" t="n">
        <v>154</v>
      </c>
    </row>
    <row r="5329">
      <c r="C5329" s="15" t="n">
        <v>155</v>
      </c>
      <c r="AA5329" s="15" t="n">
        <v>155</v>
      </c>
      <c r="AW5329" s="15" t="n">
        <v>155</v>
      </c>
      <c r="BS5329" s="15" t="n">
        <v>155</v>
      </c>
      <c r="CO5329" s="15" t="n">
        <v>155</v>
      </c>
      <c r="DK5329" s="15" t="n">
        <v>155</v>
      </c>
      <c r="EG5329" s="15" t="n">
        <v>155</v>
      </c>
      <c r="FC5329" s="15" t="n">
        <v>155</v>
      </c>
      <c r="FY5329" s="15" t="n">
        <v>155</v>
      </c>
      <c r="GU5329" s="15" t="n">
        <v>155</v>
      </c>
    </row>
    <row r="5330">
      <c r="C5330" s="15" t="n">
        <v>156</v>
      </c>
      <c r="AA5330" s="15" t="n">
        <v>156</v>
      </c>
      <c r="AW5330" s="15" t="n">
        <v>156</v>
      </c>
      <c r="BS5330" s="15" t="n">
        <v>156</v>
      </c>
      <c r="CO5330" s="15" t="n">
        <v>156</v>
      </c>
      <c r="DK5330" s="15" t="n">
        <v>156</v>
      </c>
      <c r="EG5330" s="15" t="n">
        <v>156</v>
      </c>
      <c r="FC5330" s="15" t="n">
        <v>156</v>
      </c>
      <c r="FY5330" s="15" t="n">
        <v>156</v>
      </c>
      <c r="GU5330" s="15" t="n">
        <v>156</v>
      </c>
    </row>
    <row r="5331">
      <c r="C5331" s="15" t="n">
        <v>157</v>
      </c>
      <c r="AA5331" s="15" t="n">
        <v>157</v>
      </c>
      <c r="AW5331" s="15" t="n">
        <v>157</v>
      </c>
      <c r="BS5331" s="15" t="n">
        <v>157</v>
      </c>
      <c r="CO5331" s="15" t="n">
        <v>157</v>
      </c>
      <c r="DK5331" s="15" t="n">
        <v>157</v>
      </c>
      <c r="EG5331" s="15" t="n">
        <v>157</v>
      </c>
      <c r="FC5331" s="15" t="n">
        <v>157</v>
      </c>
      <c r="FY5331" s="15" t="n">
        <v>157</v>
      </c>
      <c r="GU5331" s="15" t="n">
        <v>157</v>
      </c>
    </row>
    <row r="5332">
      <c r="C5332" s="15" t="n">
        <v>158</v>
      </c>
      <c r="AA5332" s="15" t="n">
        <v>158</v>
      </c>
      <c r="AW5332" s="15" t="n">
        <v>158</v>
      </c>
      <c r="BS5332" s="15" t="n">
        <v>158</v>
      </c>
      <c r="CO5332" s="15" t="n">
        <v>158</v>
      </c>
      <c r="DK5332" s="15" t="n">
        <v>158</v>
      </c>
      <c r="EG5332" s="15" t="n">
        <v>158</v>
      </c>
      <c r="FC5332" s="15" t="n">
        <v>158</v>
      </c>
      <c r="FY5332" s="15" t="n">
        <v>158</v>
      </c>
      <c r="GU5332" s="15" t="n">
        <v>158</v>
      </c>
    </row>
    <row r="5333">
      <c r="C5333" s="15" t="n">
        <v>159</v>
      </c>
      <c r="AA5333" s="15" t="n">
        <v>159</v>
      </c>
      <c r="AW5333" s="15" t="n">
        <v>159</v>
      </c>
      <c r="BS5333" s="15" t="n">
        <v>159</v>
      </c>
      <c r="CO5333" s="15" t="n">
        <v>159</v>
      </c>
      <c r="DK5333" s="15" t="n">
        <v>159</v>
      </c>
      <c r="EG5333" s="15" t="n">
        <v>159</v>
      </c>
      <c r="FC5333" s="15" t="n">
        <v>159</v>
      </c>
      <c r="FY5333" s="15" t="n">
        <v>159</v>
      </c>
      <c r="GU5333" s="15" t="n">
        <v>159</v>
      </c>
    </row>
    <row r="5334">
      <c r="C5334" s="15" t="n">
        <v>160</v>
      </c>
      <c r="AA5334" s="15" t="n">
        <v>160</v>
      </c>
      <c r="AW5334" s="15" t="n">
        <v>160</v>
      </c>
      <c r="BS5334" s="15" t="n">
        <v>160</v>
      </c>
      <c r="CO5334" s="15" t="n">
        <v>160</v>
      </c>
      <c r="DK5334" s="15" t="n">
        <v>160</v>
      </c>
      <c r="EG5334" s="15" t="n">
        <v>160</v>
      </c>
      <c r="FC5334" s="15" t="n">
        <v>160</v>
      </c>
      <c r="FY5334" s="15" t="n">
        <v>160</v>
      </c>
      <c r="GU5334" s="15" t="n">
        <v>160</v>
      </c>
    </row>
    <row r="5335">
      <c r="C5335" s="15" t="n">
        <v>161</v>
      </c>
      <c r="AA5335" s="15" t="n">
        <v>161</v>
      </c>
      <c r="AW5335" s="15" t="n">
        <v>161</v>
      </c>
      <c r="BS5335" s="15" t="n">
        <v>161</v>
      </c>
      <c r="CO5335" s="15" t="n">
        <v>161</v>
      </c>
      <c r="DK5335" s="15" t="n">
        <v>161</v>
      </c>
      <c r="EG5335" s="15" t="n">
        <v>161</v>
      </c>
      <c r="FC5335" s="15" t="n">
        <v>161</v>
      </c>
      <c r="FY5335" s="15" t="n">
        <v>161</v>
      </c>
      <c r="GU5335" s="15" t="n">
        <v>161</v>
      </c>
    </row>
    <row r="5336">
      <c r="C5336" s="15" t="n">
        <v>162</v>
      </c>
      <c r="AA5336" s="15" t="n">
        <v>162</v>
      </c>
      <c r="AW5336" s="15" t="n">
        <v>162</v>
      </c>
      <c r="BS5336" s="15" t="n">
        <v>162</v>
      </c>
      <c r="CO5336" s="15" t="n">
        <v>162</v>
      </c>
      <c r="DK5336" s="15" t="n">
        <v>162</v>
      </c>
      <c r="EG5336" s="15" t="n">
        <v>162</v>
      </c>
      <c r="FC5336" s="15" t="n">
        <v>162</v>
      </c>
      <c r="FY5336" s="15" t="n">
        <v>162</v>
      </c>
      <c r="GU5336" s="15" t="n">
        <v>162</v>
      </c>
    </row>
    <row r="5337">
      <c r="C5337" s="15" t="n">
        <v>163</v>
      </c>
      <c r="AA5337" s="15" t="n">
        <v>163</v>
      </c>
      <c r="AW5337" s="15" t="n">
        <v>163</v>
      </c>
      <c r="BS5337" s="15" t="n">
        <v>163</v>
      </c>
      <c r="CO5337" s="15" t="n">
        <v>163</v>
      </c>
      <c r="DK5337" s="15" t="n">
        <v>163</v>
      </c>
      <c r="EG5337" s="15" t="n">
        <v>163</v>
      </c>
      <c r="FC5337" s="15" t="n">
        <v>163</v>
      </c>
      <c r="FY5337" s="15" t="n">
        <v>163</v>
      </c>
      <c r="GU5337" s="15" t="n">
        <v>163</v>
      </c>
    </row>
    <row r="5338">
      <c r="C5338" s="15" t="n">
        <v>164</v>
      </c>
      <c r="AA5338" s="15" t="n">
        <v>164</v>
      </c>
      <c r="AW5338" s="15" t="n">
        <v>164</v>
      </c>
      <c r="BS5338" s="15" t="n">
        <v>164</v>
      </c>
      <c r="CO5338" s="15" t="n">
        <v>164</v>
      </c>
      <c r="DK5338" s="15" t="n">
        <v>164</v>
      </c>
      <c r="EG5338" s="15" t="n">
        <v>164</v>
      </c>
      <c r="FC5338" s="15" t="n">
        <v>164</v>
      </c>
      <c r="FY5338" s="15" t="n">
        <v>164</v>
      </c>
      <c r="GU5338" s="15" t="n">
        <v>164</v>
      </c>
    </row>
    <row r="5339">
      <c r="C5339" s="15" t="n">
        <v>165</v>
      </c>
      <c r="AA5339" s="15" t="n">
        <v>165</v>
      </c>
      <c r="AW5339" s="15" t="n">
        <v>165</v>
      </c>
      <c r="BS5339" s="15" t="n">
        <v>165</v>
      </c>
      <c r="CO5339" s="15" t="n">
        <v>165</v>
      </c>
      <c r="DK5339" s="15" t="n">
        <v>165</v>
      </c>
      <c r="EG5339" s="15" t="n">
        <v>165</v>
      </c>
      <c r="FC5339" s="15" t="n">
        <v>165</v>
      </c>
      <c r="FY5339" s="15" t="n">
        <v>165</v>
      </c>
      <c r="GU5339" s="15" t="n">
        <v>165</v>
      </c>
    </row>
    <row r="5340">
      <c r="C5340" s="15" t="n">
        <v>166</v>
      </c>
      <c r="AA5340" s="15" t="n">
        <v>166</v>
      </c>
      <c r="AW5340" s="15" t="n">
        <v>166</v>
      </c>
      <c r="BS5340" s="15" t="n">
        <v>166</v>
      </c>
      <c r="CO5340" s="15" t="n">
        <v>166</v>
      </c>
      <c r="DK5340" s="15" t="n">
        <v>166</v>
      </c>
      <c r="EG5340" s="15" t="n">
        <v>166</v>
      </c>
      <c r="FC5340" s="15" t="n">
        <v>166</v>
      </c>
      <c r="FY5340" s="15" t="n">
        <v>166</v>
      </c>
      <c r="GU5340" s="15" t="n">
        <v>166</v>
      </c>
    </row>
    <row r="5341">
      <c r="C5341" s="15" t="n">
        <v>167</v>
      </c>
      <c r="AA5341" s="15" t="n">
        <v>167</v>
      </c>
      <c r="AW5341" s="15" t="n">
        <v>167</v>
      </c>
      <c r="BS5341" s="15" t="n">
        <v>167</v>
      </c>
      <c r="CO5341" s="15" t="n">
        <v>167</v>
      </c>
      <c r="DK5341" s="15" t="n">
        <v>167</v>
      </c>
      <c r="EG5341" s="15" t="n">
        <v>167</v>
      </c>
      <c r="FC5341" s="15" t="n">
        <v>167</v>
      </c>
      <c r="FY5341" s="15" t="n">
        <v>167</v>
      </c>
      <c r="GU5341" s="15" t="n">
        <v>167</v>
      </c>
    </row>
    <row r="5342">
      <c r="C5342" s="15" t="n">
        <v>168</v>
      </c>
      <c r="AA5342" s="15" t="n">
        <v>168</v>
      </c>
      <c r="AW5342" s="15" t="n">
        <v>168</v>
      </c>
      <c r="BS5342" s="15" t="n">
        <v>168</v>
      </c>
      <c r="CO5342" s="15" t="n">
        <v>168</v>
      </c>
      <c r="DK5342" s="15" t="n">
        <v>168</v>
      </c>
      <c r="EG5342" s="15" t="n">
        <v>168</v>
      </c>
      <c r="FC5342" s="15" t="n">
        <v>168</v>
      </c>
      <c r="FY5342" s="15" t="n">
        <v>168</v>
      </c>
      <c r="GU5342" s="15" t="n">
        <v>168</v>
      </c>
    </row>
    <row r="5343">
      <c r="C5343" s="15" t="n">
        <v>169</v>
      </c>
      <c r="AA5343" s="15" t="n">
        <v>169</v>
      </c>
      <c r="AW5343" s="15" t="n">
        <v>169</v>
      </c>
      <c r="BS5343" s="15" t="n">
        <v>169</v>
      </c>
      <c r="CO5343" s="15" t="n">
        <v>169</v>
      </c>
      <c r="DK5343" s="15" t="n">
        <v>169</v>
      </c>
      <c r="EG5343" s="15" t="n">
        <v>169</v>
      </c>
      <c r="FC5343" s="15" t="n">
        <v>169</v>
      </c>
      <c r="FY5343" s="15" t="n">
        <v>169</v>
      </c>
      <c r="GU5343" s="15" t="n">
        <v>169</v>
      </c>
    </row>
    <row r="5344">
      <c r="C5344" s="15" t="n">
        <v>170</v>
      </c>
      <c r="AA5344" s="15" t="n">
        <v>170</v>
      </c>
      <c r="AW5344" s="15" t="n">
        <v>170</v>
      </c>
      <c r="BS5344" s="15" t="n">
        <v>170</v>
      </c>
      <c r="CO5344" s="15" t="n">
        <v>170</v>
      </c>
      <c r="DK5344" s="15" t="n">
        <v>170</v>
      </c>
      <c r="EG5344" s="15" t="n">
        <v>170</v>
      </c>
      <c r="FC5344" s="15" t="n">
        <v>170</v>
      </c>
      <c r="FY5344" s="15" t="n">
        <v>170</v>
      </c>
      <c r="GU5344" s="15" t="n">
        <v>170</v>
      </c>
    </row>
    <row r="5345">
      <c r="C5345" s="15" t="n">
        <v>171</v>
      </c>
      <c r="AA5345" s="15" t="n">
        <v>171</v>
      </c>
      <c r="AW5345" s="15" t="n">
        <v>171</v>
      </c>
      <c r="BS5345" s="15" t="n">
        <v>171</v>
      </c>
      <c r="CO5345" s="15" t="n">
        <v>171</v>
      </c>
      <c r="DK5345" s="15" t="n">
        <v>171</v>
      </c>
      <c r="EG5345" s="15" t="n">
        <v>171</v>
      </c>
      <c r="FC5345" s="15" t="n">
        <v>171</v>
      </c>
      <c r="FY5345" s="15" t="n">
        <v>171</v>
      </c>
      <c r="GU5345" s="15" t="n">
        <v>171</v>
      </c>
    </row>
    <row r="5346">
      <c r="C5346" s="15" t="n">
        <v>172</v>
      </c>
      <c r="AA5346" s="15" t="n">
        <v>172</v>
      </c>
      <c r="AW5346" s="15" t="n">
        <v>172</v>
      </c>
      <c r="BS5346" s="15" t="n">
        <v>172</v>
      </c>
      <c r="CO5346" s="15" t="n">
        <v>172</v>
      </c>
      <c r="DK5346" s="15" t="n">
        <v>172</v>
      </c>
      <c r="EG5346" s="15" t="n">
        <v>172</v>
      </c>
      <c r="FC5346" s="15" t="n">
        <v>172</v>
      </c>
      <c r="FY5346" s="15" t="n">
        <v>172</v>
      </c>
      <c r="GU5346" s="15" t="n">
        <v>172</v>
      </c>
    </row>
    <row r="5347">
      <c r="C5347" s="15" t="n">
        <v>173</v>
      </c>
      <c r="AA5347" s="15" t="n">
        <v>173</v>
      </c>
      <c r="AW5347" s="15" t="n">
        <v>173</v>
      </c>
      <c r="BS5347" s="15" t="n">
        <v>173</v>
      </c>
      <c r="CO5347" s="15" t="n">
        <v>173</v>
      </c>
      <c r="DK5347" s="15" t="n">
        <v>173</v>
      </c>
      <c r="EG5347" s="15" t="n">
        <v>173</v>
      </c>
      <c r="FC5347" s="15" t="n">
        <v>173</v>
      </c>
      <c r="FY5347" s="15" t="n">
        <v>173</v>
      </c>
      <c r="GU5347" s="15" t="n">
        <v>173</v>
      </c>
    </row>
    <row r="5348">
      <c r="C5348" s="15" t="n">
        <v>174</v>
      </c>
      <c r="AA5348" s="15" t="n">
        <v>174</v>
      </c>
      <c r="AW5348" s="15" t="n">
        <v>174</v>
      </c>
      <c r="BS5348" s="15" t="n">
        <v>174</v>
      </c>
      <c r="CO5348" s="15" t="n">
        <v>174</v>
      </c>
      <c r="DK5348" s="15" t="n">
        <v>174</v>
      </c>
      <c r="EG5348" s="15" t="n">
        <v>174</v>
      </c>
      <c r="FC5348" s="15" t="n">
        <v>174</v>
      </c>
      <c r="FY5348" s="15" t="n">
        <v>174</v>
      </c>
      <c r="GU5348" s="15" t="n">
        <v>174</v>
      </c>
    </row>
    <row r="5349">
      <c r="C5349" s="15" t="n">
        <v>175</v>
      </c>
      <c r="AA5349" s="15" t="n">
        <v>175</v>
      </c>
      <c r="AW5349" s="15" t="n">
        <v>175</v>
      </c>
      <c r="BS5349" s="15" t="n">
        <v>175</v>
      </c>
      <c r="CO5349" s="15" t="n">
        <v>175</v>
      </c>
      <c r="DK5349" s="15" t="n">
        <v>175</v>
      </c>
      <c r="EG5349" s="15" t="n">
        <v>175</v>
      </c>
      <c r="FC5349" s="15" t="n">
        <v>175</v>
      </c>
      <c r="FY5349" s="15" t="n">
        <v>175</v>
      </c>
      <c r="GU5349" s="15" t="n">
        <v>175</v>
      </c>
    </row>
    <row r="5350">
      <c r="C5350" s="15" t="n">
        <v>176</v>
      </c>
      <c r="AA5350" s="15" t="n">
        <v>176</v>
      </c>
      <c r="AW5350" s="15" t="n">
        <v>176</v>
      </c>
      <c r="BS5350" s="15" t="n">
        <v>176</v>
      </c>
      <c r="CO5350" s="15" t="n">
        <v>176</v>
      </c>
      <c r="DK5350" s="15" t="n">
        <v>176</v>
      </c>
      <c r="EG5350" s="15" t="n">
        <v>176</v>
      </c>
      <c r="FC5350" s="15" t="n">
        <v>176</v>
      </c>
      <c r="FY5350" s="15" t="n">
        <v>176</v>
      </c>
      <c r="GU5350" s="15" t="n">
        <v>176</v>
      </c>
    </row>
    <row r="5351">
      <c r="C5351" s="15" t="n">
        <v>177</v>
      </c>
      <c r="AA5351" s="15" t="n">
        <v>177</v>
      </c>
      <c r="AW5351" s="15" t="n">
        <v>177</v>
      </c>
      <c r="BS5351" s="15" t="n">
        <v>177</v>
      </c>
      <c r="CO5351" s="15" t="n">
        <v>177</v>
      </c>
      <c r="DK5351" s="15" t="n">
        <v>177</v>
      </c>
      <c r="EG5351" s="15" t="n">
        <v>177</v>
      </c>
      <c r="FC5351" s="15" t="n">
        <v>177</v>
      </c>
      <c r="FY5351" s="15" t="n">
        <v>177</v>
      </c>
      <c r="GU5351" s="15" t="n">
        <v>177</v>
      </c>
    </row>
    <row r="5352">
      <c r="C5352" s="15" t="n">
        <v>178</v>
      </c>
      <c r="AA5352" s="15" t="n">
        <v>178</v>
      </c>
      <c r="AW5352" s="15" t="n">
        <v>178</v>
      </c>
      <c r="BS5352" s="15" t="n">
        <v>178</v>
      </c>
      <c r="CO5352" s="15" t="n">
        <v>178</v>
      </c>
      <c r="DK5352" s="15" t="n">
        <v>178</v>
      </c>
      <c r="EG5352" s="15" t="n">
        <v>178</v>
      </c>
      <c r="FC5352" s="15" t="n">
        <v>178</v>
      </c>
      <c r="FY5352" s="15" t="n">
        <v>178</v>
      </c>
      <c r="GU5352" s="15" t="n">
        <v>178</v>
      </c>
    </row>
    <row r="5353">
      <c r="C5353" s="15" t="n">
        <v>179</v>
      </c>
      <c r="AA5353" s="15" t="n">
        <v>179</v>
      </c>
      <c r="AW5353" s="15" t="n">
        <v>179</v>
      </c>
      <c r="BS5353" s="15" t="n">
        <v>179</v>
      </c>
      <c r="CO5353" s="15" t="n">
        <v>179</v>
      </c>
      <c r="DK5353" s="15" t="n">
        <v>179</v>
      </c>
      <c r="EG5353" s="15" t="n">
        <v>179</v>
      </c>
      <c r="FC5353" s="15" t="n">
        <v>179</v>
      </c>
      <c r="FY5353" s="15" t="n">
        <v>179</v>
      </c>
      <c r="GU5353" s="15" t="n">
        <v>179</v>
      </c>
    </row>
    <row r="5354">
      <c r="C5354" s="15" t="n">
        <v>180</v>
      </c>
      <c r="AA5354" s="15" t="n">
        <v>180</v>
      </c>
      <c r="AW5354" s="15" t="n">
        <v>180</v>
      </c>
      <c r="BS5354" s="15" t="n">
        <v>180</v>
      </c>
      <c r="CO5354" s="15" t="n">
        <v>180</v>
      </c>
      <c r="DK5354" s="15" t="n">
        <v>180</v>
      </c>
      <c r="EG5354" s="15" t="n">
        <v>180</v>
      </c>
      <c r="FC5354" s="15" t="n">
        <v>180</v>
      </c>
      <c r="FY5354" s="15" t="n">
        <v>180</v>
      </c>
      <c r="GU5354" s="15" t="n">
        <v>180</v>
      </c>
    </row>
    <row r="5355">
      <c r="C5355" s="15" t="n">
        <v>181</v>
      </c>
      <c r="AA5355" s="15" t="n">
        <v>181</v>
      </c>
      <c r="AW5355" s="15" t="n">
        <v>181</v>
      </c>
      <c r="BS5355" s="15" t="n">
        <v>181</v>
      </c>
      <c r="CO5355" s="15" t="n">
        <v>181</v>
      </c>
      <c r="DK5355" s="15" t="n">
        <v>181</v>
      </c>
      <c r="EG5355" s="15" t="n">
        <v>181</v>
      </c>
      <c r="FC5355" s="15" t="n">
        <v>181</v>
      </c>
      <c r="FY5355" s="15" t="n">
        <v>181</v>
      </c>
      <c r="GU5355" s="15" t="n">
        <v>181</v>
      </c>
    </row>
    <row r="5356">
      <c r="C5356" s="15" t="n">
        <v>182</v>
      </c>
      <c r="AA5356" s="15" t="n">
        <v>182</v>
      </c>
      <c r="AW5356" s="15" t="n">
        <v>182</v>
      </c>
      <c r="BS5356" s="15" t="n">
        <v>182</v>
      </c>
      <c r="CO5356" s="15" t="n">
        <v>182</v>
      </c>
      <c r="DK5356" s="15" t="n">
        <v>182</v>
      </c>
      <c r="EG5356" s="15" t="n">
        <v>182</v>
      </c>
      <c r="FC5356" s="15" t="n">
        <v>182</v>
      </c>
      <c r="FY5356" s="15" t="n">
        <v>182</v>
      </c>
      <c r="GU5356" s="15" t="n">
        <v>182</v>
      </c>
    </row>
    <row r="5357">
      <c r="C5357" s="15" t="n">
        <v>183</v>
      </c>
      <c r="AA5357" s="15" t="n">
        <v>183</v>
      </c>
      <c r="AW5357" s="15" t="n">
        <v>183</v>
      </c>
      <c r="BS5357" s="15" t="n">
        <v>183</v>
      </c>
      <c r="CO5357" s="15" t="n">
        <v>183</v>
      </c>
      <c r="DK5357" s="15" t="n">
        <v>183</v>
      </c>
      <c r="EG5357" s="15" t="n">
        <v>183</v>
      </c>
      <c r="FC5357" s="15" t="n">
        <v>183</v>
      </c>
      <c r="FY5357" s="15" t="n">
        <v>183</v>
      </c>
      <c r="GU5357" s="15" t="n">
        <v>183</v>
      </c>
    </row>
    <row r="5358">
      <c r="C5358" s="15" t="n">
        <v>184</v>
      </c>
      <c r="AA5358" s="15" t="n">
        <v>184</v>
      </c>
      <c r="AW5358" s="15" t="n">
        <v>184</v>
      </c>
      <c r="BS5358" s="15" t="n">
        <v>184</v>
      </c>
      <c r="CO5358" s="15" t="n">
        <v>184</v>
      </c>
      <c r="DK5358" s="15" t="n">
        <v>184</v>
      </c>
      <c r="EG5358" s="15" t="n">
        <v>184</v>
      </c>
      <c r="FC5358" s="15" t="n">
        <v>184</v>
      </c>
      <c r="FY5358" s="15" t="n">
        <v>184</v>
      </c>
      <c r="GU5358" s="15" t="n">
        <v>184</v>
      </c>
    </row>
    <row r="5359">
      <c r="C5359" s="15" t="n">
        <v>185</v>
      </c>
      <c r="AA5359" s="15" t="n">
        <v>185</v>
      </c>
      <c r="AW5359" s="15" t="n">
        <v>185</v>
      </c>
      <c r="BS5359" s="15" t="n">
        <v>185</v>
      </c>
      <c r="CO5359" s="15" t="n">
        <v>185</v>
      </c>
      <c r="DK5359" s="15" t="n">
        <v>185</v>
      </c>
      <c r="EG5359" s="15" t="n">
        <v>185</v>
      </c>
      <c r="FC5359" s="15" t="n">
        <v>185</v>
      </c>
      <c r="FY5359" s="15" t="n">
        <v>185</v>
      </c>
      <c r="GU5359" s="15" t="n">
        <v>185</v>
      </c>
    </row>
    <row r="5360">
      <c r="C5360" s="15" t="n">
        <v>186</v>
      </c>
      <c r="AA5360" s="15" t="n">
        <v>186</v>
      </c>
      <c r="AW5360" s="15" t="n">
        <v>186</v>
      </c>
      <c r="BS5360" s="15" t="n">
        <v>186</v>
      </c>
      <c r="CO5360" s="15" t="n">
        <v>186</v>
      </c>
      <c r="DK5360" s="15" t="n">
        <v>186</v>
      </c>
      <c r="EG5360" s="15" t="n">
        <v>186</v>
      </c>
      <c r="FC5360" s="15" t="n">
        <v>186</v>
      </c>
      <c r="FY5360" s="15" t="n">
        <v>186</v>
      </c>
      <c r="GU5360" s="15" t="n">
        <v>186</v>
      </c>
    </row>
    <row r="5361">
      <c r="C5361" s="15" t="n">
        <v>187</v>
      </c>
      <c r="AA5361" s="15" t="n">
        <v>187</v>
      </c>
      <c r="AW5361" s="15" t="n">
        <v>187</v>
      </c>
      <c r="BS5361" s="15" t="n">
        <v>187</v>
      </c>
      <c r="CO5361" s="15" t="n">
        <v>187</v>
      </c>
      <c r="DK5361" s="15" t="n">
        <v>187</v>
      </c>
      <c r="EG5361" s="15" t="n">
        <v>187</v>
      </c>
      <c r="FC5361" s="15" t="n">
        <v>187</v>
      </c>
      <c r="FY5361" s="15" t="n">
        <v>187</v>
      </c>
      <c r="GU5361" s="15" t="n">
        <v>187</v>
      </c>
    </row>
    <row r="5362">
      <c r="C5362" s="15" t="n">
        <v>188</v>
      </c>
      <c r="AA5362" s="15" t="n">
        <v>188</v>
      </c>
      <c r="AW5362" s="15" t="n">
        <v>188</v>
      </c>
      <c r="BS5362" s="15" t="n">
        <v>188</v>
      </c>
      <c r="CO5362" s="15" t="n">
        <v>188</v>
      </c>
      <c r="DK5362" s="15" t="n">
        <v>188</v>
      </c>
      <c r="EG5362" s="15" t="n">
        <v>188</v>
      </c>
      <c r="FC5362" s="15" t="n">
        <v>188</v>
      </c>
      <c r="FY5362" s="15" t="n">
        <v>188</v>
      </c>
      <c r="GU5362" s="15" t="n">
        <v>188</v>
      </c>
    </row>
    <row r="5363">
      <c r="C5363" s="15" t="n">
        <v>189</v>
      </c>
      <c r="AA5363" s="15" t="n">
        <v>189</v>
      </c>
      <c r="AW5363" s="15" t="n">
        <v>189</v>
      </c>
      <c r="BS5363" s="15" t="n">
        <v>189</v>
      </c>
      <c r="CO5363" s="15" t="n">
        <v>189</v>
      </c>
      <c r="DK5363" s="15" t="n">
        <v>189</v>
      </c>
      <c r="EG5363" s="15" t="n">
        <v>189</v>
      </c>
      <c r="FC5363" s="15" t="n">
        <v>189</v>
      </c>
      <c r="FY5363" s="15" t="n">
        <v>189</v>
      </c>
      <c r="GU5363" s="15" t="n">
        <v>189</v>
      </c>
    </row>
    <row r="5364">
      <c r="C5364" s="15" t="n">
        <v>190</v>
      </c>
      <c r="AA5364" s="15" t="n">
        <v>190</v>
      </c>
      <c r="AW5364" s="15" t="n">
        <v>190</v>
      </c>
      <c r="BS5364" s="15" t="n">
        <v>190</v>
      </c>
      <c r="CO5364" s="15" t="n">
        <v>190</v>
      </c>
      <c r="DK5364" s="15" t="n">
        <v>190</v>
      </c>
      <c r="EG5364" s="15" t="n">
        <v>190</v>
      </c>
      <c r="FC5364" s="15" t="n">
        <v>190</v>
      </c>
      <c r="FY5364" s="15" t="n">
        <v>190</v>
      </c>
      <c r="GU5364" s="15" t="n">
        <v>190</v>
      </c>
    </row>
    <row r="5365">
      <c r="C5365" s="15" t="n">
        <v>191</v>
      </c>
      <c r="AA5365" s="15" t="n">
        <v>191</v>
      </c>
      <c r="AW5365" s="15" t="n">
        <v>191</v>
      </c>
      <c r="BS5365" s="15" t="n">
        <v>191</v>
      </c>
      <c r="CO5365" s="15" t="n">
        <v>191</v>
      </c>
      <c r="DK5365" s="15" t="n">
        <v>191</v>
      </c>
      <c r="EG5365" s="15" t="n">
        <v>191</v>
      </c>
      <c r="FC5365" s="15" t="n">
        <v>191</v>
      </c>
      <c r="FY5365" s="15" t="n">
        <v>191</v>
      </c>
      <c r="GU5365" s="15" t="n">
        <v>191</v>
      </c>
    </row>
    <row r="5366">
      <c r="C5366" s="15" t="n">
        <v>192</v>
      </c>
      <c r="AA5366" s="15" t="n">
        <v>192</v>
      </c>
      <c r="AW5366" s="15" t="n">
        <v>192</v>
      </c>
      <c r="BS5366" s="15" t="n">
        <v>192</v>
      </c>
      <c r="CO5366" s="15" t="n">
        <v>192</v>
      </c>
      <c r="DK5366" s="15" t="n">
        <v>192</v>
      </c>
      <c r="EG5366" s="15" t="n">
        <v>192</v>
      </c>
      <c r="FC5366" s="15" t="n">
        <v>192</v>
      </c>
      <c r="FY5366" s="15" t="n">
        <v>192</v>
      </c>
      <c r="GU5366" s="15" t="n">
        <v>192</v>
      </c>
    </row>
    <row r="5367">
      <c r="C5367" s="15" t="n">
        <v>193</v>
      </c>
      <c r="AA5367" s="15" t="n">
        <v>193</v>
      </c>
      <c r="AW5367" s="15" t="n">
        <v>193</v>
      </c>
      <c r="BS5367" s="15" t="n">
        <v>193</v>
      </c>
      <c r="CO5367" s="15" t="n">
        <v>193</v>
      </c>
      <c r="DK5367" s="15" t="n">
        <v>193</v>
      </c>
      <c r="EG5367" s="15" t="n">
        <v>193</v>
      </c>
      <c r="FC5367" s="15" t="n">
        <v>193</v>
      </c>
      <c r="FY5367" s="15" t="n">
        <v>193</v>
      </c>
      <c r="GU5367" s="15" t="n">
        <v>193</v>
      </c>
    </row>
    <row r="5368">
      <c r="C5368" s="15" t="n">
        <v>194</v>
      </c>
      <c r="AA5368" s="15" t="n">
        <v>194</v>
      </c>
      <c r="AW5368" s="15" t="n">
        <v>194</v>
      </c>
      <c r="BS5368" s="15" t="n">
        <v>194</v>
      </c>
      <c r="CO5368" s="15" t="n">
        <v>194</v>
      </c>
      <c r="DK5368" s="15" t="n">
        <v>194</v>
      </c>
      <c r="EG5368" s="15" t="n">
        <v>194</v>
      </c>
      <c r="FC5368" s="15" t="n">
        <v>194</v>
      </c>
      <c r="FY5368" s="15" t="n">
        <v>194</v>
      </c>
      <c r="GU5368" s="15" t="n">
        <v>194</v>
      </c>
    </row>
    <row r="5369">
      <c r="C5369" s="15" t="n">
        <v>195</v>
      </c>
      <c r="AA5369" s="15" t="n">
        <v>195</v>
      </c>
      <c r="AW5369" s="15" t="n">
        <v>195</v>
      </c>
      <c r="BS5369" s="15" t="n">
        <v>195</v>
      </c>
      <c r="CO5369" s="15" t="n">
        <v>195</v>
      </c>
      <c r="DK5369" s="15" t="n">
        <v>195</v>
      </c>
      <c r="EG5369" s="15" t="n">
        <v>195</v>
      </c>
      <c r="FC5369" s="15" t="n">
        <v>195</v>
      </c>
      <c r="FY5369" s="15" t="n">
        <v>195</v>
      </c>
      <c r="GU5369" s="15" t="n">
        <v>195</v>
      </c>
    </row>
    <row r="5370">
      <c r="C5370" s="15" t="n">
        <v>196</v>
      </c>
      <c r="AA5370" s="15" t="n">
        <v>196</v>
      </c>
      <c r="AW5370" s="15" t="n">
        <v>196</v>
      </c>
      <c r="BS5370" s="15" t="n">
        <v>196</v>
      </c>
      <c r="CO5370" s="15" t="n">
        <v>196</v>
      </c>
      <c r="DK5370" s="15" t="n">
        <v>196</v>
      </c>
      <c r="EG5370" s="15" t="n">
        <v>196</v>
      </c>
      <c r="FC5370" s="15" t="n">
        <v>196</v>
      </c>
      <c r="FY5370" s="15" t="n">
        <v>196</v>
      </c>
      <c r="GU5370" s="15" t="n">
        <v>196</v>
      </c>
    </row>
    <row r="5371">
      <c r="C5371" s="15" t="n">
        <v>197</v>
      </c>
      <c r="AA5371" s="15" t="n">
        <v>197</v>
      </c>
      <c r="AW5371" s="15" t="n">
        <v>197</v>
      </c>
      <c r="BS5371" s="15" t="n">
        <v>197</v>
      </c>
      <c r="CO5371" s="15" t="n">
        <v>197</v>
      </c>
      <c r="DK5371" s="15" t="n">
        <v>197</v>
      </c>
      <c r="EG5371" s="15" t="n">
        <v>197</v>
      </c>
      <c r="FC5371" s="15" t="n">
        <v>197</v>
      </c>
      <c r="FY5371" s="15" t="n">
        <v>197</v>
      </c>
      <c r="GU5371" s="15" t="n">
        <v>197</v>
      </c>
    </row>
    <row r="5372">
      <c r="C5372" s="15" t="n">
        <v>198</v>
      </c>
      <c r="AA5372" s="15" t="n">
        <v>198</v>
      </c>
      <c r="AW5372" s="15" t="n">
        <v>198</v>
      </c>
      <c r="BS5372" s="15" t="n">
        <v>198</v>
      </c>
      <c r="CO5372" s="15" t="n">
        <v>198</v>
      </c>
      <c r="DK5372" s="15" t="n">
        <v>198</v>
      </c>
      <c r="EG5372" s="15" t="n">
        <v>198</v>
      </c>
      <c r="FC5372" s="15" t="n">
        <v>198</v>
      </c>
      <c r="FY5372" s="15" t="n">
        <v>198</v>
      </c>
      <c r="GU5372" s="15" t="n">
        <v>198</v>
      </c>
    </row>
    <row r="5374">
      <c r="B5374" s="15" t="inlineStr">
        <is>
          <t>NOVA</t>
        </is>
      </c>
      <c r="C5374" s="15" t="inlineStr">
        <is>
          <t>vMaxNumOfCyclesd</t>
        </is>
      </c>
      <c r="D5374" s="15" t="n">
        <v>22</v>
      </c>
      <c r="E5374" s="15" t="n">
        <v>23</v>
      </c>
      <c r="F5374" s="15" t="n">
        <v>24</v>
      </c>
      <c r="Z5374" s="15" t="inlineStr">
        <is>
          <t>NOVA</t>
        </is>
      </c>
      <c r="AA5374" s="15" t="inlineStr">
        <is>
          <t>vMaxNumOfCyclesd</t>
        </is>
      </c>
      <c r="AB5374" s="15" t="n">
        <v>22</v>
      </c>
      <c r="AC5374" s="15" t="n">
        <v>23</v>
      </c>
      <c r="AD5374" s="15" t="n">
        <v>24</v>
      </c>
      <c r="AV5374" s="15" t="inlineStr">
        <is>
          <t>NOVA</t>
        </is>
      </c>
      <c r="AW5374" s="15" t="inlineStr">
        <is>
          <t>vMaxNumOfCyclesd</t>
        </is>
      </c>
      <c r="AX5374" s="15" t="n">
        <v>22</v>
      </c>
      <c r="AY5374" s="15" t="n">
        <v>23</v>
      </c>
      <c r="AZ5374" s="15" t="n">
        <v>24</v>
      </c>
      <c r="BR5374" s="15" t="inlineStr">
        <is>
          <t>NOVA</t>
        </is>
      </c>
      <c r="BS5374" s="15" t="inlineStr">
        <is>
          <t>vMaxNumOfCyclesd</t>
        </is>
      </c>
      <c r="BT5374" s="15" t="n">
        <v>22</v>
      </c>
      <c r="BU5374" s="15" t="n">
        <v>23</v>
      </c>
      <c r="BV5374" s="15" t="n">
        <v>24</v>
      </c>
      <c r="CN5374" s="15" t="inlineStr">
        <is>
          <t>NOVA</t>
        </is>
      </c>
      <c r="CO5374" s="15" t="inlineStr">
        <is>
          <t>vMaxNumOfCyclesd</t>
        </is>
      </c>
      <c r="CP5374" s="15" t="n">
        <v>22</v>
      </c>
      <c r="CQ5374" s="15" t="n">
        <v>23</v>
      </c>
      <c r="CR5374" s="15" t="n">
        <v>24</v>
      </c>
      <c r="DJ5374" s="15" t="inlineStr">
        <is>
          <t>NOVA</t>
        </is>
      </c>
      <c r="DK5374" s="15" t="inlineStr">
        <is>
          <t>vMaxNumOfCyclesd</t>
        </is>
      </c>
      <c r="DL5374" s="15" t="n">
        <v>22</v>
      </c>
      <c r="DM5374" s="15" t="n">
        <v>23</v>
      </c>
      <c r="DN5374" s="15" t="n">
        <v>24</v>
      </c>
      <c r="EF5374" s="15" t="inlineStr">
        <is>
          <t>NOVA</t>
        </is>
      </c>
      <c r="EG5374" s="15" t="inlineStr">
        <is>
          <t>vMaxNumOfCyclesd</t>
        </is>
      </c>
      <c r="EH5374" s="15" t="n">
        <v>22</v>
      </c>
      <c r="EI5374" s="15" t="n">
        <v>23</v>
      </c>
      <c r="EJ5374" s="15" t="n">
        <v>24</v>
      </c>
      <c r="FB5374" s="15" t="inlineStr">
        <is>
          <t>NOVA</t>
        </is>
      </c>
      <c r="FC5374" s="15" t="inlineStr">
        <is>
          <t>vMaxNumOfCyclesd</t>
        </is>
      </c>
      <c r="FD5374" s="15" t="n">
        <v>22</v>
      </c>
      <c r="FE5374" s="15" t="n">
        <v>23</v>
      </c>
      <c r="FF5374" s="15" t="n">
        <v>24</v>
      </c>
      <c r="FX5374" s="15" t="inlineStr">
        <is>
          <t>NOVA</t>
        </is>
      </c>
      <c r="FY5374" s="15" t="inlineStr">
        <is>
          <t>vMaxNumOfCyclesd</t>
        </is>
      </c>
      <c r="FZ5374" s="15" t="n">
        <v>22</v>
      </c>
      <c r="GA5374" s="15" t="n">
        <v>23</v>
      </c>
      <c r="GB5374" s="15" t="n">
        <v>24</v>
      </c>
      <c r="GT5374" s="15" t="inlineStr">
        <is>
          <t>NOVA</t>
        </is>
      </c>
      <c r="GU5374" s="15" t="inlineStr">
        <is>
          <t>vMaxNumOfCyclesd</t>
        </is>
      </c>
      <c r="GV5374" s="15" t="n">
        <v>22</v>
      </c>
      <c r="GW5374" s="15" t="n">
        <v>23</v>
      </c>
      <c r="GX5374" s="15" t="n">
        <v>24</v>
      </c>
    </row>
    <row r="5375">
      <c r="C5375" s="15" t="n">
        <v>9</v>
      </c>
      <c r="AA5375" s="15" t="n">
        <v>9</v>
      </c>
      <c r="AW5375" s="15" t="n">
        <v>9</v>
      </c>
      <c r="BS5375" s="15" t="n">
        <v>9</v>
      </c>
      <c r="CO5375" s="15" t="n">
        <v>9</v>
      </c>
      <c r="DK5375" s="15" t="n">
        <v>9</v>
      </c>
      <c r="EG5375" s="15" t="n">
        <v>9</v>
      </c>
      <c r="FC5375" s="15" t="n">
        <v>9</v>
      </c>
      <c r="FY5375" s="15" t="n">
        <v>9</v>
      </c>
      <c r="GU5375" s="15" t="n">
        <v>9</v>
      </c>
    </row>
    <row r="5376">
      <c r="C5376" s="15" t="n">
        <v>10</v>
      </c>
      <c r="AA5376" s="15" t="n">
        <v>10</v>
      </c>
      <c r="AW5376" s="15" t="n">
        <v>10</v>
      </c>
      <c r="BS5376" s="15" t="n">
        <v>10</v>
      </c>
      <c r="CO5376" s="15" t="n">
        <v>10</v>
      </c>
      <c r="DK5376" s="15" t="n">
        <v>10</v>
      </c>
      <c r="EG5376" s="15" t="n">
        <v>10</v>
      </c>
      <c r="FC5376" s="15" t="n">
        <v>10</v>
      </c>
      <c r="FY5376" s="15" t="n">
        <v>10</v>
      </c>
      <c r="GU5376" s="15" t="n">
        <v>10</v>
      </c>
    </row>
    <row r="5377">
      <c r="C5377" s="15" t="n">
        <v>11</v>
      </c>
      <c r="AA5377" s="15" t="n">
        <v>11</v>
      </c>
      <c r="AW5377" s="15" t="n">
        <v>11</v>
      </c>
      <c r="BS5377" s="15" t="n">
        <v>11</v>
      </c>
      <c r="CO5377" s="15" t="n">
        <v>11</v>
      </c>
      <c r="DK5377" s="15" t="n">
        <v>11</v>
      </c>
      <c r="EG5377" s="15" t="n">
        <v>11</v>
      </c>
      <c r="FC5377" s="15" t="n">
        <v>11</v>
      </c>
      <c r="FY5377" s="15" t="n">
        <v>11</v>
      </c>
      <c r="GU5377" s="15" t="n">
        <v>11</v>
      </c>
    </row>
    <row r="5378">
      <c r="C5378" s="15" t="n">
        <v>12</v>
      </c>
      <c r="AA5378" s="15" t="n">
        <v>12</v>
      </c>
      <c r="AW5378" s="15" t="n">
        <v>12</v>
      </c>
      <c r="BS5378" s="15" t="n">
        <v>12</v>
      </c>
      <c r="CO5378" s="15" t="n">
        <v>12</v>
      </c>
      <c r="DK5378" s="15" t="n">
        <v>12</v>
      </c>
      <c r="EG5378" s="15" t="n">
        <v>12</v>
      </c>
      <c r="FC5378" s="15" t="n">
        <v>12</v>
      </c>
      <c r="FY5378" s="15" t="n">
        <v>12</v>
      </c>
      <c r="GU5378" s="15" t="n">
        <v>12</v>
      </c>
    </row>
    <row r="5379">
      <c r="C5379" s="15" t="n">
        <v>13</v>
      </c>
      <c r="AA5379" s="15" t="n">
        <v>13</v>
      </c>
      <c r="AW5379" s="15" t="n">
        <v>13</v>
      </c>
      <c r="BS5379" s="15" t="n">
        <v>13</v>
      </c>
      <c r="CO5379" s="15" t="n">
        <v>13</v>
      </c>
      <c r="DK5379" s="15" t="n">
        <v>13</v>
      </c>
      <c r="EG5379" s="15" t="n">
        <v>13</v>
      </c>
      <c r="FC5379" s="15" t="n">
        <v>13</v>
      </c>
      <c r="FY5379" s="15" t="n">
        <v>13</v>
      </c>
      <c r="GU5379" s="15" t="n">
        <v>13</v>
      </c>
    </row>
    <row r="5380">
      <c r="C5380" s="15" t="n">
        <v>14</v>
      </c>
      <c r="AA5380" s="15" t="n">
        <v>14</v>
      </c>
      <c r="AW5380" s="15" t="n">
        <v>14</v>
      </c>
      <c r="BS5380" s="15" t="n">
        <v>14</v>
      </c>
      <c r="CO5380" s="15" t="n">
        <v>14</v>
      </c>
      <c r="DK5380" s="15" t="n">
        <v>14</v>
      </c>
      <c r="EG5380" s="15" t="n">
        <v>14</v>
      </c>
      <c r="FC5380" s="15" t="n">
        <v>14</v>
      </c>
      <c r="FY5380" s="15" t="n">
        <v>14</v>
      </c>
      <c r="GU5380" s="15" t="n">
        <v>14</v>
      </c>
    </row>
    <row r="5381">
      <c r="C5381" s="15" t="n">
        <v>15</v>
      </c>
      <c r="AA5381" s="15" t="n">
        <v>15</v>
      </c>
      <c r="AW5381" s="15" t="n">
        <v>15</v>
      </c>
      <c r="BS5381" s="15" t="n">
        <v>15</v>
      </c>
      <c r="CO5381" s="15" t="n">
        <v>15</v>
      </c>
      <c r="DK5381" s="15" t="n">
        <v>15</v>
      </c>
      <c r="EG5381" s="15" t="n">
        <v>15</v>
      </c>
      <c r="FC5381" s="15" t="n">
        <v>15</v>
      </c>
      <c r="FY5381" s="15" t="n">
        <v>15</v>
      </c>
      <c r="GU5381" s="15" t="n">
        <v>15</v>
      </c>
    </row>
    <row r="5382">
      <c r="C5382" s="15" t="n">
        <v>16</v>
      </c>
      <c r="AA5382" s="15" t="n">
        <v>16</v>
      </c>
      <c r="AW5382" s="15" t="n">
        <v>16</v>
      </c>
      <c r="BS5382" s="15" t="n">
        <v>16</v>
      </c>
      <c r="CO5382" s="15" t="n">
        <v>16</v>
      </c>
      <c r="DK5382" s="15" t="n">
        <v>16</v>
      </c>
      <c r="EG5382" s="15" t="n">
        <v>16</v>
      </c>
      <c r="FC5382" s="15" t="n">
        <v>16</v>
      </c>
      <c r="FY5382" s="15" t="n">
        <v>16</v>
      </c>
      <c r="GU5382" s="15" t="n">
        <v>16</v>
      </c>
    </row>
    <row r="5383">
      <c r="C5383" s="15" t="n">
        <v>17</v>
      </c>
      <c r="AA5383" s="15" t="n">
        <v>17</v>
      </c>
      <c r="AW5383" s="15" t="n">
        <v>17</v>
      </c>
      <c r="BS5383" s="15" t="n">
        <v>17</v>
      </c>
      <c r="CO5383" s="15" t="n">
        <v>17</v>
      </c>
      <c r="DK5383" s="15" t="n">
        <v>17</v>
      </c>
      <c r="EG5383" s="15" t="n">
        <v>17</v>
      </c>
      <c r="FC5383" s="15" t="n">
        <v>17</v>
      </c>
      <c r="FY5383" s="15" t="n">
        <v>17</v>
      </c>
      <c r="GU5383" s="15" t="n">
        <v>17</v>
      </c>
    </row>
    <row r="5384">
      <c r="C5384" s="15" t="n">
        <v>18</v>
      </c>
      <c r="AA5384" s="15" t="n">
        <v>18</v>
      </c>
      <c r="AW5384" s="15" t="n">
        <v>18</v>
      </c>
      <c r="BS5384" s="15" t="n">
        <v>18</v>
      </c>
      <c r="CO5384" s="15" t="n">
        <v>18</v>
      </c>
      <c r="DK5384" s="15" t="n">
        <v>18</v>
      </c>
      <c r="EG5384" s="15" t="n">
        <v>18</v>
      </c>
      <c r="FC5384" s="15" t="n">
        <v>18</v>
      </c>
      <c r="FY5384" s="15" t="n">
        <v>18</v>
      </c>
      <c r="GU5384" s="15" t="n">
        <v>18</v>
      </c>
    </row>
    <row r="5385">
      <c r="C5385" s="15" t="n">
        <v>19</v>
      </c>
      <c r="AA5385" s="15" t="n">
        <v>19</v>
      </c>
      <c r="AW5385" s="15" t="n">
        <v>19</v>
      </c>
      <c r="BS5385" s="15" t="n">
        <v>19</v>
      </c>
      <c r="CO5385" s="15" t="n">
        <v>19</v>
      </c>
      <c r="DK5385" s="15" t="n">
        <v>19</v>
      </c>
      <c r="EG5385" s="15" t="n">
        <v>19</v>
      </c>
      <c r="FC5385" s="15" t="n">
        <v>19</v>
      </c>
      <c r="FY5385" s="15" t="n">
        <v>19</v>
      </c>
      <c r="GU5385" s="15" t="n">
        <v>19</v>
      </c>
    </row>
    <row r="5386">
      <c r="C5386" s="15" t="n">
        <v>20</v>
      </c>
      <c r="AA5386" s="15" t="n">
        <v>20</v>
      </c>
      <c r="AW5386" s="15" t="n">
        <v>20</v>
      </c>
      <c r="BS5386" s="15" t="n">
        <v>20</v>
      </c>
      <c r="CO5386" s="15" t="n">
        <v>20</v>
      </c>
      <c r="DK5386" s="15" t="n">
        <v>20</v>
      </c>
      <c r="EG5386" s="15" t="n">
        <v>20</v>
      </c>
      <c r="FC5386" s="15" t="n">
        <v>20</v>
      </c>
      <c r="FY5386" s="15" t="n">
        <v>20</v>
      </c>
      <c r="GU5386" s="15" t="n">
        <v>20</v>
      </c>
    </row>
    <row r="5387">
      <c r="C5387" s="15" t="n">
        <v>21</v>
      </c>
      <c r="AA5387" s="15" t="n">
        <v>21</v>
      </c>
      <c r="AW5387" s="15" t="n">
        <v>21</v>
      </c>
      <c r="BS5387" s="15" t="n">
        <v>21</v>
      </c>
      <c r="CO5387" s="15" t="n">
        <v>21</v>
      </c>
      <c r="DK5387" s="15" t="n">
        <v>21</v>
      </c>
      <c r="EG5387" s="15" t="n">
        <v>21</v>
      </c>
      <c r="FC5387" s="15" t="n">
        <v>21</v>
      </c>
      <c r="FY5387" s="15" t="n">
        <v>21</v>
      </c>
      <c r="GU5387" s="15" t="n">
        <v>21</v>
      </c>
    </row>
    <row r="5388">
      <c r="C5388" s="15" t="n">
        <v>22</v>
      </c>
      <c r="AA5388" s="15" t="n">
        <v>22</v>
      </c>
      <c r="AW5388" s="15" t="n">
        <v>22</v>
      </c>
      <c r="BS5388" s="15" t="n">
        <v>22</v>
      </c>
      <c r="CO5388" s="15" t="n">
        <v>22</v>
      </c>
      <c r="DK5388" s="15" t="n">
        <v>22</v>
      </c>
      <c r="EG5388" s="15" t="n">
        <v>22</v>
      </c>
      <c r="FC5388" s="15" t="n">
        <v>22</v>
      </c>
      <c r="FY5388" s="15" t="n">
        <v>22</v>
      </c>
      <c r="GU5388" s="15" t="n">
        <v>22</v>
      </c>
    </row>
    <row r="5389">
      <c r="C5389" s="15" t="n">
        <v>23</v>
      </c>
      <c r="AA5389" s="15" t="n">
        <v>23</v>
      </c>
      <c r="AW5389" s="15" t="n">
        <v>23</v>
      </c>
      <c r="BS5389" s="15" t="n">
        <v>23</v>
      </c>
      <c r="CO5389" s="15" t="n">
        <v>23</v>
      </c>
      <c r="DK5389" s="15" t="n">
        <v>23</v>
      </c>
      <c r="EG5389" s="15" t="n">
        <v>23</v>
      </c>
      <c r="FC5389" s="15" t="n">
        <v>23</v>
      </c>
      <c r="FY5389" s="15" t="n">
        <v>23</v>
      </c>
      <c r="GU5389" s="15" t="n">
        <v>23</v>
      </c>
    </row>
    <row r="5390">
      <c r="C5390" s="15" t="n">
        <v>24</v>
      </c>
      <c r="AA5390" s="15" t="n">
        <v>24</v>
      </c>
      <c r="AW5390" s="15" t="n">
        <v>24</v>
      </c>
      <c r="BS5390" s="15" t="n">
        <v>24</v>
      </c>
      <c r="CO5390" s="15" t="n">
        <v>24</v>
      </c>
      <c r="DK5390" s="15" t="n">
        <v>24</v>
      </c>
      <c r="EG5390" s="15" t="n">
        <v>24</v>
      </c>
      <c r="FC5390" s="15" t="n">
        <v>24</v>
      </c>
      <c r="FY5390" s="15" t="n">
        <v>24</v>
      </c>
      <c r="GU5390" s="15" t="n">
        <v>24</v>
      </c>
    </row>
    <row r="5391">
      <c r="C5391" s="15" t="n">
        <v>25</v>
      </c>
      <c r="AA5391" s="15" t="n">
        <v>25</v>
      </c>
      <c r="AW5391" s="15" t="n">
        <v>25</v>
      </c>
      <c r="BS5391" s="15" t="n">
        <v>25</v>
      </c>
      <c r="CO5391" s="15" t="n">
        <v>25</v>
      </c>
      <c r="DK5391" s="15" t="n">
        <v>25</v>
      </c>
      <c r="EG5391" s="15" t="n">
        <v>25</v>
      </c>
      <c r="FC5391" s="15" t="n">
        <v>25</v>
      </c>
      <c r="FY5391" s="15" t="n">
        <v>25</v>
      </c>
      <c r="GU5391" s="15" t="n">
        <v>25</v>
      </c>
    </row>
    <row r="5392">
      <c r="C5392" s="15" t="n">
        <v>26</v>
      </c>
      <c r="AA5392" s="15" t="n">
        <v>26</v>
      </c>
      <c r="AW5392" s="15" t="n">
        <v>26</v>
      </c>
      <c r="BS5392" s="15" t="n">
        <v>26</v>
      </c>
      <c r="CO5392" s="15" t="n">
        <v>26</v>
      </c>
      <c r="DK5392" s="15" t="n">
        <v>26</v>
      </c>
      <c r="EG5392" s="15" t="n">
        <v>26</v>
      </c>
      <c r="FC5392" s="15" t="n">
        <v>26</v>
      </c>
      <c r="FY5392" s="15" t="n">
        <v>26</v>
      </c>
      <c r="GU5392" s="15" t="n">
        <v>26</v>
      </c>
    </row>
    <row r="5393">
      <c r="C5393" s="15" t="n">
        <v>27</v>
      </c>
      <c r="AA5393" s="15" t="n">
        <v>27</v>
      </c>
      <c r="AW5393" s="15" t="n">
        <v>27</v>
      </c>
      <c r="BS5393" s="15" t="n">
        <v>27</v>
      </c>
      <c r="CO5393" s="15" t="n">
        <v>27</v>
      </c>
      <c r="DK5393" s="15" t="n">
        <v>27</v>
      </c>
      <c r="EG5393" s="15" t="n">
        <v>27</v>
      </c>
      <c r="FC5393" s="15" t="n">
        <v>27</v>
      </c>
      <c r="FY5393" s="15" t="n">
        <v>27</v>
      </c>
      <c r="GU5393" s="15" t="n">
        <v>27</v>
      </c>
    </row>
    <row r="5394">
      <c r="C5394" s="15" t="n">
        <v>28</v>
      </c>
      <c r="AA5394" s="15" t="n">
        <v>28</v>
      </c>
      <c r="AW5394" s="15" t="n">
        <v>28</v>
      </c>
      <c r="BS5394" s="15" t="n">
        <v>28</v>
      </c>
      <c r="CO5394" s="15" t="n">
        <v>28</v>
      </c>
      <c r="DK5394" s="15" t="n">
        <v>28</v>
      </c>
      <c r="EG5394" s="15" t="n">
        <v>28</v>
      </c>
      <c r="FC5394" s="15" t="n">
        <v>28</v>
      </c>
      <c r="FY5394" s="15" t="n">
        <v>28</v>
      </c>
      <c r="GU5394" s="15" t="n">
        <v>28</v>
      </c>
    </row>
    <row r="5395">
      <c r="C5395" s="15" t="n">
        <v>29</v>
      </c>
      <c r="AA5395" s="15" t="n">
        <v>29</v>
      </c>
      <c r="AW5395" s="15" t="n">
        <v>29</v>
      </c>
      <c r="BS5395" s="15" t="n">
        <v>29</v>
      </c>
      <c r="CO5395" s="15" t="n">
        <v>29</v>
      </c>
      <c r="DK5395" s="15" t="n">
        <v>29</v>
      </c>
      <c r="EG5395" s="15" t="n">
        <v>29</v>
      </c>
      <c r="FC5395" s="15" t="n">
        <v>29</v>
      </c>
      <c r="FY5395" s="15" t="n">
        <v>29</v>
      </c>
      <c r="GU5395" s="15" t="n">
        <v>29</v>
      </c>
    </row>
    <row r="5396">
      <c r="C5396" s="15" t="n">
        <v>30</v>
      </c>
      <c r="AA5396" s="15" t="n">
        <v>30</v>
      </c>
      <c r="AW5396" s="15" t="n">
        <v>30</v>
      </c>
      <c r="BS5396" s="15" t="n">
        <v>30</v>
      </c>
      <c r="CO5396" s="15" t="n">
        <v>30</v>
      </c>
      <c r="DK5396" s="15" t="n">
        <v>30</v>
      </c>
      <c r="EG5396" s="15" t="n">
        <v>30</v>
      </c>
      <c r="FC5396" s="15" t="n">
        <v>30</v>
      </c>
      <c r="FY5396" s="15" t="n">
        <v>30</v>
      </c>
      <c r="GU5396" s="15" t="n">
        <v>30</v>
      </c>
    </row>
    <row r="5397">
      <c r="C5397" s="15" t="n">
        <v>31</v>
      </c>
      <c r="AA5397" s="15" t="n">
        <v>31</v>
      </c>
      <c r="AW5397" s="15" t="n">
        <v>31</v>
      </c>
      <c r="BS5397" s="15" t="n">
        <v>31</v>
      </c>
      <c r="CO5397" s="15" t="n">
        <v>31</v>
      </c>
      <c r="DK5397" s="15" t="n">
        <v>31</v>
      </c>
      <c r="EG5397" s="15" t="n">
        <v>31</v>
      </c>
      <c r="FC5397" s="15" t="n">
        <v>31</v>
      </c>
      <c r="FY5397" s="15" t="n">
        <v>31</v>
      </c>
      <c r="GU5397" s="15" t="n">
        <v>31</v>
      </c>
    </row>
    <row r="5398">
      <c r="C5398" s="15" t="n">
        <v>32</v>
      </c>
      <c r="AA5398" s="15" t="n">
        <v>32</v>
      </c>
      <c r="AW5398" s="15" t="n">
        <v>32</v>
      </c>
      <c r="BS5398" s="15" t="n">
        <v>32</v>
      </c>
      <c r="CO5398" s="15" t="n">
        <v>32</v>
      </c>
      <c r="DK5398" s="15" t="n">
        <v>32</v>
      </c>
      <c r="EG5398" s="15" t="n">
        <v>32</v>
      </c>
      <c r="FC5398" s="15" t="n">
        <v>32</v>
      </c>
      <c r="FY5398" s="15" t="n">
        <v>32</v>
      </c>
      <c r="GU5398" s="15" t="n">
        <v>32</v>
      </c>
    </row>
    <row r="5399">
      <c r="C5399" s="15" t="n">
        <v>33</v>
      </c>
      <c r="AA5399" s="15" t="n">
        <v>33</v>
      </c>
      <c r="AW5399" s="15" t="n">
        <v>33</v>
      </c>
      <c r="BS5399" s="15" t="n">
        <v>33</v>
      </c>
      <c r="CO5399" s="15" t="n">
        <v>33</v>
      </c>
      <c r="DK5399" s="15" t="n">
        <v>33</v>
      </c>
      <c r="EG5399" s="15" t="n">
        <v>33</v>
      </c>
      <c r="FC5399" s="15" t="n">
        <v>33</v>
      </c>
      <c r="FY5399" s="15" t="n">
        <v>33</v>
      </c>
      <c r="GU5399" s="15" t="n">
        <v>33</v>
      </c>
    </row>
    <row r="5400">
      <c r="C5400" s="15" t="n">
        <v>34</v>
      </c>
      <c r="AA5400" s="15" t="n">
        <v>34</v>
      </c>
      <c r="AW5400" s="15" t="n">
        <v>34</v>
      </c>
      <c r="BS5400" s="15" t="n">
        <v>34</v>
      </c>
      <c r="CO5400" s="15" t="n">
        <v>34</v>
      </c>
      <c r="DK5400" s="15" t="n">
        <v>34</v>
      </c>
      <c r="EG5400" s="15" t="n">
        <v>34</v>
      </c>
      <c r="FC5400" s="15" t="n">
        <v>34</v>
      </c>
      <c r="FY5400" s="15" t="n">
        <v>34</v>
      </c>
      <c r="GU5400" s="15" t="n">
        <v>34</v>
      </c>
    </row>
    <row r="5401">
      <c r="C5401" s="15" t="n">
        <v>35</v>
      </c>
      <c r="AA5401" s="15" t="n">
        <v>35</v>
      </c>
      <c r="AW5401" s="15" t="n">
        <v>35</v>
      </c>
      <c r="BS5401" s="15" t="n">
        <v>35</v>
      </c>
      <c r="CO5401" s="15" t="n">
        <v>35</v>
      </c>
      <c r="DK5401" s="15" t="n">
        <v>35</v>
      </c>
      <c r="EG5401" s="15" t="n">
        <v>35</v>
      </c>
      <c r="FC5401" s="15" t="n">
        <v>35</v>
      </c>
      <c r="FY5401" s="15" t="n">
        <v>35</v>
      </c>
      <c r="GU5401" s="15" t="n">
        <v>35</v>
      </c>
    </row>
    <row r="5402">
      <c r="C5402" s="15" t="n">
        <v>36</v>
      </c>
      <c r="AA5402" s="15" t="n">
        <v>36</v>
      </c>
      <c r="AW5402" s="15" t="n">
        <v>36</v>
      </c>
      <c r="BS5402" s="15" t="n">
        <v>36</v>
      </c>
      <c r="CO5402" s="15" t="n">
        <v>36</v>
      </c>
      <c r="DK5402" s="15" t="n">
        <v>36</v>
      </c>
      <c r="EG5402" s="15" t="n">
        <v>36</v>
      </c>
      <c r="FC5402" s="15" t="n">
        <v>36</v>
      </c>
      <c r="FY5402" s="15" t="n">
        <v>36</v>
      </c>
      <c r="GU5402" s="15" t="n">
        <v>36</v>
      </c>
    </row>
    <row r="5403">
      <c r="C5403" s="15" t="n">
        <v>37</v>
      </c>
      <c r="AA5403" s="15" t="n">
        <v>37</v>
      </c>
      <c r="AW5403" s="15" t="n">
        <v>37</v>
      </c>
      <c r="BS5403" s="15" t="n">
        <v>37</v>
      </c>
      <c r="CO5403" s="15" t="n">
        <v>37</v>
      </c>
      <c r="DK5403" s="15" t="n">
        <v>37</v>
      </c>
      <c r="EG5403" s="15" t="n">
        <v>37</v>
      </c>
      <c r="FC5403" s="15" t="n">
        <v>37</v>
      </c>
      <c r="FY5403" s="15" t="n">
        <v>37</v>
      </c>
      <c r="GU5403" s="15" t="n">
        <v>37</v>
      </c>
    </row>
    <row r="5404">
      <c r="C5404" s="15" t="n">
        <v>38</v>
      </c>
      <c r="AA5404" s="15" t="n">
        <v>38</v>
      </c>
      <c r="AW5404" s="15" t="n">
        <v>38</v>
      </c>
      <c r="BS5404" s="15" t="n">
        <v>38</v>
      </c>
      <c r="CO5404" s="15" t="n">
        <v>38</v>
      </c>
      <c r="DK5404" s="15" t="n">
        <v>38</v>
      </c>
      <c r="EG5404" s="15" t="n">
        <v>38</v>
      </c>
      <c r="FC5404" s="15" t="n">
        <v>38</v>
      </c>
      <c r="FY5404" s="15" t="n">
        <v>38</v>
      </c>
      <c r="GU5404" s="15" t="n">
        <v>38</v>
      </c>
    </row>
    <row r="5405">
      <c r="C5405" s="15" t="n">
        <v>39</v>
      </c>
      <c r="AA5405" s="15" t="n">
        <v>39</v>
      </c>
      <c r="AW5405" s="15" t="n">
        <v>39</v>
      </c>
      <c r="BS5405" s="15" t="n">
        <v>39</v>
      </c>
      <c r="CO5405" s="15" t="n">
        <v>39</v>
      </c>
      <c r="DK5405" s="15" t="n">
        <v>39</v>
      </c>
      <c r="EG5405" s="15" t="n">
        <v>39</v>
      </c>
      <c r="FC5405" s="15" t="n">
        <v>39</v>
      </c>
      <c r="FY5405" s="15" t="n">
        <v>39</v>
      </c>
      <c r="GU5405" s="15" t="n">
        <v>39</v>
      </c>
    </row>
    <row r="5406">
      <c r="C5406" s="15" t="n">
        <v>40</v>
      </c>
      <c r="AA5406" s="15" t="n">
        <v>40</v>
      </c>
      <c r="AW5406" s="15" t="n">
        <v>40</v>
      </c>
      <c r="BS5406" s="15" t="n">
        <v>40</v>
      </c>
      <c r="CO5406" s="15" t="n">
        <v>40</v>
      </c>
      <c r="DK5406" s="15" t="n">
        <v>40</v>
      </c>
      <c r="EG5406" s="15" t="n">
        <v>40</v>
      </c>
      <c r="FC5406" s="15" t="n">
        <v>40</v>
      </c>
      <c r="FY5406" s="15" t="n">
        <v>40</v>
      </c>
      <c r="GU5406" s="15" t="n">
        <v>40</v>
      </c>
    </row>
    <row r="5407">
      <c r="C5407" s="15" t="n">
        <v>41</v>
      </c>
      <c r="AA5407" s="15" t="n">
        <v>41</v>
      </c>
      <c r="AW5407" s="15" t="n">
        <v>41</v>
      </c>
      <c r="BS5407" s="15" t="n">
        <v>41</v>
      </c>
      <c r="CO5407" s="15" t="n">
        <v>41</v>
      </c>
      <c r="DK5407" s="15" t="n">
        <v>41</v>
      </c>
      <c r="EG5407" s="15" t="n">
        <v>41</v>
      </c>
      <c r="FC5407" s="15" t="n">
        <v>41</v>
      </c>
      <c r="FY5407" s="15" t="n">
        <v>41</v>
      </c>
      <c r="GU5407" s="15" t="n">
        <v>41</v>
      </c>
    </row>
    <row r="5408">
      <c r="C5408" s="15" t="n">
        <v>42</v>
      </c>
      <c r="AA5408" s="15" t="n">
        <v>42</v>
      </c>
      <c r="AW5408" s="15" t="n">
        <v>42</v>
      </c>
      <c r="BS5408" s="15" t="n">
        <v>42</v>
      </c>
      <c r="CO5408" s="15" t="n">
        <v>42</v>
      </c>
      <c r="DK5408" s="15" t="n">
        <v>42</v>
      </c>
      <c r="EG5408" s="15" t="n">
        <v>42</v>
      </c>
      <c r="FC5408" s="15" t="n">
        <v>42</v>
      </c>
      <c r="FY5408" s="15" t="n">
        <v>42</v>
      </c>
      <c r="GU5408" s="15" t="n">
        <v>42</v>
      </c>
    </row>
    <row r="5409">
      <c r="C5409" s="15" t="n">
        <v>43</v>
      </c>
      <c r="AA5409" s="15" t="n">
        <v>43</v>
      </c>
      <c r="AW5409" s="15" t="n">
        <v>43</v>
      </c>
      <c r="BS5409" s="15" t="n">
        <v>43</v>
      </c>
      <c r="CO5409" s="15" t="n">
        <v>43</v>
      </c>
      <c r="DK5409" s="15" t="n">
        <v>43</v>
      </c>
      <c r="EG5409" s="15" t="n">
        <v>43</v>
      </c>
      <c r="FC5409" s="15" t="n">
        <v>43</v>
      </c>
      <c r="FY5409" s="15" t="n">
        <v>43</v>
      </c>
      <c r="GU5409" s="15" t="n">
        <v>43</v>
      </c>
    </row>
    <row r="5410">
      <c r="C5410" s="15" t="n">
        <v>44</v>
      </c>
      <c r="AA5410" s="15" t="n">
        <v>44</v>
      </c>
      <c r="AW5410" s="15" t="n">
        <v>44</v>
      </c>
      <c r="BS5410" s="15" t="n">
        <v>44</v>
      </c>
      <c r="CO5410" s="15" t="n">
        <v>44</v>
      </c>
      <c r="DK5410" s="15" t="n">
        <v>44</v>
      </c>
      <c r="EG5410" s="15" t="n">
        <v>44</v>
      </c>
      <c r="FC5410" s="15" t="n">
        <v>44</v>
      </c>
      <c r="FY5410" s="15" t="n">
        <v>44</v>
      </c>
      <c r="GU5410" s="15" t="n">
        <v>44</v>
      </c>
    </row>
    <row r="5411">
      <c r="C5411" s="15" t="n">
        <v>45</v>
      </c>
      <c r="AA5411" s="15" t="n">
        <v>45</v>
      </c>
      <c r="AW5411" s="15" t="n">
        <v>45</v>
      </c>
      <c r="BS5411" s="15" t="n">
        <v>45</v>
      </c>
      <c r="CO5411" s="15" t="n">
        <v>45</v>
      </c>
      <c r="DK5411" s="15" t="n">
        <v>45</v>
      </c>
      <c r="EG5411" s="15" t="n">
        <v>45</v>
      </c>
      <c r="FC5411" s="15" t="n">
        <v>45</v>
      </c>
      <c r="FY5411" s="15" t="n">
        <v>45</v>
      </c>
      <c r="GU5411" s="15" t="n">
        <v>45</v>
      </c>
    </row>
    <row r="5412">
      <c r="C5412" s="15" t="n">
        <v>46</v>
      </c>
      <c r="AA5412" s="15" t="n">
        <v>46</v>
      </c>
      <c r="AW5412" s="15" t="n">
        <v>46</v>
      </c>
      <c r="BS5412" s="15" t="n">
        <v>46</v>
      </c>
      <c r="CO5412" s="15" t="n">
        <v>46</v>
      </c>
      <c r="DK5412" s="15" t="n">
        <v>46</v>
      </c>
      <c r="EG5412" s="15" t="n">
        <v>46</v>
      </c>
      <c r="FC5412" s="15" t="n">
        <v>46</v>
      </c>
      <c r="FY5412" s="15" t="n">
        <v>46</v>
      </c>
      <c r="GU5412" s="15" t="n">
        <v>46</v>
      </c>
    </row>
    <row r="5413">
      <c r="C5413" s="15" t="n">
        <v>47</v>
      </c>
      <c r="AA5413" s="15" t="n">
        <v>47</v>
      </c>
      <c r="AW5413" s="15" t="n">
        <v>47</v>
      </c>
      <c r="BS5413" s="15" t="n">
        <v>47</v>
      </c>
      <c r="CO5413" s="15" t="n">
        <v>47</v>
      </c>
      <c r="DK5413" s="15" t="n">
        <v>47</v>
      </c>
      <c r="EG5413" s="15" t="n">
        <v>47</v>
      </c>
      <c r="FC5413" s="15" t="n">
        <v>47</v>
      </c>
      <c r="FY5413" s="15" t="n">
        <v>47</v>
      </c>
      <c r="GU5413" s="15" t="n">
        <v>47</v>
      </c>
    </row>
    <row r="5414">
      <c r="C5414" s="15" t="n">
        <v>48</v>
      </c>
      <c r="AA5414" s="15" t="n">
        <v>48</v>
      </c>
      <c r="AW5414" s="15" t="n">
        <v>48</v>
      </c>
      <c r="BS5414" s="15" t="n">
        <v>48</v>
      </c>
      <c r="CO5414" s="15" t="n">
        <v>48</v>
      </c>
      <c r="DK5414" s="15" t="n">
        <v>48</v>
      </c>
      <c r="EG5414" s="15" t="n">
        <v>48</v>
      </c>
      <c r="FC5414" s="15" t="n">
        <v>48</v>
      </c>
      <c r="FY5414" s="15" t="n">
        <v>48</v>
      </c>
      <c r="GU5414" s="15" t="n">
        <v>48</v>
      </c>
    </row>
    <row r="5415">
      <c r="C5415" s="15" t="n">
        <v>49</v>
      </c>
      <c r="AA5415" s="15" t="n">
        <v>49</v>
      </c>
      <c r="AW5415" s="15" t="n">
        <v>49</v>
      </c>
      <c r="BS5415" s="15" t="n">
        <v>49</v>
      </c>
      <c r="CO5415" s="15" t="n">
        <v>49</v>
      </c>
      <c r="DK5415" s="15" t="n">
        <v>49</v>
      </c>
      <c r="EG5415" s="15" t="n">
        <v>49</v>
      </c>
      <c r="FC5415" s="15" t="n">
        <v>49</v>
      </c>
      <c r="FY5415" s="15" t="n">
        <v>49</v>
      </c>
      <c r="GU5415" s="15" t="n">
        <v>49</v>
      </c>
    </row>
    <row r="5416">
      <c r="C5416" s="15" t="n">
        <v>50</v>
      </c>
      <c r="AA5416" s="15" t="n">
        <v>50</v>
      </c>
      <c r="AW5416" s="15" t="n">
        <v>50</v>
      </c>
      <c r="BS5416" s="15" t="n">
        <v>50</v>
      </c>
      <c r="CO5416" s="15" t="n">
        <v>50</v>
      </c>
      <c r="DK5416" s="15" t="n">
        <v>50</v>
      </c>
      <c r="EG5416" s="15" t="n">
        <v>50</v>
      </c>
      <c r="FC5416" s="15" t="n">
        <v>50</v>
      </c>
      <c r="FY5416" s="15" t="n">
        <v>50</v>
      </c>
      <c r="GU5416" s="15" t="n">
        <v>50</v>
      </c>
    </row>
    <row r="5417">
      <c r="C5417" s="15" t="n">
        <v>51</v>
      </c>
      <c r="AA5417" s="15" t="n">
        <v>51</v>
      </c>
      <c r="AW5417" s="15" t="n">
        <v>51</v>
      </c>
      <c r="BS5417" s="15" t="n">
        <v>51</v>
      </c>
      <c r="CO5417" s="15" t="n">
        <v>51</v>
      </c>
      <c r="DK5417" s="15" t="n">
        <v>51</v>
      </c>
      <c r="EG5417" s="15" t="n">
        <v>51</v>
      </c>
      <c r="FC5417" s="15" t="n">
        <v>51</v>
      </c>
      <c r="FY5417" s="15" t="n">
        <v>51</v>
      </c>
      <c r="GU5417" s="15" t="n">
        <v>51</v>
      </c>
    </row>
    <row r="5418">
      <c r="C5418" s="15" t="n">
        <v>52</v>
      </c>
      <c r="AA5418" s="15" t="n">
        <v>52</v>
      </c>
      <c r="AW5418" s="15" t="n">
        <v>52</v>
      </c>
      <c r="BS5418" s="15" t="n">
        <v>52</v>
      </c>
      <c r="CO5418" s="15" t="n">
        <v>52</v>
      </c>
      <c r="DK5418" s="15" t="n">
        <v>52</v>
      </c>
      <c r="EG5418" s="15" t="n">
        <v>52</v>
      </c>
      <c r="FC5418" s="15" t="n">
        <v>52</v>
      </c>
      <c r="FY5418" s="15" t="n">
        <v>52</v>
      </c>
      <c r="GU5418" s="15" t="n">
        <v>52</v>
      </c>
    </row>
    <row r="5419">
      <c r="C5419" s="15" t="n">
        <v>53</v>
      </c>
      <c r="AA5419" s="15" t="n">
        <v>53</v>
      </c>
      <c r="AW5419" s="15" t="n">
        <v>53</v>
      </c>
      <c r="BS5419" s="15" t="n">
        <v>53</v>
      </c>
      <c r="CO5419" s="15" t="n">
        <v>53</v>
      </c>
      <c r="DK5419" s="15" t="n">
        <v>53</v>
      </c>
      <c r="EG5419" s="15" t="n">
        <v>53</v>
      </c>
      <c r="FC5419" s="15" t="n">
        <v>53</v>
      </c>
      <c r="FY5419" s="15" t="n">
        <v>53</v>
      </c>
      <c r="GU5419" s="15" t="n">
        <v>53</v>
      </c>
    </row>
    <row r="5420">
      <c r="C5420" s="15" t="n">
        <v>54</v>
      </c>
      <c r="AA5420" s="15" t="n">
        <v>54</v>
      </c>
      <c r="AW5420" s="15" t="n">
        <v>54</v>
      </c>
      <c r="BS5420" s="15" t="n">
        <v>54</v>
      </c>
      <c r="CO5420" s="15" t="n">
        <v>54</v>
      </c>
      <c r="DK5420" s="15" t="n">
        <v>54</v>
      </c>
      <c r="EG5420" s="15" t="n">
        <v>54</v>
      </c>
      <c r="FC5420" s="15" t="n">
        <v>54</v>
      </c>
      <c r="FY5420" s="15" t="n">
        <v>54</v>
      </c>
      <c r="GU5420" s="15" t="n">
        <v>54</v>
      </c>
    </row>
    <row r="5421">
      <c r="C5421" s="15" t="n">
        <v>55</v>
      </c>
      <c r="AA5421" s="15" t="n">
        <v>55</v>
      </c>
      <c r="AW5421" s="15" t="n">
        <v>55</v>
      </c>
      <c r="BS5421" s="15" t="n">
        <v>55</v>
      </c>
      <c r="CO5421" s="15" t="n">
        <v>55</v>
      </c>
      <c r="DK5421" s="15" t="n">
        <v>55</v>
      </c>
      <c r="EG5421" s="15" t="n">
        <v>55</v>
      </c>
      <c r="FC5421" s="15" t="n">
        <v>55</v>
      </c>
      <c r="FY5421" s="15" t="n">
        <v>55</v>
      </c>
      <c r="GU5421" s="15" t="n">
        <v>55</v>
      </c>
    </row>
    <row r="5422">
      <c r="C5422" s="15" t="n">
        <v>56</v>
      </c>
      <c r="AA5422" s="15" t="n">
        <v>56</v>
      </c>
      <c r="AW5422" s="15" t="n">
        <v>56</v>
      </c>
      <c r="BS5422" s="15" t="n">
        <v>56</v>
      </c>
      <c r="CO5422" s="15" t="n">
        <v>56</v>
      </c>
      <c r="DK5422" s="15" t="n">
        <v>56</v>
      </c>
      <c r="EG5422" s="15" t="n">
        <v>56</v>
      </c>
      <c r="FC5422" s="15" t="n">
        <v>56</v>
      </c>
      <c r="FY5422" s="15" t="n">
        <v>56</v>
      </c>
      <c r="GU5422" s="15" t="n">
        <v>56</v>
      </c>
    </row>
    <row r="5423">
      <c r="C5423" s="15" t="n">
        <v>57</v>
      </c>
      <c r="AA5423" s="15" t="n">
        <v>57</v>
      </c>
      <c r="AW5423" s="15" t="n">
        <v>57</v>
      </c>
      <c r="BS5423" s="15" t="n">
        <v>57</v>
      </c>
      <c r="CO5423" s="15" t="n">
        <v>57</v>
      </c>
      <c r="DK5423" s="15" t="n">
        <v>57</v>
      </c>
      <c r="EG5423" s="15" t="n">
        <v>57</v>
      </c>
      <c r="FC5423" s="15" t="n">
        <v>57</v>
      </c>
      <c r="FY5423" s="15" t="n">
        <v>57</v>
      </c>
      <c r="GU5423" s="15" t="n">
        <v>57</v>
      </c>
    </row>
    <row r="5424">
      <c r="C5424" s="15" t="n">
        <v>58</v>
      </c>
      <c r="AA5424" s="15" t="n">
        <v>58</v>
      </c>
      <c r="AW5424" s="15" t="n">
        <v>58</v>
      </c>
      <c r="BS5424" s="15" t="n">
        <v>58</v>
      </c>
      <c r="CO5424" s="15" t="n">
        <v>58</v>
      </c>
      <c r="DK5424" s="15" t="n">
        <v>58</v>
      </c>
      <c r="EG5424" s="15" t="n">
        <v>58</v>
      </c>
      <c r="FC5424" s="15" t="n">
        <v>58</v>
      </c>
      <c r="FY5424" s="15" t="n">
        <v>58</v>
      </c>
      <c r="GU5424" s="15" t="n">
        <v>58</v>
      </c>
    </row>
    <row r="5425">
      <c r="C5425" s="15" t="n">
        <v>59</v>
      </c>
      <c r="AA5425" s="15" t="n">
        <v>59</v>
      </c>
      <c r="AW5425" s="15" t="n">
        <v>59</v>
      </c>
      <c r="BS5425" s="15" t="n">
        <v>59</v>
      </c>
      <c r="CO5425" s="15" t="n">
        <v>59</v>
      </c>
      <c r="DK5425" s="15" t="n">
        <v>59</v>
      </c>
      <c r="EG5425" s="15" t="n">
        <v>59</v>
      </c>
      <c r="FC5425" s="15" t="n">
        <v>59</v>
      </c>
      <c r="FY5425" s="15" t="n">
        <v>59</v>
      </c>
      <c r="GU5425" s="15" t="n">
        <v>59</v>
      </c>
    </row>
    <row r="5426">
      <c r="C5426" s="15" t="n">
        <v>60</v>
      </c>
      <c r="AA5426" s="15" t="n">
        <v>60</v>
      </c>
      <c r="AW5426" s="15" t="n">
        <v>60</v>
      </c>
      <c r="BS5426" s="15" t="n">
        <v>60</v>
      </c>
      <c r="CO5426" s="15" t="n">
        <v>60</v>
      </c>
      <c r="DK5426" s="15" t="n">
        <v>60</v>
      </c>
      <c r="EG5426" s="15" t="n">
        <v>60</v>
      </c>
      <c r="FC5426" s="15" t="n">
        <v>60</v>
      </c>
      <c r="FY5426" s="15" t="n">
        <v>60</v>
      </c>
      <c r="GU5426" s="15" t="n">
        <v>60</v>
      </c>
    </row>
    <row r="5427">
      <c r="C5427" s="15" t="n">
        <v>61</v>
      </c>
      <c r="AA5427" s="15" t="n">
        <v>61</v>
      </c>
      <c r="AW5427" s="15" t="n">
        <v>61</v>
      </c>
      <c r="BS5427" s="15" t="n">
        <v>61</v>
      </c>
      <c r="CO5427" s="15" t="n">
        <v>61</v>
      </c>
      <c r="DK5427" s="15" t="n">
        <v>61</v>
      </c>
      <c r="EG5427" s="15" t="n">
        <v>61</v>
      </c>
      <c r="FC5427" s="15" t="n">
        <v>61</v>
      </c>
      <c r="FY5427" s="15" t="n">
        <v>61</v>
      </c>
      <c r="GU5427" s="15" t="n">
        <v>61</v>
      </c>
    </row>
    <row r="5428">
      <c r="C5428" s="15" t="n">
        <v>62</v>
      </c>
      <c r="AA5428" s="15" t="n">
        <v>62</v>
      </c>
      <c r="AW5428" s="15" t="n">
        <v>62</v>
      </c>
      <c r="BS5428" s="15" t="n">
        <v>62</v>
      </c>
      <c r="CO5428" s="15" t="n">
        <v>62</v>
      </c>
      <c r="DK5428" s="15" t="n">
        <v>62</v>
      </c>
      <c r="EG5428" s="15" t="n">
        <v>62</v>
      </c>
      <c r="FC5428" s="15" t="n">
        <v>62</v>
      </c>
      <c r="FY5428" s="15" t="n">
        <v>62</v>
      </c>
      <c r="GU5428" s="15" t="n">
        <v>62</v>
      </c>
    </row>
    <row r="5429">
      <c r="C5429" s="15" t="n">
        <v>63</v>
      </c>
      <c r="AA5429" s="15" t="n">
        <v>63</v>
      </c>
      <c r="AW5429" s="15" t="n">
        <v>63</v>
      </c>
      <c r="BS5429" s="15" t="n">
        <v>63</v>
      </c>
      <c r="CO5429" s="15" t="n">
        <v>63</v>
      </c>
      <c r="DK5429" s="15" t="n">
        <v>63</v>
      </c>
      <c r="EG5429" s="15" t="n">
        <v>63</v>
      </c>
      <c r="FC5429" s="15" t="n">
        <v>63</v>
      </c>
      <c r="FY5429" s="15" t="n">
        <v>63</v>
      </c>
      <c r="GU5429" s="15" t="n">
        <v>63</v>
      </c>
    </row>
    <row r="5430">
      <c r="C5430" s="15" t="n">
        <v>64</v>
      </c>
      <c r="AA5430" s="15" t="n">
        <v>64</v>
      </c>
      <c r="AW5430" s="15" t="n">
        <v>64</v>
      </c>
      <c r="BS5430" s="15" t="n">
        <v>64</v>
      </c>
      <c r="CO5430" s="15" t="n">
        <v>64</v>
      </c>
      <c r="DK5430" s="15" t="n">
        <v>64</v>
      </c>
      <c r="EG5430" s="15" t="n">
        <v>64</v>
      </c>
      <c r="FC5430" s="15" t="n">
        <v>64</v>
      </c>
      <c r="FY5430" s="15" t="n">
        <v>64</v>
      </c>
      <c r="GU5430" s="15" t="n">
        <v>64</v>
      </c>
    </row>
    <row r="5431">
      <c r="C5431" s="15" t="n">
        <v>65</v>
      </c>
      <c r="AA5431" s="15" t="n">
        <v>65</v>
      </c>
      <c r="AW5431" s="15" t="n">
        <v>65</v>
      </c>
      <c r="BS5431" s="15" t="n">
        <v>65</v>
      </c>
      <c r="CO5431" s="15" t="n">
        <v>65</v>
      </c>
      <c r="DK5431" s="15" t="n">
        <v>65</v>
      </c>
      <c r="EG5431" s="15" t="n">
        <v>65</v>
      </c>
      <c r="FC5431" s="15" t="n">
        <v>65</v>
      </c>
      <c r="FY5431" s="15" t="n">
        <v>65</v>
      </c>
      <c r="GU5431" s="15" t="n">
        <v>65</v>
      </c>
    </row>
    <row r="5432">
      <c r="C5432" s="15" t="n">
        <v>66</v>
      </c>
      <c r="AA5432" s="15" t="n">
        <v>66</v>
      </c>
      <c r="AW5432" s="15" t="n">
        <v>66</v>
      </c>
      <c r="BS5432" s="15" t="n">
        <v>66</v>
      </c>
      <c r="CO5432" s="15" t="n">
        <v>66</v>
      </c>
      <c r="DK5432" s="15" t="n">
        <v>66</v>
      </c>
      <c r="EG5432" s="15" t="n">
        <v>66</v>
      </c>
      <c r="FC5432" s="15" t="n">
        <v>66</v>
      </c>
      <c r="FY5432" s="15" t="n">
        <v>66</v>
      </c>
      <c r="GU5432" s="15" t="n">
        <v>66</v>
      </c>
    </row>
    <row r="5433">
      <c r="C5433" s="15" t="n">
        <v>67</v>
      </c>
      <c r="AA5433" s="15" t="n">
        <v>67</v>
      </c>
      <c r="AW5433" s="15" t="n">
        <v>67</v>
      </c>
      <c r="BS5433" s="15" t="n">
        <v>67</v>
      </c>
      <c r="CO5433" s="15" t="n">
        <v>67</v>
      </c>
      <c r="DK5433" s="15" t="n">
        <v>67</v>
      </c>
      <c r="EG5433" s="15" t="n">
        <v>67</v>
      </c>
      <c r="FC5433" s="15" t="n">
        <v>67</v>
      </c>
      <c r="FY5433" s="15" t="n">
        <v>67</v>
      </c>
      <c r="GU5433" s="15" t="n">
        <v>67</v>
      </c>
    </row>
    <row r="5434">
      <c r="C5434" s="15" t="n">
        <v>68</v>
      </c>
      <c r="AA5434" s="15" t="n">
        <v>68</v>
      </c>
      <c r="AW5434" s="15" t="n">
        <v>68</v>
      </c>
      <c r="BS5434" s="15" t="n">
        <v>68</v>
      </c>
      <c r="CO5434" s="15" t="n">
        <v>68</v>
      </c>
      <c r="DK5434" s="15" t="n">
        <v>68</v>
      </c>
      <c r="EG5434" s="15" t="n">
        <v>68</v>
      </c>
      <c r="FC5434" s="15" t="n">
        <v>68</v>
      </c>
      <c r="FY5434" s="15" t="n">
        <v>68</v>
      </c>
      <c r="GU5434" s="15" t="n">
        <v>68</v>
      </c>
    </row>
    <row r="5435">
      <c r="C5435" s="15" t="n">
        <v>69</v>
      </c>
      <c r="AA5435" s="15" t="n">
        <v>69</v>
      </c>
      <c r="AW5435" s="15" t="n">
        <v>69</v>
      </c>
      <c r="BS5435" s="15" t="n">
        <v>69</v>
      </c>
      <c r="CO5435" s="15" t="n">
        <v>69</v>
      </c>
      <c r="DK5435" s="15" t="n">
        <v>69</v>
      </c>
      <c r="EG5435" s="15" t="n">
        <v>69</v>
      </c>
      <c r="FC5435" s="15" t="n">
        <v>69</v>
      </c>
      <c r="FY5435" s="15" t="n">
        <v>69</v>
      </c>
      <c r="GU5435" s="15" t="n">
        <v>69</v>
      </c>
    </row>
    <row r="5436">
      <c r="C5436" s="15" t="n">
        <v>70</v>
      </c>
      <c r="AA5436" s="15" t="n">
        <v>70</v>
      </c>
      <c r="AW5436" s="15" t="n">
        <v>70</v>
      </c>
      <c r="BS5436" s="15" t="n">
        <v>70</v>
      </c>
      <c r="CO5436" s="15" t="n">
        <v>70</v>
      </c>
      <c r="DK5436" s="15" t="n">
        <v>70</v>
      </c>
      <c r="EG5436" s="15" t="n">
        <v>70</v>
      </c>
      <c r="FC5436" s="15" t="n">
        <v>70</v>
      </c>
      <c r="FY5436" s="15" t="n">
        <v>70</v>
      </c>
      <c r="GU5436" s="15" t="n">
        <v>70</v>
      </c>
    </row>
    <row r="5437">
      <c r="C5437" s="15" t="n">
        <v>71</v>
      </c>
      <c r="AA5437" s="15" t="n">
        <v>71</v>
      </c>
      <c r="AW5437" s="15" t="n">
        <v>71</v>
      </c>
      <c r="BS5437" s="15" t="n">
        <v>71</v>
      </c>
      <c r="CO5437" s="15" t="n">
        <v>71</v>
      </c>
      <c r="DK5437" s="15" t="n">
        <v>71</v>
      </c>
      <c r="EG5437" s="15" t="n">
        <v>71</v>
      </c>
      <c r="FC5437" s="15" t="n">
        <v>71</v>
      </c>
      <c r="FY5437" s="15" t="n">
        <v>71</v>
      </c>
      <c r="GU5437" s="15" t="n">
        <v>71</v>
      </c>
    </row>
    <row r="5438">
      <c r="C5438" s="15" t="n">
        <v>72</v>
      </c>
      <c r="AA5438" s="15" t="n">
        <v>72</v>
      </c>
      <c r="AW5438" s="15" t="n">
        <v>72</v>
      </c>
      <c r="BS5438" s="15" t="n">
        <v>72</v>
      </c>
      <c r="CO5438" s="15" t="n">
        <v>72</v>
      </c>
      <c r="DK5438" s="15" t="n">
        <v>72</v>
      </c>
      <c r="EG5438" s="15" t="n">
        <v>72</v>
      </c>
      <c r="FC5438" s="15" t="n">
        <v>72</v>
      </c>
      <c r="FY5438" s="15" t="n">
        <v>72</v>
      </c>
      <c r="GU5438" s="15" t="n">
        <v>72</v>
      </c>
    </row>
    <row r="5439">
      <c r="C5439" s="15" t="n">
        <v>73</v>
      </c>
      <c r="AA5439" s="15" t="n">
        <v>73</v>
      </c>
      <c r="AW5439" s="15" t="n">
        <v>73</v>
      </c>
      <c r="BS5439" s="15" t="n">
        <v>73</v>
      </c>
      <c r="CO5439" s="15" t="n">
        <v>73</v>
      </c>
      <c r="DK5439" s="15" t="n">
        <v>73</v>
      </c>
      <c r="EG5439" s="15" t="n">
        <v>73</v>
      </c>
      <c r="FC5439" s="15" t="n">
        <v>73</v>
      </c>
      <c r="FY5439" s="15" t="n">
        <v>73</v>
      </c>
      <c r="GU5439" s="15" t="n">
        <v>73</v>
      </c>
    </row>
    <row r="5440">
      <c r="C5440" s="15" t="n">
        <v>74</v>
      </c>
      <c r="AA5440" s="15" t="n">
        <v>74</v>
      </c>
      <c r="AW5440" s="15" t="n">
        <v>74</v>
      </c>
      <c r="BS5440" s="15" t="n">
        <v>74</v>
      </c>
      <c r="CO5440" s="15" t="n">
        <v>74</v>
      </c>
      <c r="DK5440" s="15" t="n">
        <v>74</v>
      </c>
      <c r="EG5440" s="15" t="n">
        <v>74</v>
      </c>
      <c r="FC5440" s="15" t="n">
        <v>74</v>
      </c>
      <c r="FY5440" s="15" t="n">
        <v>74</v>
      </c>
      <c r="GU5440" s="15" t="n">
        <v>74</v>
      </c>
    </row>
    <row r="5441">
      <c r="C5441" s="15" t="n">
        <v>75</v>
      </c>
      <c r="AA5441" s="15" t="n">
        <v>75</v>
      </c>
      <c r="AW5441" s="15" t="n">
        <v>75</v>
      </c>
      <c r="BS5441" s="15" t="n">
        <v>75</v>
      </c>
      <c r="CO5441" s="15" t="n">
        <v>75</v>
      </c>
      <c r="DK5441" s="15" t="n">
        <v>75</v>
      </c>
      <c r="EG5441" s="15" t="n">
        <v>75</v>
      </c>
      <c r="FC5441" s="15" t="n">
        <v>75</v>
      </c>
      <c r="FY5441" s="15" t="n">
        <v>75</v>
      </c>
      <c r="GU5441" s="15" t="n">
        <v>75</v>
      </c>
    </row>
    <row r="5442">
      <c r="C5442" s="15" t="n">
        <v>76</v>
      </c>
      <c r="AA5442" s="15" t="n">
        <v>76</v>
      </c>
      <c r="AW5442" s="15" t="n">
        <v>76</v>
      </c>
      <c r="BS5442" s="15" t="n">
        <v>76</v>
      </c>
      <c r="CO5442" s="15" t="n">
        <v>76</v>
      </c>
      <c r="DK5442" s="15" t="n">
        <v>76</v>
      </c>
      <c r="EG5442" s="15" t="n">
        <v>76</v>
      </c>
      <c r="FC5442" s="15" t="n">
        <v>76</v>
      </c>
      <c r="FY5442" s="15" t="n">
        <v>76</v>
      </c>
      <c r="GU5442" s="15" t="n">
        <v>76</v>
      </c>
    </row>
    <row r="5443">
      <c r="C5443" s="15" t="n">
        <v>77</v>
      </c>
      <c r="AA5443" s="15" t="n">
        <v>77</v>
      </c>
      <c r="AW5443" s="15" t="n">
        <v>77</v>
      </c>
      <c r="BS5443" s="15" t="n">
        <v>77</v>
      </c>
      <c r="CO5443" s="15" t="n">
        <v>77</v>
      </c>
      <c r="DK5443" s="15" t="n">
        <v>77</v>
      </c>
      <c r="EG5443" s="15" t="n">
        <v>77</v>
      </c>
      <c r="FC5443" s="15" t="n">
        <v>77</v>
      </c>
      <c r="FY5443" s="15" t="n">
        <v>77</v>
      </c>
      <c r="GU5443" s="15" t="n">
        <v>77</v>
      </c>
    </row>
    <row r="5444">
      <c r="C5444" s="15" t="n">
        <v>78</v>
      </c>
      <c r="AA5444" s="15" t="n">
        <v>78</v>
      </c>
      <c r="AW5444" s="15" t="n">
        <v>78</v>
      </c>
      <c r="BS5444" s="15" t="n">
        <v>78</v>
      </c>
      <c r="CO5444" s="15" t="n">
        <v>78</v>
      </c>
      <c r="DK5444" s="15" t="n">
        <v>78</v>
      </c>
      <c r="EG5444" s="15" t="n">
        <v>78</v>
      </c>
      <c r="FC5444" s="15" t="n">
        <v>78</v>
      </c>
      <c r="FY5444" s="15" t="n">
        <v>78</v>
      </c>
      <c r="GU5444" s="15" t="n">
        <v>78</v>
      </c>
    </row>
    <row r="5445">
      <c r="C5445" s="15" t="n">
        <v>79</v>
      </c>
      <c r="AA5445" s="15" t="n">
        <v>79</v>
      </c>
      <c r="AW5445" s="15" t="n">
        <v>79</v>
      </c>
      <c r="BS5445" s="15" t="n">
        <v>79</v>
      </c>
      <c r="CO5445" s="15" t="n">
        <v>79</v>
      </c>
      <c r="DK5445" s="15" t="n">
        <v>79</v>
      </c>
      <c r="EG5445" s="15" t="n">
        <v>79</v>
      </c>
      <c r="FC5445" s="15" t="n">
        <v>79</v>
      </c>
      <c r="FY5445" s="15" t="n">
        <v>79</v>
      </c>
      <c r="GU5445" s="15" t="n">
        <v>79</v>
      </c>
    </row>
    <row r="5446">
      <c r="C5446" s="15" t="n">
        <v>80</v>
      </c>
      <c r="AA5446" s="15" t="n">
        <v>80</v>
      </c>
      <c r="AW5446" s="15" t="n">
        <v>80</v>
      </c>
      <c r="BS5446" s="15" t="n">
        <v>80</v>
      </c>
      <c r="CO5446" s="15" t="n">
        <v>80</v>
      </c>
      <c r="DK5446" s="15" t="n">
        <v>80</v>
      </c>
      <c r="EG5446" s="15" t="n">
        <v>80</v>
      </c>
      <c r="FC5446" s="15" t="n">
        <v>80</v>
      </c>
      <c r="FY5446" s="15" t="n">
        <v>80</v>
      </c>
      <c r="GU5446" s="15" t="n">
        <v>80</v>
      </c>
    </row>
    <row r="5447">
      <c r="C5447" s="15" t="n">
        <v>81</v>
      </c>
      <c r="AA5447" s="15" t="n">
        <v>81</v>
      </c>
      <c r="AW5447" s="15" t="n">
        <v>81</v>
      </c>
      <c r="BS5447" s="15" t="n">
        <v>81</v>
      </c>
      <c r="CO5447" s="15" t="n">
        <v>81</v>
      </c>
      <c r="DK5447" s="15" t="n">
        <v>81</v>
      </c>
      <c r="EG5447" s="15" t="n">
        <v>81</v>
      </c>
      <c r="FC5447" s="15" t="n">
        <v>81</v>
      </c>
      <c r="FY5447" s="15" t="n">
        <v>81</v>
      </c>
      <c r="GU5447" s="15" t="n">
        <v>81</v>
      </c>
    </row>
    <row r="5448">
      <c r="C5448" s="15" t="n">
        <v>82</v>
      </c>
      <c r="AA5448" s="15" t="n">
        <v>82</v>
      </c>
      <c r="AW5448" s="15" t="n">
        <v>82</v>
      </c>
      <c r="BS5448" s="15" t="n">
        <v>82</v>
      </c>
      <c r="CO5448" s="15" t="n">
        <v>82</v>
      </c>
      <c r="DK5448" s="15" t="n">
        <v>82</v>
      </c>
      <c r="EG5448" s="15" t="n">
        <v>82</v>
      </c>
      <c r="FC5448" s="15" t="n">
        <v>82</v>
      </c>
      <c r="FY5448" s="15" t="n">
        <v>82</v>
      </c>
      <c r="GU5448" s="15" t="n">
        <v>82</v>
      </c>
    </row>
    <row r="5449">
      <c r="C5449" s="15" t="n">
        <v>83</v>
      </c>
      <c r="AA5449" s="15" t="n">
        <v>83</v>
      </c>
      <c r="AW5449" s="15" t="n">
        <v>83</v>
      </c>
      <c r="BS5449" s="15" t="n">
        <v>83</v>
      </c>
      <c r="CO5449" s="15" t="n">
        <v>83</v>
      </c>
      <c r="DK5449" s="15" t="n">
        <v>83</v>
      </c>
      <c r="EG5449" s="15" t="n">
        <v>83</v>
      </c>
      <c r="FC5449" s="15" t="n">
        <v>83</v>
      </c>
      <c r="FY5449" s="15" t="n">
        <v>83</v>
      </c>
      <c r="GU5449" s="15" t="n">
        <v>83</v>
      </c>
    </row>
    <row r="5450">
      <c r="C5450" s="15" t="n">
        <v>84</v>
      </c>
      <c r="AA5450" s="15" t="n">
        <v>84</v>
      </c>
      <c r="AW5450" s="15" t="n">
        <v>84</v>
      </c>
      <c r="BS5450" s="15" t="n">
        <v>84</v>
      </c>
      <c r="CO5450" s="15" t="n">
        <v>84</v>
      </c>
      <c r="DK5450" s="15" t="n">
        <v>84</v>
      </c>
      <c r="EG5450" s="15" t="n">
        <v>84</v>
      </c>
      <c r="FC5450" s="15" t="n">
        <v>84</v>
      </c>
      <c r="FY5450" s="15" t="n">
        <v>84</v>
      </c>
      <c r="GU5450" s="15" t="n">
        <v>84</v>
      </c>
    </row>
    <row r="5451">
      <c r="C5451" s="15" t="n">
        <v>85</v>
      </c>
      <c r="AA5451" s="15" t="n">
        <v>85</v>
      </c>
      <c r="AW5451" s="15" t="n">
        <v>85</v>
      </c>
      <c r="BS5451" s="15" t="n">
        <v>85</v>
      </c>
      <c r="CO5451" s="15" t="n">
        <v>85</v>
      </c>
      <c r="DK5451" s="15" t="n">
        <v>85</v>
      </c>
      <c r="EG5451" s="15" t="n">
        <v>85</v>
      </c>
      <c r="FC5451" s="15" t="n">
        <v>85</v>
      </c>
      <c r="FY5451" s="15" t="n">
        <v>85</v>
      </c>
      <c r="GU5451" s="15" t="n">
        <v>85</v>
      </c>
    </row>
    <row r="5452">
      <c r="C5452" s="15" t="n">
        <v>86</v>
      </c>
      <c r="AA5452" s="15" t="n">
        <v>86</v>
      </c>
      <c r="AW5452" s="15" t="n">
        <v>86</v>
      </c>
      <c r="BS5452" s="15" t="n">
        <v>86</v>
      </c>
      <c r="CO5452" s="15" t="n">
        <v>86</v>
      </c>
      <c r="DK5452" s="15" t="n">
        <v>86</v>
      </c>
      <c r="EG5452" s="15" t="n">
        <v>86</v>
      </c>
      <c r="FC5452" s="15" t="n">
        <v>86</v>
      </c>
      <c r="FY5452" s="15" t="n">
        <v>86</v>
      </c>
      <c r="GU5452" s="15" t="n">
        <v>86</v>
      </c>
    </row>
    <row r="5453">
      <c r="C5453" s="15" t="n">
        <v>87</v>
      </c>
      <c r="AA5453" s="15" t="n">
        <v>87</v>
      </c>
      <c r="AW5453" s="15" t="n">
        <v>87</v>
      </c>
      <c r="BS5453" s="15" t="n">
        <v>87</v>
      </c>
      <c r="CO5453" s="15" t="n">
        <v>87</v>
      </c>
      <c r="DK5453" s="15" t="n">
        <v>87</v>
      </c>
      <c r="EG5453" s="15" t="n">
        <v>87</v>
      </c>
      <c r="FC5453" s="15" t="n">
        <v>87</v>
      </c>
      <c r="FY5453" s="15" t="n">
        <v>87</v>
      </c>
      <c r="GU5453" s="15" t="n">
        <v>87</v>
      </c>
    </row>
    <row r="5454">
      <c r="C5454" s="15" t="n">
        <v>88</v>
      </c>
      <c r="AA5454" s="15" t="n">
        <v>88</v>
      </c>
      <c r="AW5454" s="15" t="n">
        <v>88</v>
      </c>
      <c r="BS5454" s="15" t="n">
        <v>88</v>
      </c>
      <c r="CO5454" s="15" t="n">
        <v>88</v>
      </c>
      <c r="DK5454" s="15" t="n">
        <v>88</v>
      </c>
      <c r="EG5454" s="15" t="n">
        <v>88</v>
      </c>
      <c r="FC5454" s="15" t="n">
        <v>88</v>
      </c>
      <c r="FY5454" s="15" t="n">
        <v>88</v>
      </c>
      <c r="GU5454" s="15" t="n">
        <v>88</v>
      </c>
    </row>
    <row r="5455">
      <c r="C5455" s="15" t="n">
        <v>89</v>
      </c>
      <c r="AA5455" s="15" t="n">
        <v>89</v>
      </c>
      <c r="AW5455" s="15" t="n">
        <v>89</v>
      </c>
      <c r="BS5455" s="15" t="n">
        <v>89</v>
      </c>
      <c r="CO5455" s="15" t="n">
        <v>89</v>
      </c>
      <c r="DK5455" s="15" t="n">
        <v>89</v>
      </c>
      <c r="EG5455" s="15" t="n">
        <v>89</v>
      </c>
      <c r="FC5455" s="15" t="n">
        <v>89</v>
      </c>
      <c r="FY5455" s="15" t="n">
        <v>89</v>
      </c>
      <c r="GU5455" s="15" t="n">
        <v>89</v>
      </c>
    </row>
    <row r="5456">
      <c r="C5456" s="15" t="n">
        <v>90</v>
      </c>
      <c r="AA5456" s="15" t="n">
        <v>90</v>
      </c>
      <c r="AW5456" s="15" t="n">
        <v>90</v>
      </c>
      <c r="BS5456" s="15" t="n">
        <v>90</v>
      </c>
      <c r="CO5456" s="15" t="n">
        <v>90</v>
      </c>
      <c r="DK5456" s="15" t="n">
        <v>90</v>
      </c>
      <c r="EG5456" s="15" t="n">
        <v>90</v>
      </c>
      <c r="FC5456" s="15" t="n">
        <v>90</v>
      </c>
      <c r="FY5456" s="15" t="n">
        <v>90</v>
      </c>
      <c r="GU5456" s="15" t="n">
        <v>90</v>
      </c>
    </row>
    <row r="5457">
      <c r="C5457" s="15" t="n">
        <v>91</v>
      </c>
      <c r="AA5457" s="15" t="n">
        <v>91</v>
      </c>
      <c r="AW5457" s="15" t="n">
        <v>91</v>
      </c>
      <c r="BS5457" s="15" t="n">
        <v>91</v>
      </c>
      <c r="CO5457" s="15" t="n">
        <v>91</v>
      </c>
      <c r="DK5457" s="15" t="n">
        <v>91</v>
      </c>
      <c r="EG5457" s="15" t="n">
        <v>91</v>
      </c>
      <c r="FC5457" s="15" t="n">
        <v>91</v>
      </c>
      <c r="FY5457" s="15" t="n">
        <v>91</v>
      </c>
      <c r="GU5457" s="15" t="n">
        <v>91</v>
      </c>
    </row>
    <row r="5458">
      <c r="C5458" s="15" t="n">
        <v>92</v>
      </c>
      <c r="AA5458" s="15" t="n">
        <v>92</v>
      </c>
      <c r="AW5458" s="15" t="n">
        <v>92</v>
      </c>
      <c r="BS5458" s="15" t="n">
        <v>92</v>
      </c>
      <c r="CO5458" s="15" t="n">
        <v>92</v>
      </c>
      <c r="DK5458" s="15" t="n">
        <v>92</v>
      </c>
      <c r="EG5458" s="15" t="n">
        <v>92</v>
      </c>
      <c r="FC5458" s="15" t="n">
        <v>92</v>
      </c>
      <c r="FY5458" s="15" t="n">
        <v>92</v>
      </c>
      <c r="GU5458" s="15" t="n">
        <v>92</v>
      </c>
    </row>
    <row r="5459">
      <c r="C5459" s="15" t="n">
        <v>93</v>
      </c>
      <c r="AA5459" s="15" t="n">
        <v>93</v>
      </c>
      <c r="AW5459" s="15" t="n">
        <v>93</v>
      </c>
      <c r="BS5459" s="15" t="n">
        <v>93</v>
      </c>
      <c r="CO5459" s="15" t="n">
        <v>93</v>
      </c>
      <c r="DK5459" s="15" t="n">
        <v>93</v>
      </c>
      <c r="EG5459" s="15" t="n">
        <v>93</v>
      </c>
      <c r="FC5459" s="15" t="n">
        <v>93</v>
      </c>
      <c r="FY5459" s="15" t="n">
        <v>93</v>
      </c>
      <c r="GU5459" s="15" t="n">
        <v>93</v>
      </c>
    </row>
    <row r="5460">
      <c r="C5460" s="15" t="n">
        <v>94</v>
      </c>
      <c r="AA5460" s="15" t="n">
        <v>94</v>
      </c>
      <c r="AW5460" s="15" t="n">
        <v>94</v>
      </c>
      <c r="BS5460" s="15" t="n">
        <v>94</v>
      </c>
      <c r="CO5460" s="15" t="n">
        <v>94</v>
      </c>
      <c r="DK5460" s="15" t="n">
        <v>94</v>
      </c>
      <c r="EG5460" s="15" t="n">
        <v>94</v>
      </c>
      <c r="FC5460" s="15" t="n">
        <v>94</v>
      </c>
      <c r="FY5460" s="15" t="n">
        <v>94</v>
      </c>
      <c r="GU5460" s="15" t="n">
        <v>94</v>
      </c>
    </row>
    <row r="5461">
      <c r="C5461" s="15" t="n">
        <v>95</v>
      </c>
      <c r="AA5461" s="15" t="n">
        <v>95</v>
      </c>
      <c r="AW5461" s="15" t="n">
        <v>95</v>
      </c>
      <c r="BS5461" s="15" t="n">
        <v>95</v>
      </c>
      <c r="CO5461" s="15" t="n">
        <v>95</v>
      </c>
      <c r="DK5461" s="15" t="n">
        <v>95</v>
      </c>
      <c r="EG5461" s="15" t="n">
        <v>95</v>
      </c>
      <c r="FC5461" s="15" t="n">
        <v>95</v>
      </c>
      <c r="FY5461" s="15" t="n">
        <v>95</v>
      </c>
      <c r="GU5461" s="15" t="n">
        <v>95</v>
      </c>
    </row>
    <row r="5462">
      <c r="C5462" s="15" t="n">
        <v>96</v>
      </c>
      <c r="AA5462" s="15" t="n">
        <v>96</v>
      </c>
      <c r="AW5462" s="15" t="n">
        <v>96</v>
      </c>
      <c r="BS5462" s="15" t="n">
        <v>96</v>
      </c>
      <c r="CO5462" s="15" t="n">
        <v>96</v>
      </c>
      <c r="DK5462" s="15" t="n">
        <v>96</v>
      </c>
      <c r="EG5462" s="15" t="n">
        <v>96</v>
      </c>
      <c r="FC5462" s="15" t="n">
        <v>96</v>
      </c>
      <c r="FY5462" s="15" t="n">
        <v>96</v>
      </c>
      <c r="GU5462" s="15" t="n">
        <v>96</v>
      </c>
    </row>
    <row r="5463">
      <c r="C5463" s="15" t="n">
        <v>97</v>
      </c>
      <c r="AA5463" s="15" t="n">
        <v>97</v>
      </c>
      <c r="AW5463" s="15" t="n">
        <v>97</v>
      </c>
      <c r="BS5463" s="15" t="n">
        <v>97</v>
      </c>
      <c r="CO5463" s="15" t="n">
        <v>97</v>
      </c>
      <c r="DK5463" s="15" t="n">
        <v>97</v>
      </c>
      <c r="EG5463" s="15" t="n">
        <v>97</v>
      </c>
      <c r="FC5463" s="15" t="n">
        <v>97</v>
      </c>
      <c r="FY5463" s="15" t="n">
        <v>97</v>
      </c>
      <c r="GU5463" s="15" t="n">
        <v>97</v>
      </c>
    </row>
    <row r="5464">
      <c r="C5464" s="15" t="n">
        <v>98</v>
      </c>
      <c r="AA5464" s="15" t="n">
        <v>98</v>
      </c>
      <c r="AW5464" s="15" t="n">
        <v>98</v>
      </c>
      <c r="BS5464" s="15" t="n">
        <v>98</v>
      </c>
      <c r="CO5464" s="15" t="n">
        <v>98</v>
      </c>
      <c r="DK5464" s="15" t="n">
        <v>98</v>
      </c>
      <c r="EG5464" s="15" t="n">
        <v>98</v>
      </c>
      <c r="FC5464" s="15" t="n">
        <v>98</v>
      </c>
      <c r="FY5464" s="15" t="n">
        <v>98</v>
      </c>
      <c r="GU5464" s="15" t="n">
        <v>98</v>
      </c>
    </row>
    <row r="5465">
      <c r="C5465" s="15" t="n">
        <v>99</v>
      </c>
      <c r="AA5465" s="15" t="n">
        <v>99</v>
      </c>
      <c r="AW5465" s="15" t="n">
        <v>99</v>
      </c>
      <c r="BS5465" s="15" t="n">
        <v>99</v>
      </c>
      <c r="CO5465" s="15" t="n">
        <v>99</v>
      </c>
      <c r="DK5465" s="15" t="n">
        <v>99</v>
      </c>
      <c r="EG5465" s="15" t="n">
        <v>99</v>
      </c>
      <c r="FC5465" s="15" t="n">
        <v>99</v>
      </c>
      <c r="FY5465" s="15" t="n">
        <v>99</v>
      </c>
      <c r="GU5465" s="15" t="n">
        <v>99</v>
      </c>
    </row>
    <row r="5466">
      <c r="C5466" s="15" t="n">
        <v>100</v>
      </c>
      <c r="AA5466" s="15" t="n">
        <v>100</v>
      </c>
      <c r="AW5466" s="15" t="n">
        <v>100</v>
      </c>
      <c r="BS5466" s="15" t="n">
        <v>100</v>
      </c>
      <c r="CO5466" s="15" t="n">
        <v>100</v>
      </c>
      <c r="DK5466" s="15" t="n">
        <v>100</v>
      </c>
      <c r="EG5466" s="15" t="n">
        <v>100</v>
      </c>
      <c r="FC5466" s="15" t="n">
        <v>100</v>
      </c>
      <c r="FY5466" s="15" t="n">
        <v>100</v>
      </c>
      <c r="GU5466" s="15" t="n">
        <v>100</v>
      </c>
    </row>
    <row r="5467">
      <c r="C5467" s="15" t="n">
        <v>101</v>
      </c>
      <c r="AA5467" s="15" t="n">
        <v>101</v>
      </c>
      <c r="AW5467" s="15" t="n">
        <v>101</v>
      </c>
      <c r="BS5467" s="15" t="n">
        <v>101</v>
      </c>
      <c r="CO5467" s="15" t="n">
        <v>101</v>
      </c>
      <c r="DK5467" s="15" t="n">
        <v>101</v>
      </c>
      <c r="EG5467" s="15" t="n">
        <v>101</v>
      </c>
      <c r="FC5467" s="15" t="n">
        <v>101</v>
      </c>
      <c r="FY5467" s="15" t="n">
        <v>101</v>
      </c>
      <c r="GU5467" s="15" t="n">
        <v>101</v>
      </c>
    </row>
    <row r="5468">
      <c r="C5468" s="15" t="n">
        <v>102</v>
      </c>
      <c r="AA5468" s="15" t="n">
        <v>102</v>
      </c>
      <c r="AW5468" s="15" t="n">
        <v>102</v>
      </c>
      <c r="BS5468" s="15" t="n">
        <v>102</v>
      </c>
      <c r="CO5468" s="15" t="n">
        <v>102</v>
      </c>
      <c r="DK5468" s="15" t="n">
        <v>102</v>
      </c>
      <c r="EG5468" s="15" t="n">
        <v>102</v>
      </c>
      <c r="FC5468" s="15" t="n">
        <v>102</v>
      </c>
      <c r="FY5468" s="15" t="n">
        <v>102</v>
      </c>
      <c r="GU5468" s="15" t="n">
        <v>102</v>
      </c>
    </row>
    <row r="5469">
      <c r="C5469" s="15" t="n">
        <v>103</v>
      </c>
      <c r="AA5469" s="15" t="n">
        <v>103</v>
      </c>
      <c r="AW5469" s="15" t="n">
        <v>103</v>
      </c>
      <c r="BS5469" s="15" t="n">
        <v>103</v>
      </c>
      <c r="CO5469" s="15" t="n">
        <v>103</v>
      </c>
      <c r="DK5469" s="15" t="n">
        <v>103</v>
      </c>
      <c r="EG5469" s="15" t="n">
        <v>103</v>
      </c>
      <c r="FC5469" s="15" t="n">
        <v>103</v>
      </c>
      <c r="FY5469" s="15" t="n">
        <v>103</v>
      </c>
      <c r="GU5469" s="15" t="n">
        <v>103</v>
      </c>
    </row>
    <row r="5470">
      <c r="C5470" s="15" t="n">
        <v>104</v>
      </c>
      <c r="AA5470" s="15" t="n">
        <v>104</v>
      </c>
      <c r="AW5470" s="15" t="n">
        <v>104</v>
      </c>
      <c r="BS5470" s="15" t="n">
        <v>104</v>
      </c>
      <c r="CO5470" s="15" t="n">
        <v>104</v>
      </c>
      <c r="DK5470" s="15" t="n">
        <v>104</v>
      </c>
      <c r="EG5470" s="15" t="n">
        <v>104</v>
      </c>
      <c r="FC5470" s="15" t="n">
        <v>104</v>
      </c>
      <c r="FY5470" s="15" t="n">
        <v>104</v>
      </c>
      <c r="GU5470" s="15" t="n">
        <v>104</v>
      </c>
    </row>
    <row r="5471">
      <c r="C5471" s="15" t="n">
        <v>105</v>
      </c>
      <c r="AA5471" s="15" t="n">
        <v>105</v>
      </c>
      <c r="AW5471" s="15" t="n">
        <v>105</v>
      </c>
      <c r="BS5471" s="15" t="n">
        <v>105</v>
      </c>
      <c r="CO5471" s="15" t="n">
        <v>105</v>
      </c>
      <c r="DK5471" s="15" t="n">
        <v>105</v>
      </c>
      <c r="EG5471" s="15" t="n">
        <v>105</v>
      </c>
      <c r="FC5471" s="15" t="n">
        <v>105</v>
      </c>
      <c r="FY5471" s="15" t="n">
        <v>105</v>
      </c>
      <c r="GU5471" s="15" t="n">
        <v>105</v>
      </c>
    </row>
    <row r="5472">
      <c r="C5472" s="15" t="n">
        <v>106</v>
      </c>
      <c r="AA5472" s="15" t="n">
        <v>106</v>
      </c>
      <c r="AW5472" s="15" t="n">
        <v>106</v>
      </c>
      <c r="BS5472" s="15" t="n">
        <v>106</v>
      </c>
      <c r="CO5472" s="15" t="n">
        <v>106</v>
      </c>
      <c r="DK5472" s="15" t="n">
        <v>106</v>
      </c>
      <c r="EG5472" s="15" t="n">
        <v>106</v>
      </c>
      <c r="FC5472" s="15" t="n">
        <v>106</v>
      </c>
      <c r="FY5472" s="15" t="n">
        <v>106</v>
      </c>
      <c r="GU5472" s="15" t="n">
        <v>106</v>
      </c>
    </row>
    <row r="5473">
      <c r="C5473" s="15" t="n">
        <v>107</v>
      </c>
      <c r="AA5473" s="15" t="n">
        <v>107</v>
      </c>
      <c r="AW5473" s="15" t="n">
        <v>107</v>
      </c>
      <c r="BS5473" s="15" t="n">
        <v>107</v>
      </c>
      <c r="CO5473" s="15" t="n">
        <v>107</v>
      </c>
      <c r="DK5473" s="15" t="n">
        <v>107</v>
      </c>
      <c r="EG5473" s="15" t="n">
        <v>107</v>
      </c>
      <c r="FC5473" s="15" t="n">
        <v>107</v>
      </c>
      <c r="FY5473" s="15" t="n">
        <v>107</v>
      </c>
      <c r="GU5473" s="15" t="n">
        <v>107</v>
      </c>
    </row>
    <row r="5474">
      <c r="C5474" s="15" t="n">
        <v>108</v>
      </c>
      <c r="AA5474" s="15" t="n">
        <v>108</v>
      </c>
      <c r="AW5474" s="15" t="n">
        <v>108</v>
      </c>
      <c r="BS5474" s="15" t="n">
        <v>108</v>
      </c>
      <c r="CO5474" s="15" t="n">
        <v>108</v>
      </c>
      <c r="DK5474" s="15" t="n">
        <v>108</v>
      </c>
      <c r="EG5474" s="15" t="n">
        <v>108</v>
      </c>
      <c r="FC5474" s="15" t="n">
        <v>108</v>
      </c>
      <c r="FY5474" s="15" t="n">
        <v>108</v>
      </c>
      <c r="GU5474" s="15" t="n">
        <v>108</v>
      </c>
    </row>
    <row r="5475">
      <c r="C5475" s="15" t="n">
        <v>109</v>
      </c>
      <c r="AA5475" s="15" t="n">
        <v>109</v>
      </c>
      <c r="AW5475" s="15" t="n">
        <v>109</v>
      </c>
      <c r="BS5475" s="15" t="n">
        <v>109</v>
      </c>
      <c r="CO5475" s="15" t="n">
        <v>109</v>
      </c>
      <c r="DK5475" s="15" t="n">
        <v>109</v>
      </c>
      <c r="EG5475" s="15" t="n">
        <v>109</v>
      </c>
      <c r="FC5475" s="15" t="n">
        <v>109</v>
      </c>
      <c r="FY5475" s="15" t="n">
        <v>109</v>
      </c>
      <c r="GU5475" s="15" t="n">
        <v>109</v>
      </c>
    </row>
    <row r="5476">
      <c r="C5476" s="15" t="n">
        <v>110</v>
      </c>
      <c r="AA5476" s="15" t="n">
        <v>110</v>
      </c>
      <c r="AW5476" s="15" t="n">
        <v>110</v>
      </c>
      <c r="BS5476" s="15" t="n">
        <v>110</v>
      </c>
      <c r="CO5476" s="15" t="n">
        <v>110</v>
      </c>
      <c r="DK5476" s="15" t="n">
        <v>110</v>
      </c>
      <c r="EG5476" s="15" t="n">
        <v>110</v>
      </c>
      <c r="FC5476" s="15" t="n">
        <v>110</v>
      </c>
      <c r="FY5476" s="15" t="n">
        <v>110</v>
      </c>
      <c r="GU5476" s="15" t="n">
        <v>110</v>
      </c>
    </row>
    <row r="5477">
      <c r="C5477" s="15" t="n">
        <v>111</v>
      </c>
      <c r="AA5477" s="15" t="n">
        <v>111</v>
      </c>
      <c r="AW5477" s="15" t="n">
        <v>111</v>
      </c>
      <c r="BS5477" s="15" t="n">
        <v>111</v>
      </c>
      <c r="CO5477" s="15" t="n">
        <v>111</v>
      </c>
      <c r="DK5477" s="15" t="n">
        <v>111</v>
      </c>
      <c r="EG5477" s="15" t="n">
        <v>111</v>
      </c>
      <c r="FC5477" s="15" t="n">
        <v>111</v>
      </c>
      <c r="FY5477" s="15" t="n">
        <v>111</v>
      </c>
      <c r="GU5477" s="15" t="n">
        <v>111</v>
      </c>
    </row>
    <row r="5478">
      <c r="C5478" s="15" t="n">
        <v>112</v>
      </c>
      <c r="AA5478" s="15" t="n">
        <v>112</v>
      </c>
      <c r="AW5478" s="15" t="n">
        <v>112</v>
      </c>
      <c r="BS5478" s="15" t="n">
        <v>112</v>
      </c>
      <c r="CO5478" s="15" t="n">
        <v>112</v>
      </c>
      <c r="DK5478" s="15" t="n">
        <v>112</v>
      </c>
      <c r="EG5478" s="15" t="n">
        <v>112</v>
      </c>
      <c r="FC5478" s="15" t="n">
        <v>112</v>
      </c>
      <c r="FY5478" s="15" t="n">
        <v>112</v>
      </c>
      <c r="GU5478" s="15" t="n">
        <v>112</v>
      </c>
    </row>
    <row r="5479">
      <c r="C5479" s="15" t="n">
        <v>113</v>
      </c>
      <c r="AA5479" s="15" t="n">
        <v>113</v>
      </c>
      <c r="AW5479" s="15" t="n">
        <v>113</v>
      </c>
      <c r="BS5479" s="15" t="n">
        <v>113</v>
      </c>
      <c r="CO5479" s="15" t="n">
        <v>113</v>
      </c>
      <c r="DK5479" s="15" t="n">
        <v>113</v>
      </c>
      <c r="EG5479" s="15" t="n">
        <v>113</v>
      </c>
      <c r="FC5479" s="15" t="n">
        <v>113</v>
      </c>
      <c r="FY5479" s="15" t="n">
        <v>113</v>
      </c>
      <c r="GU5479" s="15" t="n">
        <v>113</v>
      </c>
    </row>
    <row r="5480">
      <c r="C5480" s="15" t="n">
        <v>114</v>
      </c>
      <c r="AA5480" s="15" t="n">
        <v>114</v>
      </c>
      <c r="AW5480" s="15" t="n">
        <v>114</v>
      </c>
      <c r="BS5480" s="15" t="n">
        <v>114</v>
      </c>
      <c r="CO5480" s="15" t="n">
        <v>114</v>
      </c>
      <c r="DK5480" s="15" t="n">
        <v>114</v>
      </c>
      <c r="EG5480" s="15" t="n">
        <v>114</v>
      </c>
      <c r="FC5480" s="15" t="n">
        <v>114</v>
      </c>
      <c r="FY5480" s="15" t="n">
        <v>114</v>
      </c>
      <c r="GU5480" s="15" t="n">
        <v>114</v>
      </c>
    </row>
    <row r="5481">
      <c r="C5481" s="15" t="n">
        <v>115</v>
      </c>
      <c r="AA5481" s="15" t="n">
        <v>115</v>
      </c>
      <c r="AW5481" s="15" t="n">
        <v>115</v>
      </c>
      <c r="BS5481" s="15" t="n">
        <v>115</v>
      </c>
      <c r="CO5481" s="15" t="n">
        <v>115</v>
      </c>
      <c r="DK5481" s="15" t="n">
        <v>115</v>
      </c>
      <c r="EG5481" s="15" t="n">
        <v>115</v>
      </c>
      <c r="FC5481" s="15" t="n">
        <v>115</v>
      </c>
      <c r="FY5481" s="15" t="n">
        <v>115</v>
      </c>
      <c r="GU5481" s="15" t="n">
        <v>115</v>
      </c>
    </row>
    <row r="5482">
      <c r="C5482" s="15" t="n">
        <v>116</v>
      </c>
      <c r="AA5482" s="15" t="n">
        <v>116</v>
      </c>
      <c r="AW5482" s="15" t="n">
        <v>116</v>
      </c>
      <c r="BS5482" s="15" t="n">
        <v>116</v>
      </c>
      <c r="CO5482" s="15" t="n">
        <v>116</v>
      </c>
      <c r="DK5482" s="15" t="n">
        <v>116</v>
      </c>
      <c r="EG5482" s="15" t="n">
        <v>116</v>
      </c>
      <c r="FC5482" s="15" t="n">
        <v>116</v>
      </c>
      <c r="FY5482" s="15" t="n">
        <v>116</v>
      </c>
      <c r="GU5482" s="15" t="n">
        <v>116</v>
      </c>
    </row>
    <row r="5483">
      <c r="C5483" s="15" t="n">
        <v>117</v>
      </c>
      <c r="AA5483" s="15" t="n">
        <v>117</v>
      </c>
      <c r="AW5483" s="15" t="n">
        <v>117</v>
      </c>
      <c r="BS5483" s="15" t="n">
        <v>117</v>
      </c>
      <c r="CO5483" s="15" t="n">
        <v>117</v>
      </c>
      <c r="DK5483" s="15" t="n">
        <v>117</v>
      </c>
      <c r="EG5483" s="15" t="n">
        <v>117</v>
      </c>
      <c r="FC5483" s="15" t="n">
        <v>117</v>
      </c>
      <c r="FY5483" s="15" t="n">
        <v>117</v>
      </c>
      <c r="GU5483" s="15" t="n">
        <v>117</v>
      </c>
    </row>
    <row r="5484">
      <c r="C5484" s="15" t="n">
        <v>118</v>
      </c>
      <c r="AA5484" s="15" t="n">
        <v>118</v>
      </c>
      <c r="AW5484" s="15" t="n">
        <v>118</v>
      </c>
      <c r="BS5484" s="15" t="n">
        <v>118</v>
      </c>
      <c r="CO5484" s="15" t="n">
        <v>118</v>
      </c>
      <c r="DK5484" s="15" t="n">
        <v>118</v>
      </c>
      <c r="EG5484" s="15" t="n">
        <v>118</v>
      </c>
      <c r="FC5484" s="15" t="n">
        <v>118</v>
      </c>
      <c r="FY5484" s="15" t="n">
        <v>118</v>
      </c>
      <c r="GU5484" s="15" t="n">
        <v>118</v>
      </c>
    </row>
    <row r="5485">
      <c r="C5485" s="15" t="n">
        <v>119</v>
      </c>
      <c r="AA5485" s="15" t="n">
        <v>119</v>
      </c>
      <c r="AW5485" s="15" t="n">
        <v>119</v>
      </c>
      <c r="BS5485" s="15" t="n">
        <v>119</v>
      </c>
      <c r="CO5485" s="15" t="n">
        <v>119</v>
      </c>
      <c r="DK5485" s="15" t="n">
        <v>119</v>
      </c>
      <c r="EG5485" s="15" t="n">
        <v>119</v>
      </c>
      <c r="FC5485" s="15" t="n">
        <v>119</v>
      </c>
      <c r="FY5485" s="15" t="n">
        <v>119</v>
      </c>
      <c r="GU5485" s="15" t="n">
        <v>119</v>
      </c>
    </row>
    <row r="5486">
      <c r="C5486" s="15" t="n">
        <v>120</v>
      </c>
      <c r="AA5486" s="15" t="n">
        <v>120</v>
      </c>
      <c r="AW5486" s="15" t="n">
        <v>120</v>
      </c>
      <c r="BS5486" s="15" t="n">
        <v>120</v>
      </c>
      <c r="CO5486" s="15" t="n">
        <v>120</v>
      </c>
      <c r="DK5486" s="15" t="n">
        <v>120</v>
      </c>
      <c r="EG5486" s="15" t="n">
        <v>120</v>
      </c>
      <c r="FC5486" s="15" t="n">
        <v>120</v>
      </c>
      <c r="FY5486" s="15" t="n">
        <v>120</v>
      </c>
      <c r="GU5486" s="15" t="n">
        <v>120</v>
      </c>
    </row>
    <row r="5487">
      <c r="C5487" s="15" t="n">
        <v>121</v>
      </c>
      <c r="AA5487" s="15" t="n">
        <v>121</v>
      </c>
      <c r="AW5487" s="15" t="n">
        <v>121</v>
      </c>
      <c r="BS5487" s="15" t="n">
        <v>121</v>
      </c>
      <c r="CO5487" s="15" t="n">
        <v>121</v>
      </c>
      <c r="DK5487" s="15" t="n">
        <v>121</v>
      </c>
      <c r="EG5487" s="15" t="n">
        <v>121</v>
      </c>
      <c r="FC5487" s="15" t="n">
        <v>121</v>
      </c>
      <c r="FY5487" s="15" t="n">
        <v>121</v>
      </c>
      <c r="GU5487" s="15" t="n">
        <v>121</v>
      </c>
    </row>
    <row r="5488">
      <c r="C5488" s="15" t="n">
        <v>122</v>
      </c>
      <c r="AA5488" s="15" t="n">
        <v>122</v>
      </c>
      <c r="AW5488" s="15" t="n">
        <v>122</v>
      </c>
      <c r="BS5488" s="15" t="n">
        <v>122</v>
      </c>
      <c r="CO5488" s="15" t="n">
        <v>122</v>
      </c>
      <c r="DK5488" s="15" t="n">
        <v>122</v>
      </c>
      <c r="EG5488" s="15" t="n">
        <v>122</v>
      </c>
      <c r="FC5488" s="15" t="n">
        <v>122</v>
      </c>
      <c r="FY5488" s="15" t="n">
        <v>122</v>
      </c>
      <c r="GU5488" s="15" t="n">
        <v>122</v>
      </c>
    </row>
    <row r="5489">
      <c r="C5489" s="15" t="n">
        <v>123</v>
      </c>
      <c r="AA5489" s="15" t="n">
        <v>123</v>
      </c>
      <c r="AW5489" s="15" t="n">
        <v>123</v>
      </c>
      <c r="BS5489" s="15" t="n">
        <v>123</v>
      </c>
      <c r="CO5489" s="15" t="n">
        <v>123</v>
      </c>
      <c r="DK5489" s="15" t="n">
        <v>123</v>
      </c>
      <c r="EG5489" s="15" t="n">
        <v>123</v>
      </c>
      <c r="FC5489" s="15" t="n">
        <v>123</v>
      </c>
      <c r="FY5489" s="15" t="n">
        <v>123</v>
      </c>
      <c r="GU5489" s="15" t="n">
        <v>123</v>
      </c>
    </row>
    <row r="5490">
      <c r="C5490" s="15" t="n">
        <v>124</v>
      </c>
      <c r="AA5490" s="15" t="n">
        <v>124</v>
      </c>
      <c r="AW5490" s="15" t="n">
        <v>124</v>
      </c>
      <c r="BS5490" s="15" t="n">
        <v>124</v>
      </c>
      <c r="CO5490" s="15" t="n">
        <v>124</v>
      </c>
      <c r="DK5490" s="15" t="n">
        <v>124</v>
      </c>
      <c r="EG5490" s="15" t="n">
        <v>124</v>
      </c>
      <c r="FC5490" s="15" t="n">
        <v>124</v>
      </c>
      <c r="FY5490" s="15" t="n">
        <v>124</v>
      </c>
      <c r="GU5490" s="15" t="n">
        <v>124</v>
      </c>
    </row>
    <row r="5491">
      <c r="C5491" s="15" t="n">
        <v>125</v>
      </c>
      <c r="AA5491" s="15" t="n">
        <v>125</v>
      </c>
      <c r="AW5491" s="15" t="n">
        <v>125</v>
      </c>
      <c r="BS5491" s="15" t="n">
        <v>125</v>
      </c>
      <c r="CO5491" s="15" t="n">
        <v>125</v>
      </c>
      <c r="DK5491" s="15" t="n">
        <v>125</v>
      </c>
      <c r="EG5491" s="15" t="n">
        <v>125</v>
      </c>
      <c r="FC5491" s="15" t="n">
        <v>125</v>
      </c>
      <c r="FY5491" s="15" t="n">
        <v>125</v>
      </c>
      <c r="GU5491" s="15" t="n">
        <v>125</v>
      </c>
    </row>
    <row r="5492">
      <c r="C5492" s="15" t="n">
        <v>126</v>
      </c>
      <c r="AA5492" s="15" t="n">
        <v>126</v>
      </c>
      <c r="AW5492" s="15" t="n">
        <v>126</v>
      </c>
      <c r="BS5492" s="15" t="n">
        <v>126</v>
      </c>
      <c r="CO5492" s="15" t="n">
        <v>126</v>
      </c>
      <c r="DK5492" s="15" t="n">
        <v>126</v>
      </c>
      <c r="EG5492" s="15" t="n">
        <v>126</v>
      </c>
      <c r="FC5492" s="15" t="n">
        <v>126</v>
      </c>
      <c r="FY5492" s="15" t="n">
        <v>126</v>
      </c>
      <c r="GU5492" s="15" t="n">
        <v>126</v>
      </c>
    </row>
    <row r="5493">
      <c r="C5493" s="15" t="n">
        <v>127</v>
      </c>
      <c r="AA5493" s="15" t="n">
        <v>127</v>
      </c>
      <c r="AW5493" s="15" t="n">
        <v>127</v>
      </c>
      <c r="BS5493" s="15" t="n">
        <v>127</v>
      </c>
      <c r="CO5493" s="15" t="n">
        <v>127</v>
      </c>
      <c r="DK5493" s="15" t="n">
        <v>127</v>
      </c>
      <c r="EG5493" s="15" t="n">
        <v>127</v>
      </c>
      <c r="FC5493" s="15" t="n">
        <v>127</v>
      </c>
      <c r="FY5493" s="15" t="n">
        <v>127</v>
      </c>
      <c r="GU5493" s="15" t="n">
        <v>127</v>
      </c>
    </row>
    <row r="5494">
      <c r="C5494" s="15" t="n">
        <v>128</v>
      </c>
      <c r="AA5494" s="15" t="n">
        <v>128</v>
      </c>
      <c r="AW5494" s="15" t="n">
        <v>128</v>
      </c>
      <c r="BS5494" s="15" t="n">
        <v>128</v>
      </c>
      <c r="CO5494" s="15" t="n">
        <v>128</v>
      </c>
      <c r="DK5494" s="15" t="n">
        <v>128</v>
      </c>
      <c r="EG5494" s="15" t="n">
        <v>128</v>
      </c>
      <c r="FC5494" s="15" t="n">
        <v>128</v>
      </c>
      <c r="FY5494" s="15" t="n">
        <v>128</v>
      </c>
      <c r="GU5494" s="15" t="n">
        <v>128</v>
      </c>
    </row>
    <row r="5495">
      <c r="C5495" s="15" t="n">
        <v>129</v>
      </c>
      <c r="AA5495" s="15" t="n">
        <v>129</v>
      </c>
      <c r="AW5495" s="15" t="n">
        <v>129</v>
      </c>
      <c r="BS5495" s="15" t="n">
        <v>129</v>
      </c>
      <c r="CO5495" s="15" t="n">
        <v>129</v>
      </c>
      <c r="DK5495" s="15" t="n">
        <v>129</v>
      </c>
      <c r="EG5495" s="15" t="n">
        <v>129</v>
      </c>
      <c r="FC5495" s="15" t="n">
        <v>129</v>
      </c>
      <c r="FY5495" s="15" t="n">
        <v>129</v>
      </c>
      <c r="GU5495" s="15" t="n">
        <v>129</v>
      </c>
    </row>
    <row r="5496">
      <c r="C5496" s="15" t="n">
        <v>130</v>
      </c>
      <c r="AA5496" s="15" t="n">
        <v>130</v>
      </c>
      <c r="AW5496" s="15" t="n">
        <v>130</v>
      </c>
      <c r="BS5496" s="15" t="n">
        <v>130</v>
      </c>
      <c r="CO5496" s="15" t="n">
        <v>130</v>
      </c>
      <c r="DK5496" s="15" t="n">
        <v>130</v>
      </c>
      <c r="EG5496" s="15" t="n">
        <v>130</v>
      </c>
      <c r="FC5496" s="15" t="n">
        <v>130</v>
      </c>
      <c r="FY5496" s="15" t="n">
        <v>130</v>
      </c>
      <c r="GU5496" s="15" t="n">
        <v>130</v>
      </c>
    </row>
    <row r="5497">
      <c r="C5497" s="15" t="n">
        <v>131</v>
      </c>
      <c r="AA5497" s="15" t="n">
        <v>131</v>
      </c>
      <c r="AW5497" s="15" t="n">
        <v>131</v>
      </c>
      <c r="BS5497" s="15" t="n">
        <v>131</v>
      </c>
      <c r="CO5497" s="15" t="n">
        <v>131</v>
      </c>
      <c r="DK5497" s="15" t="n">
        <v>131</v>
      </c>
      <c r="EG5497" s="15" t="n">
        <v>131</v>
      </c>
      <c r="FC5497" s="15" t="n">
        <v>131</v>
      </c>
      <c r="FY5497" s="15" t="n">
        <v>131</v>
      </c>
      <c r="GU5497" s="15" t="n">
        <v>131</v>
      </c>
    </row>
    <row r="5498">
      <c r="C5498" s="15" t="n">
        <v>132</v>
      </c>
      <c r="AA5498" s="15" t="n">
        <v>132</v>
      </c>
      <c r="AW5498" s="15" t="n">
        <v>132</v>
      </c>
      <c r="BS5498" s="15" t="n">
        <v>132</v>
      </c>
      <c r="CO5498" s="15" t="n">
        <v>132</v>
      </c>
      <c r="DK5498" s="15" t="n">
        <v>132</v>
      </c>
      <c r="EG5498" s="15" t="n">
        <v>132</v>
      </c>
      <c r="FC5498" s="15" t="n">
        <v>132</v>
      </c>
      <c r="FY5498" s="15" t="n">
        <v>132</v>
      </c>
      <c r="GU5498" s="15" t="n">
        <v>132</v>
      </c>
    </row>
    <row r="5499">
      <c r="C5499" s="15" t="n">
        <v>133</v>
      </c>
      <c r="AA5499" s="15" t="n">
        <v>133</v>
      </c>
      <c r="AW5499" s="15" t="n">
        <v>133</v>
      </c>
      <c r="BS5499" s="15" t="n">
        <v>133</v>
      </c>
      <c r="CO5499" s="15" t="n">
        <v>133</v>
      </c>
      <c r="DK5499" s="15" t="n">
        <v>133</v>
      </c>
      <c r="EG5499" s="15" t="n">
        <v>133</v>
      </c>
      <c r="FC5499" s="15" t="n">
        <v>133</v>
      </c>
      <c r="FY5499" s="15" t="n">
        <v>133</v>
      </c>
      <c r="GU5499" s="15" t="n">
        <v>133</v>
      </c>
    </row>
    <row r="5500">
      <c r="C5500" s="15" t="n">
        <v>134</v>
      </c>
      <c r="AA5500" s="15" t="n">
        <v>134</v>
      </c>
      <c r="AW5500" s="15" t="n">
        <v>134</v>
      </c>
      <c r="BS5500" s="15" t="n">
        <v>134</v>
      </c>
      <c r="CO5500" s="15" t="n">
        <v>134</v>
      </c>
      <c r="DK5500" s="15" t="n">
        <v>134</v>
      </c>
      <c r="EG5500" s="15" t="n">
        <v>134</v>
      </c>
      <c r="FC5500" s="15" t="n">
        <v>134</v>
      </c>
      <c r="FY5500" s="15" t="n">
        <v>134</v>
      </c>
      <c r="GU5500" s="15" t="n">
        <v>134</v>
      </c>
    </row>
    <row r="5501">
      <c r="C5501" s="15" t="n">
        <v>135</v>
      </c>
      <c r="AA5501" s="15" t="n">
        <v>135</v>
      </c>
      <c r="AW5501" s="15" t="n">
        <v>135</v>
      </c>
      <c r="BS5501" s="15" t="n">
        <v>135</v>
      </c>
      <c r="CO5501" s="15" t="n">
        <v>135</v>
      </c>
      <c r="DK5501" s="15" t="n">
        <v>135</v>
      </c>
      <c r="EG5501" s="15" t="n">
        <v>135</v>
      </c>
      <c r="FC5501" s="15" t="n">
        <v>135</v>
      </c>
      <c r="FY5501" s="15" t="n">
        <v>135</v>
      </c>
      <c r="GU5501" s="15" t="n">
        <v>135</v>
      </c>
    </row>
    <row r="5502">
      <c r="C5502" s="15" t="n">
        <v>136</v>
      </c>
      <c r="AA5502" s="15" t="n">
        <v>136</v>
      </c>
      <c r="AW5502" s="15" t="n">
        <v>136</v>
      </c>
      <c r="BS5502" s="15" t="n">
        <v>136</v>
      </c>
      <c r="CO5502" s="15" t="n">
        <v>136</v>
      </c>
      <c r="DK5502" s="15" t="n">
        <v>136</v>
      </c>
      <c r="EG5502" s="15" t="n">
        <v>136</v>
      </c>
      <c r="FC5502" s="15" t="n">
        <v>136</v>
      </c>
      <c r="FY5502" s="15" t="n">
        <v>136</v>
      </c>
      <c r="GU5502" s="15" t="n">
        <v>136</v>
      </c>
    </row>
    <row r="5503">
      <c r="C5503" s="15" t="n">
        <v>137</v>
      </c>
      <c r="AA5503" s="15" t="n">
        <v>137</v>
      </c>
      <c r="AW5503" s="15" t="n">
        <v>137</v>
      </c>
      <c r="BS5503" s="15" t="n">
        <v>137</v>
      </c>
      <c r="CO5503" s="15" t="n">
        <v>137</v>
      </c>
      <c r="DK5503" s="15" t="n">
        <v>137</v>
      </c>
      <c r="EG5503" s="15" t="n">
        <v>137</v>
      </c>
      <c r="FC5503" s="15" t="n">
        <v>137</v>
      </c>
      <c r="FY5503" s="15" t="n">
        <v>137</v>
      </c>
      <c r="GU5503" s="15" t="n">
        <v>137</v>
      </c>
    </row>
    <row r="5504">
      <c r="C5504" s="15" t="n">
        <v>138</v>
      </c>
      <c r="AA5504" s="15" t="n">
        <v>138</v>
      </c>
      <c r="AW5504" s="15" t="n">
        <v>138</v>
      </c>
      <c r="BS5504" s="15" t="n">
        <v>138</v>
      </c>
      <c r="CO5504" s="15" t="n">
        <v>138</v>
      </c>
      <c r="DK5504" s="15" t="n">
        <v>138</v>
      </c>
      <c r="EG5504" s="15" t="n">
        <v>138</v>
      </c>
      <c r="FC5504" s="15" t="n">
        <v>138</v>
      </c>
      <c r="FY5504" s="15" t="n">
        <v>138</v>
      </c>
      <c r="GU5504" s="15" t="n">
        <v>138</v>
      </c>
    </row>
    <row r="5505">
      <c r="C5505" s="15" t="n">
        <v>139</v>
      </c>
      <c r="AA5505" s="15" t="n">
        <v>139</v>
      </c>
      <c r="AW5505" s="15" t="n">
        <v>139</v>
      </c>
      <c r="BS5505" s="15" t="n">
        <v>139</v>
      </c>
      <c r="CO5505" s="15" t="n">
        <v>139</v>
      </c>
      <c r="DK5505" s="15" t="n">
        <v>139</v>
      </c>
      <c r="EG5505" s="15" t="n">
        <v>139</v>
      </c>
      <c r="FC5505" s="15" t="n">
        <v>139</v>
      </c>
      <c r="FY5505" s="15" t="n">
        <v>139</v>
      </c>
      <c r="GU5505" s="15" t="n">
        <v>139</v>
      </c>
    </row>
    <row r="5506">
      <c r="C5506" s="15" t="n">
        <v>140</v>
      </c>
      <c r="AA5506" s="15" t="n">
        <v>140</v>
      </c>
      <c r="AW5506" s="15" t="n">
        <v>140</v>
      </c>
      <c r="BS5506" s="15" t="n">
        <v>140</v>
      </c>
      <c r="CO5506" s="15" t="n">
        <v>140</v>
      </c>
      <c r="DK5506" s="15" t="n">
        <v>140</v>
      </c>
      <c r="EG5506" s="15" t="n">
        <v>140</v>
      </c>
      <c r="FC5506" s="15" t="n">
        <v>140</v>
      </c>
      <c r="FY5506" s="15" t="n">
        <v>140</v>
      </c>
      <c r="GU5506" s="15" t="n">
        <v>140</v>
      </c>
    </row>
    <row r="5507">
      <c r="C5507" s="15" t="n">
        <v>141</v>
      </c>
      <c r="AA5507" s="15" t="n">
        <v>141</v>
      </c>
      <c r="AW5507" s="15" t="n">
        <v>141</v>
      </c>
      <c r="BS5507" s="15" t="n">
        <v>141</v>
      </c>
      <c r="CO5507" s="15" t="n">
        <v>141</v>
      </c>
      <c r="DK5507" s="15" t="n">
        <v>141</v>
      </c>
      <c r="EG5507" s="15" t="n">
        <v>141</v>
      </c>
      <c r="FC5507" s="15" t="n">
        <v>141</v>
      </c>
      <c r="FY5507" s="15" t="n">
        <v>141</v>
      </c>
      <c r="GU5507" s="15" t="n">
        <v>141</v>
      </c>
    </row>
    <row r="5508">
      <c r="C5508" s="15" t="n">
        <v>142</v>
      </c>
      <c r="AA5508" s="15" t="n">
        <v>142</v>
      </c>
      <c r="AW5508" s="15" t="n">
        <v>142</v>
      </c>
      <c r="BS5508" s="15" t="n">
        <v>142</v>
      </c>
      <c r="CO5508" s="15" t="n">
        <v>142</v>
      </c>
      <c r="DK5508" s="15" t="n">
        <v>142</v>
      </c>
      <c r="EG5508" s="15" t="n">
        <v>142</v>
      </c>
      <c r="FC5508" s="15" t="n">
        <v>142</v>
      </c>
      <c r="FY5508" s="15" t="n">
        <v>142</v>
      </c>
      <c r="GU5508" s="15" t="n">
        <v>142</v>
      </c>
    </row>
    <row r="5509">
      <c r="C5509" s="15" t="n">
        <v>143</v>
      </c>
      <c r="AA5509" s="15" t="n">
        <v>143</v>
      </c>
      <c r="AW5509" s="15" t="n">
        <v>143</v>
      </c>
      <c r="BS5509" s="15" t="n">
        <v>143</v>
      </c>
      <c r="CO5509" s="15" t="n">
        <v>143</v>
      </c>
      <c r="DK5509" s="15" t="n">
        <v>143</v>
      </c>
      <c r="EG5509" s="15" t="n">
        <v>143</v>
      </c>
      <c r="FC5509" s="15" t="n">
        <v>143</v>
      </c>
      <c r="FY5509" s="15" t="n">
        <v>143</v>
      </c>
      <c r="GU5509" s="15" t="n">
        <v>143</v>
      </c>
    </row>
    <row r="5510">
      <c r="C5510" s="15" t="n">
        <v>144</v>
      </c>
      <c r="AA5510" s="15" t="n">
        <v>144</v>
      </c>
      <c r="AW5510" s="15" t="n">
        <v>144</v>
      </c>
      <c r="BS5510" s="15" t="n">
        <v>144</v>
      </c>
      <c r="CO5510" s="15" t="n">
        <v>144</v>
      </c>
      <c r="DK5510" s="15" t="n">
        <v>144</v>
      </c>
      <c r="EG5510" s="15" t="n">
        <v>144</v>
      </c>
      <c r="FC5510" s="15" t="n">
        <v>144</v>
      </c>
      <c r="FY5510" s="15" t="n">
        <v>144</v>
      </c>
      <c r="GU5510" s="15" t="n">
        <v>144</v>
      </c>
    </row>
    <row r="5511">
      <c r="C5511" s="15" t="n">
        <v>145</v>
      </c>
      <c r="AA5511" s="15" t="n">
        <v>145</v>
      </c>
      <c r="AW5511" s="15" t="n">
        <v>145</v>
      </c>
      <c r="BS5511" s="15" t="n">
        <v>145</v>
      </c>
      <c r="CO5511" s="15" t="n">
        <v>145</v>
      </c>
      <c r="DK5511" s="15" t="n">
        <v>145</v>
      </c>
      <c r="EG5511" s="15" t="n">
        <v>145</v>
      </c>
      <c r="FC5511" s="15" t="n">
        <v>145</v>
      </c>
      <c r="FY5511" s="15" t="n">
        <v>145</v>
      </c>
      <c r="GU5511" s="15" t="n">
        <v>145</v>
      </c>
    </row>
    <row r="5512">
      <c r="C5512" s="15" t="n">
        <v>146</v>
      </c>
      <c r="AA5512" s="15" t="n">
        <v>146</v>
      </c>
      <c r="AW5512" s="15" t="n">
        <v>146</v>
      </c>
      <c r="BS5512" s="15" t="n">
        <v>146</v>
      </c>
      <c r="CO5512" s="15" t="n">
        <v>146</v>
      </c>
      <c r="DK5512" s="15" t="n">
        <v>146</v>
      </c>
      <c r="EG5512" s="15" t="n">
        <v>146</v>
      </c>
      <c r="FC5512" s="15" t="n">
        <v>146</v>
      </c>
      <c r="FY5512" s="15" t="n">
        <v>146</v>
      </c>
      <c r="GU5512" s="15" t="n">
        <v>146</v>
      </c>
    </row>
    <row r="5513">
      <c r="C5513" s="15" t="n">
        <v>147</v>
      </c>
      <c r="AA5513" s="15" t="n">
        <v>147</v>
      </c>
      <c r="AW5513" s="15" t="n">
        <v>147</v>
      </c>
      <c r="BS5513" s="15" t="n">
        <v>147</v>
      </c>
      <c r="CO5513" s="15" t="n">
        <v>147</v>
      </c>
      <c r="DK5513" s="15" t="n">
        <v>147</v>
      </c>
      <c r="EG5513" s="15" t="n">
        <v>147</v>
      </c>
      <c r="FC5513" s="15" t="n">
        <v>147</v>
      </c>
      <c r="FY5513" s="15" t="n">
        <v>147</v>
      </c>
      <c r="GU5513" s="15" t="n">
        <v>147</v>
      </c>
    </row>
    <row r="5514">
      <c r="C5514" s="15" t="n">
        <v>148</v>
      </c>
      <c r="AA5514" s="15" t="n">
        <v>148</v>
      </c>
      <c r="AW5514" s="15" t="n">
        <v>148</v>
      </c>
      <c r="BS5514" s="15" t="n">
        <v>148</v>
      </c>
      <c r="CO5514" s="15" t="n">
        <v>148</v>
      </c>
      <c r="DK5514" s="15" t="n">
        <v>148</v>
      </c>
      <c r="EG5514" s="15" t="n">
        <v>148</v>
      </c>
      <c r="FC5514" s="15" t="n">
        <v>148</v>
      </c>
      <c r="FY5514" s="15" t="n">
        <v>148</v>
      </c>
      <c r="GU5514" s="15" t="n">
        <v>148</v>
      </c>
    </row>
    <row r="5515">
      <c r="C5515" s="15" t="n">
        <v>149</v>
      </c>
      <c r="AA5515" s="15" t="n">
        <v>149</v>
      </c>
      <c r="AW5515" s="15" t="n">
        <v>149</v>
      </c>
      <c r="BS5515" s="15" t="n">
        <v>149</v>
      </c>
      <c r="CO5515" s="15" t="n">
        <v>149</v>
      </c>
      <c r="DK5515" s="15" t="n">
        <v>149</v>
      </c>
      <c r="EG5515" s="15" t="n">
        <v>149</v>
      </c>
      <c r="FC5515" s="15" t="n">
        <v>149</v>
      </c>
      <c r="FY5515" s="15" t="n">
        <v>149</v>
      </c>
      <c r="GU5515" s="15" t="n">
        <v>149</v>
      </c>
    </row>
    <row r="5516">
      <c r="C5516" s="15" t="n">
        <v>150</v>
      </c>
      <c r="AA5516" s="15" t="n">
        <v>150</v>
      </c>
      <c r="AW5516" s="15" t="n">
        <v>150</v>
      </c>
      <c r="BS5516" s="15" t="n">
        <v>150</v>
      </c>
      <c r="CO5516" s="15" t="n">
        <v>150</v>
      </c>
      <c r="DK5516" s="15" t="n">
        <v>150</v>
      </c>
      <c r="EG5516" s="15" t="n">
        <v>150</v>
      </c>
      <c r="FC5516" s="15" t="n">
        <v>150</v>
      </c>
      <c r="FY5516" s="15" t="n">
        <v>150</v>
      </c>
      <c r="GU5516" s="15" t="n">
        <v>150</v>
      </c>
    </row>
    <row r="5517">
      <c r="C5517" s="15" t="n">
        <v>151</v>
      </c>
      <c r="AA5517" s="15" t="n">
        <v>151</v>
      </c>
      <c r="AW5517" s="15" t="n">
        <v>151</v>
      </c>
      <c r="BS5517" s="15" t="n">
        <v>151</v>
      </c>
      <c r="CO5517" s="15" t="n">
        <v>151</v>
      </c>
      <c r="DK5517" s="15" t="n">
        <v>151</v>
      </c>
      <c r="EG5517" s="15" t="n">
        <v>151</v>
      </c>
      <c r="FC5517" s="15" t="n">
        <v>151</v>
      </c>
      <c r="FY5517" s="15" t="n">
        <v>151</v>
      </c>
      <c r="GU5517" s="15" t="n">
        <v>151</v>
      </c>
    </row>
    <row r="5518">
      <c r="C5518" s="15" t="n">
        <v>152</v>
      </c>
      <c r="AA5518" s="15" t="n">
        <v>152</v>
      </c>
      <c r="AW5518" s="15" t="n">
        <v>152</v>
      </c>
      <c r="BS5518" s="15" t="n">
        <v>152</v>
      </c>
      <c r="CO5518" s="15" t="n">
        <v>152</v>
      </c>
      <c r="DK5518" s="15" t="n">
        <v>152</v>
      </c>
      <c r="EG5518" s="15" t="n">
        <v>152</v>
      </c>
      <c r="FC5518" s="15" t="n">
        <v>152</v>
      </c>
      <c r="FY5518" s="15" t="n">
        <v>152</v>
      </c>
      <c r="GU5518" s="15" t="n">
        <v>152</v>
      </c>
    </row>
    <row r="5519">
      <c r="C5519" s="15" t="n">
        <v>153</v>
      </c>
      <c r="AA5519" s="15" t="n">
        <v>153</v>
      </c>
      <c r="AW5519" s="15" t="n">
        <v>153</v>
      </c>
      <c r="BS5519" s="15" t="n">
        <v>153</v>
      </c>
      <c r="CO5519" s="15" t="n">
        <v>153</v>
      </c>
      <c r="DK5519" s="15" t="n">
        <v>153</v>
      </c>
      <c r="EG5519" s="15" t="n">
        <v>153</v>
      </c>
      <c r="FC5519" s="15" t="n">
        <v>153</v>
      </c>
      <c r="FY5519" s="15" t="n">
        <v>153</v>
      </c>
      <c r="GU5519" s="15" t="n">
        <v>153</v>
      </c>
    </row>
    <row r="5520">
      <c r="C5520" s="15" t="n">
        <v>154</v>
      </c>
      <c r="AA5520" s="15" t="n">
        <v>154</v>
      </c>
      <c r="AW5520" s="15" t="n">
        <v>154</v>
      </c>
      <c r="BS5520" s="15" t="n">
        <v>154</v>
      </c>
      <c r="CO5520" s="15" t="n">
        <v>154</v>
      </c>
      <c r="DK5520" s="15" t="n">
        <v>154</v>
      </c>
      <c r="EG5520" s="15" t="n">
        <v>154</v>
      </c>
      <c r="FC5520" s="15" t="n">
        <v>154</v>
      </c>
      <c r="FY5520" s="15" t="n">
        <v>154</v>
      </c>
      <c r="GU5520" s="15" t="n">
        <v>154</v>
      </c>
    </row>
    <row r="5521">
      <c r="C5521" s="15" t="n">
        <v>155</v>
      </c>
      <c r="AA5521" s="15" t="n">
        <v>155</v>
      </c>
      <c r="AW5521" s="15" t="n">
        <v>155</v>
      </c>
      <c r="BS5521" s="15" t="n">
        <v>155</v>
      </c>
      <c r="CO5521" s="15" t="n">
        <v>155</v>
      </c>
      <c r="DK5521" s="15" t="n">
        <v>155</v>
      </c>
      <c r="EG5521" s="15" t="n">
        <v>155</v>
      </c>
      <c r="FC5521" s="15" t="n">
        <v>155</v>
      </c>
      <c r="FY5521" s="15" t="n">
        <v>155</v>
      </c>
      <c r="GU5521" s="15" t="n">
        <v>155</v>
      </c>
    </row>
    <row r="5522">
      <c r="C5522" s="15" t="n">
        <v>156</v>
      </c>
      <c r="AA5522" s="15" t="n">
        <v>156</v>
      </c>
      <c r="AW5522" s="15" t="n">
        <v>156</v>
      </c>
      <c r="BS5522" s="15" t="n">
        <v>156</v>
      </c>
      <c r="CO5522" s="15" t="n">
        <v>156</v>
      </c>
      <c r="DK5522" s="15" t="n">
        <v>156</v>
      </c>
      <c r="EG5522" s="15" t="n">
        <v>156</v>
      </c>
      <c r="FC5522" s="15" t="n">
        <v>156</v>
      </c>
      <c r="FY5522" s="15" t="n">
        <v>156</v>
      </c>
      <c r="GU5522" s="15" t="n">
        <v>156</v>
      </c>
    </row>
    <row r="5523">
      <c r="C5523" s="15" t="n">
        <v>157</v>
      </c>
      <c r="AA5523" s="15" t="n">
        <v>157</v>
      </c>
      <c r="AW5523" s="15" t="n">
        <v>157</v>
      </c>
      <c r="BS5523" s="15" t="n">
        <v>157</v>
      </c>
      <c r="CO5523" s="15" t="n">
        <v>157</v>
      </c>
      <c r="DK5523" s="15" t="n">
        <v>157</v>
      </c>
      <c r="EG5523" s="15" t="n">
        <v>157</v>
      </c>
      <c r="FC5523" s="15" t="n">
        <v>157</v>
      </c>
      <c r="FY5523" s="15" t="n">
        <v>157</v>
      </c>
      <c r="GU5523" s="15" t="n">
        <v>157</v>
      </c>
    </row>
    <row r="5524">
      <c r="C5524" s="15" t="n">
        <v>158</v>
      </c>
      <c r="AA5524" s="15" t="n">
        <v>158</v>
      </c>
      <c r="AW5524" s="15" t="n">
        <v>158</v>
      </c>
      <c r="BS5524" s="15" t="n">
        <v>158</v>
      </c>
      <c r="CO5524" s="15" t="n">
        <v>158</v>
      </c>
      <c r="DK5524" s="15" t="n">
        <v>158</v>
      </c>
      <c r="EG5524" s="15" t="n">
        <v>158</v>
      </c>
      <c r="FC5524" s="15" t="n">
        <v>158</v>
      </c>
      <c r="FY5524" s="15" t="n">
        <v>158</v>
      </c>
      <c r="GU5524" s="15" t="n">
        <v>158</v>
      </c>
    </row>
    <row r="5525">
      <c r="C5525" s="15" t="n">
        <v>159</v>
      </c>
      <c r="AA5525" s="15" t="n">
        <v>159</v>
      </c>
      <c r="AW5525" s="15" t="n">
        <v>159</v>
      </c>
      <c r="BS5525" s="15" t="n">
        <v>159</v>
      </c>
      <c r="CO5525" s="15" t="n">
        <v>159</v>
      </c>
      <c r="DK5525" s="15" t="n">
        <v>159</v>
      </c>
      <c r="EG5525" s="15" t="n">
        <v>159</v>
      </c>
      <c r="FC5525" s="15" t="n">
        <v>159</v>
      </c>
      <c r="FY5525" s="15" t="n">
        <v>159</v>
      </c>
      <c r="GU5525" s="15" t="n">
        <v>159</v>
      </c>
    </row>
    <row r="5526">
      <c r="C5526" s="15" t="n">
        <v>160</v>
      </c>
      <c r="AA5526" s="15" t="n">
        <v>160</v>
      </c>
      <c r="AW5526" s="15" t="n">
        <v>160</v>
      </c>
      <c r="BS5526" s="15" t="n">
        <v>160</v>
      </c>
      <c r="CO5526" s="15" t="n">
        <v>160</v>
      </c>
      <c r="DK5526" s="15" t="n">
        <v>160</v>
      </c>
      <c r="EG5526" s="15" t="n">
        <v>160</v>
      </c>
      <c r="FC5526" s="15" t="n">
        <v>160</v>
      </c>
      <c r="FY5526" s="15" t="n">
        <v>160</v>
      </c>
      <c r="GU5526" s="15" t="n">
        <v>160</v>
      </c>
    </row>
    <row r="5527">
      <c r="C5527" s="15" t="n">
        <v>161</v>
      </c>
      <c r="AA5527" s="15" t="n">
        <v>161</v>
      </c>
      <c r="AW5527" s="15" t="n">
        <v>161</v>
      </c>
      <c r="BS5527" s="15" t="n">
        <v>161</v>
      </c>
      <c r="CO5527" s="15" t="n">
        <v>161</v>
      </c>
      <c r="DK5527" s="15" t="n">
        <v>161</v>
      </c>
      <c r="EG5527" s="15" t="n">
        <v>161</v>
      </c>
      <c r="FC5527" s="15" t="n">
        <v>161</v>
      </c>
      <c r="FY5527" s="15" t="n">
        <v>161</v>
      </c>
      <c r="GU5527" s="15" t="n">
        <v>161</v>
      </c>
    </row>
    <row r="5528">
      <c r="C5528" s="15" t="n">
        <v>162</v>
      </c>
      <c r="AA5528" s="15" t="n">
        <v>162</v>
      </c>
      <c r="AW5528" s="15" t="n">
        <v>162</v>
      </c>
      <c r="BS5528" s="15" t="n">
        <v>162</v>
      </c>
      <c r="CO5528" s="15" t="n">
        <v>162</v>
      </c>
      <c r="DK5528" s="15" t="n">
        <v>162</v>
      </c>
      <c r="EG5528" s="15" t="n">
        <v>162</v>
      </c>
      <c r="FC5528" s="15" t="n">
        <v>162</v>
      </c>
      <c r="FY5528" s="15" t="n">
        <v>162</v>
      </c>
      <c r="GU5528" s="15" t="n">
        <v>162</v>
      </c>
    </row>
    <row r="5529">
      <c r="C5529" s="15" t="n">
        <v>163</v>
      </c>
      <c r="AA5529" s="15" t="n">
        <v>163</v>
      </c>
      <c r="AW5529" s="15" t="n">
        <v>163</v>
      </c>
      <c r="BS5529" s="15" t="n">
        <v>163</v>
      </c>
      <c r="CO5529" s="15" t="n">
        <v>163</v>
      </c>
      <c r="DK5529" s="15" t="n">
        <v>163</v>
      </c>
      <c r="EG5529" s="15" t="n">
        <v>163</v>
      </c>
      <c r="FC5529" s="15" t="n">
        <v>163</v>
      </c>
      <c r="FY5529" s="15" t="n">
        <v>163</v>
      </c>
      <c r="GU5529" s="15" t="n">
        <v>163</v>
      </c>
    </row>
    <row r="5530">
      <c r="C5530" s="15" t="n">
        <v>164</v>
      </c>
      <c r="AA5530" s="15" t="n">
        <v>164</v>
      </c>
      <c r="AW5530" s="15" t="n">
        <v>164</v>
      </c>
      <c r="BS5530" s="15" t="n">
        <v>164</v>
      </c>
      <c r="CO5530" s="15" t="n">
        <v>164</v>
      </c>
      <c r="DK5530" s="15" t="n">
        <v>164</v>
      </c>
      <c r="EG5530" s="15" t="n">
        <v>164</v>
      </c>
      <c r="FC5530" s="15" t="n">
        <v>164</v>
      </c>
      <c r="FY5530" s="15" t="n">
        <v>164</v>
      </c>
      <c r="GU5530" s="15" t="n">
        <v>164</v>
      </c>
    </row>
    <row r="5531">
      <c r="C5531" s="15" t="n">
        <v>165</v>
      </c>
      <c r="AA5531" s="15" t="n">
        <v>165</v>
      </c>
      <c r="AW5531" s="15" t="n">
        <v>165</v>
      </c>
      <c r="BS5531" s="15" t="n">
        <v>165</v>
      </c>
      <c r="CO5531" s="15" t="n">
        <v>165</v>
      </c>
      <c r="DK5531" s="15" t="n">
        <v>165</v>
      </c>
      <c r="EG5531" s="15" t="n">
        <v>165</v>
      </c>
      <c r="FC5531" s="15" t="n">
        <v>165</v>
      </c>
      <c r="FY5531" s="15" t="n">
        <v>165</v>
      </c>
      <c r="GU5531" s="15" t="n">
        <v>165</v>
      </c>
    </row>
    <row r="5532">
      <c r="C5532" s="15" t="n">
        <v>166</v>
      </c>
      <c r="AA5532" s="15" t="n">
        <v>166</v>
      </c>
      <c r="AW5532" s="15" t="n">
        <v>166</v>
      </c>
      <c r="BS5532" s="15" t="n">
        <v>166</v>
      </c>
      <c r="CO5532" s="15" t="n">
        <v>166</v>
      </c>
      <c r="DK5532" s="15" t="n">
        <v>166</v>
      </c>
      <c r="EG5532" s="15" t="n">
        <v>166</v>
      </c>
      <c r="FC5532" s="15" t="n">
        <v>166</v>
      </c>
      <c r="FY5532" s="15" t="n">
        <v>166</v>
      </c>
      <c r="GU5532" s="15" t="n">
        <v>166</v>
      </c>
    </row>
    <row r="5533">
      <c r="C5533" s="15" t="n">
        <v>167</v>
      </c>
      <c r="AA5533" s="15" t="n">
        <v>167</v>
      </c>
      <c r="AW5533" s="15" t="n">
        <v>167</v>
      </c>
      <c r="BS5533" s="15" t="n">
        <v>167</v>
      </c>
      <c r="CO5533" s="15" t="n">
        <v>167</v>
      </c>
      <c r="DK5533" s="15" t="n">
        <v>167</v>
      </c>
      <c r="EG5533" s="15" t="n">
        <v>167</v>
      </c>
      <c r="FC5533" s="15" t="n">
        <v>167</v>
      </c>
      <c r="FY5533" s="15" t="n">
        <v>167</v>
      </c>
      <c r="GU5533" s="15" t="n">
        <v>167</v>
      </c>
    </row>
    <row r="5534">
      <c r="C5534" s="15" t="n">
        <v>168</v>
      </c>
      <c r="AA5534" s="15" t="n">
        <v>168</v>
      </c>
      <c r="AW5534" s="15" t="n">
        <v>168</v>
      </c>
      <c r="BS5534" s="15" t="n">
        <v>168</v>
      </c>
      <c r="CO5534" s="15" t="n">
        <v>168</v>
      </c>
      <c r="DK5534" s="15" t="n">
        <v>168</v>
      </c>
      <c r="EG5534" s="15" t="n">
        <v>168</v>
      </c>
      <c r="FC5534" s="15" t="n">
        <v>168</v>
      </c>
      <c r="FY5534" s="15" t="n">
        <v>168</v>
      </c>
      <c r="GU5534" s="15" t="n">
        <v>168</v>
      </c>
    </row>
    <row r="5535">
      <c r="C5535" s="15" t="n">
        <v>169</v>
      </c>
      <c r="AA5535" s="15" t="n">
        <v>169</v>
      </c>
      <c r="AW5535" s="15" t="n">
        <v>169</v>
      </c>
      <c r="BS5535" s="15" t="n">
        <v>169</v>
      </c>
      <c r="CO5535" s="15" t="n">
        <v>169</v>
      </c>
      <c r="DK5535" s="15" t="n">
        <v>169</v>
      </c>
      <c r="EG5535" s="15" t="n">
        <v>169</v>
      </c>
      <c r="FC5535" s="15" t="n">
        <v>169</v>
      </c>
      <c r="FY5535" s="15" t="n">
        <v>169</v>
      </c>
      <c r="GU5535" s="15" t="n">
        <v>169</v>
      </c>
    </row>
    <row r="5536">
      <c r="C5536" s="15" t="n">
        <v>170</v>
      </c>
      <c r="AA5536" s="15" t="n">
        <v>170</v>
      </c>
      <c r="AW5536" s="15" t="n">
        <v>170</v>
      </c>
      <c r="BS5536" s="15" t="n">
        <v>170</v>
      </c>
      <c r="CO5536" s="15" t="n">
        <v>170</v>
      </c>
      <c r="DK5536" s="15" t="n">
        <v>170</v>
      </c>
      <c r="EG5536" s="15" t="n">
        <v>170</v>
      </c>
      <c r="FC5536" s="15" t="n">
        <v>170</v>
      </c>
      <c r="FY5536" s="15" t="n">
        <v>170</v>
      </c>
      <c r="GU5536" s="15" t="n">
        <v>170</v>
      </c>
    </row>
    <row r="5537">
      <c r="C5537" s="15" t="n">
        <v>171</v>
      </c>
      <c r="AA5537" s="15" t="n">
        <v>171</v>
      </c>
      <c r="AW5537" s="15" t="n">
        <v>171</v>
      </c>
      <c r="BS5537" s="15" t="n">
        <v>171</v>
      </c>
      <c r="CO5537" s="15" t="n">
        <v>171</v>
      </c>
      <c r="DK5537" s="15" t="n">
        <v>171</v>
      </c>
      <c r="EG5537" s="15" t="n">
        <v>171</v>
      </c>
      <c r="FC5537" s="15" t="n">
        <v>171</v>
      </c>
      <c r="FY5537" s="15" t="n">
        <v>171</v>
      </c>
      <c r="GU5537" s="15" t="n">
        <v>171</v>
      </c>
    </row>
    <row r="5538">
      <c r="C5538" s="15" t="n">
        <v>172</v>
      </c>
      <c r="AA5538" s="15" t="n">
        <v>172</v>
      </c>
      <c r="AW5538" s="15" t="n">
        <v>172</v>
      </c>
      <c r="BS5538" s="15" t="n">
        <v>172</v>
      </c>
      <c r="CO5538" s="15" t="n">
        <v>172</v>
      </c>
      <c r="DK5538" s="15" t="n">
        <v>172</v>
      </c>
      <c r="EG5538" s="15" t="n">
        <v>172</v>
      </c>
      <c r="FC5538" s="15" t="n">
        <v>172</v>
      </c>
      <c r="FY5538" s="15" t="n">
        <v>172</v>
      </c>
      <c r="GU5538" s="15" t="n">
        <v>172</v>
      </c>
    </row>
    <row r="5539">
      <c r="C5539" s="15" t="n">
        <v>173</v>
      </c>
      <c r="AA5539" s="15" t="n">
        <v>173</v>
      </c>
      <c r="AW5539" s="15" t="n">
        <v>173</v>
      </c>
      <c r="BS5539" s="15" t="n">
        <v>173</v>
      </c>
      <c r="CO5539" s="15" t="n">
        <v>173</v>
      </c>
      <c r="DK5539" s="15" t="n">
        <v>173</v>
      </c>
      <c r="EG5539" s="15" t="n">
        <v>173</v>
      </c>
      <c r="FC5539" s="15" t="n">
        <v>173</v>
      </c>
      <c r="FY5539" s="15" t="n">
        <v>173</v>
      </c>
      <c r="GU5539" s="15" t="n">
        <v>173</v>
      </c>
    </row>
    <row r="5540">
      <c r="C5540" s="15" t="n">
        <v>174</v>
      </c>
      <c r="AA5540" s="15" t="n">
        <v>174</v>
      </c>
      <c r="AW5540" s="15" t="n">
        <v>174</v>
      </c>
      <c r="BS5540" s="15" t="n">
        <v>174</v>
      </c>
      <c r="CO5540" s="15" t="n">
        <v>174</v>
      </c>
      <c r="DK5540" s="15" t="n">
        <v>174</v>
      </c>
      <c r="EG5540" s="15" t="n">
        <v>174</v>
      </c>
      <c r="FC5540" s="15" t="n">
        <v>174</v>
      </c>
      <c r="FY5540" s="15" t="n">
        <v>174</v>
      </c>
      <c r="GU5540" s="15" t="n">
        <v>174</v>
      </c>
    </row>
    <row r="5541">
      <c r="C5541" s="15" t="n">
        <v>175</v>
      </c>
      <c r="AA5541" s="15" t="n">
        <v>175</v>
      </c>
      <c r="AW5541" s="15" t="n">
        <v>175</v>
      </c>
      <c r="BS5541" s="15" t="n">
        <v>175</v>
      </c>
      <c r="CO5541" s="15" t="n">
        <v>175</v>
      </c>
      <c r="DK5541" s="15" t="n">
        <v>175</v>
      </c>
      <c r="EG5541" s="15" t="n">
        <v>175</v>
      </c>
      <c r="FC5541" s="15" t="n">
        <v>175</v>
      </c>
      <c r="FY5541" s="15" t="n">
        <v>175</v>
      </c>
      <c r="GU5541" s="15" t="n">
        <v>175</v>
      </c>
    </row>
    <row r="5542">
      <c r="C5542" s="15" t="n">
        <v>176</v>
      </c>
      <c r="AA5542" s="15" t="n">
        <v>176</v>
      </c>
      <c r="AW5542" s="15" t="n">
        <v>176</v>
      </c>
      <c r="BS5542" s="15" t="n">
        <v>176</v>
      </c>
      <c r="CO5542" s="15" t="n">
        <v>176</v>
      </c>
      <c r="DK5542" s="15" t="n">
        <v>176</v>
      </c>
      <c r="EG5542" s="15" t="n">
        <v>176</v>
      </c>
      <c r="FC5542" s="15" t="n">
        <v>176</v>
      </c>
      <c r="FY5542" s="15" t="n">
        <v>176</v>
      </c>
      <c r="GU5542" s="15" t="n">
        <v>176</v>
      </c>
    </row>
    <row r="5543">
      <c r="C5543" s="15" t="n">
        <v>177</v>
      </c>
      <c r="AA5543" s="15" t="n">
        <v>177</v>
      </c>
      <c r="AW5543" s="15" t="n">
        <v>177</v>
      </c>
      <c r="BS5543" s="15" t="n">
        <v>177</v>
      </c>
      <c r="CO5543" s="15" t="n">
        <v>177</v>
      </c>
      <c r="DK5543" s="15" t="n">
        <v>177</v>
      </c>
      <c r="EG5543" s="15" t="n">
        <v>177</v>
      </c>
      <c r="FC5543" s="15" t="n">
        <v>177</v>
      </c>
      <c r="FY5543" s="15" t="n">
        <v>177</v>
      </c>
      <c r="GU5543" s="15" t="n">
        <v>177</v>
      </c>
    </row>
    <row r="5544">
      <c r="C5544" s="15" t="n">
        <v>178</v>
      </c>
      <c r="AA5544" s="15" t="n">
        <v>178</v>
      </c>
      <c r="AW5544" s="15" t="n">
        <v>178</v>
      </c>
      <c r="BS5544" s="15" t="n">
        <v>178</v>
      </c>
      <c r="CO5544" s="15" t="n">
        <v>178</v>
      </c>
      <c r="DK5544" s="15" t="n">
        <v>178</v>
      </c>
      <c r="EG5544" s="15" t="n">
        <v>178</v>
      </c>
      <c r="FC5544" s="15" t="n">
        <v>178</v>
      </c>
      <c r="FY5544" s="15" t="n">
        <v>178</v>
      </c>
      <c r="GU5544" s="15" t="n">
        <v>178</v>
      </c>
    </row>
    <row r="5545">
      <c r="C5545" s="15" t="n">
        <v>179</v>
      </c>
      <c r="AA5545" s="15" t="n">
        <v>179</v>
      </c>
      <c r="AW5545" s="15" t="n">
        <v>179</v>
      </c>
      <c r="BS5545" s="15" t="n">
        <v>179</v>
      </c>
      <c r="CO5545" s="15" t="n">
        <v>179</v>
      </c>
      <c r="DK5545" s="15" t="n">
        <v>179</v>
      </c>
      <c r="EG5545" s="15" t="n">
        <v>179</v>
      </c>
      <c r="FC5545" s="15" t="n">
        <v>179</v>
      </c>
      <c r="FY5545" s="15" t="n">
        <v>179</v>
      </c>
      <c r="GU5545" s="15" t="n">
        <v>179</v>
      </c>
    </row>
    <row r="5546">
      <c r="C5546" s="15" t="n">
        <v>180</v>
      </c>
      <c r="AA5546" s="15" t="n">
        <v>180</v>
      </c>
      <c r="AW5546" s="15" t="n">
        <v>180</v>
      </c>
      <c r="BS5546" s="15" t="n">
        <v>180</v>
      </c>
      <c r="CO5546" s="15" t="n">
        <v>180</v>
      </c>
      <c r="DK5546" s="15" t="n">
        <v>180</v>
      </c>
      <c r="EG5546" s="15" t="n">
        <v>180</v>
      </c>
      <c r="FC5546" s="15" t="n">
        <v>180</v>
      </c>
      <c r="FY5546" s="15" t="n">
        <v>180</v>
      </c>
      <c r="GU5546" s="15" t="n">
        <v>180</v>
      </c>
    </row>
    <row r="5547">
      <c r="C5547" s="15" t="n">
        <v>181</v>
      </c>
      <c r="AA5547" s="15" t="n">
        <v>181</v>
      </c>
      <c r="AW5547" s="15" t="n">
        <v>181</v>
      </c>
      <c r="BS5547" s="15" t="n">
        <v>181</v>
      </c>
      <c r="CO5547" s="15" t="n">
        <v>181</v>
      </c>
      <c r="DK5547" s="15" t="n">
        <v>181</v>
      </c>
      <c r="EG5547" s="15" t="n">
        <v>181</v>
      </c>
      <c r="FC5547" s="15" t="n">
        <v>181</v>
      </c>
      <c r="FY5547" s="15" t="n">
        <v>181</v>
      </c>
      <c r="GU5547" s="15" t="n">
        <v>181</v>
      </c>
    </row>
    <row r="5548">
      <c r="C5548" s="15" t="n">
        <v>182</v>
      </c>
      <c r="AA5548" s="15" t="n">
        <v>182</v>
      </c>
      <c r="AW5548" s="15" t="n">
        <v>182</v>
      </c>
      <c r="BS5548" s="15" t="n">
        <v>182</v>
      </c>
      <c r="CO5548" s="15" t="n">
        <v>182</v>
      </c>
      <c r="DK5548" s="15" t="n">
        <v>182</v>
      </c>
      <c r="EG5548" s="15" t="n">
        <v>182</v>
      </c>
      <c r="FC5548" s="15" t="n">
        <v>182</v>
      </c>
      <c r="FY5548" s="15" t="n">
        <v>182</v>
      </c>
      <c r="GU5548" s="15" t="n">
        <v>182</v>
      </c>
    </row>
    <row r="5549">
      <c r="C5549" s="15" t="n">
        <v>183</v>
      </c>
      <c r="AA5549" s="15" t="n">
        <v>183</v>
      </c>
      <c r="AW5549" s="15" t="n">
        <v>183</v>
      </c>
      <c r="BS5549" s="15" t="n">
        <v>183</v>
      </c>
      <c r="CO5549" s="15" t="n">
        <v>183</v>
      </c>
      <c r="DK5549" s="15" t="n">
        <v>183</v>
      </c>
      <c r="EG5549" s="15" t="n">
        <v>183</v>
      </c>
      <c r="FC5549" s="15" t="n">
        <v>183</v>
      </c>
      <c r="FY5549" s="15" t="n">
        <v>183</v>
      </c>
      <c r="GU5549" s="15" t="n">
        <v>183</v>
      </c>
    </row>
    <row r="5550">
      <c r="C5550" s="15" t="n">
        <v>184</v>
      </c>
      <c r="AA5550" s="15" t="n">
        <v>184</v>
      </c>
      <c r="AW5550" s="15" t="n">
        <v>184</v>
      </c>
      <c r="BS5550" s="15" t="n">
        <v>184</v>
      </c>
      <c r="CO5550" s="15" t="n">
        <v>184</v>
      </c>
      <c r="DK5550" s="15" t="n">
        <v>184</v>
      </c>
      <c r="EG5550" s="15" t="n">
        <v>184</v>
      </c>
      <c r="FC5550" s="15" t="n">
        <v>184</v>
      </c>
      <c r="FY5550" s="15" t="n">
        <v>184</v>
      </c>
      <c r="GU5550" s="15" t="n">
        <v>184</v>
      </c>
    </row>
    <row r="5551">
      <c r="C5551" s="15" t="n">
        <v>185</v>
      </c>
      <c r="AA5551" s="15" t="n">
        <v>185</v>
      </c>
      <c r="AW5551" s="15" t="n">
        <v>185</v>
      </c>
      <c r="BS5551" s="15" t="n">
        <v>185</v>
      </c>
      <c r="CO5551" s="15" t="n">
        <v>185</v>
      </c>
      <c r="DK5551" s="15" t="n">
        <v>185</v>
      </c>
      <c r="EG5551" s="15" t="n">
        <v>185</v>
      </c>
      <c r="FC5551" s="15" t="n">
        <v>185</v>
      </c>
      <c r="FY5551" s="15" t="n">
        <v>185</v>
      </c>
      <c r="GU5551" s="15" t="n">
        <v>185</v>
      </c>
    </row>
    <row r="5552">
      <c r="C5552" s="15" t="n">
        <v>186</v>
      </c>
      <c r="AA5552" s="15" t="n">
        <v>186</v>
      </c>
      <c r="AW5552" s="15" t="n">
        <v>186</v>
      </c>
      <c r="BS5552" s="15" t="n">
        <v>186</v>
      </c>
      <c r="CO5552" s="15" t="n">
        <v>186</v>
      </c>
      <c r="DK5552" s="15" t="n">
        <v>186</v>
      </c>
      <c r="EG5552" s="15" t="n">
        <v>186</v>
      </c>
      <c r="FC5552" s="15" t="n">
        <v>186</v>
      </c>
      <c r="FY5552" s="15" t="n">
        <v>186</v>
      </c>
      <c r="GU5552" s="15" t="n">
        <v>186</v>
      </c>
    </row>
    <row r="5553">
      <c r="C5553" s="15" t="n">
        <v>187</v>
      </c>
      <c r="AA5553" s="15" t="n">
        <v>187</v>
      </c>
      <c r="AW5553" s="15" t="n">
        <v>187</v>
      </c>
      <c r="BS5553" s="15" t="n">
        <v>187</v>
      </c>
      <c r="CO5553" s="15" t="n">
        <v>187</v>
      </c>
      <c r="DK5553" s="15" t="n">
        <v>187</v>
      </c>
      <c r="EG5553" s="15" t="n">
        <v>187</v>
      </c>
      <c r="FC5553" s="15" t="n">
        <v>187</v>
      </c>
      <c r="FY5553" s="15" t="n">
        <v>187</v>
      </c>
      <c r="GU5553" s="15" t="n">
        <v>187</v>
      </c>
    </row>
    <row r="5554">
      <c r="C5554" s="15" t="n">
        <v>188</v>
      </c>
      <c r="AA5554" s="15" t="n">
        <v>188</v>
      </c>
      <c r="AW5554" s="15" t="n">
        <v>188</v>
      </c>
      <c r="BS5554" s="15" t="n">
        <v>188</v>
      </c>
      <c r="CO5554" s="15" t="n">
        <v>188</v>
      </c>
      <c r="DK5554" s="15" t="n">
        <v>188</v>
      </c>
      <c r="EG5554" s="15" t="n">
        <v>188</v>
      </c>
      <c r="FC5554" s="15" t="n">
        <v>188</v>
      </c>
      <c r="FY5554" s="15" t="n">
        <v>188</v>
      </c>
      <c r="GU5554" s="15" t="n">
        <v>188</v>
      </c>
    </row>
    <row r="5555">
      <c r="C5555" s="15" t="n">
        <v>189</v>
      </c>
      <c r="AA5555" s="15" t="n">
        <v>189</v>
      </c>
      <c r="AW5555" s="15" t="n">
        <v>189</v>
      </c>
      <c r="BS5555" s="15" t="n">
        <v>189</v>
      </c>
      <c r="CO5555" s="15" t="n">
        <v>189</v>
      </c>
      <c r="DK5555" s="15" t="n">
        <v>189</v>
      </c>
      <c r="EG5555" s="15" t="n">
        <v>189</v>
      </c>
      <c r="FC5555" s="15" t="n">
        <v>189</v>
      </c>
      <c r="FY5555" s="15" t="n">
        <v>189</v>
      </c>
      <c r="GU5555" s="15" t="n">
        <v>189</v>
      </c>
    </row>
    <row r="5556">
      <c r="C5556" s="15" t="n">
        <v>190</v>
      </c>
      <c r="AA5556" s="15" t="n">
        <v>190</v>
      </c>
      <c r="AW5556" s="15" t="n">
        <v>190</v>
      </c>
      <c r="BS5556" s="15" t="n">
        <v>190</v>
      </c>
      <c r="CO5556" s="15" t="n">
        <v>190</v>
      </c>
      <c r="DK5556" s="15" t="n">
        <v>190</v>
      </c>
      <c r="EG5556" s="15" t="n">
        <v>190</v>
      </c>
      <c r="FC5556" s="15" t="n">
        <v>190</v>
      </c>
      <c r="FY5556" s="15" t="n">
        <v>190</v>
      </c>
      <c r="GU5556" s="15" t="n">
        <v>190</v>
      </c>
    </row>
    <row r="5557">
      <c r="C5557" s="15" t="n">
        <v>191</v>
      </c>
      <c r="AA5557" s="15" t="n">
        <v>191</v>
      </c>
      <c r="AW5557" s="15" t="n">
        <v>191</v>
      </c>
      <c r="BS5557" s="15" t="n">
        <v>191</v>
      </c>
      <c r="CO5557" s="15" t="n">
        <v>191</v>
      </c>
      <c r="DK5557" s="15" t="n">
        <v>191</v>
      </c>
      <c r="EG5557" s="15" t="n">
        <v>191</v>
      </c>
      <c r="FC5557" s="15" t="n">
        <v>191</v>
      </c>
      <c r="FY5557" s="15" t="n">
        <v>191</v>
      </c>
      <c r="GU5557" s="15" t="n">
        <v>191</v>
      </c>
    </row>
    <row r="5558">
      <c r="C5558" s="15" t="n">
        <v>192</v>
      </c>
      <c r="AA5558" s="15" t="n">
        <v>192</v>
      </c>
      <c r="AW5558" s="15" t="n">
        <v>192</v>
      </c>
      <c r="BS5558" s="15" t="n">
        <v>192</v>
      </c>
      <c r="CO5558" s="15" t="n">
        <v>192</v>
      </c>
      <c r="DK5558" s="15" t="n">
        <v>192</v>
      </c>
      <c r="EG5558" s="15" t="n">
        <v>192</v>
      </c>
      <c r="FC5558" s="15" t="n">
        <v>192</v>
      </c>
      <c r="FY5558" s="15" t="n">
        <v>192</v>
      </c>
      <c r="GU5558" s="15" t="n">
        <v>192</v>
      </c>
    </row>
    <row r="5559">
      <c r="C5559" s="15" t="n">
        <v>193</v>
      </c>
      <c r="AA5559" s="15" t="n">
        <v>193</v>
      </c>
      <c r="AW5559" s="15" t="n">
        <v>193</v>
      </c>
      <c r="BS5559" s="15" t="n">
        <v>193</v>
      </c>
      <c r="CO5559" s="15" t="n">
        <v>193</v>
      </c>
      <c r="DK5559" s="15" t="n">
        <v>193</v>
      </c>
      <c r="EG5559" s="15" t="n">
        <v>193</v>
      </c>
      <c r="FC5559" s="15" t="n">
        <v>193</v>
      </c>
      <c r="FY5559" s="15" t="n">
        <v>193</v>
      </c>
      <c r="GU5559" s="15" t="n">
        <v>193</v>
      </c>
    </row>
    <row r="5560">
      <c r="C5560" s="15" t="n">
        <v>194</v>
      </c>
      <c r="AA5560" s="15" t="n">
        <v>194</v>
      </c>
      <c r="AW5560" s="15" t="n">
        <v>194</v>
      </c>
      <c r="BS5560" s="15" t="n">
        <v>194</v>
      </c>
      <c r="CO5560" s="15" t="n">
        <v>194</v>
      </c>
      <c r="DK5560" s="15" t="n">
        <v>194</v>
      </c>
      <c r="EG5560" s="15" t="n">
        <v>194</v>
      </c>
      <c r="FC5560" s="15" t="n">
        <v>194</v>
      </c>
      <c r="FY5560" s="15" t="n">
        <v>194</v>
      </c>
      <c r="GU5560" s="15" t="n">
        <v>194</v>
      </c>
    </row>
    <row r="5561">
      <c r="C5561" s="15" t="n">
        <v>195</v>
      </c>
      <c r="AA5561" s="15" t="n">
        <v>195</v>
      </c>
      <c r="AW5561" s="15" t="n">
        <v>195</v>
      </c>
      <c r="BS5561" s="15" t="n">
        <v>195</v>
      </c>
      <c r="CO5561" s="15" t="n">
        <v>195</v>
      </c>
      <c r="DK5561" s="15" t="n">
        <v>195</v>
      </c>
      <c r="EG5561" s="15" t="n">
        <v>195</v>
      </c>
      <c r="FC5561" s="15" t="n">
        <v>195</v>
      </c>
      <c r="FY5561" s="15" t="n">
        <v>195</v>
      </c>
      <c r="GU5561" s="15" t="n">
        <v>195</v>
      </c>
    </row>
    <row r="5562">
      <c r="C5562" s="15" t="n">
        <v>196</v>
      </c>
      <c r="AA5562" s="15" t="n">
        <v>196</v>
      </c>
      <c r="AW5562" s="15" t="n">
        <v>196</v>
      </c>
      <c r="BS5562" s="15" t="n">
        <v>196</v>
      </c>
      <c r="CO5562" s="15" t="n">
        <v>196</v>
      </c>
      <c r="DK5562" s="15" t="n">
        <v>196</v>
      </c>
      <c r="EG5562" s="15" t="n">
        <v>196</v>
      </c>
      <c r="FC5562" s="15" t="n">
        <v>196</v>
      </c>
      <c r="FY5562" s="15" t="n">
        <v>196</v>
      </c>
      <c r="GU5562" s="15" t="n">
        <v>196</v>
      </c>
    </row>
    <row r="5563">
      <c r="C5563" s="15" t="n">
        <v>197</v>
      </c>
      <c r="AA5563" s="15" t="n">
        <v>197</v>
      </c>
      <c r="AW5563" s="15" t="n">
        <v>197</v>
      </c>
      <c r="BS5563" s="15" t="n">
        <v>197</v>
      </c>
      <c r="CO5563" s="15" t="n">
        <v>197</v>
      </c>
      <c r="DK5563" s="15" t="n">
        <v>197</v>
      </c>
      <c r="EG5563" s="15" t="n">
        <v>197</v>
      </c>
      <c r="FC5563" s="15" t="n">
        <v>197</v>
      </c>
      <c r="FY5563" s="15" t="n">
        <v>197</v>
      </c>
      <c r="GU5563" s="15" t="n">
        <v>197</v>
      </c>
    </row>
    <row r="5564">
      <c r="C5564" s="15" t="n">
        <v>198</v>
      </c>
      <c r="AA5564" s="15" t="n">
        <v>198</v>
      </c>
      <c r="AW5564" s="15" t="n">
        <v>198</v>
      </c>
      <c r="BS5564" s="15" t="n">
        <v>198</v>
      </c>
      <c r="CO5564" s="15" t="n">
        <v>198</v>
      </c>
      <c r="DK5564" s="15" t="n">
        <v>198</v>
      </c>
      <c r="EG5564" s="15" t="n">
        <v>198</v>
      </c>
      <c r="FC5564" s="15" t="n">
        <v>198</v>
      </c>
      <c r="FY5564" s="15" t="n">
        <v>198</v>
      </c>
      <c r="GU5564" s="15" t="n">
        <v>198</v>
      </c>
    </row>
  </sheetData>
  <conditionalFormatting sqref="D73:R75">
    <cfRule type="cellIs" priority="6" operator="equal" dxfId="9">
      <formula>1</formula>
    </cfRule>
  </conditionalFormatting>
  <conditionalFormatting sqref="D78:R80">
    <cfRule type="cellIs" priority="5" operator="equal" dxfId="9">
      <formula>1</formula>
    </cfRule>
  </conditionalFormatting>
  <conditionalFormatting sqref="D83:R85">
    <cfRule type="cellIs" priority="8" operator="equal" dxfId="9">
      <formula>1</formula>
    </cfRule>
  </conditionalFormatting>
  <conditionalFormatting sqref="D88:R90">
    <cfRule type="cellIs" priority="7" operator="equal" dxfId="9">
      <formula>1</formula>
    </cfRule>
  </conditionalFormatting>
  <conditionalFormatting sqref="Y73:AM75">
    <cfRule type="cellIs" priority="2" operator="equal" dxfId="9">
      <formula>1</formula>
    </cfRule>
  </conditionalFormatting>
  <conditionalFormatting sqref="Y78:AM80">
    <cfRule type="cellIs" priority="1" operator="equal" dxfId="9">
      <formula>1</formula>
    </cfRule>
  </conditionalFormatting>
  <conditionalFormatting sqref="Y83:AM85">
    <cfRule type="cellIs" priority="4" operator="equal" dxfId="9">
      <formula>1</formula>
    </cfRule>
  </conditionalFormatting>
  <conditionalFormatting sqref="Y88:AM90">
    <cfRule type="cellIs" priority="3" operator="equal" dxfId="9">
      <formula>1</formula>
    </cfRule>
  </conditionalFormatting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C2:F10"/>
  <sheetViews>
    <sheetView workbookViewId="0">
      <selection activeCell="J16" sqref="J16:K17"/>
    </sheetView>
  </sheetViews>
  <sheetFormatPr baseColWidth="8" defaultRowHeight="14.4"/>
  <cols>
    <col width="8.88671875" customWidth="1" style="15" min="1" max="2"/>
    <col width="13.21875" bestFit="1" customWidth="1" style="15" min="3" max="3"/>
    <col width="8.88671875" customWidth="1" style="15" min="4" max="16384"/>
  </cols>
  <sheetData>
    <row r="2">
      <c r="C2" s="15" t="inlineStr">
        <is>
          <t>Wipf</t>
        </is>
      </c>
      <c r="D2" s="15" t="n">
        <v>1</v>
      </c>
      <c r="E2" s="15" t="n">
        <v>2</v>
      </c>
      <c r="F2" s="15" t="n">
        <v>3</v>
      </c>
    </row>
    <row r="3">
      <c r="C3" s="15" t="n">
        <v>1</v>
      </c>
      <c r="D3" s="39">
        <f>Factories!I22</f>
        <v/>
      </c>
      <c r="E3" s="39">
        <f>Factories!J22</f>
        <v/>
      </c>
      <c r="F3" s="39">
        <f>Factories!K22</f>
        <v/>
      </c>
    </row>
    <row r="4">
      <c r="C4" s="15" t="n">
        <v>2</v>
      </c>
      <c r="D4" s="39">
        <f>Factories!I23</f>
        <v/>
      </c>
      <c r="E4" s="39">
        <f>Factories!J23</f>
        <v/>
      </c>
      <c r="F4" s="39">
        <f>Factories!K23</f>
        <v/>
      </c>
    </row>
    <row r="5">
      <c r="C5" s="15" t="n">
        <v>3</v>
      </c>
      <c r="D5" s="39">
        <f>Factories!I24</f>
        <v/>
      </c>
      <c r="E5" s="39">
        <f>Factories!J24</f>
        <v/>
      </c>
      <c r="F5" s="39">
        <f>Factories!K24</f>
        <v/>
      </c>
    </row>
    <row r="7">
      <c r="C7" s="15" t="inlineStr">
        <is>
          <t>Wipf</t>
        </is>
      </c>
      <c r="D7" s="15" t="n">
        <v>1</v>
      </c>
      <c r="E7" s="15" t="n">
        <v>2</v>
      </c>
      <c r="F7" s="15" t="n">
        <v>3</v>
      </c>
    </row>
    <row r="8">
      <c r="C8" s="15" t="n">
        <v>1</v>
      </c>
      <c r="D8" s="44" t="n">
        <v>4.889</v>
      </c>
      <c r="E8" s="44" t="n">
        <v>6.521</v>
      </c>
      <c r="F8" s="44" t="n">
        <v>4.091</v>
      </c>
    </row>
    <row r="9">
      <c r="C9" s="15" t="n">
        <v>2</v>
      </c>
      <c r="D9" s="44" t="n">
        <v>3.548</v>
      </c>
      <c r="E9" s="44" t="n">
        <v>6.734</v>
      </c>
      <c r="F9" s="44" t="n">
        <v>4.237</v>
      </c>
    </row>
    <row r="10">
      <c r="C10" s="15" t="n">
        <v>3</v>
      </c>
      <c r="D10" s="44" t="n">
        <v>4.35</v>
      </c>
      <c r="E10" s="44" t="n">
        <v>5.496</v>
      </c>
      <c r="F10" s="44" t="n">
        <v>4.967</v>
      </c>
    </row>
  </sheetData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R43"/>
  <sheetViews>
    <sheetView zoomScale="90" zoomScaleNormal="90" workbookViewId="0">
      <selection activeCell="D24" sqref="D24"/>
    </sheetView>
  </sheetViews>
  <sheetFormatPr baseColWidth="8" defaultRowHeight="14.4"/>
  <cols>
    <col width="5.6640625" customWidth="1" style="75" min="1" max="1"/>
    <col width="25.77734375" bestFit="1" customWidth="1" style="75" min="2" max="2"/>
    <col width="8.88671875" customWidth="1" style="75" min="3" max="3"/>
    <col width="11.44140625" customWidth="1" style="75" min="4" max="18"/>
    <col width="8.88671875" customWidth="1" style="75" min="19" max="16384"/>
  </cols>
  <sheetData>
    <row r="3">
      <c r="D3" s="75" t="n">
        <v>1</v>
      </c>
      <c r="E3" s="75" t="n">
        <v>2</v>
      </c>
      <c r="F3" s="75" t="n">
        <v>3</v>
      </c>
      <c r="G3" s="75" t="n">
        <v>4</v>
      </c>
      <c r="H3" s="75" t="n">
        <v>5</v>
      </c>
      <c r="I3" s="75" t="n">
        <v>6</v>
      </c>
      <c r="J3" s="75" t="n">
        <v>7</v>
      </c>
      <c r="K3" s="75" t="n">
        <v>8</v>
      </c>
      <c r="L3" s="75" t="n">
        <v>9</v>
      </c>
      <c r="M3" s="75" t="n">
        <v>10</v>
      </c>
      <c r="N3" s="75" t="n">
        <v>11</v>
      </c>
      <c r="O3" s="75" t="n">
        <v>12</v>
      </c>
      <c r="P3" s="75" t="n">
        <v>13</v>
      </c>
      <c r="Q3" s="75" t="n">
        <v>14</v>
      </c>
      <c r="R3" s="75" t="n">
        <v>15</v>
      </c>
    </row>
    <row r="4">
      <c r="B4" s="75" t="inlineStr">
        <is>
          <t>Var(d)</t>
        </is>
      </c>
      <c r="C4" s="75" t="n">
        <v>1</v>
      </c>
      <c r="D4" s="75">
        <f>TRUNC(((Demand!AU5*0.2)^2),4)</f>
        <v/>
      </c>
      <c r="E4" s="75">
        <f>TRUNC(((Demand!AV5*0.2)^2),4)</f>
        <v/>
      </c>
      <c r="F4" s="75">
        <f>TRUNC(((Demand!AW5*0.2)^2),4)</f>
        <v/>
      </c>
      <c r="G4" s="75">
        <f>TRUNC(((Demand!AX5*0.2)^2),4)</f>
        <v/>
      </c>
      <c r="H4" s="75">
        <f>TRUNC(((Demand!AY5*0.2)^2),4)</f>
        <v/>
      </c>
      <c r="I4" s="75">
        <f>TRUNC(((Demand!AZ5*0.2)^2),4)</f>
        <v/>
      </c>
      <c r="J4" s="75">
        <f>TRUNC(((Demand!BA5*0.2)^2),4)</f>
        <v/>
      </c>
      <c r="K4" s="75">
        <f>TRUNC(((Demand!BB5*0.2)^2),4)</f>
        <v/>
      </c>
      <c r="L4" s="75">
        <f>TRUNC(((Demand!BC5*0.2)^2),4)</f>
        <v/>
      </c>
      <c r="M4" s="75">
        <f>TRUNC(((Demand!BD5*0.2)^2),4)</f>
        <v/>
      </c>
      <c r="N4" s="75">
        <f>TRUNC(((Demand!BE5*0.2)^2),4)</f>
        <v/>
      </c>
      <c r="O4" s="75">
        <f>TRUNC(((Demand!BF5*0.2)^2),4)</f>
        <v/>
      </c>
      <c r="P4" s="75">
        <f>TRUNC(((Demand!BG5*0.2)^2),4)</f>
        <v/>
      </c>
      <c r="Q4" s="75">
        <f>TRUNC(((Demand!BH5*0.2)^2),4)</f>
        <v/>
      </c>
      <c r="R4" s="75">
        <f>TRUNC(((Demand!BI5*0.2)^2),4)</f>
        <v/>
      </c>
    </row>
    <row r="5">
      <c r="C5" s="75" t="n">
        <v>2</v>
      </c>
      <c r="D5" s="75">
        <f>TRUNC(((Demand!AU6*0.2)^2),4)</f>
        <v/>
      </c>
      <c r="E5" s="75">
        <f>TRUNC(((Demand!AV6*0.2)^2),4)</f>
        <v/>
      </c>
      <c r="F5" s="75">
        <f>TRUNC(((Demand!AW6*0.2)^2),4)</f>
        <v/>
      </c>
      <c r="G5" s="75">
        <f>TRUNC(((Demand!AX6*0.2)^2),4)</f>
        <v/>
      </c>
      <c r="H5" s="75">
        <f>TRUNC(((Demand!AY6*0.2)^2),4)</f>
        <v/>
      </c>
      <c r="I5" s="75">
        <f>TRUNC(((Demand!AZ6*0.2)^2),4)</f>
        <v/>
      </c>
      <c r="J5" s="75">
        <f>TRUNC(((Demand!BA6*0.2)^2),4)</f>
        <v/>
      </c>
      <c r="K5" s="75">
        <f>TRUNC(((Demand!BB6*0.2)^2),4)</f>
        <v/>
      </c>
      <c r="L5" s="75">
        <f>TRUNC(((Demand!BC6*0.2)^2),4)</f>
        <v/>
      </c>
      <c r="M5" s="75">
        <f>TRUNC(((Demand!BD6*0.2)^2),4)</f>
        <v/>
      </c>
      <c r="N5" s="75">
        <f>TRUNC(((Demand!BE6*0.2)^2),4)</f>
        <v/>
      </c>
      <c r="O5" s="75">
        <f>TRUNC(((Demand!BF6*0.2)^2),4)</f>
        <v/>
      </c>
      <c r="P5" s="75">
        <f>TRUNC(((Demand!BG6*0.2)^2),4)</f>
        <v/>
      </c>
      <c r="Q5" s="75">
        <f>TRUNC(((Demand!BH6*0.2)^2),4)</f>
        <v/>
      </c>
      <c r="R5" s="75">
        <f>TRUNC(((Demand!BI6*0.2)^2),4)</f>
        <v/>
      </c>
    </row>
    <row r="6">
      <c r="C6" s="75" t="n">
        <v>3</v>
      </c>
      <c r="D6" s="75">
        <f>TRUNC(((Demand!AU7*0.2)^2),4)</f>
        <v/>
      </c>
      <c r="E6" s="75">
        <f>TRUNC(((Demand!AV7*0.2)^2),4)</f>
        <v/>
      </c>
      <c r="F6" s="75">
        <f>TRUNC(((Demand!AW7*0.2)^2),4)</f>
        <v/>
      </c>
      <c r="G6" s="75">
        <f>TRUNC(((Demand!AX7*0.2)^2),4)</f>
        <v/>
      </c>
      <c r="H6" s="75">
        <f>TRUNC(((Demand!AY7*0.2)^2),4)</f>
        <v/>
      </c>
      <c r="I6" s="75">
        <f>TRUNC(((Demand!AZ7*0.2)^2),4)</f>
        <v/>
      </c>
      <c r="J6" s="75">
        <f>TRUNC(((Demand!BA7*0.2)^2),4)</f>
        <v/>
      </c>
      <c r="K6" s="75">
        <f>TRUNC(((Demand!BB7*0.2)^2),4)</f>
        <v/>
      </c>
      <c r="L6" s="75">
        <f>TRUNC(((Demand!BC7*0.2)^2),4)</f>
        <v/>
      </c>
      <c r="M6" s="75">
        <f>TRUNC(((Demand!BD7*0.2)^2),4)</f>
        <v/>
      </c>
      <c r="N6" s="75">
        <f>TRUNC(((Demand!BE7*0.2)^2),4)</f>
        <v/>
      </c>
      <c r="O6" s="75">
        <f>TRUNC(((Demand!BF7*0.2)^2),4)</f>
        <v/>
      </c>
      <c r="P6" s="75">
        <f>TRUNC(((Demand!BG7*0.2)^2),4)</f>
        <v/>
      </c>
      <c r="Q6" s="75">
        <f>TRUNC(((Demand!BH7*0.2)^2),4)</f>
        <v/>
      </c>
      <c r="R6" s="75">
        <f>TRUNC(((Demand!BI7*0.2)^2),4)</f>
        <v/>
      </c>
    </row>
    <row r="9">
      <c r="D9" s="75" t="n">
        <v>1</v>
      </c>
      <c r="E9" s="75" t="n">
        <v>2</v>
      </c>
      <c r="F9" s="75" t="n">
        <v>3</v>
      </c>
      <c r="G9" s="75" t="n">
        <v>4</v>
      </c>
      <c r="H9" s="75" t="n">
        <v>5</v>
      </c>
      <c r="I9" s="75" t="n">
        <v>6</v>
      </c>
      <c r="J9" s="75" t="n">
        <v>7</v>
      </c>
      <c r="K9" s="75" t="n">
        <v>8</v>
      </c>
      <c r="L9" s="75" t="n">
        <v>9</v>
      </c>
      <c r="M9" s="75" t="n">
        <v>10</v>
      </c>
      <c r="N9" s="75" t="n">
        <v>11</v>
      </c>
      <c r="O9" s="75" t="n">
        <v>12</v>
      </c>
      <c r="P9" s="75" t="n">
        <v>13</v>
      </c>
      <c r="Q9" s="75" t="n">
        <v>14</v>
      </c>
      <c r="R9" s="75" t="n">
        <v>15</v>
      </c>
    </row>
    <row r="10">
      <c r="B10" s="75" t="inlineStr">
        <is>
          <t>Var(Cap)</t>
        </is>
      </c>
      <c r="C10" s="75" t="n">
        <v>1</v>
      </c>
      <c r="D10" s="75">
        <f>TRUNC(((Suppliers_Cap!D14*0.2)^2),4)</f>
        <v/>
      </c>
      <c r="E10" s="75">
        <f>TRUNC(((Suppliers_Cap!E14*0.2)^2),4)</f>
        <v/>
      </c>
      <c r="F10" s="75">
        <f>TRUNC(((Suppliers_Cap!F14*0.2)^2),4)</f>
        <v/>
      </c>
      <c r="G10" s="75">
        <f>TRUNC(((Suppliers_Cap!G14*0.2)^2),4)</f>
        <v/>
      </c>
      <c r="H10" s="75">
        <f>TRUNC(((Suppliers_Cap!H14*0.2)^2),4)</f>
        <v/>
      </c>
      <c r="I10" s="75">
        <f>TRUNC(((Suppliers_Cap!I14*0.2)^2),4)</f>
        <v/>
      </c>
      <c r="J10" s="75">
        <f>TRUNC(((Suppliers_Cap!J14*0.2)^2),4)</f>
        <v/>
      </c>
      <c r="K10" s="75">
        <f>TRUNC(((Suppliers_Cap!K14*0.2)^2),4)</f>
        <v/>
      </c>
      <c r="L10" s="75">
        <f>TRUNC(((Suppliers_Cap!L14*0.2)^2),4)</f>
        <v/>
      </c>
      <c r="M10" s="75">
        <f>TRUNC(((Suppliers_Cap!M14*0.2)^2),4)</f>
        <v/>
      </c>
      <c r="N10" s="75">
        <f>TRUNC(((Suppliers_Cap!N14*0.2)^2),4)</f>
        <v/>
      </c>
      <c r="O10" s="75">
        <f>TRUNC(((Suppliers_Cap!O14*0.2)^2),4)</f>
        <v/>
      </c>
      <c r="P10" s="75">
        <f>TRUNC(((Suppliers_Cap!P14*0.2)^2),4)</f>
        <v/>
      </c>
      <c r="Q10" s="75">
        <f>TRUNC(((Suppliers_Cap!Q14*0.2)^2),4)</f>
        <v/>
      </c>
      <c r="R10" s="75">
        <f>TRUNC(((Suppliers_Cap!R14*0.2)^2),4)</f>
        <v/>
      </c>
    </row>
    <row r="11">
      <c r="C11" s="75" t="n">
        <v>2</v>
      </c>
      <c r="D11" s="75">
        <f>TRUNC(((Suppliers_Cap!D15*0.2)^2),4)</f>
        <v/>
      </c>
      <c r="E11" s="75">
        <f>TRUNC(((Suppliers_Cap!E15*0.2)^2),4)</f>
        <v/>
      </c>
      <c r="F11" s="75">
        <f>TRUNC(((Suppliers_Cap!F15*0.2)^2),4)</f>
        <v/>
      </c>
      <c r="G11" s="75">
        <f>TRUNC(((Suppliers_Cap!G15*0.2)^2),4)</f>
        <v/>
      </c>
      <c r="H11" s="75">
        <f>TRUNC(((Suppliers_Cap!H15*0.2)^2),4)</f>
        <v/>
      </c>
      <c r="I11" s="75">
        <f>TRUNC(((Suppliers_Cap!I15*0.2)^2),4)</f>
        <v/>
      </c>
      <c r="J11" s="75">
        <f>TRUNC(((Suppliers_Cap!J15*0.2)^2),4)</f>
        <v/>
      </c>
      <c r="K11" s="75">
        <f>TRUNC(((Suppliers_Cap!K15*0.2)^2),4)</f>
        <v/>
      </c>
      <c r="L11" s="75">
        <f>TRUNC(((Suppliers_Cap!L15*0.2)^2),4)</f>
        <v/>
      </c>
      <c r="M11" s="75">
        <f>TRUNC(((Suppliers_Cap!M15*0.2)^2),4)</f>
        <v/>
      </c>
      <c r="N11" s="75">
        <f>TRUNC(((Suppliers_Cap!N15*0.2)^2),4)</f>
        <v/>
      </c>
      <c r="O11" s="75">
        <f>TRUNC(((Suppliers_Cap!O15*0.2)^2),4)</f>
        <v/>
      </c>
      <c r="P11" s="75">
        <f>TRUNC(((Suppliers_Cap!P15*0.2)^2),4)</f>
        <v/>
      </c>
      <c r="Q11" s="75">
        <f>TRUNC(((Suppliers_Cap!Q15*0.2)^2),4)</f>
        <v/>
      </c>
      <c r="R11" s="75">
        <f>TRUNC(((Suppliers_Cap!R15*0.2)^2),4)</f>
        <v/>
      </c>
    </row>
    <row r="12">
      <c r="C12" s="75" t="n">
        <v>3</v>
      </c>
      <c r="D12" s="75">
        <f>TRUNC(((Suppliers_Cap!D16*0.2)^2),4)</f>
        <v/>
      </c>
      <c r="E12" s="75">
        <f>TRUNC(((Suppliers_Cap!E16*0.2)^2),4)</f>
        <v/>
      </c>
      <c r="F12" s="75">
        <f>TRUNC(((Suppliers_Cap!F16*0.2)^2),4)</f>
        <v/>
      </c>
      <c r="G12" s="75">
        <f>TRUNC(((Suppliers_Cap!G16*0.2)^2),4)</f>
        <v/>
      </c>
      <c r="H12" s="75">
        <f>TRUNC(((Suppliers_Cap!H16*0.2)^2),4)</f>
        <v/>
      </c>
      <c r="I12" s="75">
        <f>TRUNC(((Suppliers_Cap!I16*0.2)^2),4)</f>
        <v/>
      </c>
      <c r="J12" s="75">
        <f>TRUNC(((Suppliers_Cap!J16*0.2)^2),4)</f>
        <v/>
      </c>
      <c r="K12" s="75">
        <f>TRUNC(((Suppliers_Cap!K16*0.2)^2),4)</f>
        <v/>
      </c>
      <c r="L12" s="75">
        <f>TRUNC(((Suppliers_Cap!L16*0.2)^2),4)</f>
        <v/>
      </c>
      <c r="M12" s="75">
        <f>TRUNC(((Suppliers_Cap!M16*0.2)^2),4)</f>
        <v/>
      </c>
      <c r="N12" s="75">
        <f>TRUNC(((Suppliers_Cap!N16*0.2)^2),4)</f>
        <v/>
      </c>
      <c r="O12" s="75">
        <f>TRUNC(((Suppliers_Cap!O16*0.2)^2),4)</f>
        <v/>
      </c>
      <c r="P12" s="75">
        <f>TRUNC(((Suppliers_Cap!P16*0.2)^2),4)</f>
        <v/>
      </c>
      <c r="Q12" s="75">
        <f>TRUNC(((Suppliers_Cap!Q16*0.2)^2),4)</f>
        <v/>
      </c>
      <c r="R12" s="75">
        <f>TRUNC(((Suppliers_Cap!R16*0.2)^2),4)</f>
        <v/>
      </c>
    </row>
    <row r="14">
      <c r="B14" s="75" t="inlineStr">
        <is>
          <t>n</t>
        </is>
      </c>
      <c r="C14" s="75" t="n">
        <v>7</v>
      </c>
    </row>
    <row r="15">
      <c r="B15" s="75" t="inlineStr">
        <is>
          <t>m</t>
        </is>
      </c>
      <c r="C15" s="75" t="n">
        <v>30</v>
      </c>
    </row>
    <row r="17">
      <c r="D17" s="75" t="n">
        <v>1</v>
      </c>
      <c r="E17" s="75" t="n">
        <v>2</v>
      </c>
      <c r="F17" s="75" t="n">
        <v>3</v>
      </c>
      <c r="G17" s="75" t="n">
        <v>4</v>
      </c>
      <c r="H17" s="75" t="n">
        <v>5</v>
      </c>
      <c r="I17" s="75" t="n">
        <v>6</v>
      </c>
      <c r="J17" s="75" t="n">
        <v>7</v>
      </c>
      <c r="K17" s="75" t="n">
        <v>8</v>
      </c>
      <c r="L17" s="75" t="n">
        <v>9</v>
      </c>
      <c r="M17" s="75" t="n">
        <v>10</v>
      </c>
      <c r="N17" s="75" t="n">
        <v>11</v>
      </c>
      <c r="O17" s="75" t="n">
        <v>12</v>
      </c>
      <c r="P17" s="75" t="n">
        <v>13</v>
      </c>
      <c r="Q17" s="75" t="n">
        <v>14</v>
      </c>
      <c r="R17" s="75" t="n">
        <v>15</v>
      </c>
    </row>
    <row r="18">
      <c r="B18" s="75" t="inlineStr">
        <is>
          <t>Var(Var(d))</t>
        </is>
      </c>
      <c r="C18" s="75" t="n">
        <v>1</v>
      </c>
      <c r="D18" s="75">
        <f>TRUNC((1/$C$14)*(5*(D4^2)-((($C$14-3)/($C$14-1))*D4^2)),4)</f>
        <v/>
      </c>
      <c r="E18" s="75">
        <f>TRUNC((1/$C$14)*(5*(E4^2)-((($C$14-3)/($C$14-1))*E4^2)),4)</f>
        <v/>
      </c>
      <c r="F18" s="75">
        <f>TRUNC((1/$C$14)*(5*(F4^2)-((($C$14-3)/($C$14-1))*F4^2)),4)</f>
        <v/>
      </c>
      <c r="G18" s="75">
        <f>TRUNC((1/$C$14)*(5*(G4^2)-((($C$14-3)/($C$14-1))*G4^2)),4)</f>
        <v/>
      </c>
      <c r="H18" s="75">
        <f>TRUNC((1/$C$14)*(5*(H4^2)-((($C$14-3)/($C$14-1))*H4^2)),4)</f>
        <v/>
      </c>
      <c r="I18" s="75">
        <f>TRUNC((1/$C$14)*(5*(I4^2)-((($C$14-3)/($C$14-1))*I4^2)),4)</f>
        <v/>
      </c>
      <c r="J18" s="75">
        <f>TRUNC((1/$C$14)*(5*(J4^2)-((($C$14-3)/($C$14-1))*J4^2)),4)</f>
        <v/>
      </c>
      <c r="K18" s="75">
        <f>TRUNC((1/$C$14)*(5*(K4^2)-((($C$14-3)/($C$14-1))*K4^2)),4)</f>
        <v/>
      </c>
      <c r="L18" s="75">
        <f>TRUNC((1/$C$14)*(5*(L4^2)-((($C$14-3)/($C$14-1))*L4^2)),4)</f>
        <v/>
      </c>
      <c r="M18" s="75">
        <f>TRUNC((1/$C$14)*(5*(M4^2)-((($C$14-3)/($C$14-1))*M4^2)),4)</f>
        <v/>
      </c>
      <c r="N18" s="75">
        <f>TRUNC((1/$C$14)*(5*(N4^2)-((($C$14-3)/($C$14-1))*N4^2)),4)</f>
        <v/>
      </c>
      <c r="O18" s="75">
        <f>TRUNC((1/$C$14)*(5*(O4^2)-((($C$14-3)/($C$14-1))*O4^2)),4)</f>
        <v/>
      </c>
      <c r="P18" s="75">
        <f>TRUNC((1/$C$14)*(5*(P4^2)-((($C$14-3)/($C$14-1))*P4^2)),4)</f>
        <v/>
      </c>
      <c r="Q18" s="75">
        <f>TRUNC((1/$C$14)*(5*(Q4^2)-((($C$14-3)/($C$14-1))*Q4^2)),4)</f>
        <v/>
      </c>
      <c r="R18" s="75">
        <f>TRUNC((1/$C$14)*(5*(R4^2)-((($C$14-3)/($C$14-1))*R4^2)),4)</f>
        <v/>
      </c>
    </row>
    <row r="19">
      <c r="C19" s="75" t="n">
        <v>2</v>
      </c>
      <c r="D19" s="75">
        <f>TRUNC((1/$C$14)*(5*(D5^2)-((($C$14-3)/($C$14-1))*D5^2)),4)</f>
        <v/>
      </c>
      <c r="E19" s="75">
        <f>TRUNC((1/$C$14)*(5*(E5^2)-((($C$14-3)/($C$14-1))*E5^2)),4)</f>
        <v/>
      </c>
      <c r="F19" s="75">
        <f>TRUNC((1/$C$14)*(5*(F5^2)-((($C$14-3)/($C$14-1))*F5^2)),4)</f>
        <v/>
      </c>
      <c r="G19" s="75">
        <f>TRUNC((1/$C$14)*(5*(G5^2)-((($C$14-3)/($C$14-1))*G5^2)),4)</f>
        <v/>
      </c>
      <c r="H19" s="75">
        <f>TRUNC((1/$C$14)*(5*(H5^2)-((($C$14-3)/($C$14-1))*H5^2)),4)</f>
        <v/>
      </c>
      <c r="I19" s="75">
        <f>TRUNC((1/$C$14)*(5*(I5^2)-((($C$14-3)/($C$14-1))*I5^2)),4)</f>
        <v/>
      </c>
      <c r="J19" s="75">
        <f>TRUNC((1/$C$14)*(5*(J5^2)-((($C$14-3)/($C$14-1))*J5^2)),4)</f>
        <v/>
      </c>
      <c r="K19" s="75">
        <f>TRUNC((1/$C$14)*(5*(K5^2)-((($C$14-3)/($C$14-1))*K5^2)),4)</f>
        <v/>
      </c>
      <c r="L19" s="75">
        <f>TRUNC((1/$C$14)*(5*(L5^2)-((($C$14-3)/($C$14-1))*L5^2)),4)</f>
        <v/>
      </c>
      <c r="M19" s="75">
        <f>TRUNC((1/$C$14)*(5*(M5^2)-((($C$14-3)/($C$14-1))*M5^2)),4)</f>
        <v/>
      </c>
      <c r="N19" s="75">
        <f>TRUNC((1/$C$14)*(5*(N5^2)-((($C$14-3)/($C$14-1))*N5^2)),4)</f>
        <v/>
      </c>
      <c r="O19" s="75">
        <f>TRUNC((1/$C$14)*(5*(O5^2)-((($C$14-3)/($C$14-1))*O5^2)),4)</f>
        <v/>
      </c>
      <c r="P19" s="75">
        <f>TRUNC((1/$C$14)*(5*(P5^2)-((($C$14-3)/($C$14-1))*P5^2)),4)</f>
        <v/>
      </c>
      <c r="Q19" s="75">
        <f>TRUNC((1/$C$14)*(5*(Q5^2)-((($C$14-3)/($C$14-1))*Q5^2)),4)</f>
        <v/>
      </c>
      <c r="R19" s="75">
        <f>TRUNC((1/$C$14)*(5*(R5^2)-((($C$14-3)/($C$14-1))*R5^2)),4)</f>
        <v/>
      </c>
    </row>
    <row r="20">
      <c r="C20" s="75" t="n">
        <v>3</v>
      </c>
      <c r="D20" s="75">
        <f>TRUNC((1/$C$14)*(5*(D6^2)-((($C$14-3)/($C$14-1))*D6^2)),4)</f>
        <v/>
      </c>
      <c r="E20" s="75">
        <f>TRUNC((1/$C$14)*(5*(E6^2)-((($C$14-3)/($C$14-1))*E6^2)),4)</f>
        <v/>
      </c>
      <c r="F20" s="75">
        <f>TRUNC((1/$C$14)*(5*(F6^2)-((($C$14-3)/($C$14-1))*F6^2)),4)</f>
        <v/>
      </c>
      <c r="G20" s="75">
        <f>TRUNC((1/$C$14)*(5*(G6^2)-((($C$14-3)/($C$14-1))*G6^2)),4)</f>
        <v/>
      </c>
      <c r="H20" s="75">
        <f>TRUNC((1/$C$14)*(5*(H6^2)-((($C$14-3)/($C$14-1))*H6^2)),4)</f>
        <v/>
      </c>
      <c r="I20" s="75">
        <f>TRUNC((1/$C$14)*(5*(I6^2)-((($C$14-3)/($C$14-1))*I6^2)),4)</f>
        <v/>
      </c>
      <c r="J20" s="75">
        <f>TRUNC((1/$C$14)*(5*(J6^2)-((($C$14-3)/($C$14-1))*J6^2)),4)</f>
        <v/>
      </c>
      <c r="K20" s="75">
        <f>TRUNC((1/$C$14)*(5*(K6^2)-((($C$14-3)/($C$14-1))*K6^2)),4)</f>
        <v/>
      </c>
      <c r="L20" s="75">
        <f>TRUNC((1/$C$14)*(5*(L6^2)-((($C$14-3)/($C$14-1))*L6^2)),4)</f>
        <v/>
      </c>
      <c r="M20" s="75">
        <f>TRUNC((1/$C$14)*(5*(M6^2)-((($C$14-3)/($C$14-1))*M6^2)),4)</f>
        <v/>
      </c>
      <c r="N20" s="75">
        <f>TRUNC((1/$C$14)*(5*(N6^2)-((($C$14-3)/($C$14-1))*N6^2)),4)</f>
        <v/>
      </c>
      <c r="O20" s="75">
        <f>TRUNC((1/$C$14)*(5*(O6^2)-((($C$14-3)/($C$14-1))*O6^2)),4)</f>
        <v/>
      </c>
      <c r="P20" s="75">
        <f>TRUNC((1/$C$14)*(5*(P6^2)-((($C$14-3)/($C$14-1))*P6^2)),4)</f>
        <v/>
      </c>
      <c r="Q20" s="75">
        <f>TRUNC((1/$C$14)*(5*(Q6^2)-((($C$14-3)/($C$14-1))*Q6^2)),4)</f>
        <v/>
      </c>
      <c r="R20" s="75">
        <f>TRUNC((1/$C$14)*(5*(R6^2)-((($C$14-3)/($C$14-1))*R6^2)),4)</f>
        <v/>
      </c>
    </row>
    <row r="23">
      <c r="D23" s="75" t="n">
        <v>1</v>
      </c>
      <c r="E23" s="75" t="n">
        <v>2</v>
      </c>
      <c r="F23" s="75" t="n">
        <v>3</v>
      </c>
      <c r="G23" s="75" t="n">
        <v>4</v>
      </c>
      <c r="H23" s="75" t="n">
        <v>5</v>
      </c>
      <c r="I23" s="75" t="n">
        <v>6</v>
      </c>
      <c r="J23" s="75" t="n">
        <v>7</v>
      </c>
      <c r="K23" s="75" t="n">
        <v>8</v>
      </c>
      <c r="L23" s="75" t="n">
        <v>9</v>
      </c>
      <c r="M23" s="75" t="n">
        <v>10</v>
      </c>
      <c r="N23" s="75" t="n">
        <v>11</v>
      </c>
      <c r="O23" s="75" t="n">
        <v>12</v>
      </c>
      <c r="P23" s="75" t="n">
        <v>13</v>
      </c>
      <c r="Q23" s="75" t="n">
        <v>14</v>
      </c>
      <c r="R23" s="75" t="n">
        <v>15</v>
      </c>
    </row>
    <row r="24">
      <c r="B24" s="75" t="inlineStr">
        <is>
          <t>Var(Var(Cap))</t>
        </is>
      </c>
      <c r="C24" s="75" t="n">
        <v>1</v>
      </c>
      <c r="D24" s="75">
        <f>TRUNC((1/$C$14)*(5*(D10^2)-((($C$14-3)/($C$14-1))*D10^2)),4)</f>
        <v/>
      </c>
      <c r="E24" s="75">
        <f>TRUNC((1/$C$14)*(5*(E10^2)-((($C$14-3)/($C$14-1))*E10^2)),4)</f>
        <v/>
      </c>
      <c r="F24" s="75">
        <f>TRUNC((1/$C$14)*(5*(F10^2)-((($C$14-3)/($C$14-1))*F10^2)),4)</f>
        <v/>
      </c>
      <c r="G24" s="75">
        <f>TRUNC((1/$C$14)*(5*(G10^2)-((($C$14-3)/($C$14-1))*G10^2)),4)</f>
        <v/>
      </c>
      <c r="H24" s="75">
        <f>TRUNC((1/$C$14)*(5*(H10^2)-((($C$14-3)/($C$14-1))*H10^2)),4)</f>
        <v/>
      </c>
      <c r="I24" s="75">
        <f>TRUNC((1/$C$14)*(5*(I10^2)-((($C$14-3)/($C$14-1))*I10^2)),4)</f>
        <v/>
      </c>
      <c r="J24" s="75">
        <f>TRUNC((1/$C$14)*(5*(J10^2)-((($C$14-3)/($C$14-1))*J10^2)),4)</f>
        <v/>
      </c>
      <c r="K24" s="75">
        <f>TRUNC((1/$C$14)*(5*(K10^2)-((($C$14-3)/($C$14-1))*K10^2)),4)</f>
        <v/>
      </c>
      <c r="L24" s="75">
        <f>TRUNC((1/$C$14)*(5*(L10^2)-((($C$14-3)/($C$14-1))*L10^2)),4)</f>
        <v/>
      </c>
      <c r="M24" s="75">
        <f>TRUNC((1/$C$14)*(5*(M10^2)-((($C$14-3)/($C$14-1))*M10^2)),4)</f>
        <v/>
      </c>
      <c r="N24" s="75">
        <f>TRUNC((1/$C$14)*(5*(N10^2)-((($C$14-3)/($C$14-1))*N10^2)),4)</f>
        <v/>
      </c>
      <c r="O24" s="75">
        <f>TRUNC((1/$C$14)*(5*(O10^2)-((($C$14-3)/($C$14-1))*O10^2)),4)</f>
        <v/>
      </c>
      <c r="P24" s="75">
        <f>TRUNC((1/$C$14)*(5*(P10^2)-((($C$14-3)/($C$14-1))*P10^2)),4)</f>
        <v/>
      </c>
      <c r="Q24" s="75">
        <f>TRUNC((1/$C$14)*(5*(Q10^2)-((($C$14-3)/($C$14-1))*Q10^2)),4)</f>
        <v/>
      </c>
      <c r="R24" s="75">
        <f>TRUNC((1/$C$14)*(5*(R10^2)-((($C$14-3)/($C$14-1))*R10^2)),4)</f>
        <v/>
      </c>
    </row>
    <row r="25">
      <c r="C25" s="75" t="n">
        <v>2</v>
      </c>
      <c r="D25" s="75">
        <f>TRUNC((1/$C$14)*(5*(D11^2)-((($C$14-3)/($C$14-1))*D11^2)),4)</f>
        <v/>
      </c>
      <c r="E25" s="75">
        <f>TRUNC((1/$C$14)*(5*(E11^2)-((($C$14-3)/($C$14-1))*E11^2)),4)</f>
        <v/>
      </c>
      <c r="F25" s="75">
        <f>TRUNC((1/$C$14)*(5*(F11^2)-((($C$14-3)/($C$14-1))*F11^2)),4)</f>
        <v/>
      </c>
      <c r="G25" s="75">
        <f>TRUNC((1/$C$14)*(5*(G11^2)-((($C$14-3)/($C$14-1))*G11^2)),4)</f>
        <v/>
      </c>
      <c r="H25" s="75">
        <f>TRUNC((1/$C$14)*(5*(H11^2)-((($C$14-3)/($C$14-1))*H11^2)),4)</f>
        <v/>
      </c>
      <c r="I25" s="75">
        <f>TRUNC((1/$C$14)*(5*(I11^2)-((($C$14-3)/($C$14-1))*I11^2)),4)</f>
        <v/>
      </c>
      <c r="J25" s="75">
        <f>TRUNC((1/$C$14)*(5*(J11^2)-((($C$14-3)/($C$14-1))*J11^2)),4)</f>
        <v/>
      </c>
      <c r="K25" s="75">
        <f>TRUNC((1/$C$14)*(5*(K11^2)-((($C$14-3)/($C$14-1))*K11^2)),4)</f>
        <v/>
      </c>
      <c r="L25" s="75">
        <f>TRUNC((1/$C$14)*(5*(L11^2)-((($C$14-3)/($C$14-1))*L11^2)),4)</f>
        <v/>
      </c>
      <c r="M25" s="75">
        <f>TRUNC((1/$C$14)*(5*(M11^2)-((($C$14-3)/($C$14-1))*M11^2)),4)</f>
        <v/>
      </c>
      <c r="N25" s="75">
        <f>TRUNC((1/$C$14)*(5*(N11^2)-((($C$14-3)/($C$14-1))*N11^2)),4)</f>
        <v/>
      </c>
      <c r="O25" s="75">
        <f>TRUNC((1/$C$14)*(5*(O11^2)-((($C$14-3)/($C$14-1))*O11^2)),4)</f>
        <v/>
      </c>
      <c r="P25" s="75">
        <f>TRUNC((1/$C$14)*(5*(P11^2)-((($C$14-3)/($C$14-1))*P11^2)),4)</f>
        <v/>
      </c>
      <c r="Q25" s="75">
        <f>TRUNC((1/$C$14)*(5*(Q11^2)-((($C$14-3)/($C$14-1))*Q11^2)),4)</f>
        <v/>
      </c>
      <c r="R25" s="75">
        <f>TRUNC((1/$C$14)*(5*(R11^2)-((($C$14-3)/($C$14-1))*R11^2)),4)</f>
        <v/>
      </c>
    </row>
    <row r="26">
      <c r="C26" s="75" t="n">
        <v>3</v>
      </c>
      <c r="D26" s="75">
        <f>TRUNC((1/$C$14)*(5*(D12^2)-((($C$14-3)/($C$14-1))*D12^2)),4)</f>
        <v/>
      </c>
      <c r="E26" s="75">
        <f>TRUNC((1/$C$14)*(5*(E12^2)-((($C$14-3)/($C$14-1))*E12^2)),4)</f>
        <v/>
      </c>
      <c r="F26" s="75">
        <f>TRUNC((1/$C$14)*(5*(F12^2)-((($C$14-3)/($C$14-1))*F12^2)),4)</f>
        <v/>
      </c>
      <c r="G26" s="75">
        <f>TRUNC((1/$C$14)*(5*(G12^2)-((($C$14-3)/($C$14-1))*G12^2)),4)</f>
        <v/>
      </c>
      <c r="H26" s="75">
        <f>TRUNC((1/$C$14)*(5*(H12^2)-((($C$14-3)/($C$14-1))*H12^2)),4)</f>
        <v/>
      </c>
      <c r="I26" s="75">
        <f>TRUNC((1/$C$14)*(5*(I12^2)-((($C$14-3)/($C$14-1))*I12^2)),4)</f>
        <v/>
      </c>
      <c r="J26" s="75">
        <f>TRUNC((1/$C$14)*(5*(J12^2)-((($C$14-3)/($C$14-1))*J12^2)),4)</f>
        <v/>
      </c>
      <c r="K26" s="75">
        <f>TRUNC((1/$C$14)*(5*(K12^2)-((($C$14-3)/($C$14-1))*K12^2)),4)</f>
        <v/>
      </c>
      <c r="L26" s="75">
        <f>TRUNC((1/$C$14)*(5*(L12^2)-((($C$14-3)/($C$14-1))*L12^2)),4)</f>
        <v/>
      </c>
      <c r="M26" s="75">
        <f>TRUNC((1/$C$14)*(5*(M12^2)-((($C$14-3)/($C$14-1))*M12^2)),4)</f>
        <v/>
      </c>
      <c r="N26" s="75">
        <f>TRUNC((1/$C$14)*(5*(N12^2)-((($C$14-3)/($C$14-1))*N12^2)),4)</f>
        <v/>
      </c>
      <c r="O26" s="75">
        <f>TRUNC((1/$C$14)*(5*(O12^2)-((($C$14-3)/($C$14-1))*O12^2)),4)</f>
        <v/>
      </c>
      <c r="P26" s="75">
        <f>TRUNC((1/$C$14)*(5*(P12^2)-((($C$14-3)/($C$14-1))*P12^2)),4)</f>
        <v/>
      </c>
      <c r="Q26" s="75">
        <f>TRUNC((1/$C$14)*(5*(Q12^2)-((($C$14-3)/($C$14-1))*Q12^2)),4)</f>
        <v/>
      </c>
      <c r="R26" s="75">
        <f>TRUNC((1/$C$14)*(5*(R12^2)-((($C$14-3)/($C$14-1))*R12^2)),4)</f>
        <v/>
      </c>
    </row>
    <row r="28">
      <c r="D28" s="75" t="n">
        <v>1</v>
      </c>
      <c r="E28" s="75" t="n">
        <v>2</v>
      </c>
      <c r="F28" s="75" t="n">
        <v>3</v>
      </c>
      <c r="G28" s="75" t="n">
        <v>4</v>
      </c>
      <c r="H28" s="75" t="n">
        <v>5</v>
      </c>
      <c r="I28" s="75" t="n">
        <v>6</v>
      </c>
      <c r="J28" s="75" t="n">
        <v>7</v>
      </c>
      <c r="K28" s="75" t="n">
        <v>8</v>
      </c>
      <c r="L28" s="75" t="n">
        <v>9</v>
      </c>
      <c r="M28" s="75" t="n">
        <v>10</v>
      </c>
      <c r="N28" s="75" t="n">
        <v>11</v>
      </c>
      <c r="O28" s="75" t="n">
        <v>12</v>
      </c>
      <c r="P28" s="75" t="n">
        <v>13</v>
      </c>
      <c r="Q28" s="75" t="n">
        <v>14</v>
      </c>
      <c r="R28" s="75" t="n">
        <v>15</v>
      </c>
    </row>
    <row r="29">
      <c r="B29" s="75" t="inlineStr">
        <is>
          <t>Var(soma das Var)</t>
        </is>
      </c>
      <c r="C29" s="75" t="n">
        <v>1</v>
      </c>
      <c r="D29" s="75">
        <f>TRUNC((D18+D24)*((1/$C$15)^2),4)</f>
        <v/>
      </c>
      <c r="E29" s="75">
        <f>TRUNC((E18+E24)*((1/$C$15)^2),4)</f>
        <v/>
      </c>
      <c r="F29" s="75">
        <f>TRUNC((F18+F24)*((1/$C$15)^2),4)</f>
        <v/>
      </c>
      <c r="G29" s="75">
        <f>TRUNC((G18+G24)*((1/$C$15)^2),4)</f>
        <v/>
      </c>
      <c r="H29" s="75">
        <f>TRUNC((H18+H24)*((1/$C$15)^2),4)</f>
        <v/>
      </c>
      <c r="I29" s="75">
        <f>TRUNC((I18+I24)*((1/$C$15)^2),4)</f>
        <v/>
      </c>
      <c r="J29" s="75">
        <f>TRUNC((J18+J24)*((1/$C$15)^2),4)</f>
        <v/>
      </c>
      <c r="K29" s="75">
        <f>TRUNC((K18+K24)*((1/$C$15)^2),4)</f>
        <v/>
      </c>
      <c r="L29" s="75">
        <f>TRUNC((L18+L24)*((1/$C$15)^2),4)</f>
        <v/>
      </c>
      <c r="M29" s="75">
        <f>TRUNC((M18+M24)*((1/$C$15)^2),4)</f>
        <v/>
      </c>
      <c r="N29" s="75">
        <f>TRUNC((N18+N24)*((1/$C$15)^2),4)</f>
        <v/>
      </c>
      <c r="O29" s="75">
        <f>TRUNC((O18+O24)*((1/$C$15)^2),4)</f>
        <v/>
      </c>
      <c r="P29" s="75">
        <f>TRUNC((P18+P24)*((1/$C$15)^2),4)</f>
        <v/>
      </c>
      <c r="Q29" s="75">
        <f>TRUNC((Q18+Q24)*((1/$C$15)^2),4)</f>
        <v/>
      </c>
      <c r="R29" s="75">
        <f>TRUNC((R18+R24)*((1/$C$15)^2),4)</f>
        <v/>
      </c>
    </row>
    <row r="30">
      <c r="C30" s="75" t="n">
        <v>2</v>
      </c>
      <c r="D30" s="75">
        <f>TRUNC((D19+D25)*((1/$C$15)^2),4)</f>
        <v/>
      </c>
      <c r="E30" s="75">
        <f>TRUNC((E19+E25)*((1/$C$15)^2),4)</f>
        <v/>
      </c>
      <c r="F30" s="75">
        <f>TRUNC((F19+F25)*((1/$C$15)^2),4)</f>
        <v/>
      </c>
      <c r="G30" s="75">
        <f>TRUNC((G19+G25)*((1/$C$15)^2),4)</f>
        <v/>
      </c>
      <c r="H30" s="75">
        <f>TRUNC((H19+H25)*((1/$C$15)^2),4)</f>
        <v/>
      </c>
      <c r="I30" s="75">
        <f>TRUNC((I19+I25)*((1/$C$15)^2),4)</f>
        <v/>
      </c>
      <c r="J30" s="75">
        <f>TRUNC((J19+J25)*((1/$C$15)^2),4)</f>
        <v/>
      </c>
      <c r="K30" s="75">
        <f>TRUNC((K19+K25)*((1/$C$15)^2),4)</f>
        <v/>
      </c>
      <c r="L30" s="75">
        <f>TRUNC((L19+L25)*((1/$C$15)^2),4)</f>
        <v/>
      </c>
      <c r="M30" s="75">
        <f>TRUNC((M19+M25)*((1/$C$15)^2),4)</f>
        <v/>
      </c>
      <c r="N30" s="75">
        <f>TRUNC((N19+N25)*((1/$C$15)^2),4)</f>
        <v/>
      </c>
      <c r="O30" s="75">
        <f>TRUNC((O19+O25)*((1/$C$15)^2),4)</f>
        <v/>
      </c>
      <c r="P30" s="75">
        <f>TRUNC((P19+P25)*((1/$C$15)^2),4)</f>
        <v/>
      </c>
      <c r="Q30" s="75">
        <f>TRUNC((Q19+Q25)*((1/$C$15)^2),4)</f>
        <v/>
      </c>
      <c r="R30" s="75">
        <f>TRUNC((R19+R25)*((1/$C$15)^2),4)</f>
        <v/>
      </c>
    </row>
    <row r="31">
      <c r="C31" s="75" t="n">
        <v>3</v>
      </c>
      <c r="D31" s="75">
        <f>TRUNC((D20+D26)*((1/$C$15)^2),4)</f>
        <v/>
      </c>
      <c r="E31" s="75">
        <f>TRUNC((E20+E26)*((1/$C$15)^2),4)</f>
        <v/>
      </c>
      <c r="F31" s="75">
        <f>TRUNC((F20+F26)*((1/$C$15)^2),4)</f>
        <v/>
      </c>
      <c r="G31" s="75">
        <f>TRUNC((G20+G26)*((1/$C$15)^2),4)</f>
        <v/>
      </c>
      <c r="H31" s="75">
        <f>TRUNC((H20+H26)*((1/$C$15)^2),4)</f>
        <v/>
      </c>
      <c r="I31" s="75">
        <f>TRUNC((I20+I26)*((1/$C$15)^2),4)</f>
        <v/>
      </c>
      <c r="J31" s="75">
        <f>TRUNC((J20+J26)*((1/$C$15)^2),4)</f>
        <v/>
      </c>
      <c r="K31" s="75">
        <f>TRUNC((K20+K26)*((1/$C$15)^2),4)</f>
        <v/>
      </c>
      <c r="L31" s="75">
        <f>TRUNC((L20+L26)*((1/$C$15)^2),4)</f>
        <v/>
      </c>
      <c r="M31" s="75">
        <f>TRUNC((M20+M26)*((1/$C$15)^2),4)</f>
        <v/>
      </c>
      <c r="N31" s="75">
        <f>TRUNC((N20+N26)*((1/$C$15)^2),4)</f>
        <v/>
      </c>
      <c r="O31" s="75">
        <f>TRUNC((O20+O26)*((1/$C$15)^2),4)</f>
        <v/>
      </c>
      <c r="P31" s="75">
        <f>TRUNC((P20+P26)*((1/$C$15)^2),4)</f>
        <v/>
      </c>
      <c r="Q31" s="75">
        <f>TRUNC((Q20+Q26)*((1/$C$15)^2),4)</f>
        <v/>
      </c>
      <c r="R31" s="75">
        <f>TRUNC((R20+R26)*((1/$C$15)^2),4)</f>
        <v/>
      </c>
    </row>
    <row r="34">
      <c r="D34" s="75" t="n">
        <v>1</v>
      </c>
      <c r="E34" s="75" t="n">
        <v>2</v>
      </c>
      <c r="F34" s="75" t="n">
        <v>3</v>
      </c>
      <c r="G34" s="75" t="n">
        <v>4</v>
      </c>
      <c r="H34" s="75" t="n">
        <v>5</v>
      </c>
      <c r="I34" s="75" t="n">
        <v>6</v>
      </c>
      <c r="J34" s="75" t="n">
        <v>7</v>
      </c>
      <c r="K34" s="75" t="n">
        <v>8</v>
      </c>
      <c r="L34" s="75" t="n">
        <v>9</v>
      </c>
      <c r="M34" s="75" t="n">
        <v>10</v>
      </c>
      <c r="N34" s="75" t="n">
        <v>11</v>
      </c>
      <c r="O34" s="75" t="n">
        <v>12</v>
      </c>
      <c r="P34" s="75" t="n">
        <v>13</v>
      </c>
      <c r="Q34" s="75" t="n">
        <v>14</v>
      </c>
      <c r="R34" s="75" t="n">
        <v>15</v>
      </c>
    </row>
    <row r="35">
      <c r="C35" s="75" t="n">
        <v>1</v>
      </c>
      <c r="D35" s="75">
        <f>TRUNC(D29^0.5,4)</f>
        <v/>
      </c>
      <c r="E35" s="75">
        <f>TRUNC(E29^0.5,4)</f>
        <v/>
      </c>
      <c r="F35" s="75">
        <f>TRUNC(F29^0.5,4)</f>
        <v/>
      </c>
      <c r="G35" s="75">
        <f>TRUNC(G29^0.5,4)</f>
        <v/>
      </c>
      <c r="H35" s="75">
        <f>TRUNC(H29^0.5,4)</f>
        <v/>
      </c>
      <c r="I35" s="75">
        <f>TRUNC(I29^0.5,4)</f>
        <v/>
      </c>
      <c r="J35" s="75">
        <f>TRUNC(J29^0.5,4)</f>
        <v/>
      </c>
      <c r="K35" s="75">
        <f>TRUNC(K29^0.5,4)</f>
        <v/>
      </c>
      <c r="L35" s="75">
        <f>TRUNC(L29^0.5,4)</f>
        <v/>
      </c>
      <c r="M35" s="75">
        <f>TRUNC(M29^0.5,4)</f>
        <v/>
      </c>
      <c r="N35" s="75">
        <f>TRUNC(N29^0.5,4)</f>
        <v/>
      </c>
      <c r="O35" s="75">
        <f>TRUNC(O29^0.5,4)</f>
        <v/>
      </c>
      <c r="P35" s="75">
        <f>TRUNC(P29^0.5,4)</f>
        <v/>
      </c>
      <c r="Q35" s="75">
        <f>TRUNC(Q29^0.5,4)</f>
        <v/>
      </c>
      <c r="R35" s="75">
        <f>TRUNC(R29^0.5,4)</f>
        <v/>
      </c>
    </row>
    <row r="36">
      <c r="C36" s="75" t="n">
        <v>2</v>
      </c>
      <c r="D36" s="75">
        <f>TRUNC(D30^0.5,4)</f>
        <v/>
      </c>
      <c r="E36" s="75">
        <f>TRUNC(E30^0.5,4)</f>
        <v/>
      </c>
      <c r="F36" s="75">
        <f>TRUNC(F30^0.5,4)</f>
        <v/>
      </c>
      <c r="G36" s="75">
        <f>TRUNC(G30^0.5,4)</f>
        <v/>
      </c>
      <c r="H36" s="75">
        <f>TRUNC(H30^0.5,4)</f>
        <v/>
      </c>
      <c r="I36" s="75">
        <f>TRUNC(I30^0.5,4)</f>
        <v/>
      </c>
      <c r="J36" s="75">
        <f>TRUNC(J30^0.5,4)</f>
        <v/>
      </c>
      <c r="K36" s="75">
        <f>TRUNC(K30^0.5,4)</f>
        <v/>
      </c>
      <c r="L36" s="75">
        <f>TRUNC(L30^0.5,4)</f>
        <v/>
      </c>
      <c r="M36" s="75">
        <f>TRUNC(M30^0.5,4)</f>
        <v/>
      </c>
      <c r="N36" s="75">
        <f>TRUNC(N30^0.5,4)</f>
        <v/>
      </c>
      <c r="O36" s="75">
        <f>TRUNC(O30^0.5,4)</f>
        <v/>
      </c>
      <c r="P36" s="75">
        <f>TRUNC(P30^0.5,4)</f>
        <v/>
      </c>
      <c r="Q36" s="75">
        <f>TRUNC(Q30^0.5,4)</f>
        <v/>
      </c>
      <c r="R36" s="75">
        <f>TRUNC(R30^0.5,4)</f>
        <v/>
      </c>
    </row>
    <row r="37">
      <c r="C37" s="75" t="n">
        <v>3</v>
      </c>
      <c r="D37" s="75">
        <f>TRUNC(D31^0.5,4)</f>
        <v/>
      </c>
      <c r="E37" s="75">
        <f>TRUNC(E31^0.5,4)</f>
        <v/>
      </c>
      <c r="F37" s="75">
        <f>TRUNC(F31^0.5,4)</f>
        <v/>
      </c>
      <c r="G37" s="75">
        <f>TRUNC(G31^0.5,4)</f>
        <v/>
      </c>
      <c r="H37" s="75">
        <f>TRUNC(H31^0.5,4)</f>
        <v/>
      </c>
      <c r="I37" s="75">
        <f>TRUNC(I31^0.5,4)</f>
        <v/>
      </c>
      <c r="J37" s="75">
        <f>TRUNC(J31^0.5,4)</f>
        <v/>
      </c>
      <c r="K37" s="75">
        <f>TRUNC(K31^0.5,4)</f>
        <v/>
      </c>
      <c r="L37" s="75">
        <f>TRUNC(L31^0.5,4)</f>
        <v/>
      </c>
      <c r="M37" s="75">
        <f>TRUNC(M31^0.5,4)</f>
        <v/>
      </c>
      <c r="N37" s="75">
        <f>TRUNC(N31^0.5,4)</f>
        <v/>
      </c>
      <c r="O37" s="75">
        <f>TRUNC(O31^0.5,4)</f>
        <v/>
      </c>
      <c r="P37" s="75">
        <f>TRUNC(P31^0.5,4)</f>
        <v/>
      </c>
      <c r="Q37" s="75">
        <f>TRUNC(Q31^0.5,4)</f>
        <v/>
      </c>
      <c r="R37" s="75">
        <f>TRUNC(R31^0.5,4)</f>
        <v/>
      </c>
    </row>
    <row r="40">
      <c r="D40" s="75" t="n">
        <v>1</v>
      </c>
      <c r="E40" s="75" t="n">
        <v>2</v>
      </c>
      <c r="F40" s="75" t="n">
        <v>3</v>
      </c>
      <c r="G40" s="75" t="n">
        <v>4</v>
      </c>
      <c r="H40" s="75" t="n">
        <v>5</v>
      </c>
      <c r="I40" s="75" t="n">
        <v>6</v>
      </c>
      <c r="J40" s="75" t="n">
        <v>7</v>
      </c>
      <c r="K40" s="75" t="n">
        <v>8</v>
      </c>
      <c r="L40" s="75" t="n">
        <v>9</v>
      </c>
      <c r="M40" s="75" t="n">
        <v>10</v>
      </c>
      <c r="N40" s="75" t="n">
        <v>11</v>
      </c>
      <c r="O40" s="75" t="n">
        <v>12</v>
      </c>
      <c r="P40" s="75" t="n">
        <v>13</v>
      </c>
      <c r="Q40" s="75" t="n">
        <v>14</v>
      </c>
      <c r="R40" s="75" t="n">
        <v>15</v>
      </c>
    </row>
    <row r="41">
      <c r="B41" s="75" t="inlineStr">
        <is>
          <t>Desvpad(Var(soma das Var))</t>
        </is>
      </c>
      <c r="C41" s="75" t="n">
        <v>1</v>
      </c>
      <c r="D41" s="24" t="n">
        <v>112.4037</v>
      </c>
      <c r="E41" s="24" t="n">
        <v>150.5519</v>
      </c>
      <c r="F41" s="24" t="n">
        <v>150.0761</v>
      </c>
      <c r="G41" s="24" t="n">
        <v>125.8954</v>
      </c>
      <c r="H41" s="24" t="n">
        <v>277.3852</v>
      </c>
      <c r="I41" s="24" t="n">
        <v>114.4701</v>
      </c>
      <c r="J41" s="24" t="n">
        <v>139.7176</v>
      </c>
      <c r="K41" s="24" t="n">
        <v>251.6818</v>
      </c>
      <c r="L41" s="24" t="n">
        <v>197.052</v>
      </c>
      <c r="M41" s="24" t="n">
        <v>181.9621</v>
      </c>
      <c r="N41" s="24" t="n">
        <v>277.4759</v>
      </c>
      <c r="O41" s="24" t="n">
        <v>84.7787</v>
      </c>
      <c r="P41" s="24" t="n">
        <v>123.9421</v>
      </c>
      <c r="Q41" s="24" t="n">
        <v>109.4126</v>
      </c>
      <c r="R41" s="24" t="n">
        <v>346.4116</v>
      </c>
    </row>
    <row r="42">
      <c r="C42" s="75" t="n">
        <v>2</v>
      </c>
      <c r="D42" s="24" t="n">
        <v>160.9752</v>
      </c>
      <c r="E42" s="24" t="n">
        <v>121.0452</v>
      </c>
      <c r="F42" s="24" t="n">
        <v>138.0701</v>
      </c>
      <c r="G42" s="24" t="n">
        <v>362.605</v>
      </c>
      <c r="H42" s="24" t="n">
        <v>217.2882</v>
      </c>
      <c r="I42" s="24" t="n">
        <v>239.086</v>
      </c>
      <c r="J42" s="24" t="n">
        <v>140.5445</v>
      </c>
      <c r="K42" s="24" t="n">
        <v>117.3</v>
      </c>
      <c r="L42" s="24" t="n">
        <v>178.8198</v>
      </c>
      <c r="M42" s="24" t="n">
        <v>112.6414</v>
      </c>
      <c r="N42" s="24" t="n">
        <v>177.7212</v>
      </c>
      <c r="O42" s="24" t="n">
        <v>205.8108</v>
      </c>
      <c r="P42" s="24" t="n">
        <v>135.1194</v>
      </c>
      <c r="Q42" s="24" t="n">
        <v>284.6164</v>
      </c>
      <c r="R42" s="24" t="n">
        <v>247.6234</v>
      </c>
    </row>
    <row r="43">
      <c r="C43" s="75" t="n">
        <v>3</v>
      </c>
      <c r="D43" s="24" t="n">
        <v>278.6301</v>
      </c>
      <c r="E43" s="24" t="n">
        <v>152.9252</v>
      </c>
      <c r="F43" s="24" t="n">
        <v>179.974</v>
      </c>
      <c r="G43" s="24" t="n">
        <v>331.4884</v>
      </c>
      <c r="H43" s="24" t="n">
        <v>161.8803</v>
      </c>
      <c r="I43" s="24" t="n">
        <v>286.2747</v>
      </c>
      <c r="J43" s="24" t="n">
        <v>169.9887</v>
      </c>
      <c r="K43" s="24" t="n">
        <v>215.3825</v>
      </c>
      <c r="L43" s="24" t="n">
        <v>182.4408</v>
      </c>
      <c r="M43" s="24" t="n">
        <v>125.2284</v>
      </c>
      <c r="N43" s="24" t="n">
        <v>158.1255</v>
      </c>
      <c r="O43" s="24" t="n">
        <v>153.0895</v>
      </c>
      <c r="P43" s="24" t="n">
        <v>233.367</v>
      </c>
      <c r="Q43" s="24" t="n">
        <v>206.1942</v>
      </c>
      <c r="R43" s="24" t="n">
        <v>206.0767</v>
      </c>
    </row>
  </sheetData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topLeftCell="A16" zoomScale="90" zoomScaleNormal="90" workbookViewId="0">
      <selection activeCell="D35" sqref="D35"/>
    </sheetView>
  </sheetViews>
  <sheetFormatPr baseColWidth="8" defaultRowHeight="14.4"/>
  <cols>
    <col width="24.109375" bestFit="1" customWidth="1" min="2" max="2"/>
    <col width="17.109375" bestFit="1" customWidth="1" min="4" max="4"/>
    <col width="16" bestFit="1" customWidth="1" min="5" max="5"/>
    <col width="17.109375" bestFit="1" customWidth="1" min="6" max="6"/>
  </cols>
  <sheetData>
    <row r="1">
      <c r="A1" s="75" t="n"/>
      <c r="B1" s="75" t="n"/>
      <c r="C1" s="75" t="n"/>
      <c r="D1" s="75" t="n"/>
      <c r="E1" s="75" t="n"/>
      <c r="F1" s="75" t="n"/>
    </row>
    <row r="2">
      <c r="A2" s="75" t="n"/>
      <c r="B2" s="75" t="n"/>
      <c r="C2" s="75" t="n"/>
      <c r="D2" s="75" t="n"/>
      <c r="E2" s="75" t="n"/>
      <c r="F2" s="75" t="n"/>
    </row>
    <row r="3">
      <c r="A3" s="75" t="n"/>
      <c r="B3" s="75" t="n"/>
      <c r="C3" s="75" t="n"/>
      <c r="D3" s="75" t="n">
        <v>1</v>
      </c>
      <c r="E3" s="75" t="n">
        <v>2</v>
      </c>
      <c r="F3" s="75" t="n">
        <v>3</v>
      </c>
    </row>
    <row r="4">
      <c r="A4" s="75" t="n"/>
      <c r="B4" s="75" t="inlineStr">
        <is>
          <t>Var(d)</t>
        </is>
      </c>
      <c r="C4" s="75" t="n">
        <v>1</v>
      </c>
      <c r="D4" s="75">
        <f>TRUNC(((Demand!AU11*0.2)^2),2)</f>
        <v/>
      </c>
      <c r="E4" s="75">
        <f>TRUNC(((Demand!AV11*0.2)^2),2)</f>
        <v/>
      </c>
      <c r="F4" s="75">
        <f>TRUNC(((Demand!AW11*0.2)^2),2)</f>
        <v/>
      </c>
    </row>
    <row r="5">
      <c r="A5" s="75" t="n"/>
      <c r="B5" s="75" t="n"/>
      <c r="C5" s="75" t="n">
        <v>2</v>
      </c>
      <c r="D5" s="75">
        <f>TRUNC(((Demand!AU12*0.2)^2),2)</f>
        <v/>
      </c>
      <c r="E5" s="75">
        <f>TRUNC(((Demand!AV12*0.2)^2),2)</f>
        <v/>
      </c>
      <c r="F5" s="75">
        <f>TRUNC(((Demand!AW12*0.2)^2),2)</f>
        <v/>
      </c>
    </row>
    <row r="6">
      <c r="A6" s="75" t="n"/>
      <c r="B6" s="75" t="n"/>
      <c r="C6" s="75" t="n">
        <v>3</v>
      </c>
      <c r="D6" s="75">
        <f>TRUNC(((Demand!AU13*0.2)^2),2)</f>
        <v/>
      </c>
      <c r="E6" s="75">
        <f>TRUNC(((Demand!AV13*0.2)^2),2)</f>
        <v/>
      </c>
      <c r="F6" s="75">
        <f>TRUNC(((Demand!AW13*0.2)^2),2)</f>
        <v/>
      </c>
    </row>
    <row r="7">
      <c r="A7" s="75" t="n"/>
      <c r="B7" s="75" t="n"/>
      <c r="C7" s="75" t="n"/>
      <c r="D7" s="75" t="n"/>
      <c r="E7" s="75" t="n"/>
      <c r="F7" s="75" t="n"/>
    </row>
    <row r="8">
      <c r="A8" s="75" t="n"/>
      <c r="B8" s="75" t="n"/>
      <c r="C8" s="75" t="n"/>
      <c r="D8" s="75" t="n"/>
      <c r="E8" s="75" t="n"/>
      <c r="F8" s="75" t="n"/>
    </row>
    <row r="9">
      <c r="A9" s="75" t="n"/>
      <c r="B9" s="75" t="n"/>
      <c r="C9" s="75" t="n"/>
      <c r="D9" s="75" t="n">
        <v>1</v>
      </c>
      <c r="E9" s="75" t="n">
        <v>2</v>
      </c>
      <c r="F9" s="75" t="n">
        <v>3</v>
      </c>
    </row>
    <row r="10">
      <c r="A10" s="75" t="n"/>
      <c r="B10" s="75" t="inlineStr">
        <is>
          <t>Var(Cap)</t>
        </is>
      </c>
      <c r="C10" s="75" t="n">
        <v>1</v>
      </c>
      <c r="D10" s="75">
        <f>TRUNC(((Factories_Cap!D14*0.2)^2),2)</f>
        <v/>
      </c>
      <c r="E10" s="75">
        <f>TRUNC(((Factories_Cap!E14*0.2)^2),2)</f>
        <v/>
      </c>
      <c r="F10" s="75">
        <f>TRUNC(((Factories_Cap!F14*0.2)^2),2)</f>
        <v/>
      </c>
    </row>
    <row r="11">
      <c r="A11" s="75" t="n"/>
      <c r="B11" s="75" t="n"/>
      <c r="C11" s="75" t="n">
        <v>2</v>
      </c>
      <c r="D11" s="75">
        <f>TRUNC(((Factories_Cap!D15*0.2)^2),2)</f>
        <v/>
      </c>
      <c r="E11" s="75">
        <f>TRUNC(((Factories_Cap!E15*0.2)^2),2)</f>
        <v/>
      </c>
      <c r="F11" s="75">
        <f>TRUNC(((Factories_Cap!F15*0.2)^2),2)</f>
        <v/>
      </c>
    </row>
    <row r="12">
      <c r="A12" s="75" t="n"/>
      <c r="B12" s="75" t="n"/>
      <c r="C12" s="75" t="n">
        <v>3</v>
      </c>
      <c r="D12" s="75">
        <f>TRUNC(((Factories_Cap!D16*0.2)^2),2)</f>
        <v/>
      </c>
      <c r="E12" s="75">
        <f>TRUNC(((Factories_Cap!E16*0.2)^2),2)</f>
        <v/>
      </c>
      <c r="F12" s="75">
        <f>TRUNC(((Factories_Cap!F16*0.2)^2),2)</f>
        <v/>
      </c>
    </row>
    <row r="13">
      <c r="A13" s="75" t="n"/>
      <c r="B13" s="75" t="n"/>
      <c r="C13" s="75" t="n"/>
      <c r="D13" s="75" t="n"/>
      <c r="E13" s="75" t="n"/>
      <c r="F13" s="75" t="n"/>
    </row>
    <row r="14">
      <c r="A14" s="75" t="n"/>
      <c r="B14" s="75" t="inlineStr">
        <is>
          <t>n</t>
        </is>
      </c>
      <c r="C14" s="75" t="n">
        <v>7</v>
      </c>
      <c r="D14" s="75" t="n"/>
      <c r="E14" s="75" t="n"/>
      <c r="F14" s="75" t="n"/>
    </row>
    <row r="15">
      <c r="A15" s="75" t="n"/>
      <c r="B15" s="75" t="inlineStr">
        <is>
          <t>m</t>
        </is>
      </c>
      <c r="C15" s="75" t="n">
        <v>30</v>
      </c>
      <c r="D15" s="75" t="n"/>
      <c r="E15" s="75" t="n"/>
      <c r="F15" s="75" t="n"/>
    </row>
    <row r="16">
      <c r="A16" s="75" t="n"/>
      <c r="B16" s="75" t="n"/>
      <c r="C16" s="75" t="n"/>
      <c r="D16" s="75" t="n"/>
      <c r="E16" s="75" t="n"/>
      <c r="F16" s="75" t="n"/>
    </row>
    <row r="17">
      <c r="A17" s="75" t="n"/>
      <c r="B17" s="75" t="n"/>
      <c r="C17" s="75" t="n"/>
      <c r="D17" s="75" t="n">
        <v>1</v>
      </c>
      <c r="E17" s="75" t="n">
        <v>2</v>
      </c>
      <c r="F17" s="75" t="n">
        <v>3</v>
      </c>
    </row>
    <row r="18">
      <c r="A18" s="75" t="n"/>
      <c r="B18" s="75" t="inlineStr">
        <is>
          <t>Var(Var(d))</t>
        </is>
      </c>
      <c r="C18" s="75" t="n">
        <v>1</v>
      </c>
      <c r="D18" s="3">
        <f>TRUNC((1/$C$14)*(5*(D4^2)-((($C$14-3)/($C$14-1))*D4^2)),2)</f>
        <v/>
      </c>
      <c r="E18" s="3">
        <f>TRUNC((1/$C$14)*(5*(E4^2)-((($C$14-3)/($C$14-1))*E4^2)),2)</f>
        <v/>
      </c>
      <c r="F18" s="3">
        <f>TRUNC((1/$C$14)*(5*(F4^2)-((($C$14-3)/($C$14-1))*F4^2)),2)</f>
        <v/>
      </c>
    </row>
    <row r="19">
      <c r="A19" s="75" t="n"/>
      <c r="B19" s="75" t="n"/>
      <c r="C19" s="75" t="n">
        <v>2</v>
      </c>
      <c r="D19" s="3">
        <f>TRUNC((1/$C$14)*(5*(D5^2)-((($C$14-3)/($C$14-1))*D5^2)),2)</f>
        <v/>
      </c>
      <c r="E19" s="3">
        <f>TRUNC((1/$C$14)*(5*(E5^2)-((($C$14-3)/($C$14-1))*E5^2)),2)</f>
        <v/>
      </c>
      <c r="F19" s="3">
        <f>TRUNC((1/$C$14)*(5*(F5^2)-((($C$14-3)/($C$14-1))*F5^2)),2)</f>
        <v/>
      </c>
    </row>
    <row r="20">
      <c r="A20" s="75" t="n"/>
      <c r="B20" s="75" t="n"/>
      <c r="C20" s="75" t="n">
        <v>3</v>
      </c>
      <c r="D20" s="3">
        <f>TRUNC((1/$C$14)*(5*(D6^2)-((($C$14-3)/($C$14-1))*D6^2)),2)</f>
        <v/>
      </c>
      <c r="E20" s="3">
        <f>TRUNC((1/$C$14)*(5*(E6^2)-((($C$14-3)/($C$14-1))*E6^2)),2)</f>
        <v/>
      </c>
      <c r="F20" s="3">
        <f>TRUNC((1/$C$14)*(5*(F6^2)-((($C$14-3)/($C$14-1))*F6^2)),2)</f>
        <v/>
      </c>
    </row>
    <row r="21">
      <c r="A21" s="75" t="n"/>
      <c r="B21" s="75" t="n"/>
      <c r="C21" s="75" t="n"/>
      <c r="D21" s="75" t="n"/>
      <c r="E21" s="75" t="n"/>
      <c r="F21" s="75" t="n"/>
    </row>
    <row r="22">
      <c r="A22" s="75" t="n"/>
      <c r="B22" s="75" t="n"/>
      <c r="C22" s="75" t="n"/>
      <c r="D22" s="75" t="n"/>
      <c r="E22" s="75" t="n"/>
      <c r="F22" s="75" t="n"/>
    </row>
    <row r="23">
      <c r="A23" s="75" t="n"/>
      <c r="B23" s="75" t="n"/>
      <c r="C23" s="75" t="n"/>
      <c r="D23" s="75" t="n">
        <v>1</v>
      </c>
      <c r="E23" s="75" t="n">
        <v>2</v>
      </c>
      <c r="F23" s="75" t="n">
        <v>3</v>
      </c>
    </row>
    <row r="24">
      <c r="A24" s="75" t="n"/>
      <c r="B24" s="75" t="inlineStr">
        <is>
          <t>Var(Var(Cap))</t>
        </is>
      </c>
      <c r="C24" s="75" t="n">
        <v>1</v>
      </c>
      <c r="D24" s="3">
        <f>TRUNC((1/$C$14)*(5*(D10^2)-((($C$14-3)/($C$14-1))*D10^2)),2)</f>
        <v/>
      </c>
      <c r="E24" s="3">
        <f>TRUNC((1/$C$14)*(5*(E10^2)-((($C$14-3)/($C$14-1))*E10^2)),2)</f>
        <v/>
      </c>
      <c r="F24" s="3">
        <f>TRUNC((1/$C$14)*(5*(F10^2)-((($C$14-3)/($C$14-1))*F10^2)),2)</f>
        <v/>
      </c>
    </row>
    <row r="25">
      <c r="A25" s="75" t="n"/>
      <c r="B25" s="75" t="n"/>
      <c r="C25" s="75" t="n">
        <v>2</v>
      </c>
      <c r="D25" s="3">
        <f>TRUNC((1/$C$14)*(5*(D11^2)-((($C$14-3)/($C$14-1))*D11^2)),2)</f>
        <v/>
      </c>
      <c r="E25" s="3">
        <f>TRUNC((1/$C$14)*(5*(E11^2)-((($C$14-3)/($C$14-1))*E11^2)),2)</f>
        <v/>
      </c>
      <c r="F25" s="3">
        <f>TRUNC((1/$C$14)*(5*(F11^2)-((($C$14-3)/($C$14-1))*F11^2)),2)</f>
        <v/>
      </c>
    </row>
    <row r="26">
      <c r="A26" s="75" t="n"/>
      <c r="B26" s="75" t="n"/>
      <c r="C26" s="75" t="n">
        <v>3</v>
      </c>
      <c r="D26" s="3">
        <f>TRUNC((1/$C$14)*(5*(D12^2)-((($C$14-3)/($C$14-1))*D12^2)),2)</f>
        <v/>
      </c>
      <c r="E26" s="3">
        <f>TRUNC((1/$C$14)*(5*(E12^2)-((($C$14-3)/($C$14-1))*E12^2)),2)</f>
        <v/>
      </c>
      <c r="F26" s="3">
        <f>TRUNC((1/$C$14)*(5*(F12^2)-((($C$14-3)/($C$14-1))*F12^2)),2)</f>
        <v/>
      </c>
    </row>
    <row r="27">
      <c r="A27" s="75" t="n"/>
      <c r="B27" s="75" t="n"/>
      <c r="C27" s="75" t="n"/>
      <c r="D27" s="75" t="n"/>
      <c r="E27" s="75" t="n"/>
      <c r="F27" s="75" t="n"/>
    </row>
    <row r="28">
      <c r="A28" s="75" t="n"/>
      <c r="B28" s="75" t="n"/>
      <c r="C28" s="75" t="n"/>
      <c r="D28" s="75" t="n">
        <v>1</v>
      </c>
      <c r="E28" s="75" t="n">
        <v>2</v>
      </c>
      <c r="F28" s="75" t="n">
        <v>3</v>
      </c>
    </row>
    <row r="29">
      <c r="A29" s="75" t="n"/>
      <c r="B29" s="75" t="inlineStr">
        <is>
          <t>Var(soma das Var)</t>
        </is>
      </c>
      <c r="C29" s="75" t="n">
        <v>1</v>
      </c>
      <c r="D29" s="3">
        <f>TRUNC((D18+D24)*((1/$C$15)^2),2)</f>
        <v/>
      </c>
      <c r="E29" s="3">
        <f>TRUNC((E18+E24)*((1/$C$15)^2),2)</f>
        <v/>
      </c>
      <c r="F29" s="3">
        <f>TRUNC((F18+F24)*((1/$C$15)^2),2)</f>
        <v/>
      </c>
    </row>
    <row r="30">
      <c r="A30" s="75" t="n"/>
      <c r="B30" s="75" t="n"/>
      <c r="C30" s="75" t="n">
        <v>2</v>
      </c>
      <c r="D30" s="3">
        <f>TRUNC((D19+D25)*((1/$C$15)^2),2)</f>
        <v/>
      </c>
      <c r="E30" s="3">
        <f>TRUNC((E19+E25)*((1/$C$15)^2),2)</f>
        <v/>
      </c>
      <c r="F30" s="3">
        <f>TRUNC((F19+F25)*((1/$C$15)^2),2)</f>
        <v/>
      </c>
    </row>
    <row r="31">
      <c r="A31" s="75" t="n"/>
      <c r="B31" s="75" t="n"/>
      <c r="C31" s="75" t="n">
        <v>3</v>
      </c>
      <c r="D31" s="3">
        <f>TRUNC((D20+D26)*((1/$C$15)^2),2)</f>
        <v/>
      </c>
      <c r="E31" s="3">
        <f>TRUNC((E20+E26)*((1/$C$15)^2),2)</f>
        <v/>
      </c>
      <c r="F31" s="3">
        <f>TRUNC((F20+F26)*((1/$C$15)^2),2)</f>
        <v/>
      </c>
    </row>
    <row r="32">
      <c r="A32" s="75" t="n"/>
      <c r="B32" s="75" t="n"/>
      <c r="C32" s="75" t="n"/>
      <c r="D32" s="75" t="n"/>
      <c r="E32" s="75" t="n"/>
      <c r="F32" s="75" t="n"/>
    </row>
    <row r="33">
      <c r="A33" s="75" t="n"/>
      <c r="B33" s="75" t="n"/>
      <c r="C33" s="75" t="n"/>
      <c r="D33" s="75" t="n"/>
      <c r="E33" s="75" t="n"/>
      <c r="F33" s="75" t="n"/>
    </row>
    <row r="34">
      <c r="A34" s="75" t="n"/>
      <c r="B34" s="75" t="n"/>
      <c r="C34" s="75" t="n"/>
      <c r="D34" s="75" t="n">
        <v>1</v>
      </c>
      <c r="E34" s="75" t="n">
        <v>2</v>
      </c>
      <c r="F34" s="75" t="n">
        <v>3</v>
      </c>
    </row>
    <row r="35">
      <c r="A35" s="75" t="n"/>
      <c r="B35" s="75" t="n"/>
      <c r="C35" s="75" t="n">
        <v>1</v>
      </c>
      <c r="D35" s="75">
        <f>TRUNC(D29^0.5,2)</f>
        <v/>
      </c>
      <c r="E35" s="75">
        <f>TRUNC(E29^0.5,2)</f>
        <v/>
      </c>
      <c r="F35" s="75">
        <f>TRUNC(F29^0.5,2)</f>
        <v/>
      </c>
    </row>
    <row r="36">
      <c r="A36" s="75" t="n"/>
      <c r="B36" s="75" t="n"/>
      <c r="C36" s="75" t="n">
        <v>2</v>
      </c>
      <c r="D36" s="75">
        <f>TRUNC(D30^0.5,2)</f>
        <v/>
      </c>
      <c r="E36" s="75">
        <f>TRUNC(E30^0.5,2)</f>
        <v/>
      </c>
      <c r="F36" s="75">
        <f>TRUNC(F30^0.5,2)</f>
        <v/>
      </c>
    </row>
    <row r="37">
      <c r="A37" s="75" t="n"/>
      <c r="B37" s="75" t="n"/>
      <c r="C37" s="75" t="n">
        <v>3</v>
      </c>
      <c r="D37" s="75">
        <f>TRUNC(D31^0.5,2)</f>
        <v/>
      </c>
      <c r="E37" s="75">
        <f>TRUNC(E31^0.5,2)</f>
        <v/>
      </c>
      <c r="F37" s="75">
        <f>TRUNC(F31^0.5,2)</f>
        <v/>
      </c>
    </row>
    <row r="38">
      <c r="A38" s="75" t="n"/>
      <c r="B38" s="75" t="n"/>
      <c r="C38" s="75" t="n"/>
      <c r="D38" s="75" t="n"/>
      <c r="E38" s="75" t="n"/>
      <c r="F38" s="75" t="n"/>
    </row>
    <row r="39">
      <c r="A39" s="75" t="n"/>
      <c r="B39" s="75" t="n"/>
      <c r="C39" s="75" t="n"/>
      <c r="D39" s="75" t="n"/>
      <c r="E39" s="75" t="n"/>
      <c r="F39" s="75" t="n"/>
    </row>
    <row r="40">
      <c r="A40" s="75" t="n"/>
      <c r="B40" s="75" t="n"/>
      <c r="C40" s="75" t="n"/>
      <c r="D40" s="75" t="n">
        <v>1</v>
      </c>
      <c r="E40" s="75" t="n">
        <v>2</v>
      </c>
      <c r="F40" s="75" t="n">
        <v>3</v>
      </c>
    </row>
    <row r="41">
      <c r="A41" s="75" t="n"/>
      <c r="B41" s="75" t="inlineStr">
        <is>
          <t>Desvpad(Var(soma das Var))</t>
        </is>
      </c>
      <c r="C41" s="75" t="n">
        <v>1</v>
      </c>
      <c r="D41" s="24" t="n">
        <v>4277.77</v>
      </c>
      <c r="E41" s="24" t="n">
        <v>3472.13</v>
      </c>
      <c r="F41" s="24" t="n">
        <v>4613.14</v>
      </c>
    </row>
    <row r="42">
      <c r="A42" s="75" t="n"/>
      <c r="B42" s="75" t="n"/>
      <c r="C42" s="75" t="n">
        <v>2</v>
      </c>
      <c r="D42" s="24" t="n">
        <v>2964.88</v>
      </c>
      <c r="E42" s="24" t="n">
        <v>2903.21</v>
      </c>
      <c r="F42" s="24" t="n">
        <v>6033.67</v>
      </c>
    </row>
    <row r="43">
      <c r="A43" s="75" t="n"/>
      <c r="B43" s="75" t="n"/>
      <c r="C43" s="75" t="n">
        <v>3</v>
      </c>
      <c r="D43" s="24" t="n">
        <v>3655.82</v>
      </c>
      <c r="E43" s="24" t="n">
        <v>2818.21</v>
      </c>
      <c r="F43" s="24" t="n">
        <v>5710.71</v>
      </c>
    </row>
  </sheetData>
  <pageMargins left="0.511811024" right="0.511811024" top="0.787401575" bottom="0.787401575" header="0.31496062" footer="0.31496062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4:T210"/>
  <sheetViews>
    <sheetView zoomScale="90" zoomScaleNormal="90" workbookViewId="0">
      <selection activeCell="H10" activeCellId="1" sqref="T5 H10"/>
    </sheetView>
  </sheetViews>
  <sheetFormatPr baseColWidth="8" defaultColWidth="8.88671875" defaultRowHeight="14.4"/>
  <cols>
    <col width="11.6640625" customWidth="1" style="75" min="1" max="1"/>
    <col width="13.5546875" bestFit="1" customWidth="1" style="75" min="2" max="2"/>
    <col width="8.88671875" customWidth="1" style="75" min="3" max="3"/>
    <col width="9.6640625" customWidth="1" style="75" min="4" max="4"/>
    <col width="12.6640625" bestFit="1" customWidth="1" style="75" min="5" max="5"/>
    <col width="13.21875" bestFit="1" customWidth="1" style="75" min="6" max="7"/>
    <col width="19.33203125" bestFit="1" customWidth="1" style="75" min="8" max="8"/>
    <col width="12.6640625" bestFit="1" customWidth="1" style="75" min="9" max="9"/>
    <col width="13.21875" bestFit="1" customWidth="1" style="75" min="10" max="10"/>
    <col width="9" bestFit="1" customWidth="1" style="75" min="11" max="11"/>
    <col width="10.109375" customWidth="1" style="75" min="12" max="12"/>
    <col width="13.21875" bestFit="1" customWidth="1" style="75" min="13" max="13"/>
    <col width="12.6640625" bestFit="1" customWidth="1" style="75" min="14" max="14"/>
    <col width="13.21875" bestFit="1" customWidth="1" style="75" min="15" max="15"/>
    <col width="9.33203125" customWidth="1" style="75" min="16" max="16"/>
    <col width="12.6640625" bestFit="1" customWidth="1" style="75" min="17" max="18"/>
    <col width="8.88671875" customWidth="1" style="75" min="19" max="19"/>
    <col width="19.109375" bestFit="1" customWidth="1" style="75" min="20" max="20"/>
    <col width="8.88671875" customWidth="1" style="75" min="21" max="16384"/>
  </cols>
  <sheetData>
    <row r="4">
      <c r="C4" s="75" t="inlineStr">
        <is>
          <t>vSw</t>
        </is>
      </c>
      <c r="D4" s="75" t="n">
        <v>1</v>
      </c>
      <c r="E4" s="75" t="n">
        <v>2</v>
      </c>
      <c r="F4" s="75" t="n">
        <v>3</v>
      </c>
      <c r="G4" s="75" t="n">
        <v>4</v>
      </c>
      <c r="H4" s="75" t="n">
        <v>5</v>
      </c>
      <c r="I4" s="75" t="n">
        <v>6</v>
      </c>
      <c r="J4" s="75" t="n">
        <v>7</v>
      </c>
      <c r="K4" s="75" t="n">
        <v>8</v>
      </c>
      <c r="L4" s="75" t="n">
        <v>9</v>
      </c>
      <c r="M4" s="75" t="n">
        <v>10</v>
      </c>
      <c r="N4" s="75" t="n">
        <v>11</v>
      </c>
      <c r="O4" s="75" t="n">
        <v>12</v>
      </c>
      <c r="P4" s="75" t="n">
        <v>13</v>
      </c>
      <c r="Q4" s="75" t="n">
        <v>14</v>
      </c>
      <c r="R4" s="75" t="n">
        <v>15</v>
      </c>
      <c r="T4" s="7" t="inlineStr">
        <is>
          <t>Processamento atual</t>
        </is>
      </c>
    </row>
    <row r="5">
      <c r="A5" s="4" t="n"/>
      <c r="C5" s="75" t="n">
        <v>1</v>
      </c>
      <c r="D5" s="24" t="n">
        <v>-9.449999999999989</v>
      </c>
      <c r="E5" s="24" t="n">
        <v>-14.91999999999998</v>
      </c>
      <c r="F5" s="24" t="n">
        <v>-14.78999999999999</v>
      </c>
      <c r="G5" s="24" t="n">
        <v>-17.68999999999998</v>
      </c>
      <c r="H5" s="24" t="n">
        <v>1.273803436194299</v>
      </c>
      <c r="I5" s="24" t="n">
        <v>1.532340216125802</v>
      </c>
      <c r="J5" s="24" t="n">
        <v>-10.15</v>
      </c>
      <c r="K5" s="24" t="n">
        <v>0</v>
      </c>
      <c r="L5" s="24" t="n">
        <v>0</v>
      </c>
      <c r="M5" s="24" t="n">
        <v>-11.44999999999999</v>
      </c>
      <c r="N5" s="24" t="n">
        <v>-56.04966010712087</v>
      </c>
      <c r="O5" s="24" t="n">
        <v>-13.37999999999999</v>
      </c>
      <c r="P5" s="24" t="n">
        <v>0</v>
      </c>
      <c r="Q5" s="24" t="n">
        <v>1.516432560448342</v>
      </c>
      <c r="R5" s="24" t="n">
        <v>1.700697482811901</v>
      </c>
      <c r="T5" s="87" t="n">
        <v>5778156.305992452</v>
      </c>
    </row>
    <row r="6">
      <c r="B6" s="75" t="inlineStr">
        <is>
          <t>MaxStockOutw</t>
        </is>
      </c>
      <c r="C6" s="75" t="n">
        <v>2</v>
      </c>
      <c r="D6" s="24" t="n">
        <v>0</v>
      </c>
      <c r="E6" s="24" t="n">
        <v>0</v>
      </c>
      <c r="F6" s="24" t="n">
        <v>-11.64999999999999</v>
      </c>
      <c r="G6" s="24" t="n">
        <v>-20.05999999999998</v>
      </c>
      <c r="H6" s="24" t="n">
        <v>-36.15456150099635</v>
      </c>
      <c r="I6" s="24" t="n">
        <v>0</v>
      </c>
      <c r="J6" s="24" t="n">
        <v>-178.8290909081697</v>
      </c>
      <c r="K6" s="24" t="n">
        <v>-15.92999999999999</v>
      </c>
      <c r="L6" s="24" t="n">
        <v>-10.79999999999999</v>
      </c>
      <c r="M6" s="24" t="n">
        <v>0</v>
      </c>
      <c r="N6" s="24" t="n">
        <v>-12.43999999999999</v>
      </c>
      <c r="O6" s="24" t="n">
        <v>1.643365360839238</v>
      </c>
      <c r="P6" s="24" t="n">
        <v>1.310835459063087</v>
      </c>
      <c r="Q6" s="24" t="n">
        <v>0</v>
      </c>
      <c r="R6" s="24" t="n">
        <v>0</v>
      </c>
    </row>
    <row r="7">
      <c r="B7" s="6">
        <f>MaxStkOutw</f>
        <v/>
      </c>
      <c r="C7" s="75" t="n">
        <v>3</v>
      </c>
      <c r="D7" s="24" t="n">
        <v>1.954878564026657</v>
      </c>
      <c r="E7" s="24" t="n">
        <v>-19.26999999999998</v>
      </c>
      <c r="F7" s="24" t="n">
        <v>-20.63999999999999</v>
      </c>
      <c r="G7" s="24" t="n">
        <v>0.1658247991009225</v>
      </c>
      <c r="H7" s="24" t="n">
        <v>-13.77999999999998</v>
      </c>
      <c r="I7" s="24" t="n">
        <v>1.907823203013234</v>
      </c>
      <c r="J7" s="24" t="n">
        <v>1.3866</v>
      </c>
      <c r="K7" s="24" t="n">
        <v>-13.14999999999999</v>
      </c>
      <c r="L7" s="24" t="n">
        <v>-16.35999999999999</v>
      </c>
      <c r="M7" s="24" t="n">
        <v>-15.93999999999998</v>
      </c>
      <c r="N7" s="24" t="n">
        <v>1.111863394089812</v>
      </c>
      <c r="O7" s="24" t="n">
        <v>-103.1717191711068</v>
      </c>
      <c r="P7" s="24" t="n">
        <v>-14.05999999999999</v>
      </c>
      <c r="Q7" s="24" t="n">
        <v>-12.11999999999999</v>
      </c>
      <c r="R7" s="24" t="n">
        <v>0</v>
      </c>
    </row>
    <row r="9">
      <c r="C9" s="75" t="inlineStr">
        <is>
          <t>vSf</t>
        </is>
      </c>
      <c r="D9" s="75" t="n">
        <v>16</v>
      </c>
      <c r="E9" s="75" t="n">
        <v>17</v>
      </c>
      <c r="F9" s="75" t="n">
        <v>18</v>
      </c>
      <c r="H9" s="7" t="inlineStr">
        <is>
          <t>Processamento atual</t>
        </is>
      </c>
      <c r="L9" s="7" t="n"/>
      <c r="P9" s="7" t="n"/>
    </row>
    <row r="10">
      <c r="A10" s="4" t="n"/>
      <c r="C10" s="75" t="n">
        <v>4</v>
      </c>
      <c r="D10" s="24" t="n">
        <v>0.5179919507309249</v>
      </c>
      <c r="E10" s="24" t="n">
        <v>0.6767077500058284</v>
      </c>
      <c r="F10" s="24" t="n">
        <v>0.4235461501508456</v>
      </c>
      <c r="H10" s="87" t="n">
        <v>5106408.669759868</v>
      </c>
    </row>
    <row r="11">
      <c r="B11" s="75" t="inlineStr">
        <is>
          <t>MaxStockOutf</t>
        </is>
      </c>
      <c r="C11" s="75" t="n">
        <v>5</v>
      </c>
      <c r="D11" s="24" t="n">
        <v>-5.191365360839238</v>
      </c>
      <c r="E11" s="24" t="n">
        <v>0.6965612267514655</v>
      </c>
      <c r="F11" s="24" t="n">
        <v>-5.880365360839238</v>
      </c>
    </row>
    <row r="12">
      <c r="B12" s="6">
        <f>MaxStkOutf</f>
        <v/>
      </c>
      <c r="C12" s="75" t="n">
        <v>6</v>
      </c>
      <c r="D12" s="24" t="n">
        <v>-6.304878564026657</v>
      </c>
      <c r="E12" s="24" t="n">
        <v>0.5824906831036303</v>
      </c>
      <c r="F12" s="24" t="n">
        <v>-6.921878564026657</v>
      </c>
    </row>
    <row r="16">
      <c r="C16" s="75" t="inlineStr">
        <is>
          <t>Sd</t>
        </is>
      </c>
      <c r="D16" s="75" t="n">
        <v>19</v>
      </c>
      <c r="E16" s="75" t="n">
        <v>20</v>
      </c>
      <c r="F16" s="75" t="n">
        <v>21</v>
      </c>
      <c r="L16" s="7" t="n"/>
      <c r="P16" s="7" t="n"/>
    </row>
    <row r="17">
      <c r="A17" s="4" t="n"/>
      <c r="C17" s="75" t="n">
        <v>7</v>
      </c>
      <c r="D17" s="6" t="n">
        <v>0</v>
      </c>
      <c r="E17" s="6" t="n">
        <v>30.85850750324944</v>
      </c>
      <c r="F17" s="6" t="n">
        <v>33.24350750324944</v>
      </c>
    </row>
    <row r="18">
      <c r="B18" s="75" t="inlineStr">
        <is>
          <t>MaxStockOutd</t>
        </is>
      </c>
      <c r="C18" s="75" t="n">
        <v>8</v>
      </c>
      <c r="D18" s="6" t="n">
        <v>0</v>
      </c>
      <c r="E18" s="6" t="n">
        <v>29.19350750324944</v>
      </c>
      <c r="F18" s="6" t="n">
        <v>4.2531253469921</v>
      </c>
    </row>
    <row r="19">
      <c r="B19" s="6">
        <f>MaxStkOutd</f>
        <v/>
      </c>
    </row>
    <row r="20">
      <c r="C20" s="75" t="inlineStr">
        <is>
          <t>Sr</t>
        </is>
      </c>
      <c r="D20" s="75" t="n">
        <v>22</v>
      </c>
      <c r="E20" s="75" t="n">
        <v>23</v>
      </c>
      <c r="F20" s="75" t="n">
        <v>24</v>
      </c>
      <c r="L20" s="7" t="n"/>
      <c r="P20" s="7" t="n"/>
    </row>
    <row r="21">
      <c r="A21" s="4" t="n"/>
      <c r="B21" s="4" t="n"/>
      <c r="C21" s="75" t="n">
        <v>9</v>
      </c>
      <c r="D21" s="6" t="n">
        <v>0</v>
      </c>
      <c r="E21" s="6" t="n">
        <v>0</v>
      </c>
      <c r="F21" s="6" t="n">
        <v>0</v>
      </c>
    </row>
    <row r="22">
      <c r="C22" s="75" t="n">
        <v>10</v>
      </c>
      <c r="D22" s="6" t="n">
        <v>88.90623477597671</v>
      </c>
      <c r="E22" s="6" t="n">
        <v>91.99023477597672</v>
      </c>
      <c r="F22" s="6" t="n">
        <v>1.80976522402328</v>
      </c>
    </row>
    <row r="23">
      <c r="C23" s="75" t="n">
        <v>11</v>
      </c>
      <c r="D23" s="6" t="n">
        <v>77.06123477597671</v>
      </c>
      <c r="E23" s="6" t="n">
        <v>94.71823477597671</v>
      </c>
      <c r="F23" s="6" t="n">
        <v>0</v>
      </c>
    </row>
    <row r="24">
      <c r="C24" s="75" t="n">
        <v>12</v>
      </c>
      <c r="D24" s="6" t="n">
        <v>78.24423477597671</v>
      </c>
      <c r="E24" s="6" t="n">
        <v>81.45623477597671</v>
      </c>
      <c r="F24" s="6" t="n">
        <v>78.67523477597672</v>
      </c>
    </row>
    <row r="25">
      <c r="C25" s="75" t="n">
        <v>13</v>
      </c>
      <c r="D25" s="6" t="n">
        <v>0</v>
      </c>
      <c r="E25" s="6" t="n">
        <v>81.00023477597671</v>
      </c>
      <c r="F25" s="6" t="n">
        <v>71.41723477597671</v>
      </c>
    </row>
    <row r="26">
      <c r="C26" s="75" t="n">
        <v>14</v>
      </c>
      <c r="D26" s="6" t="n">
        <v>87.88723477597671</v>
      </c>
      <c r="E26" s="6" t="n">
        <v>85.04823477597671</v>
      </c>
      <c r="F26" s="6" t="n">
        <v>98.40723477597672</v>
      </c>
    </row>
    <row r="27">
      <c r="C27" s="75" t="n">
        <v>15</v>
      </c>
      <c r="D27" s="6" t="n">
        <v>0</v>
      </c>
      <c r="E27" s="6" t="n">
        <v>71.30123477597671</v>
      </c>
      <c r="F27" s="6" t="n">
        <v>0</v>
      </c>
    </row>
    <row r="28">
      <c r="C28" s="75" t="n">
        <v>16</v>
      </c>
      <c r="D28" s="6" t="n">
        <v>82.36623477597671</v>
      </c>
      <c r="E28" s="6" t="n">
        <v>0</v>
      </c>
      <c r="F28" s="6" t="n">
        <v>0</v>
      </c>
    </row>
    <row r="29">
      <c r="C29" s="75" t="n">
        <v>17</v>
      </c>
      <c r="D29" s="6" t="n">
        <v>96.06923477597671</v>
      </c>
      <c r="E29" s="6" t="n">
        <v>75.52623477597672</v>
      </c>
      <c r="F29" s="6" t="n">
        <v>85.08323477597672</v>
      </c>
    </row>
    <row r="30">
      <c r="C30" s="75" t="n">
        <v>18</v>
      </c>
      <c r="D30" s="6" t="n">
        <v>0</v>
      </c>
      <c r="E30" s="6" t="n">
        <v>85.50823477597672</v>
      </c>
      <c r="F30" s="6" t="n">
        <v>81.73823477597671</v>
      </c>
    </row>
    <row r="31">
      <c r="C31" s="75" t="n">
        <v>19</v>
      </c>
      <c r="D31" s="6" t="n">
        <v>61.44323477597672</v>
      </c>
      <c r="E31" s="6" t="n">
        <v>93.44223477597671</v>
      </c>
      <c r="F31" s="6" t="n">
        <v>94.46823477597671</v>
      </c>
    </row>
    <row r="32">
      <c r="C32" s="75" t="n">
        <v>20</v>
      </c>
      <c r="D32" s="6" t="n">
        <v>75.65023477597671</v>
      </c>
      <c r="E32" s="6" t="n">
        <v>62.14023477597671</v>
      </c>
      <c r="F32" s="6" t="n">
        <v>108.8632347759767</v>
      </c>
    </row>
    <row r="33">
      <c r="C33" s="75" t="n">
        <v>21</v>
      </c>
      <c r="D33" s="6" t="n">
        <v>0</v>
      </c>
      <c r="E33" s="6" t="n">
        <v>0</v>
      </c>
      <c r="F33" s="6" t="n">
        <v>78.13923477597672</v>
      </c>
    </row>
    <row r="34">
      <c r="C34" s="75" t="n">
        <v>22</v>
      </c>
      <c r="D34" s="6" t="n">
        <v>0</v>
      </c>
      <c r="E34" s="6" t="n">
        <v>0</v>
      </c>
      <c r="F34" s="6" t="n">
        <v>82.20623477597671</v>
      </c>
    </row>
    <row r="35">
      <c r="C35" s="75" t="n">
        <v>23</v>
      </c>
      <c r="D35" s="6" t="n">
        <v>74.52723477597671</v>
      </c>
      <c r="E35" s="6" t="n">
        <v>96.41623477597672</v>
      </c>
      <c r="F35" s="6" t="n">
        <v>88.95023477597671</v>
      </c>
    </row>
    <row r="36">
      <c r="C36" s="75" t="n">
        <v>24</v>
      </c>
      <c r="D36" s="6" t="n">
        <v>0</v>
      </c>
      <c r="E36" s="6" t="n">
        <v>0</v>
      </c>
      <c r="F36" s="6" t="n">
        <v>0</v>
      </c>
    </row>
    <row r="37">
      <c r="C37" s="75" t="n">
        <v>25</v>
      </c>
      <c r="D37" s="6" t="n">
        <v>73.38923477597672</v>
      </c>
      <c r="E37" s="6" t="n">
        <v>70.85123477597671</v>
      </c>
      <c r="F37" s="6" t="n">
        <v>63.93923477597671</v>
      </c>
    </row>
    <row r="38">
      <c r="C38" s="75" t="n">
        <v>26</v>
      </c>
      <c r="D38" s="6" t="n">
        <v>0</v>
      </c>
      <c r="E38" s="6" t="n">
        <v>67.37923477597671</v>
      </c>
      <c r="F38" s="6" t="n">
        <v>0</v>
      </c>
    </row>
    <row r="39">
      <c r="C39" s="75" t="n">
        <v>27</v>
      </c>
      <c r="D39" s="6" t="n">
        <v>100.2372347759767</v>
      </c>
      <c r="E39" s="6" t="n">
        <v>70.66723477597671</v>
      </c>
      <c r="F39" s="6" t="n">
        <v>79.57223477597671</v>
      </c>
    </row>
    <row r="40">
      <c r="C40" s="75" t="n">
        <v>28</v>
      </c>
      <c r="D40" s="6" t="n">
        <v>0</v>
      </c>
      <c r="E40" s="6" t="n">
        <v>95.01123477597672</v>
      </c>
      <c r="F40" s="6" t="n">
        <v>79.53023477597671</v>
      </c>
    </row>
    <row r="41">
      <c r="C41" s="75" t="n">
        <v>29</v>
      </c>
      <c r="D41" s="6" t="n">
        <v>90.93623477597671</v>
      </c>
      <c r="E41" s="6" t="n">
        <v>91.77023477597672</v>
      </c>
      <c r="F41" s="6" t="n">
        <v>0</v>
      </c>
    </row>
    <row r="42">
      <c r="C42" s="75" t="n">
        <v>30</v>
      </c>
      <c r="D42" s="6" t="n">
        <v>96.70823477597672</v>
      </c>
      <c r="E42" s="6" t="n">
        <v>60.92723477597671</v>
      </c>
      <c r="F42" s="6" t="n">
        <v>0</v>
      </c>
    </row>
    <row r="43">
      <c r="C43" s="75" t="n">
        <v>31</v>
      </c>
      <c r="D43" s="6" t="n">
        <v>0</v>
      </c>
      <c r="E43" s="6" t="n">
        <v>0</v>
      </c>
      <c r="F43" s="6" t="n">
        <v>0</v>
      </c>
    </row>
    <row r="44">
      <c r="C44" s="75" t="n">
        <v>32</v>
      </c>
      <c r="D44" s="6" t="n">
        <v>86.93523477597671</v>
      </c>
      <c r="E44" s="6" t="n">
        <v>58.32323477597672</v>
      </c>
      <c r="F44" s="6" t="n">
        <v>0</v>
      </c>
    </row>
    <row r="45">
      <c r="C45" s="75" t="n">
        <v>33</v>
      </c>
      <c r="D45" s="6" t="n">
        <v>0</v>
      </c>
      <c r="E45" s="6" t="n">
        <v>70.98723477597672</v>
      </c>
      <c r="F45" s="6" t="n">
        <v>0</v>
      </c>
    </row>
    <row r="46">
      <c r="C46" s="75" t="n">
        <v>34</v>
      </c>
      <c r="D46" s="6" t="n">
        <v>83.58923477597671</v>
      </c>
      <c r="E46" s="6" t="n">
        <v>0</v>
      </c>
      <c r="F46" s="6" t="n">
        <v>0</v>
      </c>
    </row>
    <row r="47">
      <c r="C47" s="75" t="n">
        <v>35</v>
      </c>
      <c r="D47" s="6" t="n">
        <v>14.87176522402329</v>
      </c>
      <c r="E47" s="6" t="n">
        <v>0</v>
      </c>
      <c r="F47" s="6" t="n">
        <v>110.5402347759767</v>
      </c>
    </row>
    <row r="48">
      <c r="C48" s="75" t="n">
        <v>36</v>
      </c>
      <c r="D48" s="6" t="n">
        <v>0</v>
      </c>
      <c r="E48" s="6" t="n">
        <v>72.93323477597671</v>
      </c>
      <c r="F48" s="6" t="n">
        <v>82.79423477597672</v>
      </c>
    </row>
    <row r="49">
      <c r="C49" s="75" t="n">
        <v>37</v>
      </c>
      <c r="D49" s="6" t="n">
        <v>91.99023477597672</v>
      </c>
      <c r="E49" s="6" t="n">
        <v>75.37723477597672</v>
      </c>
      <c r="F49" s="6" t="n">
        <v>86.96123477597671</v>
      </c>
    </row>
    <row r="50">
      <c r="C50" s="75" t="n">
        <v>38</v>
      </c>
      <c r="D50" s="6" t="n">
        <v>119.5412347759767</v>
      </c>
      <c r="E50" s="6" t="n">
        <v>68.40723477597672</v>
      </c>
      <c r="F50" s="6" t="n">
        <v>96.72023477597672</v>
      </c>
    </row>
    <row r="51">
      <c r="C51" s="75" t="n">
        <v>39</v>
      </c>
      <c r="D51" s="6" t="n">
        <v>103.0192347759767</v>
      </c>
      <c r="E51" s="6" t="n">
        <v>0</v>
      </c>
      <c r="F51" s="6" t="n">
        <v>80.18323477597671</v>
      </c>
    </row>
    <row r="52">
      <c r="C52" s="75" t="n">
        <v>40</v>
      </c>
      <c r="D52" s="6" t="n">
        <v>88.83023477597672</v>
      </c>
      <c r="E52" s="6" t="n">
        <v>103.2762347759767</v>
      </c>
      <c r="F52" s="6" t="n">
        <v>63.35823477597671</v>
      </c>
    </row>
    <row r="53">
      <c r="C53" s="75" t="n">
        <v>41</v>
      </c>
      <c r="D53" s="6" t="n">
        <v>0</v>
      </c>
      <c r="E53" s="6" t="n">
        <v>0</v>
      </c>
      <c r="F53" s="6" t="n">
        <v>0</v>
      </c>
    </row>
    <row r="54">
      <c r="C54" s="75" t="n">
        <v>42</v>
      </c>
      <c r="D54" s="6" t="n">
        <v>93.94823477597672</v>
      </c>
      <c r="E54" s="6" t="n">
        <v>106.4892347759767</v>
      </c>
      <c r="F54" s="6" t="n">
        <v>31.76276522402328</v>
      </c>
    </row>
    <row r="55">
      <c r="C55" s="75" t="n">
        <v>43</v>
      </c>
      <c r="D55" s="6" t="n">
        <v>106.1652347759767</v>
      </c>
      <c r="E55" s="6" t="n">
        <v>80.13623477597672</v>
      </c>
      <c r="F55" s="6" t="n">
        <v>0</v>
      </c>
    </row>
    <row r="56">
      <c r="C56" s="75" t="n">
        <v>44</v>
      </c>
      <c r="D56" s="6" t="n">
        <v>72.36323477597671</v>
      </c>
      <c r="E56" s="6" t="n">
        <v>0</v>
      </c>
      <c r="F56" s="6" t="n">
        <v>0</v>
      </c>
    </row>
    <row r="57">
      <c r="C57" s="75" t="n">
        <v>45</v>
      </c>
      <c r="D57" s="6" t="n">
        <v>0</v>
      </c>
      <c r="E57" s="6" t="n">
        <v>13.11643189068994</v>
      </c>
      <c r="F57" s="6" t="n">
        <v>90.50823477597672</v>
      </c>
    </row>
    <row r="58">
      <c r="C58" s="75" t="n">
        <v>46</v>
      </c>
      <c r="D58" s="6" t="n">
        <v>0</v>
      </c>
      <c r="E58" s="6" t="n">
        <v>0</v>
      </c>
      <c r="F58" s="6" t="n">
        <v>86.14823477597672</v>
      </c>
    </row>
    <row r="59">
      <c r="C59" s="75" t="n">
        <v>47</v>
      </c>
      <c r="D59" s="6" t="n">
        <v>0</v>
      </c>
      <c r="E59" s="6" t="n">
        <v>96.51723477597672</v>
      </c>
      <c r="F59" s="6" t="n">
        <v>0</v>
      </c>
    </row>
    <row r="60">
      <c r="C60" s="75" t="n">
        <v>48</v>
      </c>
      <c r="D60" s="6" t="n">
        <v>84.14023477597671</v>
      </c>
      <c r="E60" s="6" t="n">
        <v>79.34123477597672</v>
      </c>
      <c r="F60" s="6" t="n">
        <v>0</v>
      </c>
    </row>
    <row r="61">
      <c r="C61" s="75" t="n">
        <v>49</v>
      </c>
      <c r="D61" s="6" t="n">
        <v>93.69823477597672</v>
      </c>
      <c r="E61" s="6" t="n">
        <v>0</v>
      </c>
      <c r="F61" s="6" t="n">
        <v>84.12423477597672</v>
      </c>
    </row>
    <row r="62">
      <c r="C62" s="75" t="n">
        <v>50</v>
      </c>
      <c r="D62" s="6" t="n">
        <v>0</v>
      </c>
      <c r="E62" s="6" t="n">
        <v>0</v>
      </c>
      <c r="F62" s="6" t="n">
        <v>76.19123477597671</v>
      </c>
    </row>
    <row r="63">
      <c r="C63" s="75" t="n">
        <v>51</v>
      </c>
      <c r="D63" s="6" t="n">
        <v>96.90323477597671</v>
      </c>
      <c r="E63" s="6" t="n">
        <v>83.42123477597671</v>
      </c>
      <c r="F63" s="6" t="n">
        <v>69.78323477597671</v>
      </c>
    </row>
    <row r="64">
      <c r="C64" s="75" t="n">
        <v>52</v>
      </c>
      <c r="D64" s="6" t="n">
        <v>0</v>
      </c>
      <c r="E64" s="6" t="n">
        <v>72.91923477597672</v>
      </c>
      <c r="F64" s="6" t="n">
        <v>84.79523477597671</v>
      </c>
    </row>
    <row r="65">
      <c r="C65" s="75" t="n">
        <v>53</v>
      </c>
      <c r="D65" s="6" t="n">
        <v>78.49523477597671</v>
      </c>
      <c r="E65" s="6" t="n">
        <v>104.0352347759767</v>
      </c>
      <c r="F65" s="6" t="n">
        <v>92.37123477597672</v>
      </c>
    </row>
    <row r="66">
      <c r="C66" s="75" t="n">
        <v>54</v>
      </c>
      <c r="D66" s="6" t="n">
        <v>79.15223477597671</v>
      </c>
      <c r="E66" s="6" t="n">
        <v>95.43423477597672</v>
      </c>
      <c r="F66" s="6" t="n">
        <v>0</v>
      </c>
    </row>
    <row r="67">
      <c r="C67" s="75" t="n">
        <v>55</v>
      </c>
      <c r="D67" s="6" t="n">
        <v>0</v>
      </c>
      <c r="E67" s="6" t="n">
        <v>0</v>
      </c>
      <c r="F67" s="6" t="n">
        <v>29.24476522402328</v>
      </c>
    </row>
    <row r="68">
      <c r="C68" s="75" t="n">
        <v>56</v>
      </c>
      <c r="D68" s="6" t="n">
        <v>73.63523477597671</v>
      </c>
      <c r="E68" s="6" t="n">
        <v>0</v>
      </c>
      <c r="F68" s="6" t="n">
        <v>0</v>
      </c>
    </row>
    <row r="69">
      <c r="C69" s="75" t="n">
        <v>57</v>
      </c>
      <c r="D69" s="6" t="n">
        <v>86.98723477597672</v>
      </c>
      <c r="E69" s="6" t="n">
        <v>76.58523477597672</v>
      </c>
      <c r="F69" s="6" t="n">
        <v>84.80623477597672</v>
      </c>
    </row>
    <row r="70">
      <c r="C70" s="75" t="n">
        <v>58</v>
      </c>
      <c r="D70" s="6" t="n">
        <v>87.78223477597672</v>
      </c>
      <c r="E70" s="6" t="n">
        <v>51.82223477597671</v>
      </c>
      <c r="F70" s="6" t="n">
        <v>71.38623477597672</v>
      </c>
    </row>
    <row r="71">
      <c r="C71" s="75" t="n">
        <v>59</v>
      </c>
      <c r="D71" s="6" t="n">
        <v>0</v>
      </c>
      <c r="E71" s="6" t="n">
        <v>0</v>
      </c>
      <c r="F71" s="6" t="n">
        <v>0</v>
      </c>
    </row>
    <row r="72">
      <c r="C72" s="75" t="n">
        <v>60</v>
      </c>
      <c r="D72" s="6" t="n">
        <v>90.91223477597671</v>
      </c>
      <c r="E72" s="6" t="n">
        <v>86.57723477597672</v>
      </c>
      <c r="F72" s="6" t="n">
        <v>89.72823477597672</v>
      </c>
    </row>
    <row r="73">
      <c r="C73" s="75" t="n">
        <v>61</v>
      </c>
      <c r="D73" s="6" t="n">
        <v>87.28723477597671</v>
      </c>
      <c r="E73" s="6" t="n">
        <v>109.0482347759767</v>
      </c>
      <c r="F73" s="6" t="n">
        <v>86.36123477597671</v>
      </c>
    </row>
    <row r="74">
      <c r="C74" s="75" t="n">
        <v>62</v>
      </c>
      <c r="D74" s="6" t="n">
        <v>93.56923477597671</v>
      </c>
      <c r="E74" s="6" t="n">
        <v>0</v>
      </c>
      <c r="F74" s="6" t="n">
        <v>75.94823477597672</v>
      </c>
    </row>
    <row r="75">
      <c r="C75" s="75" t="n">
        <v>63</v>
      </c>
      <c r="D75" s="6" t="n">
        <v>88.99923477597672</v>
      </c>
      <c r="E75" s="6" t="n">
        <v>56.02623477597672</v>
      </c>
      <c r="F75" s="6" t="n">
        <v>69.57823477597671</v>
      </c>
    </row>
    <row r="76">
      <c r="C76" s="75" t="n">
        <v>64</v>
      </c>
      <c r="D76" s="6" t="n">
        <v>99.62923477597671</v>
      </c>
      <c r="E76" s="6" t="n">
        <v>67.49223477597671</v>
      </c>
      <c r="F76" s="6" t="n">
        <v>0</v>
      </c>
    </row>
    <row r="77">
      <c r="C77" s="75" t="n">
        <v>65</v>
      </c>
      <c r="D77" s="6" t="n">
        <v>100.8742347759767</v>
      </c>
      <c r="E77" s="6" t="n">
        <v>92.79523477597672</v>
      </c>
      <c r="F77" s="6" t="n">
        <v>77.02023477597672</v>
      </c>
    </row>
    <row r="78">
      <c r="C78" s="75" t="n">
        <v>66</v>
      </c>
      <c r="D78" s="6" t="n">
        <v>69.57323477597672</v>
      </c>
      <c r="E78" s="6" t="n">
        <v>105.7042347759767</v>
      </c>
      <c r="F78" s="6" t="n">
        <v>0</v>
      </c>
    </row>
    <row r="79">
      <c r="C79" s="75" t="n">
        <v>67</v>
      </c>
      <c r="D79" s="6" t="n">
        <v>0</v>
      </c>
      <c r="E79" s="6" t="n">
        <v>72.22723477597671</v>
      </c>
      <c r="F79" s="6" t="n">
        <v>6.852765224023287</v>
      </c>
    </row>
    <row r="80">
      <c r="C80" s="75" t="n">
        <v>68</v>
      </c>
      <c r="D80" s="6" t="n">
        <v>91.79923477597671</v>
      </c>
      <c r="E80" s="6" t="n">
        <v>82.30123477597671</v>
      </c>
      <c r="F80" s="6" t="n">
        <v>81.10223477597671</v>
      </c>
    </row>
    <row r="81">
      <c r="C81" s="75" t="n">
        <v>69</v>
      </c>
      <c r="D81" s="6" t="n">
        <v>86.35423477597671</v>
      </c>
      <c r="E81" s="6" t="n">
        <v>0</v>
      </c>
      <c r="F81" s="6" t="n">
        <v>72.13776522402328</v>
      </c>
    </row>
    <row r="82">
      <c r="C82" s="75" t="n">
        <v>70</v>
      </c>
      <c r="D82" s="6" t="n">
        <v>84.73923477597671</v>
      </c>
      <c r="E82" s="6" t="n">
        <v>72.71323477597672</v>
      </c>
      <c r="F82" s="6" t="n">
        <v>0</v>
      </c>
    </row>
    <row r="83">
      <c r="C83" s="75" t="n">
        <v>71</v>
      </c>
      <c r="D83" s="6" t="n">
        <v>0</v>
      </c>
      <c r="E83" s="6" t="n">
        <v>99.11323477597672</v>
      </c>
      <c r="F83" s="6" t="n">
        <v>90.83623477597672</v>
      </c>
    </row>
    <row r="84">
      <c r="C84" s="75" t="n">
        <v>72</v>
      </c>
      <c r="D84" s="6" t="n">
        <v>101.1232347759767</v>
      </c>
      <c r="E84" s="6" t="n">
        <v>0</v>
      </c>
      <c r="F84" s="6" t="n">
        <v>0</v>
      </c>
    </row>
    <row r="85">
      <c r="C85" s="75" t="n">
        <v>73</v>
      </c>
      <c r="D85" s="6" t="n">
        <v>0</v>
      </c>
      <c r="E85" s="6" t="n">
        <v>88.54723477597672</v>
      </c>
      <c r="F85" s="6" t="n">
        <v>0</v>
      </c>
    </row>
    <row r="86">
      <c r="C86" s="75" t="n">
        <v>74</v>
      </c>
      <c r="D86" s="6" t="n">
        <v>61.45776522402329</v>
      </c>
      <c r="E86" s="6" t="n">
        <v>84.95223477597672</v>
      </c>
      <c r="F86" s="6" t="n">
        <v>0</v>
      </c>
    </row>
    <row r="87">
      <c r="C87" s="75" t="n">
        <v>75</v>
      </c>
      <c r="D87" s="6" t="n">
        <v>91.59723477597672</v>
      </c>
      <c r="E87" s="6" t="n">
        <v>80.01423477597672</v>
      </c>
      <c r="F87" s="6" t="n">
        <v>86.68623477597671</v>
      </c>
    </row>
    <row r="88">
      <c r="C88" s="75" t="n">
        <v>76</v>
      </c>
      <c r="D88" s="6" t="n">
        <v>72.52423477597671</v>
      </c>
      <c r="E88" s="6" t="n">
        <v>0</v>
      </c>
      <c r="F88" s="6" t="n">
        <v>0</v>
      </c>
    </row>
    <row r="89">
      <c r="C89" s="75" t="n">
        <v>77</v>
      </c>
      <c r="D89" s="6" t="n">
        <v>104.5562347759767</v>
      </c>
      <c r="E89" s="6" t="n">
        <v>0</v>
      </c>
      <c r="F89" s="6" t="n">
        <v>81.15123477597672</v>
      </c>
    </row>
    <row r="90">
      <c r="C90" s="75" t="n">
        <v>78</v>
      </c>
      <c r="D90" s="6" t="n">
        <v>69.32023477597672</v>
      </c>
      <c r="E90" s="6" t="n">
        <v>66.63823477597671</v>
      </c>
      <c r="F90" s="6" t="n">
        <v>0</v>
      </c>
    </row>
    <row r="91">
      <c r="C91" s="75" t="n">
        <v>79</v>
      </c>
      <c r="D91" s="6" t="n">
        <v>90.67223477597672</v>
      </c>
      <c r="E91" s="6" t="n">
        <v>86.21823477597671</v>
      </c>
      <c r="F91" s="6" t="n">
        <v>78.32223477597671</v>
      </c>
    </row>
    <row r="92">
      <c r="C92" s="75" t="n">
        <v>80</v>
      </c>
      <c r="D92" s="6" t="n">
        <v>73.61223477597672</v>
      </c>
      <c r="E92" s="6" t="n">
        <v>61.64023477597671</v>
      </c>
      <c r="F92" s="6" t="n">
        <v>85.21323477597672</v>
      </c>
    </row>
    <row r="93">
      <c r="C93" s="75" t="n">
        <v>81</v>
      </c>
      <c r="D93" s="6" t="n">
        <v>0</v>
      </c>
      <c r="E93" s="6" t="n">
        <v>65.79523477597671</v>
      </c>
      <c r="F93" s="6" t="n">
        <v>80.18723477597672</v>
      </c>
    </row>
    <row r="94">
      <c r="C94" s="75" t="n">
        <v>82</v>
      </c>
      <c r="D94" s="6" t="n">
        <v>0</v>
      </c>
      <c r="E94" s="6" t="n">
        <v>6.054765224023285</v>
      </c>
      <c r="F94" s="6" t="n">
        <v>57.09276522402328</v>
      </c>
    </row>
    <row r="95">
      <c r="C95" s="75" t="n">
        <v>83</v>
      </c>
      <c r="D95" s="6" t="n">
        <v>0</v>
      </c>
      <c r="E95" s="6" t="n">
        <v>60.49976522402329</v>
      </c>
      <c r="F95" s="6" t="n">
        <v>0</v>
      </c>
    </row>
    <row r="96">
      <c r="C96" s="75" t="n">
        <v>84</v>
      </c>
      <c r="D96" s="6" t="n">
        <v>74.10923477597672</v>
      </c>
      <c r="E96" s="6" t="n">
        <v>97.95223477597672</v>
      </c>
      <c r="F96" s="6" t="n">
        <v>62.48523477597671</v>
      </c>
    </row>
    <row r="97">
      <c r="C97" s="75" t="n">
        <v>85</v>
      </c>
      <c r="D97" s="6" t="n">
        <v>74.43323477597671</v>
      </c>
      <c r="E97" s="6" t="n">
        <v>0</v>
      </c>
      <c r="F97" s="6" t="n">
        <v>0</v>
      </c>
    </row>
    <row r="98">
      <c r="C98" s="75" t="n">
        <v>86</v>
      </c>
      <c r="D98" s="6" t="n">
        <v>88.77523477597671</v>
      </c>
      <c r="E98" s="6" t="n">
        <v>82.09323477597671</v>
      </c>
      <c r="F98" s="6" t="n">
        <v>80.19523477597672</v>
      </c>
    </row>
    <row r="99">
      <c r="C99" s="75" t="n">
        <v>87</v>
      </c>
      <c r="D99" s="6" t="n">
        <v>0</v>
      </c>
      <c r="E99" s="6" t="n">
        <v>72.16123477597671</v>
      </c>
      <c r="F99" s="6" t="n">
        <v>72.82523477597671</v>
      </c>
    </row>
    <row r="100">
      <c r="C100" s="75" t="n">
        <v>88</v>
      </c>
      <c r="D100" s="6" t="n">
        <v>68.62823477597671</v>
      </c>
      <c r="E100" s="6" t="n">
        <v>100.2682347759767</v>
      </c>
      <c r="F100" s="6" t="n">
        <v>87.28023477597671</v>
      </c>
    </row>
    <row r="101">
      <c r="C101" s="75" t="n">
        <v>89</v>
      </c>
      <c r="D101" s="6" t="n">
        <v>93.45723477597672</v>
      </c>
      <c r="E101" s="6" t="n">
        <v>84.50423477597671</v>
      </c>
      <c r="F101" s="6" t="n">
        <v>97.03323477597672</v>
      </c>
    </row>
    <row r="102">
      <c r="C102" s="75" t="n">
        <v>90</v>
      </c>
      <c r="D102" s="6" t="n">
        <v>0</v>
      </c>
      <c r="E102" s="6" t="n">
        <v>84.05723477597671</v>
      </c>
      <c r="F102" s="6" t="n">
        <v>94.21423477597672</v>
      </c>
    </row>
    <row r="103">
      <c r="C103" s="75" t="n">
        <v>91</v>
      </c>
      <c r="D103" s="6" t="n">
        <v>0</v>
      </c>
      <c r="E103" s="6" t="n">
        <v>81.43923477597671</v>
      </c>
      <c r="F103" s="6" t="n">
        <v>80.00623477597671</v>
      </c>
    </row>
    <row r="104">
      <c r="C104" s="75" t="n">
        <v>92</v>
      </c>
      <c r="D104" s="6" t="n">
        <v>79.33423477597671</v>
      </c>
      <c r="E104" s="6" t="n">
        <v>0</v>
      </c>
      <c r="F104" s="6" t="n">
        <v>0</v>
      </c>
    </row>
    <row r="105">
      <c r="C105" s="75" t="n">
        <v>93</v>
      </c>
      <c r="D105" s="6" t="n">
        <v>90.40723477597672</v>
      </c>
      <c r="E105" s="6" t="n">
        <v>0</v>
      </c>
      <c r="F105" s="6" t="n">
        <v>0</v>
      </c>
    </row>
    <row r="106">
      <c r="C106" s="75" t="n">
        <v>94</v>
      </c>
      <c r="D106" s="6" t="n">
        <v>70.42123477597671</v>
      </c>
      <c r="E106" s="6" t="n">
        <v>108.5292347759767</v>
      </c>
      <c r="F106" s="6" t="n">
        <v>80.71923477597672</v>
      </c>
    </row>
    <row r="107">
      <c r="C107" s="75" t="n">
        <v>95</v>
      </c>
      <c r="D107" s="6" t="n">
        <v>0</v>
      </c>
      <c r="E107" s="6" t="n">
        <v>81.95223477597672</v>
      </c>
      <c r="F107" s="6" t="n">
        <v>0</v>
      </c>
    </row>
    <row r="108">
      <c r="C108" s="75" t="n">
        <v>96</v>
      </c>
      <c r="D108" s="6" t="n">
        <v>79.72423477597671</v>
      </c>
      <c r="E108" s="6" t="n">
        <v>76.62523477597671</v>
      </c>
      <c r="F108" s="6" t="n">
        <v>0</v>
      </c>
    </row>
    <row r="109">
      <c r="C109" s="75" t="n">
        <v>97</v>
      </c>
      <c r="D109" s="6" t="n">
        <v>101.5002347759767</v>
      </c>
      <c r="E109" s="6" t="n">
        <v>0</v>
      </c>
      <c r="F109" s="6" t="n">
        <v>98.86023477597672</v>
      </c>
    </row>
    <row r="110">
      <c r="C110" s="75" t="n">
        <v>98</v>
      </c>
      <c r="D110" s="6" t="n">
        <v>78.59923477597671</v>
      </c>
      <c r="E110" s="6" t="n">
        <v>89.64723477597671</v>
      </c>
      <c r="F110" s="6" t="n">
        <v>85.62723477597672</v>
      </c>
    </row>
    <row r="111">
      <c r="C111" s="75" t="n">
        <v>99</v>
      </c>
      <c r="D111" s="6" t="n">
        <v>83.21423477597671</v>
      </c>
      <c r="E111" s="6" t="n">
        <v>85.53423477597671</v>
      </c>
      <c r="F111" s="6" t="n">
        <v>84.06223477597672</v>
      </c>
    </row>
    <row r="112">
      <c r="C112" s="75" t="n">
        <v>100</v>
      </c>
      <c r="D112" s="6" t="n">
        <v>0</v>
      </c>
      <c r="E112" s="6" t="n">
        <v>81.64023477597671</v>
      </c>
      <c r="F112" s="6" t="n">
        <v>37.1640985573566</v>
      </c>
    </row>
    <row r="113">
      <c r="C113" s="75" t="n">
        <v>101</v>
      </c>
      <c r="D113" s="6" t="n">
        <v>95.39123477597671</v>
      </c>
      <c r="E113" s="6" t="n">
        <v>96.22923477597672</v>
      </c>
      <c r="F113" s="6" t="n">
        <v>73.70523477597672</v>
      </c>
    </row>
    <row r="114">
      <c r="C114" s="75" t="n">
        <v>102</v>
      </c>
      <c r="D114" s="6" t="n">
        <v>0</v>
      </c>
      <c r="E114" s="6" t="n">
        <v>78.50023477597671</v>
      </c>
      <c r="F114" s="6" t="n">
        <v>82.51523477597671</v>
      </c>
    </row>
    <row r="115">
      <c r="C115" s="75" t="n">
        <v>103</v>
      </c>
      <c r="D115" s="6" t="n">
        <v>0</v>
      </c>
      <c r="E115" s="6" t="n">
        <v>114.1812347759767</v>
      </c>
      <c r="F115" s="6" t="n">
        <v>0</v>
      </c>
    </row>
    <row r="116">
      <c r="C116" s="75" t="n">
        <v>104</v>
      </c>
      <c r="D116" s="6" t="n">
        <v>0</v>
      </c>
      <c r="E116" s="6" t="n">
        <v>86.83523477597672</v>
      </c>
      <c r="F116" s="6" t="n">
        <v>64.95876522402328</v>
      </c>
    </row>
    <row r="117">
      <c r="C117" s="75" t="n">
        <v>105</v>
      </c>
      <c r="D117" s="6" t="n">
        <v>89.96923477597672</v>
      </c>
      <c r="E117" s="6" t="n">
        <v>77.99623477597672</v>
      </c>
      <c r="F117" s="6" t="n">
        <v>0</v>
      </c>
    </row>
    <row r="118">
      <c r="C118" s="75" t="n">
        <v>106</v>
      </c>
      <c r="D118" s="6" t="n">
        <v>85.97123477597671</v>
      </c>
      <c r="E118" s="6" t="n">
        <v>87.20523477597672</v>
      </c>
      <c r="F118" s="6" t="n">
        <v>102.8032347759767</v>
      </c>
    </row>
    <row r="119">
      <c r="C119" s="75" t="n">
        <v>107</v>
      </c>
      <c r="D119" s="6" t="n">
        <v>0</v>
      </c>
      <c r="E119" s="6" t="n">
        <v>70.74023477597672</v>
      </c>
      <c r="F119" s="6" t="n">
        <v>67.30923477597672</v>
      </c>
    </row>
    <row r="120">
      <c r="C120" s="75" t="n">
        <v>108</v>
      </c>
      <c r="D120" s="6" t="n">
        <v>0</v>
      </c>
      <c r="E120" s="6" t="n">
        <v>110.3452347759767</v>
      </c>
      <c r="F120" s="6" t="n">
        <v>72.46923477597672</v>
      </c>
    </row>
    <row r="121">
      <c r="C121" s="75" t="n">
        <v>109</v>
      </c>
      <c r="D121" s="6" t="n">
        <v>66.49323477597672</v>
      </c>
      <c r="E121" s="6" t="n">
        <v>71.48223477597671</v>
      </c>
      <c r="F121" s="6" t="n">
        <v>96.31823477597672</v>
      </c>
    </row>
    <row r="122">
      <c r="C122" s="75" t="n">
        <v>110</v>
      </c>
      <c r="D122" s="6" t="n">
        <v>69.63423477597671</v>
      </c>
      <c r="E122" s="6" t="n">
        <v>92.12823477597672</v>
      </c>
      <c r="F122" s="6" t="n">
        <v>96.03723477597671</v>
      </c>
    </row>
    <row r="123">
      <c r="C123" s="75" t="n">
        <v>111</v>
      </c>
      <c r="D123" s="6" t="n">
        <v>107.6672347759767</v>
      </c>
      <c r="E123" s="6" t="n">
        <v>0</v>
      </c>
      <c r="F123" s="6" t="n">
        <v>85.52023477597672</v>
      </c>
    </row>
    <row r="124">
      <c r="C124" s="75" t="n">
        <v>112</v>
      </c>
      <c r="D124" s="6" t="n">
        <v>0</v>
      </c>
      <c r="E124" s="6" t="n">
        <v>88.33923477597671</v>
      </c>
      <c r="F124" s="6" t="n">
        <v>83.61823477597672</v>
      </c>
    </row>
    <row r="125">
      <c r="C125" s="75" t="n">
        <v>113</v>
      </c>
      <c r="D125" s="6" t="n">
        <v>97.48323477597671</v>
      </c>
      <c r="E125" s="6" t="n">
        <v>86.58323477597672</v>
      </c>
      <c r="F125" s="6" t="n">
        <v>76.37823477597671</v>
      </c>
    </row>
    <row r="126">
      <c r="C126" s="75" t="n">
        <v>114</v>
      </c>
      <c r="D126" s="6" t="n">
        <v>80.40323477597671</v>
      </c>
      <c r="E126" s="6" t="n">
        <v>75.90523477597671</v>
      </c>
      <c r="F126" s="6" t="n">
        <v>94.14223477597672</v>
      </c>
    </row>
    <row r="127">
      <c r="C127" s="75" t="n">
        <v>115</v>
      </c>
      <c r="D127" s="6" t="n">
        <v>75.39523477597672</v>
      </c>
      <c r="E127" s="6" t="n">
        <v>106.1622347759767</v>
      </c>
      <c r="F127" s="6" t="n">
        <v>6.526765224023279</v>
      </c>
    </row>
    <row r="128">
      <c r="C128" s="75" t="n">
        <v>116</v>
      </c>
      <c r="D128" s="6" t="n">
        <v>0</v>
      </c>
      <c r="E128" s="6" t="n">
        <v>84.87823477597671</v>
      </c>
      <c r="F128" s="6" t="n">
        <v>88.72023477597671</v>
      </c>
    </row>
    <row r="129">
      <c r="C129" s="75" t="n">
        <v>117</v>
      </c>
      <c r="D129" s="6" t="n">
        <v>0</v>
      </c>
      <c r="E129" s="6" t="n">
        <v>107.4422347759767</v>
      </c>
      <c r="F129" s="6" t="n">
        <v>21.16576522402329</v>
      </c>
    </row>
    <row r="130">
      <c r="C130" s="75" t="n">
        <v>118</v>
      </c>
      <c r="D130" s="6" t="n">
        <v>71.90923477597671</v>
      </c>
      <c r="E130" s="6" t="n">
        <v>0</v>
      </c>
      <c r="F130" s="6" t="n">
        <v>0</v>
      </c>
    </row>
    <row r="131">
      <c r="C131" s="75" t="n">
        <v>119</v>
      </c>
      <c r="D131" s="6" t="n">
        <v>0</v>
      </c>
      <c r="E131" s="6" t="n">
        <v>98.37623477597671</v>
      </c>
      <c r="F131" s="6" t="n">
        <v>79.01923477597671</v>
      </c>
    </row>
    <row r="132">
      <c r="C132" s="75" t="n">
        <v>120</v>
      </c>
      <c r="D132" s="6" t="n">
        <v>0</v>
      </c>
      <c r="E132" s="6" t="n">
        <v>73.55123477597671</v>
      </c>
      <c r="F132" s="6" t="n">
        <v>88.75423477597671</v>
      </c>
    </row>
    <row r="133">
      <c r="C133" s="75" t="n">
        <v>121</v>
      </c>
      <c r="D133" s="6" t="n">
        <v>80.87723477597672</v>
      </c>
      <c r="E133" s="6" t="n">
        <v>75.78076522402328</v>
      </c>
      <c r="F133" s="6" t="n">
        <v>70.41023477597672</v>
      </c>
    </row>
    <row r="134">
      <c r="C134" s="75" t="n">
        <v>122</v>
      </c>
      <c r="D134" s="6" t="n">
        <v>102.6092347759767</v>
      </c>
      <c r="E134" s="6" t="n">
        <v>87.09323477597671</v>
      </c>
      <c r="F134" s="6" t="n">
        <v>89.76623477597671</v>
      </c>
    </row>
    <row r="135">
      <c r="C135" s="75" t="n">
        <v>123</v>
      </c>
      <c r="D135" s="6" t="n">
        <v>89.56223477597672</v>
      </c>
      <c r="E135" s="6" t="n">
        <v>0</v>
      </c>
      <c r="F135" s="6" t="n">
        <v>13.87376522402329</v>
      </c>
    </row>
    <row r="136">
      <c r="C136" s="75" t="n">
        <v>124</v>
      </c>
      <c r="D136" s="6" t="n">
        <v>83.74023477597672</v>
      </c>
      <c r="E136" s="6" t="n">
        <v>90.53323477597672</v>
      </c>
      <c r="F136" s="6" t="n">
        <v>0</v>
      </c>
    </row>
    <row r="137">
      <c r="C137" s="75" t="n">
        <v>125</v>
      </c>
      <c r="D137" s="6" t="n">
        <v>0</v>
      </c>
      <c r="E137" s="6" t="n">
        <v>84.01423477597672</v>
      </c>
      <c r="F137" s="6" t="n">
        <v>100.3312347759767</v>
      </c>
    </row>
    <row r="138">
      <c r="C138" s="75" t="n">
        <v>126</v>
      </c>
      <c r="D138" s="6" t="n">
        <v>65.97523477597672</v>
      </c>
      <c r="E138" s="6" t="n">
        <v>71.95423477597672</v>
      </c>
      <c r="F138" s="6" t="n">
        <v>84.69923477597672</v>
      </c>
    </row>
    <row r="139">
      <c r="C139" s="75" t="n">
        <v>127</v>
      </c>
      <c r="D139" s="6" t="n">
        <v>77.76123477597672</v>
      </c>
      <c r="E139" s="6" t="n">
        <v>0</v>
      </c>
      <c r="F139" s="6" t="n">
        <v>88.02623477597672</v>
      </c>
    </row>
    <row r="140">
      <c r="C140" s="75" t="n">
        <v>128</v>
      </c>
      <c r="D140" s="6" t="n">
        <v>88.54423477597672</v>
      </c>
      <c r="E140" s="6" t="n">
        <v>77.83023477597672</v>
      </c>
      <c r="F140" s="6" t="n">
        <v>89.79023477597671</v>
      </c>
    </row>
    <row r="141">
      <c r="C141" s="75" t="n">
        <v>129</v>
      </c>
      <c r="D141" s="6" t="n">
        <v>76.53823477597672</v>
      </c>
      <c r="E141" s="6" t="n">
        <v>0</v>
      </c>
      <c r="F141" s="6" t="n">
        <v>0</v>
      </c>
    </row>
    <row r="142">
      <c r="C142" s="75" t="n">
        <v>130</v>
      </c>
      <c r="D142" s="6" t="n">
        <v>0</v>
      </c>
      <c r="E142" s="6" t="n">
        <v>96.41023477597672</v>
      </c>
      <c r="F142" s="6" t="n">
        <v>71.96623477597672</v>
      </c>
    </row>
    <row r="143">
      <c r="C143" s="75" t="n">
        <v>131</v>
      </c>
      <c r="D143" s="6" t="n">
        <v>25.52076522402329</v>
      </c>
      <c r="E143" s="6" t="n">
        <v>0</v>
      </c>
      <c r="F143" s="6" t="n">
        <v>0</v>
      </c>
    </row>
    <row r="144">
      <c r="C144" s="75" t="n">
        <v>132</v>
      </c>
      <c r="D144" s="6" t="n">
        <v>97.72923477597672</v>
      </c>
      <c r="E144" s="6" t="n">
        <v>0</v>
      </c>
      <c r="F144" s="6" t="n">
        <v>0</v>
      </c>
    </row>
    <row r="145">
      <c r="C145" s="75" t="n">
        <v>133</v>
      </c>
      <c r="D145" s="6" t="n">
        <v>71.09223477597671</v>
      </c>
      <c r="E145" s="6" t="n">
        <v>0</v>
      </c>
      <c r="F145" s="6" t="n">
        <v>0</v>
      </c>
    </row>
    <row r="146">
      <c r="C146" s="75" t="n">
        <v>134</v>
      </c>
      <c r="D146" s="6" t="n">
        <v>100.8512347759767</v>
      </c>
      <c r="E146" s="6" t="n">
        <v>0</v>
      </c>
      <c r="F146" s="6" t="n">
        <v>0</v>
      </c>
    </row>
    <row r="147">
      <c r="C147" s="75" t="n">
        <v>135</v>
      </c>
      <c r="D147" s="6" t="n">
        <v>0</v>
      </c>
      <c r="E147" s="6" t="n">
        <v>88.42023477597671</v>
      </c>
      <c r="F147" s="6" t="n">
        <v>0</v>
      </c>
    </row>
    <row r="148">
      <c r="C148" s="75" t="n">
        <v>136</v>
      </c>
      <c r="D148" s="6" t="n">
        <v>72.64323477597671</v>
      </c>
      <c r="E148" s="6" t="n">
        <v>0</v>
      </c>
      <c r="F148" s="6" t="n">
        <v>0</v>
      </c>
    </row>
    <row r="149">
      <c r="C149" s="75" t="n">
        <v>137</v>
      </c>
      <c r="D149" s="6" t="n">
        <v>74.30223477597671</v>
      </c>
      <c r="E149" s="6" t="n">
        <v>104.3952347759767</v>
      </c>
      <c r="F149" s="6" t="n">
        <v>0</v>
      </c>
    </row>
    <row r="150">
      <c r="C150" s="75" t="n">
        <v>138</v>
      </c>
      <c r="D150" s="6" t="n">
        <v>0</v>
      </c>
      <c r="E150" s="6" t="n">
        <v>0</v>
      </c>
      <c r="F150" s="6" t="n">
        <v>93.23523477597672</v>
      </c>
    </row>
    <row r="151">
      <c r="C151" s="75" t="n">
        <v>139</v>
      </c>
      <c r="D151" s="6" t="n">
        <v>0</v>
      </c>
      <c r="E151" s="6" t="n">
        <v>0</v>
      </c>
      <c r="F151" s="6" t="n">
        <v>72.09523477597671</v>
      </c>
    </row>
    <row r="152">
      <c r="C152" s="75" t="n">
        <v>140</v>
      </c>
      <c r="D152" s="6" t="n">
        <v>93.11123477597671</v>
      </c>
      <c r="E152" s="6" t="n">
        <v>82.40323477597671</v>
      </c>
      <c r="F152" s="6" t="n">
        <v>0</v>
      </c>
    </row>
    <row r="153">
      <c r="C153" s="75" t="n">
        <v>141</v>
      </c>
      <c r="D153" s="6" t="n">
        <v>89.23523477597671</v>
      </c>
      <c r="E153" s="6" t="n">
        <v>95.86623477597672</v>
      </c>
      <c r="F153" s="6" t="n">
        <v>0</v>
      </c>
    </row>
    <row r="154">
      <c r="C154" s="75" t="n">
        <v>142</v>
      </c>
      <c r="D154" s="6" t="n">
        <v>0</v>
      </c>
      <c r="E154" s="6" t="n">
        <v>19.02243189068994</v>
      </c>
      <c r="F154" s="6" t="n">
        <v>82.37323477597671</v>
      </c>
    </row>
    <row r="155">
      <c r="C155" s="75" t="n">
        <v>143</v>
      </c>
      <c r="D155" s="6" t="n">
        <v>0</v>
      </c>
      <c r="E155" s="6" t="n">
        <v>0</v>
      </c>
      <c r="F155" s="6" t="n">
        <v>84.38023477597672</v>
      </c>
    </row>
    <row r="156">
      <c r="C156" s="75" t="n">
        <v>144</v>
      </c>
      <c r="D156" s="6" t="n">
        <v>0</v>
      </c>
      <c r="E156" s="6" t="n">
        <v>0</v>
      </c>
      <c r="F156" s="6" t="n">
        <v>0</v>
      </c>
    </row>
    <row r="157">
      <c r="C157" s="75" t="n">
        <v>145</v>
      </c>
      <c r="D157" s="6" t="n">
        <v>76.42823477597672</v>
      </c>
      <c r="E157" s="6" t="n">
        <v>89.23423477597672</v>
      </c>
      <c r="F157" s="6" t="n">
        <v>65.52623477597672</v>
      </c>
    </row>
    <row r="158">
      <c r="C158" s="75" t="n">
        <v>146</v>
      </c>
      <c r="D158" s="6" t="n">
        <v>13.22943189068994</v>
      </c>
      <c r="E158" s="6" t="n">
        <v>87.43123477597672</v>
      </c>
      <c r="F158" s="6" t="n">
        <v>64.46523477597671</v>
      </c>
    </row>
    <row r="159">
      <c r="C159" s="75" t="n">
        <v>147</v>
      </c>
      <c r="D159" s="6" t="n">
        <v>0</v>
      </c>
      <c r="E159" s="6" t="n">
        <v>84.19423477597671</v>
      </c>
      <c r="F159" s="6" t="n">
        <v>0</v>
      </c>
    </row>
    <row r="160">
      <c r="C160" s="75" t="n">
        <v>148</v>
      </c>
      <c r="D160" s="6" t="n">
        <v>84.73223477597671</v>
      </c>
      <c r="E160" s="6" t="n">
        <v>83.40123477597672</v>
      </c>
      <c r="F160" s="6" t="n">
        <v>40.02376522402328</v>
      </c>
    </row>
    <row r="161">
      <c r="C161" s="75" t="n">
        <v>149</v>
      </c>
      <c r="D161" s="6" t="n">
        <v>93.12923477597671</v>
      </c>
      <c r="E161" s="6" t="n">
        <v>82.06923477597671</v>
      </c>
      <c r="F161" s="6" t="n">
        <v>77.39623477597671</v>
      </c>
    </row>
    <row r="162">
      <c r="C162" s="75" t="n">
        <v>150</v>
      </c>
      <c r="D162" s="6" t="n">
        <v>0</v>
      </c>
      <c r="E162" s="6" t="n">
        <v>82.07523477597671</v>
      </c>
      <c r="F162" s="6" t="n">
        <v>86.20223477597672</v>
      </c>
    </row>
    <row r="163">
      <c r="C163" s="75" t="n">
        <v>151</v>
      </c>
      <c r="D163" s="6" t="n">
        <v>79.04423477597672</v>
      </c>
      <c r="E163" s="6" t="n">
        <v>96.38623477597672</v>
      </c>
      <c r="F163" s="6" t="n">
        <v>70.30023477597672</v>
      </c>
    </row>
    <row r="164">
      <c r="C164" s="75" t="n">
        <v>152</v>
      </c>
      <c r="D164" s="6" t="n">
        <v>107.0762347759767</v>
      </c>
      <c r="E164" s="6" t="n">
        <v>0</v>
      </c>
      <c r="F164" s="6" t="n">
        <v>0</v>
      </c>
    </row>
    <row r="165">
      <c r="C165" s="75" t="n">
        <v>153</v>
      </c>
      <c r="D165" s="6" t="n">
        <v>94.71023477597672</v>
      </c>
      <c r="E165" s="6" t="n">
        <v>80.74323477597672</v>
      </c>
      <c r="F165" s="6" t="n">
        <v>0</v>
      </c>
    </row>
    <row r="166">
      <c r="C166" s="75" t="n">
        <v>154</v>
      </c>
      <c r="D166" s="6" t="n">
        <v>0</v>
      </c>
      <c r="E166" s="6" t="n">
        <v>0</v>
      </c>
      <c r="F166" s="6" t="n">
        <v>62.77723477597671</v>
      </c>
    </row>
    <row r="167">
      <c r="C167" s="75" t="n">
        <v>155</v>
      </c>
      <c r="D167" s="6" t="n">
        <v>85.68523477597671</v>
      </c>
      <c r="E167" s="6" t="n">
        <v>0</v>
      </c>
      <c r="F167" s="6" t="n">
        <v>0</v>
      </c>
    </row>
    <row r="168">
      <c r="C168" s="75" t="n">
        <v>156</v>
      </c>
      <c r="D168" s="6" t="n">
        <v>0</v>
      </c>
      <c r="E168" s="6" t="n">
        <v>0</v>
      </c>
      <c r="F168" s="6" t="n">
        <v>66.31223477597672</v>
      </c>
    </row>
    <row r="169">
      <c r="C169" s="75" t="n">
        <v>157</v>
      </c>
      <c r="D169" s="6" t="n">
        <v>112.6542347759767</v>
      </c>
      <c r="E169" s="6" t="n">
        <v>104.9652347759767</v>
      </c>
      <c r="F169" s="6" t="n">
        <v>91.81623477597671</v>
      </c>
    </row>
    <row r="170">
      <c r="C170" s="75" t="n">
        <v>158</v>
      </c>
      <c r="D170" s="6" t="n">
        <v>0</v>
      </c>
      <c r="E170" s="6" t="n">
        <v>0</v>
      </c>
      <c r="F170" s="6" t="n">
        <v>0</v>
      </c>
    </row>
    <row r="171">
      <c r="C171" s="75" t="n">
        <v>159</v>
      </c>
      <c r="D171" s="6" t="n">
        <v>85.99123477597671</v>
      </c>
      <c r="E171" s="6" t="n">
        <v>0</v>
      </c>
      <c r="F171" s="6" t="n">
        <v>95.82323477597672</v>
      </c>
    </row>
    <row r="172">
      <c r="C172" s="75" t="n">
        <v>160</v>
      </c>
      <c r="D172" s="6" t="n">
        <v>0</v>
      </c>
      <c r="E172" s="6" t="n">
        <v>0</v>
      </c>
      <c r="F172" s="6" t="n">
        <v>0</v>
      </c>
    </row>
    <row r="173">
      <c r="C173" s="75" t="n">
        <v>161</v>
      </c>
      <c r="D173" s="6" t="n">
        <v>0</v>
      </c>
      <c r="E173" s="6" t="n">
        <v>0</v>
      </c>
      <c r="F173" s="6" t="n">
        <v>104.8322347759767</v>
      </c>
    </row>
    <row r="174">
      <c r="C174" s="75" t="n">
        <v>162</v>
      </c>
      <c r="D174" s="6" t="n">
        <v>91.11623477597672</v>
      </c>
      <c r="E174" s="6" t="n">
        <v>0</v>
      </c>
      <c r="F174" s="6" t="n">
        <v>93.75123477597671</v>
      </c>
    </row>
    <row r="175">
      <c r="C175" s="75" t="n">
        <v>163</v>
      </c>
      <c r="D175" s="6" t="n">
        <v>98.07023477597672</v>
      </c>
      <c r="E175" s="6" t="n">
        <v>84.10923477597672</v>
      </c>
      <c r="F175" s="6" t="n">
        <v>75.02823477597671</v>
      </c>
    </row>
    <row r="176">
      <c r="C176" s="75" t="n">
        <v>164</v>
      </c>
      <c r="D176" s="6" t="n">
        <v>0</v>
      </c>
      <c r="E176" s="6" t="n">
        <v>0</v>
      </c>
      <c r="F176" s="6" t="n">
        <v>75.77323477597672</v>
      </c>
    </row>
    <row r="177">
      <c r="C177" s="75" t="n">
        <v>165</v>
      </c>
      <c r="D177" s="6" t="n">
        <v>71.05323477597672</v>
      </c>
      <c r="E177" s="6" t="n">
        <v>66.38923477597672</v>
      </c>
      <c r="F177" s="6" t="n">
        <v>0</v>
      </c>
    </row>
    <row r="178">
      <c r="C178" s="75" t="n">
        <v>166</v>
      </c>
      <c r="D178" s="6" t="n">
        <v>99.64423477597671</v>
      </c>
      <c r="E178" s="6" t="n">
        <v>84.04323477597671</v>
      </c>
      <c r="F178" s="6" t="n">
        <v>0</v>
      </c>
    </row>
    <row r="179">
      <c r="C179" s="75" t="n">
        <v>167</v>
      </c>
      <c r="D179" s="6" t="n">
        <v>0</v>
      </c>
      <c r="E179" s="6" t="n">
        <v>75.07323477597672</v>
      </c>
      <c r="F179" s="6" t="n">
        <v>0</v>
      </c>
    </row>
    <row r="180">
      <c r="C180" s="75" t="n">
        <v>168</v>
      </c>
      <c r="D180" s="6" t="n">
        <v>86.20123477597672</v>
      </c>
      <c r="E180" s="6" t="n">
        <v>88.20023477597671</v>
      </c>
      <c r="F180" s="6" t="n">
        <v>0</v>
      </c>
    </row>
    <row r="181">
      <c r="C181" s="75" t="n">
        <v>169</v>
      </c>
      <c r="D181" s="6" t="n">
        <v>0</v>
      </c>
      <c r="E181" s="6" t="n">
        <v>0</v>
      </c>
      <c r="F181" s="6" t="n">
        <v>76.33323477597672</v>
      </c>
    </row>
    <row r="182">
      <c r="C182" s="75" t="n">
        <v>170</v>
      </c>
      <c r="D182" s="6" t="n">
        <v>91.90123477597672</v>
      </c>
      <c r="E182" s="6" t="n">
        <v>13.12209855735662</v>
      </c>
      <c r="F182" s="6" t="n">
        <v>103.3872347759767</v>
      </c>
    </row>
    <row r="183">
      <c r="C183" s="75" t="n">
        <v>171</v>
      </c>
      <c r="D183" s="6" t="n">
        <v>62.76276522402328</v>
      </c>
      <c r="E183" s="6" t="n">
        <v>88.10123477597671</v>
      </c>
      <c r="F183" s="6" t="n">
        <v>119.9372347759767</v>
      </c>
    </row>
    <row r="184">
      <c r="C184" s="75" t="n">
        <v>172</v>
      </c>
      <c r="D184" s="6" t="n">
        <v>87.46223477597671</v>
      </c>
      <c r="E184" s="6" t="n">
        <v>78.92623477597671</v>
      </c>
      <c r="F184" s="6" t="n">
        <v>92.74723477597672</v>
      </c>
    </row>
    <row r="185">
      <c r="C185" s="75" t="n">
        <v>173</v>
      </c>
      <c r="D185" s="6" t="n">
        <v>76.49923477597672</v>
      </c>
      <c r="E185" s="6" t="n">
        <v>72.32523477597671</v>
      </c>
      <c r="F185" s="6" t="n">
        <v>99.96323477597672</v>
      </c>
    </row>
    <row r="186">
      <c r="C186" s="75" t="n">
        <v>174</v>
      </c>
      <c r="D186" s="6" t="n">
        <v>0</v>
      </c>
      <c r="E186" s="6" t="n">
        <v>0</v>
      </c>
      <c r="F186" s="6" t="n">
        <v>0</v>
      </c>
    </row>
    <row r="187">
      <c r="C187" s="75" t="n">
        <v>175</v>
      </c>
      <c r="D187" s="6" t="n">
        <v>87.23123477597672</v>
      </c>
      <c r="E187" s="6" t="n">
        <v>0</v>
      </c>
      <c r="F187" s="6" t="n">
        <v>70.15223477597671</v>
      </c>
    </row>
    <row r="188">
      <c r="C188" s="75" t="n">
        <v>176</v>
      </c>
      <c r="D188" s="6" t="n">
        <v>95.94223477597671</v>
      </c>
      <c r="E188" s="6" t="n">
        <v>0</v>
      </c>
      <c r="F188" s="6" t="n">
        <v>0</v>
      </c>
    </row>
    <row r="189">
      <c r="C189" s="75" t="n">
        <v>177</v>
      </c>
      <c r="D189" s="6" t="n">
        <v>74.49823477597671</v>
      </c>
      <c r="E189" s="6" t="n">
        <v>111.5192347759767</v>
      </c>
      <c r="F189" s="6" t="n">
        <v>106.6522347759767</v>
      </c>
    </row>
    <row r="190">
      <c r="C190" s="75" t="n">
        <v>178</v>
      </c>
      <c r="D190" s="6" t="n">
        <v>79.55523477597671</v>
      </c>
      <c r="E190" s="6" t="n">
        <v>0</v>
      </c>
      <c r="F190" s="6" t="n">
        <v>0</v>
      </c>
    </row>
    <row r="191">
      <c r="C191" s="75" t="n">
        <v>179</v>
      </c>
      <c r="D191" s="6" t="n">
        <v>81.77323477597672</v>
      </c>
      <c r="E191" s="6" t="n">
        <v>90.82123477597672</v>
      </c>
      <c r="F191" s="6" t="n">
        <v>91.24323477597672</v>
      </c>
    </row>
    <row r="192">
      <c r="C192" s="75" t="n">
        <v>180</v>
      </c>
      <c r="D192" s="6" t="n">
        <v>81.79523477597671</v>
      </c>
      <c r="E192" s="6" t="n">
        <v>89.14823477597672</v>
      </c>
      <c r="F192" s="6" t="n">
        <v>0</v>
      </c>
    </row>
    <row r="193">
      <c r="C193" s="75" t="n">
        <v>181</v>
      </c>
      <c r="D193" s="6" t="n">
        <v>0</v>
      </c>
      <c r="E193" s="6" t="n">
        <v>0</v>
      </c>
      <c r="F193" s="6" t="n">
        <v>85.18223477597671</v>
      </c>
    </row>
    <row r="194">
      <c r="C194" s="75" t="n">
        <v>182</v>
      </c>
      <c r="D194" s="6" t="n">
        <v>0</v>
      </c>
      <c r="E194" s="6" t="n">
        <v>0</v>
      </c>
      <c r="F194" s="6" t="n">
        <v>0</v>
      </c>
    </row>
    <row r="195">
      <c r="C195" s="75" t="n">
        <v>183</v>
      </c>
      <c r="D195" s="6" t="n">
        <v>0</v>
      </c>
      <c r="E195" s="6" t="n">
        <v>64.54523477597671</v>
      </c>
      <c r="F195" s="6" t="n">
        <v>82.03023477597671</v>
      </c>
    </row>
    <row r="196">
      <c r="C196" s="75" t="n">
        <v>184</v>
      </c>
      <c r="D196" s="6" t="n">
        <v>70.82623477597672</v>
      </c>
      <c r="E196" s="6" t="n">
        <v>0</v>
      </c>
      <c r="F196" s="6" t="n">
        <v>97.03623477597672</v>
      </c>
    </row>
    <row r="197">
      <c r="C197" s="75" t="n">
        <v>185</v>
      </c>
      <c r="D197" s="6" t="n">
        <v>0</v>
      </c>
      <c r="E197" s="6" t="n">
        <v>96.92223477597672</v>
      </c>
      <c r="F197" s="6" t="n">
        <v>74.62723477597672</v>
      </c>
    </row>
    <row r="198">
      <c r="C198" s="75" t="n">
        <v>186</v>
      </c>
      <c r="D198" s="6" t="n">
        <v>68.33823477597672</v>
      </c>
      <c r="E198" s="6" t="n">
        <v>0</v>
      </c>
      <c r="F198" s="6" t="n">
        <v>0</v>
      </c>
    </row>
    <row r="199">
      <c r="C199" s="75" t="n">
        <v>187</v>
      </c>
      <c r="D199" s="6" t="n">
        <v>81.80423477597671</v>
      </c>
      <c r="E199" s="6" t="n">
        <v>87.41023477597672</v>
      </c>
      <c r="F199" s="6" t="n">
        <v>83.09423477597672</v>
      </c>
    </row>
    <row r="200">
      <c r="C200" s="75" t="n">
        <v>188</v>
      </c>
      <c r="D200" s="6" t="n">
        <v>64.66823477597671</v>
      </c>
      <c r="E200" s="6" t="n">
        <v>0</v>
      </c>
      <c r="F200" s="6" t="n">
        <v>86.07023477597672</v>
      </c>
    </row>
    <row r="201">
      <c r="C201" s="75" t="n">
        <v>189</v>
      </c>
      <c r="D201" s="6" t="n">
        <v>0</v>
      </c>
      <c r="E201" s="6" t="n">
        <v>0</v>
      </c>
      <c r="F201" s="6" t="n">
        <v>0</v>
      </c>
    </row>
    <row r="202">
      <c r="C202" s="75" t="n">
        <v>190</v>
      </c>
      <c r="D202" s="6" t="n">
        <v>96.68323477597671</v>
      </c>
      <c r="E202" s="6" t="n">
        <v>79.85323477597672</v>
      </c>
      <c r="F202" s="6" t="n">
        <v>85.76923477597671</v>
      </c>
    </row>
    <row r="203">
      <c r="C203" s="75" t="n">
        <v>191</v>
      </c>
      <c r="D203" s="6" t="n">
        <v>0</v>
      </c>
      <c r="E203" s="6" t="n">
        <v>0</v>
      </c>
      <c r="F203" s="6" t="n">
        <v>4.244765224023283</v>
      </c>
    </row>
    <row r="204">
      <c r="C204" s="75" t="n">
        <v>192</v>
      </c>
      <c r="D204" s="6" t="n">
        <v>0</v>
      </c>
      <c r="E204" s="6" t="n">
        <v>62.45123477597672</v>
      </c>
      <c r="F204" s="6" t="n">
        <v>0</v>
      </c>
    </row>
    <row r="205">
      <c r="C205" s="75" t="n">
        <v>193</v>
      </c>
      <c r="D205" s="6" t="n">
        <v>0</v>
      </c>
      <c r="E205" s="6" t="n">
        <v>91.63123477597672</v>
      </c>
      <c r="F205" s="6" t="n">
        <v>84.68823477597671</v>
      </c>
    </row>
    <row r="206">
      <c r="C206" s="75" t="n">
        <v>194</v>
      </c>
      <c r="D206" s="6" t="n">
        <v>91.92523477597672</v>
      </c>
      <c r="E206" s="6" t="n">
        <v>70.04423477597672</v>
      </c>
      <c r="F206" s="6" t="n">
        <v>83.93923477597671</v>
      </c>
    </row>
    <row r="207">
      <c r="C207" s="75" t="n">
        <v>195</v>
      </c>
      <c r="D207" s="6" t="n">
        <v>0</v>
      </c>
      <c r="E207" s="6" t="n">
        <v>0</v>
      </c>
      <c r="F207" s="6" t="n">
        <v>62.84323477597671</v>
      </c>
    </row>
    <row r="208">
      <c r="C208" s="75" t="n">
        <v>196</v>
      </c>
      <c r="D208" s="6" t="n">
        <v>92.36023477597672</v>
      </c>
      <c r="E208" s="6" t="n">
        <v>80.49323477597672</v>
      </c>
      <c r="F208" s="6" t="n">
        <v>101.6752347759767</v>
      </c>
    </row>
    <row r="209">
      <c r="C209" s="75" t="n">
        <v>197</v>
      </c>
      <c r="D209" s="6" t="n">
        <v>85.64423477597671</v>
      </c>
      <c r="E209" s="6" t="n">
        <v>0</v>
      </c>
      <c r="F209" s="6" t="n">
        <v>0</v>
      </c>
    </row>
    <row r="210">
      <c r="C210" s="75" t="n">
        <v>198</v>
      </c>
      <c r="D210" s="6" t="n">
        <v>0</v>
      </c>
      <c r="E210" s="6" t="n">
        <v>0</v>
      </c>
      <c r="F210" s="6" t="n">
        <v>91.32923477597672</v>
      </c>
    </row>
  </sheetData>
  <pageMargins left="0.511811024" right="0.511811024" top="0.787401575" bottom="0.787401575" header="0.31496062" footer="0.31496062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3:BI213"/>
  <sheetViews>
    <sheetView topLeftCell="AM1" zoomScale="90" zoomScaleNormal="90" workbookViewId="0">
      <selection activeCell="AY5" sqref="AY5"/>
    </sheetView>
  </sheetViews>
  <sheetFormatPr baseColWidth="8" defaultColWidth="8.88671875" defaultRowHeight="14.4"/>
  <cols>
    <col width="9.44140625" customWidth="1" style="2" min="1" max="1"/>
    <col width="10.5546875" customWidth="1" style="2" min="2" max="2"/>
    <col width="11.6640625" customWidth="1" style="2" min="3" max="3"/>
    <col width="11.5546875" customWidth="1" style="2" min="4" max="4"/>
    <col width="9.44140625" customWidth="1" style="2" min="5" max="5"/>
    <col width="8.88671875" customWidth="1" style="2" min="6" max="11"/>
    <col width="9.88671875" bestFit="1" customWidth="1" style="2" min="12" max="12"/>
    <col width="9.6640625" bestFit="1" customWidth="1" style="2" min="13" max="13"/>
    <col width="11.21875" bestFit="1" customWidth="1" style="2" min="14" max="14"/>
    <col width="8.88671875" customWidth="1" style="2" min="15" max="21"/>
    <col width="8.33203125" customWidth="1" style="2" min="22" max="22"/>
    <col width="9.5546875" bestFit="1" customWidth="1" style="2" min="23" max="23"/>
    <col width="9.88671875" bestFit="1" customWidth="1" style="2" min="24" max="24"/>
    <col width="9.5546875" customWidth="1" style="2" min="25" max="44"/>
    <col width="8.88671875" customWidth="1" style="2" min="45" max="45"/>
    <col width="9" bestFit="1" customWidth="1" style="2" min="46" max="61"/>
    <col width="8.88671875" customWidth="1" style="2" min="62" max="16384"/>
  </cols>
  <sheetData>
    <row r="3">
      <c r="D3" s="72" t="inlineStr">
        <is>
          <t>CÁLCULOS PARA A GERAÇÃO DOS DADOS DA DEMANDA</t>
        </is>
      </c>
      <c r="X3" s="72" t="n"/>
      <c r="Y3" s="72" t="n"/>
      <c r="Z3" s="72" t="n"/>
      <c r="AA3" s="72" t="n"/>
      <c r="AB3" s="72" t="n"/>
      <c r="AC3" s="72" t="n"/>
      <c r="AD3" s="72" t="n"/>
      <c r="AE3" s="72" t="n"/>
      <c r="AF3" s="72" t="n"/>
      <c r="AG3" s="72" t="n"/>
      <c r="AH3" s="72" t="n"/>
      <c r="AI3" s="72" t="n"/>
      <c r="AJ3" s="72" t="n"/>
      <c r="AK3" s="72" t="n"/>
      <c r="AL3" s="72" t="n"/>
      <c r="AM3" s="72" t="n"/>
      <c r="AN3" s="72" t="n"/>
      <c r="AO3" s="72" t="n"/>
      <c r="AP3" s="72" t="n"/>
      <c r="AQ3" s="72" t="n"/>
      <c r="AR3" s="72" t="n"/>
      <c r="AU3" s="2" t="inlineStr">
        <is>
          <t>máximo</t>
        </is>
      </c>
      <c r="AV3" s="2">
        <f>MAX(SuppliersDem)</f>
        <v/>
      </c>
      <c r="AX3" s="2" t="inlineStr">
        <is>
          <t>mínimo</t>
        </is>
      </c>
      <c r="AY3" s="2">
        <f>MIN(SuppliersDem)</f>
        <v/>
      </c>
    </row>
    <row r="4">
      <c r="A4" s="2" t="inlineStr">
        <is>
          <t>Mínimo</t>
        </is>
      </c>
      <c r="B4" s="2" t="inlineStr">
        <is>
          <t>Máximo</t>
        </is>
      </c>
      <c r="H4" s="17" t="n">
        <v>1</v>
      </c>
      <c r="I4" s="17" t="n">
        <v>2</v>
      </c>
      <c r="J4" s="17" t="n">
        <v>3</v>
      </c>
      <c r="K4" s="17" t="n">
        <v>4</v>
      </c>
      <c r="L4" s="17" t="n">
        <v>5</v>
      </c>
      <c r="M4" s="17" t="n">
        <v>6</v>
      </c>
      <c r="N4" s="17" t="n">
        <v>7</v>
      </c>
      <c r="O4" s="17" t="n">
        <v>8</v>
      </c>
      <c r="P4" s="17" t="n">
        <v>9</v>
      </c>
      <c r="Q4" s="17" t="n">
        <v>10</v>
      </c>
      <c r="R4" s="17" t="n">
        <v>11</v>
      </c>
      <c r="S4" s="17" t="n">
        <v>12</v>
      </c>
      <c r="T4" s="17" t="n">
        <v>13</v>
      </c>
      <c r="U4" s="17" t="n">
        <v>14</v>
      </c>
      <c r="V4" s="17" t="n">
        <v>15</v>
      </c>
      <c r="X4" s="2" t="inlineStr">
        <is>
          <t>Soma</t>
        </is>
      </c>
      <c r="AB4" s="17" t="n">
        <v>1</v>
      </c>
      <c r="AC4" s="17" t="n">
        <v>2</v>
      </c>
      <c r="AD4" s="17" t="n">
        <v>3</v>
      </c>
      <c r="AE4" s="17" t="n">
        <v>4</v>
      </c>
      <c r="AF4" s="17" t="n">
        <v>5</v>
      </c>
      <c r="AG4" s="17" t="n">
        <v>6</v>
      </c>
      <c r="AH4" s="17" t="n">
        <v>7</v>
      </c>
      <c r="AI4" s="17" t="n">
        <v>8</v>
      </c>
      <c r="AJ4" s="17" t="n">
        <v>9</v>
      </c>
      <c r="AK4" s="17" t="n">
        <v>10</v>
      </c>
      <c r="AL4" s="17" t="n">
        <v>11</v>
      </c>
      <c r="AM4" s="17" t="n">
        <v>12</v>
      </c>
      <c r="AN4" s="17" t="n">
        <v>13</v>
      </c>
      <c r="AO4" s="17" t="n">
        <v>14</v>
      </c>
      <c r="AP4" s="17" t="n">
        <v>15</v>
      </c>
      <c r="AU4" s="17" t="n">
        <v>1</v>
      </c>
      <c r="AV4" s="17" t="n">
        <v>2</v>
      </c>
      <c r="AW4" s="17" t="n">
        <v>3</v>
      </c>
      <c r="AX4" s="17" t="n">
        <v>4</v>
      </c>
      <c r="AY4" s="17" t="n">
        <v>5</v>
      </c>
      <c r="AZ4" s="17" t="n">
        <v>6</v>
      </c>
      <c r="BA4" s="17" t="n">
        <v>7</v>
      </c>
      <c r="BB4" s="17" t="n">
        <v>8</v>
      </c>
      <c r="BC4" s="17" t="n">
        <v>9</v>
      </c>
      <c r="BD4" s="17" t="n">
        <v>10</v>
      </c>
      <c r="BE4" s="17" t="n">
        <v>11</v>
      </c>
      <c r="BF4" s="17" t="n">
        <v>12</v>
      </c>
      <c r="BG4" s="17" t="n">
        <v>13</v>
      </c>
      <c r="BH4" s="17" t="n">
        <v>14</v>
      </c>
      <c r="BI4" s="17" t="n">
        <v>15</v>
      </c>
    </row>
    <row r="5">
      <c r="A5" s="2">
        <f>MIN(H5:V7)</f>
        <v/>
      </c>
      <c r="B5" s="2">
        <f>MAX(H5:V7)</f>
        <v/>
      </c>
      <c r="C5" s="2" t="inlineStr">
        <is>
          <t>prod/dia</t>
        </is>
      </c>
      <c r="D5" s="2" t="inlineStr">
        <is>
          <t>Avarege</t>
        </is>
      </c>
      <c r="E5" s="2">
        <f>(M24/3)/15</f>
        <v/>
      </c>
      <c r="F5" s="2" t="inlineStr">
        <is>
          <t>Dw</t>
        </is>
      </c>
      <c r="G5" s="17" t="n">
        <v>1</v>
      </c>
      <c r="H5" s="2">
        <f>TRUNC((_xlfn.NORM.INV((RAND()),$E$5,$E$6)),2)</f>
        <v/>
      </c>
      <c r="I5" s="2">
        <f>TRUNC((_xlfn.NORM.INV((RAND()),$E$5,$E$6)),2)</f>
        <v/>
      </c>
      <c r="J5" s="2">
        <f>TRUNC((_xlfn.NORM.INV((RAND()),$E$5,$E$6)),2)</f>
        <v/>
      </c>
      <c r="K5" s="2">
        <f>TRUNC((_xlfn.NORM.INV((RAND()),$E$5,$E$6)),2)</f>
        <v/>
      </c>
      <c r="L5" s="2">
        <f>TRUNC((_xlfn.NORM.INV((RAND()),$E$5,$E$6)),2)</f>
        <v/>
      </c>
      <c r="M5" s="2">
        <f>TRUNC((_xlfn.NORM.INV((RAND()),$E$5,$E$6)),2)</f>
        <v/>
      </c>
      <c r="N5" s="2">
        <f>TRUNC((_xlfn.NORM.INV((RAND()),$E$5,$E$6)),2)</f>
        <v/>
      </c>
      <c r="O5" s="2">
        <f>TRUNC((_xlfn.NORM.INV((RAND()),$E$5,$E$6)),2)</f>
        <v/>
      </c>
      <c r="P5" s="2">
        <f>TRUNC((_xlfn.NORM.INV((RAND()),$E$5,$E$6)),2)</f>
        <v/>
      </c>
      <c r="Q5" s="2">
        <f>TRUNC((_xlfn.NORM.INV((RAND()),$E$5,$E$6)),2)</f>
        <v/>
      </c>
      <c r="R5" s="2">
        <f>TRUNC((_xlfn.NORM.INV((RAND()),$E$5,$E$6)),2)</f>
        <v/>
      </c>
      <c r="S5" s="2">
        <f>TRUNC((_xlfn.NORM.INV((RAND()),$E$5,$E$6)),2)</f>
        <v/>
      </c>
      <c r="T5" s="2">
        <f>TRUNC((_xlfn.NORM.INV((RAND()),$E$5,$E$6)),2)</f>
        <v/>
      </c>
      <c r="U5" s="2">
        <f>TRUNC((_xlfn.NORM.INV((RAND()),$E$5,$E$6)),2)</f>
        <v/>
      </c>
      <c r="V5" s="2">
        <f>TRUNC((_xlfn.NORM.INV((RAND()),$E$5,$E$6)),2)</f>
        <v/>
      </c>
      <c r="X5" s="3">
        <f>SUM(H5:V7)</f>
        <v/>
      </c>
      <c r="Y5" s="3" t="n"/>
      <c r="Z5" s="2" t="inlineStr">
        <is>
          <t>Dw</t>
        </is>
      </c>
      <c r="AA5" s="17" t="n">
        <v>1</v>
      </c>
      <c r="AB5" s="3">
        <f>IF(H5&lt;0,0,H5)</f>
        <v/>
      </c>
      <c r="AC5" s="3">
        <f>IF(I5&lt;0,0,I5)</f>
        <v/>
      </c>
      <c r="AD5" s="3">
        <f>IF(J5&lt;0,0,J5)</f>
        <v/>
      </c>
      <c r="AE5" s="3">
        <f>IF(K5&lt;0,0,K5)</f>
        <v/>
      </c>
      <c r="AF5" s="3">
        <f>IF(L5&lt;0,0,L5)</f>
        <v/>
      </c>
      <c r="AG5" s="3">
        <f>IF(M5&lt;0,0,M5)</f>
        <v/>
      </c>
      <c r="AH5" s="3">
        <f>IF(N5&lt;0,0,N5)</f>
        <v/>
      </c>
      <c r="AI5" s="3">
        <f>IF(O5&lt;0,0,O5)</f>
        <v/>
      </c>
      <c r="AJ5" s="3">
        <f>IF(P5&lt;0,0,P5)</f>
        <v/>
      </c>
      <c r="AK5" s="3">
        <f>IF(Q5&lt;0,0,Q5)</f>
        <v/>
      </c>
      <c r="AL5" s="3">
        <f>IF(R5&lt;0,0,R5)</f>
        <v/>
      </c>
      <c r="AM5" s="3">
        <f>IF(S5&lt;0,0,S5)</f>
        <v/>
      </c>
      <c r="AN5" s="3">
        <f>IF(T5&lt;0,0,T5)</f>
        <v/>
      </c>
      <c r="AO5" s="3">
        <f>IF(U5&lt;0,0,U5)</f>
        <v/>
      </c>
      <c r="AP5" s="3">
        <f>IF(V5&lt;0,0,V5)</f>
        <v/>
      </c>
      <c r="AQ5" s="3" t="n"/>
      <c r="AR5" s="3" t="n"/>
      <c r="AS5" s="2" t="inlineStr">
        <is>
          <t>Dw</t>
        </is>
      </c>
      <c r="AT5" s="17" t="n">
        <v>1</v>
      </c>
      <c r="AU5" s="23" t="n">
        <v>231.5</v>
      </c>
      <c r="AV5" s="23" t="n">
        <v>297.34</v>
      </c>
      <c r="AW5" s="23" t="n">
        <v>217.82</v>
      </c>
      <c r="AX5" s="23" t="n">
        <v>222.62</v>
      </c>
      <c r="AY5" s="23" t="n">
        <v>453.86</v>
      </c>
      <c r="AZ5" s="23" t="n">
        <v>315.98</v>
      </c>
      <c r="BA5" s="23" t="n">
        <v>216.18</v>
      </c>
      <c r="BB5" s="23" t="n">
        <v>463.97</v>
      </c>
      <c r="BC5" s="23" t="n">
        <v>404.65</v>
      </c>
      <c r="BD5" s="23" t="n">
        <v>334.69</v>
      </c>
      <c r="BE5" s="23" t="n">
        <v>440.61</v>
      </c>
      <c r="BF5" s="23" t="n">
        <v>225.39</v>
      </c>
      <c r="BG5" s="23" t="n">
        <v>314.98</v>
      </c>
      <c r="BH5" s="23" t="n">
        <v>305.23</v>
      </c>
      <c r="BI5" s="23" t="n">
        <v>541.84</v>
      </c>
    </row>
    <row r="6">
      <c r="D6" s="2" t="inlineStr">
        <is>
          <t>Std Devition</t>
        </is>
      </c>
      <c r="E6" s="2">
        <f>E5*0.2</f>
        <v/>
      </c>
      <c r="G6" s="17" t="n">
        <v>2</v>
      </c>
      <c r="H6" s="2">
        <f>TRUNC((_xlfn.NORM.INV((RAND()),$E$5,$E$6)),2)</f>
        <v/>
      </c>
      <c r="I6" s="2">
        <f>TRUNC((_xlfn.NORM.INV((RAND()),$E$5,$E$6)),2)</f>
        <v/>
      </c>
      <c r="J6" s="2">
        <f>TRUNC((_xlfn.NORM.INV((RAND()),$E$5,$E$6)),2)</f>
        <v/>
      </c>
      <c r="K6" s="2">
        <f>TRUNC((_xlfn.NORM.INV((RAND()),$E$5,$E$6)),2)</f>
        <v/>
      </c>
      <c r="L6" s="2">
        <f>TRUNC((_xlfn.NORM.INV((RAND()),$E$5,$E$6)),2)</f>
        <v/>
      </c>
      <c r="M6" s="2">
        <f>TRUNC((_xlfn.NORM.INV((RAND()),$E$5,$E$6)),2)</f>
        <v/>
      </c>
      <c r="N6" s="2">
        <f>TRUNC((_xlfn.NORM.INV((RAND()),$E$5,$E$6)),2)</f>
        <v/>
      </c>
      <c r="O6" s="2">
        <f>TRUNC((_xlfn.NORM.INV((RAND()),$E$5,$E$6)),2)</f>
        <v/>
      </c>
      <c r="P6" s="2">
        <f>TRUNC((_xlfn.NORM.INV((RAND()),$E$5,$E$6)),2)</f>
        <v/>
      </c>
      <c r="Q6" s="2">
        <f>TRUNC((_xlfn.NORM.INV((RAND()),$E$5,$E$6)),2)</f>
        <v/>
      </c>
      <c r="R6" s="2">
        <f>TRUNC((_xlfn.NORM.INV((RAND()),$E$5,$E$6)),2)</f>
        <v/>
      </c>
      <c r="S6" s="2">
        <f>TRUNC((_xlfn.NORM.INV((RAND()),$E$5,$E$6)),2)</f>
        <v/>
      </c>
      <c r="T6" s="2">
        <f>TRUNC((_xlfn.NORM.INV((RAND()),$E$5,$E$6)),2)</f>
        <v/>
      </c>
      <c r="U6" s="2">
        <f>TRUNC((_xlfn.NORM.INV((RAND()),$E$5,$E$6)),2)</f>
        <v/>
      </c>
      <c r="V6" s="2">
        <f>TRUNC((_xlfn.NORM.INV((RAND()),$E$5,$E$6)),2)</f>
        <v/>
      </c>
      <c r="AA6" s="17" t="n">
        <v>2</v>
      </c>
      <c r="AB6" s="3">
        <f>IF(H6&lt;0,0,H6)</f>
        <v/>
      </c>
      <c r="AC6" s="3">
        <f>IF(I6&lt;0,0,I6)</f>
        <v/>
      </c>
      <c r="AD6" s="3">
        <f>IF(J6&lt;0,0,J6)</f>
        <v/>
      </c>
      <c r="AE6" s="3">
        <f>IF(K6&lt;0,0,K6)</f>
        <v/>
      </c>
      <c r="AF6" s="3">
        <f>IF(L6&lt;0,0,L6)</f>
        <v/>
      </c>
      <c r="AG6" s="3">
        <f>IF(M6&lt;0,0,M6)</f>
        <v/>
      </c>
      <c r="AH6" s="3">
        <f>IF(N6&lt;0,0,N6)</f>
        <v/>
      </c>
      <c r="AI6" s="3">
        <f>IF(O6&lt;0,0,O6)</f>
        <v/>
      </c>
      <c r="AJ6" s="3">
        <f>IF(P6&lt;0,0,P6)</f>
        <v/>
      </c>
      <c r="AK6" s="3">
        <f>IF(Q6&lt;0,0,Q6)</f>
        <v/>
      </c>
      <c r="AL6" s="3">
        <f>IF(R6&lt;0,0,R6)</f>
        <v/>
      </c>
      <c r="AM6" s="3">
        <f>IF(S6&lt;0,0,S6)</f>
        <v/>
      </c>
      <c r="AN6" s="3">
        <f>IF(T6&lt;0,0,T6)</f>
        <v/>
      </c>
      <c r="AO6" s="3">
        <f>IF(U6&lt;0,0,U6)</f>
        <v/>
      </c>
      <c r="AP6" s="3">
        <f>IF(V6&lt;0,0,V6)</f>
        <v/>
      </c>
      <c r="AT6" s="17" t="n">
        <v>2</v>
      </c>
      <c r="AU6" s="23" t="n">
        <v>358.95</v>
      </c>
      <c r="AV6" s="23" t="n">
        <v>308.97</v>
      </c>
      <c r="AW6" s="23" t="n">
        <v>264.61</v>
      </c>
      <c r="AX6" s="23" t="n">
        <v>343.62</v>
      </c>
      <c r="AY6" s="23" t="n">
        <v>399.3</v>
      </c>
      <c r="AZ6" s="23" t="n">
        <v>433.24</v>
      </c>
      <c r="BA6" s="23" t="n">
        <v>310.82</v>
      </c>
      <c r="BB6" s="23" t="n">
        <v>234.15</v>
      </c>
      <c r="BC6" s="23" t="n">
        <v>302.73</v>
      </c>
      <c r="BD6" s="23" t="n">
        <v>304.23</v>
      </c>
      <c r="BE6" s="23" t="n">
        <v>278.95</v>
      </c>
      <c r="BF6" s="23" t="n">
        <v>403.93</v>
      </c>
      <c r="BG6" s="23" t="n">
        <v>327.87</v>
      </c>
      <c r="BH6" s="23" t="n">
        <v>462.67</v>
      </c>
      <c r="BI6" s="23" t="n">
        <v>445.18</v>
      </c>
    </row>
    <row r="7">
      <c r="G7" s="17" t="n">
        <v>3</v>
      </c>
      <c r="H7" s="2">
        <f>TRUNC((_xlfn.NORM.INV((RAND()),$E$5,$E$6)),2)</f>
        <v/>
      </c>
      <c r="I7" s="2">
        <f>TRUNC((_xlfn.NORM.INV((RAND()),$E$5,$E$6)),2)</f>
        <v/>
      </c>
      <c r="J7" s="2">
        <f>TRUNC((_xlfn.NORM.INV((RAND()),$E$5,$E$6)),2)</f>
        <v/>
      </c>
      <c r="K7" s="2">
        <f>TRUNC((_xlfn.NORM.INV((RAND()),$E$5,$E$6)),2)</f>
        <v/>
      </c>
      <c r="L7" s="2">
        <f>TRUNC((_xlfn.NORM.INV((RAND()),$E$5,$E$6)),2)</f>
        <v/>
      </c>
      <c r="M7" s="2">
        <f>TRUNC((_xlfn.NORM.INV((RAND()),$E$5,$E$6)),2)</f>
        <v/>
      </c>
      <c r="N7" s="2">
        <f>TRUNC((_xlfn.NORM.INV((RAND()),$E$5,$E$6)),2)</f>
        <v/>
      </c>
      <c r="O7" s="2">
        <f>TRUNC((_xlfn.NORM.INV((RAND()),$E$5,$E$6)),2)</f>
        <v/>
      </c>
      <c r="P7" s="2">
        <f>TRUNC((_xlfn.NORM.INV((RAND()),$E$5,$E$6)),2)</f>
        <v/>
      </c>
      <c r="Q7" s="2">
        <f>TRUNC((_xlfn.NORM.INV((RAND()),$E$5,$E$6)),2)</f>
        <v/>
      </c>
      <c r="R7" s="2">
        <f>TRUNC((_xlfn.NORM.INV((RAND()),$E$5,$E$6)),2)</f>
        <v/>
      </c>
      <c r="S7" s="2">
        <f>TRUNC((_xlfn.NORM.INV((RAND()),$E$5,$E$6)),2)</f>
        <v/>
      </c>
      <c r="T7" s="2">
        <f>TRUNC((_xlfn.NORM.INV((RAND()),$E$5,$E$6)),2)</f>
        <v/>
      </c>
      <c r="U7" s="2">
        <f>TRUNC((_xlfn.NORM.INV((RAND()),$E$5,$E$6)),2)</f>
        <v/>
      </c>
      <c r="V7" s="2">
        <f>TRUNC((_xlfn.NORM.INV((RAND()),$E$5,$E$6)),2)</f>
        <v/>
      </c>
      <c r="AA7" s="17" t="n">
        <v>3</v>
      </c>
      <c r="AB7" s="3">
        <f>IF(H7&lt;0,0,H7)</f>
        <v/>
      </c>
      <c r="AC7" s="3">
        <f>IF(I7&lt;0,0,I7)</f>
        <v/>
      </c>
      <c r="AD7" s="3">
        <f>IF(J7&lt;0,0,J7)</f>
        <v/>
      </c>
      <c r="AE7" s="3">
        <f>IF(K7&lt;0,0,K7)</f>
        <v/>
      </c>
      <c r="AF7" s="3">
        <f>IF(L7&lt;0,0,L7)</f>
        <v/>
      </c>
      <c r="AG7" s="3">
        <f>IF(M7&lt;0,0,M7)</f>
        <v/>
      </c>
      <c r="AH7" s="3">
        <f>IF(N7&lt;0,0,N7)</f>
        <v/>
      </c>
      <c r="AI7" s="3">
        <f>IF(O7&lt;0,0,O7)</f>
        <v/>
      </c>
      <c r="AJ7" s="3">
        <f>IF(P7&lt;0,0,P7)</f>
        <v/>
      </c>
      <c r="AK7" s="3">
        <f>IF(Q7&lt;0,0,Q7)</f>
        <v/>
      </c>
      <c r="AL7" s="3">
        <f>IF(R7&lt;0,0,R7)</f>
        <v/>
      </c>
      <c r="AM7" s="3">
        <f>IF(S7&lt;0,0,S7)</f>
        <v/>
      </c>
      <c r="AN7" s="3">
        <f>IF(T7&lt;0,0,T7)</f>
        <v/>
      </c>
      <c r="AO7" s="3">
        <f>IF(U7&lt;0,0,U7)</f>
        <v/>
      </c>
      <c r="AP7" s="3">
        <f>IF(V7&lt;0,0,V7)</f>
        <v/>
      </c>
      <c r="AT7" s="17" t="n">
        <v>3</v>
      </c>
      <c r="AU7" s="23" t="n">
        <v>492.88</v>
      </c>
      <c r="AV7" s="23" t="n">
        <v>260.36</v>
      </c>
      <c r="AW7" s="23" t="n">
        <v>232.33</v>
      </c>
      <c r="AX7" s="23" t="n">
        <v>514.3200000000001</v>
      </c>
      <c r="AY7" s="23" t="n">
        <v>271.63</v>
      </c>
      <c r="AZ7" s="23" t="n">
        <v>506.16</v>
      </c>
      <c r="BA7" s="23" t="n">
        <v>393.21</v>
      </c>
      <c r="BB7" s="23" t="n">
        <v>346.58</v>
      </c>
      <c r="BC7" s="23" t="n">
        <v>267.82</v>
      </c>
      <c r="BD7" s="23" t="n">
        <v>272.81</v>
      </c>
      <c r="BE7" s="23" t="n">
        <v>372.8</v>
      </c>
      <c r="BF7" s="23" t="n">
        <v>326.64</v>
      </c>
      <c r="BG7" s="23" t="n">
        <v>338.03</v>
      </c>
      <c r="BH7" s="23" t="n">
        <v>348.46</v>
      </c>
      <c r="BI7" s="23" t="n">
        <v>405.85</v>
      </c>
    </row>
    <row r="9">
      <c r="AU9" s="2" t="inlineStr">
        <is>
          <t>máximo</t>
        </is>
      </c>
      <c r="AV9" s="2">
        <f>MAX(FactoriesDem)</f>
        <v/>
      </c>
      <c r="AX9" s="2" t="inlineStr">
        <is>
          <t>mínimo</t>
        </is>
      </c>
      <c r="AY9" s="2">
        <f>MIN(FactoriesDem)</f>
        <v/>
      </c>
    </row>
    <row r="10">
      <c r="H10" s="17" t="n">
        <v>16</v>
      </c>
      <c r="I10" s="17" t="n">
        <v>17</v>
      </c>
      <c r="J10" s="17" t="n">
        <v>18</v>
      </c>
      <c r="L10" s="2" t="inlineStr">
        <is>
          <t>Soma</t>
        </is>
      </c>
      <c r="U10" s="22" t="n"/>
      <c r="AB10" s="17" t="n">
        <v>16</v>
      </c>
      <c r="AC10" s="17" t="n">
        <v>17</v>
      </c>
      <c r="AD10" s="17" t="n">
        <v>18</v>
      </c>
      <c r="AU10" s="17" t="n">
        <v>16</v>
      </c>
      <c r="AV10" s="17" t="n">
        <v>17</v>
      </c>
      <c r="AW10" s="17" t="n">
        <v>18</v>
      </c>
    </row>
    <row r="11">
      <c r="A11" s="2">
        <f>MIN(H11:J15)</f>
        <v/>
      </c>
      <c r="B11" s="2">
        <f>MAX(H11:J15)</f>
        <v/>
      </c>
      <c r="C11" s="2" t="inlineStr">
        <is>
          <t>prod/dia</t>
        </is>
      </c>
      <c r="D11" s="2" t="inlineStr">
        <is>
          <t>Avarege</t>
        </is>
      </c>
      <c r="E11" s="2">
        <f>M24/9</f>
        <v/>
      </c>
      <c r="F11" s="2" t="inlineStr">
        <is>
          <t>df</t>
        </is>
      </c>
      <c r="G11" s="17" t="n">
        <v>4</v>
      </c>
      <c r="H11" s="2">
        <f>TRUNC((_xlfn.NORM.INV((RAND()),$E$11,$E$12)),2)</f>
        <v/>
      </c>
      <c r="I11" s="2">
        <f>TRUNC((_xlfn.NORM.INV((RAND()),$E$11,$E$12)),2)</f>
        <v/>
      </c>
      <c r="J11" s="2">
        <f>TRUNC((_xlfn.NORM.INV((RAND()),$E$11,$E$12)),2)</f>
        <v/>
      </c>
      <c r="L11" s="3">
        <f>SUM(H11:J13)</f>
        <v/>
      </c>
      <c r="Z11" s="2" t="inlineStr">
        <is>
          <t>df</t>
        </is>
      </c>
      <c r="AA11" s="17" t="n">
        <v>4</v>
      </c>
      <c r="AB11" s="3">
        <f>IF(H11&lt;0,0,H11)</f>
        <v/>
      </c>
      <c r="AC11" s="3">
        <f>IF(I11&lt;0,0,I11)</f>
        <v/>
      </c>
      <c r="AD11" s="3">
        <f>IF(J11&lt;0,0,J11)</f>
        <v/>
      </c>
      <c r="AS11" s="2" t="inlineStr">
        <is>
          <t>df</t>
        </is>
      </c>
      <c r="AT11" s="17" t="n">
        <v>4</v>
      </c>
      <c r="AU11" s="9" t="n">
        <v>1894.6</v>
      </c>
      <c r="AV11" s="9" t="n">
        <v>1607.87</v>
      </c>
      <c r="AW11" s="9" t="n">
        <v>1829.53</v>
      </c>
    </row>
    <row r="12">
      <c r="D12" s="2" t="inlineStr">
        <is>
          <t>Std Devition</t>
        </is>
      </c>
      <c r="E12" s="2">
        <f>E11*0.2</f>
        <v/>
      </c>
      <c r="G12" s="17" t="n">
        <v>5</v>
      </c>
      <c r="H12" s="2">
        <f>TRUNC((_xlfn.NORM.INV((RAND()),$E$11,$E$12)),2)</f>
        <v/>
      </c>
      <c r="I12" s="2">
        <f>TRUNC((_xlfn.NORM.INV((RAND()),$E$11,$E$12)),2)</f>
        <v/>
      </c>
      <c r="J12" s="2">
        <f>TRUNC((_xlfn.NORM.INV((RAND()),$E$11,$E$12)),2)</f>
        <v/>
      </c>
      <c r="AA12" s="17" t="n">
        <v>5</v>
      </c>
      <c r="AB12" s="3">
        <f>IF(H12&lt;0,0,H12)</f>
        <v/>
      </c>
      <c r="AC12" s="3">
        <f>IF(I12&lt;0,0,I12)</f>
        <v/>
      </c>
      <c r="AD12" s="3">
        <f>IF(J12&lt;0,0,J12)</f>
        <v/>
      </c>
      <c r="AT12" s="17" t="n">
        <v>5</v>
      </c>
      <c r="AU12" s="9" t="n">
        <v>1303.06</v>
      </c>
      <c r="AV12" s="9" t="n">
        <v>1484.38</v>
      </c>
      <c r="AW12" s="9" t="n">
        <v>1783.87</v>
      </c>
    </row>
    <row r="13">
      <c r="G13" s="17" t="n">
        <v>6</v>
      </c>
      <c r="H13" s="2">
        <f>TRUNC((_xlfn.NORM.INV((RAND()),$E$11,$E$12)),2)</f>
        <v/>
      </c>
      <c r="I13" s="2">
        <f>TRUNC((_xlfn.NORM.INV((RAND()),$E$11,$E$12)),2)</f>
        <v/>
      </c>
      <c r="J13" s="2">
        <f>TRUNC((_xlfn.NORM.INV((RAND()),$E$11,$E$12)),2)</f>
        <v/>
      </c>
      <c r="AA13" s="17" t="n">
        <v>6</v>
      </c>
      <c r="AB13" s="3">
        <f>IF(H13&lt;0,0,H13)</f>
        <v/>
      </c>
      <c r="AC13" s="3">
        <f>IF(I13&lt;0,0,I13)</f>
        <v/>
      </c>
      <c r="AD13" s="3">
        <f>IF(J13&lt;0,0,J13)</f>
        <v/>
      </c>
      <c r="AT13" s="17" t="n">
        <v>6</v>
      </c>
      <c r="AU13" s="9" t="n">
        <v>1377.91</v>
      </c>
      <c r="AV13" s="9" t="n">
        <v>1520.56</v>
      </c>
      <c r="AW13" s="9" t="n">
        <v>1301.6</v>
      </c>
    </row>
    <row r="14">
      <c r="AT14" s="17" t="n"/>
    </row>
    <row r="15">
      <c r="AT15" s="17" t="n"/>
    </row>
    <row r="17">
      <c r="AU17" s="2" t="inlineStr">
        <is>
          <t>máximo</t>
        </is>
      </c>
      <c r="AV17" s="2">
        <f>MAX(DistributorsDem)</f>
        <v/>
      </c>
      <c r="AX17" s="2" t="inlineStr">
        <is>
          <t>mínimo</t>
        </is>
      </c>
      <c r="AY17" s="2">
        <f>MIN(DistributorsDem)</f>
        <v/>
      </c>
    </row>
    <row r="18">
      <c r="H18" s="17" t="n">
        <v>19</v>
      </c>
      <c r="I18" s="17" t="n">
        <v>20</v>
      </c>
      <c r="J18" s="17" t="n">
        <v>21</v>
      </c>
      <c r="L18" s="2" t="inlineStr">
        <is>
          <t>Soma</t>
        </is>
      </c>
      <c r="AB18" s="17" t="n">
        <v>19</v>
      </c>
      <c r="AC18" s="17" t="n">
        <v>20</v>
      </c>
      <c r="AD18" s="17" t="n">
        <v>21</v>
      </c>
      <c r="AU18" s="17" t="n">
        <v>19</v>
      </c>
      <c r="AV18" s="17" t="n">
        <v>20</v>
      </c>
      <c r="AW18" s="17" t="n">
        <v>21</v>
      </c>
    </row>
    <row r="19">
      <c r="A19" s="2">
        <f>MIN(H19:J20)</f>
        <v/>
      </c>
      <c r="B19" s="2">
        <f>MAX(H19:J20)</f>
        <v/>
      </c>
      <c r="C19" s="2" t="inlineStr">
        <is>
          <t>prod/dia</t>
        </is>
      </c>
      <c r="D19" s="2" t="inlineStr">
        <is>
          <t>Avarege</t>
        </is>
      </c>
      <c r="E19" s="2">
        <f>M24/6</f>
        <v/>
      </c>
      <c r="F19" s="2" t="inlineStr">
        <is>
          <t>dd</t>
        </is>
      </c>
      <c r="G19" s="17" t="n">
        <v>7</v>
      </c>
      <c r="H19" s="2">
        <f>TRUNC((_xlfn.NORM.INV((RAND()),$E$19,$E$20)),2)</f>
        <v/>
      </c>
      <c r="I19" s="2">
        <f>TRUNC((_xlfn.NORM.INV((RAND()),$E$19,$E$20)),2)</f>
        <v/>
      </c>
      <c r="J19" s="2">
        <f>TRUNC((_xlfn.NORM.INV((RAND()),$E$19,$E$20)),2)</f>
        <v/>
      </c>
      <c r="L19" s="3">
        <f>SUM(H19:J20)</f>
        <v/>
      </c>
      <c r="Z19" s="2" t="inlineStr">
        <is>
          <t>dd</t>
        </is>
      </c>
      <c r="AA19" s="17" t="n">
        <v>7</v>
      </c>
      <c r="AB19" s="3">
        <f>IF(H19&lt;0,0,H19)</f>
        <v/>
      </c>
      <c r="AC19" s="3">
        <f>IF(I19&lt;0,0,I19)</f>
        <v/>
      </c>
      <c r="AD19" s="3">
        <f>IF(J19&lt;0,0,J19)</f>
        <v/>
      </c>
      <c r="AS19" s="2" t="inlineStr">
        <is>
          <t>dd</t>
        </is>
      </c>
      <c r="AT19" s="17" t="n">
        <v>7</v>
      </c>
      <c r="AU19" s="9" t="n">
        <v>3023.48</v>
      </c>
      <c r="AV19" s="9" t="n">
        <v>2834</v>
      </c>
      <c r="AW19" s="9" t="n">
        <v>1344.56</v>
      </c>
    </row>
    <row r="20">
      <c r="D20" s="2" t="inlineStr">
        <is>
          <t>Std Devition</t>
        </is>
      </c>
      <c r="E20" s="2">
        <f>E19*0.2</f>
        <v/>
      </c>
      <c r="G20" s="17" t="n">
        <v>8</v>
      </c>
      <c r="H20" s="2">
        <f>TRUNC((_xlfn.NORM.INV((RAND()),$E$19,$E$20)),2)</f>
        <v/>
      </c>
      <c r="I20" s="2">
        <f>TRUNC((_xlfn.NORM.INV((RAND()),$E$19,$E$20)),2)</f>
        <v/>
      </c>
      <c r="J20" s="2">
        <f>TRUNC((_xlfn.NORM.INV((RAND()),$E$19,$E$20)),2)</f>
        <v/>
      </c>
      <c r="AA20" s="17" t="n">
        <v>8</v>
      </c>
      <c r="AB20" s="3">
        <f>IF(H20&lt;0,0,H20)</f>
        <v/>
      </c>
      <c r="AC20" s="3">
        <f>IF(I20&lt;0,0,I20)</f>
        <v/>
      </c>
      <c r="AD20" s="3">
        <f>IF(J20&lt;0,0,J20)</f>
        <v/>
      </c>
      <c r="AT20" s="17" t="n">
        <v>8</v>
      </c>
      <c r="AU20" s="9" t="n">
        <v>2552.14</v>
      </c>
      <c r="AV20" s="9" t="n">
        <v>3550.35</v>
      </c>
      <c r="AW20" s="9" t="n">
        <v>2159.77</v>
      </c>
    </row>
    <row r="22">
      <c r="AU22" s="2" t="inlineStr">
        <is>
          <t>máximo</t>
        </is>
      </c>
      <c r="AV22" s="2">
        <f>MAX(RetailersDem)</f>
        <v/>
      </c>
      <c r="AX22" s="2" t="inlineStr">
        <is>
          <t>mínimo</t>
        </is>
      </c>
      <c r="AY22" s="2">
        <f>MIN(RetailersDem)</f>
        <v/>
      </c>
    </row>
    <row r="23">
      <c r="H23" s="17" t="n">
        <v>22</v>
      </c>
      <c r="I23" s="17" t="n">
        <v>23</v>
      </c>
      <c r="J23" s="17" t="n">
        <v>24</v>
      </c>
      <c r="L23" s="2" t="inlineStr">
        <is>
          <t>Soma</t>
        </is>
      </c>
      <c r="U23" s="22" t="n"/>
      <c r="AB23" s="17" t="n">
        <v>22</v>
      </c>
      <c r="AC23" s="17" t="n">
        <v>23</v>
      </c>
      <c r="AD23" s="17" t="n">
        <v>24</v>
      </c>
      <c r="AU23" s="17" t="n">
        <v>22</v>
      </c>
      <c r="AV23" s="17" t="n">
        <v>23</v>
      </c>
      <c r="AW23" s="17" t="n">
        <v>24</v>
      </c>
    </row>
    <row r="24">
      <c r="A24" s="2">
        <f>MIN(H24:J213)</f>
        <v/>
      </c>
      <c r="B24" s="2">
        <f>MAX(H24:J213)</f>
        <v/>
      </c>
      <c r="C24" s="2" t="inlineStr">
        <is>
          <t>prod/dia</t>
        </is>
      </c>
      <c r="D24" s="2" t="inlineStr">
        <is>
          <t>Avarege</t>
        </is>
      </c>
      <c r="E24" s="2">
        <f>(M24/570)</f>
        <v/>
      </c>
      <c r="F24" s="2" t="inlineStr">
        <is>
          <t>dr</t>
        </is>
      </c>
      <c r="G24" s="17" t="n">
        <v>9</v>
      </c>
      <c r="H24" s="2">
        <f>TRUNC((_xlfn.NORM.INV((RAND()),$E$24,$E$25)),2)</f>
        <v/>
      </c>
      <c r="I24" s="2">
        <f>TRUNC((_xlfn.NORM.INV((RAND()),$E$24,$E$25)),2)</f>
        <v/>
      </c>
      <c r="J24" s="2">
        <f>TRUNC((_xlfn.NORM.INV((RAND()),$E$24,$E$25)),2)</f>
        <v/>
      </c>
      <c r="L24" s="3">
        <f>SUM(H24:J213)</f>
        <v/>
      </c>
      <c r="M24" s="20">
        <f>TRUNC(N24/365)</f>
        <v/>
      </c>
      <c r="N24" s="20" t="n">
        <v>5500000</v>
      </c>
      <c r="Z24" s="2" t="inlineStr">
        <is>
          <t>dr</t>
        </is>
      </c>
      <c r="AA24" s="17" t="n">
        <v>9</v>
      </c>
      <c r="AB24" s="3">
        <f>IF(H24&lt;0,0,H24)</f>
        <v/>
      </c>
      <c r="AC24" s="3">
        <f>IF(I24&lt;0,0,I24)</f>
        <v/>
      </c>
      <c r="AD24" s="3">
        <f>IF(J24&lt;0,0,J24)</f>
        <v/>
      </c>
      <c r="AS24" s="2" t="inlineStr">
        <is>
          <t>dr</t>
        </is>
      </c>
      <c r="AT24" s="17" t="n">
        <v>9</v>
      </c>
      <c r="AU24" s="9" t="n">
        <v>29.02</v>
      </c>
      <c r="AV24" s="9" t="n">
        <v>33.29</v>
      </c>
      <c r="AW24" s="9" t="n">
        <v>22.61</v>
      </c>
    </row>
    <row r="25">
      <c r="D25" s="2" t="inlineStr">
        <is>
          <t>Std Devition</t>
        </is>
      </c>
      <c r="E25" s="2">
        <f>E24*0.2</f>
        <v/>
      </c>
      <c r="G25" s="17" t="n">
        <v>10</v>
      </c>
      <c r="H25" s="2">
        <f>TRUNC((_xlfn.NORM.INV((RAND()),$E$24,$E$25)),2)</f>
        <v/>
      </c>
      <c r="I25" s="2">
        <f>TRUNC((_xlfn.NORM.INV((RAND()),$E$24,$E$25)),2)</f>
        <v/>
      </c>
      <c r="J25" s="2">
        <f>TRUNC((_xlfn.NORM.INV((RAND()),$E$24,$E$25)),2)</f>
        <v/>
      </c>
      <c r="AA25" s="17" t="n">
        <v>10</v>
      </c>
      <c r="AB25" s="3">
        <f>IF(H25&lt;0,0,H25)</f>
        <v/>
      </c>
      <c r="AC25" s="3">
        <f>IF(I25&lt;0,0,I25)</f>
        <v/>
      </c>
      <c r="AD25" s="3">
        <f>IF(J25&lt;0,0,J25)</f>
        <v/>
      </c>
      <c r="AT25" s="17" t="n">
        <v>10</v>
      </c>
      <c r="AU25" s="9" t="n">
        <v>24.59</v>
      </c>
      <c r="AV25" s="9" t="n">
        <v>22.04</v>
      </c>
      <c r="AW25" s="9" t="n">
        <v>30.58</v>
      </c>
    </row>
    <row r="26">
      <c r="G26" s="17" t="n">
        <v>11</v>
      </c>
      <c r="H26" s="2">
        <f>TRUNC((_xlfn.NORM.INV((RAND()),$E$24,$E$25)),2)</f>
        <v/>
      </c>
      <c r="I26" s="2">
        <f>TRUNC((_xlfn.NORM.INV((RAND()),$E$24,$E$25)),2)</f>
        <v/>
      </c>
      <c r="J26" s="2">
        <f>TRUNC((_xlfn.NORM.INV((RAND()),$E$24,$E$25)),2)</f>
        <v/>
      </c>
      <c r="AA26" s="17" t="n">
        <v>11</v>
      </c>
      <c r="AB26" s="3">
        <f>IF(H26&lt;0,0,H26)</f>
        <v/>
      </c>
      <c r="AC26" s="3">
        <f>IF(I26&lt;0,0,I26)</f>
        <v/>
      </c>
      <c r="AD26" s="3">
        <f>IF(J26&lt;0,0,J26)</f>
        <v/>
      </c>
      <c r="AT26" s="17" t="n">
        <v>11</v>
      </c>
      <c r="AU26" s="9" t="n">
        <v>19.89</v>
      </c>
      <c r="AV26" s="9" t="n">
        <v>21.46</v>
      </c>
      <c r="AW26" s="9" t="n">
        <v>28.67</v>
      </c>
    </row>
    <row r="27">
      <c r="G27" s="17" t="n">
        <v>12</v>
      </c>
      <c r="H27" s="2">
        <f>TRUNC((_xlfn.NORM.INV((RAND()),$E$24,$E$25)),2)</f>
        <v/>
      </c>
      <c r="I27" s="2">
        <f>TRUNC((_xlfn.NORM.INV((RAND()),$E$24,$E$25)),2)</f>
        <v/>
      </c>
      <c r="J27" s="2">
        <f>TRUNC((_xlfn.NORM.INV((RAND()),$E$24,$E$25)),2)</f>
        <v/>
      </c>
      <c r="AA27" s="17" t="n">
        <v>12</v>
      </c>
      <c r="AB27" s="3">
        <f>IF(H27&lt;0,0,H27)</f>
        <v/>
      </c>
      <c r="AC27" s="3">
        <f>IF(I27&lt;0,0,I27)</f>
        <v/>
      </c>
      <c r="AD27" s="3">
        <f>IF(J27&lt;0,0,J27)</f>
        <v/>
      </c>
      <c r="AT27" s="17" t="n">
        <v>12</v>
      </c>
      <c r="AU27" s="9" t="n">
        <v>30.66</v>
      </c>
      <c r="AV27" s="9" t="n">
        <v>29</v>
      </c>
      <c r="AW27" s="9" t="n">
        <v>33.54</v>
      </c>
    </row>
    <row r="28">
      <c r="G28" s="17" t="n">
        <v>13</v>
      </c>
      <c r="H28" s="2">
        <f>TRUNC((_xlfn.NORM.INV((RAND()),$E$24,$E$25)),2)</f>
        <v/>
      </c>
      <c r="I28" s="2">
        <f>TRUNC((_xlfn.NORM.INV((RAND()),$E$24,$E$25)),2)</f>
        <v/>
      </c>
      <c r="J28" s="2">
        <f>TRUNC((_xlfn.NORM.INV((RAND()),$E$24,$E$25)),2)</f>
        <v/>
      </c>
      <c r="AA28" s="17" t="n">
        <v>13</v>
      </c>
      <c r="AB28" s="3">
        <f>IF(H28&lt;0,0,H28)</f>
        <v/>
      </c>
      <c r="AC28" s="3">
        <f>IF(I28&lt;0,0,I28)</f>
        <v/>
      </c>
      <c r="AD28" s="3">
        <f>IF(J28&lt;0,0,J28)</f>
        <v/>
      </c>
      <c r="AT28" s="17" t="n">
        <v>13</v>
      </c>
      <c r="AU28" s="9" t="n">
        <v>28.98</v>
      </c>
      <c r="AV28" s="9" t="n">
        <v>28.2</v>
      </c>
      <c r="AW28" s="9" t="n">
        <v>28.9</v>
      </c>
    </row>
    <row r="29">
      <c r="G29" s="17" t="n">
        <v>14</v>
      </c>
      <c r="H29" s="2">
        <f>TRUNC((_xlfn.NORM.INV((RAND()),$E$24,$E$25)),2)</f>
        <v/>
      </c>
      <c r="I29" s="2">
        <f>TRUNC((_xlfn.NORM.INV((RAND()),$E$24,$E$25)),2)</f>
        <v/>
      </c>
      <c r="J29" s="2">
        <f>TRUNC((_xlfn.NORM.INV((RAND()),$E$24,$E$25)),2)</f>
        <v/>
      </c>
      <c r="AA29" s="17" t="n">
        <v>14</v>
      </c>
      <c r="AB29" s="3">
        <f>IF(H29&lt;0,0,H29)</f>
        <v/>
      </c>
      <c r="AC29" s="3">
        <f>IF(I29&lt;0,0,I29)</f>
        <v/>
      </c>
      <c r="AD29" s="3">
        <f>IF(J29&lt;0,0,J29)</f>
        <v/>
      </c>
      <c r="AT29" s="17" t="n">
        <v>14</v>
      </c>
      <c r="AU29" s="9" t="n">
        <v>28.47</v>
      </c>
      <c r="AV29" s="9" t="n">
        <v>28.79</v>
      </c>
      <c r="AW29" s="9" t="n">
        <v>17.89</v>
      </c>
    </row>
    <row r="30">
      <c r="G30" s="17" t="n">
        <v>15</v>
      </c>
      <c r="H30" s="2">
        <f>TRUNC((_xlfn.NORM.INV((RAND()),$E$24,$E$25)),2)</f>
        <v/>
      </c>
      <c r="I30" s="2">
        <f>TRUNC((_xlfn.NORM.INV((RAND()),$E$24,$E$25)),2)</f>
        <v/>
      </c>
      <c r="J30" s="2">
        <f>TRUNC((_xlfn.NORM.INV((RAND()),$E$24,$E$25)),2)</f>
        <v/>
      </c>
      <c r="AA30" s="17" t="n">
        <v>15</v>
      </c>
      <c r="AB30" s="3">
        <f>IF(H30&lt;0,0,H30)</f>
        <v/>
      </c>
      <c r="AC30" s="3">
        <f>IF(I30&lt;0,0,I30)</f>
        <v/>
      </c>
      <c r="AD30" s="3">
        <f>IF(J30&lt;0,0,J30)</f>
        <v/>
      </c>
      <c r="AT30" s="17" t="n">
        <v>15</v>
      </c>
      <c r="AU30" s="9" t="n">
        <v>28.37</v>
      </c>
      <c r="AV30" s="9" t="n">
        <v>26.62</v>
      </c>
      <c r="AW30" s="9" t="n">
        <v>25.87</v>
      </c>
    </row>
    <row r="31">
      <c r="G31" s="17" t="n">
        <v>16</v>
      </c>
      <c r="H31" s="2">
        <f>TRUNC((_xlfn.NORM.INV((RAND()),$E$24,$E$25)),2)</f>
        <v/>
      </c>
      <c r="I31" s="2">
        <f>TRUNC((_xlfn.NORM.INV((RAND()),$E$24,$E$25)),2)</f>
        <v/>
      </c>
      <c r="J31" s="2">
        <f>TRUNC((_xlfn.NORM.INV((RAND()),$E$24,$E$25)),2)</f>
        <v/>
      </c>
      <c r="AA31" s="17" t="n">
        <v>16</v>
      </c>
      <c r="AB31" s="3">
        <f>IF(H31&lt;0,0,H31)</f>
        <v/>
      </c>
      <c r="AC31" s="3">
        <f>IF(I31&lt;0,0,I31)</f>
        <v/>
      </c>
      <c r="AD31" s="3">
        <f>IF(J31&lt;0,0,J31)</f>
        <v/>
      </c>
      <c r="AT31" s="17" t="n">
        <v>16</v>
      </c>
      <c r="AU31" s="9" t="n">
        <v>18.59</v>
      </c>
      <c r="AV31" s="9" t="n">
        <v>26.92</v>
      </c>
      <c r="AW31" s="9" t="n">
        <v>39.39</v>
      </c>
    </row>
    <row r="32">
      <c r="G32" s="17" t="n">
        <v>17</v>
      </c>
      <c r="H32" s="2">
        <f>TRUNC((_xlfn.NORM.INV((RAND()),$E$24,$E$25)),2)</f>
        <v/>
      </c>
      <c r="I32" s="2">
        <f>TRUNC((_xlfn.NORM.INV((RAND()),$E$24,$E$25)),2)</f>
        <v/>
      </c>
      <c r="J32" s="2">
        <f>TRUNC((_xlfn.NORM.INV((RAND()),$E$24,$E$25)),2)</f>
        <v/>
      </c>
      <c r="AA32" s="17" t="n">
        <v>17</v>
      </c>
      <c r="AB32" s="3">
        <f>IF(H32&lt;0,0,H32)</f>
        <v/>
      </c>
      <c r="AC32" s="3">
        <f>IF(I32&lt;0,0,I32)</f>
        <v/>
      </c>
      <c r="AD32" s="3">
        <f>IF(J32&lt;0,0,J32)</f>
        <v/>
      </c>
      <c r="AT32" s="17" t="n">
        <v>17</v>
      </c>
      <c r="AU32" s="9" t="n">
        <v>20.38</v>
      </c>
      <c r="AV32" s="9" t="n">
        <v>21.01</v>
      </c>
      <c r="AW32" s="9" t="n">
        <v>31.36</v>
      </c>
    </row>
    <row r="33">
      <c r="G33" s="17" t="n">
        <v>18</v>
      </c>
      <c r="H33" s="2">
        <f>TRUNC((_xlfn.NORM.INV((RAND()),$E$24,$E$25)),2)</f>
        <v/>
      </c>
      <c r="I33" s="2">
        <f>TRUNC((_xlfn.NORM.INV((RAND()),$E$24,$E$25)),2)</f>
        <v/>
      </c>
      <c r="J33" s="2">
        <f>TRUNC((_xlfn.NORM.INV((RAND()),$E$24,$E$25)),2)</f>
        <v/>
      </c>
      <c r="AA33" s="17" t="n">
        <v>18</v>
      </c>
      <c r="AB33" s="3">
        <f>IF(H33&lt;0,0,H33)</f>
        <v/>
      </c>
      <c r="AC33" s="3">
        <f>IF(I33&lt;0,0,I33)</f>
        <v/>
      </c>
      <c r="AD33" s="3">
        <f>IF(J33&lt;0,0,J33)</f>
        <v/>
      </c>
      <c r="AT33" s="17" t="n">
        <v>18</v>
      </c>
      <c r="AU33" s="9" t="n">
        <v>24.96</v>
      </c>
      <c r="AV33" s="9" t="n">
        <v>25.72</v>
      </c>
      <c r="AW33" s="9" t="n">
        <v>10.03</v>
      </c>
    </row>
    <row r="34">
      <c r="G34" s="17" t="n">
        <v>19</v>
      </c>
      <c r="H34" s="2">
        <f>TRUNC((_xlfn.NORM.INV((RAND()),$E$24,$E$25)),2)</f>
        <v/>
      </c>
      <c r="I34" s="2">
        <f>TRUNC((_xlfn.NORM.INV((RAND()),$E$24,$E$25)),2)</f>
        <v/>
      </c>
      <c r="J34" s="2">
        <f>TRUNC((_xlfn.NORM.INV((RAND()),$E$24,$E$25)),2)</f>
        <v/>
      </c>
      <c r="AA34" s="17" t="n">
        <v>19</v>
      </c>
      <c r="AB34" s="3">
        <f>IF(H34&lt;0,0,H34)</f>
        <v/>
      </c>
      <c r="AC34" s="3">
        <f>IF(I34&lt;0,0,I34)</f>
        <v/>
      </c>
      <c r="AD34" s="3">
        <f>IF(J34&lt;0,0,J34)</f>
        <v/>
      </c>
      <c r="AT34" s="17" t="n">
        <v>19</v>
      </c>
      <c r="AU34" s="9" t="n">
        <v>30.41</v>
      </c>
      <c r="AV34" s="9" t="n">
        <v>27.79</v>
      </c>
      <c r="AW34" s="9" t="n">
        <v>36.61</v>
      </c>
    </row>
    <row r="35">
      <c r="G35" s="17" t="n">
        <v>20</v>
      </c>
      <c r="H35" s="2">
        <f>TRUNC((_xlfn.NORM.INV((RAND()),$E$24,$E$25)),2)</f>
        <v/>
      </c>
      <c r="I35" s="2">
        <f>TRUNC((_xlfn.NORM.INV((RAND()),$E$24,$E$25)),2)</f>
        <v/>
      </c>
      <c r="J35" s="2">
        <f>TRUNC((_xlfn.NORM.INV((RAND()),$E$24,$E$25)),2)</f>
        <v/>
      </c>
      <c r="AA35" s="17" t="n">
        <v>20</v>
      </c>
      <c r="AB35" s="3">
        <f>IF(H35&lt;0,0,H35)</f>
        <v/>
      </c>
      <c r="AC35" s="3">
        <f>IF(I35&lt;0,0,I35)</f>
        <v/>
      </c>
      <c r="AD35" s="3">
        <f>IF(J35&lt;0,0,J35)</f>
        <v/>
      </c>
      <c r="AT35" s="17" t="n">
        <v>20</v>
      </c>
      <c r="AU35" s="9" t="n">
        <v>24.68</v>
      </c>
      <c r="AV35" s="9" t="n">
        <v>13.47</v>
      </c>
      <c r="AW35" s="9" t="n">
        <v>25.93</v>
      </c>
    </row>
    <row r="36">
      <c r="G36" s="17" t="n">
        <v>21</v>
      </c>
      <c r="H36" s="2">
        <f>TRUNC((_xlfn.NORM.INV((RAND()),$E$24,$E$25)),2)</f>
        <v/>
      </c>
      <c r="I36" s="2">
        <f>TRUNC((_xlfn.NORM.INV((RAND()),$E$24,$E$25)),2)</f>
        <v/>
      </c>
      <c r="J36" s="2">
        <f>TRUNC((_xlfn.NORM.INV((RAND()),$E$24,$E$25)),2)</f>
        <v/>
      </c>
      <c r="AA36" s="17" t="n">
        <v>21</v>
      </c>
      <c r="AB36" s="3">
        <f>IF(H36&lt;0,0,H36)</f>
        <v/>
      </c>
      <c r="AC36" s="3">
        <f>IF(I36&lt;0,0,I36)</f>
        <v/>
      </c>
      <c r="AD36" s="3">
        <f>IF(J36&lt;0,0,J36)</f>
        <v/>
      </c>
      <c r="AT36" s="17" t="n">
        <v>21</v>
      </c>
      <c r="AU36" s="9" t="n">
        <v>25.48</v>
      </c>
      <c r="AV36" s="9" t="n">
        <v>20.12</v>
      </c>
      <c r="AW36" s="9" t="n">
        <v>25.5</v>
      </c>
    </row>
    <row r="37">
      <c r="G37" s="17" t="n">
        <v>22</v>
      </c>
      <c r="H37" s="2">
        <f>TRUNC((_xlfn.NORM.INV((RAND()),$E$24,$E$25)),2)</f>
        <v/>
      </c>
      <c r="I37" s="2">
        <f>TRUNC((_xlfn.NORM.INV((RAND()),$E$24,$E$25)),2)</f>
        <v/>
      </c>
      <c r="J37" s="2">
        <f>TRUNC((_xlfn.NORM.INV((RAND()),$E$24,$E$25)),2)</f>
        <v/>
      </c>
      <c r="AA37" s="17" t="n">
        <v>22</v>
      </c>
      <c r="AB37" s="3">
        <f>IF(H37&lt;0,0,H37)</f>
        <v/>
      </c>
      <c r="AC37" s="3">
        <f>IF(I37&lt;0,0,I37)</f>
        <v/>
      </c>
      <c r="AD37" s="3">
        <f>IF(J37&lt;0,0,J37)</f>
        <v/>
      </c>
      <c r="AT37" s="17" t="n">
        <v>22</v>
      </c>
      <c r="AU37" s="9" t="n">
        <v>35.44</v>
      </c>
      <c r="AV37" s="9" t="n">
        <v>19.51</v>
      </c>
      <c r="AW37" s="9" t="n">
        <v>34.99</v>
      </c>
    </row>
    <row r="38">
      <c r="G38" s="17" t="n">
        <v>23</v>
      </c>
      <c r="H38" s="2">
        <f>TRUNC((_xlfn.NORM.INV((RAND()),$E$24,$E$25)),2)</f>
        <v/>
      </c>
      <c r="I38" s="2">
        <f>TRUNC((_xlfn.NORM.INV((RAND()),$E$24,$E$25)),2)</f>
        <v/>
      </c>
      <c r="J38" s="2">
        <f>TRUNC((_xlfn.NORM.INV((RAND()),$E$24,$E$25)),2)</f>
        <v/>
      </c>
      <c r="AA38" s="17" t="n">
        <v>23</v>
      </c>
      <c r="AB38" s="3">
        <f>IF(H38&lt;0,0,H38)</f>
        <v/>
      </c>
      <c r="AC38" s="3">
        <f>IF(I38&lt;0,0,I38)</f>
        <v/>
      </c>
      <c r="AD38" s="3">
        <f>IF(J38&lt;0,0,J38)</f>
        <v/>
      </c>
      <c r="AT38" s="17" t="n">
        <v>23</v>
      </c>
      <c r="AU38" s="9" t="n">
        <v>18.97</v>
      </c>
      <c r="AV38" s="9" t="n">
        <v>31.48</v>
      </c>
      <c r="AW38" s="9" t="n">
        <v>25.65</v>
      </c>
    </row>
    <row r="39">
      <c r="G39" s="17" t="n">
        <v>24</v>
      </c>
      <c r="H39" s="2">
        <f>TRUNC((_xlfn.NORM.INV((RAND()),$E$24,$E$25)),2)</f>
        <v/>
      </c>
      <c r="I39" s="2">
        <f>TRUNC((_xlfn.NORM.INV((RAND()),$E$24,$E$25)),2)</f>
        <v/>
      </c>
      <c r="J39" s="2">
        <f>TRUNC((_xlfn.NORM.INV((RAND()),$E$24,$E$25)),2)</f>
        <v/>
      </c>
      <c r="AA39" s="17" t="n">
        <v>24</v>
      </c>
      <c r="AB39" s="3">
        <f>IF(H39&lt;0,0,H39)</f>
        <v/>
      </c>
      <c r="AC39" s="3">
        <f>IF(I39&lt;0,0,I39)</f>
        <v/>
      </c>
      <c r="AD39" s="3">
        <f>IF(J39&lt;0,0,J39)</f>
        <v/>
      </c>
      <c r="AT39" s="17" t="n">
        <v>24</v>
      </c>
      <c r="AU39" s="9" t="n">
        <v>19.04</v>
      </c>
      <c r="AV39" s="9" t="n">
        <v>31.84</v>
      </c>
      <c r="AW39" s="9" t="n">
        <v>28.45</v>
      </c>
    </row>
    <row r="40">
      <c r="G40" s="17" t="n">
        <v>25</v>
      </c>
      <c r="H40" s="2">
        <f>TRUNC((_xlfn.NORM.INV((RAND()),$E$24,$E$25)),2)</f>
        <v/>
      </c>
      <c r="I40" s="2">
        <f>TRUNC((_xlfn.NORM.INV((RAND()),$E$24,$E$25)),2)</f>
        <v/>
      </c>
      <c r="J40" s="2">
        <f>TRUNC((_xlfn.NORM.INV((RAND()),$E$24,$E$25)),2)</f>
        <v/>
      </c>
      <c r="AA40" s="17" t="n">
        <v>25</v>
      </c>
      <c r="AB40" s="3">
        <f>IF(H40&lt;0,0,H40)</f>
        <v/>
      </c>
      <c r="AC40" s="3">
        <f>IF(I40&lt;0,0,I40)</f>
        <v/>
      </c>
      <c r="AD40" s="3">
        <f>IF(J40&lt;0,0,J40)</f>
        <v/>
      </c>
      <c r="AT40" s="17" t="n">
        <v>25</v>
      </c>
      <c r="AU40" s="9" t="n">
        <v>23.52</v>
      </c>
      <c r="AV40" s="9" t="n">
        <v>23.45</v>
      </c>
      <c r="AW40" s="9" t="n">
        <v>28.41</v>
      </c>
    </row>
    <row r="41">
      <c r="G41" s="17" t="n">
        <v>26</v>
      </c>
      <c r="H41" s="2">
        <f>TRUNC((_xlfn.NORM.INV((RAND()),$E$24,$E$25)),2)</f>
        <v/>
      </c>
      <c r="I41" s="2">
        <f>TRUNC((_xlfn.NORM.INV((RAND()),$E$24,$E$25)),2)</f>
        <v/>
      </c>
      <c r="J41" s="2">
        <f>TRUNC((_xlfn.NORM.INV((RAND()),$E$24,$E$25)),2)</f>
        <v/>
      </c>
      <c r="AA41" s="17" t="n">
        <v>26</v>
      </c>
      <c r="AB41" s="3">
        <f>IF(H41&lt;0,0,H41)</f>
        <v/>
      </c>
      <c r="AC41" s="3">
        <f>IF(I41&lt;0,0,I41)</f>
        <v/>
      </c>
      <c r="AD41" s="3">
        <f>IF(J41&lt;0,0,J41)</f>
        <v/>
      </c>
      <c r="AT41" s="17" t="n">
        <v>26</v>
      </c>
      <c r="AU41" s="9" t="n">
        <v>21.36</v>
      </c>
      <c r="AV41" s="9" t="n">
        <v>35.63</v>
      </c>
      <c r="AW41" s="9" t="n">
        <v>30.31</v>
      </c>
    </row>
    <row r="42">
      <c r="G42" s="17" t="n">
        <v>27</v>
      </c>
      <c r="H42" s="2">
        <f>TRUNC((_xlfn.NORM.INV((RAND()),$E$24,$E$25)),2)</f>
        <v/>
      </c>
      <c r="I42" s="2">
        <f>TRUNC((_xlfn.NORM.INV((RAND()),$E$24,$E$25)),2)</f>
        <v/>
      </c>
      <c r="J42" s="2">
        <f>TRUNC((_xlfn.NORM.INV((RAND()),$E$24,$E$25)),2)</f>
        <v/>
      </c>
      <c r="AA42" s="17" t="n">
        <v>27</v>
      </c>
      <c r="AB42" s="3">
        <f>IF(H42&lt;0,0,H42)</f>
        <v/>
      </c>
      <c r="AC42" s="3">
        <f>IF(I42&lt;0,0,I42)</f>
        <v/>
      </c>
      <c r="AD42" s="3">
        <f>IF(J42&lt;0,0,J42)</f>
        <v/>
      </c>
      <c r="AT42" s="17" t="n">
        <v>27</v>
      </c>
      <c r="AU42" s="9" t="n">
        <v>37.55</v>
      </c>
      <c r="AV42" s="9" t="n">
        <v>22.32</v>
      </c>
      <c r="AW42" s="9" t="n">
        <v>31.37</v>
      </c>
    </row>
    <row r="43">
      <c r="G43" s="17" t="n">
        <v>28</v>
      </c>
      <c r="H43" s="2">
        <f>TRUNC((_xlfn.NORM.INV((RAND()),$E$24,$E$25)),2)</f>
        <v/>
      </c>
      <c r="I43" s="2">
        <f>TRUNC((_xlfn.NORM.INV((RAND()),$E$24,$E$25)),2)</f>
        <v/>
      </c>
      <c r="J43" s="2">
        <f>TRUNC((_xlfn.NORM.INV((RAND()),$E$24,$E$25)),2)</f>
        <v/>
      </c>
      <c r="AA43" s="17" t="n">
        <v>28</v>
      </c>
      <c r="AB43" s="3">
        <f>IF(H43&lt;0,0,H43)</f>
        <v/>
      </c>
      <c r="AC43" s="3">
        <f>IF(I43&lt;0,0,I43)</f>
        <v/>
      </c>
      <c r="AD43" s="3">
        <f>IF(J43&lt;0,0,J43)</f>
        <v/>
      </c>
      <c r="AT43" s="17" t="n">
        <v>28</v>
      </c>
      <c r="AU43" s="9" t="n">
        <v>33.09</v>
      </c>
      <c r="AV43" s="9" t="n">
        <v>34.92</v>
      </c>
      <c r="AW43" s="9" t="n">
        <v>28.8</v>
      </c>
    </row>
    <row r="44">
      <c r="G44" s="17" t="n">
        <v>29</v>
      </c>
      <c r="H44" s="2">
        <f>TRUNC((_xlfn.NORM.INV((RAND()),$E$24,$E$25)),2)</f>
        <v/>
      </c>
      <c r="I44" s="2">
        <f>TRUNC((_xlfn.NORM.INV((RAND()),$E$24,$E$25)),2)</f>
        <v/>
      </c>
      <c r="J44" s="2">
        <f>TRUNC((_xlfn.NORM.INV((RAND()),$E$24,$E$25)),2)</f>
        <v/>
      </c>
      <c r="AA44" s="17" t="n">
        <v>29</v>
      </c>
      <c r="AB44" s="3">
        <f>IF(H44&lt;0,0,H44)</f>
        <v/>
      </c>
      <c r="AC44" s="3">
        <f>IF(I44&lt;0,0,I44)</f>
        <v/>
      </c>
      <c r="AD44" s="3">
        <f>IF(J44&lt;0,0,J44)</f>
        <v/>
      </c>
      <c r="AT44" s="17" t="n">
        <v>29</v>
      </c>
      <c r="AU44" s="9" t="n">
        <v>28.77</v>
      </c>
      <c r="AV44" s="9" t="n">
        <v>31.01</v>
      </c>
      <c r="AW44" s="9" t="n">
        <v>28.39</v>
      </c>
    </row>
    <row r="45">
      <c r="G45" s="17" t="n">
        <v>30</v>
      </c>
      <c r="H45" s="2">
        <f>TRUNC((_xlfn.NORM.INV((RAND()),$E$24,$E$25)),2)</f>
        <v/>
      </c>
      <c r="I45" s="2">
        <f>TRUNC((_xlfn.NORM.INV((RAND()),$E$24,$E$25)),2)</f>
        <v/>
      </c>
      <c r="J45" s="2">
        <f>TRUNC((_xlfn.NORM.INV((RAND()),$E$24,$E$25)),2)</f>
        <v/>
      </c>
      <c r="AA45" s="17" t="n">
        <v>30</v>
      </c>
      <c r="AB45" s="3">
        <f>IF(H45&lt;0,0,H45)</f>
        <v/>
      </c>
      <c r="AC45" s="3">
        <f>IF(I45&lt;0,0,I45)</f>
        <v/>
      </c>
      <c r="AD45" s="3">
        <f>IF(J45&lt;0,0,J45)</f>
        <v/>
      </c>
      <c r="AT45" s="17" t="n">
        <v>30</v>
      </c>
      <c r="AU45" s="9" t="n">
        <v>25.93</v>
      </c>
      <c r="AV45" s="9" t="n">
        <v>23.95</v>
      </c>
      <c r="AW45" s="9" t="n">
        <v>34.79</v>
      </c>
    </row>
    <row r="46">
      <c r="G46" s="17" t="n">
        <v>31</v>
      </c>
      <c r="H46" s="2">
        <f>TRUNC((_xlfn.NORM.INV((RAND()),$E$24,$E$25)),2)</f>
        <v/>
      </c>
      <c r="I46" s="2">
        <f>TRUNC((_xlfn.NORM.INV((RAND()),$E$24,$E$25)),2)</f>
        <v/>
      </c>
      <c r="J46" s="2">
        <f>TRUNC((_xlfn.NORM.INV((RAND()),$E$24,$E$25)),2)</f>
        <v/>
      </c>
      <c r="AA46" s="17" t="n">
        <v>31</v>
      </c>
      <c r="AB46" s="3">
        <f>IF(H46&lt;0,0,H46)</f>
        <v/>
      </c>
      <c r="AC46" s="3">
        <f>IF(I46&lt;0,0,I46)</f>
        <v/>
      </c>
      <c r="AD46" s="3">
        <f>IF(J46&lt;0,0,J46)</f>
        <v/>
      </c>
      <c r="AT46" s="17" t="n">
        <v>31</v>
      </c>
      <c r="AU46" s="9" t="n">
        <v>31.37</v>
      </c>
      <c r="AV46" s="9" t="n">
        <v>13.3</v>
      </c>
      <c r="AW46" s="9" t="n">
        <v>32.09</v>
      </c>
    </row>
    <row r="47">
      <c r="G47" s="17" t="n">
        <v>32</v>
      </c>
      <c r="H47" s="2">
        <f>TRUNC((_xlfn.NORM.INV((RAND()),$E$24,$E$25)),2)</f>
        <v/>
      </c>
      <c r="I47" s="2">
        <f>TRUNC((_xlfn.NORM.INV((RAND()),$E$24,$E$25)),2)</f>
        <v/>
      </c>
      <c r="J47" s="2">
        <f>TRUNC((_xlfn.NORM.INV((RAND()),$E$24,$E$25)),2)</f>
        <v/>
      </c>
      <c r="AA47" s="17" t="n">
        <v>32</v>
      </c>
      <c r="AB47" s="3">
        <f>IF(H47&lt;0,0,H47)</f>
        <v/>
      </c>
      <c r="AC47" s="3">
        <f>IF(I47&lt;0,0,I47)</f>
        <v/>
      </c>
      <c r="AD47" s="3">
        <f>IF(J47&lt;0,0,J47)</f>
        <v/>
      </c>
      <c r="AT47" s="17" t="n">
        <v>32</v>
      </c>
      <c r="AU47" s="9" t="n">
        <v>26.5</v>
      </c>
      <c r="AV47" s="9" t="n">
        <v>30.68</v>
      </c>
      <c r="AW47" s="9" t="n">
        <v>27.57</v>
      </c>
    </row>
    <row r="48">
      <c r="G48" s="17" t="n">
        <v>33</v>
      </c>
      <c r="H48" s="2">
        <f>TRUNC((_xlfn.NORM.INV((RAND()),$E$24,$E$25)),2)</f>
        <v/>
      </c>
      <c r="I48" s="2">
        <f>TRUNC((_xlfn.NORM.INV((RAND()),$E$24,$E$25)),2)</f>
        <v/>
      </c>
      <c r="J48" s="2">
        <f>TRUNC((_xlfn.NORM.INV((RAND()),$E$24,$E$25)),2)</f>
        <v/>
      </c>
      <c r="AA48" s="17" t="n">
        <v>33</v>
      </c>
      <c r="AB48" s="3">
        <f>IF(H48&lt;0,0,H48)</f>
        <v/>
      </c>
      <c r="AC48" s="3">
        <f>IF(I48&lt;0,0,I48)</f>
        <v/>
      </c>
      <c r="AD48" s="3">
        <f>IF(J48&lt;0,0,J48)</f>
        <v/>
      </c>
      <c r="AT48" s="17" t="n">
        <v>33</v>
      </c>
      <c r="AU48" s="9" t="n">
        <v>19.27</v>
      </c>
      <c r="AV48" s="9" t="n">
        <v>32.46</v>
      </c>
      <c r="AW48" s="9" t="n">
        <v>24.49</v>
      </c>
    </row>
    <row r="49">
      <c r="G49" s="17" t="n">
        <v>34</v>
      </c>
      <c r="H49" s="2">
        <f>TRUNC((_xlfn.NORM.INV((RAND()),$E$24,$E$25)),2)</f>
        <v/>
      </c>
      <c r="I49" s="2">
        <f>TRUNC((_xlfn.NORM.INV((RAND()),$E$24,$E$25)),2)</f>
        <v/>
      </c>
      <c r="J49" s="2">
        <f>TRUNC((_xlfn.NORM.INV((RAND()),$E$24,$E$25)),2)</f>
        <v/>
      </c>
      <c r="AA49" s="17" t="n">
        <v>34</v>
      </c>
      <c r="AB49" s="3">
        <f>IF(H49&lt;0,0,H49)</f>
        <v/>
      </c>
      <c r="AC49" s="3">
        <f>IF(I49&lt;0,0,I49)</f>
        <v/>
      </c>
      <c r="AD49" s="3">
        <f>IF(J49&lt;0,0,J49)</f>
        <v/>
      </c>
      <c r="AT49" s="17" t="n">
        <v>34</v>
      </c>
      <c r="AU49" s="9" t="n">
        <v>28.45</v>
      </c>
      <c r="AV49" s="9" t="n">
        <v>15.42</v>
      </c>
      <c r="AW49" s="9" t="n">
        <v>30.07</v>
      </c>
    </row>
    <row r="50">
      <c r="G50" s="17" t="n">
        <v>35</v>
      </c>
      <c r="H50" s="2">
        <f>TRUNC((_xlfn.NORM.INV((RAND()),$E$24,$E$25)),2)</f>
        <v/>
      </c>
      <c r="I50" s="2">
        <f>TRUNC((_xlfn.NORM.INV((RAND()),$E$24,$E$25)),2)</f>
        <v/>
      </c>
      <c r="J50" s="2">
        <f>TRUNC((_xlfn.NORM.INV((RAND()),$E$24,$E$25)),2)</f>
        <v/>
      </c>
      <c r="AA50" s="17" t="n">
        <v>35</v>
      </c>
      <c r="AB50" s="3">
        <f>IF(H50&lt;0,0,H50)</f>
        <v/>
      </c>
      <c r="AC50" s="3">
        <f>IF(I50&lt;0,0,I50)</f>
        <v/>
      </c>
      <c r="AD50" s="3">
        <f>IF(J50&lt;0,0,J50)</f>
        <v/>
      </c>
      <c r="AT50" s="17" t="n">
        <v>35</v>
      </c>
      <c r="AU50" s="9" t="n">
        <v>22.24</v>
      </c>
      <c r="AV50" s="9" t="n">
        <v>27.31</v>
      </c>
      <c r="AW50" s="9" t="n">
        <v>24.08</v>
      </c>
    </row>
    <row r="51">
      <c r="G51" s="17" t="n">
        <v>36</v>
      </c>
      <c r="H51" s="2">
        <f>TRUNC((_xlfn.NORM.INV((RAND()),$E$24,$E$25)),2)</f>
        <v/>
      </c>
      <c r="I51" s="2">
        <f>TRUNC((_xlfn.NORM.INV((RAND()),$E$24,$E$25)),2)</f>
        <v/>
      </c>
      <c r="J51" s="2">
        <f>TRUNC((_xlfn.NORM.INV((RAND()),$E$24,$E$25)),2)</f>
        <v/>
      </c>
      <c r="AA51" s="17" t="n">
        <v>36</v>
      </c>
      <c r="AB51" s="3">
        <f>IF(H51&lt;0,0,H51)</f>
        <v/>
      </c>
      <c r="AC51" s="3">
        <f>IF(I51&lt;0,0,I51)</f>
        <v/>
      </c>
      <c r="AD51" s="3">
        <f>IF(J51&lt;0,0,J51)</f>
        <v/>
      </c>
      <c r="AT51" s="17" t="n">
        <v>36</v>
      </c>
      <c r="AU51" s="9" t="n">
        <v>30.59</v>
      </c>
      <c r="AV51" s="9" t="n">
        <v>27.8</v>
      </c>
      <c r="AW51" s="9" t="n">
        <v>26.29</v>
      </c>
    </row>
    <row r="52">
      <c r="G52" s="17" t="n">
        <v>37</v>
      </c>
      <c r="H52" s="2">
        <f>TRUNC((_xlfn.NORM.INV((RAND()),$E$24,$E$25)),2)</f>
        <v/>
      </c>
      <c r="I52" s="2">
        <f>TRUNC((_xlfn.NORM.INV((RAND()),$E$24,$E$25)),2)</f>
        <v/>
      </c>
      <c r="J52" s="2">
        <f>TRUNC((_xlfn.NORM.INV((RAND()),$E$24,$E$25)),2)</f>
        <v/>
      </c>
      <c r="AA52" s="17" t="n">
        <v>37</v>
      </c>
      <c r="AB52" s="3">
        <f>IF(H52&lt;0,0,H52)</f>
        <v/>
      </c>
      <c r="AC52" s="3">
        <f>IF(I52&lt;0,0,I52)</f>
        <v/>
      </c>
      <c r="AD52" s="3">
        <f>IF(J52&lt;0,0,J52)</f>
        <v/>
      </c>
      <c r="AT52" s="17" t="n">
        <v>37</v>
      </c>
      <c r="AU52" s="9" t="n">
        <v>20.7</v>
      </c>
      <c r="AV52" s="9" t="n">
        <v>21.85</v>
      </c>
      <c r="AW52" s="9" t="n">
        <v>20.17</v>
      </c>
    </row>
    <row r="53">
      <c r="G53" s="17" t="n">
        <v>38</v>
      </c>
      <c r="H53" s="2">
        <f>TRUNC((_xlfn.NORM.INV((RAND()),$E$24,$E$25)),2)</f>
        <v/>
      </c>
      <c r="I53" s="2">
        <f>TRUNC((_xlfn.NORM.INV((RAND()),$E$24,$E$25)),2)</f>
        <v/>
      </c>
      <c r="J53" s="2">
        <f>TRUNC((_xlfn.NORM.INV((RAND()),$E$24,$E$25)),2)</f>
        <v/>
      </c>
      <c r="AA53" s="17" t="n">
        <v>38</v>
      </c>
      <c r="AB53" s="3">
        <f>IF(H53&lt;0,0,H53)</f>
        <v/>
      </c>
      <c r="AC53" s="3">
        <f>IF(I53&lt;0,0,I53)</f>
        <v/>
      </c>
      <c r="AD53" s="3">
        <f>IF(J53&lt;0,0,J53)</f>
        <v/>
      </c>
      <c r="AT53" s="17" t="n">
        <v>38</v>
      </c>
      <c r="AU53" s="9" t="n">
        <v>28.84</v>
      </c>
      <c r="AV53" s="9" t="n">
        <v>35.42</v>
      </c>
      <c r="AW53" s="9" t="n">
        <v>28.15</v>
      </c>
    </row>
    <row r="54">
      <c r="G54" s="17" t="n">
        <v>39</v>
      </c>
      <c r="H54" s="2">
        <f>TRUNC((_xlfn.NORM.INV((RAND()),$E$24,$E$25)),2)</f>
        <v/>
      </c>
      <c r="I54" s="2">
        <f>TRUNC((_xlfn.NORM.INV((RAND()),$E$24,$E$25)),2)</f>
        <v/>
      </c>
      <c r="J54" s="2">
        <f>TRUNC((_xlfn.NORM.INV((RAND()),$E$24,$E$25)),2)</f>
        <v/>
      </c>
      <c r="AA54" s="17" t="n">
        <v>39</v>
      </c>
      <c r="AB54" s="3">
        <f>IF(H54&lt;0,0,H54)</f>
        <v/>
      </c>
      <c r="AC54" s="3">
        <f>IF(I54&lt;0,0,I54)</f>
        <v/>
      </c>
      <c r="AD54" s="3">
        <f>IF(J54&lt;0,0,J54)</f>
        <v/>
      </c>
      <c r="AT54" s="17" t="n">
        <v>39</v>
      </c>
      <c r="AU54" s="9" t="n">
        <v>31.18</v>
      </c>
      <c r="AV54" s="9" t="n">
        <v>25.91</v>
      </c>
      <c r="AW54" s="9" t="n">
        <v>28.49</v>
      </c>
    </row>
    <row r="55">
      <c r="G55" s="17" t="n">
        <v>40</v>
      </c>
      <c r="H55" s="2">
        <f>TRUNC((_xlfn.NORM.INV((RAND()),$E$24,$E$25)),2)</f>
        <v/>
      </c>
      <c r="I55" s="2">
        <f>TRUNC((_xlfn.NORM.INV((RAND()),$E$24,$E$25)),2)</f>
        <v/>
      </c>
      <c r="J55" s="2">
        <f>TRUNC((_xlfn.NORM.INV((RAND()),$E$24,$E$25)),2)</f>
        <v/>
      </c>
      <c r="AA55" s="17" t="n">
        <v>40</v>
      </c>
      <c r="AB55" s="3">
        <f>IF(H55&lt;0,0,H55)</f>
        <v/>
      </c>
      <c r="AC55" s="3">
        <f>IF(I55&lt;0,0,I55)</f>
        <v/>
      </c>
      <c r="AD55" s="3">
        <f>IF(J55&lt;0,0,J55)</f>
        <v/>
      </c>
      <c r="AT55" s="17" t="n">
        <v>40</v>
      </c>
      <c r="AU55" s="9" t="n">
        <v>31.87</v>
      </c>
      <c r="AV55" s="9" t="n">
        <v>24.05</v>
      </c>
      <c r="AW55" s="9" t="n">
        <v>28.08</v>
      </c>
    </row>
    <row r="56">
      <c r="G56" s="17" t="n">
        <v>41</v>
      </c>
      <c r="H56" s="2">
        <f>TRUNC((_xlfn.NORM.INV((RAND()),$E$24,$E$25)),2)</f>
        <v/>
      </c>
      <c r="I56" s="2">
        <f>TRUNC((_xlfn.NORM.INV((RAND()),$E$24,$E$25)),2)</f>
        <v/>
      </c>
      <c r="J56" s="2">
        <f>TRUNC((_xlfn.NORM.INV((RAND()),$E$24,$E$25)),2)</f>
        <v/>
      </c>
      <c r="AA56" s="17" t="n">
        <v>41</v>
      </c>
      <c r="AB56" s="3">
        <f>IF(H56&lt;0,0,H56)</f>
        <v/>
      </c>
      <c r="AC56" s="3">
        <f>IF(I56&lt;0,0,I56)</f>
        <v/>
      </c>
      <c r="AD56" s="3">
        <f>IF(J56&lt;0,0,J56)</f>
        <v/>
      </c>
      <c r="AT56" s="17" t="n">
        <v>41</v>
      </c>
      <c r="AU56" s="9" t="n">
        <v>18.11</v>
      </c>
      <c r="AV56" s="9" t="n">
        <v>25.66</v>
      </c>
      <c r="AW56" s="9" t="n">
        <v>23.66</v>
      </c>
    </row>
    <row r="57">
      <c r="G57" s="17" t="n">
        <v>42</v>
      </c>
      <c r="H57" s="2">
        <f>TRUNC((_xlfn.NORM.INV((RAND()),$E$24,$E$25)),2)</f>
        <v/>
      </c>
      <c r="I57" s="2">
        <f>TRUNC((_xlfn.NORM.INV((RAND()),$E$24,$E$25)),2)</f>
        <v/>
      </c>
      <c r="J57" s="2">
        <f>TRUNC((_xlfn.NORM.INV((RAND()),$E$24,$E$25)),2)</f>
        <v/>
      </c>
      <c r="AA57" s="17" t="n">
        <v>42</v>
      </c>
      <c r="AB57" s="3">
        <f>IF(H57&lt;0,0,H57)</f>
        <v/>
      </c>
      <c r="AC57" s="3">
        <f>IF(I57&lt;0,0,I57)</f>
        <v/>
      </c>
      <c r="AD57" s="3">
        <f>IF(J57&lt;0,0,J57)</f>
        <v/>
      </c>
      <c r="AT57" s="17" t="n">
        <v>42</v>
      </c>
      <c r="AU57" s="9" t="n">
        <v>23.76</v>
      </c>
      <c r="AV57" s="9" t="n">
        <v>28.87</v>
      </c>
      <c r="AW57" s="9" t="n">
        <v>23</v>
      </c>
    </row>
    <row r="58">
      <c r="G58" s="17" t="n">
        <v>43</v>
      </c>
      <c r="H58" s="2">
        <f>TRUNC((_xlfn.NORM.INV((RAND()),$E$24,$E$25)),2)</f>
        <v/>
      </c>
      <c r="I58" s="2">
        <f>TRUNC((_xlfn.NORM.INV((RAND()),$E$24,$E$25)),2)</f>
        <v/>
      </c>
      <c r="J58" s="2">
        <f>TRUNC((_xlfn.NORM.INV((RAND()),$E$24,$E$25)),2)</f>
        <v/>
      </c>
      <c r="AA58" s="17" t="n">
        <v>43</v>
      </c>
      <c r="AB58" s="3">
        <f>IF(H58&lt;0,0,H58)</f>
        <v/>
      </c>
      <c r="AC58" s="3">
        <f>IF(I58&lt;0,0,I58)</f>
        <v/>
      </c>
      <c r="AD58" s="3">
        <f>IF(J58&lt;0,0,J58)</f>
        <v/>
      </c>
      <c r="AT58" s="17" t="n">
        <v>43</v>
      </c>
      <c r="AU58" s="9" t="n">
        <v>26.04</v>
      </c>
      <c r="AV58" s="9" t="n">
        <v>23.26</v>
      </c>
      <c r="AW58" s="9" t="n">
        <v>26.7</v>
      </c>
    </row>
    <row r="59">
      <c r="G59" s="17" t="n">
        <v>44</v>
      </c>
      <c r="H59" s="2">
        <f>TRUNC((_xlfn.NORM.INV((RAND()),$E$24,$E$25)),2)</f>
        <v/>
      </c>
      <c r="I59" s="2">
        <f>TRUNC((_xlfn.NORM.INV((RAND()),$E$24,$E$25)),2)</f>
        <v/>
      </c>
      <c r="J59" s="2">
        <f>TRUNC((_xlfn.NORM.INV((RAND()),$E$24,$E$25)),2)</f>
        <v/>
      </c>
      <c r="AA59" s="17" t="n">
        <v>44</v>
      </c>
      <c r="AB59" s="3">
        <f>IF(H59&lt;0,0,H59)</f>
        <v/>
      </c>
      <c r="AC59" s="3">
        <f>IF(I59&lt;0,0,I59)</f>
        <v/>
      </c>
      <c r="AD59" s="3">
        <f>IF(J59&lt;0,0,J59)</f>
        <v/>
      </c>
      <c r="AT59" s="17" t="n">
        <v>44</v>
      </c>
      <c r="AU59" s="9" t="n">
        <v>29.65</v>
      </c>
      <c r="AV59" s="9" t="n">
        <v>19.3</v>
      </c>
      <c r="AW59" s="9" t="n">
        <v>26.33</v>
      </c>
    </row>
    <row r="60">
      <c r="G60" s="17" t="n">
        <v>45</v>
      </c>
      <c r="H60" s="2">
        <f>TRUNC((_xlfn.NORM.INV((RAND()),$E$24,$E$25)),2)</f>
        <v/>
      </c>
      <c r="I60" s="2">
        <f>TRUNC((_xlfn.NORM.INV((RAND()),$E$24,$E$25)),2)</f>
        <v/>
      </c>
      <c r="J60" s="2">
        <f>TRUNC((_xlfn.NORM.INV((RAND()),$E$24,$E$25)),2)</f>
        <v/>
      </c>
      <c r="AA60" s="17" t="n">
        <v>45</v>
      </c>
      <c r="AB60" s="3">
        <f>IF(H60&lt;0,0,H60)</f>
        <v/>
      </c>
      <c r="AC60" s="3">
        <f>IF(I60&lt;0,0,I60)</f>
        <v/>
      </c>
      <c r="AD60" s="3">
        <f>IF(J60&lt;0,0,J60)</f>
        <v/>
      </c>
      <c r="AT60" s="17" t="n">
        <v>45</v>
      </c>
      <c r="AU60" s="9" t="n">
        <v>36.42</v>
      </c>
      <c r="AV60" s="9" t="n">
        <v>24.41</v>
      </c>
      <c r="AW60" s="9" t="n">
        <v>27.04</v>
      </c>
    </row>
    <row r="61">
      <c r="G61" s="17" t="n">
        <v>46</v>
      </c>
      <c r="H61" s="2">
        <f>TRUNC((_xlfn.NORM.INV((RAND()),$E$24,$E$25)),2)</f>
        <v/>
      </c>
      <c r="I61" s="2">
        <f>TRUNC((_xlfn.NORM.INV((RAND()),$E$24,$E$25)),2)</f>
        <v/>
      </c>
      <c r="J61" s="2">
        <f>TRUNC((_xlfn.NORM.INV((RAND()),$E$24,$E$25)),2)</f>
        <v/>
      </c>
      <c r="AA61" s="17" t="n">
        <v>46</v>
      </c>
      <c r="AB61" s="3">
        <f>IF(H61&lt;0,0,H61)</f>
        <v/>
      </c>
      <c r="AC61" s="3">
        <f>IF(I61&lt;0,0,I61)</f>
        <v/>
      </c>
      <c r="AD61" s="3">
        <f>IF(J61&lt;0,0,J61)</f>
        <v/>
      </c>
      <c r="AT61" s="17" t="n">
        <v>46</v>
      </c>
      <c r="AU61" s="9" t="n">
        <v>26.62</v>
      </c>
      <c r="AV61" s="9" t="n">
        <v>27.92</v>
      </c>
      <c r="AW61" s="9" t="n">
        <v>32.67</v>
      </c>
    </row>
    <row r="62">
      <c r="G62" s="17" t="n">
        <v>47</v>
      </c>
      <c r="H62" s="2">
        <f>TRUNC((_xlfn.NORM.INV((RAND()),$E$24,$E$25)),2)</f>
        <v/>
      </c>
      <c r="I62" s="2">
        <f>TRUNC((_xlfn.NORM.INV((RAND()),$E$24,$E$25)),2)</f>
        <v/>
      </c>
      <c r="J62" s="2">
        <f>TRUNC((_xlfn.NORM.INV((RAND()),$E$24,$E$25)),2)</f>
        <v/>
      </c>
      <c r="AA62" s="17" t="n">
        <v>47</v>
      </c>
      <c r="AB62" s="3">
        <f>IF(H62&lt;0,0,H62)</f>
        <v/>
      </c>
      <c r="AC62" s="3">
        <f>IF(I62&lt;0,0,I62)</f>
        <v/>
      </c>
      <c r="AD62" s="3">
        <f>IF(J62&lt;0,0,J62)</f>
        <v/>
      </c>
      <c r="AT62" s="17" t="n">
        <v>47</v>
      </c>
      <c r="AU62" s="9" t="n">
        <v>21.42</v>
      </c>
      <c r="AV62" s="9" t="n">
        <v>27.13</v>
      </c>
      <c r="AW62" s="9" t="n">
        <v>19.87</v>
      </c>
    </row>
    <row r="63">
      <c r="G63" s="17" t="n">
        <v>48</v>
      </c>
      <c r="H63" s="2">
        <f>TRUNC((_xlfn.NORM.INV((RAND()),$E$24,$E$25)),2)</f>
        <v/>
      </c>
      <c r="I63" s="2">
        <f>TRUNC((_xlfn.NORM.INV((RAND()),$E$24,$E$25)),2)</f>
        <v/>
      </c>
      <c r="J63" s="2">
        <f>TRUNC((_xlfn.NORM.INV((RAND()),$E$24,$E$25)),2)</f>
        <v/>
      </c>
      <c r="AA63" s="17" t="n">
        <v>48</v>
      </c>
      <c r="AB63" s="3">
        <f>IF(H63&lt;0,0,H63)</f>
        <v/>
      </c>
      <c r="AC63" s="3">
        <f>IF(I63&lt;0,0,I63)</f>
        <v/>
      </c>
      <c r="AD63" s="3">
        <f>IF(J63&lt;0,0,J63)</f>
        <v/>
      </c>
      <c r="AT63" s="17" t="n">
        <v>48</v>
      </c>
      <c r="AU63" s="9" t="n">
        <v>26.56</v>
      </c>
      <c r="AV63" s="9" t="n">
        <v>30.12</v>
      </c>
      <c r="AW63" s="9" t="n">
        <v>25.08</v>
      </c>
    </row>
    <row r="64">
      <c r="G64" s="17" t="n">
        <v>49</v>
      </c>
      <c r="H64" s="2">
        <f>TRUNC((_xlfn.NORM.INV((RAND()),$E$24,$E$25)),2)</f>
        <v/>
      </c>
      <c r="I64" s="2">
        <f>TRUNC((_xlfn.NORM.INV((RAND()),$E$24,$E$25)),2)</f>
        <v/>
      </c>
      <c r="J64" s="2">
        <f>TRUNC((_xlfn.NORM.INV((RAND()),$E$24,$E$25)),2)</f>
        <v/>
      </c>
      <c r="AA64" s="17" t="n">
        <v>49</v>
      </c>
      <c r="AB64" s="3">
        <f>IF(H64&lt;0,0,H64)</f>
        <v/>
      </c>
      <c r="AC64" s="3">
        <f>IF(I64&lt;0,0,I64)</f>
        <v/>
      </c>
      <c r="AD64" s="3">
        <f>IF(J64&lt;0,0,J64)</f>
        <v/>
      </c>
      <c r="AT64" s="17" t="n">
        <v>49</v>
      </c>
      <c r="AU64" s="9" t="n">
        <v>29.87</v>
      </c>
      <c r="AV64" s="9" t="n">
        <v>30.22</v>
      </c>
      <c r="AW64" s="9" t="n">
        <v>28.52</v>
      </c>
    </row>
    <row r="65">
      <c r="G65" s="17" t="n">
        <v>50</v>
      </c>
      <c r="H65" s="2">
        <f>TRUNC((_xlfn.NORM.INV((RAND()),$E$24,$E$25)),2)</f>
        <v/>
      </c>
      <c r="I65" s="2">
        <f>TRUNC((_xlfn.NORM.INV((RAND()),$E$24,$E$25)),2)</f>
        <v/>
      </c>
      <c r="J65" s="2">
        <f>TRUNC((_xlfn.NORM.INV((RAND()),$E$24,$E$25)),2)</f>
        <v/>
      </c>
      <c r="AA65" s="17" t="n">
        <v>50</v>
      </c>
      <c r="AB65" s="3">
        <f>IF(H65&lt;0,0,H65)</f>
        <v/>
      </c>
      <c r="AC65" s="3">
        <f>IF(I65&lt;0,0,I65)</f>
        <v/>
      </c>
      <c r="AD65" s="3">
        <f>IF(J65&lt;0,0,J65)</f>
        <v/>
      </c>
      <c r="AT65" s="17" t="n">
        <v>50</v>
      </c>
      <c r="AU65" s="9" t="n">
        <v>25.76</v>
      </c>
      <c r="AV65" s="9" t="n">
        <v>27.06</v>
      </c>
      <c r="AW65" s="9" t="n">
        <v>23.62</v>
      </c>
    </row>
    <row r="66">
      <c r="G66" s="17" t="n">
        <v>51</v>
      </c>
      <c r="H66" s="2">
        <f>TRUNC((_xlfn.NORM.INV((RAND()),$E$24,$E$25)),2)</f>
        <v/>
      </c>
      <c r="I66" s="2">
        <f>TRUNC((_xlfn.NORM.INV((RAND()),$E$24,$E$25)),2)</f>
        <v/>
      </c>
      <c r="J66" s="2">
        <f>TRUNC((_xlfn.NORM.INV((RAND()),$E$24,$E$25)),2)</f>
        <v/>
      </c>
      <c r="AA66" s="17" t="n">
        <v>51</v>
      </c>
      <c r="AB66" s="3">
        <f>IF(H66&lt;0,0,H66)</f>
        <v/>
      </c>
      <c r="AC66" s="3">
        <f>IF(I66&lt;0,0,I66)</f>
        <v/>
      </c>
      <c r="AD66" s="3">
        <f>IF(J66&lt;0,0,J66)</f>
        <v/>
      </c>
      <c r="AT66" s="17" t="n">
        <v>51</v>
      </c>
      <c r="AU66" s="9" t="n">
        <v>20.45</v>
      </c>
      <c r="AV66" s="9" t="n">
        <v>36.11</v>
      </c>
      <c r="AW66" s="9" t="n">
        <v>30.29</v>
      </c>
    </row>
    <row r="67">
      <c r="G67" s="17" t="n">
        <v>52</v>
      </c>
      <c r="H67" s="2">
        <f>TRUNC((_xlfn.NORM.INV((RAND()),$E$24,$E$25)),2)</f>
        <v/>
      </c>
      <c r="I67" s="2">
        <f>TRUNC((_xlfn.NORM.INV((RAND()),$E$24,$E$25)),2)</f>
        <v/>
      </c>
      <c r="J67" s="2">
        <f>TRUNC((_xlfn.NORM.INV((RAND()),$E$24,$E$25)),2)</f>
        <v/>
      </c>
      <c r="AA67" s="17" t="n">
        <v>52</v>
      </c>
      <c r="AB67" s="3">
        <f>IF(H67&lt;0,0,H67)</f>
        <v/>
      </c>
      <c r="AC67" s="3">
        <f>IF(I67&lt;0,0,I67)</f>
        <v/>
      </c>
      <c r="AD67" s="3">
        <f>IF(J67&lt;0,0,J67)</f>
        <v/>
      </c>
      <c r="AT67" s="17" t="n">
        <v>52</v>
      </c>
      <c r="AU67" s="9" t="n">
        <v>23.45</v>
      </c>
      <c r="AV67" s="9" t="n">
        <v>27.59</v>
      </c>
      <c r="AW67" s="9" t="n">
        <v>24.7</v>
      </c>
    </row>
    <row r="68">
      <c r="G68" s="17" t="n">
        <v>53</v>
      </c>
      <c r="H68" s="2">
        <f>TRUNC((_xlfn.NORM.INV((RAND()),$E$24,$E$25)),2)</f>
        <v/>
      </c>
      <c r="I68" s="2">
        <f>TRUNC((_xlfn.NORM.INV((RAND()),$E$24,$E$25)),2)</f>
        <v/>
      </c>
      <c r="J68" s="2">
        <f>TRUNC((_xlfn.NORM.INV((RAND()),$E$24,$E$25)),2)</f>
        <v/>
      </c>
      <c r="AA68" s="17" t="n">
        <v>53</v>
      </c>
      <c r="AB68" s="3">
        <f>IF(H68&lt;0,0,H68)</f>
        <v/>
      </c>
      <c r="AC68" s="3">
        <f>IF(I68&lt;0,0,I68)</f>
        <v/>
      </c>
      <c r="AD68" s="3">
        <f>IF(J68&lt;0,0,J68)</f>
        <v/>
      </c>
      <c r="AT68" s="17" t="n">
        <v>53</v>
      </c>
      <c r="AU68" s="9" t="n">
        <v>26.13</v>
      </c>
      <c r="AV68" s="9" t="n">
        <v>23.48</v>
      </c>
      <c r="AW68" s="9" t="n">
        <v>31.4</v>
      </c>
    </row>
    <row r="69">
      <c r="G69" s="17" t="n">
        <v>54</v>
      </c>
      <c r="H69" s="2">
        <f>TRUNC((_xlfn.NORM.INV((RAND()),$E$24,$E$25)),2)</f>
        <v/>
      </c>
      <c r="I69" s="2">
        <f>TRUNC((_xlfn.NORM.INV((RAND()),$E$24,$E$25)),2)</f>
        <v/>
      </c>
      <c r="J69" s="2">
        <f>TRUNC((_xlfn.NORM.INV((RAND()),$E$24,$E$25)),2)</f>
        <v/>
      </c>
      <c r="AA69" s="17" t="n">
        <v>54</v>
      </c>
      <c r="AB69" s="3">
        <f>IF(H69&lt;0,0,H69)</f>
        <v/>
      </c>
      <c r="AC69" s="3">
        <f>IF(I69&lt;0,0,I69)</f>
        <v/>
      </c>
      <c r="AD69" s="3">
        <f>IF(J69&lt;0,0,J69)</f>
        <v/>
      </c>
      <c r="AT69" s="17" t="n">
        <v>54</v>
      </c>
      <c r="AU69" s="9" t="n">
        <v>14.14</v>
      </c>
      <c r="AV69" s="9" t="n">
        <v>39.28</v>
      </c>
      <c r="AW69" s="9" t="n">
        <v>21.44</v>
      </c>
    </row>
    <row r="70">
      <c r="G70" s="17" t="n">
        <v>55</v>
      </c>
      <c r="H70" s="2">
        <f>TRUNC((_xlfn.NORM.INV((RAND()),$E$24,$E$25)),2)</f>
        <v/>
      </c>
      <c r="I70" s="2">
        <f>TRUNC((_xlfn.NORM.INV((RAND()),$E$24,$E$25)),2)</f>
        <v/>
      </c>
      <c r="J70" s="2">
        <f>TRUNC((_xlfn.NORM.INV((RAND()),$E$24,$E$25)),2)</f>
        <v/>
      </c>
      <c r="AA70" s="17" t="n">
        <v>55</v>
      </c>
      <c r="AB70" s="3">
        <f>IF(H70&lt;0,0,H70)</f>
        <v/>
      </c>
      <c r="AC70" s="3">
        <f>IF(I70&lt;0,0,I70)</f>
        <v/>
      </c>
      <c r="AD70" s="3">
        <f>IF(J70&lt;0,0,J70)</f>
        <v/>
      </c>
      <c r="AT70" s="17" t="n">
        <v>55</v>
      </c>
      <c r="AU70" s="9" t="n">
        <v>31.7</v>
      </c>
      <c r="AV70" s="9" t="n">
        <v>23.81</v>
      </c>
      <c r="AW70" s="9" t="n">
        <v>28.64</v>
      </c>
    </row>
    <row r="71">
      <c r="G71" s="17" t="n">
        <v>56</v>
      </c>
      <c r="H71" s="2">
        <f>TRUNC((_xlfn.NORM.INV((RAND()),$E$24,$E$25)),2)</f>
        <v/>
      </c>
      <c r="I71" s="2">
        <f>TRUNC((_xlfn.NORM.INV((RAND()),$E$24,$E$25)),2)</f>
        <v/>
      </c>
      <c r="J71" s="2">
        <f>TRUNC((_xlfn.NORM.INV((RAND()),$E$24,$E$25)),2)</f>
        <v/>
      </c>
      <c r="AA71" s="17" t="n">
        <v>56</v>
      </c>
      <c r="AB71" s="3">
        <f>IF(H71&lt;0,0,H71)</f>
        <v/>
      </c>
      <c r="AC71" s="3">
        <f>IF(I71&lt;0,0,I71)</f>
        <v/>
      </c>
      <c r="AD71" s="3">
        <f>IF(J71&lt;0,0,J71)</f>
        <v/>
      </c>
      <c r="AT71" s="17" t="n">
        <v>56</v>
      </c>
      <c r="AU71" s="9" t="n">
        <v>27.91</v>
      </c>
      <c r="AV71" s="9" t="n">
        <v>31.01</v>
      </c>
      <c r="AW71" s="9" t="n">
        <v>14.62</v>
      </c>
    </row>
    <row r="72">
      <c r="G72" s="17" t="n">
        <v>57</v>
      </c>
      <c r="H72" s="2">
        <f>TRUNC((_xlfn.NORM.INV((RAND()),$E$24,$E$25)),2)</f>
        <v/>
      </c>
      <c r="I72" s="2">
        <f>TRUNC((_xlfn.NORM.INV((RAND()),$E$24,$E$25)),2)</f>
        <v/>
      </c>
      <c r="J72" s="2">
        <f>TRUNC((_xlfn.NORM.INV((RAND()),$E$24,$E$25)),2)</f>
        <v/>
      </c>
      <c r="AA72" s="17" t="n">
        <v>57</v>
      </c>
      <c r="AB72" s="3">
        <f>IF(H72&lt;0,0,H72)</f>
        <v/>
      </c>
      <c r="AC72" s="3">
        <f>IF(I72&lt;0,0,I72)</f>
        <v/>
      </c>
      <c r="AD72" s="3">
        <f>IF(J72&lt;0,0,J72)</f>
        <v/>
      </c>
      <c r="AT72" s="17" t="n">
        <v>57</v>
      </c>
      <c r="AU72" s="9" t="n">
        <v>28.72</v>
      </c>
      <c r="AV72" s="9" t="n">
        <v>32.07</v>
      </c>
      <c r="AW72" s="9" t="n">
        <v>24.81</v>
      </c>
    </row>
    <row r="73">
      <c r="G73" s="17" t="n">
        <v>58</v>
      </c>
      <c r="H73" s="2">
        <f>TRUNC((_xlfn.NORM.INV((RAND()),$E$24,$E$25)),2)</f>
        <v/>
      </c>
      <c r="I73" s="2">
        <f>TRUNC((_xlfn.NORM.INV((RAND()),$E$24,$E$25)),2)</f>
        <v/>
      </c>
      <c r="J73" s="2">
        <f>TRUNC((_xlfn.NORM.INV((RAND()),$E$24,$E$25)),2)</f>
        <v/>
      </c>
      <c r="AA73" s="17" t="n">
        <v>58</v>
      </c>
      <c r="AB73" s="3">
        <f>IF(H73&lt;0,0,H73)</f>
        <v/>
      </c>
      <c r="AC73" s="3">
        <f>IF(I73&lt;0,0,I73)</f>
        <v/>
      </c>
      <c r="AD73" s="3">
        <f>IF(J73&lt;0,0,J73)</f>
        <v/>
      </c>
      <c r="AT73" s="17" t="n">
        <v>58</v>
      </c>
      <c r="AU73" s="9" t="n">
        <v>21.62</v>
      </c>
      <c r="AV73" s="9" t="n">
        <v>23.36</v>
      </c>
      <c r="AW73" s="9" t="n">
        <v>25.62</v>
      </c>
    </row>
    <row r="74">
      <c r="G74" s="17" t="n">
        <v>59</v>
      </c>
      <c r="H74" s="2">
        <f>TRUNC((_xlfn.NORM.INV((RAND()),$E$24,$E$25)),2)</f>
        <v/>
      </c>
      <c r="I74" s="2">
        <f>TRUNC((_xlfn.NORM.INV((RAND()),$E$24,$E$25)),2)</f>
        <v/>
      </c>
      <c r="J74" s="2">
        <f>TRUNC((_xlfn.NORM.INV((RAND()),$E$24,$E$25)),2)</f>
        <v/>
      </c>
      <c r="AA74" s="17" t="n">
        <v>59</v>
      </c>
      <c r="AB74" s="3">
        <f>IF(H74&lt;0,0,H74)</f>
        <v/>
      </c>
      <c r="AC74" s="3">
        <f>IF(I74&lt;0,0,I74)</f>
        <v/>
      </c>
      <c r="AD74" s="3">
        <f>IF(J74&lt;0,0,J74)</f>
        <v/>
      </c>
      <c r="AT74" s="17" t="n">
        <v>59</v>
      </c>
      <c r="AU74" s="9" t="n">
        <v>34.02</v>
      </c>
      <c r="AV74" s="9" t="n">
        <v>29.85</v>
      </c>
      <c r="AW74" s="9" t="n">
        <v>32.56</v>
      </c>
    </row>
    <row r="75">
      <c r="G75" s="17" t="n">
        <v>60</v>
      </c>
      <c r="H75" s="2">
        <f>TRUNC((_xlfn.NORM.INV((RAND()),$E$24,$E$25)),2)</f>
        <v/>
      </c>
      <c r="I75" s="2">
        <f>TRUNC((_xlfn.NORM.INV((RAND()),$E$24,$E$25)),2)</f>
        <v/>
      </c>
      <c r="J75" s="2">
        <f>TRUNC((_xlfn.NORM.INV((RAND()),$E$24,$E$25)),2)</f>
        <v/>
      </c>
      <c r="AA75" s="17" t="n">
        <v>60</v>
      </c>
      <c r="AB75" s="3">
        <f>IF(H75&lt;0,0,H75)</f>
        <v/>
      </c>
      <c r="AC75" s="3">
        <f>IF(I75&lt;0,0,I75)</f>
        <v/>
      </c>
      <c r="AD75" s="3">
        <f>IF(J75&lt;0,0,J75)</f>
        <v/>
      </c>
      <c r="AT75" s="17" t="n">
        <v>60</v>
      </c>
      <c r="AU75" s="9" t="n">
        <v>19.37</v>
      </c>
      <c r="AV75" s="9" t="n">
        <v>21.95</v>
      </c>
      <c r="AW75" s="9" t="n">
        <v>29.25</v>
      </c>
    </row>
    <row r="76">
      <c r="G76" s="17" t="n">
        <v>61</v>
      </c>
      <c r="H76" s="2">
        <f>TRUNC((_xlfn.NORM.INV((RAND()),$E$24,$E$25)),2)</f>
        <v/>
      </c>
      <c r="I76" s="2">
        <f>TRUNC((_xlfn.NORM.INV((RAND()),$E$24,$E$25)),2)</f>
        <v/>
      </c>
      <c r="J76" s="2">
        <f>TRUNC((_xlfn.NORM.INV((RAND()),$E$24,$E$25)),2)</f>
        <v/>
      </c>
      <c r="AA76" s="17" t="n">
        <v>61</v>
      </c>
      <c r="AB76" s="3">
        <f>IF(H76&lt;0,0,H76)</f>
        <v/>
      </c>
      <c r="AC76" s="3">
        <f>IF(I76&lt;0,0,I76)</f>
        <v/>
      </c>
      <c r="AD76" s="3">
        <f>IF(J76&lt;0,0,J76)</f>
        <v/>
      </c>
      <c r="AT76" s="17" t="n">
        <v>61</v>
      </c>
      <c r="AU76" s="9" t="n">
        <v>23.1</v>
      </c>
      <c r="AV76" s="9" t="n">
        <v>18.04</v>
      </c>
      <c r="AW76" s="9" t="n">
        <v>24.39</v>
      </c>
    </row>
    <row r="77">
      <c r="G77" s="17" t="n">
        <v>62</v>
      </c>
      <c r="H77" s="2">
        <f>TRUNC((_xlfn.NORM.INV((RAND()),$E$24,$E$25)),2)</f>
        <v/>
      </c>
      <c r="I77" s="2">
        <f>TRUNC((_xlfn.NORM.INV((RAND()),$E$24,$E$25)),2)</f>
        <v/>
      </c>
      <c r="J77" s="2">
        <f>TRUNC((_xlfn.NORM.INV((RAND()),$E$24,$E$25)),2)</f>
        <v/>
      </c>
      <c r="AA77" s="17" t="n">
        <v>62</v>
      </c>
      <c r="AB77" s="3">
        <f>IF(H77&lt;0,0,H77)</f>
        <v/>
      </c>
      <c r="AC77" s="3">
        <f>IF(I77&lt;0,0,I77)</f>
        <v/>
      </c>
      <c r="AD77" s="3">
        <f>IF(J77&lt;0,0,J77)</f>
        <v/>
      </c>
      <c r="AT77" s="17" t="n">
        <v>62</v>
      </c>
      <c r="AU77" s="9" t="n">
        <v>19.7</v>
      </c>
      <c r="AV77" s="9" t="n">
        <v>21.42</v>
      </c>
      <c r="AW77" s="9" t="n">
        <v>30.17</v>
      </c>
    </row>
    <row r="78">
      <c r="G78" s="17" t="n">
        <v>63</v>
      </c>
      <c r="H78" s="2">
        <f>TRUNC((_xlfn.NORM.INV((RAND()),$E$24,$E$25)),2)</f>
        <v/>
      </c>
      <c r="I78" s="2">
        <f>TRUNC((_xlfn.NORM.INV((RAND()),$E$24,$E$25)),2)</f>
        <v/>
      </c>
      <c r="J78" s="2">
        <f>TRUNC((_xlfn.NORM.INV((RAND()),$E$24,$E$25)),2)</f>
        <v/>
      </c>
      <c r="AA78" s="17" t="n">
        <v>63</v>
      </c>
      <c r="AB78" s="3">
        <f>IF(H78&lt;0,0,H78)</f>
        <v/>
      </c>
      <c r="AC78" s="3">
        <f>IF(I78&lt;0,0,I78)</f>
        <v/>
      </c>
      <c r="AD78" s="3">
        <f>IF(J78&lt;0,0,J78)</f>
        <v/>
      </c>
      <c r="AT78" s="17" t="n">
        <v>63</v>
      </c>
      <c r="AU78" s="9" t="n">
        <v>26.54</v>
      </c>
      <c r="AV78" s="9" t="n">
        <v>30.07</v>
      </c>
      <c r="AW78" s="9" t="n">
        <v>18.62</v>
      </c>
    </row>
    <row r="79">
      <c r="G79" s="17" t="n">
        <v>64</v>
      </c>
      <c r="H79" s="2">
        <f>TRUNC((_xlfn.NORM.INV((RAND()),$E$24,$E$25)),2)</f>
        <v/>
      </c>
      <c r="I79" s="2">
        <f>TRUNC((_xlfn.NORM.INV((RAND()),$E$24,$E$25)),2)</f>
        <v/>
      </c>
      <c r="J79" s="2">
        <f>TRUNC((_xlfn.NORM.INV((RAND()),$E$24,$E$25)),2)</f>
        <v/>
      </c>
      <c r="AA79" s="17" t="n">
        <v>64</v>
      </c>
      <c r="AB79" s="3">
        <f>IF(H79&lt;0,0,H79)</f>
        <v/>
      </c>
      <c r="AC79" s="3">
        <f>IF(I79&lt;0,0,I79)</f>
        <v/>
      </c>
      <c r="AD79" s="3">
        <f>IF(J79&lt;0,0,J79)</f>
        <v/>
      </c>
      <c r="AT79" s="17" t="n">
        <v>64</v>
      </c>
      <c r="AU79" s="9" t="n">
        <v>18.64</v>
      </c>
      <c r="AV79" s="9" t="n">
        <v>31.19</v>
      </c>
      <c r="AW79" s="9" t="n">
        <v>25.26</v>
      </c>
    </row>
    <row r="80">
      <c r="G80" s="17" t="n">
        <v>65</v>
      </c>
      <c r="H80" s="2">
        <f>TRUNC((_xlfn.NORM.INV((RAND()),$E$24,$E$25)),2)</f>
        <v/>
      </c>
      <c r="I80" s="2">
        <f>TRUNC((_xlfn.NORM.INV((RAND()),$E$24,$E$25)),2)</f>
        <v/>
      </c>
      <c r="J80" s="2">
        <f>TRUNC((_xlfn.NORM.INV((RAND()),$E$24,$E$25)),2)</f>
        <v/>
      </c>
      <c r="AA80" s="17" t="n">
        <v>65</v>
      </c>
      <c r="AB80" s="3">
        <f>IF(H80&lt;0,0,H80)</f>
        <v/>
      </c>
      <c r="AC80" s="3">
        <f>IF(I80&lt;0,0,I80)</f>
        <v/>
      </c>
      <c r="AD80" s="3">
        <f>IF(J80&lt;0,0,J80)</f>
        <v/>
      </c>
      <c r="AT80" s="17" t="n">
        <v>65</v>
      </c>
      <c r="AU80" s="9" t="n">
        <v>31.91</v>
      </c>
      <c r="AV80" s="9" t="n">
        <v>31.19</v>
      </c>
      <c r="AW80" s="9" t="n">
        <v>17.51</v>
      </c>
    </row>
    <row r="81">
      <c r="G81" s="17" t="n">
        <v>66</v>
      </c>
      <c r="H81" s="2">
        <f>TRUNC((_xlfn.NORM.INV((RAND()),$E$24,$E$25)),2)</f>
        <v/>
      </c>
      <c r="I81" s="2">
        <f>TRUNC((_xlfn.NORM.INV((RAND()),$E$24,$E$25)),2)</f>
        <v/>
      </c>
      <c r="J81" s="2">
        <f>TRUNC((_xlfn.NORM.INV((RAND()),$E$24,$E$25)),2)</f>
        <v/>
      </c>
      <c r="AA81" s="17" t="n">
        <v>66</v>
      </c>
      <c r="AB81" s="3">
        <f>IF(H81&lt;0,0,H81)</f>
        <v/>
      </c>
      <c r="AC81" s="3">
        <f>IF(I81&lt;0,0,I81)</f>
        <v/>
      </c>
      <c r="AD81" s="3">
        <f>IF(J81&lt;0,0,J81)</f>
        <v/>
      </c>
      <c r="AT81" s="17" t="n">
        <v>66</v>
      </c>
      <c r="AU81" s="9" t="n">
        <v>24.42</v>
      </c>
      <c r="AV81" s="9" t="n">
        <v>33.36</v>
      </c>
      <c r="AW81" s="9" t="n">
        <v>26.13</v>
      </c>
    </row>
    <row r="82">
      <c r="G82" s="17" t="n">
        <v>67</v>
      </c>
      <c r="H82" s="2">
        <f>TRUNC((_xlfn.NORM.INV((RAND()),$E$24,$E$25)),2)</f>
        <v/>
      </c>
      <c r="I82" s="2">
        <f>TRUNC((_xlfn.NORM.INV((RAND()),$E$24,$E$25)),2)</f>
        <v/>
      </c>
      <c r="J82" s="2">
        <f>TRUNC((_xlfn.NORM.INV((RAND()),$E$24,$E$25)),2)</f>
        <v/>
      </c>
      <c r="AA82" s="17" t="n">
        <v>67</v>
      </c>
      <c r="AB82" s="3">
        <f>IF(H82&lt;0,0,H82)</f>
        <v/>
      </c>
      <c r="AC82" s="3">
        <f>IF(I82&lt;0,0,I82)</f>
        <v/>
      </c>
      <c r="AD82" s="3">
        <f>IF(J82&lt;0,0,J82)</f>
        <v/>
      </c>
      <c r="AT82" s="17" t="n">
        <v>67</v>
      </c>
      <c r="AU82" s="9" t="n">
        <v>25.21</v>
      </c>
      <c r="AV82" s="9" t="n">
        <v>29.49</v>
      </c>
      <c r="AW82" s="9" t="n">
        <v>30.9</v>
      </c>
    </row>
    <row r="83">
      <c r="G83" s="17" t="n">
        <v>68</v>
      </c>
      <c r="H83" s="2">
        <f>TRUNC((_xlfn.NORM.INV((RAND()),$E$24,$E$25)),2)</f>
        <v/>
      </c>
      <c r="I83" s="2">
        <f>TRUNC((_xlfn.NORM.INV((RAND()),$E$24,$E$25)),2)</f>
        <v/>
      </c>
      <c r="J83" s="2">
        <f>TRUNC((_xlfn.NORM.INV((RAND()),$E$24,$E$25)),2)</f>
        <v/>
      </c>
      <c r="AA83" s="17" t="n">
        <v>68</v>
      </c>
      <c r="AB83" s="3">
        <f>IF(H83&lt;0,0,H83)</f>
        <v/>
      </c>
      <c r="AC83" s="3">
        <f>IF(I83&lt;0,0,I83)</f>
        <v/>
      </c>
      <c r="AD83" s="3">
        <f>IF(J83&lt;0,0,J83)</f>
        <v/>
      </c>
      <c r="AT83" s="17" t="n">
        <v>68</v>
      </c>
      <c r="AU83" s="9" t="n">
        <v>33.67</v>
      </c>
      <c r="AV83" s="9" t="n">
        <v>26.16</v>
      </c>
      <c r="AW83" s="9" t="n">
        <v>32.75</v>
      </c>
    </row>
    <row r="84">
      <c r="G84" s="17" t="n">
        <v>69</v>
      </c>
      <c r="H84" s="2">
        <f>TRUNC((_xlfn.NORM.INV((RAND()),$E$24,$E$25)),2)</f>
        <v/>
      </c>
      <c r="I84" s="2">
        <f>TRUNC((_xlfn.NORM.INV((RAND()),$E$24,$E$25)),2)</f>
        <v/>
      </c>
      <c r="J84" s="2">
        <f>TRUNC((_xlfn.NORM.INV((RAND()),$E$24,$E$25)),2)</f>
        <v/>
      </c>
      <c r="AA84" s="17" t="n">
        <v>69</v>
      </c>
      <c r="AB84" s="3">
        <f>IF(H84&lt;0,0,H84)</f>
        <v/>
      </c>
      <c r="AC84" s="3">
        <f>IF(I84&lt;0,0,I84)</f>
        <v/>
      </c>
      <c r="AD84" s="3">
        <f>IF(J84&lt;0,0,J84)</f>
        <v/>
      </c>
      <c r="AT84" s="17" t="n">
        <v>69</v>
      </c>
      <c r="AU84" s="9" t="n">
        <v>24.62</v>
      </c>
      <c r="AV84" s="9" t="n">
        <v>26.25</v>
      </c>
      <c r="AW84" s="9" t="n">
        <v>19.64</v>
      </c>
    </row>
    <row r="85">
      <c r="G85" s="17" t="n">
        <v>70</v>
      </c>
      <c r="H85" s="2">
        <f>TRUNC((_xlfn.NORM.INV((RAND()),$E$24,$E$25)),2)</f>
        <v/>
      </c>
      <c r="I85" s="2">
        <f>TRUNC((_xlfn.NORM.INV((RAND()),$E$24,$E$25)),2)</f>
        <v/>
      </c>
      <c r="J85" s="2">
        <f>TRUNC((_xlfn.NORM.INV((RAND()),$E$24,$E$25)),2)</f>
        <v/>
      </c>
      <c r="AA85" s="17" t="n">
        <v>70</v>
      </c>
      <c r="AB85" s="3">
        <f>IF(H85&lt;0,0,H85)</f>
        <v/>
      </c>
      <c r="AC85" s="3">
        <f>IF(I85&lt;0,0,I85)</f>
        <v/>
      </c>
      <c r="AD85" s="3">
        <f>IF(J85&lt;0,0,J85)</f>
        <v/>
      </c>
      <c r="AT85" s="17" t="n">
        <v>70</v>
      </c>
      <c r="AU85" s="9" t="n">
        <v>25.57</v>
      </c>
      <c r="AV85" s="9" t="n">
        <v>13.59</v>
      </c>
      <c r="AW85" s="9" t="n">
        <v>20.84</v>
      </c>
    </row>
    <row r="86">
      <c r="G86" s="17" t="n">
        <v>71</v>
      </c>
      <c r="H86" s="2">
        <f>TRUNC((_xlfn.NORM.INV((RAND()),$E$24,$E$25)),2)</f>
        <v/>
      </c>
      <c r="I86" s="2">
        <f>TRUNC((_xlfn.NORM.INV((RAND()),$E$24,$E$25)),2)</f>
        <v/>
      </c>
      <c r="J86" s="2">
        <f>TRUNC((_xlfn.NORM.INV((RAND()),$E$24,$E$25)),2)</f>
        <v/>
      </c>
      <c r="AA86" s="17" t="n">
        <v>71</v>
      </c>
      <c r="AB86" s="3">
        <f>IF(H86&lt;0,0,H86)</f>
        <v/>
      </c>
      <c r="AC86" s="3">
        <f>IF(I86&lt;0,0,I86)</f>
        <v/>
      </c>
      <c r="AD86" s="3">
        <f>IF(J86&lt;0,0,J86)</f>
        <v/>
      </c>
      <c r="AT86" s="17" t="n">
        <v>71</v>
      </c>
      <c r="AU86" s="9" t="n">
        <v>25.85</v>
      </c>
      <c r="AV86" s="9" t="n">
        <v>28.66</v>
      </c>
      <c r="AW86" s="9" t="n">
        <v>17.34</v>
      </c>
    </row>
    <row r="87">
      <c r="G87" s="17" t="n">
        <v>72</v>
      </c>
      <c r="H87" s="2">
        <f>TRUNC((_xlfn.NORM.INV((RAND()),$E$24,$E$25)),2)</f>
        <v/>
      </c>
      <c r="I87" s="2">
        <f>TRUNC((_xlfn.NORM.INV((RAND()),$E$24,$E$25)),2)</f>
        <v/>
      </c>
      <c r="J87" s="2">
        <f>TRUNC((_xlfn.NORM.INV((RAND()),$E$24,$E$25)),2)</f>
        <v/>
      </c>
      <c r="AA87" s="17" t="n">
        <v>72</v>
      </c>
      <c r="AB87" s="3">
        <f>IF(H87&lt;0,0,H87)</f>
        <v/>
      </c>
      <c r="AC87" s="3">
        <f>IF(I87&lt;0,0,I87)</f>
        <v/>
      </c>
      <c r="AD87" s="3">
        <f>IF(J87&lt;0,0,J87)</f>
        <v/>
      </c>
      <c r="AT87" s="17" t="n">
        <v>72</v>
      </c>
      <c r="AU87" s="9" t="n">
        <v>29.61</v>
      </c>
      <c r="AV87" s="9" t="n">
        <v>16.74</v>
      </c>
      <c r="AW87" s="9" t="n">
        <v>22.36</v>
      </c>
    </row>
    <row r="88">
      <c r="G88" s="17" t="n">
        <v>73</v>
      </c>
      <c r="H88" s="2">
        <f>TRUNC((_xlfn.NORM.INV((RAND()),$E$24,$E$25)),2)</f>
        <v/>
      </c>
      <c r="I88" s="2">
        <f>TRUNC((_xlfn.NORM.INV((RAND()),$E$24,$E$25)),2)</f>
        <v/>
      </c>
      <c r="J88" s="2">
        <f>TRUNC((_xlfn.NORM.INV((RAND()),$E$24,$E$25)),2)</f>
        <v/>
      </c>
      <c r="AA88" s="17" t="n">
        <v>73</v>
      </c>
      <c r="AB88" s="3">
        <f>IF(H88&lt;0,0,H88)</f>
        <v/>
      </c>
      <c r="AC88" s="3">
        <f>IF(I88&lt;0,0,I88)</f>
        <v/>
      </c>
      <c r="AD88" s="3">
        <f>IF(J88&lt;0,0,J88)</f>
        <v/>
      </c>
      <c r="AT88" s="17" t="n">
        <v>73</v>
      </c>
      <c r="AU88" s="9" t="n">
        <v>16.38</v>
      </c>
      <c r="AV88" s="9" t="n">
        <v>29.36</v>
      </c>
      <c r="AW88" s="9" t="n">
        <v>25.64</v>
      </c>
    </row>
    <row r="89">
      <c r="G89" s="17" t="n">
        <v>74</v>
      </c>
      <c r="H89" s="2">
        <f>TRUNC((_xlfn.NORM.INV((RAND()),$E$24,$E$25)),2)</f>
        <v/>
      </c>
      <c r="I89" s="2">
        <f>TRUNC((_xlfn.NORM.INV((RAND()),$E$24,$E$25)),2)</f>
        <v/>
      </c>
      <c r="J89" s="2">
        <f>TRUNC((_xlfn.NORM.INV((RAND()),$E$24,$E$25)),2)</f>
        <v/>
      </c>
      <c r="AA89" s="17" t="n">
        <v>74</v>
      </c>
      <c r="AB89" s="3">
        <f>IF(H89&lt;0,0,H89)</f>
        <v/>
      </c>
      <c r="AC89" s="3">
        <f>IF(I89&lt;0,0,I89)</f>
        <v/>
      </c>
      <c r="AD89" s="3">
        <f>IF(J89&lt;0,0,J89)</f>
        <v/>
      </c>
      <c r="AT89" s="17" t="n">
        <v>74</v>
      </c>
      <c r="AU89" s="9" t="n">
        <v>19.67</v>
      </c>
      <c r="AV89" s="9" t="n">
        <v>25.4</v>
      </c>
      <c r="AW89" s="9" t="n">
        <v>24.73</v>
      </c>
    </row>
    <row r="90">
      <c r="G90" s="17" t="n">
        <v>75</v>
      </c>
      <c r="H90" s="2">
        <f>TRUNC((_xlfn.NORM.INV((RAND()),$E$24,$E$25)),2)</f>
        <v/>
      </c>
      <c r="I90" s="2">
        <f>TRUNC((_xlfn.NORM.INV((RAND()),$E$24,$E$25)),2)</f>
        <v/>
      </c>
      <c r="J90" s="2">
        <f>TRUNC((_xlfn.NORM.INV((RAND()),$E$24,$E$25)),2)</f>
        <v/>
      </c>
      <c r="AA90" s="17" t="n">
        <v>75</v>
      </c>
      <c r="AB90" s="3">
        <f>IF(H90&lt;0,0,H90)</f>
        <v/>
      </c>
      <c r="AC90" s="3">
        <f>IF(I90&lt;0,0,I90)</f>
        <v/>
      </c>
      <c r="AD90" s="3">
        <f>IF(J90&lt;0,0,J90)</f>
        <v/>
      </c>
      <c r="AT90" s="17" t="n">
        <v>75</v>
      </c>
      <c r="AU90" s="9" t="n">
        <v>29.77</v>
      </c>
      <c r="AV90" s="9" t="n">
        <v>29.29</v>
      </c>
      <c r="AW90" s="9" t="n">
        <v>23.15</v>
      </c>
    </row>
    <row r="91">
      <c r="G91" s="17" t="n">
        <v>76</v>
      </c>
      <c r="H91" s="2">
        <f>TRUNC((_xlfn.NORM.INV((RAND()),$E$24,$E$25)),2)</f>
        <v/>
      </c>
      <c r="I91" s="2">
        <f>TRUNC((_xlfn.NORM.INV((RAND()),$E$24,$E$25)),2)</f>
        <v/>
      </c>
      <c r="J91" s="2">
        <f>TRUNC((_xlfn.NORM.INV((RAND()),$E$24,$E$25)),2)</f>
        <v/>
      </c>
      <c r="AA91" s="17" t="n">
        <v>76</v>
      </c>
      <c r="AB91" s="3">
        <f>IF(H91&lt;0,0,H91)</f>
        <v/>
      </c>
      <c r="AC91" s="3">
        <f>IF(I91&lt;0,0,I91)</f>
        <v/>
      </c>
      <c r="AD91" s="3">
        <f>IF(J91&lt;0,0,J91)</f>
        <v/>
      </c>
      <c r="AT91" s="17" t="n">
        <v>76</v>
      </c>
      <c r="AU91" s="9" t="n">
        <v>34.26</v>
      </c>
      <c r="AV91" s="9" t="n">
        <v>28.49</v>
      </c>
      <c r="AW91" s="9" t="n">
        <v>18.08</v>
      </c>
    </row>
    <row r="92">
      <c r="G92" s="17" t="n">
        <v>77</v>
      </c>
      <c r="H92" s="2">
        <f>TRUNC((_xlfn.NORM.INV((RAND()),$E$24,$E$25)),2)</f>
        <v/>
      </c>
      <c r="I92" s="2">
        <f>TRUNC((_xlfn.NORM.INV((RAND()),$E$24,$E$25)),2)</f>
        <v/>
      </c>
      <c r="J92" s="2">
        <f>TRUNC((_xlfn.NORM.INV((RAND()),$E$24,$E$25)),2)</f>
        <v/>
      </c>
      <c r="AA92" s="17" t="n">
        <v>77</v>
      </c>
      <c r="AB92" s="3">
        <f>IF(H92&lt;0,0,H92)</f>
        <v/>
      </c>
      <c r="AC92" s="3">
        <f>IF(I92&lt;0,0,I92)</f>
        <v/>
      </c>
      <c r="AD92" s="3">
        <f>IF(J92&lt;0,0,J92)</f>
        <v/>
      </c>
      <c r="AT92" s="17" t="n">
        <v>77</v>
      </c>
      <c r="AU92" s="9" t="n">
        <v>23.03</v>
      </c>
      <c r="AV92" s="9" t="n">
        <v>26.7</v>
      </c>
      <c r="AW92" s="9" t="n">
        <v>21.29</v>
      </c>
    </row>
    <row r="93">
      <c r="G93" s="17" t="n">
        <v>78</v>
      </c>
      <c r="H93" s="2">
        <f>TRUNC((_xlfn.NORM.INV((RAND()),$E$24,$E$25)),2)</f>
        <v/>
      </c>
      <c r="I93" s="2">
        <f>TRUNC((_xlfn.NORM.INV((RAND()),$E$24,$E$25)),2)</f>
        <v/>
      </c>
      <c r="J93" s="2">
        <f>TRUNC((_xlfn.NORM.INV((RAND()),$E$24,$E$25)),2)</f>
        <v/>
      </c>
      <c r="AA93" s="17" t="n">
        <v>78</v>
      </c>
      <c r="AB93" s="3">
        <f>IF(H93&lt;0,0,H93)</f>
        <v/>
      </c>
      <c r="AC93" s="3">
        <f>IF(I93&lt;0,0,I93)</f>
        <v/>
      </c>
      <c r="AD93" s="3">
        <f>IF(J93&lt;0,0,J93)</f>
        <v/>
      </c>
      <c r="AT93" s="17" t="n">
        <v>78</v>
      </c>
      <c r="AU93" s="9" t="n">
        <v>32.16</v>
      </c>
      <c r="AV93" s="9" t="n">
        <v>29.08</v>
      </c>
      <c r="AW93" s="9" t="n">
        <v>17.04</v>
      </c>
    </row>
    <row r="94">
      <c r="G94" s="17" t="n">
        <v>79</v>
      </c>
      <c r="H94" s="2">
        <f>TRUNC((_xlfn.NORM.INV((RAND()),$E$24,$E$25)),2)</f>
        <v/>
      </c>
      <c r="I94" s="2">
        <f>TRUNC((_xlfn.NORM.INV((RAND()),$E$24,$E$25)),2)</f>
        <v/>
      </c>
      <c r="J94" s="2">
        <f>TRUNC((_xlfn.NORM.INV((RAND()),$E$24,$E$25)),2)</f>
        <v/>
      </c>
      <c r="AA94" s="17" t="n">
        <v>79</v>
      </c>
      <c r="AB94" s="3">
        <f>IF(H94&lt;0,0,H94)</f>
        <v/>
      </c>
      <c r="AC94" s="3">
        <f>IF(I94&lt;0,0,I94)</f>
        <v/>
      </c>
      <c r="AD94" s="3">
        <f>IF(J94&lt;0,0,J94)</f>
        <v/>
      </c>
      <c r="AT94" s="17" t="n">
        <v>79</v>
      </c>
      <c r="AU94" s="9" t="n">
        <v>27.1</v>
      </c>
      <c r="AV94" s="9" t="n">
        <v>29.84</v>
      </c>
      <c r="AW94" s="9" t="n">
        <v>13.6</v>
      </c>
    </row>
    <row r="95">
      <c r="G95" s="17" t="n">
        <v>80</v>
      </c>
      <c r="H95" s="2">
        <f>TRUNC((_xlfn.NORM.INV((RAND()),$E$24,$E$25)),2)</f>
        <v/>
      </c>
      <c r="I95" s="2">
        <f>TRUNC((_xlfn.NORM.INV((RAND()),$E$24,$E$25)),2)</f>
        <v/>
      </c>
      <c r="J95" s="2">
        <f>TRUNC((_xlfn.NORM.INV((RAND()),$E$24,$E$25)),2)</f>
        <v/>
      </c>
      <c r="AA95" s="17" t="n">
        <v>80</v>
      </c>
      <c r="AB95" s="3">
        <f>IF(H95&lt;0,0,H95)</f>
        <v/>
      </c>
      <c r="AC95" s="3">
        <f>IF(I95&lt;0,0,I95)</f>
        <v/>
      </c>
      <c r="AD95" s="3">
        <f>IF(J95&lt;0,0,J95)</f>
        <v/>
      </c>
      <c r="AT95" s="17" t="n">
        <v>80</v>
      </c>
      <c r="AU95" s="9" t="n">
        <v>26.84</v>
      </c>
      <c r="AV95" s="9" t="n">
        <v>23.43</v>
      </c>
      <c r="AW95" s="9" t="n">
        <v>19.86</v>
      </c>
    </row>
    <row r="96">
      <c r="G96" s="17" t="n">
        <v>81</v>
      </c>
      <c r="H96" s="2">
        <f>TRUNC((_xlfn.NORM.INV((RAND()),$E$24,$E$25)),2)</f>
        <v/>
      </c>
      <c r="I96" s="2">
        <f>TRUNC((_xlfn.NORM.INV((RAND()),$E$24,$E$25)),2)</f>
        <v/>
      </c>
      <c r="J96" s="2">
        <f>TRUNC((_xlfn.NORM.INV((RAND()),$E$24,$E$25)),2)</f>
        <v/>
      </c>
      <c r="AA96" s="17" t="n">
        <v>81</v>
      </c>
      <c r="AB96" s="3">
        <f>IF(H96&lt;0,0,H96)</f>
        <v/>
      </c>
      <c r="AC96" s="3">
        <f>IF(I96&lt;0,0,I96)</f>
        <v/>
      </c>
      <c r="AD96" s="3">
        <f>IF(J96&lt;0,0,J96)</f>
        <v/>
      </c>
      <c r="AT96" s="17" t="n">
        <v>81</v>
      </c>
      <c r="AU96" s="9" t="n">
        <v>23.29</v>
      </c>
      <c r="AV96" s="9" t="n">
        <v>35.32</v>
      </c>
      <c r="AW96" s="9" t="n">
        <v>24.22</v>
      </c>
    </row>
    <row r="97">
      <c r="G97" s="17" t="n">
        <v>82</v>
      </c>
      <c r="H97" s="2">
        <f>TRUNC((_xlfn.NORM.INV((RAND()),$E$24,$E$25)),2)</f>
        <v/>
      </c>
      <c r="I97" s="2">
        <f>TRUNC((_xlfn.NORM.INV((RAND()),$E$24,$E$25)),2)</f>
        <v/>
      </c>
      <c r="J97" s="2">
        <f>TRUNC((_xlfn.NORM.INV((RAND()),$E$24,$E$25)),2)</f>
        <v/>
      </c>
      <c r="AA97" s="17" t="n">
        <v>82</v>
      </c>
      <c r="AB97" s="3">
        <f>IF(H97&lt;0,0,H97)</f>
        <v/>
      </c>
      <c r="AC97" s="3">
        <f>IF(I97&lt;0,0,I97)</f>
        <v/>
      </c>
      <c r="AD97" s="3">
        <f>IF(J97&lt;0,0,J97)</f>
        <v/>
      </c>
      <c r="AT97" s="17" t="n">
        <v>82</v>
      </c>
      <c r="AU97" s="9" t="n">
        <v>17.43</v>
      </c>
      <c r="AV97" s="9" t="n">
        <v>28.14</v>
      </c>
      <c r="AW97" s="9" t="n">
        <v>13.39</v>
      </c>
    </row>
    <row r="98">
      <c r="G98" s="17" t="n">
        <v>83</v>
      </c>
      <c r="H98" s="2">
        <f>TRUNC((_xlfn.NORM.INV((RAND()),$E$24,$E$25)),2)</f>
        <v/>
      </c>
      <c r="I98" s="2">
        <f>TRUNC((_xlfn.NORM.INV((RAND()),$E$24,$E$25)),2)</f>
        <v/>
      </c>
      <c r="J98" s="2">
        <f>TRUNC((_xlfn.NORM.INV((RAND()),$E$24,$E$25)),2)</f>
        <v/>
      </c>
      <c r="AA98" s="17" t="n">
        <v>83</v>
      </c>
      <c r="AB98" s="3">
        <f>IF(H98&lt;0,0,H98)</f>
        <v/>
      </c>
      <c r="AC98" s="3">
        <f>IF(I98&lt;0,0,I98)</f>
        <v/>
      </c>
      <c r="AD98" s="3">
        <f>IF(J98&lt;0,0,J98)</f>
        <v/>
      </c>
      <c r="AT98" s="17" t="n">
        <v>83</v>
      </c>
      <c r="AU98" s="9" t="n">
        <v>42.88</v>
      </c>
      <c r="AV98" s="9" t="n">
        <v>29.75</v>
      </c>
      <c r="AW98" s="9" t="n">
        <v>22.35</v>
      </c>
    </row>
    <row r="99">
      <c r="G99" s="17" t="n">
        <v>84</v>
      </c>
      <c r="H99" s="2">
        <f>TRUNC((_xlfn.NORM.INV((RAND()),$E$24,$E$25)),2)</f>
        <v/>
      </c>
      <c r="I99" s="2">
        <f>TRUNC((_xlfn.NORM.INV((RAND()),$E$24,$E$25)),2)</f>
        <v/>
      </c>
      <c r="J99" s="2">
        <f>TRUNC((_xlfn.NORM.INV((RAND()),$E$24,$E$25)),2)</f>
        <v/>
      </c>
      <c r="AA99" s="17" t="n">
        <v>84</v>
      </c>
      <c r="AB99" s="3">
        <f>IF(H99&lt;0,0,H99)</f>
        <v/>
      </c>
      <c r="AC99" s="3">
        <f>IF(I99&lt;0,0,I99)</f>
        <v/>
      </c>
      <c r="AD99" s="3">
        <f>IF(J99&lt;0,0,J99)</f>
        <v/>
      </c>
      <c r="AT99" s="17" t="n">
        <v>84</v>
      </c>
      <c r="AU99" s="9" t="n">
        <v>33.71</v>
      </c>
      <c r="AV99" s="9" t="n">
        <v>24.77</v>
      </c>
      <c r="AW99" s="9" t="n">
        <v>36.43</v>
      </c>
    </row>
    <row r="100">
      <c r="G100" s="17" t="n">
        <v>85</v>
      </c>
      <c r="H100" s="2">
        <f>TRUNC((_xlfn.NORM.INV((RAND()),$E$24,$E$25)),2)</f>
        <v/>
      </c>
      <c r="I100" s="2">
        <f>TRUNC((_xlfn.NORM.INV((RAND()),$E$24,$E$25)),2)</f>
        <v/>
      </c>
      <c r="J100" s="2">
        <f>TRUNC((_xlfn.NORM.INV((RAND()),$E$24,$E$25)),2)</f>
        <v/>
      </c>
      <c r="AA100" s="17" t="n">
        <v>85</v>
      </c>
      <c r="AB100" s="3">
        <f>IF(H100&lt;0,0,H100)</f>
        <v/>
      </c>
      <c r="AC100" s="3">
        <f>IF(I100&lt;0,0,I100)</f>
        <v/>
      </c>
      <c r="AD100" s="3">
        <f>IF(J100&lt;0,0,J100)</f>
        <v/>
      </c>
      <c r="AT100" s="17" t="n">
        <v>85</v>
      </c>
      <c r="AU100" s="9" t="n">
        <v>36.06</v>
      </c>
      <c r="AV100" s="9" t="n">
        <v>27.98</v>
      </c>
      <c r="AW100" s="9" t="n">
        <v>27.94</v>
      </c>
    </row>
    <row r="101">
      <c r="G101" s="17" t="n">
        <v>86</v>
      </c>
      <c r="H101" s="2">
        <f>TRUNC((_xlfn.NORM.INV((RAND()),$E$24,$E$25)),2)</f>
        <v/>
      </c>
      <c r="I101" s="2">
        <f>TRUNC((_xlfn.NORM.INV((RAND()),$E$24,$E$25)),2)</f>
        <v/>
      </c>
      <c r="J101" s="2">
        <f>TRUNC((_xlfn.NORM.INV((RAND()),$E$24,$E$25)),2)</f>
        <v/>
      </c>
      <c r="AA101" s="17" t="n">
        <v>86</v>
      </c>
      <c r="AB101" s="3">
        <f>IF(H101&lt;0,0,H101)</f>
        <v/>
      </c>
      <c r="AC101" s="3">
        <f>IF(I101&lt;0,0,I101)</f>
        <v/>
      </c>
      <c r="AD101" s="3">
        <f>IF(J101&lt;0,0,J101)</f>
        <v/>
      </c>
      <c r="AT101" s="17" t="n">
        <v>86</v>
      </c>
      <c r="AU101" s="9" t="n">
        <v>25.82</v>
      </c>
      <c r="AV101" s="9" t="n">
        <v>27.56</v>
      </c>
      <c r="AW101" s="9" t="n">
        <v>28.01</v>
      </c>
    </row>
    <row r="102">
      <c r="G102" s="17" t="n">
        <v>87</v>
      </c>
      <c r="H102" s="2">
        <f>TRUNC((_xlfn.NORM.INV((RAND()),$E$24,$E$25)),2)</f>
        <v/>
      </c>
      <c r="I102" s="2">
        <f>TRUNC((_xlfn.NORM.INV((RAND()),$E$24,$E$25)),2)</f>
        <v/>
      </c>
      <c r="J102" s="2">
        <f>TRUNC((_xlfn.NORM.INV((RAND()),$E$24,$E$25)),2)</f>
        <v/>
      </c>
      <c r="AA102" s="17" t="n">
        <v>87</v>
      </c>
      <c r="AB102" s="3">
        <f>IF(H102&lt;0,0,H102)</f>
        <v/>
      </c>
      <c r="AC102" s="3">
        <f>IF(I102&lt;0,0,I102)</f>
        <v/>
      </c>
      <c r="AD102" s="3">
        <f>IF(J102&lt;0,0,J102)</f>
        <v/>
      </c>
      <c r="AT102" s="17" t="n">
        <v>87</v>
      </c>
      <c r="AU102" s="9" t="n">
        <v>24.14</v>
      </c>
      <c r="AV102" s="9" t="n">
        <v>21.03</v>
      </c>
      <c r="AW102" s="9" t="n">
        <v>25.99</v>
      </c>
    </row>
    <row r="103">
      <c r="G103" s="17" t="n">
        <v>88</v>
      </c>
      <c r="H103" s="2">
        <f>TRUNC((_xlfn.NORM.INV((RAND()),$E$24,$E$25)),2)</f>
        <v/>
      </c>
      <c r="I103" s="2">
        <f>TRUNC((_xlfn.NORM.INV((RAND()),$E$24,$E$25)),2)</f>
        <v/>
      </c>
      <c r="J103" s="2">
        <f>TRUNC((_xlfn.NORM.INV((RAND()),$E$24,$E$25)),2)</f>
        <v/>
      </c>
      <c r="AA103" s="17" t="n">
        <v>88</v>
      </c>
      <c r="AB103" s="3">
        <f>IF(H103&lt;0,0,H103)</f>
        <v/>
      </c>
      <c r="AC103" s="3">
        <f>IF(I103&lt;0,0,I103)</f>
        <v/>
      </c>
      <c r="AD103" s="3">
        <f>IF(J103&lt;0,0,J103)</f>
        <v/>
      </c>
      <c r="AT103" s="17" t="n">
        <v>88</v>
      </c>
      <c r="AU103" s="9" t="n">
        <v>30.79</v>
      </c>
      <c r="AV103" s="9" t="n">
        <v>26.34</v>
      </c>
      <c r="AW103" s="9" t="n">
        <v>18.19</v>
      </c>
    </row>
    <row r="104">
      <c r="G104" s="17" t="n">
        <v>89</v>
      </c>
      <c r="H104" s="2">
        <f>TRUNC((_xlfn.NORM.INV((RAND()),$E$24,$E$25)),2)</f>
        <v/>
      </c>
      <c r="I104" s="2">
        <f>TRUNC((_xlfn.NORM.INV((RAND()),$E$24,$E$25)),2)</f>
        <v/>
      </c>
      <c r="J104" s="2">
        <f>TRUNC((_xlfn.NORM.INV((RAND()),$E$24,$E$25)),2)</f>
        <v/>
      </c>
      <c r="AA104" s="17" t="n">
        <v>89</v>
      </c>
      <c r="AB104" s="3">
        <f>IF(H104&lt;0,0,H104)</f>
        <v/>
      </c>
      <c r="AC104" s="3">
        <f>IF(I104&lt;0,0,I104)</f>
        <v/>
      </c>
      <c r="AD104" s="3">
        <f>IF(J104&lt;0,0,J104)</f>
        <v/>
      </c>
      <c r="AT104" s="17" t="n">
        <v>89</v>
      </c>
      <c r="AU104" s="9" t="n">
        <v>36</v>
      </c>
      <c r="AV104" s="9" t="n">
        <v>28.07</v>
      </c>
      <c r="AW104" s="9" t="n">
        <v>25.11</v>
      </c>
    </row>
    <row r="105">
      <c r="G105" s="17" t="n">
        <v>90</v>
      </c>
      <c r="H105" s="2">
        <f>TRUNC((_xlfn.NORM.INV((RAND()),$E$24,$E$25)),2)</f>
        <v/>
      </c>
      <c r="I105" s="2">
        <f>TRUNC((_xlfn.NORM.INV((RAND()),$E$24,$E$25)),2)</f>
        <v/>
      </c>
      <c r="J105" s="2">
        <f>TRUNC((_xlfn.NORM.INV((RAND()),$E$24,$E$25)),2)</f>
        <v/>
      </c>
      <c r="AA105" s="17" t="n">
        <v>90</v>
      </c>
      <c r="AB105" s="3">
        <f>IF(H105&lt;0,0,H105)</f>
        <v/>
      </c>
      <c r="AC105" s="3">
        <f>IF(I105&lt;0,0,I105)</f>
        <v/>
      </c>
      <c r="AD105" s="3">
        <f>IF(J105&lt;0,0,J105)</f>
        <v/>
      </c>
      <c r="AT105" s="17" t="n">
        <v>90</v>
      </c>
      <c r="AU105" s="9" t="n">
        <v>30.77</v>
      </c>
      <c r="AV105" s="9" t="n">
        <v>24.94</v>
      </c>
      <c r="AW105" s="9" t="n">
        <v>28.03</v>
      </c>
    </row>
    <row r="106">
      <c r="G106" s="17" t="n">
        <v>91</v>
      </c>
      <c r="H106" s="2">
        <f>TRUNC((_xlfn.NORM.INV((RAND()),$E$24,$E$25)),2)</f>
        <v/>
      </c>
      <c r="I106" s="2">
        <f>TRUNC((_xlfn.NORM.INV((RAND()),$E$24,$E$25)),2)</f>
        <v/>
      </c>
      <c r="J106" s="2">
        <f>TRUNC((_xlfn.NORM.INV((RAND()),$E$24,$E$25)),2)</f>
        <v/>
      </c>
      <c r="AA106" s="17" t="n">
        <v>91</v>
      </c>
      <c r="AB106" s="3">
        <f>IF(H106&lt;0,0,H106)</f>
        <v/>
      </c>
      <c r="AC106" s="3">
        <f>IF(I106&lt;0,0,I106)</f>
        <v/>
      </c>
      <c r="AD106" s="3">
        <f>IF(J106&lt;0,0,J106)</f>
        <v/>
      </c>
      <c r="AT106" s="17" t="n">
        <v>91</v>
      </c>
      <c r="AU106" s="9" t="n">
        <v>26.22</v>
      </c>
      <c r="AV106" s="9" t="n">
        <v>23.59</v>
      </c>
      <c r="AW106" s="9" t="n">
        <v>23.28</v>
      </c>
    </row>
    <row r="107">
      <c r="G107" s="17" t="n">
        <v>92</v>
      </c>
      <c r="H107" s="2">
        <f>TRUNC((_xlfn.NORM.INV((RAND()),$E$24,$E$25)),2)</f>
        <v/>
      </c>
      <c r="I107" s="2">
        <f>TRUNC((_xlfn.NORM.INV((RAND()),$E$24,$E$25)),2)</f>
        <v/>
      </c>
      <c r="J107" s="2">
        <f>TRUNC((_xlfn.NORM.INV((RAND()),$E$24,$E$25)),2)</f>
        <v/>
      </c>
      <c r="AA107" s="17" t="n">
        <v>92</v>
      </c>
      <c r="AB107" s="3">
        <f>IF(H107&lt;0,0,H107)</f>
        <v/>
      </c>
      <c r="AC107" s="3">
        <f>IF(I107&lt;0,0,I107)</f>
        <v/>
      </c>
      <c r="AD107" s="3">
        <f>IF(J107&lt;0,0,J107)</f>
        <v/>
      </c>
      <c r="AT107" s="17" t="n">
        <v>92</v>
      </c>
      <c r="AU107" s="9" t="n">
        <v>24.05</v>
      </c>
      <c r="AV107" s="9" t="n">
        <v>31.04</v>
      </c>
      <c r="AW107" s="9" t="n">
        <v>35.36</v>
      </c>
    </row>
    <row r="108">
      <c r="G108" s="17" t="n">
        <v>93</v>
      </c>
      <c r="H108" s="2">
        <f>TRUNC((_xlfn.NORM.INV((RAND()),$E$24,$E$25)),2)</f>
        <v/>
      </c>
      <c r="I108" s="2">
        <f>TRUNC((_xlfn.NORM.INV((RAND()),$E$24,$E$25)),2)</f>
        <v/>
      </c>
      <c r="J108" s="2">
        <f>TRUNC((_xlfn.NORM.INV((RAND()),$E$24,$E$25)),2)</f>
        <v/>
      </c>
      <c r="AA108" s="17" t="n">
        <v>93</v>
      </c>
      <c r="AB108" s="3">
        <f>IF(H108&lt;0,0,H108)</f>
        <v/>
      </c>
      <c r="AC108" s="3">
        <f>IF(I108&lt;0,0,I108)</f>
        <v/>
      </c>
      <c r="AD108" s="3">
        <f>IF(J108&lt;0,0,J108)</f>
        <v/>
      </c>
      <c r="AT108" s="17" t="n">
        <v>93</v>
      </c>
      <c r="AU108" s="9" t="n">
        <v>20.06</v>
      </c>
      <c r="AV108" s="9" t="n">
        <v>29.86</v>
      </c>
      <c r="AW108" s="9" t="n">
        <v>24.35</v>
      </c>
    </row>
    <row r="109">
      <c r="G109" s="17" t="n">
        <v>94</v>
      </c>
      <c r="H109" s="2">
        <f>TRUNC((_xlfn.NORM.INV((RAND()),$E$24,$E$25)),2)</f>
        <v/>
      </c>
      <c r="I109" s="2">
        <f>TRUNC((_xlfn.NORM.INV((RAND()),$E$24,$E$25)),2)</f>
        <v/>
      </c>
      <c r="J109" s="2">
        <f>TRUNC((_xlfn.NORM.INV((RAND()),$E$24,$E$25)),2)</f>
        <v/>
      </c>
      <c r="AA109" s="17" t="n">
        <v>94</v>
      </c>
      <c r="AB109" s="3">
        <f>IF(H109&lt;0,0,H109)</f>
        <v/>
      </c>
      <c r="AC109" s="3">
        <f>IF(I109&lt;0,0,I109)</f>
        <v/>
      </c>
      <c r="AD109" s="3">
        <f>IF(J109&lt;0,0,J109)</f>
        <v/>
      </c>
      <c r="AT109" s="17" t="n">
        <v>94</v>
      </c>
      <c r="AU109" s="9" t="n">
        <v>31.86</v>
      </c>
      <c r="AV109" s="9" t="n">
        <v>29.26</v>
      </c>
      <c r="AW109" s="9" t="n">
        <v>22.55</v>
      </c>
    </row>
    <row r="110">
      <c r="G110" s="17" t="n">
        <v>95</v>
      </c>
      <c r="H110" s="2">
        <f>TRUNC((_xlfn.NORM.INV((RAND()),$E$24,$E$25)),2)</f>
        <v/>
      </c>
      <c r="I110" s="2">
        <f>TRUNC((_xlfn.NORM.INV((RAND()),$E$24,$E$25)),2)</f>
        <v/>
      </c>
      <c r="J110" s="2">
        <f>TRUNC((_xlfn.NORM.INV((RAND()),$E$24,$E$25)),2)</f>
        <v/>
      </c>
      <c r="AA110" s="17" t="n">
        <v>95</v>
      </c>
      <c r="AB110" s="3">
        <f>IF(H110&lt;0,0,H110)</f>
        <v/>
      </c>
      <c r="AC110" s="3">
        <f>IF(I110&lt;0,0,I110)</f>
        <v/>
      </c>
      <c r="AD110" s="3">
        <f>IF(J110&lt;0,0,J110)</f>
        <v/>
      </c>
      <c r="AT110" s="17" t="n">
        <v>95</v>
      </c>
      <c r="AU110" s="9" t="n">
        <v>26.79</v>
      </c>
      <c r="AV110" s="9" t="n">
        <v>21.85</v>
      </c>
      <c r="AW110" s="9" t="n">
        <v>35.92</v>
      </c>
    </row>
    <row r="111">
      <c r="G111" s="17" t="n">
        <v>96</v>
      </c>
      <c r="H111" s="2">
        <f>TRUNC((_xlfn.NORM.INV((RAND()),$E$24,$E$25)),2)</f>
        <v/>
      </c>
      <c r="I111" s="2">
        <f>TRUNC((_xlfn.NORM.INV((RAND()),$E$24,$E$25)),2)</f>
        <v/>
      </c>
      <c r="J111" s="2">
        <f>TRUNC((_xlfn.NORM.INV((RAND()),$E$24,$E$25)),2)</f>
        <v/>
      </c>
      <c r="AA111" s="17" t="n">
        <v>96</v>
      </c>
      <c r="AB111" s="3">
        <f>IF(H111&lt;0,0,H111)</f>
        <v/>
      </c>
      <c r="AC111" s="3">
        <f>IF(I111&lt;0,0,I111)</f>
        <v/>
      </c>
      <c r="AD111" s="3">
        <f>IF(J111&lt;0,0,J111)</f>
        <v/>
      </c>
      <c r="AT111" s="17" t="n">
        <v>96</v>
      </c>
      <c r="AU111" s="9" t="n">
        <v>30.93</v>
      </c>
      <c r="AV111" s="9" t="n">
        <v>23.89</v>
      </c>
      <c r="AW111" s="9" t="n">
        <v>26</v>
      </c>
    </row>
    <row r="112">
      <c r="G112" s="17" t="n">
        <v>97</v>
      </c>
      <c r="H112" s="2">
        <f>TRUNC((_xlfn.NORM.INV((RAND()),$E$24,$E$25)),2)</f>
        <v/>
      </c>
      <c r="I112" s="2">
        <f>TRUNC((_xlfn.NORM.INV((RAND()),$E$24,$E$25)),2)</f>
        <v/>
      </c>
      <c r="J112" s="2">
        <f>TRUNC((_xlfn.NORM.INV((RAND()),$E$24,$E$25)),2)</f>
        <v/>
      </c>
      <c r="AA112" s="17" t="n">
        <v>97</v>
      </c>
      <c r="AB112" s="3">
        <f>IF(H112&lt;0,0,H112)</f>
        <v/>
      </c>
      <c r="AC112" s="3">
        <f>IF(I112&lt;0,0,I112)</f>
        <v/>
      </c>
      <c r="AD112" s="3">
        <f>IF(J112&lt;0,0,J112)</f>
        <v/>
      </c>
      <c r="AT112" s="17" t="n">
        <v>97</v>
      </c>
      <c r="AU112" s="9" t="n">
        <v>39.71</v>
      </c>
      <c r="AV112" s="9" t="n">
        <v>32.4</v>
      </c>
      <c r="AW112" s="9" t="n">
        <v>28.1</v>
      </c>
    </row>
    <row r="113">
      <c r="G113" s="17" t="n">
        <v>98</v>
      </c>
      <c r="H113" s="2">
        <f>TRUNC((_xlfn.NORM.INV((RAND()),$E$24,$E$25)),2)</f>
        <v/>
      </c>
      <c r="I113" s="2">
        <f>TRUNC((_xlfn.NORM.INV((RAND()),$E$24,$E$25)),2)</f>
        <v/>
      </c>
      <c r="J113" s="2">
        <f>TRUNC((_xlfn.NORM.INV((RAND()),$E$24,$E$25)),2)</f>
        <v/>
      </c>
      <c r="AA113" s="17" t="n">
        <v>98</v>
      </c>
      <c r="AB113" s="3">
        <f>IF(H113&lt;0,0,H113)</f>
        <v/>
      </c>
      <c r="AC113" s="3">
        <f>IF(I113&lt;0,0,I113)</f>
        <v/>
      </c>
      <c r="AD113" s="3">
        <f>IF(J113&lt;0,0,J113)</f>
        <v/>
      </c>
      <c r="AT113" s="17" t="n">
        <v>98</v>
      </c>
      <c r="AU113" s="9" t="n">
        <v>32.15</v>
      </c>
      <c r="AV113" s="9" t="n">
        <v>22.39</v>
      </c>
      <c r="AW113" s="9" t="n">
        <v>29.09</v>
      </c>
    </row>
    <row r="114">
      <c r="G114" s="17" t="n">
        <v>99</v>
      </c>
      <c r="H114" s="2">
        <f>TRUNC((_xlfn.NORM.INV((RAND()),$E$24,$E$25)),2)</f>
        <v/>
      </c>
      <c r="I114" s="2">
        <f>TRUNC((_xlfn.NORM.INV((RAND()),$E$24,$E$25)),2)</f>
        <v/>
      </c>
      <c r="J114" s="2">
        <f>TRUNC((_xlfn.NORM.INV((RAND()),$E$24,$E$25)),2)</f>
        <v/>
      </c>
      <c r="AA114" s="17" t="n">
        <v>99</v>
      </c>
      <c r="AB114" s="3">
        <f>IF(H114&lt;0,0,H114)</f>
        <v/>
      </c>
      <c r="AC114" s="3">
        <f>IF(I114&lt;0,0,I114)</f>
        <v/>
      </c>
      <c r="AD114" s="3">
        <f>IF(J114&lt;0,0,J114)</f>
        <v/>
      </c>
      <c r="AT114" s="17" t="n">
        <v>99</v>
      </c>
      <c r="AU114" s="9" t="n">
        <v>21.47</v>
      </c>
      <c r="AV114" s="9" t="n">
        <v>22.96</v>
      </c>
      <c r="AW114" s="9" t="n">
        <v>32.72</v>
      </c>
    </row>
    <row r="115">
      <c r="G115" s="17" t="n">
        <v>100</v>
      </c>
      <c r="H115" s="2">
        <f>TRUNC((_xlfn.NORM.INV((RAND()),$E$24,$E$25)),2)</f>
        <v/>
      </c>
      <c r="I115" s="2">
        <f>TRUNC((_xlfn.NORM.INV((RAND()),$E$24,$E$25)),2)</f>
        <v/>
      </c>
      <c r="J115" s="2">
        <f>TRUNC((_xlfn.NORM.INV((RAND()),$E$24,$E$25)),2)</f>
        <v/>
      </c>
      <c r="AA115" s="17" t="n">
        <v>100</v>
      </c>
      <c r="AB115" s="3">
        <f>IF(H115&lt;0,0,H115)</f>
        <v/>
      </c>
      <c r="AC115" s="3">
        <f>IF(I115&lt;0,0,I115)</f>
        <v/>
      </c>
      <c r="AD115" s="3">
        <f>IF(J115&lt;0,0,J115)</f>
        <v/>
      </c>
      <c r="AT115" s="17" t="n">
        <v>100</v>
      </c>
      <c r="AU115" s="9" t="n">
        <v>22.73</v>
      </c>
      <c r="AV115" s="9" t="n">
        <v>25.74</v>
      </c>
      <c r="AW115" s="9" t="n">
        <v>20.74</v>
      </c>
    </row>
    <row r="116">
      <c r="G116" s="17" t="n">
        <v>101</v>
      </c>
      <c r="H116" s="2">
        <f>TRUNC((_xlfn.NORM.INV((RAND()),$E$24,$E$25)),2)</f>
        <v/>
      </c>
      <c r="I116" s="2">
        <f>TRUNC((_xlfn.NORM.INV((RAND()),$E$24,$E$25)),2)</f>
        <v/>
      </c>
      <c r="J116" s="2">
        <f>TRUNC((_xlfn.NORM.INV((RAND()),$E$24,$E$25)),2)</f>
        <v/>
      </c>
      <c r="AA116" s="17" t="n">
        <v>101</v>
      </c>
      <c r="AB116" s="3">
        <f>IF(H116&lt;0,0,H116)</f>
        <v/>
      </c>
      <c r="AC116" s="3">
        <f>IF(I116&lt;0,0,I116)</f>
        <v/>
      </c>
      <c r="AD116" s="3">
        <f>IF(J116&lt;0,0,J116)</f>
        <v/>
      </c>
      <c r="AT116" s="17" t="n">
        <v>101</v>
      </c>
      <c r="AU116" s="9" t="n">
        <v>23.49</v>
      </c>
      <c r="AV116" s="9" t="n">
        <v>27.1</v>
      </c>
      <c r="AW116" s="9" t="n">
        <v>24.23</v>
      </c>
    </row>
    <row r="117">
      <c r="G117" s="17" t="n">
        <v>102</v>
      </c>
      <c r="H117" s="2">
        <f>TRUNC((_xlfn.NORM.INV((RAND()),$E$24,$E$25)),2)</f>
        <v/>
      </c>
      <c r="I117" s="2">
        <f>TRUNC((_xlfn.NORM.INV((RAND()),$E$24,$E$25)),2)</f>
        <v/>
      </c>
      <c r="J117" s="2">
        <f>TRUNC((_xlfn.NORM.INV((RAND()),$E$24,$E$25)),2)</f>
        <v/>
      </c>
      <c r="AA117" s="17" t="n">
        <v>102</v>
      </c>
      <c r="AB117" s="3">
        <f>IF(H117&lt;0,0,H117)</f>
        <v/>
      </c>
      <c r="AC117" s="3">
        <f>IF(I117&lt;0,0,I117)</f>
        <v/>
      </c>
      <c r="AD117" s="3">
        <f>IF(J117&lt;0,0,J117)</f>
        <v/>
      </c>
      <c r="AT117" s="17" t="n">
        <v>102</v>
      </c>
      <c r="AU117" s="9" t="n">
        <v>26.5</v>
      </c>
      <c r="AV117" s="9" t="n">
        <v>34.43</v>
      </c>
      <c r="AW117" s="9" t="n">
        <v>24.75</v>
      </c>
    </row>
    <row r="118">
      <c r="G118" s="17" t="n">
        <v>103</v>
      </c>
      <c r="H118" s="2">
        <f>TRUNC((_xlfn.NORM.INV((RAND()),$E$24,$E$25)),2)</f>
        <v/>
      </c>
      <c r="I118" s="2">
        <f>TRUNC((_xlfn.NORM.INV((RAND()),$E$24,$E$25)),2)</f>
        <v/>
      </c>
      <c r="J118" s="2">
        <f>TRUNC((_xlfn.NORM.INV((RAND()),$E$24,$E$25)),2)</f>
        <v/>
      </c>
      <c r="AA118" s="17" t="n">
        <v>103</v>
      </c>
      <c r="AB118" s="3">
        <f>IF(H118&lt;0,0,H118)</f>
        <v/>
      </c>
      <c r="AC118" s="3">
        <f>IF(I118&lt;0,0,I118)</f>
        <v/>
      </c>
      <c r="AD118" s="3">
        <f>IF(J118&lt;0,0,J118)</f>
        <v/>
      </c>
      <c r="AT118" s="17" t="n">
        <v>103</v>
      </c>
      <c r="AU118" s="9" t="n">
        <v>29.13</v>
      </c>
      <c r="AV118" s="9" t="n">
        <v>22.74</v>
      </c>
      <c r="AW118" s="9" t="n">
        <v>30.7</v>
      </c>
    </row>
    <row r="119">
      <c r="G119" s="17" t="n">
        <v>104</v>
      </c>
      <c r="H119" s="2">
        <f>TRUNC((_xlfn.NORM.INV((RAND()),$E$24,$E$25)),2)</f>
        <v/>
      </c>
      <c r="I119" s="2">
        <f>TRUNC((_xlfn.NORM.INV((RAND()),$E$24,$E$25)),2)</f>
        <v/>
      </c>
      <c r="J119" s="2">
        <f>TRUNC((_xlfn.NORM.INV((RAND()),$E$24,$E$25)),2)</f>
        <v/>
      </c>
      <c r="AA119" s="17" t="n">
        <v>104</v>
      </c>
      <c r="AB119" s="3">
        <f>IF(H119&lt;0,0,H119)</f>
        <v/>
      </c>
      <c r="AC119" s="3">
        <f>IF(I119&lt;0,0,I119)</f>
        <v/>
      </c>
      <c r="AD119" s="3">
        <f>IF(J119&lt;0,0,J119)</f>
        <v/>
      </c>
      <c r="AT119" s="17" t="n">
        <v>104</v>
      </c>
      <c r="AU119" s="9" t="n">
        <v>13.85</v>
      </c>
      <c r="AV119" s="9" t="n">
        <v>30.89</v>
      </c>
      <c r="AW119" s="9" t="n">
        <v>34.3</v>
      </c>
    </row>
    <row r="120">
      <c r="G120" s="17" t="n">
        <v>105</v>
      </c>
      <c r="H120" s="2">
        <f>TRUNC((_xlfn.NORM.INV((RAND()),$E$24,$E$25)),2)</f>
        <v/>
      </c>
      <c r="I120" s="2">
        <f>TRUNC((_xlfn.NORM.INV((RAND()),$E$24,$E$25)),2)</f>
        <v/>
      </c>
      <c r="J120" s="2">
        <f>TRUNC((_xlfn.NORM.INV((RAND()),$E$24,$E$25)),2)</f>
        <v/>
      </c>
      <c r="AA120" s="17" t="n">
        <v>105</v>
      </c>
      <c r="AB120" s="3">
        <f>IF(H120&lt;0,0,H120)</f>
        <v/>
      </c>
      <c r="AC120" s="3">
        <f>IF(I120&lt;0,0,I120)</f>
        <v/>
      </c>
      <c r="AD120" s="3">
        <f>IF(J120&lt;0,0,J120)</f>
        <v/>
      </c>
      <c r="AT120" s="17" t="n">
        <v>105</v>
      </c>
      <c r="AU120" s="9" t="n">
        <v>30.94</v>
      </c>
      <c r="AV120" s="9" t="n">
        <v>28.72</v>
      </c>
      <c r="AW120" s="9" t="n">
        <v>21.01</v>
      </c>
    </row>
    <row r="121">
      <c r="G121" s="17" t="n">
        <v>106</v>
      </c>
      <c r="H121" s="2">
        <f>TRUNC((_xlfn.NORM.INV((RAND()),$E$24,$E$25)),2)</f>
        <v/>
      </c>
      <c r="I121" s="2">
        <f>TRUNC((_xlfn.NORM.INV((RAND()),$E$24,$E$25)),2)</f>
        <v/>
      </c>
      <c r="J121" s="2">
        <f>TRUNC((_xlfn.NORM.INV((RAND()),$E$24,$E$25)),2)</f>
        <v/>
      </c>
      <c r="AA121" s="17" t="n">
        <v>106</v>
      </c>
      <c r="AB121" s="3">
        <f>IF(H121&lt;0,0,H121)</f>
        <v/>
      </c>
      <c r="AC121" s="3">
        <f>IF(I121&lt;0,0,I121)</f>
        <v/>
      </c>
      <c r="AD121" s="3">
        <f>IF(J121&lt;0,0,J121)</f>
        <v/>
      </c>
      <c r="AT121" s="17" t="n">
        <v>106</v>
      </c>
      <c r="AU121" s="9" t="n">
        <v>20.32</v>
      </c>
      <c r="AV121" s="9" t="n">
        <v>28.71</v>
      </c>
      <c r="AW121" s="9" t="n">
        <v>23.03</v>
      </c>
    </row>
    <row r="122">
      <c r="G122" s="17" t="n">
        <v>107</v>
      </c>
      <c r="H122" s="2">
        <f>TRUNC((_xlfn.NORM.INV((RAND()),$E$24,$E$25)),2)</f>
        <v/>
      </c>
      <c r="I122" s="2">
        <f>TRUNC((_xlfn.NORM.INV((RAND()),$E$24,$E$25)),2)</f>
        <v/>
      </c>
      <c r="J122" s="2">
        <f>TRUNC((_xlfn.NORM.INV((RAND()),$E$24,$E$25)),2)</f>
        <v/>
      </c>
      <c r="AA122" s="17" t="n">
        <v>107</v>
      </c>
      <c r="AB122" s="3">
        <f>IF(H122&lt;0,0,H122)</f>
        <v/>
      </c>
      <c r="AC122" s="3">
        <f>IF(I122&lt;0,0,I122)</f>
        <v/>
      </c>
      <c r="AD122" s="3">
        <f>IF(J122&lt;0,0,J122)</f>
        <v/>
      </c>
      <c r="AT122" s="17" t="n">
        <v>107</v>
      </c>
      <c r="AU122" s="9" t="n">
        <v>31.05</v>
      </c>
      <c r="AV122" s="9" t="n">
        <v>29.65</v>
      </c>
      <c r="AW122" s="9" t="n">
        <v>20.94</v>
      </c>
    </row>
    <row r="123">
      <c r="G123" s="17" t="n">
        <v>108</v>
      </c>
      <c r="H123" s="2">
        <f>TRUNC((_xlfn.NORM.INV((RAND()),$E$24,$E$25)),2)</f>
        <v/>
      </c>
      <c r="I123" s="2">
        <f>TRUNC((_xlfn.NORM.INV((RAND()),$E$24,$E$25)),2)</f>
        <v/>
      </c>
      <c r="J123" s="2">
        <f>TRUNC((_xlfn.NORM.INV((RAND()),$E$24,$E$25)),2)</f>
        <v/>
      </c>
      <c r="AA123" s="17" t="n">
        <v>108</v>
      </c>
      <c r="AB123" s="3">
        <f>IF(H123&lt;0,0,H123)</f>
        <v/>
      </c>
      <c r="AC123" s="3">
        <f>IF(I123&lt;0,0,I123)</f>
        <v/>
      </c>
      <c r="AD123" s="3">
        <f>IF(J123&lt;0,0,J123)</f>
        <v/>
      </c>
      <c r="AT123" s="17" t="n">
        <v>108</v>
      </c>
      <c r="AU123" s="9" t="n">
        <v>27.72</v>
      </c>
      <c r="AV123" s="9" t="n">
        <v>28.96</v>
      </c>
      <c r="AW123" s="9" t="n">
        <v>10.59</v>
      </c>
    </row>
    <row r="124">
      <c r="G124" s="17" t="n">
        <v>109</v>
      </c>
      <c r="H124" s="2">
        <f>TRUNC((_xlfn.NORM.INV((RAND()),$E$24,$E$25)),2)</f>
        <v/>
      </c>
      <c r="I124" s="2">
        <f>TRUNC((_xlfn.NORM.INV((RAND()),$E$24,$E$25)),2)</f>
        <v/>
      </c>
      <c r="J124" s="2">
        <f>TRUNC((_xlfn.NORM.INV((RAND()),$E$24,$E$25)),2)</f>
        <v/>
      </c>
      <c r="AA124" s="17" t="n">
        <v>109</v>
      </c>
      <c r="AB124" s="3">
        <f>IF(H124&lt;0,0,H124)</f>
        <v/>
      </c>
      <c r="AC124" s="3">
        <f>IF(I124&lt;0,0,I124)</f>
        <v/>
      </c>
      <c r="AD124" s="3">
        <f>IF(J124&lt;0,0,J124)</f>
        <v/>
      </c>
      <c r="AT124" s="17" t="n">
        <v>109</v>
      </c>
      <c r="AU124" s="9" t="n">
        <v>23.35</v>
      </c>
      <c r="AV124" s="9" t="n">
        <v>25.42</v>
      </c>
      <c r="AW124" s="9" t="n">
        <v>25.12</v>
      </c>
    </row>
    <row r="125">
      <c r="G125" s="17" t="n">
        <v>110</v>
      </c>
      <c r="H125" s="2">
        <f>TRUNC((_xlfn.NORM.INV((RAND()),$E$24,$E$25)),2)</f>
        <v/>
      </c>
      <c r="I125" s="2">
        <f>TRUNC((_xlfn.NORM.INV((RAND()),$E$24,$E$25)),2)</f>
        <v/>
      </c>
      <c r="J125" s="2">
        <f>TRUNC((_xlfn.NORM.INV((RAND()),$E$24,$E$25)),2)</f>
        <v/>
      </c>
      <c r="AA125" s="17" t="n">
        <v>110</v>
      </c>
      <c r="AB125" s="3">
        <f>IF(H125&lt;0,0,H125)</f>
        <v/>
      </c>
      <c r="AC125" s="3">
        <f>IF(I125&lt;0,0,I125)</f>
        <v/>
      </c>
      <c r="AD125" s="3">
        <f>IF(J125&lt;0,0,J125)</f>
        <v/>
      </c>
      <c r="AT125" s="17" t="n">
        <v>110</v>
      </c>
      <c r="AU125" s="9" t="n">
        <v>26.55</v>
      </c>
      <c r="AV125" s="9" t="n">
        <v>20.99</v>
      </c>
      <c r="AW125" s="9" t="n">
        <v>31.01</v>
      </c>
    </row>
    <row r="126">
      <c r="G126" s="17" t="n">
        <v>111</v>
      </c>
      <c r="H126" s="2">
        <f>TRUNC((_xlfn.NORM.INV((RAND()),$E$24,$E$25)),2)</f>
        <v/>
      </c>
      <c r="I126" s="2">
        <f>TRUNC((_xlfn.NORM.INV((RAND()),$E$24,$E$25)),2)</f>
        <v/>
      </c>
      <c r="J126" s="2">
        <f>TRUNC((_xlfn.NORM.INV((RAND()),$E$24,$E$25)),2)</f>
        <v/>
      </c>
      <c r="AA126" s="17" t="n">
        <v>111</v>
      </c>
      <c r="AB126" s="3">
        <f>IF(H126&lt;0,0,H126)</f>
        <v/>
      </c>
      <c r="AC126" s="3">
        <f>IF(I126&lt;0,0,I126)</f>
        <v/>
      </c>
      <c r="AD126" s="3">
        <f>IF(J126&lt;0,0,J126)</f>
        <v/>
      </c>
      <c r="AT126" s="17" t="n">
        <v>111</v>
      </c>
      <c r="AU126" s="9" t="n">
        <v>33.45</v>
      </c>
      <c r="AV126" s="9" t="n">
        <v>17.39</v>
      </c>
      <c r="AW126" s="9" t="n">
        <v>31.17</v>
      </c>
    </row>
    <row r="127">
      <c r="G127" s="17" t="n">
        <v>112</v>
      </c>
      <c r="H127" s="2">
        <f>TRUNC((_xlfn.NORM.INV((RAND()),$E$24,$E$25)),2)</f>
        <v/>
      </c>
      <c r="I127" s="2">
        <f>TRUNC((_xlfn.NORM.INV((RAND()),$E$24,$E$25)),2)</f>
        <v/>
      </c>
      <c r="J127" s="2">
        <f>TRUNC((_xlfn.NORM.INV((RAND()),$E$24,$E$25)),2)</f>
        <v/>
      </c>
      <c r="AA127" s="17" t="n">
        <v>112</v>
      </c>
      <c r="AB127" s="3">
        <f>IF(H127&lt;0,0,H127)</f>
        <v/>
      </c>
      <c r="AC127" s="3">
        <f>IF(I127&lt;0,0,I127)</f>
        <v/>
      </c>
      <c r="AD127" s="3">
        <f>IF(J127&lt;0,0,J127)</f>
        <v/>
      </c>
      <c r="AT127" s="17" t="n">
        <v>112</v>
      </c>
      <c r="AU127" s="9" t="n">
        <v>23.07</v>
      </c>
      <c r="AV127" s="9" t="n">
        <v>31.05</v>
      </c>
      <c r="AW127" s="9" t="n">
        <v>33.7</v>
      </c>
    </row>
    <row r="128">
      <c r="G128" s="17" t="n">
        <v>113</v>
      </c>
      <c r="H128" s="2">
        <f>TRUNC((_xlfn.NORM.INV((RAND()),$E$24,$E$25)),2)</f>
        <v/>
      </c>
      <c r="I128" s="2">
        <f>TRUNC((_xlfn.NORM.INV((RAND()),$E$24,$E$25)),2)</f>
        <v/>
      </c>
      <c r="J128" s="2">
        <f>TRUNC((_xlfn.NORM.INV((RAND()),$E$24,$E$25)),2)</f>
        <v/>
      </c>
      <c r="AA128" s="17" t="n">
        <v>113</v>
      </c>
      <c r="AB128" s="3">
        <f>IF(H128&lt;0,0,H128)</f>
        <v/>
      </c>
      <c r="AC128" s="3">
        <f>IF(I128&lt;0,0,I128)</f>
        <v/>
      </c>
      <c r="AD128" s="3">
        <f>IF(J128&lt;0,0,J128)</f>
        <v/>
      </c>
      <c r="AT128" s="17" t="n">
        <v>113</v>
      </c>
      <c r="AU128" s="9" t="n">
        <v>30.89</v>
      </c>
      <c r="AV128" s="9" t="n">
        <v>23.93</v>
      </c>
      <c r="AW128" s="9" t="n">
        <v>24.53</v>
      </c>
    </row>
    <row r="129">
      <c r="G129" s="17" t="n">
        <v>114</v>
      </c>
      <c r="H129" s="2">
        <f>TRUNC((_xlfn.NORM.INV((RAND()),$E$24,$E$25)),2)</f>
        <v/>
      </c>
      <c r="I129" s="2">
        <f>TRUNC((_xlfn.NORM.INV((RAND()),$E$24,$E$25)),2)</f>
        <v/>
      </c>
      <c r="J129" s="2">
        <f>TRUNC((_xlfn.NORM.INV((RAND()),$E$24,$E$25)),2)</f>
        <v/>
      </c>
      <c r="AA129" s="17" t="n">
        <v>114</v>
      </c>
      <c r="AB129" s="3">
        <f>IF(H129&lt;0,0,H129)</f>
        <v/>
      </c>
      <c r="AC129" s="3">
        <f>IF(I129&lt;0,0,I129)</f>
        <v/>
      </c>
      <c r="AD129" s="3">
        <f>IF(J129&lt;0,0,J129)</f>
        <v/>
      </c>
      <c r="AT129" s="17" t="n">
        <v>114</v>
      </c>
      <c r="AU129" s="9" t="n">
        <v>31.51</v>
      </c>
      <c r="AV129" s="9" t="n">
        <v>24.53</v>
      </c>
      <c r="AW129" s="9" t="n">
        <v>30.6</v>
      </c>
    </row>
    <row r="130">
      <c r="G130" s="17" t="n">
        <v>115</v>
      </c>
      <c r="H130" s="2">
        <f>TRUNC((_xlfn.NORM.INV((RAND()),$E$24,$E$25)),2)</f>
        <v/>
      </c>
      <c r="I130" s="2">
        <f>TRUNC((_xlfn.NORM.INV((RAND()),$E$24,$E$25)),2)</f>
        <v/>
      </c>
      <c r="J130" s="2">
        <f>TRUNC((_xlfn.NORM.INV((RAND()),$E$24,$E$25)),2)</f>
        <v/>
      </c>
      <c r="AA130" s="17" t="n">
        <v>115</v>
      </c>
      <c r="AB130" s="3">
        <f>IF(H130&lt;0,0,H130)</f>
        <v/>
      </c>
      <c r="AC130" s="3">
        <f>IF(I130&lt;0,0,I130)</f>
        <v/>
      </c>
      <c r="AD130" s="3">
        <f>IF(J130&lt;0,0,J130)</f>
        <v/>
      </c>
      <c r="AT130" s="17" t="n">
        <v>115</v>
      </c>
      <c r="AU130" s="9" t="n">
        <v>28.87</v>
      </c>
      <c r="AV130" s="9" t="n">
        <v>28.89</v>
      </c>
      <c r="AW130" s="9" t="n">
        <v>14.18</v>
      </c>
    </row>
    <row r="131">
      <c r="G131" s="17" t="n">
        <v>116</v>
      </c>
      <c r="H131" s="2">
        <f>TRUNC((_xlfn.NORM.INV((RAND()),$E$24,$E$25)),2)</f>
        <v/>
      </c>
      <c r="I131" s="2">
        <f>TRUNC((_xlfn.NORM.INV((RAND()),$E$24,$E$25)),2)</f>
        <v/>
      </c>
      <c r="J131" s="2">
        <f>TRUNC((_xlfn.NORM.INV((RAND()),$E$24,$E$25)),2)</f>
        <v/>
      </c>
      <c r="AA131" s="17" t="n">
        <v>116</v>
      </c>
      <c r="AB131" s="3">
        <f>IF(H131&lt;0,0,H131)</f>
        <v/>
      </c>
      <c r="AC131" s="3">
        <f>IF(I131&lt;0,0,I131)</f>
        <v/>
      </c>
      <c r="AD131" s="3">
        <f>IF(J131&lt;0,0,J131)</f>
        <v/>
      </c>
      <c r="AT131" s="17" t="n">
        <v>116</v>
      </c>
      <c r="AU131" s="9" t="n">
        <v>22.2</v>
      </c>
      <c r="AV131" s="9" t="n">
        <v>26.04</v>
      </c>
      <c r="AW131" s="9" t="n">
        <v>20.73</v>
      </c>
    </row>
    <row r="132">
      <c r="G132" s="17" t="n">
        <v>117</v>
      </c>
      <c r="H132" s="2">
        <f>TRUNC((_xlfn.NORM.INV((RAND()),$E$24,$E$25)),2)</f>
        <v/>
      </c>
      <c r="I132" s="2">
        <f>TRUNC((_xlfn.NORM.INV((RAND()),$E$24,$E$25)),2)</f>
        <v/>
      </c>
      <c r="J132" s="2">
        <f>TRUNC((_xlfn.NORM.INV((RAND()),$E$24,$E$25)),2)</f>
        <v/>
      </c>
      <c r="AA132" s="17" t="n">
        <v>117</v>
      </c>
      <c r="AB132" s="3">
        <f>IF(H132&lt;0,0,H132)</f>
        <v/>
      </c>
      <c r="AC132" s="3">
        <f>IF(I132&lt;0,0,I132)</f>
        <v/>
      </c>
      <c r="AD132" s="3">
        <f>IF(J132&lt;0,0,J132)</f>
        <v/>
      </c>
      <c r="AT132" s="17" t="n">
        <v>117</v>
      </c>
      <c r="AU132" s="9" t="n">
        <v>22.3</v>
      </c>
      <c r="AV132" s="9" t="n">
        <v>22.66</v>
      </c>
      <c r="AW132" s="9" t="n">
        <v>27.97</v>
      </c>
    </row>
    <row r="133">
      <c r="G133" s="17" t="n">
        <v>118</v>
      </c>
      <c r="H133" s="2">
        <f>TRUNC((_xlfn.NORM.INV((RAND()),$E$24,$E$25)),2)</f>
        <v/>
      </c>
      <c r="I133" s="2">
        <f>TRUNC((_xlfn.NORM.INV((RAND()),$E$24,$E$25)),2)</f>
        <v/>
      </c>
      <c r="J133" s="2">
        <f>TRUNC((_xlfn.NORM.INV((RAND()),$E$24,$E$25)),2)</f>
        <v/>
      </c>
      <c r="AA133" s="17" t="n">
        <v>118</v>
      </c>
      <c r="AB133" s="3">
        <f>IF(H133&lt;0,0,H133)</f>
        <v/>
      </c>
      <c r="AC133" s="3">
        <f>IF(I133&lt;0,0,I133)</f>
        <v/>
      </c>
      <c r="AD133" s="3">
        <f>IF(J133&lt;0,0,J133)</f>
        <v/>
      </c>
      <c r="AT133" s="17" t="n">
        <v>118</v>
      </c>
      <c r="AU133" s="9" t="n">
        <v>26.65</v>
      </c>
      <c r="AV133" s="9" t="n">
        <v>23.1</v>
      </c>
      <c r="AW133" s="9" t="n">
        <v>28.24</v>
      </c>
    </row>
    <row r="134">
      <c r="G134" s="17" t="n">
        <v>119</v>
      </c>
      <c r="H134" s="2">
        <f>TRUNC((_xlfn.NORM.INV((RAND()),$E$24,$E$25)),2)</f>
        <v/>
      </c>
      <c r="I134" s="2">
        <f>TRUNC((_xlfn.NORM.INV((RAND()),$E$24,$E$25)),2)</f>
        <v/>
      </c>
      <c r="J134" s="2">
        <f>TRUNC((_xlfn.NORM.INV((RAND()),$E$24,$E$25)),2)</f>
        <v/>
      </c>
      <c r="AA134" s="17" t="n">
        <v>119</v>
      </c>
      <c r="AB134" s="3">
        <f>IF(H134&lt;0,0,H134)</f>
        <v/>
      </c>
      <c r="AC134" s="3">
        <f>IF(I134&lt;0,0,I134)</f>
        <v/>
      </c>
      <c r="AD134" s="3">
        <f>IF(J134&lt;0,0,J134)</f>
        <v/>
      </c>
      <c r="AT134" s="17" t="n">
        <v>119</v>
      </c>
      <c r="AU134" s="9" t="n">
        <v>22.33</v>
      </c>
      <c r="AV134" s="9" t="n">
        <v>32.28</v>
      </c>
      <c r="AW134" s="9" t="n">
        <v>18.29</v>
      </c>
    </row>
    <row r="135">
      <c r="G135" s="17" t="n">
        <v>120</v>
      </c>
      <c r="H135" s="2">
        <f>TRUNC((_xlfn.NORM.INV((RAND()),$E$24,$E$25)),2)</f>
        <v/>
      </c>
      <c r="I135" s="2">
        <f>TRUNC((_xlfn.NORM.INV((RAND()),$E$24,$E$25)),2)</f>
        <v/>
      </c>
      <c r="J135" s="2">
        <f>TRUNC((_xlfn.NORM.INV((RAND()),$E$24,$E$25)),2)</f>
        <v/>
      </c>
      <c r="AA135" s="17" t="n">
        <v>120</v>
      </c>
      <c r="AB135" s="3">
        <f>IF(H135&lt;0,0,H135)</f>
        <v/>
      </c>
      <c r="AC135" s="3">
        <f>IF(I135&lt;0,0,I135)</f>
        <v/>
      </c>
      <c r="AD135" s="3">
        <f>IF(J135&lt;0,0,J135)</f>
        <v/>
      </c>
      <c r="AT135" s="17" t="n">
        <v>120</v>
      </c>
      <c r="AU135" s="9" t="n">
        <v>24.03</v>
      </c>
      <c r="AV135" s="9" t="n">
        <v>31.66</v>
      </c>
      <c r="AW135" s="9" t="n">
        <v>31.76</v>
      </c>
    </row>
    <row r="136">
      <c r="G136" s="17" t="n">
        <v>121</v>
      </c>
      <c r="H136" s="2">
        <f>TRUNC((_xlfn.NORM.INV((RAND()),$E$24,$E$25)),2)</f>
        <v/>
      </c>
      <c r="I136" s="2">
        <f>TRUNC((_xlfn.NORM.INV((RAND()),$E$24,$E$25)),2)</f>
        <v/>
      </c>
      <c r="J136" s="2">
        <f>TRUNC((_xlfn.NORM.INV((RAND()),$E$24,$E$25)),2)</f>
        <v/>
      </c>
      <c r="AA136" s="17" t="n">
        <v>121</v>
      </c>
      <c r="AB136" s="3">
        <f>IF(H136&lt;0,0,H136)</f>
        <v/>
      </c>
      <c r="AC136" s="3">
        <f>IF(I136&lt;0,0,I136)</f>
        <v/>
      </c>
      <c r="AD136" s="3">
        <f>IF(J136&lt;0,0,J136)</f>
        <v/>
      </c>
      <c r="AT136" s="17" t="n">
        <v>121</v>
      </c>
      <c r="AU136" s="9" t="n">
        <v>30.36</v>
      </c>
      <c r="AV136" s="9" t="n">
        <v>23.48</v>
      </c>
      <c r="AW136" s="9" t="n">
        <v>23.59</v>
      </c>
    </row>
    <row r="137">
      <c r="G137" s="17" t="n">
        <v>122</v>
      </c>
      <c r="H137" s="2">
        <f>TRUNC((_xlfn.NORM.INV((RAND()),$E$24,$E$25)),2)</f>
        <v/>
      </c>
      <c r="I137" s="2">
        <f>TRUNC((_xlfn.NORM.INV((RAND()),$E$24,$E$25)),2)</f>
        <v/>
      </c>
      <c r="J137" s="2">
        <f>TRUNC((_xlfn.NORM.INV((RAND()),$E$24,$E$25)),2)</f>
        <v/>
      </c>
      <c r="AA137" s="17" t="n">
        <v>122</v>
      </c>
      <c r="AB137" s="3">
        <f>IF(H137&lt;0,0,H137)</f>
        <v/>
      </c>
      <c r="AC137" s="3">
        <f>IF(I137&lt;0,0,I137)</f>
        <v/>
      </c>
      <c r="AD137" s="3">
        <f>IF(J137&lt;0,0,J137)</f>
        <v/>
      </c>
      <c r="AT137" s="17" t="n">
        <v>122</v>
      </c>
      <c r="AU137" s="9" t="n">
        <v>36.6</v>
      </c>
      <c r="AV137" s="9" t="n">
        <v>25.89</v>
      </c>
      <c r="AW137" s="9" t="n">
        <v>27.34</v>
      </c>
    </row>
    <row r="138">
      <c r="G138" s="17" t="n">
        <v>123</v>
      </c>
      <c r="H138" s="2">
        <f>TRUNC((_xlfn.NORM.INV((RAND()),$E$24,$E$25)),2)</f>
        <v/>
      </c>
      <c r="I138" s="2">
        <f>TRUNC((_xlfn.NORM.INV((RAND()),$E$24,$E$25)),2)</f>
        <v/>
      </c>
      <c r="J138" s="2">
        <f>TRUNC((_xlfn.NORM.INV((RAND()),$E$24,$E$25)),2)</f>
        <v/>
      </c>
      <c r="AA138" s="17" t="n">
        <v>123</v>
      </c>
      <c r="AB138" s="3">
        <f>IF(H138&lt;0,0,H138)</f>
        <v/>
      </c>
      <c r="AC138" s="3">
        <f>IF(I138&lt;0,0,I138)</f>
        <v/>
      </c>
      <c r="AD138" s="3">
        <f>IF(J138&lt;0,0,J138)</f>
        <v/>
      </c>
      <c r="AT138" s="17" t="n">
        <v>123</v>
      </c>
      <c r="AU138" s="9" t="n">
        <v>27.45</v>
      </c>
      <c r="AV138" s="9" t="n">
        <v>29.57</v>
      </c>
      <c r="AW138" s="9" t="n">
        <v>21.98</v>
      </c>
    </row>
    <row r="139">
      <c r="G139" s="17" t="n">
        <v>124</v>
      </c>
      <c r="H139" s="2">
        <f>TRUNC((_xlfn.NORM.INV((RAND()),$E$24,$E$25)),2)</f>
        <v/>
      </c>
      <c r="I139" s="2">
        <f>TRUNC((_xlfn.NORM.INV((RAND()),$E$24,$E$25)),2)</f>
        <v/>
      </c>
      <c r="J139" s="2">
        <f>TRUNC((_xlfn.NORM.INV((RAND()),$E$24,$E$25)),2)</f>
        <v/>
      </c>
      <c r="AA139" s="17" t="n">
        <v>124</v>
      </c>
      <c r="AB139" s="3">
        <f>IF(H139&lt;0,0,H139)</f>
        <v/>
      </c>
      <c r="AC139" s="3">
        <f>IF(I139&lt;0,0,I139)</f>
        <v/>
      </c>
      <c r="AD139" s="3">
        <f>IF(J139&lt;0,0,J139)</f>
        <v/>
      </c>
      <c r="AT139" s="17" t="n">
        <v>124</v>
      </c>
      <c r="AU139" s="9" t="n">
        <v>27.07</v>
      </c>
      <c r="AV139" s="9" t="n">
        <v>22.95</v>
      </c>
      <c r="AW139" s="9" t="n">
        <v>28.8</v>
      </c>
    </row>
    <row r="140">
      <c r="G140" s="17" t="n">
        <v>125</v>
      </c>
      <c r="H140" s="2">
        <f>TRUNC((_xlfn.NORM.INV((RAND()),$E$24,$E$25)),2)</f>
        <v/>
      </c>
      <c r="I140" s="2">
        <f>TRUNC((_xlfn.NORM.INV((RAND()),$E$24,$E$25)),2)</f>
        <v/>
      </c>
      <c r="J140" s="2">
        <f>TRUNC((_xlfn.NORM.INV((RAND()),$E$24,$E$25)),2)</f>
        <v/>
      </c>
      <c r="AA140" s="17" t="n">
        <v>125</v>
      </c>
      <c r="AB140" s="3">
        <f>IF(H140&lt;0,0,H140)</f>
        <v/>
      </c>
      <c r="AC140" s="3">
        <f>IF(I140&lt;0,0,I140)</f>
        <v/>
      </c>
      <c r="AD140" s="3">
        <f>IF(J140&lt;0,0,J140)</f>
        <v/>
      </c>
      <c r="AT140" s="17" t="n">
        <v>125</v>
      </c>
      <c r="AU140" s="9" t="n">
        <v>25.98</v>
      </c>
      <c r="AV140" s="9" t="n">
        <v>25.22</v>
      </c>
      <c r="AW140" s="9" t="n">
        <v>18.48</v>
      </c>
    </row>
    <row r="141">
      <c r="G141" s="17" t="n">
        <v>126</v>
      </c>
      <c r="H141" s="2">
        <f>TRUNC((_xlfn.NORM.INV((RAND()),$E$24,$E$25)),2)</f>
        <v/>
      </c>
      <c r="I141" s="2">
        <f>TRUNC((_xlfn.NORM.INV((RAND()),$E$24,$E$25)),2)</f>
        <v/>
      </c>
      <c r="J141" s="2">
        <f>TRUNC((_xlfn.NORM.INV((RAND()),$E$24,$E$25)),2)</f>
        <v/>
      </c>
      <c r="AA141" s="17" t="n">
        <v>126</v>
      </c>
      <c r="AB141" s="3">
        <f>IF(H141&lt;0,0,H141)</f>
        <v/>
      </c>
      <c r="AC141" s="3">
        <f>IF(I141&lt;0,0,I141)</f>
        <v/>
      </c>
      <c r="AD141" s="3">
        <f>IF(J141&lt;0,0,J141)</f>
        <v/>
      </c>
      <c r="AT141" s="17" t="n">
        <v>126</v>
      </c>
      <c r="AU141" s="9" t="n">
        <v>28.42</v>
      </c>
      <c r="AV141" s="9" t="n">
        <v>21.26</v>
      </c>
      <c r="AW141" s="9" t="n">
        <v>33.39</v>
      </c>
    </row>
    <row r="142">
      <c r="G142" s="17" t="n">
        <v>127</v>
      </c>
      <c r="H142" s="2">
        <f>TRUNC((_xlfn.NORM.INV((RAND()),$E$24,$E$25)),2)</f>
        <v/>
      </c>
      <c r="I142" s="2">
        <f>TRUNC((_xlfn.NORM.INV((RAND()),$E$24,$E$25)),2)</f>
        <v/>
      </c>
      <c r="J142" s="2">
        <f>TRUNC((_xlfn.NORM.INV((RAND()),$E$24,$E$25)),2)</f>
        <v/>
      </c>
      <c r="AA142" s="17" t="n">
        <v>127</v>
      </c>
      <c r="AB142" s="3">
        <f>IF(H142&lt;0,0,H142)</f>
        <v/>
      </c>
      <c r="AC142" s="3">
        <f>IF(I142&lt;0,0,I142)</f>
        <v/>
      </c>
      <c r="AD142" s="3">
        <f>IF(J142&lt;0,0,J142)</f>
        <v/>
      </c>
      <c r="AT142" s="17" t="n">
        <v>127</v>
      </c>
      <c r="AU142" s="9" t="n">
        <v>27.1</v>
      </c>
      <c r="AV142" s="9" t="n">
        <v>37.61</v>
      </c>
      <c r="AW142" s="9" t="n">
        <v>28.75</v>
      </c>
    </row>
    <row r="143">
      <c r="G143" s="17" t="n">
        <v>128</v>
      </c>
      <c r="H143" s="2">
        <f>TRUNC((_xlfn.NORM.INV((RAND()),$E$24,$E$25)),2)</f>
        <v/>
      </c>
      <c r="I143" s="2">
        <f>TRUNC((_xlfn.NORM.INV((RAND()),$E$24,$E$25)),2)</f>
        <v/>
      </c>
      <c r="J143" s="2">
        <f>TRUNC((_xlfn.NORM.INV((RAND()),$E$24,$E$25)),2)</f>
        <v/>
      </c>
      <c r="AA143" s="17" t="n">
        <v>128</v>
      </c>
      <c r="AB143" s="3">
        <f>IF(H143&lt;0,0,H143)</f>
        <v/>
      </c>
      <c r="AC143" s="3">
        <f>IF(I143&lt;0,0,I143)</f>
        <v/>
      </c>
      <c r="AD143" s="3">
        <f>IF(J143&lt;0,0,J143)</f>
        <v/>
      </c>
      <c r="AT143" s="17" t="n">
        <v>128</v>
      </c>
      <c r="AU143" s="9" t="n">
        <v>20.42</v>
      </c>
      <c r="AV143" s="9" t="n">
        <v>25.69</v>
      </c>
      <c r="AW143" s="9" t="n">
        <v>25.53</v>
      </c>
    </row>
    <row r="144">
      <c r="G144" s="17" t="n">
        <v>129</v>
      </c>
      <c r="H144" s="2">
        <f>TRUNC((_xlfn.NORM.INV((RAND()),$E$24,$E$25)),2)</f>
        <v/>
      </c>
      <c r="I144" s="2">
        <f>TRUNC((_xlfn.NORM.INV((RAND()),$E$24,$E$25)),2)</f>
        <v/>
      </c>
      <c r="J144" s="2">
        <f>TRUNC((_xlfn.NORM.INV((RAND()),$E$24,$E$25)),2)</f>
        <v/>
      </c>
      <c r="AA144" s="17" t="n">
        <v>129</v>
      </c>
      <c r="AB144" s="3">
        <f>IF(H144&lt;0,0,H144)</f>
        <v/>
      </c>
      <c r="AC144" s="3">
        <f>IF(I144&lt;0,0,I144)</f>
        <v/>
      </c>
      <c r="AD144" s="3">
        <f>IF(J144&lt;0,0,J144)</f>
        <v/>
      </c>
      <c r="AT144" s="17" t="n">
        <v>129</v>
      </c>
      <c r="AU144" s="9" t="n">
        <v>33.03</v>
      </c>
      <c r="AV144" s="9" t="n">
        <v>25.12</v>
      </c>
      <c r="AW144" s="9" t="n">
        <v>27.85</v>
      </c>
    </row>
    <row r="145">
      <c r="G145" s="17" t="n">
        <v>130</v>
      </c>
      <c r="H145" s="2">
        <f>TRUNC((_xlfn.NORM.INV((RAND()),$E$24,$E$25)),2)</f>
        <v/>
      </c>
      <c r="I145" s="2">
        <f>TRUNC((_xlfn.NORM.INV((RAND()),$E$24,$E$25)),2)</f>
        <v/>
      </c>
      <c r="J145" s="2">
        <f>TRUNC((_xlfn.NORM.INV((RAND()),$E$24,$E$25)),2)</f>
        <v/>
      </c>
      <c r="AA145" s="17" t="n">
        <v>130</v>
      </c>
      <c r="AB145" s="3">
        <f>IF(H145&lt;0,0,H145)</f>
        <v/>
      </c>
      <c r="AC145" s="3">
        <f>IF(I145&lt;0,0,I145)</f>
        <v/>
      </c>
      <c r="AD145" s="3">
        <f>IF(J145&lt;0,0,J145)</f>
        <v/>
      </c>
      <c r="AT145" s="17" t="n">
        <v>130</v>
      </c>
      <c r="AU145" s="9" t="n">
        <v>29.25</v>
      </c>
      <c r="AV145" s="9" t="n">
        <v>28.75</v>
      </c>
      <c r="AW145" s="9" t="n">
        <v>24.5</v>
      </c>
    </row>
    <row r="146">
      <c r="G146" s="17" t="n">
        <v>131</v>
      </c>
      <c r="H146" s="2">
        <f>TRUNC((_xlfn.NORM.INV((RAND()),$E$24,$E$25)),2)</f>
        <v/>
      </c>
      <c r="I146" s="2">
        <f>TRUNC((_xlfn.NORM.INV((RAND()),$E$24,$E$25)),2)</f>
        <v/>
      </c>
      <c r="J146" s="2">
        <f>TRUNC((_xlfn.NORM.INV((RAND()),$E$24,$E$25)),2)</f>
        <v/>
      </c>
      <c r="AA146" s="17" t="n">
        <v>131</v>
      </c>
      <c r="AB146" s="3">
        <f>IF(H146&lt;0,0,H146)</f>
        <v/>
      </c>
      <c r="AC146" s="3">
        <f>IF(I146&lt;0,0,I146)</f>
        <v/>
      </c>
      <c r="AD146" s="3">
        <f>IF(J146&lt;0,0,J146)</f>
        <v/>
      </c>
      <c r="AT146" s="17" t="n">
        <v>131</v>
      </c>
      <c r="AU146" s="9" t="n">
        <v>31.02</v>
      </c>
      <c r="AV146" s="9" t="n">
        <v>24.2</v>
      </c>
      <c r="AW146" s="9" t="n">
        <v>25.8</v>
      </c>
    </row>
    <row r="147">
      <c r="G147" s="17" t="n">
        <v>132</v>
      </c>
      <c r="H147" s="2">
        <f>TRUNC((_xlfn.NORM.INV((RAND()),$E$24,$E$25)),2)</f>
        <v/>
      </c>
      <c r="I147" s="2">
        <f>TRUNC((_xlfn.NORM.INV((RAND()),$E$24,$E$25)),2)</f>
        <v/>
      </c>
      <c r="J147" s="2">
        <f>TRUNC((_xlfn.NORM.INV((RAND()),$E$24,$E$25)),2)</f>
        <v/>
      </c>
      <c r="AA147" s="17" t="n">
        <v>132</v>
      </c>
      <c r="AB147" s="3">
        <f>IF(H147&lt;0,0,H147)</f>
        <v/>
      </c>
      <c r="AC147" s="3">
        <f>IF(I147&lt;0,0,I147)</f>
        <v/>
      </c>
      <c r="AD147" s="3">
        <f>IF(J147&lt;0,0,J147)</f>
        <v/>
      </c>
      <c r="AT147" s="17" t="n">
        <v>132</v>
      </c>
      <c r="AU147" s="9" t="n">
        <v>25.4</v>
      </c>
      <c r="AV147" s="9" t="n">
        <v>32.78</v>
      </c>
      <c r="AW147" s="9" t="n">
        <v>25.36</v>
      </c>
    </row>
    <row r="148">
      <c r="G148" s="17" t="n">
        <v>133</v>
      </c>
      <c r="H148" s="2">
        <f>TRUNC((_xlfn.NORM.INV((RAND()),$E$24,$E$25)),2)</f>
        <v/>
      </c>
      <c r="I148" s="2">
        <f>TRUNC((_xlfn.NORM.INV((RAND()),$E$24,$E$25)),2)</f>
        <v/>
      </c>
      <c r="J148" s="2">
        <f>TRUNC((_xlfn.NORM.INV((RAND()),$E$24,$E$25)),2)</f>
        <v/>
      </c>
      <c r="AA148" s="17" t="n">
        <v>133</v>
      </c>
      <c r="AB148" s="3">
        <f>IF(H148&lt;0,0,H148)</f>
        <v/>
      </c>
      <c r="AC148" s="3">
        <f>IF(I148&lt;0,0,I148)</f>
        <v/>
      </c>
      <c r="AD148" s="3">
        <f>IF(J148&lt;0,0,J148)</f>
        <v/>
      </c>
      <c r="AT148" s="17" t="n">
        <v>133</v>
      </c>
      <c r="AU148" s="9" t="n">
        <v>29.03</v>
      </c>
      <c r="AV148" s="9" t="n">
        <v>22.05</v>
      </c>
      <c r="AW148" s="9" t="n">
        <v>24.07</v>
      </c>
    </row>
    <row r="149">
      <c r="G149" s="17" t="n">
        <v>134</v>
      </c>
      <c r="H149" s="2">
        <f>TRUNC((_xlfn.NORM.INV((RAND()),$E$24,$E$25)),2)</f>
        <v/>
      </c>
      <c r="I149" s="2">
        <f>TRUNC((_xlfn.NORM.INV((RAND()),$E$24,$E$25)),2)</f>
        <v/>
      </c>
      <c r="J149" s="2">
        <f>TRUNC((_xlfn.NORM.INV((RAND()),$E$24,$E$25)),2)</f>
        <v/>
      </c>
      <c r="AA149" s="17" t="n">
        <v>134</v>
      </c>
      <c r="AB149" s="3">
        <f>IF(H149&lt;0,0,H149)</f>
        <v/>
      </c>
      <c r="AC149" s="3">
        <f>IF(I149&lt;0,0,I149)</f>
        <v/>
      </c>
      <c r="AD149" s="3">
        <f>IF(J149&lt;0,0,J149)</f>
        <v/>
      </c>
      <c r="AT149" s="17" t="n">
        <v>134</v>
      </c>
      <c r="AU149" s="9" t="n">
        <v>36.08</v>
      </c>
      <c r="AV149" s="9" t="n">
        <v>22.27</v>
      </c>
      <c r="AW149" s="9" t="n">
        <v>26.47</v>
      </c>
    </row>
    <row r="150">
      <c r="G150" s="17" t="n">
        <v>135</v>
      </c>
      <c r="H150" s="2">
        <f>TRUNC((_xlfn.NORM.INV((RAND()),$E$24,$E$25)),2)</f>
        <v/>
      </c>
      <c r="I150" s="2">
        <f>TRUNC((_xlfn.NORM.INV((RAND()),$E$24,$E$25)),2)</f>
        <v/>
      </c>
      <c r="J150" s="2">
        <f>TRUNC((_xlfn.NORM.INV((RAND()),$E$24,$E$25)),2)</f>
        <v/>
      </c>
      <c r="AA150" s="17" t="n">
        <v>135</v>
      </c>
      <c r="AB150" s="3">
        <f>IF(H150&lt;0,0,H150)</f>
        <v/>
      </c>
      <c r="AC150" s="3">
        <f>IF(I150&lt;0,0,I150)</f>
        <v/>
      </c>
      <c r="AD150" s="3">
        <f>IF(J150&lt;0,0,J150)</f>
        <v/>
      </c>
      <c r="AT150" s="17" t="n">
        <v>135</v>
      </c>
      <c r="AU150" s="9" t="n">
        <v>24.8</v>
      </c>
      <c r="AV150" s="9" t="n">
        <v>24.05</v>
      </c>
      <c r="AW150" s="9" t="n">
        <v>29.32</v>
      </c>
    </row>
    <row r="151">
      <c r="G151" s="17" t="n">
        <v>136</v>
      </c>
      <c r="H151" s="2">
        <f>TRUNC((_xlfn.NORM.INV((RAND()),$E$24,$E$25)),2)</f>
        <v/>
      </c>
      <c r="I151" s="2">
        <f>TRUNC((_xlfn.NORM.INV((RAND()),$E$24,$E$25)),2)</f>
        <v/>
      </c>
      <c r="J151" s="2">
        <f>TRUNC((_xlfn.NORM.INV((RAND()),$E$24,$E$25)),2)</f>
        <v/>
      </c>
      <c r="AA151" s="17" t="n">
        <v>136</v>
      </c>
      <c r="AB151" s="3">
        <f>IF(H151&lt;0,0,H151)</f>
        <v/>
      </c>
      <c r="AC151" s="3">
        <f>IF(I151&lt;0,0,I151)</f>
        <v/>
      </c>
      <c r="AD151" s="3">
        <f>IF(J151&lt;0,0,J151)</f>
        <v/>
      </c>
      <c r="AT151" s="17" t="n">
        <v>136</v>
      </c>
      <c r="AU151" s="9" t="n">
        <v>38.71</v>
      </c>
      <c r="AV151" s="9" t="n">
        <v>27.55</v>
      </c>
      <c r="AW151" s="9" t="n">
        <v>27.45</v>
      </c>
    </row>
    <row r="152">
      <c r="G152" s="17" t="n">
        <v>137</v>
      </c>
      <c r="H152" s="2">
        <f>TRUNC((_xlfn.NORM.INV((RAND()),$E$24,$E$25)),2)</f>
        <v/>
      </c>
      <c r="I152" s="2">
        <f>TRUNC((_xlfn.NORM.INV((RAND()),$E$24,$E$25)),2)</f>
        <v/>
      </c>
      <c r="J152" s="2">
        <f>TRUNC((_xlfn.NORM.INV((RAND()),$E$24,$E$25)),2)</f>
        <v/>
      </c>
      <c r="AA152" s="17" t="n">
        <v>137</v>
      </c>
      <c r="AB152" s="3">
        <f>IF(H152&lt;0,0,H152)</f>
        <v/>
      </c>
      <c r="AC152" s="3">
        <f>IF(I152&lt;0,0,I152)</f>
        <v/>
      </c>
      <c r="AD152" s="3">
        <f>IF(J152&lt;0,0,J152)</f>
        <v/>
      </c>
      <c r="AT152" s="17" t="n">
        <v>137</v>
      </c>
      <c r="AU152" s="9" t="n">
        <v>21.24</v>
      </c>
      <c r="AV152" s="9" t="n">
        <v>31.92</v>
      </c>
      <c r="AW152" s="9" t="n">
        <v>37.09</v>
      </c>
    </row>
    <row r="153">
      <c r="G153" s="17" t="n">
        <v>138</v>
      </c>
      <c r="H153" s="2">
        <f>TRUNC((_xlfn.NORM.INV((RAND()),$E$24,$E$25)),2)</f>
        <v/>
      </c>
      <c r="I153" s="2">
        <f>TRUNC((_xlfn.NORM.INV((RAND()),$E$24,$E$25)),2)</f>
        <v/>
      </c>
      <c r="J153" s="2">
        <f>TRUNC((_xlfn.NORM.INV((RAND()),$E$24,$E$25)),2)</f>
        <v/>
      </c>
      <c r="AA153" s="17" t="n">
        <v>138</v>
      </c>
      <c r="AB153" s="3">
        <f>IF(H153&lt;0,0,H153)</f>
        <v/>
      </c>
      <c r="AC153" s="3">
        <f>IF(I153&lt;0,0,I153)</f>
        <v/>
      </c>
      <c r="AD153" s="3">
        <f>IF(J153&lt;0,0,J153)</f>
        <v/>
      </c>
      <c r="AT153" s="17" t="n">
        <v>138</v>
      </c>
      <c r="AU153" s="9" t="n">
        <v>25.26</v>
      </c>
      <c r="AV153" s="9" t="n">
        <v>33.06</v>
      </c>
      <c r="AW153" s="9" t="n">
        <v>26.31</v>
      </c>
    </row>
    <row r="154">
      <c r="G154" s="17" t="n">
        <v>139</v>
      </c>
      <c r="H154" s="2">
        <f>TRUNC((_xlfn.NORM.INV((RAND()),$E$24,$E$25)),2)</f>
        <v/>
      </c>
      <c r="I154" s="2">
        <f>TRUNC((_xlfn.NORM.INV((RAND()),$E$24,$E$25)),2)</f>
        <v/>
      </c>
      <c r="J154" s="2">
        <f>TRUNC((_xlfn.NORM.INV((RAND()),$E$24,$E$25)),2)</f>
        <v/>
      </c>
      <c r="AA154" s="17" t="n">
        <v>139</v>
      </c>
      <c r="AB154" s="3">
        <f>IF(H154&lt;0,0,H154)</f>
        <v/>
      </c>
      <c r="AC154" s="3">
        <f>IF(I154&lt;0,0,I154)</f>
        <v/>
      </c>
      <c r="AD154" s="3">
        <f>IF(J154&lt;0,0,J154)</f>
        <v/>
      </c>
      <c r="AT154" s="17" t="n">
        <v>139</v>
      </c>
      <c r="AU154" s="9" t="n">
        <v>30.83</v>
      </c>
      <c r="AV154" s="9" t="n">
        <v>35.14</v>
      </c>
      <c r="AW154" s="9" t="n">
        <v>31.49</v>
      </c>
    </row>
    <row r="155">
      <c r="G155" s="17" t="n">
        <v>140</v>
      </c>
      <c r="H155" s="2">
        <f>TRUNC((_xlfn.NORM.INV((RAND()),$E$24,$E$25)),2)</f>
        <v/>
      </c>
      <c r="I155" s="2">
        <f>TRUNC((_xlfn.NORM.INV((RAND()),$E$24,$E$25)),2)</f>
        <v/>
      </c>
      <c r="J155" s="2">
        <f>TRUNC((_xlfn.NORM.INV((RAND()),$E$24,$E$25)),2)</f>
        <v/>
      </c>
      <c r="AA155" s="17" t="n">
        <v>140</v>
      </c>
      <c r="AB155" s="3">
        <f>IF(H155&lt;0,0,H155)</f>
        <v/>
      </c>
      <c r="AC155" s="3">
        <f>IF(I155&lt;0,0,I155)</f>
        <v/>
      </c>
      <c r="AD155" s="3">
        <f>IF(J155&lt;0,0,J155)</f>
        <v/>
      </c>
      <c r="AT155" s="17" t="n">
        <v>140</v>
      </c>
      <c r="AU155" s="9" t="n">
        <v>15.93</v>
      </c>
      <c r="AV155" s="9" t="n">
        <v>32.45</v>
      </c>
      <c r="AW155" s="9" t="n">
        <v>31.93</v>
      </c>
    </row>
    <row r="156">
      <c r="G156" s="17" t="n">
        <v>141</v>
      </c>
      <c r="H156" s="2">
        <f>TRUNC((_xlfn.NORM.INV((RAND()),$E$24,$E$25)),2)</f>
        <v/>
      </c>
      <c r="I156" s="2">
        <f>TRUNC((_xlfn.NORM.INV((RAND()),$E$24,$E$25)),2)</f>
        <v/>
      </c>
      <c r="J156" s="2">
        <f>TRUNC((_xlfn.NORM.INV((RAND()),$E$24,$E$25)),2)</f>
        <v/>
      </c>
      <c r="AA156" s="17" t="n">
        <v>141</v>
      </c>
      <c r="AB156" s="3">
        <f>IF(H156&lt;0,0,H156)</f>
        <v/>
      </c>
      <c r="AC156" s="3">
        <f>IF(I156&lt;0,0,I156)</f>
        <v/>
      </c>
      <c r="AD156" s="3">
        <f>IF(J156&lt;0,0,J156)</f>
        <v/>
      </c>
      <c r="AT156" s="17" t="n">
        <v>141</v>
      </c>
      <c r="AU156" s="9" t="n">
        <v>32.45</v>
      </c>
      <c r="AV156" s="9" t="n">
        <v>27.97</v>
      </c>
      <c r="AW156" s="9" t="n">
        <v>30.93</v>
      </c>
    </row>
    <row r="157">
      <c r="G157" s="17" t="n">
        <v>142</v>
      </c>
      <c r="H157" s="2">
        <f>TRUNC((_xlfn.NORM.INV((RAND()),$E$24,$E$25)),2)</f>
        <v/>
      </c>
      <c r="I157" s="2">
        <f>TRUNC((_xlfn.NORM.INV((RAND()),$E$24,$E$25)),2)</f>
        <v/>
      </c>
      <c r="J157" s="2">
        <f>TRUNC((_xlfn.NORM.INV((RAND()),$E$24,$E$25)),2)</f>
        <v/>
      </c>
      <c r="AA157" s="17" t="n">
        <v>142</v>
      </c>
      <c r="AB157" s="3">
        <f>IF(H157&lt;0,0,H157)</f>
        <v/>
      </c>
      <c r="AC157" s="3">
        <f>IF(I157&lt;0,0,I157)</f>
        <v/>
      </c>
      <c r="AD157" s="3">
        <f>IF(J157&lt;0,0,J157)</f>
        <v/>
      </c>
      <c r="AT157" s="17" t="n">
        <v>142</v>
      </c>
      <c r="AU157" s="9" t="n">
        <v>23.46</v>
      </c>
      <c r="AV157" s="9" t="n">
        <v>25.15</v>
      </c>
      <c r="AW157" s="9" t="n">
        <v>27.97</v>
      </c>
    </row>
    <row r="158">
      <c r="G158" s="17" t="n">
        <v>143</v>
      </c>
      <c r="H158" s="2">
        <f>TRUNC((_xlfn.NORM.INV((RAND()),$E$24,$E$25)),2)</f>
        <v/>
      </c>
      <c r="I158" s="2">
        <f>TRUNC((_xlfn.NORM.INV((RAND()),$E$24,$E$25)),2)</f>
        <v/>
      </c>
      <c r="J158" s="2">
        <f>TRUNC((_xlfn.NORM.INV((RAND()),$E$24,$E$25)),2)</f>
        <v/>
      </c>
      <c r="AA158" s="17" t="n">
        <v>143</v>
      </c>
      <c r="AB158" s="3">
        <f>IF(H158&lt;0,0,H158)</f>
        <v/>
      </c>
      <c r="AC158" s="3">
        <f>IF(I158&lt;0,0,I158)</f>
        <v/>
      </c>
      <c r="AD158" s="3">
        <f>IF(J158&lt;0,0,J158)</f>
        <v/>
      </c>
      <c r="AT158" s="17" t="n">
        <v>143</v>
      </c>
      <c r="AU158" s="9" t="n">
        <v>19.97</v>
      </c>
      <c r="AV158" s="9" t="n">
        <v>22.95</v>
      </c>
      <c r="AW158" s="9" t="n">
        <v>23.27</v>
      </c>
    </row>
    <row r="159">
      <c r="G159" s="17" t="n">
        <v>144</v>
      </c>
      <c r="H159" s="2">
        <f>TRUNC((_xlfn.NORM.INV((RAND()),$E$24,$E$25)),2)</f>
        <v/>
      </c>
      <c r="I159" s="2">
        <f>TRUNC((_xlfn.NORM.INV((RAND()),$E$24,$E$25)),2)</f>
        <v/>
      </c>
      <c r="J159" s="2">
        <f>TRUNC((_xlfn.NORM.INV((RAND()),$E$24,$E$25)),2)</f>
        <v/>
      </c>
      <c r="AA159" s="17" t="n">
        <v>144</v>
      </c>
      <c r="AB159" s="3">
        <f>IF(H159&lt;0,0,H159)</f>
        <v/>
      </c>
      <c r="AC159" s="3">
        <f>IF(I159&lt;0,0,I159)</f>
        <v/>
      </c>
      <c r="AD159" s="3">
        <f>IF(J159&lt;0,0,J159)</f>
        <v/>
      </c>
      <c r="AT159" s="17" t="n">
        <v>144</v>
      </c>
      <c r="AU159" s="9" t="n">
        <v>19.85</v>
      </c>
      <c r="AV159" s="9" t="n">
        <v>20.22</v>
      </c>
      <c r="AW159" s="9" t="n">
        <v>16</v>
      </c>
    </row>
    <row r="160">
      <c r="G160" s="17" t="n">
        <v>145</v>
      </c>
      <c r="H160" s="2">
        <f>TRUNC((_xlfn.NORM.INV((RAND()),$E$24,$E$25)),2)</f>
        <v/>
      </c>
      <c r="I160" s="2">
        <f>TRUNC((_xlfn.NORM.INV((RAND()),$E$24,$E$25)),2)</f>
        <v/>
      </c>
      <c r="J160" s="2">
        <f>TRUNC((_xlfn.NORM.INV((RAND()),$E$24,$E$25)),2)</f>
        <v/>
      </c>
      <c r="AA160" s="17" t="n">
        <v>145</v>
      </c>
      <c r="AB160" s="3">
        <f>IF(H160&lt;0,0,H160)</f>
        <v/>
      </c>
      <c r="AC160" s="3">
        <f>IF(I160&lt;0,0,I160)</f>
        <v/>
      </c>
      <c r="AD160" s="3">
        <f>IF(J160&lt;0,0,J160)</f>
        <v/>
      </c>
      <c r="AT160" s="17" t="n">
        <v>145</v>
      </c>
      <c r="AU160" s="9" t="n">
        <v>31.73</v>
      </c>
      <c r="AV160" s="9" t="n">
        <v>28.11</v>
      </c>
      <c r="AW160" s="9" t="n">
        <v>24.99</v>
      </c>
    </row>
    <row r="161">
      <c r="G161" s="17" t="n">
        <v>146</v>
      </c>
      <c r="H161" s="2">
        <f>TRUNC((_xlfn.NORM.INV((RAND()),$E$24,$E$25)),2)</f>
        <v/>
      </c>
      <c r="I161" s="2">
        <f>TRUNC((_xlfn.NORM.INV((RAND()),$E$24,$E$25)),2)</f>
        <v/>
      </c>
      <c r="J161" s="2">
        <f>TRUNC((_xlfn.NORM.INV((RAND()),$E$24,$E$25)),2)</f>
        <v/>
      </c>
      <c r="AA161" s="17" t="n">
        <v>146</v>
      </c>
      <c r="AB161" s="3">
        <f>IF(H161&lt;0,0,H161)</f>
        <v/>
      </c>
      <c r="AC161" s="3">
        <f>IF(I161&lt;0,0,I161)</f>
        <v/>
      </c>
      <c r="AD161" s="3">
        <f>IF(J161&lt;0,0,J161)</f>
        <v/>
      </c>
      <c r="AT161" s="17" t="n">
        <v>146</v>
      </c>
      <c r="AU161" s="9" t="n">
        <v>31.84</v>
      </c>
      <c r="AV161" s="9" t="n">
        <v>25.18</v>
      </c>
      <c r="AW161" s="9" t="n">
        <v>23.21</v>
      </c>
    </row>
    <row r="162">
      <c r="G162" s="17" t="n">
        <v>147</v>
      </c>
      <c r="H162" s="2">
        <f>TRUNC((_xlfn.NORM.INV((RAND()),$E$24,$E$25)),2)</f>
        <v/>
      </c>
      <c r="I162" s="2">
        <f>TRUNC((_xlfn.NORM.INV((RAND()),$E$24,$E$25)),2)</f>
        <v/>
      </c>
      <c r="J162" s="2">
        <f>TRUNC((_xlfn.NORM.INV((RAND()),$E$24,$E$25)),2)</f>
        <v/>
      </c>
      <c r="AA162" s="17" t="n">
        <v>147</v>
      </c>
      <c r="AB162" s="3">
        <f>IF(H162&lt;0,0,H162)</f>
        <v/>
      </c>
      <c r="AC162" s="3">
        <f>IF(I162&lt;0,0,I162)</f>
        <v/>
      </c>
      <c r="AD162" s="3">
        <f>IF(J162&lt;0,0,J162)</f>
        <v/>
      </c>
      <c r="AT162" s="17" t="n">
        <v>147</v>
      </c>
      <c r="AU162" s="9" t="n">
        <v>27.11</v>
      </c>
      <c r="AV162" s="9" t="n">
        <v>29.99</v>
      </c>
      <c r="AW162" s="9" t="n">
        <v>31.52</v>
      </c>
    </row>
    <row r="163">
      <c r="G163" s="17" t="n">
        <v>148</v>
      </c>
      <c r="H163" s="2">
        <f>TRUNC((_xlfn.NORM.INV((RAND()),$E$24,$E$25)),2)</f>
        <v/>
      </c>
      <c r="I163" s="2">
        <f>TRUNC((_xlfn.NORM.INV((RAND()),$E$24,$E$25)),2)</f>
        <v/>
      </c>
      <c r="J163" s="2">
        <f>TRUNC((_xlfn.NORM.INV((RAND()),$E$24,$E$25)),2)</f>
        <v/>
      </c>
      <c r="AA163" s="17" t="n">
        <v>148</v>
      </c>
      <c r="AB163" s="3">
        <f>IF(H163&lt;0,0,H163)</f>
        <v/>
      </c>
      <c r="AC163" s="3">
        <f>IF(I163&lt;0,0,I163)</f>
        <v/>
      </c>
      <c r="AD163" s="3">
        <f>IF(J163&lt;0,0,J163)</f>
        <v/>
      </c>
      <c r="AT163" s="17" t="n">
        <v>148</v>
      </c>
      <c r="AU163" s="9" t="n">
        <v>24.78</v>
      </c>
      <c r="AV163" s="9" t="n">
        <v>31.52</v>
      </c>
      <c r="AW163" s="9" t="n">
        <v>37.1</v>
      </c>
    </row>
    <row r="164">
      <c r="G164" s="17" t="n">
        <v>149</v>
      </c>
      <c r="H164" s="2">
        <f>TRUNC((_xlfn.NORM.INV((RAND()),$E$24,$E$25)),2)</f>
        <v/>
      </c>
      <c r="I164" s="2">
        <f>TRUNC((_xlfn.NORM.INV((RAND()),$E$24,$E$25)),2)</f>
        <v/>
      </c>
      <c r="J164" s="2">
        <f>TRUNC((_xlfn.NORM.INV((RAND()),$E$24,$E$25)),2)</f>
        <v/>
      </c>
      <c r="AA164" s="17" t="n">
        <v>149</v>
      </c>
      <c r="AB164" s="3">
        <f>IF(H164&lt;0,0,H164)</f>
        <v/>
      </c>
      <c r="AC164" s="3">
        <f>IF(I164&lt;0,0,I164)</f>
        <v/>
      </c>
      <c r="AD164" s="3">
        <f>IF(J164&lt;0,0,J164)</f>
        <v/>
      </c>
      <c r="AT164" s="17" t="n">
        <v>149</v>
      </c>
      <c r="AU164" s="9" t="n">
        <v>26.66</v>
      </c>
      <c r="AV164" s="9" t="n">
        <v>24.3</v>
      </c>
      <c r="AW164" s="9" t="n">
        <v>28.37</v>
      </c>
    </row>
    <row r="165">
      <c r="G165" s="17" t="n">
        <v>150</v>
      </c>
      <c r="H165" s="2">
        <f>TRUNC((_xlfn.NORM.INV((RAND()),$E$24,$E$25)),2)</f>
        <v/>
      </c>
      <c r="I165" s="2">
        <f>TRUNC((_xlfn.NORM.INV((RAND()),$E$24,$E$25)),2)</f>
        <v/>
      </c>
      <c r="J165" s="2">
        <f>TRUNC((_xlfn.NORM.INV((RAND()),$E$24,$E$25)),2)</f>
        <v/>
      </c>
      <c r="AA165" s="17" t="n">
        <v>150</v>
      </c>
      <c r="AB165" s="3">
        <f>IF(H165&lt;0,0,H165)</f>
        <v/>
      </c>
      <c r="AC165" s="3">
        <f>IF(I165&lt;0,0,I165)</f>
        <v/>
      </c>
      <c r="AD165" s="3">
        <f>IF(J165&lt;0,0,J165)</f>
        <v/>
      </c>
      <c r="AT165" s="17" t="n">
        <v>150</v>
      </c>
      <c r="AU165" s="9" t="n">
        <v>21.95</v>
      </c>
      <c r="AV165" s="9" t="n">
        <v>23.48</v>
      </c>
      <c r="AW165" s="9" t="n">
        <v>22.29</v>
      </c>
    </row>
    <row r="166">
      <c r="G166" s="17" t="n">
        <v>151</v>
      </c>
      <c r="H166" s="2">
        <f>TRUNC((_xlfn.NORM.INV((RAND()),$E$24,$E$25)),2)</f>
        <v/>
      </c>
      <c r="I166" s="2">
        <f>TRUNC((_xlfn.NORM.INV((RAND()),$E$24,$E$25)),2)</f>
        <v/>
      </c>
      <c r="J166" s="2">
        <f>TRUNC((_xlfn.NORM.INV((RAND()),$E$24,$E$25)),2)</f>
        <v/>
      </c>
      <c r="AA166" s="17" t="n">
        <v>151</v>
      </c>
      <c r="AB166" s="3">
        <f>IF(H166&lt;0,0,H166)</f>
        <v/>
      </c>
      <c r="AC166" s="3">
        <f>IF(I166&lt;0,0,I166)</f>
        <v/>
      </c>
      <c r="AD166" s="3">
        <f>IF(J166&lt;0,0,J166)</f>
        <v/>
      </c>
      <c r="AT166" s="17" t="n">
        <v>151</v>
      </c>
      <c r="AU166" s="9" t="n">
        <v>26.44</v>
      </c>
      <c r="AV166" s="9" t="n">
        <v>22.49</v>
      </c>
      <c r="AW166" s="9" t="n">
        <v>20.77</v>
      </c>
    </row>
    <row r="167">
      <c r="G167" s="17" t="n">
        <v>152</v>
      </c>
      <c r="H167" s="2">
        <f>TRUNC((_xlfn.NORM.INV((RAND()),$E$24,$E$25)),2)</f>
        <v/>
      </c>
      <c r="I167" s="2">
        <f>TRUNC((_xlfn.NORM.INV((RAND()),$E$24,$E$25)),2)</f>
        <v/>
      </c>
      <c r="J167" s="2">
        <f>TRUNC((_xlfn.NORM.INV((RAND()),$E$24,$E$25)),2)</f>
        <v/>
      </c>
      <c r="AA167" s="17" t="n">
        <v>152</v>
      </c>
      <c r="AB167" s="3">
        <f>IF(H167&lt;0,0,H167)</f>
        <v/>
      </c>
      <c r="AC167" s="3">
        <f>IF(I167&lt;0,0,I167)</f>
        <v/>
      </c>
      <c r="AD167" s="3">
        <f>IF(J167&lt;0,0,J167)</f>
        <v/>
      </c>
      <c r="AT167" s="17" t="n">
        <v>152</v>
      </c>
      <c r="AU167" s="9" t="n">
        <v>25.18</v>
      </c>
      <c r="AV167" s="9" t="n">
        <v>29.17</v>
      </c>
      <c r="AW167" s="9" t="n">
        <v>32.57</v>
      </c>
    </row>
    <row r="168">
      <c r="G168" s="17" t="n">
        <v>153</v>
      </c>
      <c r="H168" s="2">
        <f>TRUNC((_xlfn.NORM.INV((RAND()),$E$24,$E$25)),2)</f>
        <v/>
      </c>
      <c r="I168" s="2">
        <f>TRUNC((_xlfn.NORM.INV((RAND()),$E$24,$E$25)),2)</f>
        <v/>
      </c>
      <c r="J168" s="2">
        <f>TRUNC((_xlfn.NORM.INV((RAND()),$E$24,$E$25)),2)</f>
        <v/>
      </c>
      <c r="AA168" s="17" t="n">
        <v>153</v>
      </c>
      <c r="AB168" s="3">
        <f>IF(H168&lt;0,0,H168)</f>
        <v/>
      </c>
      <c r="AC168" s="3">
        <f>IF(I168&lt;0,0,I168)</f>
        <v/>
      </c>
      <c r="AD168" s="3">
        <f>IF(J168&lt;0,0,J168)</f>
        <v/>
      </c>
      <c r="AT168" s="17" t="n">
        <v>153</v>
      </c>
      <c r="AU168" s="9" t="n">
        <v>25.45</v>
      </c>
      <c r="AV168" s="9" t="n">
        <v>28.56</v>
      </c>
      <c r="AW168" s="9" t="n">
        <v>32.59</v>
      </c>
    </row>
    <row r="169">
      <c r="G169" s="17" t="n">
        <v>154</v>
      </c>
      <c r="H169" s="2">
        <f>TRUNC((_xlfn.NORM.INV((RAND()),$E$24,$E$25)),2)</f>
        <v/>
      </c>
      <c r="I169" s="2">
        <f>TRUNC((_xlfn.NORM.INV((RAND()),$E$24,$E$25)),2)</f>
        <v/>
      </c>
      <c r="J169" s="2">
        <f>TRUNC((_xlfn.NORM.INV((RAND()),$E$24,$E$25)),2)</f>
        <v/>
      </c>
      <c r="AA169" s="17" t="n">
        <v>154</v>
      </c>
      <c r="AB169" s="3">
        <f>IF(H169&lt;0,0,H169)</f>
        <v/>
      </c>
      <c r="AC169" s="3">
        <f>IF(I169&lt;0,0,I169)</f>
        <v/>
      </c>
      <c r="AD169" s="3">
        <f>IF(J169&lt;0,0,J169)</f>
        <v/>
      </c>
      <c r="AT169" s="17" t="n">
        <v>154</v>
      </c>
      <c r="AU169" s="9" t="n">
        <v>30.06</v>
      </c>
      <c r="AV169" s="9" t="n">
        <v>25.76</v>
      </c>
      <c r="AW169" s="9" t="n">
        <v>23.66</v>
      </c>
    </row>
    <row r="170">
      <c r="G170" s="17" t="n">
        <v>155</v>
      </c>
      <c r="H170" s="2">
        <f>TRUNC((_xlfn.NORM.INV((RAND()),$E$24,$E$25)),2)</f>
        <v/>
      </c>
      <c r="I170" s="2">
        <f>TRUNC((_xlfn.NORM.INV((RAND()),$E$24,$E$25)),2)</f>
        <v/>
      </c>
      <c r="J170" s="2">
        <f>TRUNC((_xlfn.NORM.INV((RAND()),$E$24,$E$25)),2)</f>
        <v/>
      </c>
      <c r="AA170" s="17" t="n">
        <v>155</v>
      </c>
      <c r="AB170" s="3">
        <f>IF(H170&lt;0,0,H170)</f>
        <v/>
      </c>
      <c r="AC170" s="3">
        <f>IF(I170&lt;0,0,I170)</f>
        <v/>
      </c>
      <c r="AD170" s="3">
        <f>IF(J170&lt;0,0,J170)</f>
        <v/>
      </c>
      <c r="AT170" s="17" t="n">
        <v>155</v>
      </c>
      <c r="AU170" s="9" t="n">
        <v>33.34</v>
      </c>
      <c r="AV170" s="9" t="n">
        <v>27.93</v>
      </c>
      <c r="AW170" s="9" t="n">
        <v>31.2</v>
      </c>
    </row>
    <row r="171">
      <c r="G171" s="17" t="n">
        <v>156</v>
      </c>
      <c r="H171" s="2">
        <f>TRUNC((_xlfn.NORM.INV((RAND()),$E$24,$E$25)),2)</f>
        <v/>
      </c>
      <c r="I171" s="2">
        <f>TRUNC((_xlfn.NORM.INV((RAND()),$E$24,$E$25)),2)</f>
        <v/>
      </c>
      <c r="J171" s="2">
        <f>TRUNC((_xlfn.NORM.INV((RAND()),$E$24,$E$25)),2)</f>
        <v/>
      </c>
      <c r="AA171" s="17" t="n">
        <v>156</v>
      </c>
      <c r="AB171" s="3">
        <f>IF(H171&lt;0,0,H171)</f>
        <v/>
      </c>
      <c r="AC171" s="3">
        <f>IF(I171&lt;0,0,I171)</f>
        <v/>
      </c>
      <c r="AD171" s="3">
        <f>IF(J171&lt;0,0,J171)</f>
        <v/>
      </c>
      <c r="AT171" s="17" t="n">
        <v>156</v>
      </c>
      <c r="AU171" s="9" t="n">
        <v>29.37</v>
      </c>
      <c r="AV171" s="9" t="n">
        <v>22.91</v>
      </c>
      <c r="AW171" s="9" t="n">
        <v>29.65</v>
      </c>
    </row>
    <row r="172">
      <c r="G172" s="17" t="n">
        <v>157</v>
      </c>
      <c r="H172" s="2">
        <f>TRUNC((_xlfn.NORM.INV((RAND()),$E$24,$E$25)),2)</f>
        <v/>
      </c>
      <c r="I172" s="2">
        <f>TRUNC((_xlfn.NORM.INV((RAND()),$E$24,$E$25)),2)</f>
        <v/>
      </c>
      <c r="J172" s="2">
        <f>TRUNC((_xlfn.NORM.INV((RAND()),$E$24,$E$25)),2)</f>
        <v/>
      </c>
      <c r="AA172" s="17" t="n">
        <v>157</v>
      </c>
      <c r="AB172" s="3">
        <f>IF(H172&lt;0,0,H172)</f>
        <v/>
      </c>
      <c r="AC172" s="3">
        <f>IF(I172&lt;0,0,I172)</f>
        <v/>
      </c>
      <c r="AD172" s="3">
        <f>IF(J172&lt;0,0,J172)</f>
        <v/>
      </c>
      <c r="AT172" s="17" t="n">
        <v>157</v>
      </c>
      <c r="AU172" s="9" t="n">
        <v>25.57</v>
      </c>
      <c r="AV172" s="9" t="n">
        <v>27.28</v>
      </c>
      <c r="AW172" s="9" t="n">
        <v>30.9</v>
      </c>
    </row>
    <row r="173">
      <c r="G173" s="17" t="n">
        <v>158</v>
      </c>
      <c r="H173" s="2">
        <f>TRUNC((_xlfn.NORM.INV((RAND()),$E$24,$E$25)),2)</f>
        <v/>
      </c>
      <c r="I173" s="2">
        <f>TRUNC((_xlfn.NORM.INV((RAND()),$E$24,$E$25)),2)</f>
        <v/>
      </c>
      <c r="J173" s="2">
        <f>TRUNC((_xlfn.NORM.INV((RAND()),$E$24,$E$25)),2)</f>
        <v/>
      </c>
      <c r="AA173" s="17" t="n">
        <v>158</v>
      </c>
      <c r="AB173" s="3">
        <f>IF(H173&lt;0,0,H173)</f>
        <v/>
      </c>
      <c r="AC173" s="3">
        <f>IF(I173&lt;0,0,I173)</f>
        <v/>
      </c>
      <c r="AD173" s="3">
        <f>IF(J173&lt;0,0,J173)</f>
        <v/>
      </c>
      <c r="AT173" s="17" t="n">
        <v>158</v>
      </c>
      <c r="AU173" s="9" t="n">
        <v>27.47</v>
      </c>
      <c r="AV173" s="9" t="n">
        <v>25.45</v>
      </c>
      <c r="AW173" s="9" t="n">
        <v>22.23</v>
      </c>
    </row>
    <row r="174">
      <c r="G174" s="17" t="n">
        <v>159</v>
      </c>
      <c r="H174" s="2">
        <f>TRUNC((_xlfn.NORM.INV((RAND()),$E$24,$E$25)),2)</f>
        <v/>
      </c>
      <c r="I174" s="2">
        <f>TRUNC((_xlfn.NORM.INV((RAND()),$E$24,$E$25)),2)</f>
        <v/>
      </c>
      <c r="J174" s="2">
        <f>TRUNC((_xlfn.NORM.INV((RAND()),$E$24,$E$25)),2)</f>
        <v/>
      </c>
      <c r="AA174" s="17" t="n">
        <v>159</v>
      </c>
      <c r="AB174" s="3">
        <f>IF(H174&lt;0,0,H174)</f>
        <v/>
      </c>
      <c r="AC174" s="3">
        <f>IF(I174&lt;0,0,I174)</f>
        <v/>
      </c>
      <c r="AD174" s="3">
        <f>IF(J174&lt;0,0,J174)</f>
        <v/>
      </c>
      <c r="AT174" s="17" t="n">
        <v>159</v>
      </c>
      <c r="AU174" s="9" t="n">
        <v>33.17</v>
      </c>
      <c r="AV174" s="9" t="n">
        <v>28.86</v>
      </c>
      <c r="AW174" s="9" t="n">
        <v>31.03</v>
      </c>
    </row>
    <row r="175">
      <c r="G175" s="17" t="n">
        <v>160</v>
      </c>
      <c r="H175" s="2">
        <f>TRUNC((_xlfn.NORM.INV((RAND()),$E$24,$E$25)),2)</f>
        <v/>
      </c>
      <c r="I175" s="2">
        <f>TRUNC((_xlfn.NORM.INV((RAND()),$E$24,$E$25)),2)</f>
        <v/>
      </c>
      <c r="J175" s="2">
        <f>TRUNC((_xlfn.NORM.INV((RAND()),$E$24,$E$25)),2)</f>
        <v/>
      </c>
      <c r="AA175" s="17" t="n">
        <v>160</v>
      </c>
      <c r="AB175" s="3">
        <f>IF(H175&lt;0,0,H175)</f>
        <v/>
      </c>
      <c r="AC175" s="3">
        <f>IF(I175&lt;0,0,I175)</f>
        <v/>
      </c>
      <c r="AD175" s="3">
        <f>IF(J175&lt;0,0,J175)</f>
        <v/>
      </c>
      <c r="AT175" s="17" t="n">
        <v>160</v>
      </c>
      <c r="AU175" s="9" t="n">
        <v>22.81</v>
      </c>
      <c r="AV175" s="9" t="n">
        <v>26.13</v>
      </c>
      <c r="AW175" s="9" t="n">
        <v>25.41</v>
      </c>
    </row>
    <row r="176">
      <c r="G176" s="17" t="n">
        <v>161</v>
      </c>
      <c r="H176" s="2">
        <f>TRUNC((_xlfn.NORM.INV((RAND()),$E$24,$E$25)),2)</f>
        <v/>
      </c>
      <c r="I176" s="2">
        <f>TRUNC((_xlfn.NORM.INV((RAND()),$E$24,$E$25)),2)</f>
        <v/>
      </c>
      <c r="J176" s="2">
        <f>TRUNC((_xlfn.NORM.INV((RAND()),$E$24,$E$25)),2)</f>
        <v/>
      </c>
      <c r="AA176" s="17" t="n">
        <v>161</v>
      </c>
      <c r="AB176" s="3">
        <f>IF(H176&lt;0,0,H176)</f>
        <v/>
      </c>
      <c r="AC176" s="3">
        <f>IF(I176&lt;0,0,I176)</f>
        <v/>
      </c>
      <c r="AD176" s="3">
        <f>IF(J176&lt;0,0,J176)</f>
        <v/>
      </c>
      <c r="AT176" s="17" t="n">
        <v>161</v>
      </c>
      <c r="AU176" s="9" t="n">
        <v>29.55</v>
      </c>
      <c r="AV176" s="9" t="n">
        <v>19.01</v>
      </c>
      <c r="AW176" s="9" t="n">
        <v>30.6</v>
      </c>
    </row>
    <row r="177">
      <c r="G177" s="17" t="n">
        <v>162</v>
      </c>
      <c r="H177" s="2">
        <f>TRUNC((_xlfn.NORM.INV((RAND()),$E$24,$E$25)),2)</f>
        <v/>
      </c>
      <c r="I177" s="2">
        <f>TRUNC((_xlfn.NORM.INV((RAND()),$E$24,$E$25)),2)</f>
        <v/>
      </c>
      <c r="J177" s="2">
        <f>TRUNC((_xlfn.NORM.INV((RAND()),$E$24,$E$25)),2)</f>
        <v/>
      </c>
      <c r="AA177" s="17" t="n">
        <v>162</v>
      </c>
      <c r="AB177" s="3">
        <f>IF(H177&lt;0,0,H177)</f>
        <v/>
      </c>
      <c r="AC177" s="3">
        <f>IF(I177&lt;0,0,I177)</f>
        <v/>
      </c>
      <c r="AD177" s="3">
        <f>IF(J177&lt;0,0,J177)</f>
        <v/>
      </c>
      <c r="AT177" s="17" t="n">
        <v>162</v>
      </c>
      <c r="AU177" s="9" t="n">
        <v>27.87</v>
      </c>
      <c r="AV177" s="9" t="n">
        <v>21.12</v>
      </c>
      <c r="AW177" s="9" t="n">
        <v>32.14</v>
      </c>
    </row>
    <row r="178">
      <c r="G178" s="17" t="n">
        <v>163</v>
      </c>
      <c r="H178" s="2">
        <f>TRUNC((_xlfn.NORM.INV((RAND()),$E$24,$E$25)),2)</f>
        <v/>
      </c>
      <c r="I178" s="2">
        <f>TRUNC((_xlfn.NORM.INV((RAND()),$E$24,$E$25)),2)</f>
        <v/>
      </c>
      <c r="J178" s="2">
        <f>TRUNC((_xlfn.NORM.INV((RAND()),$E$24,$E$25)),2)</f>
        <v/>
      </c>
      <c r="AA178" s="17" t="n">
        <v>163</v>
      </c>
      <c r="AB178" s="3">
        <f>IF(H178&lt;0,0,H178)</f>
        <v/>
      </c>
      <c r="AC178" s="3">
        <f>IF(I178&lt;0,0,I178)</f>
        <v/>
      </c>
      <c r="AD178" s="3">
        <f>IF(J178&lt;0,0,J178)</f>
        <v/>
      </c>
      <c r="AT178" s="17" t="n">
        <v>163</v>
      </c>
      <c r="AU178" s="9" t="n">
        <v>29.82</v>
      </c>
      <c r="AV178" s="9" t="n">
        <v>19.49</v>
      </c>
      <c r="AW178" s="9" t="n">
        <v>29.71</v>
      </c>
    </row>
    <row r="179">
      <c r="G179" s="17" t="n">
        <v>164</v>
      </c>
      <c r="H179" s="2">
        <f>TRUNC((_xlfn.NORM.INV((RAND()),$E$24,$E$25)),2)</f>
        <v/>
      </c>
      <c r="I179" s="2">
        <f>TRUNC((_xlfn.NORM.INV((RAND()),$E$24,$E$25)),2)</f>
        <v/>
      </c>
      <c r="J179" s="2">
        <f>TRUNC((_xlfn.NORM.INV((RAND()),$E$24,$E$25)),2)</f>
        <v/>
      </c>
      <c r="AA179" s="17" t="n">
        <v>164</v>
      </c>
      <c r="AB179" s="3">
        <f>IF(H179&lt;0,0,H179)</f>
        <v/>
      </c>
      <c r="AC179" s="3">
        <f>IF(I179&lt;0,0,I179)</f>
        <v/>
      </c>
      <c r="AD179" s="3">
        <f>IF(J179&lt;0,0,J179)</f>
        <v/>
      </c>
      <c r="AT179" s="17" t="n">
        <v>164</v>
      </c>
      <c r="AU179" s="9" t="n">
        <v>27.72</v>
      </c>
      <c r="AV179" s="9" t="n">
        <v>18.32</v>
      </c>
      <c r="AW179" s="9" t="n">
        <v>21.91</v>
      </c>
    </row>
    <row r="180">
      <c r="G180" s="17" t="n">
        <v>165</v>
      </c>
      <c r="H180" s="2">
        <f>TRUNC((_xlfn.NORM.INV((RAND()),$E$24,$E$25)),2)</f>
        <v/>
      </c>
      <c r="I180" s="2">
        <f>TRUNC((_xlfn.NORM.INV((RAND()),$E$24,$E$25)),2)</f>
        <v/>
      </c>
      <c r="J180" s="2">
        <f>TRUNC((_xlfn.NORM.INV((RAND()),$E$24,$E$25)),2)</f>
        <v/>
      </c>
      <c r="AA180" s="17" t="n">
        <v>165</v>
      </c>
      <c r="AB180" s="3">
        <f>IF(H180&lt;0,0,H180)</f>
        <v/>
      </c>
      <c r="AC180" s="3">
        <f>IF(I180&lt;0,0,I180)</f>
        <v/>
      </c>
      <c r="AD180" s="3">
        <f>IF(J180&lt;0,0,J180)</f>
        <v/>
      </c>
      <c r="AT180" s="17" t="n">
        <v>165</v>
      </c>
      <c r="AU180" s="9" t="n">
        <v>24.72</v>
      </c>
      <c r="AV180" s="9" t="n">
        <v>26.31</v>
      </c>
      <c r="AW180" s="9" t="n">
        <v>20.37</v>
      </c>
    </row>
    <row r="181">
      <c r="G181" s="17" t="n">
        <v>166</v>
      </c>
      <c r="H181" s="2">
        <f>TRUNC((_xlfn.NORM.INV((RAND()),$E$24,$E$25)),2)</f>
        <v/>
      </c>
      <c r="I181" s="2">
        <f>TRUNC((_xlfn.NORM.INV((RAND()),$E$24,$E$25)),2)</f>
        <v/>
      </c>
      <c r="J181" s="2">
        <f>TRUNC((_xlfn.NORM.INV((RAND()),$E$24,$E$25)),2)</f>
        <v/>
      </c>
      <c r="AA181" s="17" t="n">
        <v>166</v>
      </c>
      <c r="AB181" s="3">
        <f>IF(H181&lt;0,0,H181)</f>
        <v/>
      </c>
      <c r="AC181" s="3">
        <f>IF(I181&lt;0,0,I181)</f>
        <v/>
      </c>
      <c r="AD181" s="3">
        <f>IF(J181&lt;0,0,J181)</f>
        <v/>
      </c>
      <c r="AT181" s="17" t="n">
        <v>166</v>
      </c>
      <c r="AU181" s="9" t="n">
        <v>22.42</v>
      </c>
      <c r="AV181" s="9" t="n">
        <v>28.72</v>
      </c>
      <c r="AW181" s="9" t="n">
        <v>29.98</v>
      </c>
    </row>
    <row r="182">
      <c r="G182" s="17" t="n">
        <v>167</v>
      </c>
      <c r="H182" s="2">
        <f>TRUNC((_xlfn.NORM.INV((RAND()),$E$24,$E$25)),2)</f>
        <v/>
      </c>
      <c r="I182" s="2">
        <f>TRUNC((_xlfn.NORM.INV((RAND()),$E$24,$E$25)),2)</f>
        <v/>
      </c>
      <c r="J182" s="2">
        <f>TRUNC((_xlfn.NORM.INV((RAND()),$E$24,$E$25)),2)</f>
        <v/>
      </c>
      <c r="AA182" s="17" t="n">
        <v>167</v>
      </c>
      <c r="AB182" s="3">
        <f>IF(H182&lt;0,0,H182)</f>
        <v/>
      </c>
      <c r="AC182" s="3">
        <f>IF(I182&lt;0,0,I182)</f>
        <v/>
      </c>
      <c r="AD182" s="3">
        <f>IF(J182&lt;0,0,J182)</f>
        <v/>
      </c>
      <c r="AT182" s="17" t="n">
        <v>167</v>
      </c>
      <c r="AU182" s="9" t="n">
        <v>25.64</v>
      </c>
      <c r="AV182" s="9" t="n">
        <v>26.2</v>
      </c>
      <c r="AW182" s="9" t="n">
        <v>17.99</v>
      </c>
    </row>
    <row r="183">
      <c r="G183" s="17" t="n">
        <v>168</v>
      </c>
      <c r="H183" s="2">
        <f>TRUNC((_xlfn.NORM.INV((RAND()),$E$24,$E$25)),2)</f>
        <v/>
      </c>
      <c r="I183" s="2">
        <f>TRUNC((_xlfn.NORM.INV((RAND()),$E$24,$E$25)),2)</f>
        <v/>
      </c>
      <c r="J183" s="2">
        <f>TRUNC((_xlfn.NORM.INV((RAND()),$E$24,$E$25)),2)</f>
        <v/>
      </c>
      <c r="AA183" s="17" t="n">
        <v>168</v>
      </c>
      <c r="AB183" s="3">
        <f>IF(H183&lt;0,0,H183)</f>
        <v/>
      </c>
      <c r="AC183" s="3">
        <f>IF(I183&lt;0,0,I183)</f>
        <v/>
      </c>
      <c r="AD183" s="3">
        <f>IF(J183&lt;0,0,J183)</f>
        <v/>
      </c>
      <c r="AT183" s="17" t="n">
        <v>168</v>
      </c>
      <c r="AU183" s="9" t="n">
        <v>9.35</v>
      </c>
      <c r="AV183" s="9" t="n">
        <v>27.98</v>
      </c>
      <c r="AW183" s="9" t="n">
        <v>28.31</v>
      </c>
    </row>
    <row r="184">
      <c r="G184" s="17" t="n">
        <v>169</v>
      </c>
      <c r="H184" s="2">
        <f>TRUNC((_xlfn.NORM.INV((RAND()),$E$24,$E$25)),2)</f>
        <v/>
      </c>
      <c r="I184" s="2">
        <f>TRUNC((_xlfn.NORM.INV((RAND()),$E$24,$E$25)),2)</f>
        <v/>
      </c>
      <c r="J184" s="2">
        <f>TRUNC((_xlfn.NORM.INV((RAND()),$E$24,$E$25)),2)</f>
        <v/>
      </c>
      <c r="AA184" s="17" t="n">
        <v>169</v>
      </c>
      <c r="AB184" s="3">
        <f>IF(H184&lt;0,0,H184)</f>
        <v/>
      </c>
      <c r="AC184" s="3">
        <f>IF(I184&lt;0,0,I184)</f>
        <v/>
      </c>
      <c r="AD184" s="3">
        <f>IF(J184&lt;0,0,J184)</f>
        <v/>
      </c>
      <c r="AT184" s="17" t="n">
        <v>169</v>
      </c>
      <c r="AU184" s="9" t="n">
        <v>26.07</v>
      </c>
      <c r="AV184" s="9" t="n">
        <v>33.92</v>
      </c>
      <c r="AW184" s="9" t="n">
        <v>31.39</v>
      </c>
    </row>
    <row r="185">
      <c r="G185" s="17" t="n">
        <v>170</v>
      </c>
      <c r="H185" s="2">
        <f>TRUNC((_xlfn.NORM.INV((RAND()),$E$24,$E$25)),2)</f>
        <v/>
      </c>
      <c r="I185" s="2">
        <f>TRUNC((_xlfn.NORM.INV((RAND()),$E$24,$E$25)),2)</f>
        <v/>
      </c>
      <c r="J185" s="2">
        <f>TRUNC((_xlfn.NORM.INV((RAND()),$E$24,$E$25)),2)</f>
        <v/>
      </c>
      <c r="AA185" s="17" t="n">
        <v>170</v>
      </c>
      <c r="AB185" s="3">
        <f>IF(H185&lt;0,0,H185)</f>
        <v/>
      </c>
      <c r="AC185" s="3">
        <f>IF(I185&lt;0,0,I185)</f>
        <v/>
      </c>
      <c r="AD185" s="3">
        <f>IF(J185&lt;0,0,J185)</f>
        <v/>
      </c>
      <c r="AT185" s="17" t="n">
        <v>170</v>
      </c>
      <c r="AU185" s="9" t="n">
        <v>32.92</v>
      </c>
      <c r="AV185" s="9" t="n">
        <v>25.39</v>
      </c>
      <c r="AW185" s="9" t="n">
        <v>19.9</v>
      </c>
    </row>
    <row r="186">
      <c r="G186" s="17" t="n">
        <v>171</v>
      </c>
      <c r="H186" s="2">
        <f>TRUNC((_xlfn.NORM.INV((RAND()),$E$24,$E$25)),2)</f>
        <v/>
      </c>
      <c r="I186" s="2">
        <f>TRUNC((_xlfn.NORM.INV((RAND()),$E$24,$E$25)),2)</f>
        <v/>
      </c>
      <c r="J186" s="2">
        <f>TRUNC((_xlfn.NORM.INV((RAND()),$E$24,$E$25)),2)</f>
        <v/>
      </c>
      <c r="AA186" s="17" t="n">
        <v>171</v>
      </c>
      <c r="AB186" s="3">
        <f>IF(H186&lt;0,0,H186)</f>
        <v/>
      </c>
      <c r="AC186" s="3">
        <f>IF(I186&lt;0,0,I186)</f>
        <v/>
      </c>
      <c r="AD186" s="3">
        <f>IF(J186&lt;0,0,J186)</f>
        <v/>
      </c>
      <c r="AT186" s="17" t="n">
        <v>171</v>
      </c>
      <c r="AU186" s="9" t="n">
        <v>32.74</v>
      </c>
      <c r="AV186" s="9" t="n">
        <v>32.79</v>
      </c>
      <c r="AW186" s="9" t="n">
        <v>21.92</v>
      </c>
    </row>
    <row r="187">
      <c r="G187" s="17" t="n">
        <v>172</v>
      </c>
      <c r="H187" s="2">
        <f>TRUNC((_xlfn.NORM.INV((RAND()),$E$24,$E$25)),2)</f>
        <v/>
      </c>
      <c r="I187" s="2">
        <f>TRUNC((_xlfn.NORM.INV((RAND()),$E$24,$E$25)),2)</f>
        <v/>
      </c>
      <c r="J187" s="2">
        <f>TRUNC((_xlfn.NORM.INV((RAND()),$E$24,$E$25)),2)</f>
        <v/>
      </c>
      <c r="AA187" s="17" t="n">
        <v>172</v>
      </c>
      <c r="AB187" s="3">
        <f>IF(H187&lt;0,0,H187)</f>
        <v/>
      </c>
      <c r="AC187" s="3">
        <f>IF(I187&lt;0,0,I187)</f>
        <v/>
      </c>
      <c r="AD187" s="3">
        <f>IF(J187&lt;0,0,J187)</f>
        <v/>
      </c>
      <c r="AT187" s="17" t="n">
        <v>172</v>
      </c>
      <c r="AU187" s="9" t="n">
        <v>23.48</v>
      </c>
      <c r="AV187" s="9" t="n">
        <v>23.21</v>
      </c>
      <c r="AW187" s="9" t="n">
        <v>33.63</v>
      </c>
    </row>
    <row r="188">
      <c r="G188" s="17" t="n">
        <v>173</v>
      </c>
      <c r="H188" s="2">
        <f>TRUNC((_xlfn.NORM.INV((RAND()),$E$24,$E$25)),2)</f>
        <v/>
      </c>
      <c r="I188" s="2">
        <f>TRUNC((_xlfn.NORM.INV((RAND()),$E$24,$E$25)),2)</f>
        <v/>
      </c>
      <c r="J188" s="2">
        <f>TRUNC((_xlfn.NORM.INV((RAND()),$E$24,$E$25)),2)</f>
        <v/>
      </c>
      <c r="AA188" s="17" t="n">
        <v>173</v>
      </c>
      <c r="AB188" s="3">
        <f>IF(H188&lt;0,0,H188)</f>
        <v/>
      </c>
      <c r="AC188" s="3">
        <f>IF(I188&lt;0,0,I188)</f>
        <v/>
      </c>
      <c r="AD188" s="3">
        <f>IF(J188&lt;0,0,J188)</f>
        <v/>
      </c>
      <c r="AT188" s="17" t="n">
        <v>173</v>
      </c>
      <c r="AU188" s="9" t="n">
        <v>25.93</v>
      </c>
      <c r="AV188" s="9" t="n">
        <v>30.37</v>
      </c>
      <c r="AW188" s="9" t="n">
        <v>34.13</v>
      </c>
    </row>
    <row r="189">
      <c r="G189" s="17" t="n">
        <v>174</v>
      </c>
      <c r="H189" s="2">
        <f>TRUNC((_xlfn.NORM.INV((RAND()),$E$24,$E$25)),2)</f>
        <v/>
      </c>
      <c r="I189" s="2">
        <f>TRUNC((_xlfn.NORM.INV((RAND()),$E$24,$E$25)),2)</f>
        <v/>
      </c>
      <c r="J189" s="2">
        <f>TRUNC((_xlfn.NORM.INV((RAND()),$E$24,$E$25)),2)</f>
        <v/>
      </c>
      <c r="AA189" s="17" t="n">
        <v>174</v>
      </c>
      <c r="AB189" s="3">
        <f>IF(H189&lt;0,0,H189)</f>
        <v/>
      </c>
      <c r="AC189" s="3">
        <f>IF(I189&lt;0,0,I189)</f>
        <v/>
      </c>
      <c r="AD189" s="3">
        <f>IF(J189&lt;0,0,J189)</f>
        <v/>
      </c>
      <c r="AT189" s="17" t="n">
        <v>174</v>
      </c>
      <c r="AU189" s="9" t="n">
        <v>22.29</v>
      </c>
      <c r="AV189" s="9" t="n">
        <v>28.22</v>
      </c>
      <c r="AW189" s="9" t="n">
        <v>17.01</v>
      </c>
    </row>
    <row r="190">
      <c r="G190" s="17" t="n">
        <v>175</v>
      </c>
      <c r="H190" s="2">
        <f>TRUNC((_xlfn.NORM.INV((RAND()),$E$24,$E$25)),2)</f>
        <v/>
      </c>
      <c r="I190" s="2">
        <f>TRUNC((_xlfn.NORM.INV((RAND()),$E$24,$E$25)),2)</f>
        <v/>
      </c>
      <c r="J190" s="2">
        <f>TRUNC((_xlfn.NORM.INV((RAND()),$E$24,$E$25)),2)</f>
        <v/>
      </c>
      <c r="AA190" s="17" t="n">
        <v>175</v>
      </c>
      <c r="AB190" s="3">
        <f>IF(H190&lt;0,0,H190)</f>
        <v/>
      </c>
      <c r="AC190" s="3">
        <f>IF(I190&lt;0,0,I190)</f>
        <v/>
      </c>
      <c r="AD190" s="3">
        <f>IF(J190&lt;0,0,J190)</f>
        <v/>
      </c>
      <c r="AT190" s="17" t="n">
        <v>175</v>
      </c>
      <c r="AU190" s="9" t="n">
        <v>22.76</v>
      </c>
      <c r="AV190" s="9" t="n">
        <v>21.77</v>
      </c>
      <c r="AW190" s="9" t="n">
        <v>30.29</v>
      </c>
    </row>
    <row r="191">
      <c r="G191" s="17" t="n">
        <v>176</v>
      </c>
      <c r="H191" s="2">
        <f>TRUNC((_xlfn.NORM.INV((RAND()),$E$24,$E$25)),2)</f>
        <v/>
      </c>
      <c r="I191" s="2">
        <f>TRUNC((_xlfn.NORM.INV((RAND()),$E$24,$E$25)),2)</f>
        <v/>
      </c>
      <c r="J191" s="2">
        <f>TRUNC((_xlfn.NORM.INV((RAND()),$E$24,$E$25)),2)</f>
        <v/>
      </c>
      <c r="AA191" s="17" t="n">
        <v>176</v>
      </c>
      <c r="AB191" s="3">
        <f>IF(H191&lt;0,0,H191)</f>
        <v/>
      </c>
      <c r="AC191" s="3">
        <f>IF(I191&lt;0,0,I191)</f>
        <v/>
      </c>
      <c r="AD191" s="3">
        <f>IF(J191&lt;0,0,J191)</f>
        <v/>
      </c>
      <c r="AT191" s="17" t="n">
        <v>176</v>
      </c>
      <c r="AU191" s="9" t="n">
        <v>28.44</v>
      </c>
      <c r="AV191" s="9" t="n">
        <v>25.83</v>
      </c>
      <c r="AW191" s="9" t="n">
        <v>25.07</v>
      </c>
    </row>
    <row r="192">
      <c r="G192" s="17" t="n">
        <v>177</v>
      </c>
      <c r="H192" s="2">
        <f>TRUNC((_xlfn.NORM.INV((RAND()),$E$24,$E$25)),2)</f>
        <v/>
      </c>
      <c r="I192" s="2">
        <f>TRUNC((_xlfn.NORM.INV((RAND()),$E$24,$E$25)),2)</f>
        <v/>
      </c>
      <c r="J192" s="2">
        <f>TRUNC((_xlfn.NORM.INV((RAND()),$E$24,$E$25)),2)</f>
        <v/>
      </c>
      <c r="AA192" s="17" t="n">
        <v>177</v>
      </c>
      <c r="AB192" s="3">
        <f>IF(H192&lt;0,0,H192)</f>
        <v/>
      </c>
      <c r="AC192" s="3">
        <f>IF(I192&lt;0,0,I192)</f>
        <v/>
      </c>
      <c r="AD192" s="3">
        <f>IF(J192&lt;0,0,J192)</f>
        <v/>
      </c>
      <c r="AT192" s="17" t="n">
        <v>177</v>
      </c>
      <c r="AU192" s="9" t="n">
        <v>28.9</v>
      </c>
      <c r="AV192" s="9" t="n">
        <v>18.67</v>
      </c>
      <c r="AW192" s="9" t="n">
        <v>18.96</v>
      </c>
    </row>
    <row r="193">
      <c r="G193" s="17" t="n">
        <v>178</v>
      </c>
      <c r="H193" s="2">
        <f>TRUNC((_xlfn.NORM.INV((RAND()),$E$24,$E$25)),2)</f>
        <v/>
      </c>
      <c r="I193" s="2">
        <f>TRUNC((_xlfn.NORM.INV((RAND()),$E$24,$E$25)),2)</f>
        <v/>
      </c>
      <c r="J193" s="2">
        <f>TRUNC((_xlfn.NORM.INV((RAND()),$E$24,$E$25)),2)</f>
        <v/>
      </c>
      <c r="AA193" s="17" t="n">
        <v>178</v>
      </c>
      <c r="AB193" s="3">
        <f>IF(H193&lt;0,0,H193)</f>
        <v/>
      </c>
      <c r="AC193" s="3">
        <f>IF(I193&lt;0,0,I193)</f>
        <v/>
      </c>
      <c r="AD193" s="3">
        <f>IF(J193&lt;0,0,J193)</f>
        <v/>
      </c>
      <c r="AT193" s="17" t="n">
        <v>178</v>
      </c>
      <c r="AU193" s="9" t="n">
        <v>28.59</v>
      </c>
      <c r="AV193" s="9" t="n">
        <v>37.42</v>
      </c>
      <c r="AW193" s="9" t="n">
        <v>21.15</v>
      </c>
    </row>
    <row r="194">
      <c r="G194" s="17" t="n">
        <v>179</v>
      </c>
      <c r="H194" s="2">
        <f>TRUNC((_xlfn.NORM.INV((RAND()),$E$24,$E$25)),2)</f>
        <v/>
      </c>
      <c r="I194" s="2">
        <f>TRUNC((_xlfn.NORM.INV((RAND()),$E$24,$E$25)),2)</f>
        <v/>
      </c>
      <c r="J194" s="2">
        <f>TRUNC((_xlfn.NORM.INV((RAND()),$E$24,$E$25)),2)</f>
        <v/>
      </c>
      <c r="AA194" s="17" t="n">
        <v>179</v>
      </c>
      <c r="AB194" s="3">
        <f>IF(H194&lt;0,0,H194)</f>
        <v/>
      </c>
      <c r="AC194" s="3">
        <f>IF(I194&lt;0,0,I194)</f>
        <v/>
      </c>
      <c r="AD194" s="3">
        <f>IF(J194&lt;0,0,J194)</f>
        <v/>
      </c>
      <c r="AT194" s="17" t="n">
        <v>179</v>
      </c>
      <c r="AU194" s="9" t="n">
        <v>23.13</v>
      </c>
      <c r="AV194" s="9" t="n">
        <v>29.18</v>
      </c>
      <c r="AW194" s="9" t="n">
        <v>28.53</v>
      </c>
    </row>
    <row r="195">
      <c r="G195" s="17" t="n">
        <v>180</v>
      </c>
      <c r="H195" s="2">
        <f>TRUNC((_xlfn.NORM.INV((RAND()),$E$24,$E$25)),2)</f>
        <v/>
      </c>
      <c r="I195" s="2">
        <f>TRUNC((_xlfn.NORM.INV((RAND()),$E$24,$E$25)),2)</f>
        <v/>
      </c>
      <c r="J195" s="2">
        <f>TRUNC((_xlfn.NORM.INV((RAND()),$E$24,$E$25)),2)</f>
        <v/>
      </c>
      <c r="AA195" s="17" t="n">
        <v>180</v>
      </c>
      <c r="AB195" s="3">
        <f>IF(H195&lt;0,0,H195)</f>
        <v/>
      </c>
      <c r="AC195" s="3">
        <f>IF(I195&lt;0,0,I195)</f>
        <v/>
      </c>
      <c r="AD195" s="3">
        <f>IF(J195&lt;0,0,J195)</f>
        <v/>
      </c>
      <c r="AT195" s="17" t="n">
        <v>180</v>
      </c>
      <c r="AU195" s="9" t="n">
        <v>15.48</v>
      </c>
      <c r="AV195" s="9" t="n">
        <v>36.04</v>
      </c>
      <c r="AW195" s="9" t="n">
        <v>25.36</v>
      </c>
    </row>
    <row r="196">
      <c r="G196" s="17" t="n">
        <v>181</v>
      </c>
      <c r="H196" s="2">
        <f>TRUNC((_xlfn.NORM.INV((RAND()),$E$24,$E$25)),2)</f>
        <v/>
      </c>
      <c r="I196" s="2">
        <f>TRUNC((_xlfn.NORM.INV((RAND()),$E$24,$E$25)),2)</f>
        <v/>
      </c>
      <c r="J196" s="2">
        <f>TRUNC((_xlfn.NORM.INV((RAND()),$E$24,$E$25)),2)</f>
        <v/>
      </c>
      <c r="AA196" s="17" t="n">
        <v>181</v>
      </c>
      <c r="AB196" s="3">
        <f>IF(H196&lt;0,0,H196)</f>
        <v/>
      </c>
      <c r="AC196" s="3">
        <f>IF(I196&lt;0,0,I196)</f>
        <v/>
      </c>
      <c r="AD196" s="3">
        <f>IF(J196&lt;0,0,J196)</f>
        <v/>
      </c>
      <c r="AT196" s="17" t="n">
        <v>181</v>
      </c>
      <c r="AU196" s="9" t="n">
        <v>15.38</v>
      </c>
      <c r="AV196" s="9" t="n">
        <v>21.96</v>
      </c>
      <c r="AW196" s="9" t="n">
        <v>30.71</v>
      </c>
    </row>
    <row r="197">
      <c r="G197" s="17" t="n">
        <v>182</v>
      </c>
      <c r="H197" s="2">
        <f>TRUNC((_xlfn.NORM.INV((RAND()),$E$24,$E$25)),2)</f>
        <v/>
      </c>
      <c r="I197" s="2">
        <f>TRUNC((_xlfn.NORM.INV((RAND()),$E$24,$E$25)),2)</f>
        <v/>
      </c>
      <c r="J197" s="2">
        <f>TRUNC((_xlfn.NORM.INV((RAND()),$E$24,$E$25)),2)</f>
        <v/>
      </c>
      <c r="AA197" s="17" t="n">
        <v>182</v>
      </c>
      <c r="AB197" s="3">
        <f>IF(H197&lt;0,0,H197)</f>
        <v/>
      </c>
      <c r="AC197" s="3">
        <f>IF(I197&lt;0,0,I197)</f>
        <v/>
      </c>
      <c r="AD197" s="3">
        <f>IF(J197&lt;0,0,J197)</f>
        <v/>
      </c>
      <c r="AT197" s="17" t="n">
        <v>182</v>
      </c>
      <c r="AU197" s="9" t="n">
        <v>31.41</v>
      </c>
      <c r="AV197" s="9" t="n">
        <v>26.72</v>
      </c>
      <c r="AW197" s="9" t="n">
        <v>30.9</v>
      </c>
    </row>
    <row r="198">
      <c r="G198" s="17" t="n">
        <v>183</v>
      </c>
      <c r="H198" s="2">
        <f>TRUNC((_xlfn.NORM.INV((RAND()),$E$24,$E$25)),2)</f>
        <v/>
      </c>
      <c r="I198" s="2">
        <f>TRUNC((_xlfn.NORM.INV((RAND()),$E$24,$E$25)),2)</f>
        <v/>
      </c>
      <c r="J198" s="2">
        <f>TRUNC((_xlfn.NORM.INV((RAND()),$E$24,$E$25)),2)</f>
        <v/>
      </c>
      <c r="AA198" s="17" t="n">
        <v>183</v>
      </c>
      <c r="AB198" s="3">
        <f>IF(H198&lt;0,0,H198)</f>
        <v/>
      </c>
      <c r="AC198" s="3">
        <f>IF(I198&lt;0,0,I198)</f>
        <v/>
      </c>
      <c r="AD198" s="3">
        <f>IF(J198&lt;0,0,J198)</f>
        <v/>
      </c>
      <c r="AT198" s="17" t="n">
        <v>183</v>
      </c>
      <c r="AU198" s="9" t="n">
        <v>26.78</v>
      </c>
      <c r="AV198" s="9" t="n">
        <v>29.87</v>
      </c>
      <c r="AW198" s="9" t="n">
        <v>27.99</v>
      </c>
    </row>
    <row r="199">
      <c r="G199" s="17" t="n">
        <v>184</v>
      </c>
      <c r="H199" s="2">
        <f>TRUNC((_xlfn.NORM.INV((RAND()),$E$24,$E$25)),2)</f>
        <v/>
      </c>
      <c r="I199" s="2">
        <f>TRUNC((_xlfn.NORM.INV((RAND()),$E$24,$E$25)),2)</f>
        <v/>
      </c>
      <c r="J199" s="2">
        <f>TRUNC((_xlfn.NORM.INV((RAND()),$E$24,$E$25)),2)</f>
        <v/>
      </c>
      <c r="AA199" s="17" t="n">
        <v>184</v>
      </c>
      <c r="AB199" s="3">
        <f>IF(H199&lt;0,0,H199)</f>
        <v/>
      </c>
      <c r="AC199" s="3">
        <f>IF(I199&lt;0,0,I199)</f>
        <v/>
      </c>
      <c r="AD199" s="3">
        <f>IF(J199&lt;0,0,J199)</f>
        <v/>
      </c>
      <c r="AT199" s="17" t="n">
        <v>184</v>
      </c>
      <c r="AU199" s="9" t="n">
        <v>18.28</v>
      </c>
      <c r="AV199" s="9" t="n">
        <v>31.39</v>
      </c>
      <c r="AW199" s="9" t="n">
        <v>23.1</v>
      </c>
    </row>
    <row r="200">
      <c r="G200" s="17" t="n">
        <v>185</v>
      </c>
      <c r="H200" s="2">
        <f>TRUNC((_xlfn.NORM.INV((RAND()),$E$24,$E$25)),2)</f>
        <v/>
      </c>
      <c r="I200" s="2">
        <f>TRUNC((_xlfn.NORM.INV((RAND()),$E$24,$E$25)),2)</f>
        <v/>
      </c>
      <c r="J200" s="2">
        <f>TRUNC((_xlfn.NORM.INV((RAND()),$E$24,$E$25)),2)</f>
        <v/>
      </c>
      <c r="AA200" s="17" t="n">
        <v>185</v>
      </c>
      <c r="AB200" s="3">
        <f>IF(H200&lt;0,0,H200)</f>
        <v/>
      </c>
      <c r="AC200" s="3">
        <f>IF(I200&lt;0,0,I200)</f>
        <v/>
      </c>
      <c r="AD200" s="3">
        <f>IF(J200&lt;0,0,J200)</f>
        <v/>
      </c>
      <c r="AT200" s="17" t="n">
        <v>185</v>
      </c>
      <c r="AU200" s="9" t="n">
        <v>31.59</v>
      </c>
      <c r="AV200" s="9" t="n">
        <v>25.43</v>
      </c>
      <c r="AW200" s="9" t="n">
        <v>24.54</v>
      </c>
    </row>
    <row r="201">
      <c r="G201" s="17" t="n">
        <v>186</v>
      </c>
      <c r="H201" s="2">
        <f>TRUNC((_xlfn.NORM.INV((RAND()),$E$24,$E$25)),2)</f>
        <v/>
      </c>
      <c r="I201" s="2">
        <f>TRUNC((_xlfn.NORM.INV((RAND()),$E$24,$E$25)),2)</f>
        <v/>
      </c>
      <c r="J201" s="2">
        <f>TRUNC((_xlfn.NORM.INV((RAND()),$E$24,$E$25)),2)</f>
        <v/>
      </c>
      <c r="AA201" s="17" t="n">
        <v>186</v>
      </c>
      <c r="AB201" s="3">
        <f>IF(H201&lt;0,0,H201)</f>
        <v/>
      </c>
      <c r="AC201" s="3">
        <f>IF(I201&lt;0,0,I201)</f>
        <v/>
      </c>
      <c r="AD201" s="3">
        <f>IF(J201&lt;0,0,J201)</f>
        <v/>
      </c>
      <c r="AT201" s="17" t="n">
        <v>186</v>
      </c>
      <c r="AU201" s="9" t="n">
        <v>33.8</v>
      </c>
      <c r="AV201" s="9" t="n">
        <v>23.83</v>
      </c>
      <c r="AW201" s="9" t="n">
        <v>25.58</v>
      </c>
    </row>
    <row r="202">
      <c r="G202" s="17" t="n">
        <v>187</v>
      </c>
      <c r="H202" s="2">
        <f>TRUNC((_xlfn.NORM.INV((RAND()),$E$24,$E$25)),2)</f>
        <v/>
      </c>
      <c r="I202" s="2">
        <f>TRUNC((_xlfn.NORM.INV((RAND()),$E$24,$E$25)),2)</f>
        <v/>
      </c>
      <c r="J202" s="2">
        <f>TRUNC((_xlfn.NORM.INV((RAND()),$E$24,$E$25)),2)</f>
        <v/>
      </c>
      <c r="AA202" s="17" t="n">
        <v>187</v>
      </c>
      <c r="AB202" s="3">
        <f>IF(H202&lt;0,0,H202)</f>
        <v/>
      </c>
      <c r="AC202" s="3">
        <f>IF(I202&lt;0,0,I202)</f>
        <v/>
      </c>
      <c r="AD202" s="3">
        <f>IF(J202&lt;0,0,J202)</f>
        <v/>
      </c>
      <c r="AT202" s="17" t="n">
        <v>187</v>
      </c>
      <c r="AU202" s="9" t="n">
        <v>23.63</v>
      </c>
      <c r="AV202" s="9" t="n">
        <v>25.51</v>
      </c>
      <c r="AW202" s="9" t="n">
        <v>30.8</v>
      </c>
    </row>
    <row r="203">
      <c r="G203" s="17" t="n">
        <v>188</v>
      </c>
      <c r="H203" s="2">
        <f>TRUNC((_xlfn.NORM.INV((RAND()),$E$24,$E$25)),2)</f>
        <v/>
      </c>
      <c r="I203" s="2">
        <f>TRUNC((_xlfn.NORM.INV((RAND()),$E$24,$E$25)),2)</f>
        <v/>
      </c>
      <c r="J203" s="2">
        <f>TRUNC((_xlfn.NORM.INV((RAND()),$E$24,$E$25)),2)</f>
        <v/>
      </c>
      <c r="AA203" s="17" t="n">
        <v>188</v>
      </c>
      <c r="AB203" s="3">
        <f>IF(H203&lt;0,0,H203)</f>
        <v/>
      </c>
      <c r="AC203" s="3">
        <f>IF(I203&lt;0,0,I203)</f>
        <v/>
      </c>
      <c r="AD203" s="3">
        <f>IF(J203&lt;0,0,J203)</f>
        <v/>
      </c>
      <c r="AT203" s="17" t="n">
        <v>188</v>
      </c>
      <c r="AU203" s="9" t="n">
        <v>23.44</v>
      </c>
      <c r="AV203" s="9" t="n">
        <v>24.32</v>
      </c>
      <c r="AW203" s="9" t="n">
        <v>27.17</v>
      </c>
    </row>
    <row r="204">
      <c r="G204" s="17" t="n">
        <v>189</v>
      </c>
      <c r="H204" s="2">
        <f>TRUNC((_xlfn.NORM.INV((RAND()),$E$24,$E$25)),2)</f>
        <v/>
      </c>
      <c r="I204" s="2">
        <f>TRUNC((_xlfn.NORM.INV((RAND()),$E$24,$E$25)),2)</f>
        <v/>
      </c>
      <c r="J204" s="2">
        <f>TRUNC((_xlfn.NORM.INV((RAND()),$E$24,$E$25)),2)</f>
        <v/>
      </c>
      <c r="AA204" s="17" t="n">
        <v>189</v>
      </c>
      <c r="AB204" s="3">
        <f>IF(H204&lt;0,0,H204)</f>
        <v/>
      </c>
      <c r="AC204" s="3">
        <f>IF(I204&lt;0,0,I204)</f>
        <v/>
      </c>
      <c r="AD204" s="3">
        <f>IF(J204&lt;0,0,J204)</f>
        <v/>
      </c>
      <c r="AT204" s="17" t="n">
        <v>189</v>
      </c>
      <c r="AU204" s="9" t="n">
        <v>23.52</v>
      </c>
      <c r="AV204" s="9" t="n">
        <v>25.53</v>
      </c>
      <c r="AW204" s="9" t="n">
        <v>39.68</v>
      </c>
    </row>
    <row r="205">
      <c r="G205" s="17" t="n">
        <v>190</v>
      </c>
      <c r="H205" s="2">
        <f>TRUNC((_xlfn.NORM.INV((RAND()),$E$24,$E$25)),2)</f>
        <v/>
      </c>
      <c r="I205" s="2">
        <f>TRUNC((_xlfn.NORM.INV((RAND()),$E$24,$E$25)),2)</f>
        <v/>
      </c>
      <c r="J205" s="2">
        <f>TRUNC((_xlfn.NORM.INV((RAND()),$E$24,$E$25)),2)</f>
        <v/>
      </c>
      <c r="AA205" s="17" t="n">
        <v>190</v>
      </c>
      <c r="AB205" s="3">
        <f>IF(H205&lt;0,0,H205)</f>
        <v/>
      </c>
      <c r="AC205" s="3">
        <f>IF(I205&lt;0,0,I205)</f>
        <v/>
      </c>
      <c r="AD205" s="3">
        <f>IF(J205&lt;0,0,J205)</f>
        <v/>
      </c>
      <c r="AT205" s="17" t="n">
        <v>190</v>
      </c>
      <c r="AU205" s="9" t="n">
        <v>23.5</v>
      </c>
      <c r="AV205" s="9" t="n">
        <v>21.98</v>
      </c>
      <c r="AW205" s="9" t="n">
        <v>21.69</v>
      </c>
    </row>
    <row r="206">
      <c r="G206" s="17" t="n">
        <v>191</v>
      </c>
      <c r="H206" s="2">
        <f>TRUNC((_xlfn.NORM.INV((RAND()),$E$24,$E$25)),2)</f>
        <v/>
      </c>
      <c r="I206" s="2">
        <f>TRUNC((_xlfn.NORM.INV((RAND()),$E$24,$E$25)),2)</f>
        <v/>
      </c>
      <c r="J206" s="2">
        <f>TRUNC((_xlfn.NORM.INV((RAND()),$E$24,$E$25)),2)</f>
        <v/>
      </c>
      <c r="AA206" s="17" t="n">
        <v>191</v>
      </c>
      <c r="AB206" s="3">
        <f>IF(H206&lt;0,0,H206)</f>
        <v/>
      </c>
      <c r="AC206" s="3">
        <f>IF(I206&lt;0,0,I206)</f>
        <v/>
      </c>
      <c r="AD206" s="3">
        <f>IF(J206&lt;0,0,J206)</f>
        <v/>
      </c>
      <c r="AT206" s="17" t="n">
        <v>191</v>
      </c>
      <c r="AU206" s="9" t="n">
        <v>32.33</v>
      </c>
      <c r="AV206" s="9" t="n">
        <v>21.12</v>
      </c>
      <c r="AW206" s="9" t="n">
        <v>24.74</v>
      </c>
    </row>
    <row r="207">
      <c r="G207" s="17" t="n">
        <v>192</v>
      </c>
      <c r="H207" s="2">
        <f>TRUNC((_xlfn.NORM.INV((RAND()),$E$24,$E$25)),2)</f>
        <v/>
      </c>
      <c r="I207" s="2">
        <f>TRUNC((_xlfn.NORM.INV((RAND()),$E$24,$E$25)),2)</f>
        <v/>
      </c>
      <c r="J207" s="2">
        <f>TRUNC((_xlfn.NORM.INV((RAND()),$E$24,$E$25)),2)</f>
        <v/>
      </c>
      <c r="AA207" s="17" t="n">
        <v>192</v>
      </c>
      <c r="AB207" s="3">
        <f>IF(H207&lt;0,0,H207)</f>
        <v/>
      </c>
      <c r="AC207" s="3">
        <f>IF(I207&lt;0,0,I207)</f>
        <v/>
      </c>
      <c r="AD207" s="3">
        <f>IF(J207&lt;0,0,J207)</f>
        <v/>
      </c>
      <c r="AT207" s="17" t="n">
        <v>192</v>
      </c>
      <c r="AU207" s="9" t="n">
        <v>25.9</v>
      </c>
      <c r="AV207" s="9" t="n">
        <v>28.76</v>
      </c>
      <c r="AW207" s="9" t="n">
        <v>25.01</v>
      </c>
    </row>
    <row r="208">
      <c r="G208" s="17" t="n">
        <v>193</v>
      </c>
      <c r="H208" s="2">
        <f>TRUNC((_xlfn.NORM.INV((RAND()),$E$24,$E$25)),2)</f>
        <v/>
      </c>
      <c r="I208" s="2">
        <f>TRUNC((_xlfn.NORM.INV((RAND()),$E$24,$E$25)),2)</f>
        <v/>
      </c>
      <c r="J208" s="2">
        <f>TRUNC((_xlfn.NORM.INV((RAND()),$E$24,$E$25)),2)</f>
        <v/>
      </c>
      <c r="AA208" s="17" t="n">
        <v>193</v>
      </c>
      <c r="AB208" s="3">
        <f>IF(H208&lt;0,0,H208)</f>
        <v/>
      </c>
      <c r="AC208" s="3">
        <f>IF(I208&lt;0,0,I208)</f>
        <v/>
      </c>
      <c r="AD208" s="3">
        <f>IF(J208&lt;0,0,J208)</f>
        <v/>
      </c>
      <c r="AT208" s="17" t="n">
        <v>193</v>
      </c>
      <c r="AU208" s="9" t="n">
        <v>22.09</v>
      </c>
      <c r="AV208" s="9" t="n">
        <v>35.03</v>
      </c>
      <c r="AW208" s="9" t="n">
        <v>24.48</v>
      </c>
    </row>
    <row r="209">
      <c r="G209" s="17" t="n">
        <v>194</v>
      </c>
      <c r="H209" s="2">
        <f>TRUNC((_xlfn.NORM.INV((RAND()),$E$24,$E$25)),2)</f>
        <v/>
      </c>
      <c r="I209" s="2">
        <f>TRUNC((_xlfn.NORM.INV((RAND()),$E$24,$E$25)),2)</f>
        <v/>
      </c>
      <c r="J209" s="2">
        <f>TRUNC((_xlfn.NORM.INV((RAND()),$E$24,$E$25)),2)</f>
        <v/>
      </c>
      <c r="AA209" s="17" t="n">
        <v>194</v>
      </c>
      <c r="AB209" s="3">
        <f>IF(H209&lt;0,0,H209)</f>
        <v/>
      </c>
      <c r="AC209" s="3">
        <f>IF(I209&lt;0,0,I209)</f>
        <v/>
      </c>
      <c r="AD209" s="3">
        <f>IF(J209&lt;0,0,J209)</f>
        <v/>
      </c>
      <c r="AT209" s="17" t="n">
        <v>194</v>
      </c>
      <c r="AU209" s="9" t="n">
        <v>26.25</v>
      </c>
      <c r="AV209" s="9" t="n">
        <v>30.65</v>
      </c>
      <c r="AW209" s="9" t="n">
        <v>31.54</v>
      </c>
    </row>
    <row r="210">
      <c r="G210" s="17" t="n">
        <v>195</v>
      </c>
      <c r="H210" s="2">
        <f>TRUNC((_xlfn.NORM.INV((RAND()),$E$24,$E$25)),2)</f>
        <v/>
      </c>
      <c r="I210" s="2">
        <f>TRUNC((_xlfn.NORM.INV((RAND()),$E$24,$E$25)),2)</f>
        <v/>
      </c>
      <c r="J210" s="2">
        <f>TRUNC((_xlfn.NORM.INV((RAND()),$E$24,$E$25)),2)</f>
        <v/>
      </c>
      <c r="AA210" s="17" t="n">
        <v>195</v>
      </c>
      <c r="AB210" s="3">
        <f>IF(H210&lt;0,0,H210)</f>
        <v/>
      </c>
      <c r="AC210" s="3">
        <f>IF(I210&lt;0,0,I210)</f>
        <v/>
      </c>
      <c r="AD210" s="3">
        <f>IF(J210&lt;0,0,J210)</f>
        <v/>
      </c>
      <c r="AT210" s="17" t="n">
        <v>195</v>
      </c>
      <c r="AU210" s="9" t="n">
        <v>16.86</v>
      </c>
      <c r="AV210" s="9" t="n">
        <v>29.46</v>
      </c>
      <c r="AW210" s="9" t="n">
        <v>19.81</v>
      </c>
    </row>
    <row r="211">
      <c r="G211" s="17" t="n">
        <v>196</v>
      </c>
      <c r="H211" s="2">
        <f>TRUNC((_xlfn.NORM.INV((RAND()),$E$24,$E$25)),2)</f>
        <v/>
      </c>
      <c r="I211" s="2">
        <f>TRUNC((_xlfn.NORM.INV((RAND()),$E$24,$E$25)),2)</f>
        <v/>
      </c>
      <c r="J211" s="2">
        <f>TRUNC((_xlfn.NORM.INV((RAND()),$E$24,$E$25)),2)</f>
        <v/>
      </c>
      <c r="AA211" s="17" t="n">
        <v>196</v>
      </c>
      <c r="AB211" s="3">
        <f>IF(H211&lt;0,0,H211)</f>
        <v/>
      </c>
      <c r="AC211" s="3">
        <f>IF(I211&lt;0,0,I211)</f>
        <v/>
      </c>
      <c r="AD211" s="3">
        <f>IF(J211&lt;0,0,J211)</f>
        <v/>
      </c>
      <c r="AT211" s="17" t="n">
        <v>196</v>
      </c>
      <c r="AU211" s="9" t="n">
        <v>25.46</v>
      </c>
      <c r="AV211" s="9" t="n">
        <v>26.71</v>
      </c>
      <c r="AW211" s="9" t="n">
        <v>20.59</v>
      </c>
    </row>
    <row r="212">
      <c r="G212" s="17" t="n">
        <v>197</v>
      </c>
      <c r="H212" s="2">
        <f>TRUNC((_xlfn.NORM.INV((RAND()),$E$24,$E$25)),2)</f>
        <v/>
      </c>
      <c r="I212" s="2">
        <f>TRUNC((_xlfn.NORM.INV((RAND()),$E$24,$E$25)),2)</f>
        <v/>
      </c>
      <c r="J212" s="2">
        <f>TRUNC((_xlfn.NORM.INV((RAND()),$E$24,$E$25)),2)</f>
        <v/>
      </c>
      <c r="AA212" s="17" t="n">
        <v>197</v>
      </c>
      <c r="AB212" s="3">
        <f>IF(H212&lt;0,0,H212)</f>
        <v/>
      </c>
      <c r="AC212" s="3">
        <f>IF(I212&lt;0,0,I212)</f>
        <v/>
      </c>
      <c r="AD212" s="3">
        <f>IF(J212&lt;0,0,J212)</f>
        <v/>
      </c>
      <c r="AT212" s="17" t="n">
        <v>197</v>
      </c>
      <c r="AU212" s="9" t="n">
        <v>24.93</v>
      </c>
      <c r="AV212" s="9" t="n">
        <v>27.19</v>
      </c>
      <c r="AW212" s="9" t="n">
        <v>32.58</v>
      </c>
    </row>
    <row r="213">
      <c r="G213" s="17" t="n">
        <v>198</v>
      </c>
      <c r="H213" s="2">
        <f>TRUNC((_xlfn.NORM.INV((RAND()),$E$24,$E$25)),2)</f>
        <v/>
      </c>
      <c r="I213" s="2">
        <f>TRUNC((_xlfn.NORM.INV((RAND()),$E$24,$E$25)),2)</f>
        <v/>
      </c>
      <c r="J213" s="2">
        <f>TRUNC((_xlfn.NORM.INV((RAND()),$E$24,$E$25)),2)</f>
        <v/>
      </c>
      <c r="AA213" s="17" t="n">
        <v>198</v>
      </c>
      <c r="AB213" s="3">
        <f>IF(H213&lt;0,0,H213)</f>
        <v/>
      </c>
      <c r="AC213" s="3">
        <f>IF(I213&lt;0,0,I213)</f>
        <v/>
      </c>
      <c r="AD213" s="3">
        <f>IF(J213&lt;0,0,J213)</f>
        <v/>
      </c>
      <c r="AT213" s="17" t="n">
        <v>198</v>
      </c>
      <c r="AU213" s="9" t="n">
        <v>28.89</v>
      </c>
      <c r="AV213" s="9" t="n">
        <v>31.66</v>
      </c>
      <c r="AW213" s="9" t="n">
        <v>24.67</v>
      </c>
    </row>
  </sheetData>
  <mergeCells count="1">
    <mergeCell ref="D3:W3"/>
  </mergeCells>
  <pageMargins left="0.511811024" right="0.511811024" top="0.787401575" bottom="0.787401575" header="0.31496062" footer="0.31496062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BZ224"/>
  <sheetViews>
    <sheetView topLeftCell="AJ1" zoomScale="90" zoomScaleNormal="90" workbookViewId="0">
      <selection activeCell="AT7" sqref="AT7"/>
    </sheetView>
  </sheetViews>
  <sheetFormatPr baseColWidth="8" defaultColWidth="8.88671875" defaultRowHeight="14.4"/>
  <cols>
    <col width="7.44140625" bestFit="1" customWidth="1" style="75" min="1" max="1"/>
    <col width="8" bestFit="1" customWidth="1" style="75" min="2" max="2"/>
    <col width="8.5546875" bestFit="1" customWidth="1" style="75" min="3" max="3"/>
    <col width="11.5546875" customWidth="1" style="75" min="4" max="4"/>
    <col width="9.44140625" customWidth="1" style="75" min="5" max="5"/>
    <col width="11.6640625" customWidth="1" style="75" min="6" max="6"/>
    <col width="8.88671875" customWidth="1" style="75" min="7" max="11"/>
    <col width="9.5546875" bestFit="1" customWidth="1" style="75" min="12" max="12"/>
    <col width="8.88671875" customWidth="1" style="75" min="13" max="23"/>
    <col width="10.6640625" bestFit="1" customWidth="1" style="75" min="24" max="24"/>
    <col width="8.88671875" customWidth="1" style="75" min="25" max="43"/>
    <col width="11.77734375" bestFit="1" customWidth="1" style="75" min="44" max="44"/>
    <col width="13.21875" bestFit="1" customWidth="1" style="75" min="45" max="45"/>
    <col width="9.6640625" bestFit="1" customWidth="1" style="75" min="46" max="46"/>
    <col width="8.88671875" customWidth="1" style="75" min="47" max="63"/>
    <col width="10" bestFit="1" customWidth="1" style="75" min="64" max="78"/>
    <col width="8.88671875" customWidth="1" style="75" min="79" max="16384"/>
  </cols>
  <sheetData>
    <row r="2">
      <c r="H2" s="73" t="inlineStr">
        <is>
          <t>CÁLCULOS PARA A GERAÇÃO DOS DADOS DO ESTOQUE INICIAL</t>
        </is>
      </c>
      <c r="W2" s="73" t="n"/>
      <c r="X2" s="73" t="n"/>
      <c r="Y2" s="73" t="n"/>
      <c r="Z2" s="73" t="n"/>
      <c r="AA2" s="73" t="n"/>
      <c r="AB2" s="73" t="n"/>
      <c r="AC2" s="73" t="n"/>
      <c r="AD2" s="73" t="n"/>
      <c r="AE2" s="73" t="n"/>
      <c r="AF2" s="73" t="n"/>
      <c r="AG2" s="73" t="n"/>
      <c r="AH2" s="73" t="n"/>
      <c r="AI2" s="73" t="n"/>
      <c r="AJ2" s="73" t="n"/>
      <c r="AK2" s="73" t="n"/>
      <c r="AL2" s="73" t="n"/>
      <c r="AM2" s="73" t="n"/>
      <c r="AN2" s="73" t="n"/>
      <c r="AO2" s="73" t="n"/>
      <c r="AP2" s="73" t="n"/>
      <c r="AS2" s="7" t="inlineStr">
        <is>
          <t>SUPPLIERS</t>
        </is>
      </c>
    </row>
    <row r="3">
      <c r="AT3" s="75" t="inlineStr">
        <is>
          <t>máximo</t>
        </is>
      </c>
      <c r="AU3" s="20">
        <f>MAX(AT5:BH7)</f>
        <v/>
      </c>
      <c r="AW3" s="75" t="inlineStr">
        <is>
          <t>mínimo</t>
        </is>
      </c>
      <c r="AX3" s="20">
        <f>MIN(AT5:BH7)</f>
        <v/>
      </c>
    </row>
    <row r="4">
      <c r="A4" s="75" t="inlineStr">
        <is>
          <t>Mínimo</t>
        </is>
      </c>
      <c r="B4" s="75" t="inlineStr">
        <is>
          <t>Máximo</t>
        </is>
      </c>
      <c r="H4" s="75" t="n">
        <v>1</v>
      </c>
      <c r="I4" s="75" t="n">
        <v>2</v>
      </c>
      <c r="J4" s="75" t="n">
        <v>3</v>
      </c>
      <c r="K4" s="75" t="n">
        <v>4</v>
      </c>
      <c r="L4" s="75" t="n">
        <v>5</v>
      </c>
      <c r="M4" s="75" t="n">
        <v>6</v>
      </c>
      <c r="N4" s="75" t="n">
        <v>7</v>
      </c>
      <c r="O4" s="75" t="n">
        <v>8</v>
      </c>
      <c r="P4" s="75" t="n">
        <v>9</v>
      </c>
      <c r="Q4" s="75" t="n">
        <v>10</v>
      </c>
      <c r="R4" s="75" t="n">
        <v>11</v>
      </c>
      <c r="S4" s="75" t="n">
        <v>12</v>
      </c>
      <c r="T4" s="75" t="n">
        <v>13</v>
      </c>
      <c r="U4" s="75" t="n">
        <v>14</v>
      </c>
      <c r="V4" s="75" t="n">
        <v>15</v>
      </c>
      <c r="X4" s="2" t="inlineStr">
        <is>
          <t>Soma</t>
        </is>
      </c>
      <c r="Y4" s="2" t="n"/>
      <c r="Z4" s="2" t="n"/>
      <c r="AA4" s="75" t="n">
        <v>1</v>
      </c>
      <c r="AB4" s="75" t="n">
        <v>2</v>
      </c>
      <c r="AC4" s="75" t="n">
        <v>3</v>
      </c>
      <c r="AD4" s="75" t="n">
        <v>4</v>
      </c>
      <c r="AE4" s="75" t="n">
        <v>5</v>
      </c>
      <c r="AF4" s="75" t="n">
        <v>6</v>
      </c>
      <c r="AG4" s="75" t="n">
        <v>7</v>
      </c>
      <c r="AH4" s="75" t="n">
        <v>8</v>
      </c>
      <c r="AI4" s="75" t="n">
        <v>9</v>
      </c>
      <c r="AJ4" s="75" t="n">
        <v>10</v>
      </c>
      <c r="AK4" s="75" t="n">
        <v>11</v>
      </c>
      <c r="AL4" s="75" t="n">
        <v>12</v>
      </c>
      <c r="AM4" s="75" t="n">
        <v>13</v>
      </c>
      <c r="AN4" s="75" t="n">
        <v>14</v>
      </c>
      <c r="AO4" s="75" t="n">
        <v>15</v>
      </c>
      <c r="AS4" s="75" t="inlineStr">
        <is>
          <t>Ei (p)</t>
        </is>
      </c>
      <c r="AT4" s="75" t="n">
        <v>1</v>
      </c>
      <c r="AU4" s="75" t="n">
        <v>2</v>
      </c>
      <c r="AV4" s="75" t="n">
        <v>3</v>
      </c>
      <c r="AW4" s="75" t="n">
        <v>4</v>
      </c>
      <c r="AX4" s="75" t="n">
        <v>5</v>
      </c>
      <c r="AY4" s="75" t="n">
        <v>6</v>
      </c>
      <c r="AZ4" s="75" t="n">
        <v>7</v>
      </c>
      <c r="BA4" s="75" t="n">
        <v>8</v>
      </c>
      <c r="BB4" s="75" t="n">
        <v>9</v>
      </c>
      <c r="BC4" s="75" t="n">
        <v>10</v>
      </c>
      <c r="BD4" s="75" t="n">
        <v>11</v>
      </c>
      <c r="BE4" s="75" t="n">
        <v>12</v>
      </c>
      <c r="BF4" s="75" t="n">
        <v>13</v>
      </c>
      <c r="BG4" s="75" t="n">
        <v>14</v>
      </c>
      <c r="BH4" s="75" t="n">
        <v>15</v>
      </c>
    </row>
    <row r="5">
      <c r="A5" s="75">
        <f>MIN(H5:V7)</f>
        <v/>
      </c>
      <c r="B5" s="75">
        <f>MAX(H5:V7)</f>
        <v/>
      </c>
      <c r="C5" s="75" t="inlineStr">
        <is>
          <t>prod</t>
        </is>
      </c>
      <c r="D5" s="75" t="inlineStr">
        <is>
          <t>Avarege</t>
        </is>
      </c>
      <c r="E5" s="75">
        <f>12.5*Suppliers_stock_balance!S200*Suppliers!E22</f>
        <v/>
      </c>
      <c r="G5" s="75" t="n">
        <v>1</v>
      </c>
      <c r="H5" s="2">
        <f>Matlab_Data!D3*Matlab_Data!D8</f>
        <v/>
      </c>
      <c r="I5" s="2">
        <f>Matlab_Data!E3*Matlab_Data!E8</f>
        <v/>
      </c>
      <c r="J5" s="2">
        <f>Matlab_Data!F3*Matlab_Data!F8</f>
        <v/>
      </c>
      <c r="K5" s="2">
        <f>Matlab_Data!G3*Matlab_Data!G8</f>
        <v/>
      </c>
      <c r="L5" s="2">
        <f>Matlab_Data!H3*Matlab_Data!H8</f>
        <v/>
      </c>
      <c r="M5" s="2">
        <f>Matlab_Data!I3*Matlab_Data!I8</f>
        <v/>
      </c>
      <c r="N5" s="2">
        <f>Matlab_Data!J3*Matlab_Data!J8</f>
        <v/>
      </c>
      <c r="O5" s="2">
        <f>Matlab_Data!K3*Matlab_Data!K8</f>
        <v/>
      </c>
      <c r="P5" s="2">
        <f>Matlab_Data!L3*Matlab_Data!L8</f>
        <v/>
      </c>
      <c r="Q5" s="2">
        <f>Matlab_Data!M3*Matlab_Data!M8</f>
        <v/>
      </c>
      <c r="R5" s="2">
        <f>Matlab_Data!N3*Matlab_Data!N8</f>
        <v/>
      </c>
      <c r="S5" s="2">
        <f>Matlab_Data!O3*Matlab_Data!O8</f>
        <v/>
      </c>
      <c r="T5" s="2">
        <f>Matlab_Data!P3*Matlab_Data!P8</f>
        <v/>
      </c>
      <c r="U5" s="2">
        <f>Matlab_Data!Q3*Matlab_Data!Q8</f>
        <v/>
      </c>
      <c r="V5" s="2">
        <f>Matlab_Data!R3*Matlab_Data!R8</f>
        <v/>
      </c>
      <c r="X5" s="3">
        <f>SUM(H5:V7)</f>
        <v/>
      </c>
      <c r="Y5" s="2" t="n"/>
      <c r="Z5" s="17" t="n">
        <v>1</v>
      </c>
      <c r="AA5" s="20">
        <f>TRUNC(IF(H5&lt;0,0,H5),0)</f>
        <v/>
      </c>
      <c r="AB5" s="20">
        <f>TRUNC(IF(I5&lt;0,0,I5),0)</f>
        <v/>
      </c>
      <c r="AC5" s="20">
        <f>TRUNC(IF(J5&lt;0,0,J5),0)</f>
        <v/>
      </c>
      <c r="AD5" s="20">
        <f>TRUNC(IF(K5&lt;0,0,K5),0)</f>
        <v/>
      </c>
      <c r="AE5" s="20">
        <f>TRUNC(IF(L5&lt;0,0,L5),0)</f>
        <v/>
      </c>
      <c r="AF5" s="20">
        <f>TRUNC(IF(M5&lt;0,0,M5),0)</f>
        <v/>
      </c>
      <c r="AG5" s="20">
        <f>TRUNC(IF(N5&lt;0,0,N5),0)</f>
        <v/>
      </c>
      <c r="AH5" s="20">
        <f>TRUNC(IF(O5&lt;0,0,O5),0)</f>
        <v/>
      </c>
      <c r="AI5" s="20">
        <f>TRUNC(IF(P5&lt;0,0,P5),0)</f>
        <v/>
      </c>
      <c r="AJ5" s="20">
        <f>TRUNC(IF(Q5&lt;0,0,Q5),0)</f>
        <v/>
      </c>
      <c r="AK5" s="20">
        <f>TRUNC(IF(R5&lt;0,0,R5),0)</f>
        <v/>
      </c>
      <c r="AL5" s="20">
        <f>TRUNC(IF(S5&lt;0,0,S5),0)</f>
        <v/>
      </c>
      <c r="AM5" s="20">
        <f>TRUNC(IF(T5&lt;0,0,T5),0)</f>
        <v/>
      </c>
      <c r="AN5" s="20">
        <f>TRUNC(IF(U5&lt;0,0,U5),0)</f>
        <v/>
      </c>
      <c r="AO5" s="20">
        <f>TRUNC(IF(V5&lt;0,0,V5),0)</f>
        <v/>
      </c>
      <c r="AR5" s="75" t="inlineStr">
        <is>
          <t>SupBegStock</t>
        </is>
      </c>
      <c r="AS5" s="75" t="n">
        <v>1</v>
      </c>
      <c r="AT5" s="14" t="n">
        <v>2187</v>
      </c>
      <c r="AU5" s="14" t="n">
        <v>4436</v>
      </c>
      <c r="AV5" s="14" t="n">
        <v>3221</v>
      </c>
      <c r="AW5" s="14" t="n">
        <v>3938</v>
      </c>
      <c r="AX5" s="14" t="n">
        <v>6712</v>
      </c>
      <c r="AY5" s="14" t="n">
        <v>4521</v>
      </c>
      <c r="AZ5" s="14" t="n">
        <v>2194</v>
      </c>
      <c r="BA5" s="14" t="n">
        <v>6704</v>
      </c>
      <c r="BB5" s="14" t="n">
        <v>5066</v>
      </c>
      <c r="BC5" s="14" t="n">
        <v>3832</v>
      </c>
      <c r="BD5" s="14" t="n">
        <v>5886</v>
      </c>
      <c r="BE5" s="14" t="n">
        <v>3015</v>
      </c>
      <c r="BF5" s="14" t="n">
        <v>4595</v>
      </c>
      <c r="BG5" s="14" t="n">
        <v>4358</v>
      </c>
      <c r="BH5" s="14" t="n">
        <v>8691</v>
      </c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</row>
    <row r="6">
      <c r="D6" s="75" t="inlineStr">
        <is>
          <t>Std Devition</t>
        </is>
      </c>
      <c r="E6" s="75">
        <f>E5*0.33</f>
        <v/>
      </c>
      <c r="G6" s="75" t="n">
        <v>2</v>
      </c>
      <c r="H6" s="2">
        <f>Matlab_Data!D4*Matlab_Data!D9</f>
        <v/>
      </c>
      <c r="I6" s="2">
        <f>Matlab_Data!E4*Matlab_Data!E9</f>
        <v/>
      </c>
      <c r="J6" s="2">
        <f>Matlab_Data!F4*Matlab_Data!F9</f>
        <v/>
      </c>
      <c r="K6" s="2">
        <f>Matlab_Data!G4*Matlab_Data!G9</f>
        <v/>
      </c>
      <c r="L6" s="2">
        <f>Matlab_Data!H4*Matlab_Data!H9</f>
        <v/>
      </c>
      <c r="M6" s="2">
        <f>Matlab_Data!I4*Matlab_Data!I9</f>
        <v/>
      </c>
      <c r="N6" s="2">
        <f>Matlab_Data!J4*Matlab_Data!J9</f>
        <v/>
      </c>
      <c r="O6" s="2">
        <f>Matlab_Data!K4*Matlab_Data!K9</f>
        <v/>
      </c>
      <c r="P6" s="2">
        <f>Matlab_Data!L4*Matlab_Data!L9</f>
        <v/>
      </c>
      <c r="Q6" s="2">
        <f>Matlab_Data!M4*Matlab_Data!M9</f>
        <v/>
      </c>
      <c r="R6" s="2">
        <f>Matlab_Data!N4*Matlab_Data!N9</f>
        <v/>
      </c>
      <c r="S6" s="2">
        <f>Matlab_Data!O4*Matlab_Data!O9</f>
        <v/>
      </c>
      <c r="T6" s="2">
        <f>Matlab_Data!P4*Matlab_Data!P9</f>
        <v/>
      </c>
      <c r="U6" s="2">
        <f>Matlab_Data!Q4*Matlab_Data!Q9</f>
        <v/>
      </c>
      <c r="V6" s="2">
        <f>Matlab_Data!R4*Matlab_Data!R9</f>
        <v/>
      </c>
      <c r="Y6" s="2" t="n"/>
      <c r="Z6" s="17" t="n">
        <v>2</v>
      </c>
      <c r="AA6" s="20">
        <f>TRUNC(IF(H6&lt;0,0,H6),0)</f>
        <v/>
      </c>
      <c r="AB6" s="20">
        <f>TRUNC(IF(I6&lt;0,0,I6),0)</f>
        <v/>
      </c>
      <c r="AC6" s="20">
        <f>TRUNC(IF(J6&lt;0,0,J6),0)</f>
        <v/>
      </c>
      <c r="AD6" s="20">
        <f>TRUNC(IF(K6&lt;0,0,K6),0)</f>
        <v/>
      </c>
      <c r="AE6" s="20">
        <f>TRUNC(IF(L6&lt;0,0,L6),0)</f>
        <v/>
      </c>
      <c r="AF6" s="20">
        <f>TRUNC(IF(M6&lt;0,0,M6),0)</f>
        <v/>
      </c>
      <c r="AG6" s="20">
        <f>TRUNC(IF(N6&lt;0,0,N6),0)</f>
        <v/>
      </c>
      <c r="AH6" s="20">
        <f>TRUNC(IF(O6&lt;0,0,O6),0)</f>
        <v/>
      </c>
      <c r="AI6" s="20">
        <f>TRUNC(IF(P6&lt;0,0,P6),0)</f>
        <v/>
      </c>
      <c r="AJ6" s="20">
        <f>TRUNC(IF(Q6&lt;0,0,Q6),0)</f>
        <v/>
      </c>
      <c r="AK6" s="20">
        <f>TRUNC(IF(R6&lt;0,0,R6),0)</f>
        <v/>
      </c>
      <c r="AL6" s="20">
        <f>TRUNC(IF(S6&lt;0,0,S6),0)</f>
        <v/>
      </c>
      <c r="AM6" s="20">
        <f>TRUNC(IF(T6&lt;0,0,T6),0)</f>
        <v/>
      </c>
      <c r="AN6" s="20">
        <f>TRUNC(IF(U6&lt;0,0,U6),0)</f>
        <v/>
      </c>
      <c r="AO6" s="20">
        <f>TRUNC(IF(V6&lt;0,0,V6),0)</f>
        <v/>
      </c>
      <c r="AS6" s="75" t="n">
        <v>2</v>
      </c>
      <c r="AT6" s="14" t="n">
        <v>4705</v>
      </c>
      <c r="AU6" s="14" t="n">
        <v>5450</v>
      </c>
      <c r="AV6" s="14" t="n">
        <v>3082</v>
      </c>
      <c r="AW6" s="14" t="n">
        <v>6893</v>
      </c>
      <c r="AX6" s="14" t="n">
        <v>4683</v>
      </c>
      <c r="AY6" s="14" t="n">
        <v>6897</v>
      </c>
      <c r="AZ6" s="14" t="n">
        <v>3754</v>
      </c>
      <c r="BA6" s="14" t="n">
        <v>3730</v>
      </c>
      <c r="BB6" s="14" t="n">
        <v>3269</v>
      </c>
      <c r="BC6" s="14" t="n">
        <v>3991</v>
      </c>
      <c r="BD6" s="14" t="n">
        <v>3470</v>
      </c>
      <c r="BE6" s="14" t="n">
        <v>6345</v>
      </c>
      <c r="BF6" s="14" t="n">
        <v>6386</v>
      </c>
      <c r="BG6" s="14" t="n">
        <v>8300</v>
      </c>
      <c r="BH6" s="14" t="n">
        <v>6001</v>
      </c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</row>
    <row r="7">
      <c r="G7" s="75" t="n">
        <v>3</v>
      </c>
      <c r="H7" s="2">
        <f>Matlab_Data!D5*Matlab_Data!D10</f>
        <v/>
      </c>
      <c r="I7" s="2">
        <f>Matlab_Data!E5*Matlab_Data!E10</f>
        <v/>
      </c>
      <c r="J7" s="2">
        <f>Matlab_Data!F5*Matlab_Data!F10</f>
        <v/>
      </c>
      <c r="K7" s="2">
        <f>Matlab_Data!G5*Matlab_Data!G10</f>
        <v/>
      </c>
      <c r="L7" s="2">
        <f>Matlab_Data!H5*Matlab_Data!H10</f>
        <v/>
      </c>
      <c r="M7" s="2">
        <f>Matlab_Data!I5*Matlab_Data!I10</f>
        <v/>
      </c>
      <c r="N7" s="2">
        <f>Matlab_Data!J5*Matlab_Data!J10</f>
        <v/>
      </c>
      <c r="O7" s="2">
        <f>Matlab_Data!K5*Matlab_Data!K10</f>
        <v/>
      </c>
      <c r="P7" s="2">
        <f>Matlab_Data!L5*Matlab_Data!L10</f>
        <v/>
      </c>
      <c r="Q7" s="2">
        <f>Matlab_Data!M5*Matlab_Data!M10</f>
        <v/>
      </c>
      <c r="R7" s="2">
        <f>Matlab_Data!N5*Matlab_Data!N10</f>
        <v/>
      </c>
      <c r="S7" s="2">
        <f>Matlab_Data!O5*Matlab_Data!O10</f>
        <v/>
      </c>
      <c r="T7" s="2">
        <f>Matlab_Data!P5*Matlab_Data!P10</f>
        <v/>
      </c>
      <c r="U7" s="2">
        <f>Matlab_Data!Q5*Matlab_Data!Q10</f>
        <v/>
      </c>
      <c r="V7" s="2">
        <f>Matlab_Data!R5*Matlab_Data!R10</f>
        <v/>
      </c>
      <c r="Y7" s="2" t="n"/>
      <c r="Z7" s="17" t="n">
        <v>3</v>
      </c>
      <c r="AA7" s="20">
        <f>TRUNC(IF(H7&lt;0,0,H7),0)</f>
        <v/>
      </c>
      <c r="AB7" s="20">
        <f>TRUNC(IF(I7&lt;0,0,I7),0)</f>
        <v/>
      </c>
      <c r="AC7" s="20">
        <f>TRUNC(IF(J7&lt;0,0,J7),0)</f>
        <v/>
      </c>
      <c r="AD7" s="20">
        <f>TRUNC(IF(K7&lt;0,0,K7),0)</f>
        <v/>
      </c>
      <c r="AE7" s="20">
        <f>TRUNC(IF(L7&lt;0,0,L7),0)</f>
        <v/>
      </c>
      <c r="AF7" s="20">
        <f>TRUNC(IF(M7&lt;0,0,M7),0)</f>
        <v/>
      </c>
      <c r="AG7" s="20">
        <f>TRUNC(IF(N7&lt;0,0,N7),0)</f>
        <v/>
      </c>
      <c r="AH7" s="20">
        <f>TRUNC(IF(O7&lt;0,0,O7),0)</f>
        <v/>
      </c>
      <c r="AI7" s="20">
        <f>TRUNC(IF(P7&lt;0,0,P7),0)</f>
        <v/>
      </c>
      <c r="AJ7" s="20">
        <f>TRUNC(IF(Q7&lt;0,0,Q7),0)</f>
        <v/>
      </c>
      <c r="AK7" s="20">
        <f>TRUNC(IF(R7&lt;0,0,R7),0)</f>
        <v/>
      </c>
      <c r="AL7" s="20">
        <f>TRUNC(IF(S7&lt;0,0,S7),0)</f>
        <v/>
      </c>
      <c r="AM7" s="20">
        <f>TRUNC(IF(T7&lt;0,0,T7),0)</f>
        <v/>
      </c>
      <c r="AN7" s="20">
        <f>TRUNC(IF(U7&lt;0,0,U7),0)</f>
        <v/>
      </c>
      <c r="AO7" s="20">
        <f>TRUNC(IF(V7&lt;0,0,V7),0)</f>
        <v/>
      </c>
      <c r="AS7" s="75" t="n">
        <v>3</v>
      </c>
      <c r="AT7" s="14" t="n">
        <v>8999</v>
      </c>
      <c r="AU7" s="14" t="n">
        <v>5017</v>
      </c>
      <c r="AV7" s="14" t="n">
        <v>4795</v>
      </c>
      <c r="AW7" s="14" t="n">
        <v>7185</v>
      </c>
      <c r="AX7" s="14" t="n">
        <v>3743</v>
      </c>
      <c r="AY7" s="14" t="n">
        <v>8908</v>
      </c>
      <c r="AZ7" s="14" t="n">
        <v>4978</v>
      </c>
      <c r="BA7" s="14" t="n">
        <v>4557</v>
      </c>
      <c r="BB7" s="14" t="n">
        <v>4381</v>
      </c>
      <c r="BC7" s="14" t="n">
        <v>4348</v>
      </c>
      <c r="BD7" s="14" t="n">
        <v>3858</v>
      </c>
      <c r="BE7" s="14" t="n">
        <v>4579</v>
      </c>
      <c r="BF7" s="14" t="n">
        <v>4752</v>
      </c>
      <c r="BG7" s="14" t="n">
        <v>4223</v>
      </c>
      <c r="BH7" s="14" t="n">
        <v>5182</v>
      </c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</row>
    <row r="12">
      <c r="AS12" s="7" t="inlineStr">
        <is>
          <t>FACTORIES</t>
        </is>
      </c>
    </row>
    <row r="13">
      <c r="AT13" s="75" t="inlineStr">
        <is>
          <t>máximo</t>
        </is>
      </c>
      <c r="AU13" s="75">
        <f>MAX(AT15:AV17)</f>
        <v/>
      </c>
      <c r="AW13" s="75" t="inlineStr">
        <is>
          <t>mínimo</t>
        </is>
      </c>
      <c r="AX13" s="75">
        <f>MIN(AT15:AV17)</f>
        <v/>
      </c>
    </row>
    <row r="14">
      <c r="H14" s="75" t="n">
        <v>16</v>
      </c>
      <c r="I14" s="75" t="n">
        <v>17</v>
      </c>
      <c r="J14" s="75" t="n">
        <v>18</v>
      </c>
      <c r="L14" s="2" t="inlineStr">
        <is>
          <t>Soma</t>
        </is>
      </c>
      <c r="U14" s="7" t="n"/>
      <c r="Z14" s="2" t="n"/>
      <c r="AA14" s="75" t="n">
        <v>16</v>
      </c>
      <c r="AB14" s="75" t="n">
        <v>17</v>
      </c>
      <c r="AC14" s="75" t="n">
        <v>18</v>
      </c>
      <c r="AS14" s="75" t="inlineStr">
        <is>
          <t>Ei (p)</t>
        </is>
      </c>
      <c r="AT14" s="75" t="n">
        <v>16</v>
      </c>
      <c r="AU14" s="75" t="n">
        <v>17</v>
      </c>
      <c r="AV14" s="75" t="n">
        <v>18</v>
      </c>
    </row>
    <row r="15">
      <c r="A15" s="75">
        <f>MIN(H15:J19)</f>
        <v/>
      </c>
      <c r="B15" s="75">
        <f>MAX(H15:J19)</f>
        <v/>
      </c>
      <c r="C15" s="75" t="inlineStr">
        <is>
          <t>prod/dia</t>
        </is>
      </c>
      <c r="D15" s="75" t="inlineStr">
        <is>
          <t>Avarege</t>
        </is>
      </c>
      <c r="E15" s="2">
        <f>Demand!E12</f>
        <v/>
      </c>
      <c r="G15" s="75" t="n">
        <v>4</v>
      </c>
      <c r="H15" s="75">
        <f>Matlab_Data!D56*Matlab_Data!D61</f>
        <v/>
      </c>
      <c r="I15" s="75">
        <f>Matlab_Data!E56*Matlab_Data!E61</f>
        <v/>
      </c>
      <c r="J15" s="75">
        <f>Matlab_Data!F56*Matlab_Data!F61</f>
        <v/>
      </c>
      <c r="L15" s="3">
        <f>SUM(H15:J17)</f>
        <v/>
      </c>
      <c r="S15" s="2" t="n"/>
      <c r="T15" s="2" t="n"/>
      <c r="U15" s="2" t="n"/>
      <c r="Z15" s="75" t="n">
        <v>4</v>
      </c>
      <c r="AA15" s="20">
        <f>TRUNC(IF(H15&lt;0,0,H15),0)</f>
        <v/>
      </c>
      <c r="AB15" s="20">
        <f>TRUNC(IF(I15&lt;0,0,I15),0)</f>
        <v/>
      </c>
      <c r="AC15" s="20">
        <f>TRUNC(IF(J15&lt;0,0,J15),0)</f>
        <v/>
      </c>
      <c r="AR15" s="75" t="inlineStr">
        <is>
          <t>FacBegStock</t>
        </is>
      </c>
      <c r="AS15" s="75" t="n">
        <v>4</v>
      </c>
      <c r="AT15" s="5" t="n">
        <v>9262</v>
      </c>
      <c r="AU15" s="5" t="n">
        <v>10484</v>
      </c>
      <c r="AV15" s="5" t="n">
        <v>7484</v>
      </c>
      <c r="BB15" s="2" t="n"/>
      <c r="BE15" s="2" t="n"/>
      <c r="BF15" s="2" t="n"/>
      <c r="BG15" s="2" t="n"/>
    </row>
    <row r="16">
      <c r="D16" s="75" t="inlineStr">
        <is>
          <t>Std Devition</t>
        </is>
      </c>
      <c r="E16" s="2">
        <f>E15*0.2</f>
        <v/>
      </c>
      <c r="G16" s="75" t="n">
        <v>5</v>
      </c>
      <c r="H16" s="75">
        <f>Matlab_Data!D57*Matlab_Data!D62</f>
        <v/>
      </c>
      <c r="I16" s="75">
        <f>Matlab_Data!E57*Matlab_Data!E62</f>
        <v/>
      </c>
      <c r="J16" s="75">
        <f>Matlab_Data!F57*Matlab_Data!F62</f>
        <v/>
      </c>
      <c r="S16" s="2" t="n"/>
      <c r="T16" s="2" t="n"/>
      <c r="U16" s="2" t="n"/>
      <c r="Z16" s="75" t="n">
        <v>5</v>
      </c>
      <c r="AA16" s="20">
        <f>TRUNC(IF(H16&lt;0,0,H16),0)</f>
        <v/>
      </c>
      <c r="AB16" s="20">
        <f>TRUNC(IF(I16&lt;0,0,I16),0)</f>
        <v/>
      </c>
      <c r="AC16" s="20">
        <f>TRUNC(IF(J16&lt;0,0,J16),0)</f>
        <v/>
      </c>
      <c r="AS16" s="75" t="n">
        <v>5</v>
      </c>
      <c r="AT16" s="5" t="n">
        <v>4623</v>
      </c>
      <c r="AU16" s="5" t="n">
        <v>9995</v>
      </c>
      <c r="AV16" s="5" t="n">
        <v>7558</v>
      </c>
      <c r="BB16" s="2" t="n"/>
      <c r="BE16" s="2" t="n"/>
      <c r="BF16" s="2" t="n"/>
      <c r="BG16" s="2" t="n"/>
    </row>
    <row r="17">
      <c r="G17" s="75" t="n">
        <v>6</v>
      </c>
      <c r="H17" s="75">
        <f>Matlab_Data!D58*Matlab_Data!D63</f>
        <v/>
      </c>
      <c r="I17" s="75">
        <f>Matlab_Data!E58*Matlab_Data!E63</f>
        <v/>
      </c>
      <c r="J17" s="75">
        <f>Matlab_Data!F58*Matlab_Data!F63</f>
        <v/>
      </c>
      <c r="S17" s="2" t="n"/>
      <c r="T17" s="2" t="n"/>
      <c r="U17" s="2" t="n"/>
      <c r="Z17" s="75" t="n">
        <v>6</v>
      </c>
      <c r="AA17" s="20">
        <f>TRUNC(IF(H17&lt;0,0,H17),0)</f>
        <v/>
      </c>
      <c r="AB17" s="20">
        <f>TRUNC(IF(I17&lt;0,0,I17),0)</f>
        <v/>
      </c>
      <c r="AC17" s="20">
        <f>TRUNC(IF(J17&lt;0,0,J17),0)</f>
        <v/>
      </c>
      <c r="AS17" s="75" t="n">
        <v>6</v>
      </c>
      <c r="AT17" s="5" t="n">
        <v>5993</v>
      </c>
      <c r="AU17" s="5" t="n">
        <v>8356</v>
      </c>
      <c r="AV17" s="5" t="n">
        <v>6465</v>
      </c>
      <c r="BB17" s="2" t="n"/>
      <c r="BE17" s="2" t="n"/>
      <c r="BF17" s="2" t="n"/>
      <c r="BG17" s="2" t="n"/>
    </row>
    <row r="18">
      <c r="S18" s="2" t="n"/>
      <c r="T18" s="2" t="n"/>
      <c r="U18" s="2" t="n"/>
      <c r="BB18" s="2" t="n"/>
      <c r="BE18" s="2" t="n"/>
      <c r="BF18" s="2" t="n"/>
      <c r="BG18" s="2" t="n"/>
    </row>
    <row r="19">
      <c r="S19" s="2" t="n"/>
      <c r="T19" s="2" t="n"/>
      <c r="U19" s="2" t="n"/>
      <c r="BB19" s="2" t="n"/>
      <c r="BE19" s="2" t="n"/>
      <c r="BF19" s="2" t="n"/>
      <c r="BG19" s="2" t="n"/>
    </row>
    <row r="20">
      <c r="S20" s="2" t="n"/>
      <c r="T20" s="2" t="n"/>
      <c r="U20" s="2" t="n"/>
      <c r="AR20" s="7" t="n"/>
      <c r="AZ20" s="2" t="n"/>
      <c r="BA20" s="2" t="n"/>
      <c r="BB20" s="2" t="n"/>
      <c r="BE20" s="2" t="n"/>
      <c r="BF20" s="2" t="n"/>
      <c r="BG20" s="2" t="n"/>
    </row>
    <row r="21">
      <c r="S21" s="2" t="n"/>
      <c r="T21" s="2" t="n"/>
      <c r="U21" s="2" t="n"/>
      <c r="AR21" s="7" t="n"/>
      <c r="AZ21" s="2" t="n"/>
      <c r="BA21" s="2" t="n"/>
      <c r="BB21" s="2" t="n"/>
      <c r="BE21" s="2" t="n"/>
      <c r="BF21" s="2" t="n"/>
      <c r="BG21" s="2" t="n"/>
    </row>
    <row r="22">
      <c r="S22" s="2" t="n"/>
      <c r="T22" s="2" t="n"/>
      <c r="U22" s="2" t="n"/>
      <c r="AR22" s="7" t="n"/>
      <c r="AS22" s="7" t="inlineStr">
        <is>
          <t>DISTRIBUTORS</t>
        </is>
      </c>
      <c r="AZ22" s="2" t="n"/>
      <c r="BA22" s="2" t="n"/>
      <c r="BB22" s="2" t="n"/>
      <c r="BE22" s="2" t="n"/>
      <c r="BF22" s="2" t="n"/>
      <c r="BG22" s="2" t="n"/>
    </row>
    <row r="23">
      <c r="S23" s="2" t="n"/>
      <c r="T23" s="2" t="n"/>
      <c r="U23" s="2" t="n"/>
      <c r="AR23" s="7" t="n"/>
      <c r="AT23" s="75" t="inlineStr">
        <is>
          <t>máximo</t>
        </is>
      </c>
      <c r="AU23" s="75">
        <f>MAX(AT25:AV26)</f>
        <v/>
      </c>
      <c r="AW23" s="75" t="inlineStr">
        <is>
          <t>mínimo</t>
        </is>
      </c>
      <c r="AX23" s="75">
        <f>MIN(AT25:AV26)</f>
        <v/>
      </c>
      <c r="AZ23" s="2" t="n"/>
      <c r="BA23" s="2" t="n"/>
      <c r="BB23" s="2" t="n"/>
      <c r="BE23" s="2" t="n"/>
      <c r="BF23" s="2" t="n"/>
      <c r="BG23" s="2" t="n"/>
    </row>
    <row r="24">
      <c r="H24" s="75" t="n">
        <v>19</v>
      </c>
      <c r="I24" s="75" t="n">
        <v>20</v>
      </c>
      <c r="J24" s="75" t="n">
        <v>21</v>
      </c>
      <c r="Z24" s="2" t="n"/>
      <c r="AA24" s="75" t="n">
        <v>19</v>
      </c>
      <c r="AB24" s="75" t="n">
        <v>20</v>
      </c>
      <c r="AC24" s="75" t="n">
        <v>21</v>
      </c>
      <c r="AS24" s="75" t="inlineStr">
        <is>
          <t>Ei (p)</t>
        </is>
      </c>
      <c r="AT24" s="75" t="n">
        <v>19</v>
      </c>
      <c r="AU24" s="75" t="n">
        <v>20</v>
      </c>
      <c r="AV24" s="75" t="n">
        <v>21</v>
      </c>
    </row>
    <row r="25">
      <c r="A25" s="75">
        <f>MIN(H25:J26)</f>
        <v/>
      </c>
      <c r="B25" s="75">
        <f>MAX(H25:J26)</f>
        <v/>
      </c>
      <c r="C25" s="75" t="inlineStr">
        <is>
          <t>prod/dia</t>
        </is>
      </c>
      <c r="D25" s="75" t="inlineStr">
        <is>
          <t>Avarege</t>
        </is>
      </c>
      <c r="E25" s="2">
        <f>Demand!E20</f>
        <v/>
      </c>
      <c r="G25" s="75" t="n">
        <v>7</v>
      </c>
      <c r="H25" s="75">
        <f>TRUNC((_xlfn.NORM.INV((RAND()),$E$25,$E$26)),2)</f>
        <v/>
      </c>
      <c r="I25" s="75">
        <f>TRUNC((_xlfn.NORM.INV((RAND()),$E$25,$E$26)),2)</f>
        <v/>
      </c>
      <c r="J25" s="75">
        <f>TRUNC((_xlfn.NORM.INV((RAND()),$E$25,$E$26)),2)</f>
        <v/>
      </c>
      <c r="L25" s="75">
        <f>SUM(H25:J26)</f>
        <v/>
      </c>
      <c r="Z25" s="75" t="n">
        <v>7</v>
      </c>
      <c r="AA25" s="20">
        <f>TRUNC(IF(H25&lt;0,0,H25),0)</f>
        <v/>
      </c>
      <c r="AB25" s="20">
        <f>TRUNC(IF(I25&lt;0,0,I25),0)</f>
        <v/>
      </c>
      <c r="AC25" s="20">
        <f>TRUNC(IF(J25&lt;0,0,J25),0)</f>
        <v/>
      </c>
      <c r="AR25" s="75" t="inlineStr">
        <is>
          <t>DistBegStock</t>
        </is>
      </c>
      <c r="AS25" s="75" t="n">
        <v>7</v>
      </c>
      <c r="AT25" s="5" t="n">
        <v>316</v>
      </c>
      <c r="AU25" s="5" t="n">
        <v>472</v>
      </c>
      <c r="AV25" s="5" t="n">
        <v>641</v>
      </c>
      <c r="AZ25" s="2" t="n"/>
      <c r="BA25" s="2" t="n"/>
      <c r="BB25" s="2" t="n"/>
      <c r="BE25" s="2" t="n"/>
      <c r="BF25" s="2" t="n"/>
      <c r="BG25" s="2" t="n"/>
    </row>
    <row r="26">
      <c r="D26" s="75" t="inlineStr">
        <is>
          <t>Std Devition</t>
        </is>
      </c>
      <c r="E26" s="2">
        <f>E25*0.2</f>
        <v/>
      </c>
      <c r="G26" s="75" t="n">
        <v>8</v>
      </c>
      <c r="H26" s="75">
        <f>TRUNC((_xlfn.NORM.INV((RAND()),$E$25,$E$26)),2)</f>
        <v/>
      </c>
      <c r="I26" s="75">
        <f>TRUNC((_xlfn.NORM.INV((RAND()),$E$25,$E$26)),2)</f>
        <v/>
      </c>
      <c r="J26" s="75">
        <f>TRUNC((_xlfn.NORM.INV((RAND()),$E$25,$E$26)),2)</f>
        <v/>
      </c>
      <c r="Z26" s="75" t="n">
        <v>8</v>
      </c>
      <c r="AA26" s="20">
        <f>TRUNC(IF(H26&lt;0,0,H26),0)</f>
        <v/>
      </c>
      <c r="AB26" s="20">
        <f>TRUNC(IF(I26&lt;0,0,I26),0)</f>
        <v/>
      </c>
      <c r="AC26" s="20">
        <f>TRUNC(IF(J26&lt;0,0,J26),0)</f>
        <v/>
      </c>
      <c r="AS26" s="75" t="n">
        <v>8</v>
      </c>
      <c r="AT26" s="5" t="n">
        <v>448</v>
      </c>
      <c r="AU26" s="5" t="n">
        <v>762</v>
      </c>
      <c r="AV26" s="5" t="n">
        <v>307</v>
      </c>
      <c r="AZ26" s="2" t="n"/>
      <c r="BA26" s="2" t="n"/>
      <c r="BB26" s="2" t="n"/>
      <c r="BE26" s="2" t="n"/>
      <c r="BF26" s="2" t="n"/>
      <c r="BG26" s="2" t="n"/>
    </row>
    <row r="27">
      <c r="Z27" s="17" t="n"/>
      <c r="AA27" s="20" t="n"/>
    </row>
    <row r="32">
      <c r="AS32" s="7" t="inlineStr">
        <is>
          <t>RETAILERS</t>
        </is>
      </c>
    </row>
    <row r="33">
      <c r="AT33" s="75" t="inlineStr">
        <is>
          <t>máximo</t>
        </is>
      </c>
      <c r="AU33" s="75">
        <f>MAX(AT35:AV224)</f>
        <v/>
      </c>
      <c r="AW33" s="75" t="inlineStr">
        <is>
          <t>mínimo</t>
        </is>
      </c>
      <c r="AX33" s="75">
        <f>MIN(AT35:AV224)</f>
        <v/>
      </c>
    </row>
    <row r="34">
      <c r="H34" s="75" t="n">
        <v>22</v>
      </c>
      <c r="I34" s="75" t="n">
        <v>23</v>
      </c>
      <c r="J34" s="75" t="n">
        <v>24</v>
      </c>
      <c r="U34" s="7" t="n"/>
      <c r="Z34" s="2" t="n"/>
      <c r="AA34" s="75" t="n">
        <v>22</v>
      </c>
      <c r="AB34" s="75" t="n">
        <v>23</v>
      </c>
      <c r="AC34" s="75" t="n">
        <v>24</v>
      </c>
      <c r="AS34" s="75" t="inlineStr">
        <is>
          <t>Ei (p)</t>
        </is>
      </c>
      <c r="AT34" s="75" t="n">
        <v>22</v>
      </c>
      <c r="AU34" s="75" t="n">
        <v>23</v>
      </c>
      <c r="AV34" s="75" t="n">
        <v>24</v>
      </c>
    </row>
    <row r="35">
      <c r="A35" s="75">
        <f>MIN(H35:J224)</f>
        <v/>
      </c>
      <c r="B35" s="75">
        <f>MAX(H35:J224)</f>
        <v/>
      </c>
      <c r="C35" s="75" t="inlineStr">
        <is>
          <t>prod/dia</t>
        </is>
      </c>
      <c r="D35" s="75" t="inlineStr">
        <is>
          <t>Avarege</t>
        </is>
      </c>
      <c r="E35" s="2">
        <f>Demand!E25</f>
        <v/>
      </c>
      <c r="F35" s="75" t="inlineStr">
        <is>
          <t>SigmarDem</t>
        </is>
      </c>
      <c r="G35" s="75" t="n">
        <v>9</v>
      </c>
      <c r="H35" s="75">
        <f>TRUNC((_xlfn.NORM.INV((RAND()),$E$35,$E$36)),2)</f>
        <v/>
      </c>
      <c r="I35" s="75">
        <f>TRUNC((_xlfn.NORM.INV((RAND()),$E$35,$E$36)),2)</f>
        <v/>
      </c>
      <c r="J35" s="75">
        <f>TRUNC((_xlfn.NORM.INV((RAND()),$E$35,$E$36)),2)</f>
        <v/>
      </c>
      <c r="L35" s="75">
        <f>SUM(H35:J224)</f>
        <v/>
      </c>
      <c r="Z35" s="75" t="n">
        <v>9</v>
      </c>
      <c r="AA35" s="20">
        <f>TRUNC(IF(H35&lt;0,0,H35),0)</f>
        <v/>
      </c>
      <c r="AB35" s="20">
        <f>TRUNC(IF(I35&lt;0,0,I35),0)</f>
        <v/>
      </c>
      <c r="AC35" s="20">
        <f>TRUNC(IF(J35&lt;0,0,J35),0)</f>
        <v/>
      </c>
      <c r="AR35" s="75" t="inlineStr">
        <is>
          <t>RetBegStock</t>
        </is>
      </c>
      <c r="AS35" s="75" t="n">
        <v>9</v>
      </c>
      <c r="AT35" s="5" t="n">
        <v>4</v>
      </c>
      <c r="AU35" s="5" t="n">
        <v>5</v>
      </c>
      <c r="AV35" s="5" t="n">
        <v>3</v>
      </c>
      <c r="AZ35" s="2" t="n"/>
      <c r="BA35" s="2" t="n"/>
      <c r="BB35" s="2" t="n"/>
      <c r="BE35" s="2" t="n"/>
      <c r="BF35" s="2" t="n"/>
      <c r="BG35" s="2" t="n"/>
    </row>
    <row r="36">
      <c r="D36" s="75" t="inlineStr">
        <is>
          <t>Std Devition</t>
        </is>
      </c>
      <c r="E36" s="2">
        <f>E35*0.25</f>
        <v/>
      </c>
      <c r="G36" s="75" t="n">
        <v>10</v>
      </c>
      <c r="H36" s="75">
        <f>TRUNC((_xlfn.NORM.INV((RAND()),$E$35,$E$36)),2)</f>
        <v/>
      </c>
      <c r="I36" s="75">
        <f>TRUNC((_xlfn.NORM.INV((RAND()),$E$35,$E$36)),2)</f>
        <v/>
      </c>
      <c r="J36" s="75">
        <f>TRUNC((_xlfn.NORM.INV((RAND()),$E$35,$E$36)),2)</f>
        <v/>
      </c>
      <c r="Z36" s="75" t="n">
        <v>10</v>
      </c>
      <c r="AA36" s="20">
        <f>TRUNC(IF(H36&lt;0,0,H36),0)</f>
        <v/>
      </c>
      <c r="AB36" s="20">
        <f>TRUNC(IF(I36&lt;0,0,I36),0)</f>
        <v/>
      </c>
      <c r="AC36" s="20">
        <f>TRUNC(IF(J36&lt;0,0,J36),0)</f>
        <v/>
      </c>
      <c r="AS36" s="75" t="n">
        <v>10</v>
      </c>
      <c r="AT36" s="5" t="n">
        <v>4</v>
      </c>
      <c r="AU36" s="5" t="n">
        <v>5</v>
      </c>
      <c r="AV36" s="5" t="n">
        <v>7</v>
      </c>
      <c r="AZ36" s="2" t="n"/>
      <c r="BA36" s="2" t="n"/>
      <c r="BB36" s="2" t="n"/>
      <c r="BE36" s="2" t="n"/>
      <c r="BF36" s="2" t="n"/>
      <c r="BG36" s="2" t="n"/>
    </row>
    <row r="37">
      <c r="G37" s="75" t="n">
        <v>11</v>
      </c>
      <c r="H37" s="75">
        <f>TRUNC((_xlfn.NORM.INV((RAND()),$E$35,$E$36)),2)</f>
        <v/>
      </c>
      <c r="I37" s="75">
        <f>TRUNC((_xlfn.NORM.INV((RAND()),$E$35,$E$36)),2)</f>
        <v/>
      </c>
      <c r="J37" s="75">
        <f>TRUNC((_xlfn.NORM.INV((RAND()),$E$35,$E$36)),2)</f>
        <v/>
      </c>
      <c r="Z37" s="75" t="n">
        <v>11</v>
      </c>
      <c r="AA37" s="20">
        <f>TRUNC(IF(H37&lt;0,0,H37),0)</f>
        <v/>
      </c>
      <c r="AB37" s="20">
        <f>TRUNC(IF(I37&lt;0,0,I37),0)</f>
        <v/>
      </c>
      <c r="AC37" s="20">
        <f>TRUNC(IF(J37&lt;0,0,J37),0)</f>
        <v/>
      </c>
      <c r="AS37" s="75" t="n">
        <v>11</v>
      </c>
      <c r="AT37" s="5" t="n">
        <v>4</v>
      </c>
      <c r="AU37" s="5" t="n">
        <v>5</v>
      </c>
      <c r="AV37" s="5" t="n">
        <v>4</v>
      </c>
      <c r="AZ37" s="2" t="n"/>
      <c r="BA37" s="2" t="n"/>
      <c r="BB37" s="2" t="n"/>
      <c r="BE37" s="2" t="n"/>
      <c r="BF37" s="2" t="n"/>
      <c r="BG37" s="2" t="n"/>
    </row>
    <row r="38">
      <c r="G38" s="75" t="n">
        <v>12</v>
      </c>
      <c r="H38" s="75">
        <f>TRUNC((_xlfn.NORM.INV((RAND()),$E$35,$E$36)),2)</f>
        <v/>
      </c>
      <c r="I38" s="75">
        <f>TRUNC((_xlfn.NORM.INV((RAND()),$E$35,$E$36)),2)</f>
        <v/>
      </c>
      <c r="J38" s="75">
        <f>TRUNC((_xlfn.NORM.INV((RAND()),$E$35,$E$36)),2)</f>
        <v/>
      </c>
      <c r="Z38" s="75" t="n">
        <v>12</v>
      </c>
      <c r="AA38" s="20">
        <f>TRUNC(IF(H38&lt;0,0,H38),0)</f>
        <v/>
      </c>
      <c r="AB38" s="20">
        <f>TRUNC(IF(I38&lt;0,0,I38),0)</f>
        <v/>
      </c>
      <c r="AC38" s="20">
        <f>TRUNC(IF(J38&lt;0,0,J38),0)</f>
        <v/>
      </c>
      <c r="AS38" s="75" t="n">
        <v>12</v>
      </c>
      <c r="AT38" s="5" t="n">
        <v>4</v>
      </c>
      <c r="AU38" s="5" t="n">
        <v>7</v>
      </c>
      <c r="AV38" s="5" t="n">
        <v>6</v>
      </c>
      <c r="AZ38" s="2" t="n"/>
      <c r="BA38" s="2" t="n"/>
      <c r="BB38" s="2" t="n"/>
      <c r="BE38" s="2" t="n"/>
      <c r="BF38" s="2" t="n"/>
      <c r="BG38" s="2" t="n"/>
    </row>
    <row r="39">
      <c r="G39" s="75" t="n">
        <v>13</v>
      </c>
      <c r="H39" s="75">
        <f>TRUNC((_xlfn.NORM.INV((RAND()),$E$35,$E$36)),2)</f>
        <v/>
      </c>
      <c r="I39" s="75">
        <f>TRUNC((_xlfn.NORM.INV((RAND()),$E$35,$E$36)),2)</f>
        <v/>
      </c>
      <c r="J39" s="75">
        <f>TRUNC((_xlfn.NORM.INV((RAND()),$E$35,$E$36)),2)</f>
        <v/>
      </c>
      <c r="Z39" s="75" t="n">
        <v>13</v>
      </c>
      <c r="AA39" s="20">
        <f>TRUNC(IF(H39&lt;0,0,H39),0)</f>
        <v/>
      </c>
      <c r="AB39" s="20">
        <f>TRUNC(IF(I39&lt;0,0,I39),0)</f>
        <v/>
      </c>
      <c r="AC39" s="20">
        <f>TRUNC(IF(J39&lt;0,0,J39),0)</f>
        <v/>
      </c>
      <c r="AS39" s="75" t="n">
        <v>13</v>
      </c>
      <c r="AT39" s="5" t="n">
        <v>3</v>
      </c>
      <c r="AU39" s="5" t="n">
        <v>3</v>
      </c>
      <c r="AV39" s="5" t="n">
        <v>5</v>
      </c>
      <c r="AZ39" s="2" t="n"/>
      <c r="BA39" s="2" t="n"/>
      <c r="BB39" s="2" t="n"/>
      <c r="BE39" s="2" t="n"/>
      <c r="BF39" s="2" t="n"/>
      <c r="BG39" s="2" t="n"/>
    </row>
    <row r="40">
      <c r="G40" s="75" t="n">
        <v>14</v>
      </c>
      <c r="H40" s="75">
        <f>TRUNC((_xlfn.NORM.INV((RAND()),$E$35,$E$36)),2)</f>
        <v/>
      </c>
      <c r="I40" s="75">
        <f>TRUNC((_xlfn.NORM.INV((RAND()),$E$35,$E$36)),2)</f>
        <v/>
      </c>
      <c r="J40" s="75">
        <f>TRUNC((_xlfn.NORM.INV((RAND()),$E$35,$E$36)),2)</f>
        <v/>
      </c>
      <c r="Z40" s="75" t="n">
        <v>14</v>
      </c>
      <c r="AA40" s="20">
        <f>TRUNC(IF(H40&lt;0,0,H40),0)</f>
        <v/>
      </c>
      <c r="AB40" s="20">
        <f>TRUNC(IF(I40&lt;0,0,I40),0)</f>
        <v/>
      </c>
      <c r="AC40" s="20">
        <f>TRUNC(IF(J40&lt;0,0,J40),0)</f>
        <v/>
      </c>
      <c r="AS40" s="75" t="n">
        <v>14</v>
      </c>
      <c r="AT40" s="5" t="n">
        <v>6</v>
      </c>
      <c r="AU40" s="5" t="n">
        <v>4</v>
      </c>
      <c r="AV40" s="5" t="n">
        <v>5</v>
      </c>
      <c r="AZ40" s="2" t="n"/>
      <c r="BA40" s="2" t="n"/>
      <c r="BB40" s="2" t="n"/>
      <c r="BE40" s="2" t="n"/>
      <c r="BF40" s="2" t="n"/>
      <c r="BG40" s="2" t="n"/>
    </row>
    <row r="41">
      <c r="G41" s="75" t="n">
        <v>15</v>
      </c>
      <c r="H41" s="75">
        <f>TRUNC((_xlfn.NORM.INV((RAND()),$E$35,$E$36)),2)</f>
        <v/>
      </c>
      <c r="I41" s="75">
        <f>TRUNC((_xlfn.NORM.INV((RAND()),$E$35,$E$36)),2)</f>
        <v/>
      </c>
      <c r="J41" s="75">
        <f>TRUNC((_xlfn.NORM.INV((RAND()),$E$35,$E$36)),2)</f>
        <v/>
      </c>
      <c r="Z41" s="75" t="n">
        <v>15</v>
      </c>
      <c r="AA41" s="20">
        <f>TRUNC(IF(H41&lt;0,0,H41),0)</f>
        <v/>
      </c>
      <c r="AB41" s="20">
        <f>TRUNC(IF(I41&lt;0,0,I41),0)</f>
        <v/>
      </c>
      <c r="AC41" s="20">
        <f>TRUNC(IF(J41&lt;0,0,J41),0)</f>
        <v/>
      </c>
      <c r="AS41" s="75" t="n">
        <v>15</v>
      </c>
      <c r="AT41" s="5" t="n">
        <v>6</v>
      </c>
      <c r="AU41" s="5" t="n">
        <v>5</v>
      </c>
      <c r="AV41" s="5" t="n">
        <v>3</v>
      </c>
      <c r="AZ41" s="2" t="n"/>
      <c r="BA41" s="2" t="n"/>
      <c r="BB41" s="2" t="n"/>
      <c r="BE41" s="2" t="n"/>
      <c r="BF41" s="2" t="n"/>
      <c r="BG41" s="2" t="n"/>
    </row>
    <row r="42">
      <c r="G42" s="75" t="n">
        <v>16</v>
      </c>
      <c r="H42" s="75">
        <f>TRUNC((_xlfn.NORM.INV((RAND()),$E$35,$E$36)),2)</f>
        <v/>
      </c>
      <c r="I42" s="75">
        <f>TRUNC((_xlfn.NORM.INV((RAND()),$E$35,$E$36)),2)</f>
        <v/>
      </c>
      <c r="J42" s="75">
        <f>TRUNC((_xlfn.NORM.INV((RAND()),$E$35,$E$36)),2)</f>
        <v/>
      </c>
      <c r="Z42" s="75" t="n">
        <v>16</v>
      </c>
      <c r="AA42" s="20">
        <f>TRUNC(IF(H42&lt;0,0,H42),0)</f>
        <v/>
      </c>
      <c r="AB42" s="20">
        <f>TRUNC(IF(I42&lt;0,0,I42),0)</f>
        <v/>
      </c>
      <c r="AC42" s="20">
        <f>TRUNC(IF(J42&lt;0,0,J42),0)</f>
        <v/>
      </c>
      <c r="AS42" s="75" t="n">
        <v>16</v>
      </c>
      <c r="AT42" s="5" t="n">
        <v>4</v>
      </c>
      <c r="AU42" s="5" t="n">
        <v>2</v>
      </c>
      <c r="AV42" s="5" t="n">
        <v>6</v>
      </c>
      <c r="AZ42" s="2" t="n"/>
      <c r="BA42" s="2" t="n"/>
      <c r="BB42" s="2" t="n"/>
      <c r="BE42" s="2" t="n"/>
      <c r="BF42" s="2" t="n"/>
      <c r="BG42" s="2" t="n"/>
    </row>
    <row r="43">
      <c r="G43" s="75" t="n">
        <v>17</v>
      </c>
      <c r="H43" s="75">
        <f>TRUNC((_xlfn.NORM.INV((RAND()),$E$35,$E$36)),2)</f>
        <v/>
      </c>
      <c r="I43" s="75">
        <f>TRUNC((_xlfn.NORM.INV((RAND()),$E$35,$E$36)),2)</f>
        <v/>
      </c>
      <c r="J43" s="75">
        <f>TRUNC((_xlfn.NORM.INV((RAND()),$E$35,$E$36)),2)</f>
        <v/>
      </c>
      <c r="Z43" s="75" t="n">
        <v>17</v>
      </c>
      <c r="AA43" s="20">
        <f>TRUNC(IF(H43&lt;0,0,H43),0)</f>
        <v/>
      </c>
      <c r="AB43" s="20">
        <f>TRUNC(IF(I43&lt;0,0,I43),0)</f>
        <v/>
      </c>
      <c r="AC43" s="20">
        <f>TRUNC(IF(J43&lt;0,0,J43),0)</f>
        <v/>
      </c>
      <c r="AS43" s="75" t="n">
        <v>17</v>
      </c>
      <c r="AT43" s="5" t="n">
        <v>4</v>
      </c>
      <c r="AU43" s="5" t="n">
        <v>4</v>
      </c>
      <c r="AV43" s="5" t="n">
        <v>5</v>
      </c>
      <c r="AZ43" s="2" t="n"/>
      <c r="BA43" s="2" t="n"/>
      <c r="BB43" s="2" t="n"/>
      <c r="BE43" s="2" t="n"/>
      <c r="BF43" s="2" t="n"/>
      <c r="BG43" s="2" t="n"/>
    </row>
    <row r="44">
      <c r="G44" s="75" t="n">
        <v>18</v>
      </c>
      <c r="H44" s="75">
        <f>TRUNC((_xlfn.NORM.INV((RAND()),$E$35,$E$36)),2)</f>
        <v/>
      </c>
      <c r="I44" s="75">
        <f>TRUNC((_xlfn.NORM.INV((RAND()),$E$35,$E$36)),2)</f>
        <v/>
      </c>
      <c r="J44" s="75">
        <f>TRUNC((_xlfn.NORM.INV((RAND()),$E$35,$E$36)),2)</f>
        <v/>
      </c>
      <c r="Z44" s="75" t="n">
        <v>18</v>
      </c>
      <c r="AA44" s="20">
        <f>TRUNC(IF(H44&lt;0,0,H44),0)</f>
        <v/>
      </c>
      <c r="AB44" s="20">
        <f>TRUNC(IF(I44&lt;0,0,I44),0)</f>
        <v/>
      </c>
      <c r="AC44" s="20">
        <f>TRUNC(IF(J44&lt;0,0,J44),0)</f>
        <v/>
      </c>
      <c r="AS44" s="75" t="n">
        <v>18</v>
      </c>
      <c r="AT44" s="5" t="n">
        <v>1</v>
      </c>
      <c r="AU44" s="5" t="n">
        <v>4</v>
      </c>
      <c r="AV44" s="5" t="n">
        <v>5</v>
      </c>
      <c r="AZ44" s="2" t="n"/>
      <c r="BA44" s="2" t="n"/>
      <c r="BB44" s="2" t="n"/>
      <c r="BE44" s="2" t="n"/>
      <c r="BF44" s="2" t="n"/>
      <c r="BG44" s="2" t="n"/>
    </row>
    <row r="45">
      <c r="G45" s="75" t="n">
        <v>19</v>
      </c>
      <c r="H45" s="75">
        <f>TRUNC((_xlfn.NORM.INV((RAND()),$E$35,$E$36)),2)</f>
        <v/>
      </c>
      <c r="I45" s="75">
        <f>TRUNC((_xlfn.NORM.INV((RAND()),$E$35,$E$36)),2)</f>
        <v/>
      </c>
      <c r="J45" s="75">
        <f>TRUNC((_xlfn.NORM.INV((RAND()),$E$35,$E$36)),2)</f>
        <v/>
      </c>
      <c r="Z45" s="75" t="n">
        <v>19</v>
      </c>
      <c r="AA45" s="20">
        <f>TRUNC(IF(H45&lt;0,0,H45),0)</f>
        <v/>
      </c>
      <c r="AB45" s="20">
        <f>TRUNC(IF(I45&lt;0,0,I45),0)</f>
        <v/>
      </c>
      <c r="AC45" s="20">
        <f>TRUNC(IF(J45&lt;0,0,J45),0)</f>
        <v/>
      </c>
      <c r="AS45" s="75" t="n">
        <v>19</v>
      </c>
      <c r="AT45" s="5" t="n">
        <v>5</v>
      </c>
      <c r="AU45" s="5" t="n">
        <v>2</v>
      </c>
      <c r="AV45" s="5" t="n">
        <v>4</v>
      </c>
      <c r="AZ45" s="2" t="n"/>
      <c r="BA45" s="2" t="n"/>
      <c r="BB45" s="2" t="n"/>
      <c r="BE45" s="2" t="n"/>
      <c r="BF45" s="2" t="n"/>
      <c r="BG45" s="2" t="n"/>
    </row>
    <row r="46">
      <c r="G46" s="75" t="n">
        <v>20</v>
      </c>
      <c r="H46" s="75">
        <f>TRUNC((_xlfn.NORM.INV((RAND()),$E$35,$E$36)),2)</f>
        <v/>
      </c>
      <c r="I46" s="75">
        <f>TRUNC((_xlfn.NORM.INV((RAND()),$E$35,$E$36)),2)</f>
        <v/>
      </c>
      <c r="J46" s="75">
        <f>TRUNC((_xlfn.NORM.INV((RAND()),$E$35,$E$36)),2)</f>
        <v/>
      </c>
      <c r="Z46" s="75" t="n">
        <v>20</v>
      </c>
      <c r="AA46" s="20">
        <f>TRUNC(IF(H46&lt;0,0,H46),0)</f>
        <v/>
      </c>
      <c r="AB46" s="20">
        <f>TRUNC(IF(I46&lt;0,0,I46),0)</f>
        <v/>
      </c>
      <c r="AC46" s="20">
        <f>TRUNC(IF(J46&lt;0,0,J46),0)</f>
        <v/>
      </c>
      <c r="AS46" s="75" t="n">
        <v>20</v>
      </c>
      <c r="AT46" s="5" t="n">
        <v>5</v>
      </c>
      <c r="AU46" s="5" t="n">
        <v>6</v>
      </c>
      <c r="AV46" s="5" t="n">
        <v>3</v>
      </c>
      <c r="AZ46" s="2" t="n"/>
      <c r="BA46" s="2" t="n"/>
      <c r="BB46" s="2" t="n"/>
      <c r="BE46" s="2" t="n"/>
      <c r="BF46" s="2" t="n"/>
      <c r="BG46" s="2" t="n"/>
    </row>
    <row r="47">
      <c r="G47" s="75" t="n">
        <v>21</v>
      </c>
      <c r="H47" s="75">
        <f>TRUNC((_xlfn.NORM.INV((RAND()),$E$35,$E$36)),2)</f>
        <v/>
      </c>
      <c r="I47" s="75">
        <f>TRUNC((_xlfn.NORM.INV((RAND()),$E$35,$E$36)),2)</f>
        <v/>
      </c>
      <c r="J47" s="75">
        <f>TRUNC((_xlfn.NORM.INV((RAND()),$E$35,$E$36)),2)</f>
        <v/>
      </c>
      <c r="Z47" s="75" t="n">
        <v>21</v>
      </c>
      <c r="AA47" s="20">
        <f>TRUNC(IF(H47&lt;0,0,H47),0)</f>
        <v/>
      </c>
      <c r="AB47" s="20">
        <f>TRUNC(IF(I47&lt;0,0,I47),0)</f>
        <v/>
      </c>
      <c r="AC47" s="20">
        <f>TRUNC(IF(J47&lt;0,0,J47),0)</f>
        <v/>
      </c>
      <c r="AS47" s="75" t="n">
        <v>21</v>
      </c>
      <c r="AT47" s="5" t="n">
        <v>3</v>
      </c>
      <c r="AU47" s="5" t="n">
        <v>3</v>
      </c>
      <c r="AV47" s="5" t="n">
        <v>3</v>
      </c>
      <c r="AZ47" s="2" t="n"/>
      <c r="BA47" s="2" t="n"/>
      <c r="BB47" s="2" t="n"/>
      <c r="BE47" s="2" t="n"/>
      <c r="BF47" s="2" t="n"/>
      <c r="BG47" s="2" t="n"/>
    </row>
    <row r="48">
      <c r="G48" s="75" t="n">
        <v>22</v>
      </c>
      <c r="H48" s="75">
        <f>TRUNC((_xlfn.NORM.INV((RAND()),$E$35,$E$36)),2)</f>
        <v/>
      </c>
      <c r="I48" s="75">
        <f>TRUNC((_xlfn.NORM.INV((RAND()),$E$35,$E$36)),2)</f>
        <v/>
      </c>
      <c r="J48" s="75">
        <f>TRUNC((_xlfn.NORM.INV((RAND()),$E$35,$E$36)),2)</f>
        <v/>
      </c>
      <c r="Z48" s="75" t="n">
        <v>22</v>
      </c>
      <c r="AA48" s="20">
        <f>TRUNC(IF(H48&lt;0,0,H48),0)</f>
        <v/>
      </c>
      <c r="AB48" s="20">
        <f>TRUNC(IF(I48&lt;0,0,I48),0)</f>
        <v/>
      </c>
      <c r="AC48" s="20">
        <f>TRUNC(IF(J48&lt;0,0,J48),0)</f>
        <v/>
      </c>
      <c r="AS48" s="75" t="n">
        <v>22</v>
      </c>
      <c r="AT48" s="5" t="n">
        <v>7</v>
      </c>
      <c r="AU48" s="5" t="n">
        <v>4</v>
      </c>
      <c r="AV48" s="5" t="n">
        <v>6</v>
      </c>
      <c r="AZ48" s="2" t="n"/>
      <c r="BA48" s="2" t="n"/>
      <c r="BB48" s="2" t="n"/>
      <c r="BE48" s="2" t="n"/>
      <c r="BF48" s="2" t="n"/>
      <c r="BG48" s="2" t="n"/>
    </row>
    <row r="49">
      <c r="G49" s="75" t="n">
        <v>23</v>
      </c>
      <c r="H49" s="75">
        <f>TRUNC((_xlfn.NORM.INV((RAND()),$E$35,$E$36)),2)</f>
        <v/>
      </c>
      <c r="I49" s="75">
        <f>TRUNC((_xlfn.NORM.INV((RAND()),$E$35,$E$36)),2)</f>
        <v/>
      </c>
      <c r="J49" s="75">
        <f>TRUNC((_xlfn.NORM.INV((RAND()),$E$35,$E$36)),2)</f>
        <v/>
      </c>
      <c r="Z49" s="75" t="n">
        <v>23</v>
      </c>
      <c r="AA49" s="20">
        <f>TRUNC(IF(H49&lt;0,0,H49),0)</f>
        <v/>
      </c>
      <c r="AB49" s="20">
        <f>TRUNC(IF(I49&lt;0,0,I49),0)</f>
        <v/>
      </c>
      <c r="AC49" s="20">
        <f>TRUNC(IF(J49&lt;0,0,J49),0)</f>
        <v/>
      </c>
      <c r="AS49" s="75" t="n">
        <v>23</v>
      </c>
      <c r="AT49" s="5" t="n">
        <v>5</v>
      </c>
      <c r="AU49" s="5" t="n">
        <v>6</v>
      </c>
      <c r="AV49" s="5" t="n">
        <v>3</v>
      </c>
      <c r="AZ49" s="2" t="n"/>
      <c r="BA49" s="2" t="n"/>
      <c r="BB49" s="2" t="n"/>
      <c r="BE49" s="2" t="n"/>
      <c r="BF49" s="2" t="n"/>
      <c r="BG49" s="2" t="n"/>
    </row>
    <row r="50">
      <c r="G50" s="75" t="n">
        <v>24</v>
      </c>
      <c r="H50" s="75">
        <f>TRUNC((_xlfn.NORM.INV((RAND()),$E$35,$E$36)),2)</f>
        <v/>
      </c>
      <c r="I50" s="75">
        <f>TRUNC((_xlfn.NORM.INV((RAND()),$E$35,$E$36)),2)</f>
        <v/>
      </c>
      <c r="J50" s="75">
        <f>TRUNC((_xlfn.NORM.INV((RAND()),$E$35,$E$36)),2)</f>
        <v/>
      </c>
      <c r="Z50" s="75" t="n">
        <v>24</v>
      </c>
      <c r="AA50" s="20">
        <f>TRUNC(IF(H50&lt;0,0,H50),0)</f>
        <v/>
      </c>
      <c r="AB50" s="20">
        <f>TRUNC(IF(I50&lt;0,0,I50),0)</f>
        <v/>
      </c>
      <c r="AC50" s="20">
        <f>TRUNC(IF(J50&lt;0,0,J50),0)</f>
        <v/>
      </c>
      <c r="AS50" s="75" t="n">
        <v>24</v>
      </c>
      <c r="AT50" s="5" t="n">
        <v>6</v>
      </c>
      <c r="AU50" s="5" t="n">
        <v>5</v>
      </c>
      <c r="AV50" s="5" t="n">
        <v>3</v>
      </c>
      <c r="AZ50" s="2" t="n"/>
      <c r="BA50" s="2" t="n"/>
      <c r="BB50" s="2" t="n"/>
      <c r="BE50" s="2" t="n"/>
      <c r="BF50" s="2" t="n"/>
      <c r="BG50" s="2" t="n"/>
    </row>
    <row r="51">
      <c r="G51" s="75" t="n">
        <v>25</v>
      </c>
      <c r="H51" s="75">
        <f>TRUNC((_xlfn.NORM.INV((RAND()),$E$35,$E$36)),2)</f>
        <v/>
      </c>
      <c r="I51" s="75">
        <f>TRUNC((_xlfn.NORM.INV((RAND()),$E$35,$E$36)),2)</f>
        <v/>
      </c>
      <c r="J51" s="75">
        <f>TRUNC((_xlfn.NORM.INV((RAND()),$E$35,$E$36)),2)</f>
        <v/>
      </c>
      <c r="Z51" s="75" t="n">
        <v>25</v>
      </c>
      <c r="AA51" s="20">
        <f>TRUNC(IF(H51&lt;0,0,H51),0)</f>
        <v/>
      </c>
      <c r="AB51" s="20">
        <f>TRUNC(IF(I51&lt;0,0,I51),0)</f>
        <v/>
      </c>
      <c r="AC51" s="20">
        <f>TRUNC(IF(J51&lt;0,0,J51),0)</f>
        <v/>
      </c>
      <c r="AS51" s="75" t="n">
        <v>25</v>
      </c>
      <c r="AT51" s="5" t="n">
        <v>3</v>
      </c>
      <c r="AU51" s="5" t="n">
        <v>3</v>
      </c>
      <c r="AV51" s="5" t="n">
        <v>3</v>
      </c>
      <c r="AZ51" s="2" t="n"/>
      <c r="BA51" s="2" t="n"/>
      <c r="BB51" s="2" t="n"/>
      <c r="BE51" s="2" t="n"/>
      <c r="BF51" s="2" t="n"/>
      <c r="BG51" s="2" t="n"/>
    </row>
    <row r="52">
      <c r="G52" s="75" t="n">
        <v>26</v>
      </c>
      <c r="H52" s="75">
        <f>TRUNC((_xlfn.NORM.INV((RAND()),$E$35,$E$36)),2)</f>
        <v/>
      </c>
      <c r="I52" s="75">
        <f>TRUNC((_xlfn.NORM.INV((RAND()),$E$35,$E$36)),2)</f>
        <v/>
      </c>
      <c r="J52" s="75">
        <f>TRUNC((_xlfn.NORM.INV((RAND()),$E$35,$E$36)),2)</f>
        <v/>
      </c>
      <c r="Z52" s="75" t="n">
        <v>26</v>
      </c>
      <c r="AA52" s="20">
        <f>TRUNC(IF(H52&lt;0,0,H52),0)</f>
        <v/>
      </c>
      <c r="AB52" s="20">
        <f>TRUNC(IF(I52&lt;0,0,I52),0)</f>
        <v/>
      </c>
      <c r="AC52" s="20">
        <f>TRUNC(IF(J52&lt;0,0,J52),0)</f>
        <v/>
      </c>
      <c r="AS52" s="75" t="n">
        <v>26</v>
      </c>
      <c r="AT52" s="5" t="n">
        <v>6</v>
      </c>
      <c r="AU52" s="5" t="n">
        <v>4</v>
      </c>
      <c r="AV52" s="5" t="n">
        <v>6</v>
      </c>
      <c r="AZ52" s="2" t="n"/>
      <c r="BA52" s="2" t="n"/>
      <c r="BB52" s="2" t="n"/>
      <c r="BE52" s="2" t="n"/>
      <c r="BF52" s="2" t="n"/>
      <c r="BG52" s="2" t="n"/>
    </row>
    <row r="53">
      <c r="G53" s="75" t="n">
        <v>27</v>
      </c>
      <c r="H53" s="75">
        <f>TRUNC((_xlfn.NORM.INV((RAND()),$E$35,$E$36)),2)</f>
        <v/>
      </c>
      <c r="I53" s="75">
        <f>TRUNC((_xlfn.NORM.INV((RAND()),$E$35,$E$36)),2)</f>
        <v/>
      </c>
      <c r="J53" s="75">
        <f>TRUNC((_xlfn.NORM.INV((RAND()),$E$35,$E$36)),2)</f>
        <v/>
      </c>
      <c r="Z53" s="75" t="n">
        <v>27</v>
      </c>
      <c r="AA53" s="20">
        <f>TRUNC(IF(H53&lt;0,0,H53),0)</f>
        <v/>
      </c>
      <c r="AB53" s="20">
        <f>TRUNC(IF(I53&lt;0,0,I53),0)</f>
        <v/>
      </c>
      <c r="AC53" s="20">
        <f>TRUNC(IF(J53&lt;0,0,J53),0)</f>
        <v/>
      </c>
      <c r="AS53" s="75" t="n">
        <v>27</v>
      </c>
      <c r="AT53" s="5" t="n">
        <v>7</v>
      </c>
      <c r="AU53" s="5" t="n">
        <v>7</v>
      </c>
      <c r="AV53" s="5" t="n">
        <v>3</v>
      </c>
      <c r="AZ53" s="2" t="n"/>
      <c r="BA53" s="2" t="n"/>
      <c r="BB53" s="2" t="n"/>
      <c r="BE53" s="2" t="n"/>
      <c r="BF53" s="2" t="n"/>
      <c r="BG53" s="2" t="n"/>
    </row>
    <row r="54">
      <c r="G54" s="75" t="n">
        <v>28</v>
      </c>
      <c r="H54" s="75">
        <f>TRUNC((_xlfn.NORM.INV((RAND()),$E$35,$E$36)),2)</f>
        <v/>
      </c>
      <c r="I54" s="75">
        <f>TRUNC((_xlfn.NORM.INV((RAND()),$E$35,$E$36)),2)</f>
        <v/>
      </c>
      <c r="J54" s="75">
        <f>TRUNC((_xlfn.NORM.INV((RAND()),$E$35,$E$36)),2)</f>
        <v/>
      </c>
      <c r="Z54" s="75" t="n">
        <v>28</v>
      </c>
      <c r="AA54" s="20">
        <f>TRUNC(IF(H54&lt;0,0,H54),0)</f>
        <v/>
      </c>
      <c r="AB54" s="20">
        <f>TRUNC(IF(I54&lt;0,0,I54),0)</f>
        <v/>
      </c>
      <c r="AC54" s="20">
        <f>TRUNC(IF(J54&lt;0,0,J54),0)</f>
        <v/>
      </c>
      <c r="AS54" s="75" t="n">
        <v>28</v>
      </c>
      <c r="AT54" s="5" t="n">
        <v>5</v>
      </c>
      <c r="AU54" s="5" t="n">
        <v>5</v>
      </c>
      <c r="AV54" s="5" t="n">
        <v>5</v>
      </c>
      <c r="AZ54" s="2" t="n"/>
      <c r="BA54" s="2" t="n"/>
      <c r="BB54" s="2" t="n"/>
      <c r="BE54" s="2" t="n"/>
      <c r="BF54" s="2" t="n"/>
      <c r="BG54" s="2" t="n"/>
    </row>
    <row r="55">
      <c r="G55" s="75" t="n">
        <v>29</v>
      </c>
      <c r="H55" s="75">
        <f>TRUNC((_xlfn.NORM.INV((RAND()),$E$35,$E$36)),2)</f>
        <v/>
      </c>
      <c r="I55" s="75">
        <f>TRUNC((_xlfn.NORM.INV((RAND()),$E$35,$E$36)),2)</f>
        <v/>
      </c>
      <c r="J55" s="75">
        <f>TRUNC((_xlfn.NORM.INV((RAND()),$E$35,$E$36)),2)</f>
        <v/>
      </c>
      <c r="Z55" s="75" t="n">
        <v>29</v>
      </c>
      <c r="AA55" s="20">
        <f>TRUNC(IF(H55&lt;0,0,H55),0)</f>
        <v/>
      </c>
      <c r="AB55" s="20">
        <f>TRUNC(IF(I55&lt;0,0,I55),0)</f>
        <v/>
      </c>
      <c r="AC55" s="20">
        <f>TRUNC(IF(J55&lt;0,0,J55),0)</f>
        <v/>
      </c>
      <c r="AS55" s="75" t="n">
        <v>29</v>
      </c>
      <c r="AT55" s="5" t="n">
        <v>6</v>
      </c>
      <c r="AU55" s="5" t="n">
        <v>6</v>
      </c>
      <c r="AV55" s="5" t="n">
        <v>9</v>
      </c>
      <c r="AZ55" s="2" t="n"/>
      <c r="BA55" s="2" t="n"/>
      <c r="BB55" s="2" t="n"/>
      <c r="BE55" s="2" t="n"/>
      <c r="BF55" s="2" t="n"/>
      <c r="BG55" s="2" t="n"/>
    </row>
    <row r="56">
      <c r="G56" s="75" t="n">
        <v>30</v>
      </c>
      <c r="H56" s="75">
        <f>TRUNC((_xlfn.NORM.INV((RAND()),$E$35,$E$36)),2)</f>
        <v/>
      </c>
      <c r="I56" s="75">
        <f>TRUNC((_xlfn.NORM.INV((RAND()),$E$35,$E$36)),2)</f>
        <v/>
      </c>
      <c r="J56" s="75">
        <f>TRUNC((_xlfn.NORM.INV((RAND()),$E$35,$E$36)),2)</f>
        <v/>
      </c>
      <c r="Z56" s="75" t="n">
        <v>30</v>
      </c>
      <c r="AA56" s="20">
        <f>TRUNC(IF(H56&lt;0,0,H56),0)</f>
        <v/>
      </c>
      <c r="AB56" s="20">
        <f>TRUNC(IF(I56&lt;0,0,I56),0)</f>
        <v/>
      </c>
      <c r="AC56" s="20">
        <f>TRUNC(IF(J56&lt;0,0,J56),0)</f>
        <v/>
      </c>
      <c r="AS56" s="75" t="n">
        <v>30</v>
      </c>
      <c r="AT56" s="5" t="n">
        <v>6</v>
      </c>
      <c r="AU56" s="5" t="n">
        <v>5</v>
      </c>
      <c r="AV56" s="5" t="n">
        <v>8</v>
      </c>
      <c r="AZ56" s="2" t="n"/>
      <c r="BA56" s="2" t="n"/>
      <c r="BB56" s="2" t="n"/>
      <c r="BE56" s="2" t="n"/>
      <c r="BF56" s="2" t="n"/>
      <c r="BG56" s="2" t="n"/>
    </row>
    <row r="57">
      <c r="G57" s="75" t="n">
        <v>31</v>
      </c>
      <c r="H57" s="75">
        <f>TRUNC((_xlfn.NORM.INV((RAND()),$E$35,$E$36)),2)</f>
        <v/>
      </c>
      <c r="I57" s="75">
        <f>TRUNC((_xlfn.NORM.INV((RAND()),$E$35,$E$36)),2)</f>
        <v/>
      </c>
      <c r="J57" s="75">
        <f>TRUNC((_xlfn.NORM.INV((RAND()),$E$35,$E$36)),2)</f>
        <v/>
      </c>
      <c r="Z57" s="75" t="n">
        <v>31</v>
      </c>
      <c r="AA57" s="20">
        <f>TRUNC(IF(H57&lt;0,0,H57),0)</f>
        <v/>
      </c>
      <c r="AB57" s="20">
        <f>TRUNC(IF(I57&lt;0,0,I57),0)</f>
        <v/>
      </c>
      <c r="AC57" s="20">
        <f>TRUNC(IF(J57&lt;0,0,J57),0)</f>
        <v/>
      </c>
      <c r="AS57" s="75" t="n">
        <v>31</v>
      </c>
      <c r="AT57" s="5" t="n">
        <v>6</v>
      </c>
      <c r="AU57" s="5" t="n">
        <v>6</v>
      </c>
      <c r="AV57" s="5" t="n">
        <v>7</v>
      </c>
      <c r="AZ57" s="2" t="n"/>
      <c r="BA57" s="2" t="n"/>
      <c r="BB57" s="2" t="n"/>
      <c r="BE57" s="2" t="n"/>
      <c r="BF57" s="2" t="n"/>
      <c r="BG57" s="2" t="n"/>
    </row>
    <row r="58">
      <c r="G58" s="75" t="n">
        <v>32</v>
      </c>
      <c r="H58" s="75">
        <f>TRUNC((_xlfn.NORM.INV((RAND()),$E$35,$E$36)),2)</f>
        <v/>
      </c>
      <c r="I58" s="75">
        <f>TRUNC((_xlfn.NORM.INV((RAND()),$E$35,$E$36)),2)</f>
        <v/>
      </c>
      <c r="J58" s="75">
        <f>TRUNC((_xlfn.NORM.INV((RAND()),$E$35,$E$36)),2)</f>
        <v/>
      </c>
      <c r="Z58" s="75" t="n">
        <v>32</v>
      </c>
      <c r="AA58" s="20">
        <f>TRUNC(IF(H58&lt;0,0,H58),0)</f>
        <v/>
      </c>
      <c r="AB58" s="20">
        <f>TRUNC(IF(I58&lt;0,0,I58),0)</f>
        <v/>
      </c>
      <c r="AC58" s="20">
        <f>TRUNC(IF(J58&lt;0,0,J58),0)</f>
        <v/>
      </c>
      <c r="AS58" s="75" t="n">
        <v>32</v>
      </c>
      <c r="AT58" s="5" t="n">
        <v>7</v>
      </c>
      <c r="AU58" s="5" t="n">
        <v>4</v>
      </c>
      <c r="AV58" s="5" t="n">
        <v>5</v>
      </c>
      <c r="AZ58" s="2" t="n"/>
      <c r="BA58" s="2" t="n"/>
      <c r="BB58" s="2" t="n"/>
      <c r="BE58" s="2" t="n"/>
      <c r="BF58" s="2" t="n"/>
      <c r="BG58" s="2" t="n"/>
    </row>
    <row r="59">
      <c r="G59" s="75" t="n">
        <v>33</v>
      </c>
      <c r="H59" s="75">
        <f>TRUNC((_xlfn.NORM.INV((RAND()),$E$35,$E$36)),2)</f>
        <v/>
      </c>
      <c r="I59" s="75">
        <f>TRUNC((_xlfn.NORM.INV((RAND()),$E$35,$E$36)),2)</f>
        <v/>
      </c>
      <c r="J59" s="75">
        <f>TRUNC((_xlfn.NORM.INV((RAND()),$E$35,$E$36)),2)</f>
        <v/>
      </c>
      <c r="Z59" s="75" t="n">
        <v>33</v>
      </c>
      <c r="AA59" s="20">
        <f>TRUNC(IF(H59&lt;0,0,H59),0)</f>
        <v/>
      </c>
      <c r="AB59" s="20">
        <f>TRUNC(IF(I59&lt;0,0,I59),0)</f>
        <v/>
      </c>
      <c r="AC59" s="20">
        <f>TRUNC(IF(J59&lt;0,0,J59),0)</f>
        <v/>
      </c>
      <c r="AS59" s="75" t="n">
        <v>33</v>
      </c>
      <c r="AT59" s="5" t="n">
        <v>6</v>
      </c>
      <c r="AU59" s="5" t="n">
        <v>6</v>
      </c>
      <c r="AV59" s="5" t="n">
        <v>5</v>
      </c>
      <c r="AZ59" s="2" t="n"/>
      <c r="BA59" s="2" t="n"/>
      <c r="BB59" s="2" t="n"/>
      <c r="BE59" s="2" t="n"/>
      <c r="BF59" s="2" t="n"/>
      <c r="BG59" s="2" t="n"/>
    </row>
    <row r="60">
      <c r="G60" s="75" t="n">
        <v>34</v>
      </c>
      <c r="H60" s="75">
        <f>TRUNC((_xlfn.NORM.INV((RAND()),$E$35,$E$36)),2)</f>
        <v/>
      </c>
      <c r="I60" s="75">
        <f>TRUNC((_xlfn.NORM.INV((RAND()),$E$35,$E$36)),2)</f>
        <v/>
      </c>
      <c r="J60" s="75">
        <f>TRUNC((_xlfn.NORM.INV((RAND()),$E$35,$E$36)),2)</f>
        <v/>
      </c>
      <c r="Z60" s="75" t="n">
        <v>34</v>
      </c>
      <c r="AA60" s="20">
        <f>TRUNC(IF(H60&lt;0,0,H60),0)</f>
        <v/>
      </c>
      <c r="AB60" s="20">
        <f>TRUNC(IF(I60&lt;0,0,I60),0)</f>
        <v/>
      </c>
      <c r="AC60" s="20">
        <f>TRUNC(IF(J60&lt;0,0,J60),0)</f>
        <v/>
      </c>
      <c r="AS60" s="75" t="n">
        <v>34</v>
      </c>
      <c r="AT60" s="5" t="n">
        <v>5</v>
      </c>
      <c r="AU60" s="5" t="n">
        <v>5</v>
      </c>
      <c r="AV60" s="5" t="n">
        <v>5</v>
      </c>
      <c r="AZ60" s="2" t="n"/>
      <c r="BA60" s="2" t="n"/>
      <c r="BB60" s="2" t="n"/>
      <c r="BE60" s="2" t="n"/>
      <c r="BF60" s="2" t="n"/>
      <c r="BG60" s="2" t="n"/>
    </row>
    <row r="61">
      <c r="G61" s="75" t="n">
        <v>35</v>
      </c>
      <c r="H61" s="75">
        <f>TRUNC((_xlfn.NORM.INV((RAND()),$E$35,$E$36)),2)</f>
        <v/>
      </c>
      <c r="I61" s="75">
        <f>TRUNC((_xlfn.NORM.INV((RAND()),$E$35,$E$36)),2)</f>
        <v/>
      </c>
      <c r="J61" s="75">
        <f>TRUNC((_xlfn.NORM.INV((RAND()),$E$35,$E$36)),2)</f>
        <v/>
      </c>
      <c r="Z61" s="75" t="n">
        <v>35</v>
      </c>
      <c r="AA61" s="20">
        <f>TRUNC(IF(H61&lt;0,0,H61),0)</f>
        <v/>
      </c>
      <c r="AB61" s="20">
        <f>TRUNC(IF(I61&lt;0,0,I61),0)</f>
        <v/>
      </c>
      <c r="AC61" s="20">
        <f>TRUNC(IF(J61&lt;0,0,J61),0)</f>
        <v/>
      </c>
      <c r="AS61" s="75" t="n">
        <v>35</v>
      </c>
      <c r="AT61" s="5" t="n">
        <v>4</v>
      </c>
      <c r="AU61" s="5" t="n">
        <v>4</v>
      </c>
      <c r="AV61" s="5" t="n">
        <v>4</v>
      </c>
      <c r="AZ61" s="2" t="n"/>
      <c r="BA61" s="2" t="n"/>
      <c r="BB61" s="2" t="n"/>
      <c r="BE61" s="2" t="n"/>
      <c r="BF61" s="2" t="n"/>
      <c r="BG61" s="2" t="n"/>
    </row>
    <row r="62">
      <c r="G62" s="75" t="n">
        <v>36</v>
      </c>
      <c r="H62" s="75">
        <f>TRUNC((_xlfn.NORM.INV((RAND()),$E$35,$E$36)),2)</f>
        <v/>
      </c>
      <c r="I62" s="75">
        <f>TRUNC((_xlfn.NORM.INV((RAND()),$E$35,$E$36)),2)</f>
        <v/>
      </c>
      <c r="J62" s="75">
        <f>TRUNC((_xlfn.NORM.INV((RAND()),$E$35,$E$36)),2)</f>
        <v/>
      </c>
      <c r="Z62" s="75" t="n">
        <v>36</v>
      </c>
      <c r="AA62" s="20">
        <f>TRUNC(IF(H62&lt;0,0,H62),0)</f>
        <v/>
      </c>
      <c r="AB62" s="20">
        <f>TRUNC(IF(I62&lt;0,0,I62),0)</f>
        <v/>
      </c>
      <c r="AC62" s="20">
        <f>TRUNC(IF(J62&lt;0,0,J62),0)</f>
        <v/>
      </c>
      <c r="AS62" s="75" t="n">
        <v>36</v>
      </c>
      <c r="AT62" s="5" t="n">
        <v>7</v>
      </c>
      <c r="AU62" s="5" t="n">
        <v>5</v>
      </c>
      <c r="AV62" s="5" t="n">
        <v>5</v>
      </c>
      <c r="AZ62" s="2" t="n"/>
      <c r="BA62" s="2" t="n"/>
      <c r="BB62" s="2" t="n"/>
      <c r="BE62" s="2" t="n"/>
      <c r="BF62" s="2" t="n"/>
      <c r="BG62" s="2" t="n"/>
    </row>
    <row r="63">
      <c r="G63" s="75" t="n">
        <v>37</v>
      </c>
      <c r="H63" s="75">
        <f>TRUNC((_xlfn.NORM.INV((RAND()),$E$35,$E$36)),2)</f>
        <v/>
      </c>
      <c r="I63" s="75">
        <f>TRUNC((_xlfn.NORM.INV((RAND()),$E$35,$E$36)),2)</f>
        <v/>
      </c>
      <c r="J63" s="75">
        <f>TRUNC((_xlfn.NORM.INV((RAND()),$E$35,$E$36)),2)</f>
        <v/>
      </c>
      <c r="Z63" s="75" t="n">
        <v>37</v>
      </c>
      <c r="AA63" s="20">
        <f>TRUNC(IF(H63&lt;0,0,H63),0)</f>
        <v/>
      </c>
      <c r="AB63" s="20">
        <f>TRUNC(IF(I63&lt;0,0,I63),0)</f>
        <v/>
      </c>
      <c r="AC63" s="20">
        <f>TRUNC(IF(J63&lt;0,0,J63),0)</f>
        <v/>
      </c>
      <c r="AS63" s="75" t="n">
        <v>37</v>
      </c>
      <c r="AT63" s="5" t="n">
        <v>5</v>
      </c>
      <c r="AU63" s="5" t="n">
        <v>5</v>
      </c>
      <c r="AV63" s="5" t="n">
        <v>6</v>
      </c>
      <c r="AZ63" s="2" t="n"/>
      <c r="BA63" s="2" t="n"/>
      <c r="BB63" s="2" t="n"/>
      <c r="BE63" s="2" t="n"/>
      <c r="BF63" s="2" t="n"/>
      <c r="BG63" s="2" t="n"/>
    </row>
    <row r="64">
      <c r="G64" s="75" t="n">
        <v>38</v>
      </c>
      <c r="H64" s="75">
        <f>TRUNC((_xlfn.NORM.INV((RAND()),$E$35,$E$36)),2)</f>
        <v/>
      </c>
      <c r="I64" s="75">
        <f>TRUNC((_xlfn.NORM.INV((RAND()),$E$35,$E$36)),2)</f>
        <v/>
      </c>
      <c r="J64" s="75">
        <f>TRUNC((_xlfn.NORM.INV((RAND()),$E$35,$E$36)),2)</f>
        <v/>
      </c>
      <c r="Z64" s="75" t="n">
        <v>38</v>
      </c>
      <c r="AA64" s="20">
        <f>TRUNC(IF(H64&lt;0,0,H64),0)</f>
        <v/>
      </c>
      <c r="AB64" s="20">
        <f>TRUNC(IF(I64&lt;0,0,I64),0)</f>
        <v/>
      </c>
      <c r="AC64" s="20">
        <f>TRUNC(IF(J64&lt;0,0,J64),0)</f>
        <v/>
      </c>
      <c r="AS64" s="75" t="n">
        <v>38</v>
      </c>
      <c r="AT64" s="5" t="n">
        <v>5</v>
      </c>
      <c r="AU64" s="5" t="n">
        <v>6</v>
      </c>
      <c r="AV64" s="5" t="n">
        <v>7</v>
      </c>
      <c r="AZ64" s="2" t="n"/>
      <c r="BA64" s="2" t="n"/>
      <c r="BB64" s="2" t="n"/>
      <c r="BE64" s="2" t="n"/>
      <c r="BF64" s="2" t="n"/>
      <c r="BG64" s="2" t="n"/>
    </row>
    <row r="65">
      <c r="G65" s="75" t="n">
        <v>39</v>
      </c>
      <c r="H65" s="75">
        <f>TRUNC((_xlfn.NORM.INV((RAND()),$E$35,$E$36)),2)</f>
        <v/>
      </c>
      <c r="I65" s="75">
        <f>TRUNC((_xlfn.NORM.INV((RAND()),$E$35,$E$36)),2)</f>
        <v/>
      </c>
      <c r="J65" s="75">
        <f>TRUNC((_xlfn.NORM.INV((RAND()),$E$35,$E$36)),2)</f>
        <v/>
      </c>
      <c r="Z65" s="75" t="n">
        <v>39</v>
      </c>
      <c r="AA65" s="20">
        <f>TRUNC(IF(H65&lt;0,0,H65),0)</f>
        <v/>
      </c>
      <c r="AB65" s="20">
        <f>TRUNC(IF(I65&lt;0,0,I65),0)</f>
        <v/>
      </c>
      <c r="AC65" s="20">
        <f>TRUNC(IF(J65&lt;0,0,J65),0)</f>
        <v/>
      </c>
      <c r="AS65" s="75" t="n">
        <v>39</v>
      </c>
      <c r="AT65" s="5" t="n">
        <v>5</v>
      </c>
      <c r="AU65" s="5" t="n">
        <v>2</v>
      </c>
      <c r="AV65" s="5" t="n">
        <v>2</v>
      </c>
      <c r="AZ65" s="2" t="n"/>
      <c r="BA65" s="2" t="n"/>
      <c r="BB65" s="2" t="n"/>
      <c r="BE65" s="2" t="n"/>
      <c r="BF65" s="2" t="n"/>
      <c r="BG65" s="2" t="n"/>
    </row>
    <row r="66">
      <c r="G66" s="75" t="n">
        <v>40</v>
      </c>
      <c r="H66" s="75">
        <f>TRUNC((_xlfn.NORM.INV((RAND()),$E$35,$E$36)),2)</f>
        <v/>
      </c>
      <c r="I66" s="75">
        <f>TRUNC((_xlfn.NORM.INV((RAND()),$E$35,$E$36)),2)</f>
        <v/>
      </c>
      <c r="J66" s="75">
        <f>TRUNC((_xlfn.NORM.INV((RAND()),$E$35,$E$36)),2)</f>
        <v/>
      </c>
      <c r="Z66" s="75" t="n">
        <v>40</v>
      </c>
      <c r="AA66" s="20">
        <f>TRUNC(IF(H66&lt;0,0,H66),0)</f>
        <v/>
      </c>
      <c r="AB66" s="20">
        <f>TRUNC(IF(I66&lt;0,0,I66),0)</f>
        <v/>
      </c>
      <c r="AC66" s="20">
        <f>TRUNC(IF(J66&lt;0,0,J66),0)</f>
        <v/>
      </c>
      <c r="AS66" s="75" t="n">
        <v>40</v>
      </c>
      <c r="AT66" s="5" t="n">
        <v>6</v>
      </c>
      <c r="AU66" s="5" t="n">
        <v>5</v>
      </c>
      <c r="AV66" s="5" t="n">
        <v>8</v>
      </c>
      <c r="AZ66" s="2" t="n"/>
      <c r="BA66" s="2" t="n"/>
      <c r="BB66" s="2" t="n"/>
      <c r="BE66" s="2" t="n"/>
      <c r="BF66" s="2" t="n"/>
      <c r="BG66" s="2" t="n"/>
    </row>
    <row r="67">
      <c r="G67" s="75" t="n">
        <v>41</v>
      </c>
      <c r="H67" s="75">
        <f>TRUNC((_xlfn.NORM.INV((RAND()),$E$35,$E$36)),2)</f>
        <v/>
      </c>
      <c r="I67" s="75">
        <f>TRUNC((_xlfn.NORM.INV((RAND()),$E$35,$E$36)),2)</f>
        <v/>
      </c>
      <c r="J67" s="75">
        <f>TRUNC((_xlfn.NORM.INV((RAND()),$E$35,$E$36)),2)</f>
        <v/>
      </c>
      <c r="Z67" s="75" t="n">
        <v>41</v>
      </c>
      <c r="AA67" s="20">
        <f>TRUNC(IF(H67&lt;0,0,H67),0)</f>
        <v/>
      </c>
      <c r="AB67" s="20">
        <f>TRUNC(IF(I67&lt;0,0,I67),0)</f>
        <v/>
      </c>
      <c r="AC67" s="20">
        <f>TRUNC(IF(J67&lt;0,0,J67),0)</f>
        <v/>
      </c>
      <c r="AS67" s="75" t="n">
        <v>41</v>
      </c>
      <c r="AT67" s="5" t="n">
        <v>5</v>
      </c>
      <c r="AU67" s="5" t="n">
        <v>4</v>
      </c>
      <c r="AV67" s="5" t="n">
        <v>3</v>
      </c>
      <c r="AZ67" s="2" t="n"/>
      <c r="BA67" s="2" t="n"/>
      <c r="BB67" s="2" t="n"/>
      <c r="BE67" s="2" t="n"/>
      <c r="BF67" s="2" t="n"/>
      <c r="BG67" s="2" t="n"/>
    </row>
    <row r="68">
      <c r="G68" s="75" t="n">
        <v>42</v>
      </c>
      <c r="H68" s="75">
        <f>TRUNC((_xlfn.NORM.INV((RAND()),$E$35,$E$36)),2)</f>
        <v/>
      </c>
      <c r="I68" s="75">
        <f>TRUNC((_xlfn.NORM.INV((RAND()),$E$35,$E$36)),2)</f>
        <v/>
      </c>
      <c r="J68" s="75">
        <f>TRUNC((_xlfn.NORM.INV((RAND()),$E$35,$E$36)),2)</f>
        <v/>
      </c>
      <c r="Z68" s="75" t="n">
        <v>42</v>
      </c>
      <c r="AA68" s="20">
        <f>TRUNC(IF(H68&lt;0,0,H68),0)</f>
        <v/>
      </c>
      <c r="AB68" s="20">
        <f>TRUNC(IF(I68&lt;0,0,I68),0)</f>
        <v/>
      </c>
      <c r="AC68" s="20">
        <f>TRUNC(IF(J68&lt;0,0,J68),0)</f>
        <v/>
      </c>
      <c r="AS68" s="75" t="n">
        <v>42</v>
      </c>
      <c r="AT68" s="5" t="n">
        <v>6</v>
      </c>
      <c r="AU68" s="5" t="n">
        <v>3</v>
      </c>
      <c r="AV68" s="5" t="n">
        <v>5</v>
      </c>
      <c r="AZ68" s="2" t="n"/>
      <c r="BA68" s="2" t="n"/>
      <c r="BB68" s="2" t="n"/>
      <c r="BE68" s="2" t="n"/>
      <c r="BF68" s="2" t="n"/>
      <c r="BG68" s="2" t="n"/>
    </row>
    <row r="69">
      <c r="G69" s="75" t="n">
        <v>43</v>
      </c>
      <c r="H69" s="75">
        <f>TRUNC((_xlfn.NORM.INV((RAND()),$E$35,$E$36)),2)</f>
        <v/>
      </c>
      <c r="I69" s="75">
        <f>TRUNC((_xlfn.NORM.INV((RAND()),$E$35,$E$36)),2)</f>
        <v/>
      </c>
      <c r="J69" s="75">
        <f>TRUNC((_xlfn.NORM.INV((RAND()),$E$35,$E$36)),2)</f>
        <v/>
      </c>
      <c r="Z69" s="75" t="n">
        <v>43</v>
      </c>
      <c r="AA69" s="20">
        <f>TRUNC(IF(H69&lt;0,0,H69),0)</f>
        <v/>
      </c>
      <c r="AB69" s="20">
        <f>TRUNC(IF(I69&lt;0,0,I69),0)</f>
        <v/>
      </c>
      <c r="AC69" s="20">
        <f>TRUNC(IF(J69&lt;0,0,J69),0)</f>
        <v/>
      </c>
      <c r="AS69" s="75" t="n">
        <v>43</v>
      </c>
      <c r="AT69" s="5" t="n">
        <v>6</v>
      </c>
      <c r="AU69" s="5" t="n">
        <v>6</v>
      </c>
      <c r="AV69" s="5" t="n">
        <v>5</v>
      </c>
      <c r="AZ69" s="2" t="n"/>
      <c r="BA69" s="2" t="n"/>
      <c r="BB69" s="2" t="n"/>
      <c r="BE69" s="2" t="n"/>
      <c r="BF69" s="2" t="n"/>
      <c r="BG69" s="2" t="n"/>
    </row>
    <row r="70">
      <c r="G70" s="75" t="n">
        <v>44</v>
      </c>
      <c r="H70" s="75">
        <f>TRUNC((_xlfn.NORM.INV((RAND()),$E$35,$E$36)),2)</f>
        <v/>
      </c>
      <c r="I70" s="75">
        <f>TRUNC((_xlfn.NORM.INV((RAND()),$E$35,$E$36)),2)</f>
        <v/>
      </c>
      <c r="J70" s="75">
        <f>TRUNC((_xlfn.NORM.INV((RAND()),$E$35,$E$36)),2)</f>
        <v/>
      </c>
      <c r="Z70" s="75" t="n">
        <v>44</v>
      </c>
      <c r="AA70" s="20">
        <f>TRUNC(IF(H70&lt;0,0,H70),0)</f>
        <v/>
      </c>
      <c r="AB70" s="20">
        <f>TRUNC(IF(I70&lt;0,0,I70),0)</f>
        <v/>
      </c>
      <c r="AC70" s="20">
        <f>TRUNC(IF(J70&lt;0,0,J70),0)</f>
        <v/>
      </c>
      <c r="AS70" s="75" t="n">
        <v>44</v>
      </c>
      <c r="AT70" s="5" t="n">
        <v>4</v>
      </c>
      <c r="AU70" s="5" t="n">
        <v>5</v>
      </c>
      <c r="AV70" s="5" t="n">
        <v>6</v>
      </c>
      <c r="AZ70" s="2" t="n"/>
      <c r="BA70" s="2" t="n"/>
      <c r="BB70" s="2" t="n"/>
      <c r="BE70" s="2" t="n"/>
      <c r="BF70" s="2" t="n"/>
      <c r="BG70" s="2" t="n"/>
    </row>
    <row r="71">
      <c r="G71" s="75" t="n">
        <v>45</v>
      </c>
      <c r="H71" s="75">
        <f>TRUNC((_xlfn.NORM.INV((RAND()),$E$35,$E$36)),2)</f>
        <v/>
      </c>
      <c r="I71" s="75">
        <f>TRUNC((_xlfn.NORM.INV((RAND()),$E$35,$E$36)),2)</f>
        <v/>
      </c>
      <c r="J71" s="75">
        <f>TRUNC((_xlfn.NORM.INV((RAND()),$E$35,$E$36)),2)</f>
        <v/>
      </c>
      <c r="Z71" s="75" t="n">
        <v>45</v>
      </c>
      <c r="AA71" s="20">
        <f>TRUNC(IF(H71&lt;0,0,H71),0)</f>
        <v/>
      </c>
      <c r="AB71" s="20">
        <f>TRUNC(IF(I71&lt;0,0,I71),0)</f>
        <v/>
      </c>
      <c r="AC71" s="20">
        <f>TRUNC(IF(J71&lt;0,0,J71),0)</f>
        <v/>
      </c>
      <c r="AS71" s="75" t="n">
        <v>45</v>
      </c>
      <c r="AT71" s="5" t="n">
        <v>3</v>
      </c>
      <c r="AU71" s="5" t="n">
        <v>4</v>
      </c>
      <c r="AV71" s="5" t="n">
        <v>6</v>
      </c>
      <c r="AZ71" s="2" t="n"/>
      <c r="BA71" s="2" t="n"/>
      <c r="BB71" s="2" t="n"/>
      <c r="BE71" s="2" t="n"/>
      <c r="BF71" s="2" t="n"/>
      <c r="BG71" s="2" t="n"/>
    </row>
    <row r="72">
      <c r="G72" s="75" t="n">
        <v>46</v>
      </c>
      <c r="H72" s="75">
        <f>TRUNC((_xlfn.NORM.INV((RAND()),$E$35,$E$36)),2)</f>
        <v/>
      </c>
      <c r="I72" s="75">
        <f>TRUNC((_xlfn.NORM.INV((RAND()),$E$35,$E$36)),2)</f>
        <v/>
      </c>
      <c r="J72" s="75">
        <f>TRUNC((_xlfn.NORM.INV((RAND()),$E$35,$E$36)),2)</f>
        <v/>
      </c>
      <c r="Z72" s="75" t="n">
        <v>46</v>
      </c>
      <c r="AA72" s="20">
        <f>TRUNC(IF(H72&lt;0,0,H72),0)</f>
        <v/>
      </c>
      <c r="AB72" s="20">
        <f>TRUNC(IF(I72&lt;0,0,I72),0)</f>
        <v/>
      </c>
      <c r="AC72" s="20">
        <f>TRUNC(IF(J72&lt;0,0,J72),0)</f>
        <v/>
      </c>
      <c r="AS72" s="75" t="n">
        <v>46</v>
      </c>
      <c r="AT72" s="5" t="n">
        <v>4</v>
      </c>
      <c r="AU72" s="5" t="n">
        <v>4</v>
      </c>
      <c r="AV72" s="5" t="n">
        <v>4</v>
      </c>
      <c r="AZ72" s="2" t="n"/>
      <c r="BA72" s="2" t="n"/>
      <c r="BB72" s="2" t="n"/>
      <c r="BE72" s="2" t="n"/>
      <c r="BF72" s="2" t="n"/>
      <c r="BG72" s="2" t="n"/>
    </row>
    <row r="73">
      <c r="G73" s="75" t="n">
        <v>47</v>
      </c>
      <c r="H73" s="75">
        <f>TRUNC((_xlfn.NORM.INV((RAND()),$E$35,$E$36)),2)</f>
        <v/>
      </c>
      <c r="I73" s="75">
        <f>TRUNC((_xlfn.NORM.INV((RAND()),$E$35,$E$36)),2)</f>
        <v/>
      </c>
      <c r="J73" s="75">
        <f>TRUNC((_xlfn.NORM.INV((RAND()),$E$35,$E$36)),2)</f>
        <v/>
      </c>
      <c r="Z73" s="75" t="n">
        <v>47</v>
      </c>
      <c r="AA73" s="20">
        <f>TRUNC(IF(H73&lt;0,0,H73),0)</f>
        <v/>
      </c>
      <c r="AB73" s="20">
        <f>TRUNC(IF(I73&lt;0,0,I73),0)</f>
        <v/>
      </c>
      <c r="AC73" s="20">
        <f>TRUNC(IF(J73&lt;0,0,J73),0)</f>
        <v/>
      </c>
      <c r="AS73" s="75" t="n">
        <v>47</v>
      </c>
      <c r="AT73" s="5" t="n">
        <v>6</v>
      </c>
      <c r="AU73" s="5" t="n">
        <v>5</v>
      </c>
      <c r="AV73" s="5" t="n">
        <v>6</v>
      </c>
      <c r="AZ73" s="2" t="n"/>
      <c r="BA73" s="2" t="n"/>
      <c r="BB73" s="2" t="n"/>
      <c r="BE73" s="2" t="n"/>
      <c r="BF73" s="2" t="n"/>
      <c r="BG73" s="2" t="n"/>
    </row>
    <row r="74">
      <c r="G74" s="75" t="n">
        <v>48</v>
      </c>
      <c r="H74" s="75">
        <f>TRUNC((_xlfn.NORM.INV((RAND()),$E$35,$E$36)),2)</f>
        <v/>
      </c>
      <c r="I74" s="75">
        <f>TRUNC((_xlfn.NORM.INV((RAND()),$E$35,$E$36)),2)</f>
        <v/>
      </c>
      <c r="J74" s="75">
        <f>TRUNC((_xlfn.NORM.INV((RAND()),$E$35,$E$36)),2)</f>
        <v/>
      </c>
      <c r="Z74" s="75" t="n">
        <v>48</v>
      </c>
      <c r="AA74" s="20">
        <f>TRUNC(IF(H74&lt;0,0,H74),0)</f>
        <v/>
      </c>
      <c r="AB74" s="20">
        <f>TRUNC(IF(I74&lt;0,0,I74),0)</f>
        <v/>
      </c>
      <c r="AC74" s="20">
        <f>TRUNC(IF(J74&lt;0,0,J74),0)</f>
        <v/>
      </c>
      <c r="AS74" s="75" t="n">
        <v>48</v>
      </c>
      <c r="AT74" s="5" t="n">
        <v>6</v>
      </c>
      <c r="AU74" s="5" t="n">
        <v>4</v>
      </c>
      <c r="AV74" s="5" t="n">
        <v>5</v>
      </c>
      <c r="AZ74" s="2" t="n"/>
      <c r="BA74" s="2" t="n"/>
      <c r="BB74" s="2" t="n"/>
      <c r="BE74" s="2" t="n"/>
      <c r="BF74" s="2" t="n"/>
      <c r="BG74" s="2" t="n"/>
    </row>
    <row r="75">
      <c r="G75" s="75" t="n">
        <v>49</v>
      </c>
      <c r="H75" s="75">
        <f>TRUNC((_xlfn.NORM.INV((RAND()),$E$35,$E$36)),2)</f>
        <v/>
      </c>
      <c r="I75" s="75">
        <f>TRUNC((_xlfn.NORM.INV((RAND()),$E$35,$E$36)),2)</f>
        <v/>
      </c>
      <c r="J75" s="75">
        <f>TRUNC((_xlfn.NORM.INV((RAND()),$E$35,$E$36)),2)</f>
        <v/>
      </c>
      <c r="Z75" s="75" t="n">
        <v>49</v>
      </c>
      <c r="AA75" s="20">
        <f>TRUNC(IF(H75&lt;0,0,H75),0)</f>
        <v/>
      </c>
      <c r="AB75" s="20">
        <f>TRUNC(IF(I75&lt;0,0,I75),0)</f>
        <v/>
      </c>
      <c r="AC75" s="20">
        <f>TRUNC(IF(J75&lt;0,0,J75),0)</f>
        <v/>
      </c>
      <c r="AS75" s="75" t="n">
        <v>49</v>
      </c>
      <c r="AT75" s="5" t="n">
        <v>4</v>
      </c>
      <c r="AU75" s="5" t="n">
        <v>6</v>
      </c>
      <c r="AV75" s="5" t="n">
        <v>3</v>
      </c>
      <c r="AZ75" s="2" t="n"/>
      <c r="BA75" s="2" t="n"/>
      <c r="BB75" s="2" t="n"/>
      <c r="BE75" s="2" t="n"/>
      <c r="BF75" s="2" t="n"/>
      <c r="BG75" s="2" t="n"/>
    </row>
    <row r="76">
      <c r="G76" s="75" t="n">
        <v>50</v>
      </c>
      <c r="H76" s="75">
        <f>TRUNC((_xlfn.NORM.INV((RAND()),$E$35,$E$36)),2)</f>
        <v/>
      </c>
      <c r="I76" s="75">
        <f>TRUNC((_xlfn.NORM.INV((RAND()),$E$35,$E$36)),2)</f>
        <v/>
      </c>
      <c r="J76" s="75">
        <f>TRUNC((_xlfn.NORM.INV((RAND()),$E$35,$E$36)),2)</f>
        <v/>
      </c>
      <c r="Z76" s="75" t="n">
        <v>50</v>
      </c>
      <c r="AA76" s="20">
        <f>TRUNC(IF(H76&lt;0,0,H76),0)</f>
        <v/>
      </c>
      <c r="AB76" s="20">
        <f>TRUNC(IF(I76&lt;0,0,I76),0)</f>
        <v/>
      </c>
      <c r="AC76" s="20">
        <f>TRUNC(IF(J76&lt;0,0,J76),0)</f>
        <v/>
      </c>
      <c r="AS76" s="75" t="n">
        <v>50</v>
      </c>
      <c r="AT76" s="5" t="n">
        <v>5</v>
      </c>
      <c r="AU76" s="5" t="n">
        <v>5</v>
      </c>
      <c r="AV76" s="5" t="n">
        <v>5</v>
      </c>
      <c r="AZ76" s="2" t="n"/>
      <c r="BA76" s="2" t="n"/>
      <c r="BB76" s="2" t="n"/>
      <c r="BE76" s="2" t="n"/>
      <c r="BF76" s="2" t="n"/>
      <c r="BG76" s="2" t="n"/>
    </row>
    <row r="77">
      <c r="G77" s="75" t="n">
        <v>51</v>
      </c>
      <c r="H77" s="75">
        <f>TRUNC((_xlfn.NORM.INV((RAND()),$E$35,$E$36)),2)</f>
        <v/>
      </c>
      <c r="I77" s="75">
        <f>TRUNC((_xlfn.NORM.INV((RAND()),$E$35,$E$36)),2)</f>
        <v/>
      </c>
      <c r="J77" s="75">
        <f>TRUNC((_xlfn.NORM.INV((RAND()),$E$35,$E$36)),2)</f>
        <v/>
      </c>
      <c r="Z77" s="75" t="n">
        <v>51</v>
      </c>
      <c r="AA77" s="20">
        <f>TRUNC(IF(H77&lt;0,0,H77),0)</f>
        <v/>
      </c>
      <c r="AB77" s="20">
        <f>TRUNC(IF(I77&lt;0,0,I77),0)</f>
        <v/>
      </c>
      <c r="AC77" s="20">
        <f>TRUNC(IF(J77&lt;0,0,J77),0)</f>
        <v/>
      </c>
      <c r="AS77" s="75" t="n">
        <v>51</v>
      </c>
      <c r="AT77" s="5" t="n">
        <v>8</v>
      </c>
      <c r="AU77" s="5" t="n">
        <v>8</v>
      </c>
      <c r="AV77" s="5" t="n">
        <v>3</v>
      </c>
      <c r="AZ77" s="2" t="n"/>
      <c r="BA77" s="2" t="n"/>
      <c r="BB77" s="2" t="n"/>
      <c r="BE77" s="2" t="n"/>
      <c r="BF77" s="2" t="n"/>
      <c r="BG77" s="2" t="n"/>
    </row>
    <row r="78">
      <c r="G78" s="75" t="n">
        <v>52</v>
      </c>
      <c r="H78" s="75">
        <f>TRUNC((_xlfn.NORM.INV((RAND()),$E$35,$E$36)),2)</f>
        <v/>
      </c>
      <c r="I78" s="75">
        <f>TRUNC((_xlfn.NORM.INV((RAND()),$E$35,$E$36)),2)</f>
        <v/>
      </c>
      <c r="J78" s="75">
        <f>TRUNC((_xlfn.NORM.INV((RAND()),$E$35,$E$36)),2)</f>
        <v/>
      </c>
      <c r="Z78" s="75" t="n">
        <v>52</v>
      </c>
      <c r="AA78" s="20">
        <f>TRUNC(IF(H78&lt;0,0,H78),0)</f>
        <v/>
      </c>
      <c r="AB78" s="20">
        <f>TRUNC(IF(I78&lt;0,0,I78),0)</f>
        <v/>
      </c>
      <c r="AC78" s="20">
        <f>TRUNC(IF(J78&lt;0,0,J78),0)</f>
        <v/>
      </c>
      <c r="AS78" s="75" t="n">
        <v>52</v>
      </c>
      <c r="AT78" s="5" t="n">
        <v>7</v>
      </c>
      <c r="AU78" s="5" t="n">
        <v>5</v>
      </c>
      <c r="AV78" s="5" t="n">
        <v>3</v>
      </c>
      <c r="AZ78" s="2" t="n"/>
      <c r="BA78" s="2" t="n"/>
      <c r="BB78" s="2" t="n"/>
      <c r="BE78" s="2" t="n"/>
      <c r="BF78" s="2" t="n"/>
      <c r="BG78" s="2" t="n"/>
    </row>
    <row r="79">
      <c r="G79" s="75" t="n">
        <v>53</v>
      </c>
      <c r="H79" s="75">
        <f>TRUNC((_xlfn.NORM.INV((RAND()),$E$35,$E$36)),2)</f>
        <v/>
      </c>
      <c r="I79" s="75">
        <f>TRUNC((_xlfn.NORM.INV((RAND()),$E$35,$E$36)),2)</f>
        <v/>
      </c>
      <c r="J79" s="75">
        <f>TRUNC((_xlfn.NORM.INV((RAND()),$E$35,$E$36)),2)</f>
        <v/>
      </c>
      <c r="Z79" s="75" t="n">
        <v>53</v>
      </c>
      <c r="AA79" s="20">
        <f>TRUNC(IF(H79&lt;0,0,H79),0)</f>
        <v/>
      </c>
      <c r="AB79" s="20">
        <f>TRUNC(IF(I79&lt;0,0,I79),0)</f>
        <v/>
      </c>
      <c r="AC79" s="20">
        <f>TRUNC(IF(J79&lt;0,0,J79),0)</f>
        <v/>
      </c>
      <c r="AS79" s="75" t="n">
        <v>53</v>
      </c>
      <c r="AT79" s="5" t="n">
        <v>6</v>
      </c>
      <c r="AU79" s="5" t="n">
        <v>5</v>
      </c>
      <c r="AV79" s="5" t="n">
        <v>4</v>
      </c>
      <c r="AZ79" s="2" t="n"/>
      <c r="BA79" s="2" t="n"/>
      <c r="BB79" s="2" t="n"/>
      <c r="BE79" s="2" t="n"/>
      <c r="BF79" s="2" t="n"/>
      <c r="BG79" s="2" t="n"/>
    </row>
    <row r="80">
      <c r="G80" s="75" t="n">
        <v>54</v>
      </c>
      <c r="H80" s="75">
        <f>TRUNC((_xlfn.NORM.INV((RAND()),$E$35,$E$36)),2)</f>
        <v/>
      </c>
      <c r="I80" s="75">
        <f>TRUNC((_xlfn.NORM.INV((RAND()),$E$35,$E$36)),2)</f>
        <v/>
      </c>
      <c r="J80" s="75">
        <f>TRUNC((_xlfn.NORM.INV((RAND()),$E$35,$E$36)),2)</f>
        <v/>
      </c>
      <c r="Z80" s="75" t="n">
        <v>54</v>
      </c>
      <c r="AA80" s="20">
        <f>TRUNC(IF(H80&lt;0,0,H80),0)</f>
        <v/>
      </c>
      <c r="AB80" s="20">
        <f>TRUNC(IF(I80&lt;0,0,I80),0)</f>
        <v/>
      </c>
      <c r="AC80" s="20">
        <f>TRUNC(IF(J80&lt;0,0,J80),0)</f>
        <v/>
      </c>
      <c r="AS80" s="75" t="n">
        <v>54</v>
      </c>
      <c r="AT80" s="5" t="n">
        <v>5</v>
      </c>
      <c r="AU80" s="5" t="n">
        <v>4</v>
      </c>
      <c r="AV80" s="5" t="n">
        <v>6</v>
      </c>
      <c r="AZ80" s="2" t="n"/>
      <c r="BA80" s="2" t="n"/>
      <c r="BB80" s="2" t="n"/>
      <c r="BE80" s="2" t="n"/>
      <c r="BF80" s="2" t="n"/>
      <c r="BG80" s="2" t="n"/>
    </row>
    <row r="81">
      <c r="G81" s="75" t="n">
        <v>55</v>
      </c>
      <c r="H81" s="75">
        <f>TRUNC((_xlfn.NORM.INV((RAND()),$E$35,$E$36)),2)</f>
        <v/>
      </c>
      <c r="I81" s="75">
        <f>TRUNC((_xlfn.NORM.INV((RAND()),$E$35,$E$36)),2)</f>
        <v/>
      </c>
      <c r="J81" s="75">
        <f>TRUNC((_xlfn.NORM.INV((RAND()),$E$35,$E$36)),2)</f>
        <v/>
      </c>
      <c r="Z81" s="75" t="n">
        <v>55</v>
      </c>
      <c r="AA81" s="20">
        <f>TRUNC(IF(H81&lt;0,0,H81),0)</f>
        <v/>
      </c>
      <c r="AB81" s="20">
        <f>TRUNC(IF(I81&lt;0,0,I81),0)</f>
        <v/>
      </c>
      <c r="AC81" s="20">
        <f>TRUNC(IF(J81&lt;0,0,J81),0)</f>
        <v/>
      </c>
      <c r="AS81" s="75" t="n">
        <v>55</v>
      </c>
      <c r="AT81" s="5" t="n">
        <v>5</v>
      </c>
      <c r="AU81" s="5" t="n">
        <v>5</v>
      </c>
      <c r="AV81" s="5" t="n">
        <v>6</v>
      </c>
      <c r="AZ81" s="2" t="n"/>
      <c r="BA81" s="2" t="n"/>
      <c r="BB81" s="2" t="n"/>
      <c r="BE81" s="2" t="n"/>
      <c r="BF81" s="2" t="n"/>
      <c r="BG81" s="2" t="n"/>
    </row>
    <row r="82">
      <c r="G82" s="75" t="n">
        <v>56</v>
      </c>
      <c r="H82" s="75">
        <f>TRUNC((_xlfn.NORM.INV((RAND()),$E$35,$E$36)),2)</f>
        <v/>
      </c>
      <c r="I82" s="75">
        <f>TRUNC((_xlfn.NORM.INV((RAND()),$E$35,$E$36)),2)</f>
        <v/>
      </c>
      <c r="J82" s="75">
        <f>TRUNC((_xlfn.NORM.INV((RAND()),$E$35,$E$36)),2)</f>
        <v/>
      </c>
      <c r="Z82" s="75" t="n">
        <v>56</v>
      </c>
      <c r="AA82" s="20">
        <f>TRUNC(IF(H82&lt;0,0,H82),0)</f>
        <v/>
      </c>
      <c r="AB82" s="20">
        <f>TRUNC(IF(I82&lt;0,0,I82),0)</f>
        <v/>
      </c>
      <c r="AC82" s="20">
        <f>TRUNC(IF(J82&lt;0,0,J82),0)</f>
        <v/>
      </c>
      <c r="AS82" s="75" t="n">
        <v>56</v>
      </c>
      <c r="AT82" s="5" t="n">
        <v>5</v>
      </c>
      <c r="AU82" s="5" t="n">
        <v>7</v>
      </c>
      <c r="AV82" s="5" t="n">
        <v>2</v>
      </c>
      <c r="AZ82" s="2" t="n"/>
      <c r="BA82" s="2" t="n"/>
      <c r="BB82" s="2" t="n"/>
      <c r="BE82" s="2" t="n"/>
      <c r="BF82" s="2" t="n"/>
      <c r="BG82" s="2" t="n"/>
    </row>
    <row r="83">
      <c r="G83" s="75" t="n">
        <v>57</v>
      </c>
      <c r="H83" s="75">
        <f>TRUNC((_xlfn.NORM.INV((RAND()),$E$35,$E$36)),2)</f>
        <v/>
      </c>
      <c r="I83" s="75">
        <f>TRUNC((_xlfn.NORM.INV((RAND()),$E$35,$E$36)),2)</f>
        <v/>
      </c>
      <c r="J83" s="75">
        <f>TRUNC((_xlfn.NORM.INV((RAND()),$E$35,$E$36)),2)</f>
        <v/>
      </c>
      <c r="Z83" s="75" t="n">
        <v>57</v>
      </c>
      <c r="AA83" s="20">
        <f>TRUNC(IF(H83&lt;0,0,H83),0)</f>
        <v/>
      </c>
      <c r="AB83" s="20">
        <f>TRUNC(IF(I83&lt;0,0,I83),0)</f>
        <v/>
      </c>
      <c r="AC83" s="20">
        <f>TRUNC(IF(J83&lt;0,0,J83),0)</f>
        <v/>
      </c>
      <c r="AS83" s="75" t="n">
        <v>57</v>
      </c>
      <c r="AT83" s="5" t="n">
        <v>3</v>
      </c>
      <c r="AU83" s="5" t="n">
        <v>6</v>
      </c>
      <c r="AV83" s="5" t="n">
        <v>6</v>
      </c>
      <c r="AZ83" s="2" t="n"/>
      <c r="BA83" s="2" t="n"/>
      <c r="BB83" s="2" t="n"/>
      <c r="BE83" s="2" t="n"/>
      <c r="BF83" s="2" t="n"/>
      <c r="BG83" s="2" t="n"/>
    </row>
    <row r="84">
      <c r="G84" s="75" t="n">
        <v>58</v>
      </c>
      <c r="H84" s="75">
        <f>TRUNC((_xlfn.NORM.INV((RAND()),$E$35,$E$36)),2)</f>
        <v/>
      </c>
      <c r="I84" s="75">
        <f>TRUNC((_xlfn.NORM.INV((RAND()),$E$35,$E$36)),2)</f>
        <v/>
      </c>
      <c r="J84" s="75">
        <f>TRUNC((_xlfn.NORM.INV((RAND()),$E$35,$E$36)),2)</f>
        <v/>
      </c>
      <c r="Z84" s="75" t="n">
        <v>58</v>
      </c>
      <c r="AA84" s="20">
        <f>TRUNC(IF(H84&lt;0,0,H84),0)</f>
        <v/>
      </c>
      <c r="AB84" s="20">
        <f>TRUNC(IF(I84&lt;0,0,I84),0)</f>
        <v/>
      </c>
      <c r="AC84" s="20">
        <f>TRUNC(IF(J84&lt;0,0,J84),0)</f>
        <v/>
      </c>
      <c r="AS84" s="75" t="n">
        <v>58</v>
      </c>
      <c r="AT84" s="5" t="n">
        <v>3</v>
      </c>
      <c r="AU84" s="5" t="n">
        <v>7</v>
      </c>
      <c r="AV84" s="5" t="n">
        <v>5</v>
      </c>
      <c r="AZ84" s="2" t="n"/>
      <c r="BA84" s="2" t="n"/>
      <c r="BB84" s="2" t="n"/>
      <c r="BE84" s="2" t="n"/>
      <c r="BF84" s="2" t="n"/>
      <c r="BG84" s="2" t="n"/>
    </row>
    <row r="85">
      <c r="G85" s="75" t="n">
        <v>59</v>
      </c>
      <c r="H85" s="75">
        <f>TRUNC((_xlfn.NORM.INV((RAND()),$E$35,$E$36)),2)</f>
        <v/>
      </c>
      <c r="I85" s="75">
        <f>TRUNC((_xlfn.NORM.INV((RAND()),$E$35,$E$36)),2)</f>
        <v/>
      </c>
      <c r="J85" s="75">
        <f>TRUNC((_xlfn.NORM.INV((RAND()),$E$35,$E$36)),2)</f>
        <v/>
      </c>
      <c r="Z85" s="75" t="n">
        <v>59</v>
      </c>
      <c r="AA85" s="20">
        <f>TRUNC(IF(H85&lt;0,0,H85),0)</f>
        <v/>
      </c>
      <c r="AB85" s="20">
        <f>TRUNC(IF(I85&lt;0,0,I85),0)</f>
        <v/>
      </c>
      <c r="AC85" s="20">
        <f>TRUNC(IF(J85&lt;0,0,J85),0)</f>
        <v/>
      </c>
      <c r="AS85" s="75" t="n">
        <v>59</v>
      </c>
      <c r="AT85" s="5" t="n">
        <v>3</v>
      </c>
      <c r="AU85" s="5" t="n">
        <v>5</v>
      </c>
      <c r="AV85" s="5" t="n">
        <v>6</v>
      </c>
      <c r="AZ85" s="2" t="n"/>
      <c r="BA85" s="2" t="n"/>
      <c r="BB85" s="2" t="n"/>
      <c r="BE85" s="2" t="n"/>
      <c r="BF85" s="2" t="n"/>
      <c r="BG85" s="2" t="n"/>
    </row>
    <row r="86">
      <c r="G86" s="75" t="n">
        <v>60</v>
      </c>
      <c r="H86" s="75">
        <f>TRUNC((_xlfn.NORM.INV((RAND()),$E$35,$E$36)),2)</f>
        <v/>
      </c>
      <c r="I86" s="75">
        <f>TRUNC((_xlfn.NORM.INV((RAND()),$E$35,$E$36)),2)</f>
        <v/>
      </c>
      <c r="J86" s="75">
        <f>TRUNC((_xlfn.NORM.INV((RAND()),$E$35,$E$36)),2)</f>
        <v/>
      </c>
      <c r="Z86" s="75" t="n">
        <v>60</v>
      </c>
      <c r="AA86" s="20">
        <f>TRUNC(IF(H86&lt;0,0,H86),0)</f>
        <v/>
      </c>
      <c r="AB86" s="20">
        <f>TRUNC(IF(I86&lt;0,0,I86),0)</f>
        <v/>
      </c>
      <c r="AC86" s="20">
        <f>TRUNC(IF(J86&lt;0,0,J86),0)</f>
        <v/>
      </c>
      <c r="AS86" s="75" t="n">
        <v>60</v>
      </c>
      <c r="AT86" s="5" t="n">
        <v>4</v>
      </c>
      <c r="AU86" s="5" t="n">
        <v>4</v>
      </c>
      <c r="AV86" s="5" t="n">
        <v>7</v>
      </c>
      <c r="AZ86" s="2" t="n"/>
      <c r="BA86" s="2" t="n"/>
      <c r="BB86" s="2" t="n"/>
      <c r="BE86" s="2" t="n"/>
      <c r="BF86" s="2" t="n"/>
      <c r="BG86" s="2" t="n"/>
    </row>
    <row r="87">
      <c r="G87" s="75" t="n">
        <v>61</v>
      </c>
      <c r="H87" s="75">
        <f>TRUNC((_xlfn.NORM.INV((RAND()),$E$35,$E$36)),2)</f>
        <v/>
      </c>
      <c r="I87" s="75">
        <f>TRUNC((_xlfn.NORM.INV((RAND()),$E$35,$E$36)),2)</f>
        <v/>
      </c>
      <c r="J87" s="75">
        <f>TRUNC((_xlfn.NORM.INV((RAND()),$E$35,$E$36)),2)</f>
        <v/>
      </c>
      <c r="Z87" s="75" t="n">
        <v>61</v>
      </c>
      <c r="AA87" s="20">
        <f>TRUNC(IF(H87&lt;0,0,H87),0)</f>
        <v/>
      </c>
      <c r="AB87" s="20">
        <f>TRUNC(IF(I87&lt;0,0,I87),0)</f>
        <v/>
      </c>
      <c r="AC87" s="20">
        <f>TRUNC(IF(J87&lt;0,0,J87),0)</f>
        <v/>
      </c>
      <c r="AS87" s="75" t="n">
        <v>61</v>
      </c>
      <c r="AT87" s="5" t="n">
        <v>4</v>
      </c>
      <c r="AU87" s="5" t="n">
        <v>6</v>
      </c>
      <c r="AV87" s="5" t="n">
        <v>4</v>
      </c>
      <c r="AZ87" s="2" t="n"/>
      <c r="BA87" s="2" t="n"/>
      <c r="BB87" s="2" t="n"/>
      <c r="BE87" s="2" t="n"/>
      <c r="BF87" s="2" t="n"/>
      <c r="BG87" s="2" t="n"/>
    </row>
    <row r="88">
      <c r="G88" s="75" t="n">
        <v>62</v>
      </c>
      <c r="H88" s="75">
        <f>TRUNC((_xlfn.NORM.INV((RAND()),$E$35,$E$36)),2)</f>
        <v/>
      </c>
      <c r="I88" s="75">
        <f>TRUNC((_xlfn.NORM.INV((RAND()),$E$35,$E$36)),2)</f>
        <v/>
      </c>
      <c r="J88" s="75">
        <f>TRUNC((_xlfn.NORM.INV((RAND()),$E$35,$E$36)),2)</f>
        <v/>
      </c>
      <c r="Z88" s="75" t="n">
        <v>62</v>
      </c>
      <c r="AA88" s="20">
        <f>TRUNC(IF(H88&lt;0,0,H88),0)</f>
        <v/>
      </c>
      <c r="AB88" s="20">
        <f>TRUNC(IF(I88&lt;0,0,I88),0)</f>
        <v/>
      </c>
      <c r="AC88" s="20">
        <f>TRUNC(IF(J88&lt;0,0,J88),0)</f>
        <v/>
      </c>
      <c r="AS88" s="75" t="n">
        <v>62</v>
      </c>
      <c r="AT88" s="5" t="n">
        <v>3</v>
      </c>
      <c r="AU88" s="5" t="n">
        <v>6</v>
      </c>
      <c r="AV88" s="5" t="n">
        <v>4</v>
      </c>
      <c r="AZ88" s="2" t="n"/>
      <c r="BA88" s="2" t="n"/>
      <c r="BB88" s="2" t="n"/>
      <c r="BE88" s="2" t="n"/>
      <c r="BF88" s="2" t="n"/>
      <c r="BG88" s="2" t="n"/>
    </row>
    <row r="89">
      <c r="G89" s="75" t="n">
        <v>63</v>
      </c>
      <c r="H89" s="75">
        <f>TRUNC((_xlfn.NORM.INV((RAND()),$E$35,$E$36)),2)</f>
        <v/>
      </c>
      <c r="I89" s="75">
        <f>TRUNC((_xlfn.NORM.INV((RAND()),$E$35,$E$36)),2)</f>
        <v/>
      </c>
      <c r="J89" s="75">
        <f>TRUNC((_xlfn.NORM.INV((RAND()),$E$35,$E$36)),2)</f>
        <v/>
      </c>
      <c r="Z89" s="75" t="n">
        <v>63</v>
      </c>
      <c r="AA89" s="20">
        <f>TRUNC(IF(H89&lt;0,0,H89),0)</f>
        <v/>
      </c>
      <c r="AB89" s="20">
        <f>TRUNC(IF(I89&lt;0,0,I89),0)</f>
        <v/>
      </c>
      <c r="AC89" s="20">
        <f>TRUNC(IF(J89&lt;0,0,J89),0)</f>
        <v/>
      </c>
      <c r="AS89" s="75" t="n">
        <v>63</v>
      </c>
      <c r="AT89" s="5" t="n">
        <v>4</v>
      </c>
      <c r="AU89" s="5" t="n">
        <v>7</v>
      </c>
      <c r="AV89" s="5" t="n">
        <v>2</v>
      </c>
      <c r="AZ89" s="2" t="n"/>
      <c r="BA89" s="2" t="n"/>
      <c r="BB89" s="2" t="n"/>
      <c r="BE89" s="2" t="n"/>
      <c r="BF89" s="2" t="n"/>
      <c r="BG89" s="2" t="n"/>
    </row>
    <row r="90">
      <c r="G90" s="75" t="n">
        <v>64</v>
      </c>
      <c r="H90" s="75">
        <f>TRUNC((_xlfn.NORM.INV((RAND()),$E$35,$E$36)),2)</f>
        <v/>
      </c>
      <c r="I90" s="75">
        <f>TRUNC((_xlfn.NORM.INV((RAND()),$E$35,$E$36)),2)</f>
        <v/>
      </c>
      <c r="J90" s="75">
        <f>TRUNC((_xlfn.NORM.INV((RAND()),$E$35,$E$36)),2)</f>
        <v/>
      </c>
      <c r="Z90" s="75" t="n">
        <v>64</v>
      </c>
      <c r="AA90" s="20">
        <f>TRUNC(IF(H90&lt;0,0,H90),0)</f>
        <v/>
      </c>
      <c r="AB90" s="20">
        <f>TRUNC(IF(I90&lt;0,0,I90),0)</f>
        <v/>
      </c>
      <c r="AC90" s="20">
        <f>TRUNC(IF(J90&lt;0,0,J90),0)</f>
        <v/>
      </c>
      <c r="AS90" s="75" t="n">
        <v>64</v>
      </c>
      <c r="AT90" s="5" t="n">
        <v>6</v>
      </c>
      <c r="AU90" s="5" t="n">
        <v>2</v>
      </c>
      <c r="AV90" s="5" t="n">
        <v>2</v>
      </c>
      <c r="AZ90" s="2" t="n"/>
      <c r="BA90" s="2" t="n"/>
      <c r="BB90" s="2" t="n"/>
      <c r="BE90" s="2" t="n"/>
      <c r="BF90" s="2" t="n"/>
      <c r="BG90" s="2" t="n"/>
    </row>
    <row r="91">
      <c r="G91" s="75" t="n">
        <v>65</v>
      </c>
      <c r="H91" s="75">
        <f>TRUNC((_xlfn.NORM.INV((RAND()),$E$35,$E$36)),2)</f>
        <v/>
      </c>
      <c r="I91" s="75">
        <f>TRUNC((_xlfn.NORM.INV((RAND()),$E$35,$E$36)),2)</f>
        <v/>
      </c>
      <c r="J91" s="75">
        <f>TRUNC((_xlfn.NORM.INV((RAND()),$E$35,$E$36)),2)</f>
        <v/>
      </c>
      <c r="Z91" s="75" t="n">
        <v>65</v>
      </c>
      <c r="AA91" s="20">
        <f>TRUNC(IF(H91&lt;0,0,H91),0)</f>
        <v/>
      </c>
      <c r="AB91" s="20">
        <f>TRUNC(IF(I91&lt;0,0,I91),0)</f>
        <v/>
      </c>
      <c r="AC91" s="20">
        <f>TRUNC(IF(J91&lt;0,0,J91),0)</f>
        <v/>
      </c>
      <c r="AS91" s="75" t="n">
        <v>65</v>
      </c>
      <c r="AT91" s="5" t="n">
        <v>4</v>
      </c>
      <c r="AU91" s="5" t="n">
        <v>6</v>
      </c>
      <c r="AV91" s="5" t="n">
        <v>4</v>
      </c>
      <c r="AZ91" s="2" t="n"/>
      <c r="BA91" s="2" t="n"/>
      <c r="BB91" s="2" t="n"/>
      <c r="BE91" s="2" t="n"/>
      <c r="BF91" s="2" t="n"/>
      <c r="BG91" s="2" t="n"/>
    </row>
    <row r="92">
      <c r="G92" s="75" t="n">
        <v>66</v>
      </c>
      <c r="H92" s="75">
        <f>TRUNC((_xlfn.NORM.INV((RAND()),$E$35,$E$36)),2)</f>
        <v/>
      </c>
      <c r="I92" s="75">
        <f>TRUNC((_xlfn.NORM.INV((RAND()),$E$35,$E$36)),2)</f>
        <v/>
      </c>
      <c r="J92" s="75">
        <f>TRUNC((_xlfn.NORM.INV((RAND()),$E$35,$E$36)),2)</f>
        <v/>
      </c>
      <c r="Z92" s="75" t="n">
        <v>66</v>
      </c>
      <c r="AA92" s="20">
        <f>TRUNC(IF(H92&lt;0,0,H92),0)</f>
        <v/>
      </c>
      <c r="AB92" s="20">
        <f>TRUNC(IF(I92&lt;0,0,I92),0)</f>
        <v/>
      </c>
      <c r="AC92" s="20">
        <f>TRUNC(IF(J92&lt;0,0,J92),0)</f>
        <v/>
      </c>
      <c r="AS92" s="75" t="n">
        <v>66</v>
      </c>
      <c r="AT92" s="5" t="n">
        <v>4</v>
      </c>
      <c r="AU92" s="5" t="n">
        <v>7</v>
      </c>
      <c r="AV92" s="5" t="n">
        <v>4</v>
      </c>
      <c r="AZ92" s="2" t="n"/>
      <c r="BA92" s="2" t="n"/>
      <c r="BB92" s="2" t="n"/>
      <c r="BE92" s="2" t="n"/>
      <c r="BF92" s="2" t="n"/>
      <c r="BG92" s="2" t="n"/>
    </row>
    <row r="93">
      <c r="G93" s="75" t="n">
        <v>67</v>
      </c>
      <c r="H93" s="75">
        <f>TRUNC((_xlfn.NORM.INV((RAND()),$E$35,$E$36)),2)</f>
        <v/>
      </c>
      <c r="I93" s="75">
        <f>TRUNC((_xlfn.NORM.INV((RAND()),$E$35,$E$36)),2)</f>
        <v/>
      </c>
      <c r="J93" s="75">
        <f>TRUNC((_xlfn.NORM.INV((RAND()),$E$35,$E$36)),2)</f>
        <v/>
      </c>
      <c r="Z93" s="75" t="n">
        <v>67</v>
      </c>
      <c r="AA93" s="20">
        <f>TRUNC(IF(H93&lt;0,0,H93),0)</f>
        <v/>
      </c>
      <c r="AB93" s="20">
        <f>TRUNC(IF(I93&lt;0,0,I93),0)</f>
        <v/>
      </c>
      <c r="AC93" s="20">
        <f>TRUNC(IF(J93&lt;0,0,J93),0)</f>
        <v/>
      </c>
      <c r="AS93" s="75" t="n">
        <v>67</v>
      </c>
      <c r="AT93" s="5" t="n">
        <v>4</v>
      </c>
      <c r="AU93" s="5" t="n">
        <v>5</v>
      </c>
      <c r="AV93" s="5" t="n">
        <v>4</v>
      </c>
      <c r="AZ93" s="2" t="n"/>
      <c r="BA93" s="2" t="n"/>
      <c r="BB93" s="2" t="n"/>
      <c r="BE93" s="2" t="n"/>
      <c r="BF93" s="2" t="n"/>
      <c r="BG93" s="2" t="n"/>
    </row>
    <row r="94">
      <c r="G94" s="75" t="n">
        <v>68</v>
      </c>
      <c r="H94" s="75">
        <f>TRUNC((_xlfn.NORM.INV((RAND()),$E$35,$E$36)),2)</f>
        <v/>
      </c>
      <c r="I94" s="75">
        <f>TRUNC((_xlfn.NORM.INV((RAND()),$E$35,$E$36)),2)</f>
        <v/>
      </c>
      <c r="J94" s="75">
        <f>TRUNC((_xlfn.NORM.INV((RAND()),$E$35,$E$36)),2)</f>
        <v/>
      </c>
      <c r="Z94" s="75" t="n">
        <v>68</v>
      </c>
      <c r="AA94" s="20">
        <f>TRUNC(IF(H94&lt;0,0,H94),0)</f>
        <v/>
      </c>
      <c r="AB94" s="20">
        <f>TRUNC(IF(I94&lt;0,0,I94),0)</f>
        <v/>
      </c>
      <c r="AC94" s="20">
        <f>TRUNC(IF(J94&lt;0,0,J94),0)</f>
        <v/>
      </c>
      <c r="AS94" s="75" t="n">
        <v>68</v>
      </c>
      <c r="AT94" s="5" t="n">
        <v>7</v>
      </c>
      <c r="AU94" s="5" t="n">
        <v>6</v>
      </c>
      <c r="AV94" s="5" t="n">
        <v>3</v>
      </c>
      <c r="AZ94" s="2" t="n"/>
      <c r="BA94" s="2" t="n"/>
      <c r="BB94" s="2" t="n"/>
      <c r="BE94" s="2" t="n"/>
      <c r="BF94" s="2" t="n"/>
      <c r="BG94" s="2" t="n"/>
    </row>
    <row r="95">
      <c r="G95" s="75" t="n">
        <v>69</v>
      </c>
      <c r="H95" s="75">
        <f>TRUNC((_xlfn.NORM.INV((RAND()),$E$35,$E$36)),2)</f>
        <v/>
      </c>
      <c r="I95" s="75">
        <f>TRUNC((_xlfn.NORM.INV((RAND()),$E$35,$E$36)),2)</f>
        <v/>
      </c>
      <c r="J95" s="75">
        <f>TRUNC((_xlfn.NORM.INV((RAND()),$E$35,$E$36)),2)</f>
        <v/>
      </c>
      <c r="Z95" s="75" t="n">
        <v>69</v>
      </c>
      <c r="AA95" s="20">
        <f>TRUNC(IF(H95&lt;0,0,H95),0)</f>
        <v/>
      </c>
      <c r="AB95" s="20">
        <f>TRUNC(IF(I95&lt;0,0,I95),0)</f>
        <v/>
      </c>
      <c r="AC95" s="20">
        <f>TRUNC(IF(J95&lt;0,0,J95),0)</f>
        <v/>
      </c>
      <c r="AS95" s="75" t="n">
        <v>69</v>
      </c>
      <c r="AT95" s="5" t="n">
        <v>6</v>
      </c>
      <c r="AU95" s="5" t="n">
        <v>3</v>
      </c>
      <c r="AV95" s="5" t="n">
        <v>6</v>
      </c>
      <c r="AZ95" s="2" t="n"/>
      <c r="BA95" s="2" t="n"/>
      <c r="BB95" s="2" t="n"/>
      <c r="BE95" s="2" t="n"/>
      <c r="BF95" s="2" t="n"/>
      <c r="BG95" s="2" t="n"/>
    </row>
    <row r="96">
      <c r="G96" s="75" t="n">
        <v>70</v>
      </c>
      <c r="H96" s="75">
        <f>TRUNC((_xlfn.NORM.INV((RAND()),$E$35,$E$36)),2)</f>
        <v/>
      </c>
      <c r="I96" s="75">
        <f>TRUNC((_xlfn.NORM.INV((RAND()),$E$35,$E$36)),2)</f>
        <v/>
      </c>
      <c r="J96" s="75">
        <f>TRUNC((_xlfn.NORM.INV((RAND()),$E$35,$E$36)),2)</f>
        <v/>
      </c>
      <c r="Z96" s="75" t="n">
        <v>70</v>
      </c>
      <c r="AA96" s="20">
        <f>TRUNC(IF(H96&lt;0,0,H96),0)</f>
        <v/>
      </c>
      <c r="AB96" s="20">
        <f>TRUNC(IF(I96&lt;0,0,I96),0)</f>
        <v/>
      </c>
      <c r="AC96" s="20">
        <f>TRUNC(IF(J96&lt;0,0,J96),0)</f>
        <v/>
      </c>
      <c r="AS96" s="75" t="n">
        <v>70</v>
      </c>
      <c r="AT96" s="5" t="n">
        <v>2</v>
      </c>
      <c r="AU96" s="5" t="n">
        <v>3</v>
      </c>
      <c r="AV96" s="5" t="n">
        <v>5</v>
      </c>
      <c r="AZ96" s="2" t="n"/>
      <c r="BA96" s="2" t="n"/>
      <c r="BB96" s="2" t="n"/>
      <c r="BE96" s="2" t="n"/>
      <c r="BF96" s="2" t="n"/>
      <c r="BG96" s="2" t="n"/>
    </row>
    <row r="97">
      <c r="G97" s="75" t="n">
        <v>71</v>
      </c>
      <c r="H97" s="75">
        <f>TRUNC((_xlfn.NORM.INV((RAND()),$E$35,$E$36)),2)</f>
        <v/>
      </c>
      <c r="I97" s="75">
        <f>TRUNC((_xlfn.NORM.INV((RAND()),$E$35,$E$36)),2)</f>
        <v/>
      </c>
      <c r="J97" s="75">
        <f>TRUNC((_xlfn.NORM.INV((RAND()),$E$35,$E$36)),2)</f>
        <v/>
      </c>
      <c r="Z97" s="75" t="n">
        <v>71</v>
      </c>
      <c r="AA97" s="20">
        <f>TRUNC(IF(H97&lt;0,0,H97),0)</f>
        <v/>
      </c>
      <c r="AB97" s="20">
        <f>TRUNC(IF(I97&lt;0,0,I97),0)</f>
        <v/>
      </c>
      <c r="AC97" s="20">
        <f>TRUNC(IF(J97&lt;0,0,J97),0)</f>
        <v/>
      </c>
      <c r="AS97" s="75" t="n">
        <v>71</v>
      </c>
      <c r="AT97" s="5" t="n">
        <v>6</v>
      </c>
      <c r="AU97" s="5" t="n">
        <v>5</v>
      </c>
      <c r="AV97" s="5" t="n">
        <v>3</v>
      </c>
      <c r="AZ97" s="2" t="n"/>
      <c r="BA97" s="2" t="n"/>
      <c r="BB97" s="2" t="n"/>
      <c r="BE97" s="2" t="n"/>
      <c r="BF97" s="2" t="n"/>
      <c r="BG97" s="2" t="n"/>
    </row>
    <row r="98">
      <c r="G98" s="75" t="n">
        <v>72</v>
      </c>
      <c r="H98" s="75">
        <f>TRUNC((_xlfn.NORM.INV((RAND()),$E$35,$E$36)),2)</f>
        <v/>
      </c>
      <c r="I98" s="75">
        <f>TRUNC((_xlfn.NORM.INV((RAND()),$E$35,$E$36)),2)</f>
        <v/>
      </c>
      <c r="J98" s="75">
        <f>TRUNC((_xlfn.NORM.INV((RAND()),$E$35,$E$36)),2)</f>
        <v/>
      </c>
      <c r="Z98" s="75" t="n">
        <v>72</v>
      </c>
      <c r="AA98" s="20">
        <f>TRUNC(IF(H98&lt;0,0,H98),0)</f>
        <v/>
      </c>
      <c r="AB98" s="20">
        <f>TRUNC(IF(I98&lt;0,0,I98),0)</f>
        <v/>
      </c>
      <c r="AC98" s="20">
        <f>TRUNC(IF(J98&lt;0,0,J98),0)</f>
        <v/>
      </c>
      <c r="AS98" s="75" t="n">
        <v>72</v>
      </c>
      <c r="AT98" s="5" t="n">
        <v>4</v>
      </c>
      <c r="AU98" s="5" t="n">
        <v>7</v>
      </c>
      <c r="AV98" s="5" t="n">
        <v>7</v>
      </c>
      <c r="AZ98" s="2" t="n"/>
      <c r="BA98" s="2" t="n"/>
      <c r="BB98" s="2" t="n"/>
      <c r="BE98" s="2" t="n"/>
      <c r="BF98" s="2" t="n"/>
      <c r="BG98" s="2" t="n"/>
    </row>
    <row r="99">
      <c r="G99" s="75" t="n">
        <v>73</v>
      </c>
      <c r="H99" s="75">
        <f>TRUNC((_xlfn.NORM.INV((RAND()),$E$35,$E$36)),2)</f>
        <v/>
      </c>
      <c r="I99" s="75">
        <f>TRUNC((_xlfn.NORM.INV((RAND()),$E$35,$E$36)),2)</f>
        <v/>
      </c>
      <c r="J99" s="75">
        <f>TRUNC((_xlfn.NORM.INV((RAND()),$E$35,$E$36)),2)</f>
        <v/>
      </c>
      <c r="Z99" s="75" t="n">
        <v>73</v>
      </c>
      <c r="AA99" s="20">
        <f>TRUNC(IF(H99&lt;0,0,H99),0)</f>
        <v/>
      </c>
      <c r="AB99" s="20">
        <f>TRUNC(IF(I99&lt;0,0,I99),0)</f>
        <v/>
      </c>
      <c r="AC99" s="20">
        <f>TRUNC(IF(J99&lt;0,0,J99),0)</f>
        <v/>
      </c>
      <c r="AS99" s="75" t="n">
        <v>73</v>
      </c>
      <c r="AT99" s="5" t="n">
        <v>5</v>
      </c>
      <c r="AU99" s="5" t="n">
        <v>5</v>
      </c>
      <c r="AV99" s="5" t="n">
        <v>6</v>
      </c>
      <c r="AZ99" s="2" t="n"/>
      <c r="BA99" s="2" t="n"/>
      <c r="BB99" s="2" t="n"/>
      <c r="BE99" s="2" t="n"/>
      <c r="BF99" s="2" t="n"/>
      <c r="BG99" s="2" t="n"/>
    </row>
    <row r="100">
      <c r="G100" s="75" t="n">
        <v>74</v>
      </c>
      <c r="H100" s="75">
        <f>TRUNC((_xlfn.NORM.INV((RAND()),$E$35,$E$36)),2)</f>
        <v/>
      </c>
      <c r="I100" s="75">
        <f>TRUNC((_xlfn.NORM.INV((RAND()),$E$35,$E$36)),2)</f>
        <v/>
      </c>
      <c r="J100" s="75">
        <f>TRUNC((_xlfn.NORM.INV((RAND()),$E$35,$E$36)),2)</f>
        <v/>
      </c>
      <c r="Z100" s="75" t="n">
        <v>74</v>
      </c>
      <c r="AA100" s="20">
        <f>TRUNC(IF(H100&lt;0,0,H100),0)</f>
        <v/>
      </c>
      <c r="AB100" s="20">
        <f>TRUNC(IF(I100&lt;0,0,I100),0)</f>
        <v/>
      </c>
      <c r="AC100" s="20">
        <f>TRUNC(IF(J100&lt;0,0,J100),0)</f>
        <v/>
      </c>
      <c r="AS100" s="75" t="n">
        <v>74</v>
      </c>
      <c r="AT100" s="5" t="n">
        <v>5</v>
      </c>
      <c r="AU100" s="5" t="n">
        <v>6</v>
      </c>
      <c r="AV100" s="5" t="n">
        <v>6</v>
      </c>
      <c r="AZ100" s="2" t="n"/>
      <c r="BA100" s="2" t="n"/>
      <c r="BB100" s="2" t="n"/>
      <c r="BE100" s="2" t="n"/>
      <c r="BF100" s="2" t="n"/>
      <c r="BG100" s="2" t="n"/>
    </row>
    <row r="101">
      <c r="G101" s="75" t="n">
        <v>75</v>
      </c>
      <c r="H101" s="75">
        <f>TRUNC((_xlfn.NORM.INV((RAND()),$E$35,$E$36)),2)</f>
        <v/>
      </c>
      <c r="I101" s="75">
        <f>TRUNC((_xlfn.NORM.INV((RAND()),$E$35,$E$36)),2)</f>
        <v/>
      </c>
      <c r="J101" s="75">
        <f>TRUNC((_xlfn.NORM.INV((RAND()),$E$35,$E$36)),2)</f>
        <v/>
      </c>
      <c r="Z101" s="75" t="n">
        <v>75</v>
      </c>
      <c r="AA101" s="20">
        <f>TRUNC(IF(H101&lt;0,0,H101),0)</f>
        <v/>
      </c>
      <c r="AB101" s="20">
        <f>TRUNC(IF(I101&lt;0,0,I101),0)</f>
        <v/>
      </c>
      <c r="AC101" s="20">
        <f>TRUNC(IF(J101&lt;0,0,J101),0)</f>
        <v/>
      </c>
      <c r="AS101" s="75" t="n">
        <v>75</v>
      </c>
      <c r="AT101" s="5" t="n">
        <v>4</v>
      </c>
      <c r="AU101" s="5" t="n">
        <v>5</v>
      </c>
      <c r="AV101" s="5" t="n">
        <v>2</v>
      </c>
      <c r="AZ101" s="2" t="n"/>
      <c r="BA101" s="2" t="n"/>
      <c r="BB101" s="2" t="n"/>
      <c r="BE101" s="2" t="n"/>
      <c r="BF101" s="2" t="n"/>
      <c r="BG101" s="2" t="n"/>
    </row>
    <row r="102">
      <c r="G102" s="75" t="n">
        <v>76</v>
      </c>
      <c r="H102" s="75">
        <f>TRUNC((_xlfn.NORM.INV((RAND()),$E$35,$E$36)),2)</f>
        <v/>
      </c>
      <c r="I102" s="75">
        <f>TRUNC((_xlfn.NORM.INV((RAND()),$E$35,$E$36)),2)</f>
        <v/>
      </c>
      <c r="J102" s="75">
        <f>TRUNC((_xlfn.NORM.INV((RAND()),$E$35,$E$36)),2)</f>
        <v/>
      </c>
      <c r="Z102" s="75" t="n">
        <v>76</v>
      </c>
      <c r="AA102" s="20">
        <f>TRUNC(IF(H102&lt;0,0,H102),0)</f>
        <v/>
      </c>
      <c r="AB102" s="20">
        <f>TRUNC(IF(I102&lt;0,0,I102),0)</f>
        <v/>
      </c>
      <c r="AC102" s="20">
        <f>TRUNC(IF(J102&lt;0,0,J102),0)</f>
        <v/>
      </c>
      <c r="AS102" s="75" t="n">
        <v>76</v>
      </c>
      <c r="AT102" s="5" t="n">
        <v>4</v>
      </c>
      <c r="AU102" s="5" t="n">
        <v>4</v>
      </c>
      <c r="AV102" s="5" t="n">
        <v>3</v>
      </c>
      <c r="AZ102" s="2" t="n"/>
      <c r="BA102" s="2" t="n"/>
      <c r="BB102" s="2" t="n"/>
      <c r="BE102" s="2" t="n"/>
      <c r="BF102" s="2" t="n"/>
      <c r="BG102" s="2" t="n"/>
    </row>
    <row r="103">
      <c r="G103" s="75" t="n">
        <v>77</v>
      </c>
      <c r="H103" s="75">
        <f>TRUNC((_xlfn.NORM.INV((RAND()),$E$35,$E$36)),2)</f>
        <v/>
      </c>
      <c r="I103" s="75">
        <f>TRUNC((_xlfn.NORM.INV((RAND()),$E$35,$E$36)),2)</f>
        <v/>
      </c>
      <c r="J103" s="75">
        <f>TRUNC((_xlfn.NORM.INV((RAND()),$E$35,$E$36)),2)</f>
        <v/>
      </c>
      <c r="Z103" s="75" t="n">
        <v>77</v>
      </c>
      <c r="AA103" s="20">
        <f>TRUNC(IF(H103&lt;0,0,H103),0)</f>
        <v/>
      </c>
      <c r="AB103" s="20">
        <f>TRUNC(IF(I103&lt;0,0,I103),0)</f>
        <v/>
      </c>
      <c r="AC103" s="20">
        <f>TRUNC(IF(J103&lt;0,0,J103),0)</f>
        <v/>
      </c>
      <c r="AS103" s="75" t="n">
        <v>77</v>
      </c>
      <c r="AT103" s="5" t="n">
        <v>6</v>
      </c>
      <c r="AU103" s="5" t="n">
        <v>5</v>
      </c>
      <c r="AV103" s="5" t="n">
        <v>4</v>
      </c>
      <c r="AZ103" s="2" t="n"/>
      <c r="BA103" s="2" t="n"/>
      <c r="BB103" s="2" t="n"/>
      <c r="BE103" s="2" t="n"/>
      <c r="BF103" s="2" t="n"/>
      <c r="BG103" s="2" t="n"/>
    </row>
    <row r="104">
      <c r="G104" s="75" t="n">
        <v>78</v>
      </c>
      <c r="H104" s="75">
        <f>TRUNC((_xlfn.NORM.INV((RAND()),$E$35,$E$36)),2)</f>
        <v/>
      </c>
      <c r="I104" s="75">
        <f>TRUNC((_xlfn.NORM.INV((RAND()),$E$35,$E$36)),2)</f>
        <v/>
      </c>
      <c r="J104" s="75">
        <f>TRUNC((_xlfn.NORM.INV((RAND()),$E$35,$E$36)),2)</f>
        <v/>
      </c>
      <c r="Z104" s="75" t="n">
        <v>78</v>
      </c>
      <c r="AA104" s="20">
        <f>TRUNC(IF(H104&lt;0,0,H104),0)</f>
        <v/>
      </c>
      <c r="AB104" s="20">
        <f>TRUNC(IF(I104&lt;0,0,I104),0)</f>
        <v/>
      </c>
      <c r="AC104" s="20">
        <f>TRUNC(IF(J104&lt;0,0,J104),0)</f>
        <v/>
      </c>
      <c r="AS104" s="75" t="n">
        <v>78</v>
      </c>
      <c r="AT104" s="5" t="n">
        <v>5</v>
      </c>
      <c r="AU104" s="5" t="n">
        <v>2</v>
      </c>
      <c r="AV104" s="5" t="n">
        <v>5</v>
      </c>
      <c r="AZ104" s="2" t="n"/>
      <c r="BA104" s="2" t="n"/>
      <c r="BB104" s="2" t="n"/>
      <c r="BE104" s="2" t="n"/>
      <c r="BF104" s="2" t="n"/>
      <c r="BG104" s="2" t="n"/>
    </row>
    <row r="105">
      <c r="G105" s="75" t="n">
        <v>79</v>
      </c>
      <c r="H105" s="75">
        <f>TRUNC((_xlfn.NORM.INV((RAND()),$E$35,$E$36)),2)</f>
        <v/>
      </c>
      <c r="I105" s="75">
        <f>TRUNC((_xlfn.NORM.INV((RAND()),$E$35,$E$36)),2)</f>
        <v/>
      </c>
      <c r="J105" s="75">
        <f>TRUNC((_xlfn.NORM.INV((RAND()),$E$35,$E$36)),2)</f>
        <v/>
      </c>
      <c r="Z105" s="75" t="n">
        <v>79</v>
      </c>
      <c r="AA105" s="20">
        <f>TRUNC(IF(H105&lt;0,0,H105),0)</f>
        <v/>
      </c>
      <c r="AB105" s="20">
        <f>TRUNC(IF(I105&lt;0,0,I105),0)</f>
        <v/>
      </c>
      <c r="AC105" s="20">
        <f>TRUNC(IF(J105&lt;0,0,J105),0)</f>
        <v/>
      </c>
      <c r="AS105" s="75" t="n">
        <v>79</v>
      </c>
      <c r="AT105" s="5" t="n">
        <v>5</v>
      </c>
      <c r="AU105" s="5" t="n">
        <v>4</v>
      </c>
      <c r="AV105" s="5" t="n">
        <v>4</v>
      </c>
      <c r="AZ105" s="2" t="n"/>
      <c r="BA105" s="2" t="n"/>
      <c r="BB105" s="2" t="n"/>
      <c r="BE105" s="2" t="n"/>
      <c r="BF105" s="2" t="n"/>
      <c r="BG105" s="2" t="n"/>
    </row>
    <row r="106">
      <c r="G106" s="75" t="n">
        <v>80</v>
      </c>
      <c r="H106" s="75">
        <f>TRUNC((_xlfn.NORM.INV((RAND()),$E$35,$E$36)),2)</f>
        <v/>
      </c>
      <c r="I106" s="75">
        <f>TRUNC((_xlfn.NORM.INV((RAND()),$E$35,$E$36)),2)</f>
        <v/>
      </c>
      <c r="J106" s="75">
        <f>TRUNC((_xlfn.NORM.INV((RAND()),$E$35,$E$36)),2)</f>
        <v/>
      </c>
      <c r="Z106" s="75" t="n">
        <v>80</v>
      </c>
      <c r="AA106" s="20">
        <f>TRUNC(IF(H106&lt;0,0,H106),0)</f>
        <v/>
      </c>
      <c r="AB106" s="20">
        <f>TRUNC(IF(I106&lt;0,0,I106),0)</f>
        <v/>
      </c>
      <c r="AC106" s="20">
        <f>TRUNC(IF(J106&lt;0,0,J106),0)</f>
        <v/>
      </c>
      <c r="AS106" s="75" t="n">
        <v>80</v>
      </c>
      <c r="AT106" s="5" t="n">
        <v>4</v>
      </c>
      <c r="AU106" s="5" t="n">
        <v>5</v>
      </c>
      <c r="AV106" s="5" t="n">
        <v>5</v>
      </c>
      <c r="AZ106" s="2" t="n"/>
      <c r="BA106" s="2" t="n"/>
      <c r="BB106" s="2" t="n"/>
      <c r="BE106" s="2" t="n"/>
      <c r="BF106" s="2" t="n"/>
      <c r="BG106" s="2" t="n"/>
    </row>
    <row r="107">
      <c r="G107" s="75" t="n">
        <v>81</v>
      </c>
      <c r="H107" s="75">
        <f>TRUNC((_xlfn.NORM.INV((RAND()),$E$35,$E$36)),2)</f>
        <v/>
      </c>
      <c r="I107" s="75">
        <f>TRUNC((_xlfn.NORM.INV((RAND()),$E$35,$E$36)),2)</f>
        <v/>
      </c>
      <c r="J107" s="75">
        <f>TRUNC((_xlfn.NORM.INV((RAND()),$E$35,$E$36)),2)</f>
        <v/>
      </c>
      <c r="Z107" s="75" t="n">
        <v>81</v>
      </c>
      <c r="AA107" s="20">
        <f>TRUNC(IF(H107&lt;0,0,H107),0)</f>
        <v/>
      </c>
      <c r="AB107" s="20">
        <f>TRUNC(IF(I107&lt;0,0,I107),0)</f>
        <v/>
      </c>
      <c r="AC107" s="20">
        <f>TRUNC(IF(J107&lt;0,0,J107),0)</f>
        <v/>
      </c>
      <c r="AS107" s="75" t="n">
        <v>81</v>
      </c>
      <c r="AT107" s="5" t="n">
        <v>3</v>
      </c>
      <c r="AU107" s="5" t="n">
        <v>3</v>
      </c>
      <c r="AV107" s="5" t="n">
        <v>6</v>
      </c>
      <c r="AZ107" s="2" t="n"/>
      <c r="BA107" s="2" t="n"/>
      <c r="BB107" s="2" t="n"/>
      <c r="BE107" s="2" t="n"/>
      <c r="BF107" s="2" t="n"/>
      <c r="BG107" s="2" t="n"/>
    </row>
    <row r="108">
      <c r="G108" s="75" t="n">
        <v>82</v>
      </c>
      <c r="H108" s="75">
        <f>TRUNC((_xlfn.NORM.INV((RAND()),$E$35,$E$36)),2)</f>
        <v/>
      </c>
      <c r="I108" s="75">
        <f>TRUNC((_xlfn.NORM.INV((RAND()),$E$35,$E$36)),2)</f>
        <v/>
      </c>
      <c r="J108" s="75">
        <f>TRUNC((_xlfn.NORM.INV((RAND()),$E$35,$E$36)),2)</f>
        <v/>
      </c>
      <c r="Z108" s="75" t="n">
        <v>82</v>
      </c>
      <c r="AA108" s="20">
        <f>TRUNC(IF(H108&lt;0,0,H108),0)</f>
        <v/>
      </c>
      <c r="AB108" s="20">
        <f>TRUNC(IF(I108&lt;0,0,I108),0)</f>
        <v/>
      </c>
      <c r="AC108" s="20">
        <f>TRUNC(IF(J108&lt;0,0,J108),0)</f>
        <v/>
      </c>
      <c r="AS108" s="75" t="n">
        <v>82</v>
      </c>
      <c r="AT108" s="5" t="n">
        <v>8</v>
      </c>
      <c r="AU108" s="5" t="n">
        <v>7</v>
      </c>
      <c r="AV108" s="5" t="n">
        <v>6</v>
      </c>
      <c r="AZ108" s="2" t="n"/>
      <c r="BA108" s="2" t="n"/>
      <c r="BB108" s="2" t="n"/>
      <c r="BE108" s="2" t="n"/>
      <c r="BF108" s="2" t="n"/>
      <c r="BG108" s="2" t="n"/>
    </row>
    <row r="109">
      <c r="G109" s="75" t="n">
        <v>83</v>
      </c>
      <c r="H109" s="75">
        <f>TRUNC((_xlfn.NORM.INV((RAND()),$E$35,$E$36)),2)</f>
        <v/>
      </c>
      <c r="I109" s="75">
        <f>TRUNC((_xlfn.NORM.INV((RAND()),$E$35,$E$36)),2)</f>
        <v/>
      </c>
      <c r="J109" s="75">
        <f>TRUNC((_xlfn.NORM.INV((RAND()),$E$35,$E$36)),2)</f>
        <v/>
      </c>
      <c r="Z109" s="75" t="n">
        <v>83</v>
      </c>
      <c r="AA109" s="20">
        <f>TRUNC(IF(H109&lt;0,0,H109),0)</f>
        <v/>
      </c>
      <c r="AB109" s="20">
        <f>TRUNC(IF(I109&lt;0,0,I109),0)</f>
        <v/>
      </c>
      <c r="AC109" s="20">
        <f>TRUNC(IF(J109&lt;0,0,J109),0)</f>
        <v/>
      </c>
      <c r="AS109" s="75" t="n">
        <v>83</v>
      </c>
      <c r="AT109" s="5" t="n">
        <v>5</v>
      </c>
      <c r="AU109" s="5" t="n">
        <v>4</v>
      </c>
      <c r="AV109" s="5" t="n">
        <v>5</v>
      </c>
      <c r="AZ109" s="2" t="n"/>
      <c r="BA109" s="2" t="n"/>
      <c r="BB109" s="2" t="n"/>
      <c r="BE109" s="2" t="n"/>
      <c r="BF109" s="2" t="n"/>
      <c r="BG109" s="2" t="n"/>
    </row>
    <row r="110">
      <c r="G110" s="75" t="n">
        <v>84</v>
      </c>
      <c r="H110" s="75">
        <f>TRUNC((_xlfn.NORM.INV((RAND()),$E$35,$E$36)),2)</f>
        <v/>
      </c>
      <c r="I110" s="75">
        <f>TRUNC((_xlfn.NORM.INV((RAND()),$E$35,$E$36)),2)</f>
        <v/>
      </c>
      <c r="J110" s="75">
        <f>TRUNC((_xlfn.NORM.INV((RAND()),$E$35,$E$36)),2)</f>
        <v/>
      </c>
      <c r="Z110" s="75" t="n">
        <v>84</v>
      </c>
      <c r="AA110" s="20">
        <f>TRUNC(IF(H110&lt;0,0,H110),0)</f>
        <v/>
      </c>
      <c r="AB110" s="20">
        <f>TRUNC(IF(I110&lt;0,0,I110),0)</f>
        <v/>
      </c>
      <c r="AC110" s="20">
        <f>TRUNC(IF(J110&lt;0,0,J110),0)</f>
        <v/>
      </c>
      <c r="AS110" s="75" t="n">
        <v>84</v>
      </c>
      <c r="AT110" s="5" t="n">
        <v>4</v>
      </c>
      <c r="AU110" s="5" t="n">
        <v>4</v>
      </c>
      <c r="AV110" s="5" t="n">
        <v>6</v>
      </c>
      <c r="AZ110" s="2" t="n"/>
      <c r="BA110" s="2" t="n"/>
      <c r="BB110" s="2" t="n"/>
      <c r="BE110" s="2" t="n"/>
      <c r="BF110" s="2" t="n"/>
      <c r="BG110" s="2" t="n"/>
    </row>
    <row r="111">
      <c r="G111" s="75" t="n">
        <v>85</v>
      </c>
      <c r="H111" s="75">
        <f>TRUNC((_xlfn.NORM.INV((RAND()),$E$35,$E$36)),2)</f>
        <v/>
      </c>
      <c r="I111" s="75">
        <f>TRUNC((_xlfn.NORM.INV((RAND()),$E$35,$E$36)),2)</f>
        <v/>
      </c>
      <c r="J111" s="75">
        <f>TRUNC((_xlfn.NORM.INV((RAND()),$E$35,$E$36)),2)</f>
        <v/>
      </c>
      <c r="Z111" s="75" t="n">
        <v>85</v>
      </c>
      <c r="AA111" s="20">
        <f>TRUNC(IF(H111&lt;0,0,H111),0)</f>
        <v/>
      </c>
      <c r="AB111" s="20">
        <f>TRUNC(IF(I111&lt;0,0,I111),0)</f>
        <v/>
      </c>
      <c r="AC111" s="20">
        <f>TRUNC(IF(J111&lt;0,0,J111),0)</f>
        <v/>
      </c>
      <c r="AS111" s="75" t="n">
        <v>85</v>
      </c>
      <c r="AT111" s="5" t="n">
        <v>7</v>
      </c>
      <c r="AU111" s="5" t="n">
        <v>5</v>
      </c>
      <c r="AV111" s="5" t="n">
        <v>4</v>
      </c>
      <c r="AZ111" s="2" t="n"/>
      <c r="BA111" s="2" t="n"/>
      <c r="BB111" s="2" t="n"/>
      <c r="BE111" s="2" t="n"/>
      <c r="BF111" s="2" t="n"/>
      <c r="BG111" s="2" t="n"/>
    </row>
    <row r="112">
      <c r="G112" s="75" t="n">
        <v>86</v>
      </c>
      <c r="H112" s="75">
        <f>TRUNC((_xlfn.NORM.INV((RAND()),$E$35,$E$36)),2)</f>
        <v/>
      </c>
      <c r="I112" s="75">
        <f>TRUNC((_xlfn.NORM.INV((RAND()),$E$35,$E$36)),2)</f>
        <v/>
      </c>
      <c r="J112" s="75">
        <f>TRUNC((_xlfn.NORM.INV((RAND()),$E$35,$E$36)),2)</f>
        <v/>
      </c>
      <c r="Z112" s="75" t="n">
        <v>86</v>
      </c>
      <c r="AA112" s="20">
        <f>TRUNC(IF(H112&lt;0,0,H112),0)</f>
        <v/>
      </c>
      <c r="AB112" s="20">
        <f>TRUNC(IF(I112&lt;0,0,I112),0)</f>
        <v/>
      </c>
      <c r="AC112" s="20">
        <f>TRUNC(IF(J112&lt;0,0,J112),0)</f>
        <v/>
      </c>
      <c r="AS112" s="75" t="n">
        <v>86</v>
      </c>
      <c r="AT112" s="5" t="n">
        <v>5</v>
      </c>
      <c r="AU112" s="5" t="n">
        <v>7</v>
      </c>
      <c r="AV112" s="5" t="n">
        <v>5</v>
      </c>
      <c r="AZ112" s="2" t="n"/>
      <c r="BA112" s="2" t="n"/>
      <c r="BB112" s="2" t="n"/>
      <c r="BE112" s="2" t="n"/>
      <c r="BF112" s="2" t="n"/>
      <c r="BG112" s="2" t="n"/>
    </row>
    <row r="113">
      <c r="G113" s="75" t="n">
        <v>87</v>
      </c>
      <c r="H113" s="75">
        <f>TRUNC((_xlfn.NORM.INV((RAND()),$E$35,$E$36)),2)</f>
        <v/>
      </c>
      <c r="I113" s="75">
        <f>TRUNC((_xlfn.NORM.INV((RAND()),$E$35,$E$36)),2)</f>
        <v/>
      </c>
      <c r="J113" s="75">
        <f>TRUNC((_xlfn.NORM.INV((RAND()),$E$35,$E$36)),2)</f>
        <v/>
      </c>
      <c r="Z113" s="75" t="n">
        <v>87</v>
      </c>
      <c r="AA113" s="20">
        <f>TRUNC(IF(H113&lt;0,0,H113),0)</f>
        <v/>
      </c>
      <c r="AB113" s="20">
        <f>TRUNC(IF(I113&lt;0,0,I113),0)</f>
        <v/>
      </c>
      <c r="AC113" s="20">
        <f>TRUNC(IF(J113&lt;0,0,J113),0)</f>
        <v/>
      </c>
      <c r="AS113" s="75" t="n">
        <v>87</v>
      </c>
      <c r="AT113" s="5" t="n">
        <v>3</v>
      </c>
      <c r="AU113" s="5" t="n">
        <v>5</v>
      </c>
      <c r="AV113" s="5" t="n">
        <v>5</v>
      </c>
      <c r="AZ113" s="2" t="n"/>
      <c r="BA113" s="2" t="n"/>
      <c r="BB113" s="2" t="n"/>
      <c r="BE113" s="2" t="n"/>
      <c r="BF113" s="2" t="n"/>
      <c r="BG113" s="2" t="n"/>
    </row>
    <row r="114">
      <c r="G114" s="75" t="n">
        <v>88</v>
      </c>
      <c r="H114" s="75">
        <f>TRUNC((_xlfn.NORM.INV((RAND()),$E$35,$E$36)),2)</f>
        <v/>
      </c>
      <c r="I114" s="75">
        <f>TRUNC((_xlfn.NORM.INV((RAND()),$E$35,$E$36)),2)</f>
        <v/>
      </c>
      <c r="J114" s="75">
        <f>TRUNC((_xlfn.NORM.INV((RAND()),$E$35,$E$36)),2)</f>
        <v/>
      </c>
      <c r="Z114" s="75" t="n">
        <v>88</v>
      </c>
      <c r="AA114" s="20">
        <f>TRUNC(IF(H114&lt;0,0,H114),0)</f>
        <v/>
      </c>
      <c r="AB114" s="20">
        <f>TRUNC(IF(I114&lt;0,0,I114),0)</f>
        <v/>
      </c>
      <c r="AC114" s="20">
        <f>TRUNC(IF(J114&lt;0,0,J114),0)</f>
        <v/>
      </c>
      <c r="AS114" s="75" t="n">
        <v>88</v>
      </c>
      <c r="AT114" s="5" t="n">
        <v>3</v>
      </c>
      <c r="AU114" s="5" t="n">
        <v>3</v>
      </c>
      <c r="AV114" s="5" t="n">
        <v>8</v>
      </c>
      <c r="AZ114" s="2" t="n"/>
      <c r="BA114" s="2" t="n"/>
      <c r="BB114" s="2" t="n"/>
      <c r="BE114" s="2" t="n"/>
      <c r="BF114" s="2" t="n"/>
      <c r="BG114" s="2" t="n"/>
    </row>
    <row r="115">
      <c r="G115" s="75" t="n">
        <v>89</v>
      </c>
      <c r="H115" s="75">
        <f>TRUNC((_xlfn.NORM.INV((RAND()),$E$35,$E$36)),2)</f>
        <v/>
      </c>
      <c r="I115" s="75">
        <f>TRUNC((_xlfn.NORM.INV((RAND()),$E$35,$E$36)),2)</f>
        <v/>
      </c>
      <c r="J115" s="75">
        <f>TRUNC((_xlfn.NORM.INV((RAND()),$E$35,$E$36)),2)</f>
        <v/>
      </c>
      <c r="Z115" s="75" t="n">
        <v>89</v>
      </c>
      <c r="AA115" s="20">
        <f>TRUNC(IF(H115&lt;0,0,H115),0)</f>
        <v/>
      </c>
      <c r="AB115" s="20">
        <f>TRUNC(IF(I115&lt;0,0,I115),0)</f>
        <v/>
      </c>
      <c r="AC115" s="20">
        <f>TRUNC(IF(J115&lt;0,0,J115),0)</f>
        <v/>
      </c>
      <c r="AS115" s="75" t="n">
        <v>89</v>
      </c>
      <c r="AT115" s="5" t="n">
        <v>6</v>
      </c>
      <c r="AU115" s="5" t="n">
        <v>4</v>
      </c>
      <c r="AV115" s="5" t="n">
        <v>6</v>
      </c>
      <c r="AZ115" s="2" t="n"/>
      <c r="BA115" s="2" t="n"/>
      <c r="BB115" s="2" t="n"/>
      <c r="BE115" s="2" t="n"/>
      <c r="BF115" s="2" t="n"/>
      <c r="BG115" s="2" t="n"/>
    </row>
    <row r="116">
      <c r="G116" s="75" t="n">
        <v>90</v>
      </c>
      <c r="H116" s="75">
        <f>TRUNC((_xlfn.NORM.INV((RAND()),$E$35,$E$36)),2)</f>
        <v/>
      </c>
      <c r="I116" s="75">
        <f>TRUNC((_xlfn.NORM.INV((RAND()),$E$35,$E$36)),2)</f>
        <v/>
      </c>
      <c r="J116" s="75">
        <f>TRUNC((_xlfn.NORM.INV((RAND()),$E$35,$E$36)),2)</f>
        <v/>
      </c>
      <c r="Z116" s="75" t="n">
        <v>90</v>
      </c>
      <c r="AA116" s="20">
        <f>TRUNC(IF(H116&lt;0,0,H116),0)</f>
        <v/>
      </c>
      <c r="AB116" s="20">
        <f>TRUNC(IF(I116&lt;0,0,I116),0)</f>
        <v/>
      </c>
      <c r="AC116" s="20">
        <f>TRUNC(IF(J116&lt;0,0,J116),0)</f>
        <v/>
      </c>
      <c r="AS116" s="75" t="n">
        <v>90</v>
      </c>
      <c r="AT116" s="5" t="n">
        <v>3</v>
      </c>
      <c r="AU116" s="5" t="n">
        <v>4</v>
      </c>
      <c r="AV116" s="5" t="n">
        <v>3</v>
      </c>
      <c r="AZ116" s="2" t="n"/>
      <c r="BA116" s="2" t="n"/>
      <c r="BB116" s="2" t="n"/>
      <c r="BE116" s="2" t="n"/>
      <c r="BF116" s="2" t="n"/>
      <c r="BG116" s="2" t="n"/>
    </row>
    <row r="117">
      <c r="G117" s="75" t="n">
        <v>91</v>
      </c>
      <c r="H117" s="75">
        <f>TRUNC((_xlfn.NORM.INV((RAND()),$E$35,$E$36)),2)</f>
        <v/>
      </c>
      <c r="I117" s="75">
        <f>TRUNC((_xlfn.NORM.INV((RAND()),$E$35,$E$36)),2)</f>
        <v/>
      </c>
      <c r="J117" s="75">
        <f>TRUNC((_xlfn.NORM.INV((RAND()),$E$35,$E$36)),2)</f>
        <v/>
      </c>
      <c r="Z117" s="75" t="n">
        <v>91</v>
      </c>
      <c r="AA117" s="20">
        <f>TRUNC(IF(H117&lt;0,0,H117),0)</f>
        <v/>
      </c>
      <c r="AB117" s="20">
        <f>TRUNC(IF(I117&lt;0,0,I117),0)</f>
        <v/>
      </c>
      <c r="AC117" s="20">
        <f>TRUNC(IF(J117&lt;0,0,J117),0)</f>
        <v/>
      </c>
      <c r="AS117" s="75" t="n">
        <v>91</v>
      </c>
      <c r="AT117" s="5" t="n">
        <v>1</v>
      </c>
      <c r="AU117" s="5" t="n">
        <v>3</v>
      </c>
      <c r="AV117" s="5" t="n">
        <v>5</v>
      </c>
      <c r="AZ117" s="2" t="n"/>
      <c r="BA117" s="2" t="n"/>
      <c r="BB117" s="2" t="n"/>
      <c r="BE117" s="2" t="n"/>
      <c r="BF117" s="2" t="n"/>
      <c r="BG117" s="2" t="n"/>
    </row>
    <row r="118">
      <c r="G118" s="75" t="n">
        <v>92</v>
      </c>
      <c r="H118" s="75">
        <f>TRUNC((_xlfn.NORM.INV((RAND()),$E$35,$E$36)),2)</f>
        <v/>
      </c>
      <c r="I118" s="75">
        <f>TRUNC((_xlfn.NORM.INV((RAND()),$E$35,$E$36)),2)</f>
        <v/>
      </c>
      <c r="J118" s="75">
        <f>TRUNC((_xlfn.NORM.INV((RAND()),$E$35,$E$36)),2)</f>
        <v/>
      </c>
      <c r="Z118" s="75" t="n">
        <v>92</v>
      </c>
      <c r="AA118" s="20">
        <f>TRUNC(IF(H118&lt;0,0,H118),0)</f>
        <v/>
      </c>
      <c r="AB118" s="20">
        <f>TRUNC(IF(I118&lt;0,0,I118),0)</f>
        <v/>
      </c>
      <c r="AC118" s="20">
        <f>TRUNC(IF(J118&lt;0,0,J118),0)</f>
        <v/>
      </c>
      <c r="AS118" s="75" t="n">
        <v>92</v>
      </c>
      <c r="AT118" s="5" t="n">
        <v>6</v>
      </c>
      <c r="AU118" s="5" t="n">
        <v>5</v>
      </c>
      <c r="AV118" s="5" t="n">
        <v>8</v>
      </c>
      <c r="AZ118" s="2" t="n"/>
      <c r="BA118" s="2" t="n"/>
      <c r="BB118" s="2" t="n"/>
      <c r="BE118" s="2" t="n"/>
      <c r="BF118" s="2" t="n"/>
      <c r="BG118" s="2" t="n"/>
    </row>
    <row r="119">
      <c r="G119" s="75" t="n">
        <v>93</v>
      </c>
      <c r="H119" s="75">
        <f>TRUNC((_xlfn.NORM.INV((RAND()),$E$35,$E$36)),2)</f>
        <v/>
      </c>
      <c r="I119" s="75">
        <f>TRUNC((_xlfn.NORM.INV((RAND()),$E$35,$E$36)),2)</f>
        <v/>
      </c>
      <c r="J119" s="75">
        <f>TRUNC((_xlfn.NORM.INV((RAND()),$E$35,$E$36)),2)</f>
        <v/>
      </c>
      <c r="Z119" s="75" t="n">
        <v>93</v>
      </c>
      <c r="AA119" s="20">
        <f>TRUNC(IF(H119&lt;0,0,H119),0)</f>
        <v/>
      </c>
      <c r="AB119" s="20">
        <f>TRUNC(IF(I119&lt;0,0,I119),0)</f>
        <v/>
      </c>
      <c r="AC119" s="20">
        <f>TRUNC(IF(J119&lt;0,0,J119),0)</f>
        <v/>
      </c>
      <c r="AS119" s="75" t="n">
        <v>93</v>
      </c>
      <c r="AT119" s="5" t="n">
        <v>3</v>
      </c>
      <c r="AU119" s="5" t="n">
        <v>3</v>
      </c>
      <c r="AV119" s="5" t="n">
        <v>5</v>
      </c>
      <c r="AZ119" s="2" t="n"/>
      <c r="BA119" s="2" t="n"/>
      <c r="BB119" s="2" t="n"/>
      <c r="BE119" s="2" t="n"/>
      <c r="BF119" s="2" t="n"/>
      <c r="BG119" s="2" t="n"/>
    </row>
    <row r="120">
      <c r="G120" s="75" t="n">
        <v>94</v>
      </c>
      <c r="H120" s="75">
        <f>TRUNC((_xlfn.NORM.INV((RAND()),$E$35,$E$36)),2)</f>
        <v/>
      </c>
      <c r="I120" s="75">
        <f>TRUNC((_xlfn.NORM.INV((RAND()),$E$35,$E$36)),2)</f>
        <v/>
      </c>
      <c r="J120" s="75">
        <f>TRUNC((_xlfn.NORM.INV((RAND()),$E$35,$E$36)),2)</f>
        <v/>
      </c>
      <c r="Z120" s="75" t="n">
        <v>94</v>
      </c>
      <c r="AA120" s="20">
        <f>TRUNC(IF(H120&lt;0,0,H120),0)</f>
        <v/>
      </c>
      <c r="AB120" s="20">
        <f>TRUNC(IF(I120&lt;0,0,I120),0)</f>
        <v/>
      </c>
      <c r="AC120" s="20">
        <f>TRUNC(IF(J120&lt;0,0,J120),0)</f>
        <v/>
      </c>
      <c r="AS120" s="75" t="n">
        <v>94</v>
      </c>
      <c r="AT120" s="5" t="n">
        <v>7</v>
      </c>
      <c r="AU120" s="5" t="n">
        <v>4</v>
      </c>
      <c r="AV120" s="5" t="n">
        <v>4</v>
      </c>
      <c r="AZ120" s="2" t="n"/>
      <c r="BA120" s="2" t="n"/>
      <c r="BB120" s="2" t="n"/>
      <c r="BE120" s="2" t="n"/>
      <c r="BF120" s="2" t="n"/>
      <c r="BG120" s="2" t="n"/>
    </row>
    <row r="121">
      <c r="G121" s="75" t="n">
        <v>95</v>
      </c>
      <c r="H121" s="75">
        <f>TRUNC((_xlfn.NORM.INV((RAND()),$E$35,$E$36)),2)</f>
        <v/>
      </c>
      <c r="I121" s="75">
        <f>TRUNC((_xlfn.NORM.INV((RAND()),$E$35,$E$36)),2)</f>
        <v/>
      </c>
      <c r="J121" s="75">
        <f>TRUNC((_xlfn.NORM.INV((RAND()),$E$35,$E$36)),2)</f>
        <v/>
      </c>
      <c r="Z121" s="75" t="n">
        <v>95</v>
      </c>
      <c r="AA121" s="20">
        <f>TRUNC(IF(H121&lt;0,0,H121),0)</f>
        <v/>
      </c>
      <c r="AB121" s="20">
        <f>TRUNC(IF(I121&lt;0,0,I121),0)</f>
        <v/>
      </c>
      <c r="AC121" s="20">
        <f>TRUNC(IF(J121&lt;0,0,J121),0)</f>
        <v/>
      </c>
      <c r="AS121" s="75" t="n">
        <v>95</v>
      </c>
      <c r="AT121" s="5" t="n">
        <v>4</v>
      </c>
      <c r="AU121" s="5" t="n">
        <v>5</v>
      </c>
      <c r="AV121" s="5" t="n">
        <v>4</v>
      </c>
      <c r="AZ121" s="2" t="n"/>
      <c r="BA121" s="2" t="n"/>
      <c r="BB121" s="2" t="n"/>
      <c r="BE121" s="2" t="n"/>
      <c r="BF121" s="2" t="n"/>
      <c r="BG121" s="2" t="n"/>
    </row>
    <row r="122">
      <c r="G122" s="75" t="n">
        <v>96</v>
      </c>
      <c r="H122" s="75">
        <f>TRUNC((_xlfn.NORM.INV((RAND()),$E$35,$E$36)),2)</f>
        <v/>
      </c>
      <c r="I122" s="75">
        <f>TRUNC((_xlfn.NORM.INV((RAND()),$E$35,$E$36)),2)</f>
        <v/>
      </c>
      <c r="J122" s="75">
        <f>TRUNC((_xlfn.NORM.INV((RAND()),$E$35,$E$36)),2)</f>
        <v/>
      </c>
      <c r="Z122" s="75" t="n">
        <v>96</v>
      </c>
      <c r="AA122" s="20">
        <f>TRUNC(IF(H122&lt;0,0,H122),0)</f>
        <v/>
      </c>
      <c r="AB122" s="20">
        <f>TRUNC(IF(I122&lt;0,0,I122),0)</f>
        <v/>
      </c>
      <c r="AC122" s="20">
        <f>TRUNC(IF(J122&lt;0,0,J122),0)</f>
        <v/>
      </c>
      <c r="AS122" s="75" t="n">
        <v>96</v>
      </c>
      <c r="AT122" s="5" t="n">
        <v>4</v>
      </c>
      <c r="AU122" s="5" t="n">
        <v>5</v>
      </c>
      <c r="AV122" s="5" t="n">
        <v>5</v>
      </c>
      <c r="AZ122" s="2" t="n"/>
      <c r="BA122" s="2" t="n"/>
      <c r="BB122" s="2" t="n"/>
      <c r="BE122" s="2" t="n"/>
      <c r="BF122" s="2" t="n"/>
      <c r="BG122" s="2" t="n"/>
    </row>
    <row r="123">
      <c r="G123" s="75" t="n">
        <v>97</v>
      </c>
      <c r="H123" s="75">
        <f>TRUNC((_xlfn.NORM.INV((RAND()),$E$35,$E$36)),2)</f>
        <v/>
      </c>
      <c r="I123" s="75">
        <f>TRUNC((_xlfn.NORM.INV((RAND()),$E$35,$E$36)),2)</f>
        <v/>
      </c>
      <c r="J123" s="75">
        <f>TRUNC((_xlfn.NORM.INV((RAND()),$E$35,$E$36)),2)</f>
        <v/>
      </c>
      <c r="Z123" s="75" t="n">
        <v>97</v>
      </c>
      <c r="AA123" s="20">
        <f>TRUNC(IF(H123&lt;0,0,H123),0)</f>
        <v/>
      </c>
      <c r="AB123" s="20">
        <f>TRUNC(IF(I123&lt;0,0,I123),0)</f>
        <v/>
      </c>
      <c r="AC123" s="20">
        <f>TRUNC(IF(J123&lt;0,0,J123),0)</f>
        <v/>
      </c>
      <c r="AS123" s="75" t="n">
        <v>97</v>
      </c>
      <c r="AT123" s="5" t="n">
        <v>4</v>
      </c>
      <c r="AU123" s="5" t="n">
        <v>6</v>
      </c>
      <c r="AV123" s="5" t="n">
        <v>5</v>
      </c>
      <c r="AZ123" s="2" t="n"/>
      <c r="BA123" s="2" t="n"/>
      <c r="BB123" s="2" t="n"/>
      <c r="BE123" s="2" t="n"/>
      <c r="BF123" s="2" t="n"/>
      <c r="BG123" s="2" t="n"/>
    </row>
    <row r="124">
      <c r="G124" s="75" t="n">
        <v>98</v>
      </c>
      <c r="H124" s="75">
        <f>TRUNC((_xlfn.NORM.INV((RAND()),$E$35,$E$36)),2)</f>
        <v/>
      </c>
      <c r="I124" s="75">
        <f>TRUNC((_xlfn.NORM.INV((RAND()),$E$35,$E$36)),2)</f>
        <v/>
      </c>
      <c r="J124" s="75">
        <f>TRUNC((_xlfn.NORM.INV((RAND()),$E$35,$E$36)),2)</f>
        <v/>
      </c>
      <c r="Z124" s="75" t="n">
        <v>98</v>
      </c>
      <c r="AA124" s="20">
        <f>TRUNC(IF(H124&lt;0,0,H124),0)</f>
        <v/>
      </c>
      <c r="AB124" s="20">
        <f>TRUNC(IF(I124&lt;0,0,I124),0)</f>
        <v/>
      </c>
      <c r="AC124" s="20">
        <f>TRUNC(IF(J124&lt;0,0,J124),0)</f>
        <v/>
      </c>
      <c r="AS124" s="75" t="n">
        <v>98</v>
      </c>
      <c r="AT124" s="5" t="n">
        <v>6</v>
      </c>
      <c r="AU124" s="5" t="n">
        <v>5</v>
      </c>
      <c r="AV124" s="5" t="n">
        <v>6</v>
      </c>
      <c r="AZ124" s="2" t="n"/>
      <c r="BA124" s="2" t="n"/>
      <c r="BB124" s="2" t="n"/>
      <c r="BE124" s="2" t="n"/>
      <c r="BF124" s="2" t="n"/>
      <c r="BG124" s="2" t="n"/>
    </row>
    <row r="125">
      <c r="G125" s="75" t="n">
        <v>99</v>
      </c>
      <c r="H125" s="75">
        <f>TRUNC((_xlfn.NORM.INV((RAND()),$E$35,$E$36)),2)</f>
        <v/>
      </c>
      <c r="I125" s="75">
        <f>TRUNC((_xlfn.NORM.INV((RAND()),$E$35,$E$36)),2)</f>
        <v/>
      </c>
      <c r="J125" s="75">
        <f>TRUNC((_xlfn.NORM.INV((RAND()),$E$35,$E$36)),2)</f>
        <v/>
      </c>
      <c r="Z125" s="75" t="n">
        <v>99</v>
      </c>
      <c r="AA125" s="20">
        <f>TRUNC(IF(H125&lt;0,0,H125),0)</f>
        <v/>
      </c>
      <c r="AB125" s="20">
        <f>TRUNC(IF(I125&lt;0,0,I125),0)</f>
        <v/>
      </c>
      <c r="AC125" s="20">
        <f>TRUNC(IF(J125&lt;0,0,J125),0)</f>
        <v/>
      </c>
      <c r="AS125" s="75" t="n">
        <v>99</v>
      </c>
      <c r="AT125" s="5" t="n">
        <v>4</v>
      </c>
      <c r="AU125" s="5" t="n">
        <v>4</v>
      </c>
      <c r="AV125" s="5" t="n">
        <v>2</v>
      </c>
      <c r="AZ125" s="2" t="n"/>
      <c r="BA125" s="2" t="n"/>
      <c r="BB125" s="2" t="n"/>
      <c r="BE125" s="2" t="n"/>
      <c r="BF125" s="2" t="n"/>
      <c r="BG125" s="2" t="n"/>
    </row>
    <row r="126">
      <c r="G126" s="75" t="n">
        <v>100</v>
      </c>
      <c r="H126" s="75">
        <f>TRUNC((_xlfn.NORM.INV((RAND()),$E$35,$E$36)),2)</f>
        <v/>
      </c>
      <c r="I126" s="75">
        <f>TRUNC((_xlfn.NORM.INV((RAND()),$E$35,$E$36)),2)</f>
        <v/>
      </c>
      <c r="J126" s="75">
        <f>TRUNC((_xlfn.NORM.INV((RAND()),$E$35,$E$36)),2)</f>
        <v/>
      </c>
      <c r="Z126" s="75" t="n">
        <v>100</v>
      </c>
      <c r="AA126" s="20">
        <f>TRUNC(IF(H126&lt;0,0,H126),0)</f>
        <v/>
      </c>
      <c r="AB126" s="20">
        <f>TRUNC(IF(I126&lt;0,0,I126),0)</f>
        <v/>
      </c>
      <c r="AC126" s="20">
        <f>TRUNC(IF(J126&lt;0,0,J126),0)</f>
        <v/>
      </c>
      <c r="AS126" s="75" t="n">
        <v>100</v>
      </c>
      <c r="AT126" s="5" t="n">
        <v>5</v>
      </c>
      <c r="AU126" s="5" t="n">
        <v>3</v>
      </c>
      <c r="AV126" s="5" t="n">
        <v>2</v>
      </c>
      <c r="AZ126" s="2" t="n"/>
      <c r="BA126" s="2" t="n"/>
      <c r="BB126" s="2" t="n"/>
      <c r="BE126" s="2" t="n"/>
      <c r="BF126" s="2" t="n"/>
      <c r="BG126" s="2" t="n"/>
    </row>
    <row r="127">
      <c r="G127" s="75" t="n">
        <v>101</v>
      </c>
      <c r="H127" s="75">
        <f>TRUNC((_xlfn.NORM.INV((RAND()),$E$35,$E$36)),2)</f>
        <v/>
      </c>
      <c r="I127" s="75">
        <f>TRUNC((_xlfn.NORM.INV((RAND()),$E$35,$E$36)),2)</f>
        <v/>
      </c>
      <c r="J127" s="75">
        <f>TRUNC((_xlfn.NORM.INV((RAND()),$E$35,$E$36)),2)</f>
        <v/>
      </c>
      <c r="Z127" s="75" t="n">
        <v>101</v>
      </c>
      <c r="AA127" s="20">
        <f>TRUNC(IF(H127&lt;0,0,H127),0)</f>
        <v/>
      </c>
      <c r="AB127" s="20">
        <f>TRUNC(IF(I127&lt;0,0,I127),0)</f>
        <v/>
      </c>
      <c r="AC127" s="20">
        <f>TRUNC(IF(J127&lt;0,0,J127),0)</f>
        <v/>
      </c>
      <c r="AS127" s="75" t="n">
        <v>101</v>
      </c>
      <c r="AT127" s="5" t="n">
        <v>6</v>
      </c>
      <c r="AU127" s="5" t="n">
        <v>4</v>
      </c>
      <c r="AV127" s="5" t="n">
        <v>6</v>
      </c>
      <c r="AZ127" s="2" t="n"/>
      <c r="BA127" s="2" t="n"/>
      <c r="BB127" s="2" t="n"/>
      <c r="BE127" s="2" t="n"/>
      <c r="BF127" s="2" t="n"/>
      <c r="BG127" s="2" t="n"/>
    </row>
    <row r="128">
      <c r="G128" s="75" t="n">
        <v>102</v>
      </c>
      <c r="H128" s="75">
        <f>TRUNC((_xlfn.NORM.INV((RAND()),$E$35,$E$36)),2)</f>
        <v/>
      </c>
      <c r="I128" s="75">
        <f>TRUNC((_xlfn.NORM.INV((RAND()),$E$35,$E$36)),2)</f>
        <v/>
      </c>
      <c r="J128" s="75">
        <f>TRUNC((_xlfn.NORM.INV((RAND()),$E$35,$E$36)),2)</f>
        <v/>
      </c>
      <c r="Z128" s="75" t="n">
        <v>102</v>
      </c>
      <c r="AA128" s="20">
        <f>TRUNC(IF(H128&lt;0,0,H128),0)</f>
        <v/>
      </c>
      <c r="AB128" s="20">
        <f>TRUNC(IF(I128&lt;0,0,I128),0)</f>
        <v/>
      </c>
      <c r="AC128" s="20">
        <f>TRUNC(IF(J128&lt;0,0,J128),0)</f>
        <v/>
      </c>
      <c r="AS128" s="75" t="n">
        <v>102</v>
      </c>
      <c r="AT128" s="5" t="n">
        <v>6</v>
      </c>
      <c r="AU128" s="5" t="n">
        <v>3</v>
      </c>
      <c r="AV128" s="5" t="n">
        <v>6</v>
      </c>
      <c r="AZ128" s="2" t="n"/>
      <c r="BA128" s="2" t="n"/>
      <c r="BB128" s="2" t="n"/>
      <c r="BE128" s="2" t="n"/>
      <c r="BF128" s="2" t="n"/>
      <c r="BG128" s="2" t="n"/>
    </row>
    <row r="129">
      <c r="G129" s="75" t="n">
        <v>103</v>
      </c>
      <c r="H129" s="75">
        <f>TRUNC((_xlfn.NORM.INV((RAND()),$E$35,$E$36)),2)</f>
        <v/>
      </c>
      <c r="I129" s="75">
        <f>TRUNC((_xlfn.NORM.INV((RAND()),$E$35,$E$36)),2)</f>
        <v/>
      </c>
      <c r="J129" s="75">
        <f>TRUNC((_xlfn.NORM.INV((RAND()),$E$35,$E$36)),2)</f>
        <v/>
      </c>
      <c r="Z129" s="75" t="n">
        <v>103</v>
      </c>
      <c r="AA129" s="20">
        <f>TRUNC(IF(H129&lt;0,0,H129),0)</f>
        <v/>
      </c>
      <c r="AB129" s="20">
        <f>TRUNC(IF(I129&lt;0,0,I129),0)</f>
        <v/>
      </c>
      <c r="AC129" s="20">
        <f>TRUNC(IF(J129&lt;0,0,J129),0)</f>
        <v/>
      </c>
      <c r="AS129" s="75" t="n">
        <v>103</v>
      </c>
      <c r="AT129" s="5" t="n">
        <v>6</v>
      </c>
      <c r="AU129" s="5" t="n">
        <v>4</v>
      </c>
      <c r="AV129" s="5" t="n">
        <v>4</v>
      </c>
      <c r="AZ129" s="2" t="n"/>
      <c r="BA129" s="2" t="n"/>
      <c r="BB129" s="2" t="n"/>
      <c r="BE129" s="2" t="n"/>
      <c r="BF129" s="2" t="n"/>
      <c r="BG129" s="2" t="n"/>
    </row>
    <row r="130">
      <c r="G130" s="75" t="n">
        <v>104</v>
      </c>
      <c r="H130" s="75">
        <f>TRUNC((_xlfn.NORM.INV((RAND()),$E$35,$E$36)),2)</f>
        <v/>
      </c>
      <c r="I130" s="75">
        <f>TRUNC((_xlfn.NORM.INV((RAND()),$E$35,$E$36)),2)</f>
        <v/>
      </c>
      <c r="J130" s="75">
        <f>TRUNC((_xlfn.NORM.INV((RAND()),$E$35,$E$36)),2)</f>
        <v/>
      </c>
      <c r="Z130" s="75" t="n">
        <v>104</v>
      </c>
      <c r="AA130" s="20">
        <f>TRUNC(IF(H130&lt;0,0,H130),0)</f>
        <v/>
      </c>
      <c r="AB130" s="20">
        <f>TRUNC(IF(I130&lt;0,0,I130),0)</f>
        <v/>
      </c>
      <c r="AC130" s="20">
        <f>TRUNC(IF(J130&lt;0,0,J130),0)</f>
        <v/>
      </c>
      <c r="AS130" s="75" t="n">
        <v>104</v>
      </c>
      <c r="AT130" s="5" t="n">
        <v>2</v>
      </c>
      <c r="AU130" s="5" t="n">
        <v>4</v>
      </c>
      <c r="AV130" s="5" t="n">
        <v>5</v>
      </c>
      <c r="AZ130" s="2" t="n"/>
      <c r="BA130" s="2" t="n"/>
      <c r="BB130" s="2" t="n"/>
      <c r="BE130" s="2" t="n"/>
      <c r="BF130" s="2" t="n"/>
      <c r="BG130" s="2" t="n"/>
    </row>
    <row r="131">
      <c r="G131" s="75" t="n">
        <v>105</v>
      </c>
      <c r="H131" s="75">
        <f>TRUNC((_xlfn.NORM.INV((RAND()),$E$35,$E$36)),2)</f>
        <v/>
      </c>
      <c r="I131" s="75">
        <f>TRUNC((_xlfn.NORM.INV((RAND()),$E$35,$E$36)),2)</f>
        <v/>
      </c>
      <c r="J131" s="75">
        <f>TRUNC((_xlfn.NORM.INV((RAND()),$E$35,$E$36)),2)</f>
        <v/>
      </c>
      <c r="Z131" s="75" t="n">
        <v>105</v>
      </c>
      <c r="AA131" s="20">
        <f>TRUNC(IF(H131&lt;0,0,H131),0)</f>
        <v/>
      </c>
      <c r="AB131" s="20">
        <f>TRUNC(IF(I131&lt;0,0,I131),0)</f>
        <v/>
      </c>
      <c r="AC131" s="20">
        <f>TRUNC(IF(J131&lt;0,0,J131),0)</f>
        <v/>
      </c>
      <c r="AS131" s="75" t="n">
        <v>105</v>
      </c>
      <c r="AT131" s="5" t="n">
        <v>6</v>
      </c>
      <c r="AU131" s="5" t="n">
        <v>7</v>
      </c>
      <c r="AV131" s="5" t="n">
        <v>6</v>
      </c>
      <c r="AZ131" s="2" t="n"/>
      <c r="BA131" s="2" t="n"/>
      <c r="BB131" s="2" t="n"/>
      <c r="BE131" s="2" t="n"/>
      <c r="BF131" s="2" t="n"/>
      <c r="BG131" s="2" t="n"/>
    </row>
    <row r="132">
      <c r="G132" s="75" t="n">
        <v>106</v>
      </c>
      <c r="H132" s="75">
        <f>TRUNC((_xlfn.NORM.INV((RAND()),$E$35,$E$36)),2)</f>
        <v/>
      </c>
      <c r="I132" s="75">
        <f>TRUNC((_xlfn.NORM.INV((RAND()),$E$35,$E$36)),2)</f>
        <v/>
      </c>
      <c r="J132" s="75">
        <f>TRUNC((_xlfn.NORM.INV((RAND()),$E$35,$E$36)),2)</f>
        <v/>
      </c>
      <c r="Z132" s="75" t="n">
        <v>106</v>
      </c>
      <c r="AA132" s="20">
        <f>TRUNC(IF(H132&lt;0,0,H132),0)</f>
        <v/>
      </c>
      <c r="AB132" s="20">
        <f>TRUNC(IF(I132&lt;0,0,I132),0)</f>
        <v/>
      </c>
      <c r="AC132" s="20">
        <f>TRUNC(IF(J132&lt;0,0,J132),0)</f>
        <v/>
      </c>
      <c r="AS132" s="75" t="n">
        <v>106</v>
      </c>
      <c r="AT132" s="5" t="n">
        <v>4</v>
      </c>
      <c r="AU132" s="5" t="n">
        <v>3</v>
      </c>
      <c r="AV132" s="5" t="n">
        <v>5</v>
      </c>
      <c r="AZ132" s="2" t="n"/>
      <c r="BA132" s="2" t="n"/>
      <c r="BB132" s="2" t="n"/>
      <c r="BE132" s="2" t="n"/>
      <c r="BF132" s="2" t="n"/>
      <c r="BG132" s="2" t="n"/>
    </row>
    <row r="133">
      <c r="G133" s="75" t="n">
        <v>107</v>
      </c>
      <c r="H133" s="75">
        <f>TRUNC((_xlfn.NORM.INV((RAND()),$E$35,$E$36)),2)</f>
        <v/>
      </c>
      <c r="I133" s="75">
        <f>TRUNC((_xlfn.NORM.INV((RAND()),$E$35,$E$36)),2)</f>
        <v/>
      </c>
      <c r="J133" s="75">
        <f>TRUNC((_xlfn.NORM.INV((RAND()),$E$35,$E$36)),2)</f>
        <v/>
      </c>
      <c r="Z133" s="75" t="n">
        <v>107</v>
      </c>
      <c r="AA133" s="20">
        <f>TRUNC(IF(H133&lt;0,0,H133),0)</f>
        <v/>
      </c>
      <c r="AB133" s="20">
        <f>TRUNC(IF(I133&lt;0,0,I133),0)</f>
        <v/>
      </c>
      <c r="AC133" s="20">
        <f>TRUNC(IF(J133&lt;0,0,J133),0)</f>
        <v/>
      </c>
      <c r="AS133" s="75" t="n">
        <v>107</v>
      </c>
      <c r="AT133" s="5" t="n">
        <v>3</v>
      </c>
      <c r="AU133" s="5" t="n">
        <v>5</v>
      </c>
      <c r="AV133" s="5" t="n">
        <v>6</v>
      </c>
      <c r="AZ133" s="2" t="n"/>
      <c r="BA133" s="2" t="n"/>
      <c r="BB133" s="2" t="n"/>
      <c r="BE133" s="2" t="n"/>
      <c r="BF133" s="2" t="n"/>
      <c r="BG133" s="2" t="n"/>
    </row>
    <row r="134">
      <c r="G134" s="75" t="n">
        <v>108</v>
      </c>
      <c r="H134" s="75">
        <f>TRUNC((_xlfn.NORM.INV((RAND()),$E$35,$E$36)),2)</f>
        <v/>
      </c>
      <c r="I134" s="75">
        <f>TRUNC((_xlfn.NORM.INV((RAND()),$E$35,$E$36)),2)</f>
        <v/>
      </c>
      <c r="J134" s="75">
        <f>TRUNC((_xlfn.NORM.INV((RAND()),$E$35,$E$36)),2)</f>
        <v/>
      </c>
      <c r="Z134" s="75" t="n">
        <v>108</v>
      </c>
      <c r="AA134" s="20">
        <f>TRUNC(IF(H134&lt;0,0,H134),0)</f>
        <v/>
      </c>
      <c r="AB134" s="20">
        <f>TRUNC(IF(I134&lt;0,0,I134),0)</f>
        <v/>
      </c>
      <c r="AC134" s="20">
        <f>TRUNC(IF(J134&lt;0,0,J134),0)</f>
        <v/>
      </c>
      <c r="AS134" s="75" t="n">
        <v>108</v>
      </c>
      <c r="AT134" s="5" t="n">
        <v>5</v>
      </c>
      <c r="AU134" s="5" t="n">
        <v>4</v>
      </c>
      <c r="AV134" s="5" t="n">
        <v>6</v>
      </c>
      <c r="AZ134" s="2" t="n"/>
      <c r="BA134" s="2" t="n"/>
      <c r="BB134" s="2" t="n"/>
      <c r="BE134" s="2" t="n"/>
      <c r="BF134" s="2" t="n"/>
      <c r="BG134" s="2" t="n"/>
    </row>
    <row r="135">
      <c r="G135" s="75" t="n">
        <v>109</v>
      </c>
      <c r="H135" s="75">
        <f>TRUNC((_xlfn.NORM.INV((RAND()),$E$35,$E$36)),2)</f>
        <v/>
      </c>
      <c r="I135" s="75">
        <f>TRUNC((_xlfn.NORM.INV((RAND()),$E$35,$E$36)),2)</f>
        <v/>
      </c>
      <c r="J135" s="75">
        <f>TRUNC((_xlfn.NORM.INV((RAND()),$E$35,$E$36)),2)</f>
        <v/>
      </c>
      <c r="Z135" s="75" t="n">
        <v>109</v>
      </c>
      <c r="AA135" s="20">
        <f>TRUNC(IF(H135&lt;0,0,H135),0)</f>
        <v/>
      </c>
      <c r="AB135" s="20">
        <f>TRUNC(IF(I135&lt;0,0,I135),0)</f>
        <v/>
      </c>
      <c r="AC135" s="20">
        <f>TRUNC(IF(J135&lt;0,0,J135),0)</f>
        <v/>
      </c>
      <c r="AS135" s="75" t="n">
        <v>109</v>
      </c>
      <c r="AT135" s="5" t="n">
        <v>5</v>
      </c>
      <c r="AU135" s="5" t="n">
        <v>6</v>
      </c>
      <c r="AV135" s="5" t="n">
        <v>6</v>
      </c>
      <c r="AZ135" s="2" t="n"/>
      <c r="BA135" s="2" t="n"/>
      <c r="BB135" s="2" t="n"/>
      <c r="BE135" s="2" t="n"/>
      <c r="BF135" s="2" t="n"/>
      <c r="BG135" s="2" t="n"/>
    </row>
    <row r="136">
      <c r="G136" s="75" t="n">
        <v>110</v>
      </c>
      <c r="H136" s="75">
        <f>TRUNC((_xlfn.NORM.INV((RAND()),$E$35,$E$36)),2)</f>
        <v/>
      </c>
      <c r="I136" s="75">
        <f>TRUNC((_xlfn.NORM.INV((RAND()),$E$35,$E$36)),2)</f>
        <v/>
      </c>
      <c r="J136" s="75">
        <f>TRUNC((_xlfn.NORM.INV((RAND()),$E$35,$E$36)),2)</f>
        <v/>
      </c>
      <c r="Z136" s="75" t="n">
        <v>110</v>
      </c>
      <c r="AA136" s="20">
        <f>TRUNC(IF(H136&lt;0,0,H136),0)</f>
        <v/>
      </c>
      <c r="AB136" s="20">
        <f>TRUNC(IF(I136&lt;0,0,I136),0)</f>
        <v/>
      </c>
      <c r="AC136" s="20">
        <f>TRUNC(IF(J136&lt;0,0,J136),0)</f>
        <v/>
      </c>
      <c r="AS136" s="75" t="n">
        <v>110</v>
      </c>
      <c r="AT136" s="5" t="n">
        <v>7</v>
      </c>
      <c r="AU136" s="5" t="n">
        <v>5</v>
      </c>
      <c r="AV136" s="5" t="n">
        <v>5</v>
      </c>
      <c r="AZ136" s="2" t="n"/>
      <c r="BA136" s="2" t="n"/>
      <c r="BB136" s="2" t="n"/>
      <c r="BE136" s="2" t="n"/>
      <c r="BF136" s="2" t="n"/>
      <c r="BG136" s="2" t="n"/>
    </row>
    <row r="137">
      <c r="G137" s="75" t="n">
        <v>111</v>
      </c>
      <c r="H137" s="75">
        <f>TRUNC((_xlfn.NORM.INV((RAND()),$E$35,$E$36)),2)</f>
        <v/>
      </c>
      <c r="I137" s="75">
        <f>TRUNC((_xlfn.NORM.INV((RAND()),$E$35,$E$36)),2)</f>
        <v/>
      </c>
      <c r="J137" s="75">
        <f>TRUNC((_xlfn.NORM.INV((RAND()),$E$35,$E$36)),2)</f>
        <v/>
      </c>
      <c r="Z137" s="75" t="n">
        <v>111</v>
      </c>
      <c r="AA137" s="20">
        <f>TRUNC(IF(H137&lt;0,0,H137),0)</f>
        <v/>
      </c>
      <c r="AB137" s="20">
        <f>TRUNC(IF(I137&lt;0,0,I137),0)</f>
        <v/>
      </c>
      <c r="AC137" s="20">
        <f>TRUNC(IF(J137&lt;0,0,J137),0)</f>
        <v/>
      </c>
      <c r="AS137" s="75" t="n">
        <v>111</v>
      </c>
      <c r="AT137" s="5" t="n">
        <v>3</v>
      </c>
      <c r="AU137" s="5" t="n">
        <v>5</v>
      </c>
      <c r="AV137" s="5" t="n">
        <v>7</v>
      </c>
      <c r="AZ137" s="2" t="n"/>
      <c r="BA137" s="2" t="n"/>
      <c r="BB137" s="2" t="n"/>
      <c r="BE137" s="2" t="n"/>
      <c r="BF137" s="2" t="n"/>
      <c r="BG137" s="2" t="n"/>
    </row>
    <row r="138">
      <c r="G138" s="75" t="n">
        <v>112</v>
      </c>
      <c r="H138" s="75">
        <f>TRUNC((_xlfn.NORM.INV((RAND()),$E$35,$E$36)),2)</f>
        <v/>
      </c>
      <c r="I138" s="75">
        <f>TRUNC((_xlfn.NORM.INV((RAND()),$E$35,$E$36)),2)</f>
        <v/>
      </c>
      <c r="J138" s="75">
        <f>TRUNC((_xlfn.NORM.INV((RAND()),$E$35,$E$36)),2)</f>
        <v/>
      </c>
      <c r="Z138" s="75" t="n">
        <v>112</v>
      </c>
      <c r="AA138" s="20">
        <f>TRUNC(IF(H138&lt;0,0,H138),0)</f>
        <v/>
      </c>
      <c r="AB138" s="20">
        <f>TRUNC(IF(I138&lt;0,0,I138),0)</f>
        <v/>
      </c>
      <c r="AC138" s="20">
        <f>TRUNC(IF(J138&lt;0,0,J138),0)</f>
        <v/>
      </c>
      <c r="AS138" s="75" t="n">
        <v>112</v>
      </c>
      <c r="AT138" s="5" t="n">
        <v>4</v>
      </c>
      <c r="AU138" s="5" t="n">
        <v>6</v>
      </c>
      <c r="AV138" s="5" t="n">
        <v>5</v>
      </c>
      <c r="AZ138" s="2" t="n"/>
      <c r="BA138" s="2" t="n"/>
      <c r="BB138" s="2" t="n"/>
      <c r="BE138" s="2" t="n"/>
      <c r="BF138" s="2" t="n"/>
      <c r="BG138" s="2" t="n"/>
    </row>
    <row r="139">
      <c r="G139" s="75" t="n">
        <v>113</v>
      </c>
      <c r="H139" s="75">
        <f>TRUNC((_xlfn.NORM.INV((RAND()),$E$35,$E$36)),2)</f>
        <v/>
      </c>
      <c r="I139" s="75">
        <f>TRUNC((_xlfn.NORM.INV((RAND()),$E$35,$E$36)),2)</f>
        <v/>
      </c>
      <c r="J139" s="75">
        <f>TRUNC((_xlfn.NORM.INV((RAND()),$E$35,$E$36)),2)</f>
        <v/>
      </c>
      <c r="Z139" s="75" t="n">
        <v>113</v>
      </c>
      <c r="AA139" s="20">
        <f>TRUNC(IF(H139&lt;0,0,H139),0)</f>
        <v/>
      </c>
      <c r="AB139" s="20">
        <f>TRUNC(IF(I139&lt;0,0,I139),0)</f>
        <v/>
      </c>
      <c r="AC139" s="20">
        <f>TRUNC(IF(J139&lt;0,0,J139),0)</f>
        <v/>
      </c>
      <c r="AS139" s="75" t="n">
        <v>113</v>
      </c>
      <c r="AT139" s="5" t="n">
        <v>6</v>
      </c>
      <c r="AU139" s="5" t="n">
        <v>6</v>
      </c>
      <c r="AV139" s="5" t="n">
        <v>4</v>
      </c>
      <c r="AZ139" s="2" t="n"/>
      <c r="BA139" s="2" t="n"/>
      <c r="BB139" s="2" t="n"/>
      <c r="BE139" s="2" t="n"/>
      <c r="BF139" s="2" t="n"/>
      <c r="BG139" s="2" t="n"/>
    </row>
    <row r="140">
      <c r="G140" s="75" t="n">
        <v>114</v>
      </c>
      <c r="H140" s="75">
        <f>TRUNC((_xlfn.NORM.INV((RAND()),$E$35,$E$36)),2)</f>
        <v/>
      </c>
      <c r="I140" s="75">
        <f>TRUNC((_xlfn.NORM.INV((RAND()),$E$35,$E$36)),2)</f>
        <v/>
      </c>
      <c r="J140" s="75">
        <f>TRUNC((_xlfn.NORM.INV((RAND()),$E$35,$E$36)),2)</f>
        <v/>
      </c>
      <c r="Z140" s="75" t="n">
        <v>114</v>
      </c>
      <c r="AA140" s="20">
        <f>TRUNC(IF(H140&lt;0,0,H140),0)</f>
        <v/>
      </c>
      <c r="AB140" s="20">
        <f>TRUNC(IF(I140&lt;0,0,I140),0)</f>
        <v/>
      </c>
      <c r="AC140" s="20">
        <f>TRUNC(IF(J140&lt;0,0,J140),0)</f>
        <v/>
      </c>
      <c r="AS140" s="75" t="n">
        <v>114</v>
      </c>
      <c r="AT140" s="5" t="n">
        <v>4</v>
      </c>
      <c r="AU140" s="5" t="n">
        <v>8</v>
      </c>
      <c r="AV140" s="5" t="n">
        <v>4</v>
      </c>
      <c r="AZ140" s="2" t="n"/>
      <c r="BA140" s="2" t="n"/>
      <c r="BB140" s="2" t="n"/>
      <c r="BE140" s="2" t="n"/>
      <c r="BF140" s="2" t="n"/>
      <c r="BG140" s="2" t="n"/>
    </row>
    <row r="141">
      <c r="G141" s="75" t="n">
        <v>115</v>
      </c>
      <c r="H141" s="75">
        <f>TRUNC((_xlfn.NORM.INV((RAND()),$E$35,$E$36)),2)</f>
        <v/>
      </c>
      <c r="I141" s="75">
        <f>TRUNC((_xlfn.NORM.INV((RAND()),$E$35,$E$36)),2)</f>
        <v/>
      </c>
      <c r="J141" s="75">
        <f>TRUNC((_xlfn.NORM.INV((RAND()),$E$35,$E$36)),2)</f>
        <v/>
      </c>
      <c r="Z141" s="75" t="n">
        <v>115</v>
      </c>
      <c r="AA141" s="20">
        <f>TRUNC(IF(H141&lt;0,0,H141),0)</f>
        <v/>
      </c>
      <c r="AB141" s="20">
        <f>TRUNC(IF(I141&lt;0,0,I141),0)</f>
        <v/>
      </c>
      <c r="AC141" s="20">
        <f>TRUNC(IF(J141&lt;0,0,J141),0)</f>
        <v/>
      </c>
      <c r="AS141" s="75" t="n">
        <v>115</v>
      </c>
      <c r="AT141" s="5" t="n">
        <v>6</v>
      </c>
      <c r="AU141" s="5" t="n">
        <v>7</v>
      </c>
      <c r="AV141" s="5" t="n">
        <v>6</v>
      </c>
      <c r="AZ141" s="2" t="n"/>
      <c r="BA141" s="2" t="n"/>
      <c r="BB141" s="2" t="n"/>
      <c r="BE141" s="2" t="n"/>
      <c r="BF141" s="2" t="n"/>
      <c r="BG141" s="2" t="n"/>
    </row>
    <row r="142">
      <c r="G142" s="75" t="n">
        <v>116</v>
      </c>
      <c r="H142" s="75">
        <f>TRUNC((_xlfn.NORM.INV((RAND()),$E$35,$E$36)),2)</f>
        <v/>
      </c>
      <c r="I142" s="75">
        <f>TRUNC((_xlfn.NORM.INV((RAND()),$E$35,$E$36)),2)</f>
        <v/>
      </c>
      <c r="J142" s="75">
        <f>TRUNC((_xlfn.NORM.INV((RAND()),$E$35,$E$36)),2)</f>
        <v/>
      </c>
      <c r="Z142" s="75" t="n">
        <v>116</v>
      </c>
      <c r="AA142" s="20">
        <f>TRUNC(IF(H142&lt;0,0,H142),0)</f>
        <v/>
      </c>
      <c r="AB142" s="20">
        <f>TRUNC(IF(I142&lt;0,0,I142),0)</f>
        <v/>
      </c>
      <c r="AC142" s="20">
        <f>TRUNC(IF(J142&lt;0,0,J142),0)</f>
        <v/>
      </c>
      <c r="AS142" s="75" t="n">
        <v>116</v>
      </c>
      <c r="AT142" s="5" t="n">
        <v>3</v>
      </c>
      <c r="AU142" s="5" t="n">
        <v>6</v>
      </c>
      <c r="AV142" s="5" t="n">
        <v>5</v>
      </c>
      <c r="AZ142" s="2" t="n"/>
      <c r="BA142" s="2" t="n"/>
      <c r="BB142" s="2" t="n"/>
      <c r="BE142" s="2" t="n"/>
      <c r="BF142" s="2" t="n"/>
      <c r="BG142" s="2" t="n"/>
    </row>
    <row r="143">
      <c r="G143" s="75" t="n">
        <v>117</v>
      </c>
      <c r="H143" s="75">
        <f>TRUNC((_xlfn.NORM.INV((RAND()),$E$35,$E$36)),2)</f>
        <v/>
      </c>
      <c r="I143" s="75">
        <f>TRUNC((_xlfn.NORM.INV((RAND()),$E$35,$E$36)),2)</f>
        <v/>
      </c>
      <c r="J143" s="75">
        <f>TRUNC((_xlfn.NORM.INV((RAND()),$E$35,$E$36)),2)</f>
        <v/>
      </c>
      <c r="Z143" s="75" t="n">
        <v>117</v>
      </c>
      <c r="AA143" s="20">
        <f>TRUNC(IF(H143&lt;0,0,H143),0)</f>
        <v/>
      </c>
      <c r="AB143" s="20">
        <f>TRUNC(IF(I143&lt;0,0,I143),0)</f>
        <v/>
      </c>
      <c r="AC143" s="20">
        <f>TRUNC(IF(J143&lt;0,0,J143),0)</f>
        <v/>
      </c>
      <c r="AS143" s="75" t="n">
        <v>117</v>
      </c>
      <c r="AT143" s="5" t="n">
        <v>4</v>
      </c>
      <c r="AU143" s="5" t="n">
        <v>5</v>
      </c>
      <c r="AV143" s="5" t="n">
        <v>3</v>
      </c>
      <c r="AZ143" s="2" t="n"/>
      <c r="BA143" s="2" t="n"/>
      <c r="BB143" s="2" t="n"/>
      <c r="BE143" s="2" t="n"/>
      <c r="BF143" s="2" t="n"/>
      <c r="BG143" s="2" t="n"/>
    </row>
    <row r="144">
      <c r="G144" s="75" t="n">
        <v>118</v>
      </c>
      <c r="H144" s="75">
        <f>TRUNC((_xlfn.NORM.INV((RAND()),$E$35,$E$36)),2)</f>
        <v/>
      </c>
      <c r="I144" s="75">
        <f>TRUNC((_xlfn.NORM.INV((RAND()),$E$35,$E$36)),2)</f>
        <v/>
      </c>
      <c r="J144" s="75">
        <f>TRUNC((_xlfn.NORM.INV((RAND()),$E$35,$E$36)),2)</f>
        <v/>
      </c>
      <c r="Z144" s="75" t="n">
        <v>118</v>
      </c>
      <c r="AA144" s="20">
        <f>TRUNC(IF(H144&lt;0,0,H144),0)</f>
        <v/>
      </c>
      <c r="AB144" s="20">
        <f>TRUNC(IF(I144&lt;0,0,I144),0)</f>
        <v/>
      </c>
      <c r="AC144" s="20">
        <f>TRUNC(IF(J144&lt;0,0,J144),0)</f>
        <v/>
      </c>
      <c r="AS144" s="75" t="n">
        <v>118</v>
      </c>
      <c r="AT144" s="5" t="n">
        <v>6</v>
      </c>
      <c r="AU144" s="5" t="n">
        <v>4</v>
      </c>
      <c r="AV144" s="5" t="n">
        <v>7</v>
      </c>
      <c r="AZ144" s="2" t="n"/>
      <c r="BA144" s="2" t="n"/>
      <c r="BB144" s="2" t="n"/>
      <c r="BE144" s="2" t="n"/>
      <c r="BF144" s="2" t="n"/>
      <c r="BG144" s="2" t="n"/>
    </row>
    <row r="145">
      <c r="G145" s="75" t="n">
        <v>119</v>
      </c>
      <c r="H145" s="75">
        <f>TRUNC((_xlfn.NORM.INV((RAND()),$E$35,$E$36)),2)</f>
        <v/>
      </c>
      <c r="I145" s="75">
        <f>TRUNC((_xlfn.NORM.INV((RAND()),$E$35,$E$36)),2)</f>
        <v/>
      </c>
      <c r="J145" s="75">
        <f>TRUNC((_xlfn.NORM.INV((RAND()),$E$35,$E$36)),2)</f>
        <v/>
      </c>
      <c r="Z145" s="75" t="n">
        <v>119</v>
      </c>
      <c r="AA145" s="20">
        <f>TRUNC(IF(H145&lt;0,0,H145),0)</f>
        <v/>
      </c>
      <c r="AB145" s="20">
        <f>TRUNC(IF(I145&lt;0,0,I145),0)</f>
        <v/>
      </c>
      <c r="AC145" s="20">
        <f>TRUNC(IF(J145&lt;0,0,J145),0)</f>
        <v/>
      </c>
      <c r="AS145" s="75" t="n">
        <v>119</v>
      </c>
      <c r="AT145" s="5" t="n">
        <v>2</v>
      </c>
      <c r="AU145" s="5" t="n">
        <v>5</v>
      </c>
      <c r="AV145" s="5" t="n">
        <v>5</v>
      </c>
      <c r="AZ145" s="2" t="n"/>
      <c r="BA145" s="2" t="n"/>
      <c r="BB145" s="2" t="n"/>
      <c r="BE145" s="2" t="n"/>
      <c r="BF145" s="2" t="n"/>
      <c r="BG145" s="2" t="n"/>
    </row>
    <row r="146">
      <c r="G146" s="75" t="n">
        <v>120</v>
      </c>
      <c r="H146" s="75">
        <f>TRUNC((_xlfn.NORM.INV((RAND()),$E$35,$E$36)),2)</f>
        <v/>
      </c>
      <c r="I146" s="75">
        <f>TRUNC((_xlfn.NORM.INV((RAND()),$E$35,$E$36)),2)</f>
        <v/>
      </c>
      <c r="J146" s="75">
        <f>TRUNC((_xlfn.NORM.INV((RAND()),$E$35,$E$36)),2)</f>
        <v/>
      </c>
      <c r="Z146" s="75" t="n">
        <v>120</v>
      </c>
      <c r="AA146" s="20">
        <f>TRUNC(IF(H146&lt;0,0,H146),0)</f>
        <v/>
      </c>
      <c r="AB146" s="20">
        <f>TRUNC(IF(I146&lt;0,0,I146),0)</f>
        <v/>
      </c>
      <c r="AC146" s="20">
        <f>TRUNC(IF(J146&lt;0,0,J146),0)</f>
        <v/>
      </c>
      <c r="AS146" s="75" t="n">
        <v>120</v>
      </c>
      <c r="AT146" s="5" t="n">
        <v>8</v>
      </c>
      <c r="AU146" s="5" t="n">
        <v>6</v>
      </c>
      <c r="AV146" s="5" t="n">
        <v>6</v>
      </c>
      <c r="AZ146" s="2" t="n"/>
      <c r="BA146" s="2" t="n"/>
      <c r="BB146" s="2" t="n"/>
      <c r="BE146" s="2" t="n"/>
      <c r="BF146" s="2" t="n"/>
      <c r="BG146" s="2" t="n"/>
    </row>
    <row r="147">
      <c r="G147" s="75" t="n">
        <v>121</v>
      </c>
      <c r="H147" s="75">
        <f>TRUNC((_xlfn.NORM.INV((RAND()),$E$35,$E$36)),2)</f>
        <v/>
      </c>
      <c r="I147" s="75">
        <f>TRUNC((_xlfn.NORM.INV((RAND()),$E$35,$E$36)),2)</f>
        <v/>
      </c>
      <c r="J147" s="75">
        <f>TRUNC((_xlfn.NORM.INV((RAND()),$E$35,$E$36)),2)</f>
        <v/>
      </c>
      <c r="Z147" s="75" t="n">
        <v>121</v>
      </c>
      <c r="AA147" s="20">
        <f>TRUNC(IF(H147&lt;0,0,H147),0)</f>
        <v/>
      </c>
      <c r="AB147" s="20">
        <f>TRUNC(IF(I147&lt;0,0,I147),0)</f>
        <v/>
      </c>
      <c r="AC147" s="20">
        <f>TRUNC(IF(J147&lt;0,0,J147),0)</f>
        <v/>
      </c>
      <c r="AS147" s="75" t="n">
        <v>121</v>
      </c>
      <c r="AT147" s="5" t="n">
        <v>5</v>
      </c>
      <c r="AU147" s="5" t="n">
        <v>5</v>
      </c>
      <c r="AV147" s="5" t="n">
        <v>6</v>
      </c>
      <c r="AZ147" s="2" t="n"/>
      <c r="BA147" s="2" t="n"/>
      <c r="BB147" s="2" t="n"/>
      <c r="BE147" s="2" t="n"/>
      <c r="BF147" s="2" t="n"/>
      <c r="BG147" s="2" t="n"/>
    </row>
    <row r="148">
      <c r="G148" s="75" t="n">
        <v>122</v>
      </c>
      <c r="H148" s="75">
        <f>TRUNC((_xlfn.NORM.INV((RAND()),$E$35,$E$36)),2)</f>
        <v/>
      </c>
      <c r="I148" s="75">
        <f>TRUNC((_xlfn.NORM.INV((RAND()),$E$35,$E$36)),2)</f>
        <v/>
      </c>
      <c r="J148" s="75">
        <f>TRUNC((_xlfn.NORM.INV((RAND()),$E$35,$E$36)),2)</f>
        <v/>
      </c>
      <c r="Z148" s="75" t="n">
        <v>122</v>
      </c>
      <c r="AA148" s="20">
        <f>TRUNC(IF(H148&lt;0,0,H148),0)</f>
        <v/>
      </c>
      <c r="AB148" s="20">
        <f>TRUNC(IF(I148&lt;0,0,I148),0)</f>
        <v/>
      </c>
      <c r="AC148" s="20">
        <f>TRUNC(IF(J148&lt;0,0,J148),0)</f>
        <v/>
      </c>
      <c r="AS148" s="75" t="n">
        <v>122</v>
      </c>
      <c r="AT148" s="5" t="n">
        <v>6</v>
      </c>
      <c r="AU148" s="5" t="n">
        <v>5</v>
      </c>
      <c r="AV148" s="5" t="n">
        <v>7</v>
      </c>
      <c r="AZ148" s="2" t="n"/>
      <c r="BA148" s="2" t="n"/>
      <c r="BB148" s="2" t="n"/>
      <c r="BE148" s="2" t="n"/>
      <c r="BF148" s="2" t="n"/>
      <c r="BG148" s="2" t="n"/>
    </row>
    <row r="149">
      <c r="G149" s="75" t="n">
        <v>123</v>
      </c>
      <c r="H149" s="75">
        <f>TRUNC((_xlfn.NORM.INV((RAND()),$E$35,$E$36)),2)</f>
        <v/>
      </c>
      <c r="I149" s="75">
        <f>TRUNC((_xlfn.NORM.INV((RAND()),$E$35,$E$36)),2)</f>
        <v/>
      </c>
      <c r="J149" s="75">
        <f>TRUNC((_xlfn.NORM.INV((RAND()),$E$35,$E$36)),2)</f>
        <v/>
      </c>
      <c r="Z149" s="75" t="n">
        <v>123</v>
      </c>
      <c r="AA149" s="20">
        <f>TRUNC(IF(H149&lt;0,0,H149),0)</f>
        <v/>
      </c>
      <c r="AB149" s="20">
        <f>TRUNC(IF(I149&lt;0,0,I149),0)</f>
        <v/>
      </c>
      <c r="AC149" s="20">
        <f>TRUNC(IF(J149&lt;0,0,J149),0)</f>
        <v/>
      </c>
      <c r="AS149" s="75" t="n">
        <v>123</v>
      </c>
      <c r="AT149" s="5" t="n">
        <v>5</v>
      </c>
      <c r="AU149" s="5" t="n">
        <v>6</v>
      </c>
      <c r="AV149" s="5" t="n">
        <v>4</v>
      </c>
      <c r="AZ149" s="2" t="n"/>
      <c r="BA149" s="2" t="n"/>
      <c r="BB149" s="2" t="n"/>
      <c r="BE149" s="2" t="n"/>
      <c r="BF149" s="2" t="n"/>
      <c r="BG149" s="2" t="n"/>
    </row>
    <row r="150">
      <c r="G150" s="75" t="n">
        <v>124</v>
      </c>
      <c r="H150" s="75">
        <f>TRUNC((_xlfn.NORM.INV((RAND()),$E$35,$E$36)),2)</f>
        <v/>
      </c>
      <c r="I150" s="75">
        <f>TRUNC((_xlfn.NORM.INV((RAND()),$E$35,$E$36)),2)</f>
        <v/>
      </c>
      <c r="J150" s="75">
        <f>TRUNC((_xlfn.NORM.INV((RAND()),$E$35,$E$36)),2)</f>
        <v/>
      </c>
      <c r="Z150" s="75" t="n">
        <v>124</v>
      </c>
      <c r="AA150" s="20">
        <f>TRUNC(IF(H150&lt;0,0,H150),0)</f>
        <v/>
      </c>
      <c r="AB150" s="20">
        <f>TRUNC(IF(I150&lt;0,0,I150),0)</f>
        <v/>
      </c>
      <c r="AC150" s="20">
        <f>TRUNC(IF(J150&lt;0,0,J150),0)</f>
        <v/>
      </c>
      <c r="AS150" s="75" t="n">
        <v>124</v>
      </c>
      <c r="AT150" s="5" t="n">
        <v>4</v>
      </c>
      <c r="AU150" s="5" t="n">
        <v>6</v>
      </c>
      <c r="AV150" s="5" t="n">
        <v>6</v>
      </c>
      <c r="AZ150" s="2" t="n"/>
      <c r="BA150" s="2" t="n"/>
      <c r="BB150" s="2" t="n"/>
      <c r="BE150" s="2" t="n"/>
      <c r="BF150" s="2" t="n"/>
      <c r="BG150" s="2" t="n"/>
    </row>
    <row r="151">
      <c r="G151" s="75" t="n">
        <v>125</v>
      </c>
      <c r="H151" s="75">
        <f>TRUNC((_xlfn.NORM.INV((RAND()),$E$35,$E$36)),2)</f>
        <v/>
      </c>
      <c r="I151" s="75">
        <f>TRUNC((_xlfn.NORM.INV((RAND()),$E$35,$E$36)),2)</f>
        <v/>
      </c>
      <c r="J151" s="75">
        <f>TRUNC((_xlfn.NORM.INV((RAND()),$E$35,$E$36)),2)</f>
        <v/>
      </c>
      <c r="Z151" s="75" t="n">
        <v>125</v>
      </c>
      <c r="AA151" s="20">
        <f>TRUNC(IF(H151&lt;0,0,H151),0)</f>
        <v/>
      </c>
      <c r="AB151" s="20">
        <f>TRUNC(IF(I151&lt;0,0,I151),0)</f>
        <v/>
      </c>
      <c r="AC151" s="20">
        <f>TRUNC(IF(J151&lt;0,0,J151),0)</f>
        <v/>
      </c>
      <c r="AS151" s="75" t="n">
        <v>125</v>
      </c>
      <c r="AT151" s="5" t="n">
        <v>4</v>
      </c>
      <c r="AU151" s="5" t="n">
        <v>4</v>
      </c>
      <c r="AV151" s="5" t="n">
        <v>4</v>
      </c>
      <c r="AZ151" s="2" t="n"/>
      <c r="BA151" s="2" t="n"/>
      <c r="BB151" s="2" t="n"/>
      <c r="BE151" s="2" t="n"/>
      <c r="BF151" s="2" t="n"/>
      <c r="BG151" s="2" t="n"/>
    </row>
    <row r="152">
      <c r="G152" s="75" t="n">
        <v>126</v>
      </c>
      <c r="H152" s="75">
        <f>TRUNC((_xlfn.NORM.INV((RAND()),$E$35,$E$36)),2)</f>
        <v/>
      </c>
      <c r="I152" s="75">
        <f>TRUNC((_xlfn.NORM.INV((RAND()),$E$35,$E$36)),2)</f>
        <v/>
      </c>
      <c r="J152" s="75">
        <f>TRUNC((_xlfn.NORM.INV((RAND()),$E$35,$E$36)),2)</f>
        <v/>
      </c>
      <c r="Z152" s="75" t="n">
        <v>126</v>
      </c>
      <c r="AA152" s="20">
        <f>TRUNC(IF(H152&lt;0,0,H152),0)</f>
        <v/>
      </c>
      <c r="AB152" s="20">
        <f>TRUNC(IF(I152&lt;0,0,I152),0)</f>
        <v/>
      </c>
      <c r="AC152" s="20">
        <f>TRUNC(IF(J152&lt;0,0,J152),0)</f>
        <v/>
      </c>
      <c r="AS152" s="75" t="n">
        <v>126</v>
      </c>
      <c r="AT152" s="5" t="n">
        <v>5</v>
      </c>
      <c r="AU152" s="5" t="n">
        <v>7</v>
      </c>
      <c r="AV152" s="5" t="n">
        <v>4</v>
      </c>
      <c r="AZ152" s="2" t="n"/>
      <c r="BA152" s="2" t="n"/>
      <c r="BB152" s="2" t="n"/>
      <c r="BE152" s="2" t="n"/>
      <c r="BF152" s="2" t="n"/>
      <c r="BG152" s="2" t="n"/>
    </row>
    <row r="153">
      <c r="G153" s="75" t="n">
        <v>127</v>
      </c>
      <c r="H153" s="75">
        <f>TRUNC((_xlfn.NORM.INV((RAND()),$E$35,$E$36)),2)</f>
        <v/>
      </c>
      <c r="I153" s="75">
        <f>TRUNC((_xlfn.NORM.INV((RAND()),$E$35,$E$36)),2)</f>
        <v/>
      </c>
      <c r="J153" s="75">
        <f>TRUNC((_xlfn.NORM.INV((RAND()),$E$35,$E$36)),2)</f>
        <v/>
      </c>
      <c r="Z153" s="75" t="n">
        <v>127</v>
      </c>
      <c r="AA153" s="20">
        <f>TRUNC(IF(H153&lt;0,0,H153),0)</f>
        <v/>
      </c>
      <c r="AB153" s="20">
        <f>TRUNC(IF(I153&lt;0,0,I153),0)</f>
        <v/>
      </c>
      <c r="AC153" s="20">
        <f>TRUNC(IF(J153&lt;0,0,J153),0)</f>
        <v/>
      </c>
      <c r="AS153" s="75" t="n">
        <v>127</v>
      </c>
      <c r="AT153" s="5" t="n">
        <v>4</v>
      </c>
      <c r="AU153" s="5" t="n">
        <v>7</v>
      </c>
      <c r="AV153" s="5" t="n">
        <v>6</v>
      </c>
      <c r="AZ153" s="2" t="n"/>
      <c r="BA153" s="2" t="n"/>
      <c r="BB153" s="2" t="n"/>
      <c r="BE153" s="2" t="n"/>
      <c r="BF153" s="2" t="n"/>
      <c r="BG153" s="2" t="n"/>
    </row>
    <row r="154">
      <c r="G154" s="75" t="n">
        <v>128</v>
      </c>
      <c r="H154" s="75">
        <f>TRUNC((_xlfn.NORM.INV((RAND()),$E$35,$E$36)),2)</f>
        <v/>
      </c>
      <c r="I154" s="75">
        <f>TRUNC((_xlfn.NORM.INV((RAND()),$E$35,$E$36)),2)</f>
        <v/>
      </c>
      <c r="J154" s="75">
        <f>TRUNC((_xlfn.NORM.INV((RAND()),$E$35,$E$36)),2)</f>
        <v/>
      </c>
      <c r="Z154" s="75" t="n">
        <v>128</v>
      </c>
      <c r="AA154" s="20">
        <f>TRUNC(IF(H154&lt;0,0,H154),0)</f>
        <v/>
      </c>
      <c r="AB154" s="20">
        <f>TRUNC(IF(I154&lt;0,0,I154),0)</f>
        <v/>
      </c>
      <c r="AC154" s="20">
        <f>TRUNC(IF(J154&lt;0,0,J154),0)</f>
        <v/>
      </c>
      <c r="AS154" s="75" t="n">
        <v>128</v>
      </c>
      <c r="AT154" s="5" t="n">
        <v>3</v>
      </c>
      <c r="AU154" s="5" t="n">
        <v>3</v>
      </c>
      <c r="AV154" s="5" t="n">
        <v>5</v>
      </c>
      <c r="AZ154" s="2" t="n"/>
      <c r="BA154" s="2" t="n"/>
      <c r="BB154" s="2" t="n"/>
      <c r="BE154" s="2" t="n"/>
      <c r="BF154" s="2" t="n"/>
      <c r="BG154" s="2" t="n"/>
    </row>
    <row r="155">
      <c r="G155" s="75" t="n">
        <v>129</v>
      </c>
      <c r="H155" s="75">
        <f>TRUNC((_xlfn.NORM.INV((RAND()),$E$35,$E$36)),2)</f>
        <v/>
      </c>
      <c r="I155" s="75">
        <f>TRUNC((_xlfn.NORM.INV((RAND()),$E$35,$E$36)),2)</f>
        <v/>
      </c>
      <c r="J155" s="75">
        <f>TRUNC((_xlfn.NORM.INV((RAND()),$E$35,$E$36)),2)</f>
        <v/>
      </c>
      <c r="Z155" s="75" t="n">
        <v>129</v>
      </c>
      <c r="AA155" s="20">
        <f>TRUNC(IF(H155&lt;0,0,H155),0)</f>
        <v/>
      </c>
      <c r="AB155" s="20">
        <f>TRUNC(IF(I155&lt;0,0,I155),0)</f>
        <v/>
      </c>
      <c r="AC155" s="20">
        <f>TRUNC(IF(J155&lt;0,0,J155),0)</f>
        <v/>
      </c>
      <c r="AS155" s="75" t="n">
        <v>129</v>
      </c>
      <c r="AT155" s="5" t="n">
        <v>3</v>
      </c>
      <c r="AU155" s="5" t="n">
        <v>6</v>
      </c>
      <c r="AV155" s="5" t="n">
        <v>4</v>
      </c>
      <c r="AZ155" s="2" t="n"/>
      <c r="BA155" s="2" t="n"/>
      <c r="BB155" s="2" t="n"/>
      <c r="BE155" s="2" t="n"/>
      <c r="BF155" s="2" t="n"/>
      <c r="BG155" s="2" t="n"/>
    </row>
    <row r="156">
      <c r="G156" s="75" t="n">
        <v>130</v>
      </c>
      <c r="H156" s="75">
        <f>TRUNC((_xlfn.NORM.INV((RAND()),$E$35,$E$36)),2)</f>
        <v/>
      </c>
      <c r="I156" s="75">
        <f>TRUNC((_xlfn.NORM.INV((RAND()),$E$35,$E$36)),2)</f>
        <v/>
      </c>
      <c r="J156" s="75">
        <f>TRUNC((_xlfn.NORM.INV((RAND()),$E$35,$E$36)),2)</f>
        <v/>
      </c>
      <c r="Z156" s="75" t="n">
        <v>130</v>
      </c>
      <c r="AA156" s="20">
        <f>TRUNC(IF(H156&lt;0,0,H156),0)</f>
        <v/>
      </c>
      <c r="AB156" s="20">
        <f>TRUNC(IF(I156&lt;0,0,I156),0)</f>
        <v/>
      </c>
      <c r="AC156" s="20">
        <f>TRUNC(IF(J156&lt;0,0,J156),0)</f>
        <v/>
      </c>
      <c r="AS156" s="75" t="n">
        <v>130</v>
      </c>
      <c r="AT156" s="5" t="n">
        <v>6</v>
      </c>
      <c r="AU156" s="5" t="n">
        <v>7</v>
      </c>
      <c r="AV156" s="5" t="n">
        <v>6</v>
      </c>
      <c r="AZ156" s="2" t="n"/>
      <c r="BA156" s="2" t="n"/>
      <c r="BB156" s="2" t="n"/>
      <c r="BE156" s="2" t="n"/>
      <c r="BF156" s="2" t="n"/>
      <c r="BG156" s="2" t="n"/>
    </row>
    <row r="157">
      <c r="G157" s="75" t="n">
        <v>131</v>
      </c>
      <c r="H157" s="75">
        <f>TRUNC((_xlfn.NORM.INV((RAND()),$E$35,$E$36)),2)</f>
        <v/>
      </c>
      <c r="I157" s="75">
        <f>TRUNC((_xlfn.NORM.INV((RAND()),$E$35,$E$36)),2)</f>
        <v/>
      </c>
      <c r="J157" s="75">
        <f>TRUNC((_xlfn.NORM.INV((RAND()),$E$35,$E$36)),2)</f>
        <v/>
      </c>
      <c r="Z157" s="75" t="n">
        <v>131</v>
      </c>
      <c r="AA157" s="20">
        <f>TRUNC(IF(H157&lt;0,0,H157),0)</f>
        <v/>
      </c>
      <c r="AB157" s="20">
        <f>TRUNC(IF(I157&lt;0,0,I157),0)</f>
        <v/>
      </c>
      <c r="AC157" s="20">
        <f>TRUNC(IF(J157&lt;0,0,J157),0)</f>
        <v/>
      </c>
      <c r="AS157" s="75" t="n">
        <v>131</v>
      </c>
      <c r="AT157" s="5" t="n">
        <v>5</v>
      </c>
      <c r="AU157" s="5" t="n">
        <v>5</v>
      </c>
      <c r="AV157" s="5" t="n">
        <v>7</v>
      </c>
      <c r="AZ157" s="2" t="n"/>
      <c r="BA157" s="2" t="n"/>
      <c r="BB157" s="2" t="n"/>
      <c r="BE157" s="2" t="n"/>
      <c r="BF157" s="2" t="n"/>
      <c r="BG157" s="2" t="n"/>
    </row>
    <row r="158">
      <c r="G158" s="75" t="n">
        <v>132</v>
      </c>
      <c r="H158" s="75">
        <f>TRUNC((_xlfn.NORM.INV((RAND()),$E$35,$E$36)),2)</f>
        <v/>
      </c>
      <c r="I158" s="75">
        <f>TRUNC((_xlfn.NORM.INV((RAND()),$E$35,$E$36)),2)</f>
        <v/>
      </c>
      <c r="J158" s="75">
        <f>TRUNC((_xlfn.NORM.INV((RAND()),$E$35,$E$36)),2)</f>
        <v/>
      </c>
      <c r="Z158" s="75" t="n">
        <v>132</v>
      </c>
      <c r="AA158" s="20">
        <f>TRUNC(IF(H158&lt;0,0,H158),0)</f>
        <v/>
      </c>
      <c r="AB158" s="20">
        <f>TRUNC(IF(I158&lt;0,0,I158),0)</f>
        <v/>
      </c>
      <c r="AC158" s="20">
        <f>TRUNC(IF(J158&lt;0,0,J158),0)</f>
        <v/>
      </c>
      <c r="AS158" s="75" t="n">
        <v>132</v>
      </c>
      <c r="AT158" s="5" t="n">
        <v>4</v>
      </c>
      <c r="AU158" s="5" t="n">
        <v>4</v>
      </c>
      <c r="AV158" s="5" t="n">
        <v>4</v>
      </c>
      <c r="AZ158" s="2" t="n"/>
      <c r="BA158" s="2" t="n"/>
      <c r="BB158" s="2" t="n"/>
      <c r="BE158" s="2" t="n"/>
      <c r="BF158" s="2" t="n"/>
      <c r="BG158" s="2" t="n"/>
    </row>
    <row r="159">
      <c r="G159" s="75" t="n">
        <v>133</v>
      </c>
      <c r="H159" s="75">
        <f>TRUNC((_xlfn.NORM.INV((RAND()),$E$35,$E$36)),2)</f>
        <v/>
      </c>
      <c r="I159" s="75">
        <f>TRUNC((_xlfn.NORM.INV((RAND()),$E$35,$E$36)),2)</f>
        <v/>
      </c>
      <c r="J159" s="75">
        <f>TRUNC((_xlfn.NORM.INV((RAND()),$E$35,$E$36)),2)</f>
        <v/>
      </c>
      <c r="Z159" s="75" t="n">
        <v>133</v>
      </c>
      <c r="AA159" s="20">
        <f>TRUNC(IF(H159&lt;0,0,H159),0)</f>
        <v/>
      </c>
      <c r="AB159" s="20">
        <f>TRUNC(IF(I159&lt;0,0,I159),0)</f>
        <v/>
      </c>
      <c r="AC159" s="20">
        <f>TRUNC(IF(J159&lt;0,0,J159),0)</f>
        <v/>
      </c>
      <c r="AS159" s="75" t="n">
        <v>133</v>
      </c>
      <c r="AT159" s="5" t="n">
        <v>6</v>
      </c>
      <c r="AU159" s="5" t="n">
        <v>4</v>
      </c>
      <c r="AV159" s="5" t="n">
        <v>4</v>
      </c>
      <c r="AZ159" s="2" t="n"/>
      <c r="BA159" s="2" t="n"/>
      <c r="BB159" s="2" t="n"/>
      <c r="BE159" s="2" t="n"/>
      <c r="BF159" s="2" t="n"/>
      <c r="BG159" s="2" t="n"/>
    </row>
    <row r="160">
      <c r="G160" s="75" t="n">
        <v>134</v>
      </c>
      <c r="H160" s="75">
        <f>TRUNC((_xlfn.NORM.INV((RAND()),$E$35,$E$36)),2)</f>
        <v/>
      </c>
      <c r="I160" s="75">
        <f>TRUNC((_xlfn.NORM.INV((RAND()),$E$35,$E$36)),2)</f>
        <v/>
      </c>
      <c r="J160" s="75">
        <f>TRUNC((_xlfn.NORM.INV((RAND()),$E$35,$E$36)),2)</f>
        <v/>
      </c>
      <c r="Z160" s="75" t="n">
        <v>134</v>
      </c>
      <c r="AA160" s="20">
        <f>TRUNC(IF(H160&lt;0,0,H160),0)</f>
        <v/>
      </c>
      <c r="AB160" s="20">
        <f>TRUNC(IF(I160&lt;0,0,I160),0)</f>
        <v/>
      </c>
      <c r="AC160" s="20">
        <f>TRUNC(IF(J160&lt;0,0,J160),0)</f>
        <v/>
      </c>
      <c r="AS160" s="75" t="n">
        <v>134</v>
      </c>
      <c r="AT160" s="5" t="n">
        <v>5</v>
      </c>
      <c r="AU160" s="5" t="n">
        <v>2</v>
      </c>
      <c r="AV160" s="5" t="n">
        <v>6</v>
      </c>
      <c r="AZ160" s="2" t="n"/>
      <c r="BA160" s="2" t="n"/>
      <c r="BB160" s="2" t="n"/>
      <c r="BE160" s="2" t="n"/>
      <c r="BF160" s="2" t="n"/>
      <c r="BG160" s="2" t="n"/>
    </row>
    <row r="161">
      <c r="G161" s="75" t="n">
        <v>135</v>
      </c>
      <c r="H161" s="75">
        <f>TRUNC((_xlfn.NORM.INV((RAND()),$E$35,$E$36)),2)</f>
        <v/>
      </c>
      <c r="I161" s="75">
        <f>TRUNC((_xlfn.NORM.INV((RAND()),$E$35,$E$36)),2)</f>
        <v/>
      </c>
      <c r="J161" s="75">
        <f>TRUNC((_xlfn.NORM.INV((RAND()),$E$35,$E$36)),2)</f>
        <v/>
      </c>
      <c r="Z161" s="75" t="n">
        <v>135</v>
      </c>
      <c r="AA161" s="20">
        <f>TRUNC(IF(H161&lt;0,0,H161),0)</f>
        <v/>
      </c>
      <c r="AB161" s="20">
        <f>TRUNC(IF(I161&lt;0,0,I161),0)</f>
        <v/>
      </c>
      <c r="AC161" s="20">
        <f>TRUNC(IF(J161&lt;0,0,J161),0)</f>
        <v/>
      </c>
      <c r="AS161" s="75" t="n">
        <v>135</v>
      </c>
      <c r="AT161" s="5" t="n">
        <v>5</v>
      </c>
      <c r="AU161" s="5" t="n">
        <v>3</v>
      </c>
      <c r="AV161" s="5" t="n">
        <v>4</v>
      </c>
      <c r="AZ161" s="2" t="n"/>
      <c r="BA161" s="2" t="n"/>
      <c r="BB161" s="2" t="n"/>
      <c r="BE161" s="2" t="n"/>
      <c r="BF161" s="2" t="n"/>
      <c r="BG161" s="2" t="n"/>
    </row>
    <row r="162">
      <c r="G162" s="75" t="n">
        <v>136</v>
      </c>
      <c r="H162" s="75">
        <f>TRUNC((_xlfn.NORM.INV((RAND()),$E$35,$E$36)),2)</f>
        <v/>
      </c>
      <c r="I162" s="75">
        <f>TRUNC((_xlfn.NORM.INV((RAND()),$E$35,$E$36)),2)</f>
        <v/>
      </c>
      <c r="J162" s="75">
        <f>TRUNC((_xlfn.NORM.INV((RAND()),$E$35,$E$36)),2)</f>
        <v/>
      </c>
      <c r="Z162" s="75" t="n">
        <v>136</v>
      </c>
      <c r="AA162" s="20">
        <f>TRUNC(IF(H162&lt;0,0,H162),0)</f>
        <v/>
      </c>
      <c r="AB162" s="20">
        <f>TRUNC(IF(I162&lt;0,0,I162),0)</f>
        <v/>
      </c>
      <c r="AC162" s="20">
        <f>TRUNC(IF(J162&lt;0,0,J162),0)</f>
        <v/>
      </c>
      <c r="AS162" s="75" t="n">
        <v>136</v>
      </c>
      <c r="AT162" s="5" t="n">
        <v>3</v>
      </c>
      <c r="AU162" s="5" t="n">
        <v>2</v>
      </c>
      <c r="AV162" s="5" t="n">
        <v>5</v>
      </c>
      <c r="AZ162" s="2" t="n"/>
      <c r="BA162" s="2" t="n"/>
      <c r="BB162" s="2" t="n"/>
      <c r="BE162" s="2" t="n"/>
      <c r="BF162" s="2" t="n"/>
      <c r="BG162" s="2" t="n"/>
    </row>
    <row r="163">
      <c r="G163" s="75" t="n">
        <v>137</v>
      </c>
      <c r="H163" s="75">
        <f>TRUNC((_xlfn.NORM.INV((RAND()),$E$35,$E$36)),2)</f>
        <v/>
      </c>
      <c r="I163" s="75">
        <f>TRUNC((_xlfn.NORM.INV((RAND()),$E$35,$E$36)),2)</f>
        <v/>
      </c>
      <c r="J163" s="75">
        <f>TRUNC((_xlfn.NORM.INV((RAND()),$E$35,$E$36)),2)</f>
        <v/>
      </c>
      <c r="Z163" s="75" t="n">
        <v>137</v>
      </c>
      <c r="AA163" s="20">
        <f>TRUNC(IF(H163&lt;0,0,H163),0)</f>
        <v/>
      </c>
      <c r="AB163" s="20">
        <f>TRUNC(IF(I163&lt;0,0,I163),0)</f>
        <v/>
      </c>
      <c r="AC163" s="20">
        <f>TRUNC(IF(J163&lt;0,0,J163),0)</f>
        <v/>
      </c>
      <c r="AS163" s="75" t="n">
        <v>137</v>
      </c>
      <c r="AT163" s="5" t="n">
        <v>6</v>
      </c>
      <c r="AU163" s="5" t="n">
        <v>3</v>
      </c>
      <c r="AV163" s="5" t="n">
        <v>5</v>
      </c>
      <c r="AZ163" s="2" t="n"/>
      <c r="BA163" s="2" t="n"/>
      <c r="BB163" s="2" t="n"/>
      <c r="BE163" s="2" t="n"/>
      <c r="BF163" s="2" t="n"/>
      <c r="BG163" s="2" t="n"/>
    </row>
    <row r="164">
      <c r="G164" s="75" t="n">
        <v>138</v>
      </c>
      <c r="H164" s="75">
        <f>TRUNC((_xlfn.NORM.INV((RAND()),$E$35,$E$36)),2)</f>
        <v/>
      </c>
      <c r="I164" s="75">
        <f>TRUNC((_xlfn.NORM.INV((RAND()),$E$35,$E$36)),2)</f>
        <v/>
      </c>
      <c r="J164" s="75">
        <f>TRUNC((_xlfn.NORM.INV((RAND()),$E$35,$E$36)),2)</f>
        <v/>
      </c>
      <c r="Z164" s="75" t="n">
        <v>138</v>
      </c>
      <c r="AA164" s="20">
        <f>TRUNC(IF(H164&lt;0,0,H164),0)</f>
        <v/>
      </c>
      <c r="AB164" s="20">
        <f>TRUNC(IF(I164&lt;0,0,I164),0)</f>
        <v/>
      </c>
      <c r="AC164" s="20">
        <f>TRUNC(IF(J164&lt;0,0,J164),0)</f>
        <v/>
      </c>
      <c r="AS164" s="75" t="n">
        <v>138</v>
      </c>
      <c r="AT164" s="5" t="n">
        <v>3</v>
      </c>
      <c r="AU164" s="5" t="n">
        <v>6</v>
      </c>
      <c r="AV164" s="5" t="n">
        <v>6</v>
      </c>
      <c r="AZ164" s="2" t="n"/>
      <c r="BA164" s="2" t="n"/>
      <c r="BB164" s="2" t="n"/>
      <c r="BE164" s="2" t="n"/>
      <c r="BF164" s="2" t="n"/>
      <c r="BG164" s="2" t="n"/>
    </row>
    <row r="165">
      <c r="G165" s="75" t="n">
        <v>139</v>
      </c>
      <c r="H165" s="75">
        <f>TRUNC((_xlfn.NORM.INV((RAND()),$E$35,$E$36)),2)</f>
        <v/>
      </c>
      <c r="I165" s="75">
        <f>TRUNC((_xlfn.NORM.INV((RAND()),$E$35,$E$36)),2)</f>
        <v/>
      </c>
      <c r="J165" s="75">
        <f>TRUNC((_xlfn.NORM.INV((RAND()),$E$35,$E$36)),2)</f>
        <v/>
      </c>
      <c r="Z165" s="75" t="n">
        <v>139</v>
      </c>
      <c r="AA165" s="20">
        <f>TRUNC(IF(H165&lt;0,0,H165),0)</f>
        <v/>
      </c>
      <c r="AB165" s="20">
        <f>TRUNC(IF(I165&lt;0,0,I165),0)</f>
        <v/>
      </c>
      <c r="AC165" s="20">
        <f>TRUNC(IF(J165&lt;0,0,J165),0)</f>
        <v/>
      </c>
      <c r="AS165" s="75" t="n">
        <v>139</v>
      </c>
      <c r="AT165" s="5" t="n">
        <v>3</v>
      </c>
      <c r="AU165" s="5" t="n">
        <v>8</v>
      </c>
      <c r="AV165" s="5" t="n">
        <v>3</v>
      </c>
      <c r="AZ165" s="2" t="n"/>
      <c r="BA165" s="2" t="n"/>
      <c r="BB165" s="2" t="n"/>
      <c r="BE165" s="2" t="n"/>
      <c r="BF165" s="2" t="n"/>
      <c r="BG165" s="2" t="n"/>
    </row>
    <row r="166">
      <c r="G166" s="75" t="n">
        <v>140</v>
      </c>
      <c r="H166" s="75">
        <f>TRUNC((_xlfn.NORM.INV((RAND()),$E$35,$E$36)),2)</f>
        <v/>
      </c>
      <c r="I166" s="75">
        <f>TRUNC((_xlfn.NORM.INV((RAND()),$E$35,$E$36)),2)</f>
        <v/>
      </c>
      <c r="J166" s="75">
        <f>TRUNC((_xlfn.NORM.INV((RAND()),$E$35,$E$36)),2)</f>
        <v/>
      </c>
      <c r="Z166" s="75" t="n">
        <v>140</v>
      </c>
      <c r="AA166" s="20">
        <f>TRUNC(IF(H166&lt;0,0,H166),0)</f>
        <v/>
      </c>
      <c r="AB166" s="20">
        <f>TRUNC(IF(I166&lt;0,0,I166),0)</f>
        <v/>
      </c>
      <c r="AC166" s="20">
        <f>TRUNC(IF(J166&lt;0,0,J166),0)</f>
        <v/>
      </c>
      <c r="AS166" s="75" t="n">
        <v>140</v>
      </c>
      <c r="AT166" s="5" t="n">
        <v>3</v>
      </c>
      <c r="AU166" s="5" t="n">
        <v>6</v>
      </c>
      <c r="AV166" s="5" t="n">
        <v>4</v>
      </c>
      <c r="AZ166" s="2" t="n"/>
      <c r="BA166" s="2" t="n"/>
      <c r="BB166" s="2" t="n"/>
      <c r="BE166" s="2" t="n"/>
      <c r="BF166" s="2" t="n"/>
      <c r="BG166" s="2" t="n"/>
    </row>
    <row r="167">
      <c r="G167" s="75" t="n">
        <v>141</v>
      </c>
      <c r="H167" s="75">
        <f>TRUNC((_xlfn.NORM.INV((RAND()),$E$35,$E$36)),2)</f>
        <v/>
      </c>
      <c r="I167" s="75">
        <f>TRUNC((_xlfn.NORM.INV((RAND()),$E$35,$E$36)),2)</f>
        <v/>
      </c>
      <c r="J167" s="75">
        <f>TRUNC((_xlfn.NORM.INV((RAND()),$E$35,$E$36)),2)</f>
        <v/>
      </c>
      <c r="Z167" s="75" t="n">
        <v>141</v>
      </c>
      <c r="AA167" s="20">
        <f>TRUNC(IF(H167&lt;0,0,H167),0)</f>
        <v/>
      </c>
      <c r="AB167" s="20">
        <f>TRUNC(IF(I167&lt;0,0,I167),0)</f>
        <v/>
      </c>
      <c r="AC167" s="20">
        <f>TRUNC(IF(J167&lt;0,0,J167),0)</f>
        <v/>
      </c>
      <c r="AS167" s="75" t="n">
        <v>141</v>
      </c>
      <c r="AT167" s="5" t="n">
        <v>4</v>
      </c>
      <c r="AU167" s="5" t="n">
        <v>6</v>
      </c>
      <c r="AV167" s="5" t="n">
        <v>7</v>
      </c>
      <c r="AZ167" s="2" t="n"/>
      <c r="BA167" s="2" t="n"/>
      <c r="BB167" s="2" t="n"/>
      <c r="BE167" s="2" t="n"/>
      <c r="BF167" s="2" t="n"/>
      <c r="BG167" s="2" t="n"/>
    </row>
    <row r="168">
      <c r="G168" s="75" t="n">
        <v>142</v>
      </c>
      <c r="H168" s="75">
        <f>TRUNC((_xlfn.NORM.INV((RAND()),$E$35,$E$36)),2)</f>
        <v/>
      </c>
      <c r="I168" s="75">
        <f>TRUNC((_xlfn.NORM.INV((RAND()),$E$35,$E$36)),2)</f>
        <v/>
      </c>
      <c r="J168" s="75">
        <f>TRUNC((_xlfn.NORM.INV((RAND()),$E$35,$E$36)),2)</f>
        <v/>
      </c>
      <c r="Z168" s="75" t="n">
        <v>142</v>
      </c>
      <c r="AA168" s="20">
        <f>TRUNC(IF(H168&lt;0,0,H168),0)</f>
        <v/>
      </c>
      <c r="AB168" s="20">
        <f>TRUNC(IF(I168&lt;0,0,I168),0)</f>
        <v/>
      </c>
      <c r="AC168" s="20">
        <f>TRUNC(IF(J168&lt;0,0,J168),0)</f>
        <v/>
      </c>
      <c r="AS168" s="75" t="n">
        <v>142</v>
      </c>
      <c r="AT168" s="5" t="n">
        <v>5</v>
      </c>
      <c r="AU168" s="5" t="n">
        <v>7</v>
      </c>
      <c r="AV168" s="5" t="n">
        <v>5</v>
      </c>
      <c r="AZ168" s="2" t="n"/>
      <c r="BA168" s="2" t="n"/>
      <c r="BB168" s="2" t="n"/>
      <c r="BE168" s="2" t="n"/>
      <c r="BF168" s="2" t="n"/>
      <c r="BG168" s="2" t="n"/>
    </row>
    <row r="169">
      <c r="G169" s="75" t="n">
        <v>143</v>
      </c>
      <c r="H169" s="75">
        <f>TRUNC((_xlfn.NORM.INV((RAND()),$E$35,$E$36)),2)</f>
        <v/>
      </c>
      <c r="I169" s="75">
        <f>TRUNC((_xlfn.NORM.INV((RAND()),$E$35,$E$36)),2)</f>
        <v/>
      </c>
      <c r="J169" s="75">
        <f>TRUNC((_xlfn.NORM.INV((RAND()),$E$35,$E$36)),2)</f>
        <v/>
      </c>
      <c r="Z169" s="75" t="n">
        <v>143</v>
      </c>
      <c r="AA169" s="20">
        <f>TRUNC(IF(H169&lt;0,0,H169),0)</f>
        <v/>
      </c>
      <c r="AB169" s="20">
        <f>TRUNC(IF(I169&lt;0,0,I169),0)</f>
        <v/>
      </c>
      <c r="AC169" s="20">
        <f>TRUNC(IF(J169&lt;0,0,J169),0)</f>
        <v/>
      </c>
      <c r="AS169" s="75" t="n">
        <v>143</v>
      </c>
      <c r="AT169" s="5" t="n">
        <v>5</v>
      </c>
      <c r="AU169" s="5" t="n">
        <v>3</v>
      </c>
      <c r="AV169" s="5" t="n">
        <v>2</v>
      </c>
      <c r="AZ169" s="2" t="n"/>
      <c r="BA169" s="2" t="n"/>
      <c r="BB169" s="2" t="n"/>
      <c r="BE169" s="2" t="n"/>
      <c r="BF169" s="2" t="n"/>
      <c r="BG169" s="2" t="n"/>
    </row>
    <row r="170">
      <c r="G170" s="75" t="n">
        <v>144</v>
      </c>
      <c r="H170" s="75">
        <f>TRUNC((_xlfn.NORM.INV((RAND()),$E$35,$E$36)),2)</f>
        <v/>
      </c>
      <c r="I170" s="75">
        <f>TRUNC((_xlfn.NORM.INV((RAND()),$E$35,$E$36)),2)</f>
        <v/>
      </c>
      <c r="J170" s="75">
        <f>TRUNC((_xlfn.NORM.INV((RAND()),$E$35,$E$36)),2)</f>
        <v/>
      </c>
      <c r="Z170" s="75" t="n">
        <v>144</v>
      </c>
      <c r="AA170" s="20">
        <f>TRUNC(IF(H170&lt;0,0,H170),0)</f>
        <v/>
      </c>
      <c r="AB170" s="20">
        <f>TRUNC(IF(I170&lt;0,0,I170),0)</f>
        <v/>
      </c>
      <c r="AC170" s="20">
        <f>TRUNC(IF(J170&lt;0,0,J170),0)</f>
        <v/>
      </c>
      <c r="AS170" s="75" t="n">
        <v>144</v>
      </c>
      <c r="AT170" s="5" t="n">
        <v>5</v>
      </c>
      <c r="AU170" s="5" t="n">
        <v>5</v>
      </c>
      <c r="AV170" s="5" t="n">
        <v>6</v>
      </c>
      <c r="AZ170" s="2" t="n"/>
      <c r="BA170" s="2" t="n"/>
      <c r="BB170" s="2" t="n"/>
      <c r="BE170" s="2" t="n"/>
      <c r="BF170" s="2" t="n"/>
      <c r="BG170" s="2" t="n"/>
    </row>
    <row r="171">
      <c r="G171" s="75" t="n">
        <v>145</v>
      </c>
      <c r="H171" s="75">
        <f>TRUNC((_xlfn.NORM.INV((RAND()),$E$35,$E$36)),2)</f>
        <v/>
      </c>
      <c r="I171" s="75">
        <f>TRUNC((_xlfn.NORM.INV((RAND()),$E$35,$E$36)),2)</f>
        <v/>
      </c>
      <c r="J171" s="75">
        <f>TRUNC((_xlfn.NORM.INV((RAND()),$E$35,$E$36)),2)</f>
        <v/>
      </c>
      <c r="Z171" s="75" t="n">
        <v>145</v>
      </c>
      <c r="AA171" s="20">
        <f>TRUNC(IF(H171&lt;0,0,H171),0)</f>
        <v/>
      </c>
      <c r="AB171" s="20">
        <f>TRUNC(IF(I171&lt;0,0,I171),0)</f>
        <v/>
      </c>
      <c r="AC171" s="20">
        <f>TRUNC(IF(J171&lt;0,0,J171),0)</f>
        <v/>
      </c>
      <c r="AS171" s="75" t="n">
        <v>145</v>
      </c>
      <c r="AT171" s="5" t="n">
        <v>4</v>
      </c>
      <c r="AU171" s="5" t="n">
        <v>5</v>
      </c>
      <c r="AV171" s="5" t="n">
        <v>6</v>
      </c>
      <c r="AZ171" s="2" t="n"/>
      <c r="BA171" s="2" t="n"/>
      <c r="BB171" s="2" t="n"/>
      <c r="BE171" s="2" t="n"/>
      <c r="BF171" s="2" t="n"/>
      <c r="BG171" s="2" t="n"/>
    </row>
    <row r="172">
      <c r="G172" s="75" t="n">
        <v>146</v>
      </c>
      <c r="H172" s="75">
        <f>TRUNC((_xlfn.NORM.INV((RAND()),$E$35,$E$36)),2)</f>
        <v/>
      </c>
      <c r="I172" s="75">
        <f>TRUNC((_xlfn.NORM.INV((RAND()),$E$35,$E$36)),2)</f>
        <v/>
      </c>
      <c r="J172" s="75">
        <f>TRUNC((_xlfn.NORM.INV((RAND()),$E$35,$E$36)),2)</f>
        <v/>
      </c>
      <c r="Z172" s="75" t="n">
        <v>146</v>
      </c>
      <c r="AA172" s="20">
        <f>TRUNC(IF(H172&lt;0,0,H172),0)</f>
        <v/>
      </c>
      <c r="AB172" s="20">
        <f>TRUNC(IF(I172&lt;0,0,I172),0)</f>
        <v/>
      </c>
      <c r="AC172" s="20">
        <f>TRUNC(IF(J172&lt;0,0,J172),0)</f>
        <v/>
      </c>
      <c r="AS172" s="75" t="n">
        <v>146</v>
      </c>
      <c r="AT172" s="5" t="n">
        <v>6</v>
      </c>
      <c r="AU172" s="5" t="n">
        <v>7</v>
      </c>
      <c r="AV172" s="5" t="n">
        <v>4</v>
      </c>
      <c r="AZ172" s="2" t="n"/>
      <c r="BA172" s="2" t="n"/>
      <c r="BB172" s="2" t="n"/>
      <c r="BE172" s="2" t="n"/>
      <c r="BF172" s="2" t="n"/>
      <c r="BG172" s="2" t="n"/>
    </row>
    <row r="173">
      <c r="G173" s="75" t="n">
        <v>147</v>
      </c>
      <c r="H173" s="75">
        <f>TRUNC((_xlfn.NORM.INV((RAND()),$E$35,$E$36)),2)</f>
        <v/>
      </c>
      <c r="I173" s="75">
        <f>TRUNC((_xlfn.NORM.INV((RAND()),$E$35,$E$36)),2)</f>
        <v/>
      </c>
      <c r="J173" s="75">
        <f>TRUNC((_xlfn.NORM.INV((RAND()),$E$35,$E$36)),2)</f>
        <v/>
      </c>
      <c r="Z173" s="75" t="n">
        <v>147</v>
      </c>
      <c r="AA173" s="20">
        <f>TRUNC(IF(H173&lt;0,0,H173),0)</f>
        <v/>
      </c>
      <c r="AB173" s="20">
        <f>TRUNC(IF(I173&lt;0,0,I173),0)</f>
        <v/>
      </c>
      <c r="AC173" s="20">
        <f>TRUNC(IF(J173&lt;0,0,J173),0)</f>
        <v/>
      </c>
      <c r="AS173" s="75" t="n">
        <v>147</v>
      </c>
      <c r="AT173" s="5" t="n">
        <v>6</v>
      </c>
      <c r="AU173" s="5" t="n">
        <v>4</v>
      </c>
      <c r="AV173" s="5" t="n">
        <v>5</v>
      </c>
      <c r="AZ173" s="2" t="n"/>
      <c r="BA173" s="2" t="n"/>
      <c r="BB173" s="2" t="n"/>
      <c r="BE173" s="2" t="n"/>
      <c r="BF173" s="2" t="n"/>
      <c r="BG173" s="2" t="n"/>
    </row>
    <row r="174">
      <c r="G174" s="75" t="n">
        <v>148</v>
      </c>
      <c r="H174" s="75">
        <f>TRUNC((_xlfn.NORM.INV((RAND()),$E$35,$E$36)),2)</f>
        <v/>
      </c>
      <c r="I174" s="75">
        <f>TRUNC((_xlfn.NORM.INV((RAND()),$E$35,$E$36)),2)</f>
        <v/>
      </c>
      <c r="J174" s="75">
        <f>TRUNC((_xlfn.NORM.INV((RAND()),$E$35,$E$36)),2)</f>
        <v/>
      </c>
      <c r="Z174" s="75" t="n">
        <v>148</v>
      </c>
      <c r="AA174" s="20">
        <f>TRUNC(IF(H174&lt;0,0,H174),0)</f>
        <v/>
      </c>
      <c r="AB174" s="20">
        <f>TRUNC(IF(I174&lt;0,0,I174),0)</f>
        <v/>
      </c>
      <c r="AC174" s="20">
        <f>TRUNC(IF(J174&lt;0,0,J174),0)</f>
        <v/>
      </c>
      <c r="AS174" s="75" t="n">
        <v>148</v>
      </c>
      <c r="AT174" s="5" t="n">
        <v>3</v>
      </c>
      <c r="AU174" s="5" t="n">
        <v>6</v>
      </c>
      <c r="AV174" s="5" t="n">
        <v>5</v>
      </c>
      <c r="AZ174" s="2" t="n"/>
      <c r="BA174" s="2" t="n"/>
      <c r="BB174" s="2" t="n"/>
      <c r="BE174" s="2" t="n"/>
      <c r="BF174" s="2" t="n"/>
      <c r="BG174" s="2" t="n"/>
    </row>
    <row r="175">
      <c r="G175" s="75" t="n">
        <v>149</v>
      </c>
      <c r="H175" s="75">
        <f>TRUNC((_xlfn.NORM.INV((RAND()),$E$35,$E$36)),2)</f>
        <v/>
      </c>
      <c r="I175" s="75">
        <f>TRUNC((_xlfn.NORM.INV((RAND()),$E$35,$E$36)),2)</f>
        <v/>
      </c>
      <c r="J175" s="75">
        <f>TRUNC((_xlfn.NORM.INV((RAND()),$E$35,$E$36)),2)</f>
        <v/>
      </c>
      <c r="Z175" s="75" t="n">
        <v>149</v>
      </c>
      <c r="AA175" s="20">
        <f>TRUNC(IF(H175&lt;0,0,H175),0)</f>
        <v/>
      </c>
      <c r="AB175" s="20">
        <f>TRUNC(IF(I175&lt;0,0,I175),0)</f>
        <v/>
      </c>
      <c r="AC175" s="20">
        <f>TRUNC(IF(J175&lt;0,0,J175),0)</f>
        <v/>
      </c>
      <c r="AS175" s="75" t="n">
        <v>149</v>
      </c>
      <c r="AT175" s="5" t="n">
        <v>5</v>
      </c>
      <c r="AU175" s="5" t="n">
        <v>6</v>
      </c>
      <c r="AV175" s="5" t="n">
        <v>3</v>
      </c>
      <c r="AZ175" s="2" t="n"/>
      <c r="BA175" s="2" t="n"/>
      <c r="BB175" s="2" t="n"/>
      <c r="BE175" s="2" t="n"/>
      <c r="BF175" s="2" t="n"/>
      <c r="BG175" s="2" t="n"/>
    </row>
    <row r="176">
      <c r="G176" s="75" t="n">
        <v>150</v>
      </c>
      <c r="H176" s="75">
        <f>TRUNC((_xlfn.NORM.INV((RAND()),$E$35,$E$36)),2)</f>
        <v/>
      </c>
      <c r="I176" s="75">
        <f>TRUNC((_xlfn.NORM.INV((RAND()),$E$35,$E$36)),2)</f>
        <v/>
      </c>
      <c r="J176" s="75">
        <f>TRUNC((_xlfn.NORM.INV((RAND()),$E$35,$E$36)),2)</f>
        <v/>
      </c>
      <c r="Z176" s="75" t="n">
        <v>150</v>
      </c>
      <c r="AA176" s="20">
        <f>TRUNC(IF(H176&lt;0,0,H176),0)</f>
        <v/>
      </c>
      <c r="AB176" s="20">
        <f>TRUNC(IF(I176&lt;0,0,I176),0)</f>
        <v/>
      </c>
      <c r="AC176" s="20">
        <f>TRUNC(IF(J176&lt;0,0,J176),0)</f>
        <v/>
      </c>
      <c r="AS176" s="75" t="n">
        <v>150</v>
      </c>
      <c r="AT176" s="5" t="n">
        <v>5</v>
      </c>
      <c r="AU176" s="5" t="n">
        <v>6</v>
      </c>
      <c r="AV176" s="5" t="n">
        <v>4</v>
      </c>
      <c r="AZ176" s="2" t="n"/>
      <c r="BA176" s="2" t="n"/>
      <c r="BB176" s="2" t="n"/>
      <c r="BE176" s="2" t="n"/>
      <c r="BF176" s="2" t="n"/>
      <c r="BG176" s="2" t="n"/>
    </row>
    <row r="177">
      <c r="G177" s="75" t="n">
        <v>151</v>
      </c>
      <c r="H177" s="75">
        <f>TRUNC((_xlfn.NORM.INV((RAND()),$E$35,$E$36)),2)</f>
        <v/>
      </c>
      <c r="I177" s="75">
        <f>TRUNC((_xlfn.NORM.INV((RAND()),$E$35,$E$36)),2)</f>
        <v/>
      </c>
      <c r="J177" s="75">
        <f>TRUNC((_xlfn.NORM.INV((RAND()),$E$35,$E$36)),2)</f>
        <v/>
      </c>
      <c r="Z177" s="75" t="n">
        <v>151</v>
      </c>
      <c r="AA177" s="20">
        <f>TRUNC(IF(H177&lt;0,0,H177),0)</f>
        <v/>
      </c>
      <c r="AB177" s="20">
        <f>TRUNC(IF(I177&lt;0,0,I177),0)</f>
        <v/>
      </c>
      <c r="AC177" s="20">
        <f>TRUNC(IF(J177&lt;0,0,J177),0)</f>
        <v/>
      </c>
      <c r="AS177" s="75" t="n">
        <v>151</v>
      </c>
      <c r="AT177" s="5" t="n">
        <v>6</v>
      </c>
      <c r="AU177" s="5" t="n">
        <v>7</v>
      </c>
      <c r="AV177" s="5" t="n">
        <v>4</v>
      </c>
      <c r="AZ177" s="2" t="n"/>
      <c r="BA177" s="2" t="n"/>
      <c r="BB177" s="2" t="n"/>
      <c r="BE177" s="2" t="n"/>
      <c r="BF177" s="2" t="n"/>
      <c r="BG177" s="2" t="n"/>
    </row>
    <row r="178">
      <c r="G178" s="75" t="n">
        <v>152</v>
      </c>
      <c r="H178" s="75">
        <f>TRUNC((_xlfn.NORM.INV((RAND()),$E$35,$E$36)),2)</f>
        <v/>
      </c>
      <c r="I178" s="75">
        <f>TRUNC((_xlfn.NORM.INV((RAND()),$E$35,$E$36)),2)</f>
        <v/>
      </c>
      <c r="J178" s="75">
        <f>TRUNC((_xlfn.NORM.INV((RAND()),$E$35,$E$36)),2)</f>
        <v/>
      </c>
      <c r="Z178" s="75" t="n">
        <v>152</v>
      </c>
      <c r="AA178" s="20">
        <f>TRUNC(IF(H178&lt;0,0,H178),0)</f>
        <v/>
      </c>
      <c r="AB178" s="20">
        <f>TRUNC(IF(I178&lt;0,0,I178),0)</f>
        <v/>
      </c>
      <c r="AC178" s="20">
        <f>TRUNC(IF(J178&lt;0,0,J178),0)</f>
        <v/>
      </c>
      <c r="AS178" s="75" t="n">
        <v>152</v>
      </c>
      <c r="AT178" s="5" t="n">
        <v>6</v>
      </c>
      <c r="AU178" s="5" t="n">
        <v>5</v>
      </c>
      <c r="AV178" s="5" t="n">
        <v>5</v>
      </c>
      <c r="AZ178" s="2" t="n"/>
      <c r="BA178" s="2" t="n"/>
      <c r="BB178" s="2" t="n"/>
      <c r="BE178" s="2" t="n"/>
      <c r="BF178" s="2" t="n"/>
      <c r="BG178" s="2" t="n"/>
    </row>
    <row r="179">
      <c r="G179" s="75" t="n">
        <v>153</v>
      </c>
      <c r="H179" s="75">
        <f>TRUNC((_xlfn.NORM.INV((RAND()),$E$35,$E$36)),2)</f>
        <v/>
      </c>
      <c r="I179" s="75">
        <f>TRUNC((_xlfn.NORM.INV((RAND()),$E$35,$E$36)),2)</f>
        <v/>
      </c>
      <c r="J179" s="75">
        <f>TRUNC((_xlfn.NORM.INV((RAND()),$E$35,$E$36)),2)</f>
        <v/>
      </c>
      <c r="Z179" s="75" t="n">
        <v>153</v>
      </c>
      <c r="AA179" s="20">
        <f>TRUNC(IF(H179&lt;0,0,H179),0)</f>
        <v/>
      </c>
      <c r="AB179" s="20">
        <f>TRUNC(IF(I179&lt;0,0,I179),0)</f>
        <v/>
      </c>
      <c r="AC179" s="20">
        <f>TRUNC(IF(J179&lt;0,0,J179),0)</f>
        <v/>
      </c>
      <c r="AS179" s="75" t="n">
        <v>153</v>
      </c>
      <c r="AT179" s="5" t="n">
        <v>4</v>
      </c>
      <c r="AU179" s="5" t="n">
        <v>3</v>
      </c>
      <c r="AV179" s="5" t="n">
        <v>6</v>
      </c>
      <c r="AZ179" s="2" t="n"/>
      <c r="BA179" s="2" t="n"/>
      <c r="BB179" s="2" t="n"/>
      <c r="BE179" s="2" t="n"/>
      <c r="BF179" s="2" t="n"/>
      <c r="BG179" s="2" t="n"/>
    </row>
    <row r="180">
      <c r="G180" s="75" t="n">
        <v>154</v>
      </c>
      <c r="H180" s="75">
        <f>TRUNC((_xlfn.NORM.INV((RAND()),$E$35,$E$36)),2)</f>
        <v/>
      </c>
      <c r="I180" s="75">
        <f>TRUNC((_xlfn.NORM.INV((RAND()),$E$35,$E$36)),2)</f>
        <v/>
      </c>
      <c r="J180" s="75">
        <f>TRUNC((_xlfn.NORM.INV((RAND()),$E$35,$E$36)),2)</f>
        <v/>
      </c>
      <c r="Z180" s="75" t="n">
        <v>154</v>
      </c>
      <c r="AA180" s="20">
        <f>TRUNC(IF(H180&lt;0,0,H180),0)</f>
        <v/>
      </c>
      <c r="AB180" s="20">
        <f>TRUNC(IF(I180&lt;0,0,I180),0)</f>
        <v/>
      </c>
      <c r="AC180" s="20">
        <f>TRUNC(IF(J180&lt;0,0,J180),0)</f>
        <v/>
      </c>
      <c r="AS180" s="75" t="n">
        <v>154</v>
      </c>
      <c r="AT180" s="5" t="n">
        <v>4</v>
      </c>
      <c r="AU180" s="5" t="n">
        <v>7</v>
      </c>
      <c r="AV180" s="5" t="n">
        <v>5</v>
      </c>
      <c r="AZ180" s="2" t="n"/>
      <c r="BA180" s="2" t="n"/>
      <c r="BB180" s="2" t="n"/>
      <c r="BE180" s="2" t="n"/>
      <c r="BF180" s="2" t="n"/>
      <c r="BG180" s="2" t="n"/>
    </row>
    <row r="181">
      <c r="G181" s="75" t="n">
        <v>155</v>
      </c>
      <c r="H181" s="75">
        <f>TRUNC((_xlfn.NORM.INV((RAND()),$E$35,$E$36)),2)</f>
        <v/>
      </c>
      <c r="I181" s="75">
        <f>TRUNC((_xlfn.NORM.INV((RAND()),$E$35,$E$36)),2)</f>
        <v/>
      </c>
      <c r="J181" s="75">
        <f>TRUNC((_xlfn.NORM.INV((RAND()),$E$35,$E$36)),2)</f>
        <v/>
      </c>
      <c r="Z181" s="75" t="n">
        <v>155</v>
      </c>
      <c r="AA181" s="20">
        <f>TRUNC(IF(H181&lt;0,0,H181),0)</f>
        <v/>
      </c>
      <c r="AB181" s="20">
        <f>TRUNC(IF(I181&lt;0,0,I181),0)</f>
        <v/>
      </c>
      <c r="AC181" s="20">
        <f>TRUNC(IF(J181&lt;0,0,J181),0)</f>
        <v/>
      </c>
      <c r="AS181" s="75" t="n">
        <v>155</v>
      </c>
      <c r="AT181" s="5" t="n">
        <v>4</v>
      </c>
      <c r="AU181" s="5" t="n">
        <v>4</v>
      </c>
      <c r="AV181" s="5" t="n">
        <v>4</v>
      </c>
      <c r="AZ181" s="2" t="n"/>
      <c r="BA181" s="2" t="n"/>
      <c r="BB181" s="2" t="n"/>
      <c r="BE181" s="2" t="n"/>
      <c r="BF181" s="2" t="n"/>
      <c r="BG181" s="2" t="n"/>
    </row>
    <row r="182">
      <c r="G182" s="75" t="n">
        <v>156</v>
      </c>
      <c r="H182" s="75">
        <f>TRUNC((_xlfn.NORM.INV((RAND()),$E$35,$E$36)),2)</f>
        <v/>
      </c>
      <c r="I182" s="75">
        <f>TRUNC((_xlfn.NORM.INV((RAND()),$E$35,$E$36)),2)</f>
        <v/>
      </c>
      <c r="J182" s="75">
        <f>TRUNC((_xlfn.NORM.INV((RAND()),$E$35,$E$36)),2)</f>
        <v/>
      </c>
      <c r="Z182" s="75" t="n">
        <v>156</v>
      </c>
      <c r="AA182" s="20">
        <f>TRUNC(IF(H182&lt;0,0,H182),0)</f>
        <v/>
      </c>
      <c r="AB182" s="20">
        <f>TRUNC(IF(I182&lt;0,0,I182),0)</f>
        <v/>
      </c>
      <c r="AC182" s="20">
        <f>TRUNC(IF(J182&lt;0,0,J182),0)</f>
        <v/>
      </c>
      <c r="AS182" s="75" t="n">
        <v>156</v>
      </c>
      <c r="AT182" s="5" t="n">
        <v>5</v>
      </c>
      <c r="AU182" s="5" t="n">
        <v>7</v>
      </c>
      <c r="AV182" s="5" t="n">
        <v>6</v>
      </c>
      <c r="AZ182" s="2" t="n"/>
      <c r="BA182" s="2" t="n"/>
      <c r="BB182" s="2" t="n"/>
      <c r="BE182" s="2" t="n"/>
      <c r="BF182" s="2" t="n"/>
      <c r="BG182" s="2" t="n"/>
    </row>
    <row r="183">
      <c r="G183" s="75" t="n">
        <v>157</v>
      </c>
      <c r="H183" s="75">
        <f>TRUNC((_xlfn.NORM.INV((RAND()),$E$35,$E$36)),2)</f>
        <v/>
      </c>
      <c r="I183" s="75">
        <f>TRUNC((_xlfn.NORM.INV((RAND()),$E$35,$E$36)),2)</f>
        <v/>
      </c>
      <c r="J183" s="75">
        <f>TRUNC((_xlfn.NORM.INV((RAND()),$E$35,$E$36)),2)</f>
        <v/>
      </c>
      <c r="Z183" s="75" t="n">
        <v>157</v>
      </c>
      <c r="AA183" s="20">
        <f>TRUNC(IF(H183&lt;0,0,H183),0)</f>
        <v/>
      </c>
      <c r="AB183" s="20">
        <f>TRUNC(IF(I183&lt;0,0,I183),0)</f>
        <v/>
      </c>
      <c r="AC183" s="20">
        <f>TRUNC(IF(J183&lt;0,0,J183),0)</f>
        <v/>
      </c>
      <c r="AS183" s="75" t="n">
        <v>157</v>
      </c>
      <c r="AT183" s="5" t="n">
        <v>3</v>
      </c>
      <c r="AU183" s="5" t="n">
        <v>2</v>
      </c>
      <c r="AV183" s="5" t="n">
        <v>5</v>
      </c>
      <c r="AZ183" s="2" t="n"/>
      <c r="BA183" s="2" t="n"/>
      <c r="BB183" s="2" t="n"/>
      <c r="BE183" s="2" t="n"/>
      <c r="BF183" s="2" t="n"/>
      <c r="BG183" s="2" t="n"/>
    </row>
    <row r="184">
      <c r="G184" s="75" t="n">
        <v>158</v>
      </c>
      <c r="H184" s="75">
        <f>TRUNC((_xlfn.NORM.INV((RAND()),$E$35,$E$36)),2)</f>
        <v/>
      </c>
      <c r="I184" s="75">
        <f>TRUNC((_xlfn.NORM.INV((RAND()),$E$35,$E$36)),2)</f>
        <v/>
      </c>
      <c r="J184" s="75">
        <f>TRUNC((_xlfn.NORM.INV((RAND()),$E$35,$E$36)),2)</f>
        <v/>
      </c>
      <c r="Z184" s="75" t="n">
        <v>158</v>
      </c>
      <c r="AA184" s="20">
        <f>TRUNC(IF(H184&lt;0,0,H184),0)</f>
        <v/>
      </c>
      <c r="AB184" s="20">
        <f>TRUNC(IF(I184&lt;0,0,I184),0)</f>
        <v/>
      </c>
      <c r="AC184" s="20">
        <f>TRUNC(IF(J184&lt;0,0,J184),0)</f>
        <v/>
      </c>
      <c r="AS184" s="75" t="n">
        <v>158</v>
      </c>
      <c r="AT184" s="5" t="n">
        <v>6</v>
      </c>
      <c r="AU184" s="5" t="n">
        <v>5</v>
      </c>
      <c r="AV184" s="5" t="n">
        <v>6</v>
      </c>
      <c r="AZ184" s="2" t="n"/>
      <c r="BA184" s="2" t="n"/>
      <c r="BB184" s="2" t="n"/>
      <c r="BE184" s="2" t="n"/>
      <c r="BF184" s="2" t="n"/>
      <c r="BG184" s="2" t="n"/>
    </row>
    <row r="185">
      <c r="G185" s="75" t="n">
        <v>159</v>
      </c>
      <c r="H185" s="75">
        <f>TRUNC((_xlfn.NORM.INV((RAND()),$E$35,$E$36)),2)</f>
        <v/>
      </c>
      <c r="I185" s="75">
        <f>TRUNC((_xlfn.NORM.INV((RAND()),$E$35,$E$36)),2)</f>
        <v/>
      </c>
      <c r="J185" s="75">
        <f>TRUNC((_xlfn.NORM.INV((RAND()),$E$35,$E$36)),2)</f>
        <v/>
      </c>
      <c r="Z185" s="75" t="n">
        <v>159</v>
      </c>
      <c r="AA185" s="20">
        <f>TRUNC(IF(H185&lt;0,0,H185),0)</f>
        <v/>
      </c>
      <c r="AB185" s="20">
        <f>TRUNC(IF(I185&lt;0,0,I185),0)</f>
        <v/>
      </c>
      <c r="AC185" s="20">
        <f>TRUNC(IF(J185&lt;0,0,J185),0)</f>
        <v/>
      </c>
      <c r="AS185" s="75" t="n">
        <v>159</v>
      </c>
      <c r="AT185" s="5" t="n">
        <v>5</v>
      </c>
      <c r="AU185" s="5" t="n">
        <v>3</v>
      </c>
      <c r="AV185" s="5" t="n">
        <v>4</v>
      </c>
      <c r="AZ185" s="2" t="n"/>
      <c r="BA185" s="2" t="n"/>
      <c r="BB185" s="2" t="n"/>
      <c r="BE185" s="2" t="n"/>
      <c r="BF185" s="2" t="n"/>
      <c r="BG185" s="2" t="n"/>
    </row>
    <row r="186">
      <c r="G186" s="75" t="n">
        <v>160</v>
      </c>
      <c r="H186" s="75">
        <f>TRUNC((_xlfn.NORM.INV((RAND()),$E$35,$E$36)),2)</f>
        <v/>
      </c>
      <c r="I186" s="75">
        <f>TRUNC((_xlfn.NORM.INV((RAND()),$E$35,$E$36)),2)</f>
        <v/>
      </c>
      <c r="J186" s="75">
        <f>TRUNC((_xlfn.NORM.INV((RAND()),$E$35,$E$36)),2)</f>
        <v/>
      </c>
      <c r="Z186" s="75" t="n">
        <v>160</v>
      </c>
      <c r="AA186" s="20">
        <f>TRUNC(IF(H186&lt;0,0,H186),0)</f>
        <v/>
      </c>
      <c r="AB186" s="20">
        <f>TRUNC(IF(I186&lt;0,0,I186),0)</f>
        <v/>
      </c>
      <c r="AC186" s="20">
        <f>TRUNC(IF(J186&lt;0,0,J186),0)</f>
        <v/>
      </c>
      <c r="AS186" s="75" t="n">
        <v>160</v>
      </c>
      <c r="AT186" s="5" t="n">
        <v>8</v>
      </c>
      <c r="AU186" s="5" t="n">
        <v>6</v>
      </c>
      <c r="AV186" s="5" t="n">
        <v>7</v>
      </c>
      <c r="AZ186" s="2" t="n"/>
      <c r="BA186" s="2" t="n"/>
      <c r="BB186" s="2" t="n"/>
      <c r="BE186" s="2" t="n"/>
      <c r="BF186" s="2" t="n"/>
      <c r="BG186" s="2" t="n"/>
    </row>
    <row r="187">
      <c r="G187" s="75" t="n">
        <v>161</v>
      </c>
      <c r="H187" s="75">
        <f>TRUNC((_xlfn.NORM.INV((RAND()),$E$35,$E$36)),2)</f>
        <v/>
      </c>
      <c r="I187" s="75">
        <f>TRUNC((_xlfn.NORM.INV((RAND()),$E$35,$E$36)),2)</f>
        <v/>
      </c>
      <c r="J187" s="75">
        <f>TRUNC((_xlfn.NORM.INV((RAND()),$E$35,$E$36)),2)</f>
        <v/>
      </c>
      <c r="Z187" s="75" t="n">
        <v>161</v>
      </c>
      <c r="AA187" s="20">
        <f>TRUNC(IF(H187&lt;0,0,H187),0)</f>
        <v/>
      </c>
      <c r="AB187" s="20">
        <f>TRUNC(IF(I187&lt;0,0,I187),0)</f>
        <v/>
      </c>
      <c r="AC187" s="20">
        <f>TRUNC(IF(J187&lt;0,0,J187),0)</f>
        <v/>
      </c>
      <c r="AS187" s="75" t="n">
        <v>161</v>
      </c>
      <c r="AT187" s="5" t="n">
        <v>4</v>
      </c>
      <c r="AU187" s="5" t="n">
        <v>4</v>
      </c>
      <c r="AV187" s="5" t="n">
        <v>4</v>
      </c>
      <c r="AZ187" s="2" t="n"/>
      <c r="BA187" s="2" t="n"/>
      <c r="BB187" s="2" t="n"/>
      <c r="BE187" s="2" t="n"/>
      <c r="BF187" s="2" t="n"/>
      <c r="BG187" s="2" t="n"/>
    </row>
    <row r="188">
      <c r="G188" s="75" t="n">
        <v>162</v>
      </c>
      <c r="H188" s="75">
        <f>TRUNC((_xlfn.NORM.INV((RAND()),$E$35,$E$36)),2)</f>
        <v/>
      </c>
      <c r="I188" s="75">
        <f>TRUNC((_xlfn.NORM.INV((RAND()),$E$35,$E$36)),2)</f>
        <v/>
      </c>
      <c r="J188" s="75">
        <f>TRUNC((_xlfn.NORM.INV((RAND()),$E$35,$E$36)),2)</f>
        <v/>
      </c>
      <c r="Z188" s="75" t="n">
        <v>162</v>
      </c>
      <c r="AA188" s="20">
        <f>TRUNC(IF(H188&lt;0,0,H188),0)</f>
        <v/>
      </c>
      <c r="AB188" s="20">
        <f>TRUNC(IF(I188&lt;0,0,I188),0)</f>
        <v/>
      </c>
      <c r="AC188" s="20">
        <f>TRUNC(IF(J188&lt;0,0,J188),0)</f>
        <v/>
      </c>
      <c r="AS188" s="75" t="n">
        <v>162</v>
      </c>
      <c r="AT188" s="5" t="n">
        <v>5</v>
      </c>
      <c r="AU188" s="5" t="n">
        <v>5</v>
      </c>
      <c r="AV188" s="5" t="n">
        <v>5</v>
      </c>
      <c r="AZ188" s="2" t="n"/>
      <c r="BA188" s="2" t="n"/>
      <c r="BB188" s="2" t="n"/>
      <c r="BE188" s="2" t="n"/>
      <c r="BF188" s="2" t="n"/>
      <c r="BG188" s="2" t="n"/>
    </row>
    <row r="189">
      <c r="G189" s="75" t="n">
        <v>163</v>
      </c>
      <c r="H189" s="75">
        <f>TRUNC((_xlfn.NORM.INV((RAND()),$E$35,$E$36)),2)</f>
        <v/>
      </c>
      <c r="I189" s="75">
        <f>TRUNC((_xlfn.NORM.INV((RAND()),$E$35,$E$36)),2)</f>
        <v/>
      </c>
      <c r="J189" s="75">
        <f>TRUNC((_xlfn.NORM.INV((RAND()),$E$35,$E$36)),2)</f>
        <v/>
      </c>
      <c r="Z189" s="75" t="n">
        <v>163</v>
      </c>
      <c r="AA189" s="20">
        <f>TRUNC(IF(H189&lt;0,0,H189),0)</f>
        <v/>
      </c>
      <c r="AB189" s="20">
        <f>TRUNC(IF(I189&lt;0,0,I189),0)</f>
        <v/>
      </c>
      <c r="AC189" s="20">
        <f>TRUNC(IF(J189&lt;0,0,J189),0)</f>
        <v/>
      </c>
      <c r="AS189" s="75" t="n">
        <v>163</v>
      </c>
      <c r="AT189" s="5" t="n">
        <v>3</v>
      </c>
      <c r="AU189" s="5" t="n">
        <v>6</v>
      </c>
      <c r="AV189" s="5" t="n">
        <v>2</v>
      </c>
      <c r="AZ189" s="2" t="n"/>
      <c r="BA189" s="2" t="n"/>
      <c r="BB189" s="2" t="n"/>
      <c r="BE189" s="2" t="n"/>
      <c r="BF189" s="2" t="n"/>
      <c r="BG189" s="2" t="n"/>
    </row>
    <row r="190">
      <c r="G190" s="75" t="n">
        <v>164</v>
      </c>
      <c r="H190" s="75">
        <f>TRUNC((_xlfn.NORM.INV((RAND()),$E$35,$E$36)),2)</f>
        <v/>
      </c>
      <c r="I190" s="75">
        <f>TRUNC((_xlfn.NORM.INV((RAND()),$E$35,$E$36)),2)</f>
        <v/>
      </c>
      <c r="J190" s="75">
        <f>TRUNC((_xlfn.NORM.INV((RAND()),$E$35,$E$36)),2)</f>
        <v/>
      </c>
      <c r="Z190" s="75" t="n">
        <v>164</v>
      </c>
      <c r="AA190" s="20">
        <f>TRUNC(IF(H190&lt;0,0,H190),0)</f>
        <v/>
      </c>
      <c r="AB190" s="20">
        <f>TRUNC(IF(I190&lt;0,0,I190),0)</f>
        <v/>
      </c>
      <c r="AC190" s="20">
        <f>TRUNC(IF(J190&lt;0,0,J190),0)</f>
        <v/>
      </c>
      <c r="AS190" s="75" t="n">
        <v>164</v>
      </c>
      <c r="AT190" s="5" t="n">
        <v>6</v>
      </c>
      <c r="AU190" s="5" t="n">
        <v>5</v>
      </c>
      <c r="AV190" s="5" t="n">
        <v>3</v>
      </c>
      <c r="AZ190" s="2" t="n"/>
      <c r="BA190" s="2" t="n"/>
      <c r="BB190" s="2" t="n"/>
      <c r="BE190" s="2" t="n"/>
      <c r="BF190" s="2" t="n"/>
      <c r="BG190" s="2" t="n"/>
    </row>
    <row r="191">
      <c r="G191" s="75" t="n">
        <v>165</v>
      </c>
      <c r="H191" s="75">
        <f>TRUNC((_xlfn.NORM.INV((RAND()),$E$35,$E$36)),2)</f>
        <v/>
      </c>
      <c r="I191" s="75">
        <f>TRUNC((_xlfn.NORM.INV((RAND()),$E$35,$E$36)),2)</f>
        <v/>
      </c>
      <c r="J191" s="75">
        <f>TRUNC((_xlfn.NORM.INV((RAND()),$E$35,$E$36)),2)</f>
        <v/>
      </c>
      <c r="Z191" s="75" t="n">
        <v>165</v>
      </c>
      <c r="AA191" s="20">
        <f>TRUNC(IF(H191&lt;0,0,H191),0)</f>
        <v/>
      </c>
      <c r="AB191" s="20">
        <f>TRUNC(IF(I191&lt;0,0,I191),0)</f>
        <v/>
      </c>
      <c r="AC191" s="20">
        <f>TRUNC(IF(J191&lt;0,0,J191),0)</f>
        <v/>
      </c>
      <c r="AS191" s="75" t="n">
        <v>165</v>
      </c>
      <c r="AT191" s="5" t="n">
        <v>5</v>
      </c>
      <c r="AU191" s="5" t="n">
        <v>5</v>
      </c>
      <c r="AV191" s="5" t="n">
        <v>7</v>
      </c>
      <c r="AZ191" s="2" t="n"/>
      <c r="BA191" s="2" t="n"/>
      <c r="BB191" s="2" t="n"/>
      <c r="BE191" s="2" t="n"/>
      <c r="BF191" s="2" t="n"/>
      <c r="BG191" s="2" t="n"/>
    </row>
    <row r="192">
      <c r="G192" s="75" t="n">
        <v>166</v>
      </c>
      <c r="H192" s="75">
        <f>TRUNC((_xlfn.NORM.INV((RAND()),$E$35,$E$36)),2)</f>
        <v/>
      </c>
      <c r="I192" s="75">
        <f>TRUNC((_xlfn.NORM.INV((RAND()),$E$35,$E$36)),2)</f>
        <v/>
      </c>
      <c r="J192" s="75">
        <f>TRUNC((_xlfn.NORM.INV((RAND()),$E$35,$E$36)),2)</f>
        <v/>
      </c>
      <c r="Z192" s="75" t="n">
        <v>166</v>
      </c>
      <c r="AA192" s="20">
        <f>TRUNC(IF(H192&lt;0,0,H192),0)</f>
        <v/>
      </c>
      <c r="AB192" s="20">
        <f>TRUNC(IF(I192&lt;0,0,I192),0)</f>
        <v/>
      </c>
      <c r="AC192" s="20">
        <f>TRUNC(IF(J192&lt;0,0,J192),0)</f>
        <v/>
      </c>
      <c r="AS192" s="75" t="n">
        <v>166</v>
      </c>
      <c r="AT192" s="5" t="n">
        <v>6</v>
      </c>
      <c r="AU192" s="5" t="n">
        <v>3</v>
      </c>
      <c r="AV192" s="5" t="n">
        <v>5</v>
      </c>
      <c r="AZ192" s="2" t="n"/>
      <c r="BA192" s="2" t="n"/>
      <c r="BB192" s="2" t="n"/>
      <c r="BE192" s="2" t="n"/>
      <c r="BF192" s="2" t="n"/>
      <c r="BG192" s="2" t="n"/>
    </row>
    <row r="193">
      <c r="G193" s="75" t="n">
        <v>167</v>
      </c>
      <c r="H193" s="75">
        <f>TRUNC((_xlfn.NORM.INV((RAND()),$E$35,$E$36)),2)</f>
        <v/>
      </c>
      <c r="I193" s="75">
        <f>TRUNC((_xlfn.NORM.INV((RAND()),$E$35,$E$36)),2)</f>
        <v/>
      </c>
      <c r="J193" s="75">
        <f>TRUNC((_xlfn.NORM.INV((RAND()),$E$35,$E$36)),2)</f>
        <v/>
      </c>
      <c r="Z193" s="75" t="n">
        <v>167</v>
      </c>
      <c r="AA193" s="20">
        <f>TRUNC(IF(H193&lt;0,0,H193),0)</f>
        <v/>
      </c>
      <c r="AB193" s="20">
        <f>TRUNC(IF(I193&lt;0,0,I193),0)</f>
        <v/>
      </c>
      <c r="AC193" s="20">
        <f>TRUNC(IF(J193&lt;0,0,J193),0)</f>
        <v/>
      </c>
      <c r="AS193" s="75" t="n">
        <v>167</v>
      </c>
      <c r="AT193" s="5" t="n">
        <v>4</v>
      </c>
      <c r="AU193" s="5" t="n">
        <v>5</v>
      </c>
      <c r="AV193" s="5" t="n">
        <v>7</v>
      </c>
      <c r="AZ193" s="2" t="n"/>
      <c r="BA193" s="2" t="n"/>
      <c r="BB193" s="2" t="n"/>
      <c r="BE193" s="2" t="n"/>
      <c r="BF193" s="2" t="n"/>
      <c r="BG193" s="2" t="n"/>
    </row>
    <row r="194">
      <c r="G194" s="75" t="n">
        <v>168</v>
      </c>
      <c r="H194" s="75">
        <f>TRUNC((_xlfn.NORM.INV((RAND()),$E$35,$E$36)),2)</f>
        <v/>
      </c>
      <c r="I194" s="75">
        <f>TRUNC((_xlfn.NORM.INV((RAND()),$E$35,$E$36)),2)</f>
        <v/>
      </c>
      <c r="J194" s="75">
        <f>TRUNC((_xlfn.NORM.INV((RAND()),$E$35,$E$36)),2)</f>
        <v/>
      </c>
      <c r="Z194" s="75" t="n">
        <v>168</v>
      </c>
      <c r="AA194" s="20">
        <f>TRUNC(IF(H194&lt;0,0,H194),0)</f>
        <v/>
      </c>
      <c r="AB194" s="20">
        <f>TRUNC(IF(I194&lt;0,0,I194),0)</f>
        <v/>
      </c>
      <c r="AC194" s="20">
        <f>TRUNC(IF(J194&lt;0,0,J194),0)</f>
        <v/>
      </c>
      <c r="AS194" s="75" t="n">
        <v>168</v>
      </c>
      <c r="AT194" s="5" t="n">
        <v>3</v>
      </c>
      <c r="AU194" s="5" t="n">
        <v>2</v>
      </c>
      <c r="AV194" s="5" t="n">
        <v>4</v>
      </c>
      <c r="AZ194" s="2" t="n"/>
      <c r="BA194" s="2" t="n"/>
      <c r="BB194" s="2" t="n"/>
      <c r="BE194" s="2" t="n"/>
      <c r="BF194" s="2" t="n"/>
      <c r="BG194" s="2" t="n"/>
    </row>
    <row r="195">
      <c r="G195" s="75" t="n">
        <v>169</v>
      </c>
      <c r="H195" s="75">
        <f>TRUNC((_xlfn.NORM.INV((RAND()),$E$35,$E$36)),2)</f>
        <v/>
      </c>
      <c r="I195" s="75">
        <f>TRUNC((_xlfn.NORM.INV((RAND()),$E$35,$E$36)),2)</f>
        <v/>
      </c>
      <c r="J195" s="75">
        <f>TRUNC((_xlfn.NORM.INV((RAND()),$E$35,$E$36)),2)</f>
        <v/>
      </c>
      <c r="Z195" s="75" t="n">
        <v>169</v>
      </c>
      <c r="AA195" s="20">
        <f>TRUNC(IF(H195&lt;0,0,H195),0)</f>
        <v/>
      </c>
      <c r="AB195" s="20">
        <f>TRUNC(IF(I195&lt;0,0,I195),0)</f>
        <v/>
      </c>
      <c r="AC195" s="20">
        <f>TRUNC(IF(J195&lt;0,0,J195),0)</f>
        <v/>
      </c>
      <c r="AS195" s="75" t="n">
        <v>169</v>
      </c>
      <c r="AT195" s="5" t="n">
        <v>5</v>
      </c>
      <c r="AU195" s="5" t="n">
        <v>5</v>
      </c>
      <c r="AV195" s="5" t="n">
        <v>3</v>
      </c>
      <c r="AZ195" s="2" t="n"/>
      <c r="BA195" s="2" t="n"/>
      <c r="BB195" s="2" t="n"/>
      <c r="BE195" s="2" t="n"/>
      <c r="BF195" s="2" t="n"/>
      <c r="BG195" s="2" t="n"/>
    </row>
    <row r="196">
      <c r="G196" s="75" t="n">
        <v>170</v>
      </c>
      <c r="H196" s="75">
        <f>TRUNC((_xlfn.NORM.INV((RAND()),$E$35,$E$36)),2)</f>
        <v/>
      </c>
      <c r="I196" s="75">
        <f>TRUNC((_xlfn.NORM.INV((RAND()),$E$35,$E$36)),2)</f>
        <v/>
      </c>
      <c r="J196" s="75">
        <f>TRUNC((_xlfn.NORM.INV((RAND()),$E$35,$E$36)),2)</f>
        <v/>
      </c>
      <c r="Z196" s="75" t="n">
        <v>170</v>
      </c>
      <c r="AA196" s="20">
        <f>TRUNC(IF(H196&lt;0,0,H196),0)</f>
        <v/>
      </c>
      <c r="AB196" s="20">
        <f>TRUNC(IF(I196&lt;0,0,I196),0)</f>
        <v/>
      </c>
      <c r="AC196" s="20">
        <f>TRUNC(IF(J196&lt;0,0,J196),0)</f>
        <v/>
      </c>
      <c r="AS196" s="75" t="n">
        <v>170</v>
      </c>
      <c r="AT196" s="5" t="n">
        <v>7</v>
      </c>
      <c r="AU196" s="5" t="n">
        <v>5</v>
      </c>
      <c r="AV196" s="5" t="n">
        <v>5</v>
      </c>
      <c r="AZ196" s="2" t="n"/>
      <c r="BA196" s="2" t="n"/>
      <c r="BB196" s="2" t="n"/>
      <c r="BE196" s="2" t="n"/>
      <c r="BF196" s="2" t="n"/>
      <c r="BG196" s="2" t="n"/>
    </row>
    <row r="197">
      <c r="G197" s="75" t="n">
        <v>171</v>
      </c>
      <c r="H197" s="75">
        <f>TRUNC((_xlfn.NORM.INV((RAND()),$E$35,$E$36)),2)</f>
        <v/>
      </c>
      <c r="I197" s="75">
        <f>TRUNC((_xlfn.NORM.INV((RAND()),$E$35,$E$36)),2)</f>
        <v/>
      </c>
      <c r="J197" s="75">
        <f>TRUNC((_xlfn.NORM.INV((RAND()),$E$35,$E$36)),2)</f>
        <v/>
      </c>
      <c r="Z197" s="75" t="n">
        <v>171</v>
      </c>
      <c r="AA197" s="20">
        <f>TRUNC(IF(H197&lt;0,0,H197),0)</f>
        <v/>
      </c>
      <c r="AB197" s="20">
        <f>TRUNC(IF(I197&lt;0,0,I197),0)</f>
        <v/>
      </c>
      <c r="AC197" s="20">
        <f>TRUNC(IF(J197&lt;0,0,J197),0)</f>
        <v/>
      </c>
      <c r="AS197" s="75" t="n">
        <v>171</v>
      </c>
      <c r="AT197" s="5" t="n">
        <v>5</v>
      </c>
      <c r="AU197" s="5" t="n">
        <v>5</v>
      </c>
      <c r="AV197" s="5" t="n">
        <v>3</v>
      </c>
      <c r="AZ197" s="2" t="n"/>
      <c r="BA197" s="2" t="n"/>
      <c r="BB197" s="2" t="n"/>
      <c r="BE197" s="2" t="n"/>
      <c r="BF197" s="2" t="n"/>
      <c r="BG197" s="2" t="n"/>
    </row>
    <row r="198">
      <c r="G198" s="75" t="n">
        <v>172</v>
      </c>
      <c r="H198" s="75">
        <f>TRUNC((_xlfn.NORM.INV((RAND()),$E$35,$E$36)),2)</f>
        <v/>
      </c>
      <c r="I198" s="75">
        <f>TRUNC((_xlfn.NORM.INV((RAND()),$E$35,$E$36)),2)</f>
        <v/>
      </c>
      <c r="J198" s="75">
        <f>TRUNC((_xlfn.NORM.INV((RAND()),$E$35,$E$36)),2)</f>
        <v/>
      </c>
      <c r="Z198" s="75" t="n">
        <v>172</v>
      </c>
      <c r="AA198" s="20">
        <f>TRUNC(IF(H198&lt;0,0,H198),0)</f>
        <v/>
      </c>
      <c r="AB198" s="20">
        <f>TRUNC(IF(I198&lt;0,0,I198),0)</f>
        <v/>
      </c>
      <c r="AC198" s="20">
        <f>TRUNC(IF(J198&lt;0,0,J198),0)</f>
        <v/>
      </c>
      <c r="AS198" s="75" t="n">
        <v>172</v>
      </c>
      <c r="AT198" s="5" t="n">
        <v>6</v>
      </c>
      <c r="AU198" s="5" t="n">
        <v>5</v>
      </c>
      <c r="AV198" s="5" t="n">
        <v>5</v>
      </c>
      <c r="AZ198" s="2" t="n"/>
      <c r="BA198" s="2" t="n"/>
      <c r="BB198" s="2" t="n"/>
      <c r="BE198" s="2" t="n"/>
      <c r="BF198" s="2" t="n"/>
      <c r="BG198" s="2" t="n"/>
    </row>
    <row r="199">
      <c r="G199" s="75" t="n">
        <v>173</v>
      </c>
      <c r="H199" s="75">
        <f>TRUNC((_xlfn.NORM.INV((RAND()),$E$35,$E$36)),2)</f>
        <v/>
      </c>
      <c r="I199" s="75">
        <f>TRUNC((_xlfn.NORM.INV((RAND()),$E$35,$E$36)),2)</f>
        <v/>
      </c>
      <c r="J199" s="75">
        <f>TRUNC((_xlfn.NORM.INV((RAND()),$E$35,$E$36)),2)</f>
        <v/>
      </c>
      <c r="Z199" s="75" t="n">
        <v>173</v>
      </c>
      <c r="AA199" s="20">
        <f>TRUNC(IF(H199&lt;0,0,H199),0)</f>
        <v/>
      </c>
      <c r="AB199" s="20">
        <f>TRUNC(IF(I199&lt;0,0,I199),0)</f>
        <v/>
      </c>
      <c r="AC199" s="20">
        <f>TRUNC(IF(J199&lt;0,0,J199),0)</f>
        <v/>
      </c>
      <c r="AS199" s="75" t="n">
        <v>173</v>
      </c>
      <c r="AT199" s="5" t="n">
        <v>5</v>
      </c>
      <c r="AU199" s="5" t="n">
        <v>5</v>
      </c>
      <c r="AV199" s="5" t="n">
        <v>6</v>
      </c>
      <c r="AZ199" s="2" t="n"/>
      <c r="BA199" s="2" t="n"/>
      <c r="BB199" s="2" t="n"/>
      <c r="BE199" s="2" t="n"/>
      <c r="BF199" s="2" t="n"/>
      <c r="BG199" s="2" t="n"/>
    </row>
    <row r="200">
      <c r="G200" s="75" t="n">
        <v>174</v>
      </c>
      <c r="H200" s="75">
        <f>TRUNC((_xlfn.NORM.INV((RAND()),$E$35,$E$36)),2)</f>
        <v/>
      </c>
      <c r="I200" s="75">
        <f>TRUNC((_xlfn.NORM.INV((RAND()),$E$35,$E$36)),2)</f>
        <v/>
      </c>
      <c r="J200" s="75">
        <f>TRUNC((_xlfn.NORM.INV((RAND()),$E$35,$E$36)),2)</f>
        <v/>
      </c>
      <c r="Z200" s="75" t="n">
        <v>174</v>
      </c>
      <c r="AA200" s="20">
        <f>TRUNC(IF(H200&lt;0,0,H200),0)</f>
        <v/>
      </c>
      <c r="AB200" s="20">
        <f>TRUNC(IF(I200&lt;0,0,I200),0)</f>
        <v/>
      </c>
      <c r="AC200" s="20">
        <f>TRUNC(IF(J200&lt;0,0,J200),0)</f>
        <v/>
      </c>
      <c r="AS200" s="75" t="n">
        <v>174</v>
      </c>
      <c r="AT200" s="5" t="n">
        <v>5</v>
      </c>
      <c r="AU200" s="5" t="n">
        <v>5</v>
      </c>
      <c r="AV200" s="5" t="n">
        <v>4</v>
      </c>
      <c r="AZ200" s="2" t="n"/>
      <c r="BA200" s="2" t="n"/>
      <c r="BB200" s="2" t="n"/>
      <c r="BE200" s="2" t="n"/>
      <c r="BF200" s="2" t="n"/>
      <c r="BG200" s="2" t="n"/>
    </row>
    <row r="201">
      <c r="G201" s="75" t="n">
        <v>175</v>
      </c>
      <c r="H201" s="75">
        <f>TRUNC((_xlfn.NORM.INV((RAND()),$E$35,$E$36)),2)</f>
        <v/>
      </c>
      <c r="I201" s="75">
        <f>TRUNC((_xlfn.NORM.INV((RAND()),$E$35,$E$36)),2)</f>
        <v/>
      </c>
      <c r="J201" s="75">
        <f>TRUNC((_xlfn.NORM.INV((RAND()),$E$35,$E$36)),2)</f>
        <v/>
      </c>
      <c r="Z201" s="75" t="n">
        <v>175</v>
      </c>
      <c r="AA201" s="20">
        <f>TRUNC(IF(H201&lt;0,0,H201),0)</f>
        <v/>
      </c>
      <c r="AB201" s="20">
        <f>TRUNC(IF(I201&lt;0,0,I201),0)</f>
        <v/>
      </c>
      <c r="AC201" s="20">
        <f>TRUNC(IF(J201&lt;0,0,J201),0)</f>
        <v/>
      </c>
      <c r="AS201" s="75" t="n">
        <v>175</v>
      </c>
      <c r="AT201" s="5" t="n">
        <v>6</v>
      </c>
      <c r="AU201" s="5" t="n">
        <v>5</v>
      </c>
      <c r="AV201" s="5" t="n">
        <v>5</v>
      </c>
      <c r="AZ201" s="2" t="n"/>
      <c r="BA201" s="2" t="n"/>
      <c r="BB201" s="2" t="n"/>
      <c r="BE201" s="2" t="n"/>
      <c r="BF201" s="2" t="n"/>
      <c r="BG201" s="2" t="n"/>
    </row>
    <row r="202">
      <c r="G202" s="75" t="n">
        <v>176</v>
      </c>
      <c r="H202" s="75">
        <f>TRUNC((_xlfn.NORM.INV((RAND()),$E$35,$E$36)),2)</f>
        <v/>
      </c>
      <c r="I202" s="75">
        <f>TRUNC((_xlfn.NORM.INV((RAND()),$E$35,$E$36)),2)</f>
        <v/>
      </c>
      <c r="J202" s="75">
        <f>TRUNC((_xlfn.NORM.INV((RAND()),$E$35,$E$36)),2)</f>
        <v/>
      </c>
      <c r="Z202" s="75" t="n">
        <v>176</v>
      </c>
      <c r="AA202" s="20">
        <f>TRUNC(IF(H202&lt;0,0,H202),0)</f>
        <v/>
      </c>
      <c r="AB202" s="20">
        <f>TRUNC(IF(I202&lt;0,0,I202),0)</f>
        <v/>
      </c>
      <c r="AC202" s="20">
        <f>TRUNC(IF(J202&lt;0,0,J202),0)</f>
        <v/>
      </c>
      <c r="AS202" s="75" t="n">
        <v>176</v>
      </c>
      <c r="AT202" s="5" t="n">
        <v>4</v>
      </c>
      <c r="AU202" s="5" t="n">
        <v>2</v>
      </c>
      <c r="AV202" s="5" t="n">
        <v>3</v>
      </c>
      <c r="AZ202" s="2" t="n"/>
      <c r="BA202" s="2" t="n"/>
      <c r="BB202" s="2" t="n"/>
      <c r="BE202" s="2" t="n"/>
      <c r="BF202" s="2" t="n"/>
      <c r="BG202" s="2" t="n"/>
    </row>
    <row r="203">
      <c r="G203" s="75" t="n">
        <v>177</v>
      </c>
      <c r="H203" s="75">
        <f>TRUNC((_xlfn.NORM.INV((RAND()),$E$35,$E$36)),2)</f>
        <v/>
      </c>
      <c r="I203" s="75">
        <f>TRUNC((_xlfn.NORM.INV((RAND()),$E$35,$E$36)),2)</f>
        <v/>
      </c>
      <c r="J203" s="75">
        <f>TRUNC((_xlfn.NORM.INV((RAND()),$E$35,$E$36)),2)</f>
        <v/>
      </c>
      <c r="Z203" s="75" t="n">
        <v>177</v>
      </c>
      <c r="AA203" s="20">
        <f>TRUNC(IF(H203&lt;0,0,H203),0)</f>
        <v/>
      </c>
      <c r="AB203" s="20">
        <f>TRUNC(IF(I203&lt;0,0,I203),0)</f>
        <v/>
      </c>
      <c r="AC203" s="20">
        <f>TRUNC(IF(J203&lt;0,0,J203),0)</f>
        <v/>
      </c>
      <c r="AS203" s="75" t="n">
        <v>177</v>
      </c>
      <c r="AT203" s="5" t="n">
        <v>3</v>
      </c>
      <c r="AU203" s="5" t="n">
        <v>5</v>
      </c>
      <c r="AV203" s="5" t="n">
        <v>5</v>
      </c>
      <c r="AZ203" s="2" t="n"/>
      <c r="BA203" s="2" t="n"/>
      <c r="BB203" s="2" t="n"/>
      <c r="BE203" s="2" t="n"/>
      <c r="BF203" s="2" t="n"/>
      <c r="BG203" s="2" t="n"/>
    </row>
    <row r="204">
      <c r="G204" s="75" t="n">
        <v>178</v>
      </c>
      <c r="H204" s="75">
        <f>TRUNC((_xlfn.NORM.INV((RAND()),$E$35,$E$36)),2)</f>
        <v/>
      </c>
      <c r="I204" s="75">
        <f>TRUNC((_xlfn.NORM.INV((RAND()),$E$35,$E$36)),2)</f>
        <v/>
      </c>
      <c r="J204" s="75">
        <f>TRUNC((_xlfn.NORM.INV((RAND()),$E$35,$E$36)),2)</f>
        <v/>
      </c>
      <c r="Z204" s="75" t="n">
        <v>178</v>
      </c>
      <c r="AA204" s="20">
        <f>TRUNC(IF(H204&lt;0,0,H204),0)</f>
        <v/>
      </c>
      <c r="AB204" s="20">
        <f>TRUNC(IF(I204&lt;0,0,I204),0)</f>
        <v/>
      </c>
      <c r="AC204" s="20">
        <f>TRUNC(IF(J204&lt;0,0,J204),0)</f>
        <v/>
      </c>
      <c r="AS204" s="75" t="n">
        <v>178</v>
      </c>
      <c r="AT204" s="5" t="n">
        <v>7</v>
      </c>
      <c r="AU204" s="5" t="n">
        <v>5</v>
      </c>
      <c r="AV204" s="5" t="n">
        <v>4</v>
      </c>
      <c r="AZ204" s="2" t="n"/>
      <c r="BA204" s="2" t="n"/>
      <c r="BB204" s="2" t="n"/>
      <c r="BE204" s="2" t="n"/>
      <c r="BF204" s="2" t="n"/>
      <c r="BG204" s="2" t="n"/>
    </row>
    <row r="205">
      <c r="G205" s="75" t="n">
        <v>179</v>
      </c>
      <c r="H205" s="75">
        <f>TRUNC((_xlfn.NORM.INV((RAND()),$E$35,$E$36)),2)</f>
        <v/>
      </c>
      <c r="I205" s="75">
        <f>TRUNC((_xlfn.NORM.INV((RAND()),$E$35,$E$36)),2)</f>
        <v/>
      </c>
      <c r="J205" s="75">
        <f>TRUNC((_xlfn.NORM.INV((RAND()),$E$35,$E$36)),2)</f>
        <v/>
      </c>
      <c r="Z205" s="75" t="n">
        <v>179</v>
      </c>
      <c r="AA205" s="20">
        <f>TRUNC(IF(H205&lt;0,0,H205),0)</f>
        <v/>
      </c>
      <c r="AB205" s="20">
        <f>TRUNC(IF(I205&lt;0,0,I205),0)</f>
        <v/>
      </c>
      <c r="AC205" s="20">
        <f>TRUNC(IF(J205&lt;0,0,J205),0)</f>
        <v/>
      </c>
      <c r="AS205" s="75" t="n">
        <v>179</v>
      </c>
      <c r="AT205" s="5" t="n">
        <v>3</v>
      </c>
      <c r="AU205" s="5" t="n">
        <v>5</v>
      </c>
      <c r="AV205" s="5" t="n">
        <v>5</v>
      </c>
      <c r="AZ205" s="2" t="n"/>
      <c r="BA205" s="2" t="n"/>
      <c r="BB205" s="2" t="n"/>
      <c r="BE205" s="2" t="n"/>
      <c r="BF205" s="2" t="n"/>
      <c r="BG205" s="2" t="n"/>
    </row>
    <row r="206">
      <c r="G206" s="75" t="n">
        <v>180</v>
      </c>
      <c r="H206" s="75">
        <f>TRUNC((_xlfn.NORM.INV((RAND()),$E$35,$E$36)),2)</f>
        <v/>
      </c>
      <c r="I206" s="75">
        <f>TRUNC((_xlfn.NORM.INV((RAND()),$E$35,$E$36)),2)</f>
        <v/>
      </c>
      <c r="J206" s="75">
        <f>TRUNC((_xlfn.NORM.INV((RAND()),$E$35,$E$36)),2)</f>
        <v/>
      </c>
      <c r="Z206" s="75" t="n">
        <v>180</v>
      </c>
      <c r="AA206" s="20">
        <f>TRUNC(IF(H206&lt;0,0,H206),0)</f>
        <v/>
      </c>
      <c r="AB206" s="20">
        <f>TRUNC(IF(I206&lt;0,0,I206),0)</f>
        <v/>
      </c>
      <c r="AC206" s="20">
        <f>TRUNC(IF(J206&lt;0,0,J206),0)</f>
        <v/>
      </c>
      <c r="AS206" s="75" t="n">
        <v>180</v>
      </c>
      <c r="AT206" s="5" t="n">
        <v>6</v>
      </c>
      <c r="AU206" s="5" t="n">
        <v>5</v>
      </c>
      <c r="AV206" s="5" t="n">
        <v>4</v>
      </c>
      <c r="AZ206" s="2" t="n"/>
      <c r="BA206" s="2" t="n"/>
      <c r="BB206" s="2" t="n"/>
      <c r="BE206" s="2" t="n"/>
      <c r="BF206" s="2" t="n"/>
      <c r="BG206" s="2" t="n"/>
    </row>
    <row r="207">
      <c r="G207" s="75" t="n">
        <v>181</v>
      </c>
      <c r="H207" s="75">
        <f>TRUNC((_xlfn.NORM.INV((RAND()),$E$35,$E$36)),2)</f>
        <v/>
      </c>
      <c r="I207" s="75">
        <f>TRUNC((_xlfn.NORM.INV((RAND()),$E$35,$E$36)),2)</f>
        <v/>
      </c>
      <c r="J207" s="75">
        <f>TRUNC((_xlfn.NORM.INV((RAND()),$E$35,$E$36)),2)</f>
        <v/>
      </c>
      <c r="Z207" s="75" t="n">
        <v>181</v>
      </c>
      <c r="AA207" s="20">
        <f>TRUNC(IF(H207&lt;0,0,H207),0)</f>
        <v/>
      </c>
      <c r="AB207" s="20">
        <f>TRUNC(IF(I207&lt;0,0,I207),0)</f>
        <v/>
      </c>
      <c r="AC207" s="20">
        <f>TRUNC(IF(J207&lt;0,0,J207),0)</f>
        <v/>
      </c>
      <c r="AS207" s="75" t="n">
        <v>181</v>
      </c>
      <c r="AT207" s="5" t="n">
        <v>3</v>
      </c>
      <c r="AU207" s="5" t="n">
        <v>2</v>
      </c>
      <c r="AV207" s="5" t="n">
        <v>8</v>
      </c>
      <c r="AZ207" s="2" t="n"/>
      <c r="BA207" s="2" t="n"/>
      <c r="BB207" s="2" t="n"/>
      <c r="BE207" s="2" t="n"/>
      <c r="BF207" s="2" t="n"/>
      <c r="BG207" s="2" t="n"/>
    </row>
    <row r="208">
      <c r="G208" s="75" t="n">
        <v>182</v>
      </c>
      <c r="H208" s="75">
        <f>TRUNC((_xlfn.NORM.INV((RAND()),$E$35,$E$36)),2)</f>
        <v/>
      </c>
      <c r="I208" s="75">
        <f>TRUNC((_xlfn.NORM.INV((RAND()),$E$35,$E$36)),2)</f>
        <v/>
      </c>
      <c r="J208" s="75">
        <f>TRUNC((_xlfn.NORM.INV((RAND()),$E$35,$E$36)),2)</f>
        <v/>
      </c>
      <c r="Z208" s="75" t="n">
        <v>182</v>
      </c>
      <c r="AA208" s="20">
        <f>TRUNC(IF(H208&lt;0,0,H208),0)</f>
        <v/>
      </c>
      <c r="AB208" s="20">
        <f>TRUNC(IF(I208&lt;0,0,I208),0)</f>
        <v/>
      </c>
      <c r="AC208" s="20">
        <f>TRUNC(IF(J208&lt;0,0,J208),0)</f>
        <v/>
      </c>
      <c r="AS208" s="75" t="n">
        <v>182</v>
      </c>
      <c r="AT208" s="5" t="n">
        <v>5</v>
      </c>
      <c r="AU208" s="5" t="n">
        <v>5</v>
      </c>
      <c r="AV208" s="5" t="n">
        <v>7</v>
      </c>
      <c r="AZ208" s="2" t="n"/>
      <c r="BA208" s="2" t="n"/>
      <c r="BB208" s="2" t="n"/>
      <c r="BE208" s="2" t="n"/>
      <c r="BF208" s="2" t="n"/>
      <c r="BG208" s="2" t="n"/>
    </row>
    <row r="209">
      <c r="G209" s="75" t="n">
        <v>183</v>
      </c>
      <c r="H209" s="75">
        <f>TRUNC((_xlfn.NORM.INV((RAND()),$E$35,$E$36)),2)</f>
        <v/>
      </c>
      <c r="I209" s="75">
        <f>TRUNC((_xlfn.NORM.INV((RAND()),$E$35,$E$36)),2)</f>
        <v/>
      </c>
      <c r="J209" s="75">
        <f>TRUNC((_xlfn.NORM.INV((RAND()),$E$35,$E$36)),2)</f>
        <v/>
      </c>
      <c r="Z209" s="75" t="n">
        <v>183</v>
      </c>
      <c r="AA209" s="20">
        <f>TRUNC(IF(H209&lt;0,0,H209),0)</f>
        <v/>
      </c>
      <c r="AB209" s="20">
        <f>TRUNC(IF(I209&lt;0,0,I209),0)</f>
        <v/>
      </c>
      <c r="AC209" s="20">
        <f>TRUNC(IF(J209&lt;0,0,J209),0)</f>
        <v/>
      </c>
      <c r="AS209" s="75" t="n">
        <v>183</v>
      </c>
      <c r="AT209" s="5" t="n">
        <v>5</v>
      </c>
      <c r="AU209" s="5" t="n">
        <v>5</v>
      </c>
      <c r="AV209" s="5" t="n">
        <v>7</v>
      </c>
      <c r="AZ209" s="2" t="n"/>
      <c r="BA209" s="2" t="n"/>
      <c r="BB209" s="2" t="n"/>
      <c r="BE209" s="2" t="n"/>
      <c r="BF209" s="2" t="n"/>
      <c r="BG209" s="2" t="n"/>
    </row>
    <row r="210">
      <c r="G210" s="75" t="n">
        <v>184</v>
      </c>
      <c r="H210" s="75">
        <f>TRUNC((_xlfn.NORM.INV((RAND()),$E$35,$E$36)),2)</f>
        <v/>
      </c>
      <c r="I210" s="75">
        <f>TRUNC((_xlfn.NORM.INV((RAND()),$E$35,$E$36)),2)</f>
        <v/>
      </c>
      <c r="J210" s="75">
        <f>TRUNC((_xlfn.NORM.INV((RAND()),$E$35,$E$36)),2)</f>
        <v/>
      </c>
      <c r="Z210" s="75" t="n">
        <v>184</v>
      </c>
      <c r="AA210" s="20">
        <f>TRUNC(IF(H210&lt;0,0,H210),0)</f>
        <v/>
      </c>
      <c r="AB210" s="20">
        <f>TRUNC(IF(I210&lt;0,0,I210),0)</f>
        <v/>
      </c>
      <c r="AC210" s="20">
        <f>TRUNC(IF(J210&lt;0,0,J210),0)</f>
        <v/>
      </c>
      <c r="AS210" s="75" t="n">
        <v>184</v>
      </c>
      <c r="AT210" s="5" t="n">
        <v>5</v>
      </c>
      <c r="AU210" s="5" t="n">
        <v>4</v>
      </c>
      <c r="AV210" s="5" t="n">
        <v>4</v>
      </c>
      <c r="AZ210" s="2" t="n"/>
      <c r="BA210" s="2" t="n"/>
      <c r="BB210" s="2" t="n"/>
      <c r="BE210" s="2" t="n"/>
      <c r="BF210" s="2" t="n"/>
      <c r="BG210" s="2" t="n"/>
    </row>
    <row r="211">
      <c r="G211" s="75" t="n">
        <v>185</v>
      </c>
      <c r="H211" s="75">
        <f>TRUNC((_xlfn.NORM.INV((RAND()),$E$35,$E$36)),2)</f>
        <v/>
      </c>
      <c r="I211" s="75">
        <f>TRUNC((_xlfn.NORM.INV((RAND()),$E$35,$E$36)),2)</f>
        <v/>
      </c>
      <c r="J211" s="75">
        <f>TRUNC((_xlfn.NORM.INV((RAND()),$E$35,$E$36)),2)</f>
        <v/>
      </c>
      <c r="Z211" s="75" t="n">
        <v>185</v>
      </c>
      <c r="AA211" s="20">
        <f>TRUNC(IF(H211&lt;0,0,H211),0)</f>
        <v/>
      </c>
      <c r="AB211" s="20">
        <f>TRUNC(IF(I211&lt;0,0,I211),0)</f>
        <v/>
      </c>
      <c r="AC211" s="20">
        <f>TRUNC(IF(J211&lt;0,0,J211),0)</f>
        <v/>
      </c>
      <c r="AS211" s="75" t="n">
        <v>185</v>
      </c>
      <c r="AT211" s="5" t="n">
        <v>5</v>
      </c>
      <c r="AU211" s="5" t="n">
        <v>6</v>
      </c>
      <c r="AV211" s="5" t="n">
        <v>5</v>
      </c>
      <c r="AZ211" s="2" t="n"/>
      <c r="BA211" s="2" t="n"/>
      <c r="BB211" s="2" t="n"/>
      <c r="BE211" s="2" t="n"/>
      <c r="BF211" s="2" t="n"/>
      <c r="BG211" s="2" t="n"/>
    </row>
    <row r="212">
      <c r="G212" s="75" t="n">
        <v>186</v>
      </c>
      <c r="H212" s="75">
        <f>TRUNC((_xlfn.NORM.INV((RAND()),$E$35,$E$36)),2)</f>
        <v/>
      </c>
      <c r="I212" s="75">
        <f>TRUNC((_xlfn.NORM.INV((RAND()),$E$35,$E$36)),2)</f>
        <v/>
      </c>
      <c r="J212" s="75">
        <f>TRUNC((_xlfn.NORM.INV((RAND()),$E$35,$E$36)),2)</f>
        <v/>
      </c>
      <c r="Z212" s="75" t="n">
        <v>186</v>
      </c>
      <c r="AA212" s="20">
        <f>TRUNC(IF(H212&lt;0,0,H212),0)</f>
        <v/>
      </c>
      <c r="AB212" s="20">
        <f>TRUNC(IF(I212&lt;0,0,I212),0)</f>
        <v/>
      </c>
      <c r="AC212" s="20">
        <f>TRUNC(IF(J212&lt;0,0,J212),0)</f>
        <v/>
      </c>
      <c r="AS212" s="75" t="n">
        <v>186</v>
      </c>
      <c r="AT212" s="5" t="n">
        <v>6</v>
      </c>
      <c r="AU212" s="5" t="n">
        <v>6</v>
      </c>
      <c r="AV212" s="5" t="n">
        <v>5</v>
      </c>
      <c r="AZ212" s="2" t="n"/>
      <c r="BA212" s="2" t="n"/>
      <c r="BB212" s="2" t="n"/>
      <c r="BE212" s="2" t="n"/>
      <c r="BF212" s="2" t="n"/>
      <c r="BG212" s="2" t="n"/>
    </row>
    <row r="213">
      <c r="G213" s="75" t="n">
        <v>187</v>
      </c>
      <c r="H213" s="75">
        <f>TRUNC((_xlfn.NORM.INV((RAND()),$E$35,$E$36)),2)</f>
        <v/>
      </c>
      <c r="I213" s="75">
        <f>TRUNC((_xlfn.NORM.INV((RAND()),$E$35,$E$36)),2)</f>
        <v/>
      </c>
      <c r="J213" s="75">
        <f>TRUNC((_xlfn.NORM.INV((RAND()),$E$35,$E$36)),2)</f>
        <v/>
      </c>
      <c r="Z213" s="75" t="n">
        <v>187</v>
      </c>
      <c r="AA213" s="20">
        <f>TRUNC(IF(H213&lt;0,0,H213),0)</f>
        <v/>
      </c>
      <c r="AB213" s="20">
        <f>TRUNC(IF(I213&lt;0,0,I213),0)</f>
        <v/>
      </c>
      <c r="AC213" s="20">
        <f>TRUNC(IF(J213&lt;0,0,J213),0)</f>
        <v/>
      </c>
      <c r="AS213" s="75" t="n">
        <v>187</v>
      </c>
      <c r="AT213" s="5" t="n">
        <v>6</v>
      </c>
      <c r="AU213" s="5" t="n">
        <v>4</v>
      </c>
      <c r="AV213" s="5" t="n">
        <v>4</v>
      </c>
      <c r="AZ213" s="2" t="n"/>
      <c r="BA213" s="2" t="n"/>
      <c r="BB213" s="2" t="n"/>
      <c r="BE213" s="2" t="n"/>
      <c r="BF213" s="2" t="n"/>
      <c r="BG213" s="2" t="n"/>
    </row>
    <row r="214">
      <c r="G214" s="75" t="n">
        <v>188</v>
      </c>
      <c r="H214" s="75">
        <f>TRUNC((_xlfn.NORM.INV((RAND()),$E$35,$E$36)),2)</f>
        <v/>
      </c>
      <c r="I214" s="75">
        <f>TRUNC((_xlfn.NORM.INV((RAND()),$E$35,$E$36)),2)</f>
        <v/>
      </c>
      <c r="J214" s="75">
        <f>TRUNC((_xlfn.NORM.INV((RAND()),$E$35,$E$36)),2)</f>
        <v/>
      </c>
      <c r="Z214" s="75" t="n">
        <v>188</v>
      </c>
      <c r="AA214" s="20">
        <f>TRUNC(IF(H214&lt;0,0,H214),0)</f>
        <v/>
      </c>
      <c r="AB214" s="20">
        <f>TRUNC(IF(I214&lt;0,0,I214),0)</f>
        <v/>
      </c>
      <c r="AC214" s="20">
        <f>TRUNC(IF(J214&lt;0,0,J214),0)</f>
        <v/>
      </c>
      <c r="AS214" s="75" t="n">
        <v>188</v>
      </c>
      <c r="AT214" s="5" t="n">
        <v>1</v>
      </c>
      <c r="AU214" s="5" t="n">
        <v>7</v>
      </c>
      <c r="AV214" s="5" t="n">
        <v>5</v>
      </c>
      <c r="AZ214" s="2" t="n"/>
      <c r="BA214" s="2" t="n"/>
      <c r="BB214" s="2" t="n"/>
      <c r="BE214" s="2" t="n"/>
      <c r="BF214" s="2" t="n"/>
      <c r="BG214" s="2" t="n"/>
    </row>
    <row r="215">
      <c r="G215" s="75" t="n">
        <v>189</v>
      </c>
      <c r="H215" s="75">
        <f>TRUNC((_xlfn.NORM.INV((RAND()),$E$35,$E$36)),2)</f>
        <v/>
      </c>
      <c r="I215" s="75">
        <f>TRUNC((_xlfn.NORM.INV((RAND()),$E$35,$E$36)),2)</f>
        <v/>
      </c>
      <c r="J215" s="75">
        <f>TRUNC((_xlfn.NORM.INV((RAND()),$E$35,$E$36)),2)</f>
        <v/>
      </c>
      <c r="Z215" s="75" t="n">
        <v>189</v>
      </c>
      <c r="AA215" s="20">
        <f>TRUNC(IF(H215&lt;0,0,H215),0)</f>
        <v/>
      </c>
      <c r="AB215" s="20">
        <f>TRUNC(IF(I215&lt;0,0,I215),0)</f>
        <v/>
      </c>
      <c r="AC215" s="20">
        <f>TRUNC(IF(J215&lt;0,0,J215),0)</f>
        <v/>
      </c>
      <c r="AS215" s="75" t="n">
        <v>189</v>
      </c>
      <c r="AT215" s="5" t="n">
        <v>4</v>
      </c>
      <c r="AU215" s="5" t="n">
        <v>6</v>
      </c>
      <c r="AV215" s="5" t="n">
        <v>7</v>
      </c>
      <c r="AZ215" s="2" t="n"/>
      <c r="BA215" s="2" t="n"/>
      <c r="BB215" s="2" t="n"/>
      <c r="BE215" s="2" t="n"/>
      <c r="BF215" s="2" t="n"/>
      <c r="BG215" s="2" t="n"/>
    </row>
    <row r="216">
      <c r="G216" s="75" t="n">
        <v>190</v>
      </c>
      <c r="H216" s="75">
        <f>TRUNC((_xlfn.NORM.INV((RAND()),$E$35,$E$36)),2)</f>
        <v/>
      </c>
      <c r="I216" s="75">
        <f>TRUNC((_xlfn.NORM.INV((RAND()),$E$35,$E$36)),2)</f>
        <v/>
      </c>
      <c r="J216" s="75">
        <f>TRUNC((_xlfn.NORM.INV((RAND()),$E$35,$E$36)),2)</f>
        <v/>
      </c>
      <c r="Z216" s="75" t="n">
        <v>190</v>
      </c>
      <c r="AA216" s="20">
        <f>TRUNC(IF(H216&lt;0,0,H216),0)</f>
        <v/>
      </c>
      <c r="AB216" s="20">
        <f>TRUNC(IF(I216&lt;0,0,I216),0)</f>
        <v/>
      </c>
      <c r="AC216" s="20">
        <f>TRUNC(IF(J216&lt;0,0,J216),0)</f>
        <v/>
      </c>
      <c r="AS216" s="75" t="n">
        <v>190</v>
      </c>
      <c r="AT216" s="5" t="n">
        <v>5</v>
      </c>
      <c r="AU216" s="5" t="n">
        <v>4</v>
      </c>
      <c r="AV216" s="5" t="n">
        <v>6</v>
      </c>
      <c r="AZ216" s="2" t="n"/>
      <c r="BA216" s="2" t="n"/>
      <c r="BB216" s="2" t="n"/>
      <c r="BE216" s="2" t="n"/>
      <c r="BF216" s="2" t="n"/>
      <c r="BG216" s="2" t="n"/>
    </row>
    <row r="217">
      <c r="G217" s="75" t="n">
        <v>191</v>
      </c>
      <c r="H217" s="75">
        <f>TRUNC((_xlfn.NORM.INV((RAND()),$E$35,$E$36)),2)</f>
        <v/>
      </c>
      <c r="I217" s="75">
        <f>TRUNC((_xlfn.NORM.INV((RAND()),$E$35,$E$36)),2)</f>
        <v/>
      </c>
      <c r="J217" s="75">
        <f>TRUNC((_xlfn.NORM.INV((RAND()),$E$35,$E$36)),2)</f>
        <v/>
      </c>
      <c r="Z217" s="75" t="n">
        <v>191</v>
      </c>
      <c r="AA217" s="20">
        <f>TRUNC(IF(H217&lt;0,0,H217),0)</f>
        <v/>
      </c>
      <c r="AB217" s="20">
        <f>TRUNC(IF(I217&lt;0,0,I217),0)</f>
        <v/>
      </c>
      <c r="AC217" s="20">
        <f>TRUNC(IF(J217&lt;0,0,J217),0)</f>
        <v/>
      </c>
      <c r="AS217" s="75" t="n">
        <v>191</v>
      </c>
      <c r="AT217" s="5" t="n">
        <v>2</v>
      </c>
      <c r="AU217" s="5" t="n">
        <v>5</v>
      </c>
      <c r="AV217" s="5" t="n">
        <v>4</v>
      </c>
      <c r="AZ217" s="2" t="n"/>
      <c r="BA217" s="2" t="n"/>
      <c r="BB217" s="2" t="n"/>
      <c r="BE217" s="2" t="n"/>
      <c r="BF217" s="2" t="n"/>
      <c r="BG217" s="2" t="n"/>
    </row>
    <row r="218">
      <c r="G218" s="75" t="n">
        <v>192</v>
      </c>
      <c r="H218" s="75">
        <f>TRUNC((_xlfn.NORM.INV((RAND()),$E$35,$E$36)),2)</f>
        <v/>
      </c>
      <c r="I218" s="75">
        <f>TRUNC((_xlfn.NORM.INV((RAND()),$E$35,$E$36)),2)</f>
        <v/>
      </c>
      <c r="J218" s="75">
        <f>TRUNC((_xlfn.NORM.INV((RAND()),$E$35,$E$36)),2)</f>
        <v/>
      </c>
      <c r="Z218" s="75" t="n">
        <v>192</v>
      </c>
      <c r="AA218" s="20">
        <f>TRUNC(IF(H218&lt;0,0,H218),0)</f>
        <v/>
      </c>
      <c r="AB218" s="20">
        <f>TRUNC(IF(I218&lt;0,0,I218),0)</f>
        <v/>
      </c>
      <c r="AC218" s="20">
        <f>TRUNC(IF(J218&lt;0,0,J218),0)</f>
        <v/>
      </c>
      <c r="AS218" s="75" t="n">
        <v>192</v>
      </c>
      <c r="AT218" s="5" t="n">
        <v>4</v>
      </c>
      <c r="AU218" s="5" t="n">
        <v>7</v>
      </c>
      <c r="AV218" s="5" t="n">
        <v>6</v>
      </c>
      <c r="AZ218" s="2" t="n"/>
      <c r="BA218" s="2" t="n"/>
      <c r="BB218" s="2" t="n"/>
      <c r="BE218" s="2" t="n"/>
      <c r="BF218" s="2" t="n"/>
      <c r="BG218" s="2" t="n"/>
    </row>
    <row r="219">
      <c r="G219" s="75" t="n">
        <v>193</v>
      </c>
      <c r="H219" s="75">
        <f>TRUNC((_xlfn.NORM.INV((RAND()),$E$35,$E$36)),2)</f>
        <v/>
      </c>
      <c r="I219" s="75">
        <f>TRUNC((_xlfn.NORM.INV((RAND()),$E$35,$E$36)),2)</f>
        <v/>
      </c>
      <c r="J219" s="75">
        <f>TRUNC((_xlfn.NORM.INV((RAND()),$E$35,$E$36)),2)</f>
        <v/>
      </c>
      <c r="Z219" s="75" t="n">
        <v>193</v>
      </c>
      <c r="AA219" s="20">
        <f>TRUNC(IF(H219&lt;0,0,H219),0)</f>
        <v/>
      </c>
      <c r="AB219" s="20">
        <f>TRUNC(IF(I219&lt;0,0,I219),0)</f>
        <v/>
      </c>
      <c r="AC219" s="20">
        <f>TRUNC(IF(J219&lt;0,0,J219),0)</f>
        <v/>
      </c>
      <c r="AS219" s="75" t="n">
        <v>193</v>
      </c>
      <c r="AT219" s="5" t="n">
        <v>5</v>
      </c>
      <c r="AU219" s="5" t="n">
        <v>2</v>
      </c>
      <c r="AV219" s="5" t="n">
        <v>6</v>
      </c>
      <c r="AZ219" s="2" t="n"/>
      <c r="BA219" s="2" t="n"/>
      <c r="BB219" s="2" t="n"/>
      <c r="BE219" s="2" t="n"/>
      <c r="BF219" s="2" t="n"/>
      <c r="BG219" s="2" t="n"/>
    </row>
    <row r="220">
      <c r="G220" s="75" t="n">
        <v>194</v>
      </c>
      <c r="H220" s="75">
        <f>TRUNC((_xlfn.NORM.INV((RAND()),$E$35,$E$36)),2)</f>
        <v/>
      </c>
      <c r="I220" s="75">
        <f>TRUNC((_xlfn.NORM.INV((RAND()),$E$35,$E$36)),2)</f>
        <v/>
      </c>
      <c r="J220" s="75">
        <f>TRUNC((_xlfn.NORM.INV((RAND()),$E$35,$E$36)),2)</f>
        <v/>
      </c>
      <c r="Z220" s="75" t="n">
        <v>194</v>
      </c>
      <c r="AA220" s="20">
        <f>TRUNC(IF(H220&lt;0,0,H220),0)</f>
        <v/>
      </c>
      <c r="AB220" s="20">
        <f>TRUNC(IF(I220&lt;0,0,I220),0)</f>
        <v/>
      </c>
      <c r="AC220" s="20">
        <f>TRUNC(IF(J220&lt;0,0,J220),0)</f>
        <v/>
      </c>
      <c r="AS220" s="75" t="n">
        <v>194</v>
      </c>
      <c r="AT220" s="5" t="n">
        <v>4</v>
      </c>
      <c r="AU220" s="5" t="n">
        <v>4</v>
      </c>
      <c r="AV220" s="5" t="n">
        <v>1</v>
      </c>
      <c r="AZ220" s="2" t="n"/>
      <c r="BA220" s="2" t="n"/>
      <c r="BB220" s="2" t="n"/>
      <c r="BE220" s="2" t="n"/>
      <c r="BF220" s="2" t="n"/>
      <c r="BG220" s="2" t="n"/>
    </row>
    <row r="221">
      <c r="G221" s="75" t="n">
        <v>195</v>
      </c>
      <c r="H221" s="75">
        <f>TRUNC((_xlfn.NORM.INV((RAND()),$E$35,$E$36)),2)</f>
        <v/>
      </c>
      <c r="I221" s="75">
        <f>TRUNC((_xlfn.NORM.INV((RAND()),$E$35,$E$36)),2)</f>
        <v/>
      </c>
      <c r="J221" s="75">
        <f>TRUNC((_xlfn.NORM.INV((RAND()),$E$35,$E$36)),2)</f>
        <v/>
      </c>
      <c r="Z221" s="75" t="n">
        <v>195</v>
      </c>
      <c r="AA221" s="20">
        <f>TRUNC(IF(H221&lt;0,0,H221),0)</f>
        <v/>
      </c>
      <c r="AB221" s="20">
        <f>TRUNC(IF(I221&lt;0,0,I221),0)</f>
        <v/>
      </c>
      <c r="AC221" s="20">
        <f>TRUNC(IF(J221&lt;0,0,J221),0)</f>
        <v/>
      </c>
      <c r="AS221" s="75" t="n">
        <v>195</v>
      </c>
      <c r="AT221" s="5" t="n">
        <v>6</v>
      </c>
      <c r="AU221" s="5" t="n">
        <v>7</v>
      </c>
      <c r="AV221" s="5" t="n">
        <v>3</v>
      </c>
      <c r="AZ221" s="2" t="n"/>
      <c r="BA221" s="2" t="n"/>
      <c r="BB221" s="2" t="n"/>
      <c r="BE221" s="2" t="n"/>
      <c r="BF221" s="2" t="n"/>
      <c r="BG221" s="2" t="n"/>
    </row>
    <row r="222">
      <c r="G222" s="75" t="n">
        <v>196</v>
      </c>
      <c r="H222" s="75">
        <f>TRUNC((_xlfn.NORM.INV((RAND()),$E$35,$E$36)),2)</f>
        <v/>
      </c>
      <c r="I222" s="75">
        <f>TRUNC((_xlfn.NORM.INV((RAND()),$E$35,$E$36)),2)</f>
        <v/>
      </c>
      <c r="J222" s="75">
        <f>TRUNC((_xlfn.NORM.INV((RAND()),$E$35,$E$36)),2)</f>
        <v/>
      </c>
      <c r="Z222" s="75" t="n">
        <v>196</v>
      </c>
      <c r="AA222" s="20">
        <f>TRUNC(IF(H222&lt;0,0,H222),0)</f>
        <v/>
      </c>
      <c r="AB222" s="20">
        <f>TRUNC(IF(I222&lt;0,0,I222),0)</f>
        <v/>
      </c>
      <c r="AC222" s="20">
        <f>TRUNC(IF(J222&lt;0,0,J222),0)</f>
        <v/>
      </c>
      <c r="AS222" s="75" t="n">
        <v>196</v>
      </c>
      <c r="AT222" s="5" t="n">
        <v>5</v>
      </c>
      <c r="AU222" s="5" t="n">
        <v>6</v>
      </c>
      <c r="AV222" s="5" t="n">
        <v>6</v>
      </c>
      <c r="AZ222" s="2" t="n"/>
      <c r="BA222" s="2" t="n"/>
      <c r="BB222" s="2" t="n"/>
      <c r="BE222" s="2" t="n"/>
      <c r="BF222" s="2" t="n"/>
      <c r="BG222" s="2" t="n"/>
    </row>
    <row r="223">
      <c r="G223" s="75" t="n">
        <v>197</v>
      </c>
      <c r="H223" s="75">
        <f>TRUNC((_xlfn.NORM.INV((RAND()),$E$35,$E$36)),2)</f>
        <v/>
      </c>
      <c r="I223" s="75">
        <f>TRUNC((_xlfn.NORM.INV((RAND()),$E$35,$E$36)),2)</f>
        <v/>
      </c>
      <c r="J223" s="75">
        <f>TRUNC((_xlfn.NORM.INV((RAND()),$E$35,$E$36)),2)</f>
        <v/>
      </c>
      <c r="Z223" s="75" t="n">
        <v>197</v>
      </c>
      <c r="AA223" s="20">
        <f>TRUNC(IF(H223&lt;0,0,H223),0)</f>
        <v/>
      </c>
      <c r="AB223" s="20">
        <f>TRUNC(IF(I223&lt;0,0,I223),0)</f>
        <v/>
      </c>
      <c r="AC223" s="20">
        <f>TRUNC(IF(J223&lt;0,0,J223),0)</f>
        <v/>
      </c>
      <c r="AS223" s="75" t="n">
        <v>197</v>
      </c>
      <c r="AT223" s="5" t="n">
        <v>4</v>
      </c>
      <c r="AU223" s="5" t="n">
        <v>4</v>
      </c>
      <c r="AV223" s="5" t="n">
        <v>4</v>
      </c>
      <c r="AZ223" s="2" t="n"/>
      <c r="BA223" s="2" t="n"/>
      <c r="BB223" s="2" t="n"/>
      <c r="BE223" s="2" t="n"/>
      <c r="BF223" s="2" t="n"/>
      <c r="BG223" s="2" t="n"/>
    </row>
    <row r="224">
      <c r="G224" s="75" t="n">
        <v>198</v>
      </c>
      <c r="H224" s="75">
        <f>TRUNC((_xlfn.NORM.INV((RAND()),$E$35,$E$36)),2)</f>
        <v/>
      </c>
      <c r="I224" s="75">
        <f>TRUNC((_xlfn.NORM.INV((RAND()),$E$35,$E$36)),2)</f>
        <v/>
      </c>
      <c r="J224" s="75">
        <f>TRUNC((_xlfn.NORM.INV((RAND()),$E$35,$E$36)),2)</f>
        <v/>
      </c>
      <c r="Z224" s="75" t="n">
        <v>198</v>
      </c>
      <c r="AA224" s="20">
        <f>TRUNC(IF(H224&lt;0,0,H224),0)</f>
        <v/>
      </c>
      <c r="AB224" s="20">
        <f>TRUNC(IF(I224&lt;0,0,I224),0)</f>
        <v/>
      </c>
      <c r="AC224" s="20">
        <f>TRUNC(IF(J224&lt;0,0,J224),0)</f>
        <v/>
      </c>
      <c r="AS224" s="75" t="n">
        <v>198</v>
      </c>
      <c r="AT224" s="5" t="n">
        <v>7</v>
      </c>
      <c r="AU224" s="5" t="n">
        <v>6</v>
      </c>
      <c r="AV224" s="5" t="n">
        <v>6</v>
      </c>
      <c r="AZ224" s="2" t="n"/>
      <c r="BA224" s="2" t="n"/>
      <c r="BB224" s="2" t="n"/>
      <c r="BE224" s="2" t="n"/>
      <c r="BF224" s="2" t="n"/>
      <c r="BG224" s="2" t="n"/>
    </row>
  </sheetData>
  <mergeCells count="1">
    <mergeCell ref="H2:V2"/>
  </mergeCells>
  <pageMargins left="0.511811024" right="0.511811024" top="0.787401575" bottom="0.787401575" header="0.31496062" footer="0.31496062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BZ224"/>
  <sheetViews>
    <sheetView topLeftCell="AJ1" zoomScale="90" zoomScaleNormal="90" workbookViewId="0">
      <selection activeCell="AM34" sqref="AM34"/>
    </sheetView>
  </sheetViews>
  <sheetFormatPr baseColWidth="8" defaultColWidth="8.88671875" defaultRowHeight="14.4"/>
  <cols>
    <col width="7.44140625" bestFit="1" customWidth="1" style="75" min="1" max="1"/>
    <col width="8" bestFit="1" customWidth="1" style="75" min="2" max="2"/>
    <col width="8.5546875" bestFit="1" customWidth="1" style="75" min="3" max="3"/>
    <col width="11.5546875" customWidth="1" style="75" min="4" max="4"/>
    <col width="9.44140625" customWidth="1" style="75" min="5" max="5"/>
    <col width="11.6640625" customWidth="1" style="75" min="6" max="6"/>
    <col width="8.88671875" customWidth="1" style="75" min="7" max="23"/>
    <col width="9.88671875" bestFit="1" customWidth="1" style="75" min="24" max="24"/>
    <col width="8.88671875" customWidth="1" style="75" min="25" max="43"/>
    <col width="11.77734375" bestFit="1" customWidth="1" style="75" min="44" max="44"/>
    <col width="13.21875" bestFit="1" customWidth="1" style="75" min="45" max="45"/>
    <col width="9.6640625" bestFit="1" customWidth="1" style="75" min="46" max="46"/>
    <col width="8.88671875" customWidth="1" style="75" min="47" max="63"/>
    <col width="10" bestFit="1" customWidth="1" style="75" min="64" max="78"/>
    <col width="8.88671875" customWidth="1" style="75" min="79" max="16384"/>
  </cols>
  <sheetData>
    <row r="2">
      <c r="H2" s="73" t="inlineStr">
        <is>
          <t>CÁLCULOS PARA A GERAÇÃO DOS DADOS DO ESTOQUE INICIAL</t>
        </is>
      </c>
      <c r="W2" s="73" t="n"/>
      <c r="X2" s="73" t="n"/>
      <c r="Y2" s="73" t="n"/>
      <c r="Z2" s="73" t="n"/>
      <c r="AA2" s="73" t="n"/>
      <c r="AB2" s="73" t="n"/>
      <c r="AC2" s="73" t="n"/>
      <c r="AD2" s="73" t="n"/>
      <c r="AE2" s="73" t="n"/>
      <c r="AF2" s="73" t="n"/>
      <c r="AG2" s="73" t="n"/>
      <c r="AH2" s="73" t="n"/>
      <c r="AI2" s="73" t="n"/>
      <c r="AJ2" s="73" t="n"/>
      <c r="AK2" s="73" t="n"/>
      <c r="AL2" s="73" t="n"/>
      <c r="AM2" s="73" t="n"/>
      <c r="AN2" s="73" t="n"/>
      <c r="AO2" s="73" t="n"/>
      <c r="AP2" s="73" t="n"/>
      <c r="AS2" s="7" t="inlineStr">
        <is>
          <t>SUPPLIERS</t>
        </is>
      </c>
    </row>
    <row r="3">
      <c r="AT3" s="75" t="inlineStr">
        <is>
          <t>máximo</t>
        </is>
      </c>
      <c r="AU3" s="75">
        <f>MAX(SuppliersBegStock)</f>
        <v/>
      </c>
      <c r="AW3" s="75" t="inlineStr">
        <is>
          <t>mínimo</t>
        </is>
      </c>
      <c r="AX3" s="75">
        <f>MIN(SuppliersBegStock)</f>
        <v/>
      </c>
    </row>
    <row r="4">
      <c r="A4" s="75" t="inlineStr">
        <is>
          <t>Mínimo</t>
        </is>
      </c>
      <c r="B4" s="75" t="inlineStr">
        <is>
          <t>Máximo</t>
        </is>
      </c>
      <c r="H4" s="75" t="n">
        <v>1</v>
      </c>
      <c r="I4" s="75" t="n">
        <v>2</v>
      </c>
      <c r="J4" s="75" t="n">
        <v>3</v>
      </c>
      <c r="K4" s="75" t="n">
        <v>4</v>
      </c>
      <c r="L4" s="75" t="n">
        <v>5</v>
      </c>
      <c r="M4" s="75" t="n">
        <v>6</v>
      </c>
      <c r="N4" s="75" t="n">
        <v>7</v>
      </c>
      <c r="O4" s="75" t="n">
        <v>8</v>
      </c>
      <c r="P4" s="75" t="n">
        <v>9</v>
      </c>
      <c r="Q4" s="75" t="n">
        <v>10</v>
      </c>
      <c r="R4" s="75" t="n">
        <v>11</v>
      </c>
      <c r="S4" s="75" t="n">
        <v>12</v>
      </c>
      <c r="T4" s="75" t="n">
        <v>13</v>
      </c>
      <c r="U4" s="75" t="n">
        <v>14</v>
      </c>
      <c r="V4" s="75" t="n">
        <v>15</v>
      </c>
      <c r="X4" s="2" t="inlineStr">
        <is>
          <t>Soma</t>
        </is>
      </c>
      <c r="Y4" s="2" t="n"/>
      <c r="Z4" s="2" t="n"/>
      <c r="AA4" s="75" t="n">
        <v>1</v>
      </c>
      <c r="AB4" s="75" t="n">
        <v>2</v>
      </c>
      <c r="AC4" s="75" t="n">
        <v>3</v>
      </c>
      <c r="AD4" s="75" t="n">
        <v>4</v>
      </c>
      <c r="AE4" s="75" t="n">
        <v>5</v>
      </c>
      <c r="AF4" s="75" t="n">
        <v>6</v>
      </c>
      <c r="AG4" s="75" t="n">
        <v>7</v>
      </c>
      <c r="AH4" s="75" t="n">
        <v>8</v>
      </c>
      <c r="AI4" s="75" t="n">
        <v>9</v>
      </c>
      <c r="AJ4" s="75" t="n">
        <v>10</v>
      </c>
      <c r="AK4" s="75" t="n">
        <v>11</v>
      </c>
      <c r="AL4" s="75" t="n">
        <v>12</v>
      </c>
      <c r="AM4" s="75" t="n">
        <v>13</v>
      </c>
      <c r="AN4" s="75" t="n">
        <v>14</v>
      </c>
      <c r="AO4" s="75" t="n">
        <v>15</v>
      </c>
      <c r="AS4" s="75" t="inlineStr">
        <is>
          <t>Ei (p)</t>
        </is>
      </c>
      <c r="AT4" s="75" t="n">
        <v>1</v>
      </c>
      <c r="AU4" s="75" t="n">
        <v>2</v>
      </c>
      <c r="AV4" s="75" t="n">
        <v>3</v>
      </c>
      <c r="AW4" s="75" t="n">
        <v>4</v>
      </c>
      <c r="AX4" s="75" t="n">
        <v>5</v>
      </c>
      <c r="AY4" s="75" t="n">
        <v>6</v>
      </c>
      <c r="AZ4" s="75" t="n">
        <v>7</v>
      </c>
      <c r="BA4" s="75" t="n">
        <v>8</v>
      </c>
      <c r="BB4" s="75" t="n">
        <v>9</v>
      </c>
      <c r="BC4" s="75" t="n">
        <v>10</v>
      </c>
      <c r="BD4" s="75" t="n">
        <v>11</v>
      </c>
      <c r="BE4" s="75" t="n">
        <v>12</v>
      </c>
      <c r="BF4" s="75" t="n">
        <v>13</v>
      </c>
      <c r="BG4" s="75" t="n">
        <v>14</v>
      </c>
      <c r="BH4" s="75" t="n">
        <v>15</v>
      </c>
    </row>
    <row r="5">
      <c r="A5" s="75">
        <f>MIN(H5:V7)</f>
        <v/>
      </c>
      <c r="B5" s="75">
        <f>MAX(H5:V7)</f>
        <v/>
      </c>
      <c r="C5" s="75" t="inlineStr">
        <is>
          <t>prod</t>
        </is>
      </c>
      <c r="D5" s="75" t="inlineStr">
        <is>
          <t>Avarege</t>
        </is>
      </c>
      <c r="E5" s="75">
        <f>12.5*Suppliers_stock_balance!S200*Suppliers!E22</f>
        <v/>
      </c>
      <c r="G5" s="75" t="n">
        <v>1</v>
      </c>
      <c r="H5" s="75">
        <f>TRUNC((_xlfn.NORM.INV((RAND()),$E$5,$E$6)),2)</f>
        <v/>
      </c>
      <c r="I5" s="75">
        <f>TRUNC((_xlfn.NORM.INV((RAND()),$E$5,$E$6)),2)</f>
        <v/>
      </c>
      <c r="J5" s="75">
        <f>TRUNC((_xlfn.NORM.INV((RAND()),$E$5,$E$6)),2)</f>
        <v/>
      </c>
      <c r="K5" s="75">
        <f>TRUNC((_xlfn.NORM.INV((RAND()),$E$5,$E$6)),2)</f>
        <v/>
      </c>
      <c r="L5" s="75">
        <f>TRUNC((_xlfn.NORM.INV((RAND()),$E$5,$E$6)),2)</f>
        <v/>
      </c>
      <c r="M5" s="75">
        <f>TRUNC((_xlfn.NORM.INV((RAND()),$E$5,$E$6)),2)</f>
        <v/>
      </c>
      <c r="N5" s="75">
        <f>TRUNC((_xlfn.NORM.INV((RAND()),$E$5,$E$6)),2)</f>
        <v/>
      </c>
      <c r="O5" s="75">
        <f>TRUNC((_xlfn.NORM.INV((RAND()),$E$5,$E$6)),2)</f>
        <v/>
      </c>
      <c r="P5" s="75">
        <f>TRUNC((_xlfn.NORM.INV((RAND()),$E$5,$E$6)),2)</f>
        <v/>
      </c>
      <c r="Q5" s="75">
        <f>TRUNC((_xlfn.NORM.INV((RAND()),$E$5,$E$6)),2)</f>
        <v/>
      </c>
      <c r="R5" s="75">
        <f>TRUNC((_xlfn.NORM.INV((RAND()),$E$5,$E$6)),2)</f>
        <v/>
      </c>
      <c r="S5" s="75">
        <f>TRUNC((_xlfn.NORM.INV((RAND()),$E$5,$E$6)),2)</f>
        <v/>
      </c>
      <c r="T5" s="75">
        <f>TRUNC((_xlfn.NORM.INV((RAND()),$E$5,$E$6)),2)</f>
        <v/>
      </c>
      <c r="U5" s="75">
        <f>TRUNC((_xlfn.NORM.INV((RAND()),$E$5,$E$6)),2)</f>
        <v/>
      </c>
      <c r="V5" s="75">
        <f>TRUNC((_xlfn.NORM.INV((RAND()),$E$5,$E$6)),2)</f>
        <v/>
      </c>
      <c r="X5" s="3">
        <f>SUM(H5:V7)</f>
        <v/>
      </c>
      <c r="Y5" s="2" t="n"/>
      <c r="Z5" s="17" t="n">
        <v>1</v>
      </c>
      <c r="AA5" s="20">
        <f>TRUNC(IF(H5&lt;0,0,H5),0)</f>
        <v/>
      </c>
      <c r="AB5" s="20">
        <f>TRUNC(IF(I5&lt;0,0,I5),0)</f>
        <v/>
      </c>
      <c r="AC5" s="20">
        <f>TRUNC(IF(J5&lt;0,0,J5),0)</f>
        <v/>
      </c>
      <c r="AD5" s="20">
        <f>TRUNC(IF(K5&lt;0,0,K5),0)</f>
        <v/>
      </c>
      <c r="AE5" s="20">
        <f>TRUNC(IF(L5&lt;0,0,L5),0)</f>
        <v/>
      </c>
      <c r="AF5" s="20">
        <f>TRUNC(IF(M5&lt;0,0,M5),0)</f>
        <v/>
      </c>
      <c r="AG5" s="20">
        <f>TRUNC(IF(N5&lt;0,0,N5),0)</f>
        <v/>
      </c>
      <c r="AH5" s="20">
        <f>TRUNC(IF(O5&lt;0,0,O5),0)</f>
        <v/>
      </c>
      <c r="AI5" s="20">
        <f>TRUNC(IF(P5&lt;0,0,P5),0)</f>
        <v/>
      </c>
      <c r="AJ5" s="20">
        <f>TRUNC(IF(Q5&lt;0,0,Q5),0)</f>
        <v/>
      </c>
      <c r="AK5" s="20">
        <f>TRUNC(IF(R5&lt;0,0,R5),0)</f>
        <v/>
      </c>
      <c r="AL5" s="20">
        <f>TRUNC(IF(S5&lt;0,0,S5),0)</f>
        <v/>
      </c>
      <c r="AM5" s="20">
        <f>TRUNC(IF(T5&lt;0,0,T5),0)</f>
        <v/>
      </c>
      <c r="AN5" s="20">
        <f>TRUNC(IF(U5&lt;0,0,U5),0)</f>
        <v/>
      </c>
      <c r="AO5" s="20">
        <f>TRUNC(IF(V5&lt;0,0,V5),0)</f>
        <v/>
      </c>
      <c r="AR5" s="75" t="inlineStr">
        <is>
          <t>SupBegStock</t>
        </is>
      </c>
      <c r="AS5" s="75" t="n">
        <v>1</v>
      </c>
      <c r="AT5" s="14" t="n">
        <v>1202</v>
      </c>
      <c r="AU5" s="14" t="n">
        <v>868</v>
      </c>
      <c r="AV5" s="14" t="n">
        <v>1362</v>
      </c>
      <c r="AW5" s="14" t="n">
        <v>945</v>
      </c>
      <c r="AX5" s="14" t="n">
        <v>703</v>
      </c>
      <c r="AY5" s="14" t="n">
        <v>788</v>
      </c>
      <c r="AZ5" s="14" t="n">
        <v>881</v>
      </c>
      <c r="BA5" s="14" t="n">
        <v>2243</v>
      </c>
      <c r="BB5" s="14" t="n">
        <v>1711</v>
      </c>
      <c r="BC5" s="14" t="n">
        <v>1164</v>
      </c>
      <c r="BD5" s="14" t="n">
        <v>1164</v>
      </c>
      <c r="BE5" s="14" t="n">
        <v>922</v>
      </c>
      <c r="BF5" s="14" t="n">
        <v>1336</v>
      </c>
      <c r="BG5" s="14" t="n">
        <v>697</v>
      </c>
      <c r="BH5" s="14" t="n">
        <v>1565</v>
      </c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</row>
    <row r="6">
      <c r="D6" s="75" t="inlineStr">
        <is>
          <t>Std Devition</t>
        </is>
      </c>
      <c r="E6" s="75">
        <f>E5*0.33</f>
        <v/>
      </c>
      <c r="G6" s="75" t="n">
        <v>2</v>
      </c>
      <c r="H6" s="75">
        <f>TRUNC((_xlfn.NORM.INV((RAND()),$E$5,$E$6)),2)</f>
        <v/>
      </c>
      <c r="I6" s="75">
        <f>TRUNC((_xlfn.NORM.INV((RAND()),$E$5,$E$6)),2)</f>
        <v/>
      </c>
      <c r="J6" s="75">
        <f>TRUNC((_xlfn.NORM.INV((RAND()),$E$5,$E$6)),2)</f>
        <v/>
      </c>
      <c r="K6" s="75">
        <f>TRUNC((_xlfn.NORM.INV((RAND()),$E$5,$E$6)),2)</f>
        <v/>
      </c>
      <c r="L6" s="75">
        <f>TRUNC((_xlfn.NORM.INV((RAND()),$E$5,$E$6)),2)</f>
        <v/>
      </c>
      <c r="M6" s="75">
        <f>TRUNC((_xlfn.NORM.INV((RAND()),$E$5,$E$6)),2)</f>
        <v/>
      </c>
      <c r="N6" s="75">
        <f>TRUNC((_xlfn.NORM.INV((RAND()),$E$5,$E$6)),2)</f>
        <v/>
      </c>
      <c r="O6" s="75">
        <f>TRUNC((_xlfn.NORM.INV((RAND()),$E$5,$E$6)),2)</f>
        <v/>
      </c>
      <c r="P6" s="75">
        <f>TRUNC((_xlfn.NORM.INV((RAND()),$E$5,$E$6)),2)</f>
        <v/>
      </c>
      <c r="Q6" s="75">
        <f>TRUNC((_xlfn.NORM.INV((RAND()),$E$5,$E$6)),2)</f>
        <v/>
      </c>
      <c r="R6" s="75">
        <f>TRUNC((_xlfn.NORM.INV((RAND()),$E$5,$E$6)),2)</f>
        <v/>
      </c>
      <c r="S6" s="75">
        <f>TRUNC((_xlfn.NORM.INV((RAND()),$E$5,$E$6)),2)</f>
        <v/>
      </c>
      <c r="T6" s="75">
        <f>TRUNC((_xlfn.NORM.INV((RAND()),$E$5,$E$6)),2)</f>
        <v/>
      </c>
      <c r="U6" s="75">
        <f>TRUNC((_xlfn.NORM.INV((RAND()),$E$5,$E$6)),2)</f>
        <v/>
      </c>
      <c r="V6" s="75">
        <f>TRUNC((_xlfn.NORM.INV((RAND()),$E$5,$E$6)),2)</f>
        <v/>
      </c>
      <c r="Y6" s="2" t="n"/>
      <c r="Z6" s="17" t="n">
        <v>2</v>
      </c>
      <c r="AA6" s="20">
        <f>TRUNC(IF(H6&lt;0,0,H6),0)</f>
        <v/>
      </c>
      <c r="AB6" s="20">
        <f>TRUNC(IF(I6&lt;0,0,I6),0)</f>
        <v/>
      </c>
      <c r="AC6" s="20">
        <f>TRUNC(IF(J6&lt;0,0,J6),0)</f>
        <v/>
      </c>
      <c r="AD6" s="20">
        <f>TRUNC(IF(K6&lt;0,0,K6),0)</f>
        <v/>
      </c>
      <c r="AE6" s="20">
        <f>TRUNC(IF(L6&lt;0,0,L6),0)</f>
        <v/>
      </c>
      <c r="AF6" s="20">
        <f>TRUNC(IF(M6&lt;0,0,M6),0)</f>
        <v/>
      </c>
      <c r="AG6" s="20">
        <f>TRUNC(IF(N6&lt;0,0,N6),0)</f>
        <v/>
      </c>
      <c r="AH6" s="20">
        <f>TRUNC(IF(O6&lt;0,0,O6),0)</f>
        <v/>
      </c>
      <c r="AI6" s="20">
        <f>TRUNC(IF(P6&lt;0,0,P6),0)</f>
        <v/>
      </c>
      <c r="AJ6" s="20">
        <f>TRUNC(IF(Q6&lt;0,0,Q6),0)</f>
        <v/>
      </c>
      <c r="AK6" s="20">
        <f>TRUNC(IF(R6&lt;0,0,R6),0)</f>
        <v/>
      </c>
      <c r="AL6" s="20">
        <f>TRUNC(IF(S6&lt;0,0,S6),0)</f>
        <v/>
      </c>
      <c r="AM6" s="20">
        <f>TRUNC(IF(T6&lt;0,0,T6),0)</f>
        <v/>
      </c>
      <c r="AN6" s="20">
        <f>TRUNC(IF(U6&lt;0,0,U6),0)</f>
        <v/>
      </c>
      <c r="AO6" s="20">
        <f>TRUNC(IF(V6&lt;0,0,V6),0)</f>
        <v/>
      </c>
      <c r="AS6" s="75" t="n">
        <v>2</v>
      </c>
      <c r="AT6" s="14" t="n">
        <v>1298</v>
      </c>
      <c r="AU6" s="14" t="n">
        <v>1064</v>
      </c>
      <c r="AV6" s="14" t="n">
        <v>932</v>
      </c>
      <c r="AW6" s="14" t="n">
        <v>894</v>
      </c>
      <c r="AX6" s="14" t="n">
        <v>1709</v>
      </c>
      <c r="AY6" s="14" t="n">
        <v>1509</v>
      </c>
      <c r="AZ6" s="14" t="n">
        <v>1176</v>
      </c>
      <c r="BA6" s="14" t="n">
        <v>1176</v>
      </c>
      <c r="BB6" s="14" t="n">
        <v>1182</v>
      </c>
      <c r="BC6" s="14" t="n">
        <v>1164</v>
      </c>
      <c r="BD6" s="14" t="n">
        <v>434</v>
      </c>
      <c r="BE6" s="14" t="n">
        <v>1040</v>
      </c>
      <c r="BF6" s="14" t="n">
        <v>1243</v>
      </c>
      <c r="BG6" s="14" t="n">
        <v>1319</v>
      </c>
      <c r="BH6" s="14" t="n">
        <v>1715</v>
      </c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</row>
    <row r="7">
      <c r="G7" s="75" t="n">
        <v>3</v>
      </c>
      <c r="H7" s="75">
        <f>TRUNC((_xlfn.NORM.INV((RAND()),$E$5,$E$6)),2)</f>
        <v/>
      </c>
      <c r="I7" s="75">
        <f>TRUNC((_xlfn.NORM.INV((RAND()),$E$5,$E$6)),2)</f>
        <v/>
      </c>
      <c r="J7" s="75">
        <f>TRUNC((_xlfn.NORM.INV((RAND()),$E$5,$E$6)),2)</f>
        <v/>
      </c>
      <c r="K7" s="75">
        <f>TRUNC((_xlfn.NORM.INV((RAND()),$E$5,$E$6)),2)</f>
        <v/>
      </c>
      <c r="L7" s="75">
        <f>TRUNC((_xlfn.NORM.INV((RAND()),$E$5,$E$6)),2)</f>
        <v/>
      </c>
      <c r="M7" s="75">
        <f>TRUNC((_xlfn.NORM.INV((RAND()),$E$5,$E$6)),2)</f>
        <v/>
      </c>
      <c r="N7" s="75">
        <f>TRUNC((_xlfn.NORM.INV((RAND()),$E$5,$E$6)),2)</f>
        <v/>
      </c>
      <c r="O7" s="75">
        <f>TRUNC((_xlfn.NORM.INV((RAND()),$E$5,$E$6)),2)</f>
        <v/>
      </c>
      <c r="P7" s="75">
        <f>TRUNC((_xlfn.NORM.INV((RAND()),$E$5,$E$6)),2)</f>
        <v/>
      </c>
      <c r="Q7" s="75">
        <f>TRUNC((_xlfn.NORM.INV((RAND()),$E$5,$E$6)),2)</f>
        <v/>
      </c>
      <c r="R7" s="75">
        <f>TRUNC((_xlfn.NORM.INV((RAND()),$E$5,$E$6)),2)</f>
        <v/>
      </c>
      <c r="S7" s="75">
        <f>TRUNC((_xlfn.NORM.INV((RAND()),$E$5,$E$6)),2)</f>
        <v/>
      </c>
      <c r="T7" s="75">
        <f>TRUNC((_xlfn.NORM.INV((RAND()),$E$5,$E$6)),2)</f>
        <v/>
      </c>
      <c r="U7" s="75">
        <f>TRUNC((_xlfn.NORM.INV((RAND()),$E$5,$E$6)),2)</f>
        <v/>
      </c>
      <c r="V7" s="75">
        <f>TRUNC((_xlfn.NORM.INV((RAND()),$E$5,$E$6)),2)</f>
        <v/>
      </c>
      <c r="Y7" s="2" t="n"/>
      <c r="Z7" s="17" t="n">
        <v>3</v>
      </c>
      <c r="AA7" s="20">
        <f>TRUNC(IF(H7&lt;0,0,H7),0)</f>
        <v/>
      </c>
      <c r="AB7" s="20">
        <f>TRUNC(IF(I7&lt;0,0,I7),0)</f>
        <v/>
      </c>
      <c r="AC7" s="20">
        <f>TRUNC(IF(J7&lt;0,0,J7),0)</f>
        <v/>
      </c>
      <c r="AD7" s="20">
        <f>TRUNC(IF(K7&lt;0,0,K7),0)</f>
        <v/>
      </c>
      <c r="AE7" s="20">
        <f>TRUNC(IF(L7&lt;0,0,L7),0)</f>
        <v/>
      </c>
      <c r="AF7" s="20">
        <f>TRUNC(IF(M7&lt;0,0,M7),0)</f>
        <v/>
      </c>
      <c r="AG7" s="20">
        <f>TRUNC(IF(N7&lt;0,0,N7),0)</f>
        <v/>
      </c>
      <c r="AH7" s="20">
        <f>TRUNC(IF(O7&lt;0,0,O7),0)</f>
        <v/>
      </c>
      <c r="AI7" s="20">
        <f>TRUNC(IF(P7&lt;0,0,P7),0)</f>
        <v/>
      </c>
      <c r="AJ7" s="20">
        <f>TRUNC(IF(Q7&lt;0,0,Q7),0)</f>
        <v/>
      </c>
      <c r="AK7" s="20">
        <f>TRUNC(IF(R7&lt;0,0,R7),0)</f>
        <v/>
      </c>
      <c r="AL7" s="20">
        <f>TRUNC(IF(S7&lt;0,0,S7),0)</f>
        <v/>
      </c>
      <c r="AM7" s="20">
        <f>TRUNC(IF(T7&lt;0,0,T7),0)</f>
        <v/>
      </c>
      <c r="AN7" s="20">
        <f>TRUNC(IF(U7&lt;0,0,U7),0)</f>
        <v/>
      </c>
      <c r="AO7" s="20">
        <f>TRUNC(IF(V7&lt;0,0,V7),0)</f>
        <v/>
      </c>
      <c r="AS7" s="75" t="n">
        <v>3</v>
      </c>
      <c r="AT7" s="14" t="n">
        <v>1476</v>
      </c>
      <c r="AU7" s="14" t="n">
        <v>795</v>
      </c>
      <c r="AV7" s="14" t="n">
        <v>836</v>
      </c>
      <c r="AW7" s="14" t="n">
        <v>1505</v>
      </c>
      <c r="AX7" s="14" t="n">
        <v>1423</v>
      </c>
      <c r="AY7" s="14" t="n">
        <v>1525</v>
      </c>
      <c r="AZ7" s="14" t="n">
        <v>1114</v>
      </c>
      <c r="BA7" s="14" t="n">
        <v>401</v>
      </c>
      <c r="BB7" s="14" t="n">
        <v>2463</v>
      </c>
      <c r="BC7" s="14" t="n">
        <v>700</v>
      </c>
      <c r="BD7" s="14" t="n">
        <v>620</v>
      </c>
      <c r="BE7" s="14" t="n">
        <v>1302</v>
      </c>
      <c r="BF7" s="14" t="n">
        <v>1635</v>
      </c>
      <c r="BG7" s="14" t="n">
        <v>1288</v>
      </c>
      <c r="BH7" s="14" t="n">
        <v>1398</v>
      </c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</row>
    <row r="12">
      <c r="AS12" s="7" t="inlineStr">
        <is>
          <t>FACTORIES</t>
        </is>
      </c>
    </row>
    <row r="13">
      <c r="AT13" s="75" t="inlineStr">
        <is>
          <t>máximo</t>
        </is>
      </c>
      <c r="AU13" s="75">
        <f>MAX(FactoriesBegStock)</f>
        <v/>
      </c>
      <c r="AW13" s="75" t="inlineStr">
        <is>
          <t>mínimo</t>
        </is>
      </c>
      <c r="AX13" s="75">
        <f>MIN(FactoriesBegStock)</f>
        <v/>
      </c>
    </row>
    <row r="14">
      <c r="H14" s="75" t="n">
        <v>16</v>
      </c>
      <c r="I14" s="75" t="n">
        <v>17</v>
      </c>
      <c r="J14" s="75" t="n">
        <v>18</v>
      </c>
      <c r="L14" s="2" t="inlineStr">
        <is>
          <t>Soma</t>
        </is>
      </c>
      <c r="U14" s="7" t="n"/>
      <c r="Z14" s="2" t="n"/>
      <c r="AA14" s="75" t="n">
        <v>16</v>
      </c>
      <c r="AB14" s="75" t="n">
        <v>17</v>
      </c>
      <c r="AC14" s="75" t="n">
        <v>18</v>
      </c>
      <c r="AS14" s="75" t="inlineStr">
        <is>
          <t>Ei (p)</t>
        </is>
      </c>
      <c r="AT14" s="75" t="n">
        <v>16</v>
      </c>
      <c r="AU14" s="75" t="n">
        <v>17</v>
      </c>
      <c r="AV14" s="75" t="n">
        <v>18</v>
      </c>
    </row>
    <row r="15">
      <c r="A15" s="75">
        <f>MIN(H15:J19)</f>
        <v/>
      </c>
      <c r="B15" s="75">
        <f>MAX(H15:J19)</f>
        <v/>
      </c>
      <c r="C15" s="75" t="inlineStr">
        <is>
          <t>prod/dia</t>
        </is>
      </c>
      <c r="D15" s="75" t="inlineStr">
        <is>
          <t>Avarege</t>
        </is>
      </c>
      <c r="E15" s="2">
        <f>Demand!E12</f>
        <v/>
      </c>
      <c r="G15" s="75" t="n">
        <v>4</v>
      </c>
      <c r="H15" s="75">
        <f>TRUNC((_xlfn.NORM.INV((RAND()),$E$15,$E$16)),2)</f>
        <v/>
      </c>
      <c r="I15" s="75">
        <f>TRUNC((_xlfn.NORM.INV((RAND()),$E$15,$E$16)),2)</f>
        <v/>
      </c>
      <c r="J15" s="75">
        <f>TRUNC((_xlfn.NORM.INV((RAND()),$E$15,$E$16)),2)</f>
        <v/>
      </c>
      <c r="L15" s="3">
        <f>SUM(H15:J17)</f>
        <v/>
      </c>
      <c r="S15" s="2" t="n"/>
      <c r="T15" s="2" t="n"/>
      <c r="U15" s="2" t="n"/>
      <c r="Z15" s="75" t="n">
        <v>4</v>
      </c>
      <c r="AA15" s="20">
        <f>TRUNC(IF(H15&lt;0,0,H15),0)</f>
        <v/>
      </c>
      <c r="AB15" s="20">
        <f>TRUNC(IF(I15&lt;0,0,I15),0)</f>
        <v/>
      </c>
      <c r="AC15" s="20">
        <f>TRUNC(IF(J15&lt;0,0,J15),0)</f>
        <v/>
      </c>
      <c r="AR15" s="75" t="inlineStr">
        <is>
          <t>FacBegStock</t>
        </is>
      </c>
      <c r="AS15" s="75" t="n">
        <v>4</v>
      </c>
      <c r="AT15" s="5" t="n">
        <v>332</v>
      </c>
      <c r="AU15" s="5" t="n">
        <v>413</v>
      </c>
      <c r="AV15" s="5" t="n">
        <v>301</v>
      </c>
      <c r="BB15" s="2" t="n"/>
      <c r="BE15" s="2" t="n"/>
      <c r="BF15" s="2" t="n"/>
      <c r="BG15" s="2" t="n"/>
    </row>
    <row r="16">
      <c r="D16" s="75" t="inlineStr">
        <is>
          <t>Std Devition</t>
        </is>
      </c>
      <c r="E16" s="2">
        <f>E15*0.2</f>
        <v/>
      </c>
      <c r="G16" s="75" t="n">
        <v>5</v>
      </c>
      <c r="H16" s="75">
        <f>TRUNC((_xlfn.NORM.INV((RAND()),$E$15,$E$16)),2)</f>
        <v/>
      </c>
      <c r="I16" s="75">
        <f>TRUNC((_xlfn.NORM.INV((RAND()),$E$15,$E$16)),2)</f>
        <v/>
      </c>
      <c r="J16" s="75">
        <f>TRUNC((_xlfn.NORM.INV((RAND()),$E$15,$E$16)),2)</f>
        <v/>
      </c>
      <c r="S16" s="2" t="n"/>
      <c r="T16" s="2" t="n"/>
      <c r="U16" s="2" t="n"/>
      <c r="Z16" s="75" t="n">
        <v>5</v>
      </c>
      <c r="AA16" s="20">
        <f>TRUNC(IF(H16&lt;0,0,H16),0)</f>
        <v/>
      </c>
      <c r="AB16" s="20">
        <f>TRUNC(IF(I16&lt;0,0,I16),0)</f>
        <v/>
      </c>
      <c r="AC16" s="20">
        <f>TRUNC(IF(J16&lt;0,0,J16),0)</f>
        <v/>
      </c>
      <c r="AS16" s="75" t="n">
        <v>5</v>
      </c>
      <c r="AT16" s="5" t="n">
        <v>387</v>
      </c>
      <c r="AU16" s="5" t="n">
        <v>243</v>
      </c>
      <c r="AV16" s="5" t="n">
        <v>344</v>
      </c>
      <c r="BB16" s="2" t="n"/>
      <c r="BE16" s="2" t="n"/>
      <c r="BF16" s="2" t="n"/>
      <c r="BG16" s="2" t="n"/>
    </row>
    <row r="17">
      <c r="G17" s="75" t="n">
        <v>6</v>
      </c>
      <c r="H17" s="75">
        <f>TRUNC((_xlfn.NORM.INV((RAND()),$E$15,$E$16)),2)</f>
        <v/>
      </c>
      <c r="I17" s="75">
        <f>TRUNC((_xlfn.NORM.INV((RAND()),$E$15,$E$16)),2)</f>
        <v/>
      </c>
      <c r="J17" s="75">
        <f>TRUNC((_xlfn.NORM.INV((RAND()),$E$15,$E$16)),2)</f>
        <v/>
      </c>
      <c r="S17" s="2" t="n"/>
      <c r="T17" s="2" t="n"/>
      <c r="U17" s="2" t="n"/>
      <c r="Z17" s="75" t="n">
        <v>6</v>
      </c>
      <c r="AA17" s="20">
        <f>TRUNC(IF(H17&lt;0,0,H17),0)</f>
        <v/>
      </c>
      <c r="AB17" s="20">
        <f>TRUNC(IF(I17&lt;0,0,I17),0)</f>
        <v/>
      </c>
      <c r="AC17" s="20">
        <f>TRUNC(IF(J17&lt;0,0,J17),0)</f>
        <v/>
      </c>
      <c r="AS17" s="75" t="n">
        <v>6</v>
      </c>
      <c r="AT17" s="5" t="n">
        <v>320</v>
      </c>
      <c r="AU17" s="5" t="n">
        <v>300</v>
      </c>
      <c r="AV17" s="5" t="n">
        <v>308</v>
      </c>
      <c r="BB17" s="2" t="n"/>
      <c r="BE17" s="2" t="n"/>
      <c r="BF17" s="2" t="n"/>
      <c r="BG17" s="2" t="n"/>
    </row>
    <row r="18">
      <c r="S18" s="2" t="n"/>
      <c r="T18" s="2" t="n"/>
      <c r="U18" s="2" t="n"/>
      <c r="BB18" s="2" t="n"/>
      <c r="BE18" s="2" t="n"/>
      <c r="BF18" s="2" t="n"/>
      <c r="BG18" s="2" t="n"/>
    </row>
    <row r="19">
      <c r="S19" s="2" t="n"/>
      <c r="T19" s="2" t="n"/>
      <c r="U19" s="2" t="n"/>
      <c r="BB19" s="2" t="n"/>
      <c r="BE19" s="2" t="n"/>
      <c r="BF19" s="2" t="n"/>
      <c r="BG19" s="2" t="n"/>
    </row>
    <row r="20">
      <c r="S20" s="2" t="n"/>
      <c r="T20" s="2" t="n"/>
      <c r="U20" s="2" t="n"/>
      <c r="AR20" s="7" t="n"/>
      <c r="AZ20" s="2" t="n"/>
      <c r="BA20" s="2" t="n"/>
      <c r="BB20" s="2" t="n"/>
      <c r="BE20" s="2" t="n"/>
      <c r="BF20" s="2" t="n"/>
      <c r="BG20" s="2" t="n"/>
    </row>
    <row r="21">
      <c r="S21" s="2" t="n"/>
      <c r="T21" s="2" t="n"/>
      <c r="U21" s="2" t="n"/>
      <c r="AR21" s="7" t="n"/>
      <c r="AZ21" s="2" t="n"/>
      <c r="BA21" s="2" t="n"/>
      <c r="BB21" s="2" t="n"/>
      <c r="BE21" s="2" t="n"/>
      <c r="BF21" s="2" t="n"/>
      <c r="BG21" s="2" t="n"/>
    </row>
    <row r="22">
      <c r="S22" s="2" t="n"/>
      <c r="T22" s="2" t="n"/>
      <c r="U22" s="2" t="n"/>
      <c r="AR22" s="7" t="n"/>
      <c r="AS22" s="7" t="inlineStr">
        <is>
          <t>DISTRIBUTORS</t>
        </is>
      </c>
      <c r="AZ22" s="2" t="n"/>
      <c r="BA22" s="2" t="n"/>
      <c r="BB22" s="2" t="n"/>
      <c r="BE22" s="2" t="n"/>
      <c r="BF22" s="2" t="n"/>
      <c r="BG22" s="2" t="n"/>
    </row>
    <row r="23">
      <c r="S23" s="2" t="n"/>
      <c r="T23" s="2" t="n"/>
      <c r="U23" s="2" t="n"/>
      <c r="AR23" s="7" t="n"/>
      <c r="AT23" s="75" t="inlineStr">
        <is>
          <t>máximo</t>
        </is>
      </c>
      <c r="AU23" s="75">
        <f>MAX(DistributorsBegStock)</f>
        <v/>
      </c>
      <c r="AW23" s="75" t="inlineStr">
        <is>
          <t>mínimo</t>
        </is>
      </c>
      <c r="AX23" s="75">
        <f>MIN(DistributorsBegStock)</f>
        <v/>
      </c>
      <c r="AZ23" s="2" t="n"/>
      <c r="BA23" s="2" t="n"/>
      <c r="BB23" s="2" t="n"/>
      <c r="BE23" s="2" t="n"/>
      <c r="BF23" s="2" t="n"/>
      <c r="BG23" s="2" t="n"/>
    </row>
    <row r="24">
      <c r="H24" s="75" t="n">
        <v>19</v>
      </c>
      <c r="I24" s="75" t="n">
        <v>20</v>
      </c>
      <c r="J24" s="75" t="n">
        <v>21</v>
      </c>
      <c r="Z24" s="2" t="n"/>
      <c r="AA24" s="75" t="n">
        <v>19</v>
      </c>
      <c r="AB24" s="75" t="n">
        <v>20</v>
      </c>
      <c r="AC24" s="75" t="n">
        <v>21</v>
      </c>
      <c r="AS24" s="75" t="inlineStr">
        <is>
          <t>Ei (p)</t>
        </is>
      </c>
      <c r="AT24" s="75" t="n">
        <v>19</v>
      </c>
      <c r="AU24" s="75" t="n">
        <v>20</v>
      </c>
      <c r="AV24" s="75" t="n">
        <v>21</v>
      </c>
    </row>
    <row r="25">
      <c r="A25" s="75">
        <f>MIN(H25:J26)</f>
        <v/>
      </c>
      <c r="B25" s="75">
        <f>MAX(H25:J26)</f>
        <v/>
      </c>
      <c r="C25" s="75" t="inlineStr">
        <is>
          <t>prod/dia</t>
        </is>
      </c>
      <c r="D25" s="75" t="inlineStr">
        <is>
          <t>Avarege</t>
        </is>
      </c>
      <c r="E25" s="2">
        <f>Demand!E20</f>
        <v/>
      </c>
      <c r="G25" s="75" t="n">
        <v>7</v>
      </c>
      <c r="H25" s="75">
        <f>TRUNC((_xlfn.NORM.INV((RAND()),$E$25,$E$26)),2)</f>
        <v/>
      </c>
      <c r="I25" s="75">
        <f>TRUNC((_xlfn.NORM.INV((RAND()),$E$25,$E$26)),2)</f>
        <v/>
      </c>
      <c r="J25" s="75">
        <f>TRUNC((_xlfn.NORM.INV((RAND()),$E$25,$E$26)),2)</f>
        <v/>
      </c>
      <c r="L25" s="75">
        <f>SUM(H25:J26)</f>
        <v/>
      </c>
      <c r="Z25" s="75" t="n">
        <v>7</v>
      </c>
      <c r="AA25" s="20">
        <f>TRUNC(IF(H25&lt;0,0,H25),0)</f>
        <v/>
      </c>
      <c r="AB25" s="20">
        <f>TRUNC(IF(I25&lt;0,0,I25),0)</f>
        <v/>
      </c>
      <c r="AC25" s="20">
        <f>TRUNC(IF(J25&lt;0,0,J25),0)</f>
        <v/>
      </c>
      <c r="AR25" s="75" t="inlineStr">
        <is>
          <t>DistBegStock</t>
        </is>
      </c>
      <c r="AS25" s="75" t="n">
        <v>7</v>
      </c>
      <c r="AT25" s="5" t="n">
        <v>316</v>
      </c>
      <c r="AU25" s="5" t="n">
        <v>472</v>
      </c>
      <c r="AV25" s="5" t="n">
        <v>641</v>
      </c>
      <c r="AZ25" s="2" t="n"/>
      <c r="BA25" s="2" t="n"/>
      <c r="BB25" s="2" t="n"/>
      <c r="BE25" s="2" t="n"/>
      <c r="BF25" s="2" t="n"/>
      <c r="BG25" s="2" t="n"/>
    </row>
    <row r="26">
      <c r="D26" s="75" t="inlineStr">
        <is>
          <t>Std Devition</t>
        </is>
      </c>
      <c r="E26" s="2">
        <f>E25*0.2</f>
        <v/>
      </c>
      <c r="G26" s="75" t="n">
        <v>8</v>
      </c>
      <c r="H26" s="75">
        <f>TRUNC((_xlfn.NORM.INV((RAND()),$E$25,$E$26)),2)</f>
        <v/>
      </c>
      <c r="I26" s="75">
        <f>TRUNC((_xlfn.NORM.INV((RAND()),$E$25,$E$26)),2)</f>
        <v/>
      </c>
      <c r="J26" s="75">
        <f>TRUNC((_xlfn.NORM.INV((RAND()),$E$25,$E$26)),2)</f>
        <v/>
      </c>
      <c r="Z26" s="75" t="n">
        <v>8</v>
      </c>
      <c r="AA26" s="20">
        <f>TRUNC(IF(H26&lt;0,0,H26),0)</f>
        <v/>
      </c>
      <c r="AB26" s="20">
        <f>TRUNC(IF(I26&lt;0,0,I26),0)</f>
        <v/>
      </c>
      <c r="AC26" s="20">
        <f>TRUNC(IF(J26&lt;0,0,J26),0)</f>
        <v/>
      </c>
      <c r="AS26" s="75" t="n">
        <v>8</v>
      </c>
      <c r="AT26" s="5" t="n">
        <v>448</v>
      </c>
      <c r="AU26" s="5" t="n">
        <v>762</v>
      </c>
      <c r="AV26" s="5" t="n">
        <v>307</v>
      </c>
      <c r="AZ26" s="2" t="n"/>
      <c r="BA26" s="2" t="n"/>
      <c r="BB26" s="2" t="n"/>
      <c r="BE26" s="2" t="n"/>
      <c r="BF26" s="2" t="n"/>
      <c r="BG26" s="2" t="n"/>
    </row>
    <row r="27">
      <c r="Z27" s="17" t="n"/>
      <c r="AA27" s="20" t="n"/>
    </row>
    <row r="32">
      <c r="AS32" s="7" t="inlineStr">
        <is>
          <t>RETAILERS</t>
        </is>
      </c>
    </row>
    <row r="33">
      <c r="AT33" s="75" t="inlineStr">
        <is>
          <t>máximo</t>
        </is>
      </c>
      <c r="AU33" s="75">
        <f>MAX(RetailersBegStock)</f>
        <v/>
      </c>
      <c r="AW33" s="75" t="inlineStr">
        <is>
          <t>mínimo</t>
        </is>
      </c>
      <c r="AX33" s="75">
        <f>MIN(RetailersBegStock)</f>
        <v/>
      </c>
    </row>
    <row r="34">
      <c r="H34" s="75" t="n">
        <v>22</v>
      </c>
      <c r="I34" s="75" t="n">
        <v>23</v>
      </c>
      <c r="J34" s="75" t="n">
        <v>24</v>
      </c>
      <c r="U34" s="7" t="n"/>
      <c r="Z34" s="2" t="n"/>
      <c r="AA34" s="75" t="n">
        <v>22</v>
      </c>
      <c r="AB34" s="75" t="n">
        <v>23</v>
      </c>
      <c r="AC34" s="75" t="n">
        <v>24</v>
      </c>
      <c r="AS34" s="75" t="inlineStr">
        <is>
          <t>Ei (p)</t>
        </is>
      </c>
      <c r="AT34" s="75" t="n">
        <v>22</v>
      </c>
      <c r="AU34" s="75" t="n">
        <v>23</v>
      </c>
      <c r="AV34" s="75" t="n">
        <v>24</v>
      </c>
    </row>
    <row r="35">
      <c r="A35" s="75">
        <f>MIN(H35:J224)</f>
        <v/>
      </c>
      <c r="B35" s="75">
        <f>MAX(H35:J224)</f>
        <v/>
      </c>
      <c r="C35" s="75" t="inlineStr">
        <is>
          <t>prod/dia</t>
        </is>
      </c>
      <c r="D35" s="75" t="inlineStr">
        <is>
          <t>Avarege</t>
        </is>
      </c>
      <c r="E35" s="2">
        <f>Demand!E25</f>
        <v/>
      </c>
      <c r="F35" s="75" t="inlineStr">
        <is>
          <t>SigmarDem</t>
        </is>
      </c>
      <c r="G35" s="75" t="n">
        <v>9</v>
      </c>
      <c r="H35" s="75">
        <f>TRUNC((_xlfn.NORM.INV((RAND()),$E$35,$E$36)),2)</f>
        <v/>
      </c>
      <c r="I35" s="75">
        <f>TRUNC((_xlfn.NORM.INV((RAND()),$E$35,$E$36)),2)</f>
        <v/>
      </c>
      <c r="J35" s="75">
        <f>TRUNC((_xlfn.NORM.INV((RAND()),$E$35,$E$36)),2)</f>
        <v/>
      </c>
      <c r="L35" s="75">
        <f>SUM(H35:J224)</f>
        <v/>
      </c>
      <c r="Z35" s="75" t="n">
        <v>9</v>
      </c>
      <c r="AA35" s="20">
        <f>TRUNC(IF(H35&lt;0,0,H35),0)</f>
        <v/>
      </c>
      <c r="AB35" s="20">
        <f>TRUNC(IF(I35&lt;0,0,I35),0)</f>
        <v/>
      </c>
      <c r="AC35" s="20">
        <f>TRUNC(IF(J35&lt;0,0,J35),0)</f>
        <v/>
      </c>
      <c r="AR35" s="75" t="inlineStr">
        <is>
          <t>RetBegStock</t>
        </is>
      </c>
      <c r="AS35" s="75" t="n">
        <v>9</v>
      </c>
      <c r="AT35" s="5" t="n">
        <v>4</v>
      </c>
      <c r="AU35" s="5" t="n">
        <v>5</v>
      </c>
      <c r="AV35" s="5" t="n">
        <v>3</v>
      </c>
      <c r="AZ35" s="2" t="n"/>
      <c r="BA35" s="2" t="n"/>
      <c r="BB35" s="2" t="n"/>
      <c r="BE35" s="2" t="n"/>
      <c r="BF35" s="2" t="n"/>
      <c r="BG35" s="2" t="n"/>
    </row>
    <row r="36">
      <c r="D36" s="75" t="inlineStr">
        <is>
          <t>Std Devition</t>
        </is>
      </c>
      <c r="E36" s="2">
        <f>E35*0.25</f>
        <v/>
      </c>
      <c r="G36" s="75" t="n">
        <v>10</v>
      </c>
      <c r="H36" s="75">
        <f>TRUNC((_xlfn.NORM.INV((RAND()),$E$35,$E$36)),2)</f>
        <v/>
      </c>
      <c r="I36" s="75">
        <f>TRUNC((_xlfn.NORM.INV((RAND()),$E$35,$E$36)),2)</f>
        <v/>
      </c>
      <c r="J36" s="75">
        <f>TRUNC((_xlfn.NORM.INV((RAND()),$E$35,$E$36)),2)</f>
        <v/>
      </c>
      <c r="Z36" s="75" t="n">
        <v>10</v>
      </c>
      <c r="AA36" s="20">
        <f>TRUNC(IF(H36&lt;0,0,H36),0)</f>
        <v/>
      </c>
      <c r="AB36" s="20">
        <f>TRUNC(IF(I36&lt;0,0,I36),0)</f>
        <v/>
      </c>
      <c r="AC36" s="20">
        <f>TRUNC(IF(J36&lt;0,0,J36),0)</f>
        <v/>
      </c>
      <c r="AS36" s="75" t="n">
        <v>10</v>
      </c>
      <c r="AT36" s="5" t="n">
        <v>4</v>
      </c>
      <c r="AU36" s="5" t="n">
        <v>5</v>
      </c>
      <c r="AV36" s="5" t="n">
        <v>7</v>
      </c>
      <c r="AZ36" s="2" t="n"/>
      <c r="BA36" s="2" t="n"/>
      <c r="BB36" s="2" t="n"/>
      <c r="BE36" s="2" t="n"/>
      <c r="BF36" s="2" t="n"/>
      <c r="BG36" s="2" t="n"/>
    </row>
    <row r="37">
      <c r="G37" s="75" t="n">
        <v>11</v>
      </c>
      <c r="H37" s="75">
        <f>TRUNC((_xlfn.NORM.INV((RAND()),$E$35,$E$36)),2)</f>
        <v/>
      </c>
      <c r="I37" s="75">
        <f>TRUNC((_xlfn.NORM.INV((RAND()),$E$35,$E$36)),2)</f>
        <v/>
      </c>
      <c r="J37" s="75">
        <f>TRUNC((_xlfn.NORM.INV((RAND()),$E$35,$E$36)),2)</f>
        <v/>
      </c>
      <c r="Z37" s="75" t="n">
        <v>11</v>
      </c>
      <c r="AA37" s="20">
        <f>TRUNC(IF(H37&lt;0,0,H37),0)</f>
        <v/>
      </c>
      <c r="AB37" s="20">
        <f>TRUNC(IF(I37&lt;0,0,I37),0)</f>
        <v/>
      </c>
      <c r="AC37" s="20">
        <f>TRUNC(IF(J37&lt;0,0,J37),0)</f>
        <v/>
      </c>
      <c r="AS37" s="75" t="n">
        <v>11</v>
      </c>
      <c r="AT37" s="5" t="n">
        <v>4</v>
      </c>
      <c r="AU37" s="5" t="n">
        <v>5</v>
      </c>
      <c r="AV37" s="5" t="n">
        <v>4</v>
      </c>
      <c r="AZ37" s="2" t="n"/>
      <c r="BA37" s="2" t="n"/>
      <c r="BB37" s="2" t="n"/>
      <c r="BE37" s="2" t="n"/>
      <c r="BF37" s="2" t="n"/>
      <c r="BG37" s="2" t="n"/>
    </row>
    <row r="38">
      <c r="G38" s="75" t="n">
        <v>12</v>
      </c>
      <c r="H38" s="75">
        <f>TRUNC((_xlfn.NORM.INV((RAND()),$E$35,$E$36)),2)</f>
        <v/>
      </c>
      <c r="I38" s="75">
        <f>TRUNC((_xlfn.NORM.INV((RAND()),$E$35,$E$36)),2)</f>
        <v/>
      </c>
      <c r="J38" s="75">
        <f>TRUNC((_xlfn.NORM.INV((RAND()),$E$35,$E$36)),2)</f>
        <v/>
      </c>
      <c r="Z38" s="75" t="n">
        <v>12</v>
      </c>
      <c r="AA38" s="20">
        <f>TRUNC(IF(H38&lt;0,0,H38),0)</f>
        <v/>
      </c>
      <c r="AB38" s="20">
        <f>TRUNC(IF(I38&lt;0,0,I38),0)</f>
        <v/>
      </c>
      <c r="AC38" s="20">
        <f>TRUNC(IF(J38&lt;0,0,J38),0)</f>
        <v/>
      </c>
      <c r="AS38" s="75" t="n">
        <v>12</v>
      </c>
      <c r="AT38" s="5" t="n">
        <v>4</v>
      </c>
      <c r="AU38" s="5" t="n">
        <v>7</v>
      </c>
      <c r="AV38" s="5" t="n">
        <v>6</v>
      </c>
      <c r="AZ38" s="2" t="n"/>
      <c r="BA38" s="2" t="n"/>
      <c r="BB38" s="2" t="n"/>
      <c r="BE38" s="2" t="n"/>
      <c r="BF38" s="2" t="n"/>
      <c r="BG38" s="2" t="n"/>
    </row>
    <row r="39">
      <c r="G39" s="75" t="n">
        <v>13</v>
      </c>
      <c r="H39" s="75">
        <f>TRUNC((_xlfn.NORM.INV((RAND()),$E$35,$E$36)),2)</f>
        <v/>
      </c>
      <c r="I39" s="75">
        <f>TRUNC((_xlfn.NORM.INV((RAND()),$E$35,$E$36)),2)</f>
        <v/>
      </c>
      <c r="J39" s="75">
        <f>TRUNC((_xlfn.NORM.INV((RAND()),$E$35,$E$36)),2)</f>
        <v/>
      </c>
      <c r="Z39" s="75" t="n">
        <v>13</v>
      </c>
      <c r="AA39" s="20">
        <f>TRUNC(IF(H39&lt;0,0,H39),0)</f>
        <v/>
      </c>
      <c r="AB39" s="20">
        <f>TRUNC(IF(I39&lt;0,0,I39),0)</f>
        <v/>
      </c>
      <c r="AC39" s="20">
        <f>TRUNC(IF(J39&lt;0,0,J39),0)</f>
        <v/>
      </c>
      <c r="AS39" s="75" t="n">
        <v>13</v>
      </c>
      <c r="AT39" s="5" t="n">
        <v>3</v>
      </c>
      <c r="AU39" s="5" t="n">
        <v>3</v>
      </c>
      <c r="AV39" s="5" t="n">
        <v>5</v>
      </c>
      <c r="AZ39" s="2" t="n"/>
      <c r="BA39" s="2" t="n"/>
      <c r="BB39" s="2" t="n"/>
      <c r="BE39" s="2" t="n"/>
      <c r="BF39" s="2" t="n"/>
      <c r="BG39" s="2" t="n"/>
    </row>
    <row r="40">
      <c r="G40" s="75" t="n">
        <v>14</v>
      </c>
      <c r="H40" s="75">
        <f>TRUNC((_xlfn.NORM.INV((RAND()),$E$35,$E$36)),2)</f>
        <v/>
      </c>
      <c r="I40" s="75">
        <f>TRUNC((_xlfn.NORM.INV((RAND()),$E$35,$E$36)),2)</f>
        <v/>
      </c>
      <c r="J40" s="75">
        <f>TRUNC((_xlfn.NORM.INV((RAND()),$E$35,$E$36)),2)</f>
        <v/>
      </c>
      <c r="Z40" s="75" t="n">
        <v>14</v>
      </c>
      <c r="AA40" s="20">
        <f>TRUNC(IF(H40&lt;0,0,H40),0)</f>
        <v/>
      </c>
      <c r="AB40" s="20">
        <f>TRUNC(IF(I40&lt;0,0,I40),0)</f>
        <v/>
      </c>
      <c r="AC40" s="20">
        <f>TRUNC(IF(J40&lt;0,0,J40),0)</f>
        <v/>
      </c>
      <c r="AS40" s="75" t="n">
        <v>14</v>
      </c>
      <c r="AT40" s="5" t="n">
        <v>6</v>
      </c>
      <c r="AU40" s="5" t="n">
        <v>4</v>
      </c>
      <c r="AV40" s="5" t="n">
        <v>5</v>
      </c>
      <c r="AZ40" s="2" t="n"/>
      <c r="BA40" s="2" t="n"/>
      <c r="BB40" s="2" t="n"/>
      <c r="BE40" s="2" t="n"/>
      <c r="BF40" s="2" t="n"/>
      <c r="BG40" s="2" t="n"/>
    </row>
    <row r="41">
      <c r="G41" s="75" t="n">
        <v>15</v>
      </c>
      <c r="H41" s="75">
        <f>TRUNC((_xlfn.NORM.INV((RAND()),$E$35,$E$36)),2)</f>
        <v/>
      </c>
      <c r="I41" s="75">
        <f>TRUNC((_xlfn.NORM.INV((RAND()),$E$35,$E$36)),2)</f>
        <v/>
      </c>
      <c r="J41" s="75">
        <f>TRUNC((_xlfn.NORM.INV((RAND()),$E$35,$E$36)),2)</f>
        <v/>
      </c>
      <c r="Z41" s="75" t="n">
        <v>15</v>
      </c>
      <c r="AA41" s="20">
        <f>TRUNC(IF(H41&lt;0,0,H41),0)</f>
        <v/>
      </c>
      <c r="AB41" s="20">
        <f>TRUNC(IF(I41&lt;0,0,I41),0)</f>
        <v/>
      </c>
      <c r="AC41" s="20">
        <f>TRUNC(IF(J41&lt;0,0,J41),0)</f>
        <v/>
      </c>
      <c r="AS41" s="75" t="n">
        <v>15</v>
      </c>
      <c r="AT41" s="5" t="n">
        <v>6</v>
      </c>
      <c r="AU41" s="5" t="n">
        <v>5</v>
      </c>
      <c r="AV41" s="5" t="n">
        <v>3</v>
      </c>
      <c r="AZ41" s="2" t="n"/>
      <c r="BA41" s="2" t="n"/>
      <c r="BB41" s="2" t="n"/>
      <c r="BE41" s="2" t="n"/>
      <c r="BF41" s="2" t="n"/>
      <c r="BG41" s="2" t="n"/>
    </row>
    <row r="42">
      <c r="G42" s="75" t="n">
        <v>16</v>
      </c>
      <c r="H42" s="75">
        <f>TRUNC((_xlfn.NORM.INV((RAND()),$E$35,$E$36)),2)</f>
        <v/>
      </c>
      <c r="I42" s="75">
        <f>TRUNC((_xlfn.NORM.INV((RAND()),$E$35,$E$36)),2)</f>
        <v/>
      </c>
      <c r="J42" s="75">
        <f>TRUNC((_xlfn.NORM.INV((RAND()),$E$35,$E$36)),2)</f>
        <v/>
      </c>
      <c r="Z42" s="75" t="n">
        <v>16</v>
      </c>
      <c r="AA42" s="20">
        <f>TRUNC(IF(H42&lt;0,0,H42),0)</f>
        <v/>
      </c>
      <c r="AB42" s="20">
        <f>TRUNC(IF(I42&lt;0,0,I42),0)</f>
        <v/>
      </c>
      <c r="AC42" s="20">
        <f>TRUNC(IF(J42&lt;0,0,J42),0)</f>
        <v/>
      </c>
      <c r="AS42" s="75" t="n">
        <v>16</v>
      </c>
      <c r="AT42" s="5" t="n">
        <v>4</v>
      </c>
      <c r="AU42" s="5" t="n">
        <v>2</v>
      </c>
      <c r="AV42" s="5" t="n">
        <v>6</v>
      </c>
      <c r="AZ42" s="2" t="n"/>
      <c r="BA42" s="2" t="n"/>
      <c r="BB42" s="2" t="n"/>
      <c r="BE42" s="2" t="n"/>
      <c r="BF42" s="2" t="n"/>
      <c r="BG42" s="2" t="n"/>
    </row>
    <row r="43">
      <c r="G43" s="75" t="n">
        <v>17</v>
      </c>
      <c r="H43" s="75">
        <f>TRUNC((_xlfn.NORM.INV((RAND()),$E$35,$E$36)),2)</f>
        <v/>
      </c>
      <c r="I43" s="75">
        <f>TRUNC((_xlfn.NORM.INV((RAND()),$E$35,$E$36)),2)</f>
        <v/>
      </c>
      <c r="J43" s="75">
        <f>TRUNC((_xlfn.NORM.INV((RAND()),$E$35,$E$36)),2)</f>
        <v/>
      </c>
      <c r="Z43" s="75" t="n">
        <v>17</v>
      </c>
      <c r="AA43" s="20">
        <f>TRUNC(IF(H43&lt;0,0,H43),0)</f>
        <v/>
      </c>
      <c r="AB43" s="20">
        <f>TRUNC(IF(I43&lt;0,0,I43),0)</f>
        <v/>
      </c>
      <c r="AC43" s="20">
        <f>TRUNC(IF(J43&lt;0,0,J43),0)</f>
        <v/>
      </c>
      <c r="AS43" s="75" t="n">
        <v>17</v>
      </c>
      <c r="AT43" s="5" t="n">
        <v>4</v>
      </c>
      <c r="AU43" s="5" t="n">
        <v>4</v>
      </c>
      <c r="AV43" s="5" t="n">
        <v>5</v>
      </c>
      <c r="AZ43" s="2" t="n"/>
      <c r="BA43" s="2" t="n"/>
      <c r="BB43" s="2" t="n"/>
      <c r="BE43" s="2" t="n"/>
      <c r="BF43" s="2" t="n"/>
      <c r="BG43" s="2" t="n"/>
    </row>
    <row r="44">
      <c r="G44" s="75" t="n">
        <v>18</v>
      </c>
      <c r="H44" s="75">
        <f>TRUNC((_xlfn.NORM.INV((RAND()),$E$35,$E$36)),2)</f>
        <v/>
      </c>
      <c r="I44" s="75">
        <f>TRUNC((_xlfn.NORM.INV((RAND()),$E$35,$E$36)),2)</f>
        <v/>
      </c>
      <c r="J44" s="75">
        <f>TRUNC((_xlfn.NORM.INV((RAND()),$E$35,$E$36)),2)</f>
        <v/>
      </c>
      <c r="Z44" s="75" t="n">
        <v>18</v>
      </c>
      <c r="AA44" s="20">
        <f>TRUNC(IF(H44&lt;0,0,H44),0)</f>
        <v/>
      </c>
      <c r="AB44" s="20">
        <f>TRUNC(IF(I44&lt;0,0,I44),0)</f>
        <v/>
      </c>
      <c r="AC44" s="20">
        <f>TRUNC(IF(J44&lt;0,0,J44),0)</f>
        <v/>
      </c>
      <c r="AS44" s="75" t="n">
        <v>18</v>
      </c>
      <c r="AT44" s="5" t="n">
        <v>1</v>
      </c>
      <c r="AU44" s="5" t="n">
        <v>4</v>
      </c>
      <c r="AV44" s="5" t="n">
        <v>5</v>
      </c>
      <c r="AZ44" s="2" t="n"/>
      <c r="BA44" s="2" t="n"/>
      <c r="BB44" s="2" t="n"/>
      <c r="BE44" s="2" t="n"/>
      <c r="BF44" s="2" t="n"/>
      <c r="BG44" s="2" t="n"/>
    </row>
    <row r="45">
      <c r="G45" s="75" t="n">
        <v>19</v>
      </c>
      <c r="H45" s="75">
        <f>TRUNC((_xlfn.NORM.INV((RAND()),$E$35,$E$36)),2)</f>
        <v/>
      </c>
      <c r="I45" s="75">
        <f>TRUNC((_xlfn.NORM.INV((RAND()),$E$35,$E$36)),2)</f>
        <v/>
      </c>
      <c r="J45" s="75">
        <f>TRUNC((_xlfn.NORM.INV((RAND()),$E$35,$E$36)),2)</f>
        <v/>
      </c>
      <c r="Z45" s="75" t="n">
        <v>19</v>
      </c>
      <c r="AA45" s="20">
        <f>TRUNC(IF(H45&lt;0,0,H45),0)</f>
        <v/>
      </c>
      <c r="AB45" s="20">
        <f>TRUNC(IF(I45&lt;0,0,I45),0)</f>
        <v/>
      </c>
      <c r="AC45" s="20">
        <f>TRUNC(IF(J45&lt;0,0,J45),0)</f>
        <v/>
      </c>
      <c r="AS45" s="75" t="n">
        <v>19</v>
      </c>
      <c r="AT45" s="5" t="n">
        <v>5</v>
      </c>
      <c r="AU45" s="5" t="n">
        <v>2</v>
      </c>
      <c r="AV45" s="5" t="n">
        <v>4</v>
      </c>
      <c r="AZ45" s="2" t="n"/>
      <c r="BA45" s="2" t="n"/>
      <c r="BB45" s="2" t="n"/>
      <c r="BE45" s="2" t="n"/>
      <c r="BF45" s="2" t="n"/>
      <c r="BG45" s="2" t="n"/>
    </row>
    <row r="46">
      <c r="G46" s="75" t="n">
        <v>20</v>
      </c>
      <c r="H46" s="75">
        <f>TRUNC((_xlfn.NORM.INV((RAND()),$E$35,$E$36)),2)</f>
        <v/>
      </c>
      <c r="I46" s="75">
        <f>TRUNC((_xlfn.NORM.INV((RAND()),$E$35,$E$36)),2)</f>
        <v/>
      </c>
      <c r="J46" s="75">
        <f>TRUNC((_xlfn.NORM.INV((RAND()),$E$35,$E$36)),2)</f>
        <v/>
      </c>
      <c r="Z46" s="75" t="n">
        <v>20</v>
      </c>
      <c r="AA46" s="20">
        <f>TRUNC(IF(H46&lt;0,0,H46),0)</f>
        <v/>
      </c>
      <c r="AB46" s="20">
        <f>TRUNC(IF(I46&lt;0,0,I46),0)</f>
        <v/>
      </c>
      <c r="AC46" s="20">
        <f>TRUNC(IF(J46&lt;0,0,J46),0)</f>
        <v/>
      </c>
      <c r="AS46" s="75" t="n">
        <v>20</v>
      </c>
      <c r="AT46" s="5" t="n">
        <v>5</v>
      </c>
      <c r="AU46" s="5" t="n">
        <v>6</v>
      </c>
      <c r="AV46" s="5" t="n">
        <v>3</v>
      </c>
      <c r="AZ46" s="2" t="n"/>
      <c r="BA46" s="2" t="n"/>
      <c r="BB46" s="2" t="n"/>
      <c r="BE46" s="2" t="n"/>
      <c r="BF46" s="2" t="n"/>
      <c r="BG46" s="2" t="n"/>
    </row>
    <row r="47">
      <c r="G47" s="75" t="n">
        <v>21</v>
      </c>
      <c r="H47" s="75">
        <f>TRUNC((_xlfn.NORM.INV((RAND()),$E$35,$E$36)),2)</f>
        <v/>
      </c>
      <c r="I47" s="75">
        <f>TRUNC((_xlfn.NORM.INV((RAND()),$E$35,$E$36)),2)</f>
        <v/>
      </c>
      <c r="J47" s="75">
        <f>TRUNC((_xlfn.NORM.INV((RAND()),$E$35,$E$36)),2)</f>
        <v/>
      </c>
      <c r="Z47" s="75" t="n">
        <v>21</v>
      </c>
      <c r="AA47" s="20">
        <f>TRUNC(IF(H47&lt;0,0,H47),0)</f>
        <v/>
      </c>
      <c r="AB47" s="20">
        <f>TRUNC(IF(I47&lt;0,0,I47),0)</f>
        <v/>
      </c>
      <c r="AC47" s="20">
        <f>TRUNC(IF(J47&lt;0,0,J47),0)</f>
        <v/>
      </c>
      <c r="AS47" s="75" t="n">
        <v>21</v>
      </c>
      <c r="AT47" s="5" t="n">
        <v>3</v>
      </c>
      <c r="AU47" s="5" t="n">
        <v>3</v>
      </c>
      <c r="AV47" s="5" t="n">
        <v>3</v>
      </c>
      <c r="AZ47" s="2" t="n"/>
      <c r="BA47" s="2" t="n"/>
      <c r="BB47" s="2" t="n"/>
      <c r="BE47" s="2" t="n"/>
      <c r="BF47" s="2" t="n"/>
      <c r="BG47" s="2" t="n"/>
    </row>
    <row r="48">
      <c r="G48" s="75" t="n">
        <v>22</v>
      </c>
      <c r="H48" s="75">
        <f>TRUNC((_xlfn.NORM.INV((RAND()),$E$35,$E$36)),2)</f>
        <v/>
      </c>
      <c r="I48" s="75">
        <f>TRUNC((_xlfn.NORM.INV((RAND()),$E$35,$E$36)),2)</f>
        <v/>
      </c>
      <c r="J48" s="75">
        <f>TRUNC((_xlfn.NORM.INV((RAND()),$E$35,$E$36)),2)</f>
        <v/>
      </c>
      <c r="Z48" s="75" t="n">
        <v>22</v>
      </c>
      <c r="AA48" s="20">
        <f>TRUNC(IF(H48&lt;0,0,H48),0)</f>
        <v/>
      </c>
      <c r="AB48" s="20">
        <f>TRUNC(IF(I48&lt;0,0,I48),0)</f>
        <v/>
      </c>
      <c r="AC48" s="20">
        <f>TRUNC(IF(J48&lt;0,0,J48),0)</f>
        <v/>
      </c>
      <c r="AS48" s="75" t="n">
        <v>22</v>
      </c>
      <c r="AT48" s="5" t="n">
        <v>7</v>
      </c>
      <c r="AU48" s="5" t="n">
        <v>4</v>
      </c>
      <c r="AV48" s="5" t="n">
        <v>6</v>
      </c>
      <c r="AZ48" s="2" t="n"/>
      <c r="BA48" s="2" t="n"/>
      <c r="BB48" s="2" t="n"/>
      <c r="BE48" s="2" t="n"/>
      <c r="BF48" s="2" t="n"/>
      <c r="BG48" s="2" t="n"/>
    </row>
    <row r="49">
      <c r="G49" s="75" t="n">
        <v>23</v>
      </c>
      <c r="H49" s="75">
        <f>TRUNC((_xlfn.NORM.INV((RAND()),$E$35,$E$36)),2)</f>
        <v/>
      </c>
      <c r="I49" s="75">
        <f>TRUNC((_xlfn.NORM.INV((RAND()),$E$35,$E$36)),2)</f>
        <v/>
      </c>
      <c r="J49" s="75">
        <f>TRUNC((_xlfn.NORM.INV((RAND()),$E$35,$E$36)),2)</f>
        <v/>
      </c>
      <c r="Z49" s="75" t="n">
        <v>23</v>
      </c>
      <c r="AA49" s="20">
        <f>TRUNC(IF(H49&lt;0,0,H49),0)</f>
        <v/>
      </c>
      <c r="AB49" s="20">
        <f>TRUNC(IF(I49&lt;0,0,I49),0)</f>
        <v/>
      </c>
      <c r="AC49" s="20">
        <f>TRUNC(IF(J49&lt;0,0,J49),0)</f>
        <v/>
      </c>
      <c r="AS49" s="75" t="n">
        <v>23</v>
      </c>
      <c r="AT49" s="5" t="n">
        <v>5</v>
      </c>
      <c r="AU49" s="5" t="n">
        <v>6</v>
      </c>
      <c r="AV49" s="5" t="n">
        <v>3</v>
      </c>
      <c r="AZ49" s="2" t="n"/>
      <c r="BA49" s="2" t="n"/>
      <c r="BB49" s="2" t="n"/>
      <c r="BE49" s="2" t="n"/>
      <c r="BF49" s="2" t="n"/>
      <c r="BG49" s="2" t="n"/>
    </row>
    <row r="50">
      <c r="G50" s="75" t="n">
        <v>24</v>
      </c>
      <c r="H50" s="75">
        <f>TRUNC((_xlfn.NORM.INV((RAND()),$E$35,$E$36)),2)</f>
        <v/>
      </c>
      <c r="I50" s="75">
        <f>TRUNC((_xlfn.NORM.INV((RAND()),$E$35,$E$36)),2)</f>
        <v/>
      </c>
      <c r="J50" s="75">
        <f>TRUNC((_xlfn.NORM.INV((RAND()),$E$35,$E$36)),2)</f>
        <v/>
      </c>
      <c r="Z50" s="75" t="n">
        <v>24</v>
      </c>
      <c r="AA50" s="20">
        <f>TRUNC(IF(H50&lt;0,0,H50),0)</f>
        <v/>
      </c>
      <c r="AB50" s="20">
        <f>TRUNC(IF(I50&lt;0,0,I50),0)</f>
        <v/>
      </c>
      <c r="AC50" s="20">
        <f>TRUNC(IF(J50&lt;0,0,J50),0)</f>
        <v/>
      </c>
      <c r="AS50" s="75" t="n">
        <v>24</v>
      </c>
      <c r="AT50" s="5" t="n">
        <v>6</v>
      </c>
      <c r="AU50" s="5" t="n">
        <v>5</v>
      </c>
      <c r="AV50" s="5" t="n">
        <v>3</v>
      </c>
      <c r="AZ50" s="2" t="n"/>
      <c r="BA50" s="2" t="n"/>
      <c r="BB50" s="2" t="n"/>
      <c r="BE50" s="2" t="n"/>
      <c r="BF50" s="2" t="n"/>
      <c r="BG50" s="2" t="n"/>
    </row>
    <row r="51">
      <c r="G51" s="75" t="n">
        <v>25</v>
      </c>
      <c r="H51" s="75">
        <f>TRUNC((_xlfn.NORM.INV((RAND()),$E$35,$E$36)),2)</f>
        <v/>
      </c>
      <c r="I51" s="75">
        <f>TRUNC((_xlfn.NORM.INV((RAND()),$E$35,$E$36)),2)</f>
        <v/>
      </c>
      <c r="J51" s="75">
        <f>TRUNC((_xlfn.NORM.INV((RAND()),$E$35,$E$36)),2)</f>
        <v/>
      </c>
      <c r="Z51" s="75" t="n">
        <v>25</v>
      </c>
      <c r="AA51" s="20">
        <f>TRUNC(IF(H51&lt;0,0,H51),0)</f>
        <v/>
      </c>
      <c r="AB51" s="20">
        <f>TRUNC(IF(I51&lt;0,0,I51),0)</f>
        <v/>
      </c>
      <c r="AC51" s="20">
        <f>TRUNC(IF(J51&lt;0,0,J51),0)</f>
        <v/>
      </c>
      <c r="AS51" s="75" t="n">
        <v>25</v>
      </c>
      <c r="AT51" s="5" t="n">
        <v>3</v>
      </c>
      <c r="AU51" s="5" t="n">
        <v>3</v>
      </c>
      <c r="AV51" s="5" t="n">
        <v>3</v>
      </c>
      <c r="AZ51" s="2" t="n"/>
      <c r="BA51" s="2" t="n"/>
      <c r="BB51" s="2" t="n"/>
      <c r="BE51" s="2" t="n"/>
      <c r="BF51" s="2" t="n"/>
      <c r="BG51" s="2" t="n"/>
    </row>
    <row r="52">
      <c r="G52" s="75" t="n">
        <v>26</v>
      </c>
      <c r="H52" s="75">
        <f>TRUNC((_xlfn.NORM.INV((RAND()),$E$35,$E$36)),2)</f>
        <v/>
      </c>
      <c r="I52" s="75">
        <f>TRUNC((_xlfn.NORM.INV((RAND()),$E$35,$E$36)),2)</f>
        <v/>
      </c>
      <c r="J52" s="75">
        <f>TRUNC((_xlfn.NORM.INV((RAND()),$E$35,$E$36)),2)</f>
        <v/>
      </c>
      <c r="Z52" s="75" t="n">
        <v>26</v>
      </c>
      <c r="AA52" s="20">
        <f>TRUNC(IF(H52&lt;0,0,H52),0)</f>
        <v/>
      </c>
      <c r="AB52" s="20">
        <f>TRUNC(IF(I52&lt;0,0,I52),0)</f>
        <v/>
      </c>
      <c r="AC52" s="20">
        <f>TRUNC(IF(J52&lt;0,0,J52),0)</f>
        <v/>
      </c>
      <c r="AS52" s="75" t="n">
        <v>26</v>
      </c>
      <c r="AT52" s="5" t="n">
        <v>6</v>
      </c>
      <c r="AU52" s="5" t="n">
        <v>4</v>
      </c>
      <c r="AV52" s="5" t="n">
        <v>6</v>
      </c>
      <c r="AZ52" s="2" t="n"/>
      <c r="BA52" s="2" t="n"/>
      <c r="BB52" s="2" t="n"/>
      <c r="BE52" s="2" t="n"/>
      <c r="BF52" s="2" t="n"/>
      <c r="BG52" s="2" t="n"/>
    </row>
    <row r="53">
      <c r="G53" s="75" t="n">
        <v>27</v>
      </c>
      <c r="H53" s="75">
        <f>TRUNC((_xlfn.NORM.INV((RAND()),$E$35,$E$36)),2)</f>
        <v/>
      </c>
      <c r="I53" s="75">
        <f>TRUNC((_xlfn.NORM.INV((RAND()),$E$35,$E$36)),2)</f>
        <v/>
      </c>
      <c r="J53" s="75">
        <f>TRUNC((_xlfn.NORM.INV((RAND()),$E$35,$E$36)),2)</f>
        <v/>
      </c>
      <c r="Z53" s="75" t="n">
        <v>27</v>
      </c>
      <c r="AA53" s="20">
        <f>TRUNC(IF(H53&lt;0,0,H53),0)</f>
        <v/>
      </c>
      <c r="AB53" s="20">
        <f>TRUNC(IF(I53&lt;0,0,I53),0)</f>
        <v/>
      </c>
      <c r="AC53" s="20">
        <f>TRUNC(IF(J53&lt;0,0,J53),0)</f>
        <v/>
      </c>
      <c r="AS53" s="75" t="n">
        <v>27</v>
      </c>
      <c r="AT53" s="5" t="n">
        <v>7</v>
      </c>
      <c r="AU53" s="5" t="n">
        <v>7</v>
      </c>
      <c r="AV53" s="5" t="n">
        <v>3</v>
      </c>
      <c r="AZ53" s="2" t="n"/>
      <c r="BA53" s="2" t="n"/>
      <c r="BB53" s="2" t="n"/>
      <c r="BE53" s="2" t="n"/>
      <c r="BF53" s="2" t="n"/>
      <c r="BG53" s="2" t="n"/>
    </row>
    <row r="54">
      <c r="G54" s="75" t="n">
        <v>28</v>
      </c>
      <c r="H54" s="75">
        <f>TRUNC((_xlfn.NORM.INV((RAND()),$E$35,$E$36)),2)</f>
        <v/>
      </c>
      <c r="I54" s="75">
        <f>TRUNC((_xlfn.NORM.INV((RAND()),$E$35,$E$36)),2)</f>
        <v/>
      </c>
      <c r="J54" s="75">
        <f>TRUNC((_xlfn.NORM.INV((RAND()),$E$35,$E$36)),2)</f>
        <v/>
      </c>
      <c r="Z54" s="75" t="n">
        <v>28</v>
      </c>
      <c r="AA54" s="20">
        <f>TRUNC(IF(H54&lt;0,0,H54),0)</f>
        <v/>
      </c>
      <c r="AB54" s="20">
        <f>TRUNC(IF(I54&lt;0,0,I54),0)</f>
        <v/>
      </c>
      <c r="AC54" s="20">
        <f>TRUNC(IF(J54&lt;0,0,J54),0)</f>
        <v/>
      </c>
      <c r="AS54" s="75" t="n">
        <v>28</v>
      </c>
      <c r="AT54" s="5" t="n">
        <v>5</v>
      </c>
      <c r="AU54" s="5" t="n">
        <v>5</v>
      </c>
      <c r="AV54" s="5" t="n">
        <v>5</v>
      </c>
      <c r="AZ54" s="2" t="n"/>
      <c r="BA54" s="2" t="n"/>
      <c r="BB54" s="2" t="n"/>
      <c r="BE54" s="2" t="n"/>
      <c r="BF54" s="2" t="n"/>
      <c r="BG54" s="2" t="n"/>
    </row>
    <row r="55">
      <c r="G55" s="75" t="n">
        <v>29</v>
      </c>
      <c r="H55" s="75">
        <f>TRUNC((_xlfn.NORM.INV((RAND()),$E$35,$E$36)),2)</f>
        <v/>
      </c>
      <c r="I55" s="75">
        <f>TRUNC((_xlfn.NORM.INV((RAND()),$E$35,$E$36)),2)</f>
        <v/>
      </c>
      <c r="J55" s="75">
        <f>TRUNC((_xlfn.NORM.INV((RAND()),$E$35,$E$36)),2)</f>
        <v/>
      </c>
      <c r="Z55" s="75" t="n">
        <v>29</v>
      </c>
      <c r="AA55" s="20">
        <f>TRUNC(IF(H55&lt;0,0,H55),0)</f>
        <v/>
      </c>
      <c r="AB55" s="20">
        <f>TRUNC(IF(I55&lt;0,0,I55),0)</f>
        <v/>
      </c>
      <c r="AC55" s="20">
        <f>TRUNC(IF(J55&lt;0,0,J55),0)</f>
        <v/>
      </c>
      <c r="AS55" s="75" t="n">
        <v>29</v>
      </c>
      <c r="AT55" s="5" t="n">
        <v>6</v>
      </c>
      <c r="AU55" s="5" t="n">
        <v>6</v>
      </c>
      <c r="AV55" s="5" t="n">
        <v>9</v>
      </c>
      <c r="AZ55" s="2" t="n"/>
      <c r="BA55" s="2" t="n"/>
      <c r="BB55" s="2" t="n"/>
      <c r="BE55" s="2" t="n"/>
      <c r="BF55" s="2" t="n"/>
      <c r="BG55" s="2" t="n"/>
    </row>
    <row r="56">
      <c r="G56" s="75" t="n">
        <v>30</v>
      </c>
      <c r="H56" s="75">
        <f>TRUNC((_xlfn.NORM.INV((RAND()),$E$35,$E$36)),2)</f>
        <v/>
      </c>
      <c r="I56" s="75">
        <f>TRUNC((_xlfn.NORM.INV((RAND()),$E$35,$E$36)),2)</f>
        <v/>
      </c>
      <c r="J56" s="75">
        <f>TRUNC((_xlfn.NORM.INV((RAND()),$E$35,$E$36)),2)</f>
        <v/>
      </c>
      <c r="Z56" s="75" t="n">
        <v>30</v>
      </c>
      <c r="AA56" s="20">
        <f>TRUNC(IF(H56&lt;0,0,H56),0)</f>
        <v/>
      </c>
      <c r="AB56" s="20">
        <f>TRUNC(IF(I56&lt;0,0,I56),0)</f>
        <v/>
      </c>
      <c r="AC56" s="20">
        <f>TRUNC(IF(J56&lt;0,0,J56),0)</f>
        <v/>
      </c>
      <c r="AS56" s="75" t="n">
        <v>30</v>
      </c>
      <c r="AT56" s="5" t="n">
        <v>6</v>
      </c>
      <c r="AU56" s="5" t="n">
        <v>5</v>
      </c>
      <c r="AV56" s="5" t="n">
        <v>8</v>
      </c>
      <c r="AZ56" s="2" t="n"/>
      <c r="BA56" s="2" t="n"/>
      <c r="BB56" s="2" t="n"/>
      <c r="BE56" s="2" t="n"/>
      <c r="BF56" s="2" t="n"/>
      <c r="BG56" s="2" t="n"/>
    </row>
    <row r="57">
      <c r="G57" s="75" t="n">
        <v>31</v>
      </c>
      <c r="H57" s="75">
        <f>TRUNC((_xlfn.NORM.INV((RAND()),$E$35,$E$36)),2)</f>
        <v/>
      </c>
      <c r="I57" s="75">
        <f>TRUNC((_xlfn.NORM.INV((RAND()),$E$35,$E$36)),2)</f>
        <v/>
      </c>
      <c r="J57" s="75">
        <f>TRUNC((_xlfn.NORM.INV((RAND()),$E$35,$E$36)),2)</f>
        <v/>
      </c>
      <c r="Z57" s="75" t="n">
        <v>31</v>
      </c>
      <c r="AA57" s="20">
        <f>TRUNC(IF(H57&lt;0,0,H57),0)</f>
        <v/>
      </c>
      <c r="AB57" s="20">
        <f>TRUNC(IF(I57&lt;0,0,I57),0)</f>
        <v/>
      </c>
      <c r="AC57" s="20">
        <f>TRUNC(IF(J57&lt;0,0,J57),0)</f>
        <v/>
      </c>
      <c r="AS57" s="75" t="n">
        <v>31</v>
      </c>
      <c r="AT57" s="5" t="n">
        <v>6</v>
      </c>
      <c r="AU57" s="5" t="n">
        <v>6</v>
      </c>
      <c r="AV57" s="5" t="n">
        <v>7</v>
      </c>
      <c r="AZ57" s="2" t="n"/>
      <c r="BA57" s="2" t="n"/>
      <c r="BB57" s="2" t="n"/>
      <c r="BE57" s="2" t="n"/>
      <c r="BF57" s="2" t="n"/>
      <c r="BG57" s="2" t="n"/>
    </row>
    <row r="58">
      <c r="G58" s="75" t="n">
        <v>32</v>
      </c>
      <c r="H58" s="75">
        <f>TRUNC((_xlfn.NORM.INV((RAND()),$E$35,$E$36)),2)</f>
        <v/>
      </c>
      <c r="I58" s="75">
        <f>TRUNC((_xlfn.NORM.INV((RAND()),$E$35,$E$36)),2)</f>
        <v/>
      </c>
      <c r="J58" s="75">
        <f>TRUNC((_xlfn.NORM.INV((RAND()),$E$35,$E$36)),2)</f>
        <v/>
      </c>
      <c r="Z58" s="75" t="n">
        <v>32</v>
      </c>
      <c r="AA58" s="20">
        <f>TRUNC(IF(H58&lt;0,0,H58),0)</f>
        <v/>
      </c>
      <c r="AB58" s="20">
        <f>TRUNC(IF(I58&lt;0,0,I58),0)</f>
        <v/>
      </c>
      <c r="AC58" s="20">
        <f>TRUNC(IF(J58&lt;0,0,J58),0)</f>
        <v/>
      </c>
      <c r="AS58" s="75" t="n">
        <v>32</v>
      </c>
      <c r="AT58" s="5" t="n">
        <v>7</v>
      </c>
      <c r="AU58" s="5" t="n">
        <v>4</v>
      </c>
      <c r="AV58" s="5" t="n">
        <v>5</v>
      </c>
      <c r="AZ58" s="2" t="n"/>
      <c r="BA58" s="2" t="n"/>
      <c r="BB58" s="2" t="n"/>
      <c r="BE58" s="2" t="n"/>
      <c r="BF58" s="2" t="n"/>
      <c r="BG58" s="2" t="n"/>
    </row>
    <row r="59">
      <c r="G59" s="75" t="n">
        <v>33</v>
      </c>
      <c r="H59" s="75">
        <f>TRUNC((_xlfn.NORM.INV((RAND()),$E$35,$E$36)),2)</f>
        <v/>
      </c>
      <c r="I59" s="75">
        <f>TRUNC((_xlfn.NORM.INV((RAND()),$E$35,$E$36)),2)</f>
        <v/>
      </c>
      <c r="J59" s="75">
        <f>TRUNC((_xlfn.NORM.INV((RAND()),$E$35,$E$36)),2)</f>
        <v/>
      </c>
      <c r="Z59" s="75" t="n">
        <v>33</v>
      </c>
      <c r="AA59" s="20">
        <f>TRUNC(IF(H59&lt;0,0,H59),0)</f>
        <v/>
      </c>
      <c r="AB59" s="20">
        <f>TRUNC(IF(I59&lt;0,0,I59),0)</f>
        <v/>
      </c>
      <c r="AC59" s="20">
        <f>TRUNC(IF(J59&lt;0,0,J59),0)</f>
        <v/>
      </c>
      <c r="AS59" s="75" t="n">
        <v>33</v>
      </c>
      <c r="AT59" s="5" t="n">
        <v>6</v>
      </c>
      <c r="AU59" s="5" t="n">
        <v>6</v>
      </c>
      <c r="AV59" s="5" t="n">
        <v>5</v>
      </c>
      <c r="AZ59" s="2" t="n"/>
      <c r="BA59" s="2" t="n"/>
      <c r="BB59" s="2" t="n"/>
      <c r="BE59" s="2" t="n"/>
      <c r="BF59" s="2" t="n"/>
      <c r="BG59" s="2" t="n"/>
    </row>
    <row r="60">
      <c r="G60" s="75" t="n">
        <v>34</v>
      </c>
      <c r="H60" s="75">
        <f>TRUNC((_xlfn.NORM.INV((RAND()),$E$35,$E$36)),2)</f>
        <v/>
      </c>
      <c r="I60" s="75">
        <f>TRUNC((_xlfn.NORM.INV((RAND()),$E$35,$E$36)),2)</f>
        <v/>
      </c>
      <c r="J60" s="75">
        <f>TRUNC((_xlfn.NORM.INV((RAND()),$E$35,$E$36)),2)</f>
        <v/>
      </c>
      <c r="Z60" s="75" t="n">
        <v>34</v>
      </c>
      <c r="AA60" s="20">
        <f>TRUNC(IF(H60&lt;0,0,H60),0)</f>
        <v/>
      </c>
      <c r="AB60" s="20">
        <f>TRUNC(IF(I60&lt;0,0,I60),0)</f>
        <v/>
      </c>
      <c r="AC60" s="20">
        <f>TRUNC(IF(J60&lt;0,0,J60),0)</f>
        <v/>
      </c>
      <c r="AS60" s="75" t="n">
        <v>34</v>
      </c>
      <c r="AT60" s="5" t="n">
        <v>5</v>
      </c>
      <c r="AU60" s="5" t="n">
        <v>5</v>
      </c>
      <c r="AV60" s="5" t="n">
        <v>5</v>
      </c>
      <c r="AZ60" s="2" t="n"/>
      <c r="BA60" s="2" t="n"/>
      <c r="BB60" s="2" t="n"/>
      <c r="BE60" s="2" t="n"/>
      <c r="BF60" s="2" t="n"/>
      <c r="BG60" s="2" t="n"/>
    </row>
    <row r="61">
      <c r="G61" s="75" t="n">
        <v>35</v>
      </c>
      <c r="H61" s="75">
        <f>TRUNC((_xlfn.NORM.INV((RAND()),$E$35,$E$36)),2)</f>
        <v/>
      </c>
      <c r="I61" s="75">
        <f>TRUNC((_xlfn.NORM.INV((RAND()),$E$35,$E$36)),2)</f>
        <v/>
      </c>
      <c r="J61" s="75">
        <f>TRUNC((_xlfn.NORM.INV((RAND()),$E$35,$E$36)),2)</f>
        <v/>
      </c>
      <c r="Z61" s="75" t="n">
        <v>35</v>
      </c>
      <c r="AA61" s="20">
        <f>TRUNC(IF(H61&lt;0,0,H61),0)</f>
        <v/>
      </c>
      <c r="AB61" s="20">
        <f>TRUNC(IF(I61&lt;0,0,I61),0)</f>
        <v/>
      </c>
      <c r="AC61" s="20">
        <f>TRUNC(IF(J61&lt;0,0,J61),0)</f>
        <v/>
      </c>
      <c r="AS61" s="75" t="n">
        <v>35</v>
      </c>
      <c r="AT61" s="5" t="n">
        <v>4</v>
      </c>
      <c r="AU61" s="5" t="n">
        <v>4</v>
      </c>
      <c r="AV61" s="5" t="n">
        <v>4</v>
      </c>
      <c r="AZ61" s="2" t="n"/>
      <c r="BA61" s="2" t="n"/>
      <c r="BB61" s="2" t="n"/>
      <c r="BE61" s="2" t="n"/>
      <c r="BF61" s="2" t="n"/>
      <c r="BG61" s="2" t="n"/>
    </row>
    <row r="62">
      <c r="G62" s="75" t="n">
        <v>36</v>
      </c>
      <c r="H62" s="75">
        <f>TRUNC((_xlfn.NORM.INV((RAND()),$E$35,$E$36)),2)</f>
        <v/>
      </c>
      <c r="I62" s="75">
        <f>TRUNC((_xlfn.NORM.INV((RAND()),$E$35,$E$36)),2)</f>
        <v/>
      </c>
      <c r="J62" s="75">
        <f>TRUNC((_xlfn.NORM.INV((RAND()),$E$35,$E$36)),2)</f>
        <v/>
      </c>
      <c r="Z62" s="75" t="n">
        <v>36</v>
      </c>
      <c r="AA62" s="20">
        <f>TRUNC(IF(H62&lt;0,0,H62),0)</f>
        <v/>
      </c>
      <c r="AB62" s="20">
        <f>TRUNC(IF(I62&lt;0,0,I62),0)</f>
        <v/>
      </c>
      <c r="AC62" s="20">
        <f>TRUNC(IF(J62&lt;0,0,J62),0)</f>
        <v/>
      </c>
      <c r="AS62" s="75" t="n">
        <v>36</v>
      </c>
      <c r="AT62" s="5" t="n">
        <v>7</v>
      </c>
      <c r="AU62" s="5" t="n">
        <v>5</v>
      </c>
      <c r="AV62" s="5" t="n">
        <v>5</v>
      </c>
      <c r="AZ62" s="2" t="n"/>
      <c r="BA62" s="2" t="n"/>
      <c r="BB62" s="2" t="n"/>
      <c r="BE62" s="2" t="n"/>
      <c r="BF62" s="2" t="n"/>
      <c r="BG62" s="2" t="n"/>
    </row>
    <row r="63">
      <c r="G63" s="75" t="n">
        <v>37</v>
      </c>
      <c r="H63" s="75">
        <f>TRUNC((_xlfn.NORM.INV((RAND()),$E$35,$E$36)),2)</f>
        <v/>
      </c>
      <c r="I63" s="75">
        <f>TRUNC((_xlfn.NORM.INV((RAND()),$E$35,$E$36)),2)</f>
        <v/>
      </c>
      <c r="J63" s="75">
        <f>TRUNC((_xlfn.NORM.INV((RAND()),$E$35,$E$36)),2)</f>
        <v/>
      </c>
      <c r="Z63" s="75" t="n">
        <v>37</v>
      </c>
      <c r="AA63" s="20">
        <f>TRUNC(IF(H63&lt;0,0,H63),0)</f>
        <v/>
      </c>
      <c r="AB63" s="20">
        <f>TRUNC(IF(I63&lt;0,0,I63),0)</f>
        <v/>
      </c>
      <c r="AC63" s="20">
        <f>TRUNC(IF(J63&lt;0,0,J63),0)</f>
        <v/>
      </c>
      <c r="AS63" s="75" t="n">
        <v>37</v>
      </c>
      <c r="AT63" s="5" t="n">
        <v>5</v>
      </c>
      <c r="AU63" s="5" t="n">
        <v>5</v>
      </c>
      <c r="AV63" s="5" t="n">
        <v>6</v>
      </c>
      <c r="AZ63" s="2" t="n"/>
      <c r="BA63" s="2" t="n"/>
      <c r="BB63" s="2" t="n"/>
      <c r="BE63" s="2" t="n"/>
      <c r="BF63" s="2" t="n"/>
      <c r="BG63" s="2" t="n"/>
    </row>
    <row r="64">
      <c r="G64" s="75" t="n">
        <v>38</v>
      </c>
      <c r="H64" s="75">
        <f>TRUNC((_xlfn.NORM.INV((RAND()),$E$35,$E$36)),2)</f>
        <v/>
      </c>
      <c r="I64" s="75">
        <f>TRUNC((_xlfn.NORM.INV((RAND()),$E$35,$E$36)),2)</f>
        <v/>
      </c>
      <c r="J64" s="75">
        <f>TRUNC((_xlfn.NORM.INV((RAND()),$E$35,$E$36)),2)</f>
        <v/>
      </c>
      <c r="Z64" s="75" t="n">
        <v>38</v>
      </c>
      <c r="AA64" s="20">
        <f>TRUNC(IF(H64&lt;0,0,H64),0)</f>
        <v/>
      </c>
      <c r="AB64" s="20">
        <f>TRUNC(IF(I64&lt;0,0,I64),0)</f>
        <v/>
      </c>
      <c r="AC64" s="20">
        <f>TRUNC(IF(J64&lt;0,0,J64),0)</f>
        <v/>
      </c>
      <c r="AS64" s="75" t="n">
        <v>38</v>
      </c>
      <c r="AT64" s="5" t="n">
        <v>5</v>
      </c>
      <c r="AU64" s="5" t="n">
        <v>6</v>
      </c>
      <c r="AV64" s="5" t="n">
        <v>7</v>
      </c>
      <c r="AZ64" s="2" t="n"/>
      <c r="BA64" s="2" t="n"/>
      <c r="BB64" s="2" t="n"/>
      <c r="BE64" s="2" t="n"/>
      <c r="BF64" s="2" t="n"/>
      <c r="BG64" s="2" t="n"/>
    </row>
    <row r="65">
      <c r="G65" s="75" t="n">
        <v>39</v>
      </c>
      <c r="H65" s="75">
        <f>TRUNC((_xlfn.NORM.INV((RAND()),$E$35,$E$36)),2)</f>
        <v/>
      </c>
      <c r="I65" s="75">
        <f>TRUNC((_xlfn.NORM.INV((RAND()),$E$35,$E$36)),2)</f>
        <v/>
      </c>
      <c r="J65" s="75">
        <f>TRUNC((_xlfn.NORM.INV((RAND()),$E$35,$E$36)),2)</f>
        <v/>
      </c>
      <c r="Z65" s="75" t="n">
        <v>39</v>
      </c>
      <c r="AA65" s="20">
        <f>TRUNC(IF(H65&lt;0,0,H65),0)</f>
        <v/>
      </c>
      <c r="AB65" s="20">
        <f>TRUNC(IF(I65&lt;0,0,I65),0)</f>
        <v/>
      </c>
      <c r="AC65" s="20">
        <f>TRUNC(IF(J65&lt;0,0,J65),0)</f>
        <v/>
      </c>
      <c r="AS65" s="75" t="n">
        <v>39</v>
      </c>
      <c r="AT65" s="5" t="n">
        <v>5</v>
      </c>
      <c r="AU65" s="5" t="n">
        <v>2</v>
      </c>
      <c r="AV65" s="5" t="n">
        <v>2</v>
      </c>
      <c r="AZ65" s="2" t="n"/>
      <c r="BA65" s="2" t="n"/>
      <c r="BB65" s="2" t="n"/>
      <c r="BE65" s="2" t="n"/>
      <c r="BF65" s="2" t="n"/>
      <c r="BG65" s="2" t="n"/>
    </row>
    <row r="66">
      <c r="G66" s="75" t="n">
        <v>40</v>
      </c>
      <c r="H66" s="75">
        <f>TRUNC((_xlfn.NORM.INV((RAND()),$E$35,$E$36)),2)</f>
        <v/>
      </c>
      <c r="I66" s="75">
        <f>TRUNC((_xlfn.NORM.INV((RAND()),$E$35,$E$36)),2)</f>
        <v/>
      </c>
      <c r="J66" s="75">
        <f>TRUNC((_xlfn.NORM.INV((RAND()),$E$35,$E$36)),2)</f>
        <v/>
      </c>
      <c r="Z66" s="75" t="n">
        <v>40</v>
      </c>
      <c r="AA66" s="20">
        <f>TRUNC(IF(H66&lt;0,0,H66),0)</f>
        <v/>
      </c>
      <c r="AB66" s="20">
        <f>TRUNC(IF(I66&lt;0,0,I66),0)</f>
        <v/>
      </c>
      <c r="AC66" s="20">
        <f>TRUNC(IF(J66&lt;0,0,J66),0)</f>
        <v/>
      </c>
      <c r="AS66" s="75" t="n">
        <v>40</v>
      </c>
      <c r="AT66" s="5" t="n">
        <v>6</v>
      </c>
      <c r="AU66" s="5" t="n">
        <v>5</v>
      </c>
      <c r="AV66" s="5" t="n">
        <v>8</v>
      </c>
      <c r="AZ66" s="2" t="n"/>
      <c r="BA66" s="2" t="n"/>
      <c r="BB66" s="2" t="n"/>
      <c r="BE66" s="2" t="n"/>
      <c r="BF66" s="2" t="n"/>
      <c r="BG66" s="2" t="n"/>
    </row>
    <row r="67">
      <c r="G67" s="75" t="n">
        <v>41</v>
      </c>
      <c r="H67" s="75">
        <f>TRUNC((_xlfn.NORM.INV((RAND()),$E$35,$E$36)),2)</f>
        <v/>
      </c>
      <c r="I67" s="75">
        <f>TRUNC((_xlfn.NORM.INV((RAND()),$E$35,$E$36)),2)</f>
        <v/>
      </c>
      <c r="J67" s="75">
        <f>TRUNC((_xlfn.NORM.INV((RAND()),$E$35,$E$36)),2)</f>
        <v/>
      </c>
      <c r="Z67" s="75" t="n">
        <v>41</v>
      </c>
      <c r="AA67" s="20">
        <f>TRUNC(IF(H67&lt;0,0,H67),0)</f>
        <v/>
      </c>
      <c r="AB67" s="20">
        <f>TRUNC(IF(I67&lt;0,0,I67),0)</f>
        <v/>
      </c>
      <c r="AC67" s="20">
        <f>TRUNC(IF(J67&lt;0,0,J67),0)</f>
        <v/>
      </c>
      <c r="AS67" s="75" t="n">
        <v>41</v>
      </c>
      <c r="AT67" s="5" t="n">
        <v>5</v>
      </c>
      <c r="AU67" s="5" t="n">
        <v>4</v>
      </c>
      <c r="AV67" s="5" t="n">
        <v>3</v>
      </c>
      <c r="AZ67" s="2" t="n"/>
      <c r="BA67" s="2" t="n"/>
      <c r="BB67" s="2" t="n"/>
      <c r="BE67" s="2" t="n"/>
      <c r="BF67" s="2" t="n"/>
      <c r="BG67" s="2" t="n"/>
    </row>
    <row r="68">
      <c r="G68" s="75" t="n">
        <v>42</v>
      </c>
      <c r="H68" s="75">
        <f>TRUNC((_xlfn.NORM.INV((RAND()),$E$35,$E$36)),2)</f>
        <v/>
      </c>
      <c r="I68" s="75">
        <f>TRUNC((_xlfn.NORM.INV((RAND()),$E$35,$E$36)),2)</f>
        <v/>
      </c>
      <c r="J68" s="75">
        <f>TRUNC((_xlfn.NORM.INV((RAND()),$E$35,$E$36)),2)</f>
        <v/>
      </c>
      <c r="Z68" s="75" t="n">
        <v>42</v>
      </c>
      <c r="AA68" s="20">
        <f>TRUNC(IF(H68&lt;0,0,H68),0)</f>
        <v/>
      </c>
      <c r="AB68" s="20">
        <f>TRUNC(IF(I68&lt;0,0,I68),0)</f>
        <v/>
      </c>
      <c r="AC68" s="20">
        <f>TRUNC(IF(J68&lt;0,0,J68),0)</f>
        <v/>
      </c>
      <c r="AS68" s="75" t="n">
        <v>42</v>
      </c>
      <c r="AT68" s="5" t="n">
        <v>6</v>
      </c>
      <c r="AU68" s="5" t="n">
        <v>3</v>
      </c>
      <c r="AV68" s="5" t="n">
        <v>5</v>
      </c>
      <c r="AZ68" s="2" t="n"/>
      <c r="BA68" s="2" t="n"/>
      <c r="BB68" s="2" t="n"/>
      <c r="BE68" s="2" t="n"/>
      <c r="BF68" s="2" t="n"/>
      <c r="BG68" s="2" t="n"/>
    </row>
    <row r="69">
      <c r="G69" s="75" t="n">
        <v>43</v>
      </c>
      <c r="H69" s="75">
        <f>TRUNC((_xlfn.NORM.INV((RAND()),$E$35,$E$36)),2)</f>
        <v/>
      </c>
      <c r="I69" s="75">
        <f>TRUNC((_xlfn.NORM.INV((RAND()),$E$35,$E$36)),2)</f>
        <v/>
      </c>
      <c r="J69" s="75">
        <f>TRUNC((_xlfn.NORM.INV((RAND()),$E$35,$E$36)),2)</f>
        <v/>
      </c>
      <c r="Z69" s="75" t="n">
        <v>43</v>
      </c>
      <c r="AA69" s="20">
        <f>TRUNC(IF(H69&lt;0,0,H69),0)</f>
        <v/>
      </c>
      <c r="AB69" s="20">
        <f>TRUNC(IF(I69&lt;0,0,I69),0)</f>
        <v/>
      </c>
      <c r="AC69" s="20">
        <f>TRUNC(IF(J69&lt;0,0,J69),0)</f>
        <v/>
      </c>
      <c r="AS69" s="75" t="n">
        <v>43</v>
      </c>
      <c r="AT69" s="5" t="n">
        <v>6</v>
      </c>
      <c r="AU69" s="5" t="n">
        <v>6</v>
      </c>
      <c r="AV69" s="5" t="n">
        <v>5</v>
      </c>
      <c r="AZ69" s="2" t="n"/>
      <c r="BA69" s="2" t="n"/>
      <c r="BB69" s="2" t="n"/>
      <c r="BE69" s="2" t="n"/>
      <c r="BF69" s="2" t="n"/>
      <c r="BG69" s="2" t="n"/>
    </row>
    <row r="70">
      <c r="G70" s="75" t="n">
        <v>44</v>
      </c>
      <c r="H70" s="75">
        <f>TRUNC((_xlfn.NORM.INV((RAND()),$E$35,$E$36)),2)</f>
        <v/>
      </c>
      <c r="I70" s="75">
        <f>TRUNC((_xlfn.NORM.INV((RAND()),$E$35,$E$36)),2)</f>
        <v/>
      </c>
      <c r="J70" s="75">
        <f>TRUNC((_xlfn.NORM.INV((RAND()),$E$35,$E$36)),2)</f>
        <v/>
      </c>
      <c r="Z70" s="75" t="n">
        <v>44</v>
      </c>
      <c r="AA70" s="20">
        <f>TRUNC(IF(H70&lt;0,0,H70),0)</f>
        <v/>
      </c>
      <c r="AB70" s="20">
        <f>TRUNC(IF(I70&lt;0,0,I70),0)</f>
        <v/>
      </c>
      <c r="AC70" s="20">
        <f>TRUNC(IF(J70&lt;0,0,J70),0)</f>
        <v/>
      </c>
      <c r="AS70" s="75" t="n">
        <v>44</v>
      </c>
      <c r="AT70" s="5" t="n">
        <v>4</v>
      </c>
      <c r="AU70" s="5" t="n">
        <v>5</v>
      </c>
      <c r="AV70" s="5" t="n">
        <v>6</v>
      </c>
      <c r="AZ70" s="2" t="n"/>
      <c r="BA70" s="2" t="n"/>
      <c r="BB70" s="2" t="n"/>
      <c r="BE70" s="2" t="n"/>
      <c r="BF70" s="2" t="n"/>
      <c r="BG70" s="2" t="n"/>
    </row>
    <row r="71">
      <c r="G71" s="75" t="n">
        <v>45</v>
      </c>
      <c r="H71" s="75">
        <f>TRUNC((_xlfn.NORM.INV((RAND()),$E$35,$E$36)),2)</f>
        <v/>
      </c>
      <c r="I71" s="75">
        <f>TRUNC((_xlfn.NORM.INV((RAND()),$E$35,$E$36)),2)</f>
        <v/>
      </c>
      <c r="J71" s="75">
        <f>TRUNC((_xlfn.NORM.INV((RAND()),$E$35,$E$36)),2)</f>
        <v/>
      </c>
      <c r="Z71" s="75" t="n">
        <v>45</v>
      </c>
      <c r="AA71" s="20">
        <f>TRUNC(IF(H71&lt;0,0,H71),0)</f>
        <v/>
      </c>
      <c r="AB71" s="20">
        <f>TRUNC(IF(I71&lt;0,0,I71),0)</f>
        <v/>
      </c>
      <c r="AC71" s="20">
        <f>TRUNC(IF(J71&lt;0,0,J71),0)</f>
        <v/>
      </c>
      <c r="AS71" s="75" t="n">
        <v>45</v>
      </c>
      <c r="AT71" s="5" t="n">
        <v>3</v>
      </c>
      <c r="AU71" s="5" t="n">
        <v>4</v>
      </c>
      <c r="AV71" s="5" t="n">
        <v>6</v>
      </c>
      <c r="AZ71" s="2" t="n"/>
      <c r="BA71" s="2" t="n"/>
      <c r="BB71" s="2" t="n"/>
      <c r="BE71" s="2" t="n"/>
      <c r="BF71" s="2" t="n"/>
      <c r="BG71" s="2" t="n"/>
    </row>
    <row r="72">
      <c r="G72" s="75" t="n">
        <v>46</v>
      </c>
      <c r="H72" s="75">
        <f>TRUNC((_xlfn.NORM.INV((RAND()),$E$35,$E$36)),2)</f>
        <v/>
      </c>
      <c r="I72" s="75">
        <f>TRUNC((_xlfn.NORM.INV((RAND()),$E$35,$E$36)),2)</f>
        <v/>
      </c>
      <c r="J72" s="75">
        <f>TRUNC((_xlfn.NORM.INV((RAND()),$E$35,$E$36)),2)</f>
        <v/>
      </c>
      <c r="Z72" s="75" t="n">
        <v>46</v>
      </c>
      <c r="AA72" s="20">
        <f>TRUNC(IF(H72&lt;0,0,H72),0)</f>
        <v/>
      </c>
      <c r="AB72" s="20">
        <f>TRUNC(IF(I72&lt;0,0,I72),0)</f>
        <v/>
      </c>
      <c r="AC72" s="20">
        <f>TRUNC(IF(J72&lt;0,0,J72),0)</f>
        <v/>
      </c>
      <c r="AS72" s="75" t="n">
        <v>46</v>
      </c>
      <c r="AT72" s="5" t="n">
        <v>4</v>
      </c>
      <c r="AU72" s="5" t="n">
        <v>4</v>
      </c>
      <c r="AV72" s="5" t="n">
        <v>4</v>
      </c>
      <c r="AZ72" s="2" t="n"/>
      <c r="BA72" s="2" t="n"/>
      <c r="BB72" s="2" t="n"/>
      <c r="BE72" s="2" t="n"/>
      <c r="BF72" s="2" t="n"/>
      <c r="BG72" s="2" t="n"/>
    </row>
    <row r="73">
      <c r="G73" s="75" t="n">
        <v>47</v>
      </c>
      <c r="H73" s="75">
        <f>TRUNC((_xlfn.NORM.INV((RAND()),$E$35,$E$36)),2)</f>
        <v/>
      </c>
      <c r="I73" s="75">
        <f>TRUNC((_xlfn.NORM.INV((RAND()),$E$35,$E$36)),2)</f>
        <v/>
      </c>
      <c r="J73" s="75">
        <f>TRUNC((_xlfn.NORM.INV((RAND()),$E$35,$E$36)),2)</f>
        <v/>
      </c>
      <c r="Z73" s="75" t="n">
        <v>47</v>
      </c>
      <c r="AA73" s="20">
        <f>TRUNC(IF(H73&lt;0,0,H73),0)</f>
        <v/>
      </c>
      <c r="AB73" s="20">
        <f>TRUNC(IF(I73&lt;0,0,I73),0)</f>
        <v/>
      </c>
      <c r="AC73" s="20">
        <f>TRUNC(IF(J73&lt;0,0,J73),0)</f>
        <v/>
      </c>
      <c r="AS73" s="75" t="n">
        <v>47</v>
      </c>
      <c r="AT73" s="5" t="n">
        <v>6</v>
      </c>
      <c r="AU73" s="5" t="n">
        <v>5</v>
      </c>
      <c r="AV73" s="5" t="n">
        <v>6</v>
      </c>
      <c r="AZ73" s="2" t="n"/>
      <c r="BA73" s="2" t="n"/>
      <c r="BB73" s="2" t="n"/>
      <c r="BE73" s="2" t="n"/>
      <c r="BF73" s="2" t="n"/>
      <c r="BG73" s="2" t="n"/>
    </row>
    <row r="74">
      <c r="G74" s="75" t="n">
        <v>48</v>
      </c>
      <c r="H74" s="75">
        <f>TRUNC((_xlfn.NORM.INV((RAND()),$E$35,$E$36)),2)</f>
        <v/>
      </c>
      <c r="I74" s="75">
        <f>TRUNC((_xlfn.NORM.INV((RAND()),$E$35,$E$36)),2)</f>
        <v/>
      </c>
      <c r="J74" s="75">
        <f>TRUNC((_xlfn.NORM.INV((RAND()),$E$35,$E$36)),2)</f>
        <v/>
      </c>
      <c r="Z74" s="75" t="n">
        <v>48</v>
      </c>
      <c r="AA74" s="20">
        <f>TRUNC(IF(H74&lt;0,0,H74),0)</f>
        <v/>
      </c>
      <c r="AB74" s="20">
        <f>TRUNC(IF(I74&lt;0,0,I74),0)</f>
        <v/>
      </c>
      <c r="AC74" s="20">
        <f>TRUNC(IF(J74&lt;0,0,J74),0)</f>
        <v/>
      </c>
      <c r="AS74" s="75" t="n">
        <v>48</v>
      </c>
      <c r="AT74" s="5" t="n">
        <v>6</v>
      </c>
      <c r="AU74" s="5" t="n">
        <v>4</v>
      </c>
      <c r="AV74" s="5" t="n">
        <v>5</v>
      </c>
      <c r="AZ74" s="2" t="n"/>
      <c r="BA74" s="2" t="n"/>
      <c r="BB74" s="2" t="n"/>
      <c r="BE74" s="2" t="n"/>
      <c r="BF74" s="2" t="n"/>
      <c r="BG74" s="2" t="n"/>
    </row>
    <row r="75">
      <c r="G75" s="75" t="n">
        <v>49</v>
      </c>
      <c r="H75" s="75">
        <f>TRUNC((_xlfn.NORM.INV((RAND()),$E$35,$E$36)),2)</f>
        <v/>
      </c>
      <c r="I75" s="75">
        <f>TRUNC((_xlfn.NORM.INV((RAND()),$E$35,$E$36)),2)</f>
        <v/>
      </c>
      <c r="J75" s="75">
        <f>TRUNC((_xlfn.NORM.INV((RAND()),$E$35,$E$36)),2)</f>
        <v/>
      </c>
      <c r="Z75" s="75" t="n">
        <v>49</v>
      </c>
      <c r="AA75" s="20">
        <f>TRUNC(IF(H75&lt;0,0,H75),0)</f>
        <v/>
      </c>
      <c r="AB75" s="20">
        <f>TRUNC(IF(I75&lt;0,0,I75),0)</f>
        <v/>
      </c>
      <c r="AC75" s="20">
        <f>TRUNC(IF(J75&lt;0,0,J75),0)</f>
        <v/>
      </c>
      <c r="AS75" s="75" t="n">
        <v>49</v>
      </c>
      <c r="AT75" s="5" t="n">
        <v>4</v>
      </c>
      <c r="AU75" s="5" t="n">
        <v>6</v>
      </c>
      <c r="AV75" s="5" t="n">
        <v>3</v>
      </c>
      <c r="AZ75" s="2" t="n"/>
      <c r="BA75" s="2" t="n"/>
      <c r="BB75" s="2" t="n"/>
      <c r="BE75" s="2" t="n"/>
      <c r="BF75" s="2" t="n"/>
      <c r="BG75" s="2" t="n"/>
    </row>
    <row r="76">
      <c r="G76" s="75" t="n">
        <v>50</v>
      </c>
      <c r="H76" s="75">
        <f>TRUNC((_xlfn.NORM.INV((RAND()),$E$35,$E$36)),2)</f>
        <v/>
      </c>
      <c r="I76" s="75">
        <f>TRUNC((_xlfn.NORM.INV((RAND()),$E$35,$E$36)),2)</f>
        <v/>
      </c>
      <c r="J76" s="75">
        <f>TRUNC((_xlfn.NORM.INV((RAND()),$E$35,$E$36)),2)</f>
        <v/>
      </c>
      <c r="Z76" s="75" t="n">
        <v>50</v>
      </c>
      <c r="AA76" s="20">
        <f>TRUNC(IF(H76&lt;0,0,H76),0)</f>
        <v/>
      </c>
      <c r="AB76" s="20">
        <f>TRUNC(IF(I76&lt;0,0,I76),0)</f>
        <v/>
      </c>
      <c r="AC76" s="20">
        <f>TRUNC(IF(J76&lt;0,0,J76),0)</f>
        <v/>
      </c>
      <c r="AS76" s="75" t="n">
        <v>50</v>
      </c>
      <c r="AT76" s="5" t="n">
        <v>5</v>
      </c>
      <c r="AU76" s="5" t="n">
        <v>5</v>
      </c>
      <c r="AV76" s="5" t="n">
        <v>5</v>
      </c>
      <c r="AZ76" s="2" t="n"/>
      <c r="BA76" s="2" t="n"/>
      <c r="BB76" s="2" t="n"/>
      <c r="BE76" s="2" t="n"/>
      <c r="BF76" s="2" t="n"/>
      <c r="BG76" s="2" t="n"/>
    </row>
    <row r="77">
      <c r="G77" s="75" t="n">
        <v>51</v>
      </c>
      <c r="H77" s="75">
        <f>TRUNC((_xlfn.NORM.INV((RAND()),$E$35,$E$36)),2)</f>
        <v/>
      </c>
      <c r="I77" s="75">
        <f>TRUNC((_xlfn.NORM.INV((RAND()),$E$35,$E$36)),2)</f>
        <v/>
      </c>
      <c r="J77" s="75">
        <f>TRUNC((_xlfn.NORM.INV((RAND()),$E$35,$E$36)),2)</f>
        <v/>
      </c>
      <c r="Z77" s="75" t="n">
        <v>51</v>
      </c>
      <c r="AA77" s="20">
        <f>TRUNC(IF(H77&lt;0,0,H77),0)</f>
        <v/>
      </c>
      <c r="AB77" s="20">
        <f>TRUNC(IF(I77&lt;0,0,I77),0)</f>
        <v/>
      </c>
      <c r="AC77" s="20">
        <f>TRUNC(IF(J77&lt;0,0,J77),0)</f>
        <v/>
      </c>
      <c r="AS77" s="75" t="n">
        <v>51</v>
      </c>
      <c r="AT77" s="5" t="n">
        <v>8</v>
      </c>
      <c r="AU77" s="5" t="n">
        <v>8</v>
      </c>
      <c r="AV77" s="5" t="n">
        <v>3</v>
      </c>
      <c r="AZ77" s="2" t="n"/>
      <c r="BA77" s="2" t="n"/>
      <c r="BB77" s="2" t="n"/>
      <c r="BE77" s="2" t="n"/>
      <c r="BF77" s="2" t="n"/>
      <c r="BG77" s="2" t="n"/>
    </row>
    <row r="78">
      <c r="G78" s="75" t="n">
        <v>52</v>
      </c>
      <c r="H78" s="75">
        <f>TRUNC((_xlfn.NORM.INV((RAND()),$E$35,$E$36)),2)</f>
        <v/>
      </c>
      <c r="I78" s="75">
        <f>TRUNC((_xlfn.NORM.INV((RAND()),$E$35,$E$36)),2)</f>
        <v/>
      </c>
      <c r="J78" s="75">
        <f>TRUNC((_xlfn.NORM.INV((RAND()),$E$35,$E$36)),2)</f>
        <v/>
      </c>
      <c r="Z78" s="75" t="n">
        <v>52</v>
      </c>
      <c r="AA78" s="20">
        <f>TRUNC(IF(H78&lt;0,0,H78),0)</f>
        <v/>
      </c>
      <c r="AB78" s="20">
        <f>TRUNC(IF(I78&lt;0,0,I78),0)</f>
        <v/>
      </c>
      <c r="AC78" s="20">
        <f>TRUNC(IF(J78&lt;0,0,J78),0)</f>
        <v/>
      </c>
      <c r="AS78" s="75" t="n">
        <v>52</v>
      </c>
      <c r="AT78" s="5" t="n">
        <v>7</v>
      </c>
      <c r="AU78" s="5" t="n">
        <v>5</v>
      </c>
      <c r="AV78" s="5" t="n">
        <v>3</v>
      </c>
      <c r="AZ78" s="2" t="n"/>
      <c r="BA78" s="2" t="n"/>
      <c r="BB78" s="2" t="n"/>
      <c r="BE78" s="2" t="n"/>
      <c r="BF78" s="2" t="n"/>
      <c r="BG78" s="2" t="n"/>
    </row>
    <row r="79">
      <c r="G79" s="75" t="n">
        <v>53</v>
      </c>
      <c r="H79" s="75">
        <f>TRUNC((_xlfn.NORM.INV((RAND()),$E$35,$E$36)),2)</f>
        <v/>
      </c>
      <c r="I79" s="75">
        <f>TRUNC((_xlfn.NORM.INV((RAND()),$E$35,$E$36)),2)</f>
        <v/>
      </c>
      <c r="J79" s="75">
        <f>TRUNC((_xlfn.NORM.INV((RAND()),$E$35,$E$36)),2)</f>
        <v/>
      </c>
      <c r="Z79" s="75" t="n">
        <v>53</v>
      </c>
      <c r="AA79" s="20">
        <f>TRUNC(IF(H79&lt;0,0,H79),0)</f>
        <v/>
      </c>
      <c r="AB79" s="20">
        <f>TRUNC(IF(I79&lt;0,0,I79),0)</f>
        <v/>
      </c>
      <c r="AC79" s="20">
        <f>TRUNC(IF(J79&lt;0,0,J79),0)</f>
        <v/>
      </c>
      <c r="AS79" s="75" t="n">
        <v>53</v>
      </c>
      <c r="AT79" s="5" t="n">
        <v>6</v>
      </c>
      <c r="AU79" s="5" t="n">
        <v>5</v>
      </c>
      <c r="AV79" s="5" t="n">
        <v>4</v>
      </c>
      <c r="AZ79" s="2" t="n"/>
      <c r="BA79" s="2" t="n"/>
      <c r="BB79" s="2" t="n"/>
      <c r="BE79" s="2" t="n"/>
      <c r="BF79" s="2" t="n"/>
      <c r="BG79" s="2" t="n"/>
    </row>
    <row r="80">
      <c r="G80" s="75" t="n">
        <v>54</v>
      </c>
      <c r="H80" s="75">
        <f>TRUNC((_xlfn.NORM.INV((RAND()),$E$35,$E$36)),2)</f>
        <v/>
      </c>
      <c r="I80" s="75">
        <f>TRUNC((_xlfn.NORM.INV((RAND()),$E$35,$E$36)),2)</f>
        <v/>
      </c>
      <c r="J80" s="75">
        <f>TRUNC((_xlfn.NORM.INV((RAND()),$E$35,$E$36)),2)</f>
        <v/>
      </c>
      <c r="Z80" s="75" t="n">
        <v>54</v>
      </c>
      <c r="AA80" s="20">
        <f>TRUNC(IF(H80&lt;0,0,H80),0)</f>
        <v/>
      </c>
      <c r="AB80" s="20">
        <f>TRUNC(IF(I80&lt;0,0,I80),0)</f>
        <v/>
      </c>
      <c r="AC80" s="20">
        <f>TRUNC(IF(J80&lt;0,0,J80),0)</f>
        <v/>
      </c>
      <c r="AS80" s="75" t="n">
        <v>54</v>
      </c>
      <c r="AT80" s="5" t="n">
        <v>5</v>
      </c>
      <c r="AU80" s="5" t="n">
        <v>4</v>
      </c>
      <c r="AV80" s="5" t="n">
        <v>6</v>
      </c>
      <c r="AZ80" s="2" t="n"/>
      <c r="BA80" s="2" t="n"/>
      <c r="BB80" s="2" t="n"/>
      <c r="BE80" s="2" t="n"/>
      <c r="BF80" s="2" t="n"/>
      <c r="BG80" s="2" t="n"/>
    </row>
    <row r="81">
      <c r="G81" s="75" t="n">
        <v>55</v>
      </c>
      <c r="H81" s="75">
        <f>TRUNC((_xlfn.NORM.INV((RAND()),$E$35,$E$36)),2)</f>
        <v/>
      </c>
      <c r="I81" s="75">
        <f>TRUNC((_xlfn.NORM.INV((RAND()),$E$35,$E$36)),2)</f>
        <v/>
      </c>
      <c r="J81" s="75">
        <f>TRUNC((_xlfn.NORM.INV((RAND()),$E$35,$E$36)),2)</f>
        <v/>
      </c>
      <c r="Z81" s="75" t="n">
        <v>55</v>
      </c>
      <c r="AA81" s="20">
        <f>TRUNC(IF(H81&lt;0,0,H81),0)</f>
        <v/>
      </c>
      <c r="AB81" s="20">
        <f>TRUNC(IF(I81&lt;0,0,I81),0)</f>
        <v/>
      </c>
      <c r="AC81" s="20">
        <f>TRUNC(IF(J81&lt;0,0,J81),0)</f>
        <v/>
      </c>
      <c r="AS81" s="75" t="n">
        <v>55</v>
      </c>
      <c r="AT81" s="5" t="n">
        <v>5</v>
      </c>
      <c r="AU81" s="5" t="n">
        <v>5</v>
      </c>
      <c r="AV81" s="5" t="n">
        <v>6</v>
      </c>
      <c r="AZ81" s="2" t="n"/>
      <c r="BA81" s="2" t="n"/>
      <c r="BB81" s="2" t="n"/>
      <c r="BE81" s="2" t="n"/>
      <c r="BF81" s="2" t="n"/>
      <c r="BG81" s="2" t="n"/>
    </row>
    <row r="82">
      <c r="G82" s="75" t="n">
        <v>56</v>
      </c>
      <c r="H82" s="75">
        <f>TRUNC((_xlfn.NORM.INV((RAND()),$E$35,$E$36)),2)</f>
        <v/>
      </c>
      <c r="I82" s="75">
        <f>TRUNC((_xlfn.NORM.INV((RAND()),$E$35,$E$36)),2)</f>
        <v/>
      </c>
      <c r="J82" s="75">
        <f>TRUNC((_xlfn.NORM.INV((RAND()),$E$35,$E$36)),2)</f>
        <v/>
      </c>
      <c r="Z82" s="75" t="n">
        <v>56</v>
      </c>
      <c r="AA82" s="20">
        <f>TRUNC(IF(H82&lt;0,0,H82),0)</f>
        <v/>
      </c>
      <c r="AB82" s="20">
        <f>TRUNC(IF(I82&lt;0,0,I82),0)</f>
        <v/>
      </c>
      <c r="AC82" s="20">
        <f>TRUNC(IF(J82&lt;0,0,J82),0)</f>
        <v/>
      </c>
      <c r="AS82" s="75" t="n">
        <v>56</v>
      </c>
      <c r="AT82" s="5" t="n">
        <v>5</v>
      </c>
      <c r="AU82" s="5" t="n">
        <v>7</v>
      </c>
      <c r="AV82" s="5" t="n">
        <v>2</v>
      </c>
      <c r="AZ82" s="2" t="n"/>
      <c r="BA82" s="2" t="n"/>
      <c r="BB82" s="2" t="n"/>
      <c r="BE82" s="2" t="n"/>
      <c r="BF82" s="2" t="n"/>
      <c r="BG82" s="2" t="n"/>
    </row>
    <row r="83">
      <c r="G83" s="75" t="n">
        <v>57</v>
      </c>
      <c r="H83" s="75">
        <f>TRUNC((_xlfn.NORM.INV((RAND()),$E$35,$E$36)),2)</f>
        <v/>
      </c>
      <c r="I83" s="75">
        <f>TRUNC((_xlfn.NORM.INV((RAND()),$E$35,$E$36)),2)</f>
        <v/>
      </c>
      <c r="J83" s="75">
        <f>TRUNC((_xlfn.NORM.INV((RAND()),$E$35,$E$36)),2)</f>
        <v/>
      </c>
      <c r="Z83" s="75" t="n">
        <v>57</v>
      </c>
      <c r="AA83" s="20">
        <f>TRUNC(IF(H83&lt;0,0,H83),0)</f>
        <v/>
      </c>
      <c r="AB83" s="20">
        <f>TRUNC(IF(I83&lt;0,0,I83),0)</f>
        <v/>
      </c>
      <c r="AC83" s="20">
        <f>TRUNC(IF(J83&lt;0,0,J83),0)</f>
        <v/>
      </c>
      <c r="AS83" s="75" t="n">
        <v>57</v>
      </c>
      <c r="AT83" s="5" t="n">
        <v>3</v>
      </c>
      <c r="AU83" s="5" t="n">
        <v>6</v>
      </c>
      <c r="AV83" s="5" t="n">
        <v>6</v>
      </c>
      <c r="AZ83" s="2" t="n"/>
      <c r="BA83" s="2" t="n"/>
      <c r="BB83" s="2" t="n"/>
      <c r="BE83" s="2" t="n"/>
      <c r="BF83" s="2" t="n"/>
      <c r="BG83" s="2" t="n"/>
    </row>
    <row r="84">
      <c r="G84" s="75" t="n">
        <v>58</v>
      </c>
      <c r="H84" s="75">
        <f>TRUNC((_xlfn.NORM.INV((RAND()),$E$35,$E$36)),2)</f>
        <v/>
      </c>
      <c r="I84" s="75">
        <f>TRUNC((_xlfn.NORM.INV((RAND()),$E$35,$E$36)),2)</f>
        <v/>
      </c>
      <c r="J84" s="75">
        <f>TRUNC((_xlfn.NORM.INV((RAND()),$E$35,$E$36)),2)</f>
        <v/>
      </c>
      <c r="Z84" s="75" t="n">
        <v>58</v>
      </c>
      <c r="AA84" s="20">
        <f>TRUNC(IF(H84&lt;0,0,H84),0)</f>
        <v/>
      </c>
      <c r="AB84" s="20">
        <f>TRUNC(IF(I84&lt;0,0,I84),0)</f>
        <v/>
      </c>
      <c r="AC84" s="20">
        <f>TRUNC(IF(J84&lt;0,0,J84),0)</f>
        <v/>
      </c>
      <c r="AS84" s="75" t="n">
        <v>58</v>
      </c>
      <c r="AT84" s="5" t="n">
        <v>3</v>
      </c>
      <c r="AU84" s="5" t="n">
        <v>7</v>
      </c>
      <c r="AV84" s="5" t="n">
        <v>5</v>
      </c>
      <c r="AZ84" s="2" t="n"/>
      <c r="BA84" s="2" t="n"/>
      <c r="BB84" s="2" t="n"/>
      <c r="BE84" s="2" t="n"/>
      <c r="BF84" s="2" t="n"/>
      <c r="BG84" s="2" t="n"/>
    </row>
    <row r="85">
      <c r="G85" s="75" t="n">
        <v>59</v>
      </c>
      <c r="H85" s="75">
        <f>TRUNC((_xlfn.NORM.INV((RAND()),$E$35,$E$36)),2)</f>
        <v/>
      </c>
      <c r="I85" s="75">
        <f>TRUNC((_xlfn.NORM.INV((RAND()),$E$35,$E$36)),2)</f>
        <v/>
      </c>
      <c r="J85" s="75">
        <f>TRUNC((_xlfn.NORM.INV((RAND()),$E$35,$E$36)),2)</f>
        <v/>
      </c>
      <c r="Z85" s="75" t="n">
        <v>59</v>
      </c>
      <c r="AA85" s="20">
        <f>TRUNC(IF(H85&lt;0,0,H85),0)</f>
        <v/>
      </c>
      <c r="AB85" s="20">
        <f>TRUNC(IF(I85&lt;0,0,I85),0)</f>
        <v/>
      </c>
      <c r="AC85" s="20">
        <f>TRUNC(IF(J85&lt;0,0,J85),0)</f>
        <v/>
      </c>
      <c r="AS85" s="75" t="n">
        <v>59</v>
      </c>
      <c r="AT85" s="5" t="n">
        <v>3</v>
      </c>
      <c r="AU85" s="5" t="n">
        <v>5</v>
      </c>
      <c r="AV85" s="5" t="n">
        <v>6</v>
      </c>
      <c r="AZ85" s="2" t="n"/>
      <c r="BA85" s="2" t="n"/>
      <c r="BB85" s="2" t="n"/>
      <c r="BE85" s="2" t="n"/>
      <c r="BF85" s="2" t="n"/>
      <c r="BG85" s="2" t="n"/>
    </row>
    <row r="86">
      <c r="G86" s="75" t="n">
        <v>60</v>
      </c>
      <c r="H86" s="75">
        <f>TRUNC((_xlfn.NORM.INV((RAND()),$E$35,$E$36)),2)</f>
        <v/>
      </c>
      <c r="I86" s="75">
        <f>TRUNC((_xlfn.NORM.INV((RAND()),$E$35,$E$36)),2)</f>
        <v/>
      </c>
      <c r="J86" s="75">
        <f>TRUNC((_xlfn.NORM.INV((RAND()),$E$35,$E$36)),2)</f>
        <v/>
      </c>
      <c r="Z86" s="75" t="n">
        <v>60</v>
      </c>
      <c r="AA86" s="20">
        <f>TRUNC(IF(H86&lt;0,0,H86),0)</f>
        <v/>
      </c>
      <c r="AB86" s="20">
        <f>TRUNC(IF(I86&lt;0,0,I86),0)</f>
        <v/>
      </c>
      <c r="AC86" s="20">
        <f>TRUNC(IF(J86&lt;0,0,J86),0)</f>
        <v/>
      </c>
      <c r="AS86" s="75" t="n">
        <v>60</v>
      </c>
      <c r="AT86" s="5" t="n">
        <v>4</v>
      </c>
      <c r="AU86" s="5" t="n">
        <v>4</v>
      </c>
      <c r="AV86" s="5" t="n">
        <v>7</v>
      </c>
      <c r="AZ86" s="2" t="n"/>
      <c r="BA86" s="2" t="n"/>
      <c r="BB86" s="2" t="n"/>
      <c r="BE86" s="2" t="n"/>
      <c r="BF86" s="2" t="n"/>
      <c r="BG86" s="2" t="n"/>
    </row>
    <row r="87">
      <c r="G87" s="75" t="n">
        <v>61</v>
      </c>
      <c r="H87" s="75">
        <f>TRUNC((_xlfn.NORM.INV((RAND()),$E$35,$E$36)),2)</f>
        <v/>
      </c>
      <c r="I87" s="75">
        <f>TRUNC((_xlfn.NORM.INV((RAND()),$E$35,$E$36)),2)</f>
        <v/>
      </c>
      <c r="J87" s="75">
        <f>TRUNC((_xlfn.NORM.INV((RAND()),$E$35,$E$36)),2)</f>
        <v/>
      </c>
      <c r="Z87" s="75" t="n">
        <v>61</v>
      </c>
      <c r="AA87" s="20">
        <f>TRUNC(IF(H87&lt;0,0,H87),0)</f>
        <v/>
      </c>
      <c r="AB87" s="20">
        <f>TRUNC(IF(I87&lt;0,0,I87),0)</f>
        <v/>
      </c>
      <c r="AC87" s="20">
        <f>TRUNC(IF(J87&lt;0,0,J87),0)</f>
        <v/>
      </c>
      <c r="AS87" s="75" t="n">
        <v>61</v>
      </c>
      <c r="AT87" s="5" t="n">
        <v>4</v>
      </c>
      <c r="AU87" s="5" t="n">
        <v>6</v>
      </c>
      <c r="AV87" s="5" t="n">
        <v>4</v>
      </c>
      <c r="AZ87" s="2" t="n"/>
      <c r="BA87" s="2" t="n"/>
      <c r="BB87" s="2" t="n"/>
      <c r="BE87" s="2" t="n"/>
      <c r="BF87" s="2" t="n"/>
      <c r="BG87" s="2" t="n"/>
    </row>
    <row r="88">
      <c r="G88" s="75" t="n">
        <v>62</v>
      </c>
      <c r="H88" s="75">
        <f>TRUNC((_xlfn.NORM.INV((RAND()),$E$35,$E$36)),2)</f>
        <v/>
      </c>
      <c r="I88" s="75">
        <f>TRUNC((_xlfn.NORM.INV((RAND()),$E$35,$E$36)),2)</f>
        <v/>
      </c>
      <c r="J88" s="75">
        <f>TRUNC((_xlfn.NORM.INV((RAND()),$E$35,$E$36)),2)</f>
        <v/>
      </c>
      <c r="Z88" s="75" t="n">
        <v>62</v>
      </c>
      <c r="AA88" s="20">
        <f>TRUNC(IF(H88&lt;0,0,H88),0)</f>
        <v/>
      </c>
      <c r="AB88" s="20">
        <f>TRUNC(IF(I88&lt;0,0,I88),0)</f>
        <v/>
      </c>
      <c r="AC88" s="20">
        <f>TRUNC(IF(J88&lt;0,0,J88),0)</f>
        <v/>
      </c>
      <c r="AS88" s="75" t="n">
        <v>62</v>
      </c>
      <c r="AT88" s="5" t="n">
        <v>3</v>
      </c>
      <c r="AU88" s="5" t="n">
        <v>6</v>
      </c>
      <c r="AV88" s="5" t="n">
        <v>4</v>
      </c>
      <c r="AZ88" s="2" t="n"/>
      <c r="BA88" s="2" t="n"/>
      <c r="BB88" s="2" t="n"/>
      <c r="BE88" s="2" t="n"/>
      <c r="BF88" s="2" t="n"/>
      <c r="BG88" s="2" t="n"/>
    </row>
    <row r="89">
      <c r="G89" s="75" t="n">
        <v>63</v>
      </c>
      <c r="H89" s="75">
        <f>TRUNC((_xlfn.NORM.INV((RAND()),$E$35,$E$36)),2)</f>
        <v/>
      </c>
      <c r="I89" s="75">
        <f>TRUNC((_xlfn.NORM.INV((RAND()),$E$35,$E$36)),2)</f>
        <v/>
      </c>
      <c r="J89" s="75">
        <f>TRUNC((_xlfn.NORM.INV((RAND()),$E$35,$E$36)),2)</f>
        <v/>
      </c>
      <c r="Z89" s="75" t="n">
        <v>63</v>
      </c>
      <c r="AA89" s="20">
        <f>TRUNC(IF(H89&lt;0,0,H89),0)</f>
        <v/>
      </c>
      <c r="AB89" s="20">
        <f>TRUNC(IF(I89&lt;0,0,I89),0)</f>
        <v/>
      </c>
      <c r="AC89" s="20">
        <f>TRUNC(IF(J89&lt;0,0,J89),0)</f>
        <v/>
      </c>
      <c r="AS89" s="75" t="n">
        <v>63</v>
      </c>
      <c r="AT89" s="5" t="n">
        <v>4</v>
      </c>
      <c r="AU89" s="5" t="n">
        <v>7</v>
      </c>
      <c r="AV89" s="5" t="n">
        <v>2</v>
      </c>
      <c r="AZ89" s="2" t="n"/>
      <c r="BA89" s="2" t="n"/>
      <c r="BB89" s="2" t="n"/>
      <c r="BE89" s="2" t="n"/>
      <c r="BF89" s="2" t="n"/>
      <c r="BG89" s="2" t="n"/>
    </row>
    <row r="90">
      <c r="G90" s="75" t="n">
        <v>64</v>
      </c>
      <c r="H90" s="75">
        <f>TRUNC((_xlfn.NORM.INV((RAND()),$E$35,$E$36)),2)</f>
        <v/>
      </c>
      <c r="I90" s="75">
        <f>TRUNC((_xlfn.NORM.INV((RAND()),$E$35,$E$36)),2)</f>
        <v/>
      </c>
      <c r="J90" s="75">
        <f>TRUNC((_xlfn.NORM.INV((RAND()),$E$35,$E$36)),2)</f>
        <v/>
      </c>
      <c r="Z90" s="75" t="n">
        <v>64</v>
      </c>
      <c r="AA90" s="20">
        <f>TRUNC(IF(H90&lt;0,0,H90),0)</f>
        <v/>
      </c>
      <c r="AB90" s="20">
        <f>TRUNC(IF(I90&lt;0,0,I90),0)</f>
        <v/>
      </c>
      <c r="AC90" s="20">
        <f>TRUNC(IF(J90&lt;0,0,J90),0)</f>
        <v/>
      </c>
      <c r="AS90" s="75" t="n">
        <v>64</v>
      </c>
      <c r="AT90" s="5" t="n">
        <v>6</v>
      </c>
      <c r="AU90" s="5" t="n">
        <v>2</v>
      </c>
      <c r="AV90" s="5" t="n">
        <v>2</v>
      </c>
      <c r="AZ90" s="2" t="n"/>
      <c r="BA90" s="2" t="n"/>
      <c r="BB90" s="2" t="n"/>
      <c r="BE90" s="2" t="n"/>
      <c r="BF90" s="2" t="n"/>
      <c r="BG90" s="2" t="n"/>
    </row>
    <row r="91">
      <c r="G91" s="75" t="n">
        <v>65</v>
      </c>
      <c r="H91" s="75">
        <f>TRUNC((_xlfn.NORM.INV((RAND()),$E$35,$E$36)),2)</f>
        <v/>
      </c>
      <c r="I91" s="75">
        <f>TRUNC((_xlfn.NORM.INV((RAND()),$E$35,$E$36)),2)</f>
        <v/>
      </c>
      <c r="J91" s="75">
        <f>TRUNC((_xlfn.NORM.INV((RAND()),$E$35,$E$36)),2)</f>
        <v/>
      </c>
      <c r="Z91" s="75" t="n">
        <v>65</v>
      </c>
      <c r="AA91" s="20">
        <f>TRUNC(IF(H91&lt;0,0,H91),0)</f>
        <v/>
      </c>
      <c r="AB91" s="20">
        <f>TRUNC(IF(I91&lt;0,0,I91),0)</f>
        <v/>
      </c>
      <c r="AC91" s="20">
        <f>TRUNC(IF(J91&lt;0,0,J91),0)</f>
        <v/>
      </c>
      <c r="AS91" s="75" t="n">
        <v>65</v>
      </c>
      <c r="AT91" s="5" t="n">
        <v>4</v>
      </c>
      <c r="AU91" s="5" t="n">
        <v>6</v>
      </c>
      <c r="AV91" s="5" t="n">
        <v>4</v>
      </c>
      <c r="AZ91" s="2" t="n"/>
      <c r="BA91" s="2" t="n"/>
      <c r="BB91" s="2" t="n"/>
      <c r="BE91" s="2" t="n"/>
      <c r="BF91" s="2" t="n"/>
      <c r="BG91" s="2" t="n"/>
    </row>
    <row r="92">
      <c r="G92" s="75" t="n">
        <v>66</v>
      </c>
      <c r="H92" s="75">
        <f>TRUNC((_xlfn.NORM.INV((RAND()),$E$35,$E$36)),2)</f>
        <v/>
      </c>
      <c r="I92" s="75">
        <f>TRUNC((_xlfn.NORM.INV((RAND()),$E$35,$E$36)),2)</f>
        <v/>
      </c>
      <c r="J92" s="75">
        <f>TRUNC((_xlfn.NORM.INV((RAND()),$E$35,$E$36)),2)</f>
        <v/>
      </c>
      <c r="Z92" s="75" t="n">
        <v>66</v>
      </c>
      <c r="AA92" s="20">
        <f>TRUNC(IF(H92&lt;0,0,H92),0)</f>
        <v/>
      </c>
      <c r="AB92" s="20">
        <f>TRUNC(IF(I92&lt;0,0,I92),0)</f>
        <v/>
      </c>
      <c r="AC92" s="20">
        <f>TRUNC(IF(J92&lt;0,0,J92),0)</f>
        <v/>
      </c>
      <c r="AS92" s="75" t="n">
        <v>66</v>
      </c>
      <c r="AT92" s="5" t="n">
        <v>4</v>
      </c>
      <c r="AU92" s="5" t="n">
        <v>7</v>
      </c>
      <c r="AV92" s="5" t="n">
        <v>4</v>
      </c>
      <c r="AZ92" s="2" t="n"/>
      <c r="BA92" s="2" t="n"/>
      <c r="BB92" s="2" t="n"/>
      <c r="BE92" s="2" t="n"/>
      <c r="BF92" s="2" t="n"/>
      <c r="BG92" s="2" t="n"/>
    </row>
    <row r="93">
      <c r="G93" s="75" t="n">
        <v>67</v>
      </c>
      <c r="H93" s="75">
        <f>TRUNC((_xlfn.NORM.INV((RAND()),$E$35,$E$36)),2)</f>
        <v/>
      </c>
      <c r="I93" s="75">
        <f>TRUNC((_xlfn.NORM.INV((RAND()),$E$35,$E$36)),2)</f>
        <v/>
      </c>
      <c r="J93" s="75">
        <f>TRUNC((_xlfn.NORM.INV((RAND()),$E$35,$E$36)),2)</f>
        <v/>
      </c>
      <c r="Z93" s="75" t="n">
        <v>67</v>
      </c>
      <c r="AA93" s="20">
        <f>TRUNC(IF(H93&lt;0,0,H93),0)</f>
        <v/>
      </c>
      <c r="AB93" s="20">
        <f>TRUNC(IF(I93&lt;0,0,I93),0)</f>
        <v/>
      </c>
      <c r="AC93" s="20">
        <f>TRUNC(IF(J93&lt;0,0,J93),0)</f>
        <v/>
      </c>
      <c r="AS93" s="75" t="n">
        <v>67</v>
      </c>
      <c r="AT93" s="5" t="n">
        <v>4</v>
      </c>
      <c r="AU93" s="5" t="n">
        <v>5</v>
      </c>
      <c r="AV93" s="5" t="n">
        <v>4</v>
      </c>
      <c r="AZ93" s="2" t="n"/>
      <c r="BA93" s="2" t="n"/>
      <c r="BB93" s="2" t="n"/>
      <c r="BE93" s="2" t="n"/>
      <c r="BF93" s="2" t="n"/>
      <c r="BG93" s="2" t="n"/>
    </row>
    <row r="94">
      <c r="G94" s="75" t="n">
        <v>68</v>
      </c>
      <c r="H94" s="75">
        <f>TRUNC((_xlfn.NORM.INV((RAND()),$E$35,$E$36)),2)</f>
        <v/>
      </c>
      <c r="I94" s="75">
        <f>TRUNC((_xlfn.NORM.INV((RAND()),$E$35,$E$36)),2)</f>
        <v/>
      </c>
      <c r="J94" s="75">
        <f>TRUNC((_xlfn.NORM.INV((RAND()),$E$35,$E$36)),2)</f>
        <v/>
      </c>
      <c r="Z94" s="75" t="n">
        <v>68</v>
      </c>
      <c r="AA94" s="20">
        <f>TRUNC(IF(H94&lt;0,0,H94),0)</f>
        <v/>
      </c>
      <c r="AB94" s="20">
        <f>TRUNC(IF(I94&lt;0,0,I94),0)</f>
        <v/>
      </c>
      <c r="AC94" s="20">
        <f>TRUNC(IF(J94&lt;0,0,J94),0)</f>
        <v/>
      </c>
      <c r="AS94" s="75" t="n">
        <v>68</v>
      </c>
      <c r="AT94" s="5" t="n">
        <v>7</v>
      </c>
      <c r="AU94" s="5" t="n">
        <v>6</v>
      </c>
      <c r="AV94" s="5" t="n">
        <v>3</v>
      </c>
      <c r="AZ94" s="2" t="n"/>
      <c r="BA94" s="2" t="n"/>
      <c r="BB94" s="2" t="n"/>
      <c r="BE94" s="2" t="n"/>
      <c r="BF94" s="2" t="n"/>
      <c r="BG94" s="2" t="n"/>
    </row>
    <row r="95">
      <c r="G95" s="75" t="n">
        <v>69</v>
      </c>
      <c r="H95" s="75">
        <f>TRUNC((_xlfn.NORM.INV((RAND()),$E$35,$E$36)),2)</f>
        <v/>
      </c>
      <c r="I95" s="75">
        <f>TRUNC((_xlfn.NORM.INV((RAND()),$E$35,$E$36)),2)</f>
        <v/>
      </c>
      <c r="J95" s="75">
        <f>TRUNC((_xlfn.NORM.INV((RAND()),$E$35,$E$36)),2)</f>
        <v/>
      </c>
      <c r="Z95" s="75" t="n">
        <v>69</v>
      </c>
      <c r="AA95" s="20">
        <f>TRUNC(IF(H95&lt;0,0,H95),0)</f>
        <v/>
      </c>
      <c r="AB95" s="20">
        <f>TRUNC(IF(I95&lt;0,0,I95),0)</f>
        <v/>
      </c>
      <c r="AC95" s="20">
        <f>TRUNC(IF(J95&lt;0,0,J95),0)</f>
        <v/>
      </c>
      <c r="AS95" s="75" t="n">
        <v>69</v>
      </c>
      <c r="AT95" s="5" t="n">
        <v>6</v>
      </c>
      <c r="AU95" s="5" t="n">
        <v>3</v>
      </c>
      <c r="AV95" s="5" t="n">
        <v>6</v>
      </c>
      <c r="AZ95" s="2" t="n"/>
      <c r="BA95" s="2" t="n"/>
      <c r="BB95" s="2" t="n"/>
      <c r="BE95" s="2" t="n"/>
      <c r="BF95" s="2" t="n"/>
      <c r="BG95" s="2" t="n"/>
    </row>
    <row r="96">
      <c r="G96" s="75" t="n">
        <v>70</v>
      </c>
      <c r="H96" s="75">
        <f>TRUNC((_xlfn.NORM.INV((RAND()),$E$35,$E$36)),2)</f>
        <v/>
      </c>
      <c r="I96" s="75">
        <f>TRUNC((_xlfn.NORM.INV((RAND()),$E$35,$E$36)),2)</f>
        <v/>
      </c>
      <c r="J96" s="75">
        <f>TRUNC((_xlfn.NORM.INV((RAND()),$E$35,$E$36)),2)</f>
        <v/>
      </c>
      <c r="Z96" s="75" t="n">
        <v>70</v>
      </c>
      <c r="AA96" s="20">
        <f>TRUNC(IF(H96&lt;0,0,H96),0)</f>
        <v/>
      </c>
      <c r="AB96" s="20">
        <f>TRUNC(IF(I96&lt;0,0,I96),0)</f>
        <v/>
      </c>
      <c r="AC96" s="20">
        <f>TRUNC(IF(J96&lt;0,0,J96),0)</f>
        <v/>
      </c>
      <c r="AS96" s="75" t="n">
        <v>70</v>
      </c>
      <c r="AT96" s="5" t="n">
        <v>2</v>
      </c>
      <c r="AU96" s="5" t="n">
        <v>3</v>
      </c>
      <c r="AV96" s="5" t="n">
        <v>5</v>
      </c>
      <c r="AZ96" s="2" t="n"/>
      <c r="BA96" s="2" t="n"/>
      <c r="BB96" s="2" t="n"/>
      <c r="BE96" s="2" t="n"/>
      <c r="BF96" s="2" t="n"/>
      <c r="BG96" s="2" t="n"/>
    </row>
    <row r="97">
      <c r="G97" s="75" t="n">
        <v>71</v>
      </c>
      <c r="H97" s="75">
        <f>TRUNC((_xlfn.NORM.INV((RAND()),$E$35,$E$36)),2)</f>
        <v/>
      </c>
      <c r="I97" s="75">
        <f>TRUNC((_xlfn.NORM.INV((RAND()),$E$35,$E$36)),2)</f>
        <v/>
      </c>
      <c r="J97" s="75">
        <f>TRUNC((_xlfn.NORM.INV((RAND()),$E$35,$E$36)),2)</f>
        <v/>
      </c>
      <c r="Z97" s="75" t="n">
        <v>71</v>
      </c>
      <c r="AA97" s="20">
        <f>TRUNC(IF(H97&lt;0,0,H97),0)</f>
        <v/>
      </c>
      <c r="AB97" s="20">
        <f>TRUNC(IF(I97&lt;0,0,I97),0)</f>
        <v/>
      </c>
      <c r="AC97" s="20">
        <f>TRUNC(IF(J97&lt;0,0,J97),0)</f>
        <v/>
      </c>
      <c r="AS97" s="75" t="n">
        <v>71</v>
      </c>
      <c r="AT97" s="5" t="n">
        <v>6</v>
      </c>
      <c r="AU97" s="5" t="n">
        <v>5</v>
      </c>
      <c r="AV97" s="5" t="n">
        <v>3</v>
      </c>
      <c r="AZ97" s="2" t="n"/>
      <c r="BA97" s="2" t="n"/>
      <c r="BB97" s="2" t="n"/>
      <c r="BE97" s="2" t="n"/>
      <c r="BF97" s="2" t="n"/>
      <c r="BG97" s="2" t="n"/>
    </row>
    <row r="98">
      <c r="G98" s="75" t="n">
        <v>72</v>
      </c>
      <c r="H98" s="75">
        <f>TRUNC((_xlfn.NORM.INV((RAND()),$E$35,$E$36)),2)</f>
        <v/>
      </c>
      <c r="I98" s="75">
        <f>TRUNC((_xlfn.NORM.INV((RAND()),$E$35,$E$36)),2)</f>
        <v/>
      </c>
      <c r="J98" s="75">
        <f>TRUNC((_xlfn.NORM.INV((RAND()),$E$35,$E$36)),2)</f>
        <v/>
      </c>
      <c r="Z98" s="75" t="n">
        <v>72</v>
      </c>
      <c r="AA98" s="20">
        <f>TRUNC(IF(H98&lt;0,0,H98),0)</f>
        <v/>
      </c>
      <c r="AB98" s="20">
        <f>TRUNC(IF(I98&lt;0,0,I98),0)</f>
        <v/>
      </c>
      <c r="AC98" s="20">
        <f>TRUNC(IF(J98&lt;0,0,J98),0)</f>
        <v/>
      </c>
      <c r="AS98" s="75" t="n">
        <v>72</v>
      </c>
      <c r="AT98" s="5" t="n">
        <v>4</v>
      </c>
      <c r="AU98" s="5" t="n">
        <v>7</v>
      </c>
      <c r="AV98" s="5" t="n">
        <v>7</v>
      </c>
      <c r="AZ98" s="2" t="n"/>
      <c r="BA98" s="2" t="n"/>
      <c r="BB98" s="2" t="n"/>
      <c r="BE98" s="2" t="n"/>
      <c r="BF98" s="2" t="n"/>
      <c r="BG98" s="2" t="n"/>
    </row>
    <row r="99">
      <c r="G99" s="75" t="n">
        <v>73</v>
      </c>
      <c r="H99" s="75">
        <f>TRUNC((_xlfn.NORM.INV((RAND()),$E$35,$E$36)),2)</f>
        <v/>
      </c>
      <c r="I99" s="75">
        <f>TRUNC((_xlfn.NORM.INV((RAND()),$E$35,$E$36)),2)</f>
        <v/>
      </c>
      <c r="J99" s="75">
        <f>TRUNC((_xlfn.NORM.INV((RAND()),$E$35,$E$36)),2)</f>
        <v/>
      </c>
      <c r="Z99" s="75" t="n">
        <v>73</v>
      </c>
      <c r="AA99" s="20">
        <f>TRUNC(IF(H99&lt;0,0,H99),0)</f>
        <v/>
      </c>
      <c r="AB99" s="20">
        <f>TRUNC(IF(I99&lt;0,0,I99),0)</f>
        <v/>
      </c>
      <c r="AC99" s="20">
        <f>TRUNC(IF(J99&lt;0,0,J99),0)</f>
        <v/>
      </c>
      <c r="AS99" s="75" t="n">
        <v>73</v>
      </c>
      <c r="AT99" s="5" t="n">
        <v>5</v>
      </c>
      <c r="AU99" s="5" t="n">
        <v>5</v>
      </c>
      <c r="AV99" s="5" t="n">
        <v>6</v>
      </c>
      <c r="AZ99" s="2" t="n"/>
      <c r="BA99" s="2" t="n"/>
      <c r="BB99" s="2" t="n"/>
      <c r="BE99" s="2" t="n"/>
      <c r="BF99" s="2" t="n"/>
      <c r="BG99" s="2" t="n"/>
    </row>
    <row r="100">
      <c r="G100" s="75" t="n">
        <v>74</v>
      </c>
      <c r="H100" s="75">
        <f>TRUNC((_xlfn.NORM.INV((RAND()),$E$35,$E$36)),2)</f>
        <v/>
      </c>
      <c r="I100" s="75">
        <f>TRUNC((_xlfn.NORM.INV((RAND()),$E$35,$E$36)),2)</f>
        <v/>
      </c>
      <c r="J100" s="75">
        <f>TRUNC((_xlfn.NORM.INV((RAND()),$E$35,$E$36)),2)</f>
        <v/>
      </c>
      <c r="Z100" s="75" t="n">
        <v>74</v>
      </c>
      <c r="AA100" s="20">
        <f>TRUNC(IF(H100&lt;0,0,H100),0)</f>
        <v/>
      </c>
      <c r="AB100" s="20">
        <f>TRUNC(IF(I100&lt;0,0,I100),0)</f>
        <v/>
      </c>
      <c r="AC100" s="20">
        <f>TRUNC(IF(J100&lt;0,0,J100),0)</f>
        <v/>
      </c>
      <c r="AS100" s="75" t="n">
        <v>74</v>
      </c>
      <c r="AT100" s="5" t="n">
        <v>5</v>
      </c>
      <c r="AU100" s="5" t="n">
        <v>6</v>
      </c>
      <c r="AV100" s="5" t="n">
        <v>6</v>
      </c>
      <c r="AZ100" s="2" t="n"/>
      <c r="BA100" s="2" t="n"/>
      <c r="BB100" s="2" t="n"/>
      <c r="BE100" s="2" t="n"/>
      <c r="BF100" s="2" t="n"/>
      <c r="BG100" s="2" t="n"/>
    </row>
    <row r="101">
      <c r="G101" s="75" t="n">
        <v>75</v>
      </c>
      <c r="H101" s="75">
        <f>TRUNC((_xlfn.NORM.INV((RAND()),$E$35,$E$36)),2)</f>
        <v/>
      </c>
      <c r="I101" s="75">
        <f>TRUNC((_xlfn.NORM.INV((RAND()),$E$35,$E$36)),2)</f>
        <v/>
      </c>
      <c r="J101" s="75">
        <f>TRUNC((_xlfn.NORM.INV((RAND()),$E$35,$E$36)),2)</f>
        <v/>
      </c>
      <c r="Z101" s="75" t="n">
        <v>75</v>
      </c>
      <c r="AA101" s="20">
        <f>TRUNC(IF(H101&lt;0,0,H101),0)</f>
        <v/>
      </c>
      <c r="AB101" s="20">
        <f>TRUNC(IF(I101&lt;0,0,I101),0)</f>
        <v/>
      </c>
      <c r="AC101" s="20">
        <f>TRUNC(IF(J101&lt;0,0,J101),0)</f>
        <v/>
      </c>
      <c r="AS101" s="75" t="n">
        <v>75</v>
      </c>
      <c r="AT101" s="5" t="n">
        <v>4</v>
      </c>
      <c r="AU101" s="5" t="n">
        <v>5</v>
      </c>
      <c r="AV101" s="5" t="n">
        <v>2</v>
      </c>
      <c r="AZ101" s="2" t="n"/>
      <c r="BA101" s="2" t="n"/>
      <c r="BB101" s="2" t="n"/>
      <c r="BE101" s="2" t="n"/>
      <c r="BF101" s="2" t="n"/>
      <c r="BG101" s="2" t="n"/>
    </row>
    <row r="102">
      <c r="G102" s="75" t="n">
        <v>76</v>
      </c>
      <c r="H102" s="75">
        <f>TRUNC((_xlfn.NORM.INV((RAND()),$E$35,$E$36)),2)</f>
        <v/>
      </c>
      <c r="I102" s="75">
        <f>TRUNC((_xlfn.NORM.INV((RAND()),$E$35,$E$36)),2)</f>
        <v/>
      </c>
      <c r="J102" s="75">
        <f>TRUNC((_xlfn.NORM.INV((RAND()),$E$35,$E$36)),2)</f>
        <v/>
      </c>
      <c r="Z102" s="75" t="n">
        <v>76</v>
      </c>
      <c r="AA102" s="20">
        <f>TRUNC(IF(H102&lt;0,0,H102),0)</f>
        <v/>
      </c>
      <c r="AB102" s="20">
        <f>TRUNC(IF(I102&lt;0,0,I102),0)</f>
        <v/>
      </c>
      <c r="AC102" s="20">
        <f>TRUNC(IF(J102&lt;0,0,J102),0)</f>
        <v/>
      </c>
      <c r="AS102" s="75" t="n">
        <v>76</v>
      </c>
      <c r="AT102" s="5" t="n">
        <v>4</v>
      </c>
      <c r="AU102" s="5" t="n">
        <v>4</v>
      </c>
      <c r="AV102" s="5" t="n">
        <v>3</v>
      </c>
      <c r="AZ102" s="2" t="n"/>
      <c r="BA102" s="2" t="n"/>
      <c r="BB102" s="2" t="n"/>
      <c r="BE102" s="2" t="n"/>
      <c r="BF102" s="2" t="n"/>
      <c r="BG102" s="2" t="n"/>
    </row>
    <row r="103">
      <c r="G103" s="75" t="n">
        <v>77</v>
      </c>
      <c r="H103" s="75">
        <f>TRUNC((_xlfn.NORM.INV((RAND()),$E$35,$E$36)),2)</f>
        <v/>
      </c>
      <c r="I103" s="75">
        <f>TRUNC((_xlfn.NORM.INV((RAND()),$E$35,$E$36)),2)</f>
        <v/>
      </c>
      <c r="J103" s="75">
        <f>TRUNC((_xlfn.NORM.INV((RAND()),$E$35,$E$36)),2)</f>
        <v/>
      </c>
      <c r="Z103" s="75" t="n">
        <v>77</v>
      </c>
      <c r="AA103" s="20">
        <f>TRUNC(IF(H103&lt;0,0,H103),0)</f>
        <v/>
      </c>
      <c r="AB103" s="20">
        <f>TRUNC(IF(I103&lt;0,0,I103),0)</f>
        <v/>
      </c>
      <c r="AC103" s="20">
        <f>TRUNC(IF(J103&lt;0,0,J103),0)</f>
        <v/>
      </c>
      <c r="AS103" s="75" t="n">
        <v>77</v>
      </c>
      <c r="AT103" s="5" t="n">
        <v>6</v>
      </c>
      <c r="AU103" s="5" t="n">
        <v>5</v>
      </c>
      <c r="AV103" s="5" t="n">
        <v>4</v>
      </c>
      <c r="AZ103" s="2" t="n"/>
      <c r="BA103" s="2" t="n"/>
      <c r="BB103" s="2" t="n"/>
      <c r="BE103" s="2" t="n"/>
      <c r="BF103" s="2" t="n"/>
      <c r="BG103" s="2" t="n"/>
    </row>
    <row r="104">
      <c r="G104" s="75" t="n">
        <v>78</v>
      </c>
      <c r="H104" s="75">
        <f>TRUNC((_xlfn.NORM.INV((RAND()),$E$35,$E$36)),2)</f>
        <v/>
      </c>
      <c r="I104" s="75">
        <f>TRUNC((_xlfn.NORM.INV((RAND()),$E$35,$E$36)),2)</f>
        <v/>
      </c>
      <c r="J104" s="75">
        <f>TRUNC((_xlfn.NORM.INV((RAND()),$E$35,$E$36)),2)</f>
        <v/>
      </c>
      <c r="Z104" s="75" t="n">
        <v>78</v>
      </c>
      <c r="AA104" s="20">
        <f>TRUNC(IF(H104&lt;0,0,H104),0)</f>
        <v/>
      </c>
      <c r="AB104" s="20">
        <f>TRUNC(IF(I104&lt;0,0,I104),0)</f>
        <v/>
      </c>
      <c r="AC104" s="20">
        <f>TRUNC(IF(J104&lt;0,0,J104),0)</f>
        <v/>
      </c>
      <c r="AS104" s="75" t="n">
        <v>78</v>
      </c>
      <c r="AT104" s="5" t="n">
        <v>5</v>
      </c>
      <c r="AU104" s="5" t="n">
        <v>2</v>
      </c>
      <c r="AV104" s="5" t="n">
        <v>5</v>
      </c>
      <c r="AZ104" s="2" t="n"/>
      <c r="BA104" s="2" t="n"/>
      <c r="BB104" s="2" t="n"/>
      <c r="BE104" s="2" t="n"/>
      <c r="BF104" s="2" t="n"/>
      <c r="BG104" s="2" t="n"/>
    </row>
    <row r="105">
      <c r="G105" s="75" t="n">
        <v>79</v>
      </c>
      <c r="H105" s="75">
        <f>TRUNC((_xlfn.NORM.INV((RAND()),$E$35,$E$36)),2)</f>
        <v/>
      </c>
      <c r="I105" s="75">
        <f>TRUNC((_xlfn.NORM.INV((RAND()),$E$35,$E$36)),2)</f>
        <v/>
      </c>
      <c r="J105" s="75">
        <f>TRUNC((_xlfn.NORM.INV((RAND()),$E$35,$E$36)),2)</f>
        <v/>
      </c>
      <c r="Z105" s="75" t="n">
        <v>79</v>
      </c>
      <c r="AA105" s="20">
        <f>TRUNC(IF(H105&lt;0,0,H105),0)</f>
        <v/>
      </c>
      <c r="AB105" s="20">
        <f>TRUNC(IF(I105&lt;0,0,I105),0)</f>
        <v/>
      </c>
      <c r="AC105" s="20">
        <f>TRUNC(IF(J105&lt;0,0,J105),0)</f>
        <v/>
      </c>
      <c r="AS105" s="75" t="n">
        <v>79</v>
      </c>
      <c r="AT105" s="5" t="n">
        <v>5</v>
      </c>
      <c r="AU105" s="5" t="n">
        <v>4</v>
      </c>
      <c r="AV105" s="5" t="n">
        <v>4</v>
      </c>
      <c r="AZ105" s="2" t="n"/>
      <c r="BA105" s="2" t="n"/>
      <c r="BB105" s="2" t="n"/>
      <c r="BE105" s="2" t="n"/>
      <c r="BF105" s="2" t="n"/>
      <c r="BG105" s="2" t="n"/>
    </row>
    <row r="106">
      <c r="G106" s="75" t="n">
        <v>80</v>
      </c>
      <c r="H106" s="75">
        <f>TRUNC((_xlfn.NORM.INV((RAND()),$E$35,$E$36)),2)</f>
        <v/>
      </c>
      <c r="I106" s="75">
        <f>TRUNC((_xlfn.NORM.INV((RAND()),$E$35,$E$36)),2)</f>
        <v/>
      </c>
      <c r="J106" s="75">
        <f>TRUNC((_xlfn.NORM.INV((RAND()),$E$35,$E$36)),2)</f>
        <v/>
      </c>
      <c r="Z106" s="75" t="n">
        <v>80</v>
      </c>
      <c r="AA106" s="20">
        <f>TRUNC(IF(H106&lt;0,0,H106),0)</f>
        <v/>
      </c>
      <c r="AB106" s="20">
        <f>TRUNC(IF(I106&lt;0,0,I106),0)</f>
        <v/>
      </c>
      <c r="AC106" s="20">
        <f>TRUNC(IF(J106&lt;0,0,J106),0)</f>
        <v/>
      </c>
      <c r="AS106" s="75" t="n">
        <v>80</v>
      </c>
      <c r="AT106" s="5" t="n">
        <v>4</v>
      </c>
      <c r="AU106" s="5" t="n">
        <v>5</v>
      </c>
      <c r="AV106" s="5" t="n">
        <v>5</v>
      </c>
      <c r="AZ106" s="2" t="n"/>
      <c r="BA106" s="2" t="n"/>
      <c r="BB106" s="2" t="n"/>
      <c r="BE106" s="2" t="n"/>
      <c r="BF106" s="2" t="n"/>
      <c r="BG106" s="2" t="n"/>
    </row>
    <row r="107">
      <c r="G107" s="75" t="n">
        <v>81</v>
      </c>
      <c r="H107" s="75">
        <f>TRUNC((_xlfn.NORM.INV((RAND()),$E$35,$E$36)),2)</f>
        <v/>
      </c>
      <c r="I107" s="75">
        <f>TRUNC((_xlfn.NORM.INV((RAND()),$E$35,$E$36)),2)</f>
        <v/>
      </c>
      <c r="J107" s="75">
        <f>TRUNC((_xlfn.NORM.INV((RAND()),$E$35,$E$36)),2)</f>
        <v/>
      </c>
      <c r="Z107" s="75" t="n">
        <v>81</v>
      </c>
      <c r="AA107" s="20">
        <f>TRUNC(IF(H107&lt;0,0,H107),0)</f>
        <v/>
      </c>
      <c r="AB107" s="20">
        <f>TRUNC(IF(I107&lt;0,0,I107),0)</f>
        <v/>
      </c>
      <c r="AC107" s="20">
        <f>TRUNC(IF(J107&lt;0,0,J107),0)</f>
        <v/>
      </c>
      <c r="AS107" s="75" t="n">
        <v>81</v>
      </c>
      <c r="AT107" s="5" t="n">
        <v>3</v>
      </c>
      <c r="AU107" s="5" t="n">
        <v>3</v>
      </c>
      <c r="AV107" s="5" t="n">
        <v>6</v>
      </c>
      <c r="AZ107" s="2" t="n"/>
      <c r="BA107" s="2" t="n"/>
      <c r="BB107" s="2" t="n"/>
      <c r="BE107" s="2" t="n"/>
      <c r="BF107" s="2" t="n"/>
      <c r="BG107" s="2" t="n"/>
    </row>
    <row r="108">
      <c r="G108" s="75" t="n">
        <v>82</v>
      </c>
      <c r="H108" s="75">
        <f>TRUNC((_xlfn.NORM.INV((RAND()),$E$35,$E$36)),2)</f>
        <v/>
      </c>
      <c r="I108" s="75">
        <f>TRUNC((_xlfn.NORM.INV((RAND()),$E$35,$E$36)),2)</f>
        <v/>
      </c>
      <c r="J108" s="75">
        <f>TRUNC((_xlfn.NORM.INV((RAND()),$E$35,$E$36)),2)</f>
        <v/>
      </c>
      <c r="Z108" s="75" t="n">
        <v>82</v>
      </c>
      <c r="AA108" s="20">
        <f>TRUNC(IF(H108&lt;0,0,H108),0)</f>
        <v/>
      </c>
      <c r="AB108" s="20">
        <f>TRUNC(IF(I108&lt;0,0,I108),0)</f>
        <v/>
      </c>
      <c r="AC108" s="20">
        <f>TRUNC(IF(J108&lt;0,0,J108),0)</f>
        <v/>
      </c>
      <c r="AS108" s="75" t="n">
        <v>82</v>
      </c>
      <c r="AT108" s="5" t="n">
        <v>8</v>
      </c>
      <c r="AU108" s="5" t="n">
        <v>7</v>
      </c>
      <c r="AV108" s="5" t="n">
        <v>6</v>
      </c>
      <c r="AZ108" s="2" t="n"/>
      <c r="BA108" s="2" t="n"/>
      <c r="BB108" s="2" t="n"/>
      <c r="BE108" s="2" t="n"/>
      <c r="BF108" s="2" t="n"/>
      <c r="BG108" s="2" t="n"/>
    </row>
    <row r="109">
      <c r="G109" s="75" t="n">
        <v>83</v>
      </c>
      <c r="H109" s="75">
        <f>TRUNC((_xlfn.NORM.INV((RAND()),$E$35,$E$36)),2)</f>
        <v/>
      </c>
      <c r="I109" s="75">
        <f>TRUNC((_xlfn.NORM.INV((RAND()),$E$35,$E$36)),2)</f>
        <v/>
      </c>
      <c r="J109" s="75">
        <f>TRUNC((_xlfn.NORM.INV((RAND()),$E$35,$E$36)),2)</f>
        <v/>
      </c>
      <c r="Z109" s="75" t="n">
        <v>83</v>
      </c>
      <c r="AA109" s="20">
        <f>TRUNC(IF(H109&lt;0,0,H109),0)</f>
        <v/>
      </c>
      <c r="AB109" s="20">
        <f>TRUNC(IF(I109&lt;0,0,I109),0)</f>
        <v/>
      </c>
      <c r="AC109" s="20">
        <f>TRUNC(IF(J109&lt;0,0,J109),0)</f>
        <v/>
      </c>
      <c r="AS109" s="75" t="n">
        <v>83</v>
      </c>
      <c r="AT109" s="5" t="n">
        <v>5</v>
      </c>
      <c r="AU109" s="5" t="n">
        <v>4</v>
      </c>
      <c r="AV109" s="5" t="n">
        <v>5</v>
      </c>
      <c r="AZ109" s="2" t="n"/>
      <c r="BA109" s="2" t="n"/>
      <c r="BB109" s="2" t="n"/>
      <c r="BE109" s="2" t="n"/>
      <c r="BF109" s="2" t="n"/>
      <c r="BG109" s="2" t="n"/>
    </row>
    <row r="110">
      <c r="G110" s="75" t="n">
        <v>84</v>
      </c>
      <c r="H110" s="75">
        <f>TRUNC((_xlfn.NORM.INV((RAND()),$E$35,$E$36)),2)</f>
        <v/>
      </c>
      <c r="I110" s="75">
        <f>TRUNC((_xlfn.NORM.INV((RAND()),$E$35,$E$36)),2)</f>
        <v/>
      </c>
      <c r="J110" s="75">
        <f>TRUNC((_xlfn.NORM.INV((RAND()),$E$35,$E$36)),2)</f>
        <v/>
      </c>
      <c r="Z110" s="75" t="n">
        <v>84</v>
      </c>
      <c r="AA110" s="20">
        <f>TRUNC(IF(H110&lt;0,0,H110),0)</f>
        <v/>
      </c>
      <c r="AB110" s="20">
        <f>TRUNC(IF(I110&lt;0,0,I110),0)</f>
        <v/>
      </c>
      <c r="AC110" s="20">
        <f>TRUNC(IF(J110&lt;0,0,J110),0)</f>
        <v/>
      </c>
      <c r="AS110" s="75" t="n">
        <v>84</v>
      </c>
      <c r="AT110" s="5" t="n">
        <v>4</v>
      </c>
      <c r="AU110" s="5" t="n">
        <v>4</v>
      </c>
      <c r="AV110" s="5" t="n">
        <v>6</v>
      </c>
      <c r="AZ110" s="2" t="n"/>
      <c r="BA110" s="2" t="n"/>
      <c r="BB110" s="2" t="n"/>
      <c r="BE110" s="2" t="n"/>
      <c r="BF110" s="2" t="n"/>
      <c r="BG110" s="2" t="n"/>
    </row>
    <row r="111">
      <c r="G111" s="75" t="n">
        <v>85</v>
      </c>
      <c r="H111" s="75">
        <f>TRUNC((_xlfn.NORM.INV((RAND()),$E$35,$E$36)),2)</f>
        <v/>
      </c>
      <c r="I111" s="75">
        <f>TRUNC((_xlfn.NORM.INV((RAND()),$E$35,$E$36)),2)</f>
        <v/>
      </c>
      <c r="J111" s="75">
        <f>TRUNC((_xlfn.NORM.INV((RAND()),$E$35,$E$36)),2)</f>
        <v/>
      </c>
      <c r="Z111" s="75" t="n">
        <v>85</v>
      </c>
      <c r="AA111" s="20">
        <f>TRUNC(IF(H111&lt;0,0,H111),0)</f>
        <v/>
      </c>
      <c r="AB111" s="20">
        <f>TRUNC(IF(I111&lt;0,0,I111),0)</f>
        <v/>
      </c>
      <c r="AC111" s="20">
        <f>TRUNC(IF(J111&lt;0,0,J111),0)</f>
        <v/>
      </c>
      <c r="AS111" s="75" t="n">
        <v>85</v>
      </c>
      <c r="AT111" s="5" t="n">
        <v>7</v>
      </c>
      <c r="AU111" s="5" t="n">
        <v>5</v>
      </c>
      <c r="AV111" s="5" t="n">
        <v>4</v>
      </c>
      <c r="AZ111" s="2" t="n"/>
      <c r="BA111" s="2" t="n"/>
      <c r="BB111" s="2" t="n"/>
      <c r="BE111" s="2" t="n"/>
      <c r="BF111" s="2" t="n"/>
      <c r="BG111" s="2" t="n"/>
    </row>
    <row r="112">
      <c r="G112" s="75" t="n">
        <v>86</v>
      </c>
      <c r="H112" s="75">
        <f>TRUNC((_xlfn.NORM.INV((RAND()),$E$35,$E$36)),2)</f>
        <v/>
      </c>
      <c r="I112" s="75">
        <f>TRUNC((_xlfn.NORM.INV((RAND()),$E$35,$E$36)),2)</f>
        <v/>
      </c>
      <c r="J112" s="75">
        <f>TRUNC((_xlfn.NORM.INV((RAND()),$E$35,$E$36)),2)</f>
        <v/>
      </c>
      <c r="Z112" s="75" t="n">
        <v>86</v>
      </c>
      <c r="AA112" s="20">
        <f>TRUNC(IF(H112&lt;0,0,H112),0)</f>
        <v/>
      </c>
      <c r="AB112" s="20">
        <f>TRUNC(IF(I112&lt;0,0,I112),0)</f>
        <v/>
      </c>
      <c r="AC112" s="20">
        <f>TRUNC(IF(J112&lt;0,0,J112),0)</f>
        <v/>
      </c>
      <c r="AS112" s="75" t="n">
        <v>86</v>
      </c>
      <c r="AT112" s="5" t="n">
        <v>5</v>
      </c>
      <c r="AU112" s="5" t="n">
        <v>7</v>
      </c>
      <c r="AV112" s="5" t="n">
        <v>5</v>
      </c>
      <c r="AZ112" s="2" t="n"/>
      <c r="BA112" s="2" t="n"/>
      <c r="BB112" s="2" t="n"/>
      <c r="BE112" s="2" t="n"/>
      <c r="BF112" s="2" t="n"/>
      <c r="BG112" s="2" t="n"/>
    </row>
    <row r="113">
      <c r="G113" s="75" t="n">
        <v>87</v>
      </c>
      <c r="H113" s="75">
        <f>TRUNC((_xlfn.NORM.INV((RAND()),$E$35,$E$36)),2)</f>
        <v/>
      </c>
      <c r="I113" s="75">
        <f>TRUNC((_xlfn.NORM.INV((RAND()),$E$35,$E$36)),2)</f>
        <v/>
      </c>
      <c r="J113" s="75">
        <f>TRUNC((_xlfn.NORM.INV((RAND()),$E$35,$E$36)),2)</f>
        <v/>
      </c>
      <c r="Z113" s="75" t="n">
        <v>87</v>
      </c>
      <c r="AA113" s="20">
        <f>TRUNC(IF(H113&lt;0,0,H113),0)</f>
        <v/>
      </c>
      <c r="AB113" s="20">
        <f>TRUNC(IF(I113&lt;0,0,I113),0)</f>
        <v/>
      </c>
      <c r="AC113" s="20">
        <f>TRUNC(IF(J113&lt;0,0,J113),0)</f>
        <v/>
      </c>
      <c r="AS113" s="75" t="n">
        <v>87</v>
      </c>
      <c r="AT113" s="5" t="n">
        <v>3</v>
      </c>
      <c r="AU113" s="5" t="n">
        <v>5</v>
      </c>
      <c r="AV113" s="5" t="n">
        <v>5</v>
      </c>
      <c r="AZ113" s="2" t="n"/>
      <c r="BA113" s="2" t="n"/>
      <c r="BB113" s="2" t="n"/>
      <c r="BE113" s="2" t="n"/>
      <c r="BF113" s="2" t="n"/>
      <c r="BG113" s="2" t="n"/>
    </row>
    <row r="114">
      <c r="G114" s="75" t="n">
        <v>88</v>
      </c>
      <c r="H114" s="75">
        <f>TRUNC((_xlfn.NORM.INV((RAND()),$E$35,$E$36)),2)</f>
        <v/>
      </c>
      <c r="I114" s="75">
        <f>TRUNC((_xlfn.NORM.INV((RAND()),$E$35,$E$36)),2)</f>
        <v/>
      </c>
      <c r="J114" s="75">
        <f>TRUNC((_xlfn.NORM.INV((RAND()),$E$35,$E$36)),2)</f>
        <v/>
      </c>
      <c r="Z114" s="75" t="n">
        <v>88</v>
      </c>
      <c r="AA114" s="20">
        <f>TRUNC(IF(H114&lt;0,0,H114),0)</f>
        <v/>
      </c>
      <c r="AB114" s="20">
        <f>TRUNC(IF(I114&lt;0,0,I114),0)</f>
        <v/>
      </c>
      <c r="AC114" s="20">
        <f>TRUNC(IF(J114&lt;0,0,J114),0)</f>
        <v/>
      </c>
      <c r="AS114" s="75" t="n">
        <v>88</v>
      </c>
      <c r="AT114" s="5" t="n">
        <v>3</v>
      </c>
      <c r="AU114" s="5" t="n">
        <v>3</v>
      </c>
      <c r="AV114" s="5" t="n">
        <v>8</v>
      </c>
      <c r="AZ114" s="2" t="n"/>
      <c r="BA114" s="2" t="n"/>
      <c r="BB114" s="2" t="n"/>
      <c r="BE114" s="2" t="n"/>
      <c r="BF114" s="2" t="n"/>
      <c r="BG114" s="2" t="n"/>
    </row>
    <row r="115">
      <c r="G115" s="75" t="n">
        <v>89</v>
      </c>
      <c r="H115" s="75">
        <f>TRUNC((_xlfn.NORM.INV((RAND()),$E$35,$E$36)),2)</f>
        <v/>
      </c>
      <c r="I115" s="75">
        <f>TRUNC((_xlfn.NORM.INV((RAND()),$E$35,$E$36)),2)</f>
        <v/>
      </c>
      <c r="J115" s="75">
        <f>TRUNC((_xlfn.NORM.INV((RAND()),$E$35,$E$36)),2)</f>
        <v/>
      </c>
      <c r="Z115" s="75" t="n">
        <v>89</v>
      </c>
      <c r="AA115" s="20">
        <f>TRUNC(IF(H115&lt;0,0,H115),0)</f>
        <v/>
      </c>
      <c r="AB115" s="20">
        <f>TRUNC(IF(I115&lt;0,0,I115),0)</f>
        <v/>
      </c>
      <c r="AC115" s="20">
        <f>TRUNC(IF(J115&lt;0,0,J115),0)</f>
        <v/>
      </c>
      <c r="AS115" s="75" t="n">
        <v>89</v>
      </c>
      <c r="AT115" s="5" t="n">
        <v>6</v>
      </c>
      <c r="AU115" s="5" t="n">
        <v>4</v>
      </c>
      <c r="AV115" s="5" t="n">
        <v>6</v>
      </c>
      <c r="AZ115" s="2" t="n"/>
      <c r="BA115" s="2" t="n"/>
      <c r="BB115" s="2" t="n"/>
      <c r="BE115" s="2" t="n"/>
      <c r="BF115" s="2" t="n"/>
      <c r="BG115" s="2" t="n"/>
    </row>
    <row r="116">
      <c r="G116" s="75" t="n">
        <v>90</v>
      </c>
      <c r="H116" s="75">
        <f>TRUNC((_xlfn.NORM.INV((RAND()),$E$35,$E$36)),2)</f>
        <v/>
      </c>
      <c r="I116" s="75">
        <f>TRUNC((_xlfn.NORM.INV((RAND()),$E$35,$E$36)),2)</f>
        <v/>
      </c>
      <c r="J116" s="75">
        <f>TRUNC((_xlfn.NORM.INV((RAND()),$E$35,$E$36)),2)</f>
        <v/>
      </c>
      <c r="Z116" s="75" t="n">
        <v>90</v>
      </c>
      <c r="AA116" s="20">
        <f>TRUNC(IF(H116&lt;0,0,H116),0)</f>
        <v/>
      </c>
      <c r="AB116" s="20">
        <f>TRUNC(IF(I116&lt;0,0,I116),0)</f>
        <v/>
      </c>
      <c r="AC116" s="20">
        <f>TRUNC(IF(J116&lt;0,0,J116),0)</f>
        <v/>
      </c>
      <c r="AS116" s="75" t="n">
        <v>90</v>
      </c>
      <c r="AT116" s="5" t="n">
        <v>3</v>
      </c>
      <c r="AU116" s="5" t="n">
        <v>4</v>
      </c>
      <c r="AV116" s="5" t="n">
        <v>3</v>
      </c>
      <c r="AZ116" s="2" t="n"/>
      <c r="BA116" s="2" t="n"/>
      <c r="BB116" s="2" t="n"/>
      <c r="BE116" s="2" t="n"/>
      <c r="BF116" s="2" t="n"/>
      <c r="BG116" s="2" t="n"/>
    </row>
    <row r="117">
      <c r="G117" s="75" t="n">
        <v>91</v>
      </c>
      <c r="H117" s="75">
        <f>TRUNC((_xlfn.NORM.INV((RAND()),$E$35,$E$36)),2)</f>
        <v/>
      </c>
      <c r="I117" s="75">
        <f>TRUNC((_xlfn.NORM.INV((RAND()),$E$35,$E$36)),2)</f>
        <v/>
      </c>
      <c r="J117" s="75">
        <f>TRUNC((_xlfn.NORM.INV((RAND()),$E$35,$E$36)),2)</f>
        <v/>
      </c>
      <c r="Z117" s="75" t="n">
        <v>91</v>
      </c>
      <c r="AA117" s="20">
        <f>TRUNC(IF(H117&lt;0,0,H117),0)</f>
        <v/>
      </c>
      <c r="AB117" s="20">
        <f>TRUNC(IF(I117&lt;0,0,I117),0)</f>
        <v/>
      </c>
      <c r="AC117" s="20">
        <f>TRUNC(IF(J117&lt;0,0,J117),0)</f>
        <v/>
      </c>
      <c r="AS117" s="75" t="n">
        <v>91</v>
      </c>
      <c r="AT117" s="5" t="n">
        <v>1</v>
      </c>
      <c r="AU117" s="5" t="n">
        <v>3</v>
      </c>
      <c r="AV117" s="5" t="n">
        <v>5</v>
      </c>
      <c r="AZ117" s="2" t="n"/>
      <c r="BA117" s="2" t="n"/>
      <c r="BB117" s="2" t="n"/>
      <c r="BE117" s="2" t="n"/>
      <c r="BF117" s="2" t="n"/>
      <c r="BG117" s="2" t="n"/>
    </row>
    <row r="118">
      <c r="G118" s="75" t="n">
        <v>92</v>
      </c>
      <c r="H118" s="75">
        <f>TRUNC((_xlfn.NORM.INV((RAND()),$E$35,$E$36)),2)</f>
        <v/>
      </c>
      <c r="I118" s="75">
        <f>TRUNC((_xlfn.NORM.INV((RAND()),$E$35,$E$36)),2)</f>
        <v/>
      </c>
      <c r="J118" s="75">
        <f>TRUNC((_xlfn.NORM.INV((RAND()),$E$35,$E$36)),2)</f>
        <v/>
      </c>
      <c r="Z118" s="75" t="n">
        <v>92</v>
      </c>
      <c r="AA118" s="20">
        <f>TRUNC(IF(H118&lt;0,0,H118),0)</f>
        <v/>
      </c>
      <c r="AB118" s="20">
        <f>TRUNC(IF(I118&lt;0,0,I118),0)</f>
        <v/>
      </c>
      <c r="AC118" s="20">
        <f>TRUNC(IF(J118&lt;0,0,J118),0)</f>
        <v/>
      </c>
      <c r="AS118" s="75" t="n">
        <v>92</v>
      </c>
      <c r="AT118" s="5" t="n">
        <v>6</v>
      </c>
      <c r="AU118" s="5" t="n">
        <v>5</v>
      </c>
      <c r="AV118" s="5" t="n">
        <v>8</v>
      </c>
      <c r="AZ118" s="2" t="n"/>
      <c r="BA118" s="2" t="n"/>
      <c r="BB118" s="2" t="n"/>
      <c r="BE118" s="2" t="n"/>
      <c r="BF118" s="2" t="n"/>
      <c r="BG118" s="2" t="n"/>
    </row>
    <row r="119">
      <c r="G119" s="75" t="n">
        <v>93</v>
      </c>
      <c r="H119" s="75">
        <f>TRUNC((_xlfn.NORM.INV((RAND()),$E$35,$E$36)),2)</f>
        <v/>
      </c>
      <c r="I119" s="75">
        <f>TRUNC((_xlfn.NORM.INV((RAND()),$E$35,$E$36)),2)</f>
        <v/>
      </c>
      <c r="J119" s="75">
        <f>TRUNC((_xlfn.NORM.INV((RAND()),$E$35,$E$36)),2)</f>
        <v/>
      </c>
      <c r="Z119" s="75" t="n">
        <v>93</v>
      </c>
      <c r="AA119" s="20">
        <f>TRUNC(IF(H119&lt;0,0,H119),0)</f>
        <v/>
      </c>
      <c r="AB119" s="20">
        <f>TRUNC(IF(I119&lt;0,0,I119),0)</f>
        <v/>
      </c>
      <c r="AC119" s="20">
        <f>TRUNC(IF(J119&lt;0,0,J119),0)</f>
        <v/>
      </c>
      <c r="AS119" s="75" t="n">
        <v>93</v>
      </c>
      <c r="AT119" s="5" t="n">
        <v>3</v>
      </c>
      <c r="AU119" s="5" t="n">
        <v>3</v>
      </c>
      <c r="AV119" s="5" t="n">
        <v>5</v>
      </c>
      <c r="AZ119" s="2" t="n"/>
      <c r="BA119" s="2" t="n"/>
      <c r="BB119" s="2" t="n"/>
      <c r="BE119" s="2" t="n"/>
      <c r="BF119" s="2" t="n"/>
      <c r="BG119" s="2" t="n"/>
    </row>
    <row r="120">
      <c r="G120" s="75" t="n">
        <v>94</v>
      </c>
      <c r="H120" s="75">
        <f>TRUNC((_xlfn.NORM.INV((RAND()),$E$35,$E$36)),2)</f>
        <v/>
      </c>
      <c r="I120" s="75">
        <f>TRUNC((_xlfn.NORM.INV((RAND()),$E$35,$E$36)),2)</f>
        <v/>
      </c>
      <c r="J120" s="75">
        <f>TRUNC((_xlfn.NORM.INV((RAND()),$E$35,$E$36)),2)</f>
        <v/>
      </c>
      <c r="Z120" s="75" t="n">
        <v>94</v>
      </c>
      <c r="AA120" s="20">
        <f>TRUNC(IF(H120&lt;0,0,H120),0)</f>
        <v/>
      </c>
      <c r="AB120" s="20">
        <f>TRUNC(IF(I120&lt;0,0,I120),0)</f>
        <v/>
      </c>
      <c r="AC120" s="20">
        <f>TRUNC(IF(J120&lt;0,0,J120),0)</f>
        <v/>
      </c>
      <c r="AS120" s="75" t="n">
        <v>94</v>
      </c>
      <c r="AT120" s="5" t="n">
        <v>7</v>
      </c>
      <c r="AU120" s="5" t="n">
        <v>4</v>
      </c>
      <c r="AV120" s="5" t="n">
        <v>4</v>
      </c>
      <c r="AZ120" s="2" t="n"/>
      <c r="BA120" s="2" t="n"/>
      <c r="BB120" s="2" t="n"/>
      <c r="BE120" s="2" t="n"/>
      <c r="BF120" s="2" t="n"/>
      <c r="BG120" s="2" t="n"/>
    </row>
    <row r="121">
      <c r="G121" s="75" t="n">
        <v>95</v>
      </c>
      <c r="H121" s="75">
        <f>TRUNC((_xlfn.NORM.INV((RAND()),$E$35,$E$36)),2)</f>
        <v/>
      </c>
      <c r="I121" s="75">
        <f>TRUNC((_xlfn.NORM.INV((RAND()),$E$35,$E$36)),2)</f>
        <v/>
      </c>
      <c r="J121" s="75">
        <f>TRUNC((_xlfn.NORM.INV((RAND()),$E$35,$E$36)),2)</f>
        <v/>
      </c>
      <c r="Z121" s="75" t="n">
        <v>95</v>
      </c>
      <c r="AA121" s="20">
        <f>TRUNC(IF(H121&lt;0,0,H121),0)</f>
        <v/>
      </c>
      <c r="AB121" s="20">
        <f>TRUNC(IF(I121&lt;0,0,I121),0)</f>
        <v/>
      </c>
      <c r="AC121" s="20">
        <f>TRUNC(IF(J121&lt;0,0,J121),0)</f>
        <v/>
      </c>
      <c r="AS121" s="75" t="n">
        <v>95</v>
      </c>
      <c r="AT121" s="5" t="n">
        <v>4</v>
      </c>
      <c r="AU121" s="5" t="n">
        <v>5</v>
      </c>
      <c r="AV121" s="5" t="n">
        <v>4</v>
      </c>
      <c r="AZ121" s="2" t="n"/>
      <c r="BA121" s="2" t="n"/>
      <c r="BB121" s="2" t="n"/>
      <c r="BE121" s="2" t="n"/>
      <c r="BF121" s="2" t="n"/>
      <c r="BG121" s="2" t="n"/>
    </row>
    <row r="122">
      <c r="G122" s="75" t="n">
        <v>96</v>
      </c>
      <c r="H122" s="75">
        <f>TRUNC((_xlfn.NORM.INV((RAND()),$E$35,$E$36)),2)</f>
        <v/>
      </c>
      <c r="I122" s="75">
        <f>TRUNC((_xlfn.NORM.INV((RAND()),$E$35,$E$36)),2)</f>
        <v/>
      </c>
      <c r="J122" s="75">
        <f>TRUNC((_xlfn.NORM.INV((RAND()),$E$35,$E$36)),2)</f>
        <v/>
      </c>
      <c r="Z122" s="75" t="n">
        <v>96</v>
      </c>
      <c r="AA122" s="20">
        <f>TRUNC(IF(H122&lt;0,0,H122),0)</f>
        <v/>
      </c>
      <c r="AB122" s="20">
        <f>TRUNC(IF(I122&lt;0,0,I122),0)</f>
        <v/>
      </c>
      <c r="AC122" s="20">
        <f>TRUNC(IF(J122&lt;0,0,J122),0)</f>
        <v/>
      </c>
      <c r="AS122" s="75" t="n">
        <v>96</v>
      </c>
      <c r="AT122" s="5" t="n">
        <v>4</v>
      </c>
      <c r="AU122" s="5" t="n">
        <v>5</v>
      </c>
      <c r="AV122" s="5" t="n">
        <v>5</v>
      </c>
      <c r="AZ122" s="2" t="n"/>
      <c r="BA122" s="2" t="n"/>
      <c r="BB122" s="2" t="n"/>
      <c r="BE122" s="2" t="n"/>
      <c r="BF122" s="2" t="n"/>
      <c r="BG122" s="2" t="n"/>
    </row>
    <row r="123">
      <c r="G123" s="75" t="n">
        <v>97</v>
      </c>
      <c r="H123" s="75">
        <f>TRUNC((_xlfn.NORM.INV((RAND()),$E$35,$E$36)),2)</f>
        <v/>
      </c>
      <c r="I123" s="75">
        <f>TRUNC((_xlfn.NORM.INV((RAND()),$E$35,$E$36)),2)</f>
        <v/>
      </c>
      <c r="J123" s="75">
        <f>TRUNC((_xlfn.NORM.INV((RAND()),$E$35,$E$36)),2)</f>
        <v/>
      </c>
      <c r="Z123" s="75" t="n">
        <v>97</v>
      </c>
      <c r="AA123" s="20">
        <f>TRUNC(IF(H123&lt;0,0,H123),0)</f>
        <v/>
      </c>
      <c r="AB123" s="20">
        <f>TRUNC(IF(I123&lt;0,0,I123),0)</f>
        <v/>
      </c>
      <c r="AC123" s="20">
        <f>TRUNC(IF(J123&lt;0,0,J123),0)</f>
        <v/>
      </c>
      <c r="AS123" s="75" t="n">
        <v>97</v>
      </c>
      <c r="AT123" s="5" t="n">
        <v>4</v>
      </c>
      <c r="AU123" s="5" t="n">
        <v>6</v>
      </c>
      <c r="AV123" s="5" t="n">
        <v>5</v>
      </c>
      <c r="AZ123" s="2" t="n"/>
      <c r="BA123" s="2" t="n"/>
      <c r="BB123" s="2" t="n"/>
      <c r="BE123" s="2" t="n"/>
      <c r="BF123" s="2" t="n"/>
      <c r="BG123" s="2" t="n"/>
    </row>
    <row r="124">
      <c r="G124" s="75" t="n">
        <v>98</v>
      </c>
      <c r="H124" s="75">
        <f>TRUNC((_xlfn.NORM.INV((RAND()),$E$35,$E$36)),2)</f>
        <v/>
      </c>
      <c r="I124" s="75">
        <f>TRUNC((_xlfn.NORM.INV((RAND()),$E$35,$E$36)),2)</f>
        <v/>
      </c>
      <c r="J124" s="75">
        <f>TRUNC((_xlfn.NORM.INV((RAND()),$E$35,$E$36)),2)</f>
        <v/>
      </c>
      <c r="Z124" s="75" t="n">
        <v>98</v>
      </c>
      <c r="AA124" s="20">
        <f>TRUNC(IF(H124&lt;0,0,H124),0)</f>
        <v/>
      </c>
      <c r="AB124" s="20">
        <f>TRUNC(IF(I124&lt;0,0,I124),0)</f>
        <v/>
      </c>
      <c r="AC124" s="20">
        <f>TRUNC(IF(J124&lt;0,0,J124),0)</f>
        <v/>
      </c>
      <c r="AS124" s="75" t="n">
        <v>98</v>
      </c>
      <c r="AT124" s="5" t="n">
        <v>6</v>
      </c>
      <c r="AU124" s="5" t="n">
        <v>5</v>
      </c>
      <c r="AV124" s="5" t="n">
        <v>6</v>
      </c>
      <c r="AZ124" s="2" t="n"/>
      <c r="BA124" s="2" t="n"/>
      <c r="BB124" s="2" t="n"/>
      <c r="BE124" s="2" t="n"/>
      <c r="BF124" s="2" t="n"/>
      <c r="BG124" s="2" t="n"/>
    </row>
    <row r="125">
      <c r="G125" s="75" t="n">
        <v>99</v>
      </c>
      <c r="H125" s="75">
        <f>TRUNC((_xlfn.NORM.INV((RAND()),$E$35,$E$36)),2)</f>
        <v/>
      </c>
      <c r="I125" s="75">
        <f>TRUNC((_xlfn.NORM.INV((RAND()),$E$35,$E$36)),2)</f>
        <v/>
      </c>
      <c r="J125" s="75">
        <f>TRUNC((_xlfn.NORM.INV((RAND()),$E$35,$E$36)),2)</f>
        <v/>
      </c>
      <c r="Z125" s="75" t="n">
        <v>99</v>
      </c>
      <c r="AA125" s="20">
        <f>TRUNC(IF(H125&lt;0,0,H125),0)</f>
        <v/>
      </c>
      <c r="AB125" s="20">
        <f>TRUNC(IF(I125&lt;0,0,I125),0)</f>
        <v/>
      </c>
      <c r="AC125" s="20">
        <f>TRUNC(IF(J125&lt;0,0,J125),0)</f>
        <v/>
      </c>
      <c r="AS125" s="75" t="n">
        <v>99</v>
      </c>
      <c r="AT125" s="5" t="n">
        <v>4</v>
      </c>
      <c r="AU125" s="5" t="n">
        <v>4</v>
      </c>
      <c r="AV125" s="5" t="n">
        <v>2</v>
      </c>
      <c r="AZ125" s="2" t="n"/>
      <c r="BA125" s="2" t="n"/>
      <c r="BB125" s="2" t="n"/>
      <c r="BE125" s="2" t="n"/>
      <c r="BF125" s="2" t="n"/>
      <c r="BG125" s="2" t="n"/>
    </row>
    <row r="126">
      <c r="G126" s="75" t="n">
        <v>100</v>
      </c>
      <c r="H126" s="75">
        <f>TRUNC((_xlfn.NORM.INV((RAND()),$E$35,$E$36)),2)</f>
        <v/>
      </c>
      <c r="I126" s="75">
        <f>TRUNC((_xlfn.NORM.INV((RAND()),$E$35,$E$36)),2)</f>
        <v/>
      </c>
      <c r="J126" s="75">
        <f>TRUNC((_xlfn.NORM.INV((RAND()),$E$35,$E$36)),2)</f>
        <v/>
      </c>
      <c r="Z126" s="75" t="n">
        <v>100</v>
      </c>
      <c r="AA126" s="20">
        <f>TRUNC(IF(H126&lt;0,0,H126),0)</f>
        <v/>
      </c>
      <c r="AB126" s="20">
        <f>TRUNC(IF(I126&lt;0,0,I126),0)</f>
        <v/>
      </c>
      <c r="AC126" s="20">
        <f>TRUNC(IF(J126&lt;0,0,J126),0)</f>
        <v/>
      </c>
      <c r="AS126" s="75" t="n">
        <v>100</v>
      </c>
      <c r="AT126" s="5" t="n">
        <v>5</v>
      </c>
      <c r="AU126" s="5" t="n">
        <v>3</v>
      </c>
      <c r="AV126" s="5" t="n">
        <v>2</v>
      </c>
      <c r="AZ126" s="2" t="n"/>
      <c r="BA126" s="2" t="n"/>
      <c r="BB126" s="2" t="n"/>
      <c r="BE126" s="2" t="n"/>
      <c r="BF126" s="2" t="n"/>
      <c r="BG126" s="2" t="n"/>
    </row>
    <row r="127">
      <c r="G127" s="75" t="n">
        <v>101</v>
      </c>
      <c r="H127" s="75">
        <f>TRUNC((_xlfn.NORM.INV((RAND()),$E$35,$E$36)),2)</f>
        <v/>
      </c>
      <c r="I127" s="75">
        <f>TRUNC((_xlfn.NORM.INV((RAND()),$E$35,$E$36)),2)</f>
        <v/>
      </c>
      <c r="J127" s="75">
        <f>TRUNC((_xlfn.NORM.INV((RAND()),$E$35,$E$36)),2)</f>
        <v/>
      </c>
      <c r="Z127" s="75" t="n">
        <v>101</v>
      </c>
      <c r="AA127" s="20">
        <f>TRUNC(IF(H127&lt;0,0,H127),0)</f>
        <v/>
      </c>
      <c r="AB127" s="20">
        <f>TRUNC(IF(I127&lt;0,0,I127),0)</f>
        <v/>
      </c>
      <c r="AC127" s="20">
        <f>TRUNC(IF(J127&lt;0,0,J127),0)</f>
        <v/>
      </c>
      <c r="AS127" s="75" t="n">
        <v>101</v>
      </c>
      <c r="AT127" s="5" t="n">
        <v>6</v>
      </c>
      <c r="AU127" s="5" t="n">
        <v>4</v>
      </c>
      <c r="AV127" s="5" t="n">
        <v>6</v>
      </c>
      <c r="AZ127" s="2" t="n"/>
      <c r="BA127" s="2" t="n"/>
      <c r="BB127" s="2" t="n"/>
      <c r="BE127" s="2" t="n"/>
      <c r="BF127" s="2" t="n"/>
      <c r="BG127" s="2" t="n"/>
    </row>
    <row r="128">
      <c r="G128" s="75" t="n">
        <v>102</v>
      </c>
      <c r="H128" s="75">
        <f>TRUNC((_xlfn.NORM.INV((RAND()),$E$35,$E$36)),2)</f>
        <v/>
      </c>
      <c r="I128" s="75">
        <f>TRUNC((_xlfn.NORM.INV((RAND()),$E$35,$E$36)),2)</f>
        <v/>
      </c>
      <c r="J128" s="75">
        <f>TRUNC((_xlfn.NORM.INV((RAND()),$E$35,$E$36)),2)</f>
        <v/>
      </c>
      <c r="Z128" s="75" t="n">
        <v>102</v>
      </c>
      <c r="AA128" s="20">
        <f>TRUNC(IF(H128&lt;0,0,H128),0)</f>
        <v/>
      </c>
      <c r="AB128" s="20">
        <f>TRUNC(IF(I128&lt;0,0,I128),0)</f>
        <v/>
      </c>
      <c r="AC128" s="20">
        <f>TRUNC(IF(J128&lt;0,0,J128),0)</f>
        <v/>
      </c>
      <c r="AS128" s="75" t="n">
        <v>102</v>
      </c>
      <c r="AT128" s="5" t="n">
        <v>6</v>
      </c>
      <c r="AU128" s="5" t="n">
        <v>3</v>
      </c>
      <c r="AV128" s="5" t="n">
        <v>6</v>
      </c>
      <c r="AZ128" s="2" t="n"/>
      <c r="BA128" s="2" t="n"/>
      <c r="BB128" s="2" t="n"/>
      <c r="BE128" s="2" t="n"/>
      <c r="BF128" s="2" t="n"/>
      <c r="BG128" s="2" t="n"/>
    </row>
    <row r="129">
      <c r="G129" s="75" t="n">
        <v>103</v>
      </c>
      <c r="H129" s="75">
        <f>TRUNC((_xlfn.NORM.INV((RAND()),$E$35,$E$36)),2)</f>
        <v/>
      </c>
      <c r="I129" s="75">
        <f>TRUNC((_xlfn.NORM.INV((RAND()),$E$35,$E$36)),2)</f>
        <v/>
      </c>
      <c r="J129" s="75">
        <f>TRUNC((_xlfn.NORM.INV((RAND()),$E$35,$E$36)),2)</f>
        <v/>
      </c>
      <c r="Z129" s="75" t="n">
        <v>103</v>
      </c>
      <c r="AA129" s="20">
        <f>TRUNC(IF(H129&lt;0,0,H129),0)</f>
        <v/>
      </c>
      <c r="AB129" s="20">
        <f>TRUNC(IF(I129&lt;0,0,I129),0)</f>
        <v/>
      </c>
      <c r="AC129" s="20">
        <f>TRUNC(IF(J129&lt;0,0,J129),0)</f>
        <v/>
      </c>
      <c r="AS129" s="75" t="n">
        <v>103</v>
      </c>
      <c r="AT129" s="5" t="n">
        <v>6</v>
      </c>
      <c r="AU129" s="5" t="n">
        <v>4</v>
      </c>
      <c r="AV129" s="5" t="n">
        <v>4</v>
      </c>
      <c r="AZ129" s="2" t="n"/>
      <c r="BA129" s="2" t="n"/>
      <c r="BB129" s="2" t="n"/>
      <c r="BE129" s="2" t="n"/>
      <c r="BF129" s="2" t="n"/>
      <c r="BG129" s="2" t="n"/>
    </row>
    <row r="130">
      <c r="G130" s="75" t="n">
        <v>104</v>
      </c>
      <c r="H130" s="75">
        <f>TRUNC((_xlfn.NORM.INV((RAND()),$E$35,$E$36)),2)</f>
        <v/>
      </c>
      <c r="I130" s="75">
        <f>TRUNC((_xlfn.NORM.INV((RAND()),$E$35,$E$36)),2)</f>
        <v/>
      </c>
      <c r="J130" s="75">
        <f>TRUNC((_xlfn.NORM.INV((RAND()),$E$35,$E$36)),2)</f>
        <v/>
      </c>
      <c r="Z130" s="75" t="n">
        <v>104</v>
      </c>
      <c r="AA130" s="20">
        <f>TRUNC(IF(H130&lt;0,0,H130),0)</f>
        <v/>
      </c>
      <c r="AB130" s="20">
        <f>TRUNC(IF(I130&lt;0,0,I130),0)</f>
        <v/>
      </c>
      <c r="AC130" s="20">
        <f>TRUNC(IF(J130&lt;0,0,J130),0)</f>
        <v/>
      </c>
      <c r="AS130" s="75" t="n">
        <v>104</v>
      </c>
      <c r="AT130" s="5" t="n">
        <v>2</v>
      </c>
      <c r="AU130" s="5" t="n">
        <v>4</v>
      </c>
      <c r="AV130" s="5" t="n">
        <v>5</v>
      </c>
      <c r="AZ130" s="2" t="n"/>
      <c r="BA130" s="2" t="n"/>
      <c r="BB130" s="2" t="n"/>
      <c r="BE130" s="2" t="n"/>
      <c r="BF130" s="2" t="n"/>
      <c r="BG130" s="2" t="n"/>
    </row>
    <row r="131">
      <c r="G131" s="75" t="n">
        <v>105</v>
      </c>
      <c r="H131" s="75">
        <f>TRUNC((_xlfn.NORM.INV((RAND()),$E$35,$E$36)),2)</f>
        <v/>
      </c>
      <c r="I131" s="75">
        <f>TRUNC((_xlfn.NORM.INV((RAND()),$E$35,$E$36)),2)</f>
        <v/>
      </c>
      <c r="J131" s="75">
        <f>TRUNC((_xlfn.NORM.INV((RAND()),$E$35,$E$36)),2)</f>
        <v/>
      </c>
      <c r="Z131" s="75" t="n">
        <v>105</v>
      </c>
      <c r="AA131" s="20">
        <f>TRUNC(IF(H131&lt;0,0,H131),0)</f>
        <v/>
      </c>
      <c r="AB131" s="20">
        <f>TRUNC(IF(I131&lt;0,0,I131),0)</f>
        <v/>
      </c>
      <c r="AC131" s="20">
        <f>TRUNC(IF(J131&lt;0,0,J131),0)</f>
        <v/>
      </c>
      <c r="AS131" s="75" t="n">
        <v>105</v>
      </c>
      <c r="AT131" s="5" t="n">
        <v>6</v>
      </c>
      <c r="AU131" s="5" t="n">
        <v>7</v>
      </c>
      <c r="AV131" s="5" t="n">
        <v>6</v>
      </c>
      <c r="AZ131" s="2" t="n"/>
      <c r="BA131" s="2" t="n"/>
      <c r="BB131" s="2" t="n"/>
      <c r="BE131" s="2" t="n"/>
      <c r="BF131" s="2" t="n"/>
      <c r="BG131" s="2" t="n"/>
    </row>
    <row r="132">
      <c r="G132" s="75" t="n">
        <v>106</v>
      </c>
      <c r="H132" s="75">
        <f>TRUNC((_xlfn.NORM.INV((RAND()),$E$35,$E$36)),2)</f>
        <v/>
      </c>
      <c r="I132" s="75">
        <f>TRUNC((_xlfn.NORM.INV((RAND()),$E$35,$E$36)),2)</f>
        <v/>
      </c>
      <c r="J132" s="75">
        <f>TRUNC((_xlfn.NORM.INV((RAND()),$E$35,$E$36)),2)</f>
        <v/>
      </c>
      <c r="Z132" s="75" t="n">
        <v>106</v>
      </c>
      <c r="AA132" s="20">
        <f>TRUNC(IF(H132&lt;0,0,H132),0)</f>
        <v/>
      </c>
      <c r="AB132" s="20">
        <f>TRUNC(IF(I132&lt;0,0,I132),0)</f>
        <v/>
      </c>
      <c r="AC132" s="20">
        <f>TRUNC(IF(J132&lt;0,0,J132),0)</f>
        <v/>
      </c>
      <c r="AS132" s="75" t="n">
        <v>106</v>
      </c>
      <c r="AT132" s="5" t="n">
        <v>4</v>
      </c>
      <c r="AU132" s="5" t="n">
        <v>3</v>
      </c>
      <c r="AV132" s="5" t="n">
        <v>5</v>
      </c>
      <c r="AZ132" s="2" t="n"/>
      <c r="BA132" s="2" t="n"/>
      <c r="BB132" s="2" t="n"/>
      <c r="BE132" s="2" t="n"/>
      <c r="BF132" s="2" t="n"/>
      <c r="BG132" s="2" t="n"/>
    </row>
    <row r="133">
      <c r="G133" s="75" t="n">
        <v>107</v>
      </c>
      <c r="H133" s="75">
        <f>TRUNC((_xlfn.NORM.INV((RAND()),$E$35,$E$36)),2)</f>
        <v/>
      </c>
      <c r="I133" s="75">
        <f>TRUNC((_xlfn.NORM.INV((RAND()),$E$35,$E$36)),2)</f>
        <v/>
      </c>
      <c r="J133" s="75">
        <f>TRUNC((_xlfn.NORM.INV((RAND()),$E$35,$E$36)),2)</f>
        <v/>
      </c>
      <c r="Z133" s="75" t="n">
        <v>107</v>
      </c>
      <c r="AA133" s="20">
        <f>TRUNC(IF(H133&lt;0,0,H133),0)</f>
        <v/>
      </c>
      <c r="AB133" s="20">
        <f>TRUNC(IF(I133&lt;0,0,I133),0)</f>
        <v/>
      </c>
      <c r="AC133" s="20">
        <f>TRUNC(IF(J133&lt;0,0,J133),0)</f>
        <v/>
      </c>
      <c r="AS133" s="75" t="n">
        <v>107</v>
      </c>
      <c r="AT133" s="5" t="n">
        <v>3</v>
      </c>
      <c r="AU133" s="5" t="n">
        <v>5</v>
      </c>
      <c r="AV133" s="5" t="n">
        <v>6</v>
      </c>
      <c r="AZ133" s="2" t="n"/>
      <c r="BA133" s="2" t="n"/>
      <c r="BB133" s="2" t="n"/>
      <c r="BE133" s="2" t="n"/>
      <c r="BF133" s="2" t="n"/>
      <c r="BG133" s="2" t="n"/>
    </row>
    <row r="134">
      <c r="G134" s="75" t="n">
        <v>108</v>
      </c>
      <c r="H134" s="75">
        <f>TRUNC((_xlfn.NORM.INV((RAND()),$E$35,$E$36)),2)</f>
        <v/>
      </c>
      <c r="I134" s="75">
        <f>TRUNC((_xlfn.NORM.INV((RAND()),$E$35,$E$36)),2)</f>
        <v/>
      </c>
      <c r="J134" s="75">
        <f>TRUNC((_xlfn.NORM.INV((RAND()),$E$35,$E$36)),2)</f>
        <v/>
      </c>
      <c r="Z134" s="75" t="n">
        <v>108</v>
      </c>
      <c r="AA134" s="20">
        <f>TRUNC(IF(H134&lt;0,0,H134),0)</f>
        <v/>
      </c>
      <c r="AB134" s="20">
        <f>TRUNC(IF(I134&lt;0,0,I134),0)</f>
        <v/>
      </c>
      <c r="AC134" s="20">
        <f>TRUNC(IF(J134&lt;0,0,J134),0)</f>
        <v/>
      </c>
      <c r="AS134" s="75" t="n">
        <v>108</v>
      </c>
      <c r="AT134" s="5" t="n">
        <v>5</v>
      </c>
      <c r="AU134" s="5" t="n">
        <v>4</v>
      </c>
      <c r="AV134" s="5" t="n">
        <v>6</v>
      </c>
      <c r="AZ134" s="2" t="n"/>
      <c r="BA134" s="2" t="n"/>
      <c r="BB134" s="2" t="n"/>
      <c r="BE134" s="2" t="n"/>
      <c r="BF134" s="2" t="n"/>
      <c r="BG134" s="2" t="n"/>
    </row>
    <row r="135">
      <c r="G135" s="75" t="n">
        <v>109</v>
      </c>
      <c r="H135" s="75">
        <f>TRUNC((_xlfn.NORM.INV((RAND()),$E$35,$E$36)),2)</f>
        <v/>
      </c>
      <c r="I135" s="75">
        <f>TRUNC((_xlfn.NORM.INV((RAND()),$E$35,$E$36)),2)</f>
        <v/>
      </c>
      <c r="J135" s="75">
        <f>TRUNC((_xlfn.NORM.INV((RAND()),$E$35,$E$36)),2)</f>
        <v/>
      </c>
      <c r="Z135" s="75" t="n">
        <v>109</v>
      </c>
      <c r="AA135" s="20">
        <f>TRUNC(IF(H135&lt;0,0,H135),0)</f>
        <v/>
      </c>
      <c r="AB135" s="20">
        <f>TRUNC(IF(I135&lt;0,0,I135),0)</f>
        <v/>
      </c>
      <c r="AC135" s="20">
        <f>TRUNC(IF(J135&lt;0,0,J135),0)</f>
        <v/>
      </c>
      <c r="AS135" s="75" t="n">
        <v>109</v>
      </c>
      <c r="AT135" s="5" t="n">
        <v>5</v>
      </c>
      <c r="AU135" s="5" t="n">
        <v>6</v>
      </c>
      <c r="AV135" s="5" t="n">
        <v>6</v>
      </c>
      <c r="AZ135" s="2" t="n"/>
      <c r="BA135" s="2" t="n"/>
      <c r="BB135" s="2" t="n"/>
      <c r="BE135" s="2" t="n"/>
      <c r="BF135" s="2" t="n"/>
      <c r="BG135" s="2" t="n"/>
    </row>
    <row r="136">
      <c r="G136" s="75" t="n">
        <v>110</v>
      </c>
      <c r="H136" s="75">
        <f>TRUNC((_xlfn.NORM.INV((RAND()),$E$35,$E$36)),2)</f>
        <v/>
      </c>
      <c r="I136" s="75">
        <f>TRUNC((_xlfn.NORM.INV((RAND()),$E$35,$E$36)),2)</f>
        <v/>
      </c>
      <c r="J136" s="75">
        <f>TRUNC((_xlfn.NORM.INV((RAND()),$E$35,$E$36)),2)</f>
        <v/>
      </c>
      <c r="Z136" s="75" t="n">
        <v>110</v>
      </c>
      <c r="AA136" s="20">
        <f>TRUNC(IF(H136&lt;0,0,H136),0)</f>
        <v/>
      </c>
      <c r="AB136" s="20">
        <f>TRUNC(IF(I136&lt;0,0,I136),0)</f>
        <v/>
      </c>
      <c r="AC136" s="20">
        <f>TRUNC(IF(J136&lt;0,0,J136),0)</f>
        <v/>
      </c>
      <c r="AS136" s="75" t="n">
        <v>110</v>
      </c>
      <c r="AT136" s="5" t="n">
        <v>7</v>
      </c>
      <c r="AU136" s="5" t="n">
        <v>5</v>
      </c>
      <c r="AV136" s="5" t="n">
        <v>5</v>
      </c>
      <c r="AZ136" s="2" t="n"/>
      <c r="BA136" s="2" t="n"/>
      <c r="BB136" s="2" t="n"/>
      <c r="BE136" s="2" t="n"/>
      <c r="BF136" s="2" t="n"/>
      <c r="BG136" s="2" t="n"/>
    </row>
    <row r="137">
      <c r="G137" s="75" t="n">
        <v>111</v>
      </c>
      <c r="H137" s="75">
        <f>TRUNC((_xlfn.NORM.INV((RAND()),$E$35,$E$36)),2)</f>
        <v/>
      </c>
      <c r="I137" s="75">
        <f>TRUNC((_xlfn.NORM.INV((RAND()),$E$35,$E$36)),2)</f>
        <v/>
      </c>
      <c r="J137" s="75">
        <f>TRUNC((_xlfn.NORM.INV((RAND()),$E$35,$E$36)),2)</f>
        <v/>
      </c>
      <c r="Z137" s="75" t="n">
        <v>111</v>
      </c>
      <c r="AA137" s="20">
        <f>TRUNC(IF(H137&lt;0,0,H137),0)</f>
        <v/>
      </c>
      <c r="AB137" s="20">
        <f>TRUNC(IF(I137&lt;0,0,I137),0)</f>
        <v/>
      </c>
      <c r="AC137" s="20">
        <f>TRUNC(IF(J137&lt;0,0,J137),0)</f>
        <v/>
      </c>
      <c r="AS137" s="75" t="n">
        <v>111</v>
      </c>
      <c r="AT137" s="5" t="n">
        <v>3</v>
      </c>
      <c r="AU137" s="5" t="n">
        <v>5</v>
      </c>
      <c r="AV137" s="5" t="n">
        <v>7</v>
      </c>
      <c r="AZ137" s="2" t="n"/>
      <c r="BA137" s="2" t="n"/>
      <c r="BB137" s="2" t="n"/>
      <c r="BE137" s="2" t="n"/>
      <c r="BF137" s="2" t="n"/>
      <c r="BG137" s="2" t="n"/>
    </row>
    <row r="138">
      <c r="G138" s="75" t="n">
        <v>112</v>
      </c>
      <c r="H138" s="75">
        <f>TRUNC((_xlfn.NORM.INV((RAND()),$E$35,$E$36)),2)</f>
        <v/>
      </c>
      <c r="I138" s="75">
        <f>TRUNC((_xlfn.NORM.INV((RAND()),$E$35,$E$36)),2)</f>
        <v/>
      </c>
      <c r="J138" s="75">
        <f>TRUNC((_xlfn.NORM.INV((RAND()),$E$35,$E$36)),2)</f>
        <v/>
      </c>
      <c r="Z138" s="75" t="n">
        <v>112</v>
      </c>
      <c r="AA138" s="20">
        <f>TRUNC(IF(H138&lt;0,0,H138),0)</f>
        <v/>
      </c>
      <c r="AB138" s="20">
        <f>TRUNC(IF(I138&lt;0,0,I138),0)</f>
        <v/>
      </c>
      <c r="AC138" s="20">
        <f>TRUNC(IF(J138&lt;0,0,J138),0)</f>
        <v/>
      </c>
      <c r="AS138" s="75" t="n">
        <v>112</v>
      </c>
      <c r="AT138" s="5" t="n">
        <v>4</v>
      </c>
      <c r="AU138" s="5" t="n">
        <v>6</v>
      </c>
      <c r="AV138" s="5" t="n">
        <v>5</v>
      </c>
      <c r="AZ138" s="2" t="n"/>
      <c r="BA138" s="2" t="n"/>
      <c r="BB138" s="2" t="n"/>
      <c r="BE138" s="2" t="n"/>
      <c r="BF138" s="2" t="n"/>
      <c r="BG138" s="2" t="n"/>
    </row>
    <row r="139">
      <c r="G139" s="75" t="n">
        <v>113</v>
      </c>
      <c r="H139" s="75">
        <f>TRUNC((_xlfn.NORM.INV((RAND()),$E$35,$E$36)),2)</f>
        <v/>
      </c>
      <c r="I139" s="75">
        <f>TRUNC((_xlfn.NORM.INV((RAND()),$E$35,$E$36)),2)</f>
        <v/>
      </c>
      <c r="J139" s="75">
        <f>TRUNC((_xlfn.NORM.INV((RAND()),$E$35,$E$36)),2)</f>
        <v/>
      </c>
      <c r="Z139" s="75" t="n">
        <v>113</v>
      </c>
      <c r="AA139" s="20">
        <f>TRUNC(IF(H139&lt;0,0,H139),0)</f>
        <v/>
      </c>
      <c r="AB139" s="20">
        <f>TRUNC(IF(I139&lt;0,0,I139),0)</f>
        <v/>
      </c>
      <c r="AC139" s="20">
        <f>TRUNC(IF(J139&lt;0,0,J139),0)</f>
        <v/>
      </c>
      <c r="AS139" s="75" t="n">
        <v>113</v>
      </c>
      <c r="AT139" s="5" t="n">
        <v>6</v>
      </c>
      <c r="AU139" s="5" t="n">
        <v>6</v>
      </c>
      <c r="AV139" s="5" t="n">
        <v>4</v>
      </c>
      <c r="AZ139" s="2" t="n"/>
      <c r="BA139" s="2" t="n"/>
      <c r="BB139" s="2" t="n"/>
      <c r="BE139" s="2" t="n"/>
      <c r="BF139" s="2" t="n"/>
      <c r="BG139" s="2" t="n"/>
    </row>
    <row r="140">
      <c r="G140" s="75" t="n">
        <v>114</v>
      </c>
      <c r="H140" s="75">
        <f>TRUNC((_xlfn.NORM.INV((RAND()),$E$35,$E$36)),2)</f>
        <v/>
      </c>
      <c r="I140" s="75">
        <f>TRUNC((_xlfn.NORM.INV((RAND()),$E$35,$E$36)),2)</f>
        <v/>
      </c>
      <c r="J140" s="75">
        <f>TRUNC((_xlfn.NORM.INV((RAND()),$E$35,$E$36)),2)</f>
        <v/>
      </c>
      <c r="Z140" s="75" t="n">
        <v>114</v>
      </c>
      <c r="AA140" s="20">
        <f>TRUNC(IF(H140&lt;0,0,H140),0)</f>
        <v/>
      </c>
      <c r="AB140" s="20">
        <f>TRUNC(IF(I140&lt;0,0,I140),0)</f>
        <v/>
      </c>
      <c r="AC140" s="20">
        <f>TRUNC(IF(J140&lt;0,0,J140),0)</f>
        <v/>
      </c>
      <c r="AS140" s="75" t="n">
        <v>114</v>
      </c>
      <c r="AT140" s="5" t="n">
        <v>4</v>
      </c>
      <c r="AU140" s="5" t="n">
        <v>8</v>
      </c>
      <c r="AV140" s="5" t="n">
        <v>4</v>
      </c>
      <c r="AZ140" s="2" t="n"/>
      <c r="BA140" s="2" t="n"/>
      <c r="BB140" s="2" t="n"/>
      <c r="BE140" s="2" t="n"/>
      <c r="BF140" s="2" t="n"/>
      <c r="BG140" s="2" t="n"/>
    </row>
    <row r="141">
      <c r="G141" s="75" t="n">
        <v>115</v>
      </c>
      <c r="H141" s="75">
        <f>TRUNC((_xlfn.NORM.INV((RAND()),$E$35,$E$36)),2)</f>
        <v/>
      </c>
      <c r="I141" s="75">
        <f>TRUNC((_xlfn.NORM.INV((RAND()),$E$35,$E$36)),2)</f>
        <v/>
      </c>
      <c r="J141" s="75">
        <f>TRUNC((_xlfn.NORM.INV((RAND()),$E$35,$E$36)),2)</f>
        <v/>
      </c>
      <c r="Z141" s="75" t="n">
        <v>115</v>
      </c>
      <c r="AA141" s="20">
        <f>TRUNC(IF(H141&lt;0,0,H141),0)</f>
        <v/>
      </c>
      <c r="AB141" s="20">
        <f>TRUNC(IF(I141&lt;0,0,I141),0)</f>
        <v/>
      </c>
      <c r="AC141" s="20">
        <f>TRUNC(IF(J141&lt;0,0,J141),0)</f>
        <v/>
      </c>
      <c r="AS141" s="75" t="n">
        <v>115</v>
      </c>
      <c r="AT141" s="5" t="n">
        <v>6</v>
      </c>
      <c r="AU141" s="5" t="n">
        <v>7</v>
      </c>
      <c r="AV141" s="5" t="n">
        <v>6</v>
      </c>
      <c r="AZ141" s="2" t="n"/>
      <c r="BA141" s="2" t="n"/>
      <c r="BB141" s="2" t="n"/>
      <c r="BE141" s="2" t="n"/>
      <c r="BF141" s="2" t="n"/>
      <c r="BG141" s="2" t="n"/>
    </row>
    <row r="142">
      <c r="G142" s="75" t="n">
        <v>116</v>
      </c>
      <c r="H142" s="75">
        <f>TRUNC((_xlfn.NORM.INV((RAND()),$E$35,$E$36)),2)</f>
        <v/>
      </c>
      <c r="I142" s="75">
        <f>TRUNC((_xlfn.NORM.INV((RAND()),$E$35,$E$36)),2)</f>
        <v/>
      </c>
      <c r="J142" s="75">
        <f>TRUNC((_xlfn.NORM.INV((RAND()),$E$35,$E$36)),2)</f>
        <v/>
      </c>
      <c r="Z142" s="75" t="n">
        <v>116</v>
      </c>
      <c r="AA142" s="20">
        <f>TRUNC(IF(H142&lt;0,0,H142),0)</f>
        <v/>
      </c>
      <c r="AB142" s="20">
        <f>TRUNC(IF(I142&lt;0,0,I142),0)</f>
        <v/>
      </c>
      <c r="AC142" s="20">
        <f>TRUNC(IF(J142&lt;0,0,J142),0)</f>
        <v/>
      </c>
      <c r="AS142" s="75" t="n">
        <v>116</v>
      </c>
      <c r="AT142" s="5" t="n">
        <v>3</v>
      </c>
      <c r="AU142" s="5" t="n">
        <v>6</v>
      </c>
      <c r="AV142" s="5" t="n">
        <v>5</v>
      </c>
      <c r="AZ142" s="2" t="n"/>
      <c r="BA142" s="2" t="n"/>
      <c r="BB142" s="2" t="n"/>
      <c r="BE142" s="2" t="n"/>
      <c r="BF142" s="2" t="n"/>
      <c r="BG142" s="2" t="n"/>
    </row>
    <row r="143">
      <c r="G143" s="75" t="n">
        <v>117</v>
      </c>
      <c r="H143" s="75">
        <f>TRUNC((_xlfn.NORM.INV((RAND()),$E$35,$E$36)),2)</f>
        <v/>
      </c>
      <c r="I143" s="75">
        <f>TRUNC((_xlfn.NORM.INV((RAND()),$E$35,$E$36)),2)</f>
        <v/>
      </c>
      <c r="J143" s="75">
        <f>TRUNC((_xlfn.NORM.INV((RAND()),$E$35,$E$36)),2)</f>
        <v/>
      </c>
      <c r="Z143" s="75" t="n">
        <v>117</v>
      </c>
      <c r="AA143" s="20">
        <f>TRUNC(IF(H143&lt;0,0,H143),0)</f>
        <v/>
      </c>
      <c r="AB143" s="20">
        <f>TRUNC(IF(I143&lt;0,0,I143),0)</f>
        <v/>
      </c>
      <c r="AC143" s="20">
        <f>TRUNC(IF(J143&lt;0,0,J143),0)</f>
        <v/>
      </c>
      <c r="AS143" s="75" t="n">
        <v>117</v>
      </c>
      <c r="AT143" s="5" t="n">
        <v>4</v>
      </c>
      <c r="AU143" s="5" t="n">
        <v>5</v>
      </c>
      <c r="AV143" s="5" t="n">
        <v>3</v>
      </c>
      <c r="AZ143" s="2" t="n"/>
      <c r="BA143" s="2" t="n"/>
      <c r="BB143" s="2" t="n"/>
      <c r="BE143" s="2" t="n"/>
      <c r="BF143" s="2" t="n"/>
      <c r="BG143" s="2" t="n"/>
    </row>
    <row r="144">
      <c r="G144" s="75" t="n">
        <v>118</v>
      </c>
      <c r="H144" s="75">
        <f>TRUNC((_xlfn.NORM.INV((RAND()),$E$35,$E$36)),2)</f>
        <v/>
      </c>
      <c r="I144" s="75">
        <f>TRUNC((_xlfn.NORM.INV((RAND()),$E$35,$E$36)),2)</f>
        <v/>
      </c>
      <c r="J144" s="75">
        <f>TRUNC((_xlfn.NORM.INV((RAND()),$E$35,$E$36)),2)</f>
        <v/>
      </c>
      <c r="Z144" s="75" t="n">
        <v>118</v>
      </c>
      <c r="AA144" s="20">
        <f>TRUNC(IF(H144&lt;0,0,H144),0)</f>
        <v/>
      </c>
      <c r="AB144" s="20">
        <f>TRUNC(IF(I144&lt;0,0,I144),0)</f>
        <v/>
      </c>
      <c r="AC144" s="20">
        <f>TRUNC(IF(J144&lt;0,0,J144),0)</f>
        <v/>
      </c>
      <c r="AS144" s="75" t="n">
        <v>118</v>
      </c>
      <c r="AT144" s="5" t="n">
        <v>6</v>
      </c>
      <c r="AU144" s="5" t="n">
        <v>4</v>
      </c>
      <c r="AV144" s="5" t="n">
        <v>7</v>
      </c>
      <c r="AZ144" s="2" t="n"/>
      <c r="BA144" s="2" t="n"/>
      <c r="BB144" s="2" t="n"/>
      <c r="BE144" s="2" t="n"/>
      <c r="BF144" s="2" t="n"/>
      <c r="BG144" s="2" t="n"/>
    </row>
    <row r="145">
      <c r="G145" s="75" t="n">
        <v>119</v>
      </c>
      <c r="H145" s="75">
        <f>TRUNC((_xlfn.NORM.INV((RAND()),$E$35,$E$36)),2)</f>
        <v/>
      </c>
      <c r="I145" s="75">
        <f>TRUNC((_xlfn.NORM.INV((RAND()),$E$35,$E$36)),2)</f>
        <v/>
      </c>
      <c r="J145" s="75">
        <f>TRUNC((_xlfn.NORM.INV((RAND()),$E$35,$E$36)),2)</f>
        <v/>
      </c>
      <c r="Z145" s="75" t="n">
        <v>119</v>
      </c>
      <c r="AA145" s="20">
        <f>TRUNC(IF(H145&lt;0,0,H145),0)</f>
        <v/>
      </c>
      <c r="AB145" s="20">
        <f>TRUNC(IF(I145&lt;0,0,I145),0)</f>
        <v/>
      </c>
      <c r="AC145" s="20">
        <f>TRUNC(IF(J145&lt;0,0,J145),0)</f>
        <v/>
      </c>
      <c r="AS145" s="75" t="n">
        <v>119</v>
      </c>
      <c r="AT145" s="5" t="n">
        <v>2</v>
      </c>
      <c r="AU145" s="5" t="n">
        <v>5</v>
      </c>
      <c r="AV145" s="5" t="n">
        <v>5</v>
      </c>
      <c r="AZ145" s="2" t="n"/>
      <c r="BA145" s="2" t="n"/>
      <c r="BB145" s="2" t="n"/>
      <c r="BE145" s="2" t="n"/>
      <c r="BF145" s="2" t="n"/>
      <c r="BG145" s="2" t="n"/>
    </row>
    <row r="146">
      <c r="G146" s="75" t="n">
        <v>120</v>
      </c>
      <c r="H146" s="75">
        <f>TRUNC((_xlfn.NORM.INV((RAND()),$E$35,$E$36)),2)</f>
        <v/>
      </c>
      <c r="I146" s="75">
        <f>TRUNC((_xlfn.NORM.INV((RAND()),$E$35,$E$36)),2)</f>
        <v/>
      </c>
      <c r="J146" s="75">
        <f>TRUNC((_xlfn.NORM.INV((RAND()),$E$35,$E$36)),2)</f>
        <v/>
      </c>
      <c r="Z146" s="75" t="n">
        <v>120</v>
      </c>
      <c r="AA146" s="20">
        <f>TRUNC(IF(H146&lt;0,0,H146),0)</f>
        <v/>
      </c>
      <c r="AB146" s="20">
        <f>TRUNC(IF(I146&lt;0,0,I146),0)</f>
        <v/>
      </c>
      <c r="AC146" s="20">
        <f>TRUNC(IF(J146&lt;0,0,J146),0)</f>
        <v/>
      </c>
      <c r="AS146" s="75" t="n">
        <v>120</v>
      </c>
      <c r="AT146" s="5" t="n">
        <v>8</v>
      </c>
      <c r="AU146" s="5" t="n">
        <v>6</v>
      </c>
      <c r="AV146" s="5" t="n">
        <v>6</v>
      </c>
      <c r="AZ146" s="2" t="n"/>
      <c r="BA146" s="2" t="n"/>
      <c r="BB146" s="2" t="n"/>
      <c r="BE146" s="2" t="n"/>
      <c r="BF146" s="2" t="n"/>
      <c r="BG146" s="2" t="n"/>
    </row>
    <row r="147">
      <c r="G147" s="75" t="n">
        <v>121</v>
      </c>
      <c r="H147" s="75">
        <f>TRUNC((_xlfn.NORM.INV((RAND()),$E$35,$E$36)),2)</f>
        <v/>
      </c>
      <c r="I147" s="75">
        <f>TRUNC((_xlfn.NORM.INV((RAND()),$E$35,$E$36)),2)</f>
        <v/>
      </c>
      <c r="J147" s="75">
        <f>TRUNC((_xlfn.NORM.INV((RAND()),$E$35,$E$36)),2)</f>
        <v/>
      </c>
      <c r="Z147" s="75" t="n">
        <v>121</v>
      </c>
      <c r="AA147" s="20">
        <f>TRUNC(IF(H147&lt;0,0,H147),0)</f>
        <v/>
      </c>
      <c r="AB147" s="20">
        <f>TRUNC(IF(I147&lt;0,0,I147),0)</f>
        <v/>
      </c>
      <c r="AC147" s="20">
        <f>TRUNC(IF(J147&lt;0,0,J147),0)</f>
        <v/>
      </c>
      <c r="AS147" s="75" t="n">
        <v>121</v>
      </c>
      <c r="AT147" s="5" t="n">
        <v>5</v>
      </c>
      <c r="AU147" s="5" t="n">
        <v>5</v>
      </c>
      <c r="AV147" s="5" t="n">
        <v>6</v>
      </c>
      <c r="AZ147" s="2" t="n"/>
      <c r="BA147" s="2" t="n"/>
      <c r="BB147" s="2" t="n"/>
      <c r="BE147" s="2" t="n"/>
      <c r="BF147" s="2" t="n"/>
      <c r="BG147" s="2" t="n"/>
    </row>
    <row r="148">
      <c r="G148" s="75" t="n">
        <v>122</v>
      </c>
      <c r="H148" s="75">
        <f>TRUNC((_xlfn.NORM.INV((RAND()),$E$35,$E$36)),2)</f>
        <v/>
      </c>
      <c r="I148" s="75">
        <f>TRUNC((_xlfn.NORM.INV((RAND()),$E$35,$E$36)),2)</f>
        <v/>
      </c>
      <c r="J148" s="75">
        <f>TRUNC((_xlfn.NORM.INV((RAND()),$E$35,$E$36)),2)</f>
        <v/>
      </c>
      <c r="Z148" s="75" t="n">
        <v>122</v>
      </c>
      <c r="AA148" s="20">
        <f>TRUNC(IF(H148&lt;0,0,H148),0)</f>
        <v/>
      </c>
      <c r="AB148" s="20">
        <f>TRUNC(IF(I148&lt;0,0,I148),0)</f>
        <v/>
      </c>
      <c r="AC148" s="20">
        <f>TRUNC(IF(J148&lt;0,0,J148),0)</f>
        <v/>
      </c>
      <c r="AS148" s="75" t="n">
        <v>122</v>
      </c>
      <c r="AT148" s="5" t="n">
        <v>6</v>
      </c>
      <c r="AU148" s="5" t="n">
        <v>5</v>
      </c>
      <c r="AV148" s="5" t="n">
        <v>7</v>
      </c>
      <c r="AZ148" s="2" t="n"/>
      <c r="BA148" s="2" t="n"/>
      <c r="BB148" s="2" t="n"/>
      <c r="BE148" s="2" t="n"/>
      <c r="BF148" s="2" t="n"/>
      <c r="BG148" s="2" t="n"/>
    </row>
    <row r="149">
      <c r="G149" s="75" t="n">
        <v>123</v>
      </c>
      <c r="H149" s="75">
        <f>TRUNC((_xlfn.NORM.INV((RAND()),$E$35,$E$36)),2)</f>
        <v/>
      </c>
      <c r="I149" s="75">
        <f>TRUNC((_xlfn.NORM.INV((RAND()),$E$35,$E$36)),2)</f>
        <v/>
      </c>
      <c r="J149" s="75">
        <f>TRUNC((_xlfn.NORM.INV((RAND()),$E$35,$E$36)),2)</f>
        <v/>
      </c>
      <c r="Z149" s="75" t="n">
        <v>123</v>
      </c>
      <c r="AA149" s="20">
        <f>TRUNC(IF(H149&lt;0,0,H149),0)</f>
        <v/>
      </c>
      <c r="AB149" s="20">
        <f>TRUNC(IF(I149&lt;0,0,I149),0)</f>
        <v/>
      </c>
      <c r="AC149" s="20">
        <f>TRUNC(IF(J149&lt;0,0,J149),0)</f>
        <v/>
      </c>
      <c r="AS149" s="75" t="n">
        <v>123</v>
      </c>
      <c r="AT149" s="5" t="n">
        <v>5</v>
      </c>
      <c r="AU149" s="5" t="n">
        <v>6</v>
      </c>
      <c r="AV149" s="5" t="n">
        <v>4</v>
      </c>
      <c r="AZ149" s="2" t="n"/>
      <c r="BA149" s="2" t="n"/>
      <c r="BB149" s="2" t="n"/>
      <c r="BE149" s="2" t="n"/>
      <c r="BF149" s="2" t="n"/>
      <c r="BG149" s="2" t="n"/>
    </row>
    <row r="150">
      <c r="G150" s="75" t="n">
        <v>124</v>
      </c>
      <c r="H150" s="75">
        <f>TRUNC((_xlfn.NORM.INV((RAND()),$E$35,$E$36)),2)</f>
        <v/>
      </c>
      <c r="I150" s="75">
        <f>TRUNC((_xlfn.NORM.INV((RAND()),$E$35,$E$36)),2)</f>
        <v/>
      </c>
      <c r="J150" s="75">
        <f>TRUNC((_xlfn.NORM.INV((RAND()),$E$35,$E$36)),2)</f>
        <v/>
      </c>
      <c r="Z150" s="75" t="n">
        <v>124</v>
      </c>
      <c r="AA150" s="20">
        <f>TRUNC(IF(H150&lt;0,0,H150),0)</f>
        <v/>
      </c>
      <c r="AB150" s="20">
        <f>TRUNC(IF(I150&lt;0,0,I150),0)</f>
        <v/>
      </c>
      <c r="AC150" s="20">
        <f>TRUNC(IF(J150&lt;0,0,J150),0)</f>
        <v/>
      </c>
      <c r="AS150" s="75" t="n">
        <v>124</v>
      </c>
      <c r="AT150" s="5" t="n">
        <v>4</v>
      </c>
      <c r="AU150" s="5" t="n">
        <v>6</v>
      </c>
      <c r="AV150" s="5" t="n">
        <v>6</v>
      </c>
      <c r="AZ150" s="2" t="n"/>
      <c r="BA150" s="2" t="n"/>
      <c r="BB150" s="2" t="n"/>
      <c r="BE150" s="2" t="n"/>
      <c r="BF150" s="2" t="n"/>
      <c r="BG150" s="2" t="n"/>
    </row>
    <row r="151">
      <c r="G151" s="75" t="n">
        <v>125</v>
      </c>
      <c r="H151" s="75">
        <f>TRUNC((_xlfn.NORM.INV((RAND()),$E$35,$E$36)),2)</f>
        <v/>
      </c>
      <c r="I151" s="75">
        <f>TRUNC((_xlfn.NORM.INV((RAND()),$E$35,$E$36)),2)</f>
        <v/>
      </c>
      <c r="J151" s="75">
        <f>TRUNC((_xlfn.NORM.INV((RAND()),$E$35,$E$36)),2)</f>
        <v/>
      </c>
      <c r="Z151" s="75" t="n">
        <v>125</v>
      </c>
      <c r="AA151" s="20">
        <f>TRUNC(IF(H151&lt;0,0,H151),0)</f>
        <v/>
      </c>
      <c r="AB151" s="20">
        <f>TRUNC(IF(I151&lt;0,0,I151),0)</f>
        <v/>
      </c>
      <c r="AC151" s="20">
        <f>TRUNC(IF(J151&lt;0,0,J151),0)</f>
        <v/>
      </c>
      <c r="AS151" s="75" t="n">
        <v>125</v>
      </c>
      <c r="AT151" s="5" t="n">
        <v>4</v>
      </c>
      <c r="AU151" s="5" t="n">
        <v>4</v>
      </c>
      <c r="AV151" s="5" t="n">
        <v>4</v>
      </c>
      <c r="AZ151" s="2" t="n"/>
      <c r="BA151" s="2" t="n"/>
      <c r="BB151" s="2" t="n"/>
      <c r="BE151" s="2" t="n"/>
      <c r="BF151" s="2" t="n"/>
      <c r="BG151" s="2" t="n"/>
    </row>
    <row r="152">
      <c r="G152" s="75" t="n">
        <v>126</v>
      </c>
      <c r="H152" s="75">
        <f>TRUNC((_xlfn.NORM.INV((RAND()),$E$35,$E$36)),2)</f>
        <v/>
      </c>
      <c r="I152" s="75">
        <f>TRUNC((_xlfn.NORM.INV((RAND()),$E$35,$E$36)),2)</f>
        <v/>
      </c>
      <c r="J152" s="75">
        <f>TRUNC((_xlfn.NORM.INV((RAND()),$E$35,$E$36)),2)</f>
        <v/>
      </c>
      <c r="Z152" s="75" t="n">
        <v>126</v>
      </c>
      <c r="AA152" s="20">
        <f>TRUNC(IF(H152&lt;0,0,H152),0)</f>
        <v/>
      </c>
      <c r="AB152" s="20">
        <f>TRUNC(IF(I152&lt;0,0,I152),0)</f>
        <v/>
      </c>
      <c r="AC152" s="20">
        <f>TRUNC(IF(J152&lt;0,0,J152),0)</f>
        <v/>
      </c>
      <c r="AS152" s="75" t="n">
        <v>126</v>
      </c>
      <c r="AT152" s="5" t="n">
        <v>5</v>
      </c>
      <c r="AU152" s="5" t="n">
        <v>7</v>
      </c>
      <c r="AV152" s="5" t="n">
        <v>4</v>
      </c>
      <c r="AZ152" s="2" t="n"/>
      <c r="BA152" s="2" t="n"/>
      <c r="BB152" s="2" t="n"/>
      <c r="BE152" s="2" t="n"/>
      <c r="BF152" s="2" t="n"/>
      <c r="BG152" s="2" t="n"/>
    </row>
    <row r="153">
      <c r="G153" s="75" t="n">
        <v>127</v>
      </c>
      <c r="H153" s="75">
        <f>TRUNC((_xlfn.NORM.INV((RAND()),$E$35,$E$36)),2)</f>
        <v/>
      </c>
      <c r="I153" s="75">
        <f>TRUNC((_xlfn.NORM.INV((RAND()),$E$35,$E$36)),2)</f>
        <v/>
      </c>
      <c r="J153" s="75">
        <f>TRUNC((_xlfn.NORM.INV((RAND()),$E$35,$E$36)),2)</f>
        <v/>
      </c>
      <c r="Z153" s="75" t="n">
        <v>127</v>
      </c>
      <c r="AA153" s="20">
        <f>TRUNC(IF(H153&lt;0,0,H153),0)</f>
        <v/>
      </c>
      <c r="AB153" s="20">
        <f>TRUNC(IF(I153&lt;0,0,I153),0)</f>
        <v/>
      </c>
      <c r="AC153" s="20">
        <f>TRUNC(IF(J153&lt;0,0,J153),0)</f>
        <v/>
      </c>
      <c r="AS153" s="75" t="n">
        <v>127</v>
      </c>
      <c r="AT153" s="5" t="n">
        <v>4</v>
      </c>
      <c r="AU153" s="5" t="n">
        <v>7</v>
      </c>
      <c r="AV153" s="5" t="n">
        <v>6</v>
      </c>
      <c r="AZ153" s="2" t="n"/>
      <c r="BA153" s="2" t="n"/>
      <c r="BB153" s="2" t="n"/>
      <c r="BE153" s="2" t="n"/>
      <c r="BF153" s="2" t="n"/>
      <c r="BG153" s="2" t="n"/>
    </row>
    <row r="154">
      <c r="G154" s="75" t="n">
        <v>128</v>
      </c>
      <c r="H154" s="75">
        <f>TRUNC((_xlfn.NORM.INV((RAND()),$E$35,$E$36)),2)</f>
        <v/>
      </c>
      <c r="I154" s="75">
        <f>TRUNC((_xlfn.NORM.INV((RAND()),$E$35,$E$36)),2)</f>
        <v/>
      </c>
      <c r="J154" s="75">
        <f>TRUNC((_xlfn.NORM.INV((RAND()),$E$35,$E$36)),2)</f>
        <v/>
      </c>
      <c r="Z154" s="75" t="n">
        <v>128</v>
      </c>
      <c r="AA154" s="20">
        <f>TRUNC(IF(H154&lt;0,0,H154),0)</f>
        <v/>
      </c>
      <c r="AB154" s="20">
        <f>TRUNC(IF(I154&lt;0,0,I154),0)</f>
        <v/>
      </c>
      <c r="AC154" s="20">
        <f>TRUNC(IF(J154&lt;0,0,J154),0)</f>
        <v/>
      </c>
      <c r="AS154" s="75" t="n">
        <v>128</v>
      </c>
      <c r="AT154" s="5" t="n">
        <v>3</v>
      </c>
      <c r="AU154" s="5" t="n">
        <v>3</v>
      </c>
      <c r="AV154" s="5" t="n">
        <v>5</v>
      </c>
      <c r="AZ154" s="2" t="n"/>
      <c r="BA154" s="2" t="n"/>
      <c r="BB154" s="2" t="n"/>
      <c r="BE154" s="2" t="n"/>
      <c r="BF154" s="2" t="n"/>
      <c r="BG154" s="2" t="n"/>
    </row>
    <row r="155">
      <c r="G155" s="75" t="n">
        <v>129</v>
      </c>
      <c r="H155" s="75">
        <f>TRUNC((_xlfn.NORM.INV((RAND()),$E$35,$E$36)),2)</f>
        <v/>
      </c>
      <c r="I155" s="75">
        <f>TRUNC((_xlfn.NORM.INV((RAND()),$E$35,$E$36)),2)</f>
        <v/>
      </c>
      <c r="J155" s="75">
        <f>TRUNC((_xlfn.NORM.INV((RAND()),$E$35,$E$36)),2)</f>
        <v/>
      </c>
      <c r="Z155" s="75" t="n">
        <v>129</v>
      </c>
      <c r="AA155" s="20">
        <f>TRUNC(IF(H155&lt;0,0,H155),0)</f>
        <v/>
      </c>
      <c r="AB155" s="20">
        <f>TRUNC(IF(I155&lt;0,0,I155),0)</f>
        <v/>
      </c>
      <c r="AC155" s="20">
        <f>TRUNC(IF(J155&lt;0,0,J155),0)</f>
        <v/>
      </c>
      <c r="AS155" s="75" t="n">
        <v>129</v>
      </c>
      <c r="AT155" s="5" t="n">
        <v>3</v>
      </c>
      <c r="AU155" s="5" t="n">
        <v>6</v>
      </c>
      <c r="AV155" s="5" t="n">
        <v>4</v>
      </c>
      <c r="AZ155" s="2" t="n"/>
      <c r="BA155" s="2" t="n"/>
      <c r="BB155" s="2" t="n"/>
      <c r="BE155" s="2" t="n"/>
      <c r="BF155" s="2" t="n"/>
      <c r="BG155" s="2" t="n"/>
    </row>
    <row r="156">
      <c r="G156" s="75" t="n">
        <v>130</v>
      </c>
      <c r="H156" s="75">
        <f>TRUNC((_xlfn.NORM.INV((RAND()),$E$35,$E$36)),2)</f>
        <v/>
      </c>
      <c r="I156" s="75">
        <f>TRUNC((_xlfn.NORM.INV((RAND()),$E$35,$E$36)),2)</f>
        <v/>
      </c>
      <c r="J156" s="75">
        <f>TRUNC((_xlfn.NORM.INV((RAND()),$E$35,$E$36)),2)</f>
        <v/>
      </c>
      <c r="Z156" s="75" t="n">
        <v>130</v>
      </c>
      <c r="AA156" s="20">
        <f>TRUNC(IF(H156&lt;0,0,H156),0)</f>
        <v/>
      </c>
      <c r="AB156" s="20">
        <f>TRUNC(IF(I156&lt;0,0,I156),0)</f>
        <v/>
      </c>
      <c r="AC156" s="20">
        <f>TRUNC(IF(J156&lt;0,0,J156),0)</f>
        <v/>
      </c>
      <c r="AS156" s="75" t="n">
        <v>130</v>
      </c>
      <c r="AT156" s="5" t="n">
        <v>6</v>
      </c>
      <c r="AU156" s="5" t="n">
        <v>7</v>
      </c>
      <c r="AV156" s="5" t="n">
        <v>6</v>
      </c>
      <c r="AZ156" s="2" t="n"/>
      <c r="BA156" s="2" t="n"/>
      <c r="BB156" s="2" t="n"/>
      <c r="BE156" s="2" t="n"/>
      <c r="BF156" s="2" t="n"/>
      <c r="BG156" s="2" t="n"/>
    </row>
    <row r="157">
      <c r="G157" s="75" t="n">
        <v>131</v>
      </c>
      <c r="H157" s="75">
        <f>TRUNC((_xlfn.NORM.INV((RAND()),$E$35,$E$36)),2)</f>
        <v/>
      </c>
      <c r="I157" s="75">
        <f>TRUNC((_xlfn.NORM.INV((RAND()),$E$35,$E$36)),2)</f>
        <v/>
      </c>
      <c r="J157" s="75">
        <f>TRUNC((_xlfn.NORM.INV((RAND()),$E$35,$E$36)),2)</f>
        <v/>
      </c>
      <c r="Z157" s="75" t="n">
        <v>131</v>
      </c>
      <c r="AA157" s="20">
        <f>TRUNC(IF(H157&lt;0,0,H157),0)</f>
        <v/>
      </c>
      <c r="AB157" s="20">
        <f>TRUNC(IF(I157&lt;0,0,I157),0)</f>
        <v/>
      </c>
      <c r="AC157" s="20">
        <f>TRUNC(IF(J157&lt;0,0,J157),0)</f>
        <v/>
      </c>
      <c r="AS157" s="75" t="n">
        <v>131</v>
      </c>
      <c r="AT157" s="5" t="n">
        <v>5</v>
      </c>
      <c r="AU157" s="5" t="n">
        <v>5</v>
      </c>
      <c r="AV157" s="5" t="n">
        <v>7</v>
      </c>
      <c r="AZ157" s="2" t="n"/>
      <c r="BA157" s="2" t="n"/>
      <c r="BB157" s="2" t="n"/>
      <c r="BE157" s="2" t="n"/>
      <c r="BF157" s="2" t="n"/>
      <c r="BG157" s="2" t="n"/>
    </row>
    <row r="158">
      <c r="G158" s="75" t="n">
        <v>132</v>
      </c>
      <c r="H158" s="75">
        <f>TRUNC((_xlfn.NORM.INV((RAND()),$E$35,$E$36)),2)</f>
        <v/>
      </c>
      <c r="I158" s="75">
        <f>TRUNC((_xlfn.NORM.INV((RAND()),$E$35,$E$36)),2)</f>
        <v/>
      </c>
      <c r="J158" s="75">
        <f>TRUNC((_xlfn.NORM.INV((RAND()),$E$35,$E$36)),2)</f>
        <v/>
      </c>
      <c r="Z158" s="75" t="n">
        <v>132</v>
      </c>
      <c r="AA158" s="20">
        <f>TRUNC(IF(H158&lt;0,0,H158),0)</f>
        <v/>
      </c>
      <c r="AB158" s="20">
        <f>TRUNC(IF(I158&lt;0,0,I158),0)</f>
        <v/>
      </c>
      <c r="AC158" s="20">
        <f>TRUNC(IF(J158&lt;0,0,J158),0)</f>
        <v/>
      </c>
      <c r="AS158" s="75" t="n">
        <v>132</v>
      </c>
      <c r="AT158" s="5" t="n">
        <v>4</v>
      </c>
      <c r="AU158" s="5" t="n">
        <v>4</v>
      </c>
      <c r="AV158" s="5" t="n">
        <v>4</v>
      </c>
      <c r="AZ158" s="2" t="n"/>
      <c r="BA158" s="2" t="n"/>
      <c r="BB158" s="2" t="n"/>
      <c r="BE158" s="2" t="n"/>
      <c r="BF158" s="2" t="n"/>
      <c r="BG158" s="2" t="n"/>
    </row>
    <row r="159">
      <c r="G159" s="75" t="n">
        <v>133</v>
      </c>
      <c r="H159" s="75">
        <f>TRUNC((_xlfn.NORM.INV((RAND()),$E$35,$E$36)),2)</f>
        <v/>
      </c>
      <c r="I159" s="75">
        <f>TRUNC((_xlfn.NORM.INV((RAND()),$E$35,$E$36)),2)</f>
        <v/>
      </c>
      <c r="J159" s="75">
        <f>TRUNC((_xlfn.NORM.INV((RAND()),$E$35,$E$36)),2)</f>
        <v/>
      </c>
      <c r="Z159" s="75" t="n">
        <v>133</v>
      </c>
      <c r="AA159" s="20">
        <f>TRUNC(IF(H159&lt;0,0,H159),0)</f>
        <v/>
      </c>
      <c r="AB159" s="20">
        <f>TRUNC(IF(I159&lt;0,0,I159),0)</f>
        <v/>
      </c>
      <c r="AC159" s="20">
        <f>TRUNC(IF(J159&lt;0,0,J159),0)</f>
        <v/>
      </c>
      <c r="AS159" s="75" t="n">
        <v>133</v>
      </c>
      <c r="AT159" s="5" t="n">
        <v>6</v>
      </c>
      <c r="AU159" s="5" t="n">
        <v>4</v>
      </c>
      <c r="AV159" s="5" t="n">
        <v>4</v>
      </c>
      <c r="AZ159" s="2" t="n"/>
      <c r="BA159" s="2" t="n"/>
      <c r="BB159" s="2" t="n"/>
      <c r="BE159" s="2" t="n"/>
      <c r="BF159" s="2" t="n"/>
      <c r="BG159" s="2" t="n"/>
    </row>
    <row r="160">
      <c r="G160" s="75" t="n">
        <v>134</v>
      </c>
      <c r="H160" s="75">
        <f>TRUNC((_xlfn.NORM.INV((RAND()),$E$35,$E$36)),2)</f>
        <v/>
      </c>
      <c r="I160" s="75">
        <f>TRUNC((_xlfn.NORM.INV((RAND()),$E$35,$E$36)),2)</f>
        <v/>
      </c>
      <c r="J160" s="75">
        <f>TRUNC((_xlfn.NORM.INV((RAND()),$E$35,$E$36)),2)</f>
        <v/>
      </c>
      <c r="Z160" s="75" t="n">
        <v>134</v>
      </c>
      <c r="AA160" s="20">
        <f>TRUNC(IF(H160&lt;0,0,H160),0)</f>
        <v/>
      </c>
      <c r="AB160" s="20">
        <f>TRUNC(IF(I160&lt;0,0,I160),0)</f>
        <v/>
      </c>
      <c r="AC160" s="20">
        <f>TRUNC(IF(J160&lt;0,0,J160),0)</f>
        <v/>
      </c>
      <c r="AS160" s="75" t="n">
        <v>134</v>
      </c>
      <c r="AT160" s="5" t="n">
        <v>5</v>
      </c>
      <c r="AU160" s="5" t="n">
        <v>2</v>
      </c>
      <c r="AV160" s="5" t="n">
        <v>6</v>
      </c>
      <c r="AZ160" s="2" t="n"/>
      <c r="BA160" s="2" t="n"/>
      <c r="BB160" s="2" t="n"/>
      <c r="BE160" s="2" t="n"/>
      <c r="BF160" s="2" t="n"/>
      <c r="BG160" s="2" t="n"/>
    </row>
    <row r="161">
      <c r="G161" s="75" t="n">
        <v>135</v>
      </c>
      <c r="H161" s="75">
        <f>TRUNC((_xlfn.NORM.INV((RAND()),$E$35,$E$36)),2)</f>
        <v/>
      </c>
      <c r="I161" s="75">
        <f>TRUNC((_xlfn.NORM.INV((RAND()),$E$35,$E$36)),2)</f>
        <v/>
      </c>
      <c r="J161" s="75">
        <f>TRUNC((_xlfn.NORM.INV((RAND()),$E$35,$E$36)),2)</f>
        <v/>
      </c>
      <c r="Z161" s="75" t="n">
        <v>135</v>
      </c>
      <c r="AA161" s="20">
        <f>TRUNC(IF(H161&lt;0,0,H161),0)</f>
        <v/>
      </c>
      <c r="AB161" s="20">
        <f>TRUNC(IF(I161&lt;0,0,I161),0)</f>
        <v/>
      </c>
      <c r="AC161" s="20">
        <f>TRUNC(IF(J161&lt;0,0,J161),0)</f>
        <v/>
      </c>
      <c r="AS161" s="75" t="n">
        <v>135</v>
      </c>
      <c r="AT161" s="5" t="n">
        <v>5</v>
      </c>
      <c r="AU161" s="5" t="n">
        <v>3</v>
      </c>
      <c r="AV161" s="5" t="n">
        <v>4</v>
      </c>
      <c r="AZ161" s="2" t="n"/>
      <c r="BA161" s="2" t="n"/>
      <c r="BB161" s="2" t="n"/>
      <c r="BE161" s="2" t="n"/>
      <c r="BF161" s="2" t="n"/>
      <c r="BG161" s="2" t="n"/>
    </row>
    <row r="162">
      <c r="G162" s="75" t="n">
        <v>136</v>
      </c>
      <c r="H162" s="75">
        <f>TRUNC((_xlfn.NORM.INV((RAND()),$E$35,$E$36)),2)</f>
        <v/>
      </c>
      <c r="I162" s="75">
        <f>TRUNC((_xlfn.NORM.INV((RAND()),$E$35,$E$36)),2)</f>
        <v/>
      </c>
      <c r="J162" s="75">
        <f>TRUNC((_xlfn.NORM.INV((RAND()),$E$35,$E$36)),2)</f>
        <v/>
      </c>
      <c r="Z162" s="75" t="n">
        <v>136</v>
      </c>
      <c r="AA162" s="20">
        <f>TRUNC(IF(H162&lt;0,0,H162),0)</f>
        <v/>
      </c>
      <c r="AB162" s="20">
        <f>TRUNC(IF(I162&lt;0,0,I162),0)</f>
        <v/>
      </c>
      <c r="AC162" s="20">
        <f>TRUNC(IF(J162&lt;0,0,J162),0)</f>
        <v/>
      </c>
      <c r="AS162" s="75" t="n">
        <v>136</v>
      </c>
      <c r="AT162" s="5" t="n">
        <v>3</v>
      </c>
      <c r="AU162" s="5" t="n">
        <v>2</v>
      </c>
      <c r="AV162" s="5" t="n">
        <v>5</v>
      </c>
      <c r="AZ162" s="2" t="n"/>
      <c r="BA162" s="2" t="n"/>
      <c r="BB162" s="2" t="n"/>
      <c r="BE162" s="2" t="n"/>
      <c r="BF162" s="2" t="n"/>
      <c r="BG162" s="2" t="n"/>
    </row>
    <row r="163">
      <c r="G163" s="75" t="n">
        <v>137</v>
      </c>
      <c r="H163" s="75">
        <f>TRUNC((_xlfn.NORM.INV((RAND()),$E$35,$E$36)),2)</f>
        <v/>
      </c>
      <c r="I163" s="75">
        <f>TRUNC((_xlfn.NORM.INV((RAND()),$E$35,$E$36)),2)</f>
        <v/>
      </c>
      <c r="J163" s="75">
        <f>TRUNC((_xlfn.NORM.INV((RAND()),$E$35,$E$36)),2)</f>
        <v/>
      </c>
      <c r="Z163" s="75" t="n">
        <v>137</v>
      </c>
      <c r="AA163" s="20">
        <f>TRUNC(IF(H163&lt;0,0,H163),0)</f>
        <v/>
      </c>
      <c r="AB163" s="20">
        <f>TRUNC(IF(I163&lt;0,0,I163),0)</f>
        <v/>
      </c>
      <c r="AC163" s="20">
        <f>TRUNC(IF(J163&lt;0,0,J163),0)</f>
        <v/>
      </c>
      <c r="AS163" s="75" t="n">
        <v>137</v>
      </c>
      <c r="AT163" s="5" t="n">
        <v>6</v>
      </c>
      <c r="AU163" s="5" t="n">
        <v>3</v>
      </c>
      <c r="AV163" s="5" t="n">
        <v>5</v>
      </c>
      <c r="AZ163" s="2" t="n"/>
      <c r="BA163" s="2" t="n"/>
      <c r="BB163" s="2" t="n"/>
      <c r="BE163" s="2" t="n"/>
      <c r="BF163" s="2" t="n"/>
      <c r="BG163" s="2" t="n"/>
    </row>
    <row r="164">
      <c r="G164" s="75" t="n">
        <v>138</v>
      </c>
      <c r="H164" s="75">
        <f>TRUNC((_xlfn.NORM.INV((RAND()),$E$35,$E$36)),2)</f>
        <v/>
      </c>
      <c r="I164" s="75">
        <f>TRUNC((_xlfn.NORM.INV((RAND()),$E$35,$E$36)),2)</f>
        <v/>
      </c>
      <c r="J164" s="75">
        <f>TRUNC((_xlfn.NORM.INV((RAND()),$E$35,$E$36)),2)</f>
        <v/>
      </c>
      <c r="Z164" s="75" t="n">
        <v>138</v>
      </c>
      <c r="AA164" s="20">
        <f>TRUNC(IF(H164&lt;0,0,H164),0)</f>
        <v/>
      </c>
      <c r="AB164" s="20">
        <f>TRUNC(IF(I164&lt;0,0,I164),0)</f>
        <v/>
      </c>
      <c r="AC164" s="20">
        <f>TRUNC(IF(J164&lt;0,0,J164),0)</f>
        <v/>
      </c>
      <c r="AS164" s="75" t="n">
        <v>138</v>
      </c>
      <c r="AT164" s="5" t="n">
        <v>3</v>
      </c>
      <c r="AU164" s="5" t="n">
        <v>6</v>
      </c>
      <c r="AV164" s="5" t="n">
        <v>6</v>
      </c>
      <c r="AZ164" s="2" t="n"/>
      <c r="BA164" s="2" t="n"/>
      <c r="BB164" s="2" t="n"/>
      <c r="BE164" s="2" t="n"/>
      <c r="BF164" s="2" t="n"/>
      <c r="BG164" s="2" t="n"/>
    </row>
    <row r="165">
      <c r="G165" s="75" t="n">
        <v>139</v>
      </c>
      <c r="H165" s="75">
        <f>TRUNC((_xlfn.NORM.INV((RAND()),$E$35,$E$36)),2)</f>
        <v/>
      </c>
      <c r="I165" s="75">
        <f>TRUNC((_xlfn.NORM.INV((RAND()),$E$35,$E$36)),2)</f>
        <v/>
      </c>
      <c r="J165" s="75">
        <f>TRUNC((_xlfn.NORM.INV((RAND()),$E$35,$E$36)),2)</f>
        <v/>
      </c>
      <c r="Z165" s="75" t="n">
        <v>139</v>
      </c>
      <c r="AA165" s="20">
        <f>TRUNC(IF(H165&lt;0,0,H165),0)</f>
        <v/>
      </c>
      <c r="AB165" s="20">
        <f>TRUNC(IF(I165&lt;0,0,I165),0)</f>
        <v/>
      </c>
      <c r="AC165" s="20">
        <f>TRUNC(IF(J165&lt;0,0,J165),0)</f>
        <v/>
      </c>
      <c r="AS165" s="75" t="n">
        <v>139</v>
      </c>
      <c r="AT165" s="5" t="n">
        <v>3</v>
      </c>
      <c r="AU165" s="5" t="n">
        <v>8</v>
      </c>
      <c r="AV165" s="5" t="n">
        <v>3</v>
      </c>
      <c r="AZ165" s="2" t="n"/>
      <c r="BA165" s="2" t="n"/>
      <c r="BB165" s="2" t="n"/>
      <c r="BE165" s="2" t="n"/>
      <c r="BF165" s="2" t="n"/>
      <c r="BG165" s="2" t="n"/>
    </row>
    <row r="166">
      <c r="G166" s="75" t="n">
        <v>140</v>
      </c>
      <c r="H166" s="75">
        <f>TRUNC((_xlfn.NORM.INV((RAND()),$E$35,$E$36)),2)</f>
        <v/>
      </c>
      <c r="I166" s="75">
        <f>TRUNC((_xlfn.NORM.INV((RAND()),$E$35,$E$36)),2)</f>
        <v/>
      </c>
      <c r="J166" s="75">
        <f>TRUNC((_xlfn.NORM.INV((RAND()),$E$35,$E$36)),2)</f>
        <v/>
      </c>
      <c r="Z166" s="75" t="n">
        <v>140</v>
      </c>
      <c r="AA166" s="20">
        <f>TRUNC(IF(H166&lt;0,0,H166),0)</f>
        <v/>
      </c>
      <c r="AB166" s="20">
        <f>TRUNC(IF(I166&lt;0,0,I166),0)</f>
        <v/>
      </c>
      <c r="AC166" s="20">
        <f>TRUNC(IF(J166&lt;0,0,J166),0)</f>
        <v/>
      </c>
      <c r="AS166" s="75" t="n">
        <v>140</v>
      </c>
      <c r="AT166" s="5" t="n">
        <v>3</v>
      </c>
      <c r="AU166" s="5" t="n">
        <v>6</v>
      </c>
      <c r="AV166" s="5" t="n">
        <v>4</v>
      </c>
      <c r="AZ166" s="2" t="n"/>
      <c r="BA166" s="2" t="n"/>
      <c r="BB166" s="2" t="n"/>
      <c r="BE166" s="2" t="n"/>
      <c r="BF166" s="2" t="n"/>
      <c r="BG166" s="2" t="n"/>
    </row>
    <row r="167">
      <c r="G167" s="75" t="n">
        <v>141</v>
      </c>
      <c r="H167" s="75">
        <f>TRUNC((_xlfn.NORM.INV((RAND()),$E$35,$E$36)),2)</f>
        <v/>
      </c>
      <c r="I167" s="75">
        <f>TRUNC((_xlfn.NORM.INV((RAND()),$E$35,$E$36)),2)</f>
        <v/>
      </c>
      <c r="J167" s="75">
        <f>TRUNC((_xlfn.NORM.INV((RAND()),$E$35,$E$36)),2)</f>
        <v/>
      </c>
      <c r="Z167" s="75" t="n">
        <v>141</v>
      </c>
      <c r="AA167" s="20">
        <f>TRUNC(IF(H167&lt;0,0,H167),0)</f>
        <v/>
      </c>
      <c r="AB167" s="20">
        <f>TRUNC(IF(I167&lt;0,0,I167),0)</f>
        <v/>
      </c>
      <c r="AC167" s="20">
        <f>TRUNC(IF(J167&lt;0,0,J167),0)</f>
        <v/>
      </c>
      <c r="AS167" s="75" t="n">
        <v>141</v>
      </c>
      <c r="AT167" s="5" t="n">
        <v>4</v>
      </c>
      <c r="AU167" s="5" t="n">
        <v>6</v>
      </c>
      <c r="AV167" s="5" t="n">
        <v>7</v>
      </c>
      <c r="AZ167" s="2" t="n"/>
      <c r="BA167" s="2" t="n"/>
      <c r="BB167" s="2" t="n"/>
      <c r="BE167" s="2" t="n"/>
      <c r="BF167" s="2" t="n"/>
      <c r="BG167" s="2" t="n"/>
    </row>
    <row r="168">
      <c r="G168" s="75" t="n">
        <v>142</v>
      </c>
      <c r="H168" s="75">
        <f>TRUNC((_xlfn.NORM.INV((RAND()),$E$35,$E$36)),2)</f>
        <v/>
      </c>
      <c r="I168" s="75">
        <f>TRUNC((_xlfn.NORM.INV((RAND()),$E$35,$E$36)),2)</f>
        <v/>
      </c>
      <c r="J168" s="75">
        <f>TRUNC((_xlfn.NORM.INV((RAND()),$E$35,$E$36)),2)</f>
        <v/>
      </c>
      <c r="Z168" s="75" t="n">
        <v>142</v>
      </c>
      <c r="AA168" s="20">
        <f>TRUNC(IF(H168&lt;0,0,H168),0)</f>
        <v/>
      </c>
      <c r="AB168" s="20">
        <f>TRUNC(IF(I168&lt;0,0,I168),0)</f>
        <v/>
      </c>
      <c r="AC168" s="20">
        <f>TRUNC(IF(J168&lt;0,0,J168),0)</f>
        <v/>
      </c>
      <c r="AS168" s="75" t="n">
        <v>142</v>
      </c>
      <c r="AT168" s="5" t="n">
        <v>5</v>
      </c>
      <c r="AU168" s="5" t="n">
        <v>7</v>
      </c>
      <c r="AV168" s="5" t="n">
        <v>5</v>
      </c>
      <c r="AZ168" s="2" t="n"/>
      <c r="BA168" s="2" t="n"/>
      <c r="BB168" s="2" t="n"/>
      <c r="BE168" s="2" t="n"/>
      <c r="BF168" s="2" t="n"/>
      <c r="BG168" s="2" t="n"/>
    </row>
    <row r="169">
      <c r="G169" s="75" t="n">
        <v>143</v>
      </c>
      <c r="H169" s="75">
        <f>TRUNC((_xlfn.NORM.INV((RAND()),$E$35,$E$36)),2)</f>
        <v/>
      </c>
      <c r="I169" s="75">
        <f>TRUNC((_xlfn.NORM.INV((RAND()),$E$35,$E$36)),2)</f>
        <v/>
      </c>
      <c r="J169" s="75">
        <f>TRUNC((_xlfn.NORM.INV((RAND()),$E$35,$E$36)),2)</f>
        <v/>
      </c>
      <c r="Z169" s="75" t="n">
        <v>143</v>
      </c>
      <c r="AA169" s="20">
        <f>TRUNC(IF(H169&lt;0,0,H169),0)</f>
        <v/>
      </c>
      <c r="AB169" s="20">
        <f>TRUNC(IF(I169&lt;0,0,I169),0)</f>
        <v/>
      </c>
      <c r="AC169" s="20">
        <f>TRUNC(IF(J169&lt;0,0,J169),0)</f>
        <v/>
      </c>
      <c r="AS169" s="75" t="n">
        <v>143</v>
      </c>
      <c r="AT169" s="5" t="n">
        <v>5</v>
      </c>
      <c r="AU169" s="5" t="n">
        <v>3</v>
      </c>
      <c r="AV169" s="5" t="n">
        <v>2</v>
      </c>
      <c r="AZ169" s="2" t="n"/>
      <c r="BA169" s="2" t="n"/>
      <c r="BB169" s="2" t="n"/>
      <c r="BE169" s="2" t="n"/>
      <c r="BF169" s="2" t="n"/>
      <c r="BG169" s="2" t="n"/>
    </row>
    <row r="170">
      <c r="G170" s="75" t="n">
        <v>144</v>
      </c>
      <c r="H170" s="75">
        <f>TRUNC((_xlfn.NORM.INV((RAND()),$E$35,$E$36)),2)</f>
        <v/>
      </c>
      <c r="I170" s="75">
        <f>TRUNC((_xlfn.NORM.INV((RAND()),$E$35,$E$36)),2)</f>
        <v/>
      </c>
      <c r="J170" s="75">
        <f>TRUNC((_xlfn.NORM.INV((RAND()),$E$35,$E$36)),2)</f>
        <v/>
      </c>
      <c r="Z170" s="75" t="n">
        <v>144</v>
      </c>
      <c r="AA170" s="20">
        <f>TRUNC(IF(H170&lt;0,0,H170),0)</f>
        <v/>
      </c>
      <c r="AB170" s="20">
        <f>TRUNC(IF(I170&lt;0,0,I170),0)</f>
        <v/>
      </c>
      <c r="AC170" s="20">
        <f>TRUNC(IF(J170&lt;0,0,J170),0)</f>
        <v/>
      </c>
      <c r="AS170" s="75" t="n">
        <v>144</v>
      </c>
      <c r="AT170" s="5" t="n">
        <v>5</v>
      </c>
      <c r="AU170" s="5" t="n">
        <v>5</v>
      </c>
      <c r="AV170" s="5" t="n">
        <v>6</v>
      </c>
      <c r="AZ170" s="2" t="n"/>
      <c r="BA170" s="2" t="n"/>
      <c r="BB170" s="2" t="n"/>
      <c r="BE170" s="2" t="n"/>
      <c r="BF170" s="2" t="n"/>
      <c r="BG170" s="2" t="n"/>
    </row>
    <row r="171">
      <c r="G171" s="75" t="n">
        <v>145</v>
      </c>
      <c r="H171" s="75">
        <f>TRUNC((_xlfn.NORM.INV((RAND()),$E$35,$E$36)),2)</f>
        <v/>
      </c>
      <c r="I171" s="75">
        <f>TRUNC((_xlfn.NORM.INV((RAND()),$E$35,$E$36)),2)</f>
        <v/>
      </c>
      <c r="J171" s="75">
        <f>TRUNC((_xlfn.NORM.INV((RAND()),$E$35,$E$36)),2)</f>
        <v/>
      </c>
      <c r="Z171" s="75" t="n">
        <v>145</v>
      </c>
      <c r="AA171" s="20">
        <f>TRUNC(IF(H171&lt;0,0,H171),0)</f>
        <v/>
      </c>
      <c r="AB171" s="20">
        <f>TRUNC(IF(I171&lt;0,0,I171),0)</f>
        <v/>
      </c>
      <c r="AC171" s="20">
        <f>TRUNC(IF(J171&lt;0,0,J171),0)</f>
        <v/>
      </c>
      <c r="AS171" s="75" t="n">
        <v>145</v>
      </c>
      <c r="AT171" s="5" t="n">
        <v>4</v>
      </c>
      <c r="AU171" s="5" t="n">
        <v>5</v>
      </c>
      <c r="AV171" s="5" t="n">
        <v>6</v>
      </c>
      <c r="AZ171" s="2" t="n"/>
      <c r="BA171" s="2" t="n"/>
      <c r="BB171" s="2" t="n"/>
      <c r="BE171" s="2" t="n"/>
      <c r="BF171" s="2" t="n"/>
      <c r="BG171" s="2" t="n"/>
    </row>
    <row r="172">
      <c r="G172" s="75" t="n">
        <v>146</v>
      </c>
      <c r="H172" s="75">
        <f>TRUNC((_xlfn.NORM.INV((RAND()),$E$35,$E$36)),2)</f>
        <v/>
      </c>
      <c r="I172" s="75">
        <f>TRUNC((_xlfn.NORM.INV((RAND()),$E$35,$E$36)),2)</f>
        <v/>
      </c>
      <c r="J172" s="75">
        <f>TRUNC((_xlfn.NORM.INV((RAND()),$E$35,$E$36)),2)</f>
        <v/>
      </c>
      <c r="Z172" s="75" t="n">
        <v>146</v>
      </c>
      <c r="AA172" s="20">
        <f>TRUNC(IF(H172&lt;0,0,H172),0)</f>
        <v/>
      </c>
      <c r="AB172" s="20">
        <f>TRUNC(IF(I172&lt;0,0,I172),0)</f>
        <v/>
      </c>
      <c r="AC172" s="20">
        <f>TRUNC(IF(J172&lt;0,0,J172),0)</f>
        <v/>
      </c>
      <c r="AS172" s="75" t="n">
        <v>146</v>
      </c>
      <c r="AT172" s="5" t="n">
        <v>6</v>
      </c>
      <c r="AU172" s="5" t="n">
        <v>7</v>
      </c>
      <c r="AV172" s="5" t="n">
        <v>4</v>
      </c>
      <c r="AZ172" s="2" t="n"/>
      <c r="BA172" s="2" t="n"/>
      <c r="BB172" s="2" t="n"/>
      <c r="BE172" s="2" t="n"/>
      <c r="BF172" s="2" t="n"/>
      <c r="BG172" s="2" t="n"/>
    </row>
    <row r="173">
      <c r="G173" s="75" t="n">
        <v>147</v>
      </c>
      <c r="H173" s="75">
        <f>TRUNC((_xlfn.NORM.INV((RAND()),$E$35,$E$36)),2)</f>
        <v/>
      </c>
      <c r="I173" s="75">
        <f>TRUNC((_xlfn.NORM.INV((RAND()),$E$35,$E$36)),2)</f>
        <v/>
      </c>
      <c r="J173" s="75">
        <f>TRUNC((_xlfn.NORM.INV((RAND()),$E$35,$E$36)),2)</f>
        <v/>
      </c>
      <c r="Z173" s="75" t="n">
        <v>147</v>
      </c>
      <c r="AA173" s="20">
        <f>TRUNC(IF(H173&lt;0,0,H173),0)</f>
        <v/>
      </c>
      <c r="AB173" s="20">
        <f>TRUNC(IF(I173&lt;0,0,I173),0)</f>
        <v/>
      </c>
      <c r="AC173" s="20">
        <f>TRUNC(IF(J173&lt;0,0,J173),0)</f>
        <v/>
      </c>
      <c r="AS173" s="75" t="n">
        <v>147</v>
      </c>
      <c r="AT173" s="5" t="n">
        <v>6</v>
      </c>
      <c r="AU173" s="5" t="n">
        <v>4</v>
      </c>
      <c r="AV173" s="5" t="n">
        <v>5</v>
      </c>
      <c r="AZ173" s="2" t="n"/>
      <c r="BA173" s="2" t="n"/>
      <c r="BB173" s="2" t="n"/>
      <c r="BE173" s="2" t="n"/>
      <c r="BF173" s="2" t="n"/>
      <c r="BG173" s="2" t="n"/>
    </row>
    <row r="174">
      <c r="G174" s="75" t="n">
        <v>148</v>
      </c>
      <c r="H174" s="75">
        <f>TRUNC((_xlfn.NORM.INV((RAND()),$E$35,$E$36)),2)</f>
        <v/>
      </c>
      <c r="I174" s="75">
        <f>TRUNC((_xlfn.NORM.INV((RAND()),$E$35,$E$36)),2)</f>
        <v/>
      </c>
      <c r="J174" s="75">
        <f>TRUNC((_xlfn.NORM.INV((RAND()),$E$35,$E$36)),2)</f>
        <v/>
      </c>
      <c r="Z174" s="75" t="n">
        <v>148</v>
      </c>
      <c r="AA174" s="20">
        <f>TRUNC(IF(H174&lt;0,0,H174),0)</f>
        <v/>
      </c>
      <c r="AB174" s="20">
        <f>TRUNC(IF(I174&lt;0,0,I174),0)</f>
        <v/>
      </c>
      <c r="AC174" s="20">
        <f>TRUNC(IF(J174&lt;0,0,J174),0)</f>
        <v/>
      </c>
      <c r="AS174" s="75" t="n">
        <v>148</v>
      </c>
      <c r="AT174" s="5" t="n">
        <v>3</v>
      </c>
      <c r="AU174" s="5" t="n">
        <v>6</v>
      </c>
      <c r="AV174" s="5" t="n">
        <v>5</v>
      </c>
      <c r="AZ174" s="2" t="n"/>
      <c r="BA174" s="2" t="n"/>
      <c r="BB174" s="2" t="n"/>
      <c r="BE174" s="2" t="n"/>
      <c r="BF174" s="2" t="n"/>
      <c r="BG174" s="2" t="n"/>
    </row>
    <row r="175">
      <c r="G175" s="75" t="n">
        <v>149</v>
      </c>
      <c r="H175" s="75">
        <f>TRUNC((_xlfn.NORM.INV((RAND()),$E$35,$E$36)),2)</f>
        <v/>
      </c>
      <c r="I175" s="75">
        <f>TRUNC((_xlfn.NORM.INV((RAND()),$E$35,$E$36)),2)</f>
        <v/>
      </c>
      <c r="J175" s="75">
        <f>TRUNC((_xlfn.NORM.INV((RAND()),$E$35,$E$36)),2)</f>
        <v/>
      </c>
      <c r="Z175" s="75" t="n">
        <v>149</v>
      </c>
      <c r="AA175" s="20">
        <f>TRUNC(IF(H175&lt;0,0,H175),0)</f>
        <v/>
      </c>
      <c r="AB175" s="20">
        <f>TRUNC(IF(I175&lt;0,0,I175),0)</f>
        <v/>
      </c>
      <c r="AC175" s="20">
        <f>TRUNC(IF(J175&lt;0,0,J175),0)</f>
        <v/>
      </c>
      <c r="AS175" s="75" t="n">
        <v>149</v>
      </c>
      <c r="AT175" s="5" t="n">
        <v>5</v>
      </c>
      <c r="AU175" s="5" t="n">
        <v>6</v>
      </c>
      <c r="AV175" s="5" t="n">
        <v>3</v>
      </c>
      <c r="AZ175" s="2" t="n"/>
      <c r="BA175" s="2" t="n"/>
      <c r="BB175" s="2" t="n"/>
      <c r="BE175" s="2" t="n"/>
      <c r="BF175" s="2" t="n"/>
      <c r="BG175" s="2" t="n"/>
    </row>
    <row r="176">
      <c r="G176" s="75" t="n">
        <v>150</v>
      </c>
      <c r="H176" s="75">
        <f>TRUNC((_xlfn.NORM.INV((RAND()),$E$35,$E$36)),2)</f>
        <v/>
      </c>
      <c r="I176" s="75">
        <f>TRUNC((_xlfn.NORM.INV((RAND()),$E$35,$E$36)),2)</f>
        <v/>
      </c>
      <c r="J176" s="75">
        <f>TRUNC((_xlfn.NORM.INV((RAND()),$E$35,$E$36)),2)</f>
        <v/>
      </c>
      <c r="Z176" s="75" t="n">
        <v>150</v>
      </c>
      <c r="AA176" s="20">
        <f>TRUNC(IF(H176&lt;0,0,H176),0)</f>
        <v/>
      </c>
      <c r="AB176" s="20">
        <f>TRUNC(IF(I176&lt;0,0,I176),0)</f>
        <v/>
      </c>
      <c r="AC176" s="20">
        <f>TRUNC(IF(J176&lt;0,0,J176),0)</f>
        <v/>
      </c>
      <c r="AS176" s="75" t="n">
        <v>150</v>
      </c>
      <c r="AT176" s="5" t="n">
        <v>5</v>
      </c>
      <c r="AU176" s="5" t="n">
        <v>6</v>
      </c>
      <c r="AV176" s="5" t="n">
        <v>4</v>
      </c>
      <c r="AZ176" s="2" t="n"/>
      <c r="BA176" s="2" t="n"/>
      <c r="BB176" s="2" t="n"/>
      <c r="BE176" s="2" t="n"/>
      <c r="BF176" s="2" t="n"/>
      <c r="BG176" s="2" t="n"/>
    </row>
    <row r="177">
      <c r="G177" s="75" t="n">
        <v>151</v>
      </c>
      <c r="H177" s="75">
        <f>TRUNC((_xlfn.NORM.INV((RAND()),$E$35,$E$36)),2)</f>
        <v/>
      </c>
      <c r="I177" s="75">
        <f>TRUNC((_xlfn.NORM.INV((RAND()),$E$35,$E$36)),2)</f>
        <v/>
      </c>
      <c r="J177" s="75">
        <f>TRUNC((_xlfn.NORM.INV((RAND()),$E$35,$E$36)),2)</f>
        <v/>
      </c>
      <c r="Z177" s="75" t="n">
        <v>151</v>
      </c>
      <c r="AA177" s="20">
        <f>TRUNC(IF(H177&lt;0,0,H177),0)</f>
        <v/>
      </c>
      <c r="AB177" s="20">
        <f>TRUNC(IF(I177&lt;0,0,I177),0)</f>
        <v/>
      </c>
      <c r="AC177" s="20">
        <f>TRUNC(IF(J177&lt;0,0,J177),0)</f>
        <v/>
      </c>
      <c r="AS177" s="75" t="n">
        <v>151</v>
      </c>
      <c r="AT177" s="5" t="n">
        <v>6</v>
      </c>
      <c r="AU177" s="5" t="n">
        <v>7</v>
      </c>
      <c r="AV177" s="5" t="n">
        <v>4</v>
      </c>
      <c r="AZ177" s="2" t="n"/>
      <c r="BA177" s="2" t="n"/>
      <c r="BB177" s="2" t="n"/>
      <c r="BE177" s="2" t="n"/>
      <c r="BF177" s="2" t="n"/>
      <c r="BG177" s="2" t="n"/>
    </row>
    <row r="178">
      <c r="G178" s="75" t="n">
        <v>152</v>
      </c>
      <c r="H178" s="75">
        <f>TRUNC((_xlfn.NORM.INV((RAND()),$E$35,$E$36)),2)</f>
        <v/>
      </c>
      <c r="I178" s="75">
        <f>TRUNC((_xlfn.NORM.INV((RAND()),$E$35,$E$36)),2)</f>
        <v/>
      </c>
      <c r="J178" s="75">
        <f>TRUNC((_xlfn.NORM.INV((RAND()),$E$35,$E$36)),2)</f>
        <v/>
      </c>
      <c r="Z178" s="75" t="n">
        <v>152</v>
      </c>
      <c r="AA178" s="20">
        <f>TRUNC(IF(H178&lt;0,0,H178),0)</f>
        <v/>
      </c>
      <c r="AB178" s="20">
        <f>TRUNC(IF(I178&lt;0,0,I178),0)</f>
        <v/>
      </c>
      <c r="AC178" s="20">
        <f>TRUNC(IF(J178&lt;0,0,J178),0)</f>
        <v/>
      </c>
      <c r="AS178" s="75" t="n">
        <v>152</v>
      </c>
      <c r="AT178" s="5" t="n">
        <v>6</v>
      </c>
      <c r="AU178" s="5" t="n">
        <v>5</v>
      </c>
      <c r="AV178" s="5" t="n">
        <v>5</v>
      </c>
      <c r="AZ178" s="2" t="n"/>
      <c r="BA178" s="2" t="n"/>
      <c r="BB178" s="2" t="n"/>
      <c r="BE178" s="2" t="n"/>
      <c r="BF178" s="2" t="n"/>
      <c r="BG178" s="2" t="n"/>
    </row>
    <row r="179">
      <c r="G179" s="75" t="n">
        <v>153</v>
      </c>
      <c r="H179" s="75">
        <f>TRUNC((_xlfn.NORM.INV((RAND()),$E$35,$E$36)),2)</f>
        <v/>
      </c>
      <c r="I179" s="75">
        <f>TRUNC((_xlfn.NORM.INV((RAND()),$E$35,$E$36)),2)</f>
        <v/>
      </c>
      <c r="J179" s="75">
        <f>TRUNC((_xlfn.NORM.INV((RAND()),$E$35,$E$36)),2)</f>
        <v/>
      </c>
      <c r="Z179" s="75" t="n">
        <v>153</v>
      </c>
      <c r="AA179" s="20">
        <f>TRUNC(IF(H179&lt;0,0,H179),0)</f>
        <v/>
      </c>
      <c r="AB179" s="20">
        <f>TRUNC(IF(I179&lt;0,0,I179),0)</f>
        <v/>
      </c>
      <c r="AC179" s="20">
        <f>TRUNC(IF(J179&lt;0,0,J179),0)</f>
        <v/>
      </c>
      <c r="AS179" s="75" t="n">
        <v>153</v>
      </c>
      <c r="AT179" s="5" t="n">
        <v>4</v>
      </c>
      <c r="AU179" s="5" t="n">
        <v>3</v>
      </c>
      <c r="AV179" s="5" t="n">
        <v>6</v>
      </c>
      <c r="AZ179" s="2" t="n"/>
      <c r="BA179" s="2" t="n"/>
      <c r="BB179" s="2" t="n"/>
      <c r="BE179" s="2" t="n"/>
      <c r="BF179" s="2" t="n"/>
      <c r="BG179" s="2" t="n"/>
    </row>
    <row r="180">
      <c r="G180" s="75" t="n">
        <v>154</v>
      </c>
      <c r="H180" s="75">
        <f>TRUNC((_xlfn.NORM.INV((RAND()),$E$35,$E$36)),2)</f>
        <v/>
      </c>
      <c r="I180" s="75">
        <f>TRUNC((_xlfn.NORM.INV((RAND()),$E$35,$E$36)),2)</f>
        <v/>
      </c>
      <c r="J180" s="75">
        <f>TRUNC((_xlfn.NORM.INV((RAND()),$E$35,$E$36)),2)</f>
        <v/>
      </c>
      <c r="Z180" s="75" t="n">
        <v>154</v>
      </c>
      <c r="AA180" s="20">
        <f>TRUNC(IF(H180&lt;0,0,H180),0)</f>
        <v/>
      </c>
      <c r="AB180" s="20">
        <f>TRUNC(IF(I180&lt;0,0,I180),0)</f>
        <v/>
      </c>
      <c r="AC180" s="20">
        <f>TRUNC(IF(J180&lt;0,0,J180),0)</f>
        <v/>
      </c>
      <c r="AS180" s="75" t="n">
        <v>154</v>
      </c>
      <c r="AT180" s="5" t="n">
        <v>4</v>
      </c>
      <c r="AU180" s="5" t="n">
        <v>7</v>
      </c>
      <c r="AV180" s="5" t="n">
        <v>5</v>
      </c>
      <c r="AZ180" s="2" t="n"/>
      <c r="BA180" s="2" t="n"/>
      <c r="BB180" s="2" t="n"/>
      <c r="BE180" s="2" t="n"/>
      <c r="BF180" s="2" t="n"/>
      <c r="BG180" s="2" t="n"/>
    </row>
    <row r="181">
      <c r="G181" s="75" t="n">
        <v>155</v>
      </c>
      <c r="H181" s="75">
        <f>TRUNC((_xlfn.NORM.INV((RAND()),$E$35,$E$36)),2)</f>
        <v/>
      </c>
      <c r="I181" s="75">
        <f>TRUNC((_xlfn.NORM.INV((RAND()),$E$35,$E$36)),2)</f>
        <v/>
      </c>
      <c r="J181" s="75">
        <f>TRUNC((_xlfn.NORM.INV((RAND()),$E$35,$E$36)),2)</f>
        <v/>
      </c>
      <c r="Z181" s="75" t="n">
        <v>155</v>
      </c>
      <c r="AA181" s="20">
        <f>TRUNC(IF(H181&lt;0,0,H181),0)</f>
        <v/>
      </c>
      <c r="AB181" s="20">
        <f>TRUNC(IF(I181&lt;0,0,I181),0)</f>
        <v/>
      </c>
      <c r="AC181" s="20">
        <f>TRUNC(IF(J181&lt;0,0,J181),0)</f>
        <v/>
      </c>
      <c r="AS181" s="75" t="n">
        <v>155</v>
      </c>
      <c r="AT181" s="5" t="n">
        <v>4</v>
      </c>
      <c r="AU181" s="5" t="n">
        <v>4</v>
      </c>
      <c r="AV181" s="5" t="n">
        <v>4</v>
      </c>
      <c r="AZ181" s="2" t="n"/>
      <c r="BA181" s="2" t="n"/>
      <c r="BB181" s="2" t="n"/>
      <c r="BE181" s="2" t="n"/>
      <c r="BF181" s="2" t="n"/>
      <c r="BG181" s="2" t="n"/>
    </row>
    <row r="182">
      <c r="G182" s="75" t="n">
        <v>156</v>
      </c>
      <c r="H182" s="75">
        <f>TRUNC((_xlfn.NORM.INV((RAND()),$E$35,$E$36)),2)</f>
        <v/>
      </c>
      <c r="I182" s="75">
        <f>TRUNC((_xlfn.NORM.INV((RAND()),$E$35,$E$36)),2)</f>
        <v/>
      </c>
      <c r="J182" s="75">
        <f>TRUNC((_xlfn.NORM.INV((RAND()),$E$35,$E$36)),2)</f>
        <v/>
      </c>
      <c r="Z182" s="75" t="n">
        <v>156</v>
      </c>
      <c r="AA182" s="20">
        <f>TRUNC(IF(H182&lt;0,0,H182),0)</f>
        <v/>
      </c>
      <c r="AB182" s="20">
        <f>TRUNC(IF(I182&lt;0,0,I182),0)</f>
        <v/>
      </c>
      <c r="AC182" s="20">
        <f>TRUNC(IF(J182&lt;0,0,J182),0)</f>
        <v/>
      </c>
      <c r="AS182" s="75" t="n">
        <v>156</v>
      </c>
      <c r="AT182" s="5" t="n">
        <v>5</v>
      </c>
      <c r="AU182" s="5" t="n">
        <v>7</v>
      </c>
      <c r="AV182" s="5" t="n">
        <v>6</v>
      </c>
      <c r="AZ182" s="2" t="n"/>
      <c r="BA182" s="2" t="n"/>
      <c r="BB182" s="2" t="n"/>
      <c r="BE182" s="2" t="n"/>
      <c r="BF182" s="2" t="n"/>
      <c r="BG182" s="2" t="n"/>
    </row>
    <row r="183">
      <c r="G183" s="75" t="n">
        <v>157</v>
      </c>
      <c r="H183" s="75">
        <f>TRUNC((_xlfn.NORM.INV((RAND()),$E$35,$E$36)),2)</f>
        <v/>
      </c>
      <c r="I183" s="75">
        <f>TRUNC((_xlfn.NORM.INV((RAND()),$E$35,$E$36)),2)</f>
        <v/>
      </c>
      <c r="J183" s="75">
        <f>TRUNC((_xlfn.NORM.INV((RAND()),$E$35,$E$36)),2)</f>
        <v/>
      </c>
      <c r="Z183" s="75" t="n">
        <v>157</v>
      </c>
      <c r="AA183" s="20">
        <f>TRUNC(IF(H183&lt;0,0,H183),0)</f>
        <v/>
      </c>
      <c r="AB183" s="20">
        <f>TRUNC(IF(I183&lt;0,0,I183),0)</f>
        <v/>
      </c>
      <c r="AC183" s="20">
        <f>TRUNC(IF(J183&lt;0,0,J183),0)</f>
        <v/>
      </c>
      <c r="AS183" s="75" t="n">
        <v>157</v>
      </c>
      <c r="AT183" s="5" t="n">
        <v>3</v>
      </c>
      <c r="AU183" s="5" t="n">
        <v>2</v>
      </c>
      <c r="AV183" s="5" t="n">
        <v>5</v>
      </c>
      <c r="AZ183" s="2" t="n"/>
      <c r="BA183" s="2" t="n"/>
      <c r="BB183" s="2" t="n"/>
      <c r="BE183" s="2" t="n"/>
      <c r="BF183" s="2" t="n"/>
      <c r="BG183" s="2" t="n"/>
    </row>
    <row r="184">
      <c r="G184" s="75" t="n">
        <v>158</v>
      </c>
      <c r="H184" s="75">
        <f>TRUNC((_xlfn.NORM.INV((RAND()),$E$35,$E$36)),2)</f>
        <v/>
      </c>
      <c r="I184" s="75">
        <f>TRUNC((_xlfn.NORM.INV((RAND()),$E$35,$E$36)),2)</f>
        <v/>
      </c>
      <c r="J184" s="75">
        <f>TRUNC((_xlfn.NORM.INV((RAND()),$E$35,$E$36)),2)</f>
        <v/>
      </c>
      <c r="Z184" s="75" t="n">
        <v>158</v>
      </c>
      <c r="AA184" s="20">
        <f>TRUNC(IF(H184&lt;0,0,H184),0)</f>
        <v/>
      </c>
      <c r="AB184" s="20">
        <f>TRUNC(IF(I184&lt;0,0,I184),0)</f>
        <v/>
      </c>
      <c r="AC184" s="20">
        <f>TRUNC(IF(J184&lt;0,0,J184),0)</f>
        <v/>
      </c>
      <c r="AS184" s="75" t="n">
        <v>158</v>
      </c>
      <c r="AT184" s="5" t="n">
        <v>6</v>
      </c>
      <c r="AU184" s="5" t="n">
        <v>5</v>
      </c>
      <c r="AV184" s="5" t="n">
        <v>6</v>
      </c>
      <c r="AZ184" s="2" t="n"/>
      <c r="BA184" s="2" t="n"/>
      <c r="BB184" s="2" t="n"/>
      <c r="BE184" s="2" t="n"/>
      <c r="BF184" s="2" t="n"/>
      <c r="BG184" s="2" t="n"/>
    </row>
    <row r="185">
      <c r="G185" s="75" t="n">
        <v>159</v>
      </c>
      <c r="H185" s="75">
        <f>TRUNC((_xlfn.NORM.INV((RAND()),$E$35,$E$36)),2)</f>
        <v/>
      </c>
      <c r="I185" s="75">
        <f>TRUNC((_xlfn.NORM.INV((RAND()),$E$35,$E$36)),2)</f>
        <v/>
      </c>
      <c r="J185" s="75">
        <f>TRUNC((_xlfn.NORM.INV((RAND()),$E$35,$E$36)),2)</f>
        <v/>
      </c>
      <c r="Z185" s="75" t="n">
        <v>159</v>
      </c>
      <c r="AA185" s="20">
        <f>TRUNC(IF(H185&lt;0,0,H185),0)</f>
        <v/>
      </c>
      <c r="AB185" s="20">
        <f>TRUNC(IF(I185&lt;0,0,I185),0)</f>
        <v/>
      </c>
      <c r="AC185" s="20">
        <f>TRUNC(IF(J185&lt;0,0,J185),0)</f>
        <v/>
      </c>
      <c r="AS185" s="75" t="n">
        <v>159</v>
      </c>
      <c r="AT185" s="5" t="n">
        <v>5</v>
      </c>
      <c r="AU185" s="5" t="n">
        <v>3</v>
      </c>
      <c r="AV185" s="5" t="n">
        <v>4</v>
      </c>
      <c r="AZ185" s="2" t="n"/>
      <c r="BA185" s="2" t="n"/>
      <c r="BB185" s="2" t="n"/>
      <c r="BE185" s="2" t="n"/>
      <c r="BF185" s="2" t="n"/>
      <c r="BG185" s="2" t="n"/>
    </row>
    <row r="186">
      <c r="G186" s="75" t="n">
        <v>160</v>
      </c>
      <c r="H186" s="75">
        <f>TRUNC((_xlfn.NORM.INV((RAND()),$E$35,$E$36)),2)</f>
        <v/>
      </c>
      <c r="I186" s="75">
        <f>TRUNC((_xlfn.NORM.INV((RAND()),$E$35,$E$36)),2)</f>
        <v/>
      </c>
      <c r="J186" s="75">
        <f>TRUNC((_xlfn.NORM.INV((RAND()),$E$35,$E$36)),2)</f>
        <v/>
      </c>
      <c r="Z186" s="75" t="n">
        <v>160</v>
      </c>
      <c r="AA186" s="20">
        <f>TRUNC(IF(H186&lt;0,0,H186),0)</f>
        <v/>
      </c>
      <c r="AB186" s="20">
        <f>TRUNC(IF(I186&lt;0,0,I186),0)</f>
        <v/>
      </c>
      <c r="AC186" s="20">
        <f>TRUNC(IF(J186&lt;0,0,J186),0)</f>
        <v/>
      </c>
      <c r="AS186" s="75" t="n">
        <v>160</v>
      </c>
      <c r="AT186" s="5" t="n">
        <v>8</v>
      </c>
      <c r="AU186" s="5" t="n">
        <v>6</v>
      </c>
      <c r="AV186" s="5" t="n">
        <v>7</v>
      </c>
      <c r="AZ186" s="2" t="n"/>
      <c r="BA186" s="2" t="n"/>
      <c r="BB186" s="2" t="n"/>
      <c r="BE186" s="2" t="n"/>
      <c r="BF186" s="2" t="n"/>
      <c r="BG186" s="2" t="n"/>
    </row>
    <row r="187">
      <c r="G187" s="75" t="n">
        <v>161</v>
      </c>
      <c r="H187" s="75">
        <f>TRUNC((_xlfn.NORM.INV((RAND()),$E$35,$E$36)),2)</f>
        <v/>
      </c>
      <c r="I187" s="75">
        <f>TRUNC((_xlfn.NORM.INV((RAND()),$E$35,$E$36)),2)</f>
        <v/>
      </c>
      <c r="J187" s="75">
        <f>TRUNC((_xlfn.NORM.INV((RAND()),$E$35,$E$36)),2)</f>
        <v/>
      </c>
      <c r="Z187" s="75" t="n">
        <v>161</v>
      </c>
      <c r="AA187" s="20">
        <f>TRUNC(IF(H187&lt;0,0,H187),0)</f>
        <v/>
      </c>
      <c r="AB187" s="20">
        <f>TRUNC(IF(I187&lt;0,0,I187),0)</f>
        <v/>
      </c>
      <c r="AC187" s="20">
        <f>TRUNC(IF(J187&lt;0,0,J187),0)</f>
        <v/>
      </c>
      <c r="AS187" s="75" t="n">
        <v>161</v>
      </c>
      <c r="AT187" s="5" t="n">
        <v>4</v>
      </c>
      <c r="AU187" s="5" t="n">
        <v>4</v>
      </c>
      <c r="AV187" s="5" t="n">
        <v>4</v>
      </c>
      <c r="AZ187" s="2" t="n"/>
      <c r="BA187" s="2" t="n"/>
      <c r="BB187" s="2" t="n"/>
      <c r="BE187" s="2" t="n"/>
      <c r="BF187" s="2" t="n"/>
      <c r="BG187" s="2" t="n"/>
    </row>
    <row r="188">
      <c r="G188" s="75" t="n">
        <v>162</v>
      </c>
      <c r="H188" s="75">
        <f>TRUNC((_xlfn.NORM.INV((RAND()),$E$35,$E$36)),2)</f>
        <v/>
      </c>
      <c r="I188" s="75">
        <f>TRUNC((_xlfn.NORM.INV((RAND()),$E$35,$E$36)),2)</f>
        <v/>
      </c>
      <c r="J188" s="75">
        <f>TRUNC((_xlfn.NORM.INV((RAND()),$E$35,$E$36)),2)</f>
        <v/>
      </c>
      <c r="Z188" s="75" t="n">
        <v>162</v>
      </c>
      <c r="AA188" s="20">
        <f>TRUNC(IF(H188&lt;0,0,H188),0)</f>
        <v/>
      </c>
      <c r="AB188" s="20">
        <f>TRUNC(IF(I188&lt;0,0,I188),0)</f>
        <v/>
      </c>
      <c r="AC188" s="20">
        <f>TRUNC(IF(J188&lt;0,0,J188),0)</f>
        <v/>
      </c>
      <c r="AS188" s="75" t="n">
        <v>162</v>
      </c>
      <c r="AT188" s="5" t="n">
        <v>5</v>
      </c>
      <c r="AU188" s="5" t="n">
        <v>5</v>
      </c>
      <c r="AV188" s="5" t="n">
        <v>5</v>
      </c>
      <c r="AZ188" s="2" t="n"/>
      <c r="BA188" s="2" t="n"/>
      <c r="BB188" s="2" t="n"/>
      <c r="BE188" s="2" t="n"/>
      <c r="BF188" s="2" t="n"/>
      <c r="BG188" s="2" t="n"/>
    </row>
    <row r="189">
      <c r="G189" s="75" t="n">
        <v>163</v>
      </c>
      <c r="H189" s="75">
        <f>TRUNC((_xlfn.NORM.INV((RAND()),$E$35,$E$36)),2)</f>
        <v/>
      </c>
      <c r="I189" s="75">
        <f>TRUNC((_xlfn.NORM.INV((RAND()),$E$35,$E$36)),2)</f>
        <v/>
      </c>
      <c r="J189" s="75">
        <f>TRUNC((_xlfn.NORM.INV((RAND()),$E$35,$E$36)),2)</f>
        <v/>
      </c>
      <c r="Z189" s="75" t="n">
        <v>163</v>
      </c>
      <c r="AA189" s="20">
        <f>TRUNC(IF(H189&lt;0,0,H189),0)</f>
        <v/>
      </c>
      <c r="AB189" s="20">
        <f>TRUNC(IF(I189&lt;0,0,I189),0)</f>
        <v/>
      </c>
      <c r="AC189" s="20">
        <f>TRUNC(IF(J189&lt;0,0,J189),0)</f>
        <v/>
      </c>
      <c r="AS189" s="75" t="n">
        <v>163</v>
      </c>
      <c r="AT189" s="5" t="n">
        <v>3</v>
      </c>
      <c r="AU189" s="5" t="n">
        <v>6</v>
      </c>
      <c r="AV189" s="5" t="n">
        <v>2</v>
      </c>
      <c r="AZ189" s="2" t="n"/>
      <c r="BA189" s="2" t="n"/>
      <c r="BB189" s="2" t="n"/>
      <c r="BE189" s="2" t="n"/>
      <c r="BF189" s="2" t="n"/>
      <c r="BG189" s="2" t="n"/>
    </row>
    <row r="190">
      <c r="G190" s="75" t="n">
        <v>164</v>
      </c>
      <c r="H190" s="75">
        <f>TRUNC((_xlfn.NORM.INV((RAND()),$E$35,$E$36)),2)</f>
        <v/>
      </c>
      <c r="I190" s="75">
        <f>TRUNC((_xlfn.NORM.INV((RAND()),$E$35,$E$36)),2)</f>
        <v/>
      </c>
      <c r="J190" s="75">
        <f>TRUNC((_xlfn.NORM.INV((RAND()),$E$35,$E$36)),2)</f>
        <v/>
      </c>
      <c r="Z190" s="75" t="n">
        <v>164</v>
      </c>
      <c r="AA190" s="20">
        <f>TRUNC(IF(H190&lt;0,0,H190),0)</f>
        <v/>
      </c>
      <c r="AB190" s="20">
        <f>TRUNC(IF(I190&lt;0,0,I190),0)</f>
        <v/>
      </c>
      <c r="AC190" s="20">
        <f>TRUNC(IF(J190&lt;0,0,J190),0)</f>
        <v/>
      </c>
      <c r="AS190" s="75" t="n">
        <v>164</v>
      </c>
      <c r="AT190" s="5" t="n">
        <v>6</v>
      </c>
      <c r="AU190" s="5" t="n">
        <v>5</v>
      </c>
      <c r="AV190" s="5" t="n">
        <v>3</v>
      </c>
      <c r="AZ190" s="2" t="n"/>
      <c r="BA190" s="2" t="n"/>
      <c r="BB190" s="2" t="n"/>
      <c r="BE190" s="2" t="n"/>
      <c r="BF190" s="2" t="n"/>
      <c r="BG190" s="2" t="n"/>
    </row>
    <row r="191">
      <c r="G191" s="75" t="n">
        <v>165</v>
      </c>
      <c r="H191" s="75">
        <f>TRUNC((_xlfn.NORM.INV((RAND()),$E$35,$E$36)),2)</f>
        <v/>
      </c>
      <c r="I191" s="75">
        <f>TRUNC((_xlfn.NORM.INV((RAND()),$E$35,$E$36)),2)</f>
        <v/>
      </c>
      <c r="J191" s="75">
        <f>TRUNC((_xlfn.NORM.INV((RAND()),$E$35,$E$36)),2)</f>
        <v/>
      </c>
      <c r="Z191" s="75" t="n">
        <v>165</v>
      </c>
      <c r="AA191" s="20">
        <f>TRUNC(IF(H191&lt;0,0,H191),0)</f>
        <v/>
      </c>
      <c r="AB191" s="20">
        <f>TRUNC(IF(I191&lt;0,0,I191),0)</f>
        <v/>
      </c>
      <c r="AC191" s="20">
        <f>TRUNC(IF(J191&lt;0,0,J191),0)</f>
        <v/>
      </c>
      <c r="AS191" s="75" t="n">
        <v>165</v>
      </c>
      <c r="AT191" s="5" t="n">
        <v>5</v>
      </c>
      <c r="AU191" s="5" t="n">
        <v>5</v>
      </c>
      <c r="AV191" s="5" t="n">
        <v>7</v>
      </c>
      <c r="AZ191" s="2" t="n"/>
      <c r="BA191" s="2" t="n"/>
      <c r="BB191" s="2" t="n"/>
      <c r="BE191" s="2" t="n"/>
      <c r="BF191" s="2" t="n"/>
      <c r="BG191" s="2" t="n"/>
    </row>
    <row r="192">
      <c r="G192" s="75" t="n">
        <v>166</v>
      </c>
      <c r="H192" s="75">
        <f>TRUNC((_xlfn.NORM.INV((RAND()),$E$35,$E$36)),2)</f>
        <v/>
      </c>
      <c r="I192" s="75">
        <f>TRUNC((_xlfn.NORM.INV((RAND()),$E$35,$E$36)),2)</f>
        <v/>
      </c>
      <c r="J192" s="75">
        <f>TRUNC((_xlfn.NORM.INV((RAND()),$E$35,$E$36)),2)</f>
        <v/>
      </c>
      <c r="Z192" s="75" t="n">
        <v>166</v>
      </c>
      <c r="AA192" s="20">
        <f>TRUNC(IF(H192&lt;0,0,H192),0)</f>
        <v/>
      </c>
      <c r="AB192" s="20">
        <f>TRUNC(IF(I192&lt;0,0,I192),0)</f>
        <v/>
      </c>
      <c r="AC192" s="20">
        <f>TRUNC(IF(J192&lt;0,0,J192),0)</f>
        <v/>
      </c>
      <c r="AS192" s="75" t="n">
        <v>166</v>
      </c>
      <c r="AT192" s="5" t="n">
        <v>6</v>
      </c>
      <c r="AU192" s="5" t="n">
        <v>3</v>
      </c>
      <c r="AV192" s="5" t="n">
        <v>5</v>
      </c>
      <c r="AZ192" s="2" t="n"/>
      <c r="BA192" s="2" t="n"/>
      <c r="BB192" s="2" t="n"/>
      <c r="BE192" s="2" t="n"/>
      <c r="BF192" s="2" t="n"/>
      <c r="BG192" s="2" t="n"/>
    </row>
    <row r="193">
      <c r="G193" s="75" t="n">
        <v>167</v>
      </c>
      <c r="H193" s="75">
        <f>TRUNC((_xlfn.NORM.INV((RAND()),$E$35,$E$36)),2)</f>
        <v/>
      </c>
      <c r="I193" s="75">
        <f>TRUNC((_xlfn.NORM.INV((RAND()),$E$35,$E$36)),2)</f>
        <v/>
      </c>
      <c r="J193" s="75">
        <f>TRUNC((_xlfn.NORM.INV((RAND()),$E$35,$E$36)),2)</f>
        <v/>
      </c>
      <c r="Z193" s="75" t="n">
        <v>167</v>
      </c>
      <c r="AA193" s="20">
        <f>TRUNC(IF(H193&lt;0,0,H193),0)</f>
        <v/>
      </c>
      <c r="AB193" s="20">
        <f>TRUNC(IF(I193&lt;0,0,I193),0)</f>
        <v/>
      </c>
      <c r="AC193" s="20">
        <f>TRUNC(IF(J193&lt;0,0,J193),0)</f>
        <v/>
      </c>
      <c r="AS193" s="75" t="n">
        <v>167</v>
      </c>
      <c r="AT193" s="5" t="n">
        <v>4</v>
      </c>
      <c r="AU193" s="5" t="n">
        <v>5</v>
      </c>
      <c r="AV193" s="5" t="n">
        <v>7</v>
      </c>
      <c r="AZ193" s="2" t="n"/>
      <c r="BA193" s="2" t="n"/>
      <c r="BB193" s="2" t="n"/>
      <c r="BE193" s="2" t="n"/>
      <c r="BF193" s="2" t="n"/>
      <c r="BG193" s="2" t="n"/>
    </row>
    <row r="194">
      <c r="G194" s="75" t="n">
        <v>168</v>
      </c>
      <c r="H194" s="75">
        <f>TRUNC((_xlfn.NORM.INV((RAND()),$E$35,$E$36)),2)</f>
        <v/>
      </c>
      <c r="I194" s="75">
        <f>TRUNC((_xlfn.NORM.INV((RAND()),$E$35,$E$36)),2)</f>
        <v/>
      </c>
      <c r="J194" s="75">
        <f>TRUNC((_xlfn.NORM.INV((RAND()),$E$35,$E$36)),2)</f>
        <v/>
      </c>
      <c r="Z194" s="75" t="n">
        <v>168</v>
      </c>
      <c r="AA194" s="20">
        <f>TRUNC(IF(H194&lt;0,0,H194),0)</f>
        <v/>
      </c>
      <c r="AB194" s="20">
        <f>TRUNC(IF(I194&lt;0,0,I194),0)</f>
        <v/>
      </c>
      <c r="AC194" s="20">
        <f>TRUNC(IF(J194&lt;0,0,J194),0)</f>
        <v/>
      </c>
      <c r="AS194" s="75" t="n">
        <v>168</v>
      </c>
      <c r="AT194" s="5" t="n">
        <v>3</v>
      </c>
      <c r="AU194" s="5" t="n">
        <v>2</v>
      </c>
      <c r="AV194" s="5" t="n">
        <v>4</v>
      </c>
      <c r="AZ194" s="2" t="n"/>
      <c r="BA194" s="2" t="n"/>
      <c r="BB194" s="2" t="n"/>
      <c r="BE194" s="2" t="n"/>
      <c r="BF194" s="2" t="n"/>
      <c r="BG194" s="2" t="n"/>
    </row>
    <row r="195">
      <c r="G195" s="75" t="n">
        <v>169</v>
      </c>
      <c r="H195" s="75">
        <f>TRUNC((_xlfn.NORM.INV((RAND()),$E$35,$E$36)),2)</f>
        <v/>
      </c>
      <c r="I195" s="75">
        <f>TRUNC((_xlfn.NORM.INV((RAND()),$E$35,$E$36)),2)</f>
        <v/>
      </c>
      <c r="J195" s="75">
        <f>TRUNC((_xlfn.NORM.INV((RAND()),$E$35,$E$36)),2)</f>
        <v/>
      </c>
      <c r="Z195" s="75" t="n">
        <v>169</v>
      </c>
      <c r="AA195" s="20">
        <f>TRUNC(IF(H195&lt;0,0,H195),0)</f>
        <v/>
      </c>
      <c r="AB195" s="20">
        <f>TRUNC(IF(I195&lt;0,0,I195),0)</f>
        <v/>
      </c>
      <c r="AC195" s="20">
        <f>TRUNC(IF(J195&lt;0,0,J195),0)</f>
        <v/>
      </c>
      <c r="AS195" s="75" t="n">
        <v>169</v>
      </c>
      <c r="AT195" s="5" t="n">
        <v>5</v>
      </c>
      <c r="AU195" s="5" t="n">
        <v>5</v>
      </c>
      <c r="AV195" s="5" t="n">
        <v>3</v>
      </c>
      <c r="AZ195" s="2" t="n"/>
      <c r="BA195" s="2" t="n"/>
      <c r="BB195" s="2" t="n"/>
      <c r="BE195" s="2" t="n"/>
      <c r="BF195" s="2" t="n"/>
      <c r="BG195" s="2" t="n"/>
    </row>
    <row r="196">
      <c r="G196" s="75" t="n">
        <v>170</v>
      </c>
      <c r="H196" s="75">
        <f>TRUNC((_xlfn.NORM.INV((RAND()),$E$35,$E$36)),2)</f>
        <v/>
      </c>
      <c r="I196" s="75">
        <f>TRUNC((_xlfn.NORM.INV((RAND()),$E$35,$E$36)),2)</f>
        <v/>
      </c>
      <c r="J196" s="75">
        <f>TRUNC((_xlfn.NORM.INV((RAND()),$E$35,$E$36)),2)</f>
        <v/>
      </c>
      <c r="Z196" s="75" t="n">
        <v>170</v>
      </c>
      <c r="AA196" s="20">
        <f>TRUNC(IF(H196&lt;0,0,H196),0)</f>
        <v/>
      </c>
      <c r="AB196" s="20">
        <f>TRUNC(IF(I196&lt;0,0,I196),0)</f>
        <v/>
      </c>
      <c r="AC196" s="20">
        <f>TRUNC(IF(J196&lt;0,0,J196),0)</f>
        <v/>
      </c>
      <c r="AS196" s="75" t="n">
        <v>170</v>
      </c>
      <c r="AT196" s="5" t="n">
        <v>7</v>
      </c>
      <c r="AU196" s="5" t="n">
        <v>5</v>
      </c>
      <c r="AV196" s="5" t="n">
        <v>5</v>
      </c>
      <c r="AZ196" s="2" t="n"/>
      <c r="BA196" s="2" t="n"/>
      <c r="BB196" s="2" t="n"/>
      <c r="BE196" s="2" t="n"/>
      <c r="BF196" s="2" t="n"/>
      <c r="BG196" s="2" t="n"/>
    </row>
    <row r="197">
      <c r="G197" s="75" t="n">
        <v>171</v>
      </c>
      <c r="H197" s="75">
        <f>TRUNC((_xlfn.NORM.INV((RAND()),$E$35,$E$36)),2)</f>
        <v/>
      </c>
      <c r="I197" s="75">
        <f>TRUNC((_xlfn.NORM.INV((RAND()),$E$35,$E$36)),2)</f>
        <v/>
      </c>
      <c r="J197" s="75">
        <f>TRUNC((_xlfn.NORM.INV((RAND()),$E$35,$E$36)),2)</f>
        <v/>
      </c>
      <c r="Z197" s="75" t="n">
        <v>171</v>
      </c>
      <c r="AA197" s="20">
        <f>TRUNC(IF(H197&lt;0,0,H197),0)</f>
        <v/>
      </c>
      <c r="AB197" s="20">
        <f>TRUNC(IF(I197&lt;0,0,I197),0)</f>
        <v/>
      </c>
      <c r="AC197" s="20">
        <f>TRUNC(IF(J197&lt;0,0,J197),0)</f>
        <v/>
      </c>
      <c r="AS197" s="75" t="n">
        <v>171</v>
      </c>
      <c r="AT197" s="5" t="n">
        <v>5</v>
      </c>
      <c r="AU197" s="5" t="n">
        <v>5</v>
      </c>
      <c r="AV197" s="5" t="n">
        <v>3</v>
      </c>
      <c r="AZ197" s="2" t="n"/>
      <c r="BA197" s="2" t="n"/>
      <c r="BB197" s="2" t="n"/>
      <c r="BE197" s="2" t="n"/>
      <c r="BF197" s="2" t="n"/>
      <c r="BG197" s="2" t="n"/>
    </row>
    <row r="198">
      <c r="G198" s="75" t="n">
        <v>172</v>
      </c>
      <c r="H198" s="75">
        <f>TRUNC((_xlfn.NORM.INV((RAND()),$E$35,$E$36)),2)</f>
        <v/>
      </c>
      <c r="I198" s="75">
        <f>TRUNC((_xlfn.NORM.INV((RAND()),$E$35,$E$36)),2)</f>
        <v/>
      </c>
      <c r="J198" s="75">
        <f>TRUNC((_xlfn.NORM.INV((RAND()),$E$35,$E$36)),2)</f>
        <v/>
      </c>
      <c r="Z198" s="75" t="n">
        <v>172</v>
      </c>
      <c r="AA198" s="20">
        <f>TRUNC(IF(H198&lt;0,0,H198),0)</f>
        <v/>
      </c>
      <c r="AB198" s="20">
        <f>TRUNC(IF(I198&lt;0,0,I198),0)</f>
        <v/>
      </c>
      <c r="AC198" s="20">
        <f>TRUNC(IF(J198&lt;0,0,J198),0)</f>
        <v/>
      </c>
      <c r="AS198" s="75" t="n">
        <v>172</v>
      </c>
      <c r="AT198" s="5" t="n">
        <v>6</v>
      </c>
      <c r="AU198" s="5" t="n">
        <v>5</v>
      </c>
      <c r="AV198" s="5" t="n">
        <v>5</v>
      </c>
      <c r="AZ198" s="2" t="n"/>
      <c r="BA198" s="2" t="n"/>
      <c r="BB198" s="2" t="n"/>
      <c r="BE198" s="2" t="n"/>
      <c r="BF198" s="2" t="n"/>
      <c r="BG198" s="2" t="n"/>
    </row>
    <row r="199">
      <c r="G199" s="75" t="n">
        <v>173</v>
      </c>
      <c r="H199" s="75">
        <f>TRUNC((_xlfn.NORM.INV((RAND()),$E$35,$E$36)),2)</f>
        <v/>
      </c>
      <c r="I199" s="75">
        <f>TRUNC((_xlfn.NORM.INV((RAND()),$E$35,$E$36)),2)</f>
        <v/>
      </c>
      <c r="J199" s="75">
        <f>TRUNC((_xlfn.NORM.INV((RAND()),$E$35,$E$36)),2)</f>
        <v/>
      </c>
      <c r="Z199" s="75" t="n">
        <v>173</v>
      </c>
      <c r="AA199" s="20">
        <f>TRUNC(IF(H199&lt;0,0,H199),0)</f>
        <v/>
      </c>
      <c r="AB199" s="20">
        <f>TRUNC(IF(I199&lt;0,0,I199),0)</f>
        <v/>
      </c>
      <c r="AC199" s="20">
        <f>TRUNC(IF(J199&lt;0,0,J199),0)</f>
        <v/>
      </c>
      <c r="AS199" s="75" t="n">
        <v>173</v>
      </c>
      <c r="AT199" s="5" t="n">
        <v>5</v>
      </c>
      <c r="AU199" s="5" t="n">
        <v>5</v>
      </c>
      <c r="AV199" s="5" t="n">
        <v>6</v>
      </c>
      <c r="AZ199" s="2" t="n"/>
      <c r="BA199" s="2" t="n"/>
      <c r="BB199" s="2" t="n"/>
      <c r="BE199" s="2" t="n"/>
      <c r="BF199" s="2" t="n"/>
      <c r="BG199" s="2" t="n"/>
    </row>
    <row r="200">
      <c r="G200" s="75" t="n">
        <v>174</v>
      </c>
      <c r="H200" s="75">
        <f>TRUNC((_xlfn.NORM.INV((RAND()),$E$35,$E$36)),2)</f>
        <v/>
      </c>
      <c r="I200" s="75">
        <f>TRUNC((_xlfn.NORM.INV((RAND()),$E$35,$E$36)),2)</f>
        <v/>
      </c>
      <c r="J200" s="75">
        <f>TRUNC((_xlfn.NORM.INV((RAND()),$E$35,$E$36)),2)</f>
        <v/>
      </c>
      <c r="Z200" s="75" t="n">
        <v>174</v>
      </c>
      <c r="AA200" s="20">
        <f>TRUNC(IF(H200&lt;0,0,H200),0)</f>
        <v/>
      </c>
      <c r="AB200" s="20">
        <f>TRUNC(IF(I200&lt;0,0,I200),0)</f>
        <v/>
      </c>
      <c r="AC200" s="20">
        <f>TRUNC(IF(J200&lt;0,0,J200),0)</f>
        <v/>
      </c>
      <c r="AS200" s="75" t="n">
        <v>174</v>
      </c>
      <c r="AT200" s="5" t="n">
        <v>5</v>
      </c>
      <c r="AU200" s="5" t="n">
        <v>5</v>
      </c>
      <c r="AV200" s="5" t="n">
        <v>4</v>
      </c>
      <c r="AZ200" s="2" t="n"/>
      <c r="BA200" s="2" t="n"/>
      <c r="BB200" s="2" t="n"/>
      <c r="BE200" s="2" t="n"/>
      <c r="BF200" s="2" t="n"/>
      <c r="BG200" s="2" t="n"/>
    </row>
    <row r="201">
      <c r="G201" s="75" t="n">
        <v>175</v>
      </c>
      <c r="H201" s="75">
        <f>TRUNC((_xlfn.NORM.INV((RAND()),$E$35,$E$36)),2)</f>
        <v/>
      </c>
      <c r="I201" s="75">
        <f>TRUNC((_xlfn.NORM.INV((RAND()),$E$35,$E$36)),2)</f>
        <v/>
      </c>
      <c r="J201" s="75">
        <f>TRUNC((_xlfn.NORM.INV((RAND()),$E$35,$E$36)),2)</f>
        <v/>
      </c>
      <c r="Z201" s="75" t="n">
        <v>175</v>
      </c>
      <c r="AA201" s="20">
        <f>TRUNC(IF(H201&lt;0,0,H201),0)</f>
        <v/>
      </c>
      <c r="AB201" s="20">
        <f>TRUNC(IF(I201&lt;0,0,I201),0)</f>
        <v/>
      </c>
      <c r="AC201" s="20">
        <f>TRUNC(IF(J201&lt;0,0,J201),0)</f>
        <v/>
      </c>
      <c r="AS201" s="75" t="n">
        <v>175</v>
      </c>
      <c r="AT201" s="5" t="n">
        <v>6</v>
      </c>
      <c r="AU201" s="5" t="n">
        <v>5</v>
      </c>
      <c r="AV201" s="5" t="n">
        <v>5</v>
      </c>
      <c r="AZ201" s="2" t="n"/>
      <c r="BA201" s="2" t="n"/>
      <c r="BB201" s="2" t="n"/>
      <c r="BE201" s="2" t="n"/>
      <c r="BF201" s="2" t="n"/>
      <c r="BG201" s="2" t="n"/>
    </row>
    <row r="202">
      <c r="G202" s="75" t="n">
        <v>176</v>
      </c>
      <c r="H202" s="75">
        <f>TRUNC((_xlfn.NORM.INV((RAND()),$E$35,$E$36)),2)</f>
        <v/>
      </c>
      <c r="I202" s="75">
        <f>TRUNC((_xlfn.NORM.INV((RAND()),$E$35,$E$36)),2)</f>
        <v/>
      </c>
      <c r="J202" s="75">
        <f>TRUNC((_xlfn.NORM.INV((RAND()),$E$35,$E$36)),2)</f>
        <v/>
      </c>
      <c r="Z202" s="75" t="n">
        <v>176</v>
      </c>
      <c r="AA202" s="20">
        <f>TRUNC(IF(H202&lt;0,0,H202),0)</f>
        <v/>
      </c>
      <c r="AB202" s="20">
        <f>TRUNC(IF(I202&lt;0,0,I202),0)</f>
        <v/>
      </c>
      <c r="AC202" s="20">
        <f>TRUNC(IF(J202&lt;0,0,J202),0)</f>
        <v/>
      </c>
      <c r="AS202" s="75" t="n">
        <v>176</v>
      </c>
      <c r="AT202" s="5" t="n">
        <v>4</v>
      </c>
      <c r="AU202" s="5" t="n">
        <v>2</v>
      </c>
      <c r="AV202" s="5" t="n">
        <v>3</v>
      </c>
      <c r="AZ202" s="2" t="n"/>
      <c r="BA202" s="2" t="n"/>
      <c r="BB202" s="2" t="n"/>
      <c r="BE202" s="2" t="n"/>
      <c r="BF202" s="2" t="n"/>
      <c r="BG202" s="2" t="n"/>
    </row>
    <row r="203">
      <c r="G203" s="75" t="n">
        <v>177</v>
      </c>
      <c r="H203" s="75">
        <f>TRUNC((_xlfn.NORM.INV((RAND()),$E$35,$E$36)),2)</f>
        <v/>
      </c>
      <c r="I203" s="75">
        <f>TRUNC((_xlfn.NORM.INV((RAND()),$E$35,$E$36)),2)</f>
        <v/>
      </c>
      <c r="J203" s="75">
        <f>TRUNC((_xlfn.NORM.INV((RAND()),$E$35,$E$36)),2)</f>
        <v/>
      </c>
      <c r="Z203" s="75" t="n">
        <v>177</v>
      </c>
      <c r="AA203" s="20">
        <f>TRUNC(IF(H203&lt;0,0,H203),0)</f>
        <v/>
      </c>
      <c r="AB203" s="20">
        <f>TRUNC(IF(I203&lt;0,0,I203),0)</f>
        <v/>
      </c>
      <c r="AC203" s="20">
        <f>TRUNC(IF(J203&lt;0,0,J203),0)</f>
        <v/>
      </c>
      <c r="AS203" s="75" t="n">
        <v>177</v>
      </c>
      <c r="AT203" s="5" t="n">
        <v>3</v>
      </c>
      <c r="AU203" s="5" t="n">
        <v>5</v>
      </c>
      <c r="AV203" s="5" t="n">
        <v>5</v>
      </c>
      <c r="AZ203" s="2" t="n"/>
      <c r="BA203" s="2" t="n"/>
      <c r="BB203" s="2" t="n"/>
      <c r="BE203" s="2" t="n"/>
      <c r="BF203" s="2" t="n"/>
      <c r="BG203" s="2" t="n"/>
    </row>
    <row r="204">
      <c r="G204" s="75" t="n">
        <v>178</v>
      </c>
      <c r="H204" s="75">
        <f>TRUNC((_xlfn.NORM.INV((RAND()),$E$35,$E$36)),2)</f>
        <v/>
      </c>
      <c r="I204" s="75">
        <f>TRUNC((_xlfn.NORM.INV((RAND()),$E$35,$E$36)),2)</f>
        <v/>
      </c>
      <c r="J204" s="75">
        <f>TRUNC((_xlfn.NORM.INV((RAND()),$E$35,$E$36)),2)</f>
        <v/>
      </c>
      <c r="Z204" s="75" t="n">
        <v>178</v>
      </c>
      <c r="AA204" s="20">
        <f>TRUNC(IF(H204&lt;0,0,H204),0)</f>
        <v/>
      </c>
      <c r="AB204" s="20">
        <f>TRUNC(IF(I204&lt;0,0,I204),0)</f>
        <v/>
      </c>
      <c r="AC204" s="20">
        <f>TRUNC(IF(J204&lt;0,0,J204),0)</f>
        <v/>
      </c>
      <c r="AS204" s="75" t="n">
        <v>178</v>
      </c>
      <c r="AT204" s="5" t="n">
        <v>7</v>
      </c>
      <c r="AU204" s="5" t="n">
        <v>5</v>
      </c>
      <c r="AV204" s="5" t="n">
        <v>4</v>
      </c>
      <c r="AZ204" s="2" t="n"/>
      <c r="BA204" s="2" t="n"/>
      <c r="BB204" s="2" t="n"/>
      <c r="BE204" s="2" t="n"/>
      <c r="BF204" s="2" t="n"/>
      <c r="BG204" s="2" t="n"/>
    </row>
    <row r="205">
      <c r="G205" s="75" t="n">
        <v>179</v>
      </c>
      <c r="H205" s="75">
        <f>TRUNC((_xlfn.NORM.INV((RAND()),$E$35,$E$36)),2)</f>
        <v/>
      </c>
      <c r="I205" s="75">
        <f>TRUNC((_xlfn.NORM.INV((RAND()),$E$35,$E$36)),2)</f>
        <v/>
      </c>
      <c r="J205" s="75">
        <f>TRUNC((_xlfn.NORM.INV((RAND()),$E$35,$E$36)),2)</f>
        <v/>
      </c>
      <c r="Z205" s="75" t="n">
        <v>179</v>
      </c>
      <c r="AA205" s="20">
        <f>TRUNC(IF(H205&lt;0,0,H205),0)</f>
        <v/>
      </c>
      <c r="AB205" s="20">
        <f>TRUNC(IF(I205&lt;0,0,I205),0)</f>
        <v/>
      </c>
      <c r="AC205" s="20">
        <f>TRUNC(IF(J205&lt;0,0,J205),0)</f>
        <v/>
      </c>
      <c r="AS205" s="75" t="n">
        <v>179</v>
      </c>
      <c r="AT205" s="5" t="n">
        <v>3</v>
      </c>
      <c r="AU205" s="5" t="n">
        <v>5</v>
      </c>
      <c r="AV205" s="5" t="n">
        <v>5</v>
      </c>
      <c r="AZ205" s="2" t="n"/>
      <c r="BA205" s="2" t="n"/>
      <c r="BB205" s="2" t="n"/>
      <c r="BE205" s="2" t="n"/>
      <c r="BF205" s="2" t="n"/>
      <c r="BG205" s="2" t="n"/>
    </row>
    <row r="206">
      <c r="G206" s="75" t="n">
        <v>180</v>
      </c>
      <c r="H206" s="75">
        <f>TRUNC((_xlfn.NORM.INV((RAND()),$E$35,$E$36)),2)</f>
        <v/>
      </c>
      <c r="I206" s="75">
        <f>TRUNC((_xlfn.NORM.INV((RAND()),$E$35,$E$36)),2)</f>
        <v/>
      </c>
      <c r="J206" s="75">
        <f>TRUNC((_xlfn.NORM.INV((RAND()),$E$35,$E$36)),2)</f>
        <v/>
      </c>
      <c r="Z206" s="75" t="n">
        <v>180</v>
      </c>
      <c r="AA206" s="20">
        <f>TRUNC(IF(H206&lt;0,0,H206),0)</f>
        <v/>
      </c>
      <c r="AB206" s="20">
        <f>TRUNC(IF(I206&lt;0,0,I206),0)</f>
        <v/>
      </c>
      <c r="AC206" s="20">
        <f>TRUNC(IF(J206&lt;0,0,J206),0)</f>
        <v/>
      </c>
      <c r="AS206" s="75" t="n">
        <v>180</v>
      </c>
      <c r="AT206" s="5" t="n">
        <v>6</v>
      </c>
      <c r="AU206" s="5" t="n">
        <v>5</v>
      </c>
      <c r="AV206" s="5" t="n">
        <v>4</v>
      </c>
      <c r="AZ206" s="2" t="n"/>
      <c r="BA206" s="2" t="n"/>
      <c r="BB206" s="2" t="n"/>
      <c r="BE206" s="2" t="n"/>
      <c r="BF206" s="2" t="n"/>
      <c r="BG206" s="2" t="n"/>
    </row>
    <row r="207">
      <c r="G207" s="75" t="n">
        <v>181</v>
      </c>
      <c r="H207" s="75">
        <f>TRUNC((_xlfn.NORM.INV((RAND()),$E$35,$E$36)),2)</f>
        <v/>
      </c>
      <c r="I207" s="75">
        <f>TRUNC((_xlfn.NORM.INV((RAND()),$E$35,$E$36)),2)</f>
        <v/>
      </c>
      <c r="J207" s="75">
        <f>TRUNC((_xlfn.NORM.INV((RAND()),$E$35,$E$36)),2)</f>
        <v/>
      </c>
      <c r="Z207" s="75" t="n">
        <v>181</v>
      </c>
      <c r="AA207" s="20">
        <f>TRUNC(IF(H207&lt;0,0,H207),0)</f>
        <v/>
      </c>
      <c r="AB207" s="20">
        <f>TRUNC(IF(I207&lt;0,0,I207),0)</f>
        <v/>
      </c>
      <c r="AC207" s="20">
        <f>TRUNC(IF(J207&lt;0,0,J207),0)</f>
        <v/>
      </c>
      <c r="AS207" s="75" t="n">
        <v>181</v>
      </c>
      <c r="AT207" s="5" t="n">
        <v>3</v>
      </c>
      <c r="AU207" s="5" t="n">
        <v>2</v>
      </c>
      <c r="AV207" s="5" t="n">
        <v>8</v>
      </c>
      <c r="AZ207" s="2" t="n"/>
      <c r="BA207" s="2" t="n"/>
      <c r="BB207" s="2" t="n"/>
      <c r="BE207" s="2" t="n"/>
      <c r="BF207" s="2" t="n"/>
      <c r="BG207" s="2" t="n"/>
    </row>
    <row r="208">
      <c r="G208" s="75" t="n">
        <v>182</v>
      </c>
      <c r="H208" s="75">
        <f>TRUNC((_xlfn.NORM.INV((RAND()),$E$35,$E$36)),2)</f>
        <v/>
      </c>
      <c r="I208" s="75">
        <f>TRUNC((_xlfn.NORM.INV((RAND()),$E$35,$E$36)),2)</f>
        <v/>
      </c>
      <c r="J208" s="75">
        <f>TRUNC((_xlfn.NORM.INV((RAND()),$E$35,$E$36)),2)</f>
        <v/>
      </c>
      <c r="Z208" s="75" t="n">
        <v>182</v>
      </c>
      <c r="AA208" s="20">
        <f>TRUNC(IF(H208&lt;0,0,H208),0)</f>
        <v/>
      </c>
      <c r="AB208" s="20">
        <f>TRUNC(IF(I208&lt;0,0,I208),0)</f>
        <v/>
      </c>
      <c r="AC208" s="20">
        <f>TRUNC(IF(J208&lt;0,0,J208),0)</f>
        <v/>
      </c>
      <c r="AS208" s="75" t="n">
        <v>182</v>
      </c>
      <c r="AT208" s="5" t="n">
        <v>5</v>
      </c>
      <c r="AU208" s="5" t="n">
        <v>5</v>
      </c>
      <c r="AV208" s="5" t="n">
        <v>7</v>
      </c>
      <c r="AZ208" s="2" t="n"/>
      <c r="BA208" s="2" t="n"/>
      <c r="BB208" s="2" t="n"/>
      <c r="BE208" s="2" t="n"/>
      <c r="BF208" s="2" t="n"/>
      <c r="BG208" s="2" t="n"/>
    </row>
    <row r="209">
      <c r="G209" s="75" t="n">
        <v>183</v>
      </c>
      <c r="H209" s="75">
        <f>TRUNC((_xlfn.NORM.INV((RAND()),$E$35,$E$36)),2)</f>
        <v/>
      </c>
      <c r="I209" s="75">
        <f>TRUNC((_xlfn.NORM.INV((RAND()),$E$35,$E$36)),2)</f>
        <v/>
      </c>
      <c r="J209" s="75">
        <f>TRUNC((_xlfn.NORM.INV((RAND()),$E$35,$E$36)),2)</f>
        <v/>
      </c>
      <c r="Z209" s="75" t="n">
        <v>183</v>
      </c>
      <c r="AA209" s="20">
        <f>TRUNC(IF(H209&lt;0,0,H209),0)</f>
        <v/>
      </c>
      <c r="AB209" s="20">
        <f>TRUNC(IF(I209&lt;0,0,I209),0)</f>
        <v/>
      </c>
      <c r="AC209" s="20">
        <f>TRUNC(IF(J209&lt;0,0,J209),0)</f>
        <v/>
      </c>
      <c r="AS209" s="75" t="n">
        <v>183</v>
      </c>
      <c r="AT209" s="5" t="n">
        <v>5</v>
      </c>
      <c r="AU209" s="5" t="n">
        <v>5</v>
      </c>
      <c r="AV209" s="5" t="n">
        <v>7</v>
      </c>
      <c r="AZ209" s="2" t="n"/>
      <c r="BA209" s="2" t="n"/>
      <c r="BB209" s="2" t="n"/>
      <c r="BE209" s="2" t="n"/>
      <c r="BF209" s="2" t="n"/>
      <c r="BG209" s="2" t="n"/>
    </row>
    <row r="210">
      <c r="G210" s="75" t="n">
        <v>184</v>
      </c>
      <c r="H210" s="75">
        <f>TRUNC((_xlfn.NORM.INV((RAND()),$E$35,$E$36)),2)</f>
        <v/>
      </c>
      <c r="I210" s="75">
        <f>TRUNC((_xlfn.NORM.INV((RAND()),$E$35,$E$36)),2)</f>
        <v/>
      </c>
      <c r="J210" s="75">
        <f>TRUNC((_xlfn.NORM.INV((RAND()),$E$35,$E$36)),2)</f>
        <v/>
      </c>
      <c r="Z210" s="75" t="n">
        <v>184</v>
      </c>
      <c r="AA210" s="20">
        <f>TRUNC(IF(H210&lt;0,0,H210),0)</f>
        <v/>
      </c>
      <c r="AB210" s="20">
        <f>TRUNC(IF(I210&lt;0,0,I210),0)</f>
        <v/>
      </c>
      <c r="AC210" s="20">
        <f>TRUNC(IF(J210&lt;0,0,J210),0)</f>
        <v/>
      </c>
      <c r="AS210" s="75" t="n">
        <v>184</v>
      </c>
      <c r="AT210" s="5" t="n">
        <v>5</v>
      </c>
      <c r="AU210" s="5" t="n">
        <v>4</v>
      </c>
      <c r="AV210" s="5" t="n">
        <v>4</v>
      </c>
      <c r="AZ210" s="2" t="n"/>
      <c r="BA210" s="2" t="n"/>
      <c r="BB210" s="2" t="n"/>
      <c r="BE210" s="2" t="n"/>
      <c r="BF210" s="2" t="n"/>
      <c r="BG210" s="2" t="n"/>
    </row>
    <row r="211">
      <c r="G211" s="75" t="n">
        <v>185</v>
      </c>
      <c r="H211" s="75">
        <f>TRUNC((_xlfn.NORM.INV((RAND()),$E$35,$E$36)),2)</f>
        <v/>
      </c>
      <c r="I211" s="75">
        <f>TRUNC((_xlfn.NORM.INV((RAND()),$E$35,$E$36)),2)</f>
        <v/>
      </c>
      <c r="J211" s="75">
        <f>TRUNC((_xlfn.NORM.INV((RAND()),$E$35,$E$36)),2)</f>
        <v/>
      </c>
      <c r="Z211" s="75" t="n">
        <v>185</v>
      </c>
      <c r="AA211" s="20">
        <f>TRUNC(IF(H211&lt;0,0,H211),0)</f>
        <v/>
      </c>
      <c r="AB211" s="20">
        <f>TRUNC(IF(I211&lt;0,0,I211),0)</f>
        <v/>
      </c>
      <c r="AC211" s="20">
        <f>TRUNC(IF(J211&lt;0,0,J211),0)</f>
        <v/>
      </c>
      <c r="AS211" s="75" t="n">
        <v>185</v>
      </c>
      <c r="AT211" s="5" t="n">
        <v>5</v>
      </c>
      <c r="AU211" s="5" t="n">
        <v>6</v>
      </c>
      <c r="AV211" s="5" t="n">
        <v>5</v>
      </c>
      <c r="AZ211" s="2" t="n"/>
      <c r="BA211" s="2" t="n"/>
      <c r="BB211" s="2" t="n"/>
      <c r="BE211" s="2" t="n"/>
      <c r="BF211" s="2" t="n"/>
      <c r="BG211" s="2" t="n"/>
    </row>
    <row r="212">
      <c r="G212" s="75" t="n">
        <v>186</v>
      </c>
      <c r="H212" s="75">
        <f>TRUNC((_xlfn.NORM.INV((RAND()),$E$35,$E$36)),2)</f>
        <v/>
      </c>
      <c r="I212" s="75">
        <f>TRUNC((_xlfn.NORM.INV((RAND()),$E$35,$E$36)),2)</f>
        <v/>
      </c>
      <c r="J212" s="75">
        <f>TRUNC((_xlfn.NORM.INV((RAND()),$E$35,$E$36)),2)</f>
        <v/>
      </c>
      <c r="Z212" s="75" t="n">
        <v>186</v>
      </c>
      <c r="AA212" s="20">
        <f>TRUNC(IF(H212&lt;0,0,H212),0)</f>
        <v/>
      </c>
      <c r="AB212" s="20">
        <f>TRUNC(IF(I212&lt;0,0,I212),0)</f>
        <v/>
      </c>
      <c r="AC212" s="20">
        <f>TRUNC(IF(J212&lt;0,0,J212),0)</f>
        <v/>
      </c>
      <c r="AS212" s="75" t="n">
        <v>186</v>
      </c>
      <c r="AT212" s="5" t="n">
        <v>6</v>
      </c>
      <c r="AU212" s="5" t="n">
        <v>6</v>
      </c>
      <c r="AV212" s="5" t="n">
        <v>5</v>
      </c>
      <c r="AZ212" s="2" t="n"/>
      <c r="BA212" s="2" t="n"/>
      <c r="BB212" s="2" t="n"/>
      <c r="BE212" s="2" t="n"/>
      <c r="BF212" s="2" t="n"/>
      <c r="BG212" s="2" t="n"/>
    </row>
    <row r="213">
      <c r="G213" s="75" t="n">
        <v>187</v>
      </c>
      <c r="H213" s="75">
        <f>TRUNC((_xlfn.NORM.INV((RAND()),$E$35,$E$36)),2)</f>
        <v/>
      </c>
      <c r="I213" s="75">
        <f>TRUNC((_xlfn.NORM.INV((RAND()),$E$35,$E$36)),2)</f>
        <v/>
      </c>
      <c r="J213" s="75">
        <f>TRUNC((_xlfn.NORM.INV((RAND()),$E$35,$E$36)),2)</f>
        <v/>
      </c>
      <c r="Z213" s="75" t="n">
        <v>187</v>
      </c>
      <c r="AA213" s="20">
        <f>TRUNC(IF(H213&lt;0,0,H213),0)</f>
        <v/>
      </c>
      <c r="AB213" s="20">
        <f>TRUNC(IF(I213&lt;0,0,I213),0)</f>
        <v/>
      </c>
      <c r="AC213" s="20">
        <f>TRUNC(IF(J213&lt;0,0,J213),0)</f>
        <v/>
      </c>
      <c r="AS213" s="75" t="n">
        <v>187</v>
      </c>
      <c r="AT213" s="5" t="n">
        <v>6</v>
      </c>
      <c r="AU213" s="5" t="n">
        <v>4</v>
      </c>
      <c r="AV213" s="5" t="n">
        <v>4</v>
      </c>
      <c r="AZ213" s="2" t="n"/>
      <c r="BA213" s="2" t="n"/>
      <c r="BB213" s="2" t="n"/>
      <c r="BE213" s="2" t="n"/>
      <c r="BF213" s="2" t="n"/>
      <c r="BG213" s="2" t="n"/>
    </row>
    <row r="214">
      <c r="G214" s="75" t="n">
        <v>188</v>
      </c>
      <c r="H214" s="75">
        <f>TRUNC((_xlfn.NORM.INV((RAND()),$E$35,$E$36)),2)</f>
        <v/>
      </c>
      <c r="I214" s="75">
        <f>TRUNC((_xlfn.NORM.INV((RAND()),$E$35,$E$36)),2)</f>
        <v/>
      </c>
      <c r="J214" s="75">
        <f>TRUNC((_xlfn.NORM.INV((RAND()),$E$35,$E$36)),2)</f>
        <v/>
      </c>
      <c r="Z214" s="75" t="n">
        <v>188</v>
      </c>
      <c r="AA214" s="20">
        <f>TRUNC(IF(H214&lt;0,0,H214),0)</f>
        <v/>
      </c>
      <c r="AB214" s="20">
        <f>TRUNC(IF(I214&lt;0,0,I214),0)</f>
        <v/>
      </c>
      <c r="AC214" s="20">
        <f>TRUNC(IF(J214&lt;0,0,J214),0)</f>
        <v/>
      </c>
      <c r="AS214" s="75" t="n">
        <v>188</v>
      </c>
      <c r="AT214" s="5" t="n">
        <v>1</v>
      </c>
      <c r="AU214" s="5" t="n">
        <v>7</v>
      </c>
      <c r="AV214" s="5" t="n">
        <v>5</v>
      </c>
      <c r="AZ214" s="2" t="n"/>
      <c r="BA214" s="2" t="n"/>
      <c r="BB214" s="2" t="n"/>
      <c r="BE214" s="2" t="n"/>
      <c r="BF214" s="2" t="n"/>
      <c r="BG214" s="2" t="n"/>
    </row>
    <row r="215">
      <c r="G215" s="75" t="n">
        <v>189</v>
      </c>
      <c r="H215" s="75">
        <f>TRUNC((_xlfn.NORM.INV((RAND()),$E$35,$E$36)),2)</f>
        <v/>
      </c>
      <c r="I215" s="75">
        <f>TRUNC((_xlfn.NORM.INV((RAND()),$E$35,$E$36)),2)</f>
        <v/>
      </c>
      <c r="J215" s="75">
        <f>TRUNC((_xlfn.NORM.INV((RAND()),$E$35,$E$36)),2)</f>
        <v/>
      </c>
      <c r="Z215" s="75" t="n">
        <v>189</v>
      </c>
      <c r="AA215" s="20">
        <f>TRUNC(IF(H215&lt;0,0,H215),0)</f>
        <v/>
      </c>
      <c r="AB215" s="20">
        <f>TRUNC(IF(I215&lt;0,0,I215),0)</f>
        <v/>
      </c>
      <c r="AC215" s="20">
        <f>TRUNC(IF(J215&lt;0,0,J215),0)</f>
        <v/>
      </c>
      <c r="AS215" s="75" t="n">
        <v>189</v>
      </c>
      <c r="AT215" s="5" t="n">
        <v>4</v>
      </c>
      <c r="AU215" s="5" t="n">
        <v>6</v>
      </c>
      <c r="AV215" s="5" t="n">
        <v>7</v>
      </c>
      <c r="AZ215" s="2" t="n"/>
      <c r="BA215" s="2" t="n"/>
      <c r="BB215" s="2" t="n"/>
      <c r="BE215" s="2" t="n"/>
      <c r="BF215" s="2" t="n"/>
      <c r="BG215" s="2" t="n"/>
    </row>
    <row r="216">
      <c r="G216" s="75" t="n">
        <v>190</v>
      </c>
      <c r="H216" s="75">
        <f>TRUNC((_xlfn.NORM.INV((RAND()),$E$35,$E$36)),2)</f>
        <v/>
      </c>
      <c r="I216" s="75">
        <f>TRUNC((_xlfn.NORM.INV((RAND()),$E$35,$E$36)),2)</f>
        <v/>
      </c>
      <c r="J216" s="75">
        <f>TRUNC((_xlfn.NORM.INV((RAND()),$E$35,$E$36)),2)</f>
        <v/>
      </c>
      <c r="Z216" s="75" t="n">
        <v>190</v>
      </c>
      <c r="AA216" s="20">
        <f>TRUNC(IF(H216&lt;0,0,H216),0)</f>
        <v/>
      </c>
      <c r="AB216" s="20">
        <f>TRUNC(IF(I216&lt;0,0,I216),0)</f>
        <v/>
      </c>
      <c r="AC216" s="20">
        <f>TRUNC(IF(J216&lt;0,0,J216),0)</f>
        <v/>
      </c>
      <c r="AS216" s="75" t="n">
        <v>190</v>
      </c>
      <c r="AT216" s="5" t="n">
        <v>5</v>
      </c>
      <c r="AU216" s="5" t="n">
        <v>4</v>
      </c>
      <c r="AV216" s="5" t="n">
        <v>6</v>
      </c>
      <c r="AZ216" s="2" t="n"/>
      <c r="BA216" s="2" t="n"/>
      <c r="BB216" s="2" t="n"/>
      <c r="BE216" s="2" t="n"/>
      <c r="BF216" s="2" t="n"/>
      <c r="BG216" s="2" t="n"/>
    </row>
    <row r="217">
      <c r="G217" s="75" t="n">
        <v>191</v>
      </c>
      <c r="H217" s="75">
        <f>TRUNC((_xlfn.NORM.INV((RAND()),$E$35,$E$36)),2)</f>
        <v/>
      </c>
      <c r="I217" s="75">
        <f>TRUNC((_xlfn.NORM.INV((RAND()),$E$35,$E$36)),2)</f>
        <v/>
      </c>
      <c r="J217" s="75">
        <f>TRUNC((_xlfn.NORM.INV((RAND()),$E$35,$E$36)),2)</f>
        <v/>
      </c>
      <c r="Z217" s="75" t="n">
        <v>191</v>
      </c>
      <c r="AA217" s="20">
        <f>TRUNC(IF(H217&lt;0,0,H217),0)</f>
        <v/>
      </c>
      <c r="AB217" s="20">
        <f>TRUNC(IF(I217&lt;0,0,I217),0)</f>
        <v/>
      </c>
      <c r="AC217" s="20">
        <f>TRUNC(IF(J217&lt;0,0,J217),0)</f>
        <v/>
      </c>
      <c r="AS217" s="75" t="n">
        <v>191</v>
      </c>
      <c r="AT217" s="5" t="n">
        <v>2</v>
      </c>
      <c r="AU217" s="5" t="n">
        <v>5</v>
      </c>
      <c r="AV217" s="5" t="n">
        <v>4</v>
      </c>
      <c r="AZ217" s="2" t="n"/>
      <c r="BA217" s="2" t="n"/>
      <c r="BB217" s="2" t="n"/>
      <c r="BE217" s="2" t="n"/>
      <c r="BF217" s="2" t="n"/>
      <c r="BG217" s="2" t="n"/>
    </row>
    <row r="218">
      <c r="G218" s="75" t="n">
        <v>192</v>
      </c>
      <c r="H218" s="75">
        <f>TRUNC((_xlfn.NORM.INV((RAND()),$E$35,$E$36)),2)</f>
        <v/>
      </c>
      <c r="I218" s="75">
        <f>TRUNC((_xlfn.NORM.INV((RAND()),$E$35,$E$36)),2)</f>
        <v/>
      </c>
      <c r="J218" s="75">
        <f>TRUNC((_xlfn.NORM.INV((RAND()),$E$35,$E$36)),2)</f>
        <v/>
      </c>
      <c r="Z218" s="75" t="n">
        <v>192</v>
      </c>
      <c r="AA218" s="20">
        <f>TRUNC(IF(H218&lt;0,0,H218),0)</f>
        <v/>
      </c>
      <c r="AB218" s="20">
        <f>TRUNC(IF(I218&lt;0,0,I218),0)</f>
        <v/>
      </c>
      <c r="AC218" s="20">
        <f>TRUNC(IF(J218&lt;0,0,J218),0)</f>
        <v/>
      </c>
      <c r="AS218" s="75" t="n">
        <v>192</v>
      </c>
      <c r="AT218" s="5" t="n">
        <v>4</v>
      </c>
      <c r="AU218" s="5" t="n">
        <v>7</v>
      </c>
      <c r="AV218" s="5" t="n">
        <v>6</v>
      </c>
      <c r="AZ218" s="2" t="n"/>
      <c r="BA218" s="2" t="n"/>
      <c r="BB218" s="2" t="n"/>
      <c r="BE218" s="2" t="n"/>
      <c r="BF218" s="2" t="n"/>
      <c r="BG218" s="2" t="n"/>
    </row>
    <row r="219">
      <c r="G219" s="75" t="n">
        <v>193</v>
      </c>
      <c r="H219" s="75">
        <f>TRUNC((_xlfn.NORM.INV((RAND()),$E$35,$E$36)),2)</f>
        <v/>
      </c>
      <c r="I219" s="75">
        <f>TRUNC((_xlfn.NORM.INV((RAND()),$E$35,$E$36)),2)</f>
        <v/>
      </c>
      <c r="J219" s="75">
        <f>TRUNC((_xlfn.NORM.INV((RAND()),$E$35,$E$36)),2)</f>
        <v/>
      </c>
      <c r="Z219" s="75" t="n">
        <v>193</v>
      </c>
      <c r="AA219" s="20">
        <f>TRUNC(IF(H219&lt;0,0,H219),0)</f>
        <v/>
      </c>
      <c r="AB219" s="20">
        <f>TRUNC(IF(I219&lt;0,0,I219),0)</f>
        <v/>
      </c>
      <c r="AC219" s="20">
        <f>TRUNC(IF(J219&lt;0,0,J219),0)</f>
        <v/>
      </c>
      <c r="AS219" s="75" t="n">
        <v>193</v>
      </c>
      <c r="AT219" s="5" t="n">
        <v>5</v>
      </c>
      <c r="AU219" s="5" t="n">
        <v>2</v>
      </c>
      <c r="AV219" s="5" t="n">
        <v>6</v>
      </c>
      <c r="AZ219" s="2" t="n"/>
      <c r="BA219" s="2" t="n"/>
      <c r="BB219" s="2" t="n"/>
      <c r="BE219" s="2" t="n"/>
      <c r="BF219" s="2" t="n"/>
      <c r="BG219" s="2" t="n"/>
    </row>
    <row r="220">
      <c r="G220" s="75" t="n">
        <v>194</v>
      </c>
      <c r="H220" s="75">
        <f>TRUNC((_xlfn.NORM.INV((RAND()),$E$35,$E$36)),2)</f>
        <v/>
      </c>
      <c r="I220" s="75">
        <f>TRUNC((_xlfn.NORM.INV((RAND()),$E$35,$E$36)),2)</f>
        <v/>
      </c>
      <c r="J220" s="75">
        <f>TRUNC((_xlfn.NORM.INV((RAND()),$E$35,$E$36)),2)</f>
        <v/>
      </c>
      <c r="Z220" s="75" t="n">
        <v>194</v>
      </c>
      <c r="AA220" s="20">
        <f>TRUNC(IF(H220&lt;0,0,H220),0)</f>
        <v/>
      </c>
      <c r="AB220" s="20">
        <f>TRUNC(IF(I220&lt;0,0,I220),0)</f>
        <v/>
      </c>
      <c r="AC220" s="20">
        <f>TRUNC(IF(J220&lt;0,0,J220),0)</f>
        <v/>
      </c>
      <c r="AS220" s="75" t="n">
        <v>194</v>
      </c>
      <c r="AT220" s="5" t="n">
        <v>4</v>
      </c>
      <c r="AU220" s="5" t="n">
        <v>4</v>
      </c>
      <c r="AV220" s="5" t="n">
        <v>1</v>
      </c>
      <c r="AZ220" s="2" t="n"/>
      <c r="BA220" s="2" t="n"/>
      <c r="BB220" s="2" t="n"/>
      <c r="BE220" s="2" t="n"/>
      <c r="BF220" s="2" t="n"/>
      <c r="BG220" s="2" t="n"/>
    </row>
    <row r="221">
      <c r="G221" s="75" t="n">
        <v>195</v>
      </c>
      <c r="H221" s="75">
        <f>TRUNC((_xlfn.NORM.INV((RAND()),$E$35,$E$36)),2)</f>
        <v/>
      </c>
      <c r="I221" s="75">
        <f>TRUNC((_xlfn.NORM.INV((RAND()),$E$35,$E$36)),2)</f>
        <v/>
      </c>
      <c r="J221" s="75">
        <f>TRUNC((_xlfn.NORM.INV((RAND()),$E$35,$E$36)),2)</f>
        <v/>
      </c>
      <c r="Z221" s="75" t="n">
        <v>195</v>
      </c>
      <c r="AA221" s="20">
        <f>TRUNC(IF(H221&lt;0,0,H221),0)</f>
        <v/>
      </c>
      <c r="AB221" s="20">
        <f>TRUNC(IF(I221&lt;0,0,I221),0)</f>
        <v/>
      </c>
      <c r="AC221" s="20">
        <f>TRUNC(IF(J221&lt;0,0,J221),0)</f>
        <v/>
      </c>
      <c r="AS221" s="75" t="n">
        <v>195</v>
      </c>
      <c r="AT221" s="5" t="n">
        <v>6</v>
      </c>
      <c r="AU221" s="5" t="n">
        <v>7</v>
      </c>
      <c r="AV221" s="5" t="n">
        <v>3</v>
      </c>
      <c r="AZ221" s="2" t="n"/>
      <c r="BA221" s="2" t="n"/>
      <c r="BB221" s="2" t="n"/>
      <c r="BE221" s="2" t="n"/>
      <c r="BF221" s="2" t="n"/>
      <c r="BG221" s="2" t="n"/>
    </row>
    <row r="222">
      <c r="G222" s="75" t="n">
        <v>196</v>
      </c>
      <c r="H222" s="75">
        <f>TRUNC((_xlfn.NORM.INV((RAND()),$E$35,$E$36)),2)</f>
        <v/>
      </c>
      <c r="I222" s="75">
        <f>TRUNC((_xlfn.NORM.INV((RAND()),$E$35,$E$36)),2)</f>
        <v/>
      </c>
      <c r="J222" s="75">
        <f>TRUNC((_xlfn.NORM.INV((RAND()),$E$35,$E$36)),2)</f>
        <v/>
      </c>
      <c r="Z222" s="75" t="n">
        <v>196</v>
      </c>
      <c r="AA222" s="20">
        <f>TRUNC(IF(H222&lt;0,0,H222),0)</f>
        <v/>
      </c>
      <c r="AB222" s="20">
        <f>TRUNC(IF(I222&lt;0,0,I222),0)</f>
        <v/>
      </c>
      <c r="AC222" s="20">
        <f>TRUNC(IF(J222&lt;0,0,J222),0)</f>
        <v/>
      </c>
      <c r="AS222" s="75" t="n">
        <v>196</v>
      </c>
      <c r="AT222" s="5" t="n">
        <v>5</v>
      </c>
      <c r="AU222" s="5" t="n">
        <v>6</v>
      </c>
      <c r="AV222" s="5" t="n">
        <v>6</v>
      </c>
      <c r="AZ222" s="2" t="n"/>
      <c r="BA222" s="2" t="n"/>
      <c r="BB222" s="2" t="n"/>
      <c r="BE222" s="2" t="n"/>
      <c r="BF222" s="2" t="n"/>
      <c r="BG222" s="2" t="n"/>
    </row>
    <row r="223">
      <c r="G223" s="75" t="n">
        <v>197</v>
      </c>
      <c r="H223" s="75">
        <f>TRUNC((_xlfn.NORM.INV((RAND()),$E$35,$E$36)),2)</f>
        <v/>
      </c>
      <c r="I223" s="75">
        <f>TRUNC((_xlfn.NORM.INV((RAND()),$E$35,$E$36)),2)</f>
        <v/>
      </c>
      <c r="J223" s="75">
        <f>TRUNC((_xlfn.NORM.INV((RAND()),$E$35,$E$36)),2)</f>
        <v/>
      </c>
      <c r="Z223" s="75" t="n">
        <v>197</v>
      </c>
      <c r="AA223" s="20">
        <f>TRUNC(IF(H223&lt;0,0,H223),0)</f>
        <v/>
      </c>
      <c r="AB223" s="20">
        <f>TRUNC(IF(I223&lt;0,0,I223),0)</f>
        <v/>
      </c>
      <c r="AC223" s="20">
        <f>TRUNC(IF(J223&lt;0,0,J223),0)</f>
        <v/>
      </c>
      <c r="AS223" s="75" t="n">
        <v>197</v>
      </c>
      <c r="AT223" s="5" t="n">
        <v>4</v>
      </c>
      <c r="AU223" s="5" t="n">
        <v>4</v>
      </c>
      <c r="AV223" s="5" t="n">
        <v>4</v>
      </c>
      <c r="AZ223" s="2" t="n"/>
      <c r="BA223" s="2" t="n"/>
      <c r="BB223" s="2" t="n"/>
      <c r="BE223" s="2" t="n"/>
      <c r="BF223" s="2" t="n"/>
      <c r="BG223" s="2" t="n"/>
    </row>
    <row r="224">
      <c r="G224" s="75" t="n">
        <v>198</v>
      </c>
      <c r="H224" s="75">
        <f>TRUNC((_xlfn.NORM.INV((RAND()),$E$35,$E$36)),2)</f>
        <v/>
      </c>
      <c r="I224" s="75">
        <f>TRUNC((_xlfn.NORM.INV((RAND()),$E$35,$E$36)),2)</f>
        <v/>
      </c>
      <c r="J224" s="75">
        <f>TRUNC((_xlfn.NORM.INV((RAND()),$E$35,$E$36)),2)</f>
        <v/>
      </c>
      <c r="Z224" s="75" t="n">
        <v>198</v>
      </c>
      <c r="AA224" s="20">
        <f>TRUNC(IF(H224&lt;0,0,H224),0)</f>
        <v/>
      </c>
      <c r="AB224" s="20">
        <f>TRUNC(IF(I224&lt;0,0,I224),0)</f>
        <v/>
      </c>
      <c r="AC224" s="20">
        <f>TRUNC(IF(J224&lt;0,0,J224),0)</f>
        <v/>
      </c>
      <c r="AS224" s="75" t="n">
        <v>198</v>
      </c>
      <c r="AT224" s="5" t="n">
        <v>7</v>
      </c>
      <c r="AU224" s="5" t="n">
        <v>6</v>
      </c>
      <c r="AV224" s="5" t="n">
        <v>6</v>
      </c>
      <c r="AZ224" s="2" t="n"/>
      <c r="BA224" s="2" t="n"/>
      <c r="BB224" s="2" t="n"/>
      <c r="BE224" s="2" t="n"/>
      <c r="BF224" s="2" t="n"/>
      <c r="BG224" s="2" t="n"/>
    </row>
  </sheetData>
  <mergeCells count="1">
    <mergeCell ref="H2:V2"/>
  </mergeCells>
  <pageMargins left="0.511811024" right="0.511811024" top="0.787401575" bottom="0.787401575" header="0.31496062" footer="0.31496062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3:CH302"/>
  <sheetViews>
    <sheetView topLeftCell="A264" zoomScale="90" zoomScaleNormal="90" workbookViewId="0">
      <selection activeCell="C241" sqref="C241:F292"/>
    </sheetView>
  </sheetViews>
  <sheetFormatPr baseColWidth="8" defaultColWidth="8.88671875" defaultRowHeight="14.4"/>
  <cols>
    <col width="3.77734375" customWidth="1" style="18" min="1" max="1"/>
    <col width="8.21875" bestFit="1" customWidth="1" style="18" min="2" max="2"/>
    <col width="25.6640625" bestFit="1" customWidth="1" style="18" min="3" max="3"/>
    <col width="13.109375" customWidth="1" style="18" min="4" max="18"/>
    <col width="12.33203125" customWidth="1" style="18" min="19" max="19"/>
    <col width="17.6640625" bestFit="1" customWidth="1" style="18" min="20" max="20"/>
    <col width="13.21875" bestFit="1" customWidth="1" style="18" min="21" max="24"/>
    <col width="13.21875" customWidth="1" style="18" min="25" max="25"/>
    <col width="13.21875" bestFit="1" customWidth="1" style="18" min="26" max="33"/>
    <col width="13.6640625" customWidth="1" style="18" min="34" max="34"/>
    <col width="14.44140625" customWidth="1" style="18" min="35" max="35"/>
    <col width="8.88671875" customWidth="1" style="18" min="36" max="36"/>
    <col width="12.109375" customWidth="1" style="18" min="37" max="37"/>
    <col width="17.6640625" bestFit="1" customWidth="1" style="18" min="38" max="38"/>
    <col width="8.88671875" customWidth="1" style="18" min="39" max="53"/>
    <col width="9.5546875" customWidth="1" style="18" min="54" max="54"/>
    <col width="10.77734375" bestFit="1" customWidth="1" style="18" min="55" max="55"/>
    <col width="8.88671875" customWidth="1" style="18" min="56" max="71"/>
    <col width="9.44140625" bestFit="1" customWidth="1" style="18" min="72" max="72"/>
    <col width="11.109375" bestFit="1" customWidth="1" style="18" min="73" max="73"/>
    <col width="10.109375" bestFit="1" customWidth="1" style="18" min="74" max="74"/>
    <col width="11.109375" bestFit="1" customWidth="1" style="18" min="75" max="75"/>
    <col width="9.44140625" bestFit="1" customWidth="1" style="18" min="76" max="77"/>
    <col width="12.109375" bestFit="1" customWidth="1" style="18" min="78" max="78"/>
    <col width="11.109375" bestFit="1" customWidth="1" style="18" min="79" max="79"/>
    <col width="12.109375" bestFit="1" customWidth="1" style="18" min="80" max="80"/>
    <col width="9.44140625" bestFit="1" customWidth="1" style="18" min="81" max="81"/>
    <col width="13.77734375" bestFit="1" customWidth="1" style="18" min="82" max="82"/>
    <col width="9.44140625" bestFit="1" customWidth="1" style="18" min="83" max="83"/>
    <col width="10.109375" bestFit="1" customWidth="1" style="18" min="84" max="84"/>
    <col width="12.109375" bestFit="1" customWidth="1" style="18" min="85" max="85"/>
    <col width="10.109375" bestFit="1" customWidth="1" style="18" min="86" max="86"/>
    <col width="8.88671875" customWidth="1" style="18" min="87" max="16384"/>
  </cols>
  <sheetData>
    <row r="3">
      <c r="C3" s="15" t="inlineStr">
        <is>
          <t>ELTw</t>
        </is>
      </c>
      <c r="D3" s="15" t="n">
        <v>1</v>
      </c>
      <c r="E3" s="15" t="n">
        <v>2</v>
      </c>
      <c r="F3" s="15" t="n">
        <v>3</v>
      </c>
      <c r="G3" s="15" t="n">
        <v>4</v>
      </c>
      <c r="H3" s="15" t="n">
        <v>5</v>
      </c>
      <c r="I3" s="15" t="n">
        <v>6</v>
      </c>
      <c r="J3" s="15" t="n">
        <v>7</v>
      </c>
      <c r="K3" s="15" t="n">
        <v>8</v>
      </c>
      <c r="L3" s="15" t="n">
        <v>9</v>
      </c>
      <c r="M3" s="15" t="n">
        <v>10</v>
      </c>
      <c r="N3" s="15" t="n">
        <v>11</v>
      </c>
      <c r="O3" s="15" t="n">
        <v>12</v>
      </c>
      <c r="P3" s="15" t="n">
        <v>13</v>
      </c>
      <c r="Q3" s="15" t="n">
        <v>14</v>
      </c>
      <c r="R3" s="15" t="n">
        <v>15</v>
      </c>
    </row>
    <row r="4">
      <c r="C4" s="15" t="n">
        <v>1</v>
      </c>
      <c r="D4" s="21">
        <f>Suppliers!I22</f>
        <v/>
      </c>
      <c r="E4" s="21">
        <f>Suppliers!J22</f>
        <v/>
      </c>
      <c r="F4" s="21">
        <f>Suppliers!K22</f>
        <v/>
      </c>
      <c r="G4" s="21">
        <f>Suppliers!L22</f>
        <v/>
      </c>
      <c r="H4" s="21">
        <f>Suppliers!M22</f>
        <v/>
      </c>
      <c r="I4" s="21">
        <f>Suppliers!N22</f>
        <v/>
      </c>
      <c r="J4" s="21">
        <f>Suppliers!O22</f>
        <v/>
      </c>
      <c r="K4" s="21">
        <f>Suppliers!P22</f>
        <v/>
      </c>
      <c r="L4" s="21">
        <f>Suppliers!Q22</f>
        <v/>
      </c>
      <c r="M4" s="21">
        <f>Suppliers!R22</f>
        <v/>
      </c>
      <c r="N4" s="21">
        <f>Suppliers!S22</f>
        <v/>
      </c>
      <c r="O4" s="21">
        <f>Suppliers!T22</f>
        <v/>
      </c>
      <c r="P4" s="21">
        <f>Suppliers!U22</f>
        <v/>
      </c>
      <c r="Q4" s="21">
        <f>Suppliers!V22</f>
        <v/>
      </c>
      <c r="R4" s="21">
        <f>Suppliers!W22</f>
        <v/>
      </c>
      <c r="S4" s="58">
        <f>MAX(D4:R4)</f>
        <v/>
      </c>
      <c r="T4" s="21" t="n"/>
    </row>
    <row r="5">
      <c r="C5" s="15" t="n">
        <v>2</v>
      </c>
      <c r="D5" s="21">
        <f>Suppliers!I23</f>
        <v/>
      </c>
      <c r="E5" s="21">
        <f>Suppliers!J23</f>
        <v/>
      </c>
      <c r="F5" s="21">
        <f>Suppliers!K23</f>
        <v/>
      </c>
      <c r="G5" s="21">
        <f>Suppliers!L23</f>
        <v/>
      </c>
      <c r="H5" s="21">
        <f>Suppliers!M23</f>
        <v/>
      </c>
      <c r="I5" s="21">
        <f>Suppliers!N23</f>
        <v/>
      </c>
      <c r="J5" s="21">
        <f>Suppliers!O23</f>
        <v/>
      </c>
      <c r="K5" s="21">
        <f>Suppliers!P23</f>
        <v/>
      </c>
      <c r="L5" s="21">
        <f>Suppliers!Q23</f>
        <v/>
      </c>
      <c r="M5" s="21">
        <f>Suppliers!R23</f>
        <v/>
      </c>
      <c r="N5" s="21">
        <f>Suppliers!S23</f>
        <v/>
      </c>
      <c r="O5" s="21">
        <f>Suppliers!T23</f>
        <v/>
      </c>
      <c r="P5" s="21">
        <f>Suppliers!U23</f>
        <v/>
      </c>
      <c r="Q5" s="21">
        <f>Suppliers!V23</f>
        <v/>
      </c>
      <c r="R5" s="21">
        <f>Suppliers!W23</f>
        <v/>
      </c>
      <c r="S5" s="58">
        <f>MAX(D5:R5)</f>
        <v/>
      </c>
    </row>
    <row r="6">
      <c r="C6" s="15" t="n">
        <v>3</v>
      </c>
      <c r="D6" s="21">
        <f>Suppliers!I24</f>
        <v/>
      </c>
      <c r="E6" s="21">
        <f>Suppliers!J24</f>
        <v/>
      </c>
      <c r="F6" s="21">
        <f>Suppliers!K24</f>
        <v/>
      </c>
      <c r="G6" s="21">
        <f>Suppliers!L24</f>
        <v/>
      </c>
      <c r="H6" s="21">
        <f>Suppliers!M24</f>
        <v/>
      </c>
      <c r="I6" s="21">
        <f>Suppliers!N24</f>
        <v/>
      </c>
      <c r="J6" s="21">
        <f>Suppliers!O24</f>
        <v/>
      </c>
      <c r="K6" s="21">
        <f>Suppliers!P24</f>
        <v/>
      </c>
      <c r="L6" s="21">
        <f>Suppliers!Q24</f>
        <v/>
      </c>
      <c r="M6" s="21">
        <f>Suppliers!R24</f>
        <v/>
      </c>
      <c r="N6" s="21">
        <f>Suppliers!S24</f>
        <v/>
      </c>
      <c r="O6" s="21">
        <f>Suppliers!T24</f>
        <v/>
      </c>
      <c r="P6" s="21">
        <f>Suppliers!U24</f>
        <v/>
      </c>
      <c r="Q6" s="21">
        <f>Suppliers!V24</f>
        <v/>
      </c>
      <c r="R6" s="21">
        <f>Suppliers!W24</f>
        <v/>
      </c>
      <c r="S6" s="58">
        <f>MAX(D6:R6)</f>
        <v/>
      </c>
    </row>
    <row r="8">
      <c r="AL8" s="18" t="inlineStr">
        <is>
          <t>COMPARAÇÃO</t>
        </is>
      </c>
    </row>
    <row r="9">
      <c r="B9" s="21" t="n"/>
      <c r="C9" s="15" t="inlineStr">
        <is>
          <t>S0+RLTw-vSw ou RLTw+vSw</t>
        </is>
      </c>
      <c r="D9" s="15" t="n">
        <v>1</v>
      </c>
      <c r="E9" s="15" t="n">
        <v>2</v>
      </c>
      <c r="F9" s="15" t="n">
        <v>3</v>
      </c>
      <c r="G9" s="15" t="n">
        <v>4</v>
      </c>
      <c r="H9" s="15" t="n">
        <v>5</v>
      </c>
      <c r="I9" s="15" t="n">
        <v>6</v>
      </c>
      <c r="J9" s="15" t="n">
        <v>7</v>
      </c>
      <c r="K9" s="15" t="n">
        <v>8</v>
      </c>
      <c r="L9" s="15" t="n">
        <v>9</v>
      </c>
      <c r="M9" s="15" t="n">
        <v>10</v>
      </c>
      <c r="N9" s="15" t="n">
        <v>11</v>
      </c>
      <c r="O9" s="15" t="n">
        <v>12</v>
      </c>
      <c r="P9" s="15" t="n">
        <v>13</v>
      </c>
      <c r="Q9" s="15" t="n">
        <v>14</v>
      </c>
      <c r="R9" s="15" t="n">
        <v>15</v>
      </c>
      <c r="T9" s="15" t="inlineStr">
        <is>
          <t>S0+RLTw-vSw</t>
        </is>
      </c>
      <c r="U9" s="15" t="n">
        <v>1</v>
      </c>
      <c r="V9" s="15" t="n">
        <v>2</v>
      </c>
      <c r="W9" s="15" t="n">
        <v>3</v>
      </c>
      <c r="X9" s="15" t="n">
        <v>4</v>
      </c>
      <c r="Y9" s="15" t="n">
        <v>5</v>
      </c>
      <c r="Z9" s="15" t="n">
        <v>6</v>
      </c>
      <c r="AA9" s="15" t="n">
        <v>7</v>
      </c>
      <c r="AB9" s="15" t="n">
        <v>8</v>
      </c>
      <c r="AC9" s="15" t="n">
        <v>9</v>
      </c>
      <c r="AD9" s="15" t="n">
        <v>10</v>
      </c>
      <c r="AE9" s="15" t="n">
        <v>11</v>
      </c>
      <c r="AF9" s="15" t="n">
        <v>12</v>
      </c>
      <c r="AG9" s="15" t="n">
        <v>13</v>
      </c>
      <c r="AH9" s="15" t="n">
        <v>14</v>
      </c>
      <c r="AI9" s="15" t="n">
        <v>15</v>
      </c>
      <c r="AJ9" s="19" t="n"/>
      <c r="AL9" s="18" t="inlineStr">
        <is>
          <t>S0+RLTw-vSw</t>
        </is>
      </c>
      <c r="AM9" s="19" t="n">
        <v>1</v>
      </c>
      <c r="AN9" s="19" t="n">
        <v>2</v>
      </c>
      <c r="AO9" s="19" t="n">
        <v>3</v>
      </c>
      <c r="AP9" s="19" t="n">
        <v>4</v>
      </c>
      <c r="AQ9" s="19" t="n">
        <v>5</v>
      </c>
      <c r="AR9" s="19" t="n">
        <v>6</v>
      </c>
      <c r="AS9" s="19" t="n">
        <v>7</v>
      </c>
      <c r="AT9" s="19" t="n">
        <v>8</v>
      </c>
      <c r="AU9" s="19" t="n">
        <v>9</v>
      </c>
      <c r="AV9" s="19" t="n">
        <v>10</v>
      </c>
      <c r="AW9" s="19" t="n">
        <v>11</v>
      </c>
      <c r="AX9" s="19" t="n">
        <v>12</v>
      </c>
      <c r="AY9" s="19" t="n">
        <v>13</v>
      </c>
      <c r="AZ9" s="19" t="n">
        <v>14</v>
      </c>
      <c r="BA9" s="19" t="n">
        <v>15</v>
      </c>
    </row>
    <row r="10">
      <c r="B10" s="21" t="n"/>
      <c r="C10" s="15" t="n">
        <v>1</v>
      </c>
      <c r="D10" s="21">
        <f>IF(D63&gt;0,Suppliers_Cap!D39+D22-Results!D5,D16+D22)</f>
        <v/>
      </c>
      <c r="E10" s="21">
        <f>IF(E63&gt;0,Suppliers_Cap!E39+E22-Results!E5,E16+E22)</f>
        <v/>
      </c>
      <c r="F10" s="21">
        <f>IF(F63&gt;0,Suppliers_Cap!F39+F22-Results!F5,F16+F22)</f>
        <v/>
      </c>
      <c r="G10" s="21">
        <f>IF(G63&gt;0,Suppliers_Cap!G39+G22-Results!G5,G16+G22)</f>
        <v/>
      </c>
      <c r="H10" s="21">
        <f>IF(H63&gt;0,Suppliers_Cap!H39+H22-Results!H5,H16+H22)</f>
        <v/>
      </c>
      <c r="I10" s="21">
        <f>IF(I63&gt;0,Suppliers_Cap!I39+I22-Results!I5,I16+I22)</f>
        <v/>
      </c>
      <c r="J10" s="21">
        <f>IF(J63&gt;0,Suppliers_Cap!J39+J22-Results!J5,J16+J22)</f>
        <v/>
      </c>
      <c r="K10" s="21">
        <f>IF(K63&gt;0,Suppliers_Cap!K39+K22-Results!K5,K16+K22)</f>
        <v/>
      </c>
      <c r="L10" s="21">
        <f>IF(L63&gt;0,Suppliers_Cap!L39+L22-Results!L5,L16+L22)</f>
        <v/>
      </c>
      <c r="M10" s="21">
        <f>IF(M63&gt;0,Suppliers_Cap!M39+M22-Results!M5,M16+M22)</f>
        <v/>
      </c>
      <c r="N10" s="21">
        <f>IF(N63&gt;0,Suppliers_Cap!N39+N22-Results!N5,N16+N22)</f>
        <v/>
      </c>
      <c r="O10" s="21">
        <f>IF(O63&gt;0,Suppliers_Cap!O39+O22-Results!O5,O16+O22)</f>
        <v/>
      </c>
      <c r="P10" s="21">
        <f>IF(P63&gt;0,Suppliers_Cap!P39+P22-Results!P5,P16+P22)</f>
        <v/>
      </c>
      <c r="Q10" s="21">
        <f>IF(Q63&gt;0,Suppliers_Cap!Q39+Q22-Results!Q5,Q16+Q22)</f>
        <v/>
      </c>
      <c r="R10" s="21">
        <f>IF(R63&gt;0,Suppliers_Cap!R39+R22-Results!R5,R16+R22)</f>
        <v/>
      </c>
      <c r="T10" s="15" t="n">
        <v>1</v>
      </c>
      <c r="U10" s="21" t="n">
        <v>0</v>
      </c>
      <c r="V10" s="21" t="n">
        <v>0</v>
      </c>
      <c r="W10" s="21" t="n">
        <v>0</v>
      </c>
      <c r="X10" s="21" t="n">
        <v>0</v>
      </c>
      <c r="Y10" s="21" t="n">
        <v>14.79000000117725</v>
      </c>
      <c r="Z10" s="21" t="n">
        <v>21.197941038259</v>
      </c>
      <c r="AA10" s="21" t="n">
        <v>0</v>
      </c>
      <c r="AB10" s="21" t="n">
        <v>14.24495403451943</v>
      </c>
      <c r="AC10" s="21" t="n">
        <v>9.465527418247579</v>
      </c>
      <c r="AD10" s="21" t="n">
        <v>0</v>
      </c>
      <c r="AE10" s="21" t="n">
        <v>-2.134896703864797e-10</v>
      </c>
      <c r="AF10" s="21" t="n">
        <v>0</v>
      </c>
      <c r="AG10" s="21" t="n">
        <v>9.055368036900013</v>
      </c>
      <c r="AH10" s="21" t="n">
        <v>20.70293766241851</v>
      </c>
      <c r="AI10" s="21" t="n">
        <v>21.85591951352468</v>
      </c>
      <c r="AJ10" s="21" t="n"/>
      <c r="AK10" s="19" t="n"/>
      <c r="AL10" s="19" t="n">
        <v>1</v>
      </c>
      <c r="AM10" s="21">
        <f>D10-U10</f>
        <v/>
      </c>
      <c r="AN10" s="21">
        <f>E10-V10</f>
        <v/>
      </c>
      <c r="AO10" s="21">
        <f>F10-W10</f>
        <v/>
      </c>
      <c r="AP10" s="21">
        <f>G10-X10</f>
        <v/>
      </c>
      <c r="AQ10" s="21">
        <f>H10-Y10</f>
        <v/>
      </c>
      <c r="AR10" s="21">
        <f>I10-Z10</f>
        <v/>
      </c>
      <c r="AS10" s="21">
        <f>J10-AA10</f>
        <v/>
      </c>
      <c r="AT10" s="21">
        <f>K10-AB10</f>
        <v/>
      </c>
      <c r="AU10" s="21">
        <f>L10-AC10</f>
        <v/>
      </c>
      <c r="AV10" s="21">
        <f>M10-AD10</f>
        <v/>
      </c>
      <c r="AW10" s="21">
        <f>N10-AE10</f>
        <v/>
      </c>
      <c r="AX10" s="21">
        <f>O10-AF10</f>
        <v/>
      </c>
      <c r="AY10" s="21">
        <f>P10-AG10</f>
        <v/>
      </c>
      <c r="AZ10" s="21">
        <f>Q10-AH10</f>
        <v/>
      </c>
      <c r="BA10" s="21">
        <f>R10-AI10</f>
        <v/>
      </c>
    </row>
    <row r="11">
      <c r="B11" s="21" t="n"/>
      <c r="C11" s="15" t="n">
        <v>2</v>
      </c>
      <c r="D11" s="21">
        <f>IF(D64&gt;0,Suppliers_Cap!D40+D23-Results!D6,D17+D23)</f>
        <v/>
      </c>
      <c r="E11" s="21">
        <f>IF(E64&gt;0,Suppliers_Cap!E40+E23-Results!E6,E17+E23)</f>
        <v/>
      </c>
      <c r="F11" s="21">
        <f>IF(F64&gt;0,Suppliers_Cap!F40+F23-Results!F6,F17+F23)</f>
        <v/>
      </c>
      <c r="G11" s="21">
        <f>IF(G64&gt;0,Suppliers_Cap!G40+G23-Results!G6,G17+G23)</f>
        <v/>
      </c>
      <c r="H11" s="21">
        <f>IF(H64&gt;0,Suppliers_Cap!H40+H23-Results!H6,H17+H23)</f>
        <v/>
      </c>
      <c r="I11" s="21">
        <f>IF(I64&gt;0,Suppliers_Cap!I40+I23-Results!I6,I17+I23)</f>
        <v/>
      </c>
      <c r="J11" s="21">
        <f>IF(J64&gt;0,Suppliers_Cap!J40+J23-Results!J6,J17+J23)</f>
        <v/>
      </c>
      <c r="K11" s="21">
        <f>IF(K64&gt;0,Suppliers_Cap!K40+K23-Results!K6,K17+K23)</f>
        <v/>
      </c>
      <c r="L11" s="21">
        <f>IF(L64&gt;0,Suppliers_Cap!L40+L23-Results!L6,L17+L23)</f>
        <v/>
      </c>
      <c r="M11" s="21">
        <f>IF(M64&gt;0,Suppliers_Cap!M40+M23-Results!M6,M17+M23)</f>
        <v/>
      </c>
      <c r="N11" s="21">
        <f>IF(N64&gt;0,Suppliers_Cap!N40+N23-Results!N6,N17+N23)</f>
        <v/>
      </c>
      <c r="O11" s="21">
        <f>IF(O64&gt;0,Suppliers_Cap!O40+O23-Results!O6,O17+O23)</f>
        <v/>
      </c>
      <c r="P11" s="21">
        <f>IF(P64&gt;0,Suppliers_Cap!P40+P23-Results!P6,P17+P23)</f>
        <v/>
      </c>
      <c r="Q11" s="21">
        <f>IF(Q64&gt;0,Suppliers_Cap!Q40+Q23-Results!Q6,Q17+Q23)</f>
        <v/>
      </c>
      <c r="R11" s="21">
        <f>IF(R64&gt;0,Suppliers_Cap!R40+R23-Results!R6,R17+R23)</f>
        <v/>
      </c>
      <c r="T11" s="15" t="n">
        <v>2</v>
      </c>
      <c r="U11" s="21" t="n">
        <v>9.121735548629548</v>
      </c>
      <c r="V11" s="21" t="n">
        <v>17.56168704830529</v>
      </c>
      <c r="W11" s="21" t="n">
        <v>0</v>
      </c>
      <c r="X11" s="21" t="n">
        <v>0</v>
      </c>
      <c r="Y11" s="21" t="n">
        <v>-8.248832727986155e-10</v>
      </c>
      <c r="Z11" s="21" t="n">
        <v>13.02835484674005</v>
      </c>
      <c r="AA11" s="21" t="n">
        <v>-9.22142362469458e-10</v>
      </c>
      <c r="AB11" s="21" t="n">
        <v>0</v>
      </c>
      <c r="AC11" s="21" t="n">
        <v>0</v>
      </c>
      <c r="AD11" s="21" t="n">
        <v>11.21042648030167</v>
      </c>
      <c r="AE11" s="21" t="n">
        <v>0</v>
      </c>
      <c r="AF11" s="21" t="n">
        <v>17.34121294125659</v>
      </c>
      <c r="AG11" s="21" t="n">
        <v>19.4800000023076</v>
      </c>
      <c r="AH11" s="21" t="n">
        <v>13.50013149827726</v>
      </c>
      <c r="AI11" s="21" t="n">
        <v>8.684251218683269</v>
      </c>
      <c r="AJ11" s="21" t="n"/>
      <c r="AK11" s="19" t="n"/>
      <c r="AL11" s="19" t="n">
        <v>2</v>
      </c>
      <c r="AM11" s="21">
        <f>D11-U11</f>
        <v/>
      </c>
      <c r="AN11" s="21">
        <f>E11-V11</f>
        <v/>
      </c>
      <c r="AO11" s="21">
        <f>F11-W11</f>
        <v/>
      </c>
      <c r="AP11" s="21">
        <f>G11-X11</f>
        <v/>
      </c>
      <c r="AQ11" s="21">
        <f>H11-Y11</f>
        <v/>
      </c>
      <c r="AR11" s="21">
        <f>I11-Z11</f>
        <v/>
      </c>
      <c r="AS11" s="21">
        <f>J11-AA11</f>
        <v/>
      </c>
      <c r="AT11" s="21">
        <f>K11-AB11</f>
        <v/>
      </c>
      <c r="AU11" s="21">
        <f>L11-AC11</f>
        <v/>
      </c>
      <c r="AV11" s="21">
        <f>M11-AD11</f>
        <v/>
      </c>
      <c r="AW11" s="21">
        <f>N11-AE11</f>
        <v/>
      </c>
      <c r="AX11" s="21">
        <f>O11-AF11</f>
        <v/>
      </c>
      <c r="AY11" s="21">
        <f>P11-AG11</f>
        <v/>
      </c>
      <c r="AZ11" s="21">
        <f>Q11-AH11</f>
        <v/>
      </c>
      <c r="BA11" s="21">
        <f>R11-AI11</f>
        <v/>
      </c>
    </row>
    <row r="12">
      <c r="B12" s="21" t="n"/>
      <c r="C12" s="15" t="n">
        <v>3</v>
      </c>
      <c r="D12" s="21">
        <f>IF(D65&gt;0,Suppliers_Cap!D41+D24-Results!D7,D18+D24)</f>
        <v/>
      </c>
      <c r="E12" s="21">
        <f>IF(E65&gt;0,Suppliers_Cap!E41+E24-Results!E7,E18+E24)</f>
        <v/>
      </c>
      <c r="F12" s="21">
        <f>IF(F65&gt;0,Suppliers_Cap!F41+F24-Results!F7,F18+F24)</f>
        <v/>
      </c>
      <c r="G12" s="21">
        <f>IF(G65&gt;0,Suppliers_Cap!G41+G24-Results!G7,G18+G24)</f>
        <v/>
      </c>
      <c r="H12" s="21">
        <f>IF(H65&gt;0,Suppliers_Cap!H41+H24-Results!H7,H18+H24)</f>
        <v/>
      </c>
      <c r="I12" s="21">
        <f>IF(I65&gt;0,Suppliers_Cap!I41+I24-Results!I7,I18+I24)</f>
        <v/>
      </c>
      <c r="J12" s="21">
        <f>IF(J65&gt;0,Suppliers_Cap!J41+J24-Results!J7,J18+J24)</f>
        <v/>
      </c>
      <c r="K12" s="21">
        <f>IF(K65&gt;0,Suppliers_Cap!K41+K24-Results!K7,K18+K24)</f>
        <v/>
      </c>
      <c r="L12" s="21">
        <f>IF(L65&gt;0,Suppliers_Cap!L41+L24-Results!L7,L18+L24)</f>
        <v/>
      </c>
      <c r="M12" s="21">
        <f>IF(M65&gt;0,Suppliers_Cap!M41+M24-Results!M7,M18+M24)</f>
        <v/>
      </c>
      <c r="N12" s="21">
        <f>IF(N65&gt;0,Suppliers_Cap!N41+N24-Results!N7,N18+N24)</f>
        <v/>
      </c>
      <c r="O12" s="21">
        <f>IF(O65&gt;0,Suppliers_Cap!O41+O24-Results!O7,O18+O24)</f>
        <v/>
      </c>
      <c r="P12" s="21">
        <f>IF(P65&gt;0,Suppliers_Cap!P41+P24-Results!P7,P18+P24)</f>
        <v/>
      </c>
      <c r="Q12" s="21">
        <f>IF(Q65&gt;0,Suppliers_Cap!Q41+Q24-Results!Q7,Q18+Q24)</f>
        <v/>
      </c>
      <c r="R12" s="21">
        <f>IF(R65&gt;0,Suppliers_Cap!R41+R24-Results!R7,R18+R24)</f>
        <v/>
      </c>
      <c r="T12" s="15" t="n">
        <v>3</v>
      </c>
      <c r="U12" s="21" t="n">
        <v>27.58591610711294</v>
      </c>
      <c r="V12" s="21" t="n">
        <v>0</v>
      </c>
      <c r="W12" s="21" t="n">
        <v>0</v>
      </c>
      <c r="X12" s="21" t="n">
        <v>13.96999999923914</v>
      </c>
      <c r="Y12" s="21" t="n">
        <v>0</v>
      </c>
      <c r="Z12" s="21" t="n">
        <v>27.56048492162251</v>
      </c>
      <c r="AA12" s="21" t="n">
        <v>18.88106583434483</v>
      </c>
      <c r="AB12" s="21" t="n">
        <v>0</v>
      </c>
      <c r="AC12" s="21" t="n">
        <v>0</v>
      </c>
      <c r="AD12" s="21" t="n">
        <v>0</v>
      </c>
      <c r="AE12" s="21" t="n">
        <v>15.97619047619047</v>
      </c>
      <c r="AF12" s="21" t="n">
        <v>-8.102318815872422e-10</v>
      </c>
      <c r="AG12" s="21" t="n">
        <v>0</v>
      </c>
      <c r="AH12" s="21" t="n">
        <v>0</v>
      </c>
      <c r="AI12" s="21" t="n">
        <v>9.109266843476764</v>
      </c>
      <c r="AJ12" s="21" t="n"/>
      <c r="AK12" s="19" t="n"/>
      <c r="AL12" s="19" t="n">
        <v>3</v>
      </c>
      <c r="AM12" s="21">
        <f>D12-U12</f>
        <v/>
      </c>
      <c r="AN12" s="21">
        <f>E12-V12</f>
        <v/>
      </c>
      <c r="AO12" s="21">
        <f>F12-W12</f>
        <v/>
      </c>
      <c r="AP12" s="21">
        <f>G12-X12</f>
        <v/>
      </c>
      <c r="AQ12" s="21">
        <f>H12-Y12</f>
        <v/>
      </c>
      <c r="AR12" s="21">
        <f>I12-Z12</f>
        <v/>
      </c>
      <c r="AS12" s="21">
        <f>J12-AA12</f>
        <v/>
      </c>
      <c r="AT12" s="21">
        <f>K12-AB12</f>
        <v/>
      </c>
      <c r="AU12" s="21">
        <f>L12-AC12</f>
        <v/>
      </c>
      <c r="AV12" s="21">
        <f>M12-AD12</f>
        <v/>
      </c>
      <c r="AW12" s="21">
        <f>N12-AE12</f>
        <v/>
      </c>
      <c r="AX12" s="21">
        <f>O12-AF12</f>
        <v/>
      </c>
      <c r="AY12" s="21">
        <f>P12-AG12</f>
        <v/>
      </c>
      <c r="AZ12" s="21">
        <f>Q12-AH12</f>
        <v/>
      </c>
      <c r="BA12" s="21">
        <f>R12-AI12</f>
        <v/>
      </c>
    </row>
    <row r="13">
      <c r="B13" s="21" t="n"/>
    </row>
    <row r="14">
      <c r="B14" s="21" t="n"/>
      <c r="F14" s="88" t="n"/>
      <c r="H14" s="89" t="n"/>
      <c r="W14" s="88" t="n"/>
      <c r="Y14" s="89" t="n"/>
    </row>
    <row r="15">
      <c r="B15" s="21" t="n"/>
      <c r="C15" s="15" t="inlineStr">
        <is>
          <t>vSw</t>
        </is>
      </c>
      <c r="D15" s="15" t="n">
        <v>1</v>
      </c>
      <c r="E15" s="15" t="n">
        <v>2</v>
      </c>
      <c r="F15" s="15" t="n">
        <v>3</v>
      </c>
      <c r="G15" s="15" t="n">
        <v>4</v>
      </c>
      <c r="H15" s="15" t="n">
        <v>5</v>
      </c>
      <c r="I15" s="15" t="n">
        <v>6</v>
      </c>
      <c r="J15" s="15" t="n">
        <v>7</v>
      </c>
      <c r="K15" s="15" t="n">
        <v>8</v>
      </c>
      <c r="L15" s="15" t="n">
        <v>9</v>
      </c>
      <c r="M15" s="15" t="n">
        <v>10</v>
      </c>
      <c r="N15" s="15" t="n">
        <v>11</v>
      </c>
      <c r="O15" s="15" t="n">
        <v>12</v>
      </c>
      <c r="P15" s="15" t="n">
        <v>13</v>
      </c>
      <c r="Q15" s="15" t="n">
        <v>14</v>
      </c>
      <c r="R15" s="15" t="n">
        <v>15</v>
      </c>
      <c r="T15" s="15" t="inlineStr">
        <is>
          <t>vSw</t>
        </is>
      </c>
      <c r="U15" s="15" t="n">
        <v>1</v>
      </c>
      <c r="V15" s="15" t="n">
        <v>2</v>
      </c>
      <c r="W15" s="15" t="n">
        <v>3</v>
      </c>
      <c r="X15" s="15" t="n">
        <v>4</v>
      </c>
      <c r="Y15" s="15" t="n">
        <v>5</v>
      </c>
      <c r="Z15" s="15" t="n">
        <v>6</v>
      </c>
      <c r="AA15" s="15" t="n">
        <v>7</v>
      </c>
      <c r="AB15" s="15" t="n">
        <v>8</v>
      </c>
      <c r="AC15" s="15" t="n">
        <v>9</v>
      </c>
      <c r="AD15" s="15" t="n">
        <v>10</v>
      </c>
      <c r="AE15" s="15" t="n">
        <v>11</v>
      </c>
      <c r="AF15" s="15" t="n">
        <v>12</v>
      </c>
      <c r="AG15" s="15" t="n">
        <v>13</v>
      </c>
      <c r="AH15" s="15" t="n">
        <v>14</v>
      </c>
      <c r="AI15" s="15" t="n">
        <v>15</v>
      </c>
      <c r="AJ15" s="19" t="n"/>
      <c r="AL15" s="18" t="inlineStr">
        <is>
          <t>vSw</t>
        </is>
      </c>
      <c r="AM15" s="19" t="n">
        <v>1</v>
      </c>
      <c r="AN15" s="19" t="n">
        <v>2</v>
      </c>
      <c r="AO15" s="19" t="n">
        <v>3</v>
      </c>
      <c r="AP15" s="19" t="n">
        <v>4</v>
      </c>
      <c r="AQ15" s="19" t="n">
        <v>5</v>
      </c>
      <c r="AR15" s="19" t="n">
        <v>6</v>
      </c>
      <c r="AS15" s="19" t="n">
        <v>7</v>
      </c>
      <c r="AT15" s="19" t="n">
        <v>8</v>
      </c>
      <c r="AU15" s="19" t="n">
        <v>9</v>
      </c>
      <c r="AV15" s="19" t="n">
        <v>10</v>
      </c>
      <c r="AW15" s="19" t="n">
        <v>11</v>
      </c>
      <c r="AX15" s="19" t="n">
        <v>12</v>
      </c>
      <c r="AY15" s="19" t="n">
        <v>13</v>
      </c>
      <c r="AZ15" s="19" t="n">
        <v>14</v>
      </c>
      <c r="BA15" s="19" t="n">
        <v>15</v>
      </c>
    </row>
    <row r="16">
      <c r="B16" s="21" t="n"/>
      <c r="C16" s="15" t="n">
        <v>1</v>
      </c>
      <c r="D16" s="21">
        <f>Results!D5</f>
        <v/>
      </c>
      <c r="E16" s="21">
        <f>Results!E5</f>
        <v/>
      </c>
      <c r="F16" s="21">
        <f>Results!F5</f>
        <v/>
      </c>
      <c r="G16" s="21">
        <f>Results!G5</f>
        <v/>
      </c>
      <c r="H16" s="21">
        <f>Results!H5</f>
        <v/>
      </c>
      <c r="I16" s="21">
        <f>Results!I5</f>
        <v/>
      </c>
      <c r="J16" s="21">
        <f>Results!J5</f>
        <v/>
      </c>
      <c r="K16" s="21">
        <f>Results!K5</f>
        <v/>
      </c>
      <c r="L16" s="21">
        <f>Results!L5</f>
        <v/>
      </c>
      <c r="M16" s="21">
        <f>Results!M5</f>
        <v/>
      </c>
      <c r="N16" s="21">
        <f>Results!N5</f>
        <v/>
      </c>
      <c r="O16" s="21">
        <f>Results!O5</f>
        <v/>
      </c>
      <c r="P16" s="21">
        <f>Results!P5</f>
        <v/>
      </c>
      <c r="Q16" s="21">
        <f>Results!Q5</f>
        <v/>
      </c>
      <c r="R16" s="21">
        <f>Results!R5</f>
        <v/>
      </c>
      <c r="S16" s="58">
        <f>MAX(D16:R16)</f>
        <v/>
      </c>
      <c r="T16" s="15" t="n">
        <v>1</v>
      </c>
      <c r="U16" s="21" t="n">
        <v>0</v>
      </c>
      <c r="V16" s="21" t="n">
        <v>0</v>
      </c>
      <c r="W16" s="21" t="n">
        <v>0</v>
      </c>
      <c r="X16" s="21" t="n">
        <v>0</v>
      </c>
      <c r="Y16" s="21" t="n">
        <v>1.273803436194299</v>
      </c>
      <c r="Z16" s="21" t="n">
        <v>1.532340216125802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-56.04966010712087</v>
      </c>
      <c r="AF16" s="21" t="n">
        <v>0</v>
      </c>
      <c r="AG16" s="21" t="n">
        <v>0</v>
      </c>
      <c r="AH16" s="21" t="n">
        <v>1.516432560448342</v>
      </c>
      <c r="AI16" s="21" t="n">
        <v>1.700697482811901</v>
      </c>
      <c r="AK16" s="19" t="n"/>
      <c r="AL16" s="19" t="n">
        <v>1</v>
      </c>
      <c r="AM16" s="21">
        <f>D16-U16</f>
        <v/>
      </c>
      <c r="AN16" s="21">
        <f>E16-V16</f>
        <v/>
      </c>
      <c r="AO16" s="21">
        <f>F16-W16</f>
        <v/>
      </c>
      <c r="AP16" s="21">
        <f>G16-X16</f>
        <v/>
      </c>
      <c r="AQ16" s="21">
        <f>H16-Y16</f>
        <v/>
      </c>
      <c r="AR16" s="21">
        <f>I16-Z16</f>
        <v/>
      </c>
      <c r="AS16" s="21">
        <f>J16-AA16</f>
        <v/>
      </c>
      <c r="AT16" s="21">
        <f>K16-AB16</f>
        <v/>
      </c>
      <c r="AU16" s="21">
        <f>L16-AC16</f>
        <v/>
      </c>
      <c r="AV16" s="21">
        <f>M16-AD16</f>
        <v/>
      </c>
      <c r="AW16" s="21">
        <f>N16-AE16</f>
        <v/>
      </c>
      <c r="AX16" s="21">
        <f>O16-AF16</f>
        <v/>
      </c>
      <c r="AY16" s="21">
        <f>P16-AG16</f>
        <v/>
      </c>
      <c r="AZ16" s="21">
        <f>Q16-AH16</f>
        <v/>
      </c>
      <c r="BA16" s="21">
        <f>R16-AI16</f>
        <v/>
      </c>
    </row>
    <row r="17">
      <c r="B17" s="21" t="n"/>
      <c r="C17" s="15" t="n">
        <v>2</v>
      </c>
      <c r="D17" s="21">
        <f>Results!D6</f>
        <v/>
      </c>
      <c r="E17" s="21">
        <f>Results!E6</f>
        <v/>
      </c>
      <c r="F17" s="21">
        <f>Results!F6</f>
        <v/>
      </c>
      <c r="G17" s="21">
        <f>Results!G6</f>
        <v/>
      </c>
      <c r="H17" s="21">
        <f>Results!H6</f>
        <v/>
      </c>
      <c r="I17" s="21">
        <f>Results!I6</f>
        <v/>
      </c>
      <c r="J17" s="21">
        <f>Results!J6</f>
        <v/>
      </c>
      <c r="K17" s="21">
        <f>Results!K6</f>
        <v/>
      </c>
      <c r="L17" s="21">
        <f>Results!L6</f>
        <v/>
      </c>
      <c r="M17" s="21">
        <f>Results!M6</f>
        <v/>
      </c>
      <c r="N17" s="21">
        <f>Results!N6</f>
        <v/>
      </c>
      <c r="O17" s="21">
        <f>Results!O6</f>
        <v/>
      </c>
      <c r="P17" s="21">
        <f>Results!P6</f>
        <v/>
      </c>
      <c r="Q17" s="21">
        <f>Results!Q6</f>
        <v/>
      </c>
      <c r="R17" s="21">
        <f>Results!R6</f>
        <v/>
      </c>
      <c r="S17" s="58">
        <f>MAX(D17:R17)</f>
        <v/>
      </c>
      <c r="T17" s="15" t="n">
        <v>2</v>
      </c>
      <c r="U17" s="21" t="n">
        <v>0</v>
      </c>
      <c r="V17" s="21" t="n">
        <v>0</v>
      </c>
      <c r="W17" s="21" t="n">
        <v>0</v>
      </c>
      <c r="X17" s="21" t="n">
        <v>0</v>
      </c>
      <c r="Y17" s="21" t="n">
        <v>-36.15456150099635</v>
      </c>
      <c r="Z17" s="21" t="n">
        <v>0</v>
      </c>
      <c r="AA17" s="21" t="n">
        <v>-178.8290909081697</v>
      </c>
      <c r="AB17" s="21" t="n">
        <v>0</v>
      </c>
      <c r="AC17" s="21" t="n">
        <v>0</v>
      </c>
      <c r="AD17" s="21" t="n">
        <v>0</v>
      </c>
      <c r="AE17" s="21" t="n">
        <v>0</v>
      </c>
      <c r="AF17" s="21" t="n">
        <v>1.643365360839238</v>
      </c>
      <c r="AG17" s="21" t="n">
        <v>1.310835456997784</v>
      </c>
      <c r="AH17" s="21" t="n">
        <v>0</v>
      </c>
      <c r="AI17" s="21" t="n">
        <v>0</v>
      </c>
      <c r="AK17" s="19" t="n"/>
      <c r="AL17" s="19" t="n">
        <v>2</v>
      </c>
      <c r="AM17" s="21">
        <f>D17-U17</f>
        <v/>
      </c>
      <c r="AN17" s="21">
        <f>E17-V17</f>
        <v/>
      </c>
      <c r="AO17" s="21">
        <f>F17-W17</f>
        <v/>
      </c>
      <c r="AP17" s="21">
        <f>G17-X17</f>
        <v/>
      </c>
      <c r="AQ17" s="21">
        <f>H17-Y17</f>
        <v/>
      </c>
      <c r="AR17" s="21">
        <f>I17-Z17</f>
        <v/>
      </c>
      <c r="AS17" s="21">
        <f>J17-AA17</f>
        <v/>
      </c>
      <c r="AT17" s="21">
        <f>K17-AB17</f>
        <v/>
      </c>
      <c r="AU17" s="21">
        <f>L17-AC17</f>
        <v/>
      </c>
      <c r="AV17" s="21">
        <f>M17-AD17</f>
        <v/>
      </c>
      <c r="AW17" s="21">
        <f>N17-AE17</f>
        <v/>
      </c>
      <c r="AX17" s="21">
        <f>O17-AF17</f>
        <v/>
      </c>
      <c r="AY17" s="21">
        <f>P17-AG17</f>
        <v/>
      </c>
      <c r="AZ17" s="21">
        <f>Q17-AH17</f>
        <v/>
      </c>
      <c r="BA17" s="21">
        <f>R17-AI17</f>
        <v/>
      </c>
    </row>
    <row r="18">
      <c r="B18" s="21" t="n"/>
      <c r="C18" s="15" t="n">
        <v>3</v>
      </c>
      <c r="D18" s="21">
        <f>Results!D7</f>
        <v/>
      </c>
      <c r="E18" s="21">
        <f>Results!E7</f>
        <v/>
      </c>
      <c r="F18" s="21">
        <f>Results!F7</f>
        <v/>
      </c>
      <c r="G18" s="21">
        <f>Results!G7</f>
        <v/>
      </c>
      <c r="H18" s="21">
        <f>Results!H7</f>
        <v/>
      </c>
      <c r="I18" s="21">
        <f>Results!I7</f>
        <v/>
      </c>
      <c r="J18" s="21">
        <f>Results!J7</f>
        <v/>
      </c>
      <c r="K18" s="21">
        <f>Results!K7</f>
        <v/>
      </c>
      <c r="L18" s="21">
        <f>Results!L7</f>
        <v/>
      </c>
      <c r="M18" s="21">
        <f>Results!M7</f>
        <v/>
      </c>
      <c r="N18" s="21">
        <f>Results!N7</f>
        <v/>
      </c>
      <c r="O18" s="21">
        <f>Results!O7</f>
        <v/>
      </c>
      <c r="P18" s="21">
        <f>Results!P7</f>
        <v/>
      </c>
      <c r="Q18" s="21">
        <f>Results!Q7</f>
        <v/>
      </c>
      <c r="R18" s="21">
        <f>Results!R7</f>
        <v/>
      </c>
      <c r="S18" s="58">
        <f>MAX(D18:R18)</f>
        <v/>
      </c>
      <c r="T18" s="15" t="n">
        <v>3</v>
      </c>
      <c r="U18" s="21" t="n">
        <v>1.954878564026657</v>
      </c>
      <c r="V18" s="21" t="n">
        <v>0</v>
      </c>
      <c r="W18" s="21" t="n">
        <v>0</v>
      </c>
      <c r="X18" s="21" t="n">
        <v>0.1658247991009225</v>
      </c>
      <c r="Y18" s="21" t="n">
        <v>0</v>
      </c>
      <c r="Z18" s="21" t="n">
        <v>1.907823203013225</v>
      </c>
      <c r="AA18" s="21" t="n">
        <v>1.3866</v>
      </c>
      <c r="AB18" s="21" t="n">
        <v>0</v>
      </c>
      <c r="AC18" s="21" t="n">
        <v>0</v>
      </c>
      <c r="AD18" s="21" t="n">
        <v>0</v>
      </c>
      <c r="AE18" s="21" t="n">
        <v>1.111863394163947</v>
      </c>
      <c r="AF18" s="21" t="n">
        <v>-103.1717191711068</v>
      </c>
      <c r="AG18" s="21" t="n">
        <v>0</v>
      </c>
      <c r="AH18" s="21" t="n">
        <v>0</v>
      </c>
      <c r="AI18" s="21" t="n">
        <v>0</v>
      </c>
      <c r="AK18" s="19" t="n"/>
      <c r="AL18" s="19" t="n">
        <v>3</v>
      </c>
      <c r="AM18" s="21">
        <f>D18-U18</f>
        <v/>
      </c>
      <c r="AN18" s="21">
        <f>E18-V18</f>
        <v/>
      </c>
      <c r="AO18" s="21">
        <f>F18-W18</f>
        <v/>
      </c>
      <c r="AP18" s="21">
        <f>G18-X18</f>
        <v/>
      </c>
      <c r="AQ18" s="21">
        <f>H18-Y18</f>
        <v/>
      </c>
      <c r="AR18" s="21">
        <f>I18-Z18</f>
        <v/>
      </c>
      <c r="AS18" s="21">
        <f>J18-AA18</f>
        <v/>
      </c>
      <c r="AT18" s="21">
        <f>K18-AB18</f>
        <v/>
      </c>
      <c r="AU18" s="21">
        <f>L18-AC18</f>
        <v/>
      </c>
      <c r="AV18" s="21">
        <f>M18-AD18</f>
        <v/>
      </c>
      <c r="AW18" s="21">
        <f>N18-AE18</f>
        <v/>
      </c>
      <c r="AX18" s="21">
        <f>O18-AF18</f>
        <v/>
      </c>
      <c r="AY18" s="21">
        <f>P18-AG18</f>
        <v/>
      </c>
      <c r="AZ18" s="21">
        <f>Q18-AH18</f>
        <v/>
      </c>
      <c r="BA18" s="21">
        <f>R18-AI18</f>
        <v/>
      </c>
    </row>
    <row r="19">
      <c r="B19" s="21" t="n"/>
    </row>
    <row r="20">
      <c r="B20" s="21" t="n"/>
      <c r="F20" s="88" t="n"/>
      <c r="W20" s="88" t="n"/>
    </row>
    <row r="21">
      <c r="B21" s="21" t="n"/>
      <c r="C21" s="18" t="inlineStr">
        <is>
          <t>vRLTw (dias)</t>
        </is>
      </c>
      <c r="D21" s="15" t="n">
        <v>1</v>
      </c>
      <c r="E21" s="15" t="n">
        <v>2</v>
      </c>
      <c r="F21" s="15" t="n">
        <v>3</v>
      </c>
      <c r="G21" s="15" t="n">
        <v>4</v>
      </c>
      <c r="H21" s="15" t="n">
        <v>5</v>
      </c>
      <c r="I21" s="15" t="n">
        <v>6</v>
      </c>
      <c r="J21" s="15" t="n">
        <v>7</v>
      </c>
      <c r="K21" s="15" t="n">
        <v>8</v>
      </c>
      <c r="L21" s="15" t="n">
        <v>9</v>
      </c>
      <c r="M21" s="15" t="n">
        <v>10</v>
      </c>
      <c r="N21" s="15" t="n">
        <v>11</v>
      </c>
      <c r="O21" s="15" t="n">
        <v>12</v>
      </c>
      <c r="P21" s="15" t="n">
        <v>13</v>
      </c>
      <c r="Q21" s="15" t="n">
        <v>14</v>
      </c>
      <c r="R21" s="15" t="n">
        <v>15</v>
      </c>
      <c r="T21" s="18" t="inlineStr">
        <is>
          <t>vRLTw (dias)</t>
        </is>
      </c>
      <c r="U21" s="15" t="n">
        <v>1</v>
      </c>
      <c r="V21" s="15" t="n">
        <v>2</v>
      </c>
      <c r="W21" s="15" t="n">
        <v>3</v>
      </c>
      <c r="X21" s="15" t="n">
        <v>4</v>
      </c>
      <c r="Y21" s="15" t="n">
        <v>5</v>
      </c>
      <c r="Z21" s="15" t="n">
        <v>6</v>
      </c>
      <c r="AA21" s="15" t="n">
        <v>7</v>
      </c>
      <c r="AB21" s="15" t="n">
        <v>8</v>
      </c>
      <c r="AC21" s="15" t="n">
        <v>9</v>
      </c>
      <c r="AD21" s="15" t="n">
        <v>10</v>
      </c>
      <c r="AE21" s="15" t="n">
        <v>11</v>
      </c>
      <c r="AF21" s="15" t="n">
        <v>12</v>
      </c>
      <c r="AG21" s="15" t="n">
        <v>13</v>
      </c>
      <c r="AH21" s="15" t="n">
        <v>14</v>
      </c>
      <c r="AI21" s="15" t="n">
        <v>15</v>
      </c>
      <c r="AJ21" s="19" t="n"/>
      <c r="AL21" s="18" t="inlineStr">
        <is>
          <t>vRLTw (dias)</t>
        </is>
      </c>
      <c r="AM21" s="19" t="n">
        <v>1</v>
      </c>
      <c r="AN21" s="19" t="n">
        <v>2</v>
      </c>
      <c r="AO21" s="19" t="n">
        <v>3</v>
      </c>
      <c r="AP21" s="19" t="n">
        <v>4</v>
      </c>
      <c r="AQ21" s="19" t="n">
        <v>5</v>
      </c>
      <c r="AR21" s="19" t="n">
        <v>6</v>
      </c>
      <c r="AS21" s="19" t="n">
        <v>7</v>
      </c>
      <c r="AT21" s="19" t="n">
        <v>8</v>
      </c>
      <c r="AU21" s="19" t="n">
        <v>9</v>
      </c>
      <c r="AV21" s="19" t="n">
        <v>10</v>
      </c>
      <c r="AW21" s="19" t="n">
        <v>11</v>
      </c>
      <c r="AX21" s="19" t="n">
        <v>12</v>
      </c>
      <c r="AY21" s="19" t="n">
        <v>13</v>
      </c>
      <c r="AZ21" s="19" t="n">
        <v>14</v>
      </c>
      <c r="BA21" s="19" t="n">
        <v>15</v>
      </c>
    </row>
    <row r="22">
      <c r="B22" s="21" t="n"/>
      <c r="C22" s="15" t="n">
        <v>1</v>
      </c>
      <c r="D22" s="33" t="n">
        <v>9.449999999999994</v>
      </c>
      <c r="E22" s="33" t="n">
        <v>14.91999999999999</v>
      </c>
      <c r="F22" s="33" t="n">
        <v>14.78999999999999</v>
      </c>
      <c r="G22" s="33" t="n">
        <v>17.68999999999999</v>
      </c>
      <c r="H22" s="33" t="n">
        <v>16.32733662794971</v>
      </c>
      <c r="I22" s="33" t="n">
        <v>15.84234021642681</v>
      </c>
      <c r="J22" s="33" t="n">
        <v>10.15</v>
      </c>
      <c r="K22" s="33" t="n">
        <v>15.9863927120622</v>
      </c>
      <c r="L22" s="33" t="n">
        <v>13.84095548183996</v>
      </c>
      <c r="M22" s="33" t="n">
        <v>11.44999999999999</v>
      </c>
      <c r="N22" s="33" t="n">
        <v>0</v>
      </c>
      <c r="O22" s="33" t="n">
        <v>13.37999999999999</v>
      </c>
      <c r="P22" s="33" t="n">
        <v>16.11852849070876</v>
      </c>
      <c r="Q22" s="33" t="n">
        <v>15.79643256082199</v>
      </c>
      <c r="R22" s="33" t="n">
        <v>17.74069748238871</v>
      </c>
      <c r="T22" s="15" t="n">
        <v>1</v>
      </c>
      <c r="U22" s="21" t="n">
        <v>0</v>
      </c>
      <c r="V22" s="21" t="n">
        <v>0</v>
      </c>
      <c r="W22" s="21" t="n">
        <v>0</v>
      </c>
      <c r="X22" s="21" t="n">
        <v>0</v>
      </c>
      <c r="Y22" s="21" t="n">
        <v>16.32733662794971</v>
      </c>
      <c r="Z22" s="21" t="n">
        <v>15.84234021642681</v>
      </c>
      <c r="AA22" s="21" t="n">
        <v>0</v>
      </c>
      <c r="AB22" s="21" t="n">
        <v>15.9863927120622</v>
      </c>
      <c r="AC22" s="21" t="n">
        <v>13.84095548183996</v>
      </c>
      <c r="AD22" s="21" t="n">
        <v>0</v>
      </c>
      <c r="AE22" s="21" t="n">
        <v>0</v>
      </c>
      <c r="AF22" s="21" t="n">
        <v>0</v>
      </c>
      <c r="AG22" s="21" t="n">
        <v>16.11852849070876</v>
      </c>
      <c r="AH22" s="21" t="n">
        <v>15.79643256082199</v>
      </c>
      <c r="AI22" s="33" t="n">
        <v>17.74069748238871</v>
      </c>
      <c r="AK22" s="19" t="n"/>
      <c r="AL22" s="19" t="n">
        <v>1</v>
      </c>
      <c r="AM22" s="21">
        <f>D22-U22</f>
        <v/>
      </c>
      <c r="AN22" s="21">
        <f>E22-V22</f>
        <v/>
      </c>
      <c r="AO22" s="21">
        <f>F22-W22</f>
        <v/>
      </c>
      <c r="AP22" s="21">
        <f>G22-X22</f>
        <v/>
      </c>
      <c r="AQ22" s="21">
        <f>H22-Y22</f>
        <v/>
      </c>
      <c r="AR22" s="21">
        <f>I22-Z22</f>
        <v/>
      </c>
      <c r="AS22" s="21">
        <f>J22-AA22</f>
        <v/>
      </c>
      <c r="AT22" s="21">
        <f>K22-AB22</f>
        <v/>
      </c>
      <c r="AU22" s="21">
        <f>L22-AC22</f>
        <v/>
      </c>
      <c r="AV22" s="21">
        <f>M22-AD22</f>
        <v/>
      </c>
      <c r="AW22" s="21">
        <f>N22-AE22</f>
        <v/>
      </c>
      <c r="AX22" s="21">
        <f>O22-AF22</f>
        <v/>
      </c>
      <c r="AY22" s="21">
        <f>P22-AG22</f>
        <v/>
      </c>
      <c r="AZ22" s="21">
        <f>Q22-AH22</f>
        <v/>
      </c>
      <c r="BA22" s="21">
        <f>R22-AI22</f>
        <v/>
      </c>
    </row>
    <row r="23">
      <c r="B23" s="21" t="n"/>
      <c r="C23" s="15" t="n">
        <v>2</v>
      </c>
      <c r="D23" s="33" t="n">
        <v>14.48334505481996</v>
      </c>
      <c r="E23" s="33" t="n">
        <v>19.48410661072485</v>
      </c>
      <c r="F23" s="33" t="n">
        <v>11.64999999999999</v>
      </c>
      <c r="G23" s="33" t="n">
        <v>20.05999999999999</v>
      </c>
      <c r="H23" s="33" t="n">
        <v>0</v>
      </c>
      <c r="I23" s="33" t="n">
        <v>17.58325308283232</v>
      </c>
      <c r="J23" s="33" t="n">
        <v>0</v>
      </c>
      <c r="K23" s="33" t="n">
        <v>15.92999999999999</v>
      </c>
      <c r="L23" s="33" t="n">
        <v>10.8</v>
      </c>
      <c r="M23" s="33" t="n">
        <v>14.50097208864792</v>
      </c>
      <c r="N23" s="33" t="n">
        <v>12.43999999999999</v>
      </c>
      <c r="O23" s="33" t="n">
        <v>17.35336536044156</v>
      </c>
      <c r="P23" s="33" t="n">
        <v>21.5189317039198</v>
      </c>
      <c r="Q23" s="33" t="n">
        <v>19.80645502768901</v>
      </c>
      <c r="R23" s="33" t="n">
        <v>14.89200233795775</v>
      </c>
      <c r="T23" s="15" t="n">
        <v>2</v>
      </c>
      <c r="U23" s="21" t="n">
        <v>14.48334505481996</v>
      </c>
      <c r="V23" s="21" t="n">
        <v>19.48410661072485</v>
      </c>
      <c r="W23" s="21" t="n">
        <v>0</v>
      </c>
      <c r="X23" s="21" t="n">
        <v>0</v>
      </c>
      <c r="Y23" s="21" t="n">
        <v>0</v>
      </c>
      <c r="Z23" s="21" t="n">
        <v>17.58325308283232</v>
      </c>
      <c r="AA23" s="21" t="n">
        <v>0</v>
      </c>
      <c r="AB23" s="21" t="n">
        <v>0</v>
      </c>
      <c r="AC23" s="21" t="n">
        <v>0</v>
      </c>
      <c r="AD23" s="21" t="n">
        <v>14.50097208864792</v>
      </c>
      <c r="AE23" s="21" t="n">
        <v>0</v>
      </c>
      <c r="AF23" s="21" t="n">
        <v>17.35336536044156</v>
      </c>
      <c r="AG23" s="21" t="n">
        <v>21.51893170381847</v>
      </c>
      <c r="AH23" s="21" t="n">
        <v>19.80645502768901</v>
      </c>
      <c r="AI23" s="33" t="n">
        <v>14.89200233795775</v>
      </c>
      <c r="AK23" s="19" t="n"/>
      <c r="AL23" s="19" t="n">
        <v>2</v>
      </c>
      <c r="AM23" s="21">
        <f>D23-U23</f>
        <v/>
      </c>
      <c r="AN23" s="21">
        <f>E23-V23</f>
        <v/>
      </c>
      <c r="AO23" s="21">
        <f>F23-W23</f>
        <v/>
      </c>
      <c r="AP23" s="21">
        <f>G23-X23</f>
        <v/>
      </c>
      <c r="AQ23" s="21">
        <f>H23-Y23</f>
        <v/>
      </c>
      <c r="AR23" s="21">
        <f>I23-Z23</f>
        <v/>
      </c>
      <c r="AS23" s="21">
        <f>J23-AA23</f>
        <v/>
      </c>
      <c r="AT23" s="21">
        <f>K23-AB23</f>
        <v/>
      </c>
      <c r="AU23" s="21">
        <f>L23-AC23</f>
        <v/>
      </c>
      <c r="AV23" s="21">
        <f>M23-AD23</f>
        <v/>
      </c>
      <c r="AW23" s="21">
        <f>N23-AE23</f>
        <v/>
      </c>
      <c r="AX23" s="21">
        <f>O23-AF23</f>
        <v/>
      </c>
      <c r="AY23" s="21">
        <f>P23-AG23</f>
        <v/>
      </c>
      <c r="AZ23" s="21">
        <f>Q23-AH23</f>
        <v/>
      </c>
      <c r="BA23" s="21">
        <f>R23-AI23</f>
        <v/>
      </c>
    </row>
    <row r="24">
      <c r="B24" s="21" t="n"/>
      <c r="C24" s="15" t="n">
        <v>3</v>
      </c>
      <c r="D24" s="33" t="n">
        <v>20.2148785643664</v>
      </c>
      <c r="E24" s="33" t="n">
        <v>19.26999999999999</v>
      </c>
      <c r="F24" s="33" t="n">
        <v>20.63999999999999</v>
      </c>
      <c r="G24" s="33" t="n">
        <v>15.43261319355206</v>
      </c>
      <c r="H24" s="33" t="n">
        <v>13.77999999999999</v>
      </c>
      <c r="I24" s="33" t="n">
        <v>19.50782320301323</v>
      </c>
      <c r="J24" s="33" t="n">
        <v>14.0466</v>
      </c>
      <c r="K24" s="33" t="n">
        <v>13.14999999999999</v>
      </c>
      <c r="L24" s="33" t="n">
        <v>16.35999999999999</v>
      </c>
      <c r="M24" s="33" t="n">
        <v>15.93999999999999</v>
      </c>
      <c r="N24" s="33" t="n">
        <v>11.46186339416395</v>
      </c>
      <c r="O24" s="33" t="n">
        <v>0</v>
      </c>
      <c r="P24" s="33" t="n">
        <v>14.05999999999999</v>
      </c>
      <c r="Q24" s="33" t="n">
        <v>12.11999999999999</v>
      </c>
      <c r="R24" s="33" t="n">
        <v>14.10744172908937</v>
      </c>
      <c r="T24" s="15" t="n">
        <v>3</v>
      </c>
      <c r="U24" s="21" t="n">
        <v>20.2148785643664</v>
      </c>
      <c r="V24" s="21" t="n">
        <v>0</v>
      </c>
      <c r="W24" s="21" t="n">
        <v>0</v>
      </c>
      <c r="X24" s="21" t="n">
        <v>15.43261319355206</v>
      </c>
      <c r="Y24" s="21" t="n">
        <v>0</v>
      </c>
      <c r="Z24" s="21" t="n">
        <v>19.50782320328517</v>
      </c>
      <c r="AA24" s="21" t="n">
        <v>14.0466</v>
      </c>
      <c r="AB24" s="21" t="n">
        <v>0</v>
      </c>
      <c r="AC24" s="21" t="n">
        <v>0</v>
      </c>
      <c r="AD24" s="21" t="n">
        <v>0</v>
      </c>
      <c r="AE24" s="21" t="n">
        <v>11.46186339416395</v>
      </c>
      <c r="AF24" s="21" t="n">
        <v>0</v>
      </c>
      <c r="AG24" s="21" t="n">
        <v>0</v>
      </c>
      <c r="AH24" s="21" t="n">
        <v>0</v>
      </c>
      <c r="AI24" s="33" t="n">
        <v>14.10744172908937</v>
      </c>
      <c r="AK24" s="19" t="n"/>
      <c r="AL24" s="19" t="n">
        <v>3</v>
      </c>
      <c r="AM24" s="21">
        <f>D24-U24</f>
        <v/>
      </c>
      <c r="AN24" s="21">
        <f>E24-V24</f>
        <v/>
      </c>
      <c r="AO24" s="21">
        <f>F24-W24</f>
        <v/>
      </c>
      <c r="AP24" s="21">
        <f>G24-X24</f>
        <v/>
      </c>
      <c r="AQ24" s="21">
        <f>H24-Y24</f>
        <v/>
      </c>
      <c r="AR24" s="21">
        <f>I24-Z24</f>
        <v/>
      </c>
      <c r="AS24" s="21">
        <f>J24-AA24</f>
        <v/>
      </c>
      <c r="AT24" s="21">
        <f>K24-AB24</f>
        <v/>
      </c>
      <c r="AU24" s="21">
        <f>L24-AC24</f>
        <v/>
      </c>
      <c r="AV24" s="21">
        <f>M24-AD24</f>
        <v/>
      </c>
      <c r="AW24" s="21">
        <f>N24-AE24</f>
        <v/>
      </c>
      <c r="AX24" s="21">
        <f>O24-AF24</f>
        <v/>
      </c>
      <c r="AY24" s="21">
        <f>P24-AG24</f>
        <v/>
      </c>
      <c r="AZ24" s="21">
        <f>Q24-AH24</f>
        <v/>
      </c>
      <c r="BA24" s="21">
        <f>R24-AI24</f>
        <v/>
      </c>
    </row>
    <row r="25">
      <c r="B25" s="21" t="n"/>
    </row>
    <row r="26">
      <c r="B26" s="21" t="n"/>
      <c r="F26" s="88" t="n"/>
      <c r="W26" s="88" t="n"/>
      <c r="AJ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19" t="n"/>
      <c r="BA26" s="19" t="n"/>
    </row>
    <row r="27">
      <c r="B27" s="21" t="n"/>
      <c r="C27" s="18" t="inlineStr">
        <is>
          <t>vCTw (dias)</t>
        </is>
      </c>
      <c r="D27" s="15" t="n">
        <v>1</v>
      </c>
      <c r="E27" s="15" t="n">
        <v>2</v>
      </c>
      <c r="F27" s="15" t="n">
        <v>3</v>
      </c>
      <c r="G27" s="15" t="n">
        <v>4</v>
      </c>
      <c r="H27" s="15" t="n">
        <v>5</v>
      </c>
      <c r="I27" s="15" t="n">
        <v>6</v>
      </c>
      <c r="J27" s="15" t="n">
        <v>7</v>
      </c>
      <c r="K27" s="15" t="n">
        <v>8</v>
      </c>
      <c r="L27" s="15" t="n">
        <v>9</v>
      </c>
      <c r="M27" s="15" t="n">
        <v>10</v>
      </c>
      <c r="N27" s="15" t="n">
        <v>11</v>
      </c>
      <c r="O27" s="15" t="n">
        <v>12</v>
      </c>
      <c r="P27" s="15" t="n">
        <v>13</v>
      </c>
      <c r="Q27" s="15" t="n">
        <v>14</v>
      </c>
      <c r="R27" s="15" t="n">
        <v>15</v>
      </c>
      <c r="T27" s="18" t="inlineStr">
        <is>
          <t>vCTw (dias)</t>
        </is>
      </c>
      <c r="U27" s="15" t="n">
        <v>1</v>
      </c>
      <c r="V27" s="15" t="n">
        <v>2</v>
      </c>
      <c r="W27" s="15" t="n">
        <v>3</v>
      </c>
      <c r="X27" s="15" t="n">
        <v>4</v>
      </c>
      <c r="Y27" s="15" t="n">
        <v>5</v>
      </c>
      <c r="Z27" s="15" t="n">
        <v>6</v>
      </c>
      <c r="AA27" s="15" t="n">
        <v>7</v>
      </c>
      <c r="AB27" s="15" t="n">
        <v>8</v>
      </c>
      <c r="AC27" s="15" t="n">
        <v>9</v>
      </c>
      <c r="AD27" s="15" t="n">
        <v>10</v>
      </c>
      <c r="AE27" s="15" t="n">
        <v>11</v>
      </c>
      <c r="AF27" s="15" t="n">
        <v>12</v>
      </c>
      <c r="AG27" s="15" t="n">
        <v>13</v>
      </c>
      <c r="AH27" s="15" t="n">
        <v>14</v>
      </c>
      <c r="AI27" s="15" t="n">
        <v>15</v>
      </c>
      <c r="AJ27" s="19" t="n"/>
      <c r="AL27" s="18" t="inlineStr">
        <is>
          <t>vCTw (dias)</t>
        </is>
      </c>
      <c r="AM27" s="19" t="n">
        <v>1</v>
      </c>
      <c r="AN27" s="19" t="n">
        <v>2</v>
      </c>
      <c r="AO27" s="19" t="n">
        <v>3</v>
      </c>
      <c r="AP27" s="19" t="n">
        <v>4</v>
      </c>
      <c r="AQ27" s="19" t="n">
        <v>5</v>
      </c>
      <c r="AR27" s="19" t="n">
        <v>6</v>
      </c>
      <c r="AS27" s="19" t="n">
        <v>7</v>
      </c>
      <c r="AT27" s="19" t="n">
        <v>8</v>
      </c>
      <c r="AU27" s="19" t="n">
        <v>9</v>
      </c>
      <c r="AV27" s="19" t="n">
        <v>10</v>
      </c>
      <c r="AW27" s="19" t="n">
        <v>11</v>
      </c>
      <c r="AX27" s="19" t="n">
        <v>12</v>
      </c>
      <c r="AY27" s="19" t="n">
        <v>13</v>
      </c>
      <c r="AZ27" s="19" t="n">
        <v>14</v>
      </c>
      <c r="BA27" s="19" t="n">
        <v>15</v>
      </c>
      <c r="BD27" s="19" t="n"/>
      <c r="BE27" s="19" t="n"/>
      <c r="BF27" s="19" t="n"/>
      <c r="BG27" s="19" t="n"/>
      <c r="BH27" s="19" t="n"/>
      <c r="BI27" s="19" t="n"/>
      <c r="BJ27" s="19" t="n"/>
      <c r="BK27" s="19" t="n"/>
      <c r="BL27" s="19" t="n"/>
      <c r="BM27" s="19" t="n"/>
      <c r="BN27" s="19" t="n"/>
      <c r="BO27" s="19" t="n"/>
      <c r="BP27" s="19" t="n"/>
      <c r="BQ27" s="19" t="n"/>
      <c r="BR27" s="19" t="n"/>
      <c r="BT27" s="19" t="n"/>
      <c r="BU27" s="19" t="n"/>
      <c r="BV27" s="19" t="n"/>
      <c r="BW27" s="19" t="n"/>
      <c r="BX27" s="19" t="n"/>
      <c r="BY27" s="19" t="n"/>
      <c r="BZ27" s="19" t="n"/>
      <c r="CA27" s="19" t="n"/>
      <c r="CB27" s="19" t="n"/>
      <c r="CC27" s="19" t="n"/>
      <c r="CD27" s="19" t="n"/>
      <c r="CE27" s="19" t="n"/>
      <c r="CF27" s="19" t="n"/>
      <c r="CG27" s="19" t="n"/>
      <c r="CH27" s="19" t="n"/>
    </row>
    <row r="28">
      <c r="B28" s="21" t="n"/>
      <c r="C28" s="15" t="n">
        <v>1</v>
      </c>
      <c r="D28" s="33" t="n">
        <v>0</v>
      </c>
      <c r="E28" s="33" t="n">
        <v>0</v>
      </c>
      <c r="F28" s="33" t="n">
        <v>0</v>
      </c>
      <c r="G28" s="33" t="n">
        <v>0</v>
      </c>
      <c r="H28" s="33" t="n">
        <v>14.79000000186264</v>
      </c>
      <c r="I28" s="33" t="n">
        <v>21.19794103853702</v>
      </c>
      <c r="J28" s="33" t="n">
        <v>0</v>
      </c>
      <c r="K28" s="33" t="n">
        <v>14.24495403452774</v>
      </c>
      <c r="L28" s="33" t="n">
        <v>9.465527418044989</v>
      </c>
      <c r="M28" s="33" t="n">
        <v>0</v>
      </c>
      <c r="N28" s="33" t="n">
        <v>0</v>
      </c>
      <c r="O28" s="33" t="n">
        <v>0</v>
      </c>
      <c r="P28" s="33" t="n">
        <v>9.055368037717034</v>
      </c>
      <c r="Q28" s="33" t="n">
        <v>20.70293766178303</v>
      </c>
      <c r="R28" s="33" t="n">
        <v>21.85591951432228</v>
      </c>
      <c r="T28" s="15" t="n">
        <v>1</v>
      </c>
      <c r="U28" s="33" t="n">
        <v>0</v>
      </c>
      <c r="V28" s="33" t="n">
        <v>0</v>
      </c>
      <c r="W28" s="33" t="n">
        <v>0</v>
      </c>
      <c r="X28" s="33" t="n">
        <v>0</v>
      </c>
      <c r="Y28" s="33" t="n">
        <v>14.79000000186264</v>
      </c>
      <c r="Z28" s="33" t="n">
        <v>21.19794103853702</v>
      </c>
      <c r="AA28" s="33" t="n">
        <v>0</v>
      </c>
      <c r="AB28" s="33" t="n">
        <v>14.24495403452774</v>
      </c>
      <c r="AC28" s="33" t="n">
        <v>9.465527418044989</v>
      </c>
      <c r="AD28" s="33" t="n">
        <v>0</v>
      </c>
      <c r="AE28" s="33" t="n">
        <v>0</v>
      </c>
      <c r="AF28" s="33" t="n">
        <v>0</v>
      </c>
      <c r="AG28" s="33" t="n">
        <v>9.055368037717034</v>
      </c>
      <c r="AH28" s="33" t="n">
        <v>20.70293766178303</v>
      </c>
      <c r="AI28" s="33" t="n">
        <v>21.85591951432228</v>
      </c>
      <c r="AK28" s="19" t="n"/>
      <c r="AL28" s="19" t="n">
        <v>1</v>
      </c>
      <c r="AM28" s="21">
        <f>D28-U28</f>
        <v/>
      </c>
      <c r="AN28" s="21">
        <f>E28-V28</f>
        <v/>
      </c>
      <c r="AO28" s="21">
        <f>F28-W28</f>
        <v/>
      </c>
      <c r="AP28" s="21">
        <f>G28-X28</f>
        <v/>
      </c>
      <c r="AQ28" s="21">
        <f>H28-Y28</f>
        <v/>
      </c>
      <c r="AR28" s="21">
        <f>I28-Z28</f>
        <v/>
      </c>
      <c r="AS28" s="21">
        <f>J28-AA28</f>
        <v/>
      </c>
      <c r="AT28" s="21">
        <f>K28-AB28</f>
        <v/>
      </c>
      <c r="AU28" s="21">
        <f>L28-AC28</f>
        <v/>
      </c>
      <c r="AV28" s="21">
        <f>M28-AD28</f>
        <v/>
      </c>
      <c r="AW28" s="21">
        <f>N28-AE28</f>
        <v/>
      </c>
      <c r="AX28" s="21">
        <f>O28-AF28</f>
        <v/>
      </c>
      <c r="AY28" s="21">
        <f>P28-AG28</f>
        <v/>
      </c>
      <c r="AZ28" s="21">
        <f>Q28-AH28</f>
        <v/>
      </c>
      <c r="BA28" s="21">
        <f>R28-AI28</f>
        <v/>
      </c>
      <c r="BC28" s="19" t="n"/>
      <c r="BD28" s="21" t="n"/>
      <c r="BE28" s="21" t="n"/>
      <c r="BF28" s="21" t="n"/>
      <c r="BG28" s="21" t="n"/>
      <c r="BH28" s="21" t="n"/>
      <c r="BI28" s="21" t="n"/>
      <c r="BJ28" s="21" t="n"/>
      <c r="BK28" s="21" t="n"/>
      <c r="BL28" s="21" t="n"/>
      <c r="BM28" s="21" t="n"/>
      <c r="BN28" s="21" t="n"/>
      <c r="BO28" s="21" t="n"/>
      <c r="BP28" s="21" t="n"/>
      <c r="BQ28" s="21" t="n"/>
      <c r="BR28" s="21" t="n"/>
      <c r="BT28" s="84" t="n"/>
      <c r="BU28" s="84" t="n"/>
      <c r="BV28" s="84" t="n"/>
      <c r="BW28" s="84" t="n"/>
      <c r="BX28" s="84" t="n"/>
      <c r="BY28" s="84" t="n"/>
      <c r="BZ28" s="84" t="n"/>
      <c r="CA28" s="84" t="n"/>
      <c r="CB28" s="84" t="n"/>
      <c r="CC28" s="84" t="n"/>
      <c r="CD28" s="84" t="n"/>
      <c r="CE28" s="84" t="n"/>
      <c r="CF28" s="84" t="n"/>
      <c r="CG28" s="84" t="n"/>
      <c r="CH28" s="84" t="n"/>
    </row>
    <row r="29">
      <c r="B29" s="21" t="n"/>
      <c r="C29" s="15" t="n">
        <v>2</v>
      </c>
      <c r="D29" s="33" t="n">
        <v>9.121735549330495</v>
      </c>
      <c r="E29" s="33" t="n">
        <v>17.56168704778901</v>
      </c>
      <c r="F29" s="33" t="n">
        <v>0</v>
      </c>
      <c r="G29" s="33" t="n">
        <v>0</v>
      </c>
      <c r="H29" s="33" t="n">
        <v>0</v>
      </c>
      <c r="I29" s="33" t="n">
        <v>13.02835484688543</v>
      </c>
      <c r="J29" s="33" t="n">
        <v>0</v>
      </c>
      <c r="K29" s="33" t="n">
        <v>0</v>
      </c>
      <c r="L29" s="33" t="n">
        <v>0</v>
      </c>
      <c r="M29" s="33" t="n">
        <v>11.21042647979959</v>
      </c>
      <c r="N29" s="33" t="n">
        <v>0</v>
      </c>
      <c r="O29" s="33" t="n">
        <v>17.34121294190455</v>
      </c>
      <c r="P29" s="33" t="n">
        <v>19.48</v>
      </c>
      <c r="Q29" s="33" t="n">
        <v>13.50013149753657</v>
      </c>
      <c r="R29" s="33" t="n">
        <v>8.684251218448406</v>
      </c>
      <c r="T29" s="15" t="n">
        <v>2</v>
      </c>
      <c r="U29" s="33" t="n">
        <v>9.121735549330495</v>
      </c>
      <c r="V29" s="33" t="n">
        <v>17.56168704778901</v>
      </c>
      <c r="W29" s="33" t="n">
        <v>0</v>
      </c>
      <c r="X29" s="33" t="n">
        <v>0</v>
      </c>
      <c r="Y29" s="33" t="n">
        <v>0</v>
      </c>
      <c r="Z29" s="33" t="n">
        <v>13.02835484688543</v>
      </c>
      <c r="AA29" s="33" t="n">
        <v>0</v>
      </c>
      <c r="AB29" s="33" t="n">
        <v>0</v>
      </c>
      <c r="AC29" s="33" t="n">
        <v>0</v>
      </c>
      <c r="AD29" s="33" t="n">
        <v>11.21042647979959</v>
      </c>
      <c r="AE29" s="33" t="n">
        <v>0</v>
      </c>
      <c r="AF29" s="33" t="n">
        <v>17.34121294190455</v>
      </c>
      <c r="AG29" s="33" t="n">
        <v>19.48000000196398</v>
      </c>
      <c r="AH29" s="33" t="n">
        <v>13.50013149753657</v>
      </c>
      <c r="AI29" s="33" t="n">
        <v>8.684251218448406</v>
      </c>
      <c r="AK29" s="19" t="n"/>
      <c r="AL29" s="19" t="n">
        <v>2</v>
      </c>
      <c r="AM29" s="21">
        <f>D29-U29</f>
        <v/>
      </c>
      <c r="AN29" s="21">
        <f>E29-V29</f>
        <v/>
      </c>
      <c r="AO29" s="21">
        <f>F29-W29</f>
        <v/>
      </c>
      <c r="AP29" s="21">
        <f>G29-X29</f>
        <v/>
      </c>
      <c r="AQ29" s="21">
        <f>H29-Y29</f>
        <v/>
      </c>
      <c r="AR29" s="21">
        <f>I29-Z29</f>
        <v/>
      </c>
      <c r="AS29" s="21">
        <f>J29-AA29</f>
        <v/>
      </c>
      <c r="AT29" s="21">
        <f>K29-AB29</f>
        <v/>
      </c>
      <c r="AU29" s="21">
        <f>L29-AC29</f>
        <v/>
      </c>
      <c r="AV29" s="21">
        <f>M29-AD29</f>
        <v/>
      </c>
      <c r="AW29" s="21">
        <f>N29-AE29</f>
        <v/>
      </c>
      <c r="AX29" s="21">
        <f>O29-AF29</f>
        <v/>
      </c>
      <c r="AY29" s="21">
        <f>P29-AG29</f>
        <v/>
      </c>
      <c r="AZ29" s="21">
        <f>Q29-AH29</f>
        <v/>
      </c>
      <c r="BA29" s="21">
        <f>R29-AI29</f>
        <v/>
      </c>
      <c r="BC29" s="19" t="n"/>
      <c r="BD29" s="21" t="n"/>
      <c r="BE29" s="21" t="n"/>
      <c r="BF29" s="21" t="n"/>
      <c r="BG29" s="21" t="n"/>
      <c r="BH29" s="21" t="n"/>
      <c r="BI29" s="21" t="n"/>
      <c r="BJ29" s="21" t="n"/>
      <c r="BK29" s="21" t="n"/>
      <c r="BL29" s="21" t="n"/>
      <c r="BM29" s="21" t="n"/>
      <c r="BN29" s="21" t="n"/>
      <c r="BO29" s="21" t="n"/>
      <c r="BP29" s="21" t="n"/>
      <c r="BQ29" s="21" t="n"/>
      <c r="BR29" s="21" t="n"/>
      <c r="BT29" s="84" t="n"/>
      <c r="BU29" s="84" t="n"/>
      <c r="BV29" s="84" t="n"/>
      <c r="BW29" s="84" t="n"/>
      <c r="BX29" s="84" t="n"/>
      <c r="BY29" s="84" t="n"/>
      <c r="BZ29" s="84" t="n"/>
      <c r="CA29" s="84" t="n"/>
      <c r="CB29" s="84" t="n"/>
      <c r="CC29" s="84" t="n"/>
      <c r="CD29" s="84" t="n"/>
      <c r="CE29" s="84" t="n"/>
      <c r="CF29" s="84" t="n"/>
      <c r="CG29" s="84" t="n"/>
      <c r="CH29" s="84" t="n"/>
    </row>
    <row r="30">
      <c r="B30" s="21" t="n"/>
      <c r="C30" s="15" t="n">
        <v>3</v>
      </c>
      <c r="D30" s="33" t="n">
        <v>27.58591610622108</v>
      </c>
      <c r="E30" s="33" t="n">
        <v>0</v>
      </c>
      <c r="F30" s="33" t="n">
        <v>0</v>
      </c>
      <c r="G30" s="33" t="n">
        <v>13.97</v>
      </c>
      <c r="H30" s="33" t="n">
        <v>0</v>
      </c>
      <c r="I30" s="33" t="n">
        <v>27.56048492193222</v>
      </c>
      <c r="J30" s="33" t="n">
        <v>18.88106593908582</v>
      </c>
      <c r="K30" s="33" t="n">
        <v>0</v>
      </c>
      <c r="L30" s="33" t="n">
        <v>0</v>
      </c>
      <c r="M30" s="33" t="n">
        <v>0</v>
      </c>
      <c r="N30" s="33" t="n">
        <v>15.97619047619365</v>
      </c>
      <c r="O30" s="33" t="n">
        <v>0</v>
      </c>
      <c r="P30" s="33" t="n">
        <v>0</v>
      </c>
      <c r="Q30" s="33" t="n">
        <v>0</v>
      </c>
      <c r="R30" s="33" t="n">
        <v>9.109266843801489</v>
      </c>
      <c r="T30" s="15" t="n">
        <v>3</v>
      </c>
      <c r="U30" s="33" t="n">
        <v>27.58591610622108</v>
      </c>
      <c r="V30" s="33" t="n">
        <v>0</v>
      </c>
      <c r="W30" s="33" t="n">
        <v>0</v>
      </c>
      <c r="X30" s="33" t="n">
        <v>13.97</v>
      </c>
      <c r="Y30" s="33" t="n">
        <v>0</v>
      </c>
      <c r="Z30" s="33" t="n">
        <v>27.56048492220417</v>
      </c>
      <c r="AA30" s="33" t="n">
        <v>18.88106593908582</v>
      </c>
      <c r="AB30" s="33" t="n">
        <v>0</v>
      </c>
      <c r="AC30" s="33" t="n">
        <v>0</v>
      </c>
      <c r="AD30" s="33" t="n">
        <v>0</v>
      </c>
      <c r="AE30" s="33" t="n">
        <v>15.97619047611952</v>
      </c>
      <c r="AF30" s="33" t="n">
        <v>0</v>
      </c>
      <c r="AG30" s="33" t="n">
        <v>0</v>
      </c>
      <c r="AH30" s="33" t="n">
        <v>0</v>
      </c>
      <c r="AI30" s="33" t="n">
        <v>9.109266843801489</v>
      </c>
      <c r="AK30" s="19" t="n"/>
      <c r="AL30" s="19" t="n">
        <v>3</v>
      </c>
      <c r="AM30" s="21">
        <f>D30-U30</f>
        <v/>
      </c>
      <c r="AN30" s="21">
        <f>E30-V30</f>
        <v/>
      </c>
      <c r="AO30" s="21">
        <f>F30-W30</f>
        <v/>
      </c>
      <c r="AP30" s="21">
        <f>G30-X30</f>
        <v/>
      </c>
      <c r="AQ30" s="21">
        <f>H30-Y30</f>
        <v/>
      </c>
      <c r="AR30" s="21">
        <f>I30-Z30</f>
        <v/>
      </c>
      <c r="AS30" s="21">
        <f>J30-AA30</f>
        <v/>
      </c>
      <c r="AT30" s="21">
        <f>K30-AB30</f>
        <v/>
      </c>
      <c r="AU30" s="21">
        <f>L30-AC30</f>
        <v/>
      </c>
      <c r="AV30" s="21">
        <f>M30-AD30</f>
        <v/>
      </c>
      <c r="AW30" s="21">
        <f>N30-AE30</f>
        <v/>
      </c>
      <c r="AX30" s="21">
        <f>O30-AF30</f>
        <v/>
      </c>
      <c r="AY30" s="21">
        <f>P30-AG30</f>
        <v/>
      </c>
      <c r="AZ30" s="21">
        <f>Q30-AH30</f>
        <v/>
      </c>
      <c r="BA30" s="21">
        <f>R30-AI30</f>
        <v/>
      </c>
      <c r="BC30" s="19" t="n"/>
      <c r="BD30" s="21" t="n"/>
      <c r="BE30" s="21" t="n"/>
      <c r="BF30" s="21" t="n"/>
      <c r="BG30" s="21" t="n"/>
      <c r="BH30" s="21" t="n"/>
      <c r="BI30" s="21" t="n"/>
      <c r="BJ30" s="21" t="n"/>
      <c r="BK30" s="21" t="n"/>
      <c r="BL30" s="21" t="n"/>
      <c r="BM30" s="21" t="n"/>
      <c r="BN30" s="21" t="n"/>
      <c r="BO30" s="21" t="n"/>
      <c r="BP30" s="21" t="n"/>
      <c r="BQ30" s="21" t="n"/>
      <c r="BR30" s="21" t="n"/>
      <c r="BT30" s="84" t="n"/>
      <c r="BU30" s="84" t="n"/>
      <c r="BV30" s="84" t="n"/>
      <c r="BW30" s="84" t="n"/>
      <c r="BX30" s="84" t="n"/>
      <c r="BY30" s="84" t="n"/>
      <c r="BZ30" s="84" t="n"/>
      <c r="CA30" s="84" t="n"/>
      <c r="CB30" s="84" t="n"/>
      <c r="CC30" s="84" t="n"/>
      <c r="CD30" s="84" t="n"/>
      <c r="CE30" s="84" t="n"/>
      <c r="CF30" s="84" t="n"/>
      <c r="CG30" s="84" t="n"/>
      <c r="CH30" s="84" t="n"/>
    </row>
    <row r="32">
      <c r="F32" s="88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  <c r="AL32" s="19" t="n"/>
      <c r="AM32" s="19" t="n"/>
    </row>
    <row r="33">
      <c r="C33" s="18" t="inlineStr">
        <is>
          <t>bDeltaw</t>
        </is>
      </c>
      <c r="D33" s="15" t="n">
        <v>1</v>
      </c>
      <c r="E33" s="15" t="n">
        <v>2</v>
      </c>
      <c r="F33" s="15" t="n">
        <v>3</v>
      </c>
      <c r="G33" s="15" t="n">
        <v>4</v>
      </c>
      <c r="H33" s="15" t="n">
        <v>5</v>
      </c>
      <c r="I33" s="15" t="n">
        <v>6</v>
      </c>
      <c r="J33" s="15" t="n">
        <v>7</v>
      </c>
      <c r="K33" s="15" t="n">
        <v>8</v>
      </c>
      <c r="L33" s="15" t="n">
        <v>9</v>
      </c>
      <c r="M33" s="15" t="n">
        <v>10</v>
      </c>
      <c r="N33" s="15" t="n">
        <v>11</v>
      </c>
      <c r="O33" s="15" t="n">
        <v>12</v>
      </c>
      <c r="P33" s="15" t="n">
        <v>13</v>
      </c>
      <c r="Q33" s="15" t="n">
        <v>14</v>
      </c>
      <c r="R33" s="15" t="n">
        <v>15</v>
      </c>
      <c r="BT33" s="19" t="n"/>
      <c r="BU33" s="19" t="n"/>
      <c r="BV33" s="19" t="n"/>
      <c r="BW33" s="19" t="n"/>
      <c r="BX33" s="19" t="n"/>
      <c r="BY33" s="19" t="n"/>
      <c r="BZ33" s="19" t="n"/>
      <c r="CA33" s="19" t="n"/>
      <c r="CB33" s="19" t="n"/>
      <c r="CC33" s="19" t="n"/>
      <c r="CD33" s="19" t="n"/>
      <c r="CE33" s="19" t="n"/>
      <c r="CF33" s="19" t="n"/>
      <c r="CG33" s="19" t="n"/>
      <c r="CH33" s="19" t="n"/>
    </row>
    <row r="34">
      <c r="C34" s="15" t="n">
        <v>1</v>
      </c>
      <c r="D34" s="27" t="n">
        <v>0</v>
      </c>
      <c r="E34" s="27" t="n">
        <v>0</v>
      </c>
      <c r="F34" s="27" t="n">
        <v>0</v>
      </c>
      <c r="G34" s="27" t="n">
        <v>0</v>
      </c>
      <c r="H34" s="27" t="n">
        <v>1</v>
      </c>
      <c r="I34" s="27" t="n">
        <v>1</v>
      </c>
      <c r="J34" s="27" t="n">
        <v>0</v>
      </c>
      <c r="K34" s="27" t="n">
        <v>1</v>
      </c>
      <c r="L34" s="27" t="n">
        <v>1</v>
      </c>
      <c r="M34" s="27" t="n">
        <v>0</v>
      </c>
      <c r="N34" s="27" t="n">
        <v>0</v>
      </c>
      <c r="O34" s="27" t="n">
        <v>0</v>
      </c>
      <c r="P34" s="27" t="n">
        <v>1</v>
      </c>
      <c r="Q34" s="27" t="n">
        <v>1</v>
      </c>
      <c r="R34" s="27" t="n">
        <v>1</v>
      </c>
      <c r="BS34" s="19" t="n"/>
    </row>
    <row r="35">
      <c r="C35" s="15" t="n">
        <v>2</v>
      </c>
      <c r="D35" s="27" t="n">
        <v>1</v>
      </c>
      <c r="E35" s="27" t="n">
        <v>1</v>
      </c>
      <c r="F35" s="27" t="n">
        <v>0</v>
      </c>
      <c r="G35" s="27" t="n">
        <v>0</v>
      </c>
      <c r="H35" s="27" t="n">
        <v>0</v>
      </c>
      <c r="I35" s="27" t="n">
        <v>1</v>
      </c>
      <c r="J35" s="27" t="n">
        <v>0</v>
      </c>
      <c r="K35" s="27" t="n">
        <v>0</v>
      </c>
      <c r="L35" s="27" t="n">
        <v>0</v>
      </c>
      <c r="M35" s="27" t="n">
        <v>1</v>
      </c>
      <c r="N35" s="27" t="n">
        <v>0</v>
      </c>
      <c r="O35" s="27" t="n">
        <v>1</v>
      </c>
      <c r="P35" s="27" t="n">
        <v>1</v>
      </c>
      <c r="Q35" s="27" t="n">
        <v>1</v>
      </c>
      <c r="R35" s="27" t="n">
        <v>1</v>
      </c>
      <c r="BS35" s="19" t="n"/>
    </row>
    <row r="36">
      <c r="C36" s="15" t="n">
        <v>3</v>
      </c>
      <c r="D36" s="27" t="n">
        <v>1</v>
      </c>
      <c r="E36" s="27" t="n">
        <v>0</v>
      </c>
      <c r="F36" s="27" t="n">
        <v>0</v>
      </c>
      <c r="G36" s="27" t="n">
        <v>1</v>
      </c>
      <c r="H36" s="27" t="n">
        <v>0</v>
      </c>
      <c r="I36" s="27" t="n">
        <v>1</v>
      </c>
      <c r="J36" s="27" t="n">
        <v>1</v>
      </c>
      <c r="K36" s="27" t="n">
        <v>0</v>
      </c>
      <c r="L36" s="27" t="n">
        <v>0</v>
      </c>
      <c r="M36" s="27" t="n">
        <v>0</v>
      </c>
      <c r="N36" s="27" t="n">
        <v>1</v>
      </c>
      <c r="O36" s="27" t="n">
        <v>0</v>
      </c>
      <c r="P36" s="27" t="n">
        <v>0</v>
      </c>
      <c r="Q36" s="27" t="n">
        <v>0</v>
      </c>
      <c r="R36" s="27" t="n">
        <v>1</v>
      </c>
      <c r="BS36" s="19" t="n"/>
    </row>
    <row r="37"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9" t="n"/>
      <c r="AL37" s="19" t="n"/>
      <c r="AM37" s="19" t="n"/>
    </row>
    <row r="39">
      <c r="C39" s="18" t="inlineStr">
        <is>
          <t>bZetaw</t>
        </is>
      </c>
      <c r="D39" s="27" t="n">
        <v>0</v>
      </c>
      <c r="E39" s="27" t="n">
        <v>0</v>
      </c>
      <c r="F39" s="27" t="n">
        <v>0</v>
      </c>
      <c r="G39" s="27" t="n">
        <v>0</v>
      </c>
      <c r="H39" s="27" t="n">
        <v>0</v>
      </c>
      <c r="I39" s="27" t="n">
        <v>0</v>
      </c>
      <c r="J39" s="27" t="n">
        <v>0</v>
      </c>
      <c r="K39" s="27" t="n">
        <v>1</v>
      </c>
      <c r="L39" s="27" t="n">
        <v>1</v>
      </c>
      <c r="M39" s="27" t="n">
        <v>0</v>
      </c>
      <c r="N39" s="27" t="n">
        <v>0</v>
      </c>
      <c r="O39" s="27" t="n">
        <v>0</v>
      </c>
      <c r="P39" s="27" t="n">
        <v>1</v>
      </c>
      <c r="Q39" s="27" t="n">
        <v>0</v>
      </c>
      <c r="R39" s="27" t="n">
        <v>0</v>
      </c>
      <c r="S39" s="19">
        <f>SUM(Suppliers_Zeta)</f>
        <v/>
      </c>
      <c r="T39" s="18" t="n">
        <v>0</v>
      </c>
      <c r="U39" s="18" t="n">
        <v>0</v>
      </c>
      <c r="V39" s="18" t="n">
        <v>0</v>
      </c>
      <c r="W39" s="18" t="n">
        <v>0</v>
      </c>
      <c r="X39" s="18" t="n">
        <v>0</v>
      </c>
      <c r="Y39" s="18" t="n">
        <v>0</v>
      </c>
      <c r="Z39" s="18" t="n">
        <v>0</v>
      </c>
      <c r="AA39" s="18" t="n">
        <v>1</v>
      </c>
      <c r="AB39" s="18" t="n">
        <v>1</v>
      </c>
      <c r="AC39" s="18" t="n">
        <v>0</v>
      </c>
      <c r="AD39" s="18" t="n">
        <v>0</v>
      </c>
      <c r="AE39" s="18" t="n">
        <v>0</v>
      </c>
      <c r="AF39" s="18" t="n">
        <v>1</v>
      </c>
      <c r="AG39" s="18" t="n">
        <v>0</v>
      </c>
      <c r="AH39" s="18" t="n">
        <v>0</v>
      </c>
      <c r="AI39" s="18">
        <f>SUM(T39:AH41)</f>
        <v/>
      </c>
    </row>
    <row r="40">
      <c r="C40" s="15" t="n"/>
      <c r="D40" s="27" t="n">
        <v>1</v>
      </c>
      <c r="E40" s="27" t="n">
        <v>0</v>
      </c>
      <c r="F40" s="27" t="n">
        <v>0</v>
      </c>
      <c r="G40" s="27" t="n">
        <v>0</v>
      </c>
      <c r="H40" s="27" t="n">
        <v>0</v>
      </c>
      <c r="I40" s="27" t="n">
        <v>1</v>
      </c>
      <c r="J40" s="27" t="n">
        <v>0</v>
      </c>
      <c r="K40" s="27" t="n">
        <v>0</v>
      </c>
      <c r="L40" s="27" t="n">
        <v>0</v>
      </c>
      <c r="M40" s="27" t="n">
        <v>1</v>
      </c>
      <c r="N40" s="27" t="n">
        <v>0</v>
      </c>
      <c r="O40" s="27" t="n">
        <v>0</v>
      </c>
      <c r="P40" s="27" t="n">
        <v>0</v>
      </c>
      <c r="Q40" s="27" t="n">
        <v>1</v>
      </c>
      <c r="R40" s="27" t="n">
        <v>1</v>
      </c>
      <c r="T40" s="18" t="n">
        <v>1</v>
      </c>
      <c r="U40" s="18" t="n">
        <v>0</v>
      </c>
      <c r="V40" s="18" t="n">
        <v>0</v>
      </c>
      <c r="W40" s="18" t="n">
        <v>0</v>
      </c>
      <c r="X40" s="18" t="n">
        <v>0</v>
      </c>
      <c r="Y40" s="18" t="n">
        <v>1</v>
      </c>
      <c r="Z40" s="18" t="n">
        <v>0</v>
      </c>
      <c r="AA40" s="18" t="n">
        <v>0</v>
      </c>
      <c r="AB40" s="18" t="n">
        <v>0</v>
      </c>
      <c r="AC40" s="18" t="n">
        <v>1</v>
      </c>
      <c r="AD40" s="18" t="n">
        <v>0</v>
      </c>
      <c r="AE40" s="18" t="n">
        <v>0</v>
      </c>
      <c r="AF40" s="18" t="n">
        <v>0</v>
      </c>
      <c r="AG40" s="18" t="n">
        <v>1</v>
      </c>
      <c r="AH40" s="18" t="n">
        <v>1</v>
      </c>
    </row>
    <row r="41">
      <c r="C41" s="15" t="n"/>
      <c r="D41" s="27" t="n">
        <v>0</v>
      </c>
      <c r="E41" s="27" t="n">
        <v>0</v>
      </c>
      <c r="F41" s="27" t="n">
        <v>0</v>
      </c>
      <c r="G41" s="27" t="n">
        <v>0</v>
      </c>
      <c r="H41" s="27" t="n">
        <v>0</v>
      </c>
      <c r="I41" s="27" t="n">
        <v>0</v>
      </c>
      <c r="J41" s="27" t="n">
        <v>0</v>
      </c>
      <c r="K41" s="27" t="n">
        <v>0</v>
      </c>
      <c r="L41" s="27" t="n">
        <v>0</v>
      </c>
      <c r="M41" s="27" t="n">
        <v>0</v>
      </c>
      <c r="N41" s="27" t="n">
        <v>0</v>
      </c>
      <c r="O41" s="27" t="n">
        <v>0</v>
      </c>
      <c r="P41" s="27" t="n">
        <v>0</v>
      </c>
      <c r="Q41" s="27" t="n">
        <v>0</v>
      </c>
      <c r="R41" s="27" t="n">
        <v>1</v>
      </c>
      <c r="T41" s="18" t="n">
        <v>0</v>
      </c>
      <c r="U41" s="18" t="n">
        <v>0</v>
      </c>
      <c r="V41" s="18" t="n">
        <v>0</v>
      </c>
      <c r="W41" s="18" t="n">
        <v>0</v>
      </c>
      <c r="X41" s="18" t="n">
        <v>0</v>
      </c>
      <c r="Y41" s="18" t="n">
        <v>0</v>
      </c>
      <c r="Z41" s="18" t="n">
        <v>0</v>
      </c>
      <c r="AA41" s="18" t="n">
        <v>0</v>
      </c>
      <c r="AB41" s="18" t="n">
        <v>0</v>
      </c>
      <c r="AC41" s="18" t="n">
        <v>0</v>
      </c>
      <c r="AD41" s="18" t="n">
        <v>0</v>
      </c>
      <c r="AE41" s="18" t="n">
        <v>0</v>
      </c>
      <c r="AF41" s="18" t="n">
        <v>0</v>
      </c>
      <c r="AG41" s="18" t="n">
        <v>0</v>
      </c>
      <c r="AH41" s="18" t="n">
        <v>1</v>
      </c>
    </row>
    <row r="44">
      <c r="C44" s="18" t="inlineStr">
        <is>
          <t>bGammaw</t>
        </is>
      </c>
      <c r="D44" s="15" t="n">
        <v>1</v>
      </c>
      <c r="E44" s="15" t="n">
        <v>2</v>
      </c>
      <c r="F44" s="15" t="n">
        <v>3</v>
      </c>
      <c r="G44" s="15" t="n">
        <v>4</v>
      </c>
      <c r="H44" s="15" t="n">
        <v>5</v>
      </c>
      <c r="I44" s="15" t="n">
        <v>6</v>
      </c>
      <c r="J44" s="15" t="n">
        <v>7</v>
      </c>
      <c r="K44" s="15" t="n">
        <v>8</v>
      </c>
      <c r="L44" s="15" t="n">
        <v>9</v>
      </c>
      <c r="M44" s="15" t="n">
        <v>10</v>
      </c>
      <c r="N44" s="15" t="n">
        <v>11</v>
      </c>
      <c r="O44" s="15" t="n">
        <v>12</v>
      </c>
      <c r="P44" s="15" t="n">
        <v>13</v>
      </c>
      <c r="Q44" s="15" t="n">
        <v>14</v>
      </c>
      <c r="R44" s="15" t="n">
        <v>15</v>
      </c>
    </row>
    <row r="45">
      <c r="C45" s="15" t="n">
        <v>1</v>
      </c>
      <c r="D45" s="27" t="n">
        <v>0</v>
      </c>
      <c r="E45" s="27" t="n">
        <v>0</v>
      </c>
      <c r="F45" s="27" t="n">
        <v>0</v>
      </c>
      <c r="G45" s="27" t="n">
        <v>0</v>
      </c>
      <c r="H45" s="27" t="n">
        <v>0</v>
      </c>
      <c r="I45" s="27" t="n">
        <v>0</v>
      </c>
      <c r="J45" s="27" t="n">
        <v>0</v>
      </c>
      <c r="K45" s="27" t="n">
        <v>0</v>
      </c>
      <c r="L45" s="27" t="n">
        <v>0</v>
      </c>
      <c r="M45" s="27" t="n">
        <v>0</v>
      </c>
      <c r="N45" s="27" t="n">
        <v>1</v>
      </c>
      <c r="O45" s="27" t="n">
        <v>0</v>
      </c>
      <c r="P45" s="27" t="n">
        <v>0</v>
      </c>
      <c r="Q45" s="27" t="n">
        <v>0</v>
      </c>
      <c r="R45" s="27" t="n">
        <v>0</v>
      </c>
      <c r="S45" s="19">
        <f>SUM(Suppliers_Gamma)</f>
        <v/>
      </c>
      <c r="T45" s="18" t="n">
        <v>0</v>
      </c>
      <c r="U45" s="18" t="n">
        <v>0</v>
      </c>
      <c r="V45" s="18" t="n">
        <v>0</v>
      </c>
      <c r="W45" s="18" t="n">
        <v>0</v>
      </c>
      <c r="X45" s="18" t="n">
        <v>0</v>
      </c>
      <c r="Y45" s="18" t="n">
        <v>0</v>
      </c>
      <c r="Z45" s="18" t="n">
        <v>0</v>
      </c>
      <c r="AA45" s="18" t="n">
        <v>0</v>
      </c>
      <c r="AB45" s="18" t="n">
        <v>0</v>
      </c>
      <c r="AC45" s="18" t="n">
        <v>0</v>
      </c>
      <c r="AD45" s="18" t="n">
        <v>1</v>
      </c>
      <c r="AE45" s="18" t="n">
        <v>0</v>
      </c>
      <c r="AF45" s="18" t="n">
        <v>0</v>
      </c>
      <c r="AG45" s="18" t="n">
        <v>0</v>
      </c>
      <c r="AH45" s="18" t="n">
        <v>0</v>
      </c>
      <c r="AI45" s="18">
        <f>SUM(T45:AH47)</f>
        <v/>
      </c>
    </row>
    <row r="46">
      <c r="C46" s="15" t="n">
        <v>2</v>
      </c>
      <c r="D46" s="27" t="n">
        <v>0</v>
      </c>
      <c r="E46" s="27" t="n">
        <v>0</v>
      </c>
      <c r="F46" s="27" t="n">
        <v>0</v>
      </c>
      <c r="G46" s="27" t="n">
        <v>0</v>
      </c>
      <c r="H46" s="27" t="n">
        <v>1</v>
      </c>
      <c r="I46" s="27" t="n">
        <v>0</v>
      </c>
      <c r="J46" s="27" t="n">
        <v>1</v>
      </c>
      <c r="K46" s="27" t="n">
        <v>0</v>
      </c>
      <c r="L46" s="27" t="n">
        <v>0</v>
      </c>
      <c r="M46" s="27" t="n">
        <v>0</v>
      </c>
      <c r="N46" s="27" t="n">
        <v>0</v>
      </c>
      <c r="O46" s="27" t="n">
        <v>0</v>
      </c>
      <c r="P46" s="27" t="n">
        <v>0</v>
      </c>
      <c r="Q46" s="27" t="n">
        <v>0</v>
      </c>
      <c r="R46" s="27" t="n">
        <v>0</v>
      </c>
      <c r="T46" s="18" t="n">
        <v>0</v>
      </c>
      <c r="U46" s="18" t="n">
        <v>0</v>
      </c>
      <c r="V46" s="18" t="n">
        <v>0</v>
      </c>
      <c r="W46" s="18" t="n">
        <v>0</v>
      </c>
      <c r="X46" s="18" t="n">
        <v>1</v>
      </c>
      <c r="Y46" s="18" t="n">
        <v>0</v>
      </c>
      <c r="Z46" s="18" t="n">
        <v>1</v>
      </c>
      <c r="AA46" s="18" t="n">
        <v>0</v>
      </c>
      <c r="AB46" s="18" t="n">
        <v>0</v>
      </c>
      <c r="AC46" s="18" t="n">
        <v>0</v>
      </c>
      <c r="AD46" s="18" t="n">
        <v>0</v>
      </c>
      <c r="AE46" s="18" t="n">
        <v>0</v>
      </c>
      <c r="AF46" s="18" t="n">
        <v>0</v>
      </c>
      <c r="AG46" s="18" t="n">
        <v>0</v>
      </c>
      <c r="AH46" s="18" t="n">
        <v>0</v>
      </c>
    </row>
    <row r="47">
      <c r="C47" s="15" t="n">
        <v>3</v>
      </c>
      <c r="D47" s="27" t="n">
        <v>0</v>
      </c>
      <c r="E47" s="27" t="n">
        <v>0</v>
      </c>
      <c r="F47" s="27" t="n">
        <v>0</v>
      </c>
      <c r="G47" s="27" t="n">
        <v>0</v>
      </c>
      <c r="H47" s="27" t="n">
        <v>0</v>
      </c>
      <c r="I47" s="27" t="n">
        <v>0</v>
      </c>
      <c r="J47" s="27" t="n">
        <v>0</v>
      </c>
      <c r="K47" s="27" t="n">
        <v>0</v>
      </c>
      <c r="L47" s="27" t="n">
        <v>0</v>
      </c>
      <c r="M47" s="27" t="n">
        <v>0</v>
      </c>
      <c r="N47" s="27" t="n">
        <v>0</v>
      </c>
      <c r="O47" s="27" t="n">
        <v>1</v>
      </c>
      <c r="P47" s="27" t="n">
        <v>0</v>
      </c>
      <c r="Q47" s="27" t="n">
        <v>0</v>
      </c>
      <c r="R47" s="27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1</v>
      </c>
      <c r="AF47" s="18" t="n">
        <v>0</v>
      </c>
      <c r="AG47" s="18" t="n">
        <v>0</v>
      </c>
      <c r="AH47" s="18" t="n">
        <v>0</v>
      </c>
    </row>
    <row r="50">
      <c r="C50" s="18" t="inlineStr">
        <is>
          <t>bRhow</t>
        </is>
      </c>
      <c r="D50" s="15" t="n">
        <v>1</v>
      </c>
      <c r="E50" s="15" t="n">
        <v>2</v>
      </c>
      <c r="F50" s="15" t="n">
        <v>3</v>
      </c>
      <c r="G50" s="15" t="n">
        <v>4</v>
      </c>
      <c r="H50" s="15" t="n">
        <v>5</v>
      </c>
      <c r="I50" s="15" t="n">
        <v>6</v>
      </c>
      <c r="J50" s="15" t="n">
        <v>7</v>
      </c>
      <c r="K50" s="15" t="n">
        <v>8</v>
      </c>
      <c r="L50" s="15" t="n">
        <v>9</v>
      </c>
      <c r="M50" s="15" t="n">
        <v>10</v>
      </c>
      <c r="N50" s="15" t="n">
        <v>11</v>
      </c>
      <c r="O50" s="15" t="n">
        <v>12</v>
      </c>
      <c r="P50" s="15" t="n">
        <v>13</v>
      </c>
      <c r="Q50" s="15" t="n">
        <v>14</v>
      </c>
      <c r="R50" s="15" t="n">
        <v>15</v>
      </c>
    </row>
    <row r="51">
      <c r="C51" s="15" t="n">
        <v>1</v>
      </c>
      <c r="D51" s="27" t="n">
        <v>0</v>
      </c>
      <c r="E51" s="27" t="n">
        <v>0</v>
      </c>
      <c r="F51" s="27" t="n">
        <v>0</v>
      </c>
      <c r="G51" s="27" t="n">
        <v>0</v>
      </c>
      <c r="H51" s="27" t="n">
        <v>0</v>
      </c>
      <c r="I51" s="27" t="n">
        <v>0</v>
      </c>
      <c r="J51" s="27" t="n">
        <v>0</v>
      </c>
      <c r="K51" s="27" t="n">
        <v>1</v>
      </c>
      <c r="L51" s="27" t="n">
        <v>1</v>
      </c>
      <c r="M51" s="27" t="n">
        <v>0</v>
      </c>
      <c r="N51" s="27" t="n">
        <v>0</v>
      </c>
      <c r="O51" s="27" t="n">
        <v>0</v>
      </c>
      <c r="P51" s="27" t="n">
        <v>1</v>
      </c>
      <c r="Q51" s="27" t="n">
        <v>0</v>
      </c>
      <c r="R51" s="27" t="n">
        <v>0</v>
      </c>
    </row>
    <row r="52">
      <c r="C52" s="15" t="n">
        <v>2</v>
      </c>
      <c r="D52" s="27" t="n">
        <v>1</v>
      </c>
      <c r="E52" s="27" t="n">
        <v>0</v>
      </c>
      <c r="F52" s="27" t="n">
        <v>0</v>
      </c>
      <c r="G52" s="27" t="n">
        <v>0</v>
      </c>
      <c r="H52" s="27" t="n">
        <v>0</v>
      </c>
      <c r="I52" s="27" t="n">
        <v>1</v>
      </c>
      <c r="J52" s="27" t="n">
        <v>0</v>
      </c>
      <c r="K52" s="27" t="n">
        <v>0</v>
      </c>
      <c r="L52" s="27" t="n">
        <v>0</v>
      </c>
      <c r="M52" s="27" t="n">
        <v>1</v>
      </c>
      <c r="N52" s="27" t="n">
        <v>0</v>
      </c>
      <c r="O52" s="27" t="n">
        <v>0</v>
      </c>
      <c r="P52" s="27" t="n">
        <v>0</v>
      </c>
      <c r="Q52" s="27" t="n">
        <v>1</v>
      </c>
      <c r="R52" s="27" t="n">
        <v>1</v>
      </c>
    </row>
    <row r="53">
      <c r="C53" s="15" t="n">
        <v>3</v>
      </c>
      <c r="D53" s="27" t="n">
        <v>0</v>
      </c>
      <c r="E53" s="27" t="n">
        <v>0</v>
      </c>
      <c r="F53" s="27" t="n">
        <v>0</v>
      </c>
      <c r="G53" s="27" t="n">
        <v>0</v>
      </c>
      <c r="H53" s="27" t="n">
        <v>0</v>
      </c>
      <c r="I53" s="27" t="n">
        <v>0</v>
      </c>
      <c r="J53" s="27" t="n">
        <v>0</v>
      </c>
      <c r="K53" s="27" t="n">
        <v>0</v>
      </c>
      <c r="L53" s="27" t="n">
        <v>0</v>
      </c>
      <c r="M53" s="27" t="n">
        <v>0</v>
      </c>
      <c r="N53" s="27" t="n">
        <v>0</v>
      </c>
      <c r="O53" s="27" t="n">
        <v>0</v>
      </c>
      <c r="P53" s="27" t="n">
        <v>0</v>
      </c>
      <c r="Q53" s="27" t="n">
        <v>0</v>
      </c>
      <c r="R53" s="27" t="n">
        <v>1</v>
      </c>
    </row>
    <row r="56">
      <c r="C56" s="18" t="inlineStr">
        <is>
          <t>bOmegaw</t>
        </is>
      </c>
      <c r="D56" s="15" t="n">
        <v>1</v>
      </c>
      <c r="E56" s="15" t="n">
        <v>2</v>
      </c>
      <c r="F56" s="15" t="n">
        <v>3</v>
      </c>
      <c r="G56" s="15" t="n">
        <v>4</v>
      </c>
      <c r="H56" s="15" t="n">
        <v>5</v>
      </c>
      <c r="I56" s="15" t="n">
        <v>6</v>
      </c>
      <c r="J56" s="15" t="n">
        <v>7</v>
      </c>
      <c r="K56" s="15" t="n">
        <v>8</v>
      </c>
      <c r="L56" s="15" t="n">
        <v>9</v>
      </c>
      <c r="M56" s="15" t="n">
        <v>10</v>
      </c>
      <c r="N56" s="15" t="n">
        <v>11</v>
      </c>
      <c r="O56" s="15" t="n">
        <v>12</v>
      </c>
      <c r="P56" s="15" t="n">
        <v>13</v>
      </c>
      <c r="Q56" s="15" t="n">
        <v>14</v>
      </c>
      <c r="R56" s="15" t="n">
        <v>15</v>
      </c>
    </row>
    <row r="57">
      <c r="C57" s="15" t="n">
        <v>1</v>
      </c>
      <c r="D57" s="27" t="n">
        <v>0</v>
      </c>
      <c r="E57" s="27" t="n">
        <v>0</v>
      </c>
      <c r="F57" s="27" t="n">
        <v>0</v>
      </c>
      <c r="G57" s="27" t="n">
        <v>0</v>
      </c>
      <c r="H57" s="27" t="n">
        <v>1</v>
      </c>
      <c r="I57" s="27" t="n">
        <v>1</v>
      </c>
      <c r="J57" s="27" t="n">
        <v>0</v>
      </c>
      <c r="K57" s="27" t="n">
        <v>0</v>
      </c>
      <c r="L57" s="27" t="n">
        <v>0</v>
      </c>
      <c r="M57" s="27" t="n">
        <v>0</v>
      </c>
      <c r="N57" s="27" t="n">
        <v>0</v>
      </c>
      <c r="O57" s="27" t="n">
        <v>0</v>
      </c>
      <c r="P57" s="27" t="n">
        <v>0</v>
      </c>
      <c r="Q57" s="27" t="n">
        <v>1</v>
      </c>
      <c r="R57" s="27" t="n">
        <v>1</v>
      </c>
      <c r="S57" s="18" t="inlineStr">
        <is>
          <t>Max</t>
        </is>
      </c>
    </row>
    <row r="58">
      <c r="C58" s="15" t="n">
        <v>2</v>
      </c>
      <c r="D58" s="27" t="n">
        <v>0</v>
      </c>
      <c r="E58" s="27" t="n">
        <v>1</v>
      </c>
      <c r="F58" s="27" t="n">
        <v>0</v>
      </c>
      <c r="G58" s="27" t="n">
        <v>0</v>
      </c>
      <c r="H58" s="27" t="n">
        <v>0</v>
      </c>
      <c r="I58" s="27" t="n">
        <v>0</v>
      </c>
      <c r="J58" s="27" t="n">
        <v>0</v>
      </c>
      <c r="K58" s="27" t="n">
        <v>0</v>
      </c>
      <c r="L58" s="27" t="n">
        <v>0</v>
      </c>
      <c r="M58" s="27" t="n">
        <v>0</v>
      </c>
      <c r="N58" s="27" t="n">
        <v>0</v>
      </c>
      <c r="O58" s="27" t="n">
        <v>1</v>
      </c>
      <c r="P58" s="27" t="n">
        <v>1</v>
      </c>
      <c r="Q58" s="27" t="n">
        <v>0</v>
      </c>
      <c r="R58" s="27" t="n">
        <v>0</v>
      </c>
      <c r="S58" s="90">
        <f>MAX(T58:AH58)</f>
        <v/>
      </c>
      <c r="T58" s="21">
        <f>IF(T63=1000000,0,D4-$S63)</f>
        <v/>
      </c>
      <c r="U58" s="21">
        <f>IF(U63=1000000,0,E4-$S63)</f>
        <v/>
      </c>
      <c r="V58" s="21">
        <f>IF(V63=1000000,0,F4-$S63)</f>
        <v/>
      </c>
      <c r="W58" s="21">
        <f>IF(W63=1000000,0,G4-$S63)</f>
        <v/>
      </c>
      <c r="X58" s="21">
        <f>IF(X63=1000000,0,H4-$S63)</f>
        <v/>
      </c>
      <c r="Y58" s="21">
        <f>IF(Y63=1000000,0,I4-$S63)</f>
        <v/>
      </c>
      <c r="Z58" s="21">
        <f>IF(Z63=1000000,0,J4-$S63)</f>
        <v/>
      </c>
      <c r="AA58" s="21">
        <f>IF(AA63=1000000,0,K4-$S63)</f>
        <v/>
      </c>
      <c r="AB58" s="21">
        <f>IF(AB63=1000000,0,L4-$S63)</f>
        <v/>
      </c>
      <c r="AC58" s="21">
        <f>IF(AC63=1000000,0,M4-$S63)</f>
        <v/>
      </c>
      <c r="AD58" s="21">
        <f>IF(AD63=1000000,0,N4-$S63)</f>
        <v/>
      </c>
      <c r="AE58" s="21">
        <f>IF(AE63=1000000,0,O4-$S63)</f>
        <v/>
      </c>
      <c r="AF58" s="21">
        <f>IF(AF63=1000000,0,P4-$S63)</f>
        <v/>
      </c>
      <c r="AG58" s="21">
        <f>IF(AG63=1000000,0,Q4-$S63)</f>
        <v/>
      </c>
      <c r="AH58" s="21">
        <f>IF(AH63=1000000,0,R4-$S63)</f>
        <v/>
      </c>
    </row>
    <row r="59">
      <c r="C59" s="15" t="n">
        <v>3</v>
      </c>
      <c r="D59" s="27" t="n">
        <v>1</v>
      </c>
      <c r="E59" s="27" t="n">
        <v>0</v>
      </c>
      <c r="F59" s="27" t="n">
        <v>0</v>
      </c>
      <c r="G59" s="27" t="n">
        <v>1</v>
      </c>
      <c r="H59" s="27" t="n">
        <v>0</v>
      </c>
      <c r="I59" s="27" t="n">
        <v>1</v>
      </c>
      <c r="J59" s="27" t="n">
        <v>1</v>
      </c>
      <c r="K59" s="27" t="n">
        <v>0</v>
      </c>
      <c r="L59" s="27" t="n">
        <v>0</v>
      </c>
      <c r="M59" s="27" t="n">
        <v>0</v>
      </c>
      <c r="N59" s="27" t="n">
        <v>1</v>
      </c>
      <c r="O59" s="27" t="n">
        <v>0</v>
      </c>
      <c r="P59" s="27" t="n">
        <v>0</v>
      </c>
      <c r="Q59" s="27" t="n">
        <v>0</v>
      </c>
      <c r="R59" s="27" t="n">
        <v>0</v>
      </c>
      <c r="S59" s="90">
        <f>MAX(T59:AH59)</f>
        <v/>
      </c>
      <c r="T59" s="21">
        <f>IF(T64=1000000,0,D5-$S64)</f>
        <v/>
      </c>
      <c r="U59" s="21">
        <f>IF(U64=1000000,0,E5-$S64)</f>
        <v/>
      </c>
      <c r="V59" s="21">
        <f>IF(V64=1000000,0,F5-$S64)</f>
        <v/>
      </c>
      <c r="W59" s="21">
        <f>IF(W64=1000000,0,G5-$S64)</f>
        <v/>
      </c>
      <c r="X59" s="21">
        <f>IF(X64=1000000,0,H5-$S64)</f>
        <v/>
      </c>
      <c r="Y59" s="21">
        <f>IF(Y64=1000000,0,I5-$S64)</f>
        <v/>
      </c>
      <c r="Z59" s="21">
        <f>IF(Z64=1000000,0,J5-$S64)</f>
        <v/>
      </c>
      <c r="AA59" s="21">
        <f>IF(AA64=1000000,0,K5-$S64)</f>
        <v/>
      </c>
      <c r="AB59" s="21">
        <f>IF(AB64=1000000,0,L5-$S64)</f>
        <v/>
      </c>
      <c r="AC59" s="21">
        <f>IF(AC64=1000000,0,M5-$S64)</f>
        <v/>
      </c>
      <c r="AD59" s="21">
        <f>IF(AD64=1000000,0,N5-$S64)</f>
        <v/>
      </c>
      <c r="AE59" s="21">
        <f>IF(AE64=1000000,0,O5-$S64)</f>
        <v/>
      </c>
      <c r="AF59" s="21">
        <f>IF(AF64=1000000,0,P5-$S64)</f>
        <v/>
      </c>
      <c r="AG59" s="21">
        <f>IF(AG64=1000000,0,Q5-$S64)</f>
        <v/>
      </c>
      <c r="AH59" s="21">
        <f>IF(AH64=1000000,0,R5-$S64)</f>
        <v/>
      </c>
    </row>
    <row r="60">
      <c r="S60" s="90">
        <f>MAX(T60:AH60)</f>
        <v/>
      </c>
      <c r="T60" s="21">
        <f>IF(T65=1000000,0,D6-$S65)</f>
        <v/>
      </c>
      <c r="U60" s="21">
        <f>IF(U65=1000000,0,E6-$S65)</f>
        <v/>
      </c>
      <c r="V60" s="21">
        <f>IF(V65=1000000,0,F6-$S65)</f>
        <v/>
      </c>
      <c r="W60" s="21">
        <f>IF(W65=1000000,0,G6-$S65)</f>
        <v/>
      </c>
      <c r="X60" s="21">
        <f>IF(X65=1000000,0,H6-$S65)</f>
        <v/>
      </c>
      <c r="Y60" s="21">
        <f>IF(Y65=1000000,0,I6-$S65)</f>
        <v/>
      </c>
      <c r="Z60" s="21">
        <f>IF(Z65=1000000,0,J6-$S65)</f>
        <v/>
      </c>
      <c r="AA60" s="21">
        <f>IF(AA65=1000000,0,K6-$S65)</f>
        <v/>
      </c>
      <c r="AB60" s="21">
        <f>IF(AB65=1000000,0,L6-$S65)</f>
        <v/>
      </c>
      <c r="AC60" s="21">
        <f>IF(AC65=1000000,0,M6-$S65)</f>
        <v/>
      </c>
      <c r="AD60" s="21">
        <f>IF(AD65=1000000,0,N6-$S65)</f>
        <v/>
      </c>
      <c r="AE60" s="21">
        <f>IF(AE65=1000000,0,O6-$S65)</f>
        <v/>
      </c>
      <c r="AF60" s="21">
        <f>IF(AF65=1000000,0,P6-$S65)</f>
        <v/>
      </c>
      <c r="AG60" s="21">
        <f>IF(AG65=1000000,0,Q6-$S65)</f>
        <v/>
      </c>
      <c r="AH60" s="21">
        <f>IF(AH65=1000000,0,R6-$S65)</f>
        <v/>
      </c>
    </row>
    <row r="62">
      <c r="B62" s="18" t="inlineStr">
        <is>
          <t>Results</t>
        </is>
      </c>
      <c r="C62" s="18" t="inlineStr">
        <is>
          <t>RunOutTimew</t>
        </is>
      </c>
      <c r="D62" s="15" t="n">
        <v>1</v>
      </c>
      <c r="E62" s="15" t="n">
        <v>2</v>
      </c>
      <c r="F62" s="15" t="n">
        <v>3</v>
      </c>
      <c r="G62" s="15" t="n">
        <v>4</v>
      </c>
      <c r="H62" s="15" t="n">
        <v>5</v>
      </c>
      <c r="I62" s="15" t="n">
        <v>6</v>
      </c>
      <c r="J62" s="15" t="n">
        <v>7</v>
      </c>
      <c r="K62" s="15" t="n">
        <v>8</v>
      </c>
      <c r="L62" s="15" t="n">
        <v>9</v>
      </c>
      <c r="M62" s="15" t="n">
        <v>10</v>
      </c>
      <c r="N62" s="15" t="n">
        <v>11</v>
      </c>
      <c r="O62" s="15" t="n">
        <v>12</v>
      </c>
      <c r="P62" s="15" t="n">
        <v>13</v>
      </c>
      <c r="Q62" s="15" t="n">
        <v>14</v>
      </c>
      <c r="R62" s="15" t="n">
        <v>15</v>
      </c>
      <c r="S62" s="18" t="inlineStr">
        <is>
          <t>Min</t>
        </is>
      </c>
    </row>
    <row r="63">
      <c r="C63" s="15" t="n">
        <v>1</v>
      </c>
      <c r="D63" s="33" t="n">
        <v>-16.44322845417236</v>
      </c>
      <c r="E63" s="33" t="n">
        <v>-22.32510288065841</v>
      </c>
      <c r="F63" s="33" t="n">
        <v>-9.107321965897693</v>
      </c>
      <c r="G63" s="33" t="n">
        <v>-8.751620670494535</v>
      </c>
      <c r="H63" s="33" t="n">
        <v>15.05353319057816</v>
      </c>
      <c r="I63" s="33" t="n">
        <v>7.422058962042007</v>
      </c>
      <c r="J63" s="33" t="n">
        <v>-6.432065415784479</v>
      </c>
      <c r="K63" s="33" t="n">
        <v>16.19143867754277</v>
      </c>
      <c r="L63" s="33" t="n">
        <v>16.89542806359238</v>
      </c>
      <c r="M63" s="33" t="n">
        <v>-39.83572895277204</v>
      </c>
      <c r="N63" s="33" t="n">
        <v>69.40966010733436</v>
      </c>
      <c r="O63" s="33" t="n">
        <v>-36.4282892137495</v>
      </c>
      <c r="P63" s="33" t="n">
        <v>21.65316045380874</v>
      </c>
      <c r="Q63" s="33" t="n">
        <v>7.857062337955134</v>
      </c>
      <c r="R63" s="33" t="n">
        <v>10.22408048605213</v>
      </c>
      <c r="S63" s="90">
        <f>MIN(T63:AH63)</f>
        <v/>
      </c>
      <c r="T63" s="50">
        <f>IF(D63&lt;0,1000000,D63)</f>
        <v/>
      </c>
      <c r="U63" s="50">
        <f>IF(E63&lt;0,1000000,E63)</f>
        <v/>
      </c>
      <c r="V63" s="50">
        <f>IF(F63&lt;0,1000000,F63)</f>
        <v/>
      </c>
      <c r="W63" s="50">
        <f>IF(G63&lt;0,1000000,G63)</f>
        <v/>
      </c>
      <c r="X63" s="50">
        <f>IF(H63&lt;0,1000000,H63)</f>
        <v/>
      </c>
      <c r="Y63" s="50">
        <f>IF(I63&lt;0,1000000,I63)</f>
        <v/>
      </c>
      <c r="Z63" s="50">
        <f>IF(J63&lt;0,1000000,J63)</f>
        <v/>
      </c>
      <c r="AA63" s="50">
        <f>IF(K63&lt;0,1000000,K63)</f>
        <v/>
      </c>
      <c r="AB63" s="50">
        <f>IF(L63&lt;0,1000000,L63)</f>
        <v/>
      </c>
      <c r="AC63" s="50">
        <f>IF(M63&lt;0,1000000,M63)</f>
        <v/>
      </c>
      <c r="AD63" s="50">
        <f>IF(N63&lt;0,1000000,N63)</f>
        <v/>
      </c>
      <c r="AE63" s="50">
        <f>IF(O63&lt;0,1000000,O63)</f>
        <v/>
      </c>
      <c r="AF63" s="50">
        <f>IF(P63&lt;0,1000000,P63)</f>
        <v/>
      </c>
      <c r="AG63" s="50">
        <f>IF(Q63&lt;0,1000000,Q63)</f>
        <v/>
      </c>
      <c r="AH63" s="50">
        <f>IF(R63&lt;0,1000000,R63)</f>
        <v/>
      </c>
    </row>
    <row r="64">
      <c r="C64" s="15" t="n">
        <v>2</v>
      </c>
      <c r="D64" s="33" t="n">
        <v>18.47160950619041</v>
      </c>
      <c r="E64" s="33" t="n">
        <v>19.56241956241956</v>
      </c>
      <c r="F64" s="33" t="n">
        <v>-13.46431667148224</v>
      </c>
      <c r="G64" s="33" t="n">
        <v>-3.949810020323407</v>
      </c>
      <c r="H64" s="33" t="n">
        <v>47.88456150182124</v>
      </c>
      <c r="I64" s="33" t="n">
        <v>20.47489823609227</v>
      </c>
      <c r="J64" s="33" t="n">
        <v>190.9090909090919</v>
      </c>
      <c r="K64" s="33" t="n">
        <v>-15.07305819020764</v>
      </c>
      <c r="L64" s="33" t="n">
        <v>-15.47525530243519</v>
      </c>
      <c r="M64" s="33" t="n">
        <v>16.41054560834625</v>
      </c>
      <c r="N64" s="33" t="n">
        <v>-3.982747545195925</v>
      </c>
      <c r="O64" s="33" t="n">
        <v>14.07878705834574</v>
      </c>
      <c r="P64" s="33" t="n">
        <v>20.20809624451309</v>
      </c>
      <c r="Q64" s="33" t="n">
        <v>24.24632352941175</v>
      </c>
      <c r="R64" s="33" t="n">
        <v>19.68775111927448</v>
      </c>
      <c r="S64" s="90">
        <f>MIN(T64:AH64)</f>
        <v/>
      </c>
      <c r="T64" s="50">
        <f>IF(D64&lt;0,1000000,D64)</f>
        <v/>
      </c>
      <c r="U64" s="50">
        <f>IF(E64&lt;0,1000000,E64)</f>
        <v/>
      </c>
      <c r="V64" s="50">
        <f>IF(F64&lt;0,1000000,F64)</f>
        <v/>
      </c>
      <c r="W64" s="50">
        <f>IF(G64&lt;0,1000000,G64)</f>
        <v/>
      </c>
      <c r="X64" s="50">
        <f>IF(H64&lt;0,1000000,H64)</f>
        <v/>
      </c>
      <c r="Y64" s="50">
        <f>IF(I64&lt;0,1000000,I64)</f>
        <v/>
      </c>
      <c r="Z64" s="50">
        <f>IF(J64&lt;0,1000000,J64)</f>
        <v/>
      </c>
      <c r="AA64" s="50">
        <f>IF(K64&lt;0,1000000,K64)</f>
        <v/>
      </c>
      <c r="AB64" s="50">
        <f>IF(L64&lt;0,1000000,L64)</f>
        <v/>
      </c>
      <c r="AC64" s="50">
        <f>IF(M64&lt;0,1000000,M64)</f>
        <v/>
      </c>
      <c r="AD64" s="50">
        <f>IF(N64&lt;0,1000000,N64)</f>
        <v/>
      </c>
      <c r="AE64" s="50">
        <f>IF(O64&lt;0,1000000,O64)</f>
        <v/>
      </c>
      <c r="AF64" s="50">
        <f>IF(P64&lt;0,1000000,P64)</f>
        <v/>
      </c>
      <c r="AG64" s="50">
        <f>IF(Q64&lt;0,1000000,Q64)</f>
        <v/>
      </c>
      <c r="AH64" s="50">
        <f>IF(R64&lt;0,1000000,R64)</f>
        <v/>
      </c>
    </row>
    <row r="65">
      <c r="C65" s="15" t="n">
        <v>3</v>
      </c>
      <c r="D65" s="33" t="n">
        <v>8.934083893226804</v>
      </c>
      <c r="E65" s="33" t="n">
        <v>-8.04004854368932</v>
      </c>
      <c r="F65" s="33" t="n">
        <v>-4.882892354418551</v>
      </c>
      <c r="G65" s="33" t="n">
        <v>15.266788395212</v>
      </c>
      <c r="H65" s="33" t="n">
        <v>-14.74458605325873</v>
      </c>
      <c r="I65" s="33" t="n">
        <v>7.639515078649434</v>
      </c>
      <c r="J65" s="33" t="n">
        <v>6.438934165655165</v>
      </c>
      <c r="K65" s="33" t="n">
        <v>-6.523507401984705</v>
      </c>
      <c r="L65" s="33" t="n">
        <v>-18.91559788034714</v>
      </c>
      <c r="M65" s="33" t="n">
        <v>-21.41327623126339</v>
      </c>
      <c r="N65" s="33" t="n">
        <v>4.723809523809524</v>
      </c>
      <c r="O65" s="33" t="n">
        <v>117.191719171917</v>
      </c>
      <c r="P65" s="33" t="n">
        <v>-16.54021244309559</v>
      </c>
      <c r="Q65" s="33" t="n">
        <v>-28.8272157564906</v>
      </c>
      <c r="R65" s="33" t="n">
        <v>17.76817488561261</v>
      </c>
      <c r="S65" s="90">
        <f>MIN(T65:AH65)</f>
        <v/>
      </c>
      <c r="T65" s="50">
        <f>IF(D65&lt;0,1000000,D65)</f>
        <v/>
      </c>
      <c r="U65" s="50">
        <f>IF(E65&lt;0,1000000,E65)</f>
        <v/>
      </c>
      <c r="V65" s="50">
        <f>IF(F65&lt;0,1000000,F65)</f>
        <v/>
      </c>
      <c r="W65" s="50">
        <f>IF(G65&lt;0,1000000,G65)</f>
        <v/>
      </c>
      <c r="X65" s="50">
        <f>IF(H65&lt;0,1000000,H65)</f>
        <v/>
      </c>
      <c r="Y65" s="50">
        <f>IF(I65&lt;0,1000000,I65)</f>
        <v/>
      </c>
      <c r="Z65" s="50">
        <f>IF(J65&lt;0,1000000,J65)</f>
        <v/>
      </c>
      <c r="AA65" s="50">
        <f>IF(K65&lt;0,1000000,K65)</f>
        <v/>
      </c>
      <c r="AB65" s="50">
        <f>IF(L65&lt;0,1000000,L65)</f>
        <v/>
      </c>
      <c r="AC65" s="50">
        <f>IF(M65&lt;0,1000000,M65)</f>
        <v/>
      </c>
      <c r="AD65" s="50">
        <f>IF(N65&lt;0,1000000,N65)</f>
        <v/>
      </c>
      <c r="AE65" s="50">
        <f>IF(O65&lt;0,1000000,O65)</f>
        <v/>
      </c>
      <c r="AF65" s="50">
        <f>IF(P65&lt;0,1000000,P65)</f>
        <v/>
      </c>
      <c r="AG65" s="50">
        <f>IF(Q65&lt;0,1000000,Q65)</f>
        <v/>
      </c>
      <c r="AH65" s="50">
        <f>IF(R65&lt;0,1000000,R65)</f>
        <v/>
      </c>
    </row>
    <row r="66">
      <c r="C66" s="15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</row>
    <row r="68">
      <c r="C68" s="18" t="inlineStr">
        <is>
          <t>3*SigmaELTw+2*ELTw</t>
        </is>
      </c>
      <c r="D68" s="15" t="n">
        <v>1</v>
      </c>
      <c r="E68" s="15" t="n">
        <v>2</v>
      </c>
      <c r="F68" s="15" t="n">
        <v>3</v>
      </c>
      <c r="G68" s="15" t="n">
        <v>4</v>
      </c>
      <c r="H68" s="15" t="n">
        <v>5</v>
      </c>
      <c r="I68" s="15" t="n">
        <v>6</v>
      </c>
      <c r="J68" s="15" t="n">
        <v>7</v>
      </c>
      <c r="K68" s="15" t="n">
        <v>8</v>
      </c>
      <c r="L68" s="15" t="n">
        <v>9</v>
      </c>
      <c r="M68" s="15" t="n">
        <v>10</v>
      </c>
      <c r="N68" s="15" t="n">
        <v>11</v>
      </c>
      <c r="O68" s="15" t="n">
        <v>12</v>
      </c>
      <c r="P68" s="15" t="n">
        <v>13</v>
      </c>
      <c r="Q68" s="15" t="n">
        <v>14</v>
      </c>
      <c r="R68" s="15" t="n">
        <v>15</v>
      </c>
    </row>
    <row r="69">
      <c r="C69" s="15" t="n">
        <v>1</v>
      </c>
      <c r="D69" s="21">
        <f>3*Suppliers!I27+2*Suppliers_stock_balance!D4</f>
        <v/>
      </c>
      <c r="E69" s="21">
        <f>3*Suppliers!J27+2*Suppliers_stock_balance!E4</f>
        <v/>
      </c>
      <c r="F69" s="21">
        <f>3*Suppliers!K27+2*Suppliers_stock_balance!F4</f>
        <v/>
      </c>
      <c r="G69" s="21">
        <f>3*Suppliers!L27+2*Suppliers_stock_balance!G4</f>
        <v/>
      </c>
      <c r="H69" s="21">
        <f>3*Suppliers!M27+2*Suppliers_stock_balance!H4</f>
        <v/>
      </c>
      <c r="I69" s="21">
        <f>3*Suppliers!N27+2*Suppliers_stock_balance!I4</f>
        <v/>
      </c>
      <c r="J69" s="21">
        <f>3*Suppliers!O27+2*Suppliers_stock_balance!J4</f>
        <v/>
      </c>
      <c r="K69" s="21">
        <f>3*Suppliers!P27+2*Suppliers_stock_balance!K4</f>
        <v/>
      </c>
      <c r="L69" s="21">
        <f>3*Suppliers!Q27+2*Suppliers_stock_balance!L4</f>
        <v/>
      </c>
      <c r="M69" s="21">
        <f>3*Suppliers!R27+2*Suppliers_stock_balance!M4</f>
        <v/>
      </c>
      <c r="N69" s="21">
        <f>3*Suppliers!S27+2*Suppliers_stock_balance!N4</f>
        <v/>
      </c>
      <c r="O69" s="21">
        <f>3*Suppliers!T27+2*Suppliers_stock_balance!O4</f>
        <v/>
      </c>
      <c r="P69" s="21">
        <f>3*Suppliers!U27+2*Suppliers_stock_balance!P4</f>
        <v/>
      </c>
      <c r="Q69" s="21">
        <f>3*Suppliers!V27+2*Suppliers_stock_balance!Q4</f>
        <v/>
      </c>
      <c r="R69" s="21">
        <f>3*Suppliers!W27+2*Suppliers_stock_balance!R4</f>
        <v/>
      </c>
    </row>
    <row r="70">
      <c r="C70" s="15" t="n">
        <v>2</v>
      </c>
      <c r="D70" s="21">
        <f>3*Suppliers!I28+2*Suppliers_stock_balance!D5</f>
        <v/>
      </c>
      <c r="E70" s="21">
        <f>3*Suppliers!J28+2*Suppliers_stock_balance!E5</f>
        <v/>
      </c>
      <c r="F70" s="21">
        <f>3*Suppliers!K28+2*Suppliers_stock_balance!F5</f>
        <v/>
      </c>
      <c r="G70" s="21">
        <f>3*Suppliers!L28+2*Suppliers_stock_balance!G5</f>
        <v/>
      </c>
      <c r="H70" s="21">
        <f>3*Suppliers!M28+2*Suppliers_stock_balance!H5</f>
        <v/>
      </c>
      <c r="I70" s="21">
        <f>3*Suppliers!N28+2*Suppliers_stock_balance!I5</f>
        <v/>
      </c>
      <c r="J70" s="21">
        <f>3*Suppliers!O28+2*Suppliers_stock_balance!J5</f>
        <v/>
      </c>
      <c r="K70" s="21">
        <f>3*Suppliers!P28+2*Suppliers_stock_balance!K5</f>
        <v/>
      </c>
      <c r="L70" s="21">
        <f>3*Suppliers!Q28+2*Suppliers_stock_balance!L5</f>
        <v/>
      </c>
      <c r="M70" s="21">
        <f>3*Suppliers!R28+2*Suppliers_stock_balance!M5</f>
        <v/>
      </c>
      <c r="N70" s="21">
        <f>3*Suppliers!S28+2*Suppliers_stock_balance!N5</f>
        <v/>
      </c>
      <c r="O70" s="21">
        <f>3*Suppliers!T28+2*Suppliers_stock_balance!O5</f>
        <v/>
      </c>
      <c r="P70" s="21">
        <f>3*Suppliers!U28+2*Suppliers_stock_balance!P5</f>
        <v/>
      </c>
      <c r="Q70" s="21">
        <f>3*Suppliers!V28+2*Suppliers_stock_balance!Q5</f>
        <v/>
      </c>
      <c r="R70" s="21">
        <f>3*Suppliers!W28+2*Suppliers_stock_balance!R5</f>
        <v/>
      </c>
    </row>
    <row r="71">
      <c r="C71" s="15" t="n">
        <v>3</v>
      </c>
      <c r="D71" s="21">
        <f>3*Suppliers!I29+2*Suppliers_stock_balance!D6</f>
        <v/>
      </c>
      <c r="E71" s="21">
        <f>3*Suppliers!J29+2*Suppliers_stock_balance!E6</f>
        <v/>
      </c>
      <c r="F71" s="21">
        <f>3*Suppliers!K29+2*Suppliers_stock_balance!F6</f>
        <v/>
      </c>
      <c r="G71" s="21">
        <f>3*Suppliers!L29+2*Suppliers_stock_balance!G6</f>
        <v/>
      </c>
      <c r="H71" s="21">
        <f>3*Suppliers!M29+2*Suppliers_stock_balance!H6</f>
        <v/>
      </c>
      <c r="I71" s="21">
        <f>3*Suppliers!N29+2*Suppliers_stock_balance!I6</f>
        <v/>
      </c>
      <c r="J71" s="21">
        <f>3*Suppliers!O29+2*Suppliers_stock_balance!J6</f>
        <v/>
      </c>
      <c r="K71" s="21">
        <f>3*Suppliers!P29+2*Suppliers_stock_balance!K6</f>
        <v/>
      </c>
      <c r="L71" s="21">
        <f>3*Suppliers!Q29+2*Suppliers_stock_balance!L6</f>
        <v/>
      </c>
      <c r="M71" s="21">
        <f>3*Suppliers!R29+2*Suppliers_stock_balance!M6</f>
        <v/>
      </c>
      <c r="N71" s="21">
        <f>3*Suppliers!S29+2*Suppliers_stock_balance!N6</f>
        <v/>
      </c>
      <c r="O71" s="21">
        <f>3*Suppliers!T29+2*Suppliers_stock_balance!O6</f>
        <v/>
      </c>
      <c r="P71" s="21">
        <f>3*Suppliers!U29+2*Suppliers_stock_balance!P6</f>
        <v/>
      </c>
      <c r="Q71" s="21">
        <f>3*Suppliers!V29+2*Suppliers_stock_balance!Q6</f>
        <v/>
      </c>
      <c r="R71" s="21">
        <f>3*Suppliers!W29+2*Suppliers_stock_balance!R6</f>
        <v/>
      </c>
    </row>
    <row r="72">
      <c r="C72" s="15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</row>
    <row r="74">
      <c r="C74" s="18" t="inlineStr">
        <is>
          <t>S0</t>
        </is>
      </c>
      <c r="D74" s="15" t="n">
        <v>1</v>
      </c>
      <c r="E74" s="15" t="n">
        <v>2</v>
      </c>
      <c r="F74" s="15" t="n">
        <v>3</v>
      </c>
      <c r="G74" s="15" t="n">
        <v>4</v>
      </c>
      <c r="H74" s="15" t="n">
        <v>5</v>
      </c>
      <c r="I74" s="15" t="n">
        <v>6</v>
      </c>
      <c r="J74" s="15" t="n">
        <v>7</v>
      </c>
      <c r="K74" s="15" t="n">
        <v>8</v>
      </c>
      <c r="L74" s="15" t="n">
        <v>9</v>
      </c>
      <c r="M74" s="15" t="n">
        <v>10</v>
      </c>
      <c r="N74" s="15" t="n">
        <v>11</v>
      </c>
      <c r="O74" s="15" t="n">
        <v>12</v>
      </c>
      <c r="P74" s="15" t="n">
        <v>13</v>
      </c>
      <c r="Q74" s="15" t="n">
        <v>14</v>
      </c>
      <c r="R74" s="15" t="n">
        <v>15</v>
      </c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</row>
    <row r="75">
      <c r="C75" s="15" t="n">
        <v>1</v>
      </c>
      <c r="D75" s="21">
        <f>Suppliers_Cap!D39</f>
        <v/>
      </c>
      <c r="E75" s="21">
        <f>Suppliers_Cap!E39</f>
        <v/>
      </c>
      <c r="F75" s="21">
        <f>Suppliers_Cap!F39</f>
        <v/>
      </c>
      <c r="G75" s="21">
        <f>Suppliers_Cap!G39</f>
        <v/>
      </c>
      <c r="H75" s="21">
        <f>Suppliers_Cap!H39</f>
        <v/>
      </c>
      <c r="I75" s="21">
        <f>Suppliers_Cap!I39</f>
        <v/>
      </c>
      <c r="J75" s="21">
        <f>Suppliers_Cap!J39</f>
        <v/>
      </c>
      <c r="K75" s="21">
        <f>Suppliers_Cap!K39</f>
        <v/>
      </c>
      <c r="L75" s="21">
        <f>Suppliers_Cap!L39</f>
        <v/>
      </c>
      <c r="M75" s="21">
        <f>Suppliers_Cap!M39</f>
        <v/>
      </c>
      <c r="N75" s="21">
        <f>Suppliers_Cap!N39</f>
        <v/>
      </c>
      <c r="O75" s="21">
        <f>Suppliers_Cap!O39</f>
        <v/>
      </c>
      <c r="P75" s="21">
        <f>Suppliers_Cap!P39</f>
        <v/>
      </c>
      <c r="Q75" s="21">
        <f>Suppliers_Cap!Q39</f>
        <v/>
      </c>
      <c r="R75" s="21">
        <f>Suppliers_Cap!R39</f>
        <v/>
      </c>
      <c r="S75" s="88">
        <f>MAX(D75:R75)</f>
        <v/>
      </c>
      <c r="AI75" s="90" t="n"/>
    </row>
    <row r="76">
      <c r="C76" s="15" t="n">
        <v>2</v>
      </c>
      <c r="D76" s="21">
        <f>Suppliers_Cap!D40</f>
        <v/>
      </c>
      <c r="E76" s="21">
        <f>Suppliers_Cap!E40</f>
        <v/>
      </c>
      <c r="F76" s="21">
        <f>Suppliers_Cap!F40</f>
        <v/>
      </c>
      <c r="G76" s="21">
        <f>Suppliers_Cap!G40</f>
        <v/>
      </c>
      <c r="H76" s="21">
        <f>Suppliers_Cap!H40</f>
        <v/>
      </c>
      <c r="I76" s="21">
        <f>Suppliers_Cap!I40</f>
        <v/>
      </c>
      <c r="J76" s="21">
        <f>Suppliers_Cap!J40</f>
        <v/>
      </c>
      <c r="K76" s="21">
        <f>Suppliers_Cap!K40</f>
        <v/>
      </c>
      <c r="L76" s="21">
        <f>Suppliers_Cap!L40</f>
        <v/>
      </c>
      <c r="M76" s="21">
        <f>Suppliers_Cap!M40</f>
        <v/>
      </c>
      <c r="N76" s="21">
        <f>Suppliers_Cap!N40</f>
        <v/>
      </c>
      <c r="O76" s="21">
        <f>Suppliers_Cap!O40</f>
        <v/>
      </c>
      <c r="P76" s="21">
        <f>Suppliers_Cap!P40</f>
        <v/>
      </c>
      <c r="Q76" s="21">
        <f>Suppliers_Cap!Q40</f>
        <v/>
      </c>
      <c r="R76" s="21">
        <f>Suppliers_Cap!R40</f>
        <v/>
      </c>
      <c r="S76" s="88">
        <f>MAX(D76:R76)</f>
        <v/>
      </c>
      <c r="AI76" s="90" t="n"/>
    </row>
    <row r="77">
      <c r="C77" s="15" t="n">
        <v>3</v>
      </c>
      <c r="D77" s="21">
        <f>Suppliers_Cap!D41</f>
        <v/>
      </c>
      <c r="E77" s="21">
        <f>Suppliers_Cap!E41</f>
        <v/>
      </c>
      <c r="F77" s="21">
        <f>Suppliers_Cap!F41</f>
        <v/>
      </c>
      <c r="G77" s="21">
        <f>Suppliers_Cap!G41</f>
        <v/>
      </c>
      <c r="H77" s="21">
        <f>Suppliers_Cap!H41</f>
        <v/>
      </c>
      <c r="I77" s="21">
        <f>Suppliers_Cap!I41</f>
        <v/>
      </c>
      <c r="J77" s="21">
        <f>Suppliers_Cap!J41</f>
        <v/>
      </c>
      <c r="K77" s="21">
        <f>Suppliers_Cap!K41</f>
        <v/>
      </c>
      <c r="L77" s="21">
        <f>Suppliers_Cap!L41</f>
        <v/>
      </c>
      <c r="M77" s="21">
        <f>Suppliers_Cap!M41</f>
        <v/>
      </c>
      <c r="N77" s="21">
        <f>Suppliers_Cap!N41</f>
        <v/>
      </c>
      <c r="O77" s="21">
        <f>Suppliers_Cap!O41</f>
        <v/>
      </c>
      <c r="P77" s="21">
        <f>Suppliers_Cap!P41</f>
        <v/>
      </c>
      <c r="Q77" s="21">
        <f>Suppliers_Cap!Q41</f>
        <v/>
      </c>
      <c r="R77" s="21">
        <f>Suppliers_Cap!R41</f>
        <v/>
      </c>
      <c r="S77" s="88">
        <f>MAX(D77:R77)</f>
        <v/>
      </c>
      <c r="AI77" s="90" t="n"/>
    </row>
    <row r="80">
      <c r="B80" s="18" t="inlineStr">
        <is>
          <t>Min Rep</t>
        </is>
      </c>
      <c r="C80" s="18" t="inlineStr">
        <is>
          <t>2*ELTw-RunOutTimew</t>
        </is>
      </c>
      <c r="D80" s="21">
        <f>IF(D63&lt;0,"Inesgotável",(2*D4-D63))</f>
        <v/>
      </c>
      <c r="E80" s="21">
        <f>IF(E63&lt;0,"Inesgotável",(2*E4-E63))</f>
        <v/>
      </c>
      <c r="F80" s="21">
        <f>IF(F63&lt;0,"Inesgotável",(2*F4-F63))</f>
        <v/>
      </c>
      <c r="G80" s="21">
        <f>IF(G63&lt;0,"Inesgotável",(2*G4-G63))</f>
        <v/>
      </c>
      <c r="H80" s="21">
        <f>IF(H63&lt;0,"Inesgotável",(2*H4-H63))</f>
        <v/>
      </c>
      <c r="I80" s="21">
        <f>IF(I63&lt;0,"Inesgotável",(2*I4-I63))</f>
        <v/>
      </c>
      <c r="J80" s="21">
        <f>IF(J63&lt;0,"Inesgotável",(2*J4-J63))</f>
        <v/>
      </c>
      <c r="K80" s="21">
        <f>IF(K63&lt;0,"Inesgotável",(2*K4-K63))</f>
        <v/>
      </c>
      <c r="L80" s="21">
        <f>IF(L63&lt;0,"Inesgotável",(2*L4-L63))</f>
        <v/>
      </c>
      <c r="M80" s="21">
        <f>IF(M63&lt;0,"Inesgotável",(2*M4-M63))</f>
        <v/>
      </c>
      <c r="N80" s="21">
        <f>IF(N63&lt;0,"Inesgotável",(2*N4-N63))</f>
        <v/>
      </c>
      <c r="O80" s="21">
        <f>IF(O63&lt;0,"Inesgotável",(2*O4-O63))</f>
        <v/>
      </c>
      <c r="P80" s="21">
        <f>IF(P63&lt;0,"Inesgotável",(2*P4-P63))</f>
        <v/>
      </c>
      <c r="Q80" s="21">
        <f>IF(Q63&lt;0,"Inesgotável",(2*Q4-Q63))</f>
        <v/>
      </c>
      <c r="R80" s="21">
        <f>IF(R63&lt;0,"Inesgotável",(2*R4-R63))</f>
        <v/>
      </c>
      <c r="AJ80" s="58" t="n"/>
    </row>
    <row r="81">
      <c r="D81" s="21">
        <f>IF(D64&lt;0,"Inesgotável",(2*D5-D64))</f>
        <v/>
      </c>
      <c r="E81" s="21">
        <f>IF(E64&lt;0,"Inesgotável",(2*E5-E64))</f>
        <v/>
      </c>
      <c r="F81" s="21">
        <f>IF(F64&lt;0,"Inesgotável",(2*F5-F64))</f>
        <v/>
      </c>
      <c r="G81" s="21">
        <f>IF(G64&lt;0,"Inesgotável",(2*G5-G64))</f>
        <v/>
      </c>
      <c r="H81" s="21">
        <f>IF(H64&lt;0,"Inesgotável",(2*H5-H64))</f>
        <v/>
      </c>
      <c r="I81" s="21">
        <f>IF(I64&lt;0,"Inesgotável",(2*I5-I64))</f>
        <v/>
      </c>
      <c r="J81" s="21">
        <f>IF(J64&lt;0,"Inesgotável",(2*J5-J64))</f>
        <v/>
      </c>
      <c r="K81" s="21">
        <f>IF(K64&lt;0,"Inesgotável",(2*K5-K64))</f>
        <v/>
      </c>
      <c r="L81" s="21">
        <f>IF(L64&lt;0,"Inesgotável",(2*L5-L64))</f>
        <v/>
      </c>
      <c r="M81" s="21">
        <f>IF(M64&lt;0,"Inesgotável",(2*M5-M64))</f>
        <v/>
      </c>
      <c r="N81" s="21">
        <f>IF(N64&lt;0,"Inesgotável",(2*N5-N64))</f>
        <v/>
      </c>
      <c r="O81" s="21">
        <f>IF(O64&lt;0,"Inesgotável",(2*O5-O64))</f>
        <v/>
      </c>
      <c r="P81" s="21">
        <f>IF(P64&lt;0,"Inesgotável",(2*P5-P64))</f>
        <v/>
      </c>
      <c r="Q81" s="21">
        <f>IF(Q64&lt;0,"Inesgotável",(2*Q5-Q64))</f>
        <v/>
      </c>
      <c r="R81" s="21">
        <f>IF(R64&lt;0,"Inesgotável",(2*R5-R64))</f>
        <v/>
      </c>
      <c r="AJ81" s="58" t="n"/>
    </row>
    <row r="82">
      <c r="D82" s="21">
        <f>IF(D65&lt;0,"Inesgotável",(2*D6-D65))</f>
        <v/>
      </c>
      <c r="E82" s="21">
        <f>IF(E65&lt;0,"Inesgotável",(2*E6-E65))</f>
        <v/>
      </c>
      <c r="F82" s="21">
        <f>IF(F65&lt;0,"Inesgotável",(2*F6-F65))</f>
        <v/>
      </c>
      <c r="G82" s="21">
        <f>IF(G65&lt;0,"Inesgotável",(2*G6-G65))</f>
        <v/>
      </c>
      <c r="H82" s="21">
        <f>IF(H65&lt;0,"Inesgotável",(2*H6-H65))</f>
        <v/>
      </c>
      <c r="I82" s="21">
        <f>IF(I65&lt;0,"Inesgotável",(2*I6-I65))</f>
        <v/>
      </c>
      <c r="J82" s="21">
        <f>IF(J65&lt;0,"Inesgotável",(2*J6-J65))</f>
        <v/>
      </c>
      <c r="K82" s="21">
        <f>IF(K65&lt;0,"Inesgotável",(2*K6-K65))</f>
        <v/>
      </c>
      <c r="L82" s="21">
        <f>IF(L65&lt;0,"Inesgotável",(2*L6-L65))</f>
        <v/>
      </c>
      <c r="M82" s="21">
        <f>IF(M65&lt;0,"Inesgotável",(2*M6-M65))</f>
        <v/>
      </c>
      <c r="N82" s="21">
        <f>IF(N65&lt;0,"Inesgotável",(2*N6-N65))</f>
        <v/>
      </c>
      <c r="O82" s="21">
        <f>IF(O65&lt;0,"Inesgotável",(2*O6-O65))</f>
        <v/>
      </c>
      <c r="P82" s="21">
        <f>IF(P65&lt;0,"Inesgotável",(2*P6-P65))</f>
        <v/>
      </c>
      <c r="Q82" s="21">
        <f>IF(Q65&lt;0,"Inesgotável",(2*Q6-Q65))</f>
        <v/>
      </c>
      <c r="R82" s="21">
        <f>IF(R65&lt;0,"Inesgotável",(2*R6-R65))</f>
        <v/>
      </c>
      <c r="AJ82" s="58" t="n"/>
    </row>
    <row r="85">
      <c r="C85" s="15" t="inlineStr">
        <is>
          <t>SigmaELTw</t>
        </is>
      </c>
      <c r="D85" s="15" t="n">
        <v>1</v>
      </c>
      <c r="E85" s="15" t="n">
        <v>2</v>
      </c>
      <c r="F85" s="15" t="n">
        <v>3</v>
      </c>
      <c r="G85" s="15" t="n">
        <v>4</v>
      </c>
      <c r="H85" s="15" t="n">
        <v>5</v>
      </c>
      <c r="I85" s="15" t="n">
        <v>6</v>
      </c>
      <c r="J85" s="15" t="n">
        <v>7</v>
      </c>
      <c r="K85" s="15" t="n">
        <v>8</v>
      </c>
      <c r="L85" s="15" t="n">
        <v>9</v>
      </c>
      <c r="M85" s="15" t="n">
        <v>10</v>
      </c>
      <c r="N85" s="15" t="n">
        <v>11</v>
      </c>
      <c r="O85" s="15" t="n">
        <v>12</v>
      </c>
      <c r="P85" s="15" t="n">
        <v>13</v>
      </c>
      <c r="Q85" s="15" t="n">
        <v>14</v>
      </c>
      <c r="R85" s="15" t="n">
        <v>15</v>
      </c>
    </row>
    <row r="86">
      <c r="C86" s="15" t="n">
        <v>1</v>
      </c>
      <c r="D86" s="21">
        <f>Suppliers!I27</f>
        <v/>
      </c>
      <c r="E86" s="21">
        <f>Suppliers!J27</f>
        <v/>
      </c>
      <c r="F86" s="21">
        <f>Suppliers!K27</f>
        <v/>
      </c>
      <c r="G86" s="21">
        <f>Suppliers!L27</f>
        <v/>
      </c>
      <c r="H86" s="21">
        <f>Suppliers!M27</f>
        <v/>
      </c>
      <c r="I86" s="21">
        <f>Suppliers!N27</f>
        <v/>
      </c>
      <c r="J86" s="21">
        <f>Suppliers!O27</f>
        <v/>
      </c>
      <c r="K86" s="21">
        <f>Suppliers!P27</f>
        <v/>
      </c>
      <c r="L86" s="21">
        <f>Suppliers!Q27</f>
        <v/>
      </c>
      <c r="M86" s="21">
        <f>Suppliers!R27</f>
        <v/>
      </c>
      <c r="N86" s="21">
        <f>Suppliers!S27</f>
        <v/>
      </c>
      <c r="O86" s="21">
        <f>Suppliers!T27</f>
        <v/>
      </c>
      <c r="P86" s="21">
        <f>Suppliers!U27</f>
        <v/>
      </c>
      <c r="Q86" s="21">
        <f>Suppliers!V27</f>
        <v/>
      </c>
      <c r="R86" s="21">
        <f>Suppliers!W27</f>
        <v/>
      </c>
    </row>
    <row r="87">
      <c r="C87" s="15" t="n">
        <v>2</v>
      </c>
      <c r="D87" s="21">
        <f>Suppliers!I28</f>
        <v/>
      </c>
      <c r="E87" s="21">
        <f>Suppliers!J28</f>
        <v/>
      </c>
      <c r="F87" s="21">
        <f>Suppliers!K28</f>
        <v/>
      </c>
      <c r="G87" s="21">
        <f>Suppliers!L28</f>
        <v/>
      </c>
      <c r="H87" s="21">
        <f>Suppliers!M28</f>
        <v/>
      </c>
      <c r="I87" s="21">
        <f>Suppliers!N28</f>
        <v/>
      </c>
      <c r="J87" s="21">
        <f>Suppliers!O28</f>
        <v/>
      </c>
      <c r="K87" s="21">
        <f>Suppliers!P28</f>
        <v/>
      </c>
      <c r="L87" s="21">
        <f>Suppliers!Q28</f>
        <v/>
      </c>
      <c r="M87" s="21">
        <f>Suppliers!R28</f>
        <v/>
      </c>
      <c r="N87" s="21">
        <f>Suppliers!S28</f>
        <v/>
      </c>
      <c r="O87" s="21">
        <f>Suppliers!T28</f>
        <v/>
      </c>
      <c r="P87" s="21">
        <f>Suppliers!U28</f>
        <v/>
      </c>
      <c r="Q87" s="21">
        <f>Suppliers!V28</f>
        <v/>
      </c>
      <c r="R87" s="21">
        <f>Suppliers!W28</f>
        <v/>
      </c>
    </row>
    <row r="88">
      <c r="C88" s="15" t="n">
        <v>3</v>
      </c>
      <c r="D88" s="21">
        <f>Suppliers!I29</f>
        <v/>
      </c>
      <c r="E88" s="21">
        <f>Suppliers!J29</f>
        <v/>
      </c>
      <c r="F88" s="21">
        <f>Suppliers!K29</f>
        <v/>
      </c>
      <c r="G88" s="21">
        <f>Suppliers!L29</f>
        <v/>
      </c>
      <c r="H88" s="21">
        <f>Suppliers!M29</f>
        <v/>
      </c>
      <c r="I88" s="21">
        <f>Suppliers!N29</f>
        <v/>
      </c>
      <c r="J88" s="21">
        <f>Suppliers!O29</f>
        <v/>
      </c>
      <c r="K88" s="21">
        <f>Suppliers!P29</f>
        <v/>
      </c>
      <c r="L88" s="21">
        <f>Suppliers!Q29</f>
        <v/>
      </c>
      <c r="M88" s="21">
        <f>Suppliers!R29</f>
        <v/>
      </c>
      <c r="N88" s="21">
        <f>Suppliers!S29</f>
        <v/>
      </c>
      <c r="O88" s="21">
        <f>Suppliers!T29</f>
        <v/>
      </c>
      <c r="P88" s="21">
        <f>Suppliers!U29</f>
        <v/>
      </c>
      <c r="Q88" s="21">
        <f>Suppliers!V29</f>
        <v/>
      </c>
      <c r="R88" s="21">
        <f>Suppliers!W29</f>
        <v/>
      </c>
    </row>
    <row r="91">
      <c r="C91" s="15" t="inlineStr">
        <is>
          <t>vZw</t>
        </is>
      </c>
      <c r="D91" s="15" t="n">
        <v>1</v>
      </c>
      <c r="E91" s="15" t="n">
        <v>2</v>
      </c>
      <c r="F91" s="15" t="n">
        <v>3</v>
      </c>
      <c r="G91" s="15" t="n">
        <v>4</v>
      </c>
      <c r="H91" s="15" t="n">
        <v>5</v>
      </c>
      <c r="I91" s="15" t="n">
        <v>6</v>
      </c>
      <c r="J91" s="15" t="n">
        <v>7</v>
      </c>
      <c r="K91" s="15" t="n">
        <v>8</v>
      </c>
      <c r="L91" s="15" t="n">
        <v>9</v>
      </c>
      <c r="M91" s="15" t="n">
        <v>10</v>
      </c>
      <c r="N91" s="15" t="n">
        <v>11</v>
      </c>
      <c r="O91" s="15" t="n">
        <v>12</v>
      </c>
      <c r="P91" s="15" t="n">
        <v>13</v>
      </c>
      <c r="Q91" s="15" t="n">
        <v>14</v>
      </c>
      <c r="R91" s="15" t="n">
        <v>15</v>
      </c>
      <c r="U91" s="19" t="n"/>
      <c r="V91" s="19" t="n"/>
      <c r="W91" s="19" t="n"/>
      <c r="X91" s="19" t="n"/>
      <c r="Y91" s="19" t="n"/>
      <c r="Z91" s="19" t="n"/>
      <c r="AA91" s="19" t="n"/>
      <c r="AB91" s="19" t="n"/>
      <c r="AC91" s="19" t="n"/>
      <c r="AD91" s="19" t="n"/>
      <c r="AE91" s="19" t="n"/>
      <c r="AF91" s="19" t="n"/>
      <c r="AG91" s="19" t="n"/>
      <c r="AH91" s="19" t="n"/>
      <c r="AI91" s="19" t="n"/>
      <c r="AJ91" s="19" t="n"/>
    </row>
    <row r="92">
      <c r="C92" s="15" t="n">
        <v>1</v>
      </c>
      <c r="D92" s="33" t="n">
        <v>3</v>
      </c>
      <c r="E92" s="33" t="n">
        <v>3</v>
      </c>
      <c r="F92" s="33" t="n">
        <v>3</v>
      </c>
      <c r="G92" s="33" t="n">
        <v>3</v>
      </c>
      <c r="H92" s="33" t="n">
        <v>2.846919681388357</v>
      </c>
      <c r="I92" s="33" t="n">
        <v>2.933269938985074</v>
      </c>
      <c r="J92" s="33" t="n">
        <v>3</v>
      </c>
      <c r="K92" s="33" t="n">
        <v>2.912040774193578</v>
      </c>
      <c r="L92" s="33" t="n">
        <v>2.88986104034959</v>
      </c>
      <c r="M92" s="33" t="n">
        <v>3</v>
      </c>
      <c r="N92" s="33" t="n">
        <v>0</v>
      </c>
      <c r="O92" s="33" t="n">
        <v>3</v>
      </c>
      <c r="P92" s="33" t="n">
        <v>2.869398330313633</v>
      </c>
      <c r="Q92" s="33" t="n">
        <v>2.908944102145295</v>
      </c>
      <c r="R92" s="33" t="n">
        <v>2.904196521195185</v>
      </c>
      <c r="T92" s="19" t="n"/>
    </row>
    <row r="93">
      <c r="C93" s="15" t="n">
        <v>2</v>
      </c>
      <c r="D93" s="33" t="n">
        <v>2.869504921047543</v>
      </c>
      <c r="E93" s="33" t="n">
        <v>2.86351958203284</v>
      </c>
      <c r="F93" s="33" t="n">
        <v>3</v>
      </c>
      <c r="G93" s="33" t="n">
        <v>3</v>
      </c>
      <c r="H93" s="33" t="n">
        <v>0</v>
      </c>
      <c r="I93" s="33" t="n">
        <v>2.861756853694551</v>
      </c>
      <c r="J93" s="33" t="n">
        <v>0</v>
      </c>
      <c r="K93" s="33" t="n">
        <v>3</v>
      </c>
      <c r="L93" s="33" t="n">
        <v>3</v>
      </c>
      <c r="M93" s="33" t="n">
        <v>2.883031499822742</v>
      </c>
      <c r="N93" s="33" t="n">
        <v>3</v>
      </c>
      <c r="O93" s="33" t="n">
        <v>2.865501936947233</v>
      </c>
      <c r="P93" s="33" t="n">
        <v>2.866889347468788</v>
      </c>
      <c r="Q93" s="33" t="n">
        <v>2.849549660721877</v>
      </c>
      <c r="R93" s="33" t="n">
        <v>2.869340252061225</v>
      </c>
      <c r="T93" s="19" t="n"/>
    </row>
    <row r="94">
      <c r="C94" s="15" t="n">
        <v>3</v>
      </c>
      <c r="D94" s="33" t="n">
        <v>2.932171237478112</v>
      </c>
      <c r="E94" s="33" t="n">
        <v>3</v>
      </c>
      <c r="F94" s="33" t="n">
        <v>3</v>
      </c>
      <c r="G94" s="33" t="n">
        <v>2.867869006964831</v>
      </c>
      <c r="H94" s="33" t="n">
        <v>3</v>
      </c>
      <c r="I94" s="33" t="n">
        <v>2.968912547484024</v>
      </c>
      <c r="J94" s="33" t="n">
        <v>3</v>
      </c>
      <c r="K94" s="33" t="n">
        <v>3</v>
      </c>
      <c r="L94" s="33" t="n">
        <v>3</v>
      </c>
      <c r="M94" s="33" t="n">
        <v>3</v>
      </c>
      <c r="N94" s="33" t="n">
        <v>2.942994690550059</v>
      </c>
      <c r="O94" s="33" t="n">
        <v>0</v>
      </c>
      <c r="P94" s="33" t="n">
        <v>3</v>
      </c>
      <c r="Q94" s="33" t="n">
        <v>3</v>
      </c>
      <c r="R94" s="33" t="n">
        <v>2.86881537860544</v>
      </c>
      <c r="T94" s="19" t="n"/>
    </row>
    <row r="96">
      <c r="F96" s="88" t="n"/>
    </row>
    <row r="97">
      <c r="C97" s="15" t="inlineStr">
        <is>
          <t>vZw*SigmaELTw</t>
        </is>
      </c>
      <c r="D97" s="15" t="n">
        <v>1</v>
      </c>
      <c r="E97" s="15" t="n">
        <v>2</v>
      </c>
      <c r="F97" s="15" t="n">
        <v>3</v>
      </c>
      <c r="G97" s="15" t="n">
        <v>4</v>
      </c>
      <c r="H97" s="15" t="n">
        <v>5</v>
      </c>
      <c r="I97" s="15" t="n">
        <v>6</v>
      </c>
      <c r="J97" s="15" t="n">
        <v>7</v>
      </c>
      <c r="K97" s="15" t="n">
        <v>8</v>
      </c>
      <c r="L97" s="15" t="n">
        <v>9</v>
      </c>
      <c r="M97" s="15" t="n">
        <v>10</v>
      </c>
      <c r="N97" s="15" t="n">
        <v>11</v>
      </c>
      <c r="O97" s="15" t="n">
        <v>12</v>
      </c>
      <c r="P97" s="15" t="n">
        <v>13</v>
      </c>
      <c r="Q97" s="15" t="n">
        <v>14</v>
      </c>
      <c r="R97" s="15" t="n">
        <v>15</v>
      </c>
    </row>
    <row r="98">
      <c r="C98" s="15" t="n">
        <v>1</v>
      </c>
      <c r="D98" s="21">
        <f>D92*D86</f>
        <v/>
      </c>
      <c r="E98" s="21">
        <f>E92*E86</f>
        <v/>
      </c>
      <c r="F98" s="21">
        <f>F92*F86</f>
        <v/>
      </c>
      <c r="G98" s="21">
        <f>G92*G86</f>
        <v/>
      </c>
      <c r="H98" s="21">
        <f>H92*H86</f>
        <v/>
      </c>
      <c r="I98" s="21">
        <f>I92*I86</f>
        <v/>
      </c>
      <c r="J98" s="21">
        <f>J92*J86</f>
        <v/>
      </c>
      <c r="K98" s="21">
        <f>K92*K86</f>
        <v/>
      </c>
      <c r="L98" s="21">
        <f>L92*L86</f>
        <v/>
      </c>
      <c r="M98" s="21">
        <f>M92*M86</f>
        <v/>
      </c>
      <c r="N98" s="21">
        <f>N92*N86</f>
        <v/>
      </c>
      <c r="O98" s="21">
        <f>O92*O86</f>
        <v/>
      </c>
      <c r="P98" s="21">
        <f>P92*P86</f>
        <v/>
      </c>
      <c r="Q98" s="21">
        <f>Q92*Q86</f>
        <v/>
      </c>
      <c r="R98" s="21">
        <f>R92*R86</f>
        <v/>
      </c>
    </row>
    <row r="99">
      <c r="C99" s="15" t="n">
        <v>2</v>
      </c>
      <c r="D99" s="21">
        <f>D93*D87</f>
        <v/>
      </c>
      <c r="E99" s="21">
        <f>E93*E87</f>
        <v/>
      </c>
      <c r="F99" s="21">
        <f>F93*F87</f>
        <v/>
      </c>
      <c r="G99" s="21">
        <f>G93*G87</f>
        <v/>
      </c>
      <c r="H99" s="21">
        <f>H93*H87</f>
        <v/>
      </c>
      <c r="I99" s="21">
        <f>I93*I87</f>
        <v/>
      </c>
      <c r="J99" s="21">
        <f>J93*J87</f>
        <v/>
      </c>
      <c r="K99" s="21">
        <f>K93*K87</f>
        <v/>
      </c>
      <c r="L99" s="21">
        <f>L93*L87</f>
        <v/>
      </c>
      <c r="M99" s="21">
        <f>M93*M87</f>
        <v/>
      </c>
      <c r="N99" s="21">
        <f>N93*N87</f>
        <v/>
      </c>
      <c r="O99" s="21">
        <f>O93*O87</f>
        <v/>
      </c>
      <c r="P99" s="21">
        <f>P93*P87</f>
        <v/>
      </c>
      <c r="Q99" s="21">
        <f>Q93*Q87</f>
        <v/>
      </c>
      <c r="R99" s="21">
        <f>R93*R87</f>
        <v/>
      </c>
    </row>
    <row r="100">
      <c r="C100" s="15" t="n">
        <v>3</v>
      </c>
      <c r="D100" s="21">
        <f>D94*D88</f>
        <v/>
      </c>
      <c r="E100" s="21">
        <f>E94*E88</f>
        <v/>
      </c>
      <c r="F100" s="21">
        <f>F94*F88</f>
        <v/>
      </c>
      <c r="G100" s="21">
        <f>G94*G88</f>
        <v/>
      </c>
      <c r="H100" s="21">
        <f>H94*H88</f>
        <v/>
      </c>
      <c r="I100" s="21">
        <f>I94*I88</f>
        <v/>
      </c>
      <c r="J100" s="21">
        <f>J94*J88</f>
        <v/>
      </c>
      <c r="K100" s="21">
        <f>K94*K88</f>
        <v/>
      </c>
      <c r="L100" s="21">
        <f>L94*L88</f>
        <v/>
      </c>
      <c r="M100" s="21">
        <f>M94*M88</f>
        <v/>
      </c>
      <c r="N100" s="21">
        <f>N94*N88</f>
        <v/>
      </c>
      <c r="O100" s="21">
        <f>O94*O88</f>
        <v/>
      </c>
      <c r="P100" s="21">
        <f>P94*P88</f>
        <v/>
      </c>
      <c r="Q100" s="21">
        <f>Q94*Q88</f>
        <v/>
      </c>
      <c r="R100" s="21">
        <f>R94*R88</f>
        <v/>
      </c>
    </row>
    <row r="103">
      <c r="C103" s="15" t="inlineStr">
        <is>
          <t>RunOutTimew - ELTw</t>
        </is>
      </c>
      <c r="D103" s="15" t="n">
        <v>1</v>
      </c>
      <c r="E103" s="15" t="n">
        <v>2</v>
      </c>
      <c r="F103" s="15" t="n">
        <v>3</v>
      </c>
      <c r="G103" s="15" t="n">
        <v>4</v>
      </c>
      <c r="H103" s="15" t="n">
        <v>5</v>
      </c>
      <c r="I103" s="15" t="n">
        <v>6</v>
      </c>
      <c r="J103" s="15" t="n">
        <v>7</v>
      </c>
      <c r="K103" s="15" t="n">
        <v>8</v>
      </c>
      <c r="L103" s="15" t="n">
        <v>9</v>
      </c>
      <c r="M103" s="15" t="n">
        <v>10</v>
      </c>
      <c r="N103" s="15" t="n">
        <v>11</v>
      </c>
      <c r="O103" s="15" t="n">
        <v>12</v>
      </c>
      <c r="P103" s="15" t="n">
        <v>13</v>
      </c>
      <c r="Q103" s="15" t="n">
        <v>14</v>
      </c>
      <c r="R103" s="15" t="n">
        <v>15</v>
      </c>
    </row>
    <row r="104">
      <c r="C104" s="15" t="n">
        <v>1</v>
      </c>
      <c r="D104" s="21">
        <f>IF(D63&lt;0,"inexhaustible",D63-D4)</f>
        <v/>
      </c>
      <c r="E104" s="21">
        <f>IF(E63&lt;0,"inexhaustible",E63-E4)</f>
        <v/>
      </c>
      <c r="F104" s="21">
        <f>IF(F63&lt;0,"inexhaustible",F63-F4)</f>
        <v/>
      </c>
      <c r="G104" s="21">
        <f>IF(G63&lt;0,"inexhaustible",G63-G4)</f>
        <v/>
      </c>
      <c r="H104" s="21">
        <f>IF(H63&lt;0,"inexhaustible",H63-H4)</f>
        <v/>
      </c>
      <c r="I104" s="21">
        <f>IF(I63&lt;0,"inexhaustible",I63-I4)</f>
        <v/>
      </c>
      <c r="J104" s="21">
        <f>IF(J63&lt;0,"inexhaustible",J63-J4)</f>
        <v/>
      </c>
      <c r="K104" s="21">
        <f>IF(K63&lt;0,"inexhaustible",K63-K4)</f>
        <v/>
      </c>
      <c r="L104" s="21">
        <f>IF(L63&lt;0,"inexhaustible",L63-L4)</f>
        <v/>
      </c>
      <c r="M104" s="21">
        <f>IF(M63&lt;0,"inexhaustible",M63-M4)</f>
        <v/>
      </c>
      <c r="N104" s="21">
        <f>IF(N63&lt;0,"inexhaustible",N63-N4)</f>
        <v/>
      </c>
      <c r="O104" s="21">
        <f>IF(O63&lt;0,"inexhaustible",O63-O4)</f>
        <v/>
      </c>
      <c r="P104" s="21">
        <f>IF(P63&lt;0,"inexhaustible",P63-P4)</f>
        <v/>
      </c>
      <c r="Q104" s="21">
        <f>IF(Q63&lt;0,"inexhaustible",Q63-Q4)</f>
        <v/>
      </c>
      <c r="R104" s="21">
        <f>IF(R63&lt;0,"inexhaustible",R63-R4)</f>
        <v/>
      </c>
    </row>
    <row r="105">
      <c r="C105" s="15" t="n">
        <v>2</v>
      </c>
      <c r="D105" s="21">
        <f>IF(D64&lt;0,"inexhaustible",D64-D5)</f>
        <v/>
      </c>
      <c r="E105" s="21">
        <f>IF(E64&lt;0,"inexhaustible",E64-E5)</f>
        <v/>
      </c>
      <c r="F105" s="21">
        <f>IF(F64&lt;0,"inexhaustible",F64-F5)</f>
        <v/>
      </c>
      <c r="G105" s="21">
        <f>IF(G64&lt;0,"inexhaustible",G64-G5)</f>
        <v/>
      </c>
      <c r="H105" s="21">
        <f>IF(H64&lt;0,"inexhaustible",H64-H5)</f>
        <v/>
      </c>
      <c r="I105" s="21">
        <f>IF(I64&lt;0,"inexhaustible",I64-I5)</f>
        <v/>
      </c>
      <c r="J105" s="21">
        <f>IF(J64&lt;0,"inexhaustible",J64-J5)</f>
        <v/>
      </c>
      <c r="K105" s="21">
        <f>IF(K64&lt;0,"inexhaustible",K64-K5)</f>
        <v/>
      </c>
      <c r="L105" s="21">
        <f>IF(L64&lt;0,"inexhaustible",L64-L5)</f>
        <v/>
      </c>
      <c r="M105" s="21">
        <f>IF(M64&lt;0,"inexhaustible",M64-M5)</f>
        <v/>
      </c>
      <c r="N105" s="21">
        <f>IF(N64&lt;0,"inexhaustible",N64-N5)</f>
        <v/>
      </c>
      <c r="O105" s="21">
        <f>IF(O64&lt;0,"inexhaustible",O64-O5)</f>
        <v/>
      </c>
      <c r="P105" s="21">
        <f>IF(P64&lt;0,"inexhaustible",P64-P5)</f>
        <v/>
      </c>
      <c r="Q105" s="21">
        <f>IF(Q64&lt;0,"inexhaustible",Q64-Q5)</f>
        <v/>
      </c>
      <c r="R105" s="21">
        <f>IF(R64&lt;0,"inexhaustible",R64-R5)</f>
        <v/>
      </c>
    </row>
    <row r="106">
      <c r="C106" s="15" t="n">
        <v>3</v>
      </c>
      <c r="D106" s="21">
        <f>IF(D65&lt;0,"inexhaustible",D65-D6)</f>
        <v/>
      </c>
      <c r="E106" s="21">
        <f>IF(E65&lt;0,"inexhaustible",E65-E6)</f>
        <v/>
      </c>
      <c r="F106" s="21">
        <f>IF(F65&lt;0,"inexhaustible",F65-F6)</f>
        <v/>
      </c>
      <c r="G106" s="21">
        <f>IF(G65&lt;0,"inexhaustible",G65-G6)</f>
        <v/>
      </c>
      <c r="H106" s="21">
        <f>IF(H65&lt;0,"inexhaustible",H65-H6)</f>
        <v/>
      </c>
      <c r="I106" s="21">
        <f>IF(I65&lt;0,"inexhaustible",I65-I6)</f>
        <v/>
      </c>
      <c r="J106" s="21">
        <f>IF(J65&lt;0,"inexhaustible",J65-J6)</f>
        <v/>
      </c>
      <c r="K106" s="21">
        <f>IF(K65&lt;0,"inexhaustible",K65-K6)</f>
        <v/>
      </c>
      <c r="L106" s="21">
        <f>IF(L65&lt;0,"inexhaustible",L65-L6)</f>
        <v/>
      </c>
      <c r="M106" s="21">
        <f>IF(M65&lt;0,"inexhaustible",M65-M6)</f>
        <v/>
      </c>
      <c r="N106" s="21">
        <f>IF(N65&lt;0,"inexhaustible",N65-N6)</f>
        <v/>
      </c>
      <c r="O106" s="21">
        <f>IF(O65&lt;0,"inexhaustible",O65-O6)</f>
        <v/>
      </c>
      <c r="P106" s="21">
        <f>IF(P65&lt;0,"inexhaustible",P65-P6)</f>
        <v/>
      </c>
      <c r="Q106" s="21">
        <f>IF(Q65&lt;0,"inexhaustible",Q65-Q6)</f>
        <v/>
      </c>
      <c r="R106" s="21">
        <f>IF(R65&lt;0,"inexhaustible",R65-R6)</f>
        <v/>
      </c>
    </row>
    <row r="109">
      <c r="C109" s="18" t="inlineStr">
        <is>
          <t>bOmega1w</t>
        </is>
      </c>
      <c r="D109" s="15" t="n">
        <v>1</v>
      </c>
      <c r="E109" s="15" t="n">
        <v>2</v>
      </c>
      <c r="F109" s="15" t="n">
        <v>3</v>
      </c>
      <c r="G109" s="15" t="n">
        <v>4</v>
      </c>
      <c r="H109" s="15" t="n">
        <v>5</v>
      </c>
      <c r="I109" s="15" t="n">
        <v>6</v>
      </c>
      <c r="J109" s="15" t="n">
        <v>7</v>
      </c>
      <c r="K109" s="15" t="n">
        <v>8</v>
      </c>
      <c r="L109" s="15" t="n">
        <v>9</v>
      </c>
      <c r="M109" s="15" t="n">
        <v>10</v>
      </c>
      <c r="N109" s="15" t="n">
        <v>11</v>
      </c>
      <c r="O109" s="15" t="n">
        <v>12</v>
      </c>
      <c r="P109" s="15" t="n">
        <v>13</v>
      </c>
      <c r="Q109" s="15" t="n">
        <v>14</v>
      </c>
      <c r="R109" s="15" t="n">
        <v>15</v>
      </c>
    </row>
    <row r="110">
      <c r="C110" s="15" t="n">
        <v>1</v>
      </c>
      <c r="D110" s="27" t="n">
        <v>0</v>
      </c>
      <c r="E110" s="27" t="n">
        <v>0</v>
      </c>
      <c r="F110" s="27" t="n">
        <v>0</v>
      </c>
      <c r="G110" s="27" t="n">
        <v>0</v>
      </c>
      <c r="H110" s="27" t="n">
        <v>1</v>
      </c>
      <c r="I110" s="27" t="n">
        <v>0</v>
      </c>
      <c r="J110" s="27" t="n">
        <v>0</v>
      </c>
      <c r="K110" s="27" t="n">
        <v>1</v>
      </c>
      <c r="L110" s="27" t="n">
        <v>1</v>
      </c>
      <c r="M110" s="27" t="n">
        <v>0</v>
      </c>
      <c r="N110" s="27" t="n">
        <v>0</v>
      </c>
      <c r="O110" s="27" t="n">
        <v>0</v>
      </c>
      <c r="P110" s="27" t="n">
        <v>1</v>
      </c>
      <c r="Q110" s="27" t="n">
        <v>0</v>
      </c>
      <c r="R110" s="27" t="n">
        <v>0</v>
      </c>
    </row>
    <row r="111">
      <c r="C111" s="15" t="n">
        <v>2</v>
      </c>
      <c r="D111" s="27" t="n">
        <v>1</v>
      </c>
      <c r="E111" s="27" t="n">
        <v>1</v>
      </c>
      <c r="F111" s="27" t="n">
        <v>0</v>
      </c>
      <c r="G111" s="27" t="n">
        <v>0</v>
      </c>
      <c r="H111" s="27" t="n">
        <v>0</v>
      </c>
      <c r="I111" s="27" t="n">
        <v>1</v>
      </c>
      <c r="J111" s="27" t="n">
        <v>0</v>
      </c>
      <c r="K111" s="27" t="n">
        <v>0</v>
      </c>
      <c r="L111" s="27" t="n">
        <v>0</v>
      </c>
      <c r="M111" s="27" t="n">
        <v>1</v>
      </c>
      <c r="N111" s="27" t="n">
        <v>0</v>
      </c>
      <c r="O111" s="27" t="n">
        <v>0</v>
      </c>
      <c r="P111" s="27" t="n">
        <v>1</v>
      </c>
      <c r="Q111" s="27" t="n">
        <v>1</v>
      </c>
      <c r="R111" s="27" t="n">
        <v>1</v>
      </c>
    </row>
    <row r="112">
      <c r="C112" s="15" t="n">
        <v>3</v>
      </c>
      <c r="D112" s="27" t="n">
        <v>0</v>
      </c>
      <c r="E112" s="27" t="n">
        <v>0</v>
      </c>
      <c r="F112" s="27" t="n">
        <v>0</v>
      </c>
      <c r="G112" s="27" t="n">
        <v>1</v>
      </c>
      <c r="H112" s="27" t="n">
        <v>0</v>
      </c>
      <c r="I112" s="27" t="n">
        <v>0</v>
      </c>
      <c r="J112" s="27" t="n">
        <v>0</v>
      </c>
      <c r="K112" s="27" t="n">
        <v>0</v>
      </c>
      <c r="L112" s="27" t="n">
        <v>0</v>
      </c>
      <c r="M112" s="27" t="n">
        <v>0</v>
      </c>
      <c r="N112" s="27" t="n">
        <v>0</v>
      </c>
      <c r="O112" s="27" t="n">
        <v>0</v>
      </c>
      <c r="P112" s="27" t="n">
        <v>0</v>
      </c>
      <c r="Q112" s="27" t="n">
        <v>0</v>
      </c>
      <c r="R112" s="27" t="n">
        <v>1</v>
      </c>
    </row>
    <row r="115">
      <c r="C115" s="18" t="inlineStr">
        <is>
          <t>bOmega2w</t>
        </is>
      </c>
      <c r="D115" s="15" t="n">
        <v>1</v>
      </c>
      <c r="E115" s="15" t="n">
        <v>2</v>
      </c>
      <c r="F115" s="15" t="n">
        <v>3</v>
      </c>
      <c r="G115" s="15" t="n">
        <v>4</v>
      </c>
      <c r="H115" s="15" t="n">
        <v>5</v>
      </c>
      <c r="I115" s="15" t="n">
        <v>6</v>
      </c>
      <c r="J115" s="15" t="n">
        <v>7</v>
      </c>
      <c r="K115" s="15" t="n">
        <v>8</v>
      </c>
      <c r="L115" s="15" t="n">
        <v>9</v>
      </c>
      <c r="M115" s="15" t="n">
        <v>10</v>
      </c>
      <c r="N115" s="15" t="n">
        <v>11</v>
      </c>
      <c r="O115" s="15" t="n">
        <v>12</v>
      </c>
      <c r="P115" s="15" t="n">
        <v>13</v>
      </c>
      <c r="Q115" s="15" t="n">
        <v>14</v>
      </c>
      <c r="R115" s="15" t="n">
        <v>15</v>
      </c>
    </row>
    <row r="116">
      <c r="C116" s="15" t="n">
        <v>1</v>
      </c>
      <c r="D116" s="27" t="n">
        <v>0</v>
      </c>
      <c r="E116" s="27" t="n">
        <v>0</v>
      </c>
      <c r="F116" s="27" t="n">
        <v>0</v>
      </c>
      <c r="G116" s="27" t="n">
        <v>0</v>
      </c>
      <c r="H116" s="27" t="n">
        <v>1</v>
      </c>
      <c r="I116" s="27" t="n">
        <v>0</v>
      </c>
      <c r="J116" s="27" t="n">
        <v>0</v>
      </c>
      <c r="K116" s="27" t="n">
        <v>0</v>
      </c>
      <c r="L116" s="27" t="n">
        <v>0</v>
      </c>
      <c r="M116" s="27" t="n">
        <v>0</v>
      </c>
      <c r="N116" s="27" t="n">
        <v>0</v>
      </c>
      <c r="O116" s="27" t="n">
        <v>0</v>
      </c>
      <c r="P116" s="27" t="n">
        <v>0</v>
      </c>
      <c r="Q116" s="27" t="n">
        <v>0</v>
      </c>
      <c r="R116" s="27" t="n">
        <v>0</v>
      </c>
    </row>
    <row r="117">
      <c r="C117" s="15" t="n">
        <v>2</v>
      </c>
      <c r="D117" s="27" t="n">
        <v>0</v>
      </c>
      <c r="E117" s="27" t="n">
        <v>1</v>
      </c>
      <c r="F117" s="27" t="n">
        <v>0</v>
      </c>
      <c r="G117" s="27" t="n">
        <v>0</v>
      </c>
      <c r="H117" s="27" t="n">
        <v>0</v>
      </c>
      <c r="I117" s="27" t="n">
        <v>0</v>
      </c>
      <c r="J117" s="27" t="n">
        <v>0</v>
      </c>
      <c r="K117" s="27" t="n">
        <v>0</v>
      </c>
      <c r="L117" s="27" t="n">
        <v>0</v>
      </c>
      <c r="M117" s="27" t="n">
        <v>0</v>
      </c>
      <c r="N117" s="27" t="n">
        <v>0</v>
      </c>
      <c r="O117" s="27" t="n">
        <v>0</v>
      </c>
      <c r="P117" s="27" t="n">
        <v>1</v>
      </c>
      <c r="Q117" s="27" t="n">
        <v>0</v>
      </c>
      <c r="R117" s="27" t="n">
        <v>0</v>
      </c>
    </row>
    <row r="118">
      <c r="C118" s="15" t="n">
        <v>3</v>
      </c>
      <c r="D118" s="27" t="n">
        <v>0</v>
      </c>
      <c r="E118" s="27" t="n">
        <v>0</v>
      </c>
      <c r="F118" s="27" t="n">
        <v>0</v>
      </c>
      <c r="G118" s="27" t="n">
        <v>1</v>
      </c>
      <c r="H118" s="27" t="n">
        <v>0</v>
      </c>
      <c r="I118" s="27" t="n">
        <v>0</v>
      </c>
      <c r="J118" s="27" t="n">
        <v>0</v>
      </c>
      <c r="K118" s="27" t="n">
        <v>0</v>
      </c>
      <c r="L118" s="27" t="n">
        <v>0</v>
      </c>
      <c r="M118" s="27" t="n">
        <v>0</v>
      </c>
      <c r="N118" s="27" t="n">
        <v>0</v>
      </c>
      <c r="O118" s="27" t="n">
        <v>0</v>
      </c>
      <c r="P118" s="27" t="n">
        <v>0</v>
      </c>
      <c r="Q118" s="27" t="n">
        <v>0</v>
      </c>
      <c r="R118" s="27" t="n">
        <v>0</v>
      </c>
    </row>
    <row r="121">
      <c r="C121" s="18" t="inlineStr">
        <is>
          <t>bOmega3w</t>
        </is>
      </c>
      <c r="D121" s="15" t="n">
        <v>1</v>
      </c>
      <c r="E121" s="15" t="n">
        <v>2</v>
      </c>
      <c r="F121" s="15" t="n">
        <v>3</v>
      </c>
      <c r="G121" s="15" t="n">
        <v>4</v>
      </c>
      <c r="H121" s="15" t="n">
        <v>5</v>
      </c>
      <c r="I121" s="15" t="n">
        <v>6</v>
      </c>
      <c r="J121" s="15" t="n">
        <v>7</v>
      </c>
      <c r="K121" s="15" t="n">
        <v>8</v>
      </c>
      <c r="L121" s="15" t="n">
        <v>9</v>
      </c>
      <c r="M121" s="15" t="n">
        <v>10</v>
      </c>
      <c r="N121" s="15" t="n">
        <v>11</v>
      </c>
      <c r="O121" s="15" t="n">
        <v>12</v>
      </c>
      <c r="P121" s="15" t="n">
        <v>13</v>
      </c>
      <c r="Q121" s="15" t="n">
        <v>14</v>
      </c>
      <c r="R121" s="15" t="n">
        <v>15</v>
      </c>
    </row>
    <row r="122">
      <c r="C122" s="15" t="n">
        <v>1</v>
      </c>
      <c r="D122" s="27" t="n">
        <v>0</v>
      </c>
      <c r="E122" s="27" t="n">
        <v>0</v>
      </c>
      <c r="F122" s="27" t="n">
        <v>0</v>
      </c>
      <c r="G122" s="27" t="n">
        <v>0</v>
      </c>
      <c r="H122" s="27" t="n">
        <v>0</v>
      </c>
      <c r="I122" s="27" t="n">
        <v>1</v>
      </c>
      <c r="J122" s="27" t="n">
        <v>0</v>
      </c>
      <c r="K122" s="27" t="n">
        <v>0</v>
      </c>
      <c r="L122" s="27" t="n">
        <v>0</v>
      </c>
      <c r="M122" s="27" t="n">
        <v>0</v>
      </c>
      <c r="N122" s="27" t="n">
        <v>0</v>
      </c>
      <c r="O122" s="27" t="n">
        <v>0</v>
      </c>
      <c r="P122" s="27" t="n">
        <v>0</v>
      </c>
      <c r="Q122" s="27" t="n">
        <v>1</v>
      </c>
      <c r="R122" s="27" t="n">
        <v>1</v>
      </c>
      <c r="S122" s="19">
        <f>SUM(Suppliers_Omega3)</f>
        <v/>
      </c>
      <c r="T122" s="18" t="n">
        <v>0</v>
      </c>
      <c r="U122" s="18" t="n">
        <v>0</v>
      </c>
      <c r="V122" s="18" t="n">
        <v>0</v>
      </c>
      <c r="W122" s="18" t="n">
        <v>0</v>
      </c>
      <c r="X122" s="18" t="n">
        <v>0</v>
      </c>
      <c r="Y122" s="18" t="n">
        <v>1</v>
      </c>
      <c r="Z122" s="18" t="n">
        <v>0</v>
      </c>
      <c r="AA122" s="18" t="n">
        <v>0</v>
      </c>
      <c r="AB122" s="18" t="n">
        <v>0</v>
      </c>
      <c r="AC122" s="18" t="n">
        <v>0</v>
      </c>
      <c r="AD122" s="18" t="n">
        <v>0</v>
      </c>
      <c r="AE122" s="18" t="n">
        <v>0</v>
      </c>
      <c r="AF122" s="18" t="n">
        <v>0</v>
      </c>
      <c r="AG122" s="18" t="n">
        <v>1</v>
      </c>
      <c r="AH122" s="18" t="n">
        <v>1</v>
      </c>
      <c r="AI122" s="18">
        <f>SUM(T122:AH124)</f>
        <v/>
      </c>
    </row>
    <row r="123">
      <c r="C123" s="15" t="n">
        <v>2</v>
      </c>
      <c r="D123" s="27" t="n">
        <v>0</v>
      </c>
      <c r="E123" s="27" t="n">
        <v>0</v>
      </c>
      <c r="F123" s="27" t="n">
        <v>0</v>
      </c>
      <c r="G123" s="27" t="n">
        <v>0</v>
      </c>
      <c r="H123" s="27" t="n">
        <v>0</v>
      </c>
      <c r="I123" s="27" t="n">
        <v>0</v>
      </c>
      <c r="J123" s="27" t="n">
        <v>0</v>
      </c>
      <c r="K123" s="27" t="n">
        <v>0</v>
      </c>
      <c r="L123" s="27" t="n">
        <v>0</v>
      </c>
      <c r="M123" s="27" t="n">
        <v>0</v>
      </c>
      <c r="N123" s="27" t="n">
        <v>0</v>
      </c>
      <c r="O123" s="27" t="n">
        <v>1</v>
      </c>
      <c r="P123" s="27" t="n">
        <v>0</v>
      </c>
      <c r="Q123" s="27" t="n">
        <v>0</v>
      </c>
      <c r="R123" s="27" t="n">
        <v>0</v>
      </c>
      <c r="T123" s="18" t="n">
        <v>0</v>
      </c>
      <c r="U123" s="18" t="n">
        <v>0</v>
      </c>
      <c r="V123" s="18" t="n">
        <v>0</v>
      </c>
      <c r="W123" s="18" t="n">
        <v>0</v>
      </c>
      <c r="X123" s="18" t="n">
        <v>0</v>
      </c>
      <c r="Y123" s="18" t="n">
        <v>0</v>
      </c>
      <c r="Z123" s="18" t="n">
        <v>0</v>
      </c>
      <c r="AA123" s="18" t="n">
        <v>0</v>
      </c>
      <c r="AB123" s="18" t="n">
        <v>0</v>
      </c>
      <c r="AC123" s="18" t="n">
        <v>0</v>
      </c>
      <c r="AD123" s="18" t="n">
        <v>0</v>
      </c>
      <c r="AE123" s="18" t="n">
        <v>1</v>
      </c>
      <c r="AF123" s="18" t="n">
        <v>0</v>
      </c>
      <c r="AG123" s="18" t="n">
        <v>0</v>
      </c>
      <c r="AH123" s="18" t="n">
        <v>0</v>
      </c>
    </row>
    <row r="124">
      <c r="C124" s="15" t="n">
        <v>3</v>
      </c>
      <c r="D124" s="27" t="n">
        <v>1</v>
      </c>
      <c r="E124" s="27" t="n">
        <v>0</v>
      </c>
      <c r="F124" s="27" t="n">
        <v>0</v>
      </c>
      <c r="G124" s="27" t="n">
        <v>0</v>
      </c>
      <c r="H124" s="27" t="n">
        <v>0</v>
      </c>
      <c r="I124" s="27" t="n">
        <v>1</v>
      </c>
      <c r="J124" s="27" t="n">
        <v>1</v>
      </c>
      <c r="K124" s="27" t="n">
        <v>0</v>
      </c>
      <c r="L124" s="27" t="n">
        <v>0</v>
      </c>
      <c r="M124" s="27" t="n">
        <v>0</v>
      </c>
      <c r="N124" s="27" t="n">
        <v>1</v>
      </c>
      <c r="O124" s="27" t="n">
        <v>0</v>
      </c>
      <c r="P124" s="27" t="n">
        <v>0</v>
      </c>
      <c r="Q124" s="27" t="n">
        <v>0</v>
      </c>
      <c r="R124" s="27" t="n">
        <v>0</v>
      </c>
      <c r="T124" s="18" t="n">
        <v>1</v>
      </c>
      <c r="U124" s="18" t="n">
        <v>0</v>
      </c>
      <c r="V124" s="18" t="n">
        <v>0</v>
      </c>
      <c r="W124" s="18" t="n">
        <v>0</v>
      </c>
      <c r="X124" s="18" t="n">
        <v>0</v>
      </c>
      <c r="Y124" s="18" t="n">
        <v>1</v>
      </c>
      <c r="Z124" s="18" t="n">
        <v>1</v>
      </c>
      <c r="AA124" s="18" t="n">
        <v>0</v>
      </c>
      <c r="AB124" s="18" t="n">
        <v>0</v>
      </c>
      <c r="AC124" s="18" t="n">
        <v>0</v>
      </c>
      <c r="AD124" s="18" t="n">
        <v>1</v>
      </c>
      <c r="AE124" s="18" t="n">
        <v>0</v>
      </c>
      <c r="AF124" s="18" t="n">
        <v>0</v>
      </c>
      <c r="AG124" s="18" t="n">
        <v>0</v>
      </c>
      <c r="AH124" s="18" t="n">
        <v>0</v>
      </c>
    </row>
    <row r="127">
      <c r="C127" s="15" t="inlineStr">
        <is>
          <t>3*SigmaELTw</t>
        </is>
      </c>
      <c r="D127" s="15" t="n">
        <v>1</v>
      </c>
      <c r="E127" s="15" t="n">
        <v>2</v>
      </c>
      <c r="F127" s="15" t="n">
        <v>3</v>
      </c>
      <c r="G127" s="15" t="n">
        <v>4</v>
      </c>
      <c r="H127" s="15" t="n">
        <v>5</v>
      </c>
      <c r="I127" s="15" t="n">
        <v>6</v>
      </c>
      <c r="J127" s="15" t="n">
        <v>7</v>
      </c>
      <c r="K127" s="15" t="n">
        <v>8</v>
      </c>
      <c r="L127" s="15" t="n">
        <v>9</v>
      </c>
      <c r="M127" s="15" t="n">
        <v>10</v>
      </c>
      <c r="N127" s="15" t="n">
        <v>11</v>
      </c>
      <c r="O127" s="15" t="n">
        <v>12</v>
      </c>
      <c r="P127" s="15" t="n">
        <v>13</v>
      </c>
      <c r="Q127" s="15" t="n">
        <v>14</v>
      </c>
      <c r="R127" s="15" t="n">
        <v>15</v>
      </c>
    </row>
    <row r="128">
      <c r="C128" s="15" t="n">
        <v>1</v>
      </c>
      <c r="D128" s="88">
        <f>3*D86</f>
        <v/>
      </c>
      <c r="E128" s="88">
        <f>3*E86</f>
        <v/>
      </c>
      <c r="F128" s="88">
        <f>3*F86</f>
        <v/>
      </c>
      <c r="G128" s="88">
        <f>3*G86</f>
        <v/>
      </c>
      <c r="H128" s="88">
        <f>3*H86</f>
        <v/>
      </c>
      <c r="I128" s="88">
        <f>3*I86</f>
        <v/>
      </c>
      <c r="J128" s="88">
        <f>3*J86</f>
        <v/>
      </c>
      <c r="K128" s="88">
        <f>3*K86</f>
        <v/>
      </c>
      <c r="L128" s="88">
        <f>3*L86</f>
        <v/>
      </c>
      <c r="M128" s="88">
        <f>3*M86</f>
        <v/>
      </c>
      <c r="N128" s="88">
        <f>3*N86</f>
        <v/>
      </c>
      <c r="O128" s="88">
        <f>3*O86</f>
        <v/>
      </c>
      <c r="P128" s="88">
        <f>3*P86</f>
        <v/>
      </c>
      <c r="Q128" s="88">
        <f>3*Q86</f>
        <v/>
      </c>
      <c r="R128" s="88">
        <f>3*R86</f>
        <v/>
      </c>
    </row>
    <row r="129">
      <c r="C129" s="15" t="n">
        <v>2</v>
      </c>
      <c r="D129" s="88">
        <f>3*D87</f>
        <v/>
      </c>
      <c r="E129" s="88">
        <f>3*E87</f>
        <v/>
      </c>
      <c r="F129" s="88">
        <f>3*F87</f>
        <v/>
      </c>
      <c r="G129" s="88">
        <f>3*G87</f>
        <v/>
      </c>
      <c r="H129" s="88">
        <f>3*H87</f>
        <v/>
      </c>
      <c r="I129" s="88">
        <f>3*I87</f>
        <v/>
      </c>
      <c r="J129" s="88">
        <f>3*J87</f>
        <v/>
      </c>
      <c r="K129" s="88">
        <f>3*K87</f>
        <v/>
      </c>
      <c r="L129" s="88">
        <f>3*L87</f>
        <v/>
      </c>
      <c r="M129" s="88">
        <f>3*M87</f>
        <v/>
      </c>
      <c r="N129" s="88">
        <f>3*N87</f>
        <v/>
      </c>
      <c r="O129" s="88">
        <f>3*O87</f>
        <v/>
      </c>
      <c r="P129" s="88">
        <f>3*P87</f>
        <v/>
      </c>
      <c r="Q129" s="88">
        <f>3*Q87</f>
        <v/>
      </c>
      <c r="R129" s="88">
        <f>3*R87</f>
        <v/>
      </c>
    </row>
    <row r="130">
      <c r="C130" s="15" t="n">
        <v>3</v>
      </c>
      <c r="D130" s="88">
        <f>3*D88</f>
        <v/>
      </c>
      <c r="E130" s="88">
        <f>3*E88</f>
        <v/>
      </c>
      <c r="F130" s="88">
        <f>3*F88</f>
        <v/>
      </c>
      <c r="G130" s="88">
        <f>3*G88</f>
        <v/>
      </c>
      <c r="H130" s="88">
        <f>3*H88</f>
        <v/>
      </c>
      <c r="I130" s="88">
        <f>3*I88</f>
        <v/>
      </c>
      <c r="J130" s="88">
        <f>3*J88</f>
        <v/>
      </c>
      <c r="K130" s="88">
        <f>3*K88</f>
        <v/>
      </c>
      <c r="L130" s="88">
        <f>3*L88</f>
        <v/>
      </c>
      <c r="M130" s="88">
        <f>3*M88</f>
        <v/>
      </c>
      <c r="N130" s="88">
        <f>3*N88</f>
        <v/>
      </c>
      <c r="O130" s="88">
        <f>3*O88</f>
        <v/>
      </c>
      <c r="P130" s="88">
        <f>3*P88</f>
        <v/>
      </c>
      <c r="Q130" s="88">
        <f>3*Q88</f>
        <v/>
      </c>
      <c r="R130" s="88">
        <f>3*R88</f>
        <v/>
      </c>
    </row>
    <row r="133" ht="28.8" customHeight="1">
      <c r="C133" s="35" t="inlineStr">
        <is>
          <t>(3*SigmaELTw)-(RunOutTimew-ELT)</t>
        </is>
      </c>
      <c r="D133" s="15" t="n">
        <v>1</v>
      </c>
      <c r="E133" s="15" t="n">
        <v>2</v>
      </c>
      <c r="F133" s="15" t="n">
        <v>3</v>
      </c>
      <c r="G133" s="15" t="n">
        <v>4</v>
      </c>
      <c r="H133" s="15" t="n">
        <v>5</v>
      </c>
      <c r="I133" s="15" t="n">
        <v>6</v>
      </c>
      <c r="J133" s="15" t="n">
        <v>7</v>
      </c>
      <c r="K133" s="15" t="n">
        <v>8</v>
      </c>
      <c r="L133" s="15" t="n">
        <v>9</v>
      </c>
      <c r="M133" s="15" t="n">
        <v>10</v>
      </c>
      <c r="N133" s="15" t="n">
        <v>11</v>
      </c>
      <c r="O133" s="15" t="n">
        <v>12</v>
      </c>
      <c r="P133" s="15" t="n">
        <v>13</v>
      </c>
      <c r="Q133" s="15" t="n">
        <v>14</v>
      </c>
      <c r="R133" s="15" t="n">
        <v>15</v>
      </c>
    </row>
    <row r="134">
      <c r="C134" s="15" t="n">
        <v>1</v>
      </c>
      <c r="D134" s="88">
        <f>IF(D63&lt;0,"Inesgotável",(D128-D104))</f>
        <v/>
      </c>
      <c r="E134" s="88">
        <f>IF(E63&lt;0,"Inesgotável",(E128-E104))</f>
        <v/>
      </c>
      <c r="F134" s="88">
        <f>IF(F63&lt;0,"Inesgotável",(F128-F104))</f>
        <v/>
      </c>
      <c r="G134" s="88">
        <f>IF(G63&lt;0,"Inesgotável",(G128-G104))</f>
        <v/>
      </c>
      <c r="H134" s="88">
        <f>IF(H63&lt;0,"Inesgotável",(H128-H104))</f>
        <v/>
      </c>
      <c r="I134" s="88">
        <f>IF(I63&lt;0,"Inesgotável",(I128-I104))</f>
        <v/>
      </c>
      <c r="J134" s="88">
        <f>IF(J63&lt;0,"Inesgotável",(J128-J104))</f>
        <v/>
      </c>
      <c r="K134" s="88">
        <f>IF(K63&lt;0,"Inesgotável",(K128-K104))</f>
        <v/>
      </c>
      <c r="L134" s="88">
        <f>IF(L63&lt;0,"Inesgotável",(L128-L104))</f>
        <v/>
      </c>
      <c r="M134" s="88">
        <f>IF(M63&lt;0,"Inesgotável",(M128-M104))</f>
        <v/>
      </c>
      <c r="N134" s="88">
        <f>IF(N63&lt;0,"Inesgotável",(N128-N104))</f>
        <v/>
      </c>
      <c r="O134" s="88">
        <f>IF(O63&lt;0,"Inesgotável",(O128-O104))</f>
        <v/>
      </c>
      <c r="P134" s="88">
        <f>IF(P63&lt;0,"Inesgotável",(P128-P104))</f>
        <v/>
      </c>
      <c r="Q134" s="88">
        <f>IF(Q63&lt;0,"Inesgotável",(Q128-Q104))</f>
        <v/>
      </c>
      <c r="R134" s="88">
        <f>IF(R63&lt;0,"Inesgotável",(R128-R104))</f>
        <v/>
      </c>
    </row>
    <row r="135">
      <c r="C135" s="15" t="n">
        <v>2</v>
      </c>
      <c r="D135" s="88">
        <f>IF(D64&lt;0,"Inesgotável",(D129-D105))</f>
        <v/>
      </c>
      <c r="E135" s="88">
        <f>IF(E64&lt;0,"Inesgotável",(E129-E105))</f>
        <v/>
      </c>
      <c r="F135" s="88">
        <f>IF(F64&lt;0,"Inesgotável",(F129-F105))</f>
        <v/>
      </c>
      <c r="G135" s="88">
        <f>IF(G64&lt;0,"Inesgotável",(G129-G105))</f>
        <v/>
      </c>
      <c r="H135" s="88">
        <f>IF(H64&lt;0,"Inesgotável",(H129-H105))</f>
        <v/>
      </c>
      <c r="I135" s="88">
        <f>IF(I64&lt;0,"Inesgotável",(I129-I105))</f>
        <v/>
      </c>
      <c r="J135" s="88">
        <f>IF(J64&lt;0,"Inesgotável",(J129-J105))</f>
        <v/>
      </c>
      <c r="K135" s="88">
        <f>IF(K64&lt;0,"Inesgotável",(K129-K105))</f>
        <v/>
      </c>
      <c r="L135" s="88">
        <f>IF(L64&lt;0,"Inesgotável",(L129-L105))</f>
        <v/>
      </c>
      <c r="M135" s="88">
        <f>IF(M64&lt;0,"Inesgotável",(M129-M105))</f>
        <v/>
      </c>
      <c r="N135" s="88">
        <f>IF(N64&lt;0,"Inesgotável",(N129-N105))</f>
        <v/>
      </c>
      <c r="O135" s="88">
        <f>IF(O64&lt;0,"Inesgotável",(O129-O105))</f>
        <v/>
      </c>
      <c r="P135" s="88">
        <f>IF(P64&lt;0,"Inesgotável",(P129-P105))</f>
        <v/>
      </c>
      <c r="Q135" s="88">
        <f>IF(Q64&lt;0,"Inesgotável",(Q129-Q105))</f>
        <v/>
      </c>
      <c r="R135" s="88">
        <f>IF(R64&lt;0,"Inesgotável",(R129-R105))</f>
        <v/>
      </c>
    </row>
    <row r="136">
      <c r="C136" s="15" t="n">
        <v>3</v>
      </c>
      <c r="D136" s="88">
        <f>IF(D65&lt;0,"Inesgotável",(D130-D106))</f>
        <v/>
      </c>
      <c r="E136" s="88">
        <f>IF(E65&lt;0,"Inesgotável",(E130-E106))</f>
        <v/>
      </c>
      <c r="F136" s="88">
        <f>IF(F65&lt;0,"Inesgotável",(F130-F106))</f>
        <v/>
      </c>
      <c r="G136" s="88">
        <f>IF(G65&lt;0,"Inesgotável",(G130-G106))</f>
        <v/>
      </c>
      <c r="H136" s="88">
        <f>IF(H65&lt;0,"Inesgotável",(H130-H106))</f>
        <v/>
      </c>
      <c r="I136" s="88">
        <f>IF(I65&lt;0,"Inesgotável",(I130-I106))</f>
        <v/>
      </c>
      <c r="J136" s="88">
        <f>IF(J65&lt;0,"Inesgotável",(J130-J106))</f>
        <v/>
      </c>
      <c r="K136" s="88">
        <f>IF(K65&lt;0,"Inesgotável",(K130-K106))</f>
        <v/>
      </c>
      <c r="L136" s="88">
        <f>IF(L65&lt;0,"Inesgotável",(L130-L106))</f>
        <v/>
      </c>
      <c r="M136" s="88">
        <f>IF(M65&lt;0,"Inesgotável",(M130-M106))</f>
        <v/>
      </c>
      <c r="N136" s="88">
        <f>IF(N65&lt;0,"Inesgotável",(N130-N106))</f>
        <v/>
      </c>
      <c r="O136" s="88">
        <f>IF(O65&lt;0,"Inesgotável",(O130-O106))</f>
        <v/>
      </c>
      <c r="P136" s="88">
        <f>IF(P65&lt;0,"Inesgotável",(P130-P106))</f>
        <v/>
      </c>
      <c r="Q136" s="88">
        <f>IF(Q65&lt;0,"Inesgotável",(Q130-Q106))</f>
        <v/>
      </c>
      <c r="R136" s="88">
        <f>IF(R65&lt;0,"Inesgotável",(R130-R106))</f>
        <v/>
      </c>
    </row>
    <row r="139">
      <c r="C139" s="18" t="inlineStr">
        <is>
          <t>bOmega4w</t>
        </is>
      </c>
      <c r="D139" s="15" t="n">
        <v>1</v>
      </c>
      <c r="E139" s="15" t="n">
        <v>2</v>
      </c>
      <c r="F139" s="15" t="n">
        <v>3</v>
      </c>
      <c r="G139" s="15" t="n">
        <v>4</v>
      </c>
      <c r="H139" s="15" t="n">
        <v>5</v>
      </c>
      <c r="I139" s="15" t="n">
        <v>6</v>
      </c>
      <c r="J139" s="15" t="n">
        <v>7</v>
      </c>
      <c r="K139" s="15" t="n">
        <v>8</v>
      </c>
      <c r="L139" s="15" t="n">
        <v>9</v>
      </c>
      <c r="M139" s="15" t="n">
        <v>10</v>
      </c>
      <c r="N139" s="15" t="n">
        <v>11</v>
      </c>
      <c r="O139" s="15" t="n">
        <v>12</v>
      </c>
      <c r="P139" s="15" t="n">
        <v>13</v>
      </c>
      <c r="Q139" s="15" t="n">
        <v>14</v>
      </c>
      <c r="R139" s="15" t="n">
        <v>15</v>
      </c>
    </row>
    <row r="140">
      <c r="C140" s="15" t="n">
        <v>1</v>
      </c>
      <c r="D140" s="27" t="n">
        <v>0</v>
      </c>
      <c r="E140" s="27" t="n">
        <v>0</v>
      </c>
      <c r="F140" s="27" t="n">
        <v>0</v>
      </c>
      <c r="G140" s="27" t="n">
        <v>0</v>
      </c>
      <c r="H140" s="27" t="n">
        <v>1</v>
      </c>
      <c r="I140" s="27" t="n">
        <v>1</v>
      </c>
      <c r="J140" s="27" t="n">
        <v>0</v>
      </c>
      <c r="K140" s="27" t="n">
        <v>0</v>
      </c>
      <c r="L140" s="27" t="n">
        <v>0</v>
      </c>
      <c r="M140" s="27" t="n">
        <v>0</v>
      </c>
      <c r="N140" s="27" t="n">
        <v>0</v>
      </c>
      <c r="O140" s="27" t="n">
        <v>0</v>
      </c>
      <c r="P140" s="27" t="n">
        <v>0</v>
      </c>
      <c r="Q140" s="27" t="n">
        <v>1</v>
      </c>
      <c r="R140" s="27" t="n">
        <v>1</v>
      </c>
      <c r="T140" s="18" t="n">
        <v>0</v>
      </c>
      <c r="U140" s="18" t="n">
        <v>0</v>
      </c>
      <c r="V140" s="18" t="n">
        <v>0</v>
      </c>
      <c r="W140" s="18" t="n">
        <v>0</v>
      </c>
      <c r="X140" s="18" t="n">
        <v>1</v>
      </c>
      <c r="Y140" s="18" t="n">
        <v>1</v>
      </c>
      <c r="Z140" s="18" t="n">
        <v>0</v>
      </c>
      <c r="AA140" s="18" t="n">
        <v>0</v>
      </c>
      <c r="AB140" s="18" t="n">
        <v>0</v>
      </c>
      <c r="AC140" s="18" t="n">
        <v>0</v>
      </c>
      <c r="AD140" s="18" t="n">
        <v>0</v>
      </c>
      <c r="AE140" s="18" t="n">
        <v>0</v>
      </c>
      <c r="AF140" s="18" t="n">
        <v>0</v>
      </c>
      <c r="AG140" s="18" t="n">
        <v>1</v>
      </c>
      <c r="AH140" s="18" t="n">
        <v>1</v>
      </c>
      <c r="AI140" s="18">
        <f>SUM(T140:AH142)</f>
        <v/>
      </c>
    </row>
    <row r="141">
      <c r="C141" s="15" t="n">
        <v>2</v>
      </c>
      <c r="D141" s="27" t="n">
        <v>0</v>
      </c>
      <c r="E141" s="27" t="n">
        <v>0</v>
      </c>
      <c r="F141" s="27" t="n">
        <v>0</v>
      </c>
      <c r="G141" s="27" t="n">
        <v>0</v>
      </c>
      <c r="H141" s="27" t="n">
        <v>0</v>
      </c>
      <c r="I141" s="27" t="n">
        <v>0</v>
      </c>
      <c r="J141" s="27" t="n">
        <v>0</v>
      </c>
      <c r="K141" s="27" t="n">
        <v>0</v>
      </c>
      <c r="L141" s="27" t="n">
        <v>0</v>
      </c>
      <c r="M141" s="27" t="n">
        <v>0</v>
      </c>
      <c r="N141" s="27" t="n">
        <v>0</v>
      </c>
      <c r="O141" s="27" t="n">
        <v>1</v>
      </c>
      <c r="P141" s="27" t="n">
        <v>1</v>
      </c>
      <c r="Q141" s="27" t="n">
        <v>0</v>
      </c>
      <c r="R141" s="27" t="n">
        <v>0</v>
      </c>
      <c r="T141" s="18" t="n">
        <v>0</v>
      </c>
      <c r="U141" s="18" t="n">
        <v>0</v>
      </c>
      <c r="V141" s="18" t="n">
        <v>0</v>
      </c>
      <c r="W141" s="18" t="n">
        <v>0</v>
      </c>
      <c r="X141" s="18" t="n">
        <v>0</v>
      </c>
      <c r="Y141" s="18" t="n">
        <v>0</v>
      </c>
      <c r="Z141" s="18" t="n">
        <v>0</v>
      </c>
      <c r="AA141" s="18" t="n">
        <v>0</v>
      </c>
      <c r="AB141" s="18" t="n">
        <v>0</v>
      </c>
      <c r="AC141" s="18" t="n">
        <v>0</v>
      </c>
      <c r="AD141" s="18" t="n">
        <v>0</v>
      </c>
      <c r="AE141" s="18" t="n">
        <v>1</v>
      </c>
      <c r="AF141" s="18" t="n">
        <v>1</v>
      </c>
      <c r="AG141" s="18" t="n">
        <v>0</v>
      </c>
      <c r="AH141" s="18" t="n">
        <v>0</v>
      </c>
    </row>
    <row r="142">
      <c r="C142" s="15" t="n">
        <v>3</v>
      </c>
      <c r="D142" s="27" t="n">
        <v>1</v>
      </c>
      <c r="E142" s="27" t="n">
        <v>0</v>
      </c>
      <c r="F142" s="27" t="n">
        <v>0</v>
      </c>
      <c r="G142" s="27" t="n">
        <v>1</v>
      </c>
      <c r="H142" s="27" t="n">
        <v>0</v>
      </c>
      <c r="I142" s="27" t="n">
        <v>1</v>
      </c>
      <c r="J142" s="27" t="n">
        <v>1</v>
      </c>
      <c r="K142" s="27" t="n">
        <v>0</v>
      </c>
      <c r="L142" s="27" t="n">
        <v>0</v>
      </c>
      <c r="M142" s="27" t="n">
        <v>0</v>
      </c>
      <c r="N142" s="27" t="n">
        <v>1</v>
      </c>
      <c r="O142" s="27" t="n">
        <v>0</v>
      </c>
      <c r="P142" s="27" t="n">
        <v>0</v>
      </c>
      <c r="Q142" s="27" t="n">
        <v>0</v>
      </c>
      <c r="R142" s="27" t="n">
        <v>0</v>
      </c>
      <c r="T142" s="18" t="n">
        <v>1</v>
      </c>
      <c r="U142" s="18" t="n">
        <v>0</v>
      </c>
      <c r="V142" s="18" t="n">
        <v>0</v>
      </c>
      <c r="W142" s="18" t="n">
        <v>0</v>
      </c>
      <c r="X142" s="18" t="n">
        <v>0</v>
      </c>
      <c r="Y142" s="18" t="n">
        <v>1</v>
      </c>
      <c r="Z142" s="18" t="n">
        <v>1</v>
      </c>
      <c r="AA142" s="18" t="n">
        <v>0</v>
      </c>
      <c r="AB142" s="18" t="n">
        <v>0</v>
      </c>
      <c r="AC142" s="18" t="n">
        <v>0</v>
      </c>
      <c r="AD142" s="18" t="n">
        <v>1</v>
      </c>
      <c r="AE142" s="18" t="n">
        <v>0</v>
      </c>
      <c r="AF142" s="18" t="n">
        <v>0</v>
      </c>
      <c r="AG142" s="18" t="n">
        <v>0</v>
      </c>
      <c r="AH142" s="18" t="n">
        <v>0</v>
      </c>
    </row>
    <row r="145">
      <c r="C145" s="18" t="inlineStr">
        <is>
          <t>bOmega5w</t>
        </is>
      </c>
      <c r="D145" s="15" t="n">
        <v>1</v>
      </c>
      <c r="E145" s="15" t="n">
        <v>2</v>
      </c>
      <c r="F145" s="15" t="n">
        <v>3</v>
      </c>
      <c r="G145" s="15" t="n">
        <v>4</v>
      </c>
      <c r="H145" s="15" t="n">
        <v>5</v>
      </c>
      <c r="I145" s="15" t="n">
        <v>6</v>
      </c>
      <c r="J145" s="15" t="n">
        <v>7</v>
      </c>
      <c r="K145" s="15" t="n">
        <v>8</v>
      </c>
      <c r="L145" s="15" t="n">
        <v>9</v>
      </c>
      <c r="M145" s="15" t="n">
        <v>10</v>
      </c>
      <c r="N145" s="15" t="n">
        <v>11</v>
      </c>
      <c r="O145" s="15" t="n">
        <v>12</v>
      </c>
      <c r="P145" s="15" t="n">
        <v>13</v>
      </c>
      <c r="Q145" s="15" t="n">
        <v>14</v>
      </c>
      <c r="R145" s="15" t="n">
        <v>15</v>
      </c>
    </row>
    <row r="146">
      <c r="C146" s="15" t="n">
        <v>1</v>
      </c>
      <c r="D146" s="27" t="n">
        <v>0</v>
      </c>
      <c r="E146" s="27" t="n">
        <v>0</v>
      </c>
      <c r="F146" s="27" t="n">
        <v>0</v>
      </c>
      <c r="G146" s="27" t="n">
        <v>0</v>
      </c>
      <c r="H146" s="27" t="n">
        <v>1</v>
      </c>
      <c r="I146" s="27" t="n">
        <v>0</v>
      </c>
      <c r="J146" s="27" t="n">
        <v>0</v>
      </c>
      <c r="K146" s="27" t="n">
        <v>0</v>
      </c>
      <c r="L146" s="27" t="n">
        <v>0</v>
      </c>
      <c r="M146" s="27" t="n">
        <v>0</v>
      </c>
      <c r="N146" s="27" t="n">
        <v>0</v>
      </c>
      <c r="O146" s="27" t="n">
        <v>0</v>
      </c>
      <c r="P146" s="27" t="n">
        <v>0</v>
      </c>
      <c r="Q146" s="27" t="n">
        <v>0</v>
      </c>
      <c r="R146" s="27" t="n">
        <v>0</v>
      </c>
      <c r="S146" s="19">
        <f>SUM(Suppliers_Omega5)</f>
        <v/>
      </c>
      <c r="T146" s="18" t="n">
        <v>0</v>
      </c>
      <c r="U146" s="18" t="n">
        <v>0</v>
      </c>
      <c r="V146" s="18" t="n">
        <v>0</v>
      </c>
      <c r="W146" s="18" t="n">
        <v>0</v>
      </c>
      <c r="X146" s="18" t="n">
        <v>1</v>
      </c>
      <c r="Y146" s="18" t="n">
        <v>0</v>
      </c>
      <c r="Z146" s="18" t="n">
        <v>0</v>
      </c>
      <c r="AA146" s="18" t="n">
        <v>0</v>
      </c>
      <c r="AB146" s="18" t="n">
        <v>0</v>
      </c>
      <c r="AC146" s="18" t="n">
        <v>0</v>
      </c>
      <c r="AD146" s="18" t="n">
        <v>0</v>
      </c>
      <c r="AE146" s="18" t="n">
        <v>0</v>
      </c>
      <c r="AF146" s="18" t="n">
        <v>0</v>
      </c>
      <c r="AG146" s="18" t="n">
        <v>0</v>
      </c>
      <c r="AH146" s="18" t="n">
        <v>0</v>
      </c>
      <c r="AI146" s="18">
        <f>SUM(T146:AH148)</f>
        <v/>
      </c>
    </row>
    <row r="147">
      <c r="C147" s="15" t="n">
        <v>2</v>
      </c>
      <c r="D147" s="27" t="n">
        <v>0</v>
      </c>
      <c r="E147" s="27" t="n">
        <v>0</v>
      </c>
      <c r="F147" s="27" t="n">
        <v>0</v>
      </c>
      <c r="G147" s="27" t="n">
        <v>0</v>
      </c>
      <c r="H147" s="27" t="n">
        <v>0</v>
      </c>
      <c r="I147" s="27" t="n">
        <v>0</v>
      </c>
      <c r="J147" s="27" t="n">
        <v>0</v>
      </c>
      <c r="K147" s="27" t="n">
        <v>0</v>
      </c>
      <c r="L147" s="27" t="n">
        <v>0</v>
      </c>
      <c r="M147" s="27" t="n">
        <v>0</v>
      </c>
      <c r="N147" s="27" t="n">
        <v>0</v>
      </c>
      <c r="O147" s="27" t="n">
        <v>0</v>
      </c>
      <c r="P147" s="27" t="n">
        <v>1</v>
      </c>
      <c r="Q147" s="27" t="n">
        <v>0</v>
      </c>
      <c r="R147" s="27" t="n">
        <v>0</v>
      </c>
      <c r="T147" s="18" t="n">
        <v>0</v>
      </c>
      <c r="U147" s="18" t="n">
        <v>0</v>
      </c>
      <c r="V147" s="18" t="n">
        <v>0</v>
      </c>
      <c r="W147" s="18" t="n">
        <v>0</v>
      </c>
      <c r="X147" s="18" t="n">
        <v>0</v>
      </c>
      <c r="Y147" s="18" t="n">
        <v>0</v>
      </c>
      <c r="Z147" s="18" t="n">
        <v>0</v>
      </c>
      <c r="AA147" s="18" t="n">
        <v>0</v>
      </c>
      <c r="AB147" s="18" t="n">
        <v>0</v>
      </c>
      <c r="AC147" s="18" t="n">
        <v>0</v>
      </c>
      <c r="AD147" s="18" t="n">
        <v>0</v>
      </c>
      <c r="AE147" s="18" t="n">
        <v>0</v>
      </c>
      <c r="AF147" s="18" t="n">
        <v>1</v>
      </c>
      <c r="AG147" s="18" t="n">
        <v>0</v>
      </c>
      <c r="AH147" s="18" t="n">
        <v>0</v>
      </c>
    </row>
    <row r="148">
      <c r="C148" s="15" t="n">
        <v>3</v>
      </c>
      <c r="D148" s="27" t="n">
        <v>0</v>
      </c>
      <c r="E148" s="27" t="n">
        <v>0</v>
      </c>
      <c r="F148" s="27" t="n">
        <v>0</v>
      </c>
      <c r="G148" s="27" t="n">
        <v>1</v>
      </c>
      <c r="H148" s="27" t="n">
        <v>0</v>
      </c>
      <c r="I148" s="27" t="n">
        <v>0</v>
      </c>
      <c r="J148" s="27" t="n">
        <v>0</v>
      </c>
      <c r="K148" s="27" t="n">
        <v>0</v>
      </c>
      <c r="L148" s="27" t="n">
        <v>0</v>
      </c>
      <c r="M148" s="27" t="n">
        <v>0</v>
      </c>
      <c r="N148" s="27" t="n">
        <v>0</v>
      </c>
      <c r="O148" s="27" t="n">
        <v>0</v>
      </c>
      <c r="P148" s="27" t="n">
        <v>0</v>
      </c>
      <c r="Q148" s="27" t="n">
        <v>0</v>
      </c>
      <c r="R148" s="27" t="n">
        <v>0</v>
      </c>
      <c r="T148" s="18" t="n">
        <v>0</v>
      </c>
      <c r="U148" s="18" t="n">
        <v>0</v>
      </c>
      <c r="V148" s="18" t="n">
        <v>0</v>
      </c>
      <c r="W148" s="18" t="n">
        <v>0</v>
      </c>
      <c r="X148" s="18" t="n">
        <v>0</v>
      </c>
      <c r="Y148" s="18" t="n">
        <v>0</v>
      </c>
      <c r="Z148" s="18" t="n">
        <v>0</v>
      </c>
      <c r="AA148" s="18" t="n">
        <v>0</v>
      </c>
      <c r="AB148" s="18" t="n">
        <v>0</v>
      </c>
      <c r="AC148" s="18" t="n">
        <v>0</v>
      </c>
      <c r="AD148" s="18" t="n">
        <v>0</v>
      </c>
      <c r="AE148" s="18" t="n">
        <v>0</v>
      </c>
      <c r="AF148" s="18" t="n">
        <v>0</v>
      </c>
      <c r="AG148" s="18" t="n">
        <v>0</v>
      </c>
      <c r="AH148" s="18" t="n">
        <v>0</v>
      </c>
    </row>
    <row r="151">
      <c r="C151" s="18" t="inlineStr">
        <is>
          <t>bOmega6w</t>
        </is>
      </c>
      <c r="D151" s="15" t="n">
        <v>1</v>
      </c>
      <c r="E151" s="15" t="n">
        <v>2</v>
      </c>
      <c r="F151" s="15" t="n">
        <v>3</v>
      </c>
      <c r="G151" s="15" t="n">
        <v>4</v>
      </c>
      <c r="H151" s="15" t="n">
        <v>5</v>
      </c>
      <c r="I151" s="15" t="n">
        <v>6</v>
      </c>
      <c r="J151" s="15" t="n">
        <v>7</v>
      </c>
      <c r="K151" s="15" t="n">
        <v>8</v>
      </c>
      <c r="L151" s="15" t="n">
        <v>9</v>
      </c>
      <c r="M151" s="15" t="n">
        <v>10</v>
      </c>
      <c r="N151" s="15" t="n">
        <v>11</v>
      </c>
      <c r="O151" s="15" t="n">
        <v>12</v>
      </c>
      <c r="P151" s="15" t="n">
        <v>13</v>
      </c>
      <c r="Q151" s="15" t="n">
        <v>14</v>
      </c>
      <c r="R151" s="15" t="n">
        <v>15</v>
      </c>
    </row>
    <row r="152">
      <c r="C152" s="15" t="n">
        <v>1</v>
      </c>
      <c r="D152" s="27" t="n">
        <v>0</v>
      </c>
      <c r="E152" s="27" t="n">
        <v>0</v>
      </c>
      <c r="F152" s="27" t="n">
        <v>0</v>
      </c>
      <c r="G152" s="27" t="n">
        <v>0</v>
      </c>
      <c r="H152" s="27" t="n">
        <v>0</v>
      </c>
      <c r="I152" s="27" t="n">
        <v>0</v>
      </c>
      <c r="J152" s="27" t="n">
        <v>0</v>
      </c>
      <c r="K152" s="27" t="n">
        <v>0</v>
      </c>
      <c r="L152" s="27" t="n">
        <v>0</v>
      </c>
      <c r="M152" s="27" t="n">
        <v>0</v>
      </c>
      <c r="N152" s="27" t="n">
        <v>0</v>
      </c>
      <c r="O152" s="27" t="n">
        <v>0</v>
      </c>
      <c r="P152" s="27" t="n">
        <v>0</v>
      </c>
      <c r="Q152" s="27" t="n">
        <v>0</v>
      </c>
      <c r="R152" s="27" t="n">
        <v>0</v>
      </c>
      <c r="S152" s="19">
        <f>SUM(Suppliers_Omega6)</f>
        <v/>
      </c>
      <c r="T152" s="18" t="n">
        <v>0</v>
      </c>
      <c r="U152" s="18" t="n">
        <v>0</v>
      </c>
      <c r="V152" s="18" t="n">
        <v>0</v>
      </c>
      <c r="W152" s="18" t="n">
        <v>0</v>
      </c>
      <c r="X152" s="18" t="n">
        <v>0</v>
      </c>
      <c r="Y152" s="18" t="n">
        <v>0</v>
      </c>
      <c r="Z152" s="18" t="n">
        <v>0</v>
      </c>
      <c r="AA152" s="18" t="n">
        <v>0</v>
      </c>
      <c r="AB152" s="18" t="n">
        <v>0</v>
      </c>
      <c r="AC152" s="18" t="n">
        <v>0</v>
      </c>
      <c r="AD152" s="18" t="n">
        <v>0</v>
      </c>
      <c r="AE152" s="18" t="n">
        <v>0</v>
      </c>
      <c r="AF152" s="18" t="n">
        <v>0</v>
      </c>
      <c r="AG152" s="18" t="n">
        <v>0</v>
      </c>
      <c r="AH152" s="18" t="n">
        <v>0</v>
      </c>
      <c r="AI152" s="18">
        <f>SUM(T152:AH154)</f>
        <v/>
      </c>
    </row>
    <row r="153">
      <c r="C153" s="15" t="n">
        <v>2</v>
      </c>
      <c r="D153" s="27" t="n">
        <v>0</v>
      </c>
      <c r="E153" s="27" t="n">
        <v>1</v>
      </c>
      <c r="F153" s="27" t="n">
        <v>0</v>
      </c>
      <c r="G153" s="27" t="n">
        <v>0</v>
      </c>
      <c r="H153" s="27" t="n">
        <v>0</v>
      </c>
      <c r="I153" s="27" t="n">
        <v>0</v>
      </c>
      <c r="J153" s="27" t="n">
        <v>0</v>
      </c>
      <c r="K153" s="27" t="n">
        <v>0</v>
      </c>
      <c r="L153" s="27" t="n">
        <v>0</v>
      </c>
      <c r="M153" s="27" t="n">
        <v>0</v>
      </c>
      <c r="N153" s="27" t="n">
        <v>0</v>
      </c>
      <c r="O153" s="27" t="n">
        <v>0</v>
      </c>
      <c r="P153" s="27" t="n">
        <v>0</v>
      </c>
      <c r="Q153" s="27" t="n">
        <v>0</v>
      </c>
      <c r="R153" s="27" t="n">
        <v>0</v>
      </c>
      <c r="T153" s="18" t="n">
        <v>0</v>
      </c>
      <c r="U153" s="18" t="n">
        <v>1</v>
      </c>
      <c r="V153" s="18" t="n">
        <v>0</v>
      </c>
      <c r="W153" s="18" t="n">
        <v>0</v>
      </c>
      <c r="X153" s="18" t="n">
        <v>0</v>
      </c>
      <c r="Y153" s="18" t="n">
        <v>0</v>
      </c>
      <c r="Z153" s="18" t="n">
        <v>0</v>
      </c>
      <c r="AA153" s="18" t="n">
        <v>0</v>
      </c>
      <c r="AB153" s="18" t="n">
        <v>0</v>
      </c>
      <c r="AC153" s="18" t="n">
        <v>0</v>
      </c>
      <c r="AD153" s="18" t="n">
        <v>0</v>
      </c>
      <c r="AE153" s="18" t="n">
        <v>0</v>
      </c>
      <c r="AF153" s="18" t="n">
        <v>0</v>
      </c>
      <c r="AG153" s="18" t="n">
        <v>0</v>
      </c>
      <c r="AH153" s="18" t="n">
        <v>0</v>
      </c>
    </row>
    <row r="154">
      <c r="C154" s="15" t="n">
        <v>3</v>
      </c>
      <c r="D154" s="27" t="n">
        <v>0</v>
      </c>
      <c r="E154" s="27" t="n">
        <v>0</v>
      </c>
      <c r="F154" s="27" t="n">
        <v>0</v>
      </c>
      <c r="G154" s="27" t="n">
        <v>0</v>
      </c>
      <c r="H154" s="27" t="n">
        <v>0</v>
      </c>
      <c r="I154" s="27" t="n">
        <v>0</v>
      </c>
      <c r="J154" s="27" t="n">
        <v>0</v>
      </c>
      <c r="K154" s="27" t="n">
        <v>0</v>
      </c>
      <c r="L154" s="27" t="n">
        <v>0</v>
      </c>
      <c r="M154" s="27" t="n">
        <v>0</v>
      </c>
      <c r="N154" s="27" t="n">
        <v>0</v>
      </c>
      <c r="O154" s="27" t="n">
        <v>0</v>
      </c>
      <c r="P154" s="27" t="n">
        <v>0</v>
      </c>
      <c r="Q154" s="27" t="n">
        <v>0</v>
      </c>
      <c r="R154" s="27" t="n">
        <v>0</v>
      </c>
      <c r="T154" s="18" t="n">
        <v>0</v>
      </c>
      <c r="U154" s="18" t="n">
        <v>0</v>
      </c>
      <c r="V154" s="18" t="n">
        <v>0</v>
      </c>
      <c r="W154" s="18" t="n">
        <v>1</v>
      </c>
      <c r="X154" s="18" t="n">
        <v>0</v>
      </c>
      <c r="Y154" s="18" t="n">
        <v>0</v>
      </c>
      <c r="Z154" s="18" t="n">
        <v>0</v>
      </c>
      <c r="AA154" s="18" t="n">
        <v>0</v>
      </c>
      <c r="AB154" s="18" t="n">
        <v>0</v>
      </c>
      <c r="AC154" s="18" t="n">
        <v>0</v>
      </c>
      <c r="AD154" s="18" t="n">
        <v>0</v>
      </c>
      <c r="AE154" s="18" t="n">
        <v>0</v>
      </c>
      <c r="AF154" s="18" t="n">
        <v>0</v>
      </c>
      <c r="AG154" s="18" t="n">
        <v>0</v>
      </c>
      <c r="AH154" s="18" t="n">
        <v>0</v>
      </c>
    </row>
    <row r="157">
      <c r="C157" s="18" t="inlineStr">
        <is>
          <t>Total</t>
        </is>
      </c>
      <c r="D157" s="15" t="n">
        <v>1</v>
      </c>
      <c r="E157" s="15" t="n">
        <v>2</v>
      </c>
      <c r="F157" s="15" t="n">
        <v>3</v>
      </c>
      <c r="G157" s="15" t="n">
        <v>4</v>
      </c>
      <c r="H157" s="15" t="n">
        <v>5</v>
      </c>
      <c r="I157" s="15" t="n">
        <v>6</v>
      </c>
      <c r="J157" s="15" t="n">
        <v>7</v>
      </c>
      <c r="K157" s="15" t="n">
        <v>8</v>
      </c>
      <c r="L157" s="15" t="n">
        <v>9</v>
      </c>
      <c r="M157" s="15" t="n">
        <v>10</v>
      </c>
      <c r="N157" s="15" t="n">
        <v>11</v>
      </c>
      <c r="O157" s="15" t="n">
        <v>12</v>
      </c>
      <c r="P157" s="15" t="n">
        <v>13</v>
      </c>
      <c r="Q157" s="15" t="n">
        <v>14</v>
      </c>
      <c r="R157" s="15" t="n">
        <v>15</v>
      </c>
    </row>
    <row r="158">
      <c r="C158" s="15" t="n">
        <v>1</v>
      </c>
      <c r="D158" s="19">
        <f>D39+D122+D146+D152+D45</f>
        <v/>
      </c>
      <c r="E158" s="19">
        <f>E39+E122+E146+E152+E45</f>
        <v/>
      </c>
      <c r="F158" s="19">
        <f>F39+F122+F146+F152+F45</f>
        <v/>
      </c>
      <c r="G158" s="19">
        <f>G39+G122+G146+G152+G45</f>
        <v/>
      </c>
      <c r="H158" s="19">
        <f>H39+H122+H146+H152+H45</f>
        <v/>
      </c>
      <c r="I158" s="19">
        <f>I39+I122+I146+I152+I45</f>
        <v/>
      </c>
      <c r="J158" s="19">
        <f>J39+J122+J146+J152+J45</f>
        <v/>
      </c>
      <c r="K158" s="19">
        <f>K39+K122+K146+K152+K45</f>
        <v/>
      </c>
      <c r="L158" s="19">
        <f>L39+L122+L146+L152+L45</f>
        <v/>
      </c>
      <c r="M158" s="19">
        <f>M39+M122+M146+M152+M45</f>
        <v/>
      </c>
      <c r="N158" s="19">
        <f>N39+N122+N146+N152+N45</f>
        <v/>
      </c>
      <c r="O158" s="19">
        <f>O39+O122+O146+O152+O45</f>
        <v/>
      </c>
      <c r="P158" s="19">
        <f>P39+P122+P146+P152+P45</f>
        <v/>
      </c>
      <c r="Q158" s="19">
        <f>Q39+Q122+Q146+Q152+Q45</f>
        <v/>
      </c>
      <c r="R158" s="19">
        <f>R39+R122+R146+R152+R45</f>
        <v/>
      </c>
      <c r="S158" s="19">
        <f>SUM(D158:R160)</f>
        <v/>
      </c>
    </row>
    <row r="159">
      <c r="C159" s="15" t="n">
        <v>2</v>
      </c>
      <c r="D159" s="19">
        <f>D40+D123+D147+D153+D46</f>
        <v/>
      </c>
      <c r="E159" s="19">
        <f>E40+E123+E147+E153+E46</f>
        <v/>
      </c>
      <c r="F159" s="19">
        <f>F40+F123+F147+F153+F46</f>
        <v/>
      </c>
      <c r="G159" s="19">
        <f>G40+G123+G147+G153+G46</f>
        <v/>
      </c>
      <c r="H159" s="19">
        <f>H40+H123+H147+H153+H46</f>
        <v/>
      </c>
      <c r="I159" s="19">
        <f>I40+I123+I147+I153+I46</f>
        <v/>
      </c>
      <c r="J159" s="19">
        <f>J40+J123+J147+J153+J46</f>
        <v/>
      </c>
      <c r="K159" s="19">
        <f>K40+K123+K147+K153+K46</f>
        <v/>
      </c>
      <c r="L159" s="19">
        <f>L40+L123+L147+L153+L46</f>
        <v/>
      </c>
      <c r="M159" s="19">
        <f>M40+M123+M147+M153+M46</f>
        <v/>
      </c>
      <c r="N159" s="19">
        <f>N40+N123+N147+N153+N46</f>
        <v/>
      </c>
      <c r="O159" s="19">
        <f>O40+O123+O147+O153+O46</f>
        <v/>
      </c>
      <c r="P159" s="19">
        <f>P40+P123+P147+P153+P46</f>
        <v/>
      </c>
      <c r="Q159" s="19">
        <f>Q40+Q123+Q147+Q153+Q46</f>
        <v/>
      </c>
      <c r="R159" s="19">
        <f>R40+R123+R147+R153+R46</f>
        <v/>
      </c>
    </row>
    <row r="160">
      <c r="C160" s="15" t="n">
        <v>3</v>
      </c>
      <c r="D160" s="19">
        <f>D41+D124+D148+D154+D47</f>
        <v/>
      </c>
      <c r="E160" s="19">
        <f>E41+E124+E148+E154+E47</f>
        <v/>
      </c>
      <c r="F160" s="19">
        <f>F41+F124+F148+F154+F47</f>
        <v/>
      </c>
      <c r="G160" s="19">
        <f>G41+G124+G148+G154+G47</f>
        <v/>
      </c>
      <c r="H160" s="19">
        <f>H41+H124+H148+H154+H47</f>
        <v/>
      </c>
      <c r="I160" s="19">
        <f>I41+I124+I148+I154+I47</f>
        <v/>
      </c>
      <c r="J160" s="19">
        <f>J41+J124+J148+J154+J47</f>
        <v/>
      </c>
      <c r="K160" s="19">
        <f>K41+K124+K148+K154+K47</f>
        <v/>
      </c>
      <c r="L160" s="19">
        <f>L41+L124+L148+L154+L47</f>
        <v/>
      </c>
      <c r="M160" s="19">
        <f>M41+M124+M148+M154+M47</f>
        <v/>
      </c>
      <c r="N160" s="19">
        <f>N41+N124+N148+N154+N47</f>
        <v/>
      </c>
      <c r="O160" s="19">
        <f>O41+O124+O148+O154+O47</f>
        <v/>
      </c>
      <c r="P160" s="19">
        <f>P41+P124+P148+P154+P47</f>
        <v/>
      </c>
      <c r="Q160" s="19">
        <f>Q41+Q124+Q148+Q154+Q47</f>
        <v/>
      </c>
      <c r="R160" s="19">
        <f>R41+R124+R148+R154+R47</f>
        <v/>
      </c>
    </row>
    <row r="163">
      <c r="C163" s="18" t="inlineStr">
        <is>
          <t>Hw</t>
        </is>
      </c>
      <c r="D163" s="15" t="n">
        <v>1</v>
      </c>
      <c r="E163" s="15" t="n">
        <v>2</v>
      </c>
      <c r="F163" s="15" t="n">
        <v>3</v>
      </c>
      <c r="G163" s="15" t="n">
        <v>4</v>
      </c>
      <c r="H163" s="15" t="n">
        <v>5</v>
      </c>
      <c r="I163" s="15" t="n">
        <v>6</v>
      </c>
      <c r="J163" s="15" t="n">
        <v>7</v>
      </c>
      <c r="K163" s="15" t="n">
        <v>8</v>
      </c>
      <c r="L163" s="15" t="n">
        <v>9</v>
      </c>
      <c r="M163" s="15" t="n">
        <v>10</v>
      </c>
      <c r="N163" s="15" t="n">
        <v>11</v>
      </c>
      <c r="O163" s="15" t="n">
        <v>12</v>
      </c>
      <c r="P163" s="15" t="n">
        <v>13</v>
      </c>
      <c r="Q163" s="15" t="n">
        <v>14</v>
      </c>
      <c r="R163" s="15" t="n">
        <v>15</v>
      </c>
    </row>
    <row r="164">
      <c r="C164" s="15" t="n">
        <v>1</v>
      </c>
      <c r="D164" s="21">
        <f>Suppliers!I6</f>
        <v/>
      </c>
      <c r="E164" s="21">
        <f>Suppliers!J6</f>
        <v/>
      </c>
      <c r="F164" s="21">
        <f>Suppliers!K6</f>
        <v/>
      </c>
      <c r="G164" s="21">
        <f>Suppliers!L6</f>
        <v/>
      </c>
      <c r="H164" s="21">
        <f>Suppliers!M6</f>
        <v/>
      </c>
      <c r="I164" s="21">
        <f>Suppliers!N6</f>
        <v/>
      </c>
      <c r="J164" s="21">
        <f>Suppliers!O6</f>
        <v/>
      </c>
      <c r="K164" s="21">
        <f>Suppliers!P6</f>
        <v/>
      </c>
      <c r="L164" s="21">
        <f>Suppliers!Q6</f>
        <v/>
      </c>
      <c r="M164" s="21">
        <f>Suppliers!R6</f>
        <v/>
      </c>
      <c r="N164" s="21">
        <f>Suppliers!S6</f>
        <v/>
      </c>
      <c r="O164" s="21">
        <f>Suppliers!T6</f>
        <v/>
      </c>
      <c r="P164" s="21">
        <f>Suppliers!U6</f>
        <v/>
      </c>
      <c r="Q164" s="21">
        <f>Suppliers!V6</f>
        <v/>
      </c>
      <c r="R164" s="21">
        <f>Suppliers!W6</f>
        <v/>
      </c>
    </row>
    <row r="165">
      <c r="C165" s="15" t="n">
        <v>2</v>
      </c>
      <c r="D165" s="21">
        <f>Suppliers!I7</f>
        <v/>
      </c>
      <c r="E165" s="21">
        <f>Suppliers!J7</f>
        <v/>
      </c>
      <c r="F165" s="21">
        <f>Suppliers!K7</f>
        <v/>
      </c>
      <c r="G165" s="21">
        <f>Suppliers!L7</f>
        <v/>
      </c>
      <c r="H165" s="21">
        <f>Suppliers!M7</f>
        <v/>
      </c>
      <c r="I165" s="21">
        <f>Suppliers!N7</f>
        <v/>
      </c>
      <c r="J165" s="21">
        <f>Suppliers!O7</f>
        <v/>
      </c>
      <c r="K165" s="21">
        <f>Suppliers!P7</f>
        <v/>
      </c>
      <c r="L165" s="21">
        <f>Suppliers!Q7</f>
        <v/>
      </c>
      <c r="M165" s="21">
        <f>Suppliers!R7</f>
        <v/>
      </c>
      <c r="N165" s="21">
        <f>Suppliers!S7</f>
        <v/>
      </c>
      <c r="O165" s="21">
        <f>Suppliers!T7</f>
        <v/>
      </c>
      <c r="P165" s="21">
        <f>Suppliers!U7</f>
        <v/>
      </c>
      <c r="Q165" s="21">
        <f>Suppliers!V7</f>
        <v/>
      </c>
      <c r="R165" s="21">
        <f>Suppliers!W7</f>
        <v/>
      </c>
    </row>
    <row r="166">
      <c r="C166" s="15" t="n">
        <v>3</v>
      </c>
      <c r="D166" s="21">
        <f>Suppliers!I8</f>
        <v/>
      </c>
      <c r="E166" s="21">
        <f>Suppliers!J8</f>
        <v/>
      </c>
      <c r="F166" s="21">
        <f>Suppliers!K8</f>
        <v/>
      </c>
      <c r="G166" s="21">
        <f>Suppliers!L8</f>
        <v/>
      </c>
      <c r="H166" s="21">
        <f>Suppliers!M8</f>
        <v/>
      </c>
      <c r="I166" s="21">
        <f>Suppliers!N8</f>
        <v/>
      </c>
      <c r="J166" s="21">
        <f>Suppliers!O8</f>
        <v/>
      </c>
      <c r="K166" s="21">
        <f>Suppliers!P8</f>
        <v/>
      </c>
      <c r="L166" s="21">
        <f>Suppliers!Q8</f>
        <v/>
      </c>
      <c r="M166" s="21">
        <f>Suppliers!R8</f>
        <v/>
      </c>
      <c r="N166" s="21">
        <f>Suppliers!S8</f>
        <v/>
      </c>
      <c r="O166" s="21">
        <f>Suppliers!T8</f>
        <v/>
      </c>
      <c r="P166" s="21">
        <f>Suppliers!U8</f>
        <v/>
      </c>
      <c r="Q166" s="21">
        <f>Suppliers!V8</f>
        <v/>
      </c>
      <c r="R166" s="21">
        <f>Suppliers!W8</f>
        <v/>
      </c>
    </row>
    <row r="169">
      <c r="C169" s="18" t="inlineStr">
        <is>
          <t>SigmaNDw</t>
        </is>
      </c>
      <c r="D169" s="15" t="n">
        <v>1</v>
      </c>
      <c r="E169" s="15" t="n">
        <v>2</v>
      </c>
      <c r="F169" s="15" t="n">
        <v>3</v>
      </c>
      <c r="G169" s="15" t="n">
        <v>4</v>
      </c>
      <c r="H169" s="15" t="n">
        <v>5</v>
      </c>
      <c r="I169" s="15" t="n">
        <v>6</v>
      </c>
      <c r="J169" s="15" t="n">
        <v>7</v>
      </c>
      <c r="K169" s="15" t="n">
        <v>8</v>
      </c>
      <c r="L169" s="15" t="n">
        <v>9</v>
      </c>
      <c r="M169" s="15" t="n">
        <v>10</v>
      </c>
      <c r="N169" s="15" t="n">
        <v>11</v>
      </c>
      <c r="O169" s="15" t="n">
        <v>12</v>
      </c>
      <c r="P169" s="15" t="n">
        <v>13</v>
      </c>
      <c r="Q169" s="15" t="n">
        <v>14</v>
      </c>
      <c r="R169" s="15" t="n">
        <v>15</v>
      </c>
    </row>
    <row r="170">
      <c r="C170" s="15" t="n">
        <v>1</v>
      </c>
      <c r="D170" s="21">
        <f>Suppliers!I17</f>
        <v/>
      </c>
      <c r="E170" s="21">
        <f>Suppliers!J17</f>
        <v/>
      </c>
      <c r="F170" s="21">
        <f>Suppliers!K17</f>
        <v/>
      </c>
      <c r="G170" s="21">
        <f>Suppliers!L17</f>
        <v/>
      </c>
      <c r="H170" s="21">
        <f>Suppliers!M17</f>
        <v/>
      </c>
      <c r="I170" s="21">
        <f>Suppliers!N17</f>
        <v/>
      </c>
      <c r="J170" s="21">
        <f>Suppliers!O17</f>
        <v/>
      </c>
      <c r="K170" s="21">
        <f>Suppliers!P17</f>
        <v/>
      </c>
      <c r="L170" s="21">
        <f>Suppliers!Q17</f>
        <v/>
      </c>
      <c r="M170" s="21">
        <f>Suppliers!R17</f>
        <v/>
      </c>
      <c r="N170" s="21">
        <f>Suppliers!S17</f>
        <v/>
      </c>
      <c r="O170" s="21">
        <f>Suppliers!T17</f>
        <v/>
      </c>
      <c r="P170" s="21">
        <f>Suppliers!U17</f>
        <v/>
      </c>
      <c r="Q170" s="21">
        <f>Suppliers!V17</f>
        <v/>
      </c>
      <c r="R170" s="21">
        <f>Suppliers!W17</f>
        <v/>
      </c>
    </row>
    <row r="171">
      <c r="C171" s="15" t="n">
        <v>2</v>
      </c>
      <c r="D171" s="21">
        <f>Suppliers!I18</f>
        <v/>
      </c>
      <c r="E171" s="21">
        <f>Suppliers!J18</f>
        <v/>
      </c>
      <c r="F171" s="21">
        <f>Suppliers!K18</f>
        <v/>
      </c>
      <c r="G171" s="21">
        <f>Suppliers!L18</f>
        <v/>
      </c>
      <c r="H171" s="21">
        <f>Suppliers!M18</f>
        <v/>
      </c>
      <c r="I171" s="21">
        <f>Suppliers!N18</f>
        <v/>
      </c>
      <c r="J171" s="21">
        <f>Suppliers!O18</f>
        <v/>
      </c>
      <c r="K171" s="21">
        <f>Suppliers!P18</f>
        <v/>
      </c>
      <c r="L171" s="21">
        <f>Suppliers!Q18</f>
        <v/>
      </c>
      <c r="M171" s="21">
        <f>Suppliers!R18</f>
        <v/>
      </c>
      <c r="N171" s="21">
        <f>Suppliers!S18</f>
        <v/>
      </c>
      <c r="O171" s="21">
        <f>Suppliers!T18</f>
        <v/>
      </c>
      <c r="P171" s="21">
        <f>Suppliers!U18</f>
        <v/>
      </c>
      <c r="Q171" s="21">
        <f>Suppliers!V18</f>
        <v/>
      </c>
      <c r="R171" s="21">
        <f>Suppliers!W18</f>
        <v/>
      </c>
    </row>
    <row r="172">
      <c r="C172" s="15" t="n">
        <v>3</v>
      </c>
      <c r="D172" s="21">
        <f>Suppliers!I19</f>
        <v/>
      </c>
      <c r="E172" s="21">
        <f>Suppliers!J19</f>
        <v/>
      </c>
      <c r="F172" s="21">
        <f>Suppliers!K19</f>
        <v/>
      </c>
      <c r="G172" s="21">
        <f>Suppliers!L19</f>
        <v/>
      </c>
      <c r="H172" s="21">
        <f>Suppliers!M19</f>
        <v/>
      </c>
      <c r="I172" s="21">
        <f>Suppliers!N19</f>
        <v/>
      </c>
      <c r="J172" s="21">
        <f>Suppliers!O19</f>
        <v/>
      </c>
      <c r="K172" s="21">
        <f>Suppliers!P19</f>
        <v/>
      </c>
      <c r="L172" s="21">
        <f>Suppliers!Q19</f>
        <v/>
      </c>
      <c r="M172" s="21">
        <f>Suppliers!R19</f>
        <v/>
      </c>
      <c r="N172" s="21">
        <f>Suppliers!S19</f>
        <v/>
      </c>
      <c r="O172" s="21">
        <f>Suppliers!T19</f>
        <v/>
      </c>
      <c r="P172" s="21">
        <f>Suppliers!U19</f>
        <v/>
      </c>
      <c r="Q172" s="21">
        <f>Suppliers!V19</f>
        <v/>
      </c>
      <c r="R172" s="21">
        <f>Suppliers!W19</f>
        <v/>
      </c>
    </row>
    <row r="175">
      <c r="C175" s="36" t="inlineStr">
        <is>
          <t>vRadicandw</t>
        </is>
      </c>
      <c r="D175" s="15" t="n">
        <v>1</v>
      </c>
      <c r="E175" s="15" t="n">
        <v>2</v>
      </c>
      <c r="F175" s="15" t="n">
        <v>3</v>
      </c>
      <c r="G175" s="15" t="n">
        <v>4</v>
      </c>
      <c r="H175" s="15" t="n">
        <v>5</v>
      </c>
      <c r="I175" s="15" t="n">
        <v>6</v>
      </c>
      <c r="J175" s="15" t="n">
        <v>7</v>
      </c>
      <c r="K175" s="15" t="n">
        <v>8</v>
      </c>
      <c r="L175" s="15" t="n">
        <v>9</v>
      </c>
      <c r="M175" s="15" t="n">
        <v>10</v>
      </c>
      <c r="N175" s="15" t="n">
        <v>11</v>
      </c>
      <c r="O175" s="15" t="n">
        <v>12</v>
      </c>
      <c r="P175" s="15" t="n">
        <v>13</v>
      </c>
      <c r="Q175" s="15" t="n">
        <v>14</v>
      </c>
      <c r="R175" s="15" t="n">
        <v>15</v>
      </c>
      <c r="U175" s="15" t="n">
        <v>1</v>
      </c>
      <c r="V175" s="15" t="n">
        <v>2</v>
      </c>
      <c r="W175" s="15" t="n">
        <v>3</v>
      </c>
      <c r="X175" s="15" t="n">
        <v>4</v>
      </c>
      <c r="Y175" s="15" t="n">
        <v>5</v>
      </c>
      <c r="Z175" s="15" t="n">
        <v>6</v>
      </c>
      <c r="AA175" s="15" t="n">
        <v>7</v>
      </c>
      <c r="AB175" s="15" t="n">
        <v>8</v>
      </c>
      <c r="AC175" s="15" t="n">
        <v>9</v>
      </c>
      <c r="AD175" s="15" t="n">
        <v>10</v>
      </c>
      <c r="AE175" s="15" t="n">
        <v>11</v>
      </c>
      <c r="AF175" s="15" t="n">
        <v>12</v>
      </c>
      <c r="AG175" s="15" t="n">
        <v>13</v>
      </c>
      <c r="AH175" s="15" t="n">
        <v>14</v>
      </c>
      <c r="AI175" s="15" t="n">
        <v>15</v>
      </c>
      <c r="AJ175" s="15" t="n"/>
      <c r="AK175" s="15" t="n"/>
      <c r="AL175" s="15" t="n"/>
      <c r="AM175" s="15" t="n"/>
      <c r="AN175" s="15" t="n"/>
      <c r="AO175" s="15" t="n"/>
      <c r="AP175" s="15" t="n"/>
      <c r="AQ175" s="15" t="n"/>
      <c r="AR175" s="15" t="n"/>
      <c r="AS175" s="15" t="n"/>
      <c r="AT175" s="15" t="n"/>
      <c r="AU175" s="15" t="n"/>
      <c r="AV175" s="15" t="n"/>
      <c r="AW175" s="15" t="n"/>
      <c r="AX175" s="15" t="n"/>
    </row>
    <row r="176">
      <c r="C176" s="15" t="n">
        <v>1</v>
      </c>
      <c r="D176" s="33" t="n">
        <v>0</v>
      </c>
      <c r="E176" s="33" t="n">
        <v>0</v>
      </c>
      <c r="F176" s="33" t="n">
        <v>0</v>
      </c>
      <c r="G176" s="33" t="n">
        <v>0</v>
      </c>
      <c r="H176" s="33" t="n">
        <v>227783.5523999957</v>
      </c>
      <c r="I176" s="33" t="n">
        <v>88300.93423680775</v>
      </c>
      <c r="J176" s="33" t="n">
        <v>0</v>
      </c>
      <c r="K176" s="33" t="n">
        <v>197407.4253120013</v>
      </c>
      <c r="L176" s="33" t="n">
        <v>134961.6905999854</v>
      </c>
      <c r="M176" s="33" t="n">
        <v>0</v>
      </c>
      <c r="N176" s="33" t="n">
        <v>0</v>
      </c>
      <c r="O176" s="33" t="n">
        <v>0</v>
      </c>
      <c r="P176" s="33" t="n">
        <v>99624.91561920755</v>
      </c>
      <c r="Q176" s="33" t="n">
        <v>84924.90236160345</v>
      </c>
      <c r="R176" s="33" t="n">
        <v>302434.4100383968</v>
      </c>
      <c r="U176" s="21">
        <f>D176^0.5</f>
        <v/>
      </c>
      <c r="V176" s="21">
        <f>E176^0.5</f>
        <v/>
      </c>
      <c r="W176" s="21">
        <f>F176^0.5</f>
        <v/>
      </c>
      <c r="X176" s="21">
        <f>G176^0.5</f>
        <v/>
      </c>
      <c r="Y176" s="21">
        <f>H176^0.5</f>
        <v/>
      </c>
      <c r="Z176" s="21">
        <f>I176^0.5</f>
        <v/>
      </c>
      <c r="AA176" s="21">
        <f>J176^0.5</f>
        <v/>
      </c>
      <c r="AB176" s="21">
        <f>K176^0.5</f>
        <v/>
      </c>
      <c r="AC176" s="21">
        <f>L176^0.5</f>
        <v/>
      </c>
      <c r="AD176" s="21">
        <f>M176^0.5</f>
        <v/>
      </c>
      <c r="AE176" s="21">
        <f>N176^0.5</f>
        <v/>
      </c>
      <c r="AF176" s="21">
        <f>O176^0.5</f>
        <v/>
      </c>
      <c r="AG176" s="21">
        <f>P176^0.5</f>
        <v/>
      </c>
      <c r="AH176" s="21">
        <f>Q176^0.5</f>
        <v/>
      </c>
      <c r="AI176" s="21">
        <f>R176^0.5</f>
        <v/>
      </c>
      <c r="AJ176" s="21" t="n"/>
      <c r="AK176" s="21" t="n"/>
      <c r="AL176" s="21" t="n"/>
      <c r="AM176" s="21" t="n"/>
      <c r="AN176" s="21" t="n"/>
      <c r="AO176" s="21" t="n"/>
      <c r="AP176" s="21" t="n"/>
      <c r="AQ176" s="21" t="n"/>
      <c r="AR176" s="21" t="n"/>
      <c r="AS176" s="21" t="n"/>
      <c r="AT176" s="21" t="n"/>
      <c r="AU176" s="21" t="n"/>
      <c r="AV176" s="21" t="n"/>
      <c r="AW176" s="21" t="n"/>
      <c r="AX176" s="21" t="n"/>
    </row>
    <row r="177">
      <c r="C177" s="15" t="n">
        <v>2</v>
      </c>
      <c r="D177" s="33" t="n">
        <v>116268.2087327931</v>
      </c>
      <c r="E177" s="33" t="n">
        <v>117884.8267055959</v>
      </c>
      <c r="F177" s="33" t="n">
        <v>0</v>
      </c>
      <c r="G177" s="33" t="n">
        <v>0</v>
      </c>
      <c r="H177" s="33" t="n">
        <v>0</v>
      </c>
      <c r="I177" s="33" t="n">
        <v>210262.5740159843</v>
      </c>
      <c r="J177" s="33" t="n">
        <v>0</v>
      </c>
      <c r="K177" s="33" t="n">
        <v>0</v>
      </c>
      <c r="L177" s="33" t="n">
        <v>0</v>
      </c>
      <c r="M177" s="33" t="n">
        <v>81041.94126720168</v>
      </c>
      <c r="N177" s="33" t="n">
        <v>0</v>
      </c>
      <c r="O177" s="33" t="n">
        <v>178382.240711993</v>
      </c>
      <c r="P177" s="33" t="n">
        <v>145143.2613462785</v>
      </c>
      <c r="Q177" s="33" t="n">
        <v>283252.650840003</v>
      </c>
      <c r="R177" s="33" t="n">
        <v>183901.5062351953</v>
      </c>
      <c r="U177" s="21">
        <f>D177^0.5</f>
        <v/>
      </c>
      <c r="V177" s="21">
        <f>E177^0.5</f>
        <v/>
      </c>
      <c r="W177" s="21">
        <f>F177^0.5</f>
        <v/>
      </c>
      <c r="X177" s="21">
        <f>G177^0.5</f>
        <v/>
      </c>
      <c r="Y177" s="21">
        <f>H177^0.5</f>
        <v/>
      </c>
      <c r="Z177" s="21">
        <f>I177^0.5</f>
        <v/>
      </c>
      <c r="AA177" s="21">
        <f>J177^0.5</f>
        <v/>
      </c>
      <c r="AB177" s="21">
        <f>K177^0.5</f>
        <v/>
      </c>
      <c r="AC177" s="21">
        <f>L177^0.5</f>
        <v/>
      </c>
      <c r="AD177" s="21">
        <f>M177^0.5</f>
        <v/>
      </c>
      <c r="AE177" s="21">
        <f>N177^0.5</f>
        <v/>
      </c>
      <c r="AF177" s="21">
        <f>O177^0.5</f>
        <v/>
      </c>
      <c r="AG177" s="21">
        <f>P177^0.5</f>
        <v/>
      </c>
      <c r="AH177" s="21">
        <f>Q177^0.5</f>
        <v/>
      </c>
      <c r="AI177" s="21">
        <f>R177^0.5</f>
        <v/>
      </c>
      <c r="AJ177" s="21" t="n"/>
      <c r="AK177" s="21" t="n"/>
      <c r="AL177" s="21" t="n"/>
      <c r="AM177" s="21" t="n"/>
      <c r="AN177" s="21" t="n"/>
      <c r="AO177" s="21" t="n"/>
      <c r="AP177" s="21" t="n"/>
      <c r="AQ177" s="21" t="n"/>
      <c r="AR177" s="21" t="n"/>
      <c r="AS177" s="21" t="n"/>
      <c r="AT177" s="21" t="n"/>
      <c r="AU177" s="21" t="n"/>
      <c r="AV177" s="21" t="n"/>
      <c r="AW177" s="21" t="n"/>
      <c r="AX177" s="21" t="n"/>
    </row>
    <row r="178">
      <c r="C178" s="15" t="n">
        <v>3</v>
      </c>
      <c r="D178" s="33" t="n">
        <v>274303.3974382158</v>
      </c>
      <c r="E178" s="33" t="n">
        <v>0</v>
      </c>
      <c r="F178" s="33" t="n">
        <v>0</v>
      </c>
      <c r="G178" s="33" t="n">
        <v>255247.9491814837</v>
      </c>
      <c r="H178" s="33" t="n">
        <v>0</v>
      </c>
      <c r="I178" s="33" t="n">
        <v>268321.1148576111</v>
      </c>
      <c r="J178" s="33" t="n">
        <v>113424.7143456101</v>
      </c>
      <c r="K178" s="33" t="n">
        <v>0</v>
      </c>
      <c r="L178" s="33" t="n">
        <v>0</v>
      </c>
      <c r="M178" s="33" t="n">
        <v>0</v>
      </c>
      <c r="N178" s="33" t="n">
        <v>87940.57361758687</v>
      </c>
      <c r="O178" s="33" t="n">
        <v>0</v>
      </c>
      <c r="P178" s="33" t="n">
        <v>0</v>
      </c>
      <c r="Q178" s="33" t="n">
        <v>0</v>
      </c>
      <c r="R178" s="33" t="n">
        <v>145014.6128687896</v>
      </c>
      <c r="U178" s="21">
        <f>D178^0.5</f>
        <v/>
      </c>
      <c r="V178" s="21">
        <f>E178^0.5</f>
        <v/>
      </c>
      <c r="W178" s="21">
        <f>F178^0.5</f>
        <v/>
      </c>
      <c r="X178" s="21">
        <f>G178^0.5</f>
        <v/>
      </c>
      <c r="Y178" s="21">
        <f>H178^0.5</f>
        <v/>
      </c>
      <c r="Z178" s="21">
        <f>I178^0.5</f>
        <v/>
      </c>
      <c r="AA178" s="21">
        <f>J178^0.5</f>
        <v/>
      </c>
      <c r="AB178" s="21">
        <f>K178^0.5</f>
        <v/>
      </c>
      <c r="AC178" s="21">
        <f>L178^0.5</f>
        <v/>
      </c>
      <c r="AD178" s="21">
        <f>M178^0.5</f>
        <v/>
      </c>
      <c r="AE178" s="21">
        <f>N178^0.5</f>
        <v/>
      </c>
      <c r="AF178" s="21">
        <f>O178^0.5</f>
        <v/>
      </c>
      <c r="AG178" s="21">
        <f>P178^0.5</f>
        <v/>
      </c>
      <c r="AH178" s="21">
        <f>Q178^0.5</f>
        <v/>
      </c>
      <c r="AI178" s="21">
        <f>R178^0.5</f>
        <v/>
      </c>
      <c r="AJ178" s="21" t="n"/>
      <c r="AK178" s="21" t="n"/>
      <c r="AL178" s="21" t="n"/>
      <c r="AM178" s="21" t="n"/>
      <c r="AN178" s="21" t="n"/>
      <c r="AO178" s="21" t="n"/>
      <c r="AP178" s="21" t="n"/>
      <c r="AQ178" s="21" t="n"/>
      <c r="AR178" s="21" t="n"/>
      <c r="AS178" s="21" t="n"/>
      <c r="AT178" s="21" t="n"/>
      <c r="AU178" s="21" t="n"/>
      <c r="AV178" s="21" t="n"/>
      <c r="AW178" s="21" t="n"/>
      <c r="AX178" s="21" t="n"/>
    </row>
    <row r="181">
      <c r="C181" s="36" t="inlineStr">
        <is>
          <t>vSQRTw</t>
        </is>
      </c>
      <c r="D181" s="15" t="n">
        <v>1</v>
      </c>
      <c r="E181" s="15" t="n">
        <v>2</v>
      </c>
      <c r="F181" s="15" t="n">
        <v>3</v>
      </c>
      <c r="G181" s="15" t="n">
        <v>4</v>
      </c>
      <c r="H181" s="15" t="n">
        <v>5</v>
      </c>
      <c r="I181" s="15" t="n">
        <v>6</v>
      </c>
      <c r="J181" s="15" t="n">
        <v>7</v>
      </c>
      <c r="K181" s="15" t="n">
        <v>8</v>
      </c>
      <c r="L181" s="15" t="n">
        <v>9</v>
      </c>
      <c r="M181" s="15" t="n">
        <v>10</v>
      </c>
      <c r="N181" s="15" t="n">
        <v>11</v>
      </c>
      <c r="O181" s="15" t="n">
        <v>12</v>
      </c>
      <c r="P181" s="15" t="n">
        <v>13</v>
      </c>
      <c r="Q181" s="15" t="n">
        <v>14</v>
      </c>
      <c r="R181" s="15" t="n">
        <v>15</v>
      </c>
      <c r="U181" s="15" t="n">
        <v>1</v>
      </c>
      <c r="V181" s="15" t="n">
        <v>2</v>
      </c>
      <c r="W181" s="15" t="n">
        <v>3</v>
      </c>
      <c r="X181" s="15" t="n">
        <v>4</v>
      </c>
      <c r="Y181" s="15" t="n">
        <v>5</v>
      </c>
      <c r="Z181" s="15" t="n">
        <v>6</v>
      </c>
      <c r="AA181" s="15" t="n">
        <v>7</v>
      </c>
      <c r="AB181" s="15" t="n">
        <v>8</v>
      </c>
      <c r="AC181" s="15" t="n">
        <v>9</v>
      </c>
      <c r="AD181" s="15" t="n">
        <v>10</v>
      </c>
      <c r="AE181" s="15" t="n">
        <v>11</v>
      </c>
      <c r="AF181" s="15" t="n">
        <v>12</v>
      </c>
      <c r="AG181" s="15" t="n">
        <v>13</v>
      </c>
      <c r="AH181" s="15" t="n">
        <v>14</v>
      </c>
      <c r="AI181" s="15" t="n">
        <v>15</v>
      </c>
      <c r="AJ181" s="15" t="n"/>
      <c r="AK181" s="15" t="n"/>
      <c r="AL181" s="15" t="n"/>
      <c r="AM181" s="15" t="n"/>
      <c r="AN181" s="15" t="n"/>
      <c r="AO181" s="15" t="n"/>
      <c r="AP181" s="15" t="n"/>
      <c r="AQ181" s="15" t="n"/>
      <c r="AR181" s="15" t="n"/>
      <c r="AS181" s="15" t="n"/>
      <c r="AT181" s="15" t="n"/>
      <c r="AU181" s="15" t="n"/>
      <c r="AV181" s="15" t="n"/>
      <c r="AW181" s="15" t="n"/>
      <c r="AX181" s="15" t="n"/>
    </row>
    <row r="182">
      <c r="C182" s="15" t="n">
        <v>1</v>
      </c>
      <c r="D182" s="33" t="n">
        <v>1</v>
      </c>
      <c r="E182" s="33" t="n">
        <v>1</v>
      </c>
      <c r="F182" s="33" t="n">
        <v>1</v>
      </c>
      <c r="G182" s="33" t="n">
        <v>1</v>
      </c>
      <c r="H182" s="33" t="n">
        <v>478</v>
      </c>
      <c r="I182" s="33" t="n">
        <v>298</v>
      </c>
      <c r="J182" s="33" t="n">
        <v>1</v>
      </c>
      <c r="K182" s="33" t="n">
        <v>445</v>
      </c>
      <c r="L182" s="33" t="n">
        <v>368</v>
      </c>
      <c r="M182" s="33" t="n">
        <v>1</v>
      </c>
      <c r="N182" s="33" t="n">
        <v>1</v>
      </c>
      <c r="O182" s="33" t="n">
        <v>1</v>
      </c>
      <c r="P182" s="33" t="n">
        <v>316</v>
      </c>
      <c r="Q182" s="33" t="n">
        <v>292</v>
      </c>
      <c r="R182" s="33" t="n">
        <v>551</v>
      </c>
      <c r="U182" s="21">
        <f>U176-D182</f>
        <v/>
      </c>
      <c r="V182" s="21">
        <f>V176-E182</f>
        <v/>
      </c>
      <c r="W182" s="21">
        <f>W176-F182</f>
        <v/>
      </c>
      <c r="X182" s="21">
        <f>X176-G182</f>
        <v/>
      </c>
      <c r="Y182" s="21">
        <f>Y176-H182</f>
        <v/>
      </c>
      <c r="Z182" s="21">
        <f>Z176-I182</f>
        <v/>
      </c>
      <c r="AA182" s="21">
        <f>AA176-J182</f>
        <v/>
      </c>
      <c r="AB182" s="21">
        <f>AB176-K182</f>
        <v/>
      </c>
      <c r="AC182" s="21">
        <f>AC176-L182</f>
        <v/>
      </c>
      <c r="AD182" s="21">
        <f>AD176-M182</f>
        <v/>
      </c>
      <c r="AE182" s="21">
        <f>AE176-N182</f>
        <v/>
      </c>
      <c r="AF182" s="21">
        <f>AF176-O182</f>
        <v/>
      </c>
      <c r="AG182" s="21">
        <f>AG176-P182</f>
        <v/>
      </c>
      <c r="AH182" s="21">
        <f>AH176-Q182</f>
        <v/>
      </c>
      <c r="AI182" s="21">
        <f>AI176-R182</f>
        <v/>
      </c>
      <c r="AJ182" s="21" t="n"/>
      <c r="AK182" s="21" t="n"/>
      <c r="AL182" s="21" t="n"/>
      <c r="AM182" s="21" t="n"/>
      <c r="AN182" s="21" t="n"/>
      <c r="AO182" s="21" t="n"/>
      <c r="AP182" s="21" t="n"/>
      <c r="AQ182" s="21" t="n"/>
      <c r="AR182" s="21" t="n"/>
      <c r="AS182" s="21" t="n"/>
      <c r="AT182" s="21" t="n"/>
      <c r="AU182" s="21" t="n"/>
      <c r="AV182" s="21" t="n"/>
      <c r="AW182" s="21" t="n"/>
      <c r="AX182" s="21" t="n"/>
    </row>
    <row r="183">
      <c r="C183" s="15" t="n">
        <v>2</v>
      </c>
      <c r="D183" s="33" t="n">
        <v>341</v>
      </c>
      <c r="E183" s="33" t="n">
        <v>344</v>
      </c>
      <c r="F183" s="33" t="n">
        <v>1</v>
      </c>
      <c r="G183" s="33" t="n">
        <v>1</v>
      </c>
      <c r="H183" s="33" t="n">
        <v>1</v>
      </c>
      <c r="I183" s="33" t="n">
        <v>459</v>
      </c>
      <c r="J183" s="33" t="n">
        <v>1</v>
      </c>
      <c r="K183" s="33" t="n">
        <v>1</v>
      </c>
      <c r="L183" s="33" t="n">
        <v>1</v>
      </c>
      <c r="M183" s="33" t="n">
        <v>285</v>
      </c>
      <c r="N183" s="33" t="n">
        <v>1</v>
      </c>
      <c r="O183" s="33" t="n">
        <v>423</v>
      </c>
      <c r="P183" s="33" t="n">
        <v>381</v>
      </c>
      <c r="Q183" s="33" t="n">
        <v>533</v>
      </c>
      <c r="R183" s="33" t="n">
        <v>429</v>
      </c>
      <c r="U183" s="21">
        <f>U177-D183</f>
        <v/>
      </c>
      <c r="V183" s="21">
        <f>V177-E183</f>
        <v/>
      </c>
      <c r="W183" s="21">
        <f>W177-F183</f>
        <v/>
      </c>
      <c r="X183" s="21">
        <f>X177-G183</f>
        <v/>
      </c>
      <c r="Y183" s="21">
        <f>Y177-H183</f>
        <v/>
      </c>
      <c r="Z183" s="21">
        <f>Z177-I183</f>
        <v/>
      </c>
      <c r="AA183" s="21">
        <f>AA177-J183</f>
        <v/>
      </c>
      <c r="AB183" s="21">
        <f>AB177-K183</f>
        <v/>
      </c>
      <c r="AC183" s="21">
        <f>AC177-L183</f>
        <v/>
      </c>
      <c r="AD183" s="21">
        <f>AD177-M183</f>
        <v/>
      </c>
      <c r="AE183" s="21">
        <f>AE177-N183</f>
        <v/>
      </c>
      <c r="AF183" s="21">
        <f>AF177-O183</f>
        <v/>
      </c>
      <c r="AG183" s="21">
        <f>AG177-P183</f>
        <v/>
      </c>
      <c r="AH183" s="21">
        <f>AH177-Q183</f>
        <v/>
      </c>
      <c r="AI183" s="21">
        <f>AI177-R183</f>
        <v/>
      </c>
      <c r="AJ183" s="21" t="n"/>
      <c r="AK183" s="21" t="n"/>
      <c r="AL183" s="21" t="n"/>
      <c r="AM183" s="21" t="n"/>
      <c r="AN183" s="21" t="n"/>
      <c r="AO183" s="21" t="n"/>
      <c r="AP183" s="21" t="n"/>
      <c r="AQ183" s="21" t="n"/>
      <c r="AR183" s="21" t="n"/>
      <c r="AS183" s="21" t="n"/>
      <c r="AT183" s="21" t="n"/>
      <c r="AU183" s="21" t="n"/>
      <c r="AV183" s="21" t="n"/>
      <c r="AW183" s="21" t="n"/>
      <c r="AX183" s="21" t="n"/>
    </row>
    <row r="184">
      <c r="C184" s="15" t="n">
        <v>3</v>
      </c>
      <c r="D184" s="33" t="n">
        <v>524</v>
      </c>
      <c r="E184" s="33" t="n">
        <v>1</v>
      </c>
      <c r="F184" s="33" t="n">
        <v>1</v>
      </c>
      <c r="G184" s="33" t="n">
        <v>506</v>
      </c>
      <c r="H184" s="33" t="n">
        <v>1</v>
      </c>
      <c r="I184" s="33" t="n">
        <v>518</v>
      </c>
      <c r="J184" s="33" t="n">
        <v>337</v>
      </c>
      <c r="K184" s="33" t="n">
        <v>1</v>
      </c>
      <c r="L184" s="33" t="n">
        <v>1</v>
      </c>
      <c r="M184" s="33" t="n">
        <v>1</v>
      </c>
      <c r="N184" s="33" t="n">
        <v>297</v>
      </c>
      <c r="O184" s="33" t="n">
        <v>1</v>
      </c>
      <c r="P184" s="33" t="n">
        <v>1</v>
      </c>
      <c r="Q184" s="33" t="n">
        <v>1</v>
      </c>
      <c r="R184" s="33" t="n">
        <v>381</v>
      </c>
      <c r="U184" s="21">
        <f>U178-D184</f>
        <v/>
      </c>
      <c r="V184" s="21">
        <f>V178-E184</f>
        <v/>
      </c>
      <c r="W184" s="21">
        <f>W178-F184</f>
        <v/>
      </c>
      <c r="X184" s="21">
        <f>X178-G184</f>
        <v/>
      </c>
      <c r="Y184" s="21">
        <f>Y178-H184</f>
        <v/>
      </c>
      <c r="Z184" s="21">
        <f>Z178-I184</f>
        <v/>
      </c>
      <c r="AA184" s="21">
        <f>AA178-J184</f>
        <v/>
      </c>
      <c r="AB184" s="21">
        <f>AB178-K184</f>
        <v/>
      </c>
      <c r="AC184" s="21">
        <f>AC178-L184</f>
        <v/>
      </c>
      <c r="AD184" s="21">
        <f>AD178-M184</f>
        <v/>
      </c>
      <c r="AE184" s="21">
        <f>AE178-N184</f>
        <v/>
      </c>
      <c r="AF184" s="21">
        <f>AF178-O184</f>
        <v/>
      </c>
      <c r="AG184" s="21">
        <f>AG178-P184</f>
        <v/>
      </c>
      <c r="AH184" s="21">
        <f>AH178-Q184</f>
        <v/>
      </c>
      <c r="AI184" s="21">
        <f>AI178-R184</f>
        <v/>
      </c>
      <c r="AJ184" s="21" t="n"/>
      <c r="AK184" s="21" t="n"/>
      <c r="AL184" s="21" t="n"/>
      <c r="AM184" s="21" t="n"/>
      <c r="AN184" s="21" t="n"/>
      <c r="AO184" s="21" t="n"/>
      <c r="AP184" s="21" t="n"/>
      <c r="AQ184" s="21" t="n"/>
      <c r="AR184" s="21" t="n"/>
      <c r="AS184" s="21" t="n"/>
      <c r="AT184" s="21" t="n"/>
      <c r="AU184" s="21" t="n"/>
      <c r="AV184" s="21" t="n"/>
      <c r="AW184" s="21" t="n"/>
      <c r="AX184" s="21" t="n"/>
    </row>
    <row r="185">
      <c r="C185" s="15" t="n"/>
    </row>
    <row r="187">
      <c r="C187" s="18" t="inlineStr">
        <is>
          <t>Optimal solution (SS)</t>
        </is>
      </c>
      <c r="D187" s="15" t="n">
        <v>1</v>
      </c>
      <c r="E187" s="15" t="n">
        <v>2</v>
      </c>
      <c r="F187" s="15" t="n">
        <v>3</v>
      </c>
      <c r="G187" s="15" t="n">
        <v>4</v>
      </c>
      <c r="H187" s="15" t="n">
        <v>5</v>
      </c>
      <c r="I187" s="15" t="n">
        <v>6</v>
      </c>
      <c r="J187" s="15" t="n">
        <v>7</v>
      </c>
      <c r="K187" s="15" t="n">
        <v>8</v>
      </c>
      <c r="L187" s="15" t="n">
        <v>9</v>
      </c>
      <c r="M187" s="15" t="n">
        <v>10</v>
      </c>
      <c r="N187" s="15" t="n">
        <v>11</v>
      </c>
      <c r="O187" s="15" t="n">
        <v>12</v>
      </c>
      <c r="P187" s="15" t="n">
        <v>13</v>
      </c>
      <c r="Q187" s="15" t="n">
        <v>14</v>
      </c>
      <c r="R187" s="15" t="n">
        <v>15</v>
      </c>
    </row>
    <row r="188">
      <c r="C188" s="15" t="n">
        <v>1</v>
      </c>
      <c r="D188" s="21">
        <f>D164*D230</f>
        <v/>
      </c>
      <c r="E188" s="21">
        <f>E164*E230</f>
        <v/>
      </c>
      <c r="F188" s="21">
        <f>F164*F230</f>
        <v/>
      </c>
      <c r="G188" s="21">
        <f>G164*G230</f>
        <v/>
      </c>
      <c r="H188" s="21">
        <f>H164*H230</f>
        <v/>
      </c>
      <c r="I188" s="21">
        <f>I164*I230</f>
        <v/>
      </c>
      <c r="J188" s="21">
        <f>J164*J230</f>
        <v/>
      </c>
      <c r="K188" s="21">
        <f>K164*K230</f>
        <v/>
      </c>
      <c r="L188" s="21">
        <f>L164*L230</f>
        <v/>
      </c>
      <c r="M188" s="21">
        <f>M164*M230</f>
        <v/>
      </c>
      <c r="N188" s="21">
        <f>N164*N230</f>
        <v/>
      </c>
      <c r="O188" s="21">
        <f>O164*O230</f>
        <v/>
      </c>
      <c r="P188" s="21">
        <f>P164*P230</f>
        <v/>
      </c>
      <c r="Q188" s="21">
        <f>Q164*Q230</f>
        <v/>
      </c>
      <c r="R188" s="21">
        <f>R164*R230</f>
        <v/>
      </c>
    </row>
    <row r="189">
      <c r="C189" s="15" t="n">
        <v>2</v>
      </c>
      <c r="D189" s="21">
        <f>D165*D231</f>
        <v/>
      </c>
      <c r="E189" s="21">
        <f>E165*E231</f>
        <v/>
      </c>
      <c r="F189" s="21">
        <f>F165*F231</f>
        <v/>
      </c>
      <c r="G189" s="21">
        <f>G165*G231</f>
        <v/>
      </c>
      <c r="H189" s="21">
        <f>H165*H231</f>
        <v/>
      </c>
      <c r="I189" s="21">
        <f>I165*I231</f>
        <v/>
      </c>
      <c r="J189" s="21">
        <f>J165*J231</f>
        <v/>
      </c>
      <c r="K189" s="21">
        <f>K165*K231</f>
        <v/>
      </c>
      <c r="L189" s="21">
        <f>L165*L231</f>
        <v/>
      </c>
      <c r="M189" s="21">
        <f>M165*M231</f>
        <v/>
      </c>
      <c r="N189" s="21">
        <f>N165*N231</f>
        <v/>
      </c>
      <c r="O189" s="21">
        <f>O165*O231</f>
        <v/>
      </c>
      <c r="P189" s="21">
        <f>P165*P231</f>
        <v/>
      </c>
      <c r="Q189" s="21">
        <f>Q165*Q231</f>
        <v/>
      </c>
      <c r="R189" s="21">
        <f>R165*R231</f>
        <v/>
      </c>
    </row>
    <row r="190">
      <c r="C190" s="15" t="n">
        <v>3</v>
      </c>
      <c r="D190" s="21">
        <f>D166*D232</f>
        <v/>
      </c>
      <c r="E190" s="21">
        <f>E166*E232</f>
        <v/>
      </c>
      <c r="F190" s="21">
        <f>F166*F232</f>
        <v/>
      </c>
      <c r="G190" s="21">
        <f>G166*G232</f>
        <v/>
      </c>
      <c r="H190" s="21">
        <f>H166*H232</f>
        <v/>
      </c>
      <c r="I190" s="21">
        <f>I166*I232</f>
        <v/>
      </c>
      <c r="J190" s="21">
        <f>J166*J232</f>
        <v/>
      </c>
      <c r="K190" s="21">
        <f>K166*K232</f>
        <v/>
      </c>
      <c r="L190" s="21">
        <f>L166*L232</f>
        <v/>
      </c>
      <c r="M190" s="21">
        <f>M166*M232</f>
        <v/>
      </c>
      <c r="N190" s="21">
        <f>N166*N232</f>
        <v/>
      </c>
      <c r="O190" s="21">
        <f>O166*O232</f>
        <v/>
      </c>
      <c r="P190" s="21">
        <f>P166*P232</f>
        <v/>
      </c>
      <c r="Q190" s="21">
        <f>Q166*Q232</f>
        <v/>
      </c>
      <c r="R190" s="21">
        <f>R166*R232</f>
        <v/>
      </c>
    </row>
    <row r="192">
      <c r="AL192" s="18" t="inlineStr">
        <is>
          <t>COMPARAÇÃO</t>
        </is>
      </c>
    </row>
    <row r="193">
      <c r="C193" s="18" t="inlineStr">
        <is>
          <t>vZw</t>
        </is>
      </c>
      <c r="D193" s="15" t="n">
        <v>1</v>
      </c>
      <c r="E193" s="15" t="n">
        <v>2</v>
      </c>
      <c r="F193" s="15" t="n">
        <v>3</v>
      </c>
      <c r="G193" s="15" t="n">
        <v>4</v>
      </c>
      <c r="H193" s="15" t="n">
        <v>5</v>
      </c>
      <c r="I193" s="15" t="n">
        <v>6</v>
      </c>
      <c r="J193" s="15" t="n">
        <v>7</v>
      </c>
      <c r="K193" s="15" t="n">
        <v>8</v>
      </c>
      <c r="L193" s="15" t="n">
        <v>9</v>
      </c>
      <c r="M193" s="15" t="n">
        <v>10</v>
      </c>
      <c r="N193" s="15" t="n">
        <v>11</v>
      </c>
      <c r="O193" s="15" t="n">
        <v>12</v>
      </c>
      <c r="P193" s="15" t="n">
        <v>13</v>
      </c>
      <c r="Q193" s="15" t="n">
        <v>14</v>
      </c>
      <c r="R193" s="15" t="n">
        <v>15</v>
      </c>
      <c r="T193" s="18" t="inlineStr">
        <is>
          <t>vZw</t>
        </is>
      </c>
      <c r="U193" s="15" t="n">
        <v>1</v>
      </c>
      <c r="V193" s="15" t="n">
        <v>2</v>
      </c>
      <c r="W193" s="15" t="n">
        <v>3</v>
      </c>
      <c r="X193" s="15" t="n">
        <v>4</v>
      </c>
      <c r="Y193" s="15" t="n">
        <v>5</v>
      </c>
      <c r="Z193" s="15" t="n">
        <v>6</v>
      </c>
      <c r="AA193" s="15" t="n">
        <v>7</v>
      </c>
      <c r="AB193" s="15" t="n">
        <v>8</v>
      </c>
      <c r="AC193" s="15" t="n">
        <v>9</v>
      </c>
      <c r="AD193" s="15" t="n">
        <v>10</v>
      </c>
      <c r="AE193" s="15" t="n">
        <v>11</v>
      </c>
      <c r="AF193" s="15" t="n">
        <v>12</v>
      </c>
      <c r="AG193" s="15" t="n">
        <v>13</v>
      </c>
      <c r="AH193" s="15" t="n">
        <v>14</v>
      </c>
      <c r="AI193" s="15" t="n">
        <v>15</v>
      </c>
      <c r="AL193" s="19" t="inlineStr">
        <is>
          <t>vZw</t>
        </is>
      </c>
      <c r="AM193" s="19" t="n">
        <v>1</v>
      </c>
      <c r="AN193" s="19" t="n">
        <v>2</v>
      </c>
      <c r="AO193" s="19" t="n">
        <v>3</v>
      </c>
      <c r="AP193" s="19" t="n">
        <v>4</v>
      </c>
      <c r="AQ193" s="19" t="n">
        <v>5</v>
      </c>
      <c r="AR193" s="19" t="n">
        <v>6</v>
      </c>
      <c r="AS193" s="19" t="n">
        <v>7</v>
      </c>
      <c r="AT193" s="19" t="n">
        <v>8</v>
      </c>
      <c r="AU193" s="19" t="n">
        <v>9</v>
      </c>
      <c r="AV193" s="19" t="n">
        <v>10</v>
      </c>
      <c r="AW193" s="19" t="n">
        <v>11</v>
      </c>
      <c r="AX193" s="19" t="n">
        <v>12</v>
      </c>
      <c r="AY193" s="19" t="n">
        <v>13</v>
      </c>
      <c r="AZ193" s="19" t="n">
        <v>14</v>
      </c>
      <c r="BA193" s="18" t="n">
        <v>15</v>
      </c>
    </row>
    <row r="194">
      <c r="C194" s="15" t="n">
        <v>1</v>
      </c>
      <c r="D194" s="21">
        <f>D92</f>
        <v/>
      </c>
      <c r="E194" s="21">
        <f>E92</f>
        <v/>
      </c>
      <c r="F194" s="21">
        <f>F92</f>
        <v/>
      </c>
      <c r="G194" s="21">
        <f>G92</f>
        <v/>
      </c>
      <c r="H194" s="21">
        <f>H92</f>
        <v/>
      </c>
      <c r="I194" s="21">
        <f>I92</f>
        <v/>
      </c>
      <c r="J194" s="21">
        <f>J92</f>
        <v/>
      </c>
      <c r="K194" s="21">
        <f>K92</f>
        <v/>
      </c>
      <c r="L194" s="21">
        <f>L92</f>
        <v/>
      </c>
      <c r="M194" s="21">
        <f>M92</f>
        <v/>
      </c>
      <c r="N194" s="21">
        <f>N92</f>
        <v/>
      </c>
      <c r="O194" s="21">
        <f>O92</f>
        <v/>
      </c>
      <c r="P194" s="21">
        <f>P92</f>
        <v/>
      </c>
      <c r="Q194" s="21">
        <f>Q92</f>
        <v/>
      </c>
      <c r="R194" s="21">
        <f>R92</f>
        <v/>
      </c>
      <c r="T194" s="15" t="n">
        <v>1</v>
      </c>
      <c r="U194" s="21" t="n">
        <v>0</v>
      </c>
      <c r="V194" s="21" t="n">
        <v>0</v>
      </c>
      <c r="W194" s="21" t="n">
        <v>0</v>
      </c>
      <c r="X194" s="21" t="n">
        <v>0</v>
      </c>
      <c r="Y194" s="21" t="n">
        <v>1.155270839171976</v>
      </c>
      <c r="Z194" s="21" t="n">
        <v>1.183925677445337</v>
      </c>
      <c r="AA194" s="21" t="n">
        <v>0</v>
      </c>
      <c r="AB194" s="21" t="n">
        <v>1.176688658185302</v>
      </c>
      <c r="AC194" s="21" t="n">
        <v>1.169555580149531</v>
      </c>
      <c r="AD194" s="21" t="n">
        <v>0</v>
      </c>
      <c r="AE194" s="21" t="n">
        <v>0</v>
      </c>
      <c r="AF194" s="21" t="n">
        <v>0</v>
      </c>
      <c r="AG194" s="21" t="n">
        <v>1.16283078080852</v>
      </c>
      <c r="AH194" s="21" t="n">
        <v>1.175927332536769</v>
      </c>
      <c r="AI194" s="21" t="n">
        <v>1.17406390496377</v>
      </c>
      <c r="AK194" s="19" t="n"/>
      <c r="AL194" s="19" t="n">
        <v>1</v>
      </c>
      <c r="AM194" s="18">
        <f>D194-U194</f>
        <v/>
      </c>
      <c r="AN194" s="18">
        <f>E194-V194</f>
        <v/>
      </c>
      <c r="AO194" s="18">
        <f>F194-W194</f>
        <v/>
      </c>
      <c r="AP194" s="18">
        <f>G194-X194</f>
        <v/>
      </c>
      <c r="AQ194" s="18">
        <f>H194-Y194</f>
        <v/>
      </c>
      <c r="AR194" s="18">
        <f>I194-Z194</f>
        <v/>
      </c>
      <c r="AS194" s="18">
        <f>J194-AA194</f>
        <v/>
      </c>
      <c r="AT194" s="18">
        <f>K194-AB194</f>
        <v/>
      </c>
      <c r="AU194" s="18">
        <f>L194-AC194</f>
        <v/>
      </c>
      <c r="AV194" s="18">
        <f>M194-AD194</f>
        <v/>
      </c>
      <c r="AW194" s="18">
        <f>N194-AE194</f>
        <v/>
      </c>
      <c r="AX194" s="18">
        <f>O194-AF194</f>
        <v/>
      </c>
      <c r="AY194" s="18">
        <f>P194-AG194</f>
        <v/>
      </c>
      <c r="AZ194" s="18">
        <f>Q194-AH194</f>
        <v/>
      </c>
      <c r="BA194" s="18">
        <f>R194-AI194</f>
        <v/>
      </c>
    </row>
    <row r="195">
      <c r="C195" s="15" t="n">
        <v>2</v>
      </c>
      <c r="D195" s="21">
        <f>D93</f>
        <v/>
      </c>
      <c r="E195" s="21">
        <f>E93</f>
        <v/>
      </c>
      <c r="F195" s="21">
        <f>F93</f>
        <v/>
      </c>
      <c r="G195" s="21">
        <f>G93</f>
        <v/>
      </c>
      <c r="H195" s="21">
        <f>H93</f>
        <v/>
      </c>
      <c r="I195" s="21">
        <f>I93</f>
        <v/>
      </c>
      <c r="J195" s="21">
        <f>J93</f>
        <v/>
      </c>
      <c r="K195" s="21">
        <f>K93</f>
        <v/>
      </c>
      <c r="L195" s="21">
        <f>L93</f>
        <v/>
      </c>
      <c r="M195" s="21">
        <f>M93</f>
        <v/>
      </c>
      <c r="N195" s="21">
        <f>N93</f>
        <v/>
      </c>
      <c r="O195" s="21">
        <f>O93</f>
        <v/>
      </c>
      <c r="P195" s="21">
        <f>P93</f>
        <v/>
      </c>
      <c r="Q195" s="21">
        <f>Q93</f>
        <v/>
      </c>
      <c r="R195" s="21">
        <f>R93</f>
        <v/>
      </c>
      <c r="T195" s="15" t="n">
        <v>2</v>
      </c>
      <c r="U195" s="21" t="n">
        <v>1.162762052598595</v>
      </c>
      <c r="V195" s="21" t="n">
        <v>1.160867213035324</v>
      </c>
      <c r="W195" s="21" t="n">
        <v>0</v>
      </c>
      <c r="X195" s="21" t="n">
        <v>0</v>
      </c>
      <c r="Y195" s="21" t="n">
        <v>0</v>
      </c>
      <c r="Z195" s="21" t="n">
        <v>1.160217890833668</v>
      </c>
      <c r="AA195" s="21" t="n">
        <v>0</v>
      </c>
      <c r="AB195" s="21" t="n">
        <v>0</v>
      </c>
      <c r="AC195" s="21" t="n">
        <v>0</v>
      </c>
      <c r="AD195" s="21" t="n">
        <v>1.167389981151032</v>
      </c>
      <c r="AE195" s="21" t="n">
        <v>0</v>
      </c>
      <c r="AF195" s="21" t="n">
        <v>1.161409463647541</v>
      </c>
      <c r="AG195" s="21" t="n">
        <v>1.161986960997965</v>
      </c>
      <c r="AH195" s="21" t="n">
        <v>1.156197866865149</v>
      </c>
      <c r="AI195" s="21" t="n">
        <v>1.16261080009593</v>
      </c>
      <c r="AK195" s="19" t="n"/>
      <c r="AL195" s="19" t="n">
        <v>2</v>
      </c>
      <c r="AM195" s="18">
        <f>D195-U195</f>
        <v/>
      </c>
      <c r="AN195" s="18">
        <f>E195-V195</f>
        <v/>
      </c>
      <c r="AO195" s="18">
        <f>F195-W195</f>
        <v/>
      </c>
      <c r="AP195" s="18">
        <f>G195-X195</f>
        <v/>
      </c>
      <c r="AQ195" s="18">
        <f>H195-Y195</f>
        <v/>
      </c>
      <c r="AR195" s="18">
        <f>I195-Z195</f>
        <v/>
      </c>
      <c r="AS195" s="18">
        <f>J195-AA195</f>
        <v/>
      </c>
      <c r="AT195" s="18">
        <f>K195-AB195</f>
        <v/>
      </c>
      <c r="AU195" s="18">
        <f>L195-AC195</f>
        <v/>
      </c>
      <c r="AV195" s="18">
        <f>M195-AD195</f>
        <v/>
      </c>
      <c r="AW195" s="18">
        <f>N195-AE195</f>
        <v/>
      </c>
      <c r="AX195" s="18">
        <f>O195-AF195</f>
        <v/>
      </c>
      <c r="AY195" s="18">
        <f>P195-AG195</f>
        <v/>
      </c>
      <c r="AZ195" s="18">
        <f>Q195-AH195</f>
        <v/>
      </c>
      <c r="BA195" s="18">
        <f>R195-AI195</f>
        <v/>
      </c>
    </row>
    <row r="196">
      <c r="C196" s="15" t="n">
        <v>3</v>
      </c>
      <c r="D196" s="21">
        <f>D94</f>
        <v/>
      </c>
      <c r="E196" s="21">
        <f>E94</f>
        <v/>
      </c>
      <c r="F196" s="21">
        <f>F94</f>
        <v/>
      </c>
      <c r="G196" s="21">
        <f>G94</f>
        <v/>
      </c>
      <c r="H196" s="21">
        <f>H94</f>
        <v/>
      </c>
      <c r="I196" s="21">
        <f>I94</f>
        <v/>
      </c>
      <c r="J196" s="21">
        <f>J94</f>
        <v/>
      </c>
      <c r="K196" s="21">
        <f>K94</f>
        <v/>
      </c>
      <c r="L196" s="21">
        <f>L94</f>
        <v/>
      </c>
      <c r="M196" s="21">
        <f>M94</f>
        <v/>
      </c>
      <c r="N196" s="21">
        <f>N94</f>
        <v/>
      </c>
      <c r="O196" s="21">
        <f>O94</f>
        <v/>
      </c>
      <c r="P196" s="21">
        <f>P94</f>
        <v/>
      </c>
      <c r="Q196" s="21">
        <f>Q94</f>
        <v/>
      </c>
      <c r="R196" s="21">
        <f>R94</f>
        <v/>
      </c>
      <c r="T196" s="15" t="n">
        <v>3</v>
      </c>
      <c r="U196" s="21" t="n">
        <v>1.183427442675313</v>
      </c>
      <c r="V196" s="21" t="n">
        <v>0</v>
      </c>
      <c r="W196" s="21" t="n">
        <v>0</v>
      </c>
      <c r="X196" s="21" t="n">
        <v>1.16205229981834</v>
      </c>
      <c r="Y196" s="21" t="n">
        <v>0</v>
      </c>
      <c r="Z196" s="21" t="n">
        <v>1.195613873356908</v>
      </c>
      <c r="AA196" s="21" t="n">
        <v>1.205633454486037</v>
      </c>
      <c r="AB196" s="21" t="n">
        <v>0</v>
      </c>
      <c r="AC196" s="21" t="n">
        <v>0</v>
      </c>
      <c r="AD196" s="21" t="n">
        <v>0</v>
      </c>
      <c r="AE196" s="21" t="n">
        <v>1.1871495413391</v>
      </c>
      <c r="AF196" s="21" t="n">
        <v>0</v>
      </c>
      <c r="AG196" s="21" t="n">
        <v>0</v>
      </c>
      <c r="AH196" s="21" t="n">
        <v>0</v>
      </c>
      <c r="AI196" s="21" t="n">
        <v>1.162528104420549</v>
      </c>
      <c r="AK196" s="19" t="n"/>
      <c r="AL196" s="19" t="n">
        <v>3</v>
      </c>
      <c r="AM196" s="18">
        <f>D196-U196</f>
        <v/>
      </c>
      <c r="AN196" s="18">
        <f>E196-V196</f>
        <v/>
      </c>
      <c r="AO196" s="18">
        <f>F196-W196</f>
        <v/>
      </c>
      <c r="AP196" s="18">
        <f>G196-X196</f>
        <v/>
      </c>
      <c r="AQ196" s="18">
        <f>H196-Y196</f>
        <v/>
      </c>
      <c r="AR196" s="18">
        <f>I196-Z196</f>
        <v/>
      </c>
      <c r="AS196" s="18">
        <f>J196-AA196</f>
        <v/>
      </c>
      <c r="AT196" s="18">
        <f>K196-AB196</f>
        <v/>
      </c>
      <c r="AU196" s="18">
        <f>L196-AC196</f>
        <v/>
      </c>
      <c r="AV196" s="18">
        <f>M196-AD196</f>
        <v/>
      </c>
      <c r="AW196" s="18">
        <f>N196-AE196</f>
        <v/>
      </c>
      <c r="AX196" s="18">
        <f>O196-AF196</f>
        <v/>
      </c>
      <c r="AY196" s="18">
        <f>P196-AG196</f>
        <v/>
      </c>
      <c r="AZ196" s="18">
        <f>Q196-AH196</f>
        <v/>
      </c>
      <c r="BA196" s="18">
        <f>R196-AI196</f>
        <v/>
      </c>
    </row>
    <row r="199">
      <c r="C199" s="18" t="inlineStr">
        <is>
          <t>NetDemandw (Products/day)</t>
        </is>
      </c>
      <c r="D199" s="15" t="n">
        <v>1</v>
      </c>
      <c r="E199" s="15" t="n">
        <v>2</v>
      </c>
      <c r="F199" s="15" t="n">
        <v>3</v>
      </c>
      <c r="G199" s="15" t="n">
        <v>4</v>
      </c>
      <c r="H199" s="15" t="n">
        <v>5</v>
      </c>
      <c r="I199" s="15" t="n">
        <v>6</v>
      </c>
      <c r="J199" s="15" t="n">
        <v>7</v>
      </c>
      <c r="K199" s="15" t="n">
        <v>8</v>
      </c>
      <c r="L199" s="15" t="n">
        <v>9</v>
      </c>
      <c r="M199" s="15" t="n">
        <v>10</v>
      </c>
      <c r="N199" s="15" t="n">
        <v>11</v>
      </c>
      <c r="O199" s="15" t="n">
        <v>12</v>
      </c>
      <c r="P199" s="15" t="n">
        <v>13</v>
      </c>
      <c r="Q199" s="15" t="n">
        <v>14</v>
      </c>
      <c r="R199" s="15" t="n">
        <v>15</v>
      </c>
      <c r="S199" s="18" t="inlineStr">
        <is>
          <t>média</t>
        </is>
      </c>
    </row>
    <row r="200">
      <c r="C200" s="15" t="n">
        <v>1</v>
      </c>
      <c r="D200" s="33" t="n">
        <v>-73.10000000000002</v>
      </c>
      <c r="E200" s="33" t="n">
        <v>-38.88000000000005</v>
      </c>
      <c r="F200" s="33" t="n">
        <v>-149.55</v>
      </c>
      <c r="G200" s="33" t="n">
        <v>-107.98</v>
      </c>
      <c r="H200" s="33" t="n">
        <v>46.69999999999999</v>
      </c>
      <c r="I200" s="33" t="n">
        <v>106.17</v>
      </c>
      <c r="J200" s="33" t="n">
        <v>-136.97</v>
      </c>
      <c r="K200" s="33" t="n">
        <v>138.53</v>
      </c>
      <c r="L200" s="33" t="n">
        <v>101.27</v>
      </c>
      <c r="M200" s="33" t="n">
        <v>-29.22000000000003</v>
      </c>
      <c r="N200" s="33" t="n">
        <v>16.77000000000004</v>
      </c>
      <c r="O200" s="33" t="n">
        <v>-25.31</v>
      </c>
      <c r="P200" s="33" t="n">
        <v>61.70000000000002</v>
      </c>
      <c r="Q200" s="33" t="n">
        <v>88.71000000000001</v>
      </c>
      <c r="R200" s="33" t="n">
        <v>153.0700000000001</v>
      </c>
      <c r="S200" s="21">
        <f>TRUNC(AVERAGE(Suppliers_Net_Demand),3)</f>
        <v/>
      </c>
    </row>
    <row r="201">
      <c r="C201" s="15" t="n">
        <v>2</v>
      </c>
      <c r="D201" s="33" t="n">
        <v>70.26999999999998</v>
      </c>
      <c r="E201" s="33" t="n">
        <v>54.39000000000001</v>
      </c>
      <c r="F201" s="33" t="n">
        <v>-69.21999999999997</v>
      </c>
      <c r="G201" s="33" t="n">
        <v>-226.34</v>
      </c>
      <c r="H201" s="33" t="n">
        <v>35.69</v>
      </c>
      <c r="I201" s="33" t="n">
        <v>73.69999999999999</v>
      </c>
      <c r="J201" s="33" t="n">
        <v>6.159999999999968</v>
      </c>
      <c r="K201" s="33" t="n">
        <v>-78.02000000000001</v>
      </c>
      <c r="L201" s="33" t="n">
        <v>-76.38</v>
      </c>
      <c r="M201" s="33" t="n">
        <v>70.93000000000001</v>
      </c>
      <c r="N201" s="33" t="n">
        <v>-108.97</v>
      </c>
      <c r="O201" s="33" t="n">
        <v>73.87</v>
      </c>
      <c r="P201" s="33" t="n">
        <v>61.50999999999999</v>
      </c>
      <c r="Q201" s="33" t="n">
        <v>54.40000000000003</v>
      </c>
      <c r="R201" s="33" t="n">
        <v>87.11000000000001</v>
      </c>
    </row>
    <row r="202">
      <c r="C202" s="15" t="n">
        <v>3</v>
      </c>
      <c r="D202" s="33" t="n">
        <v>165.21</v>
      </c>
      <c r="E202" s="33" t="n">
        <v>-98.88</v>
      </c>
      <c r="F202" s="33" t="n">
        <v>-171.21</v>
      </c>
      <c r="G202" s="33" t="n">
        <v>98.58000000000004</v>
      </c>
      <c r="H202" s="33" t="n">
        <v>-96.50999999999999</v>
      </c>
      <c r="I202" s="33" t="n">
        <v>199.62</v>
      </c>
      <c r="J202" s="33" t="n">
        <v>173.01</v>
      </c>
      <c r="K202" s="33" t="n">
        <v>-61.47000000000003</v>
      </c>
      <c r="L202" s="33" t="n">
        <v>-130.21</v>
      </c>
      <c r="M202" s="33" t="n">
        <v>-32.69</v>
      </c>
      <c r="N202" s="33" t="n">
        <v>131.25</v>
      </c>
      <c r="O202" s="33" t="n">
        <v>11.11000000000001</v>
      </c>
      <c r="P202" s="33" t="n">
        <v>-98.85000000000002</v>
      </c>
      <c r="Q202" s="33" t="n">
        <v>-44.68000000000001</v>
      </c>
      <c r="R202" s="33" t="n">
        <v>78.68000000000001</v>
      </c>
    </row>
    <row r="205">
      <c r="C205" s="18" t="inlineStr">
        <is>
          <t>Safety Stock runout (days)?</t>
        </is>
      </c>
      <c r="D205" s="15" t="n">
        <v>1</v>
      </c>
      <c r="E205" s="15" t="n">
        <v>2</v>
      </c>
      <c r="F205" s="15" t="n">
        <v>3</v>
      </c>
      <c r="G205" s="15" t="n">
        <v>4</v>
      </c>
      <c r="H205" s="15" t="n">
        <v>5</v>
      </c>
      <c r="I205" s="15" t="n">
        <v>6</v>
      </c>
      <c r="J205" s="15" t="n">
        <v>7</v>
      </c>
      <c r="K205" s="15" t="n">
        <v>8</v>
      </c>
      <c r="L205" s="15" t="n">
        <v>9</v>
      </c>
      <c r="M205" s="15" t="n">
        <v>10</v>
      </c>
      <c r="N205" s="15" t="n">
        <v>11</v>
      </c>
      <c r="O205" s="15" t="n">
        <v>12</v>
      </c>
      <c r="P205" s="15" t="n">
        <v>13</v>
      </c>
      <c r="Q205" s="15" t="n">
        <v>14</v>
      </c>
      <c r="R205" s="15" t="n">
        <v>15</v>
      </c>
    </row>
    <row r="206">
      <c r="C206" s="15" t="n">
        <v>1</v>
      </c>
      <c r="D206" s="21">
        <f>IF(D200&lt;=0,"inexhaustible",(D182+(-1*D16*D200))/D200)</f>
        <v/>
      </c>
      <c r="E206" s="21">
        <f>IF(E200&lt;=0,"inexhaustible",(E182+(-1*E16*E200))/E200)</f>
        <v/>
      </c>
      <c r="F206" s="21">
        <f>IF(F200&lt;=0,"inexhaustible",(F182+(-1*F16*F200))/F200)</f>
        <v/>
      </c>
      <c r="G206" s="21">
        <f>IF(G200&lt;=0,"inexhaustible",(G182+(-1*G16*G200))/G200)</f>
        <v/>
      </c>
      <c r="H206" s="21">
        <f>IF(H200&lt;=0,"inexhaustible",(H182+(-1*H16*H200))/H200)</f>
        <v/>
      </c>
      <c r="I206" s="21">
        <f>IF(I200&lt;=0,"inexhaustible",(I182+(-1*I16*I200))/I200)</f>
        <v/>
      </c>
      <c r="J206" s="21">
        <f>IF(J200&lt;=0,"inexhaustible",(J182+(-1*J16*J200))/J200)</f>
        <v/>
      </c>
      <c r="K206" s="21">
        <f>IF(K200&lt;=0,"inexhaustible",(K182+(-1*K16*K200))/K200)</f>
        <v/>
      </c>
      <c r="L206" s="21">
        <f>IF(L200&lt;=0,"inexhaustible",(L182+(-1*L16*L200))/L200)</f>
        <v/>
      </c>
      <c r="M206" s="21">
        <f>IF(M200&lt;=0,"inexhaustible",(M182+(-1*M16*M200))/M200)</f>
        <v/>
      </c>
      <c r="N206" s="21">
        <f>IF(N200&lt;=0,"inexhaustible",(N182+(-1*N16*N200))/N200)</f>
        <v/>
      </c>
      <c r="O206" s="21">
        <f>IF(O200&lt;=0,"inexhaustible",(O182+(-1*O16*O200))/O200)</f>
        <v/>
      </c>
      <c r="P206" s="21">
        <f>IF(P200&lt;=0,"inexhaustible",(P182+(-1*P16*P200))/P200)</f>
        <v/>
      </c>
      <c r="Q206" s="21">
        <f>IF(Q200&lt;=0,"inexhaustible",(Q182+(-1*Q16*Q200))/Q200)</f>
        <v/>
      </c>
      <c r="R206" s="21">
        <f>IF(R200&lt;=0,"inexhaustible",(R182+(-1*R16*R200))/R200)</f>
        <v/>
      </c>
    </row>
    <row r="207">
      <c r="C207" s="15" t="n">
        <v>2</v>
      </c>
      <c r="D207" s="21">
        <f>IF(D201&lt;=0,"inexhaustible",(D183+(-1*D17*D201))/D201)</f>
        <v/>
      </c>
      <c r="E207" s="21">
        <f>IF(E201&lt;=0,"inexhaustible",(E183+(-1*E17*E201))/E201)</f>
        <v/>
      </c>
      <c r="F207" s="21">
        <f>IF(F201&lt;=0,"inexhaustible",(F183+(-1*F17*F201))/F201)</f>
        <v/>
      </c>
      <c r="G207" s="21">
        <f>IF(G201&lt;=0,"inexhaustible",(G183+(-1*G17*G201))/G201)</f>
        <v/>
      </c>
      <c r="H207" s="21">
        <f>IF(H201&lt;=0,"inexhaustible",(H183+(-1*H17*H201))/H201)</f>
        <v/>
      </c>
      <c r="I207" s="21">
        <f>IF(I201&lt;=0,"inexhaustible",(I183+(-1*I17*I201))/I201)</f>
        <v/>
      </c>
      <c r="J207" s="21">
        <f>IF(J201&lt;=0,"inexhaustible",(J183+(-1*J17*J201))/J201)</f>
        <v/>
      </c>
      <c r="K207" s="21">
        <f>IF(K201&lt;=0,"inexhaustible",(K183+(-1*K17*K201))/K201)</f>
        <v/>
      </c>
      <c r="L207" s="21">
        <f>IF(L201&lt;=0,"inexhaustible",(L183+(-1*L17*L201))/L201)</f>
        <v/>
      </c>
      <c r="M207" s="21">
        <f>IF(M201&lt;=0,"inexhaustible",(M183+(-1*M17*M201))/M201)</f>
        <v/>
      </c>
      <c r="N207" s="21">
        <f>IF(N201&lt;=0,"inexhaustible",(N183+(-1*N17*N201))/N201)</f>
        <v/>
      </c>
      <c r="O207" s="21">
        <f>IF(O201&lt;=0,"inexhaustible",(O183+(-1*O17*O201))/O201)</f>
        <v/>
      </c>
      <c r="P207" s="21">
        <f>IF(P201&lt;=0,"inexhaustible",(P183+(-1*P17*P201))/P201)</f>
        <v/>
      </c>
      <c r="Q207" s="21">
        <f>IF(Q201&lt;=0,"inexhaustible",(Q183+(-1*Q17*Q201))/Q201)</f>
        <v/>
      </c>
      <c r="R207" s="21">
        <f>IF(R201&lt;=0,"inexhaustible",(R183+(-1*R17*R201))/R201)</f>
        <v/>
      </c>
    </row>
    <row r="208">
      <c r="C208" s="15" t="n">
        <v>3</v>
      </c>
      <c r="D208" s="21">
        <f>IF(D202&lt;=0,"inexhaustible",(D184+(-1*D18*D202))/D202)</f>
        <v/>
      </c>
      <c r="E208" s="21">
        <f>IF(E202&lt;=0,"inexhaustible",(E184+(-1*E18*E202))/E202)</f>
        <v/>
      </c>
      <c r="F208" s="21">
        <f>IF(F202&lt;=0,"inexhaustible",(F184+(-1*F18*F202))/F202)</f>
        <v/>
      </c>
      <c r="G208" s="21">
        <f>IF(G202&lt;=0,"inexhaustible",(G184+(-1*G18*G202))/G202)</f>
        <v/>
      </c>
      <c r="H208" s="21">
        <f>IF(H202&lt;=0,"inexhaustible",(H184+(-1*H18*H202))/H202)</f>
        <v/>
      </c>
      <c r="I208" s="21">
        <f>IF(I202&lt;=0,"inexhaustible",(I184+(-1*I18*I202))/I202)</f>
        <v/>
      </c>
      <c r="J208" s="21">
        <f>IF(J202&lt;=0,"inexhaustible",(J184+(-1*J18*J202))/J202)</f>
        <v/>
      </c>
      <c r="K208" s="21">
        <f>IF(K202&lt;=0,"inexhaustible",(K184+(-1*K18*K202))/K202)</f>
        <v/>
      </c>
      <c r="L208" s="21">
        <f>IF(L202&lt;=0,"inexhaustible",(L184+(-1*L18*L202))/L202)</f>
        <v/>
      </c>
      <c r="M208" s="21">
        <f>IF(M202&lt;=0,"inexhaustible",(M184+(-1*M18*M202))/M202)</f>
        <v/>
      </c>
      <c r="N208" s="21">
        <f>IF(N202&lt;=0,"inexhaustible",(N184+(-1*N18*N202))/N202)</f>
        <v/>
      </c>
      <c r="O208" s="21">
        <f>IF(O202&lt;=0,"inexhaustible",(O184+(-1*O18*O202))/O202)</f>
        <v/>
      </c>
      <c r="P208" s="21">
        <f>IF(P202&lt;=0,"inexhaustible",(P184+(-1*P18*P202))/P202)</f>
        <v/>
      </c>
      <c r="Q208" s="21">
        <f>IF(Q202&lt;=0,"inexhaustible",(Q184+(-1*Q18*Q202))/Q202)</f>
        <v/>
      </c>
      <c r="R208" s="21">
        <f>IF(R202&lt;=0,"inexhaustible",(R184+(-1*R18*R202))/R202)</f>
        <v/>
      </c>
    </row>
    <row r="210">
      <c r="AL210" s="18" t="inlineStr">
        <is>
          <t>COMPARAÇÃO</t>
        </is>
      </c>
    </row>
    <row r="211">
      <c r="C211" s="18" t="inlineStr">
        <is>
          <t>vGReorderw</t>
        </is>
      </c>
      <c r="D211" s="15" t="n">
        <v>1</v>
      </c>
      <c r="E211" s="15" t="n">
        <v>2</v>
      </c>
      <c r="F211" s="15" t="n">
        <v>3</v>
      </c>
      <c r="G211" s="15" t="n">
        <v>4</v>
      </c>
      <c r="H211" s="15" t="n">
        <v>5</v>
      </c>
      <c r="I211" s="15" t="n">
        <v>6</v>
      </c>
      <c r="J211" s="15" t="n">
        <v>7</v>
      </c>
      <c r="K211" s="15" t="n">
        <v>8</v>
      </c>
      <c r="L211" s="15" t="n">
        <v>9</v>
      </c>
      <c r="M211" s="15" t="n">
        <v>10</v>
      </c>
      <c r="N211" s="15" t="n">
        <v>11</v>
      </c>
      <c r="O211" s="15" t="n">
        <v>12</v>
      </c>
      <c r="P211" s="15" t="n">
        <v>13</v>
      </c>
      <c r="Q211" s="15" t="n">
        <v>14</v>
      </c>
      <c r="R211" s="15" t="n">
        <v>15</v>
      </c>
      <c r="T211" s="18" t="inlineStr">
        <is>
          <t>StockConsumw</t>
        </is>
      </c>
      <c r="U211" s="18" t="n">
        <v>1</v>
      </c>
      <c r="V211" s="18" t="n">
        <v>2</v>
      </c>
      <c r="W211" s="18" t="n">
        <v>3</v>
      </c>
      <c r="X211" s="18" t="n">
        <v>4</v>
      </c>
      <c r="Y211" s="18" t="n">
        <v>5</v>
      </c>
      <c r="Z211" s="18" t="n">
        <v>6</v>
      </c>
      <c r="AA211" s="18" t="n">
        <v>7</v>
      </c>
      <c r="AB211" s="18" t="n">
        <v>8</v>
      </c>
      <c r="AC211" s="18" t="n">
        <v>9</v>
      </c>
      <c r="AD211" s="18" t="n">
        <v>10</v>
      </c>
      <c r="AE211" s="18" t="n">
        <v>11</v>
      </c>
      <c r="AF211" s="18" t="n">
        <v>12</v>
      </c>
      <c r="AG211" s="18" t="n">
        <v>13</v>
      </c>
      <c r="AH211" s="18" t="n">
        <v>14</v>
      </c>
      <c r="AI211" s="18" t="n">
        <v>15</v>
      </c>
      <c r="AL211" s="19" t="inlineStr">
        <is>
          <t>vZw</t>
        </is>
      </c>
      <c r="AM211" s="19" t="n">
        <v>1</v>
      </c>
      <c r="AN211" s="19" t="n">
        <v>2</v>
      </c>
      <c r="AO211" s="19" t="n">
        <v>3</v>
      </c>
      <c r="AP211" s="19" t="n">
        <v>4</v>
      </c>
      <c r="AQ211" s="19" t="n">
        <v>5</v>
      </c>
      <c r="AR211" s="19" t="n">
        <v>6</v>
      </c>
      <c r="AS211" s="19" t="n">
        <v>7</v>
      </c>
      <c r="AT211" s="19" t="n">
        <v>8</v>
      </c>
      <c r="AU211" s="19" t="n">
        <v>9</v>
      </c>
      <c r="AV211" s="19" t="n">
        <v>10</v>
      </c>
      <c r="AW211" s="19" t="n">
        <v>11</v>
      </c>
      <c r="AX211" s="19" t="n">
        <v>12</v>
      </c>
      <c r="AY211" s="19" t="n">
        <v>13</v>
      </c>
      <c r="AZ211" s="19" t="n">
        <v>14</v>
      </c>
      <c r="BA211" s="18" t="n">
        <v>15</v>
      </c>
    </row>
    <row r="212">
      <c r="C212" s="15" t="n">
        <v>1</v>
      </c>
      <c r="D212" s="91" t="n">
        <v>0</v>
      </c>
      <c r="E212" s="91" t="n">
        <v>0</v>
      </c>
      <c r="F212" s="91" t="n">
        <v>0</v>
      </c>
      <c r="G212" s="91" t="n">
        <v>0</v>
      </c>
      <c r="H212" s="91" t="n">
        <v>1168.693</v>
      </c>
      <c r="I212" s="91" t="n">
        <v>1817.2927</v>
      </c>
      <c r="J212" s="91" t="n">
        <v>0</v>
      </c>
      <c r="K212" s="91" t="n">
        <v>2446.7585</v>
      </c>
      <c r="L212" s="91" t="n">
        <v>1635.9004</v>
      </c>
      <c r="M212" s="91" t="n">
        <v>0</v>
      </c>
      <c r="N212" s="91" t="n">
        <v>0</v>
      </c>
      <c r="O212" s="91" t="n">
        <v>0</v>
      </c>
      <c r="P212" s="91" t="n">
        <v>1216.203</v>
      </c>
      <c r="Q212" s="91" t="n">
        <v>1558.7788</v>
      </c>
      <c r="R212" s="91" t="n">
        <v>3006.242800000001</v>
      </c>
      <c r="T212" s="18" t="n">
        <v>1</v>
      </c>
      <c r="U212" s="18" t="n">
        <v>0</v>
      </c>
      <c r="V212" s="18" t="n">
        <v>0</v>
      </c>
      <c r="W212" s="18" t="n">
        <v>0</v>
      </c>
      <c r="X212" s="18" t="n">
        <v>0</v>
      </c>
      <c r="Y212" s="18" t="n">
        <v>1168.693</v>
      </c>
      <c r="Z212" s="18" t="n">
        <v>1817.2927</v>
      </c>
      <c r="AA212" s="18" t="n">
        <v>0</v>
      </c>
      <c r="AB212" s="18" t="n">
        <v>2446.7585</v>
      </c>
      <c r="AC212" s="18" t="n">
        <v>1635.9004</v>
      </c>
      <c r="AD212" s="18" t="n">
        <v>0</v>
      </c>
      <c r="AE212" s="18" t="n">
        <v>0</v>
      </c>
      <c r="AF212" s="18" t="n">
        <v>0</v>
      </c>
      <c r="AG212" s="18" t="n">
        <v>1216.203</v>
      </c>
      <c r="AH212" s="18" t="n">
        <v>1558.7788</v>
      </c>
      <c r="AI212" s="18" t="n">
        <v>3005.242800000001</v>
      </c>
      <c r="AL212" s="19" t="n">
        <v>1</v>
      </c>
      <c r="AM212" s="18">
        <f>D212-U212</f>
        <v/>
      </c>
      <c r="AN212" s="18">
        <f>E212-V212</f>
        <v/>
      </c>
      <c r="AO212" s="18">
        <f>F212-W212</f>
        <v/>
      </c>
      <c r="AP212" s="18">
        <f>G212-X212</f>
        <v/>
      </c>
      <c r="AQ212" s="18">
        <f>H212-Y212</f>
        <v/>
      </c>
      <c r="AR212" s="18">
        <f>I212-Z212</f>
        <v/>
      </c>
      <c r="AS212" s="18">
        <f>J212-AA212</f>
        <v/>
      </c>
      <c r="AT212" s="18">
        <f>K212-AB212</f>
        <v/>
      </c>
      <c r="AU212" s="18">
        <f>L212-AC212</f>
        <v/>
      </c>
      <c r="AV212" s="18">
        <f>M212-AD212</f>
        <v/>
      </c>
      <c r="AW212" s="18">
        <f>N212-AE212</f>
        <v/>
      </c>
      <c r="AX212" s="18">
        <f>O212-AF212</f>
        <v/>
      </c>
      <c r="AY212" s="18">
        <f>P212-AG212</f>
        <v/>
      </c>
      <c r="AZ212" s="18">
        <f>Q212-AH212</f>
        <v/>
      </c>
      <c r="BA212" s="18">
        <f>R212-AI212</f>
        <v/>
      </c>
    </row>
    <row r="213">
      <c r="C213" s="15" t="n">
        <v>2</v>
      </c>
      <c r="D213" s="91" t="n">
        <v>1262.2397</v>
      </c>
      <c r="E213" s="91" t="n">
        <v>1303.4396</v>
      </c>
      <c r="F213" s="91" t="n">
        <v>0</v>
      </c>
      <c r="G213" s="91" t="n">
        <v>0</v>
      </c>
      <c r="H213" s="91" t="n">
        <v>0</v>
      </c>
      <c r="I213" s="91" t="n">
        <v>1632.304</v>
      </c>
      <c r="J213" s="91" t="n">
        <v>0</v>
      </c>
      <c r="K213" s="91" t="n">
        <v>0</v>
      </c>
      <c r="L213" s="91" t="n">
        <v>0</v>
      </c>
      <c r="M213" s="91" t="n">
        <v>1215.6016</v>
      </c>
      <c r="N213" s="91" t="n">
        <v>0</v>
      </c>
      <c r="O213" s="91" t="n">
        <v>1583.4977</v>
      </c>
      <c r="P213" s="91" t="n">
        <v>1579.2148</v>
      </c>
      <c r="Q213" s="91" t="n">
        <v>1508.936000000001</v>
      </c>
      <c r="R213" s="91" t="n">
        <v>1603.2428</v>
      </c>
      <c r="T213" s="18" t="n">
        <v>2</v>
      </c>
      <c r="U213" s="18" t="n">
        <v>1262.2397</v>
      </c>
      <c r="V213" s="18" t="n">
        <v>1303.4396</v>
      </c>
      <c r="W213" s="18" t="n">
        <v>0</v>
      </c>
      <c r="X213" s="18" t="n">
        <v>0</v>
      </c>
      <c r="Y213" s="18" t="n">
        <v>0</v>
      </c>
      <c r="Z213" s="18" t="n">
        <v>1632.304</v>
      </c>
      <c r="AA213" s="18" t="n">
        <v>0</v>
      </c>
      <c r="AB213" s="18" t="n">
        <v>0</v>
      </c>
      <c r="AC213" s="18" t="n">
        <v>0</v>
      </c>
      <c r="AD213" s="18" t="n">
        <v>1215.6016</v>
      </c>
      <c r="AE213" s="18" t="n">
        <v>0</v>
      </c>
      <c r="AF213" s="18" t="n">
        <v>1583.4977</v>
      </c>
      <c r="AG213" s="18" t="n">
        <v>1579.2148</v>
      </c>
      <c r="AH213" s="18" t="n">
        <v>1508.936000000001</v>
      </c>
      <c r="AI213" s="18" t="n">
        <v>1603.2428</v>
      </c>
      <c r="AL213" s="19" t="n">
        <v>2</v>
      </c>
      <c r="AM213" s="18">
        <f>D213-U213</f>
        <v/>
      </c>
      <c r="AN213" s="18">
        <f>E213-V213</f>
        <v/>
      </c>
      <c r="AO213" s="18">
        <f>F213-W213</f>
        <v/>
      </c>
      <c r="AP213" s="18">
        <f>G213-X213</f>
        <v/>
      </c>
      <c r="AQ213" s="18">
        <f>H213-Y213</f>
        <v/>
      </c>
      <c r="AR213" s="18">
        <f>I213-Z213</f>
        <v/>
      </c>
      <c r="AS213" s="18">
        <f>J213-AA213</f>
        <v/>
      </c>
      <c r="AT213" s="18">
        <f>K213-AB213</f>
        <v/>
      </c>
      <c r="AU213" s="18">
        <f>L213-AC213</f>
        <v/>
      </c>
      <c r="AV213" s="18">
        <f>M213-AD213</f>
        <v/>
      </c>
      <c r="AW213" s="18">
        <f>N213-AE213</f>
        <v/>
      </c>
      <c r="AX213" s="18">
        <f>O213-AF213</f>
        <v/>
      </c>
      <c r="AY213" s="18">
        <f>P213-AG213</f>
        <v/>
      </c>
      <c r="AZ213" s="18">
        <f>Q213-AH213</f>
        <v/>
      </c>
      <c r="BA213" s="18">
        <f>R213-AI213</f>
        <v/>
      </c>
    </row>
    <row r="214">
      <c r="C214" s="15" t="n">
        <v>3</v>
      </c>
      <c r="D214" s="91" t="n">
        <v>3540.7346</v>
      </c>
      <c r="E214" s="91" t="n">
        <v>0</v>
      </c>
      <c r="F214" s="91" t="n">
        <v>0</v>
      </c>
      <c r="G214" s="91" t="n">
        <v>1883.162600000001</v>
      </c>
      <c r="H214" s="91" t="n">
        <v>0</v>
      </c>
      <c r="I214" s="91" t="n">
        <v>4031.312</v>
      </c>
      <c r="J214" s="91" t="n">
        <v>2527.3066</v>
      </c>
      <c r="K214" s="91" t="n">
        <v>0</v>
      </c>
      <c r="L214" s="91" t="n">
        <v>0</v>
      </c>
      <c r="M214" s="91" t="n">
        <v>0</v>
      </c>
      <c r="N214" s="91" t="n">
        <v>1655.4375</v>
      </c>
      <c r="O214" s="91" t="n">
        <v>0</v>
      </c>
      <c r="P214" s="91" t="n">
        <v>0</v>
      </c>
      <c r="Q214" s="91" t="n">
        <v>0</v>
      </c>
      <c r="R214" s="91" t="n">
        <v>1385.7436</v>
      </c>
      <c r="T214" s="18" t="n">
        <v>3</v>
      </c>
      <c r="U214" s="18" t="n">
        <v>3540.7346</v>
      </c>
      <c r="V214" s="18" t="n">
        <v>0</v>
      </c>
      <c r="W214" s="18" t="n">
        <v>0</v>
      </c>
      <c r="X214" s="18" t="n">
        <v>1883.162600000001</v>
      </c>
      <c r="Y214" s="18" t="n">
        <v>0</v>
      </c>
      <c r="Z214" s="18" t="n">
        <v>4031.312</v>
      </c>
      <c r="AA214" s="18" t="n">
        <v>2527.3066</v>
      </c>
      <c r="AB214" s="18" t="n">
        <v>0</v>
      </c>
      <c r="AC214" s="18" t="n">
        <v>0</v>
      </c>
      <c r="AD214" s="18" t="n">
        <v>0</v>
      </c>
      <c r="AE214" s="18" t="n">
        <v>1655.4375</v>
      </c>
      <c r="AF214" s="18" t="n">
        <v>0</v>
      </c>
      <c r="AG214" s="18" t="n">
        <v>0</v>
      </c>
      <c r="AH214" s="18" t="n">
        <v>0</v>
      </c>
      <c r="AI214" s="18" t="n">
        <v>1385.7436</v>
      </c>
      <c r="AL214" s="19" t="n">
        <v>3</v>
      </c>
      <c r="AM214" s="18">
        <f>D214-U214</f>
        <v/>
      </c>
      <c r="AN214" s="18">
        <f>E214-V214</f>
        <v/>
      </c>
      <c r="AO214" s="18">
        <f>F214-W214</f>
        <v/>
      </c>
      <c r="AP214" s="18">
        <f>G214-X214</f>
        <v/>
      </c>
      <c r="AQ214" s="18">
        <f>H214-Y214</f>
        <v/>
      </c>
      <c r="AR214" s="18">
        <f>I214-Z214</f>
        <v/>
      </c>
      <c r="AS214" s="18">
        <f>J214-AA214</f>
        <v/>
      </c>
      <c r="AT214" s="18">
        <f>K214-AB214</f>
        <v/>
      </c>
      <c r="AU214" s="18">
        <f>L214-AC214</f>
        <v/>
      </c>
      <c r="AV214" s="18">
        <f>M214-AD214</f>
        <v/>
      </c>
      <c r="AW214" s="18">
        <f>N214-AE214</f>
        <v/>
      </c>
      <c r="AX214" s="18">
        <f>O214-AF214</f>
        <v/>
      </c>
      <c r="AY214" s="18">
        <f>P214-AG214</f>
        <v/>
      </c>
      <c r="AZ214" s="18">
        <f>Q214-AH214</f>
        <v/>
      </c>
      <c r="BA214" s="18">
        <f>R214-AI214</f>
        <v/>
      </c>
    </row>
    <row r="217">
      <c r="C217" s="36" t="inlineStr">
        <is>
          <t>VarNDw</t>
        </is>
      </c>
      <c r="D217" s="15" t="n">
        <v>1</v>
      </c>
      <c r="E217" s="15" t="n">
        <v>2</v>
      </c>
      <c r="F217" s="15" t="n">
        <v>3</v>
      </c>
      <c r="G217" s="15" t="n">
        <v>4</v>
      </c>
      <c r="H217" s="15" t="n">
        <v>5</v>
      </c>
      <c r="I217" s="15" t="n">
        <v>6</v>
      </c>
      <c r="J217" s="15" t="n">
        <v>7</v>
      </c>
      <c r="K217" s="15" t="n">
        <v>8</v>
      </c>
      <c r="L217" s="15" t="n">
        <v>9</v>
      </c>
      <c r="M217" s="15" t="n">
        <v>10</v>
      </c>
      <c r="N217" s="15" t="n">
        <v>11</v>
      </c>
      <c r="O217" s="15" t="n">
        <v>12</v>
      </c>
      <c r="P217" s="15" t="n">
        <v>13</v>
      </c>
      <c r="Q217" s="15" t="n">
        <v>14</v>
      </c>
      <c r="R217" s="15" t="n">
        <v>15</v>
      </c>
    </row>
    <row r="218">
      <c r="C218" s="15" t="n">
        <v>1</v>
      </c>
      <c r="D218" s="33" t="n">
        <v>195.14972416</v>
      </c>
      <c r="E218" s="33" t="n">
        <v>268.599321</v>
      </c>
      <c r="F218" s="33" t="n">
        <v>243.19778704</v>
      </c>
      <c r="G218" s="33" t="n">
        <v>211.789809</v>
      </c>
      <c r="H218" s="33" t="n">
        <v>495.67679044</v>
      </c>
      <c r="I218" s="33" t="n">
        <v>191.80865025</v>
      </c>
      <c r="J218" s="33" t="n">
        <v>228.58718481</v>
      </c>
      <c r="K218" s="33" t="n">
        <v>428.22921969</v>
      </c>
      <c r="L218" s="33" t="n">
        <v>341.02639561</v>
      </c>
      <c r="M218" s="33" t="n">
        <v>325.91803024</v>
      </c>
      <c r="N218" s="33" t="n">
        <v>498.35651121</v>
      </c>
      <c r="O218" s="33" t="n">
        <v>151.52871409</v>
      </c>
      <c r="P218" s="33" t="n">
        <v>217.80741889</v>
      </c>
      <c r="Q218" s="33" t="n">
        <v>186.71856025</v>
      </c>
      <c r="R218" s="33" t="n">
        <v>592.9663308099999</v>
      </c>
    </row>
    <row r="219">
      <c r="C219" s="15" t="n">
        <v>2</v>
      </c>
      <c r="D219" s="33" t="n">
        <v>282.89894416</v>
      </c>
      <c r="E219" s="33" t="n">
        <v>213.68884761</v>
      </c>
      <c r="F219" s="33" t="n">
        <v>241.926916</v>
      </c>
      <c r="G219" s="33" t="n">
        <v>590.5580419600001</v>
      </c>
      <c r="H219" s="33" t="n">
        <v>388.85868025</v>
      </c>
      <c r="I219" s="33" t="n">
        <v>422.60669476</v>
      </c>
      <c r="J219" s="33" t="n">
        <v>252.55884241</v>
      </c>
      <c r="K219" s="33" t="n">
        <v>203.02830144</v>
      </c>
      <c r="L219" s="33" t="n">
        <v>313.81768201</v>
      </c>
      <c r="M219" s="33" t="n">
        <v>195.96920121</v>
      </c>
      <c r="N219" s="33" t="n">
        <v>304.38734089</v>
      </c>
      <c r="O219" s="33" t="n">
        <v>362.788209</v>
      </c>
      <c r="P219" s="33" t="n">
        <v>237.91828516</v>
      </c>
      <c r="Q219" s="33" t="n">
        <v>507.6459609999999</v>
      </c>
      <c r="R219" s="33" t="n">
        <v>435.18966544</v>
      </c>
    </row>
    <row r="220">
      <c r="C220" s="15" t="n">
        <v>3</v>
      </c>
      <c r="D220" s="33" t="n">
        <v>467.04828769</v>
      </c>
      <c r="E220" s="33" t="n">
        <v>262.44972009</v>
      </c>
      <c r="F220" s="33" t="n">
        <v>289.0782052900001</v>
      </c>
      <c r="G220" s="33" t="n">
        <v>583.14522256</v>
      </c>
      <c r="H220" s="33" t="n">
        <v>279.06704809</v>
      </c>
      <c r="I220" s="33" t="n">
        <v>466.86677041</v>
      </c>
      <c r="J220" s="33" t="n">
        <v>270.799936</v>
      </c>
      <c r="K220" s="33" t="n">
        <v>382.14776196</v>
      </c>
      <c r="L220" s="33" t="n">
        <v>306.8593027599999</v>
      </c>
      <c r="M220" s="33" t="n">
        <v>223.66997136</v>
      </c>
      <c r="N220" s="33" t="n">
        <v>263.0884</v>
      </c>
      <c r="O220" s="33" t="n">
        <v>274.9892558399999</v>
      </c>
      <c r="P220" s="33" t="n">
        <v>406.8289000000001</v>
      </c>
      <c r="Q220" s="33" t="n">
        <v>367.95679684</v>
      </c>
      <c r="R220" s="33" t="n">
        <v>362.32741801</v>
      </c>
    </row>
    <row r="221">
      <c r="D221" s="21" t="n"/>
      <c r="E221" s="21" t="n"/>
      <c r="F221" s="21" t="n"/>
      <c r="G221" s="21" t="n"/>
      <c r="H221" s="21" t="n"/>
      <c r="I221" s="21" t="n"/>
      <c r="J221" s="21" t="n"/>
      <c r="K221" s="21" t="n"/>
      <c r="L221" s="21" t="n"/>
      <c r="M221" s="21" t="n"/>
      <c r="N221" s="21" t="n"/>
      <c r="O221" s="21" t="n"/>
      <c r="P221" s="21" t="n"/>
      <c r="Q221" s="21" t="n"/>
      <c r="R221" s="21" t="n"/>
    </row>
    <row r="223">
      <c r="C223" s="18" t="inlineStr">
        <is>
          <t>vCTw-RunOutTimew</t>
        </is>
      </c>
      <c r="D223" s="15" t="n">
        <v>1</v>
      </c>
      <c r="E223" s="15" t="n">
        <v>2</v>
      </c>
      <c r="F223" s="15" t="n">
        <v>3</v>
      </c>
      <c r="G223" s="15" t="n">
        <v>4</v>
      </c>
      <c r="H223" s="15" t="n">
        <v>5</v>
      </c>
      <c r="I223" s="15" t="n">
        <v>6</v>
      </c>
      <c r="J223" s="15" t="n">
        <v>7</v>
      </c>
      <c r="K223" s="15" t="n">
        <v>8</v>
      </c>
      <c r="L223" s="15" t="n">
        <v>9</v>
      </c>
      <c r="M223" s="15" t="n">
        <v>10</v>
      </c>
      <c r="N223" s="15" t="n">
        <v>11</v>
      </c>
      <c r="O223" s="15" t="n">
        <v>12</v>
      </c>
      <c r="P223" s="15" t="n">
        <v>13</v>
      </c>
      <c r="Q223" s="15" t="n">
        <v>14</v>
      </c>
      <c r="R223" s="15" t="n">
        <v>15</v>
      </c>
    </row>
    <row r="224">
      <c r="C224" s="15" t="n">
        <v>1</v>
      </c>
      <c r="D224" s="21">
        <f>IF(D200&lt;0,"inexhaustible",(IF(D45=1,"Gamma",D28-D63)))</f>
        <v/>
      </c>
      <c r="E224" s="21">
        <f>IF(E200&lt;0,"inexhaustible",(IF(E45=1,"Gamma",E28-E63)))</f>
        <v/>
      </c>
      <c r="F224" s="21">
        <f>IF(F200&lt;0,"inexhaustible",(IF(F45=1,"Gamma",F28-F63)))</f>
        <v/>
      </c>
      <c r="G224" s="21">
        <f>IF(G200&lt;0,"inexhaustible",(IF(G45=1,"Gamma",G28-G63)))</f>
        <v/>
      </c>
      <c r="H224" s="21">
        <f>IF(H200&lt;0,"inexhaustible",(IF(H45=1,"Gamma",H28-H63)))</f>
        <v/>
      </c>
      <c r="I224" s="21">
        <f>IF(I200&lt;0,"inexhaustible",(IF(I45=1,"Gamma",I28-I63)))</f>
        <v/>
      </c>
      <c r="J224" s="21">
        <f>IF(J200&lt;0,"inexhaustible",(IF(J45=1,"Gamma",J28-J63)))</f>
        <v/>
      </c>
      <c r="K224" s="21">
        <f>IF(K200&lt;0,"inexhaustible",(IF(K45=1,"Gamma",K28-K63)))</f>
        <v/>
      </c>
      <c r="L224" s="21">
        <f>IF(L200&lt;0,"inexhaustible",(IF(L45=1,"Gamma",L28-L63)))</f>
        <v/>
      </c>
      <c r="M224" s="21">
        <f>IF(M200&lt;0,"inexhaustible",(IF(M45=1,"Gamma",M28-M63)))</f>
        <v/>
      </c>
      <c r="N224" s="21">
        <f>IF(N200&lt;0,"inexhaustible",(IF(N45=1,"Gamma",N28-N63)))</f>
        <v/>
      </c>
      <c r="O224" s="21">
        <f>IF(O200&lt;0,"inexhaustible",(IF(O45=1,"Gamma",O28-O63)))</f>
        <v/>
      </c>
      <c r="P224" s="21">
        <f>IF(P200&lt;0,"inexhaustible",(IF(P45=1,"Gamma",P28-P63)))</f>
        <v/>
      </c>
      <c r="Q224" s="21">
        <f>IF(Q200&lt;0,"inexhaustible",(IF(Q45=1,"Gamma",Q28-Q63)))</f>
        <v/>
      </c>
      <c r="R224" s="21">
        <f>IF(R200&lt;0,"inexhaustible",(IF(R45=1,"Gamma",R28-R63)))</f>
        <v/>
      </c>
    </row>
    <row r="225">
      <c r="C225" s="15" t="n">
        <v>2</v>
      </c>
      <c r="D225" s="21">
        <f>IF(D201&lt;0,"inexhaustible",(IF(D46=1,"Gamma",D29-D64)))</f>
        <v/>
      </c>
      <c r="E225" s="21">
        <f>IF(E201&lt;0,"inexhaustible",(IF(E46=1,"Gamma",E29-E64)))</f>
        <v/>
      </c>
      <c r="F225" s="21">
        <f>IF(F201&lt;0,"inexhaustible",(IF(F46=1,"Gamma",F29-F64)))</f>
        <v/>
      </c>
      <c r="G225" s="21">
        <f>IF(G201&lt;0,"inexhaustible",(IF(G46=1,"Gamma",G29-G64)))</f>
        <v/>
      </c>
      <c r="H225" s="21">
        <f>IF(H201&lt;0,"inexhaustible",(IF(H46=1,"Gamma",H29-H64)))</f>
        <v/>
      </c>
      <c r="I225" s="21">
        <f>IF(I201&lt;0,"inexhaustible",(IF(I46=1,"Gamma",I29-I64)))</f>
        <v/>
      </c>
      <c r="J225" s="21">
        <f>IF(J201&lt;0,"inexhaustible",(IF(J46=1,"Gamma",J29-J64)))</f>
        <v/>
      </c>
      <c r="K225" s="21">
        <f>IF(K201&lt;0,"inexhaustible",(IF(K46=1,"Gamma",K29-K64)))</f>
        <v/>
      </c>
      <c r="L225" s="21">
        <f>IF(L201&lt;0,"inexhaustible",(IF(L46=1,"Gamma",L29-L64)))</f>
        <v/>
      </c>
      <c r="M225" s="21">
        <f>IF(M201&lt;0,"inexhaustible",(IF(M46=1,"Gamma",M29-M64)))</f>
        <v/>
      </c>
      <c r="N225" s="21">
        <f>IF(N201&lt;0,"inexhaustible",(IF(N46=1,"Gamma",N29-N64)))</f>
        <v/>
      </c>
      <c r="O225" s="21">
        <f>IF(O201&lt;0,"inexhaustible",(IF(O46=1,"Gamma",O29-O64)))</f>
        <v/>
      </c>
      <c r="P225" s="21">
        <f>IF(P201&lt;0,"inexhaustible",(IF(P46=1,"Gamma",P29-P64)))</f>
        <v/>
      </c>
      <c r="Q225" s="21">
        <f>IF(Q201&lt;0,"inexhaustible",(IF(Q46=1,"Gamma",Q29-Q64)))</f>
        <v/>
      </c>
      <c r="R225" s="21">
        <f>IF(R201&lt;0,"inexhaustible",(IF(R46=1,"Gamma",R29-R64)))</f>
        <v/>
      </c>
    </row>
    <row r="226">
      <c r="C226" s="15" t="n">
        <v>3</v>
      </c>
      <c r="D226" s="21">
        <f>IF(D202&lt;0,"inexhaustible",(IF(D47=1,"Gamma",D30-D65)))</f>
        <v/>
      </c>
      <c r="E226" s="21">
        <f>IF(E202&lt;0,"inexhaustible",(IF(E47=1,"Gamma",E30-E65)))</f>
        <v/>
      </c>
      <c r="F226" s="21">
        <f>IF(F202&lt;0,"inexhaustible",(IF(F47=1,"Gamma",F30-F65)))</f>
        <v/>
      </c>
      <c r="G226" s="21">
        <f>IF(G202&lt;0,"inexhaustible",(IF(G47=1,"Gamma",G30-G65)))</f>
        <v/>
      </c>
      <c r="H226" s="21">
        <f>IF(H202&lt;0,"inexhaustible",(IF(H47=1,"Gamma",H30-H65)))</f>
        <v/>
      </c>
      <c r="I226" s="21">
        <f>IF(I202&lt;0,"inexhaustible",(IF(I47=1,"Gamma",I30-I65)))</f>
        <v/>
      </c>
      <c r="J226" s="21">
        <f>IF(J202&lt;0,"inexhaustible",(IF(J47=1,"Gamma",J30-J65)))</f>
        <v/>
      </c>
      <c r="K226" s="21">
        <f>IF(K202&lt;0,"inexhaustible",(IF(K47=1,"Gamma",K30-K65)))</f>
        <v/>
      </c>
      <c r="L226" s="21">
        <f>IF(L202&lt;0,"inexhaustible",(IF(L47=1,"Gamma",L30-L65)))</f>
        <v/>
      </c>
      <c r="M226" s="21">
        <f>IF(M202&lt;0,"inexhaustible",(IF(M47=1,"Gamma",M30-M65)))</f>
        <v/>
      </c>
      <c r="N226" s="21">
        <f>IF(N202&lt;0,"inexhaustible",(IF(N47=1,"Gamma",N30-N65)))</f>
        <v/>
      </c>
      <c r="O226" s="21">
        <f>IF(O202&lt;0,"inexhaustible",(IF(O47=1,"Gamma",O30-O65)))</f>
        <v/>
      </c>
      <c r="P226" s="21">
        <f>IF(P202&lt;0,"inexhaustible",(IF(P47=1,"Gamma",P30-P65)))</f>
        <v/>
      </c>
      <c r="Q226" s="21">
        <f>IF(Q202&lt;0,"inexhaustible",(IF(Q47=1,"Gamma",Q30-Q65)))</f>
        <v/>
      </c>
      <c r="R226" s="21">
        <f>IF(R202&lt;0,"inexhaustible",(IF(R47=1,"Gamma",R30-R65)))</f>
        <v/>
      </c>
    </row>
    <row r="228">
      <c r="AL228" s="18" t="inlineStr">
        <is>
          <t>COMPARAÇÃO</t>
        </is>
      </c>
    </row>
    <row r="229">
      <c r="C229" s="36" t="inlineStr">
        <is>
          <t>vSSw</t>
        </is>
      </c>
      <c r="D229" s="15" t="n">
        <v>1</v>
      </c>
      <c r="E229" s="15" t="n">
        <v>2</v>
      </c>
      <c r="F229" s="15" t="n">
        <v>3</v>
      </c>
      <c r="G229" s="15" t="n">
        <v>4</v>
      </c>
      <c r="H229" s="15" t="n">
        <v>5</v>
      </c>
      <c r="I229" s="15" t="n">
        <v>6</v>
      </c>
      <c r="J229" s="15" t="n">
        <v>7</v>
      </c>
      <c r="K229" s="15" t="n">
        <v>8</v>
      </c>
      <c r="L229" s="15" t="n">
        <v>9</v>
      </c>
      <c r="M229" s="15" t="n">
        <v>10</v>
      </c>
      <c r="N229" s="15" t="n">
        <v>11</v>
      </c>
      <c r="O229" s="15" t="n">
        <v>12</v>
      </c>
      <c r="P229" s="15" t="n">
        <v>13</v>
      </c>
      <c r="Q229" s="15" t="n">
        <v>14</v>
      </c>
      <c r="R229" s="15" t="n">
        <v>15</v>
      </c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19" t="n"/>
    </row>
    <row r="230">
      <c r="C230" s="15" t="n">
        <v>1</v>
      </c>
      <c r="D230" s="33" t="n">
        <v>0</v>
      </c>
      <c r="E230" s="33" t="n">
        <v>0</v>
      </c>
      <c r="F230" s="33" t="n">
        <v>0</v>
      </c>
      <c r="G230" s="33" t="n">
        <v>0</v>
      </c>
      <c r="H230" s="33" t="n">
        <v>478</v>
      </c>
      <c r="I230" s="33" t="n">
        <v>298</v>
      </c>
      <c r="J230" s="33" t="n">
        <v>0</v>
      </c>
      <c r="K230" s="33" t="n">
        <v>445</v>
      </c>
      <c r="L230" s="33" t="n">
        <v>368</v>
      </c>
      <c r="M230" s="33" t="n">
        <v>0</v>
      </c>
      <c r="N230" s="33" t="n">
        <v>0</v>
      </c>
      <c r="O230" s="33" t="n">
        <v>0</v>
      </c>
      <c r="P230" s="33" t="n">
        <v>316</v>
      </c>
      <c r="Q230" s="33" t="n">
        <v>292</v>
      </c>
      <c r="R230" s="33" t="n">
        <v>551</v>
      </c>
      <c r="T230" s="15" t="n"/>
      <c r="U230" s="21" t="n"/>
      <c r="V230" s="21" t="n"/>
      <c r="W230" s="21" t="n"/>
      <c r="X230" s="21" t="n"/>
      <c r="Y230" s="21" t="n"/>
      <c r="Z230" s="21" t="n"/>
      <c r="AA230" s="21" t="n"/>
      <c r="AB230" s="21" t="n"/>
      <c r="AC230" s="21" t="n"/>
      <c r="AD230" s="21" t="n"/>
      <c r="AE230" s="21" t="n"/>
      <c r="AF230" s="21" t="n"/>
      <c r="AG230" s="21" t="n"/>
      <c r="AH230" s="21" t="n"/>
      <c r="AI230" s="21" t="n"/>
      <c r="AK230" s="19" t="n"/>
      <c r="AL230" s="19" t="n"/>
    </row>
    <row r="231">
      <c r="C231" s="15" t="n">
        <v>2</v>
      </c>
      <c r="D231" s="33" t="n">
        <v>341</v>
      </c>
      <c r="E231" s="33" t="n">
        <v>344</v>
      </c>
      <c r="F231" s="33" t="n">
        <v>0</v>
      </c>
      <c r="G231" s="33" t="n">
        <v>0</v>
      </c>
      <c r="H231" s="33" t="n">
        <v>0</v>
      </c>
      <c r="I231" s="33" t="n">
        <v>459</v>
      </c>
      <c r="J231" s="33" t="n">
        <v>0</v>
      </c>
      <c r="K231" s="33" t="n">
        <v>0</v>
      </c>
      <c r="L231" s="33" t="n">
        <v>0</v>
      </c>
      <c r="M231" s="33" t="n">
        <v>285</v>
      </c>
      <c r="N231" s="33" t="n">
        <v>0</v>
      </c>
      <c r="O231" s="33" t="n">
        <v>423</v>
      </c>
      <c r="P231" s="33" t="n">
        <v>381</v>
      </c>
      <c r="Q231" s="33" t="n">
        <v>533</v>
      </c>
      <c r="R231" s="33" t="n">
        <v>429</v>
      </c>
      <c r="T231" s="15" t="n"/>
      <c r="U231" s="21" t="n"/>
      <c r="V231" s="21" t="n"/>
      <c r="W231" s="21" t="n"/>
      <c r="X231" s="21" t="n"/>
      <c r="Y231" s="21" t="n"/>
      <c r="Z231" s="21" t="n"/>
      <c r="AA231" s="21" t="n"/>
      <c r="AB231" s="21" t="n"/>
      <c r="AC231" s="21" t="n"/>
      <c r="AD231" s="21" t="n"/>
      <c r="AE231" s="21" t="n"/>
      <c r="AF231" s="21" t="n"/>
      <c r="AG231" s="21" t="n"/>
      <c r="AH231" s="21" t="n"/>
      <c r="AI231" s="21" t="n"/>
      <c r="AK231" s="19" t="n"/>
      <c r="AL231" s="19" t="n"/>
    </row>
    <row r="232">
      <c r="C232" s="15" t="n">
        <v>3</v>
      </c>
      <c r="D232" s="33" t="n">
        <v>524</v>
      </c>
      <c r="E232" s="33" t="n">
        <v>0</v>
      </c>
      <c r="F232" s="33" t="n">
        <v>0</v>
      </c>
      <c r="G232" s="33" t="n">
        <v>506</v>
      </c>
      <c r="H232" s="33" t="n">
        <v>0</v>
      </c>
      <c r="I232" s="33" t="n">
        <v>518</v>
      </c>
      <c r="J232" s="33" t="n">
        <v>337</v>
      </c>
      <c r="K232" s="33" t="n">
        <v>0</v>
      </c>
      <c r="L232" s="33" t="n">
        <v>0</v>
      </c>
      <c r="M232" s="33" t="n">
        <v>0</v>
      </c>
      <c r="N232" s="33" t="n">
        <v>297</v>
      </c>
      <c r="O232" s="33" t="n">
        <v>0</v>
      </c>
      <c r="P232" s="33" t="n">
        <v>0</v>
      </c>
      <c r="Q232" s="33" t="n">
        <v>0</v>
      </c>
      <c r="R232" s="33" t="n">
        <v>381</v>
      </c>
      <c r="T232" s="15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n"/>
      <c r="AH232" s="21" t="n"/>
      <c r="AI232" s="21" t="n"/>
      <c r="AK232" s="19" t="n"/>
      <c r="AL232" s="19" t="n"/>
    </row>
    <row r="235">
      <c r="C235" s="36" t="inlineStr">
        <is>
          <t>ND*ELT</t>
        </is>
      </c>
      <c r="D235" s="15" t="n">
        <v>1</v>
      </c>
      <c r="E235" s="15" t="n">
        <v>2</v>
      </c>
      <c r="F235" s="15" t="n">
        <v>3</v>
      </c>
      <c r="G235" s="15" t="n">
        <v>4</v>
      </c>
      <c r="H235" s="15" t="n">
        <v>5</v>
      </c>
      <c r="I235" s="15" t="n">
        <v>6</v>
      </c>
      <c r="J235" s="15" t="n">
        <v>7</v>
      </c>
      <c r="K235" s="15" t="n">
        <v>8</v>
      </c>
      <c r="L235" s="15" t="n">
        <v>9</v>
      </c>
      <c r="M235" s="15" t="n">
        <v>10</v>
      </c>
      <c r="N235" s="15" t="n">
        <v>11</v>
      </c>
      <c r="O235" s="15" t="n">
        <v>12</v>
      </c>
      <c r="P235" s="15" t="n">
        <v>13</v>
      </c>
      <c r="Q235" s="15" t="n">
        <v>14</v>
      </c>
      <c r="R235" s="15" t="n">
        <v>15</v>
      </c>
    </row>
    <row r="236">
      <c r="C236" s="15" t="n">
        <v>1</v>
      </c>
      <c r="D236" s="92">
        <f>IF(D200&lt;0,"",D4*D200)</f>
        <v/>
      </c>
      <c r="E236" s="92">
        <f>IF(E200&lt;0,"",E4*E200)</f>
        <v/>
      </c>
      <c r="F236" s="92">
        <f>IF(F200&lt;0,"",F4*F200)</f>
        <v/>
      </c>
      <c r="G236" s="92">
        <f>IF(G200&lt;0,"",G4*G200)</f>
        <v/>
      </c>
      <c r="H236" s="92">
        <f>IF(H200&lt;0,"",H4*H200)</f>
        <v/>
      </c>
      <c r="I236" s="92">
        <f>IF(I200&lt;0,"",I4*I200)</f>
        <v/>
      </c>
      <c r="J236" s="92">
        <f>IF(J200&lt;0,"",J4*J200)</f>
        <v/>
      </c>
      <c r="K236" s="92">
        <f>IF(K200&lt;0,"",K4*K200)</f>
        <v/>
      </c>
      <c r="L236" s="92">
        <f>IF(L200&lt;0,"",L4*L200)</f>
        <v/>
      </c>
      <c r="M236" s="92">
        <f>IF(M200&lt;0,"",M4*M200)</f>
        <v/>
      </c>
      <c r="N236" s="92">
        <f>IF(N200&lt;0,"",N4*N200)</f>
        <v/>
      </c>
      <c r="O236" s="92">
        <f>IF(O200&lt;0,"",O4*O200)</f>
        <v/>
      </c>
      <c r="P236" s="92">
        <f>IF(P200&lt;0,"",P4*P200)</f>
        <v/>
      </c>
      <c r="Q236" s="92">
        <f>IF(Q200&lt;0,"",Q4*Q200)</f>
        <v/>
      </c>
      <c r="R236" s="92">
        <f>IF(R200&lt;0,"",R4*R200)</f>
        <v/>
      </c>
    </row>
    <row r="237">
      <c r="C237" s="15" t="n">
        <v>2</v>
      </c>
      <c r="D237" s="92">
        <f>IF(D201&lt;0,"",D5*D201)</f>
        <v/>
      </c>
      <c r="E237" s="92">
        <f>IF(E201&lt;0,"",E5*E201)</f>
        <v/>
      </c>
      <c r="F237" s="92">
        <f>IF(F201&lt;0,"",F5*F201)</f>
        <v/>
      </c>
      <c r="G237" s="92">
        <f>IF(G201&lt;0,"",G5*G201)</f>
        <v/>
      </c>
      <c r="H237" s="92">
        <f>IF(H201&lt;0,"",H5*H201)</f>
        <v/>
      </c>
      <c r="I237" s="92">
        <f>IF(I201&lt;0,"",I5*I201)</f>
        <v/>
      </c>
      <c r="J237" s="92">
        <f>IF(J201&lt;0,"",J5*J201)</f>
        <v/>
      </c>
      <c r="K237" s="92">
        <f>IF(K201&lt;0,"",K5*K201)</f>
        <v/>
      </c>
      <c r="L237" s="92">
        <f>IF(L201&lt;0,"",L5*L201)</f>
        <v/>
      </c>
      <c r="M237" s="92">
        <f>IF(M201&lt;0,"",M5*M201)</f>
        <v/>
      </c>
      <c r="N237" s="92">
        <f>IF(N201&lt;0,"",N5*N201)</f>
        <v/>
      </c>
      <c r="O237" s="92">
        <f>IF(O201&lt;0,"",O5*O201)</f>
        <v/>
      </c>
      <c r="P237" s="92">
        <f>IF(P201&lt;0,"",P5*P201)</f>
        <v/>
      </c>
      <c r="Q237" s="92">
        <f>IF(Q201&lt;0,"",Q5*Q201)</f>
        <v/>
      </c>
      <c r="R237" s="92">
        <f>IF(R201&lt;0,"",R5*R201)</f>
        <v/>
      </c>
    </row>
    <row r="238">
      <c r="C238" s="15" t="n">
        <v>3</v>
      </c>
      <c r="D238" s="92">
        <f>IF(D202&lt;0,"",D6*D202)</f>
        <v/>
      </c>
      <c r="E238" s="92">
        <f>IF(E202&lt;0,"",E6*E202)</f>
        <v/>
      </c>
      <c r="F238" s="92">
        <f>IF(F202&lt;0,"",F6*F202)</f>
        <v/>
      </c>
      <c r="G238" s="92">
        <f>IF(G202&lt;0,"",G6*G202)</f>
        <v/>
      </c>
      <c r="H238" s="92">
        <f>IF(H202&lt;0,"",H6*H202)</f>
        <v/>
      </c>
      <c r="I238" s="92">
        <f>IF(I202&lt;0,"",I6*I202)</f>
        <v/>
      </c>
      <c r="J238" s="92">
        <f>IF(J202&lt;0,"",J6*J202)</f>
        <v/>
      </c>
      <c r="K238" s="92">
        <f>IF(K202&lt;0,"",K6*K202)</f>
        <v/>
      </c>
      <c r="L238" s="92">
        <f>IF(L202&lt;0,"",L6*L202)</f>
        <v/>
      </c>
      <c r="M238" s="92">
        <f>IF(M202&lt;0,"",M6*M202)</f>
        <v/>
      </c>
      <c r="N238" s="92">
        <f>IF(N202&lt;0,"",N6*N202)</f>
        <v/>
      </c>
      <c r="O238" s="92">
        <f>IF(O202&lt;0,"",O6*O202)</f>
        <v/>
      </c>
      <c r="P238" s="92">
        <f>IF(P202&lt;0,"",P6*P202)</f>
        <v/>
      </c>
      <c r="Q238" s="92">
        <f>IF(Q202&lt;0,"",Q6*Q202)</f>
        <v/>
      </c>
      <c r="R238" s="92">
        <f>IF(R202&lt;0,"",R6*R202)</f>
        <v/>
      </c>
    </row>
    <row r="241">
      <c r="C241" s="36" t="inlineStr">
        <is>
          <t>ND*S0</t>
        </is>
      </c>
      <c r="D241" s="15" t="n">
        <v>1</v>
      </c>
      <c r="E241" s="15" t="n">
        <v>2</v>
      </c>
      <c r="F241" s="15" t="n">
        <v>3</v>
      </c>
      <c r="G241" s="15" t="n">
        <v>4</v>
      </c>
      <c r="H241" s="15" t="n">
        <v>5</v>
      </c>
      <c r="I241" s="15" t="n">
        <v>6</v>
      </c>
      <c r="J241" s="15" t="n">
        <v>7</v>
      </c>
      <c r="K241" s="15" t="n">
        <v>8</v>
      </c>
      <c r="L241" s="15" t="n">
        <v>9</v>
      </c>
      <c r="M241" s="15" t="n">
        <v>10</v>
      </c>
      <c r="N241" s="15" t="n">
        <v>11</v>
      </c>
      <c r="O241" s="15" t="n">
        <v>12</v>
      </c>
      <c r="P241" s="15" t="n">
        <v>13</v>
      </c>
      <c r="Q241" s="15" t="n">
        <v>14</v>
      </c>
      <c r="R241" s="15" t="n">
        <v>15</v>
      </c>
    </row>
    <row r="242">
      <c r="C242" s="15" t="n">
        <v>1</v>
      </c>
      <c r="D242" s="21">
        <f>D200*D75</f>
        <v/>
      </c>
      <c r="E242" s="21">
        <f>E200*E75</f>
        <v/>
      </c>
      <c r="F242" s="21">
        <f>F200*F75</f>
        <v/>
      </c>
      <c r="G242" s="21">
        <f>G200*G75</f>
        <v/>
      </c>
      <c r="H242" s="21">
        <f>H200*H75</f>
        <v/>
      </c>
      <c r="I242" s="21">
        <f>I200*I75</f>
        <v/>
      </c>
      <c r="J242" s="21">
        <f>J200*J75</f>
        <v/>
      </c>
      <c r="K242" s="21">
        <f>K200*K75</f>
        <v/>
      </c>
      <c r="L242" s="21">
        <f>L200*L75</f>
        <v/>
      </c>
      <c r="M242" s="21">
        <f>M200*M75</f>
        <v/>
      </c>
      <c r="N242" s="21">
        <f>N200*N75</f>
        <v/>
      </c>
      <c r="O242" s="21">
        <f>O200*O75</f>
        <v/>
      </c>
      <c r="P242" s="21">
        <f>P200*P75</f>
        <v/>
      </c>
      <c r="Q242" s="21">
        <f>Q200*Q75</f>
        <v/>
      </c>
      <c r="R242" s="21">
        <f>R200*R75</f>
        <v/>
      </c>
    </row>
    <row r="243">
      <c r="C243" s="15" t="n">
        <v>2</v>
      </c>
      <c r="D243" s="21">
        <f>D201*D76</f>
        <v/>
      </c>
      <c r="E243" s="21">
        <f>E201*E76</f>
        <v/>
      </c>
      <c r="F243" s="21">
        <f>F201*F76</f>
        <v/>
      </c>
      <c r="G243" s="21">
        <f>G201*G76</f>
        <v/>
      </c>
      <c r="H243" s="21">
        <f>H201*H76</f>
        <v/>
      </c>
      <c r="I243" s="21">
        <f>I201*I76</f>
        <v/>
      </c>
      <c r="J243" s="21">
        <f>J201*J76</f>
        <v/>
      </c>
      <c r="K243" s="21">
        <f>K201*K76</f>
        <v/>
      </c>
      <c r="L243" s="21">
        <f>L201*L76</f>
        <v/>
      </c>
      <c r="M243" s="21">
        <f>M201*M76</f>
        <v/>
      </c>
      <c r="N243" s="21">
        <f>N201*N76</f>
        <v/>
      </c>
      <c r="O243" s="21">
        <f>O201*O76</f>
        <v/>
      </c>
      <c r="P243" s="21">
        <f>P201*P76</f>
        <v/>
      </c>
      <c r="Q243" s="21">
        <f>Q201*Q76</f>
        <v/>
      </c>
      <c r="R243" s="21">
        <f>R201*R76</f>
        <v/>
      </c>
    </row>
    <row r="244">
      <c r="C244" s="15" t="n">
        <v>3</v>
      </c>
      <c r="D244" s="21">
        <f>D202*D77</f>
        <v/>
      </c>
      <c r="E244" s="21">
        <f>E202*E77</f>
        <v/>
      </c>
      <c r="F244" s="21">
        <f>F202*F77</f>
        <v/>
      </c>
      <c r="G244" s="21">
        <f>G202*G77</f>
        <v/>
      </c>
      <c r="H244" s="21">
        <f>H202*H77</f>
        <v/>
      </c>
      <c r="I244" s="21">
        <f>I202*I77</f>
        <v/>
      </c>
      <c r="J244" s="21">
        <f>J202*J77</f>
        <v/>
      </c>
      <c r="K244" s="21">
        <f>K202*K77</f>
        <v/>
      </c>
      <c r="L244" s="21">
        <f>L202*L77</f>
        <v/>
      </c>
      <c r="M244" s="21">
        <f>M202*M77</f>
        <v/>
      </c>
      <c r="N244" s="21">
        <f>N202*N77</f>
        <v/>
      </c>
      <c r="O244" s="21">
        <f>O202*O77</f>
        <v/>
      </c>
      <c r="P244" s="21">
        <f>P202*P77</f>
        <v/>
      </c>
      <c r="Q244" s="21">
        <f>Q202*Q77</f>
        <v/>
      </c>
      <c r="R244" s="21">
        <f>R202*R77</f>
        <v/>
      </c>
    </row>
    <row r="247">
      <c r="C247" s="36" t="inlineStr">
        <is>
          <t>StockConsumw</t>
        </is>
      </c>
      <c r="D247" s="15" t="n">
        <v>1</v>
      </c>
      <c r="E247" s="15" t="n">
        <v>2</v>
      </c>
      <c r="F247" s="15" t="n">
        <v>3</v>
      </c>
      <c r="G247" s="15" t="n">
        <v>4</v>
      </c>
      <c r="H247" s="15" t="n">
        <v>5</v>
      </c>
      <c r="I247" s="15" t="n">
        <v>6</v>
      </c>
      <c r="J247" s="15" t="n">
        <v>7</v>
      </c>
      <c r="K247" s="15" t="n">
        <v>8</v>
      </c>
      <c r="L247" s="15" t="n">
        <v>9</v>
      </c>
      <c r="M247" s="15" t="n">
        <v>10</v>
      </c>
      <c r="N247" s="15" t="n">
        <v>11</v>
      </c>
      <c r="O247" s="15" t="n">
        <v>12</v>
      </c>
      <c r="P247" s="15" t="n">
        <v>13</v>
      </c>
      <c r="Q247" s="15" t="n">
        <v>14</v>
      </c>
      <c r="R247" s="15" t="n">
        <v>15</v>
      </c>
    </row>
    <row r="248">
      <c r="C248" s="15" t="n">
        <v>1</v>
      </c>
      <c r="D248" s="21" t="n">
        <v>0</v>
      </c>
      <c r="E248" s="21" t="n">
        <v>0</v>
      </c>
      <c r="F248" s="21" t="n">
        <v>0</v>
      </c>
      <c r="G248" s="21" t="n">
        <v>0</v>
      </c>
      <c r="H248" s="21" t="n">
        <v>0</v>
      </c>
      <c r="I248" s="21" t="n">
        <v>731.2927000000003</v>
      </c>
      <c r="J248" s="21" t="n">
        <v>0</v>
      </c>
      <c r="K248" s="21" t="n">
        <v>0</v>
      </c>
      <c r="L248" s="21" t="n">
        <v>0</v>
      </c>
      <c r="M248" s="21" t="n">
        <v>0</v>
      </c>
      <c r="N248" s="21" t="n">
        <v>0</v>
      </c>
      <c r="O248" s="21" t="n">
        <v>0</v>
      </c>
      <c r="P248" s="21" t="n">
        <v>0</v>
      </c>
      <c r="Q248" s="21" t="n">
        <v>569.7788</v>
      </c>
      <c r="R248" s="21" t="n">
        <v>890.2428000000008</v>
      </c>
    </row>
    <row r="249">
      <c r="C249" s="15" t="n">
        <v>2</v>
      </c>
      <c r="D249" s="21" t="n">
        <v>0</v>
      </c>
      <c r="E249" s="21" t="n">
        <v>0</v>
      </c>
      <c r="F249" s="21" t="n">
        <v>0</v>
      </c>
      <c r="G249" s="21" t="n">
        <v>0</v>
      </c>
      <c r="H249" s="21" t="n">
        <v>0</v>
      </c>
      <c r="I249" s="21" t="n">
        <v>0</v>
      </c>
      <c r="J249" s="21" t="n">
        <v>0</v>
      </c>
      <c r="K249" s="21" t="n">
        <v>0</v>
      </c>
      <c r="L249" s="21" t="n">
        <v>0</v>
      </c>
      <c r="M249" s="21" t="n">
        <v>0</v>
      </c>
      <c r="N249" s="21" t="n">
        <v>0</v>
      </c>
      <c r="O249" s="21" t="n">
        <v>120.4977000000002</v>
      </c>
      <c r="P249" s="21" t="n">
        <v>0</v>
      </c>
      <c r="Q249" s="21" t="n">
        <v>0</v>
      </c>
      <c r="R249" s="21" t="n">
        <v>0</v>
      </c>
    </row>
    <row r="250">
      <c r="C250" s="15" t="n">
        <v>3</v>
      </c>
      <c r="D250" s="21" t="n">
        <v>1540.7346</v>
      </c>
      <c r="E250" s="21" t="n">
        <v>0</v>
      </c>
      <c r="F250" s="21" t="n">
        <v>0</v>
      </c>
      <c r="G250" s="21" t="n">
        <v>0</v>
      </c>
      <c r="H250" s="21" t="n">
        <v>0</v>
      </c>
      <c r="I250" s="21" t="n">
        <v>1988.312</v>
      </c>
      <c r="J250" s="21" t="n">
        <v>1076.3066</v>
      </c>
      <c r="K250" s="21" t="n">
        <v>0</v>
      </c>
      <c r="L250" s="21" t="n">
        <v>0</v>
      </c>
      <c r="M250" s="21" t="n">
        <v>0</v>
      </c>
      <c r="N250" s="21" t="n">
        <v>738.4374999999999</v>
      </c>
      <c r="O250" s="21" t="n">
        <v>0</v>
      </c>
      <c r="P250" s="21" t="n">
        <v>0</v>
      </c>
      <c r="Q250" s="21" t="n">
        <v>0</v>
      </c>
      <c r="R250" s="21" t="n">
        <v>0</v>
      </c>
    </row>
    <row r="252">
      <c r="AL252" s="18" t="inlineStr">
        <is>
          <t>COMPARAÇÃO</t>
        </is>
      </c>
    </row>
    <row r="253">
      <c r="C253" s="36" t="inlineStr">
        <is>
          <t>Backlogw</t>
        </is>
      </c>
      <c r="D253" s="15" t="n">
        <v>1</v>
      </c>
      <c r="E253" s="15" t="n">
        <v>2</v>
      </c>
      <c r="F253" s="15" t="n">
        <v>3</v>
      </c>
      <c r="G253" s="15" t="n">
        <v>4</v>
      </c>
      <c r="H253" s="15" t="n">
        <v>5</v>
      </c>
      <c r="I253" s="15" t="n">
        <v>6</v>
      </c>
      <c r="J253" s="15" t="n">
        <v>7</v>
      </c>
      <c r="K253" s="15" t="n">
        <v>8</v>
      </c>
      <c r="L253" s="15" t="n">
        <v>9</v>
      </c>
      <c r="M253" s="15" t="n">
        <v>10</v>
      </c>
      <c r="N253" s="15" t="n">
        <v>11</v>
      </c>
      <c r="O253" s="15" t="n">
        <v>12</v>
      </c>
      <c r="P253" s="15" t="n">
        <v>13</v>
      </c>
      <c r="Q253" s="15" t="n">
        <v>14</v>
      </c>
      <c r="R253" s="15" t="n">
        <v>15</v>
      </c>
      <c r="T253" s="18" t="inlineStr">
        <is>
          <t>Backlogw</t>
        </is>
      </c>
      <c r="U253" s="18" t="n">
        <v>1</v>
      </c>
      <c r="V253" s="18" t="n">
        <v>2</v>
      </c>
      <c r="W253" s="18" t="n">
        <v>3</v>
      </c>
      <c r="X253" s="18" t="n">
        <v>4</v>
      </c>
      <c r="Y253" s="18" t="n">
        <v>5</v>
      </c>
      <c r="Z253" s="18" t="n">
        <v>6</v>
      </c>
      <c r="AA253" s="18" t="n">
        <v>7</v>
      </c>
      <c r="AB253" s="18" t="n">
        <v>8</v>
      </c>
      <c r="AC253" s="18" t="n">
        <v>9</v>
      </c>
      <c r="AD253" s="18" t="n">
        <v>10</v>
      </c>
      <c r="AE253" s="18" t="n">
        <v>11</v>
      </c>
      <c r="AF253" s="18" t="n">
        <v>12</v>
      </c>
      <c r="AG253" s="18" t="n">
        <v>13</v>
      </c>
      <c r="AH253" s="18" t="n">
        <v>14</v>
      </c>
      <c r="AI253" s="18" t="n">
        <v>15</v>
      </c>
      <c r="AL253" s="18" t="inlineStr">
        <is>
          <t>Backlogw</t>
        </is>
      </c>
      <c r="AM253" s="19" t="n">
        <v>1</v>
      </c>
      <c r="AN253" s="19" t="n">
        <v>2</v>
      </c>
      <c r="AO253" s="19" t="n">
        <v>3</v>
      </c>
      <c r="AP253" s="19" t="n">
        <v>4</v>
      </c>
      <c r="AQ253" s="19" t="n">
        <v>5</v>
      </c>
      <c r="AR253" s="19" t="n">
        <v>6</v>
      </c>
      <c r="AS253" s="19" t="n">
        <v>7</v>
      </c>
      <c r="AT253" s="19" t="n">
        <v>8</v>
      </c>
      <c r="AU253" s="19" t="n">
        <v>9</v>
      </c>
      <c r="AV253" s="19" t="n">
        <v>10</v>
      </c>
      <c r="AW253" s="19" t="n">
        <v>11</v>
      </c>
      <c r="AX253" s="19" t="n">
        <v>12</v>
      </c>
      <c r="AY253" s="19" t="n">
        <v>13</v>
      </c>
      <c r="AZ253" s="19" t="n">
        <v>14</v>
      </c>
      <c r="BA253" s="18" t="n">
        <v>15</v>
      </c>
    </row>
    <row r="254">
      <c r="C254" s="15" t="n">
        <v>1</v>
      </c>
      <c r="D254" s="21" t="n">
        <v>0</v>
      </c>
      <c r="E254" s="21" t="n">
        <v>0</v>
      </c>
      <c r="F254" s="21" t="n">
        <v>0</v>
      </c>
      <c r="G254" s="21" t="n">
        <v>0</v>
      </c>
      <c r="H254" s="21" t="n">
        <v>0</v>
      </c>
      <c r="I254" s="21" t="n">
        <v>402.4102629981376</v>
      </c>
      <c r="J254" s="21" t="n">
        <v>0</v>
      </c>
      <c r="K254" s="21" t="n">
        <v>0</v>
      </c>
      <c r="L254" s="21" t="n">
        <v>0</v>
      </c>
      <c r="M254" s="21" t="n">
        <v>0</v>
      </c>
      <c r="N254" s="21" t="n">
        <v>0</v>
      </c>
      <c r="O254" s="21" t="n">
        <v>0</v>
      </c>
      <c r="P254" s="21" t="n">
        <v>0</v>
      </c>
      <c r="Q254" s="21" t="n">
        <v>231.1028959981374</v>
      </c>
      <c r="R254" s="21" t="n">
        <v>207.1457159981381</v>
      </c>
      <c r="T254" s="18" t="n">
        <v>1</v>
      </c>
      <c r="U254" s="18" t="n">
        <v>0</v>
      </c>
      <c r="V254" s="18" t="n">
        <v>0</v>
      </c>
      <c r="W254" s="18" t="n">
        <v>0</v>
      </c>
      <c r="X254" s="18" t="n">
        <v>0</v>
      </c>
      <c r="Y254" s="18" t="n">
        <v>0</v>
      </c>
      <c r="Z254" s="18" t="n">
        <v>402.4102629981376</v>
      </c>
      <c r="AA254" s="18" t="n">
        <v>0</v>
      </c>
      <c r="AB254" s="18" t="n">
        <v>0</v>
      </c>
      <c r="AC254" s="18" t="n">
        <v>0</v>
      </c>
      <c r="AD254" s="18" t="n">
        <v>0</v>
      </c>
      <c r="AE254" s="18" t="n">
        <v>0</v>
      </c>
      <c r="AF254" s="18" t="n">
        <v>0</v>
      </c>
      <c r="AG254" s="18" t="n">
        <v>0</v>
      </c>
      <c r="AH254" s="18" t="n">
        <v>231.1028959981374</v>
      </c>
      <c r="AI254" s="18" t="n">
        <v>207.1457159981381</v>
      </c>
      <c r="AL254" s="18" t="n">
        <v>1</v>
      </c>
      <c r="AM254" s="18">
        <f>D254-U254</f>
        <v/>
      </c>
      <c r="AN254" s="18">
        <f>E254-V254</f>
        <v/>
      </c>
      <c r="AO254" s="18">
        <f>F254-W254</f>
        <v/>
      </c>
      <c r="AP254" s="18">
        <f>G254-X254</f>
        <v/>
      </c>
      <c r="AQ254" s="18">
        <f>H254-Y254</f>
        <v/>
      </c>
      <c r="AR254" s="18">
        <f>I254-Z254</f>
        <v/>
      </c>
      <c r="AS254" s="18">
        <f>J254-AA254</f>
        <v/>
      </c>
      <c r="AT254" s="18">
        <f>K254-AB254</f>
        <v/>
      </c>
      <c r="AU254" s="18">
        <f>L254-AC254</f>
        <v/>
      </c>
      <c r="AV254" s="18">
        <f>M254-AD254</f>
        <v/>
      </c>
      <c r="AW254" s="18">
        <f>N254-AE254</f>
        <v/>
      </c>
      <c r="AX254" s="18">
        <f>O254-AF254</f>
        <v/>
      </c>
      <c r="AY254" s="18">
        <f>P254-AG254</f>
        <v/>
      </c>
      <c r="AZ254" s="18">
        <f>Q254-AH254</f>
        <v/>
      </c>
      <c r="BA254" s="18">
        <f>R254-AI254</f>
        <v/>
      </c>
    </row>
    <row r="255">
      <c r="C255" s="15" t="n">
        <v>2</v>
      </c>
      <c r="D255" s="21" t="n">
        <v>0</v>
      </c>
      <c r="E255" s="21" t="n">
        <v>0</v>
      </c>
      <c r="F255" s="21" t="n">
        <v>0</v>
      </c>
      <c r="G255" s="21" t="n">
        <v>0</v>
      </c>
      <c r="H255" s="21" t="n">
        <v>0</v>
      </c>
      <c r="I255" s="21" t="n">
        <v>0</v>
      </c>
      <c r="J255" s="21" t="n">
        <v>0</v>
      </c>
      <c r="K255" s="21" t="n">
        <v>0</v>
      </c>
      <c r="L255" s="21" t="n">
        <v>0</v>
      </c>
      <c r="M255" s="21" t="n">
        <v>0</v>
      </c>
      <c r="N255" s="21" t="n">
        <v>0</v>
      </c>
      <c r="O255" s="21" t="n">
        <v>0</v>
      </c>
      <c r="P255" s="21" t="n">
        <v>0</v>
      </c>
      <c r="Q255" s="21" t="n">
        <v>0</v>
      </c>
      <c r="R255" s="21" t="n">
        <v>0</v>
      </c>
      <c r="T255" s="18" t="n">
        <v>2</v>
      </c>
      <c r="U255" s="18" t="n">
        <v>0</v>
      </c>
      <c r="V255" s="18" t="n">
        <v>0</v>
      </c>
      <c r="W255" s="18" t="n">
        <v>0</v>
      </c>
      <c r="X255" s="18" t="n">
        <v>0</v>
      </c>
      <c r="Y255" s="18" t="n">
        <v>0</v>
      </c>
      <c r="Z255" s="18" t="n">
        <v>0</v>
      </c>
      <c r="AA255" s="18" t="n">
        <v>0</v>
      </c>
      <c r="AB255" s="18" t="n">
        <v>0</v>
      </c>
      <c r="AC255" s="18" t="n">
        <v>0</v>
      </c>
      <c r="AD255" s="18" t="n">
        <v>0</v>
      </c>
      <c r="AE255" s="18" t="n">
        <v>0</v>
      </c>
      <c r="AF255" s="18" t="n">
        <v>0</v>
      </c>
      <c r="AG255" s="18" t="n">
        <v>0</v>
      </c>
      <c r="AH255" s="18" t="n">
        <v>0</v>
      </c>
      <c r="AI255" s="18" t="n">
        <v>0</v>
      </c>
      <c r="AL255" s="18" t="n">
        <v>2</v>
      </c>
      <c r="AM255" s="18">
        <f>D255-U255</f>
        <v/>
      </c>
      <c r="AN255" s="18">
        <f>E255-V255</f>
        <v/>
      </c>
      <c r="AO255" s="18">
        <f>F255-W255</f>
        <v/>
      </c>
      <c r="AP255" s="18">
        <f>G255-X255</f>
        <v/>
      </c>
      <c r="AQ255" s="18">
        <f>H255-Y255</f>
        <v/>
      </c>
      <c r="AR255" s="18">
        <f>I255-Z255</f>
        <v/>
      </c>
      <c r="AS255" s="18">
        <f>J255-AA255</f>
        <v/>
      </c>
      <c r="AT255" s="18">
        <f>K255-AB255</f>
        <v/>
      </c>
      <c r="AU255" s="18">
        <f>L255-AC255</f>
        <v/>
      </c>
      <c r="AV255" s="18">
        <f>M255-AD255</f>
        <v/>
      </c>
      <c r="AW255" s="18">
        <f>N255-AE255</f>
        <v/>
      </c>
      <c r="AX255" s="18">
        <f>O255-AF255</f>
        <v/>
      </c>
      <c r="AY255" s="18">
        <f>P255-AG255</f>
        <v/>
      </c>
      <c r="AZ255" s="18">
        <f>Q255-AH255</f>
        <v/>
      </c>
      <c r="BA255" s="18">
        <f>R255-AI255</f>
        <v/>
      </c>
    </row>
    <row r="256">
      <c r="C256" s="15" t="n">
        <v>3</v>
      </c>
      <c r="D256" s="21" t="n">
        <v>885.3192899981372</v>
      </c>
      <c r="E256" s="21" t="n">
        <v>0</v>
      </c>
      <c r="F256" s="21" t="n">
        <v>0</v>
      </c>
      <c r="G256" s="21" t="n">
        <v>0</v>
      </c>
      <c r="H256" s="21" t="n">
        <v>0</v>
      </c>
      <c r="I256" s="21" t="n">
        <v>1397.332159998137</v>
      </c>
      <c r="J256" s="21" t="n">
        <v>770.9284099981372</v>
      </c>
      <c r="K256" s="21" t="n">
        <v>0</v>
      </c>
      <c r="L256" s="21" t="n">
        <v>0</v>
      </c>
      <c r="M256" s="21" t="n">
        <v>0</v>
      </c>
      <c r="N256" s="21" t="n">
        <v>464.5827099981372</v>
      </c>
      <c r="O256" s="21" t="n">
        <v>0</v>
      </c>
      <c r="P256" s="21" t="n">
        <v>0</v>
      </c>
      <c r="Q256" s="21" t="n">
        <v>0</v>
      </c>
      <c r="R256" s="21" t="n">
        <v>0</v>
      </c>
      <c r="T256" s="18" t="n">
        <v>3</v>
      </c>
      <c r="U256" s="18" t="n">
        <v>885.3192899981372</v>
      </c>
      <c r="V256" s="18" t="n">
        <v>0</v>
      </c>
      <c r="W256" s="18" t="n">
        <v>0</v>
      </c>
      <c r="X256" s="18" t="n">
        <v>0</v>
      </c>
      <c r="Y256" s="18" t="n">
        <v>0</v>
      </c>
      <c r="Z256" s="18" t="n">
        <v>1397.332159998137</v>
      </c>
      <c r="AA256" s="18" t="n">
        <v>770.9284099981372</v>
      </c>
      <c r="AB256" s="18" t="n">
        <v>0</v>
      </c>
      <c r="AC256" s="18" t="n">
        <v>0</v>
      </c>
      <c r="AD256" s="18" t="n">
        <v>0</v>
      </c>
      <c r="AE256" s="18" t="n">
        <v>464.5827099981372</v>
      </c>
      <c r="AF256" s="18" t="n">
        <v>0</v>
      </c>
      <c r="AG256" s="18" t="n">
        <v>0</v>
      </c>
      <c r="AH256" s="18" t="n">
        <v>0</v>
      </c>
      <c r="AI256" s="18" t="n">
        <v>0</v>
      </c>
      <c r="AL256" s="18" t="n">
        <v>3</v>
      </c>
      <c r="AM256" s="18">
        <f>D256-U256</f>
        <v/>
      </c>
      <c r="AN256" s="18">
        <f>E256-V256</f>
        <v/>
      </c>
      <c r="AO256" s="18">
        <f>F256-W256</f>
        <v/>
      </c>
      <c r="AP256" s="18">
        <f>G256-X256</f>
        <v/>
      </c>
      <c r="AQ256" s="18">
        <f>H256-Y256</f>
        <v/>
      </c>
      <c r="AR256" s="18">
        <f>I256-Z256</f>
        <v/>
      </c>
      <c r="AS256" s="18">
        <f>J256-AA256</f>
        <v/>
      </c>
      <c r="AT256" s="18">
        <f>K256-AB256</f>
        <v/>
      </c>
      <c r="AU256" s="18">
        <f>L256-AC256</f>
        <v/>
      </c>
      <c r="AV256" s="18">
        <f>M256-AD256</f>
        <v/>
      </c>
      <c r="AW256" s="18">
        <f>N256-AE256</f>
        <v/>
      </c>
      <c r="AX256" s="18">
        <f>O256-AF256</f>
        <v/>
      </c>
      <c r="AY256" s="18">
        <f>P256-AG256</f>
        <v/>
      </c>
      <c r="AZ256" s="18">
        <f>Q256-AH256</f>
        <v/>
      </c>
      <c r="BA256" s="18">
        <f>R256-AI256</f>
        <v/>
      </c>
    </row>
    <row r="257">
      <c r="D257" s="18" t="inlineStr"/>
      <c r="U257" s="18" t="inlineStr"/>
    </row>
    <row r="258">
      <c r="D258" s="18" t="inlineStr"/>
      <c r="U258" s="18" t="inlineStr"/>
    </row>
    <row r="259">
      <c r="C259" s="36" t="inlineStr">
        <is>
          <t>Stockrecoveryw</t>
        </is>
      </c>
      <c r="D259" s="15" t="n">
        <v>1</v>
      </c>
      <c r="E259" s="15" t="n">
        <v>2</v>
      </c>
      <c r="F259" s="15" t="n">
        <v>3</v>
      </c>
      <c r="G259" s="15" t="n">
        <v>4</v>
      </c>
      <c r="H259" s="15" t="n">
        <v>5</v>
      </c>
      <c r="I259" s="15" t="n">
        <v>6</v>
      </c>
      <c r="J259" s="15" t="n">
        <v>7</v>
      </c>
      <c r="K259" s="15" t="n">
        <v>8</v>
      </c>
      <c r="L259" s="15" t="n">
        <v>9</v>
      </c>
      <c r="M259" s="15" t="n">
        <v>10</v>
      </c>
      <c r="N259" s="15" t="n">
        <v>11</v>
      </c>
      <c r="O259" s="15" t="n">
        <v>12</v>
      </c>
      <c r="P259" s="15" t="n">
        <v>13</v>
      </c>
      <c r="Q259" s="15" t="n">
        <v>14</v>
      </c>
      <c r="R259" s="15" t="n">
        <v>15</v>
      </c>
      <c r="T259" s="18" t="inlineStr">
        <is>
          <t>Stockrecoveryw</t>
        </is>
      </c>
      <c r="U259" s="18" t="n">
        <v>1</v>
      </c>
      <c r="V259" s="18" t="n">
        <v>2</v>
      </c>
      <c r="W259" s="18" t="n">
        <v>3</v>
      </c>
      <c r="X259" s="18" t="n">
        <v>4</v>
      </c>
      <c r="Y259" s="18" t="n">
        <v>5</v>
      </c>
      <c r="Z259" s="18" t="n">
        <v>6</v>
      </c>
      <c r="AA259" s="18" t="n">
        <v>7</v>
      </c>
      <c r="AB259" s="18" t="n">
        <v>8</v>
      </c>
      <c r="AC259" s="18" t="n">
        <v>9</v>
      </c>
      <c r="AD259" s="18" t="n">
        <v>10</v>
      </c>
      <c r="AE259" s="18" t="n">
        <v>11</v>
      </c>
      <c r="AF259" s="18" t="n">
        <v>12</v>
      </c>
      <c r="AG259" s="18" t="n">
        <v>13</v>
      </c>
      <c r="AH259" s="18" t="n">
        <v>14</v>
      </c>
      <c r="AI259" s="18" t="n">
        <v>15</v>
      </c>
      <c r="AL259" s="18" t="inlineStr">
        <is>
          <t>Stockrecoveryw</t>
        </is>
      </c>
      <c r="AM259" s="19" t="n">
        <v>1</v>
      </c>
      <c r="AN259" s="19" t="n">
        <v>2</v>
      </c>
      <c r="AO259" s="19" t="n">
        <v>3</v>
      </c>
      <c r="AP259" s="19" t="n">
        <v>4</v>
      </c>
      <c r="AQ259" s="19" t="n">
        <v>5</v>
      </c>
      <c r="AR259" s="19" t="n">
        <v>6</v>
      </c>
      <c r="AS259" s="19" t="n">
        <v>7</v>
      </c>
      <c r="AT259" s="19" t="n">
        <v>8</v>
      </c>
      <c r="AU259" s="19" t="n">
        <v>9</v>
      </c>
      <c r="AV259" s="19" t="n">
        <v>10</v>
      </c>
      <c r="AW259" s="19" t="n">
        <v>11</v>
      </c>
      <c r="AX259" s="19" t="n">
        <v>12</v>
      </c>
      <c r="AY259" s="19" t="n">
        <v>13</v>
      </c>
      <c r="AZ259" s="19" t="n">
        <v>14</v>
      </c>
      <c r="BA259" s="18" t="n">
        <v>15</v>
      </c>
    </row>
    <row r="260">
      <c r="C260" s="15" t="n">
        <v>1</v>
      </c>
      <c r="D260" s="21" t="n">
        <v>0</v>
      </c>
      <c r="E260" s="21" t="n">
        <v>0</v>
      </c>
      <c r="F260" s="21" t="n">
        <v>0</v>
      </c>
      <c r="G260" s="21" t="n">
        <v>0</v>
      </c>
      <c r="H260" s="21" t="n">
        <v>0</v>
      </c>
      <c r="I260" s="21" t="n">
        <v>328.8824370018627</v>
      </c>
      <c r="J260" s="21" t="n">
        <v>0</v>
      </c>
      <c r="K260" s="21" t="n">
        <v>0</v>
      </c>
      <c r="L260" s="21" t="n">
        <v>0</v>
      </c>
      <c r="M260" s="21" t="n">
        <v>0</v>
      </c>
      <c r="N260" s="21" t="n">
        <v>0</v>
      </c>
      <c r="O260" s="21" t="n">
        <v>0</v>
      </c>
      <c r="P260" s="21" t="n">
        <v>0</v>
      </c>
      <c r="Q260" s="21" t="n">
        <v>338.6759040018626</v>
      </c>
      <c r="R260" s="21" t="n">
        <v>683.0970840018626</v>
      </c>
      <c r="T260" s="18" t="n">
        <v>1</v>
      </c>
      <c r="U260" s="18" t="n">
        <v>0</v>
      </c>
      <c r="V260" s="18" t="n">
        <v>0</v>
      </c>
      <c r="W260" s="18" t="n">
        <v>0</v>
      </c>
      <c r="X260" s="18" t="n">
        <v>0</v>
      </c>
      <c r="Y260" s="18" t="n">
        <v>0</v>
      </c>
      <c r="Z260" s="18" t="n">
        <v>328.8824370018627</v>
      </c>
      <c r="AA260" s="18" t="n">
        <v>0</v>
      </c>
      <c r="AB260" s="18" t="n">
        <v>0</v>
      </c>
      <c r="AC260" s="18" t="n">
        <v>0</v>
      </c>
      <c r="AD260" s="18" t="n">
        <v>0</v>
      </c>
      <c r="AE260" s="18" t="n">
        <v>0</v>
      </c>
      <c r="AF260" s="18" t="n">
        <v>0</v>
      </c>
      <c r="AG260" s="18" t="n">
        <v>0</v>
      </c>
      <c r="AH260" s="18" t="n">
        <v>338.6759040018626</v>
      </c>
      <c r="AI260" s="18" t="n">
        <v>683.0970840018626</v>
      </c>
      <c r="AL260" s="18" t="n">
        <v>1</v>
      </c>
      <c r="AM260" s="18">
        <f>D260-U260</f>
        <v/>
      </c>
      <c r="AN260" s="18">
        <f>E260-V260</f>
        <v/>
      </c>
      <c r="AO260" s="18">
        <f>F260-W260</f>
        <v/>
      </c>
      <c r="AP260" s="18">
        <f>G260-X260</f>
        <v/>
      </c>
      <c r="AQ260" s="18">
        <f>H260-Y260</f>
        <v/>
      </c>
      <c r="AR260" s="18">
        <f>I260-Z260</f>
        <v/>
      </c>
      <c r="AS260" s="18">
        <f>J260-AA260</f>
        <v/>
      </c>
      <c r="AT260" s="18">
        <f>K260-AB260</f>
        <v/>
      </c>
      <c r="AU260" s="18">
        <f>L260-AC260</f>
        <v/>
      </c>
      <c r="AV260" s="18">
        <f>M260-AD260</f>
        <v/>
      </c>
      <c r="AW260" s="18">
        <f>N260-AE260</f>
        <v/>
      </c>
      <c r="AX260" s="18">
        <f>O260-AF260</f>
        <v/>
      </c>
      <c r="AY260" s="18">
        <f>P260-AG260</f>
        <v/>
      </c>
      <c r="AZ260" s="18">
        <f>Q260-AH260</f>
        <v/>
      </c>
      <c r="BA260" s="18">
        <f>R260-AI260</f>
        <v/>
      </c>
    </row>
    <row r="261">
      <c r="C261" s="15" t="n">
        <v>2</v>
      </c>
      <c r="D261" s="21" t="n">
        <v>0</v>
      </c>
      <c r="E261" s="21" t="n">
        <v>0</v>
      </c>
      <c r="F261" s="21" t="n">
        <v>0</v>
      </c>
      <c r="G261" s="21" t="n">
        <v>0</v>
      </c>
      <c r="H261" s="21" t="n">
        <v>0</v>
      </c>
      <c r="I261" s="21" t="n">
        <v>0</v>
      </c>
      <c r="J261" s="21" t="n">
        <v>0</v>
      </c>
      <c r="K261" s="21" t="n">
        <v>0</v>
      </c>
      <c r="L261" s="21" t="n">
        <v>0</v>
      </c>
      <c r="M261" s="21" t="n">
        <v>0</v>
      </c>
      <c r="N261" s="21" t="n">
        <v>0</v>
      </c>
      <c r="O261" s="21" t="n">
        <v>120.4977000000002</v>
      </c>
      <c r="P261" s="21" t="n">
        <v>0</v>
      </c>
      <c r="Q261" s="21" t="n">
        <v>0</v>
      </c>
      <c r="R261" s="21" t="n">
        <v>0</v>
      </c>
      <c r="T261" s="18" t="n">
        <v>2</v>
      </c>
      <c r="U261" s="18" t="n">
        <v>0</v>
      </c>
      <c r="V261" s="18" t="n">
        <v>0</v>
      </c>
      <c r="W261" s="18" t="n">
        <v>0</v>
      </c>
      <c r="X261" s="18" t="n">
        <v>0</v>
      </c>
      <c r="Y261" s="18" t="n">
        <v>0</v>
      </c>
      <c r="Z261" s="18" t="n">
        <v>0</v>
      </c>
      <c r="AA261" s="18" t="n">
        <v>0</v>
      </c>
      <c r="AB261" s="18" t="n">
        <v>0</v>
      </c>
      <c r="AC261" s="18" t="n">
        <v>0</v>
      </c>
      <c r="AD261" s="18" t="n">
        <v>0</v>
      </c>
      <c r="AE261" s="18" t="n">
        <v>0</v>
      </c>
      <c r="AF261" s="18" t="n">
        <v>120.4977000000002</v>
      </c>
      <c r="AG261" s="18" t="n">
        <v>0</v>
      </c>
      <c r="AH261" s="18" t="n">
        <v>0</v>
      </c>
      <c r="AI261" s="18" t="n">
        <v>0</v>
      </c>
      <c r="AL261" s="18" t="n">
        <v>2</v>
      </c>
      <c r="AM261" s="18">
        <f>D261-U261</f>
        <v/>
      </c>
      <c r="AN261" s="18">
        <f>E261-V261</f>
        <v/>
      </c>
      <c r="AO261" s="18">
        <f>F261-W261</f>
        <v/>
      </c>
      <c r="AP261" s="18">
        <f>G261-X261</f>
        <v/>
      </c>
      <c r="AQ261" s="18">
        <f>H261-Y261</f>
        <v/>
      </c>
      <c r="AR261" s="18">
        <f>I261-Z261</f>
        <v/>
      </c>
      <c r="AS261" s="18">
        <f>J261-AA261</f>
        <v/>
      </c>
      <c r="AT261" s="18">
        <f>K261-AB261</f>
        <v/>
      </c>
      <c r="AU261" s="18">
        <f>L261-AC261</f>
        <v/>
      </c>
      <c r="AV261" s="18">
        <f>M261-AD261</f>
        <v/>
      </c>
      <c r="AW261" s="18">
        <f>N261-AE261</f>
        <v/>
      </c>
      <c r="AX261" s="18">
        <f>O261-AF261</f>
        <v/>
      </c>
      <c r="AY261" s="18">
        <f>P261-AG261</f>
        <v/>
      </c>
      <c r="AZ261" s="18">
        <f>Q261-AH261</f>
        <v/>
      </c>
      <c r="BA261" s="18">
        <f>R261-AI261</f>
        <v/>
      </c>
    </row>
    <row r="262">
      <c r="C262" s="15" t="n">
        <v>3</v>
      </c>
      <c r="D262" s="21" t="n">
        <v>655.4153100018626</v>
      </c>
      <c r="E262" s="21" t="n">
        <v>0</v>
      </c>
      <c r="F262" s="21" t="n">
        <v>0</v>
      </c>
      <c r="G262" s="21" t="n">
        <v>0</v>
      </c>
      <c r="H262" s="21" t="n">
        <v>0</v>
      </c>
      <c r="I262" s="21" t="n">
        <v>590.9798400018628</v>
      </c>
      <c r="J262" s="21" t="n">
        <v>305.3781900018627</v>
      </c>
      <c r="K262" s="21" t="n">
        <v>0</v>
      </c>
      <c r="L262" s="21" t="n">
        <v>0</v>
      </c>
      <c r="M262" s="21" t="n">
        <v>0</v>
      </c>
      <c r="N262" s="21" t="n">
        <v>273.8547900018627</v>
      </c>
      <c r="O262" s="21" t="n">
        <v>0</v>
      </c>
      <c r="P262" s="21" t="n">
        <v>0</v>
      </c>
      <c r="Q262" s="21" t="n">
        <v>0</v>
      </c>
      <c r="R262" s="21" t="n">
        <v>0</v>
      </c>
      <c r="T262" s="18" t="n">
        <v>3</v>
      </c>
      <c r="U262" s="18" t="n">
        <v>655.4153100018626</v>
      </c>
      <c r="V262" s="18" t="n">
        <v>0</v>
      </c>
      <c r="W262" s="18" t="n">
        <v>0</v>
      </c>
      <c r="X262" s="18" t="n">
        <v>0</v>
      </c>
      <c r="Y262" s="18" t="n">
        <v>0</v>
      </c>
      <c r="Z262" s="18" t="n">
        <v>590.9798400018628</v>
      </c>
      <c r="AA262" s="18" t="n">
        <v>305.3781900018627</v>
      </c>
      <c r="AB262" s="18" t="n">
        <v>0</v>
      </c>
      <c r="AC262" s="18" t="n">
        <v>0</v>
      </c>
      <c r="AD262" s="18" t="n">
        <v>0</v>
      </c>
      <c r="AE262" s="18" t="n">
        <v>273.8547900018627</v>
      </c>
      <c r="AF262" s="18" t="n">
        <v>0</v>
      </c>
      <c r="AG262" s="18" t="n">
        <v>0</v>
      </c>
      <c r="AH262" s="18" t="n">
        <v>0</v>
      </c>
      <c r="AI262" s="18" t="n">
        <v>0</v>
      </c>
      <c r="AL262" s="18" t="n">
        <v>3</v>
      </c>
      <c r="AM262" s="18">
        <f>D262-U262</f>
        <v/>
      </c>
      <c r="AN262" s="18">
        <f>E262-V262</f>
        <v/>
      </c>
      <c r="AO262" s="18">
        <f>F262-W262</f>
        <v/>
      </c>
      <c r="AP262" s="18">
        <f>G262-X262</f>
        <v/>
      </c>
      <c r="AQ262" s="18">
        <f>H262-Y262</f>
        <v/>
      </c>
      <c r="AR262" s="18">
        <f>I262-Z262</f>
        <v/>
      </c>
      <c r="AS262" s="18">
        <f>J262-AA262</f>
        <v/>
      </c>
      <c r="AT262" s="18">
        <f>K262-AB262</f>
        <v/>
      </c>
      <c r="AU262" s="18">
        <f>L262-AC262</f>
        <v/>
      </c>
      <c r="AV262" s="18">
        <f>M262-AD262</f>
        <v/>
      </c>
      <c r="AW262" s="18">
        <f>N262-AE262</f>
        <v/>
      </c>
      <c r="AX262" s="18">
        <f>O262-AF262</f>
        <v/>
      </c>
      <c r="AY262" s="18">
        <f>P262-AG262</f>
        <v/>
      </c>
      <c r="AZ262" s="18">
        <f>Q262-AH262</f>
        <v/>
      </c>
      <c r="BA262" s="18">
        <f>R262-AI262</f>
        <v/>
      </c>
    </row>
    <row r="263">
      <c r="D263" s="18" t="inlineStr"/>
      <c r="U263" s="18" t="inlineStr"/>
    </row>
    <row r="264">
      <c r="D264" s="18" t="inlineStr"/>
      <c r="U264" s="18" t="inlineStr"/>
    </row>
    <row r="265">
      <c r="C265" s="36" t="inlineStr">
        <is>
          <t>ZCapw</t>
        </is>
      </c>
      <c r="D265" s="15" t="n">
        <v>1</v>
      </c>
      <c r="E265" s="15" t="n">
        <v>2</v>
      </c>
      <c r="F265" s="15" t="n">
        <v>3</v>
      </c>
      <c r="G265" s="15" t="n">
        <v>4</v>
      </c>
      <c r="H265" s="15" t="n">
        <v>5</v>
      </c>
      <c r="I265" s="15" t="n">
        <v>6</v>
      </c>
      <c r="J265" s="15" t="n">
        <v>7</v>
      </c>
      <c r="K265" s="15" t="n">
        <v>8</v>
      </c>
      <c r="L265" s="15" t="n">
        <v>9</v>
      </c>
      <c r="M265" s="15" t="n">
        <v>10</v>
      </c>
      <c r="N265" s="15" t="n">
        <v>11</v>
      </c>
      <c r="O265" s="15" t="n">
        <v>12</v>
      </c>
      <c r="P265" s="15" t="n">
        <v>13</v>
      </c>
      <c r="Q265" s="15" t="n">
        <v>14</v>
      </c>
      <c r="R265" s="15" t="n">
        <v>15</v>
      </c>
      <c r="T265" s="18" t="inlineStr">
        <is>
          <t>ZCapw</t>
        </is>
      </c>
      <c r="U265" s="18" t="n">
        <v>1</v>
      </c>
      <c r="V265" s="18" t="n">
        <v>2</v>
      </c>
      <c r="W265" s="18" t="n">
        <v>3</v>
      </c>
      <c r="X265" s="18" t="n">
        <v>4</v>
      </c>
      <c r="Y265" s="18" t="n">
        <v>5</v>
      </c>
      <c r="Z265" s="18" t="n">
        <v>6</v>
      </c>
      <c r="AA265" s="18" t="n">
        <v>7</v>
      </c>
      <c r="AB265" s="18" t="n">
        <v>8</v>
      </c>
      <c r="AC265" s="18" t="n">
        <v>9</v>
      </c>
      <c r="AD265" s="18" t="n">
        <v>10</v>
      </c>
      <c r="AE265" s="18" t="n">
        <v>11</v>
      </c>
      <c r="AF265" s="18" t="n">
        <v>12</v>
      </c>
      <c r="AG265" s="18" t="n">
        <v>13</v>
      </c>
      <c r="AH265" s="18" t="n">
        <v>14</v>
      </c>
      <c r="AI265" s="18" t="n">
        <v>15</v>
      </c>
      <c r="AL265" s="18" t="inlineStr">
        <is>
          <t>ZCapw</t>
        </is>
      </c>
      <c r="AM265" s="19" t="n">
        <v>1</v>
      </c>
      <c r="AN265" s="19" t="n">
        <v>2</v>
      </c>
      <c r="AO265" s="19" t="n">
        <v>3</v>
      </c>
      <c r="AP265" s="19" t="n">
        <v>4</v>
      </c>
      <c r="AQ265" s="19" t="n">
        <v>5</v>
      </c>
      <c r="AR265" s="19" t="n">
        <v>6</v>
      </c>
      <c r="AS265" s="19" t="n">
        <v>7</v>
      </c>
      <c r="AT265" s="19" t="n">
        <v>8</v>
      </c>
      <c r="AU265" s="19" t="n">
        <v>9</v>
      </c>
      <c r="AV265" s="19" t="n">
        <v>10</v>
      </c>
      <c r="AW265" s="19" t="n">
        <v>11</v>
      </c>
      <c r="AX265" s="19" t="n">
        <v>12</v>
      </c>
      <c r="AY265" s="19" t="n">
        <v>13</v>
      </c>
      <c r="AZ265" s="19" t="n">
        <v>14</v>
      </c>
      <c r="BA265" s="18" t="n">
        <v>15</v>
      </c>
    </row>
    <row r="266">
      <c r="C266" s="15" t="n">
        <v>1</v>
      </c>
      <c r="D266" s="21" t="n">
        <v>0</v>
      </c>
      <c r="E266" s="21" t="n">
        <v>0</v>
      </c>
      <c r="F266" s="21" t="n">
        <v>0</v>
      </c>
      <c r="G266" s="21" t="n">
        <v>0</v>
      </c>
      <c r="H266" s="21" t="n">
        <v>0</v>
      </c>
      <c r="I266" s="21" t="n">
        <v>3.000000000016991</v>
      </c>
      <c r="J266" s="21" t="n">
        <v>0</v>
      </c>
      <c r="K266" s="21" t="n">
        <v>0</v>
      </c>
      <c r="L266" s="21" t="n">
        <v>0</v>
      </c>
      <c r="M266" s="21" t="n">
        <v>0</v>
      </c>
      <c r="N266" s="21" t="n">
        <v>0</v>
      </c>
      <c r="O266" s="21" t="n">
        <v>0</v>
      </c>
      <c r="P266" s="21" t="n">
        <v>0</v>
      </c>
      <c r="Q266" s="21" t="n">
        <v>3.0000000000165</v>
      </c>
      <c r="R266" s="21" t="n">
        <v>3.000000000008181</v>
      </c>
      <c r="T266" s="18" t="n">
        <v>1</v>
      </c>
      <c r="U266" s="18" t="n">
        <v>0</v>
      </c>
      <c r="V266" s="18" t="n">
        <v>0</v>
      </c>
      <c r="W266" s="18" t="n">
        <v>0</v>
      </c>
      <c r="X266" s="18" t="n">
        <v>0</v>
      </c>
      <c r="Y266" s="18" t="n">
        <v>0</v>
      </c>
      <c r="Z266" s="18" t="n">
        <v>3.000000000016991</v>
      </c>
      <c r="AA266" s="18" t="n">
        <v>0</v>
      </c>
      <c r="AB266" s="18" t="n">
        <v>0</v>
      </c>
      <c r="AC266" s="18" t="n">
        <v>0</v>
      </c>
      <c r="AD266" s="18" t="n">
        <v>0</v>
      </c>
      <c r="AE266" s="18" t="n">
        <v>0</v>
      </c>
      <c r="AF266" s="18" t="n">
        <v>0</v>
      </c>
      <c r="AG266" s="18" t="n">
        <v>0</v>
      </c>
      <c r="AH266" s="18" t="n">
        <v>3.0000000000165</v>
      </c>
      <c r="AI266" s="18" t="n">
        <v>3.000000000008181</v>
      </c>
      <c r="AL266" s="18" t="n">
        <v>1</v>
      </c>
      <c r="AM266" s="18">
        <f>D266-U266</f>
        <v/>
      </c>
      <c r="AN266" s="18">
        <f>E266-V266</f>
        <v/>
      </c>
      <c r="AO266" s="18">
        <f>F266-W266</f>
        <v/>
      </c>
      <c r="AP266" s="18">
        <f>G266-X266</f>
        <v/>
      </c>
      <c r="AQ266" s="18">
        <f>H266-Y266</f>
        <v/>
      </c>
      <c r="AR266" s="18">
        <f>I266-Z266</f>
        <v/>
      </c>
      <c r="AS266" s="18">
        <f>J266-AA266</f>
        <v/>
      </c>
      <c r="AT266" s="18">
        <f>K266-AB266</f>
        <v/>
      </c>
      <c r="AU266" s="18">
        <f>L266-AC266</f>
        <v/>
      </c>
      <c r="AV266" s="18">
        <f>M266-AD266</f>
        <v/>
      </c>
      <c r="AW266" s="18">
        <f>N266-AE266</f>
        <v/>
      </c>
      <c r="AX266" s="18">
        <f>O266-AF266</f>
        <v/>
      </c>
      <c r="AY266" s="18">
        <f>P266-AG266</f>
        <v/>
      </c>
      <c r="AZ266" s="18">
        <f>Q266-AH266</f>
        <v/>
      </c>
      <c r="BA266" s="18">
        <f>R266-AI266</f>
        <v/>
      </c>
    </row>
    <row r="267">
      <c r="C267" s="15" t="n">
        <v>2</v>
      </c>
      <c r="D267" s="21" t="n">
        <v>0</v>
      </c>
      <c r="E267" s="21" t="n">
        <v>0</v>
      </c>
      <c r="F267" s="21" t="n">
        <v>0</v>
      </c>
      <c r="G267" s="21" t="n">
        <v>0</v>
      </c>
      <c r="H267" s="21" t="n">
        <v>0</v>
      </c>
      <c r="I267" s="21" t="n">
        <v>0</v>
      </c>
      <c r="J267" s="21" t="n">
        <v>0</v>
      </c>
      <c r="K267" s="21" t="n">
        <v>0</v>
      </c>
      <c r="L267" s="21" t="n">
        <v>0</v>
      </c>
      <c r="M267" s="21" t="n">
        <v>0</v>
      </c>
      <c r="N267" s="21" t="n">
        <v>0</v>
      </c>
      <c r="O267" s="21" t="n">
        <v>0.6364247386260671</v>
      </c>
      <c r="P267" s="21" t="n">
        <v>0</v>
      </c>
      <c r="Q267" s="21" t="n">
        <v>0</v>
      </c>
      <c r="R267" s="21" t="n">
        <v>0</v>
      </c>
      <c r="T267" s="18" t="n">
        <v>2</v>
      </c>
      <c r="U267" s="18" t="n">
        <v>0</v>
      </c>
      <c r="V267" s="18" t="n">
        <v>0</v>
      </c>
      <c r="W267" s="18" t="n">
        <v>0</v>
      </c>
      <c r="X267" s="18" t="n">
        <v>0</v>
      </c>
      <c r="Y267" s="18" t="n">
        <v>0</v>
      </c>
      <c r="Z267" s="18" t="n">
        <v>0</v>
      </c>
      <c r="AA267" s="18" t="n">
        <v>0</v>
      </c>
      <c r="AB267" s="18" t="n">
        <v>0</v>
      </c>
      <c r="AC267" s="18" t="n">
        <v>0</v>
      </c>
      <c r="AD267" s="18" t="n">
        <v>0</v>
      </c>
      <c r="AE267" s="18" t="n">
        <v>0</v>
      </c>
      <c r="AF267" s="18" t="n">
        <v>0.6364247386260671</v>
      </c>
      <c r="AG267" s="18" t="n">
        <v>0</v>
      </c>
      <c r="AH267" s="18" t="n">
        <v>0</v>
      </c>
      <c r="AI267" s="18" t="n">
        <v>0</v>
      </c>
      <c r="AL267" s="18" t="n">
        <v>2</v>
      </c>
      <c r="AM267" s="18">
        <f>D267-U267</f>
        <v/>
      </c>
      <c r="AN267" s="18">
        <f>E267-V267</f>
        <v/>
      </c>
      <c r="AO267" s="18">
        <f>F267-W267</f>
        <v/>
      </c>
      <c r="AP267" s="18">
        <f>G267-X267</f>
        <v/>
      </c>
      <c r="AQ267" s="18">
        <f>H267-Y267</f>
        <v/>
      </c>
      <c r="AR267" s="18">
        <f>I267-Z267</f>
        <v/>
      </c>
      <c r="AS267" s="18">
        <f>J267-AA267</f>
        <v/>
      </c>
      <c r="AT267" s="18">
        <f>K267-AB267</f>
        <v/>
      </c>
      <c r="AU267" s="18">
        <f>L267-AC267</f>
        <v/>
      </c>
      <c r="AV267" s="18">
        <f>M267-AD267</f>
        <v/>
      </c>
      <c r="AW267" s="18">
        <f>N267-AE267</f>
        <v/>
      </c>
      <c r="AX267" s="18">
        <f>O267-AF267</f>
        <v/>
      </c>
      <c r="AY267" s="18">
        <f>P267-AG267</f>
        <v/>
      </c>
      <c r="AZ267" s="18">
        <f>Q267-AH267</f>
        <v/>
      </c>
      <c r="BA267" s="18">
        <f>R267-AI267</f>
        <v/>
      </c>
    </row>
    <row r="268">
      <c r="C268" s="15" t="n">
        <v>3</v>
      </c>
      <c r="D268" s="21" t="n">
        <v>3.000000000008526</v>
      </c>
      <c r="E268" s="21" t="n">
        <v>0</v>
      </c>
      <c r="F268" s="21" t="n">
        <v>0</v>
      </c>
      <c r="G268" s="21" t="n">
        <v>0</v>
      </c>
      <c r="H268" s="21" t="n">
        <v>0</v>
      </c>
      <c r="I268" s="21" t="n">
        <v>3.000000000009456</v>
      </c>
      <c r="J268" s="21" t="n">
        <v>3.000000000018299</v>
      </c>
      <c r="K268" s="21" t="n">
        <v>0</v>
      </c>
      <c r="L268" s="21" t="n">
        <v>0</v>
      </c>
      <c r="M268" s="21" t="n">
        <v>0</v>
      </c>
      <c r="N268" s="21" t="n">
        <v>3.000000000020405</v>
      </c>
      <c r="O268" s="21" t="n">
        <v>0</v>
      </c>
      <c r="P268" s="21" t="n">
        <v>0</v>
      </c>
      <c r="Q268" s="21" t="n">
        <v>0</v>
      </c>
      <c r="R268" s="21" t="n">
        <v>0</v>
      </c>
      <c r="T268" s="18" t="n">
        <v>3</v>
      </c>
      <c r="U268" s="18" t="n">
        <v>3.000000000008526</v>
      </c>
      <c r="V268" s="18" t="n">
        <v>0</v>
      </c>
      <c r="W268" s="18" t="n">
        <v>0</v>
      </c>
      <c r="X268" s="18" t="n">
        <v>0</v>
      </c>
      <c r="Y268" s="18" t="n">
        <v>0</v>
      </c>
      <c r="Z268" s="18" t="n">
        <v>3.000000000009456</v>
      </c>
      <c r="AA268" s="18" t="n">
        <v>3.000000000018299</v>
      </c>
      <c r="AB268" s="18" t="n">
        <v>0</v>
      </c>
      <c r="AC268" s="18" t="n">
        <v>0</v>
      </c>
      <c r="AD268" s="18" t="n">
        <v>0</v>
      </c>
      <c r="AE268" s="18" t="n">
        <v>3.000000000020405</v>
      </c>
      <c r="AF268" s="18" t="n">
        <v>0</v>
      </c>
      <c r="AG268" s="18" t="n">
        <v>0</v>
      </c>
      <c r="AH268" s="18" t="n">
        <v>0</v>
      </c>
      <c r="AI268" s="18" t="n">
        <v>0</v>
      </c>
      <c r="AL268" s="18" t="n">
        <v>3</v>
      </c>
      <c r="AM268" s="18">
        <f>D268-U268</f>
        <v/>
      </c>
      <c r="AN268" s="18">
        <f>E268-V268</f>
        <v/>
      </c>
      <c r="AO268" s="18">
        <f>F268-W268</f>
        <v/>
      </c>
      <c r="AP268" s="18">
        <f>G268-X268</f>
        <v/>
      </c>
      <c r="AQ268" s="18">
        <f>H268-Y268</f>
        <v/>
      </c>
      <c r="AR268" s="18">
        <f>I268-Z268</f>
        <v/>
      </c>
      <c r="AS268" s="18">
        <f>J268-AA268</f>
        <v/>
      </c>
      <c r="AT268" s="18">
        <f>K268-AB268</f>
        <v/>
      </c>
      <c r="AU268" s="18">
        <f>L268-AC268</f>
        <v/>
      </c>
      <c r="AV268" s="18">
        <f>M268-AD268</f>
        <v/>
      </c>
      <c r="AW268" s="18">
        <f>N268-AE268</f>
        <v/>
      </c>
      <c r="AX268" s="18">
        <f>O268-AF268</f>
        <v/>
      </c>
      <c r="AY268" s="18">
        <f>P268-AG268</f>
        <v/>
      </c>
      <c r="AZ268" s="18">
        <f>Q268-AH268</f>
        <v/>
      </c>
      <c r="BA268" s="18">
        <f>R268-AI268</f>
        <v/>
      </c>
    </row>
    <row r="271">
      <c r="C271" s="36" t="inlineStr">
        <is>
          <t>PlanStockw</t>
        </is>
      </c>
      <c r="D271" s="15" t="n">
        <v>1</v>
      </c>
      <c r="E271" s="15" t="n">
        <v>2</v>
      </c>
      <c r="F271" s="15" t="n">
        <v>3</v>
      </c>
      <c r="G271" s="15" t="n">
        <v>4</v>
      </c>
      <c r="H271" s="15" t="n">
        <v>5</v>
      </c>
      <c r="I271" s="15" t="n">
        <v>6</v>
      </c>
      <c r="J271" s="15" t="n">
        <v>7</v>
      </c>
      <c r="K271" s="15" t="n">
        <v>8</v>
      </c>
      <c r="L271" s="15" t="n">
        <v>9</v>
      </c>
      <c r="M271" s="15" t="n">
        <v>10</v>
      </c>
      <c r="N271" s="15" t="n">
        <v>11</v>
      </c>
      <c r="O271" s="15" t="n">
        <v>12</v>
      </c>
      <c r="P271" s="15" t="n">
        <v>13</v>
      </c>
      <c r="Q271" s="15" t="n">
        <v>14</v>
      </c>
      <c r="R271" s="15" t="n">
        <v>15</v>
      </c>
      <c r="T271" s="18" t="inlineStr">
        <is>
          <t>PlanStockw</t>
        </is>
      </c>
      <c r="U271" s="18" t="n">
        <v>1</v>
      </c>
      <c r="V271" s="18" t="n">
        <v>2</v>
      </c>
      <c r="W271" s="18" t="n">
        <v>3</v>
      </c>
      <c r="X271" s="18" t="n">
        <v>4</v>
      </c>
      <c r="Y271" s="18" t="n">
        <v>5</v>
      </c>
      <c r="Z271" s="18" t="n">
        <v>6</v>
      </c>
      <c r="AA271" s="18" t="n">
        <v>7</v>
      </c>
      <c r="AB271" s="18" t="n">
        <v>8</v>
      </c>
      <c r="AC271" s="18" t="n">
        <v>9</v>
      </c>
      <c r="AD271" s="18" t="n">
        <v>10</v>
      </c>
      <c r="AE271" s="18" t="n">
        <v>11</v>
      </c>
      <c r="AF271" s="18" t="n">
        <v>12</v>
      </c>
      <c r="AG271" s="18" t="n">
        <v>13</v>
      </c>
      <c r="AH271" s="18" t="n">
        <v>14</v>
      </c>
      <c r="AI271" s="18" t="n">
        <v>15</v>
      </c>
      <c r="AL271" s="18" t="inlineStr">
        <is>
          <t>PlanStockw</t>
        </is>
      </c>
      <c r="AM271" s="19" t="n">
        <v>1</v>
      </c>
      <c r="AN271" s="19" t="n">
        <v>2</v>
      </c>
      <c r="AO271" s="19" t="n">
        <v>3</v>
      </c>
      <c r="AP271" s="19" t="n">
        <v>4</v>
      </c>
      <c r="AQ271" s="19" t="n">
        <v>5</v>
      </c>
      <c r="AR271" s="19" t="n">
        <v>6</v>
      </c>
      <c r="AS271" s="19" t="n">
        <v>7</v>
      </c>
      <c r="AT271" s="19" t="n">
        <v>8</v>
      </c>
      <c r="AU271" s="19" t="n">
        <v>9</v>
      </c>
      <c r="AV271" s="19" t="n">
        <v>10</v>
      </c>
      <c r="AW271" s="19" t="n">
        <v>11</v>
      </c>
      <c r="AX271" s="19" t="n">
        <v>12</v>
      </c>
      <c r="AY271" s="19" t="n">
        <v>13</v>
      </c>
      <c r="AZ271" s="19" t="n">
        <v>14</v>
      </c>
      <c r="BA271" s="18" t="n">
        <v>15</v>
      </c>
    </row>
    <row r="272">
      <c r="C272" s="15" t="n">
        <v>1</v>
      </c>
      <c r="D272" s="19">
        <f>'Planned_Beginning_stock '!AT5</f>
        <v/>
      </c>
      <c r="E272" s="19">
        <f>'Planned_Beginning_stock '!AU5</f>
        <v/>
      </c>
      <c r="F272" s="19">
        <f>'Planned_Beginning_stock '!AV5</f>
        <v/>
      </c>
      <c r="G272" s="19">
        <f>'Planned_Beginning_stock '!AW5</f>
        <v/>
      </c>
      <c r="H272" s="19">
        <f>'Planned_Beginning_stock '!AX5</f>
        <v/>
      </c>
      <c r="I272" s="19">
        <f>'Planned_Beginning_stock '!AY5</f>
        <v/>
      </c>
      <c r="J272" s="19">
        <f>'Planned_Beginning_stock '!AZ5</f>
        <v/>
      </c>
      <c r="K272" s="19">
        <f>'Planned_Beginning_stock '!BA5</f>
        <v/>
      </c>
      <c r="L272" s="19">
        <f>'Planned_Beginning_stock '!BB5</f>
        <v/>
      </c>
      <c r="M272" s="19">
        <f>'Planned_Beginning_stock '!BC5</f>
        <v/>
      </c>
      <c r="N272" s="19">
        <f>'Planned_Beginning_stock '!BD5</f>
        <v/>
      </c>
      <c r="O272" s="19">
        <f>'Planned_Beginning_stock '!BE5</f>
        <v/>
      </c>
      <c r="P272" s="19">
        <f>'Planned_Beginning_stock '!BF5</f>
        <v/>
      </c>
      <c r="Q272" s="19">
        <f>'Planned_Beginning_stock '!BG5</f>
        <v/>
      </c>
      <c r="R272" s="19">
        <f>'Planned_Beginning_stock '!BH5</f>
        <v/>
      </c>
      <c r="T272" s="18" t="n">
        <v>1</v>
      </c>
      <c r="U272" s="18" t="n">
        <v>2187</v>
      </c>
      <c r="V272" s="18" t="n">
        <v>4436</v>
      </c>
      <c r="W272" s="18" t="n">
        <v>3221</v>
      </c>
      <c r="X272" s="18" t="n">
        <v>3938</v>
      </c>
      <c r="Y272" s="18" t="n">
        <v>6712</v>
      </c>
      <c r="Z272" s="18" t="n">
        <v>4521</v>
      </c>
      <c r="AA272" s="18" t="n">
        <v>2194</v>
      </c>
      <c r="AB272" s="18" t="n">
        <v>6704</v>
      </c>
      <c r="AC272" s="18" t="n">
        <v>5066</v>
      </c>
      <c r="AD272" s="18" t="n">
        <v>3832</v>
      </c>
      <c r="AE272" s="18" t="n">
        <v>5886</v>
      </c>
      <c r="AF272" s="18" t="n">
        <v>3015</v>
      </c>
      <c r="AG272" s="18" t="n">
        <v>4595</v>
      </c>
      <c r="AH272" s="18" t="n">
        <v>4358</v>
      </c>
      <c r="AI272" s="18" t="n">
        <v>8691</v>
      </c>
      <c r="AL272" s="18" t="n">
        <v>1</v>
      </c>
      <c r="AM272" s="18">
        <f>D272-U272</f>
        <v/>
      </c>
      <c r="AN272" s="18">
        <f>E272-V272</f>
        <v/>
      </c>
      <c r="AO272" s="18">
        <f>F272-W272</f>
        <v/>
      </c>
      <c r="AP272" s="18">
        <f>G272-X272</f>
        <v/>
      </c>
      <c r="AQ272" s="18">
        <f>H272-Y272</f>
        <v/>
      </c>
      <c r="AR272" s="18">
        <f>I272-Z272</f>
        <v/>
      </c>
      <c r="AS272" s="18">
        <f>J272-AA272</f>
        <v/>
      </c>
      <c r="AT272" s="18">
        <f>K272-AB272</f>
        <v/>
      </c>
      <c r="AU272" s="18">
        <f>L272-AC272</f>
        <v/>
      </c>
      <c r="AV272" s="18">
        <f>M272-AD272</f>
        <v/>
      </c>
      <c r="AW272" s="18">
        <f>N272-AE272</f>
        <v/>
      </c>
      <c r="AX272" s="18">
        <f>O272-AF272</f>
        <v/>
      </c>
      <c r="AY272" s="18">
        <f>P272-AG272</f>
        <v/>
      </c>
      <c r="AZ272" s="18">
        <f>Q272-AH272</f>
        <v/>
      </c>
      <c r="BA272" s="18">
        <f>R272-AI272</f>
        <v/>
      </c>
    </row>
    <row r="273">
      <c r="C273" s="15" t="n">
        <v>2</v>
      </c>
      <c r="D273" s="19">
        <f>'Planned_Beginning_stock '!AT6</f>
        <v/>
      </c>
      <c r="E273" s="19">
        <f>'Planned_Beginning_stock '!AU6</f>
        <v/>
      </c>
      <c r="F273" s="19">
        <f>'Planned_Beginning_stock '!AV6</f>
        <v/>
      </c>
      <c r="G273" s="19">
        <f>'Planned_Beginning_stock '!AW6</f>
        <v/>
      </c>
      <c r="H273" s="19">
        <f>'Planned_Beginning_stock '!AX6</f>
        <v/>
      </c>
      <c r="I273" s="19">
        <f>'Planned_Beginning_stock '!AY6</f>
        <v/>
      </c>
      <c r="J273" s="19">
        <f>'Planned_Beginning_stock '!AZ6</f>
        <v/>
      </c>
      <c r="K273" s="19">
        <f>'Planned_Beginning_stock '!BA6</f>
        <v/>
      </c>
      <c r="L273" s="19">
        <f>'Planned_Beginning_stock '!BB6</f>
        <v/>
      </c>
      <c r="M273" s="19">
        <f>'Planned_Beginning_stock '!BC6</f>
        <v/>
      </c>
      <c r="N273" s="19">
        <f>'Planned_Beginning_stock '!BD6</f>
        <v/>
      </c>
      <c r="O273" s="19">
        <f>'Planned_Beginning_stock '!BE6</f>
        <v/>
      </c>
      <c r="P273" s="19">
        <f>'Planned_Beginning_stock '!BF6</f>
        <v/>
      </c>
      <c r="Q273" s="19">
        <f>'Planned_Beginning_stock '!BG6</f>
        <v/>
      </c>
      <c r="R273" s="19">
        <f>'Planned_Beginning_stock '!BH6</f>
        <v/>
      </c>
      <c r="T273" s="18" t="n">
        <v>2</v>
      </c>
      <c r="U273" s="18" t="n">
        <v>4705</v>
      </c>
      <c r="V273" s="18" t="n">
        <v>5450</v>
      </c>
      <c r="W273" s="18" t="n">
        <v>3082</v>
      </c>
      <c r="X273" s="18" t="n">
        <v>6893</v>
      </c>
      <c r="Y273" s="18" t="n">
        <v>4683</v>
      </c>
      <c r="Z273" s="18" t="n">
        <v>6897</v>
      </c>
      <c r="AA273" s="18" t="n">
        <v>3754</v>
      </c>
      <c r="AB273" s="18" t="n">
        <v>3730</v>
      </c>
      <c r="AC273" s="18" t="n">
        <v>3269</v>
      </c>
      <c r="AD273" s="18" t="n">
        <v>3991</v>
      </c>
      <c r="AE273" s="18" t="n">
        <v>3470</v>
      </c>
      <c r="AF273" s="18" t="n">
        <v>6345</v>
      </c>
      <c r="AG273" s="18" t="n">
        <v>6386</v>
      </c>
      <c r="AH273" s="18" t="n">
        <v>8300</v>
      </c>
      <c r="AI273" s="18" t="n">
        <v>6001</v>
      </c>
      <c r="AL273" s="18" t="n">
        <v>2</v>
      </c>
      <c r="AM273" s="18">
        <f>D273-U273</f>
        <v/>
      </c>
      <c r="AN273" s="18">
        <f>E273-V273</f>
        <v/>
      </c>
      <c r="AO273" s="18">
        <f>F273-W273</f>
        <v/>
      </c>
      <c r="AP273" s="18">
        <f>G273-X273</f>
        <v/>
      </c>
      <c r="AQ273" s="18">
        <f>H273-Y273</f>
        <v/>
      </c>
      <c r="AR273" s="18">
        <f>I273-Z273</f>
        <v/>
      </c>
      <c r="AS273" s="18">
        <f>J273-AA273</f>
        <v/>
      </c>
      <c r="AT273" s="18">
        <f>K273-AB273</f>
        <v/>
      </c>
      <c r="AU273" s="18">
        <f>L273-AC273</f>
        <v/>
      </c>
      <c r="AV273" s="18">
        <f>M273-AD273</f>
        <v/>
      </c>
      <c r="AW273" s="18">
        <f>N273-AE273</f>
        <v/>
      </c>
      <c r="AX273" s="18">
        <f>O273-AF273</f>
        <v/>
      </c>
      <c r="AY273" s="18">
        <f>P273-AG273</f>
        <v/>
      </c>
      <c r="AZ273" s="18">
        <f>Q273-AH273</f>
        <v/>
      </c>
      <c r="BA273" s="18">
        <f>R273-AI273</f>
        <v/>
      </c>
    </row>
    <row r="274">
      <c r="C274" s="15" t="n">
        <v>3</v>
      </c>
      <c r="D274" s="19">
        <f>'Planned_Beginning_stock '!AT7</f>
        <v/>
      </c>
      <c r="E274" s="19">
        <f>'Planned_Beginning_stock '!AU7</f>
        <v/>
      </c>
      <c r="F274" s="19">
        <f>'Planned_Beginning_stock '!AV7</f>
        <v/>
      </c>
      <c r="G274" s="19">
        <f>'Planned_Beginning_stock '!AW7</f>
        <v/>
      </c>
      <c r="H274" s="19">
        <f>'Planned_Beginning_stock '!AX7</f>
        <v/>
      </c>
      <c r="I274" s="19">
        <f>'Planned_Beginning_stock '!AY7</f>
        <v/>
      </c>
      <c r="J274" s="19">
        <f>'Planned_Beginning_stock '!AZ7</f>
        <v/>
      </c>
      <c r="K274" s="19">
        <f>'Planned_Beginning_stock '!BA7</f>
        <v/>
      </c>
      <c r="L274" s="19">
        <f>'Planned_Beginning_stock '!BB7</f>
        <v/>
      </c>
      <c r="M274" s="19">
        <f>'Planned_Beginning_stock '!BC7</f>
        <v/>
      </c>
      <c r="N274" s="19">
        <f>'Planned_Beginning_stock '!BD7</f>
        <v/>
      </c>
      <c r="O274" s="19">
        <f>'Planned_Beginning_stock '!BE7</f>
        <v/>
      </c>
      <c r="P274" s="19">
        <f>'Planned_Beginning_stock '!BF7</f>
        <v/>
      </c>
      <c r="Q274" s="19">
        <f>'Planned_Beginning_stock '!BG7</f>
        <v/>
      </c>
      <c r="R274" s="19">
        <f>'Planned_Beginning_stock '!BH7</f>
        <v/>
      </c>
      <c r="T274" s="18" t="n">
        <v>3</v>
      </c>
      <c r="U274" s="18" t="n">
        <v>8999</v>
      </c>
      <c r="V274" s="18" t="n">
        <v>5017</v>
      </c>
      <c r="W274" s="18" t="n">
        <v>4795</v>
      </c>
      <c r="X274" s="18" t="n">
        <v>7185</v>
      </c>
      <c r="Y274" s="18" t="n">
        <v>3743</v>
      </c>
      <c r="Z274" s="18" t="n">
        <v>8908</v>
      </c>
      <c r="AA274" s="18" t="n">
        <v>4978</v>
      </c>
      <c r="AB274" s="18" t="n">
        <v>4557</v>
      </c>
      <c r="AC274" s="18" t="n">
        <v>4381</v>
      </c>
      <c r="AD274" s="18" t="n">
        <v>4348</v>
      </c>
      <c r="AE274" s="18" t="n">
        <v>3858</v>
      </c>
      <c r="AF274" s="18" t="n">
        <v>4579</v>
      </c>
      <c r="AG274" s="18" t="n">
        <v>4752</v>
      </c>
      <c r="AH274" s="18" t="n">
        <v>4223</v>
      </c>
      <c r="AI274" s="18" t="n">
        <v>5182</v>
      </c>
      <c r="AL274" s="18" t="n">
        <v>3</v>
      </c>
      <c r="AM274" s="18">
        <f>D274-U274</f>
        <v/>
      </c>
      <c r="AN274" s="18">
        <f>E274-V274</f>
        <v/>
      </c>
      <c r="AO274" s="18">
        <f>F274-W274</f>
        <v/>
      </c>
      <c r="AP274" s="18">
        <f>G274-X274</f>
        <v/>
      </c>
      <c r="AQ274" s="18">
        <f>H274-Y274</f>
        <v/>
      </c>
      <c r="AR274" s="18">
        <f>I274-Z274</f>
        <v/>
      </c>
      <c r="AS274" s="18">
        <f>J274-AA274</f>
        <v/>
      </c>
      <c r="AT274" s="18">
        <f>K274-AB274</f>
        <v/>
      </c>
      <c r="AU274" s="18">
        <f>L274-AC274</f>
        <v/>
      </c>
      <c r="AV274" s="18">
        <f>M274-AD274</f>
        <v/>
      </c>
      <c r="AW274" s="18">
        <f>N274-AE274</f>
        <v/>
      </c>
      <c r="AX274" s="18">
        <f>O274-AF274</f>
        <v/>
      </c>
      <c r="AY274" s="18">
        <f>P274-AG274</f>
        <v/>
      </c>
      <c r="AZ274" s="18">
        <f>Q274-AH274</f>
        <v/>
      </c>
      <c r="BA274" s="18">
        <f>R274-AI274</f>
        <v/>
      </c>
    </row>
    <row r="277">
      <c r="C277" s="36" t="inlineStr">
        <is>
          <t>ActualMinStockw</t>
        </is>
      </c>
      <c r="D277" s="15" t="n">
        <v>1</v>
      </c>
      <c r="E277" s="15" t="n">
        <v>2</v>
      </c>
      <c r="F277" s="15" t="n">
        <v>3</v>
      </c>
      <c r="G277" s="15" t="n">
        <v>4</v>
      </c>
      <c r="H277" s="15" t="n">
        <v>5</v>
      </c>
      <c r="I277" s="15" t="n">
        <v>6</v>
      </c>
      <c r="J277" s="15" t="n">
        <v>7</v>
      </c>
      <c r="K277" s="15" t="n">
        <v>8</v>
      </c>
      <c r="L277" s="15" t="n">
        <v>9</v>
      </c>
      <c r="M277" s="15" t="n">
        <v>10</v>
      </c>
      <c r="N277" s="15" t="n">
        <v>11</v>
      </c>
      <c r="O277" s="15" t="n">
        <v>12</v>
      </c>
      <c r="P277" s="15" t="n">
        <v>13</v>
      </c>
      <c r="Q277" s="15" t="n">
        <v>14</v>
      </c>
      <c r="R277" s="15" t="n">
        <v>15</v>
      </c>
      <c r="T277" s="18" t="inlineStr">
        <is>
          <t>ActualMinStockw</t>
        </is>
      </c>
      <c r="U277" s="18" t="n">
        <v>1</v>
      </c>
      <c r="V277" s="18" t="n">
        <v>2</v>
      </c>
      <c r="W277" s="18" t="n">
        <v>3</v>
      </c>
      <c r="X277" s="18" t="n">
        <v>4</v>
      </c>
      <c r="Y277" s="18" t="n">
        <v>5</v>
      </c>
      <c r="Z277" s="18" t="n">
        <v>6</v>
      </c>
      <c r="AA277" s="18" t="n">
        <v>7</v>
      </c>
      <c r="AB277" s="18" t="n">
        <v>8</v>
      </c>
      <c r="AC277" s="18" t="n">
        <v>9</v>
      </c>
      <c r="AD277" s="18" t="n">
        <v>10</v>
      </c>
      <c r="AE277" s="18" t="n">
        <v>11</v>
      </c>
      <c r="AF277" s="18" t="n">
        <v>12</v>
      </c>
      <c r="AG277" s="18" t="n">
        <v>13</v>
      </c>
      <c r="AH277" s="18" t="n">
        <v>14</v>
      </c>
      <c r="AI277" s="18" t="n">
        <v>15</v>
      </c>
      <c r="AL277" s="18" t="inlineStr">
        <is>
          <t>ActualMinStockw</t>
        </is>
      </c>
      <c r="AM277" s="19" t="n">
        <v>1</v>
      </c>
      <c r="AN277" s="19" t="n">
        <v>2</v>
      </c>
      <c r="AO277" s="19" t="n">
        <v>3</v>
      </c>
      <c r="AP277" s="19" t="n">
        <v>4</v>
      </c>
      <c r="AQ277" s="19" t="n">
        <v>5</v>
      </c>
      <c r="AR277" s="19" t="n">
        <v>6</v>
      </c>
      <c r="AS277" s="19" t="n">
        <v>7</v>
      </c>
      <c r="AT277" s="19" t="n">
        <v>8</v>
      </c>
      <c r="AU277" s="19" t="n">
        <v>9</v>
      </c>
      <c r="AV277" s="19" t="n">
        <v>10</v>
      </c>
      <c r="AW277" s="19" t="n">
        <v>11</v>
      </c>
      <c r="AX277" s="19" t="n">
        <v>12</v>
      </c>
      <c r="AY277" s="19" t="n">
        <v>13</v>
      </c>
      <c r="AZ277" s="19" t="n">
        <v>14</v>
      </c>
      <c r="BA277" s="18" t="n">
        <v>15</v>
      </c>
    </row>
    <row r="278">
      <c r="C278" s="15" t="n">
        <v>1</v>
      </c>
      <c r="D278" s="19" t="n">
        <v>0</v>
      </c>
      <c r="E278" s="19" t="n">
        <v>0</v>
      </c>
      <c r="F278" s="19" t="n">
        <v>0</v>
      </c>
      <c r="G278" s="19" t="n">
        <v>0</v>
      </c>
      <c r="H278" s="19" t="n">
        <v>6652.513379529726</v>
      </c>
      <c r="I278" s="19" t="n">
        <v>3955.901176255786</v>
      </c>
      <c r="J278" s="19" t="n">
        <v>0</v>
      </c>
      <c r="K278" s="19" t="n">
        <v>6704</v>
      </c>
      <c r="L278" s="19" t="n">
        <v>5066</v>
      </c>
      <c r="M278" s="19" t="n">
        <v>0</v>
      </c>
      <c r="N278" s="19" t="n">
        <v>0</v>
      </c>
      <c r="O278" s="19" t="n">
        <v>0</v>
      </c>
      <c r="P278" s="19" t="n">
        <v>4595</v>
      </c>
      <c r="Q278" s="19" t="n">
        <v>3992.37437156449</v>
      </c>
      <c r="R278" s="19" t="n">
        <v>8223.528520307844</v>
      </c>
      <c r="T278" s="18" t="n">
        <v>1</v>
      </c>
      <c r="U278" s="18" t="n">
        <v>0</v>
      </c>
      <c r="V278" s="18" t="n">
        <v>0</v>
      </c>
      <c r="W278" s="18" t="n">
        <v>0</v>
      </c>
      <c r="X278" s="18" t="n">
        <v>0</v>
      </c>
      <c r="Y278" s="18" t="n">
        <v>6652.513379529726</v>
      </c>
      <c r="Z278" s="18" t="n">
        <v>3955.901176255786</v>
      </c>
      <c r="AA278" s="18" t="n">
        <v>0</v>
      </c>
      <c r="AB278" s="18" t="n">
        <v>6704</v>
      </c>
      <c r="AC278" s="18" t="n">
        <v>5066</v>
      </c>
      <c r="AD278" s="18" t="n">
        <v>0</v>
      </c>
      <c r="AE278" s="18" t="n">
        <v>0</v>
      </c>
      <c r="AF278" s="18" t="n">
        <v>0</v>
      </c>
      <c r="AG278" s="18" t="n">
        <v>4595</v>
      </c>
      <c r="AH278" s="18" t="n">
        <v>3992.37437156449</v>
      </c>
      <c r="AI278" s="18" t="n">
        <v>8223.528520307844</v>
      </c>
      <c r="AL278" s="18" t="n">
        <v>1</v>
      </c>
      <c r="AM278" s="18">
        <f>D278-U278</f>
        <v/>
      </c>
      <c r="AN278" s="18">
        <f>E278-V278</f>
        <v/>
      </c>
      <c r="AO278" s="18">
        <f>F278-W278</f>
        <v/>
      </c>
      <c r="AP278" s="18">
        <f>G278-X278</f>
        <v/>
      </c>
      <c r="AQ278" s="18">
        <f>H278-Y278</f>
        <v/>
      </c>
      <c r="AR278" s="18">
        <f>I278-Z278</f>
        <v/>
      </c>
      <c r="AS278" s="18">
        <f>J278-AA278</f>
        <v/>
      </c>
      <c r="AT278" s="18">
        <f>K278-AB278</f>
        <v/>
      </c>
      <c r="AU278" s="18">
        <f>L278-AC278</f>
        <v/>
      </c>
      <c r="AV278" s="18">
        <f>M278-AD278</f>
        <v/>
      </c>
      <c r="AW278" s="18">
        <f>N278-AE278</f>
        <v/>
      </c>
      <c r="AX278" s="18">
        <f>O278-AF278</f>
        <v/>
      </c>
      <c r="AY278" s="18">
        <f>P278-AG278</f>
        <v/>
      </c>
      <c r="AZ278" s="18">
        <f>Q278-AH278</f>
        <v/>
      </c>
      <c r="BA278" s="18">
        <f>R278-AI278</f>
        <v/>
      </c>
    </row>
    <row r="279">
      <c r="C279" s="15" t="n">
        <v>2</v>
      </c>
      <c r="D279" s="19" t="n">
        <v>4705</v>
      </c>
      <c r="E279" s="19" t="n">
        <v>5450</v>
      </c>
      <c r="F279" s="19" t="n">
        <v>0</v>
      </c>
      <c r="G279" s="19" t="n">
        <v>0</v>
      </c>
      <c r="H279" s="19" t="n">
        <v>0</v>
      </c>
      <c r="I279" s="19" t="n">
        <v>6897</v>
      </c>
      <c r="J279" s="19" t="n">
        <v>0</v>
      </c>
      <c r="K279" s="19" t="n">
        <v>0</v>
      </c>
      <c r="L279" s="19" t="n">
        <v>0</v>
      </c>
      <c r="M279" s="19" t="n">
        <v>3991</v>
      </c>
      <c r="N279" s="19" t="n">
        <v>0</v>
      </c>
      <c r="O279" s="19" t="n">
        <v>6223.604600794805</v>
      </c>
      <c r="P279" s="19" t="n">
        <v>6305.37051091303</v>
      </c>
      <c r="Q279" s="19" t="n">
        <v>8300</v>
      </c>
      <c r="R279" s="19" t="n">
        <v>6001</v>
      </c>
      <c r="T279" s="18" t="n">
        <v>2</v>
      </c>
      <c r="U279" s="18" t="n">
        <v>4705</v>
      </c>
      <c r="V279" s="18" t="n">
        <v>5450</v>
      </c>
      <c r="W279" s="18" t="n">
        <v>0</v>
      </c>
      <c r="X279" s="18" t="n">
        <v>0</v>
      </c>
      <c r="Y279" s="18" t="n">
        <v>0</v>
      </c>
      <c r="Z279" s="18" t="n">
        <v>6897</v>
      </c>
      <c r="AA279" s="18" t="n">
        <v>0</v>
      </c>
      <c r="AB279" s="18" t="n">
        <v>0</v>
      </c>
      <c r="AC279" s="18" t="n">
        <v>0</v>
      </c>
      <c r="AD279" s="18" t="n">
        <v>3991</v>
      </c>
      <c r="AE279" s="18" t="n">
        <v>0</v>
      </c>
      <c r="AF279" s="18" t="n">
        <v>6223.604600794805</v>
      </c>
      <c r="AG279" s="18" t="n">
        <v>6305.370511040066</v>
      </c>
      <c r="AH279" s="18" t="n">
        <v>8300</v>
      </c>
      <c r="AI279" s="18" t="n">
        <v>6001</v>
      </c>
      <c r="AL279" s="18" t="n">
        <v>2</v>
      </c>
      <c r="AM279" s="18">
        <f>D279-U279</f>
        <v/>
      </c>
      <c r="AN279" s="18">
        <f>E279-V279</f>
        <v/>
      </c>
      <c r="AO279" s="18">
        <f>F279-W279</f>
        <v/>
      </c>
      <c r="AP279" s="18">
        <f>G279-X279</f>
        <v/>
      </c>
      <c r="AQ279" s="18">
        <f>H279-Y279</f>
        <v/>
      </c>
      <c r="AR279" s="18">
        <f>I279-Z279</f>
        <v/>
      </c>
      <c r="AS279" s="18">
        <f>J279-AA279</f>
        <v/>
      </c>
      <c r="AT279" s="18">
        <f>K279-AB279</f>
        <v/>
      </c>
      <c r="AU279" s="18">
        <f>L279-AC279</f>
        <v/>
      </c>
      <c r="AV279" s="18">
        <f>M279-AD279</f>
        <v/>
      </c>
      <c r="AW279" s="18">
        <f>N279-AE279</f>
        <v/>
      </c>
      <c r="AX279" s="18">
        <f>O279-AF279</f>
        <v/>
      </c>
      <c r="AY279" s="18">
        <f>P279-AG279</f>
        <v/>
      </c>
      <c r="AZ279" s="18">
        <f>Q279-AH279</f>
        <v/>
      </c>
      <c r="BA279" s="18">
        <f>R279-AI279</f>
        <v/>
      </c>
    </row>
    <row r="280">
      <c r="C280" s="15" t="n">
        <v>3</v>
      </c>
      <c r="D280" s="19" t="n">
        <v>7790.715222439019</v>
      </c>
      <c r="E280" s="19" t="n">
        <v>0</v>
      </c>
      <c r="F280" s="19" t="n">
        <v>0</v>
      </c>
      <c r="G280" s="19" t="n">
        <v>7168.652991304631</v>
      </c>
      <c r="H280" s="19" t="n">
        <v>0</v>
      </c>
      <c r="I280" s="19" t="n">
        <v>7129.828172216361</v>
      </c>
      <c r="J280" s="19" t="n">
        <v>3967.175924001862</v>
      </c>
      <c r="K280" s="19" t="n">
        <v>0</v>
      </c>
      <c r="L280" s="19" t="n">
        <v>0</v>
      </c>
      <c r="M280" s="19" t="n">
        <v>0</v>
      </c>
      <c r="N280" s="19" t="n">
        <v>3247.485219527575</v>
      </c>
      <c r="O280" s="19" t="n">
        <v>0</v>
      </c>
      <c r="P280" s="19" t="n">
        <v>0</v>
      </c>
      <c r="Q280" s="19" t="n">
        <v>0</v>
      </c>
      <c r="R280" s="19" t="n">
        <v>5182</v>
      </c>
      <c r="T280" s="18" t="n">
        <v>3</v>
      </c>
      <c r="U280" s="18" t="n">
        <v>7790.715222439019</v>
      </c>
      <c r="V280" s="18" t="n">
        <v>0</v>
      </c>
      <c r="W280" s="18" t="n">
        <v>0</v>
      </c>
      <c r="X280" s="18" t="n">
        <v>7168.652991304631</v>
      </c>
      <c r="Y280" s="18" t="n">
        <v>0</v>
      </c>
      <c r="Z280" s="18" t="n">
        <v>7129.828172216363</v>
      </c>
      <c r="AA280" s="18" t="n">
        <v>3967.175924001862</v>
      </c>
      <c r="AB280" s="18" t="n">
        <v>0</v>
      </c>
      <c r="AC280" s="18" t="n">
        <v>0</v>
      </c>
      <c r="AD280" s="18" t="n">
        <v>0</v>
      </c>
      <c r="AE280" s="18" t="n">
        <v>3247.485219517845</v>
      </c>
      <c r="AF280" s="18" t="n">
        <v>0</v>
      </c>
      <c r="AG280" s="18" t="n">
        <v>0</v>
      </c>
      <c r="AH280" s="18" t="n">
        <v>0</v>
      </c>
      <c r="AI280" s="18" t="n">
        <v>5182</v>
      </c>
      <c r="AL280" s="18" t="n">
        <v>3</v>
      </c>
      <c r="AM280" s="18">
        <f>D280-U280</f>
        <v/>
      </c>
      <c r="AN280" s="18">
        <f>E280-V280</f>
        <v/>
      </c>
      <c r="AO280" s="18">
        <f>F280-W280</f>
        <v/>
      </c>
      <c r="AP280" s="18">
        <f>G280-X280</f>
        <v/>
      </c>
      <c r="AQ280" s="18">
        <f>H280-Y280</f>
        <v/>
      </c>
      <c r="AR280" s="18">
        <f>I280-Z280</f>
        <v/>
      </c>
      <c r="AS280" s="18">
        <f>J280-AA280</f>
        <v/>
      </c>
      <c r="AT280" s="18">
        <f>K280-AB280</f>
        <v/>
      </c>
      <c r="AU280" s="18">
        <f>L280-AC280</f>
        <v/>
      </c>
      <c r="AV280" s="18">
        <f>M280-AD280</f>
        <v/>
      </c>
      <c r="AW280" s="18">
        <f>N280-AE280</f>
        <v/>
      </c>
      <c r="AX280" s="18">
        <f>O280-AF280</f>
        <v/>
      </c>
      <c r="AY280" s="18">
        <f>P280-AG280</f>
        <v/>
      </c>
      <c r="AZ280" s="18">
        <f>Q280-AH280</f>
        <v/>
      </c>
      <c r="BA280" s="18">
        <f>R280-AI280</f>
        <v/>
      </c>
    </row>
    <row r="283">
      <c r="C283" s="36" t="inlineStr">
        <is>
          <t>ActualRotw</t>
        </is>
      </c>
      <c r="D283" s="15" t="n">
        <v>1</v>
      </c>
      <c r="E283" s="15" t="n">
        <v>2</v>
      </c>
      <c r="F283" s="15" t="n">
        <v>3</v>
      </c>
      <c r="G283" s="15" t="n">
        <v>4</v>
      </c>
      <c r="H283" s="15" t="n">
        <v>5</v>
      </c>
      <c r="I283" s="15" t="n">
        <v>6</v>
      </c>
      <c r="J283" s="15" t="n">
        <v>7</v>
      </c>
      <c r="K283" s="15" t="n">
        <v>8</v>
      </c>
      <c r="L283" s="15" t="n">
        <v>9</v>
      </c>
      <c r="M283" s="15" t="n">
        <v>10</v>
      </c>
      <c r="N283" s="15" t="n">
        <v>11</v>
      </c>
      <c r="O283" s="15" t="n">
        <v>12</v>
      </c>
      <c r="P283" s="15" t="n">
        <v>13</v>
      </c>
      <c r="Q283" s="15" t="n">
        <v>14</v>
      </c>
      <c r="R283" s="15" t="n">
        <v>15</v>
      </c>
      <c r="T283" s="18" t="inlineStr">
        <is>
          <t>ActualRotw</t>
        </is>
      </c>
      <c r="U283" s="18" t="n">
        <v>1</v>
      </c>
      <c r="V283" s="18" t="n">
        <v>2</v>
      </c>
      <c r="W283" s="18" t="n">
        <v>3</v>
      </c>
      <c r="X283" s="18" t="n">
        <v>4</v>
      </c>
      <c r="Y283" s="18" t="n">
        <v>5</v>
      </c>
      <c r="Z283" s="18" t="n">
        <v>6</v>
      </c>
      <c r="AA283" s="18" t="n">
        <v>7</v>
      </c>
      <c r="AB283" s="18" t="n">
        <v>8</v>
      </c>
      <c r="AC283" s="18" t="n">
        <v>9</v>
      </c>
      <c r="AD283" s="18" t="n">
        <v>10</v>
      </c>
      <c r="AE283" s="18" t="n">
        <v>11</v>
      </c>
      <c r="AF283" s="18" t="n">
        <v>12</v>
      </c>
      <c r="AG283" s="18" t="n">
        <v>13</v>
      </c>
      <c r="AH283" s="18" t="n">
        <v>14</v>
      </c>
      <c r="AI283" s="18" t="n">
        <v>15</v>
      </c>
      <c r="AL283" s="18" t="inlineStr">
        <is>
          <t>ActualRotw</t>
        </is>
      </c>
      <c r="AM283" s="19" t="n">
        <v>1</v>
      </c>
      <c r="AN283" s="19" t="n">
        <v>2</v>
      </c>
      <c r="AO283" s="19" t="n">
        <v>3</v>
      </c>
      <c r="AP283" s="19" t="n">
        <v>4</v>
      </c>
      <c r="AQ283" s="19" t="n">
        <v>5</v>
      </c>
      <c r="AR283" s="19" t="n">
        <v>6</v>
      </c>
      <c r="AS283" s="19" t="n">
        <v>7</v>
      </c>
      <c r="AT283" s="19" t="n">
        <v>8</v>
      </c>
      <c r="AU283" s="19" t="n">
        <v>9</v>
      </c>
      <c r="AV283" s="19" t="n">
        <v>10</v>
      </c>
      <c r="AW283" s="19" t="n">
        <v>11</v>
      </c>
      <c r="AX283" s="19" t="n">
        <v>12</v>
      </c>
      <c r="AY283" s="19" t="n">
        <v>13</v>
      </c>
      <c r="AZ283" s="19" t="n">
        <v>14</v>
      </c>
      <c r="BA283" s="18" t="n">
        <v>15</v>
      </c>
    </row>
    <row r="284">
      <c r="C284" s="15" t="n">
        <v>1</v>
      </c>
      <c r="D284" s="18" t="n">
        <v>0</v>
      </c>
      <c r="E284" s="18" t="n">
        <v>0</v>
      </c>
      <c r="F284" s="18" t="n">
        <v>0</v>
      </c>
      <c r="G284" s="18" t="n">
        <v>0</v>
      </c>
      <c r="H284" s="18" t="n">
        <v>142.4521066280456</v>
      </c>
      <c r="I284" s="18" t="n">
        <v>37.26006570835251</v>
      </c>
      <c r="J284" s="18" t="n">
        <v>0</v>
      </c>
      <c r="K284" s="18" t="n">
        <v>48.39384970764454</v>
      </c>
      <c r="L284" s="18" t="n">
        <v>50.02468648168264</v>
      </c>
      <c r="M284" s="18" t="n">
        <v>0</v>
      </c>
      <c r="N284" s="18" t="n">
        <v>350.9838998211083</v>
      </c>
      <c r="O284" s="18" t="n">
        <v>0</v>
      </c>
      <c r="P284" s="18" t="n">
        <v>74.47325769854132</v>
      </c>
      <c r="Q284" s="18" t="n">
        <v>45.00478380751313</v>
      </c>
      <c r="R284" s="18" t="n">
        <v>53.7239728249026</v>
      </c>
      <c r="T284" s="18" t="n">
        <v>1</v>
      </c>
      <c r="U284" s="18" t="n">
        <v>0</v>
      </c>
      <c r="V284" s="18" t="n">
        <v>0</v>
      </c>
      <c r="W284" s="18" t="n">
        <v>0</v>
      </c>
      <c r="X284" s="18" t="n">
        <v>0</v>
      </c>
      <c r="Y284" s="18" t="n">
        <v>142.4521066280456</v>
      </c>
      <c r="Z284" s="18" t="n">
        <v>37.26006570835251</v>
      </c>
      <c r="AA284" s="18" t="n">
        <v>0</v>
      </c>
      <c r="AB284" s="18" t="n">
        <v>48.39384970764454</v>
      </c>
      <c r="AC284" s="18" t="n">
        <v>50.02468648168264</v>
      </c>
      <c r="AD284" s="18" t="n">
        <v>0</v>
      </c>
      <c r="AE284" s="18" t="n">
        <v>350.9838998211083</v>
      </c>
      <c r="AF284" s="18" t="n">
        <v>0</v>
      </c>
      <c r="AG284" s="18" t="n">
        <v>74.47325769854132</v>
      </c>
      <c r="AH284" s="18" t="n">
        <v>45.00478380751313</v>
      </c>
      <c r="AI284" s="18" t="n">
        <v>53.7239728249026</v>
      </c>
      <c r="AL284" s="18" t="n">
        <v>1</v>
      </c>
      <c r="AM284" s="18">
        <f>D284-U284</f>
        <v/>
      </c>
      <c r="AN284" s="18">
        <f>E284-V284</f>
        <v/>
      </c>
      <c r="AO284" s="18">
        <f>F284-W284</f>
        <v/>
      </c>
      <c r="AP284" s="18">
        <f>G284-X284</f>
        <v/>
      </c>
      <c r="AQ284" s="18">
        <f>H284-Y284</f>
        <v/>
      </c>
      <c r="AR284" s="18">
        <f>I284-Z284</f>
        <v/>
      </c>
      <c r="AS284" s="18">
        <f>J284-AA284</f>
        <v/>
      </c>
      <c r="AT284" s="18">
        <f>K284-AB284</f>
        <v/>
      </c>
      <c r="AU284" s="18">
        <f>L284-AC284</f>
        <v/>
      </c>
      <c r="AV284" s="18">
        <f>M284-AD284</f>
        <v/>
      </c>
      <c r="AW284" s="18">
        <f>N284-AE284</f>
        <v/>
      </c>
      <c r="AX284" s="18">
        <f>O284-AF284</f>
        <v/>
      </c>
      <c r="AY284" s="18">
        <f>P284-AG284</f>
        <v/>
      </c>
      <c r="AZ284" s="18">
        <f>Q284-AH284</f>
        <v/>
      </c>
      <c r="BA284" s="18">
        <f>R284-AI284</f>
        <v/>
      </c>
    </row>
    <row r="285">
      <c r="C285" s="15" t="n">
        <v>2</v>
      </c>
      <c r="D285" s="18" t="n">
        <v>66.95602675394908</v>
      </c>
      <c r="E285" s="18" t="n">
        <v>100.2022430593859</v>
      </c>
      <c r="F285" s="18" t="n">
        <v>0</v>
      </c>
      <c r="G285" s="18" t="n">
        <v>0</v>
      </c>
      <c r="H285" s="18" t="n">
        <v>131.2132249929952</v>
      </c>
      <c r="I285" s="18" t="n">
        <v>93.58208955223883</v>
      </c>
      <c r="J285" s="18" t="n">
        <v>609.4155844155874</v>
      </c>
      <c r="K285" s="18" t="n">
        <v>0</v>
      </c>
      <c r="L285" s="18" t="n">
        <v>0</v>
      </c>
      <c r="M285" s="18" t="n">
        <v>56.26674185817002</v>
      </c>
      <c r="N285" s="18" t="n">
        <v>0</v>
      </c>
      <c r="O285" s="18" t="n">
        <v>84.2507729903182</v>
      </c>
      <c r="P285" s="18" t="n">
        <v>102.5096815300444</v>
      </c>
      <c r="Q285" s="18" t="n">
        <v>152.5735294117646</v>
      </c>
      <c r="R285" s="18" t="n">
        <v>68.88990931006772</v>
      </c>
      <c r="T285" s="18" t="n">
        <v>2</v>
      </c>
      <c r="U285" s="18" t="n">
        <v>66.95602675394908</v>
      </c>
      <c r="V285" s="18" t="n">
        <v>100.2022430593859</v>
      </c>
      <c r="W285" s="18" t="n">
        <v>0</v>
      </c>
      <c r="X285" s="18" t="n">
        <v>0</v>
      </c>
      <c r="Y285" s="18" t="n">
        <v>131.2132249929952</v>
      </c>
      <c r="Z285" s="18" t="n">
        <v>93.58208955223883</v>
      </c>
      <c r="AA285" s="18" t="n">
        <v>609.4155844155874</v>
      </c>
      <c r="AB285" s="18" t="n">
        <v>0</v>
      </c>
      <c r="AC285" s="18" t="n">
        <v>0</v>
      </c>
      <c r="AD285" s="18" t="n">
        <v>56.26674185817002</v>
      </c>
      <c r="AE285" s="18" t="n">
        <v>0</v>
      </c>
      <c r="AF285" s="18" t="n">
        <v>84.2507729903182</v>
      </c>
      <c r="AG285" s="18" t="n">
        <v>102.5096815321097</v>
      </c>
      <c r="AH285" s="18" t="n">
        <v>152.5735294117646</v>
      </c>
      <c r="AI285" s="18" t="n">
        <v>68.88990931006772</v>
      </c>
      <c r="AL285" s="18" t="n">
        <v>2</v>
      </c>
      <c r="AM285" s="18">
        <f>D285-U285</f>
        <v/>
      </c>
      <c r="AN285" s="18">
        <f>E285-V285</f>
        <v/>
      </c>
      <c r="AO285" s="18">
        <f>F285-W285</f>
        <v/>
      </c>
      <c r="AP285" s="18">
        <f>G285-X285</f>
        <v/>
      </c>
      <c r="AQ285" s="18">
        <f>H285-Y285</f>
        <v/>
      </c>
      <c r="AR285" s="18">
        <f>I285-Z285</f>
        <v/>
      </c>
      <c r="AS285" s="18">
        <f>J285-AA285</f>
        <v/>
      </c>
      <c r="AT285" s="18">
        <f>K285-AB285</f>
        <v/>
      </c>
      <c r="AU285" s="18">
        <f>L285-AC285</f>
        <v/>
      </c>
      <c r="AV285" s="18">
        <f>M285-AD285</f>
        <v/>
      </c>
      <c r="AW285" s="18">
        <f>N285-AE285</f>
        <v/>
      </c>
      <c r="AX285" s="18">
        <f>O285-AF285</f>
        <v/>
      </c>
      <c r="AY285" s="18">
        <f>P285-AG285</f>
        <v/>
      </c>
      <c r="AZ285" s="18">
        <f>Q285-AH285</f>
        <v/>
      </c>
      <c r="BA285" s="18">
        <f>R285-AI285</f>
        <v/>
      </c>
    </row>
    <row r="286">
      <c r="C286" s="15" t="n">
        <v>3</v>
      </c>
      <c r="D286" s="18" t="n">
        <v>47.15643860806864</v>
      </c>
      <c r="E286" s="18" t="n">
        <v>0</v>
      </c>
      <c r="F286" s="18" t="n">
        <v>0</v>
      </c>
      <c r="G286" s="18" t="n">
        <v>72.71914172554908</v>
      </c>
      <c r="H286" s="18" t="n">
        <v>0</v>
      </c>
      <c r="I286" s="18" t="n">
        <v>35.71700316709929</v>
      </c>
      <c r="J286" s="18" t="n">
        <v>22.9303272874508</v>
      </c>
      <c r="K286" s="18" t="n">
        <v>0</v>
      </c>
      <c r="L286" s="18" t="n">
        <v>0</v>
      </c>
      <c r="M286" s="18" t="n">
        <v>0</v>
      </c>
      <c r="N286" s="18" t="n">
        <v>24.74274452973391</v>
      </c>
      <c r="O286" s="18" t="n">
        <v>412.1512151215116</v>
      </c>
      <c r="P286" s="18" t="n">
        <v>0</v>
      </c>
      <c r="Q286" s="18" t="n">
        <v>0</v>
      </c>
      <c r="R286" s="18" t="n">
        <v>65.86171835282155</v>
      </c>
      <c r="T286" s="18" t="n">
        <v>3</v>
      </c>
      <c r="U286" s="18" t="n">
        <v>47.15643860806864</v>
      </c>
      <c r="V286" s="18" t="n">
        <v>0</v>
      </c>
      <c r="W286" s="18" t="n">
        <v>0</v>
      </c>
      <c r="X286" s="18" t="n">
        <v>72.71914172554908</v>
      </c>
      <c r="Y286" s="18" t="n">
        <v>0</v>
      </c>
      <c r="Z286" s="18" t="n">
        <v>35.7170031670993</v>
      </c>
      <c r="AA286" s="18" t="n">
        <v>22.9303272874508</v>
      </c>
      <c r="AB286" s="18" t="n">
        <v>0</v>
      </c>
      <c r="AC286" s="18" t="n">
        <v>0</v>
      </c>
      <c r="AD286" s="18" t="n">
        <v>0</v>
      </c>
      <c r="AE286" s="18" t="n">
        <v>24.74274452965977</v>
      </c>
      <c r="AF286" s="18" t="n">
        <v>412.1512151215116</v>
      </c>
      <c r="AG286" s="18" t="n">
        <v>0</v>
      </c>
      <c r="AH286" s="18" t="n">
        <v>0</v>
      </c>
      <c r="AI286" s="18" t="n">
        <v>65.86171835282155</v>
      </c>
      <c r="AL286" s="18" t="n">
        <v>3</v>
      </c>
      <c r="AM286" s="18">
        <f>D286-U286</f>
        <v/>
      </c>
      <c r="AN286" s="18">
        <f>E286-V286</f>
        <v/>
      </c>
      <c r="AO286" s="18">
        <f>F286-W286</f>
        <v/>
      </c>
      <c r="AP286" s="18">
        <f>G286-X286</f>
        <v/>
      </c>
      <c r="AQ286" s="18">
        <f>H286-Y286</f>
        <v/>
      </c>
      <c r="AR286" s="18">
        <f>I286-Z286</f>
        <v/>
      </c>
      <c r="AS286" s="18">
        <f>J286-AA286</f>
        <v/>
      </c>
      <c r="AT286" s="18">
        <f>K286-AB286</f>
        <v/>
      </c>
      <c r="AU286" s="18">
        <f>L286-AC286</f>
        <v/>
      </c>
      <c r="AV286" s="18">
        <f>M286-AD286</f>
        <v/>
      </c>
      <c r="AW286" s="18">
        <f>N286-AE286</f>
        <v/>
      </c>
      <c r="AX286" s="18">
        <f>O286-AF286</f>
        <v/>
      </c>
      <c r="AY286" s="18">
        <f>P286-AG286</f>
        <v/>
      </c>
      <c r="AZ286" s="18">
        <f>Q286-AH286</f>
        <v/>
      </c>
      <c r="BA286" s="18">
        <f>R286-AI286</f>
        <v/>
      </c>
    </row>
    <row r="289">
      <c r="C289" s="36" t="inlineStr">
        <is>
          <t>MaxNumOfCyclesw</t>
        </is>
      </c>
      <c r="D289" s="15" t="n">
        <v>1</v>
      </c>
      <c r="E289" s="15" t="n">
        <v>2</v>
      </c>
      <c r="F289" s="15" t="n">
        <v>3</v>
      </c>
      <c r="G289" s="15" t="n">
        <v>4</v>
      </c>
      <c r="H289" s="15" t="n">
        <v>5</v>
      </c>
      <c r="I289" s="15" t="n">
        <v>6</v>
      </c>
      <c r="J289" s="15" t="n">
        <v>7</v>
      </c>
      <c r="K289" s="15" t="n">
        <v>8</v>
      </c>
      <c r="L289" s="15" t="n">
        <v>9</v>
      </c>
      <c r="M289" s="15" t="n">
        <v>10</v>
      </c>
      <c r="N289" s="15" t="n">
        <v>11</v>
      </c>
      <c r="O289" s="15" t="n">
        <v>12</v>
      </c>
      <c r="P289" s="15" t="n">
        <v>13</v>
      </c>
      <c r="Q289" s="15" t="n">
        <v>14</v>
      </c>
      <c r="R289" s="15" t="n">
        <v>15</v>
      </c>
      <c r="T289" s="18" t="inlineStr">
        <is>
          <t>MaxNumOfCyclesw</t>
        </is>
      </c>
      <c r="U289" s="18" t="n">
        <v>1</v>
      </c>
      <c r="V289" s="18" t="n">
        <v>2</v>
      </c>
      <c r="W289" s="18" t="n">
        <v>3</v>
      </c>
      <c r="X289" s="18" t="n">
        <v>4</v>
      </c>
      <c r="Y289" s="18" t="n">
        <v>5</v>
      </c>
      <c r="Z289" s="18" t="n">
        <v>6</v>
      </c>
      <c r="AA289" s="18" t="n">
        <v>7</v>
      </c>
      <c r="AB289" s="18" t="n">
        <v>8</v>
      </c>
      <c r="AC289" s="18" t="n">
        <v>9</v>
      </c>
      <c r="AD289" s="18" t="n">
        <v>10</v>
      </c>
      <c r="AE289" s="18" t="n">
        <v>11</v>
      </c>
      <c r="AF289" s="18" t="n">
        <v>12</v>
      </c>
      <c r="AG289" s="18" t="n">
        <v>13</v>
      </c>
      <c r="AH289" s="18" t="n">
        <v>14</v>
      </c>
      <c r="AI289" s="18" t="n">
        <v>15</v>
      </c>
      <c r="AL289" s="18" t="inlineStr">
        <is>
          <t>MaxNumOfCyclesw</t>
        </is>
      </c>
      <c r="AM289" s="19" t="n">
        <v>1</v>
      </c>
      <c r="AN289" s="19" t="n">
        <v>2</v>
      </c>
      <c r="AO289" s="19" t="n">
        <v>3</v>
      </c>
      <c r="AP289" s="19" t="n">
        <v>4</v>
      </c>
      <c r="AQ289" s="19" t="n">
        <v>5</v>
      </c>
      <c r="AR289" s="19" t="n">
        <v>6</v>
      </c>
      <c r="AS289" s="19" t="n">
        <v>7</v>
      </c>
      <c r="AT289" s="19" t="n">
        <v>8</v>
      </c>
      <c r="AU289" s="19" t="n">
        <v>9</v>
      </c>
      <c r="AV289" s="19" t="n">
        <v>10</v>
      </c>
      <c r="AW289" s="19" t="n">
        <v>11</v>
      </c>
      <c r="AX289" s="19" t="n">
        <v>12</v>
      </c>
      <c r="AY289" s="19" t="n">
        <v>13</v>
      </c>
      <c r="AZ289" s="19" t="n">
        <v>14</v>
      </c>
      <c r="BA289" s="18" t="n">
        <v>15</v>
      </c>
    </row>
    <row r="290">
      <c r="C290" s="15" t="n">
        <v>1</v>
      </c>
      <c r="D290" s="88" t="n">
        <v>0</v>
      </c>
      <c r="E290" s="88" t="n">
        <v>0</v>
      </c>
      <c r="F290" s="88" t="n">
        <v>0</v>
      </c>
      <c r="G290" s="88" t="n">
        <v>0</v>
      </c>
      <c r="H290" s="88" t="n">
        <v>9.631650211497332</v>
      </c>
      <c r="I290" s="88" t="n">
        <v>2.603778176684312</v>
      </c>
      <c r="J290" s="88" t="n">
        <v>0</v>
      </c>
      <c r="K290" s="88" t="n">
        <v>3.349055343089588</v>
      </c>
      <c r="L290" s="88" t="n">
        <v>3.995581987354844</v>
      </c>
      <c r="M290" s="88" t="n">
        <v>0</v>
      </c>
      <c r="N290" s="88" t="n">
        <v>26.2712499866099</v>
      </c>
      <c r="O290" s="88" t="n">
        <v>0</v>
      </c>
      <c r="P290" s="88" t="n">
        <v>5.104404228823942</v>
      </c>
      <c r="Q290" s="88" t="n">
        <v>3.15159550472781</v>
      </c>
      <c r="R290" s="88" t="n">
        <v>3.349374864395424</v>
      </c>
      <c r="T290" s="18" t="n">
        <v>1</v>
      </c>
      <c r="U290" s="18" t="n">
        <v>0</v>
      </c>
      <c r="V290" s="18" t="n">
        <v>0</v>
      </c>
      <c r="W290" s="18" t="n">
        <v>0</v>
      </c>
      <c r="X290" s="18" t="n">
        <v>0</v>
      </c>
      <c r="Y290" s="18" t="n">
        <v>9.631650211497332</v>
      </c>
      <c r="Z290" s="18" t="n">
        <v>2.603778176684312</v>
      </c>
      <c r="AA290" s="18" t="n">
        <v>0</v>
      </c>
      <c r="AB290" s="18" t="n">
        <v>3.349055343089588</v>
      </c>
      <c r="AC290" s="18" t="n">
        <v>3.995581987354844</v>
      </c>
      <c r="AD290" s="18" t="n">
        <v>0</v>
      </c>
      <c r="AE290" s="18" t="n">
        <v>26.2712499866099</v>
      </c>
      <c r="AF290" s="18" t="n">
        <v>0</v>
      </c>
      <c r="AG290" s="18" t="n">
        <v>5.104404228823942</v>
      </c>
      <c r="AH290" s="18" t="n">
        <v>3.15159550472781</v>
      </c>
      <c r="AI290" s="18" t="n">
        <v>3.349374864395424</v>
      </c>
      <c r="AL290" s="18" t="n">
        <v>1</v>
      </c>
      <c r="AM290" s="18">
        <f>D290-U290</f>
        <v/>
      </c>
      <c r="AN290" s="18">
        <f>E290-V290</f>
        <v/>
      </c>
      <c r="AO290" s="18">
        <f>F290-W290</f>
        <v/>
      </c>
      <c r="AP290" s="18">
        <f>G290-X290</f>
        <v/>
      </c>
      <c r="AQ290" s="18">
        <f>H290-Y290</f>
        <v/>
      </c>
      <c r="AR290" s="18">
        <f>I290-Z290</f>
        <v/>
      </c>
      <c r="AS290" s="18">
        <f>J290-AA290</f>
        <v/>
      </c>
      <c r="AT290" s="18">
        <f>K290-AB290</f>
        <v/>
      </c>
      <c r="AU290" s="18">
        <f>L290-AC290</f>
        <v/>
      </c>
      <c r="AV290" s="18">
        <f>M290-AD290</f>
        <v/>
      </c>
      <c r="AW290" s="18">
        <f>N290-AE290</f>
        <v/>
      </c>
      <c r="AX290" s="18">
        <f>O290-AF290</f>
        <v/>
      </c>
      <c r="AY290" s="18">
        <f>P290-AG290</f>
        <v/>
      </c>
      <c r="AZ290" s="18">
        <f>Q290-AH290</f>
        <v/>
      </c>
      <c r="BA290" s="18">
        <f>R290-AI290</f>
        <v/>
      </c>
    </row>
    <row r="291">
      <c r="C291" s="15" t="n">
        <v>2</v>
      </c>
      <c r="D291" s="88" t="n">
        <v>5.107248417539975</v>
      </c>
      <c r="E291" s="88" t="n">
        <v>5.680399266405096</v>
      </c>
      <c r="F291" s="88" t="n">
        <v>0</v>
      </c>
      <c r="G291" s="88" t="n">
        <v>0</v>
      </c>
      <c r="H291" s="88" t="n">
        <v>11.18612318780863</v>
      </c>
      <c r="I291" s="88" t="n">
        <v>5.878271956798921</v>
      </c>
      <c r="J291" s="88" t="n">
        <v>50.44830996817777</v>
      </c>
      <c r="K291" s="88" t="n">
        <v>0</v>
      </c>
      <c r="L291" s="88" t="n">
        <v>0</v>
      </c>
      <c r="M291" s="88" t="n">
        <v>4.288623617238569</v>
      </c>
      <c r="N291" s="88" t="n">
        <v>0</v>
      </c>
      <c r="O291" s="88" t="n">
        <v>5.362875429046352</v>
      </c>
      <c r="P291" s="88" t="n">
        <v>5.262303979981746</v>
      </c>
      <c r="Q291" s="88" t="n">
        <v>8.504656043019208</v>
      </c>
      <c r="R291" s="88" t="n">
        <v>5.110527396889297</v>
      </c>
      <c r="T291" s="18" t="n">
        <v>2</v>
      </c>
      <c r="U291" s="18" t="n">
        <v>5.107248417539975</v>
      </c>
      <c r="V291" s="18" t="n">
        <v>5.680399266405096</v>
      </c>
      <c r="W291" s="18" t="n">
        <v>0</v>
      </c>
      <c r="X291" s="18" t="n">
        <v>0</v>
      </c>
      <c r="Y291" s="18" t="n">
        <v>11.18612318780863</v>
      </c>
      <c r="Z291" s="18" t="n">
        <v>5.878271956798921</v>
      </c>
      <c r="AA291" s="18" t="n">
        <v>50.44830996817777</v>
      </c>
      <c r="AB291" s="18" t="n">
        <v>0</v>
      </c>
      <c r="AC291" s="18" t="n">
        <v>0</v>
      </c>
      <c r="AD291" s="18" t="n">
        <v>4.288623617238569</v>
      </c>
      <c r="AE291" s="18" t="n">
        <v>0</v>
      </c>
      <c r="AF291" s="18" t="n">
        <v>5.362875429046352</v>
      </c>
      <c r="AG291" s="18" t="n">
        <v>5.262303980087767</v>
      </c>
      <c r="AH291" s="18" t="n">
        <v>8.504656043019208</v>
      </c>
      <c r="AI291" s="18" t="n">
        <v>5.110527396889297</v>
      </c>
      <c r="AL291" s="18" t="n">
        <v>2</v>
      </c>
      <c r="AM291" s="18">
        <f>D291-U291</f>
        <v/>
      </c>
      <c r="AN291" s="18">
        <f>E291-V291</f>
        <v/>
      </c>
      <c r="AO291" s="18">
        <f>F291-W291</f>
        <v/>
      </c>
      <c r="AP291" s="18">
        <f>G291-X291</f>
        <v/>
      </c>
      <c r="AQ291" s="18">
        <f>H291-Y291</f>
        <v/>
      </c>
      <c r="AR291" s="18">
        <f>I291-Z291</f>
        <v/>
      </c>
      <c r="AS291" s="18">
        <f>J291-AA291</f>
        <v/>
      </c>
      <c r="AT291" s="18">
        <f>K291-AB291</f>
        <v/>
      </c>
      <c r="AU291" s="18">
        <f>L291-AC291</f>
        <v/>
      </c>
      <c r="AV291" s="18">
        <f>M291-AD291</f>
        <v/>
      </c>
      <c r="AW291" s="18">
        <f>N291-AE291</f>
        <v/>
      </c>
      <c r="AX291" s="18">
        <f>O291-AF291</f>
        <v/>
      </c>
      <c r="AY291" s="18">
        <f>P291-AG291</f>
        <v/>
      </c>
      <c r="AZ291" s="18">
        <f>Q291-AH291</f>
        <v/>
      </c>
      <c r="BA291" s="18">
        <f>R291-AI291</f>
        <v/>
      </c>
    </row>
    <row r="292">
      <c r="C292" s="15" t="n">
        <v>3</v>
      </c>
      <c r="D292" s="88" t="n">
        <v>2.582499376126431</v>
      </c>
      <c r="E292" s="88" t="n">
        <v>0</v>
      </c>
      <c r="F292" s="88" t="n">
        <v>0</v>
      </c>
      <c r="G292" s="88" t="n">
        <v>5.205378792093706</v>
      </c>
      <c r="H292" s="88" t="n">
        <v>0</v>
      </c>
      <c r="I292" s="88" t="n">
        <v>2.029375179948823</v>
      </c>
      <c r="J292" s="88" t="n">
        <v>1.811242281789162</v>
      </c>
      <c r="K292" s="88" t="n">
        <v>0</v>
      </c>
      <c r="L292" s="88" t="n">
        <v>0</v>
      </c>
      <c r="M292" s="88" t="n">
        <v>0</v>
      </c>
      <c r="N292" s="88" t="n">
        <v>2.390603336206174</v>
      </c>
      <c r="O292" s="88" t="n">
        <v>29.39737625688385</v>
      </c>
      <c r="P292" s="88" t="n">
        <v>0</v>
      </c>
      <c r="Q292" s="88" t="n">
        <v>0</v>
      </c>
      <c r="R292" s="88" t="n">
        <v>5.157534718310224</v>
      </c>
      <c r="T292" s="18" t="n">
        <v>3</v>
      </c>
      <c r="U292" s="18" t="n">
        <v>2.582499376126431</v>
      </c>
      <c r="V292" s="18" t="n">
        <v>0</v>
      </c>
      <c r="W292" s="18" t="n">
        <v>0</v>
      </c>
      <c r="X292" s="18" t="n">
        <v>5.205378792093706</v>
      </c>
      <c r="Y292" s="18" t="n">
        <v>0</v>
      </c>
      <c r="Z292" s="18" t="n">
        <v>2.029375179948824</v>
      </c>
      <c r="AA292" s="18" t="n">
        <v>1.811242281789162</v>
      </c>
      <c r="AB292" s="18" t="n">
        <v>0</v>
      </c>
      <c r="AC292" s="18" t="n">
        <v>0</v>
      </c>
      <c r="AD292" s="18" t="n">
        <v>0</v>
      </c>
      <c r="AE292" s="18" t="n">
        <v>2.390603336199012</v>
      </c>
      <c r="AF292" s="18" t="n">
        <v>29.39737625688385</v>
      </c>
      <c r="AG292" s="18" t="n">
        <v>0</v>
      </c>
      <c r="AH292" s="18" t="n">
        <v>0</v>
      </c>
      <c r="AI292" s="18" t="n">
        <v>5.157534718310224</v>
      </c>
      <c r="AL292" s="18" t="n">
        <v>3</v>
      </c>
      <c r="AM292" s="18">
        <f>D292-U292</f>
        <v/>
      </c>
      <c r="AN292" s="18">
        <f>E292-V292</f>
        <v/>
      </c>
      <c r="AO292" s="18">
        <f>F292-W292</f>
        <v/>
      </c>
      <c r="AP292" s="18">
        <f>G292-X292</f>
        <v/>
      </c>
      <c r="AQ292" s="18">
        <f>H292-Y292</f>
        <v/>
      </c>
      <c r="AR292" s="18">
        <f>I292-Z292</f>
        <v/>
      </c>
      <c r="AS292" s="18">
        <f>J292-AA292</f>
        <v/>
      </c>
      <c r="AT292" s="18">
        <f>K292-AB292</f>
        <v/>
      </c>
      <c r="AU292" s="18">
        <f>L292-AC292</f>
        <v/>
      </c>
      <c r="AV292" s="18">
        <f>M292-AD292</f>
        <v/>
      </c>
      <c r="AW292" s="18">
        <f>N292-AE292</f>
        <v/>
      </c>
      <c r="AX292" s="18">
        <f>O292-AF292</f>
        <v/>
      </c>
      <c r="AY292" s="18">
        <f>P292-AG292</f>
        <v/>
      </c>
      <c r="AZ292" s="18">
        <f>Q292-AH292</f>
        <v/>
      </c>
      <c r="BA292" s="18">
        <f>R292-AI292</f>
        <v/>
      </c>
    </row>
    <row r="300"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</row>
    <row r="301"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</row>
    <row r="302"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</row>
  </sheetData>
  <conditionalFormatting sqref="D10:R12">
    <cfRule type="expression" priority="65" dxfId="3">
      <formula>D10&gt;0</formula>
    </cfRule>
    <cfRule type="expression" priority="66" dxfId="8">
      <formula>"D40&lt;0"</formula>
    </cfRule>
  </conditionalFormatting>
  <conditionalFormatting sqref="D16:R18">
    <cfRule type="expression" priority="63" dxfId="3">
      <formula>D16&gt;0</formula>
    </cfRule>
    <cfRule type="expression" priority="64" dxfId="8">
      <formula>D16&lt;0</formula>
    </cfRule>
  </conditionalFormatting>
  <conditionalFormatting sqref="D22:R24">
    <cfRule type="expression" priority="61" dxfId="3">
      <formula>D22&gt;0</formula>
    </cfRule>
    <cfRule type="expression" priority="62" dxfId="8">
      <formula>D22&lt;0</formula>
    </cfRule>
  </conditionalFormatting>
  <conditionalFormatting sqref="D28:R30">
    <cfRule type="expression" priority="59" dxfId="3">
      <formula>D28&gt;0</formula>
    </cfRule>
    <cfRule type="expression" priority="60" dxfId="8">
      <formula>D28&lt;0</formula>
    </cfRule>
  </conditionalFormatting>
  <conditionalFormatting sqref="D34:R36">
    <cfRule type="cellIs" priority="24" operator="equal" dxfId="9">
      <formula>1</formula>
    </cfRule>
  </conditionalFormatting>
  <conditionalFormatting sqref="D39:R41">
    <cfRule type="cellIs" priority="25" operator="equal" dxfId="9">
      <formula>1</formula>
    </cfRule>
  </conditionalFormatting>
  <conditionalFormatting sqref="D45:R47">
    <cfRule type="cellIs" priority="67" operator="equal" dxfId="9">
      <formula>1</formula>
    </cfRule>
  </conditionalFormatting>
  <conditionalFormatting sqref="D51:R53">
    <cfRule type="cellIs" priority="27" operator="equal" dxfId="9">
      <formula>1</formula>
    </cfRule>
  </conditionalFormatting>
  <conditionalFormatting sqref="D57:R59">
    <cfRule type="cellIs" priority="26" operator="equal" dxfId="9">
      <formula>1</formula>
    </cfRule>
  </conditionalFormatting>
  <conditionalFormatting sqref="D63:R65">
    <cfRule type="cellIs" priority="70" operator="lessThan" dxfId="8">
      <formula>0</formula>
    </cfRule>
  </conditionalFormatting>
  <conditionalFormatting sqref="D75:R77">
    <cfRule type="cellIs" priority="11" operator="lessThan" dxfId="9">
      <formula>0</formula>
    </cfRule>
  </conditionalFormatting>
  <conditionalFormatting sqref="D104:R106">
    <cfRule type="cellIs" priority="68" operator="lessThan" dxfId="3">
      <formula>0</formula>
    </cfRule>
  </conditionalFormatting>
  <conditionalFormatting sqref="D110:R112">
    <cfRule type="cellIs" priority="28" operator="equal" dxfId="9">
      <formula>1</formula>
    </cfRule>
  </conditionalFormatting>
  <conditionalFormatting sqref="D116:R118">
    <cfRule type="cellIs" priority="29" operator="equal" dxfId="9">
      <formula>1</formula>
    </cfRule>
  </conditionalFormatting>
  <conditionalFormatting sqref="D122:R124">
    <cfRule type="cellIs" priority="30" operator="equal" dxfId="9">
      <formula>1</formula>
    </cfRule>
  </conditionalFormatting>
  <conditionalFormatting sqref="D140:R142">
    <cfRule type="cellIs" priority="23" operator="equal" dxfId="9">
      <formula>1</formula>
    </cfRule>
  </conditionalFormatting>
  <conditionalFormatting sqref="D146:R148">
    <cfRule type="cellIs" priority="22" operator="equal" dxfId="9">
      <formula>1</formula>
    </cfRule>
  </conditionalFormatting>
  <conditionalFormatting sqref="D152:R154">
    <cfRule type="cellIs" priority="21" operator="equal" dxfId="9">
      <formula>1</formula>
    </cfRule>
  </conditionalFormatting>
  <conditionalFormatting sqref="D158:R160">
    <cfRule type="cellIs" priority="69" operator="equal" dxfId="8">
      <formula>0</formula>
    </cfRule>
  </conditionalFormatting>
  <conditionalFormatting sqref="D200:R202">
    <cfRule type="cellIs" priority="79" operator="lessThan" dxfId="8">
      <formula>0</formula>
    </cfRule>
  </conditionalFormatting>
  <conditionalFormatting sqref="D206:R208">
    <cfRule type="expression" priority="77" dxfId="3">
      <formula>D206&lt;D4</formula>
    </cfRule>
    <cfRule type="containsText" priority="80" operator="containsText" dxfId="2" text="inexhaustible">
      <formula>NOT(ISERROR(SEARCH("inexhaustible",D206)))</formula>
    </cfRule>
  </conditionalFormatting>
  <conditionalFormatting sqref="D224:R226">
    <cfRule type="expression" priority="75" dxfId="3">
      <formula>D224&lt;D32</formula>
    </cfRule>
    <cfRule type="containsText" priority="76" operator="containsText" dxfId="2" text="inexhaustible">
      <formula>NOT(ISERROR(SEARCH("inexhaustible",D224)))</formula>
    </cfRule>
  </conditionalFormatting>
  <conditionalFormatting sqref="D230:R232">
    <cfRule type="expression" priority="73" dxfId="3">
      <formula>D230&lt;D38</formula>
    </cfRule>
    <cfRule type="containsText" priority="74" operator="containsText" dxfId="2" text="inexhaustible">
      <formula>NOT(ISERROR(SEARCH("inexhaustible",D230)))</formula>
    </cfRule>
  </conditionalFormatting>
  <conditionalFormatting sqref="D242:R244">
    <cfRule type="cellIs" priority="12" operator="equal" dxfId="1">
      <formula>0</formula>
    </cfRule>
    <cfRule type="cellIs" priority="13" operator="greaterThan" dxfId="0">
      <formula>0</formula>
    </cfRule>
  </conditionalFormatting>
  <conditionalFormatting sqref="T63:AH65">
    <cfRule type="cellIs" priority="18" operator="lessThan" dxfId="8">
      <formula>0</formula>
    </cfRule>
  </conditionalFormatting>
  <conditionalFormatting sqref="U10:AI12">
    <cfRule type="expression" priority="7" dxfId="3">
      <formula>U10&gt;0</formula>
    </cfRule>
    <cfRule type="expression" priority="8" dxfId="8">
      <formula>"D40&lt;0"</formula>
    </cfRule>
  </conditionalFormatting>
  <conditionalFormatting sqref="U16:AI18">
    <cfRule type="expression" priority="5" dxfId="3">
      <formula>U16&gt;0</formula>
    </cfRule>
    <cfRule type="expression" priority="6" dxfId="8">
      <formula>U16&lt;0</formula>
    </cfRule>
  </conditionalFormatting>
  <conditionalFormatting sqref="U22:AI24">
    <cfRule type="expression" priority="3" dxfId="3">
      <formula>U22&gt;0</formula>
    </cfRule>
    <cfRule type="expression" priority="4" dxfId="8">
      <formula>U22&lt;0</formula>
    </cfRule>
  </conditionalFormatting>
  <conditionalFormatting sqref="U28:AI30">
    <cfRule type="expression" priority="1" dxfId="3">
      <formula>U28&gt;0</formula>
    </cfRule>
    <cfRule type="expression" priority="2" dxfId="8">
      <formula>U28&lt;0</formula>
    </cfRule>
  </conditionalFormatting>
  <conditionalFormatting sqref="U230:AI232">
    <cfRule type="expression" priority="39" dxfId="3">
      <formula>U230&lt;U38</formula>
    </cfRule>
    <cfRule type="containsText" priority="40" operator="containsText" dxfId="2" text="inexhaustible">
      <formula>NOT(ISERROR(SEARCH("inexhaustible",U230)))</formula>
    </cfRule>
  </conditionalFormatting>
  <pageMargins left="0.511811024" right="0.511811024" top="0.787401575" bottom="0.787401575" header="0.31496062" footer="0.31496062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3:AK292"/>
  <sheetViews>
    <sheetView topLeftCell="A266" zoomScale="90" zoomScaleNormal="90" workbookViewId="0">
      <selection activeCell="D290" sqref="D290:F292"/>
    </sheetView>
  </sheetViews>
  <sheetFormatPr baseColWidth="8" defaultRowHeight="14.4"/>
  <cols>
    <col width="11.33203125" bestFit="1" customWidth="1" min="2" max="2"/>
    <col width="36" customWidth="1" min="3" max="3"/>
    <col width="14.6640625" customWidth="1" min="4" max="6"/>
    <col width="8.88671875" customWidth="1" style="15" min="7" max="7"/>
    <col width="9.5546875" bestFit="1" customWidth="1" min="9" max="9"/>
    <col width="12.88671875" bestFit="1" customWidth="1" min="10" max="10"/>
    <col width="13.5546875" bestFit="1" customWidth="1" min="11" max="11"/>
    <col width="13.109375" bestFit="1" customWidth="1" min="26" max="26"/>
  </cols>
  <sheetData>
    <row r="3">
      <c r="C3" s="15" t="inlineStr">
        <is>
          <t>ELTf</t>
        </is>
      </c>
      <c r="D3" s="75" t="n">
        <v>16</v>
      </c>
      <c r="E3" s="75" t="n">
        <v>17</v>
      </c>
      <c r="F3" s="75" t="n">
        <v>18</v>
      </c>
    </row>
    <row r="4">
      <c r="C4" s="75" t="n">
        <v>4</v>
      </c>
      <c r="D4" s="21">
        <f>Factories!I22</f>
        <v/>
      </c>
      <c r="E4" s="21">
        <f>Factories!J22</f>
        <v/>
      </c>
      <c r="F4" s="21">
        <f>Factories!K22</f>
        <v/>
      </c>
    </row>
    <row r="5">
      <c r="C5" s="75" t="n">
        <v>5</v>
      </c>
      <c r="D5" s="21">
        <f>Factories!I23</f>
        <v/>
      </c>
      <c r="E5" s="21">
        <f>Factories!J23</f>
        <v/>
      </c>
      <c r="F5" s="21">
        <f>Factories!K23</f>
        <v/>
      </c>
    </row>
    <row r="6">
      <c r="C6" s="75" t="n">
        <v>6</v>
      </c>
      <c r="D6" s="21">
        <f>Factories!I24</f>
        <v/>
      </c>
      <c r="E6" s="21">
        <f>Factories!J24</f>
        <v/>
      </c>
      <c r="F6" s="21">
        <f>Factories!K24</f>
        <v/>
      </c>
    </row>
    <row r="9">
      <c r="B9" s="21" t="n"/>
      <c r="C9" s="15" t="inlineStr">
        <is>
          <t>Sif+RLTf-vSf-Rot ou vRLTf+vSIf+vSf</t>
        </is>
      </c>
      <c r="D9" s="75" t="n">
        <v>16</v>
      </c>
      <c r="E9" s="75" t="n">
        <v>17</v>
      </c>
      <c r="F9" s="75" t="n">
        <v>18</v>
      </c>
      <c r="I9" t="inlineStr">
        <is>
          <t>Max-RLT</t>
        </is>
      </c>
    </row>
    <row r="10">
      <c r="B10" s="21" t="n"/>
      <c r="C10" s="75" t="n">
        <v>4</v>
      </c>
      <c r="D10" s="21">
        <f>IF(D63&gt;0,Suppliers_stock_balance!$S16+D22-Results!D10-D63,D22+Suppliers_stock_balance!$S16+D16)</f>
        <v/>
      </c>
      <c r="E10" s="21">
        <f>IF(E63&gt;0,Suppliers_stock_balance!$S16+E22-Results!E10-E63,E22+Suppliers_stock_balance!$S16+E16)</f>
        <v/>
      </c>
      <c r="F10" s="21">
        <f>IF(F63&gt;0,Suppliers_stock_balance!$S16+F22-Results!F10-F63,F22+Suppliers_stock_balance!$S16+F16)</f>
        <v/>
      </c>
      <c r="J10" s="59">
        <f>Suppliers_stock_balance!$S75-D22</f>
        <v/>
      </c>
      <c r="K10" s="59">
        <f>Suppliers_stock_balance!$S75-E22</f>
        <v/>
      </c>
      <c r="L10" s="59">
        <f>Suppliers_stock_balance!$S75-F22</f>
        <v/>
      </c>
    </row>
    <row r="11">
      <c r="B11" s="21" t="n"/>
      <c r="C11" s="75" t="n">
        <v>5</v>
      </c>
      <c r="D11" s="21">
        <f>IF(D64&gt;0,Suppliers_stock_balance!$S17+D23-Results!D11-D64,D23+Suppliers_stock_balance!$S17+D17)</f>
        <v/>
      </c>
      <c r="E11" s="21">
        <f>IF(E64&gt;0,Suppliers_stock_balance!$S17+E23-Results!E11-E64,E23+Suppliers_stock_balance!$S17+E17)</f>
        <v/>
      </c>
      <c r="F11" s="21">
        <f>IF(F64&gt;0,Suppliers_stock_balance!$S17+F23-Results!F11-F64,F23+Suppliers_stock_balance!$S17+F17)</f>
        <v/>
      </c>
      <c r="J11" s="59">
        <f>Suppliers_stock_balance!$S76-D23</f>
        <v/>
      </c>
      <c r="K11" s="59">
        <f>Suppliers_stock_balance!$S76-E23</f>
        <v/>
      </c>
      <c r="L11" s="59">
        <f>Suppliers_stock_balance!$S76-F23</f>
        <v/>
      </c>
    </row>
    <row r="12">
      <c r="B12" s="21" t="n"/>
      <c r="C12" s="75" t="n">
        <v>6</v>
      </c>
      <c r="D12" s="21">
        <f>IF(D65&gt;0,Suppliers_stock_balance!$S18+D24-Results!D12-D65,D24+Suppliers_stock_balance!$S18+D18)</f>
        <v/>
      </c>
      <c r="E12" s="21">
        <f>IF(E65&gt;0,Suppliers_stock_balance!$S18+E24-Results!E12-E65,E24+Suppliers_stock_balance!$S18+E18)</f>
        <v/>
      </c>
      <c r="F12" s="21">
        <f>IF(F65&gt;0,Suppliers_stock_balance!$S18+F24-Results!F12-F65,F24+Suppliers_stock_balance!$S18+F18)</f>
        <v/>
      </c>
      <c r="J12" s="59">
        <f>Suppliers_stock_balance!$S77-D24</f>
        <v/>
      </c>
      <c r="K12" s="59">
        <f>Suppliers_stock_balance!$S77-E24</f>
        <v/>
      </c>
      <c r="L12" s="59">
        <f>Suppliers_stock_balance!$S77-F24</f>
        <v/>
      </c>
    </row>
    <row r="13">
      <c r="B13" s="21" t="n"/>
      <c r="C13" s="18" t="n"/>
      <c r="D13" s="18" t="n"/>
      <c r="E13" s="18" t="n"/>
      <c r="F13" s="18" t="n"/>
    </row>
    <row r="14">
      <c r="B14" s="21" t="n"/>
      <c r="C14" s="18" t="n"/>
      <c r="D14" s="18" t="n"/>
      <c r="E14" s="18" t="n"/>
      <c r="F14" s="88" t="n"/>
    </row>
    <row r="15">
      <c r="B15" s="21" t="n"/>
      <c r="C15" s="15" t="inlineStr">
        <is>
          <t>vSf</t>
        </is>
      </c>
      <c r="D15" s="75" t="n">
        <v>16</v>
      </c>
      <c r="E15" s="75" t="n">
        <v>17</v>
      </c>
      <c r="F15" s="75" t="n">
        <v>18</v>
      </c>
    </row>
    <row r="16">
      <c r="B16" s="21" t="n"/>
      <c r="C16" s="75" t="n">
        <v>4</v>
      </c>
      <c r="D16" s="21">
        <f>Results!D10</f>
        <v/>
      </c>
      <c r="E16" s="21">
        <f>Results!E10</f>
        <v/>
      </c>
      <c r="F16" s="21">
        <f>Results!F10</f>
        <v/>
      </c>
    </row>
    <row r="17">
      <c r="B17" s="21" t="n"/>
      <c r="C17" s="75" t="n">
        <v>5</v>
      </c>
      <c r="D17" s="21">
        <f>Results!D11</f>
        <v/>
      </c>
      <c r="E17" s="21">
        <f>Results!E11</f>
        <v/>
      </c>
      <c r="F17" s="21">
        <f>Results!F11</f>
        <v/>
      </c>
    </row>
    <row r="18">
      <c r="B18" s="21" t="n"/>
      <c r="C18" s="75" t="n">
        <v>6</v>
      </c>
      <c r="D18" s="21">
        <f>Results!D12</f>
        <v/>
      </c>
      <c r="E18" s="21">
        <f>Results!E12</f>
        <v/>
      </c>
      <c r="F18" s="21">
        <f>Results!F12</f>
        <v/>
      </c>
    </row>
    <row r="19">
      <c r="B19" s="21" t="n"/>
      <c r="C19" s="18" t="n"/>
      <c r="D19" s="18" t="n"/>
      <c r="E19" s="18" t="n"/>
      <c r="F19" s="18" t="n"/>
    </row>
    <row r="20">
      <c r="B20" s="21" t="n"/>
      <c r="C20" s="18" t="n"/>
      <c r="D20" s="18" t="n"/>
      <c r="E20" s="18" t="n"/>
      <c r="F20" s="88" t="n"/>
    </row>
    <row r="21">
      <c r="B21" s="21" t="n"/>
      <c r="C21" s="18" t="inlineStr">
        <is>
          <t>vRLTf (dias)</t>
        </is>
      </c>
      <c r="D21" s="75" t="n">
        <v>16</v>
      </c>
      <c r="E21" s="75" t="n">
        <v>17</v>
      </c>
      <c r="F21" s="75" t="n">
        <v>18</v>
      </c>
    </row>
    <row r="22">
      <c r="B22" s="21" t="n"/>
      <c r="C22" s="75" t="n">
        <v>4</v>
      </c>
      <c r="D22" s="33" t="n">
        <v>5.406991950799098</v>
      </c>
      <c r="E22" s="33" t="n">
        <v>7.197707750022965</v>
      </c>
      <c r="F22" s="33" t="n">
        <v>4.514546150020832</v>
      </c>
    </row>
    <row r="23">
      <c r="B23" s="21" t="n"/>
      <c r="C23" s="75" t="n">
        <v>5</v>
      </c>
      <c r="D23" s="33" t="n">
        <v>3.548</v>
      </c>
      <c r="E23" s="33" t="n">
        <v>7.430561226581965</v>
      </c>
      <c r="F23" s="33" t="n">
        <v>4.237</v>
      </c>
    </row>
    <row r="24">
      <c r="B24" s="21" t="n"/>
      <c r="C24" s="75" t="n">
        <v>6</v>
      </c>
      <c r="D24" s="33" t="n">
        <v>4.35</v>
      </c>
      <c r="E24" s="33" t="n">
        <v>6.07849068291811</v>
      </c>
      <c r="F24" s="33" t="n">
        <v>4.967</v>
      </c>
    </row>
    <row r="25">
      <c r="B25" s="21" t="n"/>
      <c r="C25" s="18" t="n"/>
      <c r="D25" s="18" t="n"/>
      <c r="E25" s="18" t="n"/>
      <c r="F25" s="18" t="n"/>
    </row>
    <row r="26">
      <c r="B26" s="21" t="n"/>
      <c r="C26" s="18" t="n"/>
      <c r="D26" s="18" t="n"/>
      <c r="E26" s="18" t="n"/>
      <c r="F26" s="88" t="n"/>
    </row>
    <row r="27">
      <c r="B27" s="21" t="n"/>
      <c r="C27" s="18" t="inlineStr">
        <is>
          <t>vCTf (dias)</t>
        </is>
      </c>
      <c r="D27" s="75" t="n">
        <v>16</v>
      </c>
      <c r="E27" s="75" t="n">
        <v>17</v>
      </c>
      <c r="F27" s="75" t="n">
        <v>18</v>
      </c>
    </row>
    <row r="28">
      <c r="B28" s="21" t="n"/>
      <c r="C28" s="75" t="n">
        <v>4</v>
      </c>
      <c r="D28" s="33" t="n">
        <v>5.930509555037933</v>
      </c>
      <c r="E28" s="33" t="n">
        <v>5.796422950540724</v>
      </c>
      <c r="F28" s="33" t="n">
        <v>3.653305894798653</v>
      </c>
    </row>
    <row r="29">
      <c r="B29" s="21" t="n"/>
      <c r="C29" s="75" t="n">
        <v>5</v>
      </c>
      <c r="D29" s="33" t="n">
        <v>0</v>
      </c>
      <c r="E29" s="33" t="n">
        <v>7.100903733335381</v>
      </c>
      <c r="F29" s="33" t="n">
        <v>0</v>
      </c>
    </row>
    <row r="30">
      <c r="B30" s="21" t="n"/>
      <c r="C30" s="75" t="n">
        <v>6</v>
      </c>
      <c r="D30" s="33" t="n">
        <v>0</v>
      </c>
      <c r="E30" s="33" t="n">
        <v>6.596202058290395</v>
      </c>
      <c r="F30" s="33" t="n">
        <v>0</v>
      </c>
    </row>
    <row r="31">
      <c r="B31" s="18" t="n"/>
      <c r="C31" s="18" t="n"/>
      <c r="D31" s="18" t="n"/>
      <c r="E31" s="18" t="n"/>
      <c r="F31" s="18" t="n"/>
    </row>
    <row r="32">
      <c r="B32" s="18" t="n"/>
      <c r="C32" s="18" t="n"/>
      <c r="D32" s="18" t="n"/>
      <c r="E32" s="18" t="n"/>
      <c r="F32" s="88" t="n"/>
    </row>
    <row r="33">
      <c r="B33" s="18" t="n"/>
      <c r="C33" s="18" t="inlineStr">
        <is>
          <t>bDeltaf</t>
        </is>
      </c>
      <c r="D33" s="75" t="n">
        <v>16</v>
      </c>
      <c r="E33" s="75" t="n">
        <v>17</v>
      </c>
      <c r="F33" s="75" t="n">
        <v>18</v>
      </c>
    </row>
    <row r="34">
      <c r="B34" s="18" t="n"/>
      <c r="C34" s="75" t="n">
        <v>4</v>
      </c>
      <c r="D34" s="27" t="n">
        <v>1</v>
      </c>
      <c r="E34" s="27" t="n">
        <v>1</v>
      </c>
      <c r="F34" s="27" t="n">
        <v>1</v>
      </c>
    </row>
    <row r="35">
      <c r="B35" s="18" t="n"/>
      <c r="C35" s="75" t="n">
        <v>5</v>
      </c>
      <c r="D35" s="27" t="n">
        <v>0</v>
      </c>
      <c r="E35" s="27" t="n">
        <v>1</v>
      </c>
      <c r="F35" s="27" t="n">
        <v>0</v>
      </c>
    </row>
    <row r="36">
      <c r="B36" s="18" t="n"/>
      <c r="C36" s="75" t="n">
        <v>6</v>
      </c>
      <c r="D36" s="27" t="n">
        <v>0</v>
      </c>
      <c r="E36" s="27" t="n">
        <v>1</v>
      </c>
      <c r="F36" s="27" t="n">
        <v>0</v>
      </c>
    </row>
    <row r="37">
      <c r="B37" s="18" t="n"/>
      <c r="C37" s="18" t="n"/>
      <c r="D37" s="18" t="n"/>
      <c r="E37" s="18" t="n"/>
      <c r="F37" s="18" t="n"/>
    </row>
    <row r="38">
      <c r="B38" s="18" t="n"/>
      <c r="C38" s="18" t="inlineStr">
        <is>
          <t>bZetaf</t>
        </is>
      </c>
      <c r="D38" s="75" t="n">
        <v>16</v>
      </c>
      <c r="E38" s="75" t="n">
        <v>17</v>
      </c>
      <c r="F38" s="75" t="n">
        <v>18</v>
      </c>
    </row>
    <row r="39">
      <c r="B39" s="18" t="n"/>
      <c r="C39" s="75" t="n">
        <v>4</v>
      </c>
      <c r="D39" s="27" t="n">
        <v>0</v>
      </c>
      <c r="E39" s="27" t="n">
        <v>0</v>
      </c>
      <c r="F39" s="27" t="n">
        <v>0</v>
      </c>
      <c r="G39" s="19">
        <f>SUM(Factories_Zeta)</f>
        <v/>
      </c>
    </row>
    <row r="40">
      <c r="B40" s="18" t="n"/>
      <c r="C40" s="75" t="n">
        <v>5</v>
      </c>
      <c r="D40" s="27" t="n">
        <v>0</v>
      </c>
      <c r="E40" s="27" t="n">
        <v>0</v>
      </c>
      <c r="F40" s="27" t="n">
        <v>0</v>
      </c>
    </row>
    <row r="41">
      <c r="B41" s="18" t="n"/>
      <c r="C41" s="75" t="n">
        <v>6</v>
      </c>
      <c r="D41" s="27" t="n">
        <v>0</v>
      </c>
      <c r="E41" s="27" t="n">
        <v>0</v>
      </c>
      <c r="F41" s="27" t="n">
        <v>0</v>
      </c>
    </row>
    <row r="42">
      <c r="B42" s="18" t="n"/>
      <c r="D42" s="18" t="n"/>
      <c r="E42" s="18" t="n"/>
      <c r="F42" s="18" t="n"/>
    </row>
    <row r="43">
      <c r="B43" s="18" t="n"/>
      <c r="C43" s="18" t="n"/>
      <c r="D43" s="18" t="n"/>
      <c r="E43" s="18" t="n"/>
      <c r="F43" s="18" t="n"/>
    </row>
    <row r="44">
      <c r="B44" s="18" t="n"/>
      <c r="C44" s="18" t="inlineStr">
        <is>
          <t>bGammaf</t>
        </is>
      </c>
      <c r="D44" s="75" t="n">
        <v>16</v>
      </c>
      <c r="E44" s="75" t="n">
        <v>17</v>
      </c>
      <c r="F44" s="75" t="n">
        <v>18</v>
      </c>
    </row>
    <row r="45">
      <c r="B45" s="18" t="n"/>
      <c r="C45" s="75" t="n">
        <v>4</v>
      </c>
      <c r="D45" s="27" t="n">
        <v>0</v>
      </c>
      <c r="E45" s="27" t="n">
        <v>0</v>
      </c>
      <c r="F45" s="27" t="n">
        <v>0</v>
      </c>
      <c r="G45" s="15">
        <f>SUM(Factories_Gamma)</f>
        <v/>
      </c>
    </row>
    <row r="46">
      <c r="B46" s="18" t="n"/>
      <c r="C46" s="75" t="n">
        <v>5</v>
      </c>
      <c r="D46" s="27" t="n">
        <v>0</v>
      </c>
      <c r="E46" s="27" t="n">
        <v>0</v>
      </c>
      <c r="F46" s="27" t="n">
        <v>0</v>
      </c>
    </row>
    <row r="47">
      <c r="B47" s="18" t="n"/>
      <c r="C47" s="75" t="n">
        <v>6</v>
      </c>
      <c r="D47" s="27" t="n">
        <v>0</v>
      </c>
      <c r="E47" s="27" t="n">
        <v>0</v>
      </c>
      <c r="F47" s="27" t="n">
        <v>0</v>
      </c>
    </row>
    <row r="48">
      <c r="B48" s="18" t="n"/>
      <c r="C48" s="18" t="n"/>
      <c r="D48" s="18" t="n"/>
      <c r="E48" s="18" t="n"/>
      <c r="F48" s="18" t="n"/>
    </row>
    <row r="49">
      <c r="B49" s="18" t="n"/>
      <c r="C49" s="18" t="n"/>
      <c r="D49" s="18" t="n"/>
      <c r="E49" s="18" t="n"/>
      <c r="F49" s="18" t="n"/>
    </row>
    <row r="50">
      <c r="B50" s="18" t="n"/>
      <c r="C50" s="18" t="inlineStr">
        <is>
          <t>bRhof</t>
        </is>
      </c>
      <c r="D50" s="75" t="n">
        <v>16</v>
      </c>
      <c r="E50" s="75" t="n">
        <v>17</v>
      </c>
      <c r="F50" s="75" t="n">
        <v>18</v>
      </c>
    </row>
    <row r="51">
      <c r="B51" s="18" t="n"/>
      <c r="C51" s="75" t="n">
        <v>4</v>
      </c>
      <c r="D51" s="27" t="n">
        <v>0</v>
      </c>
      <c r="E51" s="27" t="n">
        <v>0</v>
      </c>
      <c r="F51" s="27" t="n">
        <v>0</v>
      </c>
    </row>
    <row r="52">
      <c r="B52" s="18" t="n"/>
      <c r="C52" s="75" t="n">
        <v>5</v>
      </c>
      <c r="D52" s="27" t="n">
        <v>0</v>
      </c>
      <c r="E52" s="27" t="n">
        <v>0</v>
      </c>
      <c r="F52" s="27" t="n">
        <v>0</v>
      </c>
    </row>
    <row r="53">
      <c r="B53" s="18" t="n"/>
      <c r="C53" s="75" t="n">
        <v>6</v>
      </c>
      <c r="D53" s="27" t="n">
        <v>0</v>
      </c>
      <c r="E53" s="27" t="n">
        <v>0</v>
      </c>
      <c r="F53" s="27" t="n">
        <v>0</v>
      </c>
    </row>
    <row r="54">
      <c r="B54" s="18" t="n"/>
      <c r="C54" s="18" t="n"/>
      <c r="D54" s="18" t="n"/>
      <c r="E54" s="18" t="n"/>
      <c r="F54" s="18" t="n"/>
    </row>
    <row r="55">
      <c r="B55" s="18" t="n"/>
      <c r="C55" s="18" t="n"/>
      <c r="D55" s="18" t="n"/>
      <c r="E55" s="18" t="n"/>
      <c r="F55" s="18" t="n"/>
    </row>
    <row r="56">
      <c r="B56" s="18" t="n"/>
      <c r="C56" s="18" t="inlineStr">
        <is>
          <t>bOmegaf</t>
        </is>
      </c>
      <c r="D56" s="75" t="n">
        <v>16</v>
      </c>
      <c r="E56" s="75" t="n">
        <v>17</v>
      </c>
      <c r="F56" s="75" t="n">
        <v>18</v>
      </c>
    </row>
    <row r="57">
      <c r="B57" s="18" t="n"/>
      <c r="C57" s="75" t="n">
        <v>4</v>
      </c>
      <c r="D57" s="27" t="n">
        <v>1</v>
      </c>
      <c r="E57" s="27" t="n">
        <v>1</v>
      </c>
      <c r="F57" s="27" t="n">
        <v>1</v>
      </c>
    </row>
    <row r="58">
      <c r="B58" s="18" t="n"/>
      <c r="C58" s="75" t="n">
        <v>5</v>
      </c>
      <c r="D58" s="27" t="n">
        <v>0</v>
      </c>
      <c r="E58" s="27" t="n">
        <v>1</v>
      </c>
      <c r="F58" s="27" t="n">
        <v>0</v>
      </c>
    </row>
    <row r="59">
      <c r="B59" s="18" t="n"/>
      <c r="C59" s="75" t="n">
        <v>6</v>
      </c>
      <c r="D59" s="27" t="n">
        <v>0</v>
      </c>
      <c r="E59" s="27" t="n">
        <v>1</v>
      </c>
      <c r="F59" s="27" t="n">
        <v>0</v>
      </c>
    </row>
    <row r="60">
      <c r="B60" s="18" t="n"/>
      <c r="C60" s="18" t="n"/>
      <c r="D60" s="18" t="n"/>
      <c r="E60" s="18" t="n"/>
      <c r="F60" s="18" t="n"/>
    </row>
    <row r="61">
      <c r="B61" s="18" t="n"/>
      <c r="C61" s="18" t="n"/>
      <c r="D61" s="18" t="n"/>
      <c r="E61" s="18" t="n"/>
      <c r="F61" s="18" t="n"/>
    </row>
    <row r="62">
      <c r="A62" t="inlineStr">
        <is>
          <t>ok</t>
        </is>
      </c>
      <c r="B62" s="18" t="inlineStr">
        <is>
          <t>Results</t>
        </is>
      </c>
      <c r="C62" s="18" t="inlineStr">
        <is>
          <t>RunOutTimef</t>
        </is>
      </c>
      <c r="D62" s="75" t="n">
        <v>16</v>
      </c>
      <c r="E62" s="75" t="n">
        <v>17</v>
      </c>
      <c r="F62" s="75" t="n">
        <v>18</v>
      </c>
    </row>
    <row r="63">
      <c r="B63" s="18" t="n"/>
      <c r="C63" s="75" t="n">
        <v>4</v>
      </c>
      <c r="D63" s="33" t="n">
        <v>0.65918792812469</v>
      </c>
      <c r="E63" s="33" t="n">
        <v>2.42527453168125</v>
      </c>
      <c r="F63" s="33" t="n">
        <v>2.138391588519466</v>
      </c>
      <c r="I63" t="n">
        <v>0.65918792812469</v>
      </c>
      <c r="J63" t="n">
        <v>2.42527453168125</v>
      </c>
      <c r="K63" t="n">
        <v>2.138391588519466</v>
      </c>
    </row>
    <row r="64">
      <c r="B64" s="18" t="n"/>
      <c r="C64" s="75" t="n">
        <v>5</v>
      </c>
      <c r="D64" s="33" t="n">
        <v>-1.934613077384523</v>
      </c>
      <c r="E64" s="33" t="n">
        <v>1.276461627357251</v>
      </c>
      <c r="F64" s="33" t="n">
        <v>-0.8494666139865665</v>
      </c>
      <c r="I64" t="n">
        <v>-1.934613077384523</v>
      </c>
      <c r="J64" t="n">
        <v>1.276461627357251</v>
      </c>
      <c r="K64" t="n">
        <v>-0.8494666139865665</v>
      </c>
    </row>
    <row r="65">
      <c r="B65" s="18" t="n"/>
      <c r="C65" s="75" t="n">
        <v>6</v>
      </c>
      <c r="D65" s="33" t="n">
        <v>-0.9651927369246548</v>
      </c>
      <c r="E65" s="33" t="n">
        <v>0.8546765049428792</v>
      </c>
      <c r="F65" s="33" t="n">
        <v>-0.3165825530121597</v>
      </c>
      <c r="I65" t="n">
        <v>-0.9651927369246548</v>
      </c>
      <c r="J65" t="n">
        <v>0.8546765049428792</v>
      </c>
      <c r="K65" t="n">
        <v>-0.3165825530121597</v>
      </c>
    </row>
    <row r="66">
      <c r="B66" s="18" t="n"/>
      <c r="C66" s="15" t="n"/>
      <c r="D66" s="19" t="n"/>
      <c r="E66" s="19" t="n"/>
      <c r="F66" s="19" t="n"/>
    </row>
    <row r="67">
      <c r="B67" s="18" t="n"/>
      <c r="C67" s="18" t="n"/>
      <c r="D67" s="18" t="n"/>
      <c r="E67" s="18" t="n"/>
      <c r="F67" s="18" t="n"/>
    </row>
    <row r="68">
      <c r="B68" s="18" t="n"/>
      <c r="C68" s="18" t="inlineStr">
        <is>
          <t>3*SigmaELTf+2*ELTf</t>
        </is>
      </c>
      <c r="D68" s="75" t="n">
        <v>16</v>
      </c>
      <c r="E68" s="75" t="n">
        <v>17</v>
      </c>
      <c r="F68" s="75" t="n">
        <v>18</v>
      </c>
    </row>
    <row r="69">
      <c r="B69" s="18" t="n"/>
      <c r="C69" s="75" t="n">
        <v>4</v>
      </c>
      <c r="D69" s="21">
        <f>3*Factories!I27+2*D4</f>
        <v/>
      </c>
      <c r="E69" s="21">
        <f>3*Factories!J27+2*E4</f>
        <v/>
      </c>
      <c r="F69" s="21">
        <f>3*Factories!K27+2*F4</f>
        <v/>
      </c>
    </row>
    <row r="70">
      <c r="B70" s="18" t="n"/>
      <c r="C70" s="75" t="n">
        <v>5</v>
      </c>
      <c r="D70" s="21">
        <f>3*Factories!I28+2*D5</f>
        <v/>
      </c>
      <c r="E70" s="21">
        <f>3*Factories!J28+2*E5</f>
        <v/>
      </c>
      <c r="F70" s="21">
        <f>3*Factories!K28+2*F5</f>
        <v/>
      </c>
    </row>
    <row r="71">
      <c r="B71" s="18" t="n"/>
      <c r="C71" s="75" t="n">
        <v>6</v>
      </c>
      <c r="D71" s="21">
        <f>3*Factories!I29+2*D6</f>
        <v/>
      </c>
      <c r="E71" s="21">
        <f>3*Factories!J29+2*E6</f>
        <v/>
      </c>
      <c r="F71" s="21">
        <f>3*Factories!K29+2*F6</f>
        <v/>
      </c>
    </row>
    <row r="72">
      <c r="B72" s="18" t="n"/>
      <c r="C72" s="15" t="n"/>
      <c r="D72" s="21" t="n"/>
      <c r="E72" s="21" t="n"/>
      <c r="F72" s="21" t="n"/>
    </row>
    <row r="73">
      <c r="B73" s="18" t="n"/>
      <c r="C73" s="18" t="n"/>
      <c r="D73" s="18" t="n"/>
      <c r="E73" s="18" t="n"/>
      <c r="F73" s="18" t="n"/>
    </row>
    <row r="74">
      <c r="B74" s="18" t="n"/>
      <c r="C74" s="18" t="inlineStr">
        <is>
          <t>S0f</t>
        </is>
      </c>
      <c r="D74" s="75" t="n">
        <v>16</v>
      </c>
      <c r="E74" s="75" t="n">
        <v>17</v>
      </c>
      <c r="F74" s="75" t="n">
        <v>18</v>
      </c>
    </row>
    <row r="75">
      <c r="B75" s="18" t="n"/>
      <c r="C75" s="75" t="n">
        <v>4</v>
      </c>
      <c r="D75" s="21">
        <f>Factories_Cap!D39</f>
        <v/>
      </c>
      <c r="E75" s="21">
        <f>Factories_Cap!E39</f>
        <v/>
      </c>
      <c r="F75" s="21">
        <f>Factories_Cap!F39</f>
        <v/>
      </c>
    </row>
    <row r="76">
      <c r="B76" s="18" t="n"/>
      <c r="C76" s="75" t="n">
        <v>5</v>
      </c>
      <c r="D76" s="21">
        <f>Factories_Cap!D40</f>
        <v/>
      </c>
      <c r="E76" s="21">
        <f>Factories_Cap!E40</f>
        <v/>
      </c>
      <c r="F76" s="21">
        <f>Factories_Cap!F40</f>
        <v/>
      </c>
    </row>
    <row r="77">
      <c r="B77" s="18" t="n"/>
      <c r="C77" s="75" t="n">
        <v>6</v>
      </c>
      <c r="D77" s="21">
        <f>Factories_Cap!D41</f>
        <v/>
      </c>
      <c r="E77" s="21">
        <f>Factories_Cap!E41</f>
        <v/>
      </c>
      <c r="F77" s="21">
        <f>Factories_Cap!F41</f>
        <v/>
      </c>
    </row>
    <row r="78">
      <c r="B78" s="18" t="n"/>
      <c r="C78" s="18" t="n"/>
      <c r="D78" s="18" t="n"/>
      <c r="E78" s="18" t="n"/>
      <c r="F78" s="18" t="n"/>
    </row>
    <row r="79">
      <c r="B79" s="18" t="inlineStr">
        <is>
          <t>Min Rep</t>
        </is>
      </c>
      <c r="C79" s="18" t="inlineStr">
        <is>
          <t>2*ELTf-RunOutTimef</t>
        </is>
      </c>
      <c r="D79" s="75" t="n">
        <v>16</v>
      </c>
      <c r="E79" s="75" t="n">
        <v>17</v>
      </c>
      <c r="F79" s="75" t="n">
        <v>18</v>
      </c>
    </row>
    <row r="80">
      <c r="B80" s="18" t="n"/>
      <c r="C80" s="75" t="n">
        <v>4</v>
      </c>
      <c r="D80" s="21">
        <f>IF(D63&lt;0,"inexhaustible",(2*D4-D63))</f>
        <v/>
      </c>
      <c r="E80" s="21">
        <f>IF(E63&lt;0,"inexhaustible",(2*E4-E63))</f>
        <v/>
      </c>
      <c r="F80" s="21">
        <f>IF(F63&lt;0,"inexhaustible",(2*F4-F63))</f>
        <v/>
      </c>
    </row>
    <row r="81">
      <c r="B81" s="18" t="n"/>
      <c r="C81" s="75" t="n">
        <v>5</v>
      </c>
      <c r="D81" s="21">
        <f>IF(D64&lt;0,"inexhaustible",(2*D5-D64))</f>
        <v/>
      </c>
      <c r="E81" s="21">
        <f>IF(E64&lt;0,"inexhaustible",(2*E5-E64))</f>
        <v/>
      </c>
      <c r="F81" s="21">
        <f>IF(F64&lt;0,"inexhaustible",(2*F5-F64))</f>
        <v/>
      </c>
    </row>
    <row r="82">
      <c r="B82" s="18" t="n"/>
      <c r="C82" s="75" t="n">
        <v>6</v>
      </c>
      <c r="D82" s="21">
        <f>IF(D65&lt;0,"inexhaustible",(2*D6-D65))</f>
        <v/>
      </c>
      <c r="E82" s="21">
        <f>IF(E65&lt;0,"inexhaustible",(2*E6-E65))</f>
        <v/>
      </c>
      <c r="F82" s="21">
        <f>IF(F65&lt;0,"inexhaustible",(2*F6-F65))</f>
        <v/>
      </c>
    </row>
    <row r="83">
      <c r="D83" s="18" t="n"/>
      <c r="E83" s="18" t="n"/>
      <c r="F83" s="18" t="n"/>
    </row>
    <row r="84">
      <c r="B84" s="18" t="n"/>
      <c r="C84" s="18" t="n"/>
      <c r="D84" s="18" t="n"/>
      <c r="E84" s="18" t="n"/>
      <c r="F84" s="18" t="n"/>
    </row>
    <row r="85">
      <c r="B85" s="18" t="n"/>
      <c r="C85" s="15" t="inlineStr">
        <is>
          <t>SigmaELTf</t>
        </is>
      </c>
      <c r="D85" s="75" t="n">
        <v>16</v>
      </c>
      <c r="E85" s="75" t="n">
        <v>17</v>
      </c>
      <c r="F85" s="75" t="n">
        <v>18</v>
      </c>
    </row>
    <row r="86">
      <c r="B86" s="18" t="n"/>
      <c r="C86" s="75" t="n">
        <v>4</v>
      </c>
      <c r="D86" s="21">
        <f>Factories!I27</f>
        <v/>
      </c>
      <c r="E86" s="21">
        <f>Factories!J27</f>
        <v/>
      </c>
      <c r="F86" s="21">
        <f>Factories!K27</f>
        <v/>
      </c>
    </row>
    <row r="87">
      <c r="B87" s="18" t="n"/>
      <c r="C87" s="75" t="n">
        <v>5</v>
      </c>
      <c r="D87" s="21">
        <f>Factories!I28</f>
        <v/>
      </c>
      <c r="E87" s="21">
        <f>Factories!J28</f>
        <v/>
      </c>
      <c r="F87" s="21">
        <f>Factories!K28</f>
        <v/>
      </c>
    </row>
    <row r="88">
      <c r="B88" s="18" t="n"/>
      <c r="C88" s="75" t="n">
        <v>6</v>
      </c>
      <c r="D88" s="21">
        <f>Factories!I29</f>
        <v/>
      </c>
      <c r="E88" s="21">
        <f>Factories!J29</f>
        <v/>
      </c>
      <c r="F88" s="21">
        <f>Factories!K29</f>
        <v/>
      </c>
    </row>
    <row r="89">
      <c r="B89" s="18" t="n"/>
      <c r="C89" s="18" t="n"/>
      <c r="D89" s="18" t="n"/>
      <c r="E89" s="18" t="n"/>
      <c r="F89" s="18" t="n"/>
    </row>
    <row r="90">
      <c r="B90" s="18" t="n"/>
      <c r="C90" s="18" t="n"/>
      <c r="D90" s="18" t="n"/>
      <c r="E90" s="18" t="n"/>
      <c r="F90" s="18" t="n"/>
    </row>
    <row r="91">
      <c r="B91" s="18" t="n"/>
      <c r="C91" s="15" t="inlineStr">
        <is>
          <t>vZf</t>
        </is>
      </c>
      <c r="D91" s="75" t="n">
        <v>16</v>
      </c>
      <c r="E91" s="75" t="n">
        <v>17</v>
      </c>
      <c r="F91" s="75" t="n">
        <v>18</v>
      </c>
    </row>
    <row r="92">
      <c r="B92" s="18" t="n"/>
      <c r="C92" s="75" t="n">
        <v>4</v>
      </c>
      <c r="D92" s="33" t="n">
        <v>2.90517078368438</v>
      </c>
      <c r="E92" s="33" t="n">
        <v>2.844505044160691</v>
      </c>
      <c r="F92" s="33" t="n">
        <v>2.836879773280948</v>
      </c>
    </row>
    <row r="93">
      <c r="B93" s="18" t="n"/>
      <c r="C93" s="75" t="n">
        <v>5</v>
      </c>
      <c r="D93" s="33" t="n">
        <v>3</v>
      </c>
      <c r="E93" s="33" t="n">
        <v>2.835007027885492</v>
      </c>
      <c r="F93" s="33" t="n">
        <v>3</v>
      </c>
    </row>
    <row r="94">
      <c r="B94" s="18" t="n"/>
      <c r="C94" s="75" t="n">
        <v>6</v>
      </c>
      <c r="D94" s="33" t="n">
        <v>3</v>
      </c>
      <c r="E94" s="33" t="n">
        <v>2.906640135247656</v>
      </c>
      <c r="F94" s="33" t="n">
        <v>3</v>
      </c>
    </row>
    <row r="95">
      <c r="B95" s="18" t="n"/>
      <c r="C95" s="18" t="n"/>
      <c r="D95" s="18" t="n"/>
      <c r="E95" s="18" t="n"/>
      <c r="F95" s="18" t="n"/>
    </row>
    <row r="96">
      <c r="B96" s="18" t="n"/>
      <c r="C96" s="18" t="n"/>
      <c r="D96" s="18" t="n"/>
      <c r="E96" s="18" t="n"/>
      <c r="F96" s="88" t="n"/>
    </row>
    <row r="97">
      <c r="B97" s="18" t="n"/>
      <c r="C97" s="15" t="inlineStr">
        <is>
          <t>vZf*SigmaELTf</t>
        </is>
      </c>
      <c r="D97" s="75" t="n">
        <v>16</v>
      </c>
      <c r="E97" s="75" t="n">
        <v>17</v>
      </c>
      <c r="F97" s="75" t="n">
        <v>18</v>
      </c>
    </row>
    <row r="98">
      <c r="B98" s="18" t="n"/>
      <c r="C98" s="75" t="n">
        <v>4</v>
      </c>
      <c r="D98" s="21">
        <f>D92*D86</f>
        <v/>
      </c>
      <c r="E98" s="21">
        <f>E92*E86</f>
        <v/>
      </c>
      <c r="F98" s="21">
        <f>F92*F86</f>
        <v/>
      </c>
    </row>
    <row r="99">
      <c r="B99" s="18" t="n"/>
      <c r="C99" s="75" t="n">
        <v>5</v>
      </c>
      <c r="D99" s="21">
        <f>D93*D87</f>
        <v/>
      </c>
      <c r="E99" s="21">
        <f>E93*E87</f>
        <v/>
      </c>
      <c r="F99" s="21">
        <f>F93*F87</f>
        <v/>
      </c>
    </row>
    <row r="100">
      <c r="B100" s="18" t="n"/>
      <c r="C100" s="75" t="n">
        <v>6</v>
      </c>
      <c r="D100" s="21">
        <f>D94*D88</f>
        <v/>
      </c>
      <c r="E100" s="21">
        <f>E94*E88</f>
        <v/>
      </c>
      <c r="F100" s="21">
        <f>F94*F88</f>
        <v/>
      </c>
    </row>
    <row r="101">
      <c r="B101" s="18" t="n"/>
      <c r="C101" s="18" t="n"/>
      <c r="D101" s="18" t="n"/>
      <c r="E101" s="18" t="n"/>
      <c r="F101" s="18" t="n"/>
    </row>
    <row r="102">
      <c r="B102" s="18" t="n"/>
      <c r="C102" s="18" t="n"/>
      <c r="D102" s="18" t="n"/>
      <c r="E102" s="18" t="n"/>
      <c r="F102" s="18" t="n"/>
    </row>
    <row r="103">
      <c r="B103" s="18" t="n"/>
      <c r="C103" s="15" t="inlineStr">
        <is>
          <t>RunOutTimef - ELTf</t>
        </is>
      </c>
      <c r="D103" s="75" t="n">
        <v>16</v>
      </c>
      <c r="E103" s="75" t="n">
        <v>17</v>
      </c>
      <c r="F103" s="75" t="n">
        <v>18</v>
      </c>
    </row>
    <row r="104">
      <c r="B104" s="18" t="n"/>
      <c r="C104" s="75" t="n">
        <v>4</v>
      </c>
      <c r="D104" s="21">
        <f>IF(D63&lt;0,"inexhaustible",D63-D4)</f>
        <v/>
      </c>
      <c r="E104" s="21">
        <f>IF(E63&lt;0,"inexhaustible",E63-E4)</f>
        <v/>
      </c>
      <c r="F104" s="21">
        <f>IF(F63&lt;0,"inexhaustible",F63-F4)</f>
        <v/>
      </c>
    </row>
    <row r="105">
      <c r="B105" s="18" t="n"/>
      <c r="C105" s="75" t="n">
        <v>5</v>
      </c>
      <c r="D105" s="21">
        <f>IF(D64&lt;0,"inexhaustible",D64-D5)</f>
        <v/>
      </c>
      <c r="E105" s="21">
        <f>IF(E64&lt;0,"inexhaustible",E64-E5)</f>
        <v/>
      </c>
      <c r="F105" s="21">
        <f>IF(F64&lt;0,"inexhaustible",F64-F5)</f>
        <v/>
      </c>
    </row>
    <row r="106">
      <c r="B106" s="18" t="n"/>
      <c r="C106" s="75" t="n">
        <v>6</v>
      </c>
      <c r="D106" s="21">
        <f>IF(D65&lt;0,"inexhaustible",D65-D6)</f>
        <v/>
      </c>
      <c r="E106" s="21">
        <f>IF(E65&lt;0,"inexhaustible",E65-E6)</f>
        <v/>
      </c>
      <c r="F106" s="21">
        <f>IF(F65&lt;0,"inexhaustible",F65-F6)</f>
        <v/>
      </c>
    </row>
    <row r="107">
      <c r="B107" s="18" t="n"/>
      <c r="C107" s="18" t="n"/>
      <c r="D107" s="18" t="n"/>
      <c r="E107" s="18" t="n"/>
      <c r="F107" s="18" t="n"/>
    </row>
    <row r="108">
      <c r="B108" s="18" t="n"/>
      <c r="C108" s="18" t="n"/>
      <c r="D108" s="18" t="n"/>
      <c r="E108" s="18" t="n"/>
      <c r="F108" s="18" t="n"/>
    </row>
    <row r="109">
      <c r="B109" s="18" t="n"/>
      <c r="C109" s="18" t="inlineStr">
        <is>
          <t>bOmega1f</t>
        </is>
      </c>
      <c r="D109" s="75" t="n">
        <v>16</v>
      </c>
      <c r="E109" s="75" t="n">
        <v>17</v>
      </c>
      <c r="F109" s="75" t="n">
        <v>18</v>
      </c>
    </row>
    <row r="110">
      <c r="B110" s="18" t="n"/>
      <c r="C110" s="75" t="n">
        <v>4</v>
      </c>
      <c r="D110" s="27" t="n">
        <v>0</v>
      </c>
      <c r="E110" s="27" t="n">
        <v>0</v>
      </c>
      <c r="F110" s="27" t="n">
        <v>0</v>
      </c>
    </row>
    <row r="111">
      <c r="B111" s="18" t="n"/>
      <c r="C111" s="75" t="n">
        <v>5</v>
      </c>
      <c r="D111" s="27" t="n">
        <v>0</v>
      </c>
      <c r="E111" s="27" t="n">
        <v>0</v>
      </c>
      <c r="F111" s="27" t="n">
        <v>0</v>
      </c>
    </row>
    <row r="112">
      <c r="B112" s="18" t="n"/>
      <c r="C112" s="75" t="n">
        <v>6</v>
      </c>
      <c r="D112" s="27" t="n">
        <v>0</v>
      </c>
      <c r="E112" s="27" t="n">
        <v>0</v>
      </c>
      <c r="F112" s="27" t="n">
        <v>0</v>
      </c>
    </row>
    <row r="113">
      <c r="B113" s="18" t="n"/>
      <c r="C113" s="18" t="n"/>
      <c r="D113" s="18" t="n"/>
      <c r="E113" s="18" t="n"/>
      <c r="F113" s="18" t="n"/>
    </row>
    <row r="114">
      <c r="B114" s="18" t="n"/>
      <c r="C114" s="18" t="n"/>
      <c r="D114" s="18" t="n"/>
      <c r="E114" s="18" t="n"/>
      <c r="F114" s="18" t="n"/>
    </row>
    <row r="115">
      <c r="B115" s="18" t="n"/>
      <c r="C115" s="18" t="inlineStr">
        <is>
          <t>bOmega2f</t>
        </is>
      </c>
      <c r="D115" s="75" t="n">
        <v>16</v>
      </c>
      <c r="E115" s="75" t="n">
        <v>17</v>
      </c>
      <c r="F115" s="75" t="n">
        <v>18</v>
      </c>
    </row>
    <row r="116">
      <c r="B116" s="18" t="n"/>
      <c r="C116" s="75" t="n">
        <v>4</v>
      </c>
      <c r="D116" s="27" t="n">
        <v>0</v>
      </c>
      <c r="E116" s="27" t="n">
        <v>0</v>
      </c>
      <c r="F116" s="27" t="n">
        <v>0</v>
      </c>
    </row>
    <row r="117">
      <c r="B117" s="18" t="n"/>
      <c r="C117" s="75" t="n">
        <v>5</v>
      </c>
      <c r="D117" s="27" t="n">
        <v>0</v>
      </c>
      <c r="E117" s="27" t="n">
        <v>0</v>
      </c>
      <c r="F117" s="27" t="n">
        <v>0</v>
      </c>
    </row>
    <row r="118">
      <c r="B118" s="18" t="n"/>
      <c r="C118" s="75" t="n">
        <v>6</v>
      </c>
      <c r="D118" s="27" t="n">
        <v>0</v>
      </c>
      <c r="E118" s="27" t="n">
        <v>0</v>
      </c>
      <c r="F118" s="27" t="n">
        <v>0</v>
      </c>
    </row>
    <row r="119">
      <c r="B119" s="18" t="n"/>
      <c r="C119" s="18" t="n"/>
      <c r="D119" s="18" t="n"/>
      <c r="E119" s="18" t="n"/>
      <c r="F119" s="18" t="n"/>
    </row>
    <row r="120">
      <c r="B120" s="18" t="n"/>
      <c r="C120" s="18" t="n"/>
      <c r="D120" s="18" t="n"/>
      <c r="E120" s="18" t="n"/>
      <c r="F120" s="18" t="n"/>
    </row>
    <row r="121">
      <c r="B121" s="18" t="n"/>
      <c r="C121" s="18" t="inlineStr">
        <is>
          <t>bOmega3f</t>
        </is>
      </c>
      <c r="D121" s="75" t="n">
        <v>16</v>
      </c>
      <c r="E121" s="75" t="n">
        <v>17</v>
      </c>
      <c r="F121" s="75" t="n">
        <v>18</v>
      </c>
    </row>
    <row r="122">
      <c r="B122" s="18" t="n"/>
      <c r="C122" s="75" t="n">
        <v>4</v>
      </c>
      <c r="D122" s="27" t="n">
        <v>1</v>
      </c>
      <c r="E122" s="27" t="n">
        <v>1</v>
      </c>
      <c r="F122" s="27" t="n">
        <v>1</v>
      </c>
      <c r="G122" s="15">
        <f>SUM(Factories_Omega3)</f>
        <v/>
      </c>
    </row>
    <row r="123">
      <c r="B123" s="18" t="n"/>
      <c r="C123" s="75" t="n">
        <v>5</v>
      </c>
      <c r="D123" s="27" t="n">
        <v>0</v>
      </c>
      <c r="E123" s="27" t="n">
        <v>1</v>
      </c>
      <c r="F123" s="27" t="n">
        <v>0</v>
      </c>
    </row>
    <row r="124">
      <c r="B124" s="18" t="n"/>
      <c r="C124" s="75" t="n">
        <v>6</v>
      </c>
      <c r="D124" s="27" t="n">
        <v>0</v>
      </c>
      <c r="E124" s="27" t="n">
        <v>1</v>
      </c>
      <c r="F124" s="27" t="n">
        <v>0</v>
      </c>
    </row>
    <row r="125">
      <c r="B125" s="18" t="n"/>
      <c r="C125" s="18" t="n"/>
      <c r="D125" s="18" t="n"/>
      <c r="E125" s="18" t="n"/>
      <c r="F125" s="18" t="n"/>
    </row>
    <row r="126">
      <c r="B126" s="18" t="n"/>
      <c r="C126" s="18" t="n"/>
      <c r="D126" s="18" t="n"/>
      <c r="E126" s="18" t="n"/>
      <c r="F126" s="18" t="n"/>
    </row>
    <row r="127">
      <c r="B127" s="18" t="n"/>
      <c r="C127" s="15" t="inlineStr">
        <is>
          <t>3*SigmaELTf</t>
        </is>
      </c>
      <c r="D127" s="75" t="n">
        <v>16</v>
      </c>
      <c r="E127" s="75" t="n">
        <v>17</v>
      </c>
      <c r="F127" s="75" t="n">
        <v>18</v>
      </c>
    </row>
    <row r="128">
      <c r="B128" s="18" t="n"/>
      <c r="C128" s="75" t="n">
        <v>4</v>
      </c>
      <c r="D128" s="88">
        <f>3*D86</f>
        <v/>
      </c>
      <c r="E128" s="88">
        <f>3*E86</f>
        <v/>
      </c>
      <c r="F128" s="88">
        <f>3*F86</f>
        <v/>
      </c>
    </row>
    <row r="129">
      <c r="B129" s="18" t="n"/>
      <c r="C129" s="75" t="n">
        <v>5</v>
      </c>
      <c r="D129" s="88">
        <f>3*D87</f>
        <v/>
      </c>
      <c r="E129" s="88">
        <f>3*E87</f>
        <v/>
      </c>
      <c r="F129" s="88">
        <f>3*F87</f>
        <v/>
      </c>
    </row>
    <row r="130">
      <c r="B130" s="18" t="n"/>
      <c r="C130" s="75" t="n">
        <v>6</v>
      </c>
      <c r="D130" s="88">
        <f>3*D88</f>
        <v/>
      </c>
      <c r="E130" s="88">
        <f>3*E88</f>
        <v/>
      </c>
      <c r="F130" s="88">
        <f>3*F88</f>
        <v/>
      </c>
    </row>
    <row r="131">
      <c r="B131" s="18" t="n"/>
      <c r="C131" s="18" t="n"/>
      <c r="D131" s="18" t="n"/>
      <c r="E131" s="18" t="n"/>
      <c r="F131" s="18" t="n"/>
    </row>
    <row r="132">
      <c r="B132" s="18" t="n"/>
      <c r="C132" s="18" t="n"/>
      <c r="D132" s="18" t="n"/>
      <c r="E132" s="18" t="n"/>
      <c r="F132" s="18" t="n"/>
    </row>
    <row r="133">
      <c r="B133" s="18" t="n"/>
      <c r="C133" s="35" t="inlineStr">
        <is>
          <t>(3*SigmaELTf)-(RunOutTimef-ELTf)</t>
        </is>
      </c>
      <c r="D133" s="75" t="n">
        <v>16</v>
      </c>
      <c r="E133" s="75" t="n">
        <v>17</v>
      </c>
      <c r="F133" s="75" t="n">
        <v>18</v>
      </c>
    </row>
    <row r="134">
      <c r="B134" s="18" t="n"/>
      <c r="C134" s="75" t="n">
        <v>4</v>
      </c>
      <c r="D134" s="88">
        <f>IF(D63&lt;0,"inexhaustible",(D128-D104))</f>
        <v/>
      </c>
      <c r="E134" s="88">
        <f>IF(E63&lt;0,"inexhaustible",(E128-E104))</f>
        <v/>
      </c>
      <c r="F134" s="88">
        <f>IF(F63&lt;0,"inexhaustible",(F128-F104))</f>
        <v/>
      </c>
    </row>
    <row r="135">
      <c r="B135" s="18" t="n"/>
      <c r="C135" s="75" t="n">
        <v>5</v>
      </c>
      <c r="D135" s="88">
        <f>IF(D64&lt;0,"inexhaustible",(D129-D105))</f>
        <v/>
      </c>
      <c r="E135" s="88">
        <f>IF(E64&lt;0,"inexhaustible",(E129-E105))</f>
        <v/>
      </c>
      <c r="F135" s="88">
        <f>IF(F64&lt;0,"inexhaustible",(F129-F105))</f>
        <v/>
      </c>
    </row>
    <row r="136">
      <c r="B136" s="18" t="n"/>
      <c r="C136" s="75" t="n">
        <v>6</v>
      </c>
      <c r="D136" s="88">
        <f>IF(D65&lt;0,"inexhaustible",(D130-D106))</f>
        <v/>
      </c>
      <c r="E136" s="88">
        <f>IF(E65&lt;0,"inexhaustible",(E130-E106))</f>
        <v/>
      </c>
      <c r="F136" s="88">
        <f>IF(F65&lt;0,"inexhaustible",(F130-F106))</f>
        <v/>
      </c>
    </row>
    <row r="137">
      <c r="B137" s="18" t="n"/>
      <c r="C137" s="18" t="n"/>
      <c r="D137" s="18" t="n"/>
      <c r="E137" s="18" t="n"/>
      <c r="F137" s="18" t="n"/>
    </row>
    <row r="138">
      <c r="B138" s="18" t="n"/>
      <c r="C138" s="18" t="n"/>
      <c r="D138" s="18" t="n"/>
      <c r="E138" s="18" t="n"/>
      <c r="F138" s="18" t="n"/>
    </row>
    <row r="139">
      <c r="B139" s="18" t="n"/>
      <c r="C139" s="18" t="inlineStr">
        <is>
          <t>bOmega4f</t>
        </is>
      </c>
      <c r="D139" s="75" t="n">
        <v>16</v>
      </c>
      <c r="E139" s="75" t="n">
        <v>17</v>
      </c>
      <c r="F139" s="75" t="n">
        <v>18</v>
      </c>
    </row>
    <row r="140">
      <c r="B140" s="18" t="n"/>
      <c r="C140" s="75" t="n">
        <v>4</v>
      </c>
      <c r="D140" s="27" t="n">
        <v>1</v>
      </c>
      <c r="E140" s="27" t="n">
        <v>1</v>
      </c>
      <c r="F140" s="27" t="n">
        <v>1</v>
      </c>
    </row>
    <row r="141">
      <c r="B141" s="18" t="n"/>
      <c r="C141" s="75" t="n">
        <v>5</v>
      </c>
      <c r="D141" s="27" t="n">
        <v>0</v>
      </c>
      <c r="E141" s="27" t="n">
        <v>1</v>
      </c>
      <c r="F141" s="27" t="n">
        <v>0</v>
      </c>
    </row>
    <row r="142">
      <c r="B142" s="18" t="n"/>
      <c r="C142" s="75" t="n">
        <v>6</v>
      </c>
      <c r="D142" s="27" t="n">
        <v>0</v>
      </c>
      <c r="E142" s="27" t="n">
        <v>1</v>
      </c>
      <c r="F142" s="27" t="n">
        <v>0</v>
      </c>
    </row>
    <row r="143">
      <c r="B143" s="18" t="n"/>
      <c r="C143" s="18" t="n"/>
      <c r="D143" s="18" t="n"/>
      <c r="E143" s="18" t="n"/>
      <c r="F143" s="18" t="n"/>
    </row>
    <row r="144">
      <c r="B144" s="18" t="n"/>
      <c r="C144" s="18" t="n"/>
      <c r="D144" s="18" t="n"/>
      <c r="E144" s="18" t="n"/>
      <c r="F144" s="18" t="n"/>
    </row>
    <row r="145">
      <c r="B145" s="18" t="n"/>
      <c r="C145" s="18" t="inlineStr">
        <is>
          <t>bOmega5f</t>
        </is>
      </c>
      <c r="D145" s="75" t="n">
        <v>16</v>
      </c>
      <c r="E145" s="75" t="n">
        <v>17</v>
      </c>
      <c r="F145" s="75" t="n">
        <v>18</v>
      </c>
    </row>
    <row r="146">
      <c r="B146" s="18" t="n"/>
      <c r="C146" s="75" t="n">
        <v>4</v>
      </c>
      <c r="D146" s="27" t="n">
        <v>0</v>
      </c>
      <c r="E146" s="27" t="n">
        <v>0</v>
      </c>
      <c r="F146" s="27" t="n">
        <v>0</v>
      </c>
      <c r="G146" s="15">
        <f>SUM(Factories_Omega5)</f>
        <v/>
      </c>
    </row>
    <row r="147">
      <c r="B147" s="18" t="n"/>
      <c r="C147" s="75" t="n">
        <v>5</v>
      </c>
      <c r="D147" s="27" t="n">
        <v>0</v>
      </c>
      <c r="E147" s="27" t="n">
        <v>0</v>
      </c>
      <c r="F147" s="27" t="n">
        <v>0</v>
      </c>
    </row>
    <row r="148">
      <c r="B148" s="18" t="n"/>
      <c r="C148" s="75" t="n">
        <v>6</v>
      </c>
      <c r="D148" s="27" t="n">
        <v>0</v>
      </c>
      <c r="E148" s="27" t="n">
        <v>0</v>
      </c>
      <c r="F148" s="27" t="n">
        <v>0</v>
      </c>
    </row>
    <row r="149">
      <c r="B149" s="18" t="n"/>
      <c r="C149" s="18" t="n"/>
      <c r="D149" s="18" t="n"/>
      <c r="E149" s="18" t="n"/>
      <c r="F149" s="18" t="n"/>
    </row>
    <row r="150">
      <c r="B150" s="18" t="n"/>
      <c r="C150" s="18" t="n"/>
      <c r="D150" s="18" t="n"/>
      <c r="E150" s="18" t="n"/>
      <c r="F150" s="18" t="n"/>
    </row>
    <row r="151">
      <c r="B151" s="18" t="n"/>
      <c r="C151" s="18" t="inlineStr">
        <is>
          <t>bOmega6f</t>
        </is>
      </c>
      <c r="D151" s="75" t="n">
        <v>16</v>
      </c>
      <c r="E151" s="75" t="n">
        <v>17</v>
      </c>
      <c r="F151" s="75" t="n">
        <v>18</v>
      </c>
    </row>
    <row r="152">
      <c r="B152" s="18" t="n"/>
      <c r="C152" s="75" t="n">
        <v>4</v>
      </c>
      <c r="D152" s="27" t="n">
        <v>0</v>
      </c>
      <c r="E152" s="27" t="n">
        <v>0</v>
      </c>
      <c r="F152" s="27" t="n">
        <v>0</v>
      </c>
      <c r="G152" s="15">
        <f>SUM(Factories_Omega6)</f>
        <v/>
      </c>
    </row>
    <row r="153">
      <c r="B153" s="18" t="n"/>
      <c r="C153" s="75" t="n">
        <v>5</v>
      </c>
      <c r="D153" s="27" t="n">
        <v>0</v>
      </c>
      <c r="E153" s="27" t="n">
        <v>0</v>
      </c>
      <c r="F153" s="27" t="n">
        <v>0</v>
      </c>
    </row>
    <row r="154">
      <c r="B154" s="18" t="n"/>
      <c r="C154" s="75" t="n">
        <v>6</v>
      </c>
      <c r="D154" s="27" t="n">
        <v>0</v>
      </c>
      <c r="E154" s="27" t="n">
        <v>0</v>
      </c>
      <c r="F154" s="27" t="n">
        <v>0</v>
      </c>
    </row>
    <row r="155">
      <c r="B155" s="18" t="n"/>
      <c r="C155" s="18" t="n"/>
      <c r="D155" s="18" t="n"/>
      <c r="E155" s="18" t="n"/>
      <c r="F155" s="18" t="n"/>
    </row>
    <row r="156">
      <c r="B156" s="18" t="n"/>
      <c r="C156" s="18" t="n"/>
      <c r="D156" s="18" t="n"/>
      <c r="E156" s="18" t="n"/>
      <c r="F156" s="18" t="n"/>
    </row>
    <row r="157">
      <c r="B157" s="18" t="n"/>
      <c r="C157" s="18" t="inlineStr">
        <is>
          <t>Total</t>
        </is>
      </c>
      <c r="D157" s="75" t="n">
        <v>16</v>
      </c>
      <c r="E157" s="75" t="n">
        <v>17</v>
      </c>
      <c r="F157" s="75" t="n">
        <v>18</v>
      </c>
    </row>
    <row r="158">
      <c r="B158" s="18" t="n"/>
      <c r="C158" s="75" t="n">
        <v>4</v>
      </c>
      <c r="D158" s="19">
        <f>D39+D122+D146+D152+D45</f>
        <v/>
      </c>
      <c r="E158" s="19">
        <f>E39+E122+E146+E152+E45</f>
        <v/>
      </c>
      <c r="F158" s="19">
        <f>F39+F122+F146+F152+F45</f>
        <v/>
      </c>
      <c r="G158" s="19">
        <f>SUM(D158:F160)</f>
        <v/>
      </c>
    </row>
    <row r="159">
      <c r="B159" s="18" t="n"/>
      <c r="C159" s="75" t="n">
        <v>5</v>
      </c>
      <c r="D159" s="19">
        <f>D40+D123+D147+D153+D46</f>
        <v/>
      </c>
      <c r="E159" s="19">
        <f>E40+E123+E147+E153+E46</f>
        <v/>
      </c>
      <c r="F159" s="19">
        <f>F40+F123+F147+F153+F46</f>
        <v/>
      </c>
    </row>
    <row r="160">
      <c r="B160" s="18" t="n"/>
      <c r="C160" s="75" t="n">
        <v>6</v>
      </c>
      <c r="D160" s="19">
        <f>D41+D124+D148+D154+D47</f>
        <v/>
      </c>
      <c r="E160" s="19">
        <f>E41+E124+E148+E154+E47</f>
        <v/>
      </c>
      <c r="F160" s="19">
        <f>F41+F124+F148+F154+F47</f>
        <v/>
      </c>
    </row>
    <row r="161">
      <c r="B161" s="18" t="n"/>
      <c r="C161" s="18" t="n"/>
      <c r="D161" s="18" t="n"/>
      <c r="E161" s="18" t="n"/>
      <c r="F161" s="18" t="n"/>
    </row>
    <row r="162">
      <c r="B162" s="18" t="n"/>
      <c r="C162" s="18" t="n"/>
      <c r="D162" s="18" t="n"/>
      <c r="E162" s="18" t="n"/>
      <c r="F162" s="18" t="n"/>
    </row>
    <row r="163">
      <c r="B163" s="18" t="n"/>
      <c r="C163" s="18" t="inlineStr">
        <is>
          <t>Hf</t>
        </is>
      </c>
      <c r="D163" s="75" t="n">
        <v>16</v>
      </c>
      <c r="E163" s="75" t="n">
        <v>17</v>
      </c>
      <c r="F163" s="75" t="n">
        <v>18</v>
      </c>
    </row>
    <row r="164">
      <c r="B164" s="18" t="n"/>
      <c r="C164" s="75" t="n">
        <v>4</v>
      </c>
      <c r="D164" s="21">
        <f>Factories!I6</f>
        <v/>
      </c>
      <c r="E164" s="21">
        <f>Factories!J6</f>
        <v/>
      </c>
      <c r="F164" s="21">
        <f>Factories!K6</f>
        <v/>
      </c>
    </row>
    <row r="165">
      <c r="B165" s="18" t="n"/>
      <c r="C165" s="75" t="n">
        <v>5</v>
      </c>
      <c r="D165" s="21">
        <f>Factories!I7</f>
        <v/>
      </c>
      <c r="E165" s="21">
        <f>Factories!J7</f>
        <v/>
      </c>
      <c r="F165" s="21">
        <f>Factories!K7</f>
        <v/>
      </c>
    </row>
    <row r="166">
      <c r="B166" s="18" t="n"/>
      <c r="C166" s="75" t="n">
        <v>6</v>
      </c>
      <c r="D166" s="21">
        <f>Factories!I8</f>
        <v/>
      </c>
      <c r="E166" s="21">
        <f>Factories!J8</f>
        <v/>
      </c>
      <c r="F166" s="21">
        <f>Factories!K8</f>
        <v/>
      </c>
    </row>
    <row r="167">
      <c r="B167" s="18" t="n"/>
      <c r="C167" s="18" t="n"/>
      <c r="D167" s="18" t="n"/>
      <c r="E167" s="18" t="n"/>
      <c r="F167" s="18" t="n"/>
    </row>
    <row r="168">
      <c r="B168" s="18" t="n"/>
      <c r="C168" s="18" t="n"/>
      <c r="D168" s="18" t="n"/>
      <c r="E168" s="18" t="n"/>
      <c r="F168" s="18" t="n"/>
    </row>
    <row r="169">
      <c r="B169" s="18" t="n"/>
      <c r="C169" s="18" t="inlineStr">
        <is>
          <t>SigmaNDf</t>
        </is>
      </c>
      <c r="D169" s="75" t="n">
        <v>16</v>
      </c>
      <c r="E169" s="75" t="n">
        <v>17</v>
      </c>
      <c r="F169" s="75" t="n">
        <v>18</v>
      </c>
    </row>
    <row r="170">
      <c r="B170" s="18" t="n"/>
      <c r="C170" s="75" t="n">
        <v>4</v>
      </c>
      <c r="D170" s="21">
        <f>Factories!I17</f>
        <v/>
      </c>
      <c r="E170" s="21">
        <f>Factories!J17</f>
        <v/>
      </c>
      <c r="F170" s="21">
        <f>Factories!K17</f>
        <v/>
      </c>
    </row>
    <row r="171">
      <c r="B171" s="18" t="n"/>
      <c r="C171" s="75" t="n">
        <v>5</v>
      </c>
      <c r="D171" s="21">
        <f>Factories!I18</f>
        <v/>
      </c>
      <c r="E171" s="21">
        <f>Factories!J18</f>
        <v/>
      </c>
      <c r="F171" s="21">
        <f>Factories!K18</f>
        <v/>
      </c>
    </row>
    <row r="172">
      <c r="B172" s="18" t="n"/>
      <c r="C172" s="75" t="n">
        <v>6</v>
      </c>
      <c r="D172" s="21">
        <f>Factories!I19</f>
        <v/>
      </c>
      <c r="E172" s="21">
        <f>Factories!J19</f>
        <v/>
      </c>
      <c r="F172" s="21">
        <f>Factories!K19</f>
        <v/>
      </c>
    </row>
    <row r="173">
      <c r="B173" s="18" t="n"/>
      <c r="C173" s="18" t="n"/>
      <c r="D173" s="18" t="n"/>
      <c r="E173" s="18" t="n"/>
      <c r="F173" s="18" t="n"/>
    </row>
    <row r="174">
      <c r="B174" s="18" t="n"/>
      <c r="C174" s="18" t="n"/>
      <c r="D174" s="18" t="n"/>
      <c r="E174" s="18" t="n"/>
      <c r="F174" s="18" t="n"/>
    </row>
    <row r="175">
      <c r="B175" s="18" t="n"/>
      <c r="C175" s="36" t="inlineStr">
        <is>
          <t>vRadicandf</t>
        </is>
      </c>
      <c r="D175" s="75" t="n">
        <v>16</v>
      </c>
      <c r="E175" s="75" t="n">
        <v>17</v>
      </c>
      <c r="F175" s="75" t="n">
        <v>18</v>
      </c>
      <c r="H175" s="18" t="n"/>
      <c r="I175" s="15" t="n">
        <v>1</v>
      </c>
      <c r="J175" s="15" t="n">
        <v>2</v>
      </c>
      <c r="K175" s="15" t="n">
        <v>3</v>
      </c>
    </row>
    <row r="176">
      <c r="B176" s="18" t="n"/>
      <c r="C176" s="75" t="n">
        <v>4</v>
      </c>
      <c r="D176" s="33" t="n">
        <v>1141625.237875198</v>
      </c>
      <c r="E176" s="33" t="n">
        <v>1256723.382671997</v>
      </c>
      <c r="F176" s="33" t="n">
        <v>1048881.520771191</v>
      </c>
      <c r="H176" s="18" t="n"/>
      <c r="I176" s="21">
        <f>D176^0.5</f>
        <v/>
      </c>
      <c r="J176" s="21">
        <f>E176^0.5</f>
        <v/>
      </c>
      <c r="K176" s="21">
        <f>F176^0.5</f>
        <v/>
      </c>
    </row>
    <row r="177">
      <c r="B177" s="18" t="n"/>
      <c r="C177" s="75" t="n">
        <v>5</v>
      </c>
      <c r="D177" s="33" t="n">
        <v>0</v>
      </c>
      <c r="E177" s="33" t="n">
        <v>1083114.620553596</v>
      </c>
      <c r="F177" s="33" t="n">
        <v>0</v>
      </c>
      <c r="H177" s="18" t="n"/>
      <c r="I177" s="21">
        <f>D177^0.5</f>
        <v/>
      </c>
      <c r="J177" s="21">
        <f>E177^0.5</f>
        <v/>
      </c>
      <c r="K177" s="21">
        <f>F177^0.5</f>
        <v/>
      </c>
    </row>
    <row r="178">
      <c r="B178" s="18" t="n"/>
      <c r="C178" s="75" t="n">
        <v>6</v>
      </c>
      <c r="D178" s="33" t="n">
        <v>0</v>
      </c>
      <c r="E178" s="33" t="n">
        <v>850243.5531072002</v>
      </c>
      <c r="F178" s="33" t="n">
        <v>0</v>
      </c>
      <c r="H178" s="18" t="n"/>
      <c r="I178" s="21">
        <f>D178^0.5</f>
        <v/>
      </c>
      <c r="J178" s="21">
        <f>E178^0.5</f>
        <v/>
      </c>
      <c r="K178" s="21">
        <f>F178^0.5</f>
        <v/>
      </c>
    </row>
    <row r="179">
      <c r="B179" s="18" t="n"/>
      <c r="C179" s="18" t="n"/>
      <c r="D179" s="18" t="n"/>
      <c r="E179" s="18" t="n"/>
      <c r="F179" s="18" t="n"/>
      <c r="H179" s="18" t="n"/>
      <c r="I179" s="18" t="n"/>
      <c r="J179" s="18" t="n"/>
      <c r="K179" s="18" t="n"/>
    </row>
    <row r="180">
      <c r="B180" s="18" t="n"/>
      <c r="C180" s="18" t="n"/>
      <c r="D180" s="18" t="n"/>
      <c r="E180" s="18" t="n"/>
      <c r="F180" s="18" t="n"/>
      <c r="H180" s="18" t="n"/>
      <c r="I180" s="18" t="n"/>
      <c r="J180" s="18" t="n"/>
      <c r="K180" s="18" t="n"/>
    </row>
    <row r="181">
      <c r="B181" s="18" t="n"/>
      <c r="C181" s="36" t="inlineStr">
        <is>
          <t>vSQRTf</t>
        </is>
      </c>
      <c r="D181" s="75" t="n">
        <v>16</v>
      </c>
      <c r="E181" s="75" t="n">
        <v>17</v>
      </c>
      <c r="F181" s="75" t="n">
        <v>18</v>
      </c>
      <c r="H181" s="18" t="n"/>
      <c r="I181" s="15" t="n">
        <v>1</v>
      </c>
      <c r="J181" s="15" t="n">
        <v>2</v>
      </c>
      <c r="K181" s="15" t="n">
        <v>3</v>
      </c>
    </row>
    <row r="182">
      <c r="B182" s="18" t="n"/>
      <c r="C182" s="75" t="n">
        <v>4</v>
      </c>
      <c r="D182" s="33" t="n">
        <v>1069</v>
      </c>
      <c r="E182" s="33" t="n">
        <v>1122</v>
      </c>
      <c r="F182" s="33" t="n">
        <v>1025</v>
      </c>
      <c r="H182" s="18" t="n"/>
      <c r="I182" s="21">
        <f>I176-D182</f>
        <v/>
      </c>
      <c r="J182" s="21">
        <f>J176-E182</f>
        <v/>
      </c>
      <c r="K182" s="21">
        <f>K176-F182</f>
        <v/>
      </c>
    </row>
    <row r="183">
      <c r="B183" s="18" t="n"/>
      <c r="C183" s="75" t="n">
        <v>5</v>
      </c>
      <c r="D183" s="33" t="n">
        <v>1</v>
      </c>
      <c r="E183" s="33" t="n">
        <v>1041</v>
      </c>
      <c r="F183" s="33" t="n">
        <v>1</v>
      </c>
      <c r="H183" s="18" t="n"/>
      <c r="I183" s="21">
        <f>I177-D183</f>
        <v/>
      </c>
      <c r="J183" s="21">
        <f>J177-E183</f>
        <v/>
      </c>
      <c r="K183" s="21">
        <f>K177-F183</f>
        <v/>
      </c>
    </row>
    <row r="184">
      <c r="B184" s="18" t="n"/>
      <c r="C184" s="75" t="n">
        <v>6</v>
      </c>
      <c r="D184" s="33" t="n">
        <v>1</v>
      </c>
      <c r="E184" s="33" t="n">
        <v>923</v>
      </c>
      <c r="F184" s="33" t="n">
        <v>1</v>
      </c>
      <c r="H184" s="18" t="n"/>
      <c r="I184" s="21">
        <f>I178-D184</f>
        <v/>
      </c>
      <c r="J184" s="21">
        <f>J178-E184</f>
        <v/>
      </c>
      <c r="K184" s="21">
        <f>K178-F184</f>
        <v/>
      </c>
    </row>
    <row r="185">
      <c r="B185" s="18" t="n"/>
      <c r="C185" s="15" t="n"/>
      <c r="D185" s="18" t="n"/>
      <c r="E185" s="18" t="n"/>
      <c r="F185" s="18" t="n"/>
    </row>
    <row r="186">
      <c r="B186" s="18" t="n"/>
      <c r="C186" s="18" t="n"/>
      <c r="D186" s="18" t="n"/>
      <c r="E186" s="18" t="n"/>
      <c r="F186" s="18" t="n"/>
    </row>
    <row r="187">
      <c r="B187" s="18" t="n"/>
      <c r="C187" s="18" t="inlineStr">
        <is>
          <t>Optimal solution (SS)</t>
        </is>
      </c>
      <c r="D187" s="75" t="n">
        <v>16</v>
      </c>
      <c r="E187" s="75" t="n">
        <v>17</v>
      </c>
      <c r="F187" s="75" t="n">
        <v>18</v>
      </c>
    </row>
    <row r="188">
      <c r="B188" s="18" t="n"/>
      <c r="C188" s="75" t="n">
        <v>4</v>
      </c>
      <c r="D188" s="21">
        <f>D164*D230</f>
        <v/>
      </c>
      <c r="E188" s="21">
        <f>E164*E230</f>
        <v/>
      </c>
      <c r="F188" s="21">
        <f>F164*F230</f>
        <v/>
      </c>
    </row>
    <row r="189">
      <c r="B189" s="18" t="n"/>
      <c r="C189" s="75" t="n">
        <v>5</v>
      </c>
      <c r="D189" s="21">
        <f>D165*D231</f>
        <v/>
      </c>
      <c r="E189" s="21">
        <f>E165*E231</f>
        <v/>
      </c>
      <c r="F189" s="21">
        <f>F165*F231</f>
        <v/>
      </c>
    </row>
    <row r="190">
      <c r="B190" s="18" t="n"/>
      <c r="C190" s="75" t="n">
        <v>6</v>
      </c>
      <c r="D190" s="21">
        <f>D166*D232</f>
        <v/>
      </c>
      <c r="E190" s="21">
        <f>E166*E232</f>
        <v/>
      </c>
      <c r="F190" s="21">
        <f>F166*F232</f>
        <v/>
      </c>
    </row>
    <row r="191">
      <c r="B191" s="18" t="n"/>
      <c r="C191" s="18" t="n"/>
      <c r="D191" s="18" t="n"/>
      <c r="E191" s="18" t="n"/>
      <c r="F191" s="18" t="n"/>
    </row>
    <row r="192">
      <c r="B192" s="18" t="n"/>
      <c r="C192" s="18" t="n"/>
      <c r="D192" s="18" t="n"/>
      <c r="E192" s="18" t="n"/>
      <c r="F192" s="18" t="n"/>
      <c r="N192" s="52" t="inlineStr">
        <is>
          <t>COMPARAÇÃO</t>
        </is>
      </c>
    </row>
    <row r="193">
      <c r="B193" s="18" t="n"/>
      <c r="C193" s="18" t="inlineStr">
        <is>
          <t>vZf</t>
        </is>
      </c>
      <c r="D193" s="75" t="n">
        <v>16</v>
      </c>
      <c r="E193" s="75" t="n">
        <v>17</v>
      </c>
      <c r="F193" s="75" t="n">
        <v>18</v>
      </c>
      <c r="H193" s="18" t="inlineStr">
        <is>
          <t>vZw</t>
        </is>
      </c>
      <c r="I193" s="15" t="n">
        <v>1</v>
      </c>
      <c r="J193" s="15" t="n">
        <v>2</v>
      </c>
      <c r="K193" s="15" t="n">
        <v>3</v>
      </c>
      <c r="L193" s="15" t="n"/>
      <c r="M193" s="15" t="n"/>
      <c r="N193" s="19" t="inlineStr">
        <is>
          <t>vZw</t>
        </is>
      </c>
      <c r="O193" s="19" t="n">
        <v>1</v>
      </c>
      <c r="P193" s="19" t="n">
        <v>2</v>
      </c>
      <c r="Q193" s="19" t="n">
        <v>3</v>
      </c>
    </row>
    <row r="194">
      <c r="B194" s="18" t="n"/>
      <c r="C194" s="75" t="n">
        <v>4</v>
      </c>
      <c r="D194" s="21">
        <f>D92</f>
        <v/>
      </c>
      <c r="E194" s="21">
        <f>E92</f>
        <v/>
      </c>
      <c r="F194" s="21">
        <f>F92</f>
        <v/>
      </c>
      <c r="H194" s="15" t="n">
        <v>1</v>
      </c>
      <c r="I194" s="21" t="n">
        <v>0</v>
      </c>
      <c r="J194" s="21" t="n">
        <v>0</v>
      </c>
      <c r="K194" s="21" t="n">
        <v>0</v>
      </c>
      <c r="L194" s="21" t="n"/>
      <c r="M194" s="21" t="n"/>
      <c r="N194" s="19" t="n">
        <v>1</v>
      </c>
      <c r="O194" s="18">
        <f>D194-I194</f>
        <v/>
      </c>
      <c r="P194" s="18">
        <f>E194-J194</f>
        <v/>
      </c>
      <c r="Q194" s="18">
        <f>F194-K194</f>
        <v/>
      </c>
      <c r="AD194" s="15" t="n"/>
      <c r="AE194" s="15" t="n"/>
      <c r="AF194" s="15" t="n"/>
      <c r="AG194" s="15" t="n"/>
      <c r="AH194" s="15" t="n"/>
      <c r="AI194" s="15" t="n"/>
      <c r="AJ194" s="18" t="n"/>
      <c r="AK194" s="18" t="n"/>
    </row>
    <row r="195">
      <c r="B195" s="18" t="n"/>
      <c r="C195" s="75" t="n">
        <v>5</v>
      </c>
      <c r="D195" s="21">
        <f>D93</f>
        <v/>
      </c>
      <c r="E195" s="21">
        <f>E93</f>
        <v/>
      </c>
      <c r="F195" s="21">
        <f>F93</f>
        <v/>
      </c>
      <c r="H195" s="15" t="n">
        <v>2</v>
      </c>
      <c r="I195" s="21" t="n">
        <v>-6.705569433052005e-10</v>
      </c>
      <c r="J195" s="21" t="n">
        <v>8.023697262160567e-10</v>
      </c>
      <c r="K195" s="21" t="n">
        <v>0</v>
      </c>
      <c r="L195" s="21" t="n"/>
      <c r="M195" s="21" t="n"/>
      <c r="N195" s="19" t="n">
        <v>2</v>
      </c>
      <c r="O195" s="18">
        <f>D195-I195</f>
        <v/>
      </c>
      <c r="P195" s="18">
        <f>E195-J195</f>
        <v/>
      </c>
      <c r="Q195" s="18">
        <f>F195-K195</f>
        <v/>
      </c>
      <c r="AD195" s="21" t="n"/>
      <c r="AE195" s="21" t="n"/>
      <c r="AF195" s="21" t="n"/>
      <c r="AG195" s="21" t="n"/>
      <c r="AH195" s="21" t="n"/>
      <c r="AI195" s="21" t="n"/>
      <c r="AJ195" s="18" t="n"/>
      <c r="AK195" s="19" t="n"/>
    </row>
    <row r="196">
      <c r="B196" s="18" t="n"/>
      <c r="C196" s="75" t="n">
        <v>6</v>
      </c>
      <c r="D196" s="21">
        <f>D94</f>
        <v/>
      </c>
      <c r="E196" s="21">
        <f>E94</f>
        <v/>
      </c>
      <c r="F196" s="21">
        <f>F94</f>
        <v/>
      </c>
      <c r="H196" s="15" t="n">
        <v>3</v>
      </c>
      <c r="I196" s="21" t="n">
        <v>-6.422595788535546e-11</v>
      </c>
      <c r="J196" s="21" t="n">
        <v>0</v>
      </c>
      <c r="K196" s="21" t="n">
        <v>0</v>
      </c>
      <c r="L196" s="21" t="n"/>
      <c r="M196" s="21" t="n"/>
      <c r="N196" s="19" t="n">
        <v>3</v>
      </c>
      <c r="O196" s="18">
        <f>D196-I196</f>
        <v/>
      </c>
      <c r="P196" s="18">
        <f>E196-J196</f>
        <v/>
      </c>
      <c r="Q196" s="18">
        <f>F196-K196</f>
        <v/>
      </c>
      <c r="AD196" s="21" t="n"/>
      <c r="AE196" s="21" t="n"/>
      <c r="AF196" s="21" t="n"/>
      <c r="AG196" s="21" t="n"/>
      <c r="AH196" s="21" t="n"/>
      <c r="AI196" s="21" t="n"/>
      <c r="AJ196" s="18" t="n"/>
      <c r="AK196" s="19" t="n"/>
    </row>
    <row r="197">
      <c r="B197" s="18" t="n"/>
      <c r="C197" s="18" t="n"/>
      <c r="D197" s="18" t="n"/>
      <c r="E197" s="18" t="n"/>
      <c r="F197" s="18" t="n"/>
      <c r="AD197" s="21" t="n"/>
      <c r="AE197" s="21" t="n"/>
      <c r="AF197" s="21" t="n"/>
      <c r="AG197" s="21" t="n"/>
      <c r="AH197" s="21" t="n"/>
      <c r="AI197" s="21" t="n"/>
      <c r="AJ197" s="18" t="n"/>
      <c r="AK197" s="19" t="n"/>
    </row>
    <row r="198">
      <c r="B198" s="18" t="n"/>
      <c r="C198" s="18" t="n"/>
      <c r="D198" s="18" t="n"/>
      <c r="E198" s="18" t="n"/>
      <c r="F198" s="18" t="n"/>
    </row>
    <row r="199">
      <c r="A199" t="inlineStr">
        <is>
          <t>ok</t>
        </is>
      </c>
      <c r="B199" s="18" t="n"/>
      <c r="C199" s="18" t="inlineStr">
        <is>
          <t>NetDemandf (Products/day)</t>
        </is>
      </c>
      <c r="D199" s="75" t="n">
        <v>16</v>
      </c>
      <c r="E199" s="75" t="n">
        <v>17</v>
      </c>
      <c r="F199" s="75" t="n">
        <v>18</v>
      </c>
    </row>
    <row r="200">
      <c r="B200" s="18" t="n"/>
      <c r="C200" s="75" t="n">
        <v>4</v>
      </c>
      <c r="D200" s="50" t="n">
        <v>503.6499999999999</v>
      </c>
      <c r="E200" s="50" t="n">
        <v>170.29</v>
      </c>
      <c r="F200" s="50" t="n">
        <v>140.76</v>
      </c>
    </row>
    <row r="201">
      <c r="B201" s="18" t="n"/>
      <c r="C201" s="75" t="n">
        <v>5</v>
      </c>
      <c r="D201" s="50" t="n">
        <v>-200.04</v>
      </c>
      <c r="E201" s="50" t="n">
        <v>190.3700000000001</v>
      </c>
      <c r="F201" s="50" t="n">
        <v>-404.96</v>
      </c>
    </row>
    <row r="202">
      <c r="B202" s="18" t="n"/>
      <c r="C202" s="75" t="n">
        <v>6</v>
      </c>
      <c r="D202" s="50" t="n">
        <v>-331.54</v>
      </c>
      <c r="E202" s="50" t="n">
        <v>351.01</v>
      </c>
      <c r="F202" s="50" t="n">
        <v>-972.8899999999999</v>
      </c>
    </row>
    <row r="203">
      <c r="B203" s="18" t="n"/>
      <c r="C203" s="18" t="n"/>
      <c r="D203" s="18" t="n"/>
      <c r="E203" s="18" t="n"/>
      <c r="F203" s="18" t="n"/>
    </row>
    <row r="204">
      <c r="B204" s="18" t="n"/>
      <c r="C204" s="18" t="n"/>
      <c r="D204" s="18" t="n"/>
      <c r="E204" s="18" t="n"/>
      <c r="F204" s="18" t="n"/>
    </row>
    <row r="205">
      <c r="B205" s="18" t="n"/>
      <c r="C205" s="18" t="inlineStr">
        <is>
          <t>Safety Stock runout (days)?</t>
        </is>
      </c>
      <c r="D205" s="75" t="n">
        <v>16</v>
      </c>
      <c r="E205" s="75" t="n">
        <v>17</v>
      </c>
      <c r="F205" s="75" t="n">
        <v>18</v>
      </c>
    </row>
    <row r="206">
      <c r="B206" s="18" t="n"/>
      <c r="C206" s="75" t="n">
        <v>4</v>
      </c>
      <c r="D206" s="21">
        <f>IF(D200&lt;=0,"inexhaustible",(D182+(-1*D16*D200))/D200)</f>
        <v/>
      </c>
      <c r="E206" s="21">
        <f>IF(E200&lt;=0,"inexhaustible",(E182+(-1*E16*E200))/E200)</f>
        <v/>
      </c>
      <c r="F206" s="21">
        <f>IF(F200&lt;=0,"inexhaustible",(F182+(-1*F16*F200))/F200)</f>
        <v/>
      </c>
    </row>
    <row r="207">
      <c r="B207" s="18" t="n"/>
      <c r="C207" s="75" t="n">
        <v>5</v>
      </c>
      <c r="D207" s="21">
        <f>IF(D201&lt;=0,"inexhaustible",(D183+(-1*D17*D201))/D201)</f>
        <v/>
      </c>
      <c r="E207" s="21">
        <f>IF(E201&lt;=0,"inexhaustible",(E183+(-1*E17*E201))/E201)</f>
        <v/>
      </c>
      <c r="F207" s="21">
        <f>IF(F201&lt;=0,"inexhaustible",(F183+(-1*F17*F201))/F201)</f>
        <v/>
      </c>
    </row>
    <row r="208">
      <c r="B208" s="18" t="n"/>
      <c r="C208" s="75" t="n">
        <v>6</v>
      </c>
      <c r="D208" s="21">
        <f>IF(D202&lt;=0,"inexhaustible",(D184+(-1*D18*D202))/D202)</f>
        <v/>
      </c>
      <c r="E208" s="21">
        <f>IF(E202&lt;=0,"inexhaustible",(E184+(-1*E18*E202))/E202)</f>
        <v/>
      </c>
      <c r="F208" s="21">
        <f>IF(F202&lt;=0,"inexhaustible",(F184+(-1*F18*F202))/F202)</f>
        <v/>
      </c>
    </row>
    <row r="209">
      <c r="B209" s="18" t="n"/>
      <c r="C209" s="18" t="n"/>
      <c r="D209" s="18" t="n"/>
      <c r="E209" s="18" t="n"/>
      <c r="F209" s="18" t="n"/>
    </row>
    <row r="210">
      <c r="B210" s="18" t="n"/>
      <c r="C210" s="18" t="n"/>
      <c r="D210" s="18" t="n"/>
      <c r="E210" s="18" t="n"/>
      <c r="F210" s="18" t="n"/>
    </row>
    <row r="211">
      <c r="B211" s="18" t="n"/>
      <c r="C211" s="18" t="inlineStr">
        <is>
          <t>vGReorderf</t>
        </is>
      </c>
      <c r="D211" s="75" t="n">
        <v>16</v>
      </c>
      <c r="E211" s="75" t="n">
        <v>17</v>
      </c>
      <c r="F211" s="75" t="n">
        <v>18</v>
      </c>
    </row>
    <row r="212">
      <c r="B212" s="18" t="n"/>
      <c r="C212" s="75" t="n">
        <v>4</v>
      </c>
      <c r="D212" s="91" t="n">
        <v>3531.344849999999</v>
      </c>
      <c r="E212" s="91" t="n">
        <v>2232.46109</v>
      </c>
      <c r="F212" s="91" t="n">
        <v>1600.84916</v>
      </c>
    </row>
    <row r="213">
      <c r="B213" s="18" t="n"/>
      <c r="C213" s="75" t="n">
        <v>5</v>
      </c>
      <c r="D213" s="91" t="n">
        <v>0</v>
      </c>
      <c r="E213" s="91" t="n">
        <v>2322.951580000001</v>
      </c>
      <c r="F213" s="91" t="n">
        <v>0</v>
      </c>
    </row>
    <row r="214">
      <c r="B214" s="18" t="n"/>
      <c r="C214" s="75" t="n">
        <v>6</v>
      </c>
      <c r="D214" s="91" t="n">
        <v>0</v>
      </c>
      <c r="E214" s="91" t="n">
        <v>2852.15096</v>
      </c>
      <c r="F214" s="91" t="n">
        <v>0</v>
      </c>
    </row>
    <row r="215">
      <c r="B215" s="18" t="n"/>
      <c r="C215" s="18" t="n"/>
      <c r="D215" s="18" t="n"/>
      <c r="E215" s="18" t="n"/>
      <c r="F215" s="18" t="n"/>
    </row>
    <row r="216">
      <c r="B216" s="18" t="n"/>
      <c r="C216" s="18" t="n"/>
      <c r="D216" s="18" t="n"/>
      <c r="E216" s="18" t="n"/>
      <c r="F216" s="18" t="n"/>
    </row>
    <row r="217">
      <c r="B217" s="18" t="n"/>
      <c r="C217" s="36" t="inlineStr">
        <is>
          <t>VarNDw</t>
        </is>
      </c>
      <c r="D217" s="75" t="n">
        <v>16</v>
      </c>
      <c r="E217" s="75" t="n">
        <v>17</v>
      </c>
      <c r="F217" s="75" t="n">
        <v>18</v>
      </c>
    </row>
    <row r="218">
      <c r="B218" s="18" t="n"/>
      <c r="C218" s="75" t="n">
        <v>4</v>
      </c>
      <c r="D218" s="33" t="n">
        <v>7365.655987560001</v>
      </c>
      <c r="E218" s="33" t="n">
        <v>6202.491784809999</v>
      </c>
      <c r="F218" s="33" t="n">
        <v>8265.48267609</v>
      </c>
    </row>
    <row r="219">
      <c r="B219" s="18" t="n"/>
      <c r="C219" s="75" t="n">
        <v>5</v>
      </c>
      <c r="D219" s="33" t="n">
        <v>5276.351682249999</v>
      </c>
      <c r="E219" s="33" t="n">
        <v>5170.44407364</v>
      </c>
      <c r="F219" s="33" t="n">
        <v>10630.86785721</v>
      </c>
    </row>
    <row r="220">
      <c r="B220" s="18" t="n"/>
      <c r="C220" s="75" t="n">
        <v>6</v>
      </c>
      <c r="D220" s="33" t="n">
        <v>6427.790102250001</v>
      </c>
      <c r="E220" s="33" t="n">
        <v>4906.582208999999</v>
      </c>
      <c r="F220" s="33" t="n">
        <v>9156.595238010001</v>
      </c>
    </row>
    <row r="221">
      <c r="B221" s="18" t="n"/>
      <c r="C221" s="18" t="n"/>
      <c r="D221" s="21" t="n"/>
      <c r="E221" s="21" t="n"/>
      <c r="F221" s="21" t="n"/>
    </row>
    <row r="222">
      <c r="B222" s="18" t="n"/>
      <c r="C222" s="18" t="n"/>
      <c r="D222" s="18" t="n"/>
      <c r="E222" s="18" t="n"/>
      <c r="F222" s="18" t="n"/>
    </row>
    <row r="223">
      <c r="B223" s="18" t="n"/>
      <c r="C223" s="18" t="inlineStr">
        <is>
          <t>vCTf-RunOutTimef</t>
        </is>
      </c>
      <c r="D223" s="75" t="n">
        <v>16</v>
      </c>
      <c r="E223" s="75" t="n">
        <v>17</v>
      </c>
      <c r="F223" s="75" t="n">
        <v>18</v>
      </c>
    </row>
    <row r="224">
      <c r="B224" s="18" t="n"/>
      <c r="C224" s="75" t="n">
        <v>4</v>
      </c>
      <c r="D224" s="21">
        <f>IF(D200&lt;0,"inexhaustible",(IF(D45=1,"Gamma",D28-D63)))</f>
        <v/>
      </c>
      <c r="E224" s="21">
        <f>IF(E200&lt;0,"inexhaustible",(IF(E45=1,"Gamma",E28-E63)))</f>
        <v/>
      </c>
      <c r="F224" s="21">
        <f>IF(F200&lt;0,"inexhaustible",(IF(F45=1,"Gamma",F28-F63)))</f>
        <v/>
      </c>
    </row>
    <row r="225">
      <c r="B225" s="18" t="n"/>
      <c r="C225" s="75" t="n">
        <v>5</v>
      </c>
      <c r="D225" s="21">
        <f>IF(D201&lt;0,"inexhaustible",(IF(D46=1,"Gamma",D29-D64)))</f>
        <v/>
      </c>
      <c r="E225" s="21">
        <f>IF(E201&lt;0,"inexhaustible",(IF(E46=1,"Gamma",E29-E64)))</f>
        <v/>
      </c>
      <c r="F225" s="21">
        <f>IF(F201&lt;0,"inexhaustible",(IF(F46=1,"Gamma",F29-F64)))</f>
        <v/>
      </c>
    </row>
    <row r="226">
      <c r="B226" s="18" t="n"/>
      <c r="C226" s="75" t="n">
        <v>6</v>
      </c>
      <c r="D226" s="21">
        <f>IF(D202&lt;0,"inexhaustible",(IF(D47=1,"Gamma",D30-D65)))</f>
        <v/>
      </c>
      <c r="E226" s="21">
        <f>IF(E202&lt;0,"inexhaustible",(IF(E47=1,"Gamma",E30-E65)))</f>
        <v/>
      </c>
      <c r="F226" s="21">
        <f>IF(F202&lt;0,"inexhaustible",(IF(F47=1,"Gamma",F30-F65)))</f>
        <v/>
      </c>
    </row>
    <row r="227">
      <c r="B227" s="18" t="n"/>
      <c r="C227" s="18" t="n"/>
      <c r="D227" s="18" t="n"/>
      <c r="E227" s="18" t="n"/>
      <c r="F227" s="18" t="n"/>
    </row>
    <row r="228">
      <c r="B228" s="18" t="n"/>
      <c r="C228" s="18" t="n"/>
      <c r="D228" s="18" t="n"/>
      <c r="E228" s="18" t="n"/>
      <c r="F228" s="18" t="n"/>
    </row>
    <row r="229">
      <c r="B229" s="18" t="n"/>
      <c r="C229" s="36" t="inlineStr">
        <is>
          <t>vSSw</t>
        </is>
      </c>
      <c r="D229" s="75" t="n">
        <v>16</v>
      </c>
      <c r="E229" s="75" t="n">
        <v>17</v>
      </c>
      <c r="F229" s="75" t="n">
        <v>18</v>
      </c>
    </row>
    <row r="230">
      <c r="B230" s="18" t="n"/>
      <c r="C230" s="75" t="n">
        <v>4</v>
      </c>
      <c r="D230" s="33" t="n">
        <v>1069</v>
      </c>
      <c r="E230" s="33" t="n">
        <v>1122</v>
      </c>
      <c r="F230" s="33" t="n">
        <v>1025</v>
      </c>
    </row>
    <row r="231">
      <c r="B231" s="18" t="n"/>
      <c r="C231" s="75" t="n">
        <v>5</v>
      </c>
      <c r="D231" s="33" t="n">
        <v>0</v>
      </c>
      <c r="E231" s="33" t="n">
        <v>1041</v>
      </c>
      <c r="F231" s="33" t="n">
        <v>0</v>
      </c>
    </row>
    <row r="232">
      <c r="B232" s="18" t="n"/>
      <c r="C232" s="75" t="n">
        <v>6</v>
      </c>
      <c r="D232" s="33" t="n">
        <v>0</v>
      </c>
      <c r="E232" s="33" t="n">
        <v>923</v>
      </c>
      <c r="F232" s="33" t="n">
        <v>0</v>
      </c>
    </row>
    <row r="235">
      <c r="C235" s="36" t="inlineStr">
        <is>
          <t>ND*ELT</t>
        </is>
      </c>
      <c r="D235" s="15" t="n">
        <v>1</v>
      </c>
      <c r="E235" s="15" t="n">
        <v>2</v>
      </c>
      <c r="F235" s="15" t="n">
        <v>3</v>
      </c>
    </row>
    <row r="236">
      <c r="C236" s="15" t="n">
        <v>1</v>
      </c>
      <c r="D236" s="92">
        <f>IF(D200&lt;0,"",D4*D200)</f>
        <v/>
      </c>
      <c r="E236" s="92">
        <f>IF(E200&lt;0,"",E4*E200)</f>
        <v/>
      </c>
      <c r="F236" s="92">
        <f>IF(F200&lt;0,"",F4*F200)</f>
        <v/>
      </c>
    </row>
    <row r="237">
      <c r="C237" s="15" t="n">
        <v>2</v>
      </c>
      <c r="D237" s="92">
        <f>IF(D201&lt;0,"",D5*D201)</f>
        <v/>
      </c>
      <c r="E237" s="92">
        <f>IF(E201&lt;0,"",E5*E201)</f>
        <v/>
      </c>
      <c r="F237" s="92">
        <f>IF(F201&lt;0,"",F5*F201)</f>
        <v/>
      </c>
    </row>
    <row r="238">
      <c r="C238" s="15" t="n">
        <v>3</v>
      </c>
      <c r="D238" s="92">
        <f>IF(D202&lt;0,"",D6*D202)</f>
        <v/>
      </c>
      <c r="E238" s="92">
        <f>IF(E202&lt;0,"",E6*E202)</f>
        <v/>
      </c>
      <c r="F238" s="92">
        <f>IF(F202&lt;0,"",F6*F202)</f>
        <v/>
      </c>
    </row>
    <row r="241">
      <c r="C241" s="36" t="inlineStr">
        <is>
          <t>ND*S0</t>
        </is>
      </c>
      <c r="D241" s="15" t="n">
        <v>1</v>
      </c>
      <c r="E241" s="15" t="n">
        <v>2</v>
      </c>
      <c r="F241" s="15" t="n">
        <v>3</v>
      </c>
    </row>
    <row r="242">
      <c r="C242" s="15" t="n">
        <v>1</v>
      </c>
      <c r="D242" s="21">
        <f>D200*D75</f>
        <v/>
      </c>
      <c r="E242" s="21">
        <f>E200*E75</f>
        <v/>
      </c>
      <c r="F242" s="21">
        <f>F200*F75</f>
        <v/>
      </c>
    </row>
    <row r="243">
      <c r="C243" s="15" t="n">
        <v>2</v>
      </c>
      <c r="D243" s="21">
        <f>D201*D76</f>
        <v/>
      </c>
      <c r="E243" s="21">
        <f>E201*E76</f>
        <v/>
      </c>
      <c r="F243" s="21">
        <f>F201*F76</f>
        <v/>
      </c>
    </row>
    <row r="244">
      <c r="C244" s="15" t="n">
        <v>3</v>
      </c>
      <c r="D244" s="21">
        <f>D202*D77</f>
        <v/>
      </c>
      <c r="E244" s="21">
        <f>E202*E77</f>
        <v/>
      </c>
      <c r="F244" s="21">
        <f>F202*F77</f>
        <v/>
      </c>
    </row>
    <row r="245">
      <c r="C245" s="18" t="n"/>
      <c r="D245" s="18" t="n"/>
      <c r="E245" s="18" t="n"/>
      <c r="F245" s="18" t="n"/>
    </row>
    <row r="246">
      <c r="C246" s="18" t="n"/>
      <c r="D246" s="18" t="n"/>
      <c r="E246" s="18" t="n"/>
      <c r="F246" s="18" t="n"/>
    </row>
    <row r="247">
      <c r="C247" s="36" t="inlineStr">
        <is>
          <t>StockConsumf</t>
        </is>
      </c>
      <c r="D247" s="15" t="n">
        <v>1</v>
      </c>
      <c r="E247" s="15" t="n">
        <v>2</v>
      </c>
      <c r="F247" s="15" t="n">
        <v>3</v>
      </c>
    </row>
    <row r="248">
      <c r="C248" s="15" t="n">
        <v>1</v>
      </c>
      <c r="D248" s="21" t="n">
        <v>2986.901137218213</v>
      </c>
      <c r="E248" s="21" t="n">
        <v>987.0728643480383</v>
      </c>
      <c r="F248" s="21" t="n">
        <v>514.2393376806031</v>
      </c>
    </row>
    <row r="249">
      <c r="C249" s="15" t="n">
        <v>2</v>
      </c>
      <c r="D249" s="21" t="n">
        <v>0</v>
      </c>
      <c r="E249" s="21" t="n">
        <v>1351.799043742967</v>
      </c>
      <c r="F249" s="21" t="n">
        <v>0</v>
      </c>
    </row>
    <row r="250">
      <c r="C250" s="15" t="n">
        <v>3</v>
      </c>
      <c r="D250" s="21" t="n">
        <v>0</v>
      </c>
      <c r="E250" s="21" t="n">
        <v>2315.332884758997</v>
      </c>
      <c r="F250" s="21" t="n">
        <v>0</v>
      </c>
    </row>
    <row r="251">
      <c r="C251" s="18" t="n"/>
      <c r="D251" s="18" t="n"/>
      <c r="E251" s="18" t="n"/>
      <c r="F251" s="18" t="n"/>
    </row>
    <row r="252">
      <c r="C252" s="18" t="n"/>
      <c r="D252" s="18" t="n"/>
      <c r="E252" s="18" t="n"/>
      <c r="F252" s="18" t="n"/>
    </row>
    <row r="253">
      <c r="C253" s="36" t="inlineStr">
        <is>
          <t>Backlogf</t>
        </is>
      </c>
      <c r="D253" s="15" t="n">
        <v>1</v>
      </c>
      <c r="E253" s="15" t="n">
        <v>2</v>
      </c>
      <c r="F253" s="15" t="n">
        <v>3</v>
      </c>
    </row>
    <row r="254">
      <c r="C254" s="15" t="n">
        <v>1</v>
      </c>
      <c r="D254" s="21" t="n">
        <v>2241.960467561327</v>
      </c>
      <c r="E254" s="21" t="n">
        <v>-1.862645149230957e-09</v>
      </c>
      <c r="F254" s="21" t="n">
        <v>-1.862645149230957e-09</v>
      </c>
    </row>
    <row r="255">
      <c r="C255" s="15" t="n">
        <v>2</v>
      </c>
      <c r="D255" s="21" t="n">
        <v>0</v>
      </c>
      <c r="E255" s="21" t="n">
        <v>397.2443893525329</v>
      </c>
      <c r="F255" s="21" t="n">
        <v>0</v>
      </c>
    </row>
    <row r="256">
      <c r="C256" s="15" t="n">
        <v>3</v>
      </c>
      <c r="D256" s="21" t="n">
        <v>0</v>
      </c>
      <c r="E256" s="21" t="n">
        <v>1611.19875741836</v>
      </c>
      <c r="F256" s="21" t="n">
        <v>0</v>
      </c>
    </row>
    <row r="257">
      <c r="C257" s="18" t="n"/>
      <c r="D257" s="18" t="inlineStr"/>
      <c r="E257" s="18" t="n"/>
      <c r="F257" s="18" t="n"/>
    </row>
    <row r="258">
      <c r="C258" s="18" t="n"/>
      <c r="D258" s="18" t="inlineStr"/>
      <c r="E258" s="18" t="n"/>
      <c r="F258" s="18" t="n"/>
    </row>
    <row r="259">
      <c r="C259" s="36" t="inlineStr">
        <is>
          <t>Stockrecoveryf</t>
        </is>
      </c>
      <c r="D259" s="15" t="n">
        <v>1</v>
      </c>
      <c r="E259" s="15" t="n">
        <v>2</v>
      </c>
      <c r="F259" s="15" t="n">
        <v>3</v>
      </c>
    </row>
    <row r="260">
      <c r="C260" s="15" t="n">
        <v>1</v>
      </c>
      <c r="D260" s="21" t="n">
        <v>744.9406696568863</v>
      </c>
      <c r="E260" s="21" t="n">
        <v>987.0728643499009</v>
      </c>
      <c r="F260" s="21" t="n">
        <v>514.2393376824657</v>
      </c>
    </row>
    <row r="261">
      <c r="C261" s="15" t="n">
        <v>2</v>
      </c>
      <c r="D261" s="21" t="n">
        <v>0</v>
      </c>
      <c r="E261" s="21" t="n">
        <v>954.5546543904337</v>
      </c>
      <c r="F261" s="21" t="n">
        <v>0</v>
      </c>
    </row>
    <row r="262">
      <c r="C262" s="15" t="n">
        <v>3</v>
      </c>
      <c r="D262" s="21" t="n">
        <v>0</v>
      </c>
      <c r="E262" s="21" t="n">
        <v>704.1341273406368</v>
      </c>
      <c r="F262" s="21" t="n">
        <v>0</v>
      </c>
    </row>
    <row r="263">
      <c r="C263" s="18" t="n"/>
      <c r="D263" s="18" t="inlineStr"/>
      <c r="E263" s="18" t="n"/>
      <c r="F263" s="18" t="n"/>
    </row>
    <row r="264">
      <c r="C264" s="18" t="n"/>
      <c r="D264" s="18" t="inlineStr"/>
      <c r="E264" s="18" t="n"/>
      <c r="F264" s="18" t="n"/>
    </row>
    <row r="265">
      <c r="C265" s="36" t="inlineStr">
        <is>
          <t>ZCapf</t>
        </is>
      </c>
      <c r="D265" s="15" t="n">
        <v>1</v>
      </c>
      <c r="E265" s="15" t="n">
        <v>2</v>
      </c>
      <c r="F265" s="15" t="n">
        <v>3</v>
      </c>
    </row>
    <row r="266">
      <c r="C266" s="15" t="n">
        <v>1</v>
      </c>
      <c r="D266" s="21" t="n">
        <v>3</v>
      </c>
      <c r="E266" s="21" t="n">
        <v>2.883593360809653</v>
      </c>
      <c r="F266" s="21" t="n">
        <v>2.038431234652723</v>
      </c>
    </row>
    <row r="267">
      <c r="C267" s="15" t="n">
        <v>2</v>
      </c>
      <c r="D267" s="21" t="n">
        <v>0</v>
      </c>
      <c r="E267" s="21" t="n">
        <v>3</v>
      </c>
      <c r="F267" s="21" t="n">
        <v>0</v>
      </c>
    </row>
    <row r="268">
      <c r="C268" s="15" t="n">
        <v>3</v>
      </c>
      <c r="D268" s="21" t="n">
        <v>0</v>
      </c>
      <c r="E268" s="21" t="n">
        <v>3</v>
      </c>
      <c r="F268" s="21" t="n">
        <v>0</v>
      </c>
    </row>
    <row r="269">
      <c r="C269" s="18" t="n"/>
      <c r="D269" s="18" t="n"/>
      <c r="E269" s="18" t="n"/>
      <c r="F269" s="18" t="n"/>
    </row>
    <row r="270">
      <c r="C270" s="18" t="n"/>
      <c r="D270" s="18" t="n"/>
      <c r="E270" s="18" t="n"/>
      <c r="F270" s="18" t="n"/>
    </row>
    <row r="271">
      <c r="C271" s="36" t="inlineStr">
        <is>
          <t>PlanStockf</t>
        </is>
      </c>
      <c r="D271" s="15" t="n">
        <v>1</v>
      </c>
      <c r="E271" s="15" t="n">
        <v>2</v>
      </c>
      <c r="F271" s="15" t="n">
        <v>3</v>
      </c>
    </row>
    <row r="272">
      <c r="C272" s="15" t="n">
        <v>1</v>
      </c>
      <c r="D272" s="19">
        <f>'Planned_Beginning_stock '!AT15</f>
        <v/>
      </c>
      <c r="E272" s="19">
        <f>'Planned_Beginning_stock '!AU15</f>
        <v/>
      </c>
      <c r="F272" s="19">
        <f>'Planned_Beginning_stock '!AV15</f>
        <v/>
      </c>
    </row>
    <row r="273">
      <c r="C273" s="15" t="n">
        <v>2</v>
      </c>
      <c r="D273" s="19">
        <f>'Planned_Beginning_stock '!AT16</f>
        <v/>
      </c>
      <c r="E273" s="19">
        <f>'Planned_Beginning_stock '!AU16</f>
        <v/>
      </c>
      <c r="F273" s="19">
        <f>'Planned_Beginning_stock '!AV16</f>
        <v/>
      </c>
    </row>
    <row r="274">
      <c r="C274" s="15" t="n">
        <v>3</v>
      </c>
      <c r="D274" s="19">
        <f>'Planned_Beginning_stock '!AT17</f>
        <v/>
      </c>
      <c r="E274" s="19">
        <f>'Planned_Beginning_stock '!AU17</f>
        <v/>
      </c>
      <c r="F274" s="19">
        <f>'Planned_Beginning_stock '!AV17</f>
        <v/>
      </c>
    </row>
    <row r="275">
      <c r="C275" s="18" t="n"/>
      <c r="D275" s="18" t="n"/>
      <c r="E275" s="18" t="n"/>
      <c r="F275" s="18" t="n"/>
    </row>
    <row r="276">
      <c r="C276" s="18" t="n"/>
      <c r="D276" s="18" t="n"/>
      <c r="E276" s="18" t="n"/>
      <c r="F276" s="18" t="n"/>
    </row>
    <row r="277">
      <c r="C277" s="36" t="inlineStr">
        <is>
          <t>ActualMinStockf</t>
        </is>
      </c>
      <c r="D277" s="15" t="n">
        <v>1</v>
      </c>
      <c r="E277" s="15" t="n">
        <v>2</v>
      </c>
      <c r="F277" s="15" t="n">
        <v>3</v>
      </c>
    </row>
    <row r="278">
      <c r="C278" s="15" t="n">
        <v>1</v>
      </c>
      <c r="D278" s="19" t="n">
        <v>6760</v>
      </c>
      <c r="E278" s="19" t="n">
        <v>10369</v>
      </c>
      <c r="F278" s="19" t="n">
        <v>7425</v>
      </c>
    </row>
    <row r="279">
      <c r="C279" s="15" t="n">
        <v>2</v>
      </c>
      <c r="D279" s="19" t="n">
        <v>0</v>
      </c>
      <c r="E279" s="19" t="n">
        <v>9466</v>
      </c>
      <c r="F279" s="19" t="n">
        <v>0</v>
      </c>
    </row>
    <row r="280">
      <c r="C280" s="15" t="n">
        <v>3</v>
      </c>
      <c r="D280" s="19" t="n">
        <v>0</v>
      </c>
      <c r="E280" s="19" t="n">
        <v>6541</v>
      </c>
      <c r="F280" s="19" t="n">
        <v>0</v>
      </c>
    </row>
    <row r="281">
      <c r="C281" s="18" t="n"/>
      <c r="D281" s="18" t="n"/>
      <c r="E281" s="18" t="n"/>
      <c r="F281" s="18" t="n"/>
    </row>
    <row r="282">
      <c r="C282" s="18" t="n"/>
      <c r="D282" s="18" t="n"/>
      <c r="E282" s="18" t="n"/>
      <c r="F282" s="18" t="n"/>
    </row>
    <row r="283">
      <c r="C283" s="36" t="inlineStr">
        <is>
          <t>ActualRotf</t>
        </is>
      </c>
      <c r="D283" s="15" t="n">
        <v>1</v>
      </c>
      <c r="E283" s="15" t="n">
        <v>2</v>
      </c>
      <c r="F283" s="15" t="n">
        <v>3</v>
      </c>
    </row>
    <row r="284">
      <c r="C284" s="15" t="n">
        <v>1</v>
      </c>
      <c r="D284" s="18" t="n">
        <v>13.42201925940634</v>
      </c>
      <c r="E284" s="18" t="n">
        <v>60.89024605085444</v>
      </c>
      <c r="F284" s="18" t="n">
        <v>52.74936061381074</v>
      </c>
    </row>
    <row r="285">
      <c r="C285" s="15" t="n">
        <v>2</v>
      </c>
      <c r="D285" s="18" t="n">
        <v>0</v>
      </c>
      <c r="E285" s="18" t="n">
        <v>49.72422125334872</v>
      </c>
      <c r="F285" s="18" t="n">
        <v>0</v>
      </c>
    </row>
    <row r="286">
      <c r="C286" s="15" t="n">
        <v>3</v>
      </c>
      <c r="D286" s="18" t="n">
        <v>0</v>
      </c>
      <c r="E286" s="18" t="n">
        <v>18.63479672943791</v>
      </c>
      <c r="F286" s="18" t="n">
        <v>0</v>
      </c>
    </row>
    <row r="287">
      <c r="C287" s="18" t="n"/>
      <c r="D287" s="18" t="n"/>
      <c r="E287" s="18" t="n"/>
      <c r="F287" s="18" t="n"/>
    </row>
    <row r="288">
      <c r="C288" s="18" t="n"/>
      <c r="D288" s="18" t="n"/>
      <c r="E288" s="18" t="n"/>
      <c r="F288" s="18" t="n"/>
    </row>
    <row r="289">
      <c r="C289" s="36" t="inlineStr">
        <is>
          <t>MaxNumOfCyclesf</t>
        </is>
      </c>
      <c r="D289" s="15" t="n">
        <v>1</v>
      </c>
      <c r="E289" s="15" t="n">
        <v>2</v>
      </c>
      <c r="F289" s="15" t="n">
        <v>3</v>
      </c>
    </row>
    <row r="290">
      <c r="C290" s="15" t="n">
        <v>1</v>
      </c>
      <c r="D290" s="88" t="n">
        <v>2.745350636000478</v>
      </c>
      <c r="E290" s="88" t="n">
        <v>9.337562651564857</v>
      </c>
      <c r="F290" s="88" t="n">
        <v>12.89400161667337</v>
      </c>
    </row>
    <row r="291">
      <c r="C291" s="15" t="n">
        <v>2</v>
      </c>
      <c r="D291" s="88" t="n">
        <v>0</v>
      </c>
      <c r="E291" s="88" t="n">
        <v>7.384054240176525</v>
      </c>
      <c r="F291" s="88" t="n">
        <v>0</v>
      </c>
    </row>
    <row r="292">
      <c r="C292" s="15" t="n">
        <v>3</v>
      </c>
      <c r="D292" s="88" t="n">
        <v>0</v>
      </c>
      <c r="E292" s="88" t="n">
        <v>3.390610758631352</v>
      </c>
      <c r="F292" s="88" t="n">
        <v>0</v>
      </c>
    </row>
  </sheetData>
  <conditionalFormatting sqref="D10:F12">
    <cfRule type="expression" priority="19" dxfId="3">
      <formula>D10&gt;0</formula>
    </cfRule>
    <cfRule type="expression" priority="20" dxfId="8">
      <formula>"D40&lt;0"</formula>
    </cfRule>
  </conditionalFormatting>
  <conditionalFormatting sqref="D16:F18">
    <cfRule type="expression" priority="17" dxfId="3">
      <formula>D16&gt;0</formula>
    </cfRule>
    <cfRule type="expression" priority="18" dxfId="8">
      <formula>D16&lt;0</formula>
    </cfRule>
  </conditionalFormatting>
  <conditionalFormatting sqref="D22:F24">
    <cfRule type="expression" priority="15" dxfId="3">
      <formula>D22&gt;0</formula>
    </cfRule>
    <cfRule type="expression" priority="16" dxfId="8">
      <formula>D22&lt;0</formula>
    </cfRule>
  </conditionalFormatting>
  <conditionalFormatting sqref="D28:F30">
    <cfRule type="expression" priority="13" dxfId="3">
      <formula>D28&gt;0</formula>
    </cfRule>
    <cfRule type="expression" priority="14" dxfId="8">
      <formula>D28&lt;0</formula>
    </cfRule>
  </conditionalFormatting>
  <conditionalFormatting sqref="D34:F36">
    <cfRule type="cellIs" priority="6" operator="equal" dxfId="9">
      <formula>1</formula>
    </cfRule>
  </conditionalFormatting>
  <conditionalFormatting sqref="D39:F41">
    <cfRule type="cellIs" priority="7" operator="equal" dxfId="9">
      <formula>1</formula>
    </cfRule>
  </conditionalFormatting>
  <conditionalFormatting sqref="D45:F47">
    <cfRule type="cellIs" priority="21" operator="equal" dxfId="9">
      <formula>1</formula>
    </cfRule>
  </conditionalFormatting>
  <conditionalFormatting sqref="D51:F53">
    <cfRule type="cellIs" priority="9" operator="equal" dxfId="9">
      <formula>1</formula>
    </cfRule>
  </conditionalFormatting>
  <conditionalFormatting sqref="D57:F59">
    <cfRule type="cellIs" priority="8" operator="equal" dxfId="9">
      <formula>1</formula>
    </cfRule>
  </conditionalFormatting>
  <conditionalFormatting sqref="D104:F106">
    <cfRule type="cellIs" priority="22" operator="lessThan" dxfId="3">
      <formula>0</formula>
    </cfRule>
  </conditionalFormatting>
  <conditionalFormatting sqref="D110:F112">
    <cfRule type="cellIs" priority="10" operator="equal" dxfId="9">
      <formula>1</formula>
    </cfRule>
  </conditionalFormatting>
  <conditionalFormatting sqref="D116:F118">
    <cfRule type="cellIs" priority="11" operator="equal" dxfId="9">
      <formula>1</formula>
    </cfRule>
  </conditionalFormatting>
  <conditionalFormatting sqref="D122:F124">
    <cfRule type="cellIs" priority="12" operator="equal" dxfId="9">
      <formula>1</formula>
    </cfRule>
  </conditionalFormatting>
  <conditionalFormatting sqref="D140:F142">
    <cfRule type="cellIs" priority="5" operator="equal" dxfId="9">
      <formula>1</formula>
    </cfRule>
  </conditionalFormatting>
  <conditionalFormatting sqref="D146:F148">
    <cfRule type="cellIs" priority="4" operator="equal" dxfId="9">
      <formula>1</formula>
    </cfRule>
  </conditionalFormatting>
  <conditionalFormatting sqref="D152:F154">
    <cfRule type="cellIs" priority="3" operator="equal" dxfId="9">
      <formula>1</formula>
    </cfRule>
  </conditionalFormatting>
  <conditionalFormatting sqref="D158:F160">
    <cfRule type="cellIs" priority="23" operator="equal" dxfId="8">
      <formula>0</formula>
    </cfRule>
  </conditionalFormatting>
  <conditionalFormatting sqref="D206:F208">
    <cfRule type="expression" priority="29" dxfId="3">
      <formula>D206&lt;D4</formula>
    </cfRule>
    <cfRule type="containsText" priority="31" operator="containsText" dxfId="2" text="inexhaustible">
      <formula>NOT(ISERROR(SEARCH("inexhaustible",D206)))</formula>
    </cfRule>
  </conditionalFormatting>
  <conditionalFormatting sqref="D224:F226">
    <cfRule type="expression" priority="27" dxfId="3">
      <formula>D224&lt;D32</formula>
    </cfRule>
    <cfRule type="containsText" priority="28" operator="containsText" dxfId="2" text="inexhaustible">
      <formula>NOT(ISERROR(SEARCH("inexhaustible",D224)))</formula>
    </cfRule>
  </conditionalFormatting>
  <conditionalFormatting sqref="D230:F232">
    <cfRule type="expression" priority="25" dxfId="3">
      <formula>D230&lt;D38</formula>
    </cfRule>
    <cfRule type="containsText" priority="26" operator="containsText" dxfId="2" text="inexhaustible">
      <formula>NOT(ISERROR(SEARCH("inexhaustible",D230)))</formula>
    </cfRule>
  </conditionalFormatting>
  <conditionalFormatting sqref="D242:F244">
    <cfRule type="cellIs" priority="1" operator="equal" dxfId="1">
      <formula>0</formula>
    </cfRule>
    <cfRule type="cellIs" priority="2" operator="greaterThan" dxfId="0">
      <formula>0</formula>
    </cfRule>
  </conditionalFormatting>
  <pageMargins left="0.511811024" right="0.511811024" top="0.787401575" bottom="0.787401575" header="0.31496062" footer="0.31496062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3:M63"/>
  <sheetViews>
    <sheetView topLeftCell="A16" zoomScale="90" zoomScaleNormal="90" workbookViewId="0">
      <selection activeCell="D22" sqref="D22:F23"/>
    </sheetView>
  </sheetViews>
  <sheetFormatPr baseColWidth="8" defaultRowHeight="14.4"/>
  <cols>
    <col width="18.5546875" customWidth="1" min="3" max="3"/>
    <col width="13.6640625" bestFit="1" customWidth="1" min="4" max="4"/>
    <col width="12.5546875" bestFit="1" customWidth="1" min="5" max="6"/>
    <col width="19.44140625" customWidth="1" min="8" max="8"/>
    <col width="10.6640625" bestFit="1" customWidth="1" min="9" max="9"/>
    <col width="8.5546875" bestFit="1" customWidth="1" min="10" max="10"/>
    <col width="19.88671875" bestFit="1" customWidth="1" min="11" max="11"/>
    <col width="8" bestFit="1" customWidth="1" min="12" max="12"/>
    <col width="7.44140625" bestFit="1" customWidth="1" min="13" max="13"/>
  </cols>
  <sheetData>
    <row r="3">
      <c r="C3" s="3" t="inlineStr">
        <is>
          <t>Repl (R$)</t>
        </is>
      </c>
      <c r="D3" s="75" t="n"/>
      <c r="E3" s="75" t="n"/>
      <c r="F3" s="75" t="n"/>
    </row>
    <row r="4">
      <c r="D4" s="75" t="n">
        <v>19</v>
      </c>
      <c r="E4" s="75" t="n">
        <v>20</v>
      </c>
      <c r="F4" s="75" t="n">
        <v>21</v>
      </c>
      <c r="H4" s="3" t="inlineStr">
        <is>
          <t>SOMA</t>
        </is>
      </c>
    </row>
    <row r="5">
      <c r="C5" s="75" t="n">
        <v>9</v>
      </c>
      <c r="D5" s="11" t="n">
        <v>5050239.464811449</v>
      </c>
      <c r="E5" s="11" t="n">
        <v>0</v>
      </c>
      <c r="F5" s="11" t="n">
        <v>0</v>
      </c>
      <c r="H5" s="3">
        <f>SUM(Distributors_Stock_Replenishment)</f>
        <v/>
      </c>
    </row>
    <row r="6">
      <c r="C6" s="75" t="n">
        <v>10</v>
      </c>
      <c r="D6" s="11" t="n">
        <v>10467061.58348654</v>
      </c>
      <c r="E6" s="11" t="n">
        <v>0</v>
      </c>
      <c r="F6" s="11" t="n">
        <v>2602928.271902476</v>
      </c>
    </row>
    <row r="7">
      <c r="C7" s="75" t="n"/>
      <c r="D7" s="3" t="n"/>
      <c r="E7" s="3" t="n"/>
      <c r="F7" s="3" t="n"/>
    </row>
    <row r="8">
      <c r="C8" s="75" t="n"/>
      <c r="D8" s="3" t="n"/>
      <c r="E8" s="3" t="n"/>
      <c r="F8" s="3" t="n"/>
    </row>
    <row r="9">
      <c r="C9" s="3" t="inlineStr">
        <is>
          <t>Beg (R$)</t>
        </is>
      </c>
      <c r="D9" s="75" t="n">
        <v>19</v>
      </c>
      <c r="E9" s="75" t="n">
        <v>20</v>
      </c>
      <c r="F9" s="75" t="n">
        <v>21</v>
      </c>
    </row>
    <row r="10">
      <c r="C10" s="75" t="n">
        <v>9</v>
      </c>
      <c r="D10" s="11" t="n">
        <v>1194728.05</v>
      </c>
      <c r="E10" s="11" t="n">
        <v>757652.9400000001</v>
      </c>
      <c r="F10" s="11" t="n">
        <v>1456738.68</v>
      </c>
      <c r="H10" s="3">
        <f>SUM(Distributors_Stock_Begining)</f>
        <v/>
      </c>
    </row>
    <row r="11">
      <c r="C11" s="75" t="n">
        <v>10</v>
      </c>
      <c r="D11" s="11" t="n">
        <v>933993.1</v>
      </c>
      <c r="E11" s="11" t="n">
        <v>1843388.56</v>
      </c>
      <c r="F11" s="11" t="n">
        <v>3051613.04</v>
      </c>
    </row>
    <row r="12">
      <c r="C12" s="75" t="n"/>
      <c r="D12" s="3" t="n"/>
      <c r="E12" s="3" t="n"/>
      <c r="F12" s="3" t="n"/>
    </row>
    <row r="13">
      <c r="C13" s="75" t="n"/>
      <c r="D13" s="3" t="n"/>
      <c r="E13" s="3" t="n"/>
      <c r="F13" s="3" t="n"/>
    </row>
    <row r="14">
      <c r="C14" s="3" t="inlineStr">
        <is>
          <t>Dem (R$)</t>
        </is>
      </c>
    </row>
    <row r="15">
      <c r="D15" s="75" t="n">
        <v>19</v>
      </c>
      <c r="E15" s="75" t="n">
        <v>20</v>
      </c>
      <c r="F15" s="75" t="n">
        <v>21</v>
      </c>
    </row>
    <row r="16">
      <c r="C16" s="75" t="n">
        <v>9</v>
      </c>
      <c r="D16" s="11" t="n">
        <v>3280876.639040315</v>
      </c>
      <c r="E16" s="11" t="n">
        <v>0</v>
      </c>
      <c r="F16" s="11" t="n">
        <v>0</v>
      </c>
      <c r="H16" s="3">
        <f>SUM(Distributors_Stock_Demand)</f>
        <v/>
      </c>
    </row>
    <row r="17">
      <c r="C17" s="75" t="n">
        <v>10</v>
      </c>
      <c r="D17" s="11" t="n">
        <v>6017628.78622947</v>
      </c>
      <c r="E17" s="11" t="n">
        <v>0</v>
      </c>
      <c r="F17" s="11" t="n">
        <v>2715090.111044708</v>
      </c>
    </row>
    <row r="18">
      <c r="C18" s="75" t="n"/>
      <c r="D18" s="3" t="n"/>
      <c r="E18" s="3" t="n"/>
      <c r="F18" s="3" t="n"/>
    </row>
    <row r="19">
      <c r="C19" s="75" t="n"/>
      <c r="D19" s="3" t="n"/>
      <c r="E19" s="3" t="n"/>
      <c r="F19" s="3" t="n"/>
    </row>
    <row r="20">
      <c r="C20" s="3" t="inlineStr">
        <is>
          <t>Final (R$)</t>
        </is>
      </c>
    </row>
    <row r="21">
      <c r="D21" s="75" t="n">
        <v>19</v>
      </c>
      <c r="E21" s="75" t="n">
        <v>20</v>
      </c>
      <c r="F21" s="75" t="n">
        <v>21</v>
      </c>
    </row>
    <row r="22">
      <c r="C22" s="75" t="n">
        <v>9</v>
      </c>
      <c r="D22" s="3">
        <f>D10-D16+D5</f>
        <v/>
      </c>
      <c r="E22" s="3">
        <f>E10-E16+E5</f>
        <v/>
      </c>
      <c r="F22" s="3">
        <f>F10-F16+F5</f>
        <v/>
      </c>
      <c r="H22" s="3">
        <f>SUM(D22:F23)</f>
        <v/>
      </c>
    </row>
    <row r="23">
      <c r="C23" s="75" t="n">
        <v>10</v>
      </c>
      <c r="D23" s="3">
        <f>D11-D17+D6</f>
        <v/>
      </c>
      <c r="E23" s="3">
        <f>E11-E17+E6</f>
        <v/>
      </c>
      <c r="F23" s="3">
        <f>F11-F17+F6</f>
        <v/>
      </c>
    </row>
    <row r="24">
      <c r="C24" s="75" t="n"/>
      <c r="D24" s="3" t="n"/>
      <c r="E24" s="3" t="n"/>
      <c r="F24" s="3" t="n"/>
    </row>
    <row r="25">
      <c r="C25" s="75" t="n"/>
      <c r="D25" s="3" t="n"/>
      <c r="E25" s="3" t="n"/>
      <c r="F25" s="3" t="n"/>
    </row>
    <row r="26">
      <c r="C26" s="3" t="inlineStr">
        <is>
          <t>Final (dias)</t>
        </is>
      </c>
      <c r="D26" s="75" t="n">
        <v>19</v>
      </c>
      <c r="E26" s="75" t="n">
        <v>20</v>
      </c>
      <c r="F26" s="75" t="n">
        <v>21</v>
      </c>
    </row>
    <row r="27">
      <c r="C27" s="75" t="n">
        <v>9</v>
      </c>
      <c r="D27" s="2">
        <f>IF(Demand!AU19&gt;Distributors_Cap!D13,(D22/Distributors!P6)/(Demand!AU19-Distributors_Cap!D13),"Inesgotável")</f>
        <v/>
      </c>
      <c r="E27" s="2">
        <f>IF(Demand!AV19&gt;Distributors_Cap!E13,(E22/Distributors!Q6)/(Demand!AV19-Distributors_Cap!E13),"Inesgotável")</f>
        <v/>
      </c>
      <c r="F27" s="2">
        <f>IF(Demand!AW19&gt;Distributors_Cap!F13,(F22/Distributors!R6)/(Demand!AW19-Distributors_Cap!F13),"Inesgotável")</f>
        <v/>
      </c>
    </row>
    <row r="28">
      <c r="C28" s="75" t="n">
        <v>10</v>
      </c>
      <c r="D28" s="2">
        <f>IF(Demand!AU20&gt;Distributors_Cap!D14,(D23/Distributors!P7)/(Demand!AU20-Distributors_Cap!D14),"Inesgotável")</f>
        <v/>
      </c>
      <c r="E28" s="2">
        <f>IF(Demand!AV20&gt;Distributors_Cap!E14,(E23/Distributors!Q7)/(Demand!AV20-Distributors_Cap!E14),"Inesgotável")</f>
        <v/>
      </c>
      <c r="F28" s="2">
        <f>IF(Demand!AW20&gt;Distributors_Cap!F14,(F23/Distributors!R7)/(Demand!AW20-Distributors_Cap!F14),"Inesgotável")</f>
        <v/>
      </c>
    </row>
    <row r="29">
      <c r="C29" s="75" t="n"/>
      <c r="D29" s="3" t="n"/>
      <c r="E29" s="3" t="n"/>
      <c r="F29" s="3" t="n"/>
    </row>
    <row r="30">
      <c r="C30" s="75" t="n"/>
      <c r="D30" s="3" t="n"/>
      <c r="E30" s="3" t="n"/>
      <c r="F30" s="3" t="n"/>
    </row>
    <row r="31">
      <c r="C31" s="75" t="inlineStr">
        <is>
          <t>Lambdad</t>
        </is>
      </c>
      <c r="D31" s="75" t="n">
        <v>19</v>
      </c>
      <c r="E31" s="75" t="n">
        <v>20</v>
      </c>
      <c r="F31" s="75" t="n">
        <v>21</v>
      </c>
    </row>
    <row r="32">
      <c r="C32" s="75" t="n">
        <v>9</v>
      </c>
      <c r="D32" s="2">
        <f>Distributors!P16</f>
        <v/>
      </c>
      <c r="E32" s="2">
        <f>Distributors!Q16</f>
        <v/>
      </c>
      <c r="F32" s="2">
        <f>Distributors!R16</f>
        <v/>
      </c>
    </row>
    <row r="33">
      <c r="C33" s="75" t="n">
        <v>10</v>
      </c>
      <c r="D33" s="2">
        <f>Distributors!P17</f>
        <v/>
      </c>
      <c r="E33" s="2">
        <f>Distributors!Q17</f>
        <v/>
      </c>
      <c r="F33" s="2">
        <f>Distributors!R17</f>
        <v/>
      </c>
    </row>
    <row r="36">
      <c r="C36" s="12" t="inlineStr">
        <is>
          <t>Final / Lambda</t>
        </is>
      </c>
      <c r="D36" s="75" t="n">
        <v>19</v>
      </c>
      <c r="E36" s="75" t="n">
        <v>20</v>
      </c>
      <c r="F36" s="75" t="n">
        <v>21</v>
      </c>
      <c r="I36" t="inlineStr">
        <is>
          <t>Inesgotável</t>
        </is>
      </c>
      <c r="J36" t="inlineStr">
        <is>
          <t>Big stock</t>
        </is>
      </c>
      <c r="K36" t="inlineStr">
        <is>
          <t>Razão (Final/Lambda)</t>
        </is>
      </c>
      <c r="L36" t="inlineStr">
        <is>
          <t>Máximo</t>
        </is>
      </c>
      <c r="M36" t="inlineStr">
        <is>
          <t>Mínimo</t>
        </is>
      </c>
    </row>
    <row r="37">
      <c r="C37" s="75" t="n">
        <v>9</v>
      </c>
      <c r="D37" s="2">
        <f>IF(D16&gt;0,IF(D5=0,"Big stock",D27/D32),"Inesgotável")</f>
        <v/>
      </c>
      <c r="E37" s="2">
        <f>IF(E16&gt;0,IF(E5=0,"Big stock",E27/E32),"Inesgotável")</f>
        <v/>
      </c>
      <c r="F37" s="2">
        <f>IF(F16&gt;0,IF(F5=0,"Big stock",F27/F32),"Inesgotável")</f>
        <v/>
      </c>
      <c r="I37">
        <f>COUNTIFS(D37:F38,"Inesgotável")</f>
        <v/>
      </c>
      <c r="J37">
        <f>COUNTIFS(D37:F38,"Big stock")</f>
        <v/>
      </c>
      <c r="K37">
        <f>COUNT(D37:F38)</f>
        <v/>
      </c>
      <c r="L37" s="13">
        <f>MAX(D37:F38)</f>
        <v/>
      </c>
      <c r="M37" s="13">
        <f>MIN(D37:F38)</f>
        <v/>
      </c>
    </row>
    <row r="38">
      <c r="C38" s="75" t="n">
        <v>10</v>
      </c>
      <c r="D38" s="2">
        <f>IF(D17&gt;0,IF(D6=0,"Big stock",D28/D33),"Inesgotável")</f>
        <v/>
      </c>
      <c r="E38" s="2">
        <f>IF(E17&gt;0,IF(E6=0,"Big stock",E28/E33),"Inesgotável")</f>
        <v/>
      </c>
      <c r="F38" s="2">
        <f>IF(F17&gt;0,IF(F6=0,"Big stock",F28/F33),"Inesgotável")</f>
        <v/>
      </c>
    </row>
    <row r="39">
      <c r="C39" s="75" t="n"/>
      <c r="D39" s="75" t="n"/>
      <c r="E39" s="75" t="n"/>
      <c r="F39" s="75" t="n"/>
    </row>
    <row r="40">
      <c r="C40" s="75" t="n"/>
      <c r="D40" s="75" t="n"/>
      <c r="E40" s="75" t="n"/>
      <c r="F40" s="75" t="n"/>
    </row>
    <row r="41">
      <c r="C41" s="75" t="inlineStr">
        <is>
          <t>MaxSOf+Ld-Sd</t>
        </is>
      </c>
      <c r="D41" s="75" t="n">
        <v>19</v>
      </c>
      <c r="E41" s="75" t="n">
        <v>20</v>
      </c>
      <c r="F41" s="75" t="n">
        <v>21</v>
      </c>
    </row>
    <row r="42">
      <c r="C42" s="75" t="n">
        <v>9</v>
      </c>
      <c r="D42" s="2">
        <f>Distributors_Cap!L22</f>
        <v/>
      </c>
      <c r="E42" s="2">
        <f>Distributors_Cap!M22</f>
        <v/>
      </c>
      <c r="F42" s="2">
        <f>Distributors_Cap!N22</f>
        <v/>
      </c>
    </row>
    <row r="43">
      <c r="C43" s="75" t="n">
        <v>10</v>
      </c>
      <c r="D43" s="2">
        <f>Distributors_Cap!L23</f>
        <v/>
      </c>
      <c r="E43" s="2">
        <f>Distributors_Cap!M23</f>
        <v/>
      </c>
      <c r="F43" s="2">
        <f>Distributors_Cap!N23</f>
        <v/>
      </c>
    </row>
    <row r="45">
      <c r="C45" s="75" t="n"/>
      <c r="D45" s="75" t="n"/>
      <c r="E45" s="75" t="n"/>
      <c r="F45" s="75" t="n"/>
    </row>
    <row r="46" ht="28.8" customHeight="1">
      <c r="C46" s="12" t="inlineStr">
        <is>
          <t>Replenishment - (MaxSOf+Ld-Sd)</t>
        </is>
      </c>
      <c r="D46" s="75" t="n">
        <v>19</v>
      </c>
      <c r="E46" s="75" t="n">
        <v>20</v>
      </c>
      <c r="F46" s="75" t="n">
        <v>21</v>
      </c>
    </row>
    <row r="47">
      <c r="C47" s="75" t="n">
        <v>9</v>
      </c>
      <c r="D47" s="2">
        <f>IF(D5=0,"no repl",D27-D42)</f>
        <v/>
      </c>
      <c r="E47" s="2">
        <f>IF(E5=0,"no repl",E27-E42)</f>
        <v/>
      </c>
      <c r="F47" s="2">
        <f>IF(F5=0,"no repl",F27-F42)</f>
        <v/>
      </c>
    </row>
    <row r="48">
      <c r="C48" s="75" t="n">
        <v>10</v>
      </c>
      <c r="D48" s="2">
        <f>IF(D6=0,"no repl",D28-D43)</f>
        <v/>
      </c>
      <c r="E48" s="2">
        <f>IF(E6=0,"no repl",E28-E43)</f>
        <v/>
      </c>
      <c r="F48" s="2">
        <f>IF(F6=0,"no repl",F28-F43)</f>
        <v/>
      </c>
    </row>
    <row r="53">
      <c r="C53" s="75" t="n"/>
      <c r="D53" s="75" t="n"/>
      <c r="E53" s="75" t="n"/>
      <c r="F53" s="75" t="n"/>
    </row>
    <row r="54">
      <c r="C54" s="75" t="n"/>
      <c r="D54" s="75" t="n"/>
      <c r="E54" s="75" t="n"/>
      <c r="F54" s="75" t="n"/>
    </row>
    <row r="55">
      <c r="C55" s="75" t="n"/>
      <c r="D55" s="75" t="n"/>
      <c r="E55" s="75" t="n"/>
      <c r="F55" s="75" t="n"/>
    </row>
    <row r="61">
      <c r="C61" s="75" t="n"/>
      <c r="D61" s="75" t="n"/>
      <c r="E61" s="75" t="n"/>
      <c r="F61" s="75" t="n"/>
    </row>
    <row r="62">
      <c r="C62" s="75" t="n"/>
      <c r="D62" s="75" t="n"/>
      <c r="E62" s="75" t="n"/>
      <c r="F62" s="75" t="n"/>
    </row>
    <row r="63">
      <c r="C63" s="75" t="n"/>
      <c r="D63" s="75" t="n"/>
      <c r="E63" s="75" t="n"/>
      <c r="F63" s="75" t="n"/>
    </row>
  </sheetData>
  <pageMargins left="0.511811024" right="0.511811024" top="0.787401575" bottom="0.787401575" header="0.31496062" footer="0.31496062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C1:BR195"/>
  <sheetViews>
    <sheetView zoomScale="90" zoomScaleNormal="90" workbookViewId="0">
      <selection activeCell="D5" sqref="D5:F194"/>
    </sheetView>
  </sheetViews>
  <sheetFormatPr baseColWidth="8" defaultRowHeight="14.4"/>
  <cols>
    <col width="10.33203125" customWidth="1" min="3" max="3"/>
    <col width="11" bestFit="1" customWidth="1" min="4" max="5"/>
    <col width="12.5546875" bestFit="1" customWidth="1" min="6" max="6"/>
    <col width="17.33203125" customWidth="1" min="7" max="7"/>
    <col width="10.33203125" customWidth="1" min="8" max="9"/>
    <col width="11" bestFit="1" customWidth="1" min="10" max="12"/>
    <col width="15.88671875" customWidth="1" min="13" max="13"/>
    <col width="10.33203125" customWidth="1" min="14" max="15"/>
    <col width="11" bestFit="1" customWidth="1" min="16" max="18"/>
    <col width="18.6640625" customWidth="1" min="19" max="19"/>
    <col width="11.33203125" customWidth="1" min="21" max="21"/>
    <col width="12.33203125" customWidth="1" min="22" max="24"/>
    <col width="18.44140625" customWidth="1" min="25" max="25"/>
    <col width="11.88671875" customWidth="1" min="27" max="30"/>
    <col width="11" customWidth="1" style="75" min="33" max="33"/>
    <col width="8.88671875" customWidth="1" style="75" min="34" max="36"/>
    <col width="16" bestFit="1" customWidth="1" min="39" max="39"/>
    <col width="13.6640625" customWidth="1" min="40" max="42"/>
    <col width="15.5546875" customWidth="1" min="45" max="45"/>
    <col width="11.6640625" customWidth="1" min="46" max="48"/>
    <col width="20.88671875" customWidth="1" min="51" max="51"/>
    <col width="11.5546875" customWidth="1" min="52" max="54"/>
  </cols>
  <sheetData>
    <row r="1" ht="28.8" customHeight="1">
      <c r="AM1" s="75" t="inlineStr">
        <is>
          <t>Inesgotável</t>
        </is>
      </c>
      <c r="AN1" s="75" t="inlineStr">
        <is>
          <t>Big stock</t>
        </is>
      </c>
      <c r="AO1" s="12" t="inlineStr">
        <is>
          <t>Razão (Final/Lambda)</t>
        </is>
      </c>
      <c r="AP1" s="75" t="inlineStr">
        <is>
          <t>Máximo</t>
        </is>
      </c>
      <c r="AQ1" s="75" t="inlineStr">
        <is>
          <t>Mínimo</t>
        </is>
      </c>
    </row>
    <row r="2">
      <c r="AM2" s="75">
        <f>COUNTIFS(AN5:AP194,"Inesgotável")</f>
        <v/>
      </c>
      <c r="AN2" s="75">
        <f>COUNTIFS(AN5:AP194,"Big stock")</f>
        <v/>
      </c>
      <c r="AO2" s="75">
        <f>COUNT(AN5:AP194)</f>
        <v/>
      </c>
      <c r="AP2" s="2">
        <f>MAX(AN5:AP194)</f>
        <v/>
      </c>
      <c r="AQ2" s="2">
        <f>MIN(AN5:AP194)</f>
        <v/>
      </c>
    </row>
    <row r="3">
      <c r="D3" s="75" t="n"/>
      <c r="E3" s="75" t="n"/>
      <c r="F3" s="75" t="n"/>
    </row>
    <row r="4" ht="28.8" customHeight="1">
      <c r="C4" s="3" t="inlineStr">
        <is>
          <t>Repl (R$)</t>
        </is>
      </c>
      <c r="D4" s="75" t="n">
        <v>22</v>
      </c>
      <c r="E4" s="75" t="n">
        <v>23</v>
      </c>
      <c r="F4" s="75" t="n">
        <v>24</v>
      </c>
      <c r="G4" s="75" t="inlineStr">
        <is>
          <t>SOMA</t>
        </is>
      </c>
      <c r="I4" s="3" t="inlineStr">
        <is>
          <t>Beg (R$)</t>
        </is>
      </c>
      <c r="J4" s="75" t="n">
        <v>22</v>
      </c>
      <c r="K4" s="75" t="n">
        <v>23</v>
      </c>
      <c r="L4" s="75" t="n">
        <v>24</v>
      </c>
      <c r="M4" s="75" t="inlineStr">
        <is>
          <t>SOMA</t>
        </is>
      </c>
      <c r="O4" s="3" t="inlineStr">
        <is>
          <t>Dem (R$)</t>
        </is>
      </c>
      <c r="P4" s="75" t="n">
        <v>22</v>
      </c>
      <c r="Q4" s="75" t="n">
        <v>23</v>
      </c>
      <c r="R4" s="75" t="n">
        <v>24</v>
      </c>
      <c r="S4" s="75" t="inlineStr">
        <is>
          <t>SOMA</t>
        </is>
      </c>
      <c r="U4" s="3" t="inlineStr">
        <is>
          <t>Final (R$)</t>
        </is>
      </c>
      <c r="V4" s="75" t="n">
        <v>22</v>
      </c>
      <c r="W4" s="75" t="n">
        <v>23</v>
      </c>
      <c r="X4" s="75" t="n">
        <v>24</v>
      </c>
      <c r="Y4" s="75" t="inlineStr">
        <is>
          <t>SOMA</t>
        </is>
      </c>
      <c r="AA4" s="3" t="inlineStr">
        <is>
          <t>Final (dias)</t>
        </is>
      </c>
      <c r="AB4" s="75" t="n">
        <v>22</v>
      </c>
      <c r="AC4" s="75" t="n">
        <v>23</v>
      </c>
      <c r="AD4" s="75" t="n">
        <v>24</v>
      </c>
      <c r="AG4" s="75" t="inlineStr">
        <is>
          <t>Lambdar</t>
        </is>
      </c>
      <c r="AH4" s="75" t="n">
        <v>22</v>
      </c>
      <c r="AI4" s="75" t="n">
        <v>23</v>
      </c>
      <c r="AJ4" s="75" t="n">
        <v>24</v>
      </c>
      <c r="AM4" t="inlineStr">
        <is>
          <t>Final / Lambda</t>
        </is>
      </c>
      <c r="AN4" s="75" t="n">
        <v>22</v>
      </c>
      <c r="AO4" s="75" t="n">
        <v>23</v>
      </c>
      <c r="AP4" s="75" t="n">
        <v>24</v>
      </c>
      <c r="AS4" s="75" t="inlineStr">
        <is>
          <t>MaxSOd+Lr-Sr</t>
        </is>
      </c>
      <c r="AT4" s="75" t="n">
        <v>22</v>
      </c>
      <c r="AU4" s="75" t="n">
        <v>23</v>
      </c>
      <c r="AV4" s="75" t="n">
        <v>24</v>
      </c>
      <c r="AY4" s="12" t="inlineStr">
        <is>
          <t>Replenishment - (MaxSOd+Lr-Sr)</t>
        </is>
      </c>
      <c r="AZ4" s="75" t="n">
        <v>22</v>
      </c>
      <c r="BA4" s="75" t="n">
        <v>23</v>
      </c>
      <c r="BB4" s="75" t="n">
        <v>24</v>
      </c>
    </row>
    <row r="5">
      <c r="C5" s="75" t="n">
        <v>11</v>
      </c>
      <c r="D5" s="11" t="n">
        <v>251325.5875322986</v>
      </c>
      <c r="E5" s="11" t="n">
        <v>222473.1543970975</v>
      </c>
      <c r="F5" s="11" t="n">
        <v>83120.40501600456</v>
      </c>
      <c r="G5" s="3">
        <f>SUM(Retailers_Stock_Replenishment)</f>
        <v/>
      </c>
      <c r="I5" s="75" t="n">
        <v>11</v>
      </c>
      <c r="J5" s="11" t="n">
        <v>77792.64</v>
      </c>
      <c r="K5" s="11" t="n">
        <v>17663.35</v>
      </c>
      <c r="L5" s="11" t="n">
        <v>20258.75</v>
      </c>
      <c r="M5" s="3">
        <f>SUM(Retailers_Stock_Begining)</f>
        <v/>
      </c>
      <c r="O5" s="75" t="n">
        <v>11</v>
      </c>
      <c r="P5" s="11" t="n">
        <v>163710.0829635225</v>
      </c>
      <c r="Q5" s="11" t="n">
        <v>137049.3958670761</v>
      </c>
      <c r="R5" s="11" t="n">
        <v>51091.2249479311</v>
      </c>
      <c r="S5" s="3">
        <f>SUM(Retailers_Stock_Demand)</f>
        <v/>
      </c>
      <c r="U5" s="75" t="n">
        <v>11</v>
      </c>
      <c r="V5" s="3">
        <f>J5-P5+D5</f>
        <v/>
      </c>
      <c r="W5" s="3">
        <f>K5-Q5+E5</f>
        <v/>
      </c>
      <c r="X5" s="3">
        <f>L5-R5+F5</f>
        <v/>
      </c>
      <c r="Y5" s="3">
        <f>SUM(V5:X194)</f>
        <v/>
      </c>
      <c r="AA5" s="75" t="n">
        <v>11</v>
      </c>
      <c r="AB5" s="2">
        <f>IF(Demand!AU24&gt;Retailers_Cap!N7,(V5/Retailers!P6)/(Demand!AU24-Retailers_Cap!N7),"Inesgotável")</f>
        <v/>
      </c>
      <c r="AC5" s="2">
        <f>IF(Demand!AV24&gt;Retailers_Cap!O7,(W5/Retailers!Q6)/(Demand!AV24-Retailers_Cap!O7),"Inesgotável")</f>
        <v/>
      </c>
      <c r="AD5" s="2">
        <f>IF(Demand!AW24&gt;Retailers_Cap!P7,(X5/Retailers!R6)/(Demand!AW24-Retailers_Cap!P7),"Inesgotável")</f>
        <v/>
      </c>
      <c r="AG5" s="75" t="n">
        <v>11</v>
      </c>
      <c r="AH5" s="75">
        <f>Retailers!AJ6</f>
        <v/>
      </c>
      <c r="AI5" s="75">
        <f>Retailers!AK6</f>
        <v/>
      </c>
      <c r="AJ5" s="75">
        <f>Retailers!AL6</f>
        <v/>
      </c>
      <c r="AM5" s="75" t="n">
        <v>11</v>
      </c>
      <c r="AN5" s="2">
        <f>IF(P5&gt;0,IF(D5=0,"Big stock",AB5/AH5),"Inesgotável")</f>
        <v/>
      </c>
      <c r="AO5" s="2">
        <f>IF(Q5&gt;0,IF(E5=0,"Big stock",AC5/AI5),"Inesgotável")</f>
        <v/>
      </c>
      <c r="AP5" s="2">
        <f>IF(R5&gt;0,IF(F5=0,"Big stock",AD5/AJ5),"Inesgotável")</f>
        <v/>
      </c>
      <c r="AS5" s="75" t="n">
        <v>11</v>
      </c>
      <c r="AT5" s="2">
        <f>Retailers_Cap!BL7</f>
        <v/>
      </c>
      <c r="AU5" s="2">
        <f>Retailers_Cap!BM7</f>
        <v/>
      </c>
      <c r="AV5" s="2">
        <f>Retailers_Cap!BN7</f>
        <v/>
      </c>
      <c r="AY5" s="75" t="n">
        <v>11</v>
      </c>
      <c r="AZ5" s="2">
        <f>IF(D5=0,"no repl",AB5-AT5)</f>
        <v/>
      </c>
      <c r="BA5" s="2">
        <f>IF(E5=0,"no repl",AC5-AU5)</f>
        <v/>
      </c>
      <c r="BB5" s="2">
        <f>IF(F5=0,"no repl",AD5-AV5)</f>
        <v/>
      </c>
    </row>
    <row r="6">
      <c r="C6" s="75" t="n">
        <v>12</v>
      </c>
      <c r="D6" s="11" t="n">
        <v>0</v>
      </c>
      <c r="E6" s="11" t="n">
        <v>0</v>
      </c>
      <c r="F6" s="11" t="n">
        <v>157103.7087347054</v>
      </c>
      <c r="I6" s="75" t="n">
        <v>12</v>
      </c>
      <c r="J6" s="11" t="n">
        <v>14977.8</v>
      </c>
      <c r="K6" s="11" t="n">
        <v>19327.88</v>
      </c>
      <c r="L6" s="11" t="n">
        <v>94779.35999999999</v>
      </c>
      <c r="O6" s="75" t="n">
        <v>12</v>
      </c>
      <c r="P6" s="11" t="n">
        <v>0</v>
      </c>
      <c r="Q6" s="11" t="n">
        <v>0</v>
      </c>
      <c r="R6" s="11" t="n">
        <v>92904.73279034771</v>
      </c>
      <c r="U6" s="75" t="n">
        <v>12</v>
      </c>
      <c r="V6" s="3">
        <f>J6-P6+D6</f>
        <v/>
      </c>
      <c r="W6" s="3">
        <f>K6-Q6+E6</f>
        <v/>
      </c>
      <c r="X6" s="3">
        <f>L6-R6+F6</f>
        <v/>
      </c>
      <c r="AA6" s="75" t="n">
        <v>12</v>
      </c>
      <c r="AB6" s="2">
        <f>IF(Demand!AU25&gt;Retailers_Cap!N8,(V6/Retailers!P7)/(Demand!AU25-Retailers_Cap!N8),"Inesgotável")</f>
        <v/>
      </c>
      <c r="AC6" s="2">
        <f>IF(Demand!AV25&gt;Retailers_Cap!O8,(W6/Retailers!Q7)/(Demand!AV25-Retailers_Cap!O8),"Inesgotável")</f>
        <v/>
      </c>
      <c r="AD6" s="2">
        <f>IF(Demand!AW25&gt;Retailers_Cap!P8,(X6/Retailers!R7)/(Demand!AW25-Retailers_Cap!P8),"Inesgotável")</f>
        <v/>
      </c>
      <c r="AG6" s="75" t="n">
        <v>12</v>
      </c>
      <c r="AH6" s="75">
        <f>Retailers!AJ7</f>
        <v/>
      </c>
      <c r="AI6" s="75">
        <f>Retailers!AK7</f>
        <v/>
      </c>
      <c r="AJ6" s="75">
        <f>Retailers!AL7</f>
        <v/>
      </c>
      <c r="AM6" s="75" t="n">
        <v>12</v>
      </c>
      <c r="AN6" s="2">
        <f>IF(P6&gt;0,IF(D6=0,"Big stock",AB6/AH6),"Inesgotável")</f>
        <v/>
      </c>
      <c r="AO6" s="2">
        <f>IF(Q6&gt;0,IF(E6=0,"Big stock",AC6/AI6),"Inesgotável")</f>
        <v/>
      </c>
      <c r="AP6" s="2">
        <f>IF(R6&gt;0,IF(F6=0,"Big stock",AD6/AJ6),"Inesgotável")</f>
        <v/>
      </c>
      <c r="AS6" s="75" t="n">
        <v>12</v>
      </c>
      <c r="AT6" s="2">
        <f>Retailers_Cap!BL8</f>
        <v/>
      </c>
      <c r="AU6" s="2">
        <f>Retailers_Cap!BM8</f>
        <v/>
      </c>
      <c r="AV6" s="2">
        <f>Retailers_Cap!BN8</f>
        <v/>
      </c>
      <c r="AY6" s="75" t="n">
        <v>12</v>
      </c>
      <c r="AZ6" s="2">
        <f>IF(D6=0,"no repl",AB6-AT6)</f>
        <v/>
      </c>
      <c r="BA6" s="2">
        <f>IF(E6=0,"no repl",AC6-AU6)</f>
        <v/>
      </c>
      <c r="BB6" s="2">
        <f>IF(F6=0,"no repl",AD6-AV6)</f>
        <v/>
      </c>
    </row>
    <row r="7">
      <c r="C7" s="75" t="n">
        <v>13</v>
      </c>
      <c r="D7" s="11" t="n">
        <v>0</v>
      </c>
      <c r="E7" s="11" t="n">
        <v>0</v>
      </c>
      <c r="F7" s="11" t="n">
        <v>212481.3364739737</v>
      </c>
      <c r="I7" s="75" t="n">
        <v>13</v>
      </c>
      <c r="J7" s="11" t="n">
        <v>30111.2</v>
      </c>
      <c r="K7" s="11" t="n">
        <v>28754.7</v>
      </c>
      <c r="L7" s="11" t="n">
        <v>31266.03</v>
      </c>
      <c r="O7" s="75" t="n">
        <v>13</v>
      </c>
      <c r="P7" s="11" t="n">
        <v>0</v>
      </c>
      <c r="Q7" s="11" t="n">
        <v>0</v>
      </c>
      <c r="R7" s="11" t="n">
        <v>137565.8107671116</v>
      </c>
      <c r="U7" s="75" t="n">
        <v>13</v>
      </c>
      <c r="V7" s="3">
        <f>J7-P7+D7</f>
        <v/>
      </c>
      <c r="W7" s="3">
        <f>K7-Q7+E7</f>
        <v/>
      </c>
      <c r="X7" s="3">
        <f>L7-R7+F7</f>
        <v/>
      </c>
      <c r="AA7" s="75" t="n">
        <v>13</v>
      </c>
      <c r="AB7" s="2">
        <f>IF(Demand!AU26&gt;Retailers_Cap!N9,(V7/Retailers!P8)/(Demand!AU26-Retailers_Cap!N9),"Inesgotável")</f>
        <v/>
      </c>
      <c r="AC7" s="2">
        <f>IF(Demand!AV26&gt;Retailers_Cap!O9,(W7/Retailers!Q8)/(Demand!AV26-Retailers_Cap!O9),"Inesgotável")</f>
        <v/>
      </c>
      <c r="AD7" s="2">
        <f>IF(Demand!AW26&gt;Retailers_Cap!P9,(X7/Retailers!R8)/(Demand!AW26-Retailers_Cap!P9),"Inesgotável")</f>
        <v/>
      </c>
      <c r="AG7" s="75" t="n">
        <v>13</v>
      </c>
      <c r="AH7" s="75">
        <f>Retailers!AJ8</f>
        <v/>
      </c>
      <c r="AI7" s="75">
        <f>Retailers!AK8</f>
        <v/>
      </c>
      <c r="AJ7" s="75">
        <f>Retailers!AL8</f>
        <v/>
      </c>
      <c r="AM7" s="75" t="n">
        <v>13</v>
      </c>
      <c r="AN7" s="2">
        <f>IF(P7&gt;0,IF(D7=0,"Big stock",AB7/AH7),"Inesgotável")</f>
        <v/>
      </c>
      <c r="AO7" s="2">
        <f>IF(Q7&gt;0,IF(E7=0,"Big stock",AC7/AI7),"Inesgotável")</f>
        <v/>
      </c>
      <c r="AP7" s="2">
        <f>IF(R7&gt;0,IF(F7=0,"Big stock",AD7/AJ7),"Inesgotável")</f>
        <v/>
      </c>
      <c r="AS7" s="75" t="n">
        <v>13</v>
      </c>
      <c r="AT7" s="2">
        <f>Retailers_Cap!BL9</f>
        <v/>
      </c>
      <c r="AU7" s="2">
        <f>Retailers_Cap!BM9</f>
        <v/>
      </c>
      <c r="AV7" s="2">
        <f>Retailers_Cap!BN9</f>
        <v/>
      </c>
      <c r="AY7" s="75" t="n">
        <v>13</v>
      </c>
      <c r="AZ7" s="2">
        <f>IF(D7=0,"no repl",AB7-AT7)</f>
        <v/>
      </c>
      <c r="BA7" s="2">
        <f>IF(E7=0,"no repl",AC7-AU7)</f>
        <v/>
      </c>
      <c r="BB7" s="2">
        <f>IF(F7=0,"no repl",AD7-AV7)</f>
        <v/>
      </c>
    </row>
    <row r="8">
      <c r="C8" s="75" t="n">
        <v>14</v>
      </c>
      <c r="D8" s="11" t="n">
        <v>0</v>
      </c>
      <c r="E8" s="11" t="n">
        <v>0</v>
      </c>
      <c r="F8" s="11" t="n">
        <v>0</v>
      </c>
      <c r="I8" s="75" t="n">
        <v>14</v>
      </c>
      <c r="J8" s="11" t="n">
        <v>46322.99</v>
      </c>
      <c r="K8" s="11" t="n">
        <v>75764</v>
      </c>
      <c r="L8" s="11" t="n">
        <v>5957.459999999999</v>
      </c>
      <c r="O8" s="75" t="n">
        <v>14</v>
      </c>
      <c r="P8" s="11" t="n">
        <v>0</v>
      </c>
      <c r="Q8" s="11" t="n">
        <v>0</v>
      </c>
      <c r="R8" s="11" t="n">
        <v>0</v>
      </c>
      <c r="U8" s="75" t="n">
        <v>14</v>
      </c>
      <c r="V8" s="3">
        <f>J8-P8+D8</f>
        <v/>
      </c>
      <c r="W8" s="3">
        <f>K8-Q8+E8</f>
        <v/>
      </c>
      <c r="X8" s="3">
        <f>L8-R8+F8</f>
        <v/>
      </c>
      <c r="AA8" s="75" t="n">
        <v>14</v>
      </c>
      <c r="AB8" s="2">
        <f>IF(Demand!AU27&gt;Retailers_Cap!N10,(V8/Retailers!P9)/(Demand!AU27-Retailers_Cap!N10),"Inesgotável")</f>
        <v/>
      </c>
      <c r="AC8" s="2">
        <f>IF(Demand!AV27&gt;Retailers_Cap!O10,(W8/Retailers!Q9)/(Demand!AV27-Retailers_Cap!O10),"Inesgotável")</f>
        <v/>
      </c>
      <c r="AD8" s="2">
        <f>IF(Demand!AW27&gt;Retailers_Cap!P10,(X8/Retailers!R9)/(Demand!AW27-Retailers_Cap!P10),"Inesgotável")</f>
        <v/>
      </c>
      <c r="AG8" s="75" t="n">
        <v>14</v>
      </c>
      <c r="AH8" s="75">
        <f>Retailers!AJ9</f>
        <v/>
      </c>
      <c r="AI8" s="75">
        <f>Retailers!AK9</f>
        <v/>
      </c>
      <c r="AJ8" s="75">
        <f>Retailers!AL9</f>
        <v/>
      </c>
      <c r="AM8" s="75" t="n">
        <v>14</v>
      </c>
      <c r="AN8" s="2">
        <f>IF(P8&gt;0,IF(D8=0,"Big stock",AB8/AH8),"Inesgotável")</f>
        <v/>
      </c>
      <c r="AO8" s="2">
        <f>IF(Q8&gt;0,IF(E8=0,"Big stock",AC8/AI8),"Inesgotável")</f>
        <v/>
      </c>
      <c r="AP8" s="2">
        <f>IF(R8&gt;0,IF(F8=0,"Big stock",AD8/AJ8),"Inesgotável")</f>
        <v/>
      </c>
      <c r="AS8" s="75" t="n">
        <v>14</v>
      </c>
      <c r="AT8" s="2">
        <f>Retailers_Cap!BL10</f>
        <v/>
      </c>
      <c r="AU8" s="2">
        <f>Retailers_Cap!BM10</f>
        <v/>
      </c>
      <c r="AV8" s="2">
        <f>Retailers_Cap!BN10</f>
        <v/>
      </c>
      <c r="AY8" s="75" t="n">
        <v>14</v>
      </c>
      <c r="AZ8" s="2">
        <f>IF(D8=0,"no repl",AB8-AT8)</f>
        <v/>
      </c>
      <c r="BA8" s="2">
        <f>IF(E8=0,"no repl",AC8-AU8)</f>
        <v/>
      </c>
      <c r="BB8" s="2">
        <f>IF(F8=0,"no repl",AD8-AV8)</f>
        <v/>
      </c>
    </row>
    <row r="9">
      <c r="C9" s="75" t="n">
        <v>15</v>
      </c>
      <c r="D9" s="11" t="n">
        <v>216092.9312031087</v>
      </c>
      <c r="E9" s="11" t="n">
        <v>0</v>
      </c>
      <c r="F9" s="11" t="n">
        <v>0</v>
      </c>
      <c r="I9" s="75" t="n">
        <v>15</v>
      </c>
      <c r="J9" s="11" t="n">
        <v>68051.61</v>
      </c>
      <c r="K9" s="11" t="n">
        <v>12878.22</v>
      </c>
      <c r="L9" s="11" t="n">
        <v>18840.41</v>
      </c>
      <c r="O9" s="75" t="n">
        <v>15</v>
      </c>
      <c r="P9" s="11" t="n">
        <v>139430.6179537564</v>
      </c>
      <c r="Q9" s="11" t="n">
        <v>0</v>
      </c>
      <c r="R9" s="11" t="n">
        <v>0</v>
      </c>
      <c r="U9" s="75" t="n">
        <v>15</v>
      </c>
      <c r="V9" s="3">
        <f>J9-P9+D9</f>
        <v/>
      </c>
      <c r="W9" s="3">
        <f>K9-Q9+E9</f>
        <v/>
      </c>
      <c r="X9" s="3">
        <f>L9-R9+F9</f>
        <v/>
      </c>
      <c r="AA9" s="75" t="n">
        <v>15</v>
      </c>
      <c r="AB9" s="2">
        <f>IF(Demand!AU28&gt;Retailers_Cap!N11,(V9/Retailers!P10)/(Demand!AU28-Retailers_Cap!N11),"Inesgotável")</f>
        <v/>
      </c>
      <c r="AC9" s="2">
        <f>IF(Demand!AV28&gt;Retailers_Cap!O11,(W9/Retailers!Q10)/(Demand!AV28-Retailers_Cap!O11),"Inesgotável")</f>
        <v/>
      </c>
      <c r="AD9" s="2">
        <f>IF(Demand!AW28&gt;Retailers_Cap!P11,(X9/Retailers!R10)/(Demand!AW28-Retailers_Cap!P11),"Inesgotável")</f>
        <v/>
      </c>
      <c r="AG9" s="75" t="n">
        <v>15</v>
      </c>
      <c r="AH9" s="75">
        <f>Retailers!AJ10</f>
        <v/>
      </c>
      <c r="AI9" s="75">
        <f>Retailers!AK10</f>
        <v/>
      </c>
      <c r="AJ9" s="75">
        <f>Retailers!AL10</f>
        <v/>
      </c>
      <c r="AM9" s="75" t="n">
        <v>15</v>
      </c>
      <c r="AN9" s="2">
        <f>IF(P9&gt;0,IF(D9=0,"Big stock",AB9/AH9),"Inesgotável")</f>
        <v/>
      </c>
      <c r="AO9" s="2">
        <f>IF(Q9&gt;0,IF(E9=0,"Big stock",AC9/AI9),"Inesgotável")</f>
        <v/>
      </c>
      <c r="AP9" s="2">
        <f>IF(R9&gt;0,IF(F9=0,"Big stock",AD9/AJ9),"Inesgotável")</f>
        <v/>
      </c>
      <c r="AS9" s="75" t="n">
        <v>15</v>
      </c>
      <c r="AT9" s="2">
        <f>Retailers_Cap!BL11</f>
        <v/>
      </c>
      <c r="AU9" s="2">
        <f>Retailers_Cap!BM11</f>
        <v/>
      </c>
      <c r="AV9" s="2">
        <f>Retailers_Cap!BN11</f>
        <v/>
      </c>
      <c r="AY9" s="75" t="n">
        <v>15</v>
      </c>
      <c r="AZ9" s="2">
        <f>IF(D9=0,"no repl",AB9-AT9)</f>
        <v/>
      </c>
      <c r="BA9" s="2">
        <f>IF(E9=0,"no repl",AC9-AU9)</f>
        <v/>
      </c>
      <c r="BB9" s="2">
        <f>IF(F9=0,"no repl",AD9-AV9)</f>
        <v/>
      </c>
    </row>
    <row r="10">
      <c r="C10" s="75" t="n">
        <v>16</v>
      </c>
      <c r="D10" s="11" t="n">
        <v>0</v>
      </c>
      <c r="E10" s="11" t="n">
        <v>0</v>
      </c>
      <c r="F10" s="11" t="n">
        <v>0</v>
      </c>
      <c r="I10" s="75" t="n">
        <v>16</v>
      </c>
      <c r="J10" s="11" t="n">
        <v>71520.12000000001</v>
      </c>
      <c r="K10" s="11" t="n">
        <v>12128.65</v>
      </c>
      <c r="L10" s="11" t="n">
        <v>21540.61</v>
      </c>
      <c r="O10" s="75" t="n">
        <v>16</v>
      </c>
      <c r="P10" s="11" t="n">
        <v>0</v>
      </c>
      <c r="Q10" s="11" t="n">
        <v>0</v>
      </c>
      <c r="R10" s="11" t="n">
        <v>0</v>
      </c>
      <c r="U10" s="75" t="n">
        <v>16</v>
      </c>
      <c r="V10" s="3">
        <f>J10-P10+D10</f>
        <v/>
      </c>
      <c r="W10" s="3">
        <f>K10-Q10+E10</f>
        <v/>
      </c>
      <c r="X10" s="3">
        <f>L10-R10+F10</f>
        <v/>
      </c>
      <c r="AA10" s="75" t="n">
        <v>16</v>
      </c>
      <c r="AB10" s="2">
        <f>IF(Demand!AU29&gt;Retailers_Cap!N12,(V10/Retailers!P11)/(Demand!AU29-Retailers_Cap!N12),"Inesgotável")</f>
        <v/>
      </c>
      <c r="AC10" s="2">
        <f>IF(Demand!AV29&gt;Retailers_Cap!O12,(W10/Retailers!Q11)/(Demand!AV29-Retailers_Cap!O12),"Inesgotável")</f>
        <v/>
      </c>
      <c r="AD10" s="2">
        <f>IF(Demand!AW29&gt;Retailers_Cap!P12,(X10/Retailers!R11)/(Demand!AW29-Retailers_Cap!P12),"Inesgotável")</f>
        <v/>
      </c>
      <c r="AG10" s="75" t="n">
        <v>16</v>
      </c>
      <c r="AH10" s="75">
        <f>Retailers!AJ11</f>
        <v/>
      </c>
      <c r="AI10" s="75">
        <f>Retailers!AK11</f>
        <v/>
      </c>
      <c r="AJ10" s="75">
        <f>Retailers!AL11</f>
        <v/>
      </c>
      <c r="AM10" s="75" t="n">
        <v>16</v>
      </c>
      <c r="AN10" s="2">
        <f>IF(P10&gt;0,IF(D10=0,"Big stock",AB10/AH10),"Inesgotável")</f>
        <v/>
      </c>
      <c r="AO10" s="2">
        <f>IF(Q10&gt;0,IF(E10=0,"Big stock",AC10/AI10),"Inesgotável")</f>
        <v/>
      </c>
      <c r="AP10" s="2">
        <f>IF(R10&gt;0,IF(F10=0,"Big stock",AD10/AJ10),"Inesgotável")</f>
        <v/>
      </c>
      <c r="AS10" s="75" t="n">
        <v>16</v>
      </c>
      <c r="AT10" s="2">
        <f>Retailers_Cap!BL12</f>
        <v/>
      </c>
      <c r="AU10" s="2">
        <f>Retailers_Cap!BM12</f>
        <v/>
      </c>
      <c r="AV10" s="2">
        <f>Retailers_Cap!BN12</f>
        <v/>
      </c>
      <c r="AY10" s="75" t="n">
        <v>16</v>
      </c>
      <c r="AZ10" s="2">
        <f>IF(D10=0,"no repl",AB10-AT10)</f>
        <v/>
      </c>
      <c r="BA10" s="2">
        <f>IF(E10=0,"no repl",AC10-AU10)</f>
        <v/>
      </c>
      <c r="BB10" s="2">
        <f>IF(F10=0,"no repl",AD10-AV10)</f>
        <v/>
      </c>
    </row>
    <row r="11">
      <c r="C11" s="75" t="n">
        <v>17</v>
      </c>
      <c r="D11" s="11" t="n">
        <v>141007.3209227663</v>
      </c>
      <c r="E11" s="11" t="n">
        <v>0</v>
      </c>
      <c r="F11" s="11" t="n">
        <v>239411.766858042</v>
      </c>
      <c r="I11" s="75" t="n">
        <v>17</v>
      </c>
      <c r="J11" s="11" t="n">
        <v>8996.09</v>
      </c>
      <c r="K11" s="11" t="n">
        <v>7005.12</v>
      </c>
      <c r="L11" s="11" t="n">
        <v>11857.32</v>
      </c>
      <c r="O11" s="75" t="n">
        <v>17</v>
      </c>
      <c r="P11" s="11" t="n">
        <v>87331.60850696315</v>
      </c>
      <c r="Q11" s="11" t="n">
        <v>0</v>
      </c>
      <c r="R11" s="11" t="n">
        <v>142622.6212047628</v>
      </c>
      <c r="U11" s="75" t="n">
        <v>17</v>
      </c>
      <c r="V11" s="3">
        <f>J11-P11+D11</f>
        <v/>
      </c>
      <c r="W11" s="3">
        <f>K11-Q11+E11</f>
        <v/>
      </c>
      <c r="X11" s="3">
        <f>L11-R11+F11</f>
        <v/>
      </c>
      <c r="AA11" s="75" t="n">
        <v>17</v>
      </c>
      <c r="AB11" s="2">
        <f>IF(Demand!AU30&gt;Retailers_Cap!N13,(V11/Retailers!P12)/(Demand!AU30-Retailers_Cap!N13),"Inesgotável")</f>
        <v/>
      </c>
      <c r="AC11" s="2">
        <f>IF(Demand!AV30&gt;Retailers_Cap!O13,(W11/Retailers!Q12)/(Demand!AV30-Retailers_Cap!O13),"Inesgotável")</f>
        <v/>
      </c>
      <c r="AD11" s="2">
        <f>IF(Demand!AW30&gt;Retailers_Cap!P13,(X11/Retailers!R12)/(Demand!AW30-Retailers_Cap!P13),"Inesgotável")</f>
        <v/>
      </c>
      <c r="AG11" s="75" t="n">
        <v>17</v>
      </c>
      <c r="AH11" s="75">
        <f>Retailers!AJ12</f>
        <v/>
      </c>
      <c r="AI11" s="75">
        <f>Retailers!AK12</f>
        <v/>
      </c>
      <c r="AJ11" s="75">
        <f>Retailers!AL12</f>
        <v/>
      </c>
      <c r="AM11" s="75" t="n">
        <v>17</v>
      </c>
      <c r="AN11" s="2">
        <f>IF(P11&gt;0,IF(D11=0,"Big stock",AB11/AH11),"Inesgotável")</f>
        <v/>
      </c>
      <c r="AO11" s="2">
        <f>IF(Q11&gt;0,IF(E11=0,"Big stock",AC11/AI11),"Inesgotável")</f>
        <v/>
      </c>
      <c r="AP11" s="2">
        <f>IF(R11&gt;0,IF(F11=0,"Big stock",AD11/AJ11),"Inesgotável")</f>
        <v/>
      </c>
      <c r="AS11" s="75" t="n">
        <v>17</v>
      </c>
      <c r="AT11" s="2">
        <f>Retailers_Cap!BL13</f>
        <v/>
      </c>
      <c r="AU11" s="2">
        <f>Retailers_Cap!BM13</f>
        <v/>
      </c>
      <c r="AV11" s="2">
        <f>Retailers_Cap!BN13</f>
        <v/>
      </c>
      <c r="AY11" s="75" t="n">
        <v>17</v>
      </c>
      <c r="AZ11" s="2">
        <f>IF(D11=0,"no repl",AB11-AT11)</f>
        <v/>
      </c>
      <c r="BA11" s="2">
        <f>IF(E11=0,"no repl",AC11-AU11)</f>
        <v/>
      </c>
      <c r="BB11" s="2">
        <f>IF(F11=0,"no repl",AD11-AV11)</f>
        <v/>
      </c>
    </row>
    <row r="12">
      <c r="C12" s="75" t="n">
        <v>18</v>
      </c>
      <c r="D12" s="11" t="n">
        <v>0</v>
      </c>
      <c r="E12" s="11" t="n">
        <v>545102.2319520854</v>
      </c>
      <c r="F12" s="11" t="n">
        <v>797420.6725591766</v>
      </c>
      <c r="I12" s="75" t="n">
        <v>18</v>
      </c>
      <c r="J12" s="11" t="n">
        <v>104276.25</v>
      </c>
      <c r="K12" s="11" t="n">
        <v>53559.52</v>
      </c>
      <c r="L12" s="11" t="n">
        <v>60485</v>
      </c>
      <c r="O12" s="75" t="n">
        <v>18</v>
      </c>
      <c r="P12" s="11" t="n">
        <v>0</v>
      </c>
      <c r="Q12" s="11" t="n">
        <v>335960.8901947515</v>
      </c>
      <c r="R12" s="11" t="n">
        <v>491115.4260424952</v>
      </c>
      <c r="U12" s="75" t="n">
        <v>18</v>
      </c>
      <c r="V12" s="3">
        <f>J12-P12+D12</f>
        <v/>
      </c>
      <c r="W12" s="3">
        <f>K12-Q12+E12</f>
        <v/>
      </c>
      <c r="X12" s="3">
        <f>L12-R12+F12</f>
        <v/>
      </c>
      <c r="AA12" s="75" t="n">
        <v>18</v>
      </c>
      <c r="AB12" s="2">
        <f>IF(Demand!AU31&gt;Retailers_Cap!N14,(V12/Retailers!P13)/(Demand!AU31-Retailers_Cap!N14),"Inesgotável")</f>
        <v/>
      </c>
      <c r="AC12" s="2">
        <f>IF(Demand!AV31&gt;Retailers_Cap!O14,(W12/Retailers!Q13)/(Demand!AV31-Retailers_Cap!O14),"Inesgotável")</f>
        <v/>
      </c>
      <c r="AD12" s="2">
        <f>IF(Demand!AW31&gt;Retailers_Cap!P14,(X12/Retailers!R13)/(Demand!AW31-Retailers_Cap!P14),"Inesgotável")</f>
        <v/>
      </c>
      <c r="AG12" s="75" t="n">
        <v>18</v>
      </c>
      <c r="AH12" s="75">
        <f>Retailers!AJ13</f>
        <v/>
      </c>
      <c r="AI12" s="75">
        <f>Retailers!AK13</f>
        <v/>
      </c>
      <c r="AJ12" s="75">
        <f>Retailers!AL13</f>
        <v/>
      </c>
      <c r="AM12" s="75" t="n">
        <v>18</v>
      </c>
      <c r="AN12" s="2">
        <f>IF(P12&gt;0,IF(D12=0,"Big stock",AB12/AH12),"Inesgotável")</f>
        <v/>
      </c>
      <c r="AO12" s="2">
        <f>IF(Q12&gt;0,IF(E12=0,"Big stock",AC12/AI12),"Inesgotável")</f>
        <v/>
      </c>
      <c r="AP12" s="2">
        <f>IF(R12&gt;0,IF(F12=0,"Big stock",AD12/AJ12),"Inesgotável")</f>
        <v/>
      </c>
      <c r="AS12" s="75" t="n">
        <v>18</v>
      </c>
      <c r="AT12" s="2">
        <f>Retailers_Cap!BL14</f>
        <v/>
      </c>
      <c r="AU12" s="2">
        <f>Retailers_Cap!BM14</f>
        <v/>
      </c>
      <c r="AV12" s="2">
        <f>Retailers_Cap!BN14</f>
        <v/>
      </c>
      <c r="AY12" s="75" t="n">
        <v>18</v>
      </c>
      <c r="AZ12" s="2">
        <f>IF(D12=0,"no repl",AB12-AT12)</f>
        <v/>
      </c>
      <c r="BA12" s="2">
        <f>IF(E12=0,"no repl",AC12-AU12)</f>
        <v/>
      </c>
      <c r="BB12" s="2">
        <f>IF(F12=0,"no repl",AD12-AV12)</f>
        <v/>
      </c>
    </row>
    <row r="13">
      <c r="C13" s="75" t="n">
        <v>19</v>
      </c>
      <c r="D13" s="11" t="n">
        <v>0</v>
      </c>
      <c r="E13" s="11" t="n">
        <v>0</v>
      </c>
      <c r="F13" s="11" t="n">
        <v>0</v>
      </c>
      <c r="I13" s="75" t="n">
        <v>19</v>
      </c>
      <c r="J13" s="11" t="n">
        <v>23772.48</v>
      </c>
      <c r="K13" s="11" t="n">
        <v>66991</v>
      </c>
      <c r="L13" s="11" t="n">
        <v>120356.14</v>
      </c>
      <c r="O13" s="75" t="n">
        <v>19</v>
      </c>
      <c r="P13" s="11" t="n">
        <v>0</v>
      </c>
      <c r="Q13" s="11" t="n">
        <v>0</v>
      </c>
      <c r="R13" s="11" t="n">
        <v>0</v>
      </c>
      <c r="U13" s="75" t="n">
        <v>19</v>
      </c>
      <c r="V13" s="3">
        <f>J13-P13+D13</f>
        <v/>
      </c>
      <c r="W13" s="3">
        <f>K13-Q13+E13</f>
        <v/>
      </c>
      <c r="X13" s="3">
        <f>L13-R13+F13</f>
        <v/>
      </c>
      <c r="AA13" s="75" t="n">
        <v>19</v>
      </c>
      <c r="AB13" s="2">
        <f>IF(Demand!AU32&gt;Retailers_Cap!N15,(V13/Retailers!P14)/(Demand!AU32-Retailers_Cap!N15),"Inesgotável")</f>
        <v/>
      </c>
      <c r="AC13" s="2">
        <f>IF(Demand!AV32&gt;Retailers_Cap!O15,(W13/Retailers!Q14)/(Demand!AV32-Retailers_Cap!O15),"Inesgotável")</f>
        <v/>
      </c>
      <c r="AD13" s="2">
        <f>IF(Demand!AW32&gt;Retailers_Cap!P15,(X13/Retailers!R14)/(Demand!AW32-Retailers_Cap!P15),"Inesgotável")</f>
        <v/>
      </c>
      <c r="AG13" s="75" t="n">
        <v>19</v>
      </c>
      <c r="AH13" s="75">
        <f>Retailers!AJ14</f>
        <v/>
      </c>
      <c r="AI13" s="75">
        <f>Retailers!AK14</f>
        <v/>
      </c>
      <c r="AJ13" s="75">
        <f>Retailers!AL14</f>
        <v/>
      </c>
      <c r="AM13" s="75" t="n">
        <v>19</v>
      </c>
      <c r="AN13" s="2">
        <f>IF(P13&gt;0,IF(D13=0,"Big stock",AB13/AH13),"Inesgotável")</f>
        <v/>
      </c>
      <c r="AO13" s="2">
        <f>IF(Q13&gt;0,IF(E13=0,"Big stock",AC13/AI13),"Inesgotável")</f>
        <v/>
      </c>
      <c r="AP13" s="2">
        <f>IF(R13&gt;0,IF(F13=0,"Big stock",AD13/AJ13),"Inesgotável")</f>
        <v/>
      </c>
      <c r="AS13" s="75" t="n">
        <v>19</v>
      </c>
      <c r="AT13" s="2">
        <f>Retailers_Cap!BL15</f>
        <v/>
      </c>
      <c r="AU13" s="2">
        <f>Retailers_Cap!BM15</f>
        <v/>
      </c>
      <c r="AV13" s="2">
        <f>Retailers_Cap!BN15</f>
        <v/>
      </c>
      <c r="AY13" s="75" t="n">
        <v>19</v>
      </c>
      <c r="AZ13" s="2">
        <f>IF(D13=0,"no repl",AB13-AT13)</f>
        <v/>
      </c>
      <c r="BA13" s="2">
        <f>IF(E13=0,"no repl",AC13-AU13)</f>
        <v/>
      </c>
      <c r="BB13" s="2">
        <f>IF(F13=0,"no repl",AD13-AV13)</f>
        <v/>
      </c>
    </row>
    <row r="14">
      <c r="C14" s="75" t="n">
        <v>20</v>
      </c>
      <c r="D14" s="11" t="n">
        <v>167843.6613865692</v>
      </c>
      <c r="E14" s="11" t="n">
        <v>0</v>
      </c>
      <c r="F14" s="11" t="n">
        <v>0</v>
      </c>
      <c r="I14" s="75" t="n">
        <v>20</v>
      </c>
      <c r="J14" s="11" t="n">
        <v>76872.90000000001</v>
      </c>
      <c r="K14" s="11" t="n">
        <v>40906.32</v>
      </c>
      <c r="L14" s="11" t="n">
        <v>85240.08</v>
      </c>
      <c r="O14" s="75" t="n">
        <v>20</v>
      </c>
      <c r="P14" s="11" t="n">
        <v>99569.60572015663</v>
      </c>
      <c r="Q14" s="11" t="n">
        <v>0</v>
      </c>
      <c r="R14" s="11" t="n">
        <v>0</v>
      </c>
      <c r="U14" s="75" t="n">
        <v>20</v>
      </c>
      <c r="V14" s="3">
        <f>J14-P14+D14</f>
        <v/>
      </c>
      <c r="W14" s="3">
        <f>K14-Q14+E14</f>
        <v/>
      </c>
      <c r="X14" s="3">
        <f>L14-R14+F14</f>
        <v/>
      </c>
      <c r="AA14" s="75" t="n">
        <v>20</v>
      </c>
      <c r="AB14" s="2">
        <f>IF(Demand!AU33&gt;Retailers_Cap!N16,(V14/Retailers!P15)/(Demand!AU33-Retailers_Cap!N16),"Inesgotável")</f>
        <v/>
      </c>
      <c r="AC14" s="2">
        <f>IF(Demand!AV33&gt;Retailers_Cap!O16,(W14/Retailers!Q15)/(Demand!AV33-Retailers_Cap!O16),"Inesgotável")</f>
        <v/>
      </c>
      <c r="AD14" s="2">
        <f>IF(Demand!AW33&gt;Retailers_Cap!P16,(X14/Retailers!R15)/(Demand!AW33-Retailers_Cap!P16),"Inesgotável")</f>
        <v/>
      </c>
      <c r="AG14" s="75" t="n">
        <v>20</v>
      </c>
      <c r="AH14" s="75">
        <f>Retailers!AJ15</f>
        <v/>
      </c>
      <c r="AI14" s="75">
        <f>Retailers!AK15</f>
        <v/>
      </c>
      <c r="AJ14" s="75">
        <f>Retailers!AL15</f>
        <v/>
      </c>
      <c r="AM14" s="75" t="n">
        <v>20</v>
      </c>
      <c r="AN14" s="2">
        <f>IF(P14&gt;0,IF(D14=0,"Big stock",AB14/AH14),"Inesgotável")</f>
        <v/>
      </c>
      <c r="AO14" s="2">
        <f>IF(Q14&gt;0,IF(E14=0,"Big stock",AC14/AI14),"Inesgotável")</f>
        <v/>
      </c>
      <c r="AP14" s="2">
        <f>IF(R14&gt;0,IF(F14=0,"Big stock",AD14/AJ14),"Inesgotável")</f>
        <v/>
      </c>
      <c r="AS14" s="75" t="n">
        <v>20</v>
      </c>
      <c r="AT14" s="2">
        <f>Retailers_Cap!BL16</f>
        <v/>
      </c>
      <c r="AU14" s="2">
        <f>Retailers_Cap!BM16</f>
        <v/>
      </c>
      <c r="AV14" s="2">
        <f>Retailers_Cap!BN16</f>
        <v/>
      </c>
      <c r="AY14" s="75" t="n">
        <v>20</v>
      </c>
      <c r="AZ14" s="2">
        <f>IF(D14=0,"no repl",AB14-AT14)</f>
        <v/>
      </c>
      <c r="BA14" s="2">
        <f>IF(E14=0,"no repl",AC14-AU14)</f>
        <v/>
      </c>
      <c r="BB14" s="2">
        <f>IF(F14=0,"no repl",AD14-AV14)</f>
        <v/>
      </c>
    </row>
    <row r="15">
      <c r="C15" s="75" t="n">
        <v>21</v>
      </c>
      <c r="D15" s="11" t="n">
        <v>0</v>
      </c>
      <c r="E15" s="11" t="n">
        <v>0</v>
      </c>
      <c r="F15" s="11" t="n">
        <v>0</v>
      </c>
      <c r="I15" s="75" t="n">
        <v>21</v>
      </c>
      <c r="J15" s="11" t="n">
        <v>67116.60000000001</v>
      </c>
      <c r="K15" s="11" t="n">
        <v>59416.8</v>
      </c>
      <c r="L15" s="11" t="n">
        <v>45980.31</v>
      </c>
      <c r="O15" s="75" t="n">
        <v>21</v>
      </c>
      <c r="P15" s="11" t="n">
        <v>10182.37286707486</v>
      </c>
      <c r="Q15" s="11" t="n">
        <v>0</v>
      </c>
      <c r="R15" s="11" t="n">
        <v>0</v>
      </c>
      <c r="U15" s="75" t="n">
        <v>21</v>
      </c>
      <c r="V15" s="3">
        <f>J15-P15+D15</f>
        <v/>
      </c>
      <c r="W15" s="3">
        <f>K15-Q15+E15</f>
        <v/>
      </c>
      <c r="X15" s="3">
        <f>L15-R15+F15</f>
        <v/>
      </c>
      <c r="AA15" s="75" t="n">
        <v>21</v>
      </c>
      <c r="AB15" s="2">
        <f>IF(Demand!AU34&gt;Retailers_Cap!N17,(V15/Retailers!P16)/(Demand!AU34-Retailers_Cap!N17),"Inesgotável")</f>
        <v/>
      </c>
      <c r="AC15" s="2">
        <f>IF(Demand!AV34&gt;Retailers_Cap!O17,(W15/Retailers!Q16)/(Demand!AV34-Retailers_Cap!O17),"Inesgotável")</f>
        <v/>
      </c>
      <c r="AD15" s="2">
        <f>IF(Demand!AW34&gt;Retailers_Cap!P17,(X15/Retailers!R16)/(Demand!AW34-Retailers_Cap!P17),"Inesgotável")</f>
        <v/>
      </c>
      <c r="AG15" s="75" t="n">
        <v>21</v>
      </c>
      <c r="AH15" s="75">
        <f>Retailers!AJ16</f>
        <v/>
      </c>
      <c r="AI15" s="75">
        <f>Retailers!AK16</f>
        <v/>
      </c>
      <c r="AJ15" s="75">
        <f>Retailers!AL16</f>
        <v/>
      </c>
      <c r="AM15" s="75" t="n">
        <v>21</v>
      </c>
      <c r="AN15" s="2">
        <f>IF(P15&gt;0,IF(D15=0,"Big stock",AB15/AH15),"Inesgotável")</f>
        <v/>
      </c>
      <c r="AO15" s="2">
        <f>IF(Q15&gt;0,IF(E15=0,"Big stock",AC15/AI15),"Inesgotável")</f>
        <v/>
      </c>
      <c r="AP15" s="2">
        <f>IF(R15&gt;0,IF(F15=0,"Big stock",AD15/AJ15),"Inesgotável")</f>
        <v/>
      </c>
      <c r="AS15" s="75" t="n">
        <v>21</v>
      </c>
      <c r="AT15" s="2">
        <f>Retailers_Cap!BL17</f>
        <v/>
      </c>
      <c r="AU15" s="2">
        <f>Retailers_Cap!BM17</f>
        <v/>
      </c>
      <c r="AV15" s="2">
        <f>Retailers_Cap!BN17</f>
        <v/>
      </c>
      <c r="AY15" s="75" t="n">
        <v>21</v>
      </c>
      <c r="AZ15" s="2">
        <f>IF(D15=0,"no repl",AB15-AT15)</f>
        <v/>
      </c>
      <c r="BA15" s="2">
        <f>IF(E15=0,"no repl",AC15-AU15)</f>
        <v/>
      </c>
      <c r="BB15" s="2">
        <f>IF(F15=0,"no repl",AD15-AV15)</f>
        <v/>
      </c>
    </row>
    <row r="16">
      <c r="C16" s="75" t="n">
        <v>22</v>
      </c>
      <c r="D16" s="11" t="n">
        <v>0</v>
      </c>
      <c r="E16" s="11" t="n">
        <v>0</v>
      </c>
      <c r="F16" s="11" t="n">
        <v>0</v>
      </c>
      <c r="I16" s="75" t="n">
        <v>22</v>
      </c>
      <c r="J16" s="11" t="n">
        <v>16478.1</v>
      </c>
      <c r="K16" s="11" t="n">
        <v>85611.15000000001</v>
      </c>
      <c r="L16" s="11" t="n">
        <v>9435.030000000001</v>
      </c>
      <c r="O16" s="75" t="n">
        <v>22</v>
      </c>
      <c r="P16" s="11" t="n">
        <v>0</v>
      </c>
      <c r="Q16" s="11" t="n">
        <v>0</v>
      </c>
      <c r="R16" s="11" t="n">
        <v>0</v>
      </c>
      <c r="U16" s="75" t="n">
        <v>22</v>
      </c>
      <c r="V16" s="3">
        <f>J16-P16+D16</f>
        <v/>
      </c>
      <c r="W16" s="3">
        <f>K16-Q16+E16</f>
        <v/>
      </c>
      <c r="X16" s="3">
        <f>L16-R16+F16</f>
        <v/>
      </c>
      <c r="AA16" s="75" t="n">
        <v>22</v>
      </c>
      <c r="AB16" s="2">
        <f>IF(Demand!AU35&gt;Retailers_Cap!N18,(V16/Retailers!P17)/(Demand!AU35-Retailers_Cap!N18),"Inesgotável")</f>
        <v/>
      </c>
      <c r="AC16" s="2">
        <f>IF(Demand!AV35&gt;Retailers_Cap!O18,(W16/Retailers!Q17)/(Demand!AV35-Retailers_Cap!O18),"Inesgotável")</f>
        <v/>
      </c>
      <c r="AD16" s="2">
        <f>IF(Demand!AW35&gt;Retailers_Cap!P18,(X16/Retailers!R17)/(Demand!AW35-Retailers_Cap!P18),"Inesgotável")</f>
        <v/>
      </c>
      <c r="AG16" s="75" t="n">
        <v>22</v>
      </c>
      <c r="AH16" s="75">
        <f>Retailers!AJ17</f>
        <v/>
      </c>
      <c r="AI16" s="75">
        <f>Retailers!AK17</f>
        <v/>
      </c>
      <c r="AJ16" s="75">
        <f>Retailers!AL17</f>
        <v/>
      </c>
      <c r="AM16" s="75" t="n">
        <v>22</v>
      </c>
      <c r="AN16" s="2">
        <f>IF(P16&gt;0,IF(D16=0,"Big stock",AB16/AH16),"Inesgotável")</f>
        <v/>
      </c>
      <c r="AO16" s="2">
        <f>IF(Q16&gt;0,IF(E16=0,"Big stock",AC16/AI16),"Inesgotável")</f>
        <v/>
      </c>
      <c r="AP16" s="2">
        <f>IF(R16&gt;0,IF(F16=0,"Big stock",AD16/AJ16),"Inesgotável")</f>
        <v/>
      </c>
      <c r="AS16" s="75" t="n">
        <v>22</v>
      </c>
      <c r="AT16" s="2">
        <f>Retailers_Cap!BL18</f>
        <v/>
      </c>
      <c r="AU16" s="2">
        <f>Retailers_Cap!BM18</f>
        <v/>
      </c>
      <c r="AV16" s="2">
        <f>Retailers_Cap!BN18</f>
        <v/>
      </c>
      <c r="AY16" s="75" t="n">
        <v>22</v>
      </c>
      <c r="AZ16" s="2">
        <f>IF(D16=0,"no repl",AB16-AT16)</f>
        <v/>
      </c>
      <c r="BA16" s="2">
        <f>IF(E16=0,"no repl",AC16-AU16)</f>
        <v/>
      </c>
      <c r="BB16" s="2">
        <f>IF(F16=0,"no repl",AD16-AV16)</f>
        <v/>
      </c>
    </row>
    <row r="17">
      <c r="C17" s="75" t="n">
        <v>23</v>
      </c>
      <c r="D17" s="11" t="n">
        <v>390257.051161046</v>
      </c>
      <c r="E17" s="11" t="n">
        <v>179005.992546051</v>
      </c>
      <c r="F17" s="11" t="n">
        <v>0</v>
      </c>
      <c r="I17" s="75" t="n">
        <v>23</v>
      </c>
      <c r="J17" s="11" t="n">
        <v>45637.2</v>
      </c>
      <c r="K17" s="11" t="n">
        <v>68173.49000000001</v>
      </c>
      <c r="L17" s="11" t="n">
        <v>46264.65</v>
      </c>
      <c r="O17" s="75" t="n">
        <v>23</v>
      </c>
      <c r="P17" s="11" t="n">
        <v>230477.5231659102</v>
      </c>
      <c r="Q17" s="11" t="n">
        <v>109554.7222278179</v>
      </c>
      <c r="R17" s="11" t="n">
        <v>0</v>
      </c>
      <c r="U17" s="75" t="n">
        <v>23</v>
      </c>
      <c r="V17" s="3">
        <f>J17-P17+D17</f>
        <v/>
      </c>
      <c r="W17" s="3">
        <f>K17-Q17+E17</f>
        <v/>
      </c>
      <c r="X17" s="3">
        <f>L17-R17+F17</f>
        <v/>
      </c>
      <c r="AA17" s="75" t="n">
        <v>23</v>
      </c>
      <c r="AB17" s="2">
        <f>IF(Demand!AU36&gt;Retailers_Cap!N19,(V17/Retailers!P18)/(Demand!AU36-Retailers_Cap!N19),"Inesgotável")</f>
        <v/>
      </c>
      <c r="AC17" s="2">
        <f>IF(Demand!AV36&gt;Retailers_Cap!O19,(W17/Retailers!Q18)/(Demand!AV36-Retailers_Cap!O19),"Inesgotável")</f>
        <v/>
      </c>
      <c r="AD17" s="2">
        <f>IF(Demand!AW36&gt;Retailers_Cap!P19,(X17/Retailers!R18)/(Demand!AW36-Retailers_Cap!P19),"Inesgotável")</f>
        <v/>
      </c>
      <c r="AG17" s="75" t="n">
        <v>23</v>
      </c>
      <c r="AH17" s="75">
        <f>Retailers!AJ18</f>
        <v/>
      </c>
      <c r="AI17" s="75">
        <f>Retailers!AK18</f>
        <v/>
      </c>
      <c r="AJ17" s="75">
        <f>Retailers!AL18</f>
        <v/>
      </c>
      <c r="AM17" s="75" t="n">
        <v>23</v>
      </c>
      <c r="AN17" s="2">
        <f>IF(P17&gt;0,IF(D17=0,"Big stock",AB17/AH17),"Inesgotável")</f>
        <v/>
      </c>
      <c r="AO17" s="2">
        <f>IF(Q17&gt;0,IF(E17=0,"Big stock",AC17/AI17),"Inesgotável")</f>
        <v/>
      </c>
      <c r="AP17" s="2">
        <f>IF(R17&gt;0,IF(F17=0,"Big stock",AD17/AJ17),"Inesgotável")</f>
        <v/>
      </c>
      <c r="AS17" s="75" t="n">
        <v>23</v>
      </c>
      <c r="AT17" s="2">
        <f>Retailers_Cap!BL19</f>
        <v/>
      </c>
      <c r="AU17" s="2">
        <f>Retailers_Cap!BM19</f>
        <v/>
      </c>
      <c r="AV17" s="2">
        <f>Retailers_Cap!BN19</f>
        <v/>
      </c>
      <c r="AY17" s="75" t="n">
        <v>23</v>
      </c>
      <c r="AZ17" s="2">
        <f>IF(D17=0,"no repl",AB17-AT17)</f>
        <v/>
      </c>
      <c r="BA17" s="2">
        <f>IF(E17=0,"no repl",AC17-AU17)</f>
        <v/>
      </c>
      <c r="BB17" s="2">
        <f>IF(F17=0,"no repl",AD17-AV17)</f>
        <v/>
      </c>
    </row>
    <row r="18">
      <c r="C18" s="75" t="n">
        <v>24</v>
      </c>
      <c r="D18" s="11" t="n">
        <v>113459.7520187644</v>
      </c>
      <c r="E18" s="11" t="n">
        <v>255119.928698499</v>
      </c>
      <c r="F18" s="11" t="n">
        <v>0</v>
      </c>
      <c r="I18" s="75" t="n">
        <v>24</v>
      </c>
      <c r="J18" s="11" t="n">
        <v>17836.56</v>
      </c>
      <c r="K18" s="11" t="n">
        <v>44997.94</v>
      </c>
      <c r="L18" s="11" t="n">
        <v>28701.75</v>
      </c>
      <c r="O18" s="75" t="n">
        <v>24</v>
      </c>
      <c r="P18" s="11" t="n">
        <v>66180.79437699268</v>
      </c>
      <c r="Q18" s="11" t="n">
        <v>157078.8645087094</v>
      </c>
      <c r="R18" s="11" t="n">
        <v>0</v>
      </c>
      <c r="U18" s="75" t="n">
        <v>24</v>
      </c>
      <c r="V18" s="3">
        <f>J18-P18+D18</f>
        <v/>
      </c>
      <c r="W18" s="3">
        <f>K18-Q18+E18</f>
        <v/>
      </c>
      <c r="X18" s="3">
        <f>L18-R18+F18</f>
        <v/>
      </c>
      <c r="AA18" s="75" t="n">
        <v>24</v>
      </c>
      <c r="AB18" s="2">
        <f>IF(Demand!AU37&gt;Retailers_Cap!N20,(V18/Retailers!P19)/(Demand!AU37-Retailers_Cap!N20),"Inesgotável")</f>
        <v/>
      </c>
      <c r="AC18" s="2">
        <f>IF(Demand!AV37&gt;Retailers_Cap!O20,(W18/Retailers!Q19)/(Demand!AV37-Retailers_Cap!O20),"Inesgotável")</f>
        <v/>
      </c>
      <c r="AD18" s="2">
        <f>IF(Demand!AW37&gt;Retailers_Cap!P20,(X18/Retailers!R19)/(Demand!AW37-Retailers_Cap!P20),"Inesgotável")</f>
        <v/>
      </c>
      <c r="AG18" s="75" t="n">
        <v>24</v>
      </c>
      <c r="AH18" s="75">
        <f>Retailers!AJ19</f>
        <v/>
      </c>
      <c r="AI18" s="75">
        <f>Retailers!AK19</f>
        <v/>
      </c>
      <c r="AJ18" s="75">
        <f>Retailers!AL19</f>
        <v/>
      </c>
      <c r="AM18" s="75" t="n">
        <v>24</v>
      </c>
      <c r="AN18" s="2">
        <f>IF(P18&gt;0,IF(D18=0,"Big stock",AB18/AH18),"Inesgotável")</f>
        <v/>
      </c>
      <c r="AO18" s="2">
        <f>IF(Q18&gt;0,IF(E18=0,"Big stock",AC18/AI18),"Inesgotável")</f>
        <v/>
      </c>
      <c r="AP18" s="2">
        <f>IF(R18&gt;0,IF(F18=0,"Big stock",AD18/AJ18),"Inesgotável")</f>
        <v/>
      </c>
      <c r="AS18" s="75" t="n">
        <v>24</v>
      </c>
      <c r="AT18" s="2">
        <f>Retailers_Cap!BL20</f>
        <v/>
      </c>
      <c r="AU18" s="2">
        <f>Retailers_Cap!BM20</f>
        <v/>
      </c>
      <c r="AV18" s="2">
        <f>Retailers_Cap!BN20</f>
        <v/>
      </c>
      <c r="AY18" s="75" t="n">
        <v>24</v>
      </c>
      <c r="AZ18" s="2">
        <f>IF(D18=0,"no repl",AB18-AT18)</f>
        <v/>
      </c>
      <c r="BA18" s="2">
        <f>IF(E18=0,"no repl",AC18-AU18)</f>
        <v/>
      </c>
      <c r="BB18" s="2">
        <f>IF(F18=0,"no repl",AD18-AV18)</f>
        <v/>
      </c>
    </row>
    <row r="19">
      <c r="C19" s="75" t="n">
        <v>25</v>
      </c>
      <c r="D19" s="11" t="n">
        <v>0</v>
      </c>
      <c r="E19" s="11" t="n">
        <v>0</v>
      </c>
      <c r="F19" s="11" t="n">
        <v>0</v>
      </c>
      <c r="I19" s="75" t="n">
        <v>25</v>
      </c>
      <c r="J19" s="11" t="n">
        <v>60873.08</v>
      </c>
      <c r="K19" s="11" t="n">
        <v>17919.87</v>
      </c>
      <c r="L19" s="11" t="n">
        <v>18324.48</v>
      </c>
      <c r="O19" s="75" t="n">
        <v>25</v>
      </c>
      <c r="P19" s="11" t="n">
        <v>0</v>
      </c>
      <c r="Q19" s="11" t="n">
        <v>0</v>
      </c>
      <c r="R19" s="11" t="n">
        <v>0</v>
      </c>
      <c r="U19" s="75" t="n">
        <v>25</v>
      </c>
      <c r="V19" s="3">
        <f>J19-P19+D19</f>
        <v/>
      </c>
      <c r="W19" s="3">
        <f>K19-Q19+E19</f>
        <v/>
      </c>
      <c r="X19" s="3">
        <f>L19-R19+F19</f>
        <v/>
      </c>
      <c r="AA19" s="75" t="n">
        <v>25</v>
      </c>
      <c r="AB19" s="2">
        <f>IF(Demand!AU38&gt;Retailers_Cap!N21,(V19/Retailers!P20)/(Demand!AU38-Retailers_Cap!N21),"Inesgotável")</f>
        <v/>
      </c>
      <c r="AC19" s="2">
        <f>IF(Demand!AV38&gt;Retailers_Cap!O21,(W19/Retailers!Q20)/(Demand!AV38-Retailers_Cap!O21),"Inesgotável")</f>
        <v/>
      </c>
      <c r="AD19" s="2">
        <f>IF(Demand!AW38&gt;Retailers_Cap!P21,(X19/Retailers!R20)/(Demand!AW38-Retailers_Cap!P21),"Inesgotável")</f>
        <v/>
      </c>
      <c r="AG19" s="75" t="n">
        <v>25</v>
      </c>
      <c r="AH19" s="75">
        <f>Retailers!AJ20</f>
        <v/>
      </c>
      <c r="AI19" s="75">
        <f>Retailers!AK20</f>
        <v/>
      </c>
      <c r="AJ19" s="75">
        <f>Retailers!AL20</f>
        <v/>
      </c>
      <c r="AM19" s="75" t="n">
        <v>25</v>
      </c>
      <c r="AN19" s="2">
        <f>IF(P19&gt;0,IF(D19=0,"Big stock",AB19/AH19),"Inesgotável")</f>
        <v/>
      </c>
      <c r="AO19" s="2">
        <f>IF(Q19&gt;0,IF(E19=0,"Big stock",AC19/AI19),"Inesgotável")</f>
        <v/>
      </c>
      <c r="AP19" s="2">
        <f>IF(R19&gt;0,IF(F19=0,"Big stock",AD19/AJ19),"Inesgotável")</f>
        <v/>
      </c>
      <c r="AS19" s="75" t="n">
        <v>25</v>
      </c>
      <c r="AT19" s="2">
        <f>Retailers_Cap!BL21</f>
        <v/>
      </c>
      <c r="AU19" s="2">
        <f>Retailers_Cap!BM21</f>
        <v/>
      </c>
      <c r="AV19" s="2">
        <f>Retailers_Cap!BN21</f>
        <v/>
      </c>
      <c r="AY19" s="75" t="n">
        <v>25</v>
      </c>
      <c r="AZ19" s="2">
        <f>IF(D19=0,"no repl",AB19-AT19)</f>
        <v/>
      </c>
      <c r="BA19" s="2">
        <f>IF(E19=0,"no repl",AC19-AU19)</f>
        <v/>
      </c>
      <c r="BB19" s="2">
        <f>IF(F19=0,"no repl",AD19-AV19)</f>
        <v/>
      </c>
    </row>
    <row r="20">
      <c r="C20" s="75" t="n">
        <v>26</v>
      </c>
      <c r="D20" s="11" t="n">
        <v>133676.5006167579</v>
      </c>
      <c r="E20" s="11" t="n">
        <v>182267.5802364071</v>
      </c>
      <c r="F20" s="11" t="n">
        <v>225807.856248385</v>
      </c>
      <c r="I20" s="75" t="n">
        <v>26</v>
      </c>
      <c r="J20" s="11" t="n">
        <v>78983.94</v>
      </c>
      <c r="K20" s="11" t="n">
        <v>29014.7</v>
      </c>
      <c r="L20" s="11" t="n">
        <v>104578.24</v>
      </c>
      <c r="O20" s="75" t="n">
        <v>26</v>
      </c>
      <c r="P20" s="11" t="n">
        <v>81674.0396142883</v>
      </c>
      <c r="Q20" s="11" t="n">
        <v>123686.2873604567</v>
      </c>
      <c r="R20" s="11" t="n">
        <v>146953.0105626623</v>
      </c>
      <c r="U20" s="75" t="n">
        <v>26</v>
      </c>
      <c r="V20" s="3">
        <f>J20-P20+D20</f>
        <v/>
      </c>
      <c r="W20" s="3">
        <f>K20-Q20+E20</f>
        <v/>
      </c>
      <c r="X20" s="3">
        <f>L20-R20+F20</f>
        <v/>
      </c>
      <c r="AA20" s="75" t="n">
        <v>26</v>
      </c>
      <c r="AB20" s="2">
        <f>IF(Demand!AU39&gt;Retailers_Cap!N22,(V20/Retailers!P21)/(Demand!AU39-Retailers_Cap!N22),"Inesgotável")</f>
        <v/>
      </c>
      <c r="AC20" s="2">
        <f>IF(Demand!AV39&gt;Retailers_Cap!O22,(W20/Retailers!Q21)/(Demand!AV39-Retailers_Cap!O22),"Inesgotável")</f>
        <v/>
      </c>
      <c r="AD20" s="2">
        <f>IF(Demand!AW39&gt;Retailers_Cap!P22,(X20/Retailers!R21)/(Demand!AW39-Retailers_Cap!P22),"Inesgotável")</f>
        <v/>
      </c>
      <c r="AG20" s="75" t="n">
        <v>26</v>
      </c>
      <c r="AH20" s="75">
        <f>Retailers!AJ21</f>
        <v/>
      </c>
      <c r="AI20" s="75">
        <f>Retailers!AK21</f>
        <v/>
      </c>
      <c r="AJ20" s="75">
        <f>Retailers!AL21</f>
        <v/>
      </c>
      <c r="AM20" s="75" t="n">
        <v>26</v>
      </c>
      <c r="AN20" s="2">
        <f>IF(P20&gt;0,IF(D20=0,"Big stock",AB20/AH20),"Inesgotável")</f>
        <v/>
      </c>
      <c r="AO20" s="2">
        <f>IF(Q20&gt;0,IF(E20=0,"Big stock",AC20/AI20),"Inesgotável")</f>
        <v/>
      </c>
      <c r="AP20" s="2">
        <f>IF(R20&gt;0,IF(F20=0,"Big stock",AD20/AJ20),"Inesgotável")</f>
        <v/>
      </c>
      <c r="AS20" s="75" t="n">
        <v>26</v>
      </c>
      <c r="AT20" s="2">
        <f>Retailers_Cap!BL22</f>
        <v/>
      </c>
      <c r="AU20" s="2">
        <f>Retailers_Cap!BM22</f>
        <v/>
      </c>
      <c r="AV20" s="2">
        <f>Retailers_Cap!BN22</f>
        <v/>
      </c>
      <c r="AY20" s="75" t="n">
        <v>26</v>
      </c>
      <c r="AZ20" s="2">
        <f>IF(D20=0,"no repl",AB20-AT20)</f>
        <v/>
      </c>
      <c r="BA20" s="2">
        <f>IF(E20=0,"no repl",AC20-AU20)</f>
        <v/>
      </c>
      <c r="BB20" s="2">
        <f>IF(F20=0,"no repl",AD20-AV20)</f>
        <v/>
      </c>
    </row>
    <row r="21">
      <c r="C21" s="75" t="n">
        <v>27</v>
      </c>
      <c r="D21" s="11" t="n">
        <v>0</v>
      </c>
      <c r="E21" s="11" t="n">
        <v>0</v>
      </c>
      <c r="F21" s="11" t="n">
        <v>0</v>
      </c>
      <c r="I21" s="75" t="n">
        <v>27</v>
      </c>
      <c r="J21" s="11" t="n">
        <v>12431.17</v>
      </c>
      <c r="K21" s="11" t="n">
        <v>20277.33</v>
      </c>
      <c r="L21" s="11" t="n">
        <v>62682.07999999999</v>
      </c>
      <c r="O21" s="75" t="n">
        <v>27</v>
      </c>
      <c r="P21" s="11" t="n">
        <v>0</v>
      </c>
      <c r="Q21" s="11" t="n">
        <v>0</v>
      </c>
      <c r="R21" s="11" t="n">
        <v>0</v>
      </c>
      <c r="U21" s="75" t="n">
        <v>27</v>
      </c>
      <c r="V21" s="3">
        <f>J21-P21+D21</f>
        <v/>
      </c>
      <c r="W21" s="3">
        <f>K21-Q21+E21</f>
        <v/>
      </c>
      <c r="X21" s="3">
        <f>L21-R21+F21</f>
        <v/>
      </c>
      <c r="AA21" s="75" t="n">
        <v>27</v>
      </c>
      <c r="AB21" s="2">
        <f>IF(Demand!AU40&gt;Retailers_Cap!N23,(V21/Retailers!P22)/(Demand!AU40-Retailers_Cap!N23),"Inesgotável")</f>
        <v/>
      </c>
      <c r="AC21" s="2">
        <f>IF(Demand!AV40&gt;Retailers_Cap!O23,(W21/Retailers!Q22)/(Demand!AV40-Retailers_Cap!O23),"Inesgotável")</f>
        <v/>
      </c>
      <c r="AD21" s="2">
        <f>IF(Demand!AW40&gt;Retailers_Cap!P23,(X21/Retailers!R22)/(Demand!AW40-Retailers_Cap!P23),"Inesgotável")</f>
        <v/>
      </c>
      <c r="AG21" s="75" t="n">
        <v>27</v>
      </c>
      <c r="AH21" s="75">
        <f>Retailers!AJ22</f>
        <v/>
      </c>
      <c r="AI21" s="75">
        <f>Retailers!AK22</f>
        <v/>
      </c>
      <c r="AJ21" s="75">
        <f>Retailers!AL22</f>
        <v/>
      </c>
      <c r="AM21" s="75" t="n">
        <v>27</v>
      </c>
      <c r="AN21" s="2">
        <f>IF(P21&gt;0,IF(D21=0,"Big stock",AB21/AH21),"Inesgotável")</f>
        <v/>
      </c>
      <c r="AO21" s="2">
        <f>IF(Q21&gt;0,IF(E21=0,"Big stock",AC21/AI21),"Inesgotável")</f>
        <v/>
      </c>
      <c r="AP21" s="2">
        <f>IF(R21&gt;0,IF(F21=0,"Big stock",AD21/AJ21),"Inesgotável")</f>
        <v/>
      </c>
      <c r="AS21" s="75" t="n">
        <v>27</v>
      </c>
      <c r="AT21" s="2">
        <f>Retailers_Cap!BL23</f>
        <v/>
      </c>
      <c r="AU21" s="2">
        <f>Retailers_Cap!BM23</f>
        <v/>
      </c>
      <c r="AV21" s="2">
        <f>Retailers_Cap!BN23</f>
        <v/>
      </c>
      <c r="AY21" s="75" t="n">
        <v>27</v>
      </c>
      <c r="AZ21" s="2">
        <f>IF(D21=0,"no repl",AB21-AT21)</f>
        <v/>
      </c>
      <c r="BA21" s="2">
        <f>IF(E21=0,"no repl",AC21-AU21)</f>
        <v/>
      </c>
      <c r="BB21" s="2">
        <f>IF(F21=0,"no repl",AD21-AV21)</f>
        <v/>
      </c>
    </row>
    <row r="22">
      <c r="C22" s="75" t="n">
        <v>28</v>
      </c>
      <c r="D22" s="11" t="n">
        <v>544874.7857074157</v>
      </c>
      <c r="E22" s="11" t="n">
        <v>0</v>
      </c>
      <c r="F22" s="11" t="n">
        <v>163768.8443308045</v>
      </c>
      <c r="I22" s="75" t="n">
        <v>28</v>
      </c>
      <c r="J22" s="11" t="n">
        <v>18006.47</v>
      </c>
      <c r="K22" s="11" t="n">
        <v>55582.22</v>
      </c>
      <c r="L22" s="11" t="n">
        <v>73118.04000000001</v>
      </c>
      <c r="O22" s="75" t="n">
        <v>28</v>
      </c>
      <c r="P22" s="11" t="n">
        <v>344196.2327847907</v>
      </c>
      <c r="Q22" s="11" t="n">
        <v>0</v>
      </c>
      <c r="R22" s="11" t="n">
        <v>98346.3657496697</v>
      </c>
      <c r="U22" s="75" t="n">
        <v>28</v>
      </c>
      <c r="V22" s="3">
        <f>J22-P22+D22</f>
        <v/>
      </c>
      <c r="W22" s="3">
        <f>K22-Q22+E22</f>
        <v/>
      </c>
      <c r="X22" s="3">
        <f>L22-R22+F22</f>
        <v/>
      </c>
      <c r="AA22" s="75" t="n">
        <v>28</v>
      </c>
      <c r="AB22" s="2">
        <f>IF(Demand!AU41&gt;Retailers_Cap!N24,(V22/Retailers!P23)/(Demand!AU41-Retailers_Cap!N24),"Inesgotável")</f>
        <v/>
      </c>
      <c r="AC22" s="2">
        <f>IF(Demand!AV41&gt;Retailers_Cap!O24,(W22/Retailers!Q23)/(Demand!AV41-Retailers_Cap!O24),"Inesgotável")</f>
        <v/>
      </c>
      <c r="AD22" s="2">
        <f>IF(Demand!AW41&gt;Retailers_Cap!P24,(X22/Retailers!R23)/(Demand!AW41-Retailers_Cap!P24),"Inesgotável")</f>
        <v/>
      </c>
      <c r="AG22" s="75" t="n">
        <v>28</v>
      </c>
      <c r="AH22" s="75">
        <f>Retailers!AJ23</f>
        <v/>
      </c>
      <c r="AI22" s="75">
        <f>Retailers!AK23</f>
        <v/>
      </c>
      <c r="AJ22" s="75">
        <f>Retailers!AL23</f>
        <v/>
      </c>
      <c r="AM22" s="75" t="n">
        <v>28</v>
      </c>
      <c r="AN22" s="2">
        <f>IF(P22&gt;0,IF(D22=0,"Big stock",AB22/AH22),"Inesgotável")</f>
        <v/>
      </c>
      <c r="AO22" s="2">
        <f>IF(Q22&gt;0,IF(E22=0,"Big stock",AC22/AI22),"Inesgotável")</f>
        <v/>
      </c>
      <c r="AP22" s="2">
        <f>IF(R22&gt;0,IF(F22=0,"Big stock",AD22/AJ22),"Inesgotável")</f>
        <v/>
      </c>
      <c r="AS22" s="75" t="n">
        <v>28</v>
      </c>
      <c r="AT22" s="2">
        <f>Retailers_Cap!BL24</f>
        <v/>
      </c>
      <c r="AU22" s="2">
        <f>Retailers_Cap!BM24</f>
        <v/>
      </c>
      <c r="AV22" s="2">
        <f>Retailers_Cap!BN24</f>
        <v/>
      </c>
      <c r="AY22" s="75" t="n">
        <v>28</v>
      </c>
      <c r="AZ22" s="2">
        <f>IF(D22=0,"no repl",AB22-AT22)</f>
        <v/>
      </c>
      <c r="BA22" s="2">
        <f>IF(E22=0,"no repl",AC22-AU22)</f>
        <v/>
      </c>
      <c r="BB22" s="2">
        <f>IF(F22=0,"no repl",AD22-AV22)</f>
        <v/>
      </c>
    </row>
    <row r="23">
      <c r="C23" s="75" t="n">
        <v>29</v>
      </c>
      <c r="D23" s="11" t="n">
        <v>0</v>
      </c>
      <c r="E23" s="11" t="n">
        <v>0</v>
      </c>
      <c r="F23" s="11" t="n">
        <v>0</v>
      </c>
      <c r="I23" s="75" t="n">
        <v>29</v>
      </c>
      <c r="J23" s="11" t="n">
        <v>3922.8</v>
      </c>
      <c r="K23" s="11" t="n">
        <v>20441.34</v>
      </c>
      <c r="L23" s="11" t="n">
        <v>27200.25</v>
      </c>
      <c r="O23" s="75" t="n">
        <v>29</v>
      </c>
      <c r="P23" s="11" t="n">
        <v>0</v>
      </c>
      <c r="Q23" s="11" t="n">
        <v>0</v>
      </c>
      <c r="R23" s="11" t="n">
        <v>0</v>
      </c>
      <c r="U23" s="75" t="n">
        <v>29</v>
      </c>
      <c r="V23" s="3">
        <f>J23-P23+D23</f>
        <v/>
      </c>
      <c r="W23" s="3">
        <f>K23-Q23+E23</f>
        <v/>
      </c>
      <c r="X23" s="3">
        <f>L23-R23+F23</f>
        <v/>
      </c>
      <c r="AA23" s="75" t="n">
        <v>29</v>
      </c>
      <c r="AB23" s="2">
        <f>IF(Demand!AU42&gt;Retailers_Cap!N25,(V23/Retailers!P24)/(Demand!AU42-Retailers_Cap!N25),"Inesgotável")</f>
        <v/>
      </c>
      <c r="AC23" s="2">
        <f>IF(Demand!AV42&gt;Retailers_Cap!O25,(W23/Retailers!Q24)/(Demand!AV42-Retailers_Cap!O25),"Inesgotável")</f>
        <v/>
      </c>
      <c r="AD23" s="2">
        <f>IF(Demand!AW42&gt;Retailers_Cap!P25,(X23/Retailers!R24)/(Demand!AW42-Retailers_Cap!P25),"Inesgotável")</f>
        <v/>
      </c>
      <c r="AG23" s="75" t="n">
        <v>29</v>
      </c>
      <c r="AH23" s="75">
        <f>Retailers!AJ24</f>
        <v/>
      </c>
      <c r="AI23" s="75">
        <f>Retailers!AK24</f>
        <v/>
      </c>
      <c r="AJ23" s="75">
        <f>Retailers!AL24</f>
        <v/>
      </c>
      <c r="AM23" s="75" t="n">
        <v>29</v>
      </c>
      <c r="AN23" s="2">
        <f>IF(P23&gt;0,IF(D23=0,"Big stock",AB23/AH23),"Inesgotável")</f>
        <v/>
      </c>
      <c r="AO23" s="2">
        <f>IF(Q23&gt;0,IF(E23=0,"Big stock",AC23/AI23),"Inesgotável")</f>
        <v/>
      </c>
      <c r="AP23" s="2">
        <f>IF(R23&gt;0,IF(F23=0,"Big stock",AD23/AJ23),"Inesgotável")</f>
        <v/>
      </c>
      <c r="AS23" s="75" t="n">
        <v>29</v>
      </c>
      <c r="AT23" s="2">
        <f>Retailers_Cap!BL25</f>
        <v/>
      </c>
      <c r="AU23" s="2">
        <f>Retailers_Cap!BM25</f>
        <v/>
      </c>
      <c r="AV23" s="2">
        <f>Retailers_Cap!BN25</f>
        <v/>
      </c>
      <c r="AY23" s="75" t="n">
        <v>29</v>
      </c>
      <c r="AZ23" s="2">
        <f>IF(D23=0,"no repl",AB23-AT23)</f>
        <v/>
      </c>
      <c r="BA23" s="2">
        <f>IF(E23=0,"no repl",AC23-AU23)</f>
        <v/>
      </c>
      <c r="BB23" s="2">
        <f>IF(F23=0,"no repl",AD23-AV23)</f>
        <v/>
      </c>
    </row>
    <row r="24">
      <c r="C24" s="75" t="n">
        <v>30</v>
      </c>
      <c r="D24" s="11" t="n">
        <v>441465.6595426782</v>
      </c>
      <c r="E24" s="11" t="n">
        <v>0</v>
      </c>
      <c r="F24" s="11" t="n">
        <v>0</v>
      </c>
      <c r="I24" s="75" t="n">
        <v>30</v>
      </c>
      <c r="J24" s="11" t="n">
        <v>116358</v>
      </c>
      <c r="K24" s="11" t="n">
        <v>52568.66</v>
      </c>
      <c r="L24" s="11" t="n">
        <v>11911.78</v>
      </c>
      <c r="O24" s="75" t="n">
        <v>30</v>
      </c>
      <c r="P24" s="11" t="n">
        <v>268267.1234386259</v>
      </c>
      <c r="Q24" s="11" t="n">
        <v>0</v>
      </c>
      <c r="R24" s="11" t="n">
        <v>0</v>
      </c>
      <c r="U24" s="75" t="n">
        <v>30</v>
      </c>
      <c r="V24" s="3">
        <f>J24-P24+D24</f>
        <v/>
      </c>
      <c r="W24" s="3">
        <f>K24-Q24+E24</f>
        <v/>
      </c>
      <c r="X24" s="3">
        <f>L24-R24+F24</f>
        <v/>
      </c>
      <c r="AA24" s="75" t="n">
        <v>30</v>
      </c>
      <c r="AB24" s="2">
        <f>IF(Demand!AU43&gt;Retailers_Cap!N26,(V24/Retailers!P25)/(Demand!AU43-Retailers_Cap!N26),"Inesgotável")</f>
        <v/>
      </c>
      <c r="AC24" s="2">
        <f>IF(Demand!AV43&gt;Retailers_Cap!O26,(W24/Retailers!Q25)/(Demand!AV43-Retailers_Cap!O26),"Inesgotável")</f>
        <v/>
      </c>
      <c r="AD24" s="2">
        <f>IF(Demand!AW43&gt;Retailers_Cap!P26,(X24/Retailers!R25)/(Demand!AW43-Retailers_Cap!P26),"Inesgotável")</f>
        <v/>
      </c>
      <c r="AG24" s="75" t="n">
        <v>30</v>
      </c>
      <c r="AH24" s="75">
        <f>Retailers!AJ25</f>
        <v/>
      </c>
      <c r="AI24" s="75">
        <f>Retailers!AK25</f>
        <v/>
      </c>
      <c r="AJ24" s="75">
        <f>Retailers!AL25</f>
        <v/>
      </c>
      <c r="AM24" s="75" t="n">
        <v>30</v>
      </c>
      <c r="AN24" s="2">
        <f>IF(P24&gt;0,IF(D24=0,"Big stock",AB24/AH24),"Inesgotável")</f>
        <v/>
      </c>
      <c r="AO24" s="2">
        <f>IF(Q24&gt;0,IF(E24=0,"Big stock",AC24/AI24),"Inesgotável")</f>
        <v/>
      </c>
      <c r="AP24" s="2">
        <f>IF(R24&gt;0,IF(F24=0,"Big stock",AD24/AJ24),"Inesgotável")</f>
        <v/>
      </c>
      <c r="AS24" s="75" t="n">
        <v>30</v>
      </c>
      <c r="AT24" s="2">
        <f>Retailers_Cap!BL26</f>
        <v/>
      </c>
      <c r="AU24" s="2">
        <f>Retailers_Cap!BM26</f>
        <v/>
      </c>
      <c r="AV24" s="2">
        <f>Retailers_Cap!BN26</f>
        <v/>
      </c>
      <c r="AY24" s="75" t="n">
        <v>30</v>
      </c>
      <c r="AZ24" s="2">
        <f>IF(D24=0,"no repl",AB24-AT24)</f>
        <v/>
      </c>
      <c r="BA24" s="2">
        <f>IF(E24=0,"no repl",AC24-AU24)</f>
        <v/>
      </c>
      <c r="BB24" s="2">
        <f>IF(F24=0,"no repl",AD24-AV24)</f>
        <v/>
      </c>
    </row>
    <row r="25">
      <c r="C25" s="75" t="n">
        <v>31</v>
      </c>
      <c r="D25" s="11" t="n">
        <v>0</v>
      </c>
      <c r="E25" s="11" t="n">
        <v>0</v>
      </c>
      <c r="F25" s="11" t="n">
        <v>114309.0194509745</v>
      </c>
      <c r="I25" s="75" t="n">
        <v>31</v>
      </c>
      <c r="J25" s="11" t="n">
        <v>62810.16</v>
      </c>
      <c r="K25" s="11" t="n">
        <v>128108.06</v>
      </c>
      <c r="L25" s="11" t="n">
        <v>59406.68</v>
      </c>
      <c r="O25" s="75" t="n">
        <v>31</v>
      </c>
      <c r="P25" s="11" t="n">
        <v>0</v>
      </c>
      <c r="Q25" s="11" t="n">
        <v>0</v>
      </c>
      <c r="R25" s="11" t="n">
        <v>70980.55426711268</v>
      </c>
      <c r="U25" s="75" t="n">
        <v>31</v>
      </c>
      <c r="V25" s="3">
        <f>J25-P25+D25</f>
        <v/>
      </c>
      <c r="W25" s="3">
        <f>K25-Q25+E25</f>
        <v/>
      </c>
      <c r="X25" s="3">
        <f>L25-R25+F25</f>
        <v/>
      </c>
      <c r="AA25" s="75" t="n">
        <v>31</v>
      </c>
      <c r="AB25" s="2">
        <f>IF(Demand!AU44&gt;Retailers_Cap!N27,(V25/Retailers!P26)/(Demand!AU44-Retailers_Cap!N27),"Inesgotável")</f>
        <v/>
      </c>
      <c r="AC25" s="2">
        <f>IF(Demand!AV44&gt;Retailers_Cap!O27,(W25/Retailers!Q26)/(Demand!AV44-Retailers_Cap!O27),"Inesgotável")</f>
        <v/>
      </c>
      <c r="AD25" s="2">
        <f>IF(Demand!AW44&gt;Retailers_Cap!P27,(X25/Retailers!R26)/(Demand!AW44-Retailers_Cap!P27),"Inesgotável")</f>
        <v/>
      </c>
      <c r="AG25" s="75" t="n">
        <v>31</v>
      </c>
      <c r="AH25" s="75">
        <f>Retailers!AJ26</f>
        <v/>
      </c>
      <c r="AI25" s="75">
        <f>Retailers!AK26</f>
        <v/>
      </c>
      <c r="AJ25" s="75">
        <f>Retailers!AL26</f>
        <v/>
      </c>
      <c r="AM25" s="75" t="n">
        <v>31</v>
      </c>
      <c r="AN25" s="2">
        <f>IF(P25&gt;0,IF(D25=0,"Big stock",AB25/AH25),"Inesgotável")</f>
        <v/>
      </c>
      <c r="AO25" s="2">
        <f>IF(Q25&gt;0,IF(E25=0,"Big stock",AC25/AI25),"Inesgotável")</f>
        <v/>
      </c>
      <c r="AP25" s="2">
        <f>IF(R25&gt;0,IF(F25=0,"Big stock",AD25/AJ25),"Inesgotável")</f>
        <v/>
      </c>
      <c r="AS25" s="75" t="n">
        <v>31</v>
      </c>
      <c r="AT25" s="2">
        <f>Retailers_Cap!BL27</f>
        <v/>
      </c>
      <c r="AU25" s="2">
        <f>Retailers_Cap!BM27</f>
        <v/>
      </c>
      <c r="AV25" s="2">
        <f>Retailers_Cap!BN27</f>
        <v/>
      </c>
      <c r="AY25" s="75" t="n">
        <v>31</v>
      </c>
      <c r="AZ25" s="2">
        <f>IF(D25=0,"no repl",AB25-AT25)</f>
        <v/>
      </c>
      <c r="BA25" s="2">
        <f>IF(E25=0,"no repl",AC25-AU25)</f>
        <v/>
      </c>
      <c r="BB25" s="2">
        <f>IF(F25=0,"no repl",AD25-AV25)</f>
        <v/>
      </c>
    </row>
    <row r="26">
      <c r="C26" s="75" t="n">
        <v>32</v>
      </c>
      <c r="D26" s="11" t="n">
        <v>0</v>
      </c>
      <c r="E26" s="11" t="n">
        <v>0</v>
      </c>
      <c r="F26" s="11" t="n">
        <v>90214.99511975369</v>
      </c>
      <c r="I26" s="75" t="n">
        <v>32</v>
      </c>
      <c r="J26" s="11" t="n">
        <v>20217.47</v>
      </c>
      <c r="K26" s="11" t="n">
        <v>96729.17999999999</v>
      </c>
      <c r="L26" s="11" t="n">
        <v>12825.99</v>
      </c>
      <c r="O26" s="75" t="n">
        <v>32</v>
      </c>
      <c r="P26" s="11" t="n">
        <v>0</v>
      </c>
      <c r="Q26" s="11" t="n">
        <v>0</v>
      </c>
      <c r="R26" s="11" t="n">
        <v>57983.46004143116</v>
      </c>
      <c r="U26" s="75" t="n">
        <v>32</v>
      </c>
      <c r="V26" s="3">
        <f>J26-P26+D26</f>
        <v/>
      </c>
      <c r="W26" s="3">
        <f>K26-Q26+E26</f>
        <v/>
      </c>
      <c r="X26" s="3">
        <f>L26-R26+F26</f>
        <v/>
      </c>
      <c r="AA26" s="75" t="n">
        <v>32</v>
      </c>
      <c r="AB26" s="2">
        <f>IF(Demand!AU45&gt;Retailers_Cap!N28,(V26/Retailers!P27)/(Demand!AU45-Retailers_Cap!N28),"Inesgotável")</f>
        <v/>
      </c>
      <c r="AC26" s="2">
        <f>IF(Demand!AV45&gt;Retailers_Cap!O28,(W26/Retailers!Q27)/(Demand!AV45-Retailers_Cap!O28),"Inesgotável")</f>
        <v/>
      </c>
      <c r="AD26" s="2">
        <f>IF(Demand!AW45&gt;Retailers_Cap!P28,(X26/Retailers!R27)/(Demand!AW45-Retailers_Cap!P28),"Inesgotável")</f>
        <v/>
      </c>
      <c r="AG26" s="75" t="n">
        <v>32</v>
      </c>
      <c r="AH26" s="75">
        <f>Retailers!AJ27</f>
        <v/>
      </c>
      <c r="AI26" s="75">
        <f>Retailers!AK27</f>
        <v/>
      </c>
      <c r="AJ26" s="75">
        <f>Retailers!AL27</f>
        <v/>
      </c>
      <c r="AM26" s="75" t="n">
        <v>32</v>
      </c>
      <c r="AN26" s="2">
        <f>IF(P26&gt;0,IF(D26=0,"Big stock",AB26/AH26),"Inesgotável")</f>
        <v/>
      </c>
      <c r="AO26" s="2">
        <f>IF(Q26&gt;0,IF(E26=0,"Big stock",AC26/AI26),"Inesgotável")</f>
        <v/>
      </c>
      <c r="AP26" s="2">
        <f>IF(R26&gt;0,IF(F26=0,"Big stock",AD26/AJ26),"Inesgotável")</f>
        <v/>
      </c>
      <c r="AS26" s="75" t="n">
        <v>32</v>
      </c>
      <c r="AT26" s="2">
        <f>Retailers_Cap!BL28</f>
        <v/>
      </c>
      <c r="AU26" s="2">
        <f>Retailers_Cap!BM28</f>
        <v/>
      </c>
      <c r="AV26" s="2">
        <f>Retailers_Cap!BN28</f>
        <v/>
      </c>
      <c r="AY26" s="75" t="n">
        <v>32</v>
      </c>
      <c r="AZ26" s="2">
        <f>IF(D26=0,"no repl",AB26-AT26)</f>
        <v/>
      </c>
      <c r="BA26" s="2">
        <f>IF(E26=0,"no repl",AC26-AU26)</f>
        <v/>
      </c>
      <c r="BB26" s="2">
        <f>IF(F26=0,"no repl",AD26-AV26)</f>
        <v/>
      </c>
    </row>
    <row r="27">
      <c r="C27" s="75" t="n">
        <v>33</v>
      </c>
      <c r="D27" s="11" t="n">
        <v>58338.99880925319</v>
      </c>
      <c r="E27" s="11" t="n">
        <v>128963.7627059542</v>
      </c>
      <c r="F27" s="11" t="n">
        <v>498015.0928571832</v>
      </c>
      <c r="I27" s="75" t="n">
        <v>33</v>
      </c>
      <c r="J27" s="11" t="n">
        <v>28466.56</v>
      </c>
      <c r="K27" s="11" t="n">
        <v>47449</v>
      </c>
      <c r="L27" s="11" t="n">
        <v>24632.32</v>
      </c>
      <c r="O27" s="75" t="n">
        <v>33</v>
      </c>
      <c r="P27" s="11" t="n">
        <v>34663.36857768984</v>
      </c>
      <c r="Q27" s="11" t="n">
        <v>80914.19667141998</v>
      </c>
      <c r="R27" s="11" t="n">
        <v>309698.4444057792</v>
      </c>
      <c r="U27" s="75" t="n">
        <v>33</v>
      </c>
      <c r="V27" s="3">
        <f>J27-P27+D27</f>
        <v/>
      </c>
      <c r="W27" s="3">
        <f>K27-Q27+E27</f>
        <v/>
      </c>
      <c r="X27" s="3">
        <f>L27-R27+F27</f>
        <v/>
      </c>
      <c r="AA27" s="75" t="n">
        <v>33</v>
      </c>
      <c r="AB27" s="2">
        <f>IF(Demand!AU46&gt;Retailers_Cap!N29,(V27/Retailers!P28)/(Demand!AU46-Retailers_Cap!N29),"Inesgotável")</f>
        <v/>
      </c>
      <c r="AC27" s="2">
        <f>IF(Demand!AV46&gt;Retailers_Cap!O29,(W27/Retailers!Q28)/(Demand!AV46-Retailers_Cap!O29),"Inesgotável")</f>
        <v/>
      </c>
      <c r="AD27" s="2">
        <f>IF(Demand!AW46&gt;Retailers_Cap!P29,(X27/Retailers!R28)/(Demand!AW46-Retailers_Cap!P29),"Inesgotável")</f>
        <v/>
      </c>
      <c r="AG27" s="75" t="n">
        <v>33</v>
      </c>
      <c r="AH27" s="75">
        <f>Retailers!AJ28</f>
        <v/>
      </c>
      <c r="AI27" s="75">
        <f>Retailers!AK28</f>
        <v/>
      </c>
      <c r="AJ27" s="75">
        <f>Retailers!AL28</f>
        <v/>
      </c>
      <c r="AM27" s="75" t="n">
        <v>33</v>
      </c>
      <c r="AN27" s="2">
        <f>IF(P27&gt;0,IF(D27=0,"Big stock",AB27/AH27),"Inesgotável")</f>
        <v/>
      </c>
      <c r="AO27" s="2">
        <f>IF(Q27&gt;0,IF(E27=0,"Big stock",AC27/AI27),"Inesgotável")</f>
        <v/>
      </c>
      <c r="AP27" s="2">
        <f>IF(R27&gt;0,IF(F27=0,"Big stock",AD27/AJ27),"Inesgotável")</f>
        <v/>
      </c>
      <c r="AS27" s="75" t="n">
        <v>33</v>
      </c>
      <c r="AT27" s="2">
        <f>Retailers_Cap!BL29</f>
        <v/>
      </c>
      <c r="AU27" s="2">
        <f>Retailers_Cap!BM29</f>
        <v/>
      </c>
      <c r="AV27" s="2">
        <f>Retailers_Cap!BN29</f>
        <v/>
      </c>
      <c r="AY27" s="75" t="n">
        <v>33</v>
      </c>
      <c r="AZ27" s="2">
        <f>IF(D27=0,"no repl",AB27-AT27)</f>
        <v/>
      </c>
      <c r="BA27" s="2">
        <f>IF(E27=0,"no repl",AC27-AU27)</f>
        <v/>
      </c>
      <c r="BB27" s="2">
        <f>IF(F27=0,"no repl",AD27-AV27)</f>
        <v/>
      </c>
    </row>
    <row r="28">
      <c r="C28" s="75" t="n">
        <v>34</v>
      </c>
      <c r="D28" s="11" t="n">
        <v>0</v>
      </c>
      <c r="E28" s="11" t="n">
        <v>0</v>
      </c>
      <c r="F28" s="11" t="n">
        <v>134460.0824875102</v>
      </c>
      <c r="I28" s="75" t="n">
        <v>34</v>
      </c>
      <c r="J28" s="11" t="n">
        <v>30212.6</v>
      </c>
      <c r="K28" s="11" t="n">
        <v>24648.91</v>
      </c>
      <c r="L28" s="11" t="n">
        <v>67701.12</v>
      </c>
      <c r="O28" s="75" t="n">
        <v>34</v>
      </c>
      <c r="P28" s="11" t="n">
        <v>0</v>
      </c>
      <c r="Q28" s="11" t="n">
        <v>0</v>
      </c>
      <c r="R28" s="11" t="n">
        <v>84620.95048980696</v>
      </c>
      <c r="U28" s="75" t="n">
        <v>34</v>
      </c>
      <c r="V28" s="3">
        <f>J28-P28+D28</f>
        <v/>
      </c>
      <c r="W28" s="3">
        <f>K28-Q28+E28</f>
        <v/>
      </c>
      <c r="X28" s="3">
        <f>L28-R28+F28</f>
        <v/>
      </c>
      <c r="AA28" s="75" t="n">
        <v>34</v>
      </c>
      <c r="AB28" s="2">
        <f>IF(Demand!AU47&gt;Retailers_Cap!N30,(V28/Retailers!P29)/(Demand!AU47-Retailers_Cap!N30),"Inesgotável")</f>
        <v/>
      </c>
      <c r="AC28" s="2">
        <f>IF(Demand!AV47&gt;Retailers_Cap!O30,(W28/Retailers!Q29)/(Demand!AV47-Retailers_Cap!O30),"Inesgotável")</f>
        <v/>
      </c>
      <c r="AD28" s="2">
        <f>IF(Demand!AW47&gt;Retailers_Cap!P30,(X28/Retailers!R29)/(Demand!AW47-Retailers_Cap!P30),"Inesgotável")</f>
        <v/>
      </c>
      <c r="AG28" s="75" t="n">
        <v>34</v>
      </c>
      <c r="AH28" s="75">
        <f>Retailers!AJ29</f>
        <v/>
      </c>
      <c r="AI28" s="75">
        <f>Retailers!AK29</f>
        <v/>
      </c>
      <c r="AJ28" s="75">
        <f>Retailers!AL29</f>
        <v/>
      </c>
      <c r="AM28" s="75" t="n">
        <v>34</v>
      </c>
      <c r="AN28" s="2">
        <f>IF(P28&gt;0,IF(D28=0,"Big stock",AB28/AH28),"Inesgotável")</f>
        <v/>
      </c>
      <c r="AO28" s="2">
        <f>IF(Q28&gt;0,IF(E28=0,"Big stock",AC28/AI28),"Inesgotável")</f>
        <v/>
      </c>
      <c r="AP28" s="2">
        <f>IF(R28&gt;0,IF(F28=0,"Big stock",AD28/AJ28),"Inesgotável")</f>
        <v/>
      </c>
      <c r="AS28" s="75" t="n">
        <v>34</v>
      </c>
      <c r="AT28" s="2">
        <f>Retailers_Cap!BL30</f>
        <v/>
      </c>
      <c r="AU28" s="2">
        <f>Retailers_Cap!BM30</f>
        <v/>
      </c>
      <c r="AV28" s="2">
        <f>Retailers_Cap!BN30</f>
        <v/>
      </c>
      <c r="AY28" s="75" t="n">
        <v>34</v>
      </c>
      <c r="AZ28" s="2">
        <f>IF(D28=0,"no repl",AB28-AT28)</f>
        <v/>
      </c>
      <c r="BA28" s="2">
        <f>IF(E28=0,"no repl",AC28-AU28)</f>
        <v/>
      </c>
      <c r="BB28" s="2">
        <f>IF(F28=0,"no repl",AD28-AV28)</f>
        <v/>
      </c>
    </row>
    <row r="29">
      <c r="C29" s="75" t="n">
        <v>35</v>
      </c>
      <c r="D29" s="11" t="n">
        <v>368870.5373121736</v>
      </c>
      <c r="E29" s="11" t="n">
        <v>0</v>
      </c>
      <c r="F29" s="11" t="n">
        <v>518050.2460147262</v>
      </c>
      <c r="I29" s="75" t="n">
        <v>35</v>
      </c>
      <c r="J29" s="11" t="n">
        <v>62927.55</v>
      </c>
      <c r="K29" s="11" t="n">
        <v>10539.36</v>
      </c>
      <c r="L29" s="11" t="n">
        <v>9081.059999999999</v>
      </c>
      <c r="O29" s="75" t="n">
        <v>35</v>
      </c>
      <c r="P29" s="11" t="n">
        <v>224749.0045343625</v>
      </c>
      <c r="Q29" s="11" t="n">
        <v>0</v>
      </c>
      <c r="R29" s="11" t="n">
        <v>312613.0796999978</v>
      </c>
      <c r="U29" s="75" t="n">
        <v>35</v>
      </c>
      <c r="V29" s="3">
        <f>J29-P29+D29</f>
        <v/>
      </c>
      <c r="W29" s="3">
        <f>K29-Q29+E29</f>
        <v/>
      </c>
      <c r="X29" s="3">
        <f>L29-R29+F29</f>
        <v/>
      </c>
      <c r="AA29" s="75" t="n">
        <v>35</v>
      </c>
      <c r="AB29" s="2">
        <f>IF(Demand!AU48&gt;Retailers_Cap!N31,(V29/Retailers!P30)/(Demand!AU48-Retailers_Cap!N31),"Inesgotável")</f>
        <v/>
      </c>
      <c r="AC29" s="2">
        <f>IF(Demand!AV48&gt;Retailers_Cap!O31,(W29/Retailers!Q30)/(Demand!AV48-Retailers_Cap!O31),"Inesgotável")</f>
        <v/>
      </c>
      <c r="AD29" s="2">
        <f>IF(Demand!AW48&gt;Retailers_Cap!P31,(X29/Retailers!R30)/(Demand!AW48-Retailers_Cap!P31),"Inesgotável")</f>
        <v/>
      </c>
      <c r="AG29" s="75" t="n">
        <v>35</v>
      </c>
      <c r="AH29" s="75">
        <f>Retailers!AJ30</f>
        <v/>
      </c>
      <c r="AI29" s="75">
        <f>Retailers!AK30</f>
        <v/>
      </c>
      <c r="AJ29" s="75">
        <f>Retailers!AL30</f>
        <v/>
      </c>
      <c r="AM29" s="75" t="n">
        <v>35</v>
      </c>
      <c r="AN29" s="2">
        <f>IF(P29&gt;0,IF(D29=0,"Big stock",AB29/AH29),"Inesgotável")</f>
        <v/>
      </c>
      <c r="AO29" s="2">
        <f>IF(Q29&gt;0,IF(E29=0,"Big stock",AC29/AI29),"Inesgotável")</f>
        <v/>
      </c>
      <c r="AP29" s="2">
        <f>IF(R29&gt;0,IF(F29=0,"Big stock",AD29/AJ29),"Inesgotável")</f>
        <v/>
      </c>
      <c r="AS29" s="75" t="n">
        <v>35</v>
      </c>
      <c r="AT29" s="2">
        <f>Retailers_Cap!BL31</f>
        <v/>
      </c>
      <c r="AU29" s="2">
        <f>Retailers_Cap!BM31</f>
        <v/>
      </c>
      <c r="AV29" s="2">
        <f>Retailers_Cap!BN31</f>
        <v/>
      </c>
      <c r="AY29" s="75" t="n">
        <v>35</v>
      </c>
      <c r="AZ29" s="2">
        <f>IF(D29=0,"no repl",AB29-AT29)</f>
        <v/>
      </c>
      <c r="BA29" s="2">
        <f>IF(E29=0,"no repl",AC29-AU29)</f>
        <v/>
      </c>
      <c r="BB29" s="2">
        <f>IF(F29=0,"no repl",AD29-AV29)</f>
        <v/>
      </c>
    </row>
    <row r="30">
      <c r="C30" s="75" t="n">
        <v>36</v>
      </c>
      <c r="D30" s="11" t="n">
        <v>0</v>
      </c>
      <c r="E30" s="11" t="n">
        <v>155594.1300693718</v>
      </c>
      <c r="F30" s="11" t="n">
        <v>246981.7685458723</v>
      </c>
      <c r="I30" s="75" t="n">
        <v>36</v>
      </c>
      <c r="J30" s="11" t="n">
        <v>4986.3</v>
      </c>
      <c r="K30" s="11" t="n">
        <v>15551.91</v>
      </c>
      <c r="L30" s="11" t="n">
        <v>34518.36</v>
      </c>
      <c r="O30" s="75" t="n">
        <v>36</v>
      </c>
      <c r="P30" s="11" t="n">
        <v>0</v>
      </c>
      <c r="Q30" s="11" t="n">
        <v>96454.30361670729</v>
      </c>
      <c r="R30" s="11" t="n">
        <v>142795.2062051961</v>
      </c>
      <c r="U30" s="75" t="n">
        <v>36</v>
      </c>
      <c r="V30" s="3">
        <f>J30-P30+D30</f>
        <v/>
      </c>
      <c r="W30" s="3">
        <f>K30-Q30+E30</f>
        <v/>
      </c>
      <c r="X30" s="3">
        <f>L30-R30+F30</f>
        <v/>
      </c>
      <c r="AA30" s="75" t="n">
        <v>36</v>
      </c>
      <c r="AB30" s="2">
        <f>IF(Demand!AU49&gt;Retailers_Cap!N32,(V30/Retailers!P31)/(Demand!AU49-Retailers_Cap!N32),"Inesgotável")</f>
        <v/>
      </c>
      <c r="AC30" s="2">
        <f>IF(Demand!AV49&gt;Retailers_Cap!O32,(W30/Retailers!Q31)/(Demand!AV49-Retailers_Cap!O32),"Inesgotável")</f>
        <v/>
      </c>
      <c r="AD30" s="2">
        <f>IF(Demand!AW49&gt;Retailers_Cap!P32,(X30/Retailers!R31)/(Demand!AW49-Retailers_Cap!P32),"Inesgotável")</f>
        <v/>
      </c>
      <c r="AG30" s="75" t="n">
        <v>36</v>
      </c>
      <c r="AH30" s="75">
        <f>Retailers!AJ31</f>
        <v/>
      </c>
      <c r="AI30" s="75">
        <f>Retailers!AK31</f>
        <v/>
      </c>
      <c r="AJ30" s="75">
        <f>Retailers!AL31</f>
        <v/>
      </c>
      <c r="AM30" s="75" t="n">
        <v>36</v>
      </c>
      <c r="AN30" s="2">
        <f>IF(P30&gt;0,IF(D30=0,"Big stock",AB30/AH30),"Inesgotável")</f>
        <v/>
      </c>
      <c r="AO30" s="2">
        <f>IF(Q30&gt;0,IF(E30=0,"Big stock",AC30/AI30),"Inesgotável")</f>
        <v/>
      </c>
      <c r="AP30" s="2">
        <f>IF(R30&gt;0,IF(F30=0,"Big stock",AD30/AJ30),"Inesgotável")</f>
        <v/>
      </c>
      <c r="AS30" s="75" t="n">
        <v>36</v>
      </c>
      <c r="AT30" s="2">
        <f>Retailers_Cap!BL32</f>
        <v/>
      </c>
      <c r="AU30" s="2">
        <f>Retailers_Cap!BM32</f>
        <v/>
      </c>
      <c r="AV30" s="2">
        <f>Retailers_Cap!BN32</f>
        <v/>
      </c>
      <c r="AY30" s="75" t="n">
        <v>36</v>
      </c>
      <c r="AZ30" s="2">
        <f>IF(D30=0,"no repl",AB30-AT30)</f>
        <v/>
      </c>
      <c r="BA30" s="2">
        <f>IF(E30=0,"no repl",AC30-AU30)</f>
        <v/>
      </c>
      <c r="BB30" s="2">
        <f>IF(F30=0,"no repl",AD30-AV30)</f>
        <v/>
      </c>
    </row>
    <row r="31">
      <c r="C31" s="75" t="n">
        <v>37</v>
      </c>
      <c r="D31" s="11" t="n">
        <v>121196.0171590576</v>
      </c>
      <c r="E31" s="11" t="n">
        <v>214037.3128225546</v>
      </c>
      <c r="F31" s="11" t="n">
        <v>0</v>
      </c>
      <c r="I31" s="75" t="n">
        <v>37</v>
      </c>
      <c r="J31" s="11" t="n">
        <v>93737.49000000001</v>
      </c>
      <c r="K31" s="11" t="n">
        <v>48796.8</v>
      </c>
      <c r="L31" s="11" t="n">
        <v>25735.23</v>
      </c>
      <c r="O31" s="75" t="n">
        <v>37</v>
      </c>
      <c r="P31" s="11" t="n">
        <v>78376.14626480186</v>
      </c>
      <c r="Q31" s="11" t="n">
        <v>131982.5885605698</v>
      </c>
      <c r="R31" s="11" t="n">
        <v>0</v>
      </c>
      <c r="U31" s="75" t="n">
        <v>37</v>
      </c>
      <c r="V31" s="3">
        <f>J31-P31+D31</f>
        <v/>
      </c>
      <c r="W31" s="3">
        <f>K31-Q31+E31</f>
        <v/>
      </c>
      <c r="X31" s="3">
        <f>L31-R31+F31</f>
        <v/>
      </c>
      <c r="AA31" s="75" t="n">
        <v>37</v>
      </c>
      <c r="AB31" s="2">
        <f>IF(Demand!AU50&gt;Retailers_Cap!N33,(V31/Retailers!P32)/(Demand!AU50-Retailers_Cap!N33),"Inesgotável")</f>
        <v/>
      </c>
      <c r="AC31" s="2">
        <f>IF(Demand!AV50&gt;Retailers_Cap!O33,(W31/Retailers!Q32)/(Demand!AV50-Retailers_Cap!O33),"Inesgotável")</f>
        <v/>
      </c>
      <c r="AD31" s="2">
        <f>IF(Demand!AW50&gt;Retailers_Cap!P33,(X31/Retailers!R32)/(Demand!AW50-Retailers_Cap!P33),"Inesgotável")</f>
        <v/>
      </c>
      <c r="AG31" s="75" t="n">
        <v>37</v>
      </c>
      <c r="AH31" s="75">
        <f>Retailers!AJ32</f>
        <v/>
      </c>
      <c r="AI31" s="75">
        <f>Retailers!AK32</f>
        <v/>
      </c>
      <c r="AJ31" s="75">
        <f>Retailers!AL32</f>
        <v/>
      </c>
      <c r="AM31" s="75" t="n">
        <v>37</v>
      </c>
      <c r="AN31" s="2">
        <f>IF(P31&gt;0,IF(D31=0,"Big stock",AB31/AH31),"Inesgotável")</f>
        <v/>
      </c>
      <c r="AO31" s="2">
        <f>IF(Q31&gt;0,IF(E31=0,"Big stock",AC31/AI31),"Inesgotável")</f>
        <v/>
      </c>
      <c r="AP31" s="2">
        <f>IF(R31&gt;0,IF(F31=0,"Big stock",AD31/AJ31),"Inesgotável")</f>
        <v/>
      </c>
      <c r="AS31" s="75" t="n">
        <v>37</v>
      </c>
      <c r="AT31" s="2">
        <f>Retailers_Cap!BL33</f>
        <v/>
      </c>
      <c r="AU31" s="2">
        <f>Retailers_Cap!BM33</f>
        <v/>
      </c>
      <c r="AV31" s="2">
        <f>Retailers_Cap!BN33</f>
        <v/>
      </c>
      <c r="AY31" s="75" t="n">
        <v>37</v>
      </c>
      <c r="AZ31" s="2">
        <f>IF(D31=0,"no repl",AB31-AT31)</f>
        <v/>
      </c>
      <c r="BA31" s="2">
        <f>IF(E31=0,"no repl",AC31-AU31)</f>
        <v/>
      </c>
      <c r="BB31" s="2">
        <f>IF(F31=0,"no repl",AD31-AV31)</f>
        <v/>
      </c>
    </row>
    <row r="32">
      <c r="C32" s="75" t="n">
        <v>38</v>
      </c>
      <c r="D32" s="11" t="n">
        <v>317380.7518284593</v>
      </c>
      <c r="E32" s="11" t="n">
        <v>0</v>
      </c>
      <c r="F32" s="11" t="n">
        <v>0</v>
      </c>
      <c r="I32" s="75" t="n">
        <v>38</v>
      </c>
      <c r="J32" s="11" t="n">
        <v>131382.34</v>
      </c>
      <c r="K32" s="11" t="n">
        <v>20567.04</v>
      </c>
      <c r="L32" s="11" t="n">
        <v>50954.24</v>
      </c>
      <c r="O32" s="75" t="n">
        <v>38</v>
      </c>
      <c r="P32" s="11" t="n">
        <v>192043.636940423</v>
      </c>
      <c r="Q32" s="11" t="n">
        <v>0</v>
      </c>
      <c r="R32" s="11" t="n">
        <v>0</v>
      </c>
      <c r="U32" s="75" t="n">
        <v>38</v>
      </c>
      <c r="V32" s="3">
        <f>J32-P32+D32</f>
        <v/>
      </c>
      <c r="W32" s="3">
        <f>K32-Q32+E32</f>
        <v/>
      </c>
      <c r="X32" s="3">
        <f>L32-R32+F32</f>
        <v/>
      </c>
      <c r="AA32" s="75" t="n">
        <v>38</v>
      </c>
      <c r="AB32" s="2">
        <f>IF(Demand!AU51&gt;Retailers_Cap!N34,(V32/Retailers!P33)/(Demand!AU51-Retailers_Cap!N34),"Inesgotável")</f>
        <v/>
      </c>
      <c r="AC32" s="2">
        <f>IF(Demand!AV51&gt;Retailers_Cap!O34,(W32/Retailers!Q33)/(Demand!AV51-Retailers_Cap!O34),"Inesgotável")</f>
        <v/>
      </c>
      <c r="AD32" s="2">
        <f>IF(Demand!AW51&gt;Retailers_Cap!P34,(X32/Retailers!R33)/(Demand!AW51-Retailers_Cap!P34),"Inesgotável")</f>
        <v/>
      </c>
      <c r="AG32" s="75" t="n">
        <v>38</v>
      </c>
      <c r="AH32" s="75">
        <f>Retailers!AJ33</f>
        <v/>
      </c>
      <c r="AI32" s="75">
        <f>Retailers!AK33</f>
        <v/>
      </c>
      <c r="AJ32" s="75">
        <f>Retailers!AL33</f>
        <v/>
      </c>
      <c r="AM32" s="75" t="n">
        <v>38</v>
      </c>
      <c r="AN32" s="2">
        <f>IF(P32&gt;0,IF(D32=0,"Big stock",AB32/AH32),"Inesgotável")</f>
        <v/>
      </c>
      <c r="AO32" s="2">
        <f>IF(Q32&gt;0,IF(E32=0,"Big stock",AC32/AI32),"Inesgotável")</f>
        <v/>
      </c>
      <c r="AP32" s="2">
        <f>IF(R32&gt;0,IF(F32=0,"Big stock",AD32/AJ32),"Inesgotável")</f>
        <v/>
      </c>
      <c r="AS32" s="75" t="n">
        <v>38</v>
      </c>
      <c r="AT32" s="2">
        <f>Retailers_Cap!BL34</f>
        <v/>
      </c>
      <c r="AU32" s="2">
        <f>Retailers_Cap!BM34</f>
        <v/>
      </c>
      <c r="AV32" s="2">
        <f>Retailers_Cap!BN34</f>
        <v/>
      </c>
      <c r="AY32" s="75" t="n">
        <v>38</v>
      </c>
      <c r="AZ32" s="2">
        <f>IF(D32=0,"no repl",AB32-AT32)</f>
        <v/>
      </c>
      <c r="BA32" s="2">
        <f>IF(E32=0,"no repl",AC32-AU32)</f>
        <v/>
      </c>
      <c r="BB32" s="2">
        <f>IF(F32=0,"no repl",AD32-AV32)</f>
        <v/>
      </c>
    </row>
    <row r="33">
      <c r="C33" s="75" t="n">
        <v>39</v>
      </c>
      <c r="D33" s="11" t="n">
        <v>0</v>
      </c>
      <c r="E33" s="11" t="n">
        <v>0</v>
      </c>
      <c r="F33" s="11" t="n">
        <v>0</v>
      </c>
      <c r="I33" s="75" t="n">
        <v>39</v>
      </c>
      <c r="J33" s="11" t="n">
        <v>50969.04</v>
      </c>
      <c r="K33" s="11" t="n">
        <v>33816.64</v>
      </c>
      <c r="L33" s="11" t="n">
        <v>42735.96</v>
      </c>
      <c r="O33" s="75" t="n">
        <v>39</v>
      </c>
      <c r="P33" s="11" t="n">
        <v>0</v>
      </c>
      <c r="Q33" s="11" t="n">
        <v>0</v>
      </c>
      <c r="R33" s="11" t="n">
        <v>0</v>
      </c>
      <c r="U33" s="75" t="n">
        <v>39</v>
      </c>
      <c r="V33" s="3">
        <f>J33-P33+D33</f>
        <v/>
      </c>
      <c r="W33" s="3">
        <f>K33-Q33+E33</f>
        <v/>
      </c>
      <c r="X33" s="3">
        <f>L33-R33+F33</f>
        <v/>
      </c>
      <c r="AA33" s="75" t="n">
        <v>39</v>
      </c>
      <c r="AB33" s="2">
        <f>IF(Demand!AU52&gt;Retailers_Cap!N35,(V33/Retailers!P34)/(Demand!AU52-Retailers_Cap!N35),"Inesgotável")</f>
        <v/>
      </c>
      <c r="AC33" s="2">
        <f>IF(Demand!AV52&gt;Retailers_Cap!O35,(W33/Retailers!Q34)/(Demand!AV52-Retailers_Cap!O35),"Inesgotável")</f>
        <v/>
      </c>
      <c r="AD33" s="2">
        <f>IF(Demand!AW52&gt;Retailers_Cap!P35,(X33/Retailers!R34)/(Demand!AW52-Retailers_Cap!P35),"Inesgotável")</f>
        <v/>
      </c>
      <c r="AG33" s="75" t="n">
        <v>39</v>
      </c>
      <c r="AH33" s="75">
        <f>Retailers!AJ34</f>
        <v/>
      </c>
      <c r="AI33" s="75">
        <f>Retailers!AK34</f>
        <v/>
      </c>
      <c r="AJ33" s="75">
        <f>Retailers!AL34</f>
        <v/>
      </c>
      <c r="AM33" s="75" t="n">
        <v>39</v>
      </c>
      <c r="AN33" s="2">
        <f>IF(P33&gt;0,IF(D33=0,"Big stock",AB33/AH33),"Inesgotável")</f>
        <v/>
      </c>
      <c r="AO33" s="2">
        <f>IF(Q33&gt;0,IF(E33=0,"Big stock",AC33/AI33),"Inesgotável")</f>
        <v/>
      </c>
      <c r="AP33" s="2">
        <f>IF(R33&gt;0,IF(F33=0,"Big stock",AD33/AJ33),"Inesgotável")</f>
        <v/>
      </c>
      <c r="AS33" s="75" t="n">
        <v>39</v>
      </c>
      <c r="AT33" s="2">
        <f>Retailers_Cap!BL35</f>
        <v/>
      </c>
      <c r="AU33" s="2">
        <f>Retailers_Cap!BM35</f>
        <v/>
      </c>
      <c r="AV33" s="2">
        <f>Retailers_Cap!BN35</f>
        <v/>
      </c>
      <c r="AY33" s="75" t="n">
        <v>39</v>
      </c>
      <c r="AZ33" s="2">
        <f>IF(D33=0,"no repl",AB33-AT33)</f>
        <v/>
      </c>
      <c r="BA33" s="2">
        <f>IF(E33=0,"no repl",AC33-AU33)</f>
        <v/>
      </c>
      <c r="BB33" s="2">
        <f>IF(F33=0,"no repl",AD33-AV33)</f>
        <v/>
      </c>
    </row>
    <row r="34">
      <c r="C34" s="75" t="n">
        <v>40</v>
      </c>
      <c r="D34" s="11" t="n">
        <v>0</v>
      </c>
      <c r="E34" s="11" t="n">
        <v>0</v>
      </c>
      <c r="F34" s="11" t="n">
        <v>0</v>
      </c>
      <c r="I34" s="75" t="n">
        <v>40</v>
      </c>
      <c r="J34" s="11" t="n">
        <v>47645.88</v>
      </c>
      <c r="K34" s="11" t="n">
        <v>92975.40000000001</v>
      </c>
      <c r="L34" s="11" t="n">
        <v>71199.74000000001</v>
      </c>
      <c r="O34" s="75" t="n">
        <v>40</v>
      </c>
      <c r="P34" s="11" t="n">
        <v>0</v>
      </c>
      <c r="Q34" s="11" t="n">
        <v>0</v>
      </c>
      <c r="R34" s="11" t="n">
        <v>0</v>
      </c>
      <c r="U34" s="75" t="n">
        <v>40</v>
      </c>
      <c r="V34" s="3">
        <f>J34-P34+D34</f>
        <v/>
      </c>
      <c r="W34" s="3">
        <f>K34-Q34+E34</f>
        <v/>
      </c>
      <c r="X34" s="3">
        <f>L34-R34+F34</f>
        <v/>
      </c>
      <c r="AA34" s="75" t="n">
        <v>40</v>
      </c>
      <c r="AB34" s="2">
        <f>IF(Demand!AU53&gt;Retailers_Cap!N36,(V34/Retailers!P35)/(Demand!AU53-Retailers_Cap!N36),"Inesgotável")</f>
        <v/>
      </c>
      <c r="AC34" s="2">
        <f>IF(Demand!AV53&gt;Retailers_Cap!O36,(W34/Retailers!Q35)/(Demand!AV53-Retailers_Cap!O36),"Inesgotável")</f>
        <v/>
      </c>
      <c r="AD34" s="2">
        <f>IF(Demand!AW53&gt;Retailers_Cap!P36,(X34/Retailers!R35)/(Demand!AW53-Retailers_Cap!P36),"Inesgotável")</f>
        <v/>
      </c>
      <c r="AG34" s="75" t="n">
        <v>40</v>
      </c>
      <c r="AH34" s="75">
        <f>Retailers!AJ35</f>
        <v/>
      </c>
      <c r="AI34" s="75">
        <f>Retailers!AK35</f>
        <v/>
      </c>
      <c r="AJ34" s="75">
        <f>Retailers!AL35</f>
        <v/>
      </c>
      <c r="AM34" s="75" t="n">
        <v>40</v>
      </c>
      <c r="AN34" s="2">
        <f>IF(P34&gt;0,IF(D34=0,"Big stock",AB34/AH34),"Inesgotável")</f>
        <v/>
      </c>
      <c r="AO34" s="2">
        <f>IF(Q34&gt;0,IF(E34=0,"Big stock",AC34/AI34),"Inesgotável")</f>
        <v/>
      </c>
      <c r="AP34" s="2">
        <f>IF(R34&gt;0,IF(F34=0,"Big stock",AD34/AJ34),"Inesgotável")</f>
        <v/>
      </c>
      <c r="AS34" s="75" t="n">
        <v>40</v>
      </c>
      <c r="AT34" s="2">
        <f>Retailers_Cap!BL36</f>
        <v/>
      </c>
      <c r="AU34" s="2">
        <f>Retailers_Cap!BM36</f>
        <v/>
      </c>
      <c r="AV34" s="2">
        <f>Retailers_Cap!BN36</f>
        <v/>
      </c>
      <c r="AY34" s="75" t="n">
        <v>40</v>
      </c>
      <c r="AZ34" s="2">
        <f>IF(D34=0,"no repl",AB34-AT34)</f>
        <v/>
      </c>
      <c r="BA34" s="2">
        <f>IF(E34=0,"no repl",AC34-AU34)</f>
        <v/>
      </c>
      <c r="BB34" s="2">
        <f>IF(F34=0,"no repl",AD34-AV34)</f>
        <v/>
      </c>
    </row>
    <row r="35">
      <c r="C35" s="75" t="n">
        <v>41</v>
      </c>
      <c r="D35" s="11" t="n">
        <v>0</v>
      </c>
      <c r="E35" s="11" t="n">
        <v>174581.7761738005</v>
      </c>
      <c r="F35" s="11" t="n">
        <v>0</v>
      </c>
      <c r="I35" s="75" t="n">
        <v>41</v>
      </c>
      <c r="J35" s="11" t="n">
        <v>66290</v>
      </c>
      <c r="K35" s="11" t="n">
        <v>63800.09999999999</v>
      </c>
      <c r="L35" s="11" t="n">
        <v>100955.76</v>
      </c>
      <c r="O35" s="75" t="n">
        <v>41</v>
      </c>
      <c r="P35" s="11" t="n">
        <v>0</v>
      </c>
      <c r="Q35" s="11" t="n">
        <v>110655.3225583502</v>
      </c>
      <c r="R35" s="11" t="n">
        <v>0</v>
      </c>
      <c r="U35" s="75" t="n">
        <v>41</v>
      </c>
      <c r="V35" s="3">
        <f>J35-P35+D35</f>
        <v/>
      </c>
      <c r="W35" s="3">
        <f>K35-Q35+E35</f>
        <v/>
      </c>
      <c r="X35" s="3">
        <f>L35-R35+F35</f>
        <v/>
      </c>
      <c r="AA35" s="75" t="n">
        <v>41</v>
      </c>
      <c r="AB35" s="2">
        <f>IF(Demand!AU54&gt;Retailers_Cap!N37,(V35/Retailers!P36)/(Demand!AU54-Retailers_Cap!N37),"Inesgotável")</f>
        <v/>
      </c>
      <c r="AC35" s="2">
        <f>IF(Demand!AV54&gt;Retailers_Cap!O37,(W35/Retailers!Q36)/(Demand!AV54-Retailers_Cap!O37),"Inesgotável")</f>
        <v/>
      </c>
      <c r="AD35" s="2">
        <f>IF(Demand!AW54&gt;Retailers_Cap!P37,(X35/Retailers!R36)/(Demand!AW54-Retailers_Cap!P37),"Inesgotável")</f>
        <v/>
      </c>
      <c r="AG35" s="75" t="n">
        <v>41</v>
      </c>
      <c r="AH35" s="75">
        <f>Retailers!AJ36</f>
        <v/>
      </c>
      <c r="AI35" s="75">
        <f>Retailers!AK36</f>
        <v/>
      </c>
      <c r="AJ35" s="75">
        <f>Retailers!AL36</f>
        <v/>
      </c>
      <c r="AM35" s="75" t="n">
        <v>41</v>
      </c>
      <c r="AN35" s="2">
        <f>IF(P35&gt;0,IF(D35=0,"Big stock",AB35/AH35),"Inesgotável")</f>
        <v/>
      </c>
      <c r="AO35" s="2">
        <f>IF(Q35&gt;0,IF(E35=0,"Big stock",AC35/AI35),"Inesgotável")</f>
        <v/>
      </c>
      <c r="AP35" s="2">
        <f>IF(R35&gt;0,IF(F35=0,"Big stock",AD35/AJ35),"Inesgotável")</f>
        <v/>
      </c>
      <c r="AS35" s="75" t="n">
        <v>41</v>
      </c>
      <c r="AT35" s="2">
        <f>Retailers_Cap!BL37</f>
        <v/>
      </c>
      <c r="AU35" s="2">
        <f>Retailers_Cap!BM37</f>
        <v/>
      </c>
      <c r="AV35" s="2">
        <f>Retailers_Cap!BN37</f>
        <v/>
      </c>
      <c r="AY35" s="75" t="n">
        <v>41</v>
      </c>
      <c r="AZ35" s="2">
        <f>IF(D35=0,"no repl",AB35-AT35)</f>
        <v/>
      </c>
      <c r="BA35" s="2">
        <f>IF(E35=0,"no repl",AC35-AU35)</f>
        <v/>
      </c>
      <c r="BB35" s="2">
        <f>IF(F35=0,"no repl",AD35-AV35)</f>
        <v/>
      </c>
    </row>
    <row r="36">
      <c r="C36" s="75" t="n">
        <v>42</v>
      </c>
      <c r="D36" s="11" t="n">
        <v>0</v>
      </c>
      <c r="E36" s="11" t="n">
        <v>0</v>
      </c>
      <c r="F36" s="11" t="n">
        <v>0</v>
      </c>
      <c r="I36" s="75" t="n">
        <v>42</v>
      </c>
      <c r="J36" s="11" t="n">
        <v>37839.75</v>
      </c>
      <c r="K36" s="11" t="n">
        <v>19957.36</v>
      </c>
      <c r="L36" s="11" t="n">
        <v>24740.06</v>
      </c>
      <c r="O36" s="75" t="n">
        <v>42</v>
      </c>
      <c r="P36" s="11" t="n">
        <v>0</v>
      </c>
      <c r="Q36" s="11" t="n">
        <v>0</v>
      </c>
      <c r="R36" s="11" t="n">
        <v>0</v>
      </c>
      <c r="U36" s="75" t="n">
        <v>42</v>
      </c>
      <c r="V36" s="3">
        <f>J36-P36+D36</f>
        <v/>
      </c>
      <c r="W36" s="3">
        <f>K36-Q36+E36</f>
        <v/>
      </c>
      <c r="X36" s="3">
        <f>L36-R36+F36</f>
        <v/>
      </c>
      <c r="AA36" s="75" t="n">
        <v>42</v>
      </c>
      <c r="AB36" s="2">
        <f>IF(Demand!AU55&gt;Retailers_Cap!N38,(V36/Retailers!P37)/(Demand!AU55-Retailers_Cap!N38),"Inesgotável")</f>
        <v/>
      </c>
      <c r="AC36" s="2">
        <f>IF(Demand!AV55&gt;Retailers_Cap!O38,(W36/Retailers!Q37)/(Demand!AV55-Retailers_Cap!O38),"Inesgotável")</f>
        <v/>
      </c>
      <c r="AD36" s="2">
        <f>IF(Demand!AW55&gt;Retailers_Cap!P38,(X36/Retailers!R37)/(Demand!AW55-Retailers_Cap!P38),"Inesgotável")</f>
        <v/>
      </c>
      <c r="AG36" s="75" t="n">
        <v>42</v>
      </c>
      <c r="AH36" s="75">
        <f>Retailers!AJ37</f>
        <v/>
      </c>
      <c r="AI36" s="75">
        <f>Retailers!AK37</f>
        <v/>
      </c>
      <c r="AJ36" s="75">
        <f>Retailers!AL37</f>
        <v/>
      </c>
      <c r="AM36" s="75" t="n">
        <v>42</v>
      </c>
      <c r="AN36" s="2">
        <f>IF(P36&gt;0,IF(D36=0,"Big stock",AB36/AH36),"Inesgotável")</f>
        <v/>
      </c>
      <c r="AO36" s="2">
        <f>IF(Q36&gt;0,IF(E36=0,"Big stock",AC36/AI36),"Inesgotável")</f>
        <v/>
      </c>
      <c r="AP36" s="2">
        <f>IF(R36&gt;0,IF(F36=0,"Big stock",AD36/AJ36),"Inesgotável")</f>
        <v/>
      </c>
      <c r="AS36" s="75" t="n">
        <v>42</v>
      </c>
      <c r="AT36" s="2">
        <f>Retailers_Cap!BL38</f>
        <v/>
      </c>
      <c r="AU36" s="2">
        <f>Retailers_Cap!BM38</f>
        <v/>
      </c>
      <c r="AV36" s="2">
        <f>Retailers_Cap!BN38</f>
        <v/>
      </c>
      <c r="AY36" s="75" t="n">
        <v>42</v>
      </c>
      <c r="AZ36" s="2">
        <f>IF(D36=0,"no repl",AB36-AT36)</f>
        <v/>
      </c>
      <c r="BA36" s="2">
        <f>IF(E36=0,"no repl",AC36-AU36)</f>
        <v/>
      </c>
      <c r="BB36" s="2">
        <f>IF(F36=0,"no repl",AD36-AV36)</f>
        <v/>
      </c>
    </row>
    <row r="37">
      <c r="C37" s="75" t="n">
        <v>43</v>
      </c>
      <c r="D37" s="11" t="n">
        <v>334827.2483724409</v>
      </c>
      <c r="E37" s="11" t="n">
        <v>373717.8853275826</v>
      </c>
      <c r="F37" s="11" t="n">
        <v>145449.9760959762</v>
      </c>
      <c r="I37" s="75" t="n">
        <v>43</v>
      </c>
      <c r="J37" s="11" t="n">
        <v>38666.16</v>
      </c>
      <c r="K37" s="11" t="n">
        <v>32053.92</v>
      </c>
      <c r="L37" s="11" t="n">
        <v>47333.1</v>
      </c>
      <c r="O37" s="75" t="n">
        <v>43</v>
      </c>
      <c r="P37" s="11" t="n">
        <v>215588.3348588831</v>
      </c>
      <c r="Q37" s="11" t="n">
        <v>242314.5370398857</v>
      </c>
      <c r="R37" s="11" t="n">
        <v>89382.74459558398</v>
      </c>
      <c r="U37" s="75" t="n">
        <v>43</v>
      </c>
      <c r="V37" s="3">
        <f>J37-P37+D37</f>
        <v/>
      </c>
      <c r="W37" s="3">
        <f>K37-Q37+E37</f>
        <v/>
      </c>
      <c r="X37" s="3">
        <f>L37-R37+F37</f>
        <v/>
      </c>
      <c r="AA37" s="75" t="n">
        <v>43</v>
      </c>
      <c r="AB37" s="2">
        <f>IF(Demand!AU56&gt;Retailers_Cap!N39,(V37/Retailers!P38)/(Demand!AU56-Retailers_Cap!N39),"Inesgotável")</f>
        <v/>
      </c>
      <c r="AC37" s="2">
        <f>IF(Demand!AV56&gt;Retailers_Cap!O39,(W37/Retailers!Q38)/(Demand!AV56-Retailers_Cap!O39),"Inesgotável")</f>
        <v/>
      </c>
      <c r="AD37" s="2">
        <f>IF(Demand!AW56&gt;Retailers_Cap!P39,(X37/Retailers!R38)/(Demand!AW56-Retailers_Cap!P39),"Inesgotável")</f>
        <v/>
      </c>
      <c r="AG37" s="75" t="n">
        <v>43</v>
      </c>
      <c r="AH37" s="75">
        <f>Retailers!AJ38</f>
        <v/>
      </c>
      <c r="AI37" s="75">
        <f>Retailers!AK38</f>
        <v/>
      </c>
      <c r="AJ37" s="75">
        <f>Retailers!AL38</f>
        <v/>
      </c>
      <c r="AM37" s="75" t="n">
        <v>43</v>
      </c>
      <c r="AN37" s="2">
        <f>IF(P37&gt;0,IF(D37=0,"Big stock",AB37/AH37),"Inesgotável")</f>
        <v/>
      </c>
      <c r="AO37" s="2">
        <f>IF(Q37&gt;0,IF(E37=0,"Big stock",AC37/AI37),"Inesgotável")</f>
        <v/>
      </c>
      <c r="AP37" s="2">
        <f>IF(R37&gt;0,IF(F37=0,"Big stock",AD37/AJ37),"Inesgotável")</f>
        <v/>
      </c>
      <c r="AS37" s="75" t="n">
        <v>43</v>
      </c>
      <c r="AT37" s="2">
        <f>Retailers_Cap!BL39</f>
        <v/>
      </c>
      <c r="AU37" s="2">
        <f>Retailers_Cap!BM39</f>
        <v/>
      </c>
      <c r="AV37" s="2">
        <f>Retailers_Cap!BN39</f>
        <v/>
      </c>
      <c r="AY37" s="75" t="n">
        <v>43</v>
      </c>
      <c r="AZ37" s="2">
        <f>IF(D37=0,"no repl",AB37-AT37)</f>
        <v/>
      </c>
      <c r="BA37" s="2">
        <f>IF(E37=0,"no repl",AC37-AU37)</f>
        <v/>
      </c>
      <c r="BB37" s="2">
        <f>IF(F37=0,"no repl",AD37-AV37)</f>
        <v/>
      </c>
    </row>
    <row r="38">
      <c r="C38" s="75" t="n">
        <v>44</v>
      </c>
      <c r="D38" s="11" t="n">
        <v>0</v>
      </c>
      <c r="E38" s="11" t="n">
        <v>0</v>
      </c>
      <c r="F38" s="11" t="n">
        <v>40893.42829093405</v>
      </c>
      <c r="I38" s="75" t="n">
        <v>44</v>
      </c>
      <c r="J38" s="11" t="n">
        <v>44818.60000000001</v>
      </c>
      <c r="K38" s="11" t="n">
        <v>29722.44</v>
      </c>
      <c r="L38" s="11" t="n">
        <v>30156.33</v>
      </c>
      <c r="O38" s="75" t="n">
        <v>44</v>
      </c>
      <c r="P38" s="11" t="n">
        <v>0</v>
      </c>
      <c r="Q38" s="11" t="n">
        <v>0</v>
      </c>
      <c r="R38" s="11" t="n">
        <v>22731.14837358008</v>
      </c>
      <c r="U38" s="75" t="n">
        <v>44</v>
      </c>
      <c r="V38" s="3">
        <f>J38-P38+D38</f>
        <v/>
      </c>
      <c r="W38" s="3">
        <f>K38-Q38+E38</f>
        <v/>
      </c>
      <c r="X38" s="3">
        <f>L38-R38+F38</f>
        <v/>
      </c>
      <c r="AA38" s="75" t="n">
        <v>44</v>
      </c>
      <c r="AB38" s="2">
        <f>IF(Demand!AU57&gt;Retailers_Cap!N40,(V38/Retailers!P39)/(Demand!AU57-Retailers_Cap!N40),"Inesgotável")</f>
        <v/>
      </c>
      <c r="AC38" s="2">
        <f>IF(Demand!AV57&gt;Retailers_Cap!O40,(W38/Retailers!Q39)/(Demand!AV57-Retailers_Cap!O40),"Inesgotável")</f>
        <v/>
      </c>
      <c r="AD38" s="2">
        <f>IF(Demand!AW57&gt;Retailers_Cap!P40,(X38/Retailers!R39)/(Demand!AW57-Retailers_Cap!P40),"Inesgotável")</f>
        <v/>
      </c>
      <c r="AG38" s="75" t="n">
        <v>44</v>
      </c>
      <c r="AH38" s="75">
        <f>Retailers!AJ39</f>
        <v/>
      </c>
      <c r="AI38" s="75">
        <f>Retailers!AK39</f>
        <v/>
      </c>
      <c r="AJ38" s="75">
        <f>Retailers!AL39</f>
        <v/>
      </c>
      <c r="AM38" s="75" t="n">
        <v>44</v>
      </c>
      <c r="AN38" s="2">
        <f>IF(P38&gt;0,IF(D38=0,"Big stock",AB38/AH38),"Inesgotável")</f>
        <v/>
      </c>
      <c r="AO38" s="2">
        <f>IF(Q38&gt;0,IF(E38=0,"Big stock",AC38/AI38),"Inesgotável")</f>
        <v/>
      </c>
      <c r="AP38" s="2">
        <f>IF(R38&gt;0,IF(F38=0,"Big stock",AD38/AJ38),"Inesgotável")</f>
        <v/>
      </c>
      <c r="AS38" s="75" t="n">
        <v>44</v>
      </c>
      <c r="AT38" s="2">
        <f>Retailers_Cap!BL40</f>
        <v/>
      </c>
      <c r="AU38" s="2">
        <f>Retailers_Cap!BM40</f>
        <v/>
      </c>
      <c r="AV38" s="2">
        <f>Retailers_Cap!BN40</f>
        <v/>
      </c>
      <c r="AY38" s="75" t="n">
        <v>44</v>
      </c>
      <c r="AZ38" s="2">
        <f>IF(D38=0,"no repl",AB38-AT38)</f>
        <v/>
      </c>
      <c r="BA38" s="2">
        <f>IF(E38=0,"no repl",AC38-AU38)</f>
        <v/>
      </c>
      <c r="BB38" s="2">
        <f>IF(F38=0,"no repl",AD38-AV38)</f>
        <v/>
      </c>
    </row>
    <row r="39">
      <c r="C39" s="75" t="n">
        <v>45</v>
      </c>
      <c r="D39" s="11" t="n">
        <v>0</v>
      </c>
      <c r="E39" s="11" t="n">
        <v>0</v>
      </c>
      <c r="F39" s="11" t="n">
        <v>109661.4317442422</v>
      </c>
      <c r="I39" s="75" t="n">
        <v>45</v>
      </c>
      <c r="J39" s="11" t="n">
        <v>21417.82</v>
      </c>
      <c r="K39" s="11" t="n">
        <v>13311.75</v>
      </c>
      <c r="L39" s="11" t="n">
        <v>21527.1</v>
      </c>
      <c r="O39" s="75" t="n">
        <v>45</v>
      </c>
      <c r="P39" s="11" t="n">
        <v>0</v>
      </c>
      <c r="Q39" s="11" t="n">
        <v>0</v>
      </c>
      <c r="R39" s="11" t="n">
        <v>65190.01748389675</v>
      </c>
      <c r="U39" s="75" t="n">
        <v>45</v>
      </c>
      <c r="V39" s="3">
        <f>J39-P39+D39</f>
        <v/>
      </c>
      <c r="W39" s="3">
        <f>K39-Q39+E39</f>
        <v/>
      </c>
      <c r="X39" s="3">
        <f>L39-R39+F39</f>
        <v/>
      </c>
      <c r="AA39" s="75" t="n">
        <v>45</v>
      </c>
      <c r="AB39" s="2">
        <f>IF(Demand!AU58&gt;Retailers_Cap!N41,(V39/Retailers!P40)/(Demand!AU58-Retailers_Cap!N41),"Inesgotável")</f>
        <v/>
      </c>
      <c r="AC39" s="2">
        <f>IF(Demand!AV58&gt;Retailers_Cap!O41,(W39/Retailers!Q40)/(Demand!AV58-Retailers_Cap!O41),"Inesgotável")</f>
        <v/>
      </c>
      <c r="AD39" s="2">
        <f>IF(Demand!AW58&gt;Retailers_Cap!P41,(X39/Retailers!R40)/(Demand!AW58-Retailers_Cap!P41),"Inesgotável")</f>
        <v/>
      </c>
      <c r="AG39" s="75" t="n">
        <v>45</v>
      </c>
      <c r="AH39" s="75">
        <f>Retailers!AJ40</f>
        <v/>
      </c>
      <c r="AI39" s="75">
        <f>Retailers!AK40</f>
        <v/>
      </c>
      <c r="AJ39" s="75">
        <f>Retailers!AL40</f>
        <v/>
      </c>
      <c r="AM39" s="75" t="n">
        <v>45</v>
      </c>
      <c r="AN39" s="2">
        <f>IF(P39&gt;0,IF(D39=0,"Big stock",AB39/AH39),"Inesgotável")</f>
        <v/>
      </c>
      <c r="AO39" s="2">
        <f>IF(Q39&gt;0,IF(E39=0,"Big stock",AC39/AI39),"Inesgotável")</f>
        <v/>
      </c>
      <c r="AP39" s="2">
        <f>IF(R39&gt;0,IF(F39=0,"Big stock",AD39/AJ39),"Inesgotável")</f>
        <v/>
      </c>
      <c r="AS39" s="75" t="n">
        <v>45</v>
      </c>
      <c r="AT39" s="2">
        <f>Retailers_Cap!BL41</f>
        <v/>
      </c>
      <c r="AU39" s="2">
        <f>Retailers_Cap!BM41</f>
        <v/>
      </c>
      <c r="AV39" s="2">
        <f>Retailers_Cap!BN41</f>
        <v/>
      </c>
      <c r="AY39" s="75" t="n">
        <v>45</v>
      </c>
      <c r="AZ39" s="2">
        <f>IF(D39=0,"no repl",AB39-AT39)</f>
        <v/>
      </c>
      <c r="BA39" s="2">
        <f>IF(E39=0,"no repl",AC39-AU39)</f>
        <v/>
      </c>
      <c r="BB39" s="2">
        <f>IF(F39=0,"no repl",AD39-AV39)</f>
        <v/>
      </c>
    </row>
    <row r="40">
      <c r="C40" s="75" t="n">
        <v>46</v>
      </c>
      <c r="D40" s="11" t="n">
        <v>0</v>
      </c>
      <c r="E40" s="11" t="n">
        <v>234162.2109705527</v>
      </c>
      <c r="F40" s="11" t="n">
        <v>431727.0853727862</v>
      </c>
      <c r="I40" s="75" t="n">
        <v>46</v>
      </c>
      <c r="J40" s="11" t="n">
        <v>27545.37</v>
      </c>
      <c r="K40" s="11" t="n">
        <v>43527.64000000001</v>
      </c>
      <c r="L40" s="11" t="n">
        <v>51992.2</v>
      </c>
      <c r="O40" s="75" t="n">
        <v>46</v>
      </c>
      <c r="P40" s="11" t="n">
        <v>0</v>
      </c>
      <c r="Q40" s="11" t="n">
        <v>138932.9745651166</v>
      </c>
      <c r="R40" s="11" t="n">
        <v>243105.8451596727</v>
      </c>
      <c r="U40" s="75" t="n">
        <v>46</v>
      </c>
      <c r="V40" s="3">
        <f>J40-P40+D40</f>
        <v/>
      </c>
      <c r="W40" s="3">
        <f>K40-Q40+E40</f>
        <v/>
      </c>
      <c r="X40" s="3">
        <f>L40-R40+F40</f>
        <v/>
      </c>
      <c r="AA40" s="75" t="n">
        <v>46</v>
      </c>
      <c r="AB40" s="2">
        <f>IF(Demand!AU59&gt;Retailers_Cap!N42,(V40/Retailers!P41)/(Demand!AU59-Retailers_Cap!N42),"Inesgotável")</f>
        <v/>
      </c>
      <c r="AC40" s="2">
        <f>IF(Demand!AV59&gt;Retailers_Cap!O42,(W40/Retailers!Q41)/(Demand!AV59-Retailers_Cap!O42),"Inesgotável")</f>
        <v/>
      </c>
      <c r="AD40" s="2">
        <f>IF(Demand!AW59&gt;Retailers_Cap!P42,(X40/Retailers!R41)/(Demand!AW59-Retailers_Cap!P42),"Inesgotável")</f>
        <v/>
      </c>
      <c r="AG40" s="75" t="n">
        <v>46</v>
      </c>
      <c r="AH40" s="75">
        <f>Retailers!AJ41</f>
        <v/>
      </c>
      <c r="AI40" s="75">
        <f>Retailers!AK41</f>
        <v/>
      </c>
      <c r="AJ40" s="75">
        <f>Retailers!AL41</f>
        <v/>
      </c>
      <c r="AM40" s="75" t="n">
        <v>46</v>
      </c>
      <c r="AN40" s="2">
        <f>IF(P40&gt;0,IF(D40=0,"Big stock",AB40/AH40),"Inesgotável")</f>
        <v/>
      </c>
      <c r="AO40" s="2">
        <f>IF(Q40&gt;0,IF(E40=0,"Big stock",AC40/AI40),"Inesgotável")</f>
        <v/>
      </c>
      <c r="AP40" s="2">
        <f>IF(R40&gt;0,IF(F40=0,"Big stock",AD40/AJ40),"Inesgotável")</f>
        <v/>
      </c>
      <c r="AS40" s="75" t="n">
        <v>46</v>
      </c>
      <c r="AT40" s="2">
        <f>Retailers_Cap!BL42</f>
        <v/>
      </c>
      <c r="AU40" s="2">
        <f>Retailers_Cap!BM42</f>
        <v/>
      </c>
      <c r="AV40" s="2">
        <f>Retailers_Cap!BN42</f>
        <v/>
      </c>
      <c r="AY40" s="75" t="n">
        <v>46</v>
      </c>
      <c r="AZ40" s="2">
        <f>IF(D40=0,"no repl",AB40-AT40)</f>
        <v/>
      </c>
      <c r="BA40" s="2">
        <f>IF(E40=0,"no repl",AC40-AU40)</f>
        <v/>
      </c>
      <c r="BB40" s="2">
        <f>IF(F40=0,"no repl",AD40-AV40)</f>
        <v/>
      </c>
    </row>
    <row r="41">
      <c r="C41" s="75" t="n">
        <v>47</v>
      </c>
      <c r="D41" s="11" t="n">
        <v>108872.0903182844</v>
      </c>
      <c r="E41" s="11" t="n">
        <v>102143.2970343603</v>
      </c>
      <c r="F41" s="11" t="n">
        <v>0</v>
      </c>
      <c r="I41" s="75" t="n">
        <v>47</v>
      </c>
      <c r="J41" s="11" t="n">
        <v>29167.73</v>
      </c>
      <c r="K41" s="11" t="n">
        <v>71788.64</v>
      </c>
      <c r="L41" s="11" t="n">
        <v>41205.6</v>
      </c>
      <c r="O41" s="75" t="n">
        <v>47</v>
      </c>
      <c r="P41" s="11" t="n">
        <v>67697.07968049693</v>
      </c>
      <c r="Q41" s="11" t="n">
        <v>62617.10616475396</v>
      </c>
      <c r="R41" s="11" t="n">
        <v>0</v>
      </c>
      <c r="U41" s="75" t="n">
        <v>47</v>
      </c>
      <c r="V41" s="3">
        <f>J41-P41+D41</f>
        <v/>
      </c>
      <c r="W41" s="3">
        <f>K41-Q41+E41</f>
        <v/>
      </c>
      <c r="X41" s="3">
        <f>L41-R41+F41</f>
        <v/>
      </c>
      <c r="AA41" s="75" t="n">
        <v>47</v>
      </c>
      <c r="AB41" s="2">
        <f>IF(Demand!AU60&gt;Retailers_Cap!N43,(V41/Retailers!P42)/(Demand!AU60-Retailers_Cap!N43),"Inesgotável")</f>
        <v/>
      </c>
      <c r="AC41" s="2">
        <f>IF(Demand!AV60&gt;Retailers_Cap!O43,(W41/Retailers!Q42)/(Demand!AV60-Retailers_Cap!O43),"Inesgotável")</f>
        <v/>
      </c>
      <c r="AD41" s="2">
        <f>IF(Demand!AW60&gt;Retailers_Cap!P43,(X41/Retailers!R42)/(Demand!AW60-Retailers_Cap!P43),"Inesgotável")</f>
        <v/>
      </c>
      <c r="AG41" s="75" t="n">
        <v>47</v>
      </c>
      <c r="AH41" s="75">
        <f>Retailers!AJ42</f>
        <v/>
      </c>
      <c r="AI41" s="75">
        <f>Retailers!AK42</f>
        <v/>
      </c>
      <c r="AJ41" s="75">
        <f>Retailers!AL42</f>
        <v/>
      </c>
      <c r="AM41" s="75" t="n">
        <v>47</v>
      </c>
      <c r="AN41" s="2">
        <f>IF(P41&gt;0,IF(D41=0,"Big stock",AB41/AH41),"Inesgotável")</f>
        <v/>
      </c>
      <c r="AO41" s="2">
        <f>IF(Q41&gt;0,IF(E41=0,"Big stock",AC41/AI41),"Inesgotável")</f>
        <v/>
      </c>
      <c r="AP41" s="2">
        <f>IF(R41&gt;0,IF(F41=0,"Big stock",AD41/AJ41),"Inesgotável")</f>
        <v/>
      </c>
      <c r="AS41" s="75" t="n">
        <v>47</v>
      </c>
      <c r="AT41" s="2">
        <f>Retailers_Cap!BL43</f>
        <v/>
      </c>
      <c r="AU41" s="2">
        <f>Retailers_Cap!BM43</f>
        <v/>
      </c>
      <c r="AV41" s="2">
        <f>Retailers_Cap!BN43</f>
        <v/>
      </c>
      <c r="AY41" s="75" t="n">
        <v>47</v>
      </c>
      <c r="AZ41" s="2">
        <f>IF(D41=0,"no repl",AB41-AT41)</f>
        <v/>
      </c>
      <c r="BA41" s="2">
        <f>IF(E41=0,"no repl",AC41-AU41)</f>
        <v/>
      </c>
      <c r="BB41" s="2">
        <f>IF(F41=0,"no repl",AD41-AV41)</f>
        <v/>
      </c>
    </row>
    <row r="42">
      <c r="C42" s="75" t="n">
        <v>48</v>
      </c>
      <c r="D42" s="11" t="n">
        <v>23720.65763693503</v>
      </c>
      <c r="E42" s="11" t="n">
        <v>74984.17590402835</v>
      </c>
      <c r="F42" s="11" t="n">
        <v>0</v>
      </c>
      <c r="I42" s="75" t="n">
        <v>48</v>
      </c>
      <c r="J42" s="11" t="n">
        <v>13735.06</v>
      </c>
      <c r="K42" s="11" t="n">
        <v>39912.57</v>
      </c>
      <c r="L42" s="11" t="n">
        <v>14354.24</v>
      </c>
      <c r="O42" s="75" t="n">
        <v>48</v>
      </c>
      <c r="P42" s="11" t="n">
        <v>14766.50467607124</v>
      </c>
      <c r="Q42" s="11" t="n">
        <v>46419.65018839709</v>
      </c>
      <c r="R42" s="11" t="n">
        <v>0</v>
      </c>
      <c r="U42" s="75" t="n">
        <v>48</v>
      </c>
      <c r="V42" s="3">
        <f>J42-P42+D42</f>
        <v/>
      </c>
      <c r="W42" s="3">
        <f>K42-Q42+E42</f>
        <v/>
      </c>
      <c r="X42" s="3">
        <f>L42-R42+F42</f>
        <v/>
      </c>
      <c r="AA42" s="75" t="n">
        <v>48</v>
      </c>
      <c r="AB42" s="2">
        <f>IF(Demand!AU61&gt;Retailers_Cap!N44,(V42/Retailers!P43)/(Demand!AU61-Retailers_Cap!N44),"Inesgotável")</f>
        <v/>
      </c>
      <c r="AC42" s="2">
        <f>IF(Demand!AV61&gt;Retailers_Cap!O44,(W42/Retailers!Q43)/(Demand!AV61-Retailers_Cap!O44),"Inesgotável")</f>
        <v/>
      </c>
      <c r="AD42" s="2">
        <f>IF(Demand!AW61&gt;Retailers_Cap!P44,(X42/Retailers!R43)/(Demand!AW61-Retailers_Cap!P44),"Inesgotável")</f>
        <v/>
      </c>
      <c r="AG42" s="75" t="n">
        <v>48</v>
      </c>
      <c r="AH42" s="75">
        <f>Retailers!AJ43</f>
        <v/>
      </c>
      <c r="AI42" s="75">
        <f>Retailers!AK43</f>
        <v/>
      </c>
      <c r="AJ42" s="75">
        <f>Retailers!AL43</f>
        <v/>
      </c>
      <c r="AM42" s="75" t="n">
        <v>48</v>
      </c>
      <c r="AN42" s="2">
        <f>IF(P42&gt;0,IF(D42=0,"Big stock",AB42/AH42),"Inesgotável")</f>
        <v/>
      </c>
      <c r="AO42" s="2">
        <f>IF(Q42&gt;0,IF(E42=0,"Big stock",AC42/AI42),"Inesgotável")</f>
        <v/>
      </c>
      <c r="AP42" s="2">
        <f>IF(R42&gt;0,IF(F42=0,"Big stock",AD42/AJ42),"Inesgotável")</f>
        <v/>
      </c>
      <c r="AS42" s="75" t="n">
        <v>48</v>
      </c>
      <c r="AT42" s="2">
        <f>Retailers_Cap!BL44</f>
        <v/>
      </c>
      <c r="AU42" s="2">
        <f>Retailers_Cap!BM44</f>
        <v/>
      </c>
      <c r="AV42" s="2">
        <f>Retailers_Cap!BN44</f>
        <v/>
      </c>
      <c r="AY42" s="75" t="n">
        <v>48</v>
      </c>
      <c r="AZ42" s="2">
        <f>IF(D42=0,"no repl",AB42-AT42)</f>
        <v/>
      </c>
      <c r="BA42" s="2">
        <f>IF(E42=0,"no repl",AC42-AU42)</f>
        <v/>
      </c>
      <c r="BB42" s="2">
        <f>IF(F42=0,"no repl",AD42-AV42)</f>
        <v/>
      </c>
    </row>
    <row r="43">
      <c r="C43" s="75" t="n">
        <v>49</v>
      </c>
      <c r="D43" s="11" t="n">
        <v>328792.3406399324</v>
      </c>
      <c r="E43" s="11" t="n">
        <v>0</v>
      </c>
      <c r="F43" s="11" t="n">
        <v>163678.1407784552</v>
      </c>
      <c r="I43" s="75" t="n">
        <v>49</v>
      </c>
      <c r="J43" s="11" t="n">
        <v>21948.16</v>
      </c>
      <c r="K43" s="11" t="n">
        <v>57672</v>
      </c>
      <c r="L43" s="11" t="n">
        <v>90423.39999999999</v>
      </c>
      <c r="O43" s="75" t="n">
        <v>49</v>
      </c>
      <c r="P43" s="11" t="n">
        <v>193834.4042712213</v>
      </c>
      <c r="Q43" s="11" t="n">
        <v>20616.08134814863</v>
      </c>
      <c r="R43" s="11" t="n">
        <v>93203.61945966636</v>
      </c>
      <c r="U43" s="75" t="n">
        <v>49</v>
      </c>
      <c r="V43" s="3">
        <f>J43-P43+D43</f>
        <v/>
      </c>
      <c r="W43" s="3">
        <f>K43-Q43+E43</f>
        <v/>
      </c>
      <c r="X43" s="3">
        <f>L43-R43+F43</f>
        <v/>
      </c>
      <c r="AA43" s="75" t="n">
        <v>49</v>
      </c>
      <c r="AB43" s="2">
        <f>IF(Demand!AU62&gt;Retailers_Cap!N45,(V43/Retailers!P44)/(Demand!AU62-Retailers_Cap!N45),"Inesgotável")</f>
        <v/>
      </c>
      <c r="AC43" s="2">
        <f>IF(Demand!AV62&gt;Retailers_Cap!O45,(W43/Retailers!Q44)/(Demand!AV62-Retailers_Cap!O45),"Inesgotável")</f>
        <v/>
      </c>
      <c r="AD43" s="2">
        <f>IF(Demand!AW62&gt;Retailers_Cap!P45,(X43/Retailers!R44)/(Demand!AW62-Retailers_Cap!P45),"Inesgotável")</f>
        <v/>
      </c>
      <c r="AG43" s="75" t="n">
        <v>49</v>
      </c>
      <c r="AH43" s="75">
        <f>Retailers!AJ44</f>
        <v/>
      </c>
      <c r="AI43" s="75">
        <f>Retailers!AK44</f>
        <v/>
      </c>
      <c r="AJ43" s="75">
        <f>Retailers!AL44</f>
        <v/>
      </c>
      <c r="AM43" s="75" t="n">
        <v>49</v>
      </c>
      <c r="AN43" s="2">
        <f>IF(P43&gt;0,IF(D43=0,"Big stock",AB43/AH43),"Inesgotável")</f>
        <v/>
      </c>
      <c r="AO43" s="2">
        <f>IF(Q43&gt;0,IF(E43=0,"Big stock",AC43/AI43),"Inesgotável")</f>
        <v/>
      </c>
      <c r="AP43" s="2">
        <f>IF(R43&gt;0,IF(F43=0,"Big stock",AD43/AJ43),"Inesgotável")</f>
        <v/>
      </c>
      <c r="AS43" s="75" t="n">
        <v>49</v>
      </c>
      <c r="AT43" s="2">
        <f>Retailers_Cap!BL45</f>
        <v/>
      </c>
      <c r="AU43" s="2">
        <f>Retailers_Cap!BM45</f>
        <v/>
      </c>
      <c r="AV43" s="2">
        <f>Retailers_Cap!BN45</f>
        <v/>
      </c>
      <c r="AY43" s="75" t="n">
        <v>49</v>
      </c>
      <c r="AZ43" s="2">
        <f>IF(D43=0,"no repl",AB43-AT43)</f>
        <v/>
      </c>
      <c r="BA43" s="2">
        <f>IF(E43=0,"no repl",AC43-AU43)</f>
        <v/>
      </c>
      <c r="BB43" s="2">
        <f>IF(F43=0,"no repl",AD43-AV43)</f>
        <v/>
      </c>
    </row>
    <row r="44">
      <c r="C44" s="75" t="n">
        <v>50</v>
      </c>
      <c r="D44" s="11" t="n">
        <v>0</v>
      </c>
      <c r="E44" s="11" t="n">
        <v>0</v>
      </c>
      <c r="F44" s="11" t="n">
        <v>382017.3009502721</v>
      </c>
      <c r="I44" s="75" t="n">
        <v>50</v>
      </c>
      <c r="J44" s="11" t="n">
        <v>20016.99</v>
      </c>
      <c r="K44" s="11" t="n">
        <v>91736.00999999999</v>
      </c>
      <c r="L44" s="11" t="n">
        <v>39034.44</v>
      </c>
      <c r="O44" s="75" t="n">
        <v>50</v>
      </c>
      <c r="P44" s="11" t="n">
        <v>0</v>
      </c>
      <c r="Q44" s="11" t="n">
        <v>34413.46717173214</v>
      </c>
      <c r="R44" s="11" t="n">
        <v>236514.4582649686</v>
      </c>
      <c r="U44" s="75" t="n">
        <v>50</v>
      </c>
      <c r="V44" s="3">
        <f>J44-P44+D44</f>
        <v/>
      </c>
      <c r="W44" s="3">
        <f>K44-Q44+E44</f>
        <v/>
      </c>
      <c r="X44" s="3">
        <f>L44-R44+F44</f>
        <v/>
      </c>
      <c r="AA44" s="75" t="n">
        <v>50</v>
      </c>
      <c r="AB44" s="2">
        <f>IF(Demand!AU63&gt;Retailers_Cap!N46,(V44/Retailers!P45)/(Demand!AU63-Retailers_Cap!N46),"Inesgotável")</f>
        <v/>
      </c>
      <c r="AC44" s="2">
        <f>IF(Demand!AV63&gt;Retailers_Cap!O46,(W44/Retailers!Q45)/(Demand!AV63-Retailers_Cap!O46),"Inesgotável")</f>
        <v/>
      </c>
      <c r="AD44" s="2">
        <f>IF(Demand!AW63&gt;Retailers_Cap!P46,(X44/Retailers!R45)/(Demand!AW63-Retailers_Cap!P46),"Inesgotável")</f>
        <v/>
      </c>
      <c r="AG44" s="75" t="n">
        <v>50</v>
      </c>
      <c r="AH44" s="75">
        <f>Retailers!AJ45</f>
        <v/>
      </c>
      <c r="AI44" s="75">
        <f>Retailers!AK45</f>
        <v/>
      </c>
      <c r="AJ44" s="75">
        <f>Retailers!AL45</f>
        <v/>
      </c>
      <c r="AM44" s="75" t="n">
        <v>50</v>
      </c>
      <c r="AN44" s="2">
        <f>IF(P44&gt;0,IF(D44=0,"Big stock",AB44/AH44),"Inesgotável")</f>
        <v/>
      </c>
      <c r="AO44" s="2">
        <f>IF(Q44&gt;0,IF(E44=0,"Big stock",AC44/AI44),"Inesgotável")</f>
        <v/>
      </c>
      <c r="AP44" s="2">
        <f>IF(R44&gt;0,IF(F44=0,"Big stock",AD44/AJ44),"Inesgotável")</f>
        <v/>
      </c>
      <c r="AS44" s="75" t="n">
        <v>50</v>
      </c>
      <c r="AT44" s="2">
        <f>Retailers_Cap!BL46</f>
        <v/>
      </c>
      <c r="AU44" s="2">
        <f>Retailers_Cap!BM46</f>
        <v/>
      </c>
      <c r="AV44" s="2">
        <f>Retailers_Cap!BN46</f>
        <v/>
      </c>
      <c r="AY44" s="75" t="n">
        <v>50</v>
      </c>
      <c r="AZ44" s="2">
        <f>IF(D44=0,"no repl",AB44-AT44)</f>
        <v/>
      </c>
      <c r="BA44" s="2">
        <f>IF(E44=0,"no repl",AC44-AU44)</f>
        <v/>
      </c>
      <c r="BB44" s="2">
        <f>IF(F44=0,"no repl",AD44-AV44)</f>
        <v/>
      </c>
    </row>
    <row r="45">
      <c r="C45" s="75" t="n">
        <v>51</v>
      </c>
      <c r="D45" s="11" t="n">
        <v>0</v>
      </c>
      <c r="E45" s="11" t="n">
        <v>181605.5703695839</v>
      </c>
      <c r="F45" s="11" t="n">
        <v>0</v>
      </c>
      <c r="I45" s="75" t="n">
        <v>51</v>
      </c>
      <c r="J45" s="11" t="n">
        <v>19275.9</v>
      </c>
      <c r="K45" s="11" t="n">
        <v>9899</v>
      </c>
      <c r="L45" s="11" t="n">
        <v>32733.78</v>
      </c>
      <c r="O45" s="75" t="n">
        <v>51</v>
      </c>
      <c r="P45" s="11" t="n">
        <v>0</v>
      </c>
      <c r="Q45" s="11" t="n">
        <v>112997.8063266351</v>
      </c>
      <c r="R45" s="11" t="n">
        <v>0</v>
      </c>
      <c r="U45" s="75" t="n">
        <v>51</v>
      </c>
      <c r="V45" s="3">
        <f>J45-P45+D45</f>
        <v/>
      </c>
      <c r="W45" s="3">
        <f>K45-Q45+E45</f>
        <v/>
      </c>
      <c r="X45" s="3">
        <f>L45-R45+F45</f>
        <v/>
      </c>
      <c r="AA45" s="75" t="n">
        <v>51</v>
      </c>
      <c r="AB45" s="2">
        <f>IF(Demand!AU64&gt;Retailers_Cap!N47,(V45/Retailers!P46)/(Demand!AU64-Retailers_Cap!N47),"Inesgotável")</f>
        <v/>
      </c>
      <c r="AC45" s="2">
        <f>IF(Demand!AV64&gt;Retailers_Cap!O47,(W45/Retailers!Q46)/(Demand!AV64-Retailers_Cap!O47),"Inesgotável")</f>
        <v/>
      </c>
      <c r="AD45" s="2">
        <f>IF(Demand!AW64&gt;Retailers_Cap!P47,(X45/Retailers!R46)/(Demand!AW64-Retailers_Cap!P47),"Inesgotável")</f>
        <v/>
      </c>
      <c r="AG45" s="75" t="n">
        <v>51</v>
      </c>
      <c r="AH45" s="75">
        <f>Retailers!AJ46</f>
        <v/>
      </c>
      <c r="AI45" s="75">
        <f>Retailers!AK46</f>
        <v/>
      </c>
      <c r="AJ45" s="75">
        <f>Retailers!AL46</f>
        <v/>
      </c>
      <c r="AM45" s="75" t="n">
        <v>51</v>
      </c>
      <c r="AN45" s="2">
        <f>IF(P45&gt;0,IF(D45=0,"Big stock",AB45/AH45),"Inesgotável")</f>
        <v/>
      </c>
      <c r="AO45" s="2">
        <f>IF(Q45&gt;0,IF(E45=0,"Big stock",AC45/AI45),"Inesgotável")</f>
        <v/>
      </c>
      <c r="AP45" s="2">
        <f>IF(R45&gt;0,IF(F45=0,"Big stock",AD45/AJ45),"Inesgotável")</f>
        <v/>
      </c>
      <c r="AS45" s="75" t="n">
        <v>51</v>
      </c>
      <c r="AT45" s="2">
        <f>Retailers_Cap!BL47</f>
        <v/>
      </c>
      <c r="AU45" s="2">
        <f>Retailers_Cap!BM47</f>
        <v/>
      </c>
      <c r="AV45" s="2">
        <f>Retailers_Cap!BN47</f>
        <v/>
      </c>
      <c r="AY45" s="75" t="n">
        <v>51</v>
      </c>
      <c r="AZ45" s="2">
        <f>IF(D45=0,"no repl",AB45-AT45)</f>
        <v/>
      </c>
      <c r="BA45" s="2">
        <f>IF(E45=0,"no repl",AC45-AU45)</f>
        <v/>
      </c>
      <c r="BB45" s="2">
        <f>IF(F45=0,"no repl",AD45-AV45)</f>
        <v/>
      </c>
    </row>
    <row r="46">
      <c r="C46" s="75" t="n">
        <v>52</v>
      </c>
      <c r="D46" s="11" t="n">
        <v>172886.4008335434</v>
      </c>
      <c r="E46" s="11" t="n">
        <v>312461.7491585938</v>
      </c>
      <c r="F46" s="11" t="n">
        <v>0</v>
      </c>
      <c r="I46" s="75" t="n">
        <v>52</v>
      </c>
      <c r="J46" s="11" t="n">
        <v>22354.06</v>
      </c>
      <c r="K46" s="11" t="n">
        <v>66063.92</v>
      </c>
      <c r="L46" s="11" t="n">
        <v>17768.88</v>
      </c>
      <c r="O46" s="75" t="n">
        <v>52</v>
      </c>
      <c r="P46" s="11" t="n">
        <v>103745.4935860155</v>
      </c>
      <c r="Q46" s="11" t="n">
        <v>189593.4405773048</v>
      </c>
      <c r="R46" s="11" t="n">
        <v>0</v>
      </c>
      <c r="U46" s="75" t="n">
        <v>52</v>
      </c>
      <c r="V46" s="3">
        <f>J46-P46+D46</f>
        <v/>
      </c>
      <c r="W46" s="3">
        <f>K46-Q46+E46</f>
        <v/>
      </c>
      <c r="X46" s="3">
        <f>L46-R46+F46</f>
        <v/>
      </c>
      <c r="AA46" s="75" t="n">
        <v>52</v>
      </c>
      <c r="AB46" s="2">
        <f>IF(Demand!AU65&gt;Retailers_Cap!N48,(V46/Retailers!P47)/(Demand!AU65-Retailers_Cap!N48),"Inesgotável")</f>
        <v/>
      </c>
      <c r="AC46" s="2">
        <f>IF(Demand!AV65&gt;Retailers_Cap!O48,(W46/Retailers!Q47)/(Demand!AV65-Retailers_Cap!O48),"Inesgotável")</f>
        <v/>
      </c>
      <c r="AD46" s="2">
        <f>IF(Demand!AW65&gt;Retailers_Cap!P48,(X46/Retailers!R47)/(Demand!AW65-Retailers_Cap!P48),"Inesgotável")</f>
        <v/>
      </c>
      <c r="AG46" s="75" t="n">
        <v>52</v>
      </c>
      <c r="AH46" s="75">
        <f>Retailers!AJ47</f>
        <v/>
      </c>
      <c r="AI46" s="75">
        <f>Retailers!AK47</f>
        <v/>
      </c>
      <c r="AJ46" s="75">
        <f>Retailers!AL47</f>
        <v/>
      </c>
      <c r="AM46" s="75" t="n">
        <v>52</v>
      </c>
      <c r="AN46" s="2">
        <f>IF(P46&gt;0,IF(D46=0,"Big stock",AB46/AH46),"Inesgotável")</f>
        <v/>
      </c>
      <c r="AO46" s="2">
        <f>IF(Q46&gt;0,IF(E46=0,"Big stock",AC46/AI46),"Inesgotável")</f>
        <v/>
      </c>
      <c r="AP46" s="2">
        <f>IF(R46&gt;0,IF(F46=0,"Big stock",AD46/AJ46),"Inesgotável")</f>
        <v/>
      </c>
      <c r="AS46" s="75" t="n">
        <v>52</v>
      </c>
      <c r="AT46" s="2">
        <f>Retailers_Cap!BL48</f>
        <v/>
      </c>
      <c r="AU46" s="2">
        <f>Retailers_Cap!BM48</f>
        <v/>
      </c>
      <c r="AV46" s="2">
        <f>Retailers_Cap!BN48</f>
        <v/>
      </c>
      <c r="AY46" s="75" t="n">
        <v>52</v>
      </c>
      <c r="AZ46" s="2">
        <f>IF(D46=0,"no repl",AB46-AT46)</f>
        <v/>
      </c>
      <c r="BA46" s="2">
        <f>IF(E46=0,"no repl",AC46-AU46)</f>
        <v/>
      </c>
      <c r="BB46" s="2">
        <f>IF(F46=0,"no repl",AD46-AV46)</f>
        <v/>
      </c>
    </row>
    <row r="47">
      <c r="C47" s="75" t="n">
        <v>53</v>
      </c>
      <c r="D47" s="11" t="n">
        <v>0</v>
      </c>
      <c r="E47" s="11" t="n">
        <v>0</v>
      </c>
      <c r="F47" s="11" t="n">
        <v>0</v>
      </c>
      <c r="I47" s="75" t="n">
        <v>53</v>
      </c>
      <c r="J47" s="11" t="n">
        <v>16483.21</v>
      </c>
      <c r="K47" s="11" t="n">
        <v>60753.84</v>
      </c>
      <c r="L47" s="11" t="n">
        <v>17386.56</v>
      </c>
      <c r="O47" s="75" t="n">
        <v>53</v>
      </c>
      <c r="P47" s="11" t="n">
        <v>0</v>
      </c>
      <c r="Q47" s="11" t="n">
        <v>0</v>
      </c>
      <c r="R47" s="11" t="n">
        <v>0</v>
      </c>
      <c r="U47" s="75" t="n">
        <v>53</v>
      </c>
      <c r="V47" s="3">
        <f>J47-P47+D47</f>
        <v/>
      </c>
      <c r="W47" s="3">
        <f>K47-Q47+E47</f>
        <v/>
      </c>
      <c r="X47" s="3">
        <f>L47-R47+F47</f>
        <v/>
      </c>
      <c r="AA47" s="75" t="n">
        <v>53</v>
      </c>
      <c r="AB47" s="2">
        <f>IF(Demand!AU66&gt;Retailers_Cap!N49,(V47/Retailers!P48)/(Demand!AU66-Retailers_Cap!N49),"Inesgotável")</f>
        <v/>
      </c>
      <c r="AC47" s="2">
        <f>IF(Demand!AV66&gt;Retailers_Cap!O49,(W47/Retailers!Q48)/(Demand!AV66-Retailers_Cap!O49),"Inesgotável")</f>
        <v/>
      </c>
      <c r="AD47" s="2">
        <f>IF(Demand!AW66&gt;Retailers_Cap!P49,(X47/Retailers!R48)/(Demand!AW66-Retailers_Cap!P49),"Inesgotável")</f>
        <v/>
      </c>
      <c r="AG47" s="75" t="n">
        <v>53</v>
      </c>
      <c r="AH47" s="75">
        <f>Retailers!AJ48</f>
        <v/>
      </c>
      <c r="AI47" s="75">
        <f>Retailers!AK48</f>
        <v/>
      </c>
      <c r="AJ47" s="75">
        <f>Retailers!AL48</f>
        <v/>
      </c>
      <c r="AM47" s="75" t="n">
        <v>53</v>
      </c>
      <c r="AN47" s="2">
        <f>IF(P47&gt;0,IF(D47=0,"Big stock",AB47/AH47),"Inesgotável")</f>
        <v/>
      </c>
      <c r="AO47" s="2">
        <f>IF(Q47&gt;0,IF(E47=0,"Big stock",AC47/AI47),"Inesgotável")</f>
        <v/>
      </c>
      <c r="AP47" s="2">
        <f>IF(R47&gt;0,IF(F47=0,"Big stock",AD47/AJ47),"Inesgotável")</f>
        <v/>
      </c>
      <c r="AS47" s="75" t="n">
        <v>53</v>
      </c>
      <c r="AT47" s="2">
        <f>Retailers_Cap!BL49</f>
        <v/>
      </c>
      <c r="AU47" s="2">
        <f>Retailers_Cap!BM49</f>
        <v/>
      </c>
      <c r="AV47" s="2">
        <f>Retailers_Cap!BN49</f>
        <v/>
      </c>
      <c r="AY47" s="75" t="n">
        <v>53</v>
      </c>
      <c r="AZ47" s="2">
        <f>IF(D47=0,"no repl",AB47-AT47)</f>
        <v/>
      </c>
      <c r="BA47" s="2">
        <f>IF(E47=0,"no repl",AC47-AU47)</f>
        <v/>
      </c>
      <c r="BB47" s="2">
        <f>IF(F47=0,"no repl",AD47-AV47)</f>
        <v/>
      </c>
    </row>
    <row r="48">
      <c r="C48" s="75" t="n">
        <v>54</v>
      </c>
      <c r="D48" s="11" t="n">
        <v>238716.120441592</v>
      </c>
      <c r="E48" s="11" t="n">
        <v>0</v>
      </c>
      <c r="F48" s="11" t="n">
        <v>0</v>
      </c>
      <c r="I48" s="75" t="n">
        <v>54</v>
      </c>
      <c r="J48" s="11" t="n">
        <v>15368.37</v>
      </c>
      <c r="K48" s="11" t="n">
        <v>43964.06</v>
      </c>
      <c r="L48" s="11" t="n">
        <v>37752.66</v>
      </c>
      <c r="O48" s="75" t="n">
        <v>54</v>
      </c>
      <c r="P48" s="11" t="n">
        <v>140123.8181815731</v>
      </c>
      <c r="Q48" s="11" t="n">
        <v>0</v>
      </c>
      <c r="R48" s="11" t="n">
        <v>0</v>
      </c>
      <c r="U48" s="75" t="n">
        <v>54</v>
      </c>
      <c r="V48" s="3">
        <f>J48-P48+D48</f>
        <v/>
      </c>
      <c r="W48" s="3">
        <f>K48-Q48+E48</f>
        <v/>
      </c>
      <c r="X48" s="3">
        <f>L48-R48+F48</f>
        <v/>
      </c>
      <c r="AA48" s="75" t="n">
        <v>54</v>
      </c>
      <c r="AB48" s="2">
        <f>IF(Demand!AU67&gt;Retailers_Cap!N50,(V48/Retailers!P49)/(Demand!AU67-Retailers_Cap!N50),"Inesgotável")</f>
        <v/>
      </c>
      <c r="AC48" s="2">
        <f>IF(Demand!AV67&gt;Retailers_Cap!O50,(W48/Retailers!Q49)/(Demand!AV67-Retailers_Cap!O50),"Inesgotável")</f>
        <v/>
      </c>
      <c r="AD48" s="2">
        <f>IF(Demand!AW67&gt;Retailers_Cap!P50,(X48/Retailers!R49)/(Demand!AW67-Retailers_Cap!P50),"Inesgotável")</f>
        <v/>
      </c>
      <c r="AG48" s="75" t="n">
        <v>54</v>
      </c>
      <c r="AH48" s="75">
        <f>Retailers!AJ49</f>
        <v/>
      </c>
      <c r="AI48" s="75">
        <f>Retailers!AK49</f>
        <v/>
      </c>
      <c r="AJ48" s="75">
        <f>Retailers!AL49</f>
        <v/>
      </c>
      <c r="AM48" s="75" t="n">
        <v>54</v>
      </c>
      <c r="AN48" s="2">
        <f>IF(P48&gt;0,IF(D48=0,"Big stock",AB48/AH48),"Inesgotável")</f>
        <v/>
      </c>
      <c r="AO48" s="2">
        <f>IF(Q48&gt;0,IF(E48=0,"Big stock",AC48/AI48),"Inesgotável")</f>
        <v/>
      </c>
      <c r="AP48" s="2">
        <f>IF(R48&gt;0,IF(F48=0,"Big stock",AD48/AJ48),"Inesgotável")</f>
        <v/>
      </c>
      <c r="AS48" s="75" t="n">
        <v>54</v>
      </c>
      <c r="AT48" s="2">
        <f>Retailers_Cap!BL50</f>
        <v/>
      </c>
      <c r="AU48" s="2">
        <f>Retailers_Cap!BM50</f>
        <v/>
      </c>
      <c r="AV48" s="2">
        <f>Retailers_Cap!BN50</f>
        <v/>
      </c>
      <c r="AY48" s="75" t="n">
        <v>54</v>
      </c>
      <c r="AZ48" s="2">
        <f>IF(D48=0,"no repl",AB48-AT48)</f>
        <v/>
      </c>
      <c r="BA48" s="2">
        <f>IF(E48=0,"no repl",AC48-AU48)</f>
        <v/>
      </c>
      <c r="BB48" s="2">
        <f>IF(F48=0,"no repl",AD48-AV48)</f>
        <v/>
      </c>
    </row>
    <row r="49">
      <c r="C49" s="75" t="n">
        <v>55</v>
      </c>
      <c r="D49" s="11" t="n">
        <v>0</v>
      </c>
      <c r="E49" s="11" t="n">
        <v>0</v>
      </c>
      <c r="F49" s="11" t="n">
        <v>0</v>
      </c>
      <c r="I49" s="75" t="n">
        <v>55</v>
      </c>
      <c r="J49" s="11" t="n">
        <v>26727.61</v>
      </c>
      <c r="K49" s="11" t="n">
        <v>57768.39</v>
      </c>
      <c r="L49" s="11" t="n">
        <v>50297.64999999999</v>
      </c>
      <c r="O49" s="75" t="n">
        <v>55</v>
      </c>
      <c r="P49" s="11" t="n">
        <v>13030.99392515989</v>
      </c>
      <c r="Q49" s="11" t="n">
        <v>0</v>
      </c>
      <c r="R49" s="11" t="n">
        <v>0</v>
      </c>
      <c r="U49" s="75" t="n">
        <v>55</v>
      </c>
      <c r="V49" s="3">
        <f>J49-P49+D49</f>
        <v/>
      </c>
      <c r="W49" s="3">
        <f>K49-Q49+E49</f>
        <v/>
      </c>
      <c r="X49" s="3">
        <f>L49-R49+F49</f>
        <v/>
      </c>
      <c r="AA49" s="75" t="n">
        <v>55</v>
      </c>
      <c r="AB49" s="2">
        <f>IF(Demand!AU68&gt;Retailers_Cap!N51,(V49/Retailers!P50)/(Demand!AU68-Retailers_Cap!N51),"Inesgotável")</f>
        <v/>
      </c>
      <c r="AC49" s="2">
        <f>IF(Demand!AV68&gt;Retailers_Cap!O51,(W49/Retailers!Q50)/(Demand!AV68-Retailers_Cap!O51),"Inesgotável")</f>
        <v/>
      </c>
      <c r="AD49" s="2">
        <f>IF(Demand!AW68&gt;Retailers_Cap!P51,(X49/Retailers!R50)/(Demand!AW68-Retailers_Cap!P51),"Inesgotável")</f>
        <v/>
      </c>
      <c r="AG49" s="75" t="n">
        <v>55</v>
      </c>
      <c r="AH49" s="75">
        <f>Retailers!AJ50</f>
        <v/>
      </c>
      <c r="AI49" s="75">
        <f>Retailers!AK50</f>
        <v/>
      </c>
      <c r="AJ49" s="75">
        <f>Retailers!AL50</f>
        <v/>
      </c>
      <c r="AM49" s="75" t="n">
        <v>55</v>
      </c>
      <c r="AN49" s="2">
        <f>IF(P49&gt;0,IF(D49=0,"Big stock",AB49/AH49),"Inesgotável")</f>
        <v/>
      </c>
      <c r="AO49" s="2">
        <f>IF(Q49&gt;0,IF(E49=0,"Big stock",AC49/AI49),"Inesgotável")</f>
        <v/>
      </c>
      <c r="AP49" s="2">
        <f>IF(R49&gt;0,IF(F49=0,"Big stock",AD49/AJ49),"Inesgotável")</f>
        <v/>
      </c>
      <c r="AS49" s="75" t="n">
        <v>55</v>
      </c>
      <c r="AT49" s="2">
        <f>Retailers_Cap!BL51</f>
        <v/>
      </c>
      <c r="AU49" s="2">
        <f>Retailers_Cap!BM51</f>
        <v/>
      </c>
      <c r="AV49" s="2">
        <f>Retailers_Cap!BN51</f>
        <v/>
      </c>
      <c r="AY49" s="75" t="n">
        <v>55</v>
      </c>
      <c r="AZ49" s="2">
        <f>IF(D49=0,"no repl",AB49-AT49)</f>
        <v/>
      </c>
      <c r="BA49" s="2">
        <f>IF(E49=0,"no repl",AC49-AU49)</f>
        <v/>
      </c>
      <c r="BB49" s="2">
        <f>IF(F49=0,"no repl",AD49-AV49)</f>
        <v/>
      </c>
    </row>
    <row r="50">
      <c r="C50" s="75" t="n">
        <v>56</v>
      </c>
      <c r="D50" s="11" t="n">
        <v>0</v>
      </c>
      <c r="E50" s="11" t="n">
        <v>0</v>
      </c>
      <c r="F50" s="11" t="n">
        <v>278647.3967225775</v>
      </c>
      <c r="I50" s="75" t="n">
        <v>56</v>
      </c>
      <c r="J50" s="11" t="n">
        <v>58123.24000000001</v>
      </c>
      <c r="K50" s="11" t="n">
        <v>3563.3</v>
      </c>
      <c r="L50" s="11" t="n">
        <v>53819.28</v>
      </c>
      <c r="O50" s="75" t="n">
        <v>56</v>
      </c>
      <c r="P50" s="11" t="n">
        <v>0</v>
      </c>
      <c r="Q50" s="11" t="n">
        <v>0</v>
      </c>
      <c r="R50" s="11" t="n">
        <v>178334.3732687854</v>
      </c>
      <c r="U50" s="75" t="n">
        <v>56</v>
      </c>
      <c r="V50" s="3">
        <f>J50-P50+D50</f>
        <v/>
      </c>
      <c r="W50" s="3">
        <f>K50-Q50+E50</f>
        <v/>
      </c>
      <c r="X50" s="3">
        <f>L50-R50+F50</f>
        <v/>
      </c>
      <c r="AA50" s="75" t="n">
        <v>56</v>
      </c>
      <c r="AB50" s="2">
        <f>IF(Demand!AU69&gt;Retailers_Cap!N52,(V50/Retailers!P51)/(Demand!AU69-Retailers_Cap!N52),"Inesgotável")</f>
        <v/>
      </c>
      <c r="AC50" s="2">
        <f>IF(Demand!AV69&gt;Retailers_Cap!O52,(W50/Retailers!Q51)/(Demand!AV69-Retailers_Cap!O52),"Inesgotável")</f>
        <v/>
      </c>
      <c r="AD50" s="2">
        <f>IF(Demand!AW69&gt;Retailers_Cap!P52,(X50/Retailers!R51)/(Demand!AW69-Retailers_Cap!P52),"Inesgotável")</f>
        <v/>
      </c>
      <c r="AG50" s="75" t="n">
        <v>56</v>
      </c>
      <c r="AH50" s="75">
        <f>Retailers!AJ51</f>
        <v/>
      </c>
      <c r="AI50" s="75">
        <f>Retailers!AK51</f>
        <v/>
      </c>
      <c r="AJ50" s="75">
        <f>Retailers!AL51</f>
        <v/>
      </c>
      <c r="AM50" s="75" t="n">
        <v>56</v>
      </c>
      <c r="AN50" s="2">
        <f>IF(P50&gt;0,IF(D50=0,"Big stock",AB50/AH50),"Inesgotável")</f>
        <v/>
      </c>
      <c r="AO50" s="2">
        <f>IF(Q50&gt;0,IF(E50=0,"Big stock",AC50/AI50),"Inesgotável")</f>
        <v/>
      </c>
      <c r="AP50" s="2">
        <f>IF(R50&gt;0,IF(F50=0,"Big stock",AD50/AJ50),"Inesgotável")</f>
        <v/>
      </c>
      <c r="AS50" s="75" t="n">
        <v>56</v>
      </c>
      <c r="AT50" s="2">
        <f>Retailers_Cap!BL52</f>
        <v/>
      </c>
      <c r="AU50" s="2">
        <f>Retailers_Cap!BM52</f>
        <v/>
      </c>
      <c r="AV50" s="2">
        <f>Retailers_Cap!BN52</f>
        <v/>
      </c>
      <c r="AY50" s="75" t="n">
        <v>56</v>
      </c>
      <c r="AZ50" s="2">
        <f>IF(D50=0,"no repl",AB50-AT50)</f>
        <v/>
      </c>
      <c r="BA50" s="2">
        <f>IF(E50=0,"no repl",AC50-AU50)</f>
        <v/>
      </c>
      <c r="BB50" s="2">
        <f>IF(F50=0,"no repl",AD50-AV50)</f>
        <v/>
      </c>
    </row>
    <row r="51">
      <c r="C51" s="75" t="n">
        <v>57</v>
      </c>
      <c r="D51" s="11" t="n">
        <v>180295.8031152215</v>
      </c>
      <c r="E51" s="11" t="n">
        <v>788707.7148634425</v>
      </c>
      <c r="F51" s="11" t="n">
        <v>134010.0204796287</v>
      </c>
      <c r="I51" s="75" t="n">
        <v>57</v>
      </c>
      <c r="J51" s="11" t="n">
        <v>105476.64</v>
      </c>
      <c r="K51" s="11" t="n">
        <v>102218.05</v>
      </c>
      <c r="L51" s="11" t="n">
        <v>120425.94</v>
      </c>
      <c r="O51" s="75" t="n">
        <v>57</v>
      </c>
      <c r="P51" s="11" t="n">
        <v>108258.8791902504</v>
      </c>
      <c r="Q51" s="11" t="n">
        <v>455450.3435657445</v>
      </c>
      <c r="R51" s="11" t="n">
        <v>87357.12927528343</v>
      </c>
      <c r="U51" s="75" t="n">
        <v>57</v>
      </c>
      <c r="V51" s="3">
        <f>J51-P51+D51</f>
        <v/>
      </c>
      <c r="W51" s="3">
        <f>K51-Q51+E51</f>
        <v/>
      </c>
      <c r="X51" s="3">
        <f>L51-R51+F51</f>
        <v/>
      </c>
      <c r="AA51" s="75" t="n">
        <v>57</v>
      </c>
      <c r="AB51" s="2">
        <f>IF(Demand!AU70&gt;Retailers_Cap!N53,(V51/Retailers!P52)/(Demand!AU70-Retailers_Cap!N53),"Inesgotável")</f>
        <v/>
      </c>
      <c r="AC51" s="2">
        <f>IF(Demand!AV70&gt;Retailers_Cap!O53,(W51/Retailers!Q52)/(Demand!AV70-Retailers_Cap!O53),"Inesgotável")</f>
        <v/>
      </c>
      <c r="AD51" s="2">
        <f>IF(Demand!AW70&gt;Retailers_Cap!P53,(X51/Retailers!R52)/(Demand!AW70-Retailers_Cap!P53),"Inesgotável")</f>
        <v/>
      </c>
      <c r="AG51" s="75" t="n">
        <v>57</v>
      </c>
      <c r="AH51" s="75">
        <f>Retailers!AJ52</f>
        <v/>
      </c>
      <c r="AI51" s="75">
        <f>Retailers!AK52</f>
        <v/>
      </c>
      <c r="AJ51" s="75">
        <f>Retailers!AL52</f>
        <v/>
      </c>
      <c r="AM51" s="75" t="n">
        <v>57</v>
      </c>
      <c r="AN51" s="2">
        <f>IF(P51&gt;0,IF(D51=0,"Big stock",AB51/AH51),"Inesgotável")</f>
        <v/>
      </c>
      <c r="AO51" s="2">
        <f>IF(Q51&gt;0,IF(E51=0,"Big stock",AC51/AI51),"Inesgotável")</f>
        <v/>
      </c>
      <c r="AP51" s="2">
        <f>IF(R51&gt;0,IF(F51=0,"Big stock",AD51/AJ51),"Inesgotável")</f>
        <v/>
      </c>
      <c r="AS51" s="75" t="n">
        <v>57</v>
      </c>
      <c r="AT51" s="2">
        <f>Retailers_Cap!BL53</f>
        <v/>
      </c>
      <c r="AU51" s="2">
        <f>Retailers_Cap!BM53</f>
        <v/>
      </c>
      <c r="AV51" s="2">
        <f>Retailers_Cap!BN53</f>
        <v/>
      </c>
      <c r="AY51" s="75" t="n">
        <v>57</v>
      </c>
      <c r="AZ51" s="2">
        <f>IF(D51=0,"no repl",AB51-AT51)</f>
        <v/>
      </c>
      <c r="BA51" s="2">
        <f>IF(E51=0,"no repl",AC51-AU51)</f>
        <v/>
      </c>
      <c r="BB51" s="2">
        <f>IF(F51=0,"no repl",AD51-AV51)</f>
        <v/>
      </c>
    </row>
    <row r="52">
      <c r="C52" s="75" t="n">
        <v>58</v>
      </c>
      <c r="D52" s="11" t="n">
        <v>0</v>
      </c>
      <c r="E52" s="11" t="n">
        <v>60645.91869526918</v>
      </c>
      <c r="F52" s="11" t="n">
        <v>189630.5089734918</v>
      </c>
      <c r="I52" s="75" t="n">
        <v>58</v>
      </c>
      <c r="J52" s="11" t="n">
        <v>49556.52</v>
      </c>
      <c r="K52" s="11" t="n">
        <v>17215.8</v>
      </c>
      <c r="L52" s="11" t="n">
        <v>33275.6</v>
      </c>
      <c r="O52" s="75" t="n">
        <v>58</v>
      </c>
      <c r="P52" s="11" t="n">
        <v>15594.47002085635</v>
      </c>
      <c r="Q52" s="11" t="n">
        <v>37762.54363467285</v>
      </c>
      <c r="R52" s="11" t="n">
        <v>118870.5634883654</v>
      </c>
      <c r="U52" s="75" t="n">
        <v>58</v>
      </c>
      <c r="V52" s="3">
        <f>J52-P52+D52</f>
        <v/>
      </c>
      <c r="W52" s="3">
        <f>K52-Q52+E52</f>
        <v/>
      </c>
      <c r="X52" s="3">
        <f>L52-R52+F52</f>
        <v/>
      </c>
      <c r="AA52" s="75" t="n">
        <v>58</v>
      </c>
      <c r="AB52" s="2">
        <f>IF(Demand!AU71&gt;Retailers_Cap!N54,(V52/Retailers!P53)/(Demand!AU71-Retailers_Cap!N54),"Inesgotável")</f>
        <v/>
      </c>
      <c r="AC52" s="2">
        <f>IF(Demand!AV71&gt;Retailers_Cap!O54,(W52/Retailers!Q53)/(Demand!AV71-Retailers_Cap!O54),"Inesgotável")</f>
        <v/>
      </c>
      <c r="AD52" s="2">
        <f>IF(Demand!AW71&gt;Retailers_Cap!P54,(X52/Retailers!R53)/(Demand!AW71-Retailers_Cap!P54),"Inesgotável")</f>
        <v/>
      </c>
      <c r="AG52" s="75" t="n">
        <v>58</v>
      </c>
      <c r="AH52" s="75">
        <f>Retailers!AJ53</f>
        <v/>
      </c>
      <c r="AI52" s="75">
        <f>Retailers!AK53</f>
        <v/>
      </c>
      <c r="AJ52" s="75">
        <f>Retailers!AL53</f>
        <v/>
      </c>
      <c r="AM52" s="75" t="n">
        <v>58</v>
      </c>
      <c r="AN52" s="2">
        <f>IF(P52&gt;0,IF(D52=0,"Big stock",AB52/AH52),"Inesgotável")</f>
        <v/>
      </c>
      <c r="AO52" s="2">
        <f>IF(Q52&gt;0,IF(E52=0,"Big stock",AC52/AI52),"Inesgotável")</f>
        <v/>
      </c>
      <c r="AP52" s="2">
        <f>IF(R52&gt;0,IF(F52=0,"Big stock",AD52/AJ52),"Inesgotável")</f>
        <v/>
      </c>
      <c r="AS52" s="75" t="n">
        <v>58</v>
      </c>
      <c r="AT52" s="2">
        <f>Retailers_Cap!BL54</f>
        <v/>
      </c>
      <c r="AU52" s="2">
        <f>Retailers_Cap!BM54</f>
        <v/>
      </c>
      <c r="AV52" s="2">
        <f>Retailers_Cap!BN54</f>
        <v/>
      </c>
      <c r="AY52" s="75" t="n">
        <v>58</v>
      </c>
      <c r="AZ52" s="2">
        <f>IF(D52=0,"no repl",AB52-AT52)</f>
        <v/>
      </c>
      <c r="BA52" s="2">
        <f>IF(E52=0,"no repl",AC52-AU52)</f>
        <v/>
      </c>
      <c r="BB52" s="2">
        <f>IF(F52=0,"no repl",AD52-AV52)</f>
        <v/>
      </c>
    </row>
    <row r="53">
      <c r="C53" s="75" t="n">
        <v>59</v>
      </c>
      <c r="D53" s="11" t="n">
        <v>0</v>
      </c>
      <c r="E53" s="11" t="n">
        <v>0</v>
      </c>
      <c r="F53" s="11" t="n">
        <v>0</v>
      </c>
      <c r="I53" s="75" t="n">
        <v>59</v>
      </c>
      <c r="J53" s="11" t="n">
        <v>55527.68</v>
      </c>
      <c r="K53" s="11" t="n">
        <v>169197.6</v>
      </c>
      <c r="L53" s="11" t="n">
        <v>92927.52</v>
      </c>
      <c r="O53" s="75" t="n">
        <v>59</v>
      </c>
      <c r="P53" s="11" t="n">
        <v>0</v>
      </c>
      <c r="Q53" s="11" t="n">
        <v>0</v>
      </c>
      <c r="R53" s="11" t="n">
        <v>0</v>
      </c>
      <c r="U53" s="75" t="n">
        <v>59</v>
      </c>
      <c r="V53" s="3">
        <f>J53-P53+D53</f>
        <v/>
      </c>
      <c r="W53" s="3">
        <f>K53-Q53+E53</f>
        <v/>
      </c>
      <c r="X53" s="3">
        <f>L53-R53+F53</f>
        <v/>
      </c>
      <c r="AA53" s="75" t="n">
        <v>59</v>
      </c>
      <c r="AB53" s="2">
        <f>IF(Demand!AU72&gt;Retailers_Cap!N55,(V53/Retailers!P54)/(Demand!AU72-Retailers_Cap!N55),"Inesgotável")</f>
        <v/>
      </c>
      <c r="AC53" s="2">
        <f>IF(Demand!AV72&gt;Retailers_Cap!O55,(W53/Retailers!Q54)/(Demand!AV72-Retailers_Cap!O55),"Inesgotável")</f>
        <v/>
      </c>
      <c r="AD53" s="2">
        <f>IF(Demand!AW72&gt;Retailers_Cap!P55,(X53/Retailers!R54)/(Demand!AW72-Retailers_Cap!P55),"Inesgotável")</f>
        <v/>
      </c>
      <c r="AG53" s="75" t="n">
        <v>59</v>
      </c>
      <c r="AH53" s="75">
        <f>Retailers!AJ54</f>
        <v/>
      </c>
      <c r="AI53" s="75">
        <f>Retailers!AK54</f>
        <v/>
      </c>
      <c r="AJ53" s="75">
        <f>Retailers!AL54</f>
        <v/>
      </c>
      <c r="AM53" s="75" t="n">
        <v>59</v>
      </c>
      <c r="AN53" s="2">
        <f>IF(P53&gt;0,IF(D53=0,"Big stock",AB53/AH53),"Inesgotável")</f>
        <v/>
      </c>
      <c r="AO53" s="2">
        <f>IF(Q53&gt;0,IF(E53=0,"Big stock",AC53/AI53),"Inesgotável")</f>
        <v/>
      </c>
      <c r="AP53" s="2">
        <f>IF(R53&gt;0,IF(F53=0,"Big stock",AD53/AJ53),"Inesgotável")</f>
        <v/>
      </c>
      <c r="AS53" s="75" t="n">
        <v>59</v>
      </c>
      <c r="AT53" s="2">
        <f>Retailers_Cap!BL55</f>
        <v/>
      </c>
      <c r="AU53" s="2">
        <f>Retailers_Cap!BM55</f>
        <v/>
      </c>
      <c r="AV53" s="2">
        <f>Retailers_Cap!BN55</f>
        <v/>
      </c>
      <c r="AY53" s="75" t="n">
        <v>59</v>
      </c>
      <c r="AZ53" s="2">
        <f>IF(D53=0,"no repl",AB53-AT53)</f>
        <v/>
      </c>
      <c r="BA53" s="2">
        <f>IF(E53=0,"no repl",AC53-AU53)</f>
        <v/>
      </c>
      <c r="BB53" s="2">
        <f>IF(F53=0,"no repl",AD53-AV53)</f>
        <v/>
      </c>
    </row>
    <row r="54">
      <c r="C54" s="75" t="n">
        <v>60</v>
      </c>
      <c r="D54" s="11" t="n">
        <v>0</v>
      </c>
      <c r="E54" s="11" t="n">
        <v>0</v>
      </c>
      <c r="F54" s="11" t="n">
        <v>0</v>
      </c>
      <c r="I54" s="75" t="n">
        <v>60</v>
      </c>
      <c r="J54" s="11" t="n">
        <v>120088.37</v>
      </c>
      <c r="K54" s="11" t="n">
        <v>14043.15</v>
      </c>
      <c r="L54" s="11" t="n">
        <v>55359.72</v>
      </c>
      <c r="O54" s="75" t="n">
        <v>60</v>
      </c>
      <c r="P54" s="11" t="n">
        <v>0</v>
      </c>
      <c r="Q54" s="11" t="n">
        <v>0</v>
      </c>
      <c r="R54" s="11" t="n">
        <v>0</v>
      </c>
      <c r="U54" s="75" t="n">
        <v>60</v>
      </c>
      <c r="V54" s="3">
        <f>J54-P54+D54</f>
        <v/>
      </c>
      <c r="W54" s="3">
        <f>K54-Q54+E54</f>
        <v/>
      </c>
      <c r="X54" s="3">
        <f>L54-R54+F54</f>
        <v/>
      </c>
      <c r="AA54" s="75" t="n">
        <v>60</v>
      </c>
      <c r="AB54" s="2">
        <f>IF(Demand!AU73&gt;Retailers_Cap!N56,(V54/Retailers!P55)/(Demand!AU73-Retailers_Cap!N56),"Inesgotável")</f>
        <v/>
      </c>
      <c r="AC54" s="2">
        <f>IF(Demand!AV73&gt;Retailers_Cap!O56,(W54/Retailers!Q55)/(Demand!AV73-Retailers_Cap!O56),"Inesgotável")</f>
        <v/>
      </c>
      <c r="AD54" s="2">
        <f>IF(Demand!AW73&gt;Retailers_Cap!P56,(X54/Retailers!R55)/(Demand!AW73-Retailers_Cap!P56),"Inesgotável")</f>
        <v/>
      </c>
      <c r="AG54" s="75" t="n">
        <v>60</v>
      </c>
      <c r="AH54" s="75">
        <f>Retailers!AJ55</f>
        <v/>
      </c>
      <c r="AI54" s="75">
        <f>Retailers!AK55</f>
        <v/>
      </c>
      <c r="AJ54" s="75">
        <f>Retailers!AL55</f>
        <v/>
      </c>
      <c r="AM54" s="75" t="n">
        <v>60</v>
      </c>
      <c r="AN54" s="2">
        <f>IF(P54&gt;0,IF(D54=0,"Big stock",AB54/AH54),"Inesgotável")</f>
        <v/>
      </c>
      <c r="AO54" s="2">
        <f>IF(Q54&gt;0,IF(E54=0,"Big stock",AC54/AI54),"Inesgotável")</f>
        <v/>
      </c>
      <c r="AP54" s="2">
        <f>IF(R54&gt;0,IF(F54=0,"Big stock",AD54/AJ54),"Inesgotável")</f>
        <v/>
      </c>
      <c r="AS54" s="75" t="n">
        <v>60</v>
      </c>
      <c r="AT54" s="2">
        <f>Retailers_Cap!BL56</f>
        <v/>
      </c>
      <c r="AU54" s="2">
        <f>Retailers_Cap!BM56</f>
        <v/>
      </c>
      <c r="AV54" s="2">
        <f>Retailers_Cap!BN56</f>
        <v/>
      </c>
      <c r="AY54" s="75" t="n">
        <v>60</v>
      </c>
      <c r="AZ54" s="2">
        <f>IF(D54=0,"no repl",AB54-AT54)</f>
        <v/>
      </c>
      <c r="BA54" s="2">
        <f>IF(E54=0,"no repl",AC54-AU54)</f>
        <v/>
      </c>
      <c r="BB54" s="2">
        <f>IF(F54=0,"no repl",AD54-AV54)</f>
        <v/>
      </c>
    </row>
    <row r="55">
      <c r="C55" s="75" t="n">
        <v>61</v>
      </c>
      <c r="D55" s="11" t="n">
        <v>71318.24154005006</v>
      </c>
      <c r="E55" s="11" t="n">
        <v>220809.6381812631</v>
      </c>
      <c r="F55" s="11" t="n">
        <v>385103.8513309601</v>
      </c>
      <c r="I55" s="75" t="n">
        <v>61</v>
      </c>
      <c r="J55" s="11" t="n">
        <v>36580.96</v>
      </c>
      <c r="K55" s="11" t="n">
        <v>69516.75999999999</v>
      </c>
      <c r="L55" s="11" t="n">
        <v>60281.48</v>
      </c>
      <c r="O55" s="75" t="n">
        <v>61</v>
      </c>
      <c r="P55" s="11" t="n">
        <v>42493.98922430946</v>
      </c>
      <c r="Q55" s="11" t="n">
        <v>130819.9712521208</v>
      </c>
      <c r="R55" s="11" t="n">
        <v>230549.5269538582</v>
      </c>
      <c r="U55" s="75" t="n">
        <v>61</v>
      </c>
      <c r="V55" s="3">
        <f>J55-P55+D55</f>
        <v/>
      </c>
      <c r="W55" s="3">
        <f>K55-Q55+E55</f>
        <v/>
      </c>
      <c r="X55" s="3">
        <f>L55-R55+F55</f>
        <v/>
      </c>
      <c r="AA55" s="75" t="n">
        <v>61</v>
      </c>
      <c r="AB55" s="2">
        <f>IF(Demand!AU74&gt;Retailers_Cap!N57,(V55/Retailers!P56)/(Demand!AU74-Retailers_Cap!N57),"Inesgotável")</f>
        <v/>
      </c>
      <c r="AC55" s="2">
        <f>IF(Demand!AV74&gt;Retailers_Cap!O57,(W55/Retailers!Q56)/(Demand!AV74-Retailers_Cap!O57),"Inesgotável")</f>
        <v/>
      </c>
      <c r="AD55" s="2">
        <f>IF(Demand!AW74&gt;Retailers_Cap!P57,(X55/Retailers!R56)/(Demand!AW74-Retailers_Cap!P57),"Inesgotável")</f>
        <v/>
      </c>
      <c r="AG55" s="75" t="n">
        <v>61</v>
      </c>
      <c r="AH55" s="75">
        <f>Retailers!AJ56</f>
        <v/>
      </c>
      <c r="AI55" s="75">
        <f>Retailers!AK56</f>
        <v/>
      </c>
      <c r="AJ55" s="75">
        <f>Retailers!AL56</f>
        <v/>
      </c>
      <c r="AM55" s="75" t="n">
        <v>61</v>
      </c>
      <c r="AN55" s="2">
        <f>IF(P55&gt;0,IF(D55=0,"Big stock",AB55/AH55),"Inesgotável")</f>
        <v/>
      </c>
      <c r="AO55" s="2">
        <f>IF(Q55&gt;0,IF(E55=0,"Big stock",AC55/AI55),"Inesgotável")</f>
        <v/>
      </c>
      <c r="AP55" s="2">
        <f>IF(R55&gt;0,IF(F55=0,"Big stock",AD55/AJ55),"Inesgotável")</f>
        <v/>
      </c>
      <c r="AS55" s="75" t="n">
        <v>61</v>
      </c>
      <c r="AT55" s="2">
        <f>Retailers_Cap!BL57</f>
        <v/>
      </c>
      <c r="AU55" s="2">
        <f>Retailers_Cap!BM57</f>
        <v/>
      </c>
      <c r="AV55" s="2">
        <f>Retailers_Cap!BN57</f>
        <v/>
      </c>
      <c r="AY55" s="75" t="n">
        <v>61</v>
      </c>
      <c r="AZ55" s="2">
        <f>IF(D55=0,"no repl",AB55-AT55)</f>
        <v/>
      </c>
      <c r="BA55" s="2">
        <f>IF(E55=0,"no repl",AC55-AU55)</f>
        <v/>
      </c>
      <c r="BB55" s="2">
        <f>IF(F55=0,"no repl",AD55-AV55)</f>
        <v/>
      </c>
    </row>
    <row r="56">
      <c r="C56" s="75" t="n">
        <v>62</v>
      </c>
      <c r="D56" s="11" t="n">
        <v>0</v>
      </c>
      <c r="E56" s="11" t="n">
        <v>0</v>
      </c>
      <c r="F56" s="11" t="n">
        <v>0</v>
      </c>
      <c r="I56" s="75" t="n">
        <v>62</v>
      </c>
      <c r="J56" s="11" t="n">
        <v>27845.04</v>
      </c>
      <c r="K56" s="11" t="n">
        <v>20386.74</v>
      </c>
      <c r="L56" s="11" t="n">
        <v>22229.09</v>
      </c>
      <c r="O56" s="75" t="n">
        <v>62</v>
      </c>
      <c r="P56" s="11" t="n">
        <v>0</v>
      </c>
      <c r="Q56" s="11" t="n">
        <v>0</v>
      </c>
      <c r="R56" s="11" t="n">
        <v>0</v>
      </c>
      <c r="U56" s="75" t="n">
        <v>62</v>
      </c>
      <c r="V56" s="3">
        <f>J56-P56+D56</f>
        <v/>
      </c>
      <c r="W56" s="3">
        <f>K56-Q56+E56</f>
        <v/>
      </c>
      <c r="X56" s="3">
        <f>L56-R56+F56</f>
        <v/>
      </c>
      <c r="AA56" s="75" t="n">
        <v>62</v>
      </c>
      <c r="AB56" s="2">
        <f>IF(Demand!AU75&gt;Retailers_Cap!N58,(V56/Retailers!P57)/(Demand!AU75-Retailers_Cap!N58),"Inesgotável")</f>
        <v/>
      </c>
      <c r="AC56" s="2">
        <f>IF(Demand!AV75&gt;Retailers_Cap!O58,(W56/Retailers!Q57)/(Demand!AV75-Retailers_Cap!O58),"Inesgotável")</f>
        <v/>
      </c>
      <c r="AD56" s="2">
        <f>IF(Demand!AW75&gt;Retailers_Cap!P58,(X56/Retailers!R57)/(Demand!AW75-Retailers_Cap!P58),"Inesgotável")</f>
        <v/>
      </c>
      <c r="AG56" s="75" t="n">
        <v>62</v>
      </c>
      <c r="AH56" s="75">
        <f>Retailers!AJ57</f>
        <v/>
      </c>
      <c r="AI56" s="75">
        <f>Retailers!AK57</f>
        <v/>
      </c>
      <c r="AJ56" s="75">
        <f>Retailers!AL57</f>
        <v/>
      </c>
      <c r="AM56" s="75" t="n">
        <v>62</v>
      </c>
      <c r="AN56" s="2">
        <f>IF(P56&gt;0,IF(D56=0,"Big stock",AB56/AH56),"Inesgotável")</f>
        <v/>
      </c>
      <c r="AO56" s="2">
        <f>IF(Q56&gt;0,IF(E56=0,"Big stock",AC56/AI56),"Inesgotável")</f>
        <v/>
      </c>
      <c r="AP56" s="2">
        <f>IF(R56&gt;0,IF(F56=0,"Big stock",AD56/AJ56),"Inesgotável")</f>
        <v/>
      </c>
      <c r="AS56" s="75" t="n">
        <v>62</v>
      </c>
      <c r="AT56" s="2">
        <f>Retailers_Cap!BL58</f>
        <v/>
      </c>
      <c r="AU56" s="2">
        <f>Retailers_Cap!BM58</f>
        <v/>
      </c>
      <c r="AV56" s="2">
        <f>Retailers_Cap!BN58</f>
        <v/>
      </c>
      <c r="AY56" s="75" t="n">
        <v>62</v>
      </c>
      <c r="AZ56" s="2">
        <f>IF(D56=0,"no repl",AB56-AT56)</f>
        <v/>
      </c>
      <c r="BA56" s="2">
        <f>IF(E56=0,"no repl",AC56-AU56)</f>
        <v/>
      </c>
      <c r="BB56" s="2">
        <f>IF(F56=0,"no repl",AD56-AV56)</f>
        <v/>
      </c>
    </row>
    <row r="57">
      <c r="C57" s="75" t="n">
        <v>63</v>
      </c>
      <c r="D57" s="11" t="n">
        <v>0</v>
      </c>
      <c r="E57" s="11" t="n">
        <v>0</v>
      </c>
      <c r="F57" s="11" t="n">
        <v>0</v>
      </c>
      <c r="I57" s="75" t="n">
        <v>63</v>
      </c>
      <c r="J57" s="11" t="n">
        <v>41552.28</v>
      </c>
      <c r="K57" s="11" t="n">
        <v>22448.58</v>
      </c>
      <c r="L57" s="11" t="n">
        <v>37847.3</v>
      </c>
      <c r="O57" s="75" t="n">
        <v>63</v>
      </c>
      <c r="P57" s="11" t="n">
        <v>0</v>
      </c>
      <c r="Q57" s="11" t="n">
        <v>0</v>
      </c>
      <c r="R57" s="11" t="n">
        <v>0</v>
      </c>
      <c r="U57" s="75" t="n">
        <v>63</v>
      </c>
      <c r="V57" s="3">
        <f>J57-P57+D57</f>
        <v/>
      </c>
      <c r="W57" s="3">
        <f>K57-Q57+E57</f>
        <v/>
      </c>
      <c r="X57" s="3">
        <f>L57-R57+F57</f>
        <v/>
      </c>
      <c r="AA57" s="75" t="n">
        <v>63</v>
      </c>
      <c r="AB57" s="2">
        <f>IF(Demand!AU76&gt;Retailers_Cap!N59,(V57/Retailers!P58)/(Demand!AU76-Retailers_Cap!N59),"Inesgotável")</f>
        <v/>
      </c>
      <c r="AC57" s="2">
        <f>IF(Demand!AV76&gt;Retailers_Cap!O59,(W57/Retailers!Q58)/(Demand!AV76-Retailers_Cap!O59),"Inesgotável")</f>
        <v/>
      </c>
      <c r="AD57" s="2">
        <f>IF(Demand!AW76&gt;Retailers_Cap!P59,(X57/Retailers!R58)/(Demand!AW76-Retailers_Cap!P59),"Inesgotável")</f>
        <v/>
      </c>
      <c r="AG57" s="75" t="n">
        <v>63</v>
      </c>
      <c r="AH57" s="75">
        <f>Retailers!AJ58</f>
        <v/>
      </c>
      <c r="AI57" s="75">
        <f>Retailers!AK58</f>
        <v/>
      </c>
      <c r="AJ57" s="75">
        <f>Retailers!AL58</f>
        <v/>
      </c>
      <c r="AM57" s="75" t="n">
        <v>63</v>
      </c>
      <c r="AN57" s="2">
        <f>IF(P57&gt;0,IF(D57=0,"Big stock",AB57/AH57),"Inesgotável")</f>
        <v/>
      </c>
      <c r="AO57" s="2">
        <f>IF(Q57&gt;0,IF(E57=0,"Big stock",AC57/AI57),"Inesgotável")</f>
        <v/>
      </c>
      <c r="AP57" s="2">
        <f>IF(R57&gt;0,IF(F57=0,"Big stock",AD57/AJ57),"Inesgotável")</f>
        <v/>
      </c>
      <c r="AS57" s="75" t="n">
        <v>63</v>
      </c>
      <c r="AT57" s="2">
        <f>Retailers_Cap!BL59</f>
        <v/>
      </c>
      <c r="AU57" s="2">
        <f>Retailers_Cap!BM59</f>
        <v/>
      </c>
      <c r="AV57" s="2">
        <f>Retailers_Cap!BN59</f>
        <v/>
      </c>
      <c r="AY57" s="75" t="n">
        <v>63</v>
      </c>
      <c r="AZ57" s="2">
        <f>IF(D57=0,"no repl",AB57-AT57)</f>
        <v/>
      </c>
      <c r="BA57" s="2">
        <f>IF(E57=0,"no repl",AC57-AU57)</f>
        <v/>
      </c>
      <c r="BB57" s="2">
        <f>IF(F57=0,"no repl",AD57-AV57)</f>
        <v/>
      </c>
    </row>
    <row r="58">
      <c r="C58" s="75" t="n">
        <v>64</v>
      </c>
      <c r="D58" s="11" t="n">
        <v>0</v>
      </c>
      <c r="E58" s="11" t="n">
        <v>300702.4280163263</v>
      </c>
      <c r="F58" s="11" t="n">
        <v>0</v>
      </c>
      <c r="I58" s="75" t="n">
        <v>64</v>
      </c>
      <c r="J58" s="11" t="n">
        <v>28614.42</v>
      </c>
      <c r="K58" s="11" t="n">
        <v>39070.38</v>
      </c>
      <c r="L58" s="11" t="n">
        <v>26459.07</v>
      </c>
      <c r="O58" s="75" t="n">
        <v>64</v>
      </c>
      <c r="P58" s="11" t="n">
        <v>0</v>
      </c>
      <c r="Q58" s="11" t="n">
        <v>191450.9435405609</v>
      </c>
      <c r="R58" s="11" t="n">
        <v>0</v>
      </c>
      <c r="U58" s="75" t="n">
        <v>64</v>
      </c>
      <c r="V58" s="3">
        <f>J58-P58+D58</f>
        <v/>
      </c>
      <c r="W58" s="3">
        <f>K58-Q58+E58</f>
        <v/>
      </c>
      <c r="X58" s="3">
        <f>L58-R58+F58</f>
        <v/>
      </c>
      <c r="AA58" s="75" t="n">
        <v>64</v>
      </c>
      <c r="AB58" s="2">
        <f>IF(Demand!AU77&gt;Retailers_Cap!N60,(V58/Retailers!P59)/(Demand!AU77-Retailers_Cap!N60),"Inesgotável")</f>
        <v/>
      </c>
      <c r="AC58" s="2">
        <f>IF(Demand!AV77&gt;Retailers_Cap!O60,(W58/Retailers!Q59)/(Demand!AV77-Retailers_Cap!O60),"Inesgotável")</f>
        <v/>
      </c>
      <c r="AD58" s="2">
        <f>IF(Demand!AW77&gt;Retailers_Cap!P60,(X58/Retailers!R59)/(Demand!AW77-Retailers_Cap!P60),"Inesgotável")</f>
        <v/>
      </c>
      <c r="AG58" s="75" t="n">
        <v>64</v>
      </c>
      <c r="AH58" s="75">
        <f>Retailers!AJ59</f>
        <v/>
      </c>
      <c r="AI58" s="75">
        <f>Retailers!AK59</f>
        <v/>
      </c>
      <c r="AJ58" s="75">
        <f>Retailers!AL59</f>
        <v/>
      </c>
      <c r="AM58" s="75" t="n">
        <v>64</v>
      </c>
      <c r="AN58" s="2">
        <f>IF(P58&gt;0,IF(D58=0,"Big stock",AB58/AH58),"Inesgotável")</f>
        <v/>
      </c>
      <c r="AO58" s="2">
        <f>IF(Q58&gt;0,IF(E58=0,"Big stock",AC58/AI58),"Inesgotável")</f>
        <v/>
      </c>
      <c r="AP58" s="2">
        <f>IF(R58&gt;0,IF(F58=0,"Big stock",AD58/AJ58),"Inesgotável")</f>
        <v/>
      </c>
      <c r="AS58" s="75" t="n">
        <v>64</v>
      </c>
      <c r="AT58" s="2">
        <f>Retailers_Cap!BL60</f>
        <v/>
      </c>
      <c r="AU58" s="2">
        <f>Retailers_Cap!BM60</f>
        <v/>
      </c>
      <c r="AV58" s="2">
        <f>Retailers_Cap!BN60</f>
        <v/>
      </c>
      <c r="AY58" s="75" t="n">
        <v>64</v>
      </c>
      <c r="AZ58" s="2">
        <f>IF(D58=0,"no repl",AB58-AT58)</f>
        <v/>
      </c>
      <c r="BA58" s="2">
        <f>IF(E58=0,"no repl",AC58-AU58)</f>
        <v/>
      </c>
      <c r="BB58" s="2">
        <f>IF(F58=0,"no repl",AD58-AV58)</f>
        <v/>
      </c>
    </row>
    <row r="59">
      <c r="C59" s="75" t="n">
        <v>65</v>
      </c>
      <c r="D59" s="11" t="n">
        <v>0</v>
      </c>
      <c r="E59" s="11" t="n">
        <v>0</v>
      </c>
      <c r="F59" s="11" t="n">
        <v>0</v>
      </c>
      <c r="I59" s="75" t="n">
        <v>65</v>
      </c>
      <c r="J59" s="11" t="n">
        <v>36850.34</v>
      </c>
      <c r="K59" s="11" t="n">
        <v>42017.2</v>
      </c>
      <c r="L59" s="11" t="n">
        <v>49686.21</v>
      </c>
      <c r="O59" s="75" t="n">
        <v>65</v>
      </c>
      <c r="P59" s="11" t="n">
        <v>0</v>
      </c>
      <c r="Q59" s="11" t="n">
        <v>0</v>
      </c>
      <c r="R59" s="11" t="n">
        <v>0</v>
      </c>
      <c r="U59" s="75" t="n">
        <v>65</v>
      </c>
      <c r="V59" s="3">
        <f>J59-P59+D59</f>
        <v/>
      </c>
      <c r="W59" s="3">
        <f>K59-Q59+E59</f>
        <v/>
      </c>
      <c r="X59" s="3">
        <f>L59-R59+F59</f>
        <v/>
      </c>
      <c r="AA59" s="75" t="n">
        <v>65</v>
      </c>
      <c r="AB59" s="2">
        <f>IF(Demand!AU78&gt;Retailers_Cap!N61,(V59/Retailers!P60)/(Demand!AU78-Retailers_Cap!N61),"Inesgotável")</f>
        <v/>
      </c>
      <c r="AC59" s="2">
        <f>IF(Demand!AV78&gt;Retailers_Cap!O61,(W59/Retailers!Q60)/(Demand!AV78-Retailers_Cap!O61),"Inesgotável")</f>
        <v/>
      </c>
      <c r="AD59" s="2">
        <f>IF(Demand!AW78&gt;Retailers_Cap!P61,(X59/Retailers!R60)/(Demand!AW78-Retailers_Cap!P61),"Inesgotável")</f>
        <v/>
      </c>
      <c r="AG59" s="75" t="n">
        <v>65</v>
      </c>
      <c r="AH59" s="75">
        <f>Retailers!AJ60</f>
        <v/>
      </c>
      <c r="AI59" s="75">
        <f>Retailers!AK60</f>
        <v/>
      </c>
      <c r="AJ59" s="75">
        <f>Retailers!AL60</f>
        <v/>
      </c>
      <c r="AM59" s="75" t="n">
        <v>65</v>
      </c>
      <c r="AN59" s="2">
        <f>IF(P59&gt;0,IF(D59=0,"Big stock",AB59/AH59),"Inesgotável")</f>
        <v/>
      </c>
      <c r="AO59" s="2">
        <f>IF(Q59&gt;0,IF(E59=0,"Big stock",AC59/AI59),"Inesgotável")</f>
        <v/>
      </c>
      <c r="AP59" s="2">
        <f>IF(R59&gt;0,IF(F59=0,"Big stock",AD59/AJ59),"Inesgotável")</f>
        <v/>
      </c>
      <c r="AS59" s="75" t="n">
        <v>65</v>
      </c>
      <c r="AT59" s="2">
        <f>Retailers_Cap!BL61</f>
        <v/>
      </c>
      <c r="AU59" s="2">
        <f>Retailers_Cap!BM61</f>
        <v/>
      </c>
      <c r="AV59" s="2">
        <f>Retailers_Cap!BN61</f>
        <v/>
      </c>
      <c r="AY59" s="75" t="n">
        <v>65</v>
      </c>
      <c r="AZ59" s="2">
        <f>IF(D59=0,"no repl",AB59-AT59)</f>
        <v/>
      </c>
      <c r="BA59" s="2">
        <f>IF(E59=0,"no repl",AC59-AU59)</f>
        <v/>
      </c>
      <c r="BB59" s="2">
        <f>IF(F59=0,"no repl",AD59-AV59)</f>
        <v/>
      </c>
    </row>
    <row r="60">
      <c r="C60" s="75" t="n">
        <v>66</v>
      </c>
      <c r="D60" s="11" t="n">
        <v>0</v>
      </c>
      <c r="E60" s="11" t="n">
        <v>0</v>
      </c>
      <c r="F60" s="11" t="n">
        <v>107808.134814019</v>
      </c>
      <c r="I60" s="75" t="n">
        <v>66</v>
      </c>
      <c r="J60" s="11" t="n">
        <v>63524.64</v>
      </c>
      <c r="K60" s="11" t="n">
        <v>58941</v>
      </c>
      <c r="L60" s="11" t="n">
        <v>6984.45</v>
      </c>
      <c r="O60" s="75" t="n">
        <v>66</v>
      </c>
      <c r="P60" s="11" t="n">
        <v>0</v>
      </c>
      <c r="Q60" s="11" t="n">
        <v>0</v>
      </c>
      <c r="R60" s="11" t="n">
        <v>63864.73901285006</v>
      </c>
      <c r="U60" s="75" t="n">
        <v>66</v>
      </c>
      <c r="V60" s="3">
        <f>J60-P60+D60</f>
        <v/>
      </c>
      <c r="W60" s="3">
        <f>K60-Q60+E60</f>
        <v/>
      </c>
      <c r="X60" s="3">
        <f>L60-R60+F60</f>
        <v/>
      </c>
      <c r="AA60" s="75" t="n">
        <v>66</v>
      </c>
      <c r="AB60" s="2">
        <f>IF(Demand!AU79&gt;Retailers_Cap!N62,(V60/Retailers!P61)/(Demand!AU79-Retailers_Cap!N62),"Inesgotável")</f>
        <v/>
      </c>
      <c r="AC60" s="2">
        <f>IF(Demand!AV79&gt;Retailers_Cap!O62,(W60/Retailers!Q61)/(Demand!AV79-Retailers_Cap!O62),"Inesgotável")</f>
        <v/>
      </c>
      <c r="AD60" s="2">
        <f>IF(Demand!AW79&gt;Retailers_Cap!P62,(X60/Retailers!R61)/(Demand!AW79-Retailers_Cap!P62),"Inesgotável")</f>
        <v/>
      </c>
      <c r="AG60" s="75" t="n">
        <v>66</v>
      </c>
      <c r="AH60" s="75">
        <f>Retailers!AJ61</f>
        <v/>
      </c>
      <c r="AI60" s="75">
        <f>Retailers!AK61</f>
        <v/>
      </c>
      <c r="AJ60" s="75">
        <f>Retailers!AL61</f>
        <v/>
      </c>
      <c r="AM60" s="75" t="n">
        <v>66</v>
      </c>
      <c r="AN60" s="2">
        <f>IF(P60&gt;0,IF(D60=0,"Big stock",AB60/AH60),"Inesgotável")</f>
        <v/>
      </c>
      <c r="AO60" s="2">
        <f>IF(Q60&gt;0,IF(E60=0,"Big stock",AC60/AI60),"Inesgotável")</f>
        <v/>
      </c>
      <c r="AP60" s="2">
        <f>IF(R60&gt;0,IF(F60=0,"Big stock",AD60/AJ60),"Inesgotável")</f>
        <v/>
      </c>
      <c r="AS60" s="75" t="n">
        <v>66</v>
      </c>
      <c r="AT60" s="2">
        <f>Retailers_Cap!BL62</f>
        <v/>
      </c>
      <c r="AU60" s="2">
        <f>Retailers_Cap!BM62</f>
        <v/>
      </c>
      <c r="AV60" s="2">
        <f>Retailers_Cap!BN62</f>
        <v/>
      </c>
      <c r="AY60" s="75" t="n">
        <v>66</v>
      </c>
      <c r="AZ60" s="2">
        <f>IF(D60=0,"no repl",AB60-AT60)</f>
        <v/>
      </c>
      <c r="BA60" s="2">
        <f>IF(E60=0,"no repl",AC60-AU60)</f>
        <v/>
      </c>
      <c r="BB60" s="2">
        <f>IF(F60=0,"no repl",AD60-AV60)</f>
        <v/>
      </c>
    </row>
    <row r="61">
      <c r="C61" s="75" t="n">
        <v>67</v>
      </c>
      <c r="D61" s="11" t="n">
        <v>0</v>
      </c>
      <c r="E61" s="11" t="n">
        <v>0</v>
      </c>
      <c r="F61" s="11" t="n">
        <v>0</v>
      </c>
      <c r="I61" s="75" t="n">
        <v>67</v>
      </c>
      <c r="J61" s="11" t="n">
        <v>17750.25</v>
      </c>
      <c r="K61" s="11" t="n">
        <v>46152.12</v>
      </c>
      <c r="L61" s="11" t="n">
        <v>16481.04</v>
      </c>
      <c r="O61" s="75" t="n">
        <v>67</v>
      </c>
      <c r="P61" s="11" t="n">
        <v>0</v>
      </c>
      <c r="Q61" s="11" t="n">
        <v>0</v>
      </c>
      <c r="R61" s="11" t="n">
        <v>0</v>
      </c>
      <c r="U61" s="75" t="n">
        <v>67</v>
      </c>
      <c r="V61" s="3">
        <f>J61-P61+D61</f>
        <v/>
      </c>
      <c r="W61" s="3">
        <f>K61-Q61+E61</f>
        <v/>
      </c>
      <c r="X61" s="3">
        <f>L61-R61+F61</f>
        <v/>
      </c>
      <c r="AA61" s="75" t="n">
        <v>67</v>
      </c>
      <c r="AB61" s="2">
        <f>IF(Demand!AU80&gt;Retailers_Cap!N63,(V61/Retailers!P62)/(Demand!AU80-Retailers_Cap!N63),"Inesgotável")</f>
        <v/>
      </c>
      <c r="AC61" s="2">
        <f>IF(Demand!AV80&gt;Retailers_Cap!O63,(W61/Retailers!Q62)/(Demand!AV80-Retailers_Cap!O63),"Inesgotável")</f>
        <v/>
      </c>
      <c r="AD61" s="2">
        <f>IF(Demand!AW80&gt;Retailers_Cap!P63,(X61/Retailers!R62)/(Demand!AW80-Retailers_Cap!P63),"Inesgotável")</f>
        <v/>
      </c>
      <c r="AG61" s="75" t="n">
        <v>67</v>
      </c>
      <c r="AH61" s="75">
        <f>Retailers!AJ62</f>
        <v/>
      </c>
      <c r="AI61" s="75">
        <f>Retailers!AK62</f>
        <v/>
      </c>
      <c r="AJ61" s="75">
        <f>Retailers!AL62</f>
        <v/>
      </c>
      <c r="AM61" s="75" t="n">
        <v>67</v>
      </c>
      <c r="AN61" s="2">
        <f>IF(P61&gt;0,IF(D61=0,"Big stock",AB61/AH61),"Inesgotável")</f>
        <v/>
      </c>
      <c r="AO61" s="2">
        <f>IF(Q61&gt;0,IF(E61=0,"Big stock",AC61/AI61),"Inesgotável")</f>
        <v/>
      </c>
      <c r="AP61" s="2">
        <f>IF(R61&gt;0,IF(F61=0,"Big stock",AD61/AJ61),"Inesgotável")</f>
        <v/>
      </c>
      <c r="AS61" s="75" t="n">
        <v>67</v>
      </c>
      <c r="AT61" s="2">
        <f>Retailers_Cap!BL63</f>
        <v/>
      </c>
      <c r="AU61" s="2">
        <f>Retailers_Cap!BM63</f>
        <v/>
      </c>
      <c r="AV61" s="2">
        <f>Retailers_Cap!BN63</f>
        <v/>
      </c>
      <c r="AY61" s="75" t="n">
        <v>67</v>
      </c>
      <c r="AZ61" s="2">
        <f>IF(D61=0,"no repl",AB61-AT61)</f>
        <v/>
      </c>
      <c r="BA61" s="2">
        <f>IF(E61=0,"no repl",AC61-AU61)</f>
        <v/>
      </c>
      <c r="BB61" s="2">
        <f>IF(F61=0,"no repl",AD61-AV61)</f>
        <v/>
      </c>
    </row>
    <row r="62">
      <c r="C62" s="75" t="n">
        <v>68</v>
      </c>
      <c r="D62" s="11" t="n">
        <v>0</v>
      </c>
      <c r="E62" s="11" t="n">
        <v>0</v>
      </c>
      <c r="F62" s="11" t="n">
        <v>237393.388721143</v>
      </c>
      <c r="I62" s="75" t="n">
        <v>68</v>
      </c>
      <c r="J62" s="11" t="n">
        <v>9823.02</v>
      </c>
      <c r="K62" s="11" t="n">
        <v>60018.6</v>
      </c>
      <c r="L62" s="11" t="n">
        <v>18989.04</v>
      </c>
      <c r="O62" s="75" t="n">
        <v>68</v>
      </c>
      <c r="P62" s="11" t="n">
        <v>0</v>
      </c>
      <c r="Q62" s="11" t="n">
        <v>0</v>
      </c>
      <c r="R62" s="11" t="n">
        <v>139756.4846426167</v>
      </c>
      <c r="U62" s="75" t="n">
        <v>68</v>
      </c>
      <c r="V62" s="3">
        <f>J62-P62+D62</f>
        <v/>
      </c>
      <c r="W62" s="3">
        <f>K62-Q62+E62</f>
        <v/>
      </c>
      <c r="X62" s="3">
        <f>L62-R62+F62</f>
        <v/>
      </c>
      <c r="AA62" s="75" t="n">
        <v>68</v>
      </c>
      <c r="AB62" s="2">
        <f>IF(Demand!AU81&gt;Retailers_Cap!N64,(V62/Retailers!P63)/(Demand!AU81-Retailers_Cap!N64),"Inesgotável")</f>
        <v/>
      </c>
      <c r="AC62" s="2">
        <f>IF(Demand!AV81&gt;Retailers_Cap!O64,(W62/Retailers!Q63)/(Demand!AV81-Retailers_Cap!O64),"Inesgotável")</f>
        <v/>
      </c>
      <c r="AD62" s="2">
        <f>IF(Demand!AW81&gt;Retailers_Cap!P64,(X62/Retailers!R63)/(Demand!AW81-Retailers_Cap!P64),"Inesgotável")</f>
        <v/>
      </c>
      <c r="AG62" s="75" t="n">
        <v>68</v>
      </c>
      <c r="AH62" s="75">
        <f>Retailers!AJ63</f>
        <v/>
      </c>
      <c r="AI62" s="75">
        <f>Retailers!AK63</f>
        <v/>
      </c>
      <c r="AJ62" s="75">
        <f>Retailers!AL63</f>
        <v/>
      </c>
      <c r="AM62" s="75" t="n">
        <v>68</v>
      </c>
      <c r="AN62" s="2">
        <f>IF(P62&gt;0,IF(D62=0,"Big stock",AB62/AH62),"Inesgotável")</f>
        <v/>
      </c>
      <c r="AO62" s="2">
        <f>IF(Q62&gt;0,IF(E62=0,"Big stock",AC62/AI62),"Inesgotável")</f>
        <v/>
      </c>
      <c r="AP62" s="2">
        <f>IF(R62&gt;0,IF(F62=0,"Big stock",AD62/AJ62),"Inesgotável")</f>
        <v/>
      </c>
      <c r="AS62" s="75" t="n">
        <v>68</v>
      </c>
      <c r="AT62" s="2">
        <f>Retailers_Cap!BL64</f>
        <v/>
      </c>
      <c r="AU62" s="2">
        <f>Retailers_Cap!BM64</f>
        <v/>
      </c>
      <c r="AV62" s="2">
        <f>Retailers_Cap!BN64</f>
        <v/>
      </c>
      <c r="AY62" s="75" t="n">
        <v>68</v>
      </c>
      <c r="AZ62" s="2">
        <f>IF(D62=0,"no repl",AB62-AT62)</f>
        <v/>
      </c>
      <c r="BA62" s="2">
        <f>IF(E62=0,"no repl",AC62-AU62)</f>
        <v/>
      </c>
      <c r="BB62" s="2">
        <f>IF(F62=0,"no repl",AD62-AV62)</f>
        <v/>
      </c>
    </row>
    <row r="63">
      <c r="C63" s="75" t="n">
        <v>69</v>
      </c>
      <c r="D63" s="11" t="n">
        <v>152907.2540257253</v>
      </c>
      <c r="E63" s="11" t="n">
        <v>0</v>
      </c>
      <c r="F63" s="11" t="n">
        <v>42191.79556759012</v>
      </c>
      <c r="I63" s="75" t="n">
        <v>69</v>
      </c>
      <c r="J63" s="11" t="n">
        <v>36903.04</v>
      </c>
      <c r="K63" s="11" t="n">
        <v>59587.64</v>
      </c>
      <c r="L63" s="11" t="n">
        <v>26541.84</v>
      </c>
      <c r="O63" s="75" t="n">
        <v>69</v>
      </c>
      <c r="P63" s="11" t="n">
        <v>93571.14940001935</v>
      </c>
      <c r="Q63" s="11" t="n">
        <v>0</v>
      </c>
      <c r="R63" s="11" t="n">
        <v>24792.94578717702</v>
      </c>
      <c r="U63" s="75" t="n">
        <v>69</v>
      </c>
      <c r="V63" s="3">
        <f>J63-P63+D63</f>
        <v/>
      </c>
      <c r="W63" s="3">
        <f>K63-Q63+E63</f>
        <v/>
      </c>
      <c r="X63" s="3">
        <f>L63-R63+F63</f>
        <v/>
      </c>
      <c r="AA63" s="75" t="n">
        <v>69</v>
      </c>
      <c r="AB63" s="2">
        <f>IF(Demand!AU82&gt;Retailers_Cap!N65,(V63/Retailers!P64)/(Demand!AU82-Retailers_Cap!N65),"Inesgotável")</f>
        <v/>
      </c>
      <c r="AC63" s="2">
        <f>IF(Demand!AV82&gt;Retailers_Cap!O65,(W63/Retailers!Q64)/(Demand!AV82-Retailers_Cap!O65),"Inesgotável")</f>
        <v/>
      </c>
      <c r="AD63" s="2">
        <f>IF(Demand!AW82&gt;Retailers_Cap!P65,(X63/Retailers!R64)/(Demand!AW82-Retailers_Cap!P65),"Inesgotável")</f>
        <v/>
      </c>
      <c r="AG63" s="75" t="n">
        <v>69</v>
      </c>
      <c r="AH63" s="75">
        <f>Retailers!AJ64</f>
        <v/>
      </c>
      <c r="AI63" s="75">
        <f>Retailers!AK64</f>
        <v/>
      </c>
      <c r="AJ63" s="75">
        <f>Retailers!AL64</f>
        <v/>
      </c>
      <c r="AM63" s="75" t="n">
        <v>69</v>
      </c>
      <c r="AN63" s="2">
        <f>IF(P63&gt;0,IF(D63=0,"Big stock",AB63/AH63),"Inesgotável")</f>
        <v/>
      </c>
      <c r="AO63" s="2">
        <f>IF(Q63&gt;0,IF(E63=0,"Big stock",AC63/AI63),"Inesgotável")</f>
        <v/>
      </c>
      <c r="AP63" s="2">
        <f>IF(R63&gt;0,IF(F63=0,"Big stock",AD63/AJ63),"Inesgotável")</f>
        <v/>
      </c>
      <c r="AS63" s="75" t="n">
        <v>69</v>
      </c>
      <c r="AT63" s="2">
        <f>Retailers_Cap!BL65</f>
        <v/>
      </c>
      <c r="AU63" s="2">
        <f>Retailers_Cap!BM65</f>
        <v/>
      </c>
      <c r="AV63" s="2">
        <f>Retailers_Cap!BN65</f>
        <v/>
      </c>
      <c r="AY63" s="75" t="n">
        <v>69</v>
      </c>
      <c r="AZ63" s="2">
        <f>IF(D63=0,"no repl",AB63-AT63)</f>
        <v/>
      </c>
      <c r="BA63" s="2">
        <f>IF(E63=0,"no repl",AC63-AU63)</f>
        <v/>
      </c>
      <c r="BB63" s="2">
        <f>IF(F63=0,"no repl",AD63-AV63)</f>
        <v/>
      </c>
    </row>
    <row r="64">
      <c r="C64" s="75" t="n">
        <v>70</v>
      </c>
      <c r="D64" s="11" t="n">
        <v>0</v>
      </c>
      <c r="E64" s="11" t="n">
        <v>0</v>
      </c>
      <c r="F64" s="11" t="n">
        <v>0</v>
      </c>
      <c r="I64" s="75" t="n">
        <v>70</v>
      </c>
      <c r="J64" s="11" t="n">
        <v>73819.67999999999</v>
      </c>
      <c r="K64" s="11" t="n">
        <v>40277.76</v>
      </c>
      <c r="L64" s="11" t="n">
        <v>750.88</v>
      </c>
      <c r="O64" s="75" t="n">
        <v>70</v>
      </c>
      <c r="P64" s="11" t="n">
        <v>0</v>
      </c>
      <c r="Q64" s="11" t="n">
        <v>17265.15303130439</v>
      </c>
      <c r="R64" s="11" t="n">
        <v>0</v>
      </c>
      <c r="U64" s="75" t="n">
        <v>70</v>
      </c>
      <c r="V64" s="3">
        <f>J64-P64+D64</f>
        <v/>
      </c>
      <c r="W64" s="3">
        <f>K64-Q64+E64</f>
        <v/>
      </c>
      <c r="X64" s="3">
        <f>L64-R64+F64</f>
        <v/>
      </c>
      <c r="AA64" s="75" t="n">
        <v>70</v>
      </c>
      <c r="AB64" s="2">
        <f>IF(Demand!AU83&gt;Retailers_Cap!N66,(V64/Retailers!P65)/(Demand!AU83-Retailers_Cap!N66),"Inesgotável")</f>
        <v/>
      </c>
      <c r="AC64" s="2">
        <f>IF(Demand!AV83&gt;Retailers_Cap!O66,(W64/Retailers!Q65)/(Demand!AV83-Retailers_Cap!O66),"Inesgotável")</f>
        <v/>
      </c>
      <c r="AD64" s="2">
        <f>IF(Demand!AW83&gt;Retailers_Cap!P66,(X64/Retailers!R65)/(Demand!AW83-Retailers_Cap!P66),"Inesgotável")</f>
        <v/>
      </c>
      <c r="AG64" s="75" t="n">
        <v>70</v>
      </c>
      <c r="AH64" s="75">
        <f>Retailers!AJ65</f>
        <v/>
      </c>
      <c r="AI64" s="75">
        <f>Retailers!AK65</f>
        <v/>
      </c>
      <c r="AJ64" s="75">
        <f>Retailers!AL65</f>
        <v/>
      </c>
      <c r="AM64" s="75" t="n">
        <v>70</v>
      </c>
      <c r="AN64" s="2">
        <f>IF(P64&gt;0,IF(D64=0,"Big stock",AB64/AH64),"Inesgotável")</f>
        <v/>
      </c>
      <c r="AO64" s="2">
        <f>IF(Q64&gt;0,IF(E64=0,"Big stock",AC64/AI64),"Inesgotável")</f>
        <v/>
      </c>
      <c r="AP64" s="2">
        <f>IF(R64&gt;0,IF(F64=0,"Big stock",AD64/AJ64),"Inesgotável")</f>
        <v/>
      </c>
      <c r="AS64" s="75" t="n">
        <v>70</v>
      </c>
      <c r="AT64" s="2">
        <f>Retailers_Cap!BL66</f>
        <v/>
      </c>
      <c r="AU64" s="2">
        <f>Retailers_Cap!BM66</f>
        <v/>
      </c>
      <c r="AV64" s="2">
        <f>Retailers_Cap!BN66</f>
        <v/>
      </c>
      <c r="AY64" s="75" t="n">
        <v>70</v>
      </c>
      <c r="AZ64" s="2">
        <f>IF(D64=0,"no repl",AB64-AT64)</f>
        <v/>
      </c>
      <c r="BA64" s="2">
        <f>IF(E64=0,"no repl",AC64-AU64)</f>
        <v/>
      </c>
      <c r="BB64" s="2">
        <f>IF(F64=0,"no repl",AD64-AV64)</f>
        <v/>
      </c>
    </row>
    <row r="65">
      <c r="C65" s="75" t="n">
        <v>71</v>
      </c>
      <c r="D65" s="11" t="n">
        <v>0</v>
      </c>
      <c r="E65" s="11" t="n">
        <v>194519.4703050022</v>
      </c>
      <c r="F65" s="11" t="n">
        <v>74758.95487092798</v>
      </c>
      <c r="I65" s="75" t="n">
        <v>71</v>
      </c>
      <c r="J65" s="11" t="n">
        <v>47838</v>
      </c>
      <c r="K65" s="11" t="n">
        <v>42268.8</v>
      </c>
      <c r="L65" s="11" t="n">
        <v>82439.02</v>
      </c>
      <c r="O65" s="75" t="n">
        <v>71</v>
      </c>
      <c r="P65" s="11" t="n">
        <v>0</v>
      </c>
      <c r="Q65" s="11" t="n">
        <v>119755.6542113061</v>
      </c>
      <c r="R65" s="11" t="n">
        <v>44918.72555168101</v>
      </c>
      <c r="U65" s="75" t="n">
        <v>71</v>
      </c>
      <c r="V65" s="3">
        <f>J65-P65+D65</f>
        <v/>
      </c>
      <c r="W65" s="3">
        <f>K65-Q65+E65</f>
        <v/>
      </c>
      <c r="X65" s="3">
        <f>L65-R65+F65</f>
        <v/>
      </c>
      <c r="AA65" s="75" t="n">
        <v>71</v>
      </c>
      <c r="AB65" s="2">
        <f>IF(Demand!AU84&gt;Retailers_Cap!N67,(V65/Retailers!P66)/(Demand!AU84-Retailers_Cap!N67),"Inesgotável")</f>
        <v/>
      </c>
      <c r="AC65" s="2">
        <f>IF(Demand!AV84&gt;Retailers_Cap!O67,(W65/Retailers!Q66)/(Demand!AV84-Retailers_Cap!O67),"Inesgotável")</f>
        <v/>
      </c>
      <c r="AD65" s="2">
        <f>IF(Demand!AW84&gt;Retailers_Cap!P67,(X65/Retailers!R66)/(Demand!AW84-Retailers_Cap!P67),"Inesgotável")</f>
        <v/>
      </c>
      <c r="AG65" s="75" t="n">
        <v>71</v>
      </c>
      <c r="AH65" s="75">
        <f>Retailers!AJ66</f>
        <v/>
      </c>
      <c r="AI65" s="75">
        <f>Retailers!AK66</f>
        <v/>
      </c>
      <c r="AJ65" s="75">
        <f>Retailers!AL66</f>
        <v/>
      </c>
      <c r="AM65" s="75" t="n">
        <v>71</v>
      </c>
      <c r="AN65" s="2">
        <f>IF(P65&gt;0,IF(D65=0,"Big stock",AB65/AH65),"Inesgotável")</f>
        <v/>
      </c>
      <c r="AO65" s="2">
        <f>IF(Q65&gt;0,IF(E65=0,"Big stock",AC65/AI65),"Inesgotável")</f>
        <v/>
      </c>
      <c r="AP65" s="2">
        <f>IF(R65&gt;0,IF(F65=0,"Big stock",AD65/AJ65),"Inesgotável")</f>
        <v/>
      </c>
      <c r="AS65" s="75" t="n">
        <v>71</v>
      </c>
      <c r="AT65" s="2">
        <f>Retailers_Cap!BL67</f>
        <v/>
      </c>
      <c r="AU65" s="2">
        <f>Retailers_Cap!BM67</f>
        <v/>
      </c>
      <c r="AV65" s="2">
        <f>Retailers_Cap!BN67</f>
        <v/>
      </c>
      <c r="AY65" s="75" t="n">
        <v>71</v>
      </c>
      <c r="AZ65" s="2">
        <f>IF(D65=0,"no repl",AB65-AT65)</f>
        <v/>
      </c>
      <c r="BA65" s="2">
        <f>IF(E65=0,"no repl",AC65-AU65)</f>
        <v/>
      </c>
      <c r="BB65" s="2">
        <f>IF(F65=0,"no repl",AD65-AV65)</f>
        <v/>
      </c>
    </row>
    <row r="66">
      <c r="C66" s="75" t="n">
        <v>72</v>
      </c>
      <c r="D66" s="11" t="n">
        <v>0</v>
      </c>
      <c r="E66" s="11" t="n">
        <v>0</v>
      </c>
      <c r="F66" s="11" t="n">
        <v>355611.5645071776</v>
      </c>
      <c r="I66" s="75" t="n">
        <v>72</v>
      </c>
      <c r="J66" s="11" t="n">
        <v>26418.75</v>
      </c>
      <c r="K66" s="11" t="n">
        <v>36727.99</v>
      </c>
      <c r="L66" s="11" t="n">
        <v>31099.14</v>
      </c>
      <c r="O66" s="75" t="n">
        <v>72</v>
      </c>
      <c r="P66" s="11" t="n">
        <v>0</v>
      </c>
      <c r="Q66" s="11" t="n">
        <v>0</v>
      </c>
      <c r="R66" s="11" t="n">
        <v>210862.5190205105</v>
      </c>
      <c r="U66" s="75" t="n">
        <v>72</v>
      </c>
      <c r="V66" s="3">
        <f>J66-P66+D66</f>
        <v/>
      </c>
      <c r="W66" s="3">
        <f>K66-Q66+E66</f>
        <v/>
      </c>
      <c r="X66" s="3">
        <f>L66-R66+F66</f>
        <v/>
      </c>
      <c r="AA66" s="75" t="n">
        <v>72</v>
      </c>
      <c r="AB66" s="2">
        <f>IF(Demand!AU85&gt;Retailers_Cap!N68,(V66/Retailers!P67)/(Demand!AU85-Retailers_Cap!N68),"Inesgotável")</f>
        <v/>
      </c>
      <c r="AC66" s="2">
        <f>IF(Demand!AV85&gt;Retailers_Cap!O68,(W66/Retailers!Q67)/(Demand!AV85-Retailers_Cap!O68),"Inesgotável")</f>
        <v/>
      </c>
      <c r="AD66" s="2">
        <f>IF(Demand!AW85&gt;Retailers_Cap!P68,(X66/Retailers!R67)/(Demand!AW85-Retailers_Cap!P68),"Inesgotável")</f>
        <v/>
      </c>
      <c r="AG66" s="75" t="n">
        <v>72</v>
      </c>
      <c r="AH66" s="75">
        <f>Retailers!AJ67</f>
        <v/>
      </c>
      <c r="AI66" s="75">
        <f>Retailers!AK67</f>
        <v/>
      </c>
      <c r="AJ66" s="75">
        <f>Retailers!AL67</f>
        <v/>
      </c>
      <c r="AM66" s="75" t="n">
        <v>72</v>
      </c>
      <c r="AN66" s="2">
        <f>IF(P66&gt;0,IF(D66=0,"Big stock",AB66/AH66),"Inesgotável")</f>
        <v/>
      </c>
      <c r="AO66" s="2">
        <f>IF(Q66&gt;0,IF(E66=0,"Big stock",AC66/AI66),"Inesgotável")</f>
        <v/>
      </c>
      <c r="AP66" s="2">
        <f>IF(R66&gt;0,IF(F66=0,"Big stock",AD66/AJ66),"Inesgotável")</f>
        <v/>
      </c>
      <c r="AS66" s="75" t="n">
        <v>72</v>
      </c>
      <c r="AT66" s="2">
        <f>Retailers_Cap!BL68</f>
        <v/>
      </c>
      <c r="AU66" s="2">
        <f>Retailers_Cap!BM68</f>
        <v/>
      </c>
      <c r="AV66" s="2">
        <f>Retailers_Cap!BN68</f>
        <v/>
      </c>
      <c r="AY66" s="75" t="n">
        <v>72</v>
      </c>
      <c r="AZ66" s="2">
        <f>IF(D66=0,"no repl",AB66-AT66)</f>
        <v/>
      </c>
      <c r="BA66" s="2">
        <f>IF(E66=0,"no repl",AC66-AU66)</f>
        <v/>
      </c>
      <c r="BB66" s="2">
        <f>IF(F66=0,"no repl",AD66-AV66)</f>
        <v/>
      </c>
    </row>
    <row r="67">
      <c r="C67" s="75" t="n">
        <v>73</v>
      </c>
      <c r="D67" s="11" t="n">
        <v>175019.4465786637</v>
      </c>
      <c r="E67" s="11" t="n">
        <v>0</v>
      </c>
      <c r="F67" s="11" t="n">
        <v>0</v>
      </c>
      <c r="I67" s="75" t="n">
        <v>73</v>
      </c>
      <c r="J67" s="11" t="n">
        <v>29817.97</v>
      </c>
      <c r="K67" s="11" t="n">
        <v>67024.8</v>
      </c>
      <c r="L67" s="11" t="n">
        <v>17863.44</v>
      </c>
      <c r="O67" s="75" t="n">
        <v>73</v>
      </c>
      <c r="P67" s="11" t="n">
        <v>105092.6273472727</v>
      </c>
      <c r="Q67" s="11" t="n">
        <v>0</v>
      </c>
      <c r="R67" s="11" t="n">
        <v>0</v>
      </c>
      <c r="U67" s="75" t="n">
        <v>73</v>
      </c>
      <c r="V67" s="3">
        <f>J67-P67+D67</f>
        <v/>
      </c>
      <c r="W67" s="3">
        <f>K67-Q67+E67</f>
        <v/>
      </c>
      <c r="X67" s="3">
        <f>L67-R67+F67</f>
        <v/>
      </c>
      <c r="AA67" s="75" t="n">
        <v>73</v>
      </c>
      <c r="AB67" s="2">
        <f>IF(Demand!AU86&gt;Retailers_Cap!N69,(V67/Retailers!P68)/(Demand!AU86-Retailers_Cap!N69),"Inesgotável")</f>
        <v/>
      </c>
      <c r="AC67" s="2">
        <f>IF(Demand!AV86&gt;Retailers_Cap!O69,(W67/Retailers!Q68)/(Demand!AV86-Retailers_Cap!O69),"Inesgotável")</f>
        <v/>
      </c>
      <c r="AD67" s="2">
        <f>IF(Demand!AW86&gt;Retailers_Cap!P69,(X67/Retailers!R68)/(Demand!AW86-Retailers_Cap!P69),"Inesgotável")</f>
        <v/>
      </c>
      <c r="AG67" s="75" t="n">
        <v>73</v>
      </c>
      <c r="AH67" s="75">
        <f>Retailers!AJ68</f>
        <v/>
      </c>
      <c r="AI67" s="75">
        <f>Retailers!AK68</f>
        <v/>
      </c>
      <c r="AJ67" s="75">
        <f>Retailers!AL68</f>
        <v/>
      </c>
      <c r="AM67" s="75" t="n">
        <v>73</v>
      </c>
      <c r="AN67" s="2">
        <f>IF(P67&gt;0,IF(D67=0,"Big stock",AB67/AH67),"Inesgotável")</f>
        <v/>
      </c>
      <c r="AO67" s="2">
        <f>IF(Q67&gt;0,IF(E67=0,"Big stock",AC67/AI67),"Inesgotável")</f>
        <v/>
      </c>
      <c r="AP67" s="2">
        <f>IF(R67&gt;0,IF(F67=0,"Big stock",AD67/AJ67),"Inesgotável")</f>
        <v/>
      </c>
      <c r="AS67" s="75" t="n">
        <v>73</v>
      </c>
      <c r="AT67" s="2">
        <f>Retailers_Cap!BL69</f>
        <v/>
      </c>
      <c r="AU67" s="2">
        <f>Retailers_Cap!BM69</f>
        <v/>
      </c>
      <c r="AV67" s="2">
        <f>Retailers_Cap!BN69</f>
        <v/>
      </c>
      <c r="AY67" s="75" t="n">
        <v>73</v>
      </c>
      <c r="AZ67" s="2">
        <f>IF(D67=0,"no repl",AB67-AT67)</f>
        <v/>
      </c>
      <c r="BA67" s="2">
        <f>IF(E67=0,"no repl",AC67-AU67)</f>
        <v/>
      </c>
      <c r="BB67" s="2">
        <f>IF(F67=0,"no repl",AD67-AV67)</f>
        <v/>
      </c>
    </row>
    <row r="68">
      <c r="C68" s="75" t="n">
        <v>74</v>
      </c>
      <c r="D68" s="11" t="n">
        <v>0</v>
      </c>
      <c r="E68" s="11" t="n">
        <v>90241.76236150839</v>
      </c>
      <c r="F68" s="11" t="n">
        <v>276359.4570257853</v>
      </c>
      <c r="I68" s="75" t="n">
        <v>74</v>
      </c>
      <c r="J68" s="11" t="n">
        <v>23338.24</v>
      </c>
      <c r="K68" s="11" t="n">
        <v>42952.8</v>
      </c>
      <c r="L68" s="11" t="n">
        <v>33008.52</v>
      </c>
      <c r="O68" s="75" t="n">
        <v>74</v>
      </c>
      <c r="P68" s="11" t="n">
        <v>0</v>
      </c>
      <c r="Q68" s="11" t="n">
        <v>54359.63927298508</v>
      </c>
      <c r="R68" s="11" t="n">
        <v>180079.6729902923</v>
      </c>
      <c r="U68" s="75" t="n">
        <v>74</v>
      </c>
      <c r="V68" s="3">
        <f>J68-P68+D68</f>
        <v/>
      </c>
      <c r="W68" s="3">
        <f>K68-Q68+E68</f>
        <v/>
      </c>
      <c r="X68" s="3">
        <f>L68-R68+F68</f>
        <v/>
      </c>
      <c r="AA68" s="75" t="n">
        <v>74</v>
      </c>
      <c r="AB68" s="2">
        <f>IF(Demand!AU87&gt;Retailers_Cap!N70,(V68/Retailers!P69)/(Demand!AU87-Retailers_Cap!N70),"Inesgotável")</f>
        <v/>
      </c>
      <c r="AC68" s="2">
        <f>IF(Demand!AV87&gt;Retailers_Cap!O70,(W68/Retailers!Q69)/(Demand!AV87-Retailers_Cap!O70),"Inesgotável")</f>
        <v/>
      </c>
      <c r="AD68" s="2">
        <f>IF(Demand!AW87&gt;Retailers_Cap!P70,(X68/Retailers!R69)/(Demand!AW87-Retailers_Cap!P70),"Inesgotável")</f>
        <v/>
      </c>
      <c r="AG68" s="75" t="n">
        <v>74</v>
      </c>
      <c r="AH68" s="75">
        <f>Retailers!AJ69</f>
        <v/>
      </c>
      <c r="AI68" s="75">
        <f>Retailers!AK69</f>
        <v/>
      </c>
      <c r="AJ68" s="75">
        <f>Retailers!AL69</f>
        <v/>
      </c>
      <c r="AM68" s="75" t="n">
        <v>74</v>
      </c>
      <c r="AN68" s="2">
        <f>IF(P68&gt;0,IF(D68=0,"Big stock",AB68/AH68),"Inesgotável")</f>
        <v/>
      </c>
      <c r="AO68" s="2">
        <f>IF(Q68&gt;0,IF(E68=0,"Big stock",AC68/AI68),"Inesgotável")</f>
        <v/>
      </c>
      <c r="AP68" s="2">
        <f>IF(R68&gt;0,IF(F68=0,"Big stock",AD68/AJ68),"Inesgotável")</f>
        <v/>
      </c>
      <c r="AS68" s="75" t="n">
        <v>74</v>
      </c>
      <c r="AT68" s="2">
        <f>Retailers_Cap!BL70</f>
        <v/>
      </c>
      <c r="AU68" s="2">
        <f>Retailers_Cap!BM70</f>
        <v/>
      </c>
      <c r="AV68" s="2">
        <f>Retailers_Cap!BN70</f>
        <v/>
      </c>
      <c r="AY68" s="75" t="n">
        <v>74</v>
      </c>
      <c r="AZ68" s="2">
        <f>IF(D68=0,"no repl",AB68-AT68)</f>
        <v/>
      </c>
      <c r="BA68" s="2">
        <f>IF(E68=0,"no repl",AC68-AU68)</f>
        <v/>
      </c>
      <c r="BB68" s="2">
        <f>IF(F68=0,"no repl",AD68-AV68)</f>
        <v/>
      </c>
    </row>
    <row r="69">
      <c r="C69" s="75" t="n">
        <v>75</v>
      </c>
      <c r="D69" s="11" t="n">
        <v>57060.36056293226</v>
      </c>
      <c r="E69" s="11" t="n">
        <v>0</v>
      </c>
      <c r="F69" s="11" t="n">
        <v>277146.2974247444</v>
      </c>
      <c r="I69" s="75" t="n">
        <v>75</v>
      </c>
      <c r="J69" s="11" t="n">
        <v>18090</v>
      </c>
      <c r="K69" s="11" t="n">
        <v>21413.67</v>
      </c>
      <c r="L69" s="11" t="n">
        <v>10116.75</v>
      </c>
      <c r="O69" s="75" t="n">
        <v>75</v>
      </c>
      <c r="P69" s="11" t="n">
        <v>33932.91437994264</v>
      </c>
      <c r="Q69" s="11" t="n">
        <v>0</v>
      </c>
      <c r="R69" s="11" t="n">
        <v>182544.8067406948</v>
      </c>
      <c r="U69" s="75" t="n">
        <v>75</v>
      </c>
      <c r="V69" s="3">
        <f>J69-P69+D69</f>
        <v/>
      </c>
      <c r="W69" s="3">
        <f>K69-Q69+E69</f>
        <v/>
      </c>
      <c r="X69" s="3">
        <f>L69-R69+F69</f>
        <v/>
      </c>
      <c r="AA69" s="75" t="n">
        <v>75</v>
      </c>
      <c r="AB69" s="2">
        <f>IF(Demand!AU88&gt;Retailers_Cap!N71,(V69/Retailers!P70)/(Demand!AU88-Retailers_Cap!N71),"Inesgotável")</f>
        <v/>
      </c>
      <c r="AC69" s="2">
        <f>IF(Demand!AV88&gt;Retailers_Cap!O71,(W69/Retailers!Q70)/(Demand!AV88-Retailers_Cap!O71),"Inesgotável")</f>
        <v/>
      </c>
      <c r="AD69" s="2">
        <f>IF(Demand!AW88&gt;Retailers_Cap!P71,(X69/Retailers!R70)/(Demand!AW88-Retailers_Cap!P71),"Inesgotável")</f>
        <v/>
      </c>
      <c r="AG69" s="75" t="n">
        <v>75</v>
      </c>
      <c r="AH69" s="75">
        <f>Retailers!AJ70</f>
        <v/>
      </c>
      <c r="AI69" s="75">
        <f>Retailers!AK70</f>
        <v/>
      </c>
      <c r="AJ69" s="75">
        <f>Retailers!AL70</f>
        <v/>
      </c>
      <c r="AM69" s="75" t="n">
        <v>75</v>
      </c>
      <c r="AN69" s="2">
        <f>IF(P69&gt;0,IF(D69=0,"Big stock",AB69/AH69),"Inesgotável")</f>
        <v/>
      </c>
      <c r="AO69" s="2">
        <f>IF(Q69&gt;0,IF(E69=0,"Big stock",AC69/AI69),"Inesgotável")</f>
        <v/>
      </c>
      <c r="AP69" s="2">
        <f>IF(R69&gt;0,IF(F69=0,"Big stock",AD69/AJ69),"Inesgotável")</f>
        <v/>
      </c>
      <c r="AS69" s="75" t="n">
        <v>75</v>
      </c>
      <c r="AT69" s="2">
        <f>Retailers_Cap!BL71</f>
        <v/>
      </c>
      <c r="AU69" s="2">
        <f>Retailers_Cap!BM71</f>
        <v/>
      </c>
      <c r="AV69" s="2">
        <f>Retailers_Cap!BN71</f>
        <v/>
      </c>
      <c r="AY69" s="75" t="n">
        <v>75</v>
      </c>
      <c r="AZ69" s="2">
        <f>IF(D69=0,"no repl",AB69-AT69)</f>
        <v/>
      </c>
      <c r="BA69" s="2">
        <f>IF(E69=0,"no repl",AC69-AU69)</f>
        <v/>
      </c>
      <c r="BB69" s="2">
        <f>IF(F69=0,"no repl",AD69-AV69)</f>
        <v/>
      </c>
    </row>
    <row r="70">
      <c r="C70" s="75" t="n">
        <v>76</v>
      </c>
      <c r="D70" s="11" t="n">
        <v>36367.7813429848</v>
      </c>
      <c r="E70" s="11" t="n">
        <v>0</v>
      </c>
      <c r="F70" s="11" t="n">
        <v>1015130.061779262</v>
      </c>
      <c r="I70" s="75" t="n">
        <v>76</v>
      </c>
      <c r="J70" s="11" t="n">
        <v>38687.08</v>
      </c>
      <c r="K70" s="11" t="n">
        <v>4076.1</v>
      </c>
      <c r="L70" s="11" t="n">
        <v>62188.01</v>
      </c>
      <c r="O70" s="75" t="n">
        <v>76</v>
      </c>
      <c r="P70" s="11" t="n">
        <v>22402.00137093831</v>
      </c>
      <c r="Q70" s="11" t="n">
        <v>0</v>
      </c>
      <c r="R70" s="11" t="n">
        <v>634233.2989133688</v>
      </c>
      <c r="U70" s="75" t="n">
        <v>76</v>
      </c>
      <c r="V70" s="3">
        <f>J70-P70+D70</f>
        <v/>
      </c>
      <c r="W70" s="3">
        <f>K70-Q70+E70</f>
        <v/>
      </c>
      <c r="X70" s="3">
        <f>L70-R70+F70</f>
        <v/>
      </c>
      <c r="AA70" s="75" t="n">
        <v>76</v>
      </c>
      <c r="AB70" s="2">
        <f>IF(Demand!AU89&gt;Retailers_Cap!N72,(V70/Retailers!P71)/(Demand!AU89-Retailers_Cap!N72),"Inesgotável")</f>
        <v/>
      </c>
      <c r="AC70" s="2">
        <f>IF(Demand!AV89&gt;Retailers_Cap!O72,(W70/Retailers!Q71)/(Demand!AV89-Retailers_Cap!O72),"Inesgotável")</f>
        <v/>
      </c>
      <c r="AD70" s="2">
        <f>IF(Demand!AW89&gt;Retailers_Cap!P72,(X70/Retailers!R71)/(Demand!AW89-Retailers_Cap!P72),"Inesgotável")</f>
        <v/>
      </c>
      <c r="AG70" s="75" t="n">
        <v>76</v>
      </c>
      <c r="AH70" s="75">
        <f>Retailers!AJ71</f>
        <v/>
      </c>
      <c r="AI70" s="75">
        <f>Retailers!AK71</f>
        <v/>
      </c>
      <c r="AJ70" s="75">
        <f>Retailers!AL71</f>
        <v/>
      </c>
      <c r="AM70" s="75" t="n">
        <v>76</v>
      </c>
      <c r="AN70" s="2">
        <f>IF(P70&gt;0,IF(D70=0,"Big stock",AB70/AH70),"Inesgotável")</f>
        <v/>
      </c>
      <c r="AO70" s="2">
        <f>IF(Q70&gt;0,IF(E70=0,"Big stock",AC70/AI70),"Inesgotável")</f>
        <v/>
      </c>
      <c r="AP70" s="2">
        <f>IF(R70&gt;0,IF(F70=0,"Big stock",AD70/AJ70),"Inesgotável")</f>
        <v/>
      </c>
      <c r="AS70" s="75" t="n">
        <v>76</v>
      </c>
      <c r="AT70" s="2">
        <f>Retailers_Cap!BL72</f>
        <v/>
      </c>
      <c r="AU70" s="2">
        <f>Retailers_Cap!BM72</f>
        <v/>
      </c>
      <c r="AV70" s="2">
        <f>Retailers_Cap!BN72</f>
        <v/>
      </c>
      <c r="AY70" s="75" t="n">
        <v>76</v>
      </c>
      <c r="AZ70" s="2">
        <f>IF(D70=0,"no repl",AB70-AT70)</f>
        <v/>
      </c>
      <c r="BA70" s="2">
        <f>IF(E70=0,"no repl",AC70-AU70)</f>
        <v/>
      </c>
      <c r="BB70" s="2">
        <f>IF(F70=0,"no repl",AD70-AV70)</f>
        <v/>
      </c>
    </row>
    <row r="71">
      <c r="C71" s="75" t="n">
        <v>77</v>
      </c>
      <c r="D71" s="11" t="n">
        <v>0</v>
      </c>
      <c r="E71" s="11" t="n">
        <v>0</v>
      </c>
      <c r="F71" s="11" t="n">
        <v>0</v>
      </c>
      <c r="I71" s="75" t="n">
        <v>77</v>
      </c>
      <c r="J71" s="11" t="n">
        <v>130234.45</v>
      </c>
      <c r="K71" s="11" t="n">
        <v>62984.35</v>
      </c>
      <c r="L71" s="11" t="n">
        <v>33255.6</v>
      </c>
      <c r="O71" s="75" t="n">
        <v>77</v>
      </c>
      <c r="P71" s="11" t="n">
        <v>0</v>
      </c>
      <c r="Q71" s="11" t="n">
        <v>26316.68181781874</v>
      </c>
      <c r="R71" s="11" t="n">
        <v>0</v>
      </c>
      <c r="U71" s="75" t="n">
        <v>77</v>
      </c>
      <c r="V71" s="3">
        <f>J71-P71+D71</f>
        <v/>
      </c>
      <c r="W71" s="3">
        <f>K71-Q71+E71</f>
        <v/>
      </c>
      <c r="X71" s="3">
        <f>L71-R71+F71</f>
        <v/>
      </c>
      <c r="AA71" s="75" t="n">
        <v>77</v>
      </c>
      <c r="AB71" s="2">
        <f>IF(Demand!AU90&gt;Retailers_Cap!N73,(V71/Retailers!P72)/(Demand!AU90-Retailers_Cap!N73),"Inesgotável")</f>
        <v/>
      </c>
      <c r="AC71" s="2">
        <f>IF(Demand!AV90&gt;Retailers_Cap!O73,(W71/Retailers!Q72)/(Demand!AV90-Retailers_Cap!O73),"Inesgotável")</f>
        <v/>
      </c>
      <c r="AD71" s="2">
        <f>IF(Demand!AW90&gt;Retailers_Cap!P73,(X71/Retailers!R72)/(Demand!AW90-Retailers_Cap!P73),"Inesgotável")</f>
        <v/>
      </c>
      <c r="AG71" s="75" t="n">
        <v>77</v>
      </c>
      <c r="AH71" s="75">
        <f>Retailers!AJ72</f>
        <v/>
      </c>
      <c r="AI71" s="75">
        <f>Retailers!AK72</f>
        <v/>
      </c>
      <c r="AJ71" s="75">
        <f>Retailers!AL72</f>
        <v/>
      </c>
      <c r="AM71" s="75" t="n">
        <v>77</v>
      </c>
      <c r="AN71" s="2">
        <f>IF(P71&gt;0,IF(D71=0,"Big stock",AB71/AH71),"Inesgotável")</f>
        <v/>
      </c>
      <c r="AO71" s="2">
        <f>IF(Q71&gt;0,IF(E71=0,"Big stock",AC71/AI71),"Inesgotável")</f>
        <v/>
      </c>
      <c r="AP71" s="2">
        <f>IF(R71&gt;0,IF(F71=0,"Big stock",AD71/AJ71),"Inesgotável")</f>
        <v/>
      </c>
      <c r="AS71" s="75" t="n">
        <v>77</v>
      </c>
      <c r="AT71" s="2">
        <f>Retailers_Cap!BL73</f>
        <v/>
      </c>
      <c r="AU71" s="2">
        <f>Retailers_Cap!BM73</f>
        <v/>
      </c>
      <c r="AV71" s="2">
        <f>Retailers_Cap!BN73</f>
        <v/>
      </c>
      <c r="AY71" s="75" t="n">
        <v>77</v>
      </c>
      <c r="AZ71" s="2">
        <f>IF(D71=0,"no repl",AB71-AT71)</f>
        <v/>
      </c>
      <c r="BA71" s="2">
        <f>IF(E71=0,"no repl",AC71-AU71)</f>
        <v/>
      </c>
      <c r="BB71" s="2">
        <f>IF(F71=0,"no repl",AD71-AV71)</f>
        <v/>
      </c>
    </row>
    <row r="72">
      <c r="C72" s="75" t="n">
        <v>78</v>
      </c>
      <c r="D72" s="11" t="n">
        <v>0</v>
      </c>
      <c r="E72" s="11" t="n">
        <v>342306.6692217094</v>
      </c>
      <c r="F72" s="11" t="n">
        <v>100009.6646218242</v>
      </c>
      <c r="I72" s="75" t="n">
        <v>78</v>
      </c>
      <c r="J72" s="11" t="n">
        <v>28127.55</v>
      </c>
      <c r="K72" s="11" t="n">
        <v>34124.1</v>
      </c>
      <c r="L72" s="11" t="n">
        <v>29643.14</v>
      </c>
      <c r="O72" s="75" t="n">
        <v>78</v>
      </c>
      <c r="P72" s="11" t="n">
        <v>0</v>
      </c>
      <c r="Q72" s="11" t="n">
        <v>204327.5528658181</v>
      </c>
      <c r="R72" s="11" t="n">
        <v>65340.50515329918</v>
      </c>
      <c r="U72" s="75" t="n">
        <v>78</v>
      </c>
      <c r="V72" s="3">
        <f>J72-P72+D72</f>
        <v/>
      </c>
      <c r="W72" s="3">
        <f>K72-Q72+E72</f>
        <v/>
      </c>
      <c r="X72" s="3">
        <f>L72-R72+F72</f>
        <v/>
      </c>
      <c r="AA72" s="75" t="n">
        <v>78</v>
      </c>
      <c r="AB72" s="2">
        <f>IF(Demand!AU91&gt;Retailers_Cap!N74,(V72/Retailers!P73)/(Demand!AU91-Retailers_Cap!N74),"Inesgotável")</f>
        <v/>
      </c>
      <c r="AC72" s="2">
        <f>IF(Demand!AV91&gt;Retailers_Cap!O74,(W72/Retailers!Q73)/(Demand!AV91-Retailers_Cap!O74),"Inesgotável")</f>
        <v/>
      </c>
      <c r="AD72" s="2">
        <f>IF(Demand!AW91&gt;Retailers_Cap!P74,(X72/Retailers!R73)/(Demand!AW91-Retailers_Cap!P74),"Inesgotável")</f>
        <v/>
      </c>
      <c r="AG72" s="75" t="n">
        <v>78</v>
      </c>
      <c r="AH72" s="75">
        <f>Retailers!AJ73</f>
        <v/>
      </c>
      <c r="AI72" s="75">
        <f>Retailers!AK73</f>
        <v/>
      </c>
      <c r="AJ72" s="75">
        <f>Retailers!AL73</f>
        <v/>
      </c>
      <c r="AM72" s="75" t="n">
        <v>78</v>
      </c>
      <c r="AN72" s="2">
        <f>IF(P72&gt;0,IF(D72=0,"Big stock",AB72/AH72),"Inesgotável")</f>
        <v/>
      </c>
      <c r="AO72" s="2">
        <f>IF(Q72&gt;0,IF(E72=0,"Big stock",AC72/AI72),"Inesgotável")</f>
        <v/>
      </c>
      <c r="AP72" s="2">
        <f>IF(R72&gt;0,IF(F72=0,"Big stock",AD72/AJ72),"Inesgotável")</f>
        <v/>
      </c>
      <c r="AS72" s="75" t="n">
        <v>78</v>
      </c>
      <c r="AT72" s="2">
        <f>Retailers_Cap!BL74</f>
        <v/>
      </c>
      <c r="AU72" s="2">
        <f>Retailers_Cap!BM74</f>
        <v/>
      </c>
      <c r="AV72" s="2">
        <f>Retailers_Cap!BN74</f>
        <v/>
      </c>
      <c r="AY72" s="75" t="n">
        <v>78</v>
      </c>
      <c r="AZ72" s="2">
        <f>IF(D72=0,"no repl",AB72-AT72)</f>
        <v/>
      </c>
      <c r="BA72" s="2">
        <f>IF(E72=0,"no repl",AC72-AU72)</f>
        <v/>
      </c>
      <c r="BB72" s="2">
        <f>IF(F72=0,"no repl",AD72-AV72)</f>
        <v/>
      </c>
    </row>
    <row r="73">
      <c r="C73" s="75" t="n">
        <v>79</v>
      </c>
      <c r="D73" s="11" t="n">
        <v>0</v>
      </c>
      <c r="E73" s="11" t="n">
        <v>231174.6200864296</v>
      </c>
      <c r="F73" s="11" t="n">
        <v>0</v>
      </c>
      <c r="I73" s="75" t="n">
        <v>79</v>
      </c>
      <c r="J73" s="11" t="n">
        <v>87318.42</v>
      </c>
      <c r="K73" s="11" t="n">
        <v>41928.3</v>
      </c>
      <c r="L73" s="11" t="n">
        <v>107362.35</v>
      </c>
      <c r="O73" s="75" t="n">
        <v>79</v>
      </c>
      <c r="P73" s="11" t="n">
        <v>0</v>
      </c>
      <c r="Q73" s="11" t="n">
        <v>137208.7554625503</v>
      </c>
      <c r="R73" s="11" t="n">
        <v>0</v>
      </c>
      <c r="U73" s="75" t="n">
        <v>79</v>
      </c>
      <c r="V73" s="3">
        <f>J73-P73+D73</f>
        <v/>
      </c>
      <c r="W73" s="3">
        <f>K73-Q73+E73</f>
        <v/>
      </c>
      <c r="X73" s="3">
        <f>L73-R73+F73</f>
        <v/>
      </c>
      <c r="AA73" s="75" t="n">
        <v>79</v>
      </c>
      <c r="AB73" s="2">
        <f>IF(Demand!AU92&gt;Retailers_Cap!N75,(V73/Retailers!P74)/(Demand!AU92-Retailers_Cap!N75),"Inesgotável")</f>
        <v/>
      </c>
      <c r="AC73" s="2">
        <f>IF(Demand!AV92&gt;Retailers_Cap!O75,(W73/Retailers!Q74)/(Demand!AV92-Retailers_Cap!O75),"Inesgotável")</f>
        <v/>
      </c>
      <c r="AD73" s="2">
        <f>IF(Demand!AW92&gt;Retailers_Cap!P75,(X73/Retailers!R74)/(Demand!AW92-Retailers_Cap!P75),"Inesgotável")</f>
        <v/>
      </c>
      <c r="AG73" s="75" t="n">
        <v>79</v>
      </c>
      <c r="AH73" s="75">
        <f>Retailers!AJ74</f>
        <v/>
      </c>
      <c r="AI73" s="75">
        <f>Retailers!AK74</f>
        <v/>
      </c>
      <c r="AJ73" s="75">
        <f>Retailers!AL74</f>
        <v/>
      </c>
      <c r="AM73" s="75" t="n">
        <v>79</v>
      </c>
      <c r="AN73" s="2">
        <f>IF(P73&gt;0,IF(D73=0,"Big stock",AB73/AH73),"Inesgotável")</f>
        <v/>
      </c>
      <c r="AO73" s="2">
        <f>IF(Q73&gt;0,IF(E73=0,"Big stock",AC73/AI73),"Inesgotável")</f>
        <v/>
      </c>
      <c r="AP73" s="2">
        <f>IF(R73&gt;0,IF(F73=0,"Big stock",AD73/AJ73),"Inesgotável")</f>
        <v/>
      </c>
      <c r="AS73" s="75" t="n">
        <v>79</v>
      </c>
      <c r="AT73" s="2">
        <f>Retailers_Cap!BL75</f>
        <v/>
      </c>
      <c r="AU73" s="2">
        <f>Retailers_Cap!BM75</f>
        <v/>
      </c>
      <c r="AV73" s="2">
        <f>Retailers_Cap!BN75</f>
        <v/>
      </c>
      <c r="AY73" s="75" t="n">
        <v>79</v>
      </c>
      <c r="AZ73" s="2">
        <f>IF(D73=0,"no repl",AB73-AT73)</f>
        <v/>
      </c>
      <c r="BA73" s="2">
        <f>IF(E73=0,"no repl",AC73-AU73)</f>
        <v/>
      </c>
      <c r="BB73" s="2">
        <f>IF(F73=0,"no repl",AD73-AV73)</f>
        <v/>
      </c>
    </row>
    <row r="74">
      <c r="C74" s="75" t="n">
        <v>80</v>
      </c>
      <c r="D74" s="11" t="n">
        <v>0</v>
      </c>
      <c r="E74" s="11" t="n">
        <v>0</v>
      </c>
      <c r="F74" s="11" t="n">
        <v>222287.6453324261</v>
      </c>
      <c r="I74" s="75" t="n">
        <v>80</v>
      </c>
      <c r="J74" s="11" t="n">
        <v>49843.07999999999</v>
      </c>
      <c r="K74" s="11" t="n">
        <v>50927.58</v>
      </c>
      <c r="L74" s="11" t="n">
        <v>38262.77</v>
      </c>
      <c r="O74" s="75" t="n">
        <v>80</v>
      </c>
      <c r="P74" s="11" t="n">
        <v>0</v>
      </c>
      <c r="Q74" s="11" t="n">
        <v>0</v>
      </c>
      <c r="R74" s="11" t="n">
        <v>128542.1303931724</v>
      </c>
      <c r="U74" s="75" t="n">
        <v>80</v>
      </c>
      <c r="V74" s="3">
        <f>J74-P74+D74</f>
        <v/>
      </c>
      <c r="W74" s="3">
        <f>K74-Q74+E74</f>
        <v/>
      </c>
      <c r="X74" s="3">
        <f>L74-R74+F74</f>
        <v/>
      </c>
      <c r="AA74" s="75" t="n">
        <v>80</v>
      </c>
      <c r="AB74" s="2">
        <f>IF(Demand!AU93&gt;Retailers_Cap!N76,(V74/Retailers!P75)/(Demand!AU93-Retailers_Cap!N76),"Inesgotável")</f>
        <v/>
      </c>
      <c r="AC74" s="2">
        <f>IF(Demand!AV93&gt;Retailers_Cap!O76,(W74/Retailers!Q75)/(Demand!AV93-Retailers_Cap!O76),"Inesgotável")</f>
        <v/>
      </c>
      <c r="AD74" s="2">
        <f>IF(Demand!AW93&gt;Retailers_Cap!P76,(X74/Retailers!R75)/(Demand!AW93-Retailers_Cap!P76),"Inesgotável")</f>
        <v/>
      </c>
      <c r="AG74" s="75" t="n">
        <v>80</v>
      </c>
      <c r="AH74" s="75">
        <f>Retailers!AJ75</f>
        <v/>
      </c>
      <c r="AI74" s="75">
        <f>Retailers!AK75</f>
        <v/>
      </c>
      <c r="AJ74" s="75">
        <f>Retailers!AL75</f>
        <v/>
      </c>
      <c r="AM74" s="75" t="n">
        <v>80</v>
      </c>
      <c r="AN74" s="2">
        <f>IF(P74&gt;0,IF(D74=0,"Big stock",AB74/AH74),"Inesgotável")</f>
        <v/>
      </c>
      <c r="AO74" s="2">
        <f>IF(Q74&gt;0,IF(E74=0,"Big stock",AC74/AI74),"Inesgotável")</f>
        <v/>
      </c>
      <c r="AP74" s="2">
        <f>IF(R74&gt;0,IF(F74=0,"Big stock",AD74/AJ74),"Inesgotável")</f>
        <v/>
      </c>
      <c r="AS74" s="75" t="n">
        <v>80</v>
      </c>
      <c r="AT74" s="2">
        <f>Retailers_Cap!BL76</f>
        <v/>
      </c>
      <c r="AU74" s="2">
        <f>Retailers_Cap!BM76</f>
        <v/>
      </c>
      <c r="AV74" s="2">
        <f>Retailers_Cap!BN76</f>
        <v/>
      </c>
      <c r="AY74" s="75" t="n">
        <v>80</v>
      </c>
      <c r="AZ74" s="2">
        <f>IF(D74=0,"no repl",AB74-AT74)</f>
        <v/>
      </c>
      <c r="BA74" s="2">
        <f>IF(E74=0,"no repl",AC74-AU74)</f>
        <v/>
      </c>
      <c r="BB74" s="2">
        <f>IF(F74=0,"no repl",AD74-AV74)</f>
        <v/>
      </c>
    </row>
    <row r="75">
      <c r="C75" s="75" t="n">
        <v>81</v>
      </c>
      <c r="D75" s="11" t="n">
        <v>0</v>
      </c>
      <c r="E75" s="11" t="n">
        <v>0</v>
      </c>
      <c r="F75" s="11" t="n">
        <v>0</v>
      </c>
      <c r="I75" s="75" t="n">
        <v>81</v>
      </c>
      <c r="J75" s="11" t="n">
        <v>192243.24</v>
      </c>
      <c r="K75" s="11" t="n">
        <v>87729.17999999999</v>
      </c>
      <c r="L75" s="11" t="n">
        <v>92663.77</v>
      </c>
      <c r="O75" s="75" t="n">
        <v>81</v>
      </c>
      <c r="P75" s="11" t="n">
        <v>0</v>
      </c>
      <c r="Q75" s="11" t="n">
        <v>0</v>
      </c>
      <c r="R75" s="11" t="n">
        <v>18281.19281906073</v>
      </c>
      <c r="U75" s="75" t="n">
        <v>81</v>
      </c>
      <c r="V75" s="3">
        <f>J75-P75+D75</f>
        <v/>
      </c>
      <c r="W75" s="3">
        <f>K75-Q75+E75</f>
        <v/>
      </c>
      <c r="X75" s="3">
        <f>L75-R75+F75</f>
        <v/>
      </c>
      <c r="AA75" s="75" t="n">
        <v>81</v>
      </c>
      <c r="AB75" s="2">
        <f>IF(Demand!AU94&gt;Retailers_Cap!N77,(V75/Retailers!P76)/(Demand!AU94-Retailers_Cap!N77),"Inesgotável")</f>
        <v/>
      </c>
      <c r="AC75" s="2">
        <f>IF(Demand!AV94&gt;Retailers_Cap!O77,(W75/Retailers!Q76)/(Demand!AV94-Retailers_Cap!O77),"Inesgotável")</f>
        <v/>
      </c>
      <c r="AD75" s="2">
        <f>IF(Demand!AW94&gt;Retailers_Cap!P77,(X75/Retailers!R76)/(Demand!AW94-Retailers_Cap!P77),"Inesgotável")</f>
        <v/>
      </c>
      <c r="AG75" s="75" t="n">
        <v>81</v>
      </c>
      <c r="AH75" s="75">
        <f>Retailers!AJ76</f>
        <v/>
      </c>
      <c r="AI75" s="75">
        <f>Retailers!AK76</f>
        <v/>
      </c>
      <c r="AJ75" s="75">
        <f>Retailers!AL76</f>
        <v/>
      </c>
      <c r="AM75" s="75" t="n">
        <v>81</v>
      </c>
      <c r="AN75" s="2">
        <f>IF(P75&gt;0,IF(D75=0,"Big stock",AB75/AH75),"Inesgotável")</f>
        <v/>
      </c>
      <c r="AO75" s="2">
        <f>IF(Q75&gt;0,IF(E75=0,"Big stock",AC75/AI75),"Inesgotável")</f>
        <v/>
      </c>
      <c r="AP75" s="2">
        <f>IF(R75&gt;0,IF(F75=0,"Big stock",AD75/AJ75),"Inesgotável")</f>
        <v/>
      </c>
      <c r="AS75" s="75" t="n">
        <v>81</v>
      </c>
      <c r="AT75" s="2">
        <f>Retailers_Cap!BL77</f>
        <v/>
      </c>
      <c r="AU75" s="2">
        <f>Retailers_Cap!BM77</f>
        <v/>
      </c>
      <c r="AV75" s="2">
        <f>Retailers_Cap!BN77</f>
        <v/>
      </c>
      <c r="AY75" s="75" t="n">
        <v>81</v>
      </c>
      <c r="AZ75" s="2">
        <f>IF(D75=0,"no repl",AB75-AT75)</f>
        <v/>
      </c>
      <c r="BA75" s="2">
        <f>IF(E75=0,"no repl",AC75-AU75)</f>
        <v/>
      </c>
      <c r="BB75" s="2">
        <f>IF(F75=0,"no repl",AD75-AV75)</f>
        <v/>
      </c>
    </row>
    <row r="76">
      <c r="C76" s="75" t="n">
        <v>82</v>
      </c>
      <c r="D76" s="11" t="n">
        <v>0</v>
      </c>
      <c r="E76" s="11" t="n">
        <v>0</v>
      </c>
      <c r="F76" s="11" t="n">
        <v>0</v>
      </c>
      <c r="I76" s="75" t="n">
        <v>82</v>
      </c>
      <c r="J76" s="11" t="n">
        <v>41007.89</v>
      </c>
      <c r="K76" s="11" t="n">
        <v>35587.08</v>
      </c>
      <c r="L76" s="11" t="n">
        <v>15998.25</v>
      </c>
      <c r="O76" s="75" t="n">
        <v>82</v>
      </c>
      <c r="P76" s="11" t="n">
        <v>0</v>
      </c>
      <c r="Q76" s="11" t="n">
        <v>0</v>
      </c>
      <c r="R76" s="11" t="n">
        <v>0</v>
      </c>
      <c r="U76" s="75" t="n">
        <v>82</v>
      </c>
      <c r="V76" s="3">
        <f>J76-P76+D76</f>
        <v/>
      </c>
      <c r="W76" s="3">
        <f>K76-Q76+E76</f>
        <v/>
      </c>
      <c r="X76" s="3">
        <f>L76-R76+F76</f>
        <v/>
      </c>
      <c r="AA76" s="75" t="n">
        <v>82</v>
      </c>
      <c r="AB76" s="2">
        <f>IF(Demand!AU95&gt;Retailers_Cap!N78,(V76/Retailers!P77)/(Demand!AU95-Retailers_Cap!N78),"Inesgotável")</f>
        <v/>
      </c>
      <c r="AC76" s="2">
        <f>IF(Demand!AV95&gt;Retailers_Cap!O78,(W76/Retailers!Q77)/(Demand!AV95-Retailers_Cap!O78),"Inesgotável")</f>
        <v/>
      </c>
      <c r="AD76" s="2">
        <f>IF(Demand!AW95&gt;Retailers_Cap!P78,(X76/Retailers!R77)/(Demand!AW95-Retailers_Cap!P78),"Inesgotável")</f>
        <v/>
      </c>
      <c r="AG76" s="75" t="n">
        <v>82</v>
      </c>
      <c r="AH76" s="75">
        <f>Retailers!AJ77</f>
        <v/>
      </c>
      <c r="AI76" s="75">
        <f>Retailers!AK77</f>
        <v/>
      </c>
      <c r="AJ76" s="75">
        <f>Retailers!AL77</f>
        <v/>
      </c>
      <c r="AM76" s="75" t="n">
        <v>82</v>
      </c>
      <c r="AN76" s="2">
        <f>IF(P76&gt;0,IF(D76=0,"Big stock",AB76/AH76),"Inesgotável")</f>
        <v/>
      </c>
      <c r="AO76" s="2">
        <f>IF(Q76&gt;0,IF(E76=0,"Big stock",AC76/AI76),"Inesgotável")</f>
        <v/>
      </c>
      <c r="AP76" s="2">
        <f>IF(R76&gt;0,IF(F76=0,"Big stock",AD76/AJ76),"Inesgotável")</f>
        <v/>
      </c>
      <c r="AS76" s="75" t="n">
        <v>82</v>
      </c>
      <c r="AT76" s="2">
        <f>Retailers_Cap!BL78</f>
        <v/>
      </c>
      <c r="AU76" s="2">
        <f>Retailers_Cap!BM78</f>
        <v/>
      </c>
      <c r="AV76" s="2">
        <f>Retailers_Cap!BN78</f>
        <v/>
      </c>
      <c r="AY76" s="75" t="n">
        <v>82</v>
      </c>
      <c r="AZ76" s="2">
        <f>IF(D76=0,"no repl",AB76-AT76)</f>
        <v/>
      </c>
      <c r="BA76" s="2">
        <f>IF(E76=0,"no repl",AC76-AU76)</f>
        <v/>
      </c>
      <c r="BB76" s="2">
        <f>IF(F76=0,"no repl",AD76-AV76)</f>
        <v/>
      </c>
    </row>
    <row r="77">
      <c r="C77" s="75" t="n">
        <v>83</v>
      </c>
      <c r="D77" s="11" t="n">
        <v>149128.1248143724</v>
      </c>
      <c r="E77" s="11" t="n">
        <v>0</v>
      </c>
      <c r="F77" s="11" t="n">
        <v>0</v>
      </c>
      <c r="I77" s="75" t="n">
        <v>83</v>
      </c>
      <c r="J77" s="11" t="n">
        <v>85127.23999999999</v>
      </c>
      <c r="K77" s="11" t="n">
        <v>43406.95</v>
      </c>
      <c r="L77" s="11" t="n">
        <v>9744.84</v>
      </c>
      <c r="O77" s="75" t="n">
        <v>83</v>
      </c>
      <c r="P77" s="11" t="n">
        <v>90028.23586520145</v>
      </c>
      <c r="Q77" s="11" t="n">
        <v>0</v>
      </c>
      <c r="R77" s="11" t="n">
        <v>0</v>
      </c>
      <c r="U77" s="75" t="n">
        <v>83</v>
      </c>
      <c r="V77" s="3">
        <f>J77-P77+D77</f>
        <v/>
      </c>
      <c r="W77" s="3">
        <f>K77-Q77+E77</f>
        <v/>
      </c>
      <c r="X77" s="3">
        <f>L77-R77+F77</f>
        <v/>
      </c>
      <c r="AA77" s="75" t="n">
        <v>83</v>
      </c>
      <c r="AB77" s="2">
        <f>IF(Demand!AU96&gt;Retailers_Cap!N79,(V77/Retailers!P78)/(Demand!AU96-Retailers_Cap!N79),"Inesgotável")</f>
        <v/>
      </c>
      <c r="AC77" s="2">
        <f>IF(Demand!AV96&gt;Retailers_Cap!O79,(W77/Retailers!Q78)/(Demand!AV96-Retailers_Cap!O79),"Inesgotável")</f>
        <v/>
      </c>
      <c r="AD77" s="2">
        <f>IF(Demand!AW96&gt;Retailers_Cap!P79,(X77/Retailers!R78)/(Demand!AW96-Retailers_Cap!P79),"Inesgotável")</f>
        <v/>
      </c>
      <c r="AG77" s="75" t="n">
        <v>83</v>
      </c>
      <c r="AH77" s="75">
        <f>Retailers!AJ78</f>
        <v/>
      </c>
      <c r="AI77" s="75">
        <f>Retailers!AK78</f>
        <v/>
      </c>
      <c r="AJ77" s="75">
        <f>Retailers!AL78</f>
        <v/>
      </c>
      <c r="AM77" s="75" t="n">
        <v>83</v>
      </c>
      <c r="AN77" s="2">
        <f>IF(P77&gt;0,IF(D77=0,"Big stock",AB77/AH77),"Inesgotável")</f>
        <v/>
      </c>
      <c r="AO77" s="2">
        <f>IF(Q77&gt;0,IF(E77=0,"Big stock",AC77/AI77),"Inesgotável")</f>
        <v/>
      </c>
      <c r="AP77" s="2">
        <f>IF(R77&gt;0,IF(F77=0,"Big stock",AD77/AJ77),"Inesgotável")</f>
        <v/>
      </c>
      <c r="AS77" s="75" t="n">
        <v>83</v>
      </c>
      <c r="AT77" s="2">
        <f>Retailers_Cap!BL79</f>
        <v/>
      </c>
      <c r="AU77" s="2">
        <f>Retailers_Cap!BM79</f>
        <v/>
      </c>
      <c r="AV77" s="2">
        <f>Retailers_Cap!BN79</f>
        <v/>
      </c>
      <c r="AY77" s="75" t="n">
        <v>83</v>
      </c>
      <c r="AZ77" s="2">
        <f>IF(D77=0,"no repl",AB77-AT77)</f>
        <v/>
      </c>
      <c r="BA77" s="2">
        <f>IF(E77=0,"no repl",AC77-AU77)</f>
        <v/>
      </c>
      <c r="BB77" s="2">
        <f>IF(F77=0,"no repl",AD77-AV77)</f>
        <v/>
      </c>
    </row>
    <row r="78">
      <c r="C78" s="75" t="n">
        <v>84</v>
      </c>
      <c r="D78" s="11" t="n">
        <v>415965.7235867298</v>
      </c>
      <c r="E78" s="11" t="n">
        <v>26361.24687787456</v>
      </c>
      <c r="F78" s="11" t="n">
        <v>60377.40021764253</v>
      </c>
      <c r="I78" s="75" t="n">
        <v>84</v>
      </c>
      <c r="J78" s="11" t="n">
        <v>52875.72</v>
      </c>
      <c r="K78" s="11" t="n">
        <v>16206.05</v>
      </c>
      <c r="L78" s="11" t="n">
        <v>55689.89999999999</v>
      </c>
      <c r="O78" s="75" t="n">
        <v>84</v>
      </c>
      <c r="P78" s="11" t="n">
        <v>243370.7030154362</v>
      </c>
      <c r="Q78" s="11" t="n">
        <v>15173.16760043387</v>
      </c>
      <c r="R78" s="11" t="n">
        <v>35941.51250901035</v>
      </c>
      <c r="U78" s="75" t="n">
        <v>84</v>
      </c>
      <c r="V78" s="3">
        <f>J78-P78+D78</f>
        <v/>
      </c>
      <c r="W78" s="3">
        <f>K78-Q78+E78</f>
        <v/>
      </c>
      <c r="X78" s="3">
        <f>L78-R78+F78</f>
        <v/>
      </c>
      <c r="AA78" s="75" t="n">
        <v>84</v>
      </c>
      <c r="AB78" s="2">
        <f>IF(Demand!AU97&gt;Retailers_Cap!N80,(V78/Retailers!P79)/(Demand!AU97-Retailers_Cap!N80),"Inesgotável")</f>
        <v/>
      </c>
      <c r="AC78" s="2">
        <f>IF(Demand!AV97&gt;Retailers_Cap!O80,(W78/Retailers!Q79)/(Demand!AV97-Retailers_Cap!O80),"Inesgotável")</f>
        <v/>
      </c>
      <c r="AD78" s="2">
        <f>IF(Demand!AW97&gt;Retailers_Cap!P80,(X78/Retailers!R79)/(Demand!AW97-Retailers_Cap!P80),"Inesgotável")</f>
        <v/>
      </c>
      <c r="AG78" s="75" t="n">
        <v>84</v>
      </c>
      <c r="AH78" s="75">
        <f>Retailers!AJ79</f>
        <v/>
      </c>
      <c r="AI78" s="75">
        <f>Retailers!AK79</f>
        <v/>
      </c>
      <c r="AJ78" s="75">
        <f>Retailers!AL79</f>
        <v/>
      </c>
      <c r="AM78" s="75" t="n">
        <v>84</v>
      </c>
      <c r="AN78" s="2">
        <f>IF(P78&gt;0,IF(D78=0,"Big stock",AB78/AH78),"Inesgotável")</f>
        <v/>
      </c>
      <c r="AO78" s="2">
        <f>IF(Q78&gt;0,IF(E78=0,"Big stock",AC78/AI78),"Inesgotável")</f>
        <v/>
      </c>
      <c r="AP78" s="2">
        <f>IF(R78&gt;0,IF(F78=0,"Big stock",AD78/AJ78),"Inesgotável")</f>
        <v/>
      </c>
      <c r="AS78" s="75" t="n">
        <v>84</v>
      </c>
      <c r="AT78" s="2">
        <f>Retailers_Cap!BL80</f>
        <v/>
      </c>
      <c r="AU78" s="2">
        <f>Retailers_Cap!BM80</f>
        <v/>
      </c>
      <c r="AV78" s="2">
        <f>Retailers_Cap!BN80</f>
        <v/>
      </c>
      <c r="AY78" s="75" t="n">
        <v>84</v>
      </c>
      <c r="AZ78" s="2">
        <f>IF(D78=0,"no repl",AB78-AT78)</f>
        <v/>
      </c>
      <c r="BA78" s="2">
        <f>IF(E78=0,"no repl",AC78-AU78)</f>
        <v/>
      </c>
      <c r="BB78" s="2">
        <f>IF(F78=0,"no repl",AD78-AV78)</f>
        <v/>
      </c>
    </row>
    <row r="79">
      <c r="C79" s="75" t="n">
        <v>85</v>
      </c>
      <c r="D79" s="11" t="n">
        <v>257106.1128970996</v>
      </c>
      <c r="E79" s="11" t="n">
        <v>21439.20625978241</v>
      </c>
      <c r="F79" s="11" t="n">
        <v>518263.2109646184</v>
      </c>
      <c r="I79" s="75" t="n">
        <v>85</v>
      </c>
      <c r="J79" s="11" t="n">
        <v>15330.96</v>
      </c>
      <c r="K79" s="11" t="n">
        <v>21390.99</v>
      </c>
      <c r="L79" s="11" t="n">
        <v>68974.2</v>
      </c>
      <c r="O79" s="75" t="n">
        <v>85</v>
      </c>
      <c r="P79" s="11" t="n">
        <v>168360.3030579331</v>
      </c>
      <c r="Q79" s="11" t="n">
        <v>11511.98333656924</v>
      </c>
      <c r="R79" s="11" t="n">
        <v>301163.5355504521</v>
      </c>
      <c r="U79" s="75" t="n">
        <v>85</v>
      </c>
      <c r="V79" s="3">
        <f>J79-P79+D79</f>
        <v/>
      </c>
      <c r="W79" s="3">
        <f>K79-Q79+E79</f>
        <v/>
      </c>
      <c r="X79" s="3">
        <f>L79-R79+F79</f>
        <v/>
      </c>
      <c r="AA79" s="75" t="n">
        <v>85</v>
      </c>
      <c r="AB79" s="2">
        <f>IF(Demand!AU98&gt;Retailers_Cap!N81,(V79/Retailers!P80)/(Demand!AU98-Retailers_Cap!N81),"Inesgotável")</f>
        <v/>
      </c>
      <c r="AC79" s="2">
        <f>IF(Demand!AV98&gt;Retailers_Cap!O81,(W79/Retailers!Q80)/(Demand!AV98-Retailers_Cap!O81),"Inesgotável")</f>
        <v/>
      </c>
      <c r="AD79" s="2">
        <f>IF(Demand!AW98&gt;Retailers_Cap!P81,(X79/Retailers!R80)/(Demand!AW98-Retailers_Cap!P81),"Inesgotável")</f>
        <v/>
      </c>
      <c r="AG79" s="75" t="n">
        <v>85</v>
      </c>
      <c r="AH79" s="75">
        <f>Retailers!AJ80</f>
        <v/>
      </c>
      <c r="AI79" s="75">
        <f>Retailers!AK80</f>
        <v/>
      </c>
      <c r="AJ79" s="75">
        <f>Retailers!AL80</f>
        <v/>
      </c>
      <c r="AM79" s="75" t="n">
        <v>85</v>
      </c>
      <c r="AN79" s="2">
        <f>IF(P79&gt;0,IF(D79=0,"Big stock",AB79/AH79),"Inesgotável")</f>
        <v/>
      </c>
      <c r="AO79" s="2">
        <f>IF(Q79&gt;0,IF(E79=0,"Big stock",AC79/AI79),"Inesgotável")</f>
        <v/>
      </c>
      <c r="AP79" s="2">
        <f>IF(R79&gt;0,IF(F79=0,"Big stock",AD79/AJ79),"Inesgotável")</f>
        <v/>
      </c>
      <c r="AS79" s="75" t="n">
        <v>85</v>
      </c>
      <c r="AT79" s="2">
        <f>Retailers_Cap!BL81</f>
        <v/>
      </c>
      <c r="AU79" s="2">
        <f>Retailers_Cap!BM81</f>
        <v/>
      </c>
      <c r="AV79" s="2">
        <f>Retailers_Cap!BN81</f>
        <v/>
      </c>
      <c r="AY79" s="75" t="n">
        <v>85</v>
      </c>
      <c r="AZ79" s="2">
        <f>IF(D79=0,"no repl",AB79-AT79)</f>
        <v/>
      </c>
      <c r="BA79" s="2">
        <f>IF(E79=0,"no repl",AC79-AU79)</f>
        <v/>
      </c>
      <c r="BB79" s="2">
        <f>IF(F79=0,"no repl",AD79-AV79)</f>
        <v/>
      </c>
    </row>
    <row r="80">
      <c r="C80" s="75" t="n">
        <v>86</v>
      </c>
      <c r="D80" s="11" t="n">
        <v>0</v>
      </c>
      <c r="E80" s="11" t="n">
        <v>0</v>
      </c>
      <c r="F80" s="11" t="n">
        <v>0</v>
      </c>
      <c r="I80" s="75" t="n">
        <v>86</v>
      </c>
      <c r="J80" s="11" t="n">
        <v>60857.5</v>
      </c>
      <c r="K80" s="11" t="n">
        <v>59126.85</v>
      </c>
      <c r="L80" s="11" t="n">
        <v>94242.08</v>
      </c>
      <c r="O80" s="75" t="n">
        <v>86</v>
      </c>
      <c r="P80" s="11" t="n">
        <v>0</v>
      </c>
      <c r="Q80" s="11" t="n">
        <v>0</v>
      </c>
      <c r="R80" s="11" t="n">
        <v>0</v>
      </c>
      <c r="U80" s="75" t="n">
        <v>86</v>
      </c>
      <c r="V80" s="3">
        <f>J80-P80+D80</f>
        <v/>
      </c>
      <c r="W80" s="3">
        <f>K80-Q80+E80</f>
        <v/>
      </c>
      <c r="X80" s="3">
        <f>L80-R80+F80</f>
        <v/>
      </c>
      <c r="AA80" s="75" t="n">
        <v>86</v>
      </c>
      <c r="AB80" s="2">
        <f>IF(Demand!AU99&gt;Retailers_Cap!N82,(V80/Retailers!P81)/(Demand!AU99-Retailers_Cap!N82),"Inesgotável")</f>
        <v/>
      </c>
      <c r="AC80" s="2">
        <f>IF(Demand!AV99&gt;Retailers_Cap!O82,(W80/Retailers!Q81)/(Demand!AV99-Retailers_Cap!O82),"Inesgotável")</f>
        <v/>
      </c>
      <c r="AD80" s="2">
        <f>IF(Demand!AW99&gt;Retailers_Cap!P82,(X80/Retailers!R81)/(Demand!AW99-Retailers_Cap!P82),"Inesgotável")</f>
        <v/>
      </c>
      <c r="AG80" s="75" t="n">
        <v>86</v>
      </c>
      <c r="AH80" s="75">
        <f>Retailers!AJ81</f>
        <v/>
      </c>
      <c r="AI80" s="75">
        <f>Retailers!AK81</f>
        <v/>
      </c>
      <c r="AJ80" s="75">
        <f>Retailers!AL81</f>
        <v/>
      </c>
      <c r="AM80" s="75" t="n">
        <v>86</v>
      </c>
      <c r="AN80" s="2">
        <f>IF(P80&gt;0,IF(D80=0,"Big stock",AB80/AH80),"Inesgotável")</f>
        <v/>
      </c>
      <c r="AO80" s="2">
        <f>IF(Q80&gt;0,IF(E80=0,"Big stock",AC80/AI80),"Inesgotável")</f>
        <v/>
      </c>
      <c r="AP80" s="2">
        <f>IF(R80&gt;0,IF(F80=0,"Big stock",AD80/AJ80),"Inesgotável")</f>
        <v/>
      </c>
      <c r="AS80" s="75" t="n">
        <v>86</v>
      </c>
      <c r="AT80" s="2">
        <f>Retailers_Cap!BL82</f>
        <v/>
      </c>
      <c r="AU80" s="2">
        <f>Retailers_Cap!BM82</f>
        <v/>
      </c>
      <c r="AV80" s="2">
        <f>Retailers_Cap!BN82</f>
        <v/>
      </c>
      <c r="AY80" s="75" t="n">
        <v>86</v>
      </c>
      <c r="AZ80" s="2">
        <f>IF(D80=0,"no repl",AB80-AT80)</f>
        <v/>
      </c>
      <c r="BA80" s="2">
        <f>IF(E80=0,"no repl",AC80-AU80)</f>
        <v/>
      </c>
      <c r="BB80" s="2">
        <f>IF(F80=0,"no repl",AD80-AV80)</f>
        <v/>
      </c>
    </row>
    <row r="81">
      <c r="C81" s="75" t="n">
        <v>87</v>
      </c>
      <c r="D81" s="11" t="n">
        <v>0</v>
      </c>
      <c r="E81" s="11" t="n">
        <v>107897.5031084999</v>
      </c>
      <c r="F81" s="11" t="n">
        <v>326908.7498687613</v>
      </c>
      <c r="I81" s="75" t="n">
        <v>87</v>
      </c>
      <c r="J81" s="11" t="n">
        <v>30963.54</v>
      </c>
      <c r="K81" s="11" t="n">
        <v>16871.94</v>
      </c>
      <c r="L81" s="11" t="n">
        <v>29299.8</v>
      </c>
      <c r="O81" s="75" t="n">
        <v>87</v>
      </c>
      <c r="P81" s="11" t="n">
        <v>0</v>
      </c>
      <c r="Q81" s="11" t="n">
        <v>64699.28268385938</v>
      </c>
      <c r="R81" s="11" t="n">
        <v>199461.1558373756</v>
      </c>
      <c r="U81" s="75" t="n">
        <v>87</v>
      </c>
      <c r="V81" s="3">
        <f>J81-P81+D81</f>
        <v/>
      </c>
      <c r="W81" s="3">
        <f>K81-Q81+E81</f>
        <v/>
      </c>
      <c r="X81" s="3">
        <f>L81-R81+F81</f>
        <v/>
      </c>
      <c r="AA81" s="75" t="n">
        <v>87</v>
      </c>
      <c r="AB81" s="2">
        <f>IF(Demand!AU100&gt;Retailers_Cap!N83,(V81/Retailers!P82)/(Demand!AU100-Retailers_Cap!N83),"Inesgotável")</f>
        <v/>
      </c>
      <c r="AC81" s="2">
        <f>IF(Demand!AV100&gt;Retailers_Cap!O83,(W81/Retailers!Q82)/(Demand!AV100-Retailers_Cap!O83),"Inesgotável")</f>
        <v/>
      </c>
      <c r="AD81" s="2">
        <f>IF(Demand!AW100&gt;Retailers_Cap!P83,(X81/Retailers!R82)/(Demand!AW100-Retailers_Cap!P83),"Inesgotável")</f>
        <v/>
      </c>
      <c r="AG81" s="75" t="n">
        <v>87</v>
      </c>
      <c r="AH81" s="75">
        <f>Retailers!AJ82</f>
        <v/>
      </c>
      <c r="AI81" s="75">
        <f>Retailers!AK82</f>
        <v/>
      </c>
      <c r="AJ81" s="75">
        <f>Retailers!AL82</f>
        <v/>
      </c>
      <c r="AM81" s="75" t="n">
        <v>87</v>
      </c>
      <c r="AN81" s="2">
        <f>IF(P81&gt;0,IF(D81=0,"Big stock",AB81/AH81),"Inesgotável")</f>
        <v/>
      </c>
      <c r="AO81" s="2">
        <f>IF(Q81&gt;0,IF(E81=0,"Big stock",AC81/AI81),"Inesgotável")</f>
        <v/>
      </c>
      <c r="AP81" s="2">
        <f>IF(R81&gt;0,IF(F81=0,"Big stock",AD81/AJ81),"Inesgotável")</f>
        <v/>
      </c>
      <c r="AS81" s="75" t="n">
        <v>87</v>
      </c>
      <c r="AT81" s="2">
        <f>Retailers_Cap!BL83</f>
        <v/>
      </c>
      <c r="AU81" s="2">
        <f>Retailers_Cap!BM83</f>
        <v/>
      </c>
      <c r="AV81" s="2">
        <f>Retailers_Cap!BN83</f>
        <v/>
      </c>
      <c r="AY81" s="75" t="n">
        <v>87</v>
      </c>
      <c r="AZ81" s="2">
        <f>IF(D81=0,"no repl",AB81-AT81)</f>
        <v/>
      </c>
      <c r="BA81" s="2">
        <f>IF(E81=0,"no repl",AC81-AU81)</f>
        <v/>
      </c>
      <c r="BB81" s="2">
        <f>IF(F81=0,"no repl",AD81-AV81)</f>
        <v/>
      </c>
    </row>
    <row r="82">
      <c r="C82" s="75" t="n">
        <v>88</v>
      </c>
      <c r="D82" s="11" t="n">
        <v>0</v>
      </c>
      <c r="E82" s="11" t="n">
        <v>0</v>
      </c>
      <c r="F82" s="11" t="n">
        <v>0</v>
      </c>
      <c r="I82" s="75" t="n">
        <v>88</v>
      </c>
      <c r="J82" s="11" t="n">
        <v>54481.5</v>
      </c>
      <c r="K82" s="11" t="n">
        <v>65509.42999999999</v>
      </c>
      <c r="L82" s="11" t="n">
        <v>40815.84</v>
      </c>
      <c r="O82" s="75" t="n">
        <v>88</v>
      </c>
      <c r="P82" s="11" t="n">
        <v>21496.035348655</v>
      </c>
      <c r="Q82" s="11" t="n">
        <v>0</v>
      </c>
      <c r="R82" s="11" t="n">
        <v>0</v>
      </c>
      <c r="U82" s="75" t="n">
        <v>88</v>
      </c>
      <c r="V82" s="3">
        <f>J82-P82+D82</f>
        <v/>
      </c>
      <c r="W82" s="3">
        <f>K82-Q82+E82</f>
        <v/>
      </c>
      <c r="X82" s="3">
        <f>L82-R82+F82</f>
        <v/>
      </c>
      <c r="AA82" s="75" t="n">
        <v>88</v>
      </c>
      <c r="AB82" s="2">
        <f>IF(Demand!AU101&gt;Retailers_Cap!N84,(V82/Retailers!P83)/(Demand!AU101-Retailers_Cap!N84),"Inesgotável")</f>
        <v/>
      </c>
      <c r="AC82" s="2">
        <f>IF(Demand!AV101&gt;Retailers_Cap!O84,(W82/Retailers!Q83)/(Demand!AV101-Retailers_Cap!O84),"Inesgotável")</f>
        <v/>
      </c>
      <c r="AD82" s="2">
        <f>IF(Demand!AW101&gt;Retailers_Cap!P84,(X82/Retailers!R83)/(Demand!AW101-Retailers_Cap!P84),"Inesgotável")</f>
        <v/>
      </c>
      <c r="AG82" s="75" t="n">
        <v>88</v>
      </c>
      <c r="AH82" s="75">
        <f>Retailers!AJ83</f>
        <v/>
      </c>
      <c r="AI82" s="75">
        <f>Retailers!AK83</f>
        <v/>
      </c>
      <c r="AJ82" s="75">
        <f>Retailers!AL83</f>
        <v/>
      </c>
      <c r="AM82" s="75" t="n">
        <v>88</v>
      </c>
      <c r="AN82" s="2">
        <f>IF(P82&gt;0,IF(D82=0,"Big stock",AB82/AH82),"Inesgotável")</f>
        <v/>
      </c>
      <c r="AO82" s="2">
        <f>IF(Q82&gt;0,IF(E82=0,"Big stock",AC82/AI82),"Inesgotável")</f>
        <v/>
      </c>
      <c r="AP82" s="2">
        <f>IF(R82&gt;0,IF(F82=0,"Big stock",AD82/AJ82),"Inesgotável")</f>
        <v/>
      </c>
      <c r="AS82" s="75" t="n">
        <v>88</v>
      </c>
      <c r="AT82" s="2">
        <f>Retailers_Cap!BL84</f>
        <v/>
      </c>
      <c r="AU82" s="2">
        <f>Retailers_Cap!BM84</f>
        <v/>
      </c>
      <c r="AV82" s="2">
        <f>Retailers_Cap!BN84</f>
        <v/>
      </c>
      <c r="AY82" s="75" t="n">
        <v>88</v>
      </c>
      <c r="AZ82" s="2">
        <f>IF(D82=0,"no repl",AB82-AT82)</f>
        <v/>
      </c>
      <c r="BA82" s="2">
        <f>IF(E82=0,"no repl",AC82-AU82)</f>
        <v/>
      </c>
      <c r="BB82" s="2">
        <f>IF(F82=0,"no repl",AD82-AV82)</f>
        <v/>
      </c>
    </row>
    <row r="83">
      <c r="C83" s="75" t="n">
        <v>89</v>
      </c>
      <c r="D83" s="11" t="n">
        <v>243288.3283740577</v>
      </c>
      <c r="E83" s="11" t="n">
        <v>0</v>
      </c>
      <c r="F83" s="11" t="n">
        <v>0</v>
      </c>
      <c r="I83" s="75" t="n">
        <v>89</v>
      </c>
      <c r="J83" s="11" t="n">
        <v>9400.610000000001</v>
      </c>
      <c r="K83" s="11" t="n">
        <v>104889.6</v>
      </c>
      <c r="L83" s="11" t="n">
        <v>69380.96000000001</v>
      </c>
      <c r="O83" s="75" t="n">
        <v>89</v>
      </c>
      <c r="P83" s="11" t="n">
        <v>144813.0470599349</v>
      </c>
      <c r="Q83" s="11" t="n">
        <v>49877.8454771551</v>
      </c>
      <c r="R83" s="11" t="n">
        <v>0</v>
      </c>
      <c r="U83" s="75" t="n">
        <v>89</v>
      </c>
      <c r="V83" s="3">
        <f>J83-P83+D83</f>
        <v/>
      </c>
      <c r="W83" s="3">
        <f>K83-Q83+E83</f>
        <v/>
      </c>
      <c r="X83" s="3">
        <f>L83-R83+F83</f>
        <v/>
      </c>
      <c r="AA83" s="75" t="n">
        <v>89</v>
      </c>
      <c r="AB83" s="2">
        <f>IF(Demand!AU102&gt;Retailers_Cap!N85,(V83/Retailers!P84)/(Demand!AU102-Retailers_Cap!N85),"Inesgotável")</f>
        <v/>
      </c>
      <c r="AC83" s="2">
        <f>IF(Demand!AV102&gt;Retailers_Cap!O85,(W83/Retailers!Q84)/(Demand!AV102-Retailers_Cap!O85),"Inesgotável")</f>
        <v/>
      </c>
      <c r="AD83" s="2">
        <f>IF(Demand!AW102&gt;Retailers_Cap!P85,(X83/Retailers!R84)/(Demand!AW102-Retailers_Cap!P85),"Inesgotável")</f>
        <v/>
      </c>
      <c r="AG83" s="75" t="n">
        <v>89</v>
      </c>
      <c r="AH83" s="75">
        <f>Retailers!AJ84</f>
        <v/>
      </c>
      <c r="AI83" s="75">
        <f>Retailers!AK84</f>
        <v/>
      </c>
      <c r="AJ83" s="75">
        <f>Retailers!AL84</f>
        <v/>
      </c>
      <c r="AM83" s="75" t="n">
        <v>89</v>
      </c>
      <c r="AN83" s="2">
        <f>IF(P83&gt;0,IF(D83=0,"Big stock",AB83/AH83),"Inesgotável")</f>
        <v/>
      </c>
      <c r="AO83" s="2">
        <f>IF(Q83&gt;0,IF(E83=0,"Big stock",AC83/AI83),"Inesgotável")</f>
        <v/>
      </c>
      <c r="AP83" s="2">
        <f>IF(R83&gt;0,IF(F83=0,"Big stock",AD83/AJ83),"Inesgotável")</f>
        <v/>
      </c>
      <c r="AS83" s="75" t="n">
        <v>89</v>
      </c>
      <c r="AT83" s="2">
        <f>Retailers_Cap!BL85</f>
        <v/>
      </c>
      <c r="AU83" s="2">
        <f>Retailers_Cap!BM85</f>
        <v/>
      </c>
      <c r="AV83" s="2">
        <f>Retailers_Cap!BN85</f>
        <v/>
      </c>
      <c r="AY83" s="75" t="n">
        <v>89</v>
      </c>
      <c r="AZ83" s="2">
        <f>IF(D83=0,"no repl",AB83-AT83)</f>
        <v/>
      </c>
      <c r="BA83" s="2">
        <f>IF(E83=0,"no repl",AC83-AU83)</f>
        <v/>
      </c>
      <c r="BB83" s="2">
        <f>IF(F83=0,"no repl",AD83-AV83)</f>
        <v/>
      </c>
    </row>
    <row r="84">
      <c r="C84" s="75" t="n">
        <v>90</v>
      </c>
      <c r="D84" s="11" t="n">
        <v>0</v>
      </c>
      <c r="E84" s="11" t="n">
        <v>0</v>
      </c>
      <c r="F84" s="11" t="n">
        <v>0</v>
      </c>
      <c r="I84" s="75" t="n">
        <v>90</v>
      </c>
      <c r="J84" s="11" t="n">
        <v>37150.44</v>
      </c>
      <c r="K84" s="11" t="n">
        <v>21150.09</v>
      </c>
      <c r="L84" s="11" t="n">
        <v>26741.44</v>
      </c>
      <c r="O84" s="75" t="n">
        <v>90</v>
      </c>
      <c r="P84" s="11" t="n">
        <v>0</v>
      </c>
      <c r="Q84" s="11" t="n">
        <v>0</v>
      </c>
      <c r="R84" s="11" t="n">
        <v>0</v>
      </c>
      <c r="U84" s="75" t="n">
        <v>90</v>
      </c>
      <c r="V84" s="3">
        <f>J84-P84+D84</f>
        <v/>
      </c>
      <c r="W84" s="3">
        <f>K84-Q84+E84</f>
        <v/>
      </c>
      <c r="X84" s="3">
        <f>L84-R84+F84</f>
        <v/>
      </c>
      <c r="AA84" s="75" t="n">
        <v>90</v>
      </c>
      <c r="AB84" s="2">
        <f>IF(Demand!AU103&gt;Retailers_Cap!N86,(V84/Retailers!P85)/(Demand!AU103-Retailers_Cap!N86),"Inesgotável")</f>
        <v/>
      </c>
      <c r="AC84" s="2">
        <f>IF(Demand!AV103&gt;Retailers_Cap!O86,(W84/Retailers!Q85)/(Demand!AV103-Retailers_Cap!O86),"Inesgotável")</f>
        <v/>
      </c>
      <c r="AD84" s="2">
        <f>IF(Demand!AW103&gt;Retailers_Cap!P86,(X84/Retailers!R85)/(Demand!AW103-Retailers_Cap!P86),"Inesgotável")</f>
        <v/>
      </c>
      <c r="AG84" s="75" t="n">
        <v>90</v>
      </c>
      <c r="AH84" s="75">
        <f>Retailers!AJ85</f>
        <v/>
      </c>
      <c r="AI84" s="75">
        <f>Retailers!AK85</f>
        <v/>
      </c>
      <c r="AJ84" s="75">
        <f>Retailers!AL85</f>
        <v/>
      </c>
      <c r="AM84" s="75" t="n">
        <v>90</v>
      </c>
      <c r="AN84" s="2">
        <f>IF(P84&gt;0,IF(D84=0,"Big stock",AB84/AH84),"Inesgotável")</f>
        <v/>
      </c>
      <c r="AO84" s="2">
        <f>IF(Q84&gt;0,IF(E84=0,"Big stock",AC84/AI84),"Inesgotável")</f>
        <v/>
      </c>
      <c r="AP84" s="2">
        <f>IF(R84&gt;0,IF(F84=0,"Big stock",AD84/AJ84),"Inesgotável")</f>
        <v/>
      </c>
      <c r="AS84" s="75" t="n">
        <v>90</v>
      </c>
      <c r="AT84" s="2">
        <f>Retailers_Cap!BL86</f>
        <v/>
      </c>
      <c r="AU84" s="2">
        <f>Retailers_Cap!BM86</f>
        <v/>
      </c>
      <c r="AV84" s="2">
        <f>Retailers_Cap!BN86</f>
        <v/>
      </c>
      <c r="AY84" s="75" t="n">
        <v>90</v>
      </c>
      <c r="AZ84" s="2">
        <f>IF(D84=0,"no repl",AB84-AT84)</f>
        <v/>
      </c>
      <c r="BA84" s="2">
        <f>IF(E84=0,"no repl",AC84-AU84)</f>
        <v/>
      </c>
      <c r="BB84" s="2">
        <f>IF(F84=0,"no repl",AD84-AV84)</f>
        <v/>
      </c>
    </row>
    <row r="85">
      <c r="C85" s="75" t="n">
        <v>91</v>
      </c>
      <c r="D85" s="11" t="n">
        <v>0</v>
      </c>
      <c r="E85" s="11" t="n">
        <v>0</v>
      </c>
      <c r="F85" s="11" t="n">
        <v>0</v>
      </c>
      <c r="I85" s="75" t="n">
        <v>91</v>
      </c>
      <c r="J85" s="11" t="n">
        <v>57852.3</v>
      </c>
      <c r="K85" s="11" t="n">
        <v>81686.54999999999</v>
      </c>
      <c r="L85" s="11" t="n">
        <v>70699.72</v>
      </c>
      <c r="O85" s="75" t="n">
        <v>91</v>
      </c>
      <c r="P85" s="11" t="n">
        <v>0</v>
      </c>
      <c r="Q85" s="11" t="n">
        <v>0</v>
      </c>
      <c r="R85" s="11" t="n">
        <v>0</v>
      </c>
      <c r="U85" s="75" t="n">
        <v>91</v>
      </c>
      <c r="V85" s="3">
        <f>J85-P85+D85</f>
        <v/>
      </c>
      <c r="W85" s="3">
        <f>K85-Q85+E85</f>
        <v/>
      </c>
      <c r="X85" s="3">
        <f>L85-R85+F85</f>
        <v/>
      </c>
      <c r="AA85" s="75" t="n">
        <v>91</v>
      </c>
      <c r="AB85" s="2">
        <f>IF(Demand!AU104&gt;Retailers_Cap!N87,(V85/Retailers!P86)/(Demand!AU104-Retailers_Cap!N87),"Inesgotável")</f>
        <v/>
      </c>
      <c r="AC85" s="2">
        <f>IF(Demand!AV104&gt;Retailers_Cap!O87,(W85/Retailers!Q86)/(Demand!AV104-Retailers_Cap!O87),"Inesgotável")</f>
        <v/>
      </c>
      <c r="AD85" s="2">
        <f>IF(Demand!AW104&gt;Retailers_Cap!P87,(X85/Retailers!R86)/(Demand!AW104-Retailers_Cap!P87),"Inesgotável")</f>
        <v/>
      </c>
      <c r="AG85" s="75" t="n">
        <v>91</v>
      </c>
      <c r="AH85" s="75">
        <f>Retailers!AJ86</f>
        <v/>
      </c>
      <c r="AI85" s="75">
        <f>Retailers!AK86</f>
        <v/>
      </c>
      <c r="AJ85" s="75">
        <f>Retailers!AL86</f>
        <v/>
      </c>
      <c r="AM85" s="75" t="n">
        <v>91</v>
      </c>
      <c r="AN85" s="2">
        <f>IF(P85&gt;0,IF(D85=0,"Big stock",AB85/AH85),"Inesgotável")</f>
        <v/>
      </c>
      <c r="AO85" s="2">
        <f>IF(Q85&gt;0,IF(E85=0,"Big stock",AC85/AI85),"Inesgotável")</f>
        <v/>
      </c>
      <c r="AP85" s="2">
        <f>IF(R85&gt;0,IF(F85=0,"Big stock",AD85/AJ85),"Inesgotável")</f>
        <v/>
      </c>
      <c r="AS85" s="75" t="n">
        <v>91</v>
      </c>
      <c r="AT85" s="2">
        <f>Retailers_Cap!BL87</f>
        <v/>
      </c>
      <c r="AU85" s="2">
        <f>Retailers_Cap!BM87</f>
        <v/>
      </c>
      <c r="AV85" s="2">
        <f>Retailers_Cap!BN87</f>
        <v/>
      </c>
      <c r="AY85" s="75" t="n">
        <v>91</v>
      </c>
      <c r="AZ85" s="2">
        <f>IF(D85=0,"no repl",AB85-AT85)</f>
        <v/>
      </c>
      <c r="BA85" s="2">
        <f>IF(E85=0,"no repl",AC85-AU85)</f>
        <v/>
      </c>
      <c r="BB85" s="2">
        <f>IF(F85=0,"no repl",AD85-AV85)</f>
        <v/>
      </c>
    </row>
    <row r="86">
      <c r="C86" s="75" t="n">
        <v>92</v>
      </c>
      <c r="D86" s="11" t="n">
        <v>505255.7181515945</v>
      </c>
      <c r="E86" s="11" t="n">
        <v>0</v>
      </c>
      <c r="F86" s="11" t="n">
        <v>0</v>
      </c>
      <c r="I86" s="75" t="n">
        <v>92</v>
      </c>
      <c r="J86" s="11" t="n">
        <v>33700.5</v>
      </c>
      <c r="K86" s="11" t="n">
        <v>83273.5</v>
      </c>
      <c r="L86" s="11" t="n">
        <v>59850.01</v>
      </c>
      <c r="O86" s="75" t="n">
        <v>92</v>
      </c>
      <c r="P86" s="11" t="n">
        <v>308675.9611281364</v>
      </c>
      <c r="Q86" s="11" t="n">
        <v>0</v>
      </c>
      <c r="R86" s="11" t="n">
        <v>0</v>
      </c>
      <c r="U86" s="75" t="n">
        <v>92</v>
      </c>
      <c r="V86" s="3">
        <f>J86-P86+D86</f>
        <v/>
      </c>
      <c r="W86" s="3">
        <f>K86-Q86+E86</f>
        <v/>
      </c>
      <c r="X86" s="3">
        <f>L86-R86+F86</f>
        <v/>
      </c>
      <c r="AA86" s="75" t="n">
        <v>92</v>
      </c>
      <c r="AB86" s="2">
        <f>IF(Demand!AU105&gt;Retailers_Cap!N88,(V86/Retailers!P87)/(Demand!AU105-Retailers_Cap!N88),"Inesgotável")</f>
        <v/>
      </c>
      <c r="AC86" s="2">
        <f>IF(Demand!AV105&gt;Retailers_Cap!O88,(W86/Retailers!Q87)/(Demand!AV105-Retailers_Cap!O88),"Inesgotável")</f>
        <v/>
      </c>
      <c r="AD86" s="2">
        <f>IF(Demand!AW105&gt;Retailers_Cap!P88,(X86/Retailers!R87)/(Demand!AW105-Retailers_Cap!P88),"Inesgotável")</f>
        <v/>
      </c>
      <c r="AG86" s="75" t="n">
        <v>92</v>
      </c>
      <c r="AH86" s="75">
        <f>Retailers!AJ87</f>
        <v/>
      </c>
      <c r="AI86" s="75">
        <f>Retailers!AK87</f>
        <v/>
      </c>
      <c r="AJ86" s="75">
        <f>Retailers!AL87</f>
        <v/>
      </c>
      <c r="AM86" s="75" t="n">
        <v>92</v>
      </c>
      <c r="AN86" s="2">
        <f>IF(P86&gt;0,IF(D86=0,"Big stock",AB86/AH86),"Inesgotável")</f>
        <v/>
      </c>
      <c r="AO86" s="2">
        <f>IF(Q86&gt;0,IF(E86=0,"Big stock",AC86/AI86),"Inesgotável")</f>
        <v/>
      </c>
      <c r="AP86" s="2">
        <f>IF(R86&gt;0,IF(F86=0,"Big stock",AD86/AJ86),"Inesgotável")</f>
        <v/>
      </c>
      <c r="AS86" s="75" t="n">
        <v>92</v>
      </c>
      <c r="AT86" s="2">
        <f>Retailers_Cap!BL88</f>
        <v/>
      </c>
      <c r="AU86" s="2">
        <f>Retailers_Cap!BM88</f>
        <v/>
      </c>
      <c r="AV86" s="2">
        <f>Retailers_Cap!BN88</f>
        <v/>
      </c>
      <c r="AY86" s="75" t="n">
        <v>92</v>
      </c>
      <c r="AZ86" s="2">
        <f>IF(D86=0,"no repl",AB86-AT86)</f>
        <v/>
      </c>
      <c r="BA86" s="2">
        <f>IF(E86=0,"no repl",AC86-AU86)</f>
        <v/>
      </c>
      <c r="BB86" s="2">
        <f>IF(F86=0,"no repl",AD86-AV86)</f>
        <v/>
      </c>
    </row>
    <row r="87">
      <c r="C87" s="75" t="n">
        <v>93</v>
      </c>
      <c r="D87" s="11" t="n">
        <v>486742.5700293021</v>
      </c>
      <c r="E87" s="11" t="n">
        <v>0</v>
      </c>
      <c r="F87" s="11" t="n">
        <v>0</v>
      </c>
      <c r="I87" s="75" t="n">
        <v>93</v>
      </c>
      <c r="J87" s="11" t="n">
        <v>53843.75999999999</v>
      </c>
      <c r="K87" s="11" t="n">
        <v>53345.1</v>
      </c>
      <c r="L87" s="11" t="n">
        <v>17806.5</v>
      </c>
      <c r="O87" s="75" t="n">
        <v>93</v>
      </c>
      <c r="P87" s="11" t="n">
        <v>301298.9622453675</v>
      </c>
      <c r="Q87" s="11" t="n">
        <v>0</v>
      </c>
      <c r="R87" s="11" t="n">
        <v>0</v>
      </c>
      <c r="U87" s="75" t="n">
        <v>93</v>
      </c>
      <c r="V87" s="3">
        <f>J87-P87+D87</f>
        <v/>
      </c>
      <c r="W87" s="3">
        <f>K87-Q87+E87</f>
        <v/>
      </c>
      <c r="X87" s="3">
        <f>L87-R87+F87</f>
        <v/>
      </c>
      <c r="AA87" s="75" t="n">
        <v>93</v>
      </c>
      <c r="AB87" s="2">
        <f>IF(Demand!AU106&gt;Retailers_Cap!N89,(V87/Retailers!P88)/(Demand!AU106-Retailers_Cap!N89),"Inesgotável")</f>
        <v/>
      </c>
      <c r="AC87" s="2">
        <f>IF(Demand!AV106&gt;Retailers_Cap!O89,(W87/Retailers!Q88)/(Demand!AV106-Retailers_Cap!O89),"Inesgotável")</f>
        <v/>
      </c>
      <c r="AD87" s="2">
        <f>IF(Demand!AW106&gt;Retailers_Cap!P89,(X87/Retailers!R88)/(Demand!AW106-Retailers_Cap!P89),"Inesgotável")</f>
        <v/>
      </c>
      <c r="AG87" s="75" t="n">
        <v>93</v>
      </c>
      <c r="AH87" s="75">
        <f>Retailers!AJ88</f>
        <v/>
      </c>
      <c r="AI87" s="75">
        <f>Retailers!AK88</f>
        <v/>
      </c>
      <c r="AJ87" s="75">
        <f>Retailers!AL88</f>
        <v/>
      </c>
      <c r="AM87" s="75" t="n">
        <v>93</v>
      </c>
      <c r="AN87" s="2">
        <f>IF(P87&gt;0,IF(D87=0,"Big stock",AB87/AH87),"Inesgotável")</f>
        <v/>
      </c>
      <c r="AO87" s="2">
        <f>IF(Q87&gt;0,IF(E87=0,"Big stock",AC87/AI87),"Inesgotável")</f>
        <v/>
      </c>
      <c r="AP87" s="2">
        <f>IF(R87&gt;0,IF(F87=0,"Big stock",AD87/AJ87),"Inesgotável")</f>
        <v/>
      </c>
      <c r="AS87" s="75" t="n">
        <v>93</v>
      </c>
      <c r="AT87" s="2">
        <f>Retailers_Cap!BL89</f>
        <v/>
      </c>
      <c r="AU87" s="2">
        <f>Retailers_Cap!BM89</f>
        <v/>
      </c>
      <c r="AV87" s="2">
        <f>Retailers_Cap!BN89</f>
        <v/>
      </c>
      <c r="AY87" s="75" t="n">
        <v>93</v>
      </c>
      <c r="AZ87" s="2">
        <f>IF(D87=0,"no repl",AB87-AT87)</f>
        <v/>
      </c>
      <c r="BA87" s="2">
        <f>IF(E87=0,"no repl",AC87-AU87)</f>
        <v/>
      </c>
      <c r="BB87" s="2">
        <f>IF(F87=0,"no repl",AD87-AV87)</f>
        <v/>
      </c>
    </row>
    <row r="88">
      <c r="C88" s="75" t="n">
        <v>94</v>
      </c>
      <c r="D88" s="11" t="n">
        <v>0</v>
      </c>
      <c r="E88" s="11" t="n">
        <v>57971.00520014126</v>
      </c>
      <c r="F88" s="11" t="n">
        <v>239895.3531779265</v>
      </c>
      <c r="I88" s="75" t="n">
        <v>94</v>
      </c>
      <c r="J88" s="11" t="n">
        <v>86565.36</v>
      </c>
      <c r="K88" s="11" t="n">
        <v>35217</v>
      </c>
      <c r="L88" s="11" t="n">
        <v>44650.95</v>
      </c>
      <c r="O88" s="75" t="n">
        <v>94</v>
      </c>
      <c r="P88" s="11" t="n">
        <v>0</v>
      </c>
      <c r="Q88" s="11" t="n">
        <v>37968.42218768328</v>
      </c>
      <c r="R88" s="11" t="n">
        <v>144252.7036235227</v>
      </c>
      <c r="U88" s="75" t="n">
        <v>94</v>
      </c>
      <c r="V88" s="3">
        <f>J88-P88+D88</f>
        <v/>
      </c>
      <c r="W88" s="3">
        <f>K88-Q88+E88</f>
        <v/>
      </c>
      <c r="X88" s="3">
        <f>L88-R88+F88</f>
        <v/>
      </c>
      <c r="AA88" s="75" t="n">
        <v>94</v>
      </c>
      <c r="AB88" s="2">
        <f>IF(Demand!AU107&gt;Retailers_Cap!N90,(V88/Retailers!P89)/(Demand!AU107-Retailers_Cap!N90),"Inesgotável")</f>
        <v/>
      </c>
      <c r="AC88" s="2">
        <f>IF(Demand!AV107&gt;Retailers_Cap!O90,(W88/Retailers!Q89)/(Demand!AV107-Retailers_Cap!O90),"Inesgotável")</f>
        <v/>
      </c>
      <c r="AD88" s="2">
        <f>IF(Demand!AW107&gt;Retailers_Cap!P90,(X88/Retailers!R89)/(Demand!AW107-Retailers_Cap!P90),"Inesgotável")</f>
        <v/>
      </c>
      <c r="AG88" s="75" t="n">
        <v>94</v>
      </c>
      <c r="AH88" s="75">
        <f>Retailers!AJ89</f>
        <v/>
      </c>
      <c r="AI88" s="75">
        <f>Retailers!AK89</f>
        <v/>
      </c>
      <c r="AJ88" s="75">
        <f>Retailers!AL89</f>
        <v/>
      </c>
      <c r="AM88" s="75" t="n">
        <v>94</v>
      </c>
      <c r="AN88" s="2">
        <f>IF(P88&gt;0,IF(D88=0,"Big stock",AB88/AH88),"Inesgotável")</f>
        <v/>
      </c>
      <c r="AO88" s="2">
        <f>IF(Q88&gt;0,IF(E88=0,"Big stock",AC88/AI88),"Inesgotável")</f>
        <v/>
      </c>
      <c r="AP88" s="2">
        <f>IF(R88&gt;0,IF(F88=0,"Big stock",AD88/AJ88),"Inesgotável")</f>
        <v/>
      </c>
      <c r="AS88" s="75" t="n">
        <v>94</v>
      </c>
      <c r="AT88" s="2">
        <f>Retailers_Cap!BL90</f>
        <v/>
      </c>
      <c r="AU88" s="2">
        <f>Retailers_Cap!BM90</f>
        <v/>
      </c>
      <c r="AV88" s="2">
        <f>Retailers_Cap!BN90</f>
        <v/>
      </c>
      <c r="AY88" s="75" t="n">
        <v>94</v>
      </c>
      <c r="AZ88" s="2">
        <f>IF(D88=0,"no repl",AB88-AT88)</f>
        <v/>
      </c>
      <c r="BA88" s="2">
        <f>IF(E88=0,"no repl",AC88-AU88)</f>
        <v/>
      </c>
      <c r="BB88" s="2">
        <f>IF(F88=0,"no repl",AD88-AV88)</f>
        <v/>
      </c>
    </row>
    <row r="89">
      <c r="C89" s="75" t="n">
        <v>95</v>
      </c>
      <c r="D89" s="11" t="n">
        <v>0</v>
      </c>
      <c r="E89" s="11" t="n">
        <v>230221.0487627161</v>
      </c>
      <c r="F89" s="11" t="n">
        <v>125454.0748087991</v>
      </c>
      <c r="I89" s="75" t="n">
        <v>95</v>
      </c>
      <c r="J89" s="11" t="n">
        <v>54269.19</v>
      </c>
      <c r="K89" s="11" t="n">
        <v>58951.32999999999</v>
      </c>
      <c r="L89" s="11" t="n">
        <v>19640.67</v>
      </c>
      <c r="O89" s="75" t="n">
        <v>95</v>
      </c>
      <c r="P89" s="11" t="n">
        <v>0</v>
      </c>
      <c r="Q89" s="11" t="n">
        <v>140210.7144946891</v>
      </c>
      <c r="R89" s="11" t="n">
        <v>79836.40361169261</v>
      </c>
      <c r="U89" s="75" t="n">
        <v>95</v>
      </c>
      <c r="V89" s="3">
        <f>J89-P89+D89</f>
        <v/>
      </c>
      <c r="W89" s="3">
        <f>K89-Q89+E89</f>
        <v/>
      </c>
      <c r="X89" s="3">
        <f>L89-R89+F89</f>
        <v/>
      </c>
      <c r="AA89" s="75" t="n">
        <v>95</v>
      </c>
      <c r="AB89" s="2">
        <f>IF(Demand!AU108&gt;Retailers_Cap!N91,(V89/Retailers!P90)/(Demand!AU108-Retailers_Cap!N91),"Inesgotável")</f>
        <v/>
      </c>
      <c r="AC89" s="2">
        <f>IF(Demand!AV108&gt;Retailers_Cap!O91,(W89/Retailers!Q90)/(Demand!AV108-Retailers_Cap!O91),"Inesgotável")</f>
        <v/>
      </c>
      <c r="AD89" s="2">
        <f>IF(Demand!AW108&gt;Retailers_Cap!P91,(X89/Retailers!R90)/(Demand!AW108-Retailers_Cap!P91),"Inesgotável")</f>
        <v/>
      </c>
      <c r="AG89" s="75" t="n">
        <v>95</v>
      </c>
      <c r="AH89" s="75">
        <f>Retailers!AJ90</f>
        <v/>
      </c>
      <c r="AI89" s="75">
        <f>Retailers!AK90</f>
        <v/>
      </c>
      <c r="AJ89" s="75">
        <f>Retailers!AL90</f>
        <v/>
      </c>
      <c r="AM89" s="75" t="n">
        <v>95</v>
      </c>
      <c r="AN89" s="2">
        <f>IF(P89&gt;0,IF(D89=0,"Big stock",AB89/AH89),"Inesgotável")</f>
        <v/>
      </c>
      <c r="AO89" s="2">
        <f>IF(Q89&gt;0,IF(E89=0,"Big stock",AC89/AI89),"Inesgotável")</f>
        <v/>
      </c>
      <c r="AP89" s="2">
        <f>IF(R89&gt;0,IF(F89=0,"Big stock",AD89/AJ89),"Inesgotável")</f>
        <v/>
      </c>
      <c r="AS89" s="75" t="n">
        <v>95</v>
      </c>
      <c r="AT89" s="2">
        <f>Retailers_Cap!BL91</f>
        <v/>
      </c>
      <c r="AU89" s="2">
        <f>Retailers_Cap!BM91</f>
        <v/>
      </c>
      <c r="AV89" s="2">
        <f>Retailers_Cap!BN91</f>
        <v/>
      </c>
      <c r="AY89" s="75" t="n">
        <v>95</v>
      </c>
      <c r="AZ89" s="2">
        <f>IF(D89=0,"no repl",AB89-AT89)</f>
        <v/>
      </c>
      <c r="BA89" s="2">
        <f>IF(E89=0,"no repl",AC89-AU89)</f>
        <v/>
      </c>
      <c r="BB89" s="2">
        <f>IF(F89=0,"no repl",AD89-AV89)</f>
        <v/>
      </c>
    </row>
    <row r="90">
      <c r="C90" s="75" t="n">
        <v>96</v>
      </c>
      <c r="D90" s="11" t="n">
        <v>0</v>
      </c>
      <c r="E90" s="11" t="n">
        <v>0</v>
      </c>
      <c r="F90" s="11" t="n">
        <v>0</v>
      </c>
      <c r="I90" s="75" t="n">
        <v>96</v>
      </c>
      <c r="J90" s="11" t="n">
        <v>75876.84</v>
      </c>
      <c r="K90" s="11" t="n">
        <v>17112.48</v>
      </c>
      <c r="L90" s="11" t="n">
        <v>22698.39</v>
      </c>
      <c r="O90" s="75" t="n">
        <v>96</v>
      </c>
      <c r="P90" s="11" t="n">
        <v>0</v>
      </c>
      <c r="Q90" s="11" t="n">
        <v>0</v>
      </c>
      <c r="R90" s="11" t="n">
        <v>0</v>
      </c>
      <c r="U90" s="75" t="n">
        <v>96</v>
      </c>
      <c r="V90" s="3">
        <f>J90-P90+D90</f>
        <v/>
      </c>
      <c r="W90" s="3">
        <f>K90-Q90+E90</f>
        <v/>
      </c>
      <c r="X90" s="3">
        <f>L90-R90+F90</f>
        <v/>
      </c>
      <c r="AA90" s="75" t="n">
        <v>96</v>
      </c>
      <c r="AB90" s="2">
        <f>IF(Demand!AU109&gt;Retailers_Cap!N92,(V90/Retailers!P91)/(Demand!AU109-Retailers_Cap!N92),"Inesgotável")</f>
        <v/>
      </c>
      <c r="AC90" s="2">
        <f>IF(Demand!AV109&gt;Retailers_Cap!O92,(W90/Retailers!Q91)/(Demand!AV109-Retailers_Cap!O92),"Inesgotável")</f>
        <v/>
      </c>
      <c r="AD90" s="2">
        <f>IF(Demand!AW109&gt;Retailers_Cap!P92,(X90/Retailers!R91)/(Demand!AW109-Retailers_Cap!P92),"Inesgotável")</f>
        <v/>
      </c>
      <c r="AG90" s="75" t="n">
        <v>96</v>
      </c>
      <c r="AH90" s="75">
        <f>Retailers!AJ91</f>
        <v/>
      </c>
      <c r="AI90" s="75">
        <f>Retailers!AK91</f>
        <v/>
      </c>
      <c r="AJ90" s="75">
        <f>Retailers!AL91</f>
        <v/>
      </c>
      <c r="AM90" s="75" t="n">
        <v>96</v>
      </c>
      <c r="AN90" s="2">
        <f>IF(P90&gt;0,IF(D90=0,"Big stock",AB90/AH90),"Inesgotável")</f>
        <v/>
      </c>
      <c r="AO90" s="2">
        <f>IF(Q90&gt;0,IF(E90=0,"Big stock",AC90/AI90),"Inesgotável")</f>
        <v/>
      </c>
      <c r="AP90" s="2">
        <f>IF(R90&gt;0,IF(F90=0,"Big stock",AD90/AJ90),"Inesgotável")</f>
        <v/>
      </c>
      <c r="AS90" s="75" t="n">
        <v>96</v>
      </c>
      <c r="AT90" s="2">
        <f>Retailers_Cap!BL92</f>
        <v/>
      </c>
      <c r="AU90" s="2">
        <f>Retailers_Cap!BM92</f>
        <v/>
      </c>
      <c r="AV90" s="2">
        <f>Retailers_Cap!BN92</f>
        <v/>
      </c>
      <c r="AY90" s="75" t="n">
        <v>96</v>
      </c>
      <c r="AZ90" s="2">
        <f>IF(D90=0,"no repl",AB90-AT90)</f>
        <v/>
      </c>
      <c r="BA90" s="2">
        <f>IF(E90=0,"no repl",AC90-AU90)</f>
        <v/>
      </c>
      <c r="BB90" s="2">
        <f>IF(F90=0,"no repl",AD90-AV90)</f>
        <v/>
      </c>
    </row>
    <row r="91">
      <c r="C91" s="75" t="n">
        <v>97</v>
      </c>
      <c r="D91" s="11" t="n">
        <v>135925.3387979717</v>
      </c>
      <c r="E91" s="11" t="n">
        <v>0</v>
      </c>
      <c r="F91" s="11" t="n">
        <v>191030.0691486321</v>
      </c>
      <c r="I91" s="75" t="n">
        <v>97</v>
      </c>
      <c r="J91" s="11" t="n">
        <v>9911.700000000001</v>
      </c>
      <c r="K91" s="11" t="n">
        <v>29789.18</v>
      </c>
      <c r="L91" s="11" t="n">
        <v>56680.99000000001</v>
      </c>
      <c r="O91" s="75" t="n">
        <v>97</v>
      </c>
      <c r="P91" s="11" t="n">
        <v>77229.93617252211</v>
      </c>
      <c r="Q91" s="11" t="n">
        <v>0</v>
      </c>
      <c r="R91" s="11" t="n">
        <v>112420.3536482303</v>
      </c>
      <c r="U91" s="75" t="n">
        <v>97</v>
      </c>
      <c r="V91" s="3">
        <f>J91-P91+D91</f>
        <v/>
      </c>
      <c r="W91" s="3">
        <f>K91-Q91+E91</f>
        <v/>
      </c>
      <c r="X91" s="3">
        <f>L91-R91+F91</f>
        <v/>
      </c>
      <c r="AA91" s="75" t="n">
        <v>97</v>
      </c>
      <c r="AB91" s="2">
        <f>IF(Demand!AU110&gt;Retailers_Cap!N93,(V91/Retailers!P92)/(Demand!AU110-Retailers_Cap!N93),"Inesgotável")</f>
        <v/>
      </c>
      <c r="AC91" s="2">
        <f>IF(Demand!AV110&gt;Retailers_Cap!O93,(W91/Retailers!Q92)/(Demand!AV110-Retailers_Cap!O93),"Inesgotável")</f>
        <v/>
      </c>
      <c r="AD91" s="2">
        <f>IF(Demand!AW110&gt;Retailers_Cap!P93,(X91/Retailers!R92)/(Demand!AW110-Retailers_Cap!P93),"Inesgotável")</f>
        <v/>
      </c>
      <c r="AG91" s="75" t="n">
        <v>97</v>
      </c>
      <c r="AH91" s="75">
        <f>Retailers!AJ92</f>
        <v/>
      </c>
      <c r="AI91" s="75">
        <f>Retailers!AK92</f>
        <v/>
      </c>
      <c r="AJ91" s="75">
        <f>Retailers!AL92</f>
        <v/>
      </c>
      <c r="AM91" s="75" t="n">
        <v>97</v>
      </c>
      <c r="AN91" s="2">
        <f>IF(P91&gt;0,IF(D91=0,"Big stock",AB91/AH91),"Inesgotável")</f>
        <v/>
      </c>
      <c r="AO91" s="2">
        <f>IF(Q91&gt;0,IF(E91=0,"Big stock",AC91/AI91),"Inesgotável")</f>
        <v/>
      </c>
      <c r="AP91" s="2">
        <f>IF(R91&gt;0,IF(F91=0,"Big stock",AD91/AJ91),"Inesgotável")</f>
        <v/>
      </c>
      <c r="AS91" s="75" t="n">
        <v>97</v>
      </c>
      <c r="AT91" s="2">
        <f>Retailers_Cap!BL93</f>
        <v/>
      </c>
      <c r="AU91" s="2">
        <f>Retailers_Cap!BM93</f>
        <v/>
      </c>
      <c r="AV91" s="2">
        <f>Retailers_Cap!BN93</f>
        <v/>
      </c>
      <c r="AY91" s="75" t="n">
        <v>97</v>
      </c>
      <c r="AZ91" s="2">
        <f>IF(D91=0,"no repl",AB91-AT91)</f>
        <v/>
      </c>
      <c r="BA91" s="2">
        <f>IF(E91=0,"no repl",AC91-AU91)</f>
        <v/>
      </c>
      <c r="BB91" s="2">
        <f>IF(F91=0,"no repl",AD91-AV91)</f>
        <v/>
      </c>
    </row>
    <row r="92">
      <c r="C92" s="75" t="n">
        <v>98</v>
      </c>
      <c r="D92" s="11" t="n">
        <v>0</v>
      </c>
      <c r="E92" s="11" t="n">
        <v>0</v>
      </c>
      <c r="F92" s="11" t="n">
        <v>311388.3036523944</v>
      </c>
      <c r="I92" s="75" t="n">
        <v>98</v>
      </c>
      <c r="J92" s="11" t="n">
        <v>34890.54</v>
      </c>
      <c r="K92" s="11" t="n">
        <v>27246.95</v>
      </c>
      <c r="L92" s="11" t="n">
        <v>50434.92000000001</v>
      </c>
      <c r="O92" s="75" t="n">
        <v>98</v>
      </c>
      <c r="P92" s="11" t="n">
        <v>0</v>
      </c>
      <c r="Q92" s="11" t="n">
        <v>0</v>
      </c>
      <c r="R92" s="11" t="n">
        <v>196792.7630990197</v>
      </c>
      <c r="U92" s="75" t="n">
        <v>98</v>
      </c>
      <c r="V92" s="3">
        <f>J92-P92+D92</f>
        <v/>
      </c>
      <c r="W92" s="3">
        <f>K92-Q92+E92</f>
        <v/>
      </c>
      <c r="X92" s="3">
        <f>L92-R92+F92</f>
        <v/>
      </c>
      <c r="AA92" s="75" t="n">
        <v>98</v>
      </c>
      <c r="AB92" s="2">
        <f>IF(Demand!AU111&gt;Retailers_Cap!N94,(V92/Retailers!P93)/(Demand!AU111-Retailers_Cap!N94),"Inesgotável")</f>
        <v/>
      </c>
      <c r="AC92" s="2">
        <f>IF(Demand!AV111&gt;Retailers_Cap!O94,(W92/Retailers!Q93)/(Demand!AV111-Retailers_Cap!O94),"Inesgotável")</f>
        <v/>
      </c>
      <c r="AD92" s="2">
        <f>IF(Demand!AW111&gt;Retailers_Cap!P94,(X92/Retailers!R93)/(Demand!AW111-Retailers_Cap!P94),"Inesgotável")</f>
        <v/>
      </c>
      <c r="AG92" s="75" t="n">
        <v>98</v>
      </c>
      <c r="AH92" s="75">
        <f>Retailers!AJ93</f>
        <v/>
      </c>
      <c r="AI92" s="75">
        <f>Retailers!AK93</f>
        <v/>
      </c>
      <c r="AJ92" s="75">
        <f>Retailers!AL93</f>
        <v/>
      </c>
      <c r="AM92" s="75" t="n">
        <v>98</v>
      </c>
      <c r="AN92" s="2">
        <f>IF(P92&gt;0,IF(D92=0,"Big stock",AB92/AH92),"Inesgotável")</f>
        <v/>
      </c>
      <c r="AO92" s="2">
        <f>IF(Q92&gt;0,IF(E92=0,"Big stock",AC92/AI92),"Inesgotável")</f>
        <v/>
      </c>
      <c r="AP92" s="2">
        <f>IF(R92&gt;0,IF(F92=0,"Big stock",AD92/AJ92),"Inesgotável")</f>
        <v/>
      </c>
      <c r="AS92" s="75" t="n">
        <v>98</v>
      </c>
      <c r="AT92" s="2">
        <f>Retailers_Cap!BL94</f>
        <v/>
      </c>
      <c r="AU92" s="2">
        <f>Retailers_Cap!BM94</f>
        <v/>
      </c>
      <c r="AV92" s="2">
        <f>Retailers_Cap!BN94</f>
        <v/>
      </c>
      <c r="AY92" s="75" t="n">
        <v>98</v>
      </c>
      <c r="AZ92" s="2">
        <f>IF(D92=0,"no repl",AB92-AT92)</f>
        <v/>
      </c>
      <c r="BA92" s="2">
        <f>IF(E92=0,"no repl",AC92-AU92)</f>
        <v/>
      </c>
      <c r="BB92" s="2">
        <f>IF(F92=0,"no repl",AD92-AV92)</f>
        <v/>
      </c>
    </row>
    <row r="93">
      <c r="C93" s="75" t="n">
        <v>99</v>
      </c>
      <c r="D93" s="11" t="n">
        <v>0</v>
      </c>
      <c r="E93" s="11" t="n">
        <v>16163.17482319784</v>
      </c>
      <c r="F93" s="11" t="n">
        <v>0</v>
      </c>
      <c r="I93" s="75" t="n">
        <v>99</v>
      </c>
      <c r="J93" s="11" t="n">
        <v>151278.9</v>
      </c>
      <c r="K93" s="11" t="n">
        <v>7842.960000000001</v>
      </c>
      <c r="L93" s="11" t="n">
        <v>86239.05</v>
      </c>
      <c r="O93" s="75" t="n">
        <v>99</v>
      </c>
      <c r="P93" s="11" t="n">
        <v>0</v>
      </c>
      <c r="Q93" s="11" t="n">
        <v>9383.364704147143</v>
      </c>
      <c r="R93" s="11" t="n">
        <v>0</v>
      </c>
      <c r="U93" s="75" t="n">
        <v>99</v>
      </c>
      <c r="V93" s="3">
        <f>J93-P93+D93</f>
        <v/>
      </c>
      <c r="W93" s="3">
        <f>K93-Q93+E93</f>
        <v/>
      </c>
      <c r="X93" s="3">
        <f>L93-R93+F93</f>
        <v/>
      </c>
      <c r="AA93" s="75" t="n">
        <v>99</v>
      </c>
      <c r="AB93" s="2">
        <f>IF(Demand!AU112&gt;Retailers_Cap!N95,(V93/Retailers!P94)/(Demand!AU112-Retailers_Cap!N95),"Inesgotável")</f>
        <v/>
      </c>
      <c r="AC93" s="2">
        <f>IF(Demand!AV112&gt;Retailers_Cap!O95,(W93/Retailers!Q94)/(Demand!AV112-Retailers_Cap!O95),"Inesgotável")</f>
        <v/>
      </c>
      <c r="AD93" s="2">
        <f>IF(Demand!AW112&gt;Retailers_Cap!P95,(X93/Retailers!R94)/(Demand!AW112-Retailers_Cap!P95),"Inesgotável")</f>
        <v/>
      </c>
      <c r="AG93" s="75" t="n">
        <v>99</v>
      </c>
      <c r="AH93" s="75">
        <f>Retailers!AJ94</f>
        <v/>
      </c>
      <c r="AI93" s="75">
        <f>Retailers!AK94</f>
        <v/>
      </c>
      <c r="AJ93" s="75">
        <f>Retailers!AL94</f>
        <v/>
      </c>
      <c r="AM93" s="75" t="n">
        <v>99</v>
      </c>
      <c r="AN93" s="2">
        <f>IF(P93&gt;0,IF(D93=0,"Big stock",AB93/AH93),"Inesgotável")</f>
        <v/>
      </c>
      <c r="AO93" s="2">
        <f>IF(Q93&gt;0,IF(E93=0,"Big stock",AC93/AI93),"Inesgotável")</f>
        <v/>
      </c>
      <c r="AP93" s="2">
        <f>IF(R93&gt;0,IF(F93=0,"Big stock",AD93/AJ93),"Inesgotável")</f>
        <v/>
      </c>
      <c r="AS93" s="75" t="n">
        <v>99</v>
      </c>
      <c r="AT93" s="2">
        <f>Retailers_Cap!BL95</f>
        <v/>
      </c>
      <c r="AU93" s="2">
        <f>Retailers_Cap!BM95</f>
        <v/>
      </c>
      <c r="AV93" s="2">
        <f>Retailers_Cap!BN95</f>
        <v/>
      </c>
      <c r="AY93" s="75" t="n">
        <v>99</v>
      </c>
      <c r="AZ93" s="2">
        <f>IF(D93=0,"no repl",AB93-AT93)</f>
        <v/>
      </c>
      <c r="BA93" s="2">
        <f>IF(E93=0,"no repl",AC93-AU93)</f>
        <v/>
      </c>
      <c r="BB93" s="2">
        <f>IF(F93=0,"no repl",AD93-AV93)</f>
        <v/>
      </c>
    </row>
    <row r="94">
      <c r="C94" s="75" t="n">
        <v>100</v>
      </c>
      <c r="D94" s="11" t="n">
        <v>0</v>
      </c>
      <c r="E94" s="11" t="n">
        <v>0</v>
      </c>
      <c r="F94" s="11" t="n">
        <v>0</v>
      </c>
      <c r="I94" s="75" t="n">
        <v>100</v>
      </c>
      <c r="J94" s="11" t="n">
        <v>7990.839999999999</v>
      </c>
      <c r="K94" s="11" t="n">
        <v>51102.06</v>
      </c>
      <c r="L94" s="11" t="n">
        <v>15435.54</v>
      </c>
      <c r="O94" s="75" t="n">
        <v>100</v>
      </c>
      <c r="P94" s="11" t="n">
        <v>0</v>
      </c>
      <c r="Q94" s="11" t="n">
        <v>0</v>
      </c>
      <c r="R94" s="11" t="n">
        <v>0</v>
      </c>
      <c r="U94" s="75" t="n">
        <v>100</v>
      </c>
      <c r="V94" s="3">
        <f>J94-P94+D94</f>
        <v/>
      </c>
      <c r="W94" s="3">
        <f>K94-Q94+E94</f>
        <v/>
      </c>
      <c r="X94" s="3">
        <f>L94-R94+F94</f>
        <v/>
      </c>
      <c r="AA94" s="75" t="n">
        <v>100</v>
      </c>
      <c r="AB94" s="2">
        <f>IF(Demand!AU113&gt;Retailers_Cap!N96,(V94/Retailers!P95)/(Demand!AU113-Retailers_Cap!N96),"Inesgotável")</f>
        <v/>
      </c>
      <c r="AC94" s="2">
        <f>IF(Demand!AV113&gt;Retailers_Cap!O96,(W94/Retailers!Q95)/(Demand!AV113-Retailers_Cap!O96),"Inesgotável")</f>
        <v/>
      </c>
      <c r="AD94" s="2">
        <f>IF(Demand!AW113&gt;Retailers_Cap!P96,(X94/Retailers!R95)/(Demand!AW113-Retailers_Cap!P96),"Inesgotável")</f>
        <v/>
      </c>
      <c r="AG94" s="75" t="n">
        <v>100</v>
      </c>
      <c r="AH94" s="75">
        <f>Retailers!AJ95</f>
        <v/>
      </c>
      <c r="AI94" s="75">
        <f>Retailers!AK95</f>
        <v/>
      </c>
      <c r="AJ94" s="75">
        <f>Retailers!AL95</f>
        <v/>
      </c>
      <c r="AM94" s="75" t="n">
        <v>100</v>
      </c>
      <c r="AN94" s="2">
        <f>IF(P94&gt;0,IF(D94=0,"Big stock",AB94/AH94),"Inesgotável")</f>
        <v/>
      </c>
      <c r="AO94" s="2">
        <f>IF(Q94&gt;0,IF(E94=0,"Big stock",AC94/AI94),"Inesgotável")</f>
        <v/>
      </c>
      <c r="AP94" s="2">
        <f>IF(R94&gt;0,IF(F94=0,"Big stock",AD94/AJ94),"Inesgotável")</f>
        <v/>
      </c>
      <c r="AS94" s="75" t="n">
        <v>100</v>
      </c>
      <c r="AT94" s="2">
        <f>Retailers_Cap!BL96</f>
        <v/>
      </c>
      <c r="AU94" s="2">
        <f>Retailers_Cap!BM96</f>
        <v/>
      </c>
      <c r="AV94" s="2">
        <f>Retailers_Cap!BN96</f>
        <v/>
      </c>
      <c r="AY94" s="75" t="n">
        <v>100</v>
      </c>
      <c r="AZ94" s="2">
        <f>IF(D94=0,"no repl",AB94-AT94)</f>
        <v/>
      </c>
      <c r="BA94" s="2">
        <f>IF(E94=0,"no repl",AC94-AU94)</f>
        <v/>
      </c>
      <c r="BB94" s="2">
        <f>IF(F94=0,"no repl",AD94-AV94)</f>
        <v/>
      </c>
    </row>
    <row r="95">
      <c r="C95" s="75" t="n">
        <v>101</v>
      </c>
      <c r="D95" s="11" t="n">
        <v>0</v>
      </c>
      <c r="E95" s="11" t="n">
        <v>0</v>
      </c>
      <c r="F95" s="11" t="n">
        <v>0</v>
      </c>
      <c r="I95" s="75" t="n">
        <v>101</v>
      </c>
      <c r="J95" s="11" t="n">
        <v>37227.06</v>
      </c>
      <c r="K95" s="11" t="n">
        <v>78139.60000000001</v>
      </c>
      <c r="L95" s="11" t="n">
        <v>61530.14</v>
      </c>
      <c r="O95" s="75" t="n">
        <v>101</v>
      </c>
      <c r="P95" s="11" t="n">
        <v>0</v>
      </c>
      <c r="Q95" s="11" t="n">
        <v>0</v>
      </c>
      <c r="R95" s="11" t="n">
        <v>0</v>
      </c>
      <c r="U95" s="75" t="n">
        <v>101</v>
      </c>
      <c r="V95" s="3">
        <f>J95-P95+D95</f>
        <v/>
      </c>
      <c r="W95" s="3">
        <f>K95-Q95+E95</f>
        <v/>
      </c>
      <c r="X95" s="3">
        <f>L95-R95+F95</f>
        <v/>
      </c>
      <c r="AA95" s="75" t="n">
        <v>101</v>
      </c>
      <c r="AB95" s="2">
        <f>IF(Demand!AU114&gt;Retailers_Cap!N97,(V95/Retailers!P96)/(Demand!AU114-Retailers_Cap!N97),"Inesgotável")</f>
        <v/>
      </c>
      <c r="AC95" s="2">
        <f>IF(Demand!AV114&gt;Retailers_Cap!O97,(W95/Retailers!Q96)/(Demand!AV114-Retailers_Cap!O97),"Inesgotável")</f>
        <v/>
      </c>
      <c r="AD95" s="2">
        <f>IF(Demand!AW114&gt;Retailers_Cap!P97,(X95/Retailers!R96)/(Demand!AW114-Retailers_Cap!P97),"Inesgotável")</f>
        <v/>
      </c>
      <c r="AG95" s="75" t="n">
        <v>101</v>
      </c>
      <c r="AH95" s="75">
        <f>Retailers!AJ96</f>
        <v/>
      </c>
      <c r="AI95" s="75">
        <f>Retailers!AK96</f>
        <v/>
      </c>
      <c r="AJ95" s="75">
        <f>Retailers!AL96</f>
        <v/>
      </c>
      <c r="AM95" s="75" t="n">
        <v>101</v>
      </c>
      <c r="AN95" s="2">
        <f>IF(P95&gt;0,IF(D95=0,"Big stock",AB95/AH95),"Inesgotável")</f>
        <v/>
      </c>
      <c r="AO95" s="2">
        <f>IF(Q95&gt;0,IF(E95=0,"Big stock",AC95/AI95),"Inesgotável")</f>
        <v/>
      </c>
      <c r="AP95" s="2">
        <f>IF(R95&gt;0,IF(F95=0,"Big stock",AD95/AJ95),"Inesgotável")</f>
        <v/>
      </c>
      <c r="AS95" s="75" t="n">
        <v>101</v>
      </c>
      <c r="AT95" s="2">
        <f>Retailers_Cap!BL97</f>
        <v/>
      </c>
      <c r="AU95" s="2">
        <f>Retailers_Cap!BM97</f>
        <v/>
      </c>
      <c r="AV95" s="2">
        <f>Retailers_Cap!BN97</f>
        <v/>
      </c>
      <c r="AY95" s="75" t="n">
        <v>101</v>
      </c>
      <c r="AZ95" s="2">
        <f>IF(D95=0,"no repl",AB95-AT95)</f>
        <v/>
      </c>
      <c r="BA95" s="2">
        <f>IF(E95=0,"no repl",AC95-AU95)</f>
        <v/>
      </c>
      <c r="BB95" s="2">
        <f>IF(F95=0,"no repl",AD95-AV95)</f>
        <v/>
      </c>
    </row>
    <row r="96">
      <c r="C96" s="75" t="n">
        <v>102</v>
      </c>
      <c r="D96" s="11" t="n">
        <v>328600.5009835984</v>
      </c>
      <c r="E96" s="11" t="n">
        <v>0</v>
      </c>
      <c r="F96" s="11" t="n">
        <v>107054.0011413475</v>
      </c>
      <c r="I96" s="75" t="n">
        <v>102</v>
      </c>
      <c r="J96" s="11" t="n">
        <v>35210.61</v>
      </c>
      <c r="K96" s="11" t="n">
        <v>8401.029999999999</v>
      </c>
      <c r="L96" s="11" t="n">
        <v>88344</v>
      </c>
      <c r="O96" s="75" t="n">
        <v>102</v>
      </c>
      <c r="P96" s="11" t="n">
        <v>199174.0285526564</v>
      </c>
      <c r="Q96" s="11" t="n">
        <v>0</v>
      </c>
      <c r="R96" s="11" t="n">
        <v>63719.81157786666</v>
      </c>
      <c r="U96" s="75" t="n">
        <v>102</v>
      </c>
      <c r="V96" s="3">
        <f>J96-P96+D96</f>
        <v/>
      </c>
      <c r="W96" s="3">
        <f>K96-Q96+E96</f>
        <v/>
      </c>
      <c r="X96" s="3">
        <f>L96-R96+F96</f>
        <v/>
      </c>
      <c r="AA96" s="75" t="n">
        <v>102</v>
      </c>
      <c r="AB96" s="2">
        <f>IF(Demand!AU115&gt;Retailers_Cap!N98,(V96/Retailers!P97)/(Demand!AU115-Retailers_Cap!N98),"Inesgotável")</f>
        <v/>
      </c>
      <c r="AC96" s="2">
        <f>IF(Demand!AV115&gt;Retailers_Cap!O98,(W96/Retailers!Q97)/(Demand!AV115-Retailers_Cap!O98),"Inesgotável")</f>
        <v/>
      </c>
      <c r="AD96" s="2">
        <f>IF(Demand!AW115&gt;Retailers_Cap!P98,(X96/Retailers!R97)/(Demand!AW115-Retailers_Cap!P98),"Inesgotável")</f>
        <v/>
      </c>
      <c r="AG96" s="75" t="n">
        <v>102</v>
      </c>
      <c r="AH96" s="75">
        <f>Retailers!AJ97</f>
        <v/>
      </c>
      <c r="AI96" s="75">
        <f>Retailers!AK97</f>
        <v/>
      </c>
      <c r="AJ96" s="75">
        <f>Retailers!AL97</f>
        <v/>
      </c>
      <c r="AM96" s="75" t="n">
        <v>102</v>
      </c>
      <c r="AN96" s="2">
        <f>IF(P96&gt;0,IF(D96=0,"Big stock",AB96/AH96),"Inesgotável")</f>
        <v/>
      </c>
      <c r="AO96" s="2">
        <f>IF(Q96&gt;0,IF(E96=0,"Big stock",AC96/AI96),"Inesgotável")</f>
        <v/>
      </c>
      <c r="AP96" s="2">
        <f>IF(R96&gt;0,IF(F96=0,"Big stock",AD96/AJ96),"Inesgotável")</f>
        <v/>
      </c>
      <c r="AS96" s="75" t="n">
        <v>102</v>
      </c>
      <c r="AT96" s="2">
        <f>Retailers_Cap!BL98</f>
        <v/>
      </c>
      <c r="AU96" s="2">
        <f>Retailers_Cap!BM98</f>
        <v/>
      </c>
      <c r="AV96" s="2">
        <f>Retailers_Cap!BN98</f>
        <v/>
      </c>
      <c r="AY96" s="75" t="n">
        <v>102</v>
      </c>
      <c r="AZ96" s="2">
        <f>IF(D96=0,"no repl",AB96-AT96)</f>
        <v/>
      </c>
      <c r="BA96" s="2">
        <f>IF(E96=0,"no repl",AC96-AU96)</f>
        <v/>
      </c>
      <c r="BB96" s="2">
        <f>IF(F96=0,"no repl",AD96-AV96)</f>
        <v/>
      </c>
    </row>
    <row r="97">
      <c r="C97" s="75" t="n">
        <v>103</v>
      </c>
      <c r="D97" s="11" t="n">
        <v>0</v>
      </c>
      <c r="E97" s="11" t="n">
        <v>0</v>
      </c>
      <c r="F97" s="11" t="n">
        <v>0</v>
      </c>
      <c r="I97" s="75" t="n">
        <v>103</v>
      </c>
      <c r="J97" s="11" t="n">
        <v>52053.92</v>
      </c>
      <c r="K97" s="11" t="n">
        <v>57297.76</v>
      </c>
      <c r="L97" s="11" t="n">
        <v>62688.51</v>
      </c>
      <c r="O97" s="75" t="n">
        <v>103</v>
      </c>
      <c r="P97" s="11" t="n">
        <v>0</v>
      </c>
      <c r="Q97" s="11" t="n">
        <v>0</v>
      </c>
      <c r="R97" s="11" t="n">
        <v>0</v>
      </c>
      <c r="U97" s="75" t="n">
        <v>103</v>
      </c>
      <c r="V97" s="3">
        <f>J97-P97+D97</f>
        <v/>
      </c>
      <c r="W97" s="3">
        <f>K97-Q97+E97</f>
        <v/>
      </c>
      <c r="X97" s="3">
        <f>L97-R97+F97</f>
        <v/>
      </c>
      <c r="AA97" s="75" t="n">
        <v>103</v>
      </c>
      <c r="AB97" s="2">
        <f>IF(Demand!AU116&gt;Retailers_Cap!N99,(V97/Retailers!P98)/(Demand!AU116-Retailers_Cap!N99),"Inesgotável")</f>
        <v/>
      </c>
      <c r="AC97" s="2">
        <f>IF(Demand!AV116&gt;Retailers_Cap!O99,(W97/Retailers!Q98)/(Demand!AV116-Retailers_Cap!O99),"Inesgotável")</f>
        <v/>
      </c>
      <c r="AD97" s="2">
        <f>IF(Demand!AW116&gt;Retailers_Cap!P99,(X97/Retailers!R98)/(Demand!AW116-Retailers_Cap!P99),"Inesgotável")</f>
        <v/>
      </c>
      <c r="AG97" s="75" t="n">
        <v>103</v>
      </c>
      <c r="AH97" s="75">
        <f>Retailers!AJ98</f>
        <v/>
      </c>
      <c r="AI97" s="75">
        <f>Retailers!AK98</f>
        <v/>
      </c>
      <c r="AJ97" s="75">
        <f>Retailers!AL98</f>
        <v/>
      </c>
      <c r="AM97" s="75" t="n">
        <v>103</v>
      </c>
      <c r="AN97" s="2">
        <f>IF(P97&gt;0,IF(D97=0,"Big stock",AB97/AH97),"Inesgotável")</f>
        <v/>
      </c>
      <c r="AO97" s="2">
        <f>IF(Q97&gt;0,IF(E97=0,"Big stock",AC97/AI97),"Inesgotável")</f>
        <v/>
      </c>
      <c r="AP97" s="2">
        <f>IF(R97&gt;0,IF(F97=0,"Big stock",AD97/AJ97),"Inesgotável")</f>
        <v/>
      </c>
      <c r="AS97" s="75" t="n">
        <v>103</v>
      </c>
      <c r="AT97" s="2">
        <f>Retailers_Cap!BL99</f>
        <v/>
      </c>
      <c r="AU97" s="2">
        <f>Retailers_Cap!BM99</f>
        <v/>
      </c>
      <c r="AV97" s="2">
        <f>Retailers_Cap!BN99</f>
        <v/>
      </c>
      <c r="AY97" s="75" t="n">
        <v>103</v>
      </c>
      <c r="AZ97" s="2">
        <f>IF(D97=0,"no repl",AB97-AT97)</f>
        <v/>
      </c>
      <c r="BA97" s="2">
        <f>IF(E97=0,"no repl",AC97-AU97)</f>
        <v/>
      </c>
      <c r="BB97" s="2">
        <f>IF(F97=0,"no repl",AD97-AV97)</f>
        <v/>
      </c>
    </row>
    <row r="98">
      <c r="C98" s="75" t="n">
        <v>104</v>
      </c>
      <c r="D98" s="11" t="n">
        <v>331570.3887399379</v>
      </c>
      <c r="E98" s="11" t="n">
        <v>0</v>
      </c>
      <c r="F98" s="11" t="n">
        <v>0</v>
      </c>
      <c r="I98" s="75" t="n">
        <v>104</v>
      </c>
      <c r="J98" s="11" t="n">
        <v>25040.19</v>
      </c>
      <c r="K98" s="11" t="n">
        <v>71460.18000000001</v>
      </c>
      <c r="L98" s="11" t="n">
        <v>138887.65</v>
      </c>
      <c r="O98" s="75" t="n">
        <v>104</v>
      </c>
      <c r="P98" s="11" t="n">
        <v>194187.1747460132</v>
      </c>
      <c r="Q98" s="11" t="n">
        <v>0</v>
      </c>
      <c r="R98" s="11" t="n">
        <v>0</v>
      </c>
      <c r="U98" s="75" t="n">
        <v>104</v>
      </c>
      <c r="V98" s="3">
        <f>J98-P98+D98</f>
        <v/>
      </c>
      <c r="W98" s="3">
        <f>K98-Q98+E98</f>
        <v/>
      </c>
      <c r="X98" s="3">
        <f>L98-R98+F98</f>
        <v/>
      </c>
      <c r="AA98" s="75" t="n">
        <v>104</v>
      </c>
      <c r="AB98" s="2">
        <f>IF(Demand!AU117&gt;Retailers_Cap!N100,(V98/Retailers!P99)/(Demand!AU117-Retailers_Cap!N100),"Inesgotável")</f>
        <v/>
      </c>
      <c r="AC98" s="2">
        <f>IF(Demand!AV117&gt;Retailers_Cap!O100,(W98/Retailers!Q99)/(Demand!AV117-Retailers_Cap!O100),"Inesgotável")</f>
        <v/>
      </c>
      <c r="AD98" s="2">
        <f>IF(Demand!AW117&gt;Retailers_Cap!P100,(X98/Retailers!R99)/(Demand!AW117-Retailers_Cap!P100),"Inesgotável")</f>
        <v/>
      </c>
      <c r="AG98" s="75" t="n">
        <v>104</v>
      </c>
      <c r="AH98" s="75">
        <f>Retailers!AJ99</f>
        <v/>
      </c>
      <c r="AI98" s="75">
        <f>Retailers!AK99</f>
        <v/>
      </c>
      <c r="AJ98" s="75">
        <f>Retailers!AL99</f>
        <v/>
      </c>
      <c r="AM98" s="75" t="n">
        <v>104</v>
      </c>
      <c r="AN98" s="2">
        <f>IF(P98&gt;0,IF(D98=0,"Big stock",AB98/AH98),"Inesgotável")</f>
        <v/>
      </c>
      <c r="AO98" s="2">
        <f>IF(Q98&gt;0,IF(E98=0,"Big stock",AC98/AI98),"Inesgotável")</f>
        <v/>
      </c>
      <c r="AP98" s="2">
        <f>IF(R98&gt;0,IF(F98=0,"Big stock",AD98/AJ98),"Inesgotável")</f>
        <v/>
      </c>
      <c r="AS98" s="75" t="n">
        <v>104</v>
      </c>
      <c r="AT98" s="2">
        <f>Retailers_Cap!BL100</f>
        <v/>
      </c>
      <c r="AU98" s="2">
        <f>Retailers_Cap!BM100</f>
        <v/>
      </c>
      <c r="AV98" s="2">
        <f>Retailers_Cap!BN100</f>
        <v/>
      </c>
      <c r="AY98" s="75" t="n">
        <v>104</v>
      </c>
      <c r="AZ98" s="2">
        <f>IF(D98=0,"no repl",AB98-AT98)</f>
        <v/>
      </c>
      <c r="BA98" s="2">
        <f>IF(E98=0,"no repl",AC98-AU98)</f>
        <v/>
      </c>
      <c r="BB98" s="2">
        <f>IF(F98=0,"no repl",AD98-AV98)</f>
        <v/>
      </c>
    </row>
    <row r="99">
      <c r="C99" s="75" t="n">
        <v>105</v>
      </c>
      <c r="D99" s="11" t="n">
        <v>86046.48971273097</v>
      </c>
      <c r="E99" s="11" t="n">
        <v>0</v>
      </c>
      <c r="F99" s="11" t="n">
        <v>330996.6682521027</v>
      </c>
      <c r="I99" s="75" t="n">
        <v>105</v>
      </c>
      <c r="J99" s="11" t="n">
        <v>23230.16</v>
      </c>
      <c r="K99" s="11" t="n">
        <v>14727.44</v>
      </c>
      <c r="L99" s="11" t="n">
        <v>99064.31</v>
      </c>
      <c r="O99" s="75" t="n">
        <v>105</v>
      </c>
      <c r="P99" s="11" t="n">
        <v>56135.46918494838</v>
      </c>
      <c r="Q99" s="11" t="n">
        <v>0</v>
      </c>
      <c r="R99" s="11" t="n">
        <v>190839.0641015558</v>
      </c>
      <c r="U99" s="75" t="n">
        <v>105</v>
      </c>
      <c r="V99" s="3">
        <f>J99-P99+D99</f>
        <v/>
      </c>
      <c r="W99" s="3">
        <f>K99-Q99+E99</f>
        <v/>
      </c>
      <c r="X99" s="3">
        <f>L99-R99+F99</f>
        <v/>
      </c>
      <c r="AA99" s="75" t="n">
        <v>105</v>
      </c>
      <c r="AB99" s="2">
        <f>IF(Demand!AU118&gt;Retailers_Cap!N101,(V99/Retailers!P100)/(Demand!AU118-Retailers_Cap!N101),"Inesgotável")</f>
        <v/>
      </c>
      <c r="AC99" s="2">
        <f>IF(Demand!AV118&gt;Retailers_Cap!O101,(W99/Retailers!Q100)/(Demand!AV118-Retailers_Cap!O101),"Inesgotável")</f>
        <v/>
      </c>
      <c r="AD99" s="2">
        <f>IF(Demand!AW118&gt;Retailers_Cap!P101,(X99/Retailers!R100)/(Demand!AW118-Retailers_Cap!P101),"Inesgotável")</f>
        <v/>
      </c>
      <c r="AG99" s="75" t="n">
        <v>105</v>
      </c>
      <c r="AH99" s="75">
        <f>Retailers!AJ100</f>
        <v/>
      </c>
      <c r="AI99" s="75">
        <f>Retailers!AK100</f>
        <v/>
      </c>
      <c r="AJ99" s="75">
        <f>Retailers!AL100</f>
        <v/>
      </c>
      <c r="AM99" s="75" t="n">
        <v>105</v>
      </c>
      <c r="AN99" s="2">
        <f>IF(P99&gt;0,IF(D99=0,"Big stock",AB99/AH99),"Inesgotável")</f>
        <v/>
      </c>
      <c r="AO99" s="2">
        <f>IF(Q99&gt;0,IF(E99=0,"Big stock",AC99/AI99),"Inesgotável")</f>
        <v/>
      </c>
      <c r="AP99" s="2">
        <f>IF(R99&gt;0,IF(F99=0,"Big stock",AD99/AJ99),"Inesgotável")</f>
        <v/>
      </c>
      <c r="AS99" s="75" t="n">
        <v>105</v>
      </c>
      <c r="AT99" s="2">
        <f>Retailers_Cap!BL101</f>
        <v/>
      </c>
      <c r="AU99" s="2">
        <f>Retailers_Cap!BM101</f>
        <v/>
      </c>
      <c r="AV99" s="2">
        <f>Retailers_Cap!BN101</f>
        <v/>
      </c>
      <c r="AY99" s="75" t="n">
        <v>105</v>
      </c>
      <c r="AZ99" s="2">
        <f>IF(D99=0,"no repl",AB99-AT99)</f>
        <v/>
      </c>
      <c r="BA99" s="2">
        <f>IF(E99=0,"no repl",AC99-AU99)</f>
        <v/>
      </c>
      <c r="BB99" s="2">
        <f>IF(F99=0,"no repl",AD99-AV99)</f>
        <v/>
      </c>
    </row>
    <row r="100">
      <c r="C100" s="75" t="n">
        <v>106</v>
      </c>
      <c r="D100" s="11" t="n">
        <v>87089.51150412338</v>
      </c>
      <c r="E100" s="11" t="n">
        <v>0</v>
      </c>
      <c r="F100" s="11" t="n">
        <v>36508.9457818926</v>
      </c>
      <c r="I100" s="75" t="n">
        <v>106</v>
      </c>
      <c r="J100" s="11" t="n">
        <v>4412.73</v>
      </c>
      <c r="K100" s="11" t="n">
        <v>101286</v>
      </c>
      <c r="L100" s="11" t="n">
        <v>41826.7</v>
      </c>
      <c r="O100" s="75" t="n">
        <v>106</v>
      </c>
      <c r="P100" s="11" t="n">
        <v>55128.38389042796</v>
      </c>
      <c r="Q100" s="11" t="n">
        <v>0</v>
      </c>
      <c r="R100" s="11" t="n">
        <v>23088.69458347824</v>
      </c>
      <c r="U100" s="75" t="n">
        <v>106</v>
      </c>
      <c r="V100" s="3">
        <f>J100-P100+D100</f>
        <v/>
      </c>
      <c r="W100" s="3">
        <f>K100-Q100+E100</f>
        <v/>
      </c>
      <c r="X100" s="3">
        <f>L100-R100+F100</f>
        <v/>
      </c>
      <c r="AA100" s="75" t="n">
        <v>106</v>
      </c>
      <c r="AB100" s="2">
        <f>IF(Demand!AU119&gt;Retailers_Cap!N102,(V100/Retailers!P101)/(Demand!AU119-Retailers_Cap!N102),"Inesgotável")</f>
        <v/>
      </c>
      <c r="AC100" s="2">
        <f>IF(Demand!AV119&gt;Retailers_Cap!O102,(W100/Retailers!Q101)/(Demand!AV119-Retailers_Cap!O102),"Inesgotável")</f>
        <v/>
      </c>
      <c r="AD100" s="2">
        <f>IF(Demand!AW119&gt;Retailers_Cap!P102,(X100/Retailers!R101)/(Demand!AW119-Retailers_Cap!P102),"Inesgotável")</f>
        <v/>
      </c>
      <c r="AG100" s="75" t="n">
        <v>106</v>
      </c>
      <c r="AH100" s="75">
        <f>Retailers!AJ101</f>
        <v/>
      </c>
      <c r="AI100" s="75">
        <f>Retailers!AK101</f>
        <v/>
      </c>
      <c r="AJ100" s="75">
        <f>Retailers!AL101</f>
        <v/>
      </c>
      <c r="AM100" s="75" t="n">
        <v>106</v>
      </c>
      <c r="AN100" s="2">
        <f>IF(P100&gt;0,IF(D100=0,"Big stock",AB100/AH100),"Inesgotável")</f>
        <v/>
      </c>
      <c r="AO100" s="2">
        <f>IF(Q100&gt;0,IF(E100=0,"Big stock",AC100/AI100),"Inesgotável")</f>
        <v/>
      </c>
      <c r="AP100" s="2">
        <f>IF(R100&gt;0,IF(F100=0,"Big stock",AD100/AJ100),"Inesgotável")</f>
        <v/>
      </c>
      <c r="AS100" s="75" t="n">
        <v>106</v>
      </c>
      <c r="AT100" s="2">
        <f>Retailers_Cap!BL102</f>
        <v/>
      </c>
      <c r="AU100" s="2">
        <f>Retailers_Cap!BM102</f>
        <v/>
      </c>
      <c r="AV100" s="2">
        <f>Retailers_Cap!BN102</f>
        <v/>
      </c>
      <c r="AY100" s="75" t="n">
        <v>106</v>
      </c>
      <c r="AZ100" s="2">
        <f>IF(D100=0,"no repl",AB100-AT100)</f>
        <v/>
      </c>
      <c r="BA100" s="2">
        <f>IF(E100=0,"no repl",AC100-AU100)</f>
        <v/>
      </c>
      <c r="BB100" s="2">
        <f>IF(F100=0,"no repl",AD100-AV100)</f>
        <v/>
      </c>
    </row>
    <row r="101">
      <c r="C101" s="75" t="n">
        <v>107</v>
      </c>
      <c r="D101" s="11" t="n">
        <v>0</v>
      </c>
      <c r="E101" s="11" t="n">
        <v>0</v>
      </c>
      <c r="F101" s="11" t="n">
        <v>195962.6479006816</v>
      </c>
      <c r="I101" s="75" t="n">
        <v>107</v>
      </c>
      <c r="J101" s="11" t="n">
        <v>20305.55</v>
      </c>
      <c r="K101" s="11" t="n">
        <v>35701</v>
      </c>
      <c r="L101" s="11" t="n">
        <v>40444.25</v>
      </c>
      <c r="O101" s="75" t="n">
        <v>107</v>
      </c>
      <c r="P101" s="11" t="n">
        <v>0</v>
      </c>
      <c r="Q101" s="11" t="n">
        <v>0</v>
      </c>
      <c r="R101" s="11" t="n">
        <v>116343.7947828784</v>
      </c>
      <c r="U101" s="75" t="n">
        <v>107</v>
      </c>
      <c r="V101" s="3">
        <f>J101-P101+D101</f>
        <v/>
      </c>
      <c r="W101" s="3">
        <f>K101-Q101+E101</f>
        <v/>
      </c>
      <c r="X101" s="3">
        <f>L101-R101+F101</f>
        <v/>
      </c>
      <c r="AA101" s="75" t="n">
        <v>107</v>
      </c>
      <c r="AB101" s="2">
        <f>IF(Demand!AU120&gt;Retailers_Cap!N103,(V101/Retailers!P102)/(Demand!AU120-Retailers_Cap!N103),"Inesgotável")</f>
        <v/>
      </c>
      <c r="AC101" s="2">
        <f>IF(Demand!AV120&gt;Retailers_Cap!O103,(W101/Retailers!Q102)/(Demand!AV120-Retailers_Cap!O103),"Inesgotável")</f>
        <v/>
      </c>
      <c r="AD101" s="2">
        <f>IF(Demand!AW120&gt;Retailers_Cap!P103,(X101/Retailers!R102)/(Demand!AW120-Retailers_Cap!P103),"Inesgotável")</f>
        <v/>
      </c>
      <c r="AG101" s="75" t="n">
        <v>107</v>
      </c>
      <c r="AH101" s="75">
        <f>Retailers!AJ102</f>
        <v/>
      </c>
      <c r="AI101" s="75">
        <f>Retailers!AK102</f>
        <v/>
      </c>
      <c r="AJ101" s="75">
        <f>Retailers!AL102</f>
        <v/>
      </c>
      <c r="AM101" s="75" t="n">
        <v>107</v>
      </c>
      <c r="AN101" s="2">
        <f>IF(P101&gt;0,IF(D101=0,"Big stock",AB101/AH101),"Inesgotável")</f>
        <v/>
      </c>
      <c r="AO101" s="2">
        <f>IF(Q101&gt;0,IF(E101=0,"Big stock",AC101/AI101),"Inesgotável")</f>
        <v/>
      </c>
      <c r="AP101" s="2">
        <f>IF(R101&gt;0,IF(F101=0,"Big stock",AD101/AJ101),"Inesgotável")</f>
        <v/>
      </c>
      <c r="AS101" s="75" t="n">
        <v>107</v>
      </c>
      <c r="AT101" s="2">
        <f>Retailers_Cap!BL103</f>
        <v/>
      </c>
      <c r="AU101" s="2">
        <f>Retailers_Cap!BM103</f>
        <v/>
      </c>
      <c r="AV101" s="2">
        <f>Retailers_Cap!BN103</f>
        <v/>
      </c>
      <c r="AY101" s="75" t="n">
        <v>107</v>
      </c>
      <c r="AZ101" s="2">
        <f>IF(D101=0,"no repl",AB101-AT101)</f>
        <v/>
      </c>
      <c r="BA101" s="2">
        <f>IF(E101=0,"no repl",AC101-AU101)</f>
        <v/>
      </c>
      <c r="BB101" s="2">
        <f>IF(F101=0,"no repl",AD101-AV101)</f>
        <v/>
      </c>
    </row>
    <row r="102">
      <c r="C102" s="75" t="n">
        <v>108</v>
      </c>
      <c r="D102" s="11" t="n">
        <v>0</v>
      </c>
      <c r="E102" s="11" t="n">
        <v>0</v>
      </c>
      <c r="F102" s="11" t="n">
        <v>0</v>
      </c>
      <c r="I102" s="75" t="n">
        <v>108</v>
      </c>
      <c r="J102" s="11" t="n">
        <v>11981.71</v>
      </c>
      <c r="K102" s="11" t="n">
        <v>37321.6</v>
      </c>
      <c r="L102" s="11" t="n">
        <v>19905.93</v>
      </c>
      <c r="O102" s="75" t="n">
        <v>108</v>
      </c>
      <c r="P102" s="11" t="n">
        <v>0</v>
      </c>
      <c r="Q102" s="11" t="n">
        <v>0</v>
      </c>
      <c r="R102" s="11" t="n">
        <v>0</v>
      </c>
      <c r="U102" s="75" t="n">
        <v>108</v>
      </c>
      <c r="V102" s="3">
        <f>J102-P102+D102</f>
        <v/>
      </c>
      <c r="W102" s="3">
        <f>K102-Q102+E102</f>
        <v/>
      </c>
      <c r="X102" s="3">
        <f>L102-R102+F102</f>
        <v/>
      </c>
      <c r="AA102" s="75" t="n">
        <v>108</v>
      </c>
      <c r="AB102" s="2">
        <f>IF(Demand!AU121&gt;Retailers_Cap!N104,(V102/Retailers!P103)/(Demand!AU121-Retailers_Cap!N104),"Inesgotável")</f>
        <v/>
      </c>
      <c r="AC102" s="2">
        <f>IF(Demand!AV121&gt;Retailers_Cap!O104,(W102/Retailers!Q103)/(Demand!AV121-Retailers_Cap!O104),"Inesgotável")</f>
        <v/>
      </c>
      <c r="AD102" s="2">
        <f>IF(Demand!AW121&gt;Retailers_Cap!P104,(X102/Retailers!R103)/(Demand!AW121-Retailers_Cap!P104),"Inesgotável")</f>
        <v/>
      </c>
      <c r="AG102" s="75" t="n">
        <v>108</v>
      </c>
      <c r="AH102" s="75">
        <f>Retailers!AJ103</f>
        <v/>
      </c>
      <c r="AI102" s="75">
        <f>Retailers!AK103</f>
        <v/>
      </c>
      <c r="AJ102" s="75">
        <f>Retailers!AL103</f>
        <v/>
      </c>
      <c r="AM102" s="75" t="n">
        <v>108</v>
      </c>
      <c r="AN102" s="2">
        <f>IF(P102&gt;0,IF(D102=0,"Big stock",AB102/AH102),"Inesgotável")</f>
        <v/>
      </c>
      <c r="AO102" s="2">
        <f>IF(Q102&gt;0,IF(E102=0,"Big stock",AC102/AI102),"Inesgotável")</f>
        <v/>
      </c>
      <c r="AP102" s="2">
        <f>IF(R102&gt;0,IF(F102=0,"Big stock",AD102/AJ102),"Inesgotável")</f>
        <v/>
      </c>
      <c r="AS102" s="75" t="n">
        <v>108</v>
      </c>
      <c r="AT102" s="2">
        <f>Retailers_Cap!BL104</f>
        <v/>
      </c>
      <c r="AU102" s="2">
        <f>Retailers_Cap!BM104</f>
        <v/>
      </c>
      <c r="AV102" s="2">
        <f>Retailers_Cap!BN104</f>
        <v/>
      </c>
      <c r="AY102" s="75" t="n">
        <v>108</v>
      </c>
      <c r="AZ102" s="2">
        <f>IF(D102=0,"no repl",AB102-AT102)</f>
        <v/>
      </c>
      <c r="BA102" s="2">
        <f>IF(E102=0,"no repl",AC102-AU102)</f>
        <v/>
      </c>
      <c r="BB102" s="2">
        <f>IF(F102=0,"no repl",AD102-AV102)</f>
        <v/>
      </c>
    </row>
    <row r="103">
      <c r="C103" s="75" t="n">
        <v>109</v>
      </c>
      <c r="D103" s="11" t="n">
        <v>241053.5722139705</v>
      </c>
      <c r="E103" s="11" t="n">
        <v>0</v>
      </c>
      <c r="F103" s="11" t="n">
        <v>0</v>
      </c>
      <c r="I103" s="75" t="n">
        <v>109</v>
      </c>
      <c r="J103" s="11" t="n">
        <v>62196.33</v>
      </c>
      <c r="K103" s="11" t="n">
        <v>76273.2</v>
      </c>
      <c r="L103" s="11" t="n">
        <v>119346.69</v>
      </c>
      <c r="O103" s="75" t="n">
        <v>109</v>
      </c>
      <c r="P103" s="11" t="n">
        <v>147042.4622434845</v>
      </c>
      <c r="Q103" s="11" t="n">
        <v>0</v>
      </c>
      <c r="R103" s="11" t="n">
        <v>0</v>
      </c>
      <c r="U103" s="75" t="n">
        <v>109</v>
      </c>
      <c r="V103" s="3">
        <f>J103-P103+D103</f>
        <v/>
      </c>
      <c r="W103" s="3">
        <f>K103-Q103+E103</f>
        <v/>
      </c>
      <c r="X103" s="3">
        <f>L103-R103+F103</f>
        <v/>
      </c>
      <c r="AA103" s="75" t="n">
        <v>109</v>
      </c>
      <c r="AB103" s="2">
        <f>IF(Demand!AU122&gt;Retailers_Cap!N105,(V103/Retailers!P104)/(Demand!AU122-Retailers_Cap!N105),"Inesgotável")</f>
        <v/>
      </c>
      <c r="AC103" s="2">
        <f>IF(Demand!AV122&gt;Retailers_Cap!O105,(W103/Retailers!Q104)/(Demand!AV122-Retailers_Cap!O105),"Inesgotável")</f>
        <v/>
      </c>
      <c r="AD103" s="2">
        <f>IF(Demand!AW122&gt;Retailers_Cap!P105,(X103/Retailers!R104)/(Demand!AW122-Retailers_Cap!P105),"Inesgotável")</f>
        <v/>
      </c>
      <c r="AG103" s="75" t="n">
        <v>109</v>
      </c>
      <c r="AH103" s="75">
        <f>Retailers!AJ104</f>
        <v/>
      </c>
      <c r="AI103" s="75">
        <f>Retailers!AK104</f>
        <v/>
      </c>
      <c r="AJ103" s="75">
        <f>Retailers!AL104</f>
        <v/>
      </c>
      <c r="AM103" s="75" t="n">
        <v>109</v>
      </c>
      <c r="AN103" s="2">
        <f>IF(P103&gt;0,IF(D103=0,"Big stock",AB103/AH103),"Inesgotável")</f>
        <v/>
      </c>
      <c r="AO103" s="2">
        <f>IF(Q103&gt;0,IF(E103=0,"Big stock",AC103/AI103),"Inesgotável")</f>
        <v/>
      </c>
      <c r="AP103" s="2">
        <f>IF(R103&gt;0,IF(F103=0,"Big stock",AD103/AJ103),"Inesgotável")</f>
        <v/>
      </c>
      <c r="AS103" s="75" t="n">
        <v>109</v>
      </c>
      <c r="AT103" s="2">
        <f>Retailers_Cap!BL105</f>
        <v/>
      </c>
      <c r="AU103" s="2">
        <f>Retailers_Cap!BM105</f>
        <v/>
      </c>
      <c r="AV103" s="2">
        <f>Retailers_Cap!BN105</f>
        <v/>
      </c>
      <c r="AY103" s="75" t="n">
        <v>109</v>
      </c>
      <c r="AZ103" s="2">
        <f>IF(D103=0,"no repl",AB103-AT103)</f>
        <v/>
      </c>
      <c r="BA103" s="2">
        <f>IF(E103=0,"no repl",AC103-AU103)</f>
        <v/>
      </c>
      <c r="BB103" s="2">
        <f>IF(F103=0,"no repl",AD103-AV103)</f>
        <v/>
      </c>
    </row>
    <row r="104">
      <c r="C104" s="75" t="n">
        <v>110</v>
      </c>
      <c r="D104" s="11" t="n">
        <v>692487.1190169802</v>
      </c>
      <c r="E104" s="11" t="n">
        <v>0</v>
      </c>
      <c r="F104" s="11" t="n">
        <v>0</v>
      </c>
      <c r="I104" s="75" t="n">
        <v>110</v>
      </c>
      <c r="J104" s="11" t="n">
        <v>37117.36</v>
      </c>
      <c r="K104" s="11" t="n">
        <v>22698.72</v>
      </c>
      <c r="L104" s="11" t="n">
        <v>53686.18</v>
      </c>
      <c r="O104" s="75" t="n">
        <v>110</v>
      </c>
      <c r="P104" s="11" t="n">
        <v>433719.9141785938</v>
      </c>
      <c r="Q104" s="11" t="n">
        <v>0</v>
      </c>
      <c r="R104" s="11" t="n">
        <v>0</v>
      </c>
      <c r="U104" s="75" t="n">
        <v>110</v>
      </c>
      <c r="V104" s="3">
        <f>J104-P104+D104</f>
        <v/>
      </c>
      <c r="W104" s="3">
        <f>K104-Q104+E104</f>
        <v/>
      </c>
      <c r="X104" s="3">
        <f>L104-R104+F104</f>
        <v/>
      </c>
      <c r="AA104" s="75" t="n">
        <v>110</v>
      </c>
      <c r="AB104" s="2">
        <f>IF(Demand!AU123&gt;Retailers_Cap!N106,(V104/Retailers!P105)/(Demand!AU123-Retailers_Cap!N106),"Inesgotável")</f>
        <v/>
      </c>
      <c r="AC104" s="2">
        <f>IF(Demand!AV123&gt;Retailers_Cap!O106,(W104/Retailers!Q105)/(Demand!AV123-Retailers_Cap!O106),"Inesgotável")</f>
        <v/>
      </c>
      <c r="AD104" s="2">
        <f>IF(Demand!AW123&gt;Retailers_Cap!P106,(X104/Retailers!R105)/(Demand!AW123-Retailers_Cap!P106),"Inesgotável")</f>
        <v/>
      </c>
      <c r="AG104" s="75" t="n">
        <v>110</v>
      </c>
      <c r="AH104" s="75">
        <f>Retailers!AJ105</f>
        <v/>
      </c>
      <c r="AI104" s="75">
        <f>Retailers!AK105</f>
        <v/>
      </c>
      <c r="AJ104" s="75">
        <f>Retailers!AL105</f>
        <v/>
      </c>
      <c r="AM104" s="75" t="n">
        <v>110</v>
      </c>
      <c r="AN104" s="2">
        <f>IF(P104&gt;0,IF(D104=0,"Big stock",AB104/AH104),"Inesgotável")</f>
        <v/>
      </c>
      <c r="AO104" s="2">
        <f>IF(Q104&gt;0,IF(E104=0,"Big stock",AC104/AI104),"Inesgotável")</f>
        <v/>
      </c>
      <c r="AP104" s="2">
        <f>IF(R104&gt;0,IF(F104=0,"Big stock",AD104/AJ104),"Inesgotável")</f>
        <v/>
      </c>
      <c r="AS104" s="75" t="n">
        <v>110</v>
      </c>
      <c r="AT104" s="2">
        <f>Retailers_Cap!BL106</f>
        <v/>
      </c>
      <c r="AU104" s="2">
        <f>Retailers_Cap!BM106</f>
        <v/>
      </c>
      <c r="AV104" s="2">
        <f>Retailers_Cap!BN106</f>
        <v/>
      </c>
      <c r="AY104" s="75" t="n">
        <v>110</v>
      </c>
      <c r="AZ104" s="2">
        <f>IF(D104=0,"no repl",AB104-AT104)</f>
        <v/>
      </c>
      <c r="BA104" s="2">
        <f>IF(E104=0,"no repl",AC104-AU104)</f>
        <v/>
      </c>
      <c r="BB104" s="2">
        <f>IF(F104=0,"no repl",AD104-AV104)</f>
        <v/>
      </c>
    </row>
    <row r="105">
      <c r="C105" s="75" t="n">
        <v>111</v>
      </c>
      <c r="D105" s="11" t="n">
        <v>0</v>
      </c>
      <c r="E105" s="11" t="n">
        <v>0</v>
      </c>
      <c r="F105" s="11" t="n">
        <v>0</v>
      </c>
      <c r="I105" s="75" t="n">
        <v>111</v>
      </c>
      <c r="J105" s="11" t="n">
        <v>75936.96000000001</v>
      </c>
      <c r="K105" s="11" t="n">
        <v>38566.4</v>
      </c>
      <c r="L105" s="11" t="n">
        <v>16021.6</v>
      </c>
      <c r="O105" s="75" t="n">
        <v>111</v>
      </c>
      <c r="P105" s="11" t="n">
        <v>0</v>
      </c>
      <c r="Q105" s="11" t="n">
        <v>0</v>
      </c>
      <c r="R105" s="11" t="n">
        <v>0</v>
      </c>
      <c r="U105" s="75" t="n">
        <v>111</v>
      </c>
      <c r="V105" s="3">
        <f>J105-P105+D105</f>
        <v/>
      </c>
      <c r="W105" s="3">
        <f>K105-Q105+E105</f>
        <v/>
      </c>
      <c r="X105" s="3">
        <f>L105-R105+F105</f>
        <v/>
      </c>
      <c r="AA105" s="75" t="n">
        <v>111</v>
      </c>
      <c r="AB105" s="2">
        <f>IF(Demand!AU124&gt;Retailers_Cap!N107,(V105/Retailers!P106)/(Demand!AU124-Retailers_Cap!N107),"Inesgotável")</f>
        <v/>
      </c>
      <c r="AC105" s="2">
        <f>IF(Demand!AV124&gt;Retailers_Cap!O107,(W105/Retailers!Q106)/(Demand!AV124-Retailers_Cap!O107),"Inesgotável")</f>
        <v/>
      </c>
      <c r="AD105" s="2">
        <f>IF(Demand!AW124&gt;Retailers_Cap!P107,(X105/Retailers!R106)/(Demand!AW124-Retailers_Cap!P107),"Inesgotável")</f>
        <v/>
      </c>
      <c r="AG105" s="75" t="n">
        <v>111</v>
      </c>
      <c r="AH105" s="75">
        <f>Retailers!AJ106</f>
        <v/>
      </c>
      <c r="AI105" s="75">
        <f>Retailers!AK106</f>
        <v/>
      </c>
      <c r="AJ105" s="75">
        <f>Retailers!AL106</f>
        <v/>
      </c>
      <c r="AM105" s="75" t="n">
        <v>111</v>
      </c>
      <c r="AN105" s="2">
        <f>IF(P105&gt;0,IF(D105=0,"Big stock",AB105/AH105),"Inesgotável")</f>
        <v/>
      </c>
      <c r="AO105" s="2">
        <f>IF(Q105&gt;0,IF(E105=0,"Big stock",AC105/AI105),"Inesgotável")</f>
        <v/>
      </c>
      <c r="AP105" s="2">
        <f>IF(R105&gt;0,IF(F105=0,"Big stock",AD105/AJ105),"Inesgotável")</f>
        <v/>
      </c>
      <c r="AS105" s="75" t="n">
        <v>111</v>
      </c>
      <c r="AT105" s="2">
        <f>Retailers_Cap!BL107</f>
        <v/>
      </c>
      <c r="AU105" s="2">
        <f>Retailers_Cap!BM107</f>
        <v/>
      </c>
      <c r="AV105" s="2">
        <f>Retailers_Cap!BN107</f>
        <v/>
      </c>
      <c r="AY105" s="75" t="n">
        <v>111</v>
      </c>
      <c r="AZ105" s="2">
        <f>IF(D105=0,"no repl",AB105-AT105)</f>
        <v/>
      </c>
      <c r="BA105" s="2">
        <f>IF(E105=0,"no repl",AC105-AU105)</f>
        <v/>
      </c>
      <c r="BB105" s="2">
        <f>IF(F105=0,"no repl",AD105-AV105)</f>
        <v/>
      </c>
    </row>
    <row r="106">
      <c r="C106" s="75" t="n">
        <v>112</v>
      </c>
      <c r="D106" s="11" t="n">
        <v>0</v>
      </c>
      <c r="E106" s="11" t="n">
        <v>0</v>
      </c>
      <c r="F106" s="11" t="n">
        <v>0</v>
      </c>
      <c r="I106" s="75" t="n">
        <v>112</v>
      </c>
      <c r="J106" s="11" t="n">
        <v>8850.599999999999</v>
      </c>
      <c r="K106" s="11" t="n">
        <v>48809.54</v>
      </c>
      <c r="L106" s="11" t="n">
        <v>4013.55</v>
      </c>
      <c r="O106" s="75" t="n">
        <v>112</v>
      </c>
      <c r="P106" s="11" t="n">
        <v>0</v>
      </c>
      <c r="Q106" s="11" t="n">
        <v>0</v>
      </c>
      <c r="R106" s="11" t="n">
        <v>0</v>
      </c>
      <c r="U106" s="75" t="n">
        <v>112</v>
      </c>
      <c r="V106" s="3">
        <f>J106-P106+D106</f>
        <v/>
      </c>
      <c r="W106" s="3">
        <f>K106-Q106+E106</f>
        <v/>
      </c>
      <c r="X106" s="3">
        <f>L106-R106+F106</f>
        <v/>
      </c>
      <c r="AA106" s="75" t="n">
        <v>112</v>
      </c>
      <c r="AB106" s="2">
        <f>IF(Demand!AU125&gt;Retailers_Cap!N108,(V106/Retailers!P107)/(Demand!AU125-Retailers_Cap!N108),"Inesgotável")</f>
        <v/>
      </c>
      <c r="AC106" s="2">
        <f>IF(Demand!AV125&gt;Retailers_Cap!O108,(W106/Retailers!Q107)/(Demand!AV125-Retailers_Cap!O108),"Inesgotável")</f>
        <v/>
      </c>
      <c r="AD106" s="2">
        <f>IF(Demand!AW125&gt;Retailers_Cap!P108,(X106/Retailers!R107)/(Demand!AW125-Retailers_Cap!P108),"Inesgotável")</f>
        <v/>
      </c>
      <c r="AG106" s="75" t="n">
        <v>112</v>
      </c>
      <c r="AH106" s="75">
        <f>Retailers!AJ107</f>
        <v/>
      </c>
      <c r="AI106" s="75">
        <f>Retailers!AK107</f>
        <v/>
      </c>
      <c r="AJ106" s="75">
        <f>Retailers!AL107</f>
        <v/>
      </c>
      <c r="AM106" s="75" t="n">
        <v>112</v>
      </c>
      <c r="AN106" s="2">
        <f>IF(P106&gt;0,IF(D106=0,"Big stock",AB106/AH106),"Inesgotável")</f>
        <v/>
      </c>
      <c r="AO106" s="2">
        <f>IF(Q106&gt;0,IF(E106=0,"Big stock",AC106/AI106),"Inesgotável")</f>
        <v/>
      </c>
      <c r="AP106" s="2">
        <f>IF(R106&gt;0,IF(F106=0,"Big stock",AD106/AJ106),"Inesgotável")</f>
        <v/>
      </c>
      <c r="AS106" s="75" t="n">
        <v>112</v>
      </c>
      <c r="AT106" s="2">
        <f>Retailers_Cap!BL108</f>
        <v/>
      </c>
      <c r="AU106" s="2">
        <f>Retailers_Cap!BM108</f>
        <v/>
      </c>
      <c r="AV106" s="2">
        <f>Retailers_Cap!BN108</f>
        <v/>
      </c>
      <c r="AY106" s="75" t="n">
        <v>112</v>
      </c>
      <c r="AZ106" s="2">
        <f>IF(D106=0,"no repl",AB106-AT106)</f>
        <v/>
      </c>
      <c r="BA106" s="2">
        <f>IF(E106=0,"no repl",AC106-AU106)</f>
        <v/>
      </c>
      <c r="BB106" s="2">
        <f>IF(F106=0,"no repl",AD106-AV106)</f>
        <v/>
      </c>
    </row>
    <row r="107">
      <c r="C107" s="75" t="n">
        <v>113</v>
      </c>
      <c r="D107" s="11" t="n">
        <v>0</v>
      </c>
      <c r="E107" s="11" t="n">
        <v>180037.0604603296</v>
      </c>
      <c r="F107" s="11" t="n">
        <v>0</v>
      </c>
      <c r="I107" s="75" t="n">
        <v>113</v>
      </c>
      <c r="J107" s="11" t="n">
        <v>70079.74000000001</v>
      </c>
      <c r="K107" s="11" t="n">
        <v>28676.05</v>
      </c>
      <c r="L107" s="11" t="n">
        <v>53187.45</v>
      </c>
      <c r="O107" s="75" t="n">
        <v>113</v>
      </c>
      <c r="P107" s="11" t="n">
        <v>0</v>
      </c>
      <c r="Q107" s="11" t="n">
        <v>107269.366622825</v>
      </c>
      <c r="R107" s="11" t="n">
        <v>0</v>
      </c>
      <c r="U107" s="75" t="n">
        <v>113</v>
      </c>
      <c r="V107" s="3">
        <f>J107-P107+D107</f>
        <v/>
      </c>
      <c r="W107" s="3">
        <f>K107-Q107+E107</f>
        <v/>
      </c>
      <c r="X107" s="3">
        <f>L107-R107+F107</f>
        <v/>
      </c>
      <c r="AA107" s="75" t="n">
        <v>113</v>
      </c>
      <c r="AB107" s="2">
        <f>IF(Demand!AU126&gt;Retailers_Cap!N109,(V107/Retailers!P108)/(Demand!AU126-Retailers_Cap!N109),"Inesgotável")</f>
        <v/>
      </c>
      <c r="AC107" s="2">
        <f>IF(Demand!AV126&gt;Retailers_Cap!O109,(W107/Retailers!Q108)/(Demand!AV126-Retailers_Cap!O109),"Inesgotável")</f>
        <v/>
      </c>
      <c r="AD107" s="2">
        <f>IF(Demand!AW126&gt;Retailers_Cap!P109,(X107/Retailers!R108)/(Demand!AW126-Retailers_Cap!P109),"Inesgotável")</f>
        <v/>
      </c>
      <c r="AG107" s="75" t="n">
        <v>113</v>
      </c>
      <c r="AH107" s="75">
        <f>Retailers!AJ108</f>
        <v/>
      </c>
      <c r="AI107" s="75">
        <f>Retailers!AK108</f>
        <v/>
      </c>
      <c r="AJ107" s="75">
        <f>Retailers!AL108</f>
        <v/>
      </c>
      <c r="AM107" s="75" t="n">
        <v>113</v>
      </c>
      <c r="AN107" s="2">
        <f>IF(P107&gt;0,IF(D107=0,"Big stock",AB107/AH107),"Inesgotável")</f>
        <v/>
      </c>
      <c r="AO107" s="2">
        <f>IF(Q107&gt;0,IF(E107=0,"Big stock",AC107/AI107),"Inesgotável")</f>
        <v/>
      </c>
      <c r="AP107" s="2">
        <f>IF(R107&gt;0,IF(F107=0,"Big stock",AD107/AJ107),"Inesgotável")</f>
        <v/>
      </c>
      <c r="AS107" s="75" t="n">
        <v>113</v>
      </c>
      <c r="AT107" s="2">
        <f>Retailers_Cap!BL109</f>
        <v/>
      </c>
      <c r="AU107" s="2">
        <f>Retailers_Cap!BM109</f>
        <v/>
      </c>
      <c r="AV107" s="2">
        <f>Retailers_Cap!BN109</f>
        <v/>
      </c>
      <c r="AY107" s="75" t="n">
        <v>113</v>
      </c>
      <c r="AZ107" s="2">
        <f>IF(D107=0,"no repl",AB107-AT107)</f>
        <v/>
      </c>
      <c r="BA107" s="2">
        <f>IF(E107=0,"no repl",AC107-AU107)</f>
        <v/>
      </c>
      <c r="BB107" s="2">
        <f>IF(F107=0,"no repl",AD107-AV107)</f>
        <v/>
      </c>
    </row>
    <row r="108">
      <c r="C108" s="75" t="n">
        <v>114</v>
      </c>
      <c r="D108" s="11" t="n">
        <v>384077.4436241108</v>
      </c>
      <c r="E108" s="11" t="n">
        <v>0</v>
      </c>
      <c r="F108" s="11" t="n">
        <v>0</v>
      </c>
      <c r="I108" s="75" t="n">
        <v>114</v>
      </c>
      <c r="J108" s="11" t="n">
        <v>63820.17</v>
      </c>
      <c r="K108" s="11" t="n">
        <v>43565.19</v>
      </c>
      <c r="L108" s="11" t="n">
        <v>2663</v>
      </c>
      <c r="O108" s="75" t="n">
        <v>114</v>
      </c>
      <c r="P108" s="11" t="n">
        <v>223042.4326897822</v>
      </c>
      <c r="Q108" s="11" t="n">
        <v>0</v>
      </c>
      <c r="R108" s="11" t="n">
        <v>0</v>
      </c>
      <c r="U108" s="75" t="n">
        <v>114</v>
      </c>
      <c r="V108" s="3">
        <f>J108-P108+D108</f>
        <v/>
      </c>
      <c r="W108" s="3">
        <f>K108-Q108+E108</f>
        <v/>
      </c>
      <c r="X108" s="3">
        <f>L108-R108+F108</f>
        <v/>
      </c>
      <c r="AA108" s="75" t="n">
        <v>114</v>
      </c>
      <c r="AB108" s="2">
        <f>IF(Demand!AU127&gt;Retailers_Cap!N110,(V108/Retailers!P109)/(Demand!AU127-Retailers_Cap!N110),"Inesgotável")</f>
        <v/>
      </c>
      <c r="AC108" s="2">
        <f>IF(Demand!AV127&gt;Retailers_Cap!O110,(W108/Retailers!Q109)/(Demand!AV127-Retailers_Cap!O110),"Inesgotável")</f>
        <v/>
      </c>
      <c r="AD108" s="2">
        <f>IF(Demand!AW127&gt;Retailers_Cap!P110,(X108/Retailers!R109)/(Demand!AW127-Retailers_Cap!P110),"Inesgotável")</f>
        <v/>
      </c>
      <c r="AG108" s="75" t="n">
        <v>114</v>
      </c>
      <c r="AH108" s="75">
        <f>Retailers!AJ109</f>
        <v/>
      </c>
      <c r="AI108" s="75">
        <f>Retailers!AK109</f>
        <v/>
      </c>
      <c r="AJ108" s="75">
        <f>Retailers!AL109</f>
        <v/>
      </c>
      <c r="AM108" s="75" t="n">
        <v>114</v>
      </c>
      <c r="AN108" s="2">
        <f>IF(P108&gt;0,IF(D108=0,"Big stock",AB108/AH108),"Inesgotável")</f>
        <v/>
      </c>
      <c r="AO108" s="2">
        <f>IF(Q108&gt;0,IF(E108=0,"Big stock",AC108/AI108),"Inesgotável")</f>
        <v/>
      </c>
      <c r="AP108" s="2">
        <f>IF(R108&gt;0,IF(F108=0,"Big stock",AD108/AJ108),"Inesgotável")</f>
        <v/>
      </c>
      <c r="AS108" s="75" t="n">
        <v>114</v>
      </c>
      <c r="AT108" s="2">
        <f>Retailers_Cap!BL110</f>
        <v/>
      </c>
      <c r="AU108" s="2">
        <f>Retailers_Cap!BM110</f>
        <v/>
      </c>
      <c r="AV108" s="2">
        <f>Retailers_Cap!BN110</f>
        <v/>
      </c>
      <c r="AY108" s="75" t="n">
        <v>114</v>
      </c>
      <c r="AZ108" s="2">
        <f>IF(D108=0,"no repl",AB108-AT108)</f>
        <v/>
      </c>
      <c r="BA108" s="2">
        <f>IF(E108=0,"no repl",AC108-AU108)</f>
        <v/>
      </c>
      <c r="BB108" s="2">
        <f>IF(F108=0,"no repl",AD108-AV108)</f>
        <v/>
      </c>
    </row>
    <row r="109">
      <c r="C109" s="75" t="n">
        <v>115</v>
      </c>
      <c r="D109" s="11" t="n">
        <v>0</v>
      </c>
      <c r="E109" s="11" t="n">
        <v>0</v>
      </c>
      <c r="F109" s="11" t="n">
        <v>0</v>
      </c>
      <c r="I109" s="75" t="n">
        <v>115</v>
      </c>
      <c r="J109" s="11" t="n">
        <v>30163.64</v>
      </c>
      <c r="K109" s="11" t="n">
        <v>24521</v>
      </c>
      <c r="L109" s="11" t="n">
        <v>30923.28</v>
      </c>
      <c r="O109" s="75" t="n">
        <v>115</v>
      </c>
      <c r="P109" s="11" t="n">
        <v>0</v>
      </c>
      <c r="Q109" s="11" t="n">
        <v>0</v>
      </c>
      <c r="R109" s="11" t="n">
        <v>0</v>
      </c>
      <c r="U109" s="75" t="n">
        <v>115</v>
      </c>
      <c r="V109" s="3">
        <f>J109-P109+D109</f>
        <v/>
      </c>
      <c r="W109" s="3">
        <f>K109-Q109+E109</f>
        <v/>
      </c>
      <c r="X109" s="3">
        <f>L109-R109+F109</f>
        <v/>
      </c>
      <c r="AA109" s="75" t="n">
        <v>115</v>
      </c>
      <c r="AB109" s="2">
        <f>IF(Demand!AU128&gt;Retailers_Cap!N111,(V109/Retailers!P110)/(Demand!AU128-Retailers_Cap!N111),"Inesgotável")</f>
        <v/>
      </c>
      <c r="AC109" s="2">
        <f>IF(Demand!AV128&gt;Retailers_Cap!O111,(W109/Retailers!Q110)/(Demand!AV128-Retailers_Cap!O111),"Inesgotável")</f>
        <v/>
      </c>
      <c r="AD109" s="2">
        <f>IF(Demand!AW128&gt;Retailers_Cap!P111,(X109/Retailers!R110)/(Demand!AW128-Retailers_Cap!P111),"Inesgotável")</f>
        <v/>
      </c>
      <c r="AG109" s="75" t="n">
        <v>115</v>
      </c>
      <c r="AH109" s="75">
        <f>Retailers!AJ110</f>
        <v/>
      </c>
      <c r="AI109" s="75">
        <f>Retailers!AK110</f>
        <v/>
      </c>
      <c r="AJ109" s="75">
        <f>Retailers!AL110</f>
        <v/>
      </c>
      <c r="AM109" s="75" t="n">
        <v>115</v>
      </c>
      <c r="AN109" s="2">
        <f>IF(P109&gt;0,IF(D109=0,"Big stock",AB109/AH109),"Inesgotável")</f>
        <v/>
      </c>
      <c r="AO109" s="2">
        <f>IF(Q109&gt;0,IF(E109=0,"Big stock",AC109/AI109),"Inesgotável")</f>
        <v/>
      </c>
      <c r="AP109" s="2">
        <f>IF(R109&gt;0,IF(F109=0,"Big stock",AD109/AJ109),"Inesgotável")</f>
        <v/>
      </c>
      <c r="AS109" s="75" t="n">
        <v>115</v>
      </c>
      <c r="AT109" s="2">
        <f>Retailers_Cap!BL111</f>
        <v/>
      </c>
      <c r="AU109" s="2">
        <f>Retailers_Cap!BM111</f>
        <v/>
      </c>
      <c r="AV109" s="2">
        <f>Retailers_Cap!BN111</f>
        <v/>
      </c>
      <c r="AY109" s="75" t="n">
        <v>115</v>
      </c>
      <c r="AZ109" s="2">
        <f>IF(D109=0,"no repl",AB109-AT109)</f>
        <v/>
      </c>
      <c r="BA109" s="2">
        <f>IF(E109=0,"no repl",AC109-AU109)</f>
        <v/>
      </c>
      <c r="BB109" s="2">
        <f>IF(F109=0,"no repl",AD109-AV109)</f>
        <v/>
      </c>
    </row>
    <row r="110">
      <c r="C110" s="75" t="n">
        <v>116</v>
      </c>
      <c r="D110" s="11" t="n">
        <v>0</v>
      </c>
      <c r="E110" s="11" t="n">
        <v>0</v>
      </c>
      <c r="F110" s="11" t="n">
        <v>0</v>
      </c>
      <c r="I110" s="75" t="n">
        <v>116</v>
      </c>
      <c r="J110" s="11" t="n">
        <v>20605.26</v>
      </c>
      <c r="K110" s="11" t="n">
        <v>102370.88</v>
      </c>
      <c r="L110" s="11" t="n">
        <v>19812.87</v>
      </c>
      <c r="O110" s="75" t="n">
        <v>116</v>
      </c>
      <c r="P110" s="11" t="n">
        <v>0</v>
      </c>
      <c r="Q110" s="11" t="n">
        <v>0</v>
      </c>
      <c r="R110" s="11" t="n">
        <v>0</v>
      </c>
      <c r="U110" s="75" t="n">
        <v>116</v>
      </c>
      <c r="V110" s="3">
        <f>J110-P110+D110</f>
        <v/>
      </c>
      <c r="W110" s="3">
        <f>K110-Q110+E110</f>
        <v/>
      </c>
      <c r="X110" s="3">
        <f>L110-R110+F110</f>
        <v/>
      </c>
      <c r="AA110" s="75" t="n">
        <v>116</v>
      </c>
      <c r="AB110" s="2">
        <f>IF(Demand!AU129&gt;Retailers_Cap!N112,(V110/Retailers!P111)/(Demand!AU129-Retailers_Cap!N112),"Inesgotável")</f>
        <v/>
      </c>
      <c r="AC110" s="2">
        <f>IF(Demand!AV129&gt;Retailers_Cap!O112,(W110/Retailers!Q111)/(Demand!AV129-Retailers_Cap!O112),"Inesgotável")</f>
        <v/>
      </c>
      <c r="AD110" s="2">
        <f>IF(Demand!AW129&gt;Retailers_Cap!P112,(X110/Retailers!R111)/(Demand!AW129-Retailers_Cap!P112),"Inesgotável")</f>
        <v/>
      </c>
      <c r="AG110" s="75" t="n">
        <v>116</v>
      </c>
      <c r="AH110" s="75">
        <f>Retailers!AJ111</f>
        <v/>
      </c>
      <c r="AI110" s="75">
        <f>Retailers!AK111</f>
        <v/>
      </c>
      <c r="AJ110" s="75">
        <f>Retailers!AL111</f>
        <v/>
      </c>
      <c r="AM110" s="75" t="n">
        <v>116</v>
      </c>
      <c r="AN110" s="2">
        <f>IF(P110&gt;0,IF(D110=0,"Big stock",AB110/AH110),"Inesgotável")</f>
        <v/>
      </c>
      <c r="AO110" s="2">
        <f>IF(Q110&gt;0,IF(E110=0,"Big stock",AC110/AI110),"Inesgotável")</f>
        <v/>
      </c>
      <c r="AP110" s="2">
        <f>IF(R110&gt;0,IF(F110=0,"Big stock",AD110/AJ110),"Inesgotável")</f>
        <v/>
      </c>
      <c r="AS110" s="75" t="n">
        <v>116</v>
      </c>
      <c r="AT110" s="2">
        <f>Retailers_Cap!BL112</f>
        <v/>
      </c>
      <c r="AU110" s="2">
        <f>Retailers_Cap!BM112</f>
        <v/>
      </c>
      <c r="AV110" s="2">
        <f>Retailers_Cap!BN112</f>
        <v/>
      </c>
      <c r="AY110" s="75" t="n">
        <v>116</v>
      </c>
      <c r="AZ110" s="2">
        <f>IF(D110=0,"no repl",AB110-AT110)</f>
        <v/>
      </c>
      <c r="BA110" s="2">
        <f>IF(E110=0,"no repl",AC110-AU110)</f>
        <v/>
      </c>
      <c r="BB110" s="2">
        <f>IF(F110=0,"no repl",AD110-AV110)</f>
        <v/>
      </c>
    </row>
    <row r="111">
      <c r="C111" s="75" t="n">
        <v>117</v>
      </c>
      <c r="D111" s="11" t="n">
        <v>0</v>
      </c>
      <c r="E111" s="11" t="n">
        <v>0</v>
      </c>
      <c r="F111" s="11" t="n">
        <v>63634.18582874958</v>
      </c>
      <c r="I111" s="75" t="n">
        <v>117</v>
      </c>
      <c r="J111" s="11" t="n">
        <v>77927.5</v>
      </c>
      <c r="K111" s="11" t="n">
        <v>37752.75</v>
      </c>
      <c r="L111" s="11" t="n">
        <v>39296.73</v>
      </c>
      <c r="O111" s="75" t="n">
        <v>117</v>
      </c>
      <c r="P111" s="11" t="n">
        <v>0</v>
      </c>
      <c r="Q111" s="11" t="n">
        <v>0</v>
      </c>
      <c r="R111" s="11" t="n">
        <v>36638.90066547324</v>
      </c>
      <c r="U111" s="75" t="n">
        <v>117</v>
      </c>
      <c r="V111" s="3">
        <f>J111-P111+D111</f>
        <v/>
      </c>
      <c r="W111" s="3">
        <f>K111-Q111+E111</f>
        <v/>
      </c>
      <c r="X111" s="3">
        <f>L111-R111+F111</f>
        <v/>
      </c>
      <c r="AA111" s="75" t="n">
        <v>117</v>
      </c>
      <c r="AB111" s="2">
        <f>IF(Demand!AU130&gt;Retailers_Cap!N113,(V111/Retailers!P112)/(Demand!AU130-Retailers_Cap!N113),"Inesgotável")</f>
        <v/>
      </c>
      <c r="AC111" s="2">
        <f>IF(Demand!AV130&gt;Retailers_Cap!O113,(W111/Retailers!Q112)/(Demand!AV130-Retailers_Cap!O113),"Inesgotável")</f>
        <v/>
      </c>
      <c r="AD111" s="2">
        <f>IF(Demand!AW130&gt;Retailers_Cap!P113,(X111/Retailers!R112)/(Demand!AW130-Retailers_Cap!P113),"Inesgotável")</f>
        <v/>
      </c>
      <c r="AG111" s="75" t="n">
        <v>117</v>
      </c>
      <c r="AH111" s="75">
        <f>Retailers!AJ112</f>
        <v/>
      </c>
      <c r="AI111" s="75">
        <f>Retailers!AK112</f>
        <v/>
      </c>
      <c r="AJ111" s="75">
        <f>Retailers!AL112</f>
        <v/>
      </c>
      <c r="AM111" s="75" t="n">
        <v>117</v>
      </c>
      <c r="AN111" s="2">
        <f>IF(P111&gt;0,IF(D111=0,"Big stock",AB111/AH111),"Inesgotável")</f>
        <v/>
      </c>
      <c r="AO111" s="2">
        <f>IF(Q111&gt;0,IF(E111=0,"Big stock",AC111/AI111),"Inesgotável")</f>
        <v/>
      </c>
      <c r="AP111" s="2">
        <f>IF(R111&gt;0,IF(F111=0,"Big stock",AD111/AJ111),"Inesgotável")</f>
        <v/>
      </c>
      <c r="AS111" s="75" t="n">
        <v>117</v>
      </c>
      <c r="AT111" s="2">
        <f>Retailers_Cap!BL113</f>
        <v/>
      </c>
      <c r="AU111" s="2">
        <f>Retailers_Cap!BM113</f>
        <v/>
      </c>
      <c r="AV111" s="2">
        <f>Retailers_Cap!BN113</f>
        <v/>
      </c>
      <c r="AY111" s="75" t="n">
        <v>117</v>
      </c>
      <c r="AZ111" s="2">
        <f>IF(D111=0,"no repl",AB111-AT111)</f>
        <v/>
      </c>
      <c r="BA111" s="2">
        <f>IF(E111=0,"no repl",AC111-AU111)</f>
        <v/>
      </c>
      <c r="BB111" s="2">
        <f>IF(F111=0,"no repl",AD111-AV111)</f>
        <v/>
      </c>
    </row>
    <row r="112">
      <c r="C112" s="75" t="n">
        <v>118</v>
      </c>
      <c r="D112" s="11" t="n">
        <v>168661.6647585566</v>
      </c>
      <c r="E112" s="11" t="n">
        <v>0</v>
      </c>
      <c r="F112" s="11" t="n">
        <v>0</v>
      </c>
      <c r="I112" s="75" t="n">
        <v>118</v>
      </c>
      <c r="J112" s="11" t="n">
        <v>10229</v>
      </c>
      <c r="K112" s="11" t="n">
        <v>43361.28</v>
      </c>
      <c r="L112" s="11" t="n">
        <v>39252.64</v>
      </c>
      <c r="O112" s="75" t="n">
        <v>118</v>
      </c>
      <c r="P112" s="11" t="n">
        <v>101881.0801523466</v>
      </c>
      <c r="Q112" s="11" t="n">
        <v>0</v>
      </c>
      <c r="R112" s="11" t="n">
        <v>0</v>
      </c>
      <c r="U112" s="75" t="n">
        <v>118</v>
      </c>
      <c r="V112" s="3">
        <f>J112-P112+D112</f>
        <v/>
      </c>
      <c r="W112" s="3">
        <f>K112-Q112+E112</f>
        <v/>
      </c>
      <c r="X112" s="3">
        <f>L112-R112+F112</f>
        <v/>
      </c>
      <c r="AA112" s="75" t="n">
        <v>118</v>
      </c>
      <c r="AB112" s="2">
        <f>IF(Demand!AU131&gt;Retailers_Cap!N114,(V112/Retailers!P113)/(Demand!AU131-Retailers_Cap!N114),"Inesgotável")</f>
        <v/>
      </c>
      <c r="AC112" s="2">
        <f>IF(Demand!AV131&gt;Retailers_Cap!O114,(W112/Retailers!Q113)/(Demand!AV131-Retailers_Cap!O114),"Inesgotável")</f>
        <v/>
      </c>
      <c r="AD112" s="2">
        <f>IF(Demand!AW131&gt;Retailers_Cap!P114,(X112/Retailers!R113)/(Demand!AW131-Retailers_Cap!P114),"Inesgotável")</f>
        <v/>
      </c>
      <c r="AG112" s="75" t="n">
        <v>118</v>
      </c>
      <c r="AH112" s="75">
        <f>Retailers!AJ113</f>
        <v/>
      </c>
      <c r="AI112" s="75">
        <f>Retailers!AK113</f>
        <v/>
      </c>
      <c r="AJ112" s="75">
        <f>Retailers!AL113</f>
        <v/>
      </c>
      <c r="AM112" s="75" t="n">
        <v>118</v>
      </c>
      <c r="AN112" s="2">
        <f>IF(P112&gt;0,IF(D112=0,"Big stock",AB112/AH112),"Inesgotável")</f>
        <v/>
      </c>
      <c r="AO112" s="2">
        <f>IF(Q112&gt;0,IF(E112=0,"Big stock",AC112/AI112),"Inesgotável")</f>
        <v/>
      </c>
      <c r="AP112" s="2">
        <f>IF(R112&gt;0,IF(F112=0,"Big stock",AD112/AJ112),"Inesgotável")</f>
        <v/>
      </c>
      <c r="AS112" s="75" t="n">
        <v>118</v>
      </c>
      <c r="AT112" s="2">
        <f>Retailers_Cap!BL114</f>
        <v/>
      </c>
      <c r="AU112" s="2">
        <f>Retailers_Cap!BM114</f>
        <v/>
      </c>
      <c r="AV112" s="2">
        <f>Retailers_Cap!BN114</f>
        <v/>
      </c>
      <c r="AY112" s="75" t="n">
        <v>118</v>
      </c>
      <c r="AZ112" s="2">
        <f>IF(D112=0,"no repl",AB112-AT112)</f>
        <v/>
      </c>
      <c r="BA112" s="2">
        <f>IF(E112=0,"no repl",AC112-AU112)</f>
        <v/>
      </c>
      <c r="BB112" s="2">
        <f>IF(F112=0,"no repl",AD112-AV112)</f>
        <v/>
      </c>
    </row>
    <row r="113">
      <c r="C113" s="75" t="n">
        <v>119</v>
      </c>
      <c r="D113" s="11" t="n">
        <v>706458.515256686</v>
      </c>
      <c r="E113" s="11" t="n">
        <v>0</v>
      </c>
      <c r="F113" s="11" t="n">
        <v>62913.6103681412</v>
      </c>
      <c r="I113" s="75" t="n">
        <v>119</v>
      </c>
      <c r="J113" s="11" t="n">
        <v>23113.35</v>
      </c>
      <c r="K113" s="11" t="n">
        <v>61648.60000000001</v>
      </c>
      <c r="L113" s="11" t="n">
        <v>54860.94</v>
      </c>
      <c r="O113" s="75" t="n">
        <v>119</v>
      </c>
      <c r="P113" s="11" t="n">
        <v>431638.2879598724</v>
      </c>
      <c r="Q113" s="11" t="n">
        <v>0</v>
      </c>
      <c r="R113" s="11" t="n">
        <v>40418.48009938771</v>
      </c>
      <c r="U113" s="75" t="n">
        <v>119</v>
      </c>
      <c r="V113" s="3">
        <f>J113-P113+D113</f>
        <v/>
      </c>
      <c r="W113" s="3">
        <f>K113-Q113+E113</f>
        <v/>
      </c>
      <c r="X113" s="3">
        <f>L113-R113+F113</f>
        <v/>
      </c>
      <c r="AA113" s="75" t="n">
        <v>119</v>
      </c>
      <c r="AB113" s="2">
        <f>IF(Demand!AU132&gt;Retailers_Cap!N115,(V113/Retailers!P114)/(Demand!AU132-Retailers_Cap!N115),"Inesgotável")</f>
        <v/>
      </c>
      <c r="AC113" s="2">
        <f>IF(Demand!AV132&gt;Retailers_Cap!O115,(W113/Retailers!Q114)/(Demand!AV132-Retailers_Cap!O115),"Inesgotável")</f>
        <v/>
      </c>
      <c r="AD113" s="2">
        <f>IF(Demand!AW132&gt;Retailers_Cap!P115,(X113/Retailers!R114)/(Demand!AW132-Retailers_Cap!P115),"Inesgotável")</f>
        <v/>
      </c>
      <c r="AG113" s="75" t="n">
        <v>119</v>
      </c>
      <c r="AH113" s="75">
        <f>Retailers!AJ114</f>
        <v/>
      </c>
      <c r="AI113" s="75">
        <f>Retailers!AK114</f>
        <v/>
      </c>
      <c r="AJ113" s="75">
        <f>Retailers!AL114</f>
        <v/>
      </c>
      <c r="AM113" s="75" t="n">
        <v>119</v>
      </c>
      <c r="AN113" s="2">
        <f>IF(P113&gt;0,IF(D113=0,"Big stock",AB113/AH113),"Inesgotável")</f>
        <v/>
      </c>
      <c r="AO113" s="2">
        <f>IF(Q113&gt;0,IF(E113=0,"Big stock",AC113/AI113),"Inesgotável")</f>
        <v/>
      </c>
      <c r="AP113" s="2">
        <f>IF(R113&gt;0,IF(F113=0,"Big stock",AD113/AJ113),"Inesgotável")</f>
        <v/>
      </c>
      <c r="AS113" s="75" t="n">
        <v>119</v>
      </c>
      <c r="AT113" s="2">
        <f>Retailers_Cap!BL115</f>
        <v/>
      </c>
      <c r="AU113" s="2">
        <f>Retailers_Cap!BM115</f>
        <v/>
      </c>
      <c r="AV113" s="2">
        <f>Retailers_Cap!BN115</f>
        <v/>
      </c>
      <c r="AY113" s="75" t="n">
        <v>119</v>
      </c>
      <c r="AZ113" s="2">
        <f>IF(D113=0,"no repl",AB113-AT113)</f>
        <v/>
      </c>
      <c r="BA113" s="2">
        <f>IF(E113=0,"no repl",AC113-AU113)</f>
        <v/>
      </c>
      <c r="BB113" s="2">
        <f>IF(F113=0,"no repl",AD113-AV113)</f>
        <v/>
      </c>
    </row>
    <row r="114">
      <c r="C114" s="75" t="n">
        <v>120</v>
      </c>
      <c r="D114" s="11" t="n">
        <v>0</v>
      </c>
      <c r="E114" s="11" t="n">
        <v>241229.255588247</v>
      </c>
      <c r="F114" s="11" t="n">
        <v>308102.279681831</v>
      </c>
      <c r="I114" s="75" t="n">
        <v>120</v>
      </c>
      <c r="J114" s="11" t="n">
        <v>13014.4</v>
      </c>
      <c r="K114" s="11" t="n">
        <v>39393.31</v>
      </c>
      <c r="L114" s="11" t="n">
        <v>63513.2</v>
      </c>
      <c r="O114" s="75" t="n">
        <v>120</v>
      </c>
      <c r="P114" s="11" t="n">
        <v>0</v>
      </c>
      <c r="Q114" s="11" t="n">
        <v>140124.1809885951</v>
      </c>
      <c r="R114" s="11" t="n">
        <v>187753.7888077445</v>
      </c>
      <c r="U114" s="75" t="n">
        <v>120</v>
      </c>
      <c r="V114" s="3">
        <f>J114-P114+D114</f>
        <v/>
      </c>
      <c r="W114" s="3">
        <f>K114-Q114+E114</f>
        <v/>
      </c>
      <c r="X114" s="3">
        <f>L114-R114+F114</f>
        <v/>
      </c>
      <c r="AA114" s="75" t="n">
        <v>120</v>
      </c>
      <c r="AB114" s="2">
        <f>IF(Demand!AU133&gt;Retailers_Cap!N116,(V114/Retailers!P115)/(Demand!AU133-Retailers_Cap!N116),"Inesgotável")</f>
        <v/>
      </c>
      <c r="AC114" s="2">
        <f>IF(Demand!AV133&gt;Retailers_Cap!O116,(W114/Retailers!Q115)/(Demand!AV133-Retailers_Cap!O116),"Inesgotável")</f>
        <v/>
      </c>
      <c r="AD114" s="2">
        <f>IF(Demand!AW133&gt;Retailers_Cap!P116,(X114/Retailers!R115)/(Demand!AW133-Retailers_Cap!P116),"Inesgotável")</f>
        <v/>
      </c>
      <c r="AG114" s="75" t="n">
        <v>120</v>
      </c>
      <c r="AH114" s="75">
        <f>Retailers!AJ115</f>
        <v/>
      </c>
      <c r="AI114" s="75">
        <f>Retailers!AK115</f>
        <v/>
      </c>
      <c r="AJ114" s="75">
        <f>Retailers!AL115</f>
        <v/>
      </c>
      <c r="AM114" s="75" t="n">
        <v>120</v>
      </c>
      <c r="AN114" s="2">
        <f>IF(P114&gt;0,IF(D114=0,"Big stock",AB114/AH114),"Inesgotável")</f>
        <v/>
      </c>
      <c r="AO114" s="2">
        <f>IF(Q114&gt;0,IF(E114=0,"Big stock",AC114/AI114),"Inesgotável")</f>
        <v/>
      </c>
      <c r="AP114" s="2">
        <f>IF(R114&gt;0,IF(F114=0,"Big stock",AD114/AJ114),"Inesgotável")</f>
        <v/>
      </c>
      <c r="AS114" s="75" t="n">
        <v>120</v>
      </c>
      <c r="AT114" s="2">
        <f>Retailers_Cap!BL116</f>
        <v/>
      </c>
      <c r="AU114" s="2">
        <f>Retailers_Cap!BM116</f>
        <v/>
      </c>
      <c r="AV114" s="2">
        <f>Retailers_Cap!BN116</f>
        <v/>
      </c>
      <c r="AY114" s="75" t="n">
        <v>120</v>
      </c>
      <c r="AZ114" s="2">
        <f>IF(D114=0,"no repl",AB114-AT114)</f>
        <v/>
      </c>
      <c r="BA114" s="2">
        <f>IF(E114=0,"no repl",AC114-AU114)</f>
        <v/>
      </c>
      <c r="BB114" s="2">
        <f>IF(F114=0,"no repl",AD114-AV114)</f>
        <v/>
      </c>
    </row>
    <row r="115">
      <c r="C115" s="75" t="n">
        <v>121</v>
      </c>
      <c r="D115" s="11" t="n">
        <v>379001.5792835092</v>
      </c>
      <c r="E115" s="11" t="n">
        <v>0</v>
      </c>
      <c r="F115" s="11" t="n">
        <v>0</v>
      </c>
      <c r="I115" s="75" t="n">
        <v>121</v>
      </c>
      <c r="J115" s="11" t="n">
        <v>52808.7</v>
      </c>
      <c r="K115" s="11" t="n">
        <v>83207.39</v>
      </c>
      <c r="L115" s="11" t="n">
        <v>72792.24000000001</v>
      </c>
      <c r="O115" s="75" t="n">
        <v>121</v>
      </c>
      <c r="P115" s="11" t="n">
        <v>227003.6243102635</v>
      </c>
      <c r="Q115" s="11" t="n">
        <v>0</v>
      </c>
      <c r="R115" s="11" t="n">
        <v>0</v>
      </c>
      <c r="U115" s="75" t="n">
        <v>121</v>
      </c>
      <c r="V115" s="3">
        <f>J115-P115+D115</f>
        <v/>
      </c>
      <c r="W115" s="3">
        <f>K115-Q115+E115</f>
        <v/>
      </c>
      <c r="X115" s="3">
        <f>L115-R115+F115</f>
        <v/>
      </c>
      <c r="AA115" s="75" t="n">
        <v>121</v>
      </c>
      <c r="AB115" s="2">
        <f>IF(Demand!AU134&gt;Retailers_Cap!N117,(V115/Retailers!P116)/(Demand!AU134-Retailers_Cap!N117),"Inesgotável")</f>
        <v/>
      </c>
      <c r="AC115" s="2">
        <f>IF(Demand!AV134&gt;Retailers_Cap!O117,(W115/Retailers!Q116)/(Demand!AV134-Retailers_Cap!O117),"Inesgotável")</f>
        <v/>
      </c>
      <c r="AD115" s="2">
        <f>IF(Demand!AW134&gt;Retailers_Cap!P117,(X115/Retailers!R116)/(Demand!AW134-Retailers_Cap!P117),"Inesgotável")</f>
        <v/>
      </c>
      <c r="AG115" s="75" t="n">
        <v>121</v>
      </c>
      <c r="AH115" s="75">
        <f>Retailers!AJ116</f>
        <v/>
      </c>
      <c r="AI115" s="75">
        <f>Retailers!AK116</f>
        <v/>
      </c>
      <c r="AJ115" s="75">
        <f>Retailers!AL116</f>
        <v/>
      </c>
      <c r="AM115" s="75" t="n">
        <v>121</v>
      </c>
      <c r="AN115" s="2">
        <f>IF(P115&gt;0,IF(D115=0,"Big stock",AB115/AH115),"Inesgotável")</f>
        <v/>
      </c>
      <c r="AO115" s="2">
        <f>IF(Q115&gt;0,IF(E115=0,"Big stock",AC115/AI115),"Inesgotável")</f>
        <v/>
      </c>
      <c r="AP115" s="2">
        <f>IF(R115&gt;0,IF(F115=0,"Big stock",AD115/AJ115),"Inesgotável")</f>
        <v/>
      </c>
      <c r="AS115" s="75" t="n">
        <v>121</v>
      </c>
      <c r="AT115" s="2">
        <f>Retailers_Cap!BL117</f>
        <v/>
      </c>
      <c r="AU115" s="2">
        <f>Retailers_Cap!BM117</f>
        <v/>
      </c>
      <c r="AV115" s="2">
        <f>Retailers_Cap!BN117</f>
        <v/>
      </c>
      <c r="AY115" s="75" t="n">
        <v>121</v>
      </c>
      <c r="AZ115" s="2">
        <f>IF(D115=0,"no repl",AB115-AT115)</f>
        <v/>
      </c>
      <c r="BA115" s="2">
        <f>IF(E115=0,"no repl",AC115-AU115)</f>
        <v/>
      </c>
      <c r="BB115" s="2">
        <f>IF(F115=0,"no repl",AD115-AV115)</f>
        <v/>
      </c>
    </row>
    <row r="116">
      <c r="C116" s="75" t="n">
        <v>122</v>
      </c>
      <c r="D116" s="11" t="n">
        <v>128052.6889158586</v>
      </c>
      <c r="E116" s="11" t="n">
        <v>0</v>
      </c>
      <c r="F116" s="11" t="n">
        <v>0</v>
      </c>
      <c r="I116" s="75" t="n">
        <v>122</v>
      </c>
      <c r="J116" s="11" t="n">
        <v>55547.32</v>
      </c>
      <c r="K116" s="11" t="n">
        <v>99693.35000000001</v>
      </c>
      <c r="L116" s="11" t="n">
        <v>66560.7</v>
      </c>
      <c r="O116" s="75" t="n">
        <v>122</v>
      </c>
      <c r="P116" s="11" t="n">
        <v>85067.70169610818</v>
      </c>
      <c r="Q116" s="11" t="n">
        <v>0</v>
      </c>
      <c r="R116" s="11" t="n">
        <v>0</v>
      </c>
      <c r="U116" s="75" t="n">
        <v>122</v>
      </c>
      <c r="V116" s="3">
        <f>J116-P116+D116</f>
        <v/>
      </c>
      <c r="W116" s="3">
        <f>K116-Q116+E116</f>
        <v/>
      </c>
      <c r="X116" s="3">
        <f>L116-R116+F116</f>
        <v/>
      </c>
      <c r="AA116" s="75" t="n">
        <v>122</v>
      </c>
      <c r="AB116" s="2">
        <f>IF(Demand!AU135&gt;Retailers_Cap!N118,(V116/Retailers!P117)/(Demand!AU135-Retailers_Cap!N118),"Inesgotável")</f>
        <v/>
      </c>
      <c r="AC116" s="2">
        <f>IF(Demand!AV135&gt;Retailers_Cap!O118,(W116/Retailers!Q117)/(Demand!AV135-Retailers_Cap!O118),"Inesgotável")</f>
        <v/>
      </c>
      <c r="AD116" s="2">
        <f>IF(Demand!AW135&gt;Retailers_Cap!P118,(X116/Retailers!R117)/(Demand!AW135-Retailers_Cap!P118),"Inesgotável")</f>
        <v/>
      </c>
      <c r="AG116" s="75" t="n">
        <v>122</v>
      </c>
      <c r="AH116" s="75">
        <f>Retailers!AJ117</f>
        <v/>
      </c>
      <c r="AI116" s="75">
        <f>Retailers!AK117</f>
        <v/>
      </c>
      <c r="AJ116" s="75">
        <f>Retailers!AL117</f>
        <v/>
      </c>
      <c r="AM116" s="75" t="n">
        <v>122</v>
      </c>
      <c r="AN116" s="2">
        <f>IF(P116&gt;0,IF(D116=0,"Big stock",AB116/AH116),"Inesgotável")</f>
        <v/>
      </c>
      <c r="AO116" s="2">
        <f>IF(Q116&gt;0,IF(E116=0,"Big stock",AC116/AI116),"Inesgotável")</f>
        <v/>
      </c>
      <c r="AP116" s="2">
        <f>IF(R116&gt;0,IF(F116=0,"Big stock",AD116/AJ116),"Inesgotável")</f>
        <v/>
      </c>
      <c r="AS116" s="75" t="n">
        <v>122</v>
      </c>
      <c r="AT116" s="2">
        <f>Retailers_Cap!BL118</f>
        <v/>
      </c>
      <c r="AU116" s="2">
        <f>Retailers_Cap!BM118</f>
        <v/>
      </c>
      <c r="AV116" s="2">
        <f>Retailers_Cap!BN118</f>
        <v/>
      </c>
      <c r="AY116" s="75" t="n">
        <v>122</v>
      </c>
      <c r="AZ116" s="2">
        <f>IF(D116=0,"no repl",AB116-AT116)</f>
        <v/>
      </c>
      <c r="BA116" s="2">
        <f>IF(E116=0,"no repl",AC116-AU116)</f>
        <v/>
      </c>
      <c r="BB116" s="2">
        <f>IF(F116=0,"no repl",AD116-AV116)</f>
        <v/>
      </c>
    </row>
    <row r="117">
      <c r="C117" s="75" t="n">
        <v>123</v>
      </c>
      <c r="D117" s="11" t="n">
        <v>0</v>
      </c>
      <c r="E117" s="11" t="n">
        <v>34370.51462208363</v>
      </c>
      <c r="F117" s="11" t="n">
        <v>0</v>
      </c>
      <c r="I117" s="75" t="n">
        <v>123</v>
      </c>
      <c r="J117" s="11" t="n">
        <v>80798.25</v>
      </c>
      <c r="K117" s="11" t="n">
        <v>34659.24</v>
      </c>
      <c r="L117" s="11" t="n">
        <v>48186.48</v>
      </c>
      <c r="O117" s="75" t="n">
        <v>123</v>
      </c>
      <c r="P117" s="11" t="n">
        <v>0</v>
      </c>
      <c r="Q117" s="11" t="n">
        <v>17604.02097868132</v>
      </c>
      <c r="R117" s="11" t="n">
        <v>0</v>
      </c>
      <c r="U117" s="75" t="n">
        <v>123</v>
      </c>
      <c r="V117" s="3">
        <f>J117-P117+D117</f>
        <v/>
      </c>
      <c r="W117" s="3">
        <f>K117-Q117+E117</f>
        <v/>
      </c>
      <c r="X117" s="3">
        <f>L117-R117+F117</f>
        <v/>
      </c>
      <c r="AA117" s="75" t="n">
        <v>123</v>
      </c>
      <c r="AB117" s="2">
        <f>IF(Demand!AU136&gt;Retailers_Cap!N119,(V117/Retailers!P118)/(Demand!AU136-Retailers_Cap!N119),"Inesgotável")</f>
        <v/>
      </c>
      <c r="AC117" s="2">
        <f>IF(Demand!AV136&gt;Retailers_Cap!O119,(W117/Retailers!Q118)/(Demand!AV136-Retailers_Cap!O119),"Inesgotável")</f>
        <v/>
      </c>
      <c r="AD117" s="2">
        <f>IF(Demand!AW136&gt;Retailers_Cap!P119,(X117/Retailers!R118)/(Demand!AW136-Retailers_Cap!P119),"Inesgotável")</f>
        <v/>
      </c>
      <c r="AG117" s="75" t="n">
        <v>123</v>
      </c>
      <c r="AH117" s="75">
        <f>Retailers!AJ118</f>
        <v/>
      </c>
      <c r="AI117" s="75">
        <f>Retailers!AK118</f>
        <v/>
      </c>
      <c r="AJ117" s="75">
        <f>Retailers!AL118</f>
        <v/>
      </c>
      <c r="AM117" s="75" t="n">
        <v>123</v>
      </c>
      <c r="AN117" s="2">
        <f>IF(P117&gt;0,IF(D117=0,"Big stock",AB117/AH117),"Inesgotável")</f>
        <v/>
      </c>
      <c r="AO117" s="2">
        <f>IF(Q117&gt;0,IF(E117=0,"Big stock",AC117/AI117),"Inesgotável")</f>
        <v/>
      </c>
      <c r="AP117" s="2">
        <f>IF(R117&gt;0,IF(F117=0,"Big stock",AD117/AJ117),"Inesgotável")</f>
        <v/>
      </c>
      <c r="AS117" s="75" t="n">
        <v>123</v>
      </c>
      <c r="AT117" s="2">
        <f>Retailers_Cap!BL119</f>
        <v/>
      </c>
      <c r="AU117" s="2">
        <f>Retailers_Cap!BM119</f>
        <v/>
      </c>
      <c r="AV117" s="2">
        <f>Retailers_Cap!BN119</f>
        <v/>
      </c>
      <c r="AY117" s="75" t="n">
        <v>123</v>
      </c>
      <c r="AZ117" s="2">
        <f>IF(D117=0,"no repl",AB117-AT117)</f>
        <v/>
      </c>
      <c r="BA117" s="2">
        <f>IF(E117=0,"no repl",AC117-AU117)</f>
        <v/>
      </c>
      <c r="BB117" s="2">
        <f>IF(F117=0,"no repl",AD117-AV117)</f>
        <v/>
      </c>
    </row>
    <row r="118">
      <c r="C118" s="75" t="n">
        <v>124</v>
      </c>
      <c r="D118" s="11" t="n">
        <v>0</v>
      </c>
      <c r="E118" s="11" t="n">
        <v>0</v>
      </c>
      <c r="F118" s="11" t="n">
        <v>0</v>
      </c>
      <c r="I118" s="75" t="n">
        <v>124</v>
      </c>
      <c r="J118" s="11" t="n">
        <v>18698.22</v>
      </c>
      <c r="K118" s="11" t="n">
        <v>27436.7</v>
      </c>
      <c r="L118" s="11" t="n">
        <v>15370.47</v>
      </c>
      <c r="O118" s="75" t="n">
        <v>124</v>
      </c>
      <c r="P118" s="11" t="n">
        <v>0</v>
      </c>
      <c r="Q118" s="11" t="n">
        <v>0</v>
      </c>
      <c r="R118" s="11" t="n">
        <v>0</v>
      </c>
      <c r="U118" s="75" t="n">
        <v>124</v>
      </c>
      <c r="V118" s="3">
        <f>J118-P118+D118</f>
        <v/>
      </c>
      <c r="W118" s="3">
        <f>K118-Q118+E118</f>
        <v/>
      </c>
      <c r="X118" s="3">
        <f>L118-R118+F118</f>
        <v/>
      </c>
      <c r="AA118" s="75" t="n">
        <v>124</v>
      </c>
      <c r="AB118" s="2">
        <f>IF(Demand!AU137&gt;Retailers_Cap!N120,(V118/Retailers!P119)/(Demand!AU137-Retailers_Cap!N120),"Inesgotável")</f>
        <v/>
      </c>
      <c r="AC118" s="2">
        <f>IF(Demand!AV137&gt;Retailers_Cap!O120,(W118/Retailers!Q119)/(Demand!AV137-Retailers_Cap!O120),"Inesgotável")</f>
        <v/>
      </c>
      <c r="AD118" s="2">
        <f>IF(Demand!AW137&gt;Retailers_Cap!P120,(X118/Retailers!R119)/(Demand!AW137-Retailers_Cap!P120),"Inesgotável")</f>
        <v/>
      </c>
      <c r="AG118" s="75" t="n">
        <v>124</v>
      </c>
      <c r="AH118" s="75">
        <f>Retailers!AJ119</f>
        <v/>
      </c>
      <c r="AI118" s="75">
        <f>Retailers!AK119</f>
        <v/>
      </c>
      <c r="AJ118" s="75">
        <f>Retailers!AL119</f>
        <v/>
      </c>
      <c r="AM118" s="75" t="n">
        <v>124</v>
      </c>
      <c r="AN118" s="2">
        <f>IF(P118&gt;0,IF(D118=0,"Big stock",AB118/AH118),"Inesgotável")</f>
        <v/>
      </c>
      <c r="AO118" s="2">
        <f>IF(Q118&gt;0,IF(E118=0,"Big stock",AC118/AI118),"Inesgotável")</f>
        <v/>
      </c>
      <c r="AP118" s="2">
        <f>IF(R118&gt;0,IF(F118=0,"Big stock",AD118/AJ118),"Inesgotável")</f>
        <v/>
      </c>
      <c r="AS118" s="75" t="n">
        <v>124</v>
      </c>
      <c r="AT118" s="2">
        <f>Retailers_Cap!BL120</f>
        <v/>
      </c>
      <c r="AU118" s="2">
        <f>Retailers_Cap!BM120</f>
        <v/>
      </c>
      <c r="AV118" s="2">
        <f>Retailers_Cap!BN120</f>
        <v/>
      </c>
      <c r="AY118" s="75" t="n">
        <v>124</v>
      </c>
      <c r="AZ118" s="2">
        <f>IF(D118=0,"no repl",AB118-AT118)</f>
        <v/>
      </c>
      <c r="BA118" s="2">
        <f>IF(E118=0,"no repl",AC118-AU118)</f>
        <v/>
      </c>
      <c r="BB118" s="2">
        <f>IF(F118=0,"no repl",AD118-AV118)</f>
        <v/>
      </c>
    </row>
    <row r="119">
      <c r="C119" s="75" t="n">
        <v>125</v>
      </c>
      <c r="D119" s="11" t="n">
        <v>0</v>
      </c>
      <c r="E119" s="11" t="n">
        <v>35170.61777864665</v>
      </c>
      <c r="F119" s="11" t="n">
        <v>69601.25869923801</v>
      </c>
      <c r="I119" s="75" t="n">
        <v>125</v>
      </c>
      <c r="J119" s="11" t="n">
        <v>25180.72</v>
      </c>
      <c r="K119" s="11" t="n">
        <v>15955.68</v>
      </c>
      <c r="L119" s="11" t="n">
        <v>48179.25</v>
      </c>
      <c r="O119" s="75" t="n">
        <v>125</v>
      </c>
      <c r="P119" s="11" t="n">
        <v>0</v>
      </c>
      <c r="Q119" s="11" t="n">
        <v>23255.78247866069</v>
      </c>
      <c r="R119" s="11" t="n">
        <v>41143.16996663659</v>
      </c>
      <c r="U119" s="75" t="n">
        <v>125</v>
      </c>
      <c r="V119" s="3">
        <f>J119-P119+D119</f>
        <v/>
      </c>
      <c r="W119" s="3">
        <f>K119-Q119+E119</f>
        <v/>
      </c>
      <c r="X119" s="3">
        <f>L119-R119+F119</f>
        <v/>
      </c>
      <c r="AA119" s="75" t="n">
        <v>125</v>
      </c>
      <c r="AB119" s="2">
        <f>IF(Demand!AU138&gt;Retailers_Cap!N121,(V119/Retailers!P120)/(Demand!AU138-Retailers_Cap!N121),"Inesgotável")</f>
        <v/>
      </c>
      <c r="AC119" s="2">
        <f>IF(Demand!AV138&gt;Retailers_Cap!O121,(W119/Retailers!Q120)/(Demand!AV138-Retailers_Cap!O121),"Inesgotável")</f>
        <v/>
      </c>
      <c r="AD119" s="2">
        <f>IF(Demand!AW138&gt;Retailers_Cap!P121,(X119/Retailers!R120)/(Demand!AW138-Retailers_Cap!P121),"Inesgotável")</f>
        <v/>
      </c>
      <c r="AG119" s="75" t="n">
        <v>125</v>
      </c>
      <c r="AH119" s="75">
        <f>Retailers!AJ120</f>
        <v/>
      </c>
      <c r="AI119" s="75">
        <f>Retailers!AK120</f>
        <v/>
      </c>
      <c r="AJ119" s="75">
        <f>Retailers!AL120</f>
        <v/>
      </c>
      <c r="AM119" s="75" t="n">
        <v>125</v>
      </c>
      <c r="AN119" s="2">
        <f>IF(P119&gt;0,IF(D119=0,"Big stock",AB119/AH119),"Inesgotável")</f>
        <v/>
      </c>
      <c r="AO119" s="2">
        <f>IF(Q119&gt;0,IF(E119=0,"Big stock",AC119/AI119),"Inesgotável")</f>
        <v/>
      </c>
      <c r="AP119" s="2">
        <f>IF(R119&gt;0,IF(F119=0,"Big stock",AD119/AJ119),"Inesgotável")</f>
        <v/>
      </c>
      <c r="AS119" s="75" t="n">
        <v>125</v>
      </c>
      <c r="AT119" s="2">
        <f>Retailers_Cap!BL121</f>
        <v/>
      </c>
      <c r="AU119" s="2">
        <f>Retailers_Cap!BM121</f>
        <v/>
      </c>
      <c r="AV119" s="2">
        <f>Retailers_Cap!BN121</f>
        <v/>
      </c>
      <c r="AY119" s="75" t="n">
        <v>125</v>
      </c>
      <c r="AZ119" s="2">
        <f>IF(D119=0,"no repl",AB119-AT119)</f>
        <v/>
      </c>
      <c r="BA119" s="2">
        <f>IF(E119=0,"no repl",AC119-AU119)</f>
        <v/>
      </c>
      <c r="BB119" s="2">
        <f>IF(F119=0,"no repl",AD119-AV119)</f>
        <v/>
      </c>
    </row>
    <row r="120">
      <c r="C120" s="75" t="n">
        <v>126</v>
      </c>
      <c r="D120" s="11" t="n">
        <v>0</v>
      </c>
      <c r="E120" s="11" t="n">
        <v>0</v>
      </c>
      <c r="F120" s="11" t="n">
        <v>329373.9140723139</v>
      </c>
      <c r="I120" s="75" t="n">
        <v>126</v>
      </c>
      <c r="J120" s="11" t="n">
        <v>20234.94</v>
      </c>
      <c r="K120" s="11" t="n">
        <v>2849.92</v>
      </c>
      <c r="L120" s="11" t="n">
        <v>86755.12999999999</v>
      </c>
      <c r="O120" s="75" t="n">
        <v>126</v>
      </c>
      <c r="P120" s="11" t="n">
        <v>0</v>
      </c>
      <c r="Q120" s="11" t="n">
        <v>0</v>
      </c>
      <c r="R120" s="11" t="n">
        <v>192175.7939174028</v>
      </c>
      <c r="U120" s="75" t="n">
        <v>126</v>
      </c>
      <c r="V120" s="3">
        <f>J120-P120+D120</f>
        <v/>
      </c>
      <c r="W120" s="3">
        <f>K120-Q120+E120</f>
        <v/>
      </c>
      <c r="X120" s="3">
        <f>L120-R120+F120</f>
        <v/>
      </c>
      <c r="AA120" s="75" t="n">
        <v>126</v>
      </c>
      <c r="AB120" s="2">
        <f>IF(Demand!AU139&gt;Retailers_Cap!N122,(V120/Retailers!P121)/(Demand!AU139-Retailers_Cap!N122),"Inesgotável")</f>
        <v/>
      </c>
      <c r="AC120" s="2">
        <f>IF(Demand!AV139&gt;Retailers_Cap!O122,(W120/Retailers!Q121)/(Demand!AV139-Retailers_Cap!O122),"Inesgotável")</f>
        <v/>
      </c>
      <c r="AD120" s="2">
        <f>IF(Demand!AW139&gt;Retailers_Cap!P122,(X120/Retailers!R121)/(Demand!AW139-Retailers_Cap!P122),"Inesgotável")</f>
        <v/>
      </c>
      <c r="AG120" s="75" t="n">
        <v>126</v>
      </c>
      <c r="AH120" s="75">
        <f>Retailers!AJ121</f>
        <v/>
      </c>
      <c r="AI120" s="75">
        <f>Retailers!AK121</f>
        <v/>
      </c>
      <c r="AJ120" s="75">
        <f>Retailers!AL121</f>
        <v/>
      </c>
      <c r="AM120" s="75" t="n">
        <v>126</v>
      </c>
      <c r="AN120" s="2">
        <f>IF(P120&gt;0,IF(D120=0,"Big stock",AB120/AH120),"Inesgotável")</f>
        <v/>
      </c>
      <c r="AO120" s="2">
        <f>IF(Q120&gt;0,IF(E120=0,"Big stock",AC120/AI120),"Inesgotável")</f>
        <v/>
      </c>
      <c r="AP120" s="2">
        <f>IF(R120&gt;0,IF(F120=0,"Big stock",AD120/AJ120),"Inesgotável")</f>
        <v/>
      </c>
      <c r="AS120" s="75" t="n">
        <v>126</v>
      </c>
      <c r="AT120" s="2">
        <f>Retailers_Cap!BL122</f>
        <v/>
      </c>
      <c r="AU120" s="2">
        <f>Retailers_Cap!BM122</f>
        <v/>
      </c>
      <c r="AV120" s="2">
        <f>Retailers_Cap!BN122</f>
        <v/>
      </c>
      <c r="AY120" s="75" t="n">
        <v>126</v>
      </c>
      <c r="AZ120" s="2">
        <f>IF(D120=0,"no repl",AB120-AT120)</f>
        <v/>
      </c>
      <c r="BA120" s="2">
        <f>IF(E120=0,"no repl",AC120-AU120)</f>
        <v/>
      </c>
      <c r="BB120" s="2">
        <f>IF(F120=0,"no repl",AD120-AV120)</f>
        <v/>
      </c>
    </row>
    <row r="121">
      <c r="C121" s="75" t="n">
        <v>127</v>
      </c>
      <c r="D121" s="11" t="n">
        <v>207720.0659470717</v>
      </c>
      <c r="E121" s="11" t="n">
        <v>0</v>
      </c>
      <c r="F121" s="11" t="n">
        <v>0</v>
      </c>
      <c r="I121" s="75" t="n">
        <v>127</v>
      </c>
      <c r="J121" s="11" t="n">
        <v>4689.299999999999</v>
      </c>
      <c r="K121" s="11" t="n">
        <v>22741.86</v>
      </c>
      <c r="L121" s="11" t="n">
        <v>14507.64</v>
      </c>
      <c r="O121" s="75" t="n">
        <v>127</v>
      </c>
      <c r="P121" s="11" t="n">
        <v>121535.764442928</v>
      </c>
      <c r="Q121" s="11" t="n">
        <v>0</v>
      </c>
      <c r="R121" s="11" t="n">
        <v>0</v>
      </c>
      <c r="U121" s="75" t="n">
        <v>127</v>
      </c>
      <c r="V121" s="3">
        <f>J121-P121+D121</f>
        <v/>
      </c>
      <c r="W121" s="3">
        <f>K121-Q121+E121</f>
        <v/>
      </c>
      <c r="X121" s="3">
        <f>L121-R121+F121</f>
        <v/>
      </c>
      <c r="AA121" s="75" t="n">
        <v>127</v>
      </c>
      <c r="AB121" s="2">
        <f>IF(Demand!AU140&gt;Retailers_Cap!N123,(V121/Retailers!P122)/(Demand!AU140-Retailers_Cap!N123),"Inesgotável")</f>
        <v/>
      </c>
      <c r="AC121" s="2">
        <f>IF(Demand!AV140&gt;Retailers_Cap!O123,(W121/Retailers!Q122)/(Demand!AV140-Retailers_Cap!O123),"Inesgotável")</f>
        <v/>
      </c>
      <c r="AD121" s="2">
        <f>IF(Demand!AW140&gt;Retailers_Cap!P123,(X121/Retailers!R122)/(Demand!AW140-Retailers_Cap!P123),"Inesgotável")</f>
        <v/>
      </c>
      <c r="AG121" s="75" t="n">
        <v>127</v>
      </c>
      <c r="AH121" s="75">
        <f>Retailers!AJ122</f>
        <v/>
      </c>
      <c r="AI121" s="75">
        <f>Retailers!AK122</f>
        <v/>
      </c>
      <c r="AJ121" s="75">
        <f>Retailers!AL122</f>
        <v/>
      </c>
      <c r="AM121" s="75" t="n">
        <v>127</v>
      </c>
      <c r="AN121" s="2">
        <f>IF(P121&gt;0,IF(D121=0,"Big stock",AB121/AH121),"Inesgotável")</f>
        <v/>
      </c>
      <c r="AO121" s="2">
        <f>IF(Q121&gt;0,IF(E121=0,"Big stock",AC121/AI121),"Inesgotável")</f>
        <v/>
      </c>
      <c r="AP121" s="2">
        <f>IF(R121&gt;0,IF(F121=0,"Big stock",AD121/AJ121),"Inesgotável")</f>
        <v/>
      </c>
      <c r="AS121" s="75" t="n">
        <v>127</v>
      </c>
      <c r="AT121" s="2">
        <f>Retailers_Cap!BL123</f>
        <v/>
      </c>
      <c r="AU121" s="2">
        <f>Retailers_Cap!BM123</f>
        <v/>
      </c>
      <c r="AV121" s="2">
        <f>Retailers_Cap!BN123</f>
        <v/>
      </c>
      <c r="AY121" s="75" t="n">
        <v>127</v>
      </c>
      <c r="AZ121" s="2">
        <f>IF(D121=0,"no repl",AB121-AT121)</f>
        <v/>
      </c>
      <c r="BA121" s="2">
        <f>IF(E121=0,"no repl",AC121-AU121)</f>
        <v/>
      </c>
      <c r="BB121" s="2">
        <f>IF(F121=0,"no repl",AD121-AV121)</f>
        <v/>
      </c>
    </row>
    <row r="122">
      <c r="C122" s="75" t="n">
        <v>128</v>
      </c>
      <c r="D122" s="11" t="n">
        <v>0</v>
      </c>
      <c r="E122" s="11" t="n">
        <v>0</v>
      </c>
      <c r="F122" s="11" t="n">
        <v>0</v>
      </c>
      <c r="I122" s="75" t="n">
        <v>128</v>
      </c>
      <c r="J122" s="11" t="n">
        <v>6033.42</v>
      </c>
      <c r="K122" s="11" t="n">
        <v>21095.52</v>
      </c>
      <c r="L122" s="11" t="n">
        <v>36339.2</v>
      </c>
      <c r="O122" s="75" t="n">
        <v>128</v>
      </c>
      <c r="P122" s="11" t="n">
        <v>0</v>
      </c>
      <c r="Q122" s="11" t="n">
        <v>0</v>
      </c>
      <c r="R122" s="11" t="n">
        <v>0</v>
      </c>
      <c r="U122" s="75" t="n">
        <v>128</v>
      </c>
      <c r="V122" s="3">
        <f>J122-P122+D122</f>
        <v/>
      </c>
      <c r="W122" s="3">
        <f>K122-Q122+E122</f>
        <v/>
      </c>
      <c r="X122" s="3">
        <f>L122-R122+F122</f>
        <v/>
      </c>
      <c r="AA122" s="75" t="n">
        <v>128</v>
      </c>
      <c r="AB122" s="2">
        <f>IF(Demand!AU141&gt;Retailers_Cap!N124,(V122/Retailers!P123)/(Demand!AU141-Retailers_Cap!N124),"Inesgotável")</f>
        <v/>
      </c>
      <c r="AC122" s="2">
        <f>IF(Demand!AV141&gt;Retailers_Cap!O124,(W122/Retailers!Q123)/(Demand!AV141-Retailers_Cap!O124),"Inesgotável")</f>
        <v/>
      </c>
      <c r="AD122" s="2">
        <f>IF(Demand!AW141&gt;Retailers_Cap!P124,(X122/Retailers!R123)/(Demand!AW141-Retailers_Cap!P124),"Inesgotável")</f>
        <v/>
      </c>
      <c r="AG122" s="75" t="n">
        <v>128</v>
      </c>
      <c r="AH122" s="75">
        <f>Retailers!AJ123</f>
        <v/>
      </c>
      <c r="AI122" s="75">
        <f>Retailers!AK123</f>
        <v/>
      </c>
      <c r="AJ122" s="75">
        <f>Retailers!AL123</f>
        <v/>
      </c>
      <c r="AM122" s="75" t="n">
        <v>128</v>
      </c>
      <c r="AN122" s="2">
        <f>IF(P122&gt;0,IF(D122=0,"Big stock",AB122/AH122),"Inesgotável")</f>
        <v/>
      </c>
      <c r="AO122" s="2">
        <f>IF(Q122&gt;0,IF(E122=0,"Big stock",AC122/AI122),"Inesgotável")</f>
        <v/>
      </c>
      <c r="AP122" s="2">
        <f>IF(R122&gt;0,IF(F122=0,"Big stock",AD122/AJ122),"Inesgotável")</f>
        <v/>
      </c>
      <c r="AS122" s="75" t="n">
        <v>128</v>
      </c>
      <c r="AT122" s="2">
        <f>Retailers_Cap!BL124</f>
        <v/>
      </c>
      <c r="AU122" s="2">
        <f>Retailers_Cap!BM124</f>
        <v/>
      </c>
      <c r="AV122" s="2">
        <f>Retailers_Cap!BN124</f>
        <v/>
      </c>
      <c r="AY122" s="75" t="n">
        <v>128</v>
      </c>
      <c r="AZ122" s="2">
        <f>IF(D122=0,"no repl",AB122-AT122)</f>
        <v/>
      </c>
      <c r="BA122" s="2">
        <f>IF(E122=0,"no repl",AC122-AU122)</f>
        <v/>
      </c>
      <c r="BB122" s="2">
        <f>IF(F122=0,"no repl",AD122-AV122)</f>
        <v/>
      </c>
    </row>
    <row r="123">
      <c r="C123" s="75" t="n">
        <v>129</v>
      </c>
      <c r="D123" s="11" t="n">
        <v>0</v>
      </c>
      <c r="E123" s="11" t="n">
        <v>171928.1958880791</v>
      </c>
      <c r="F123" s="11" t="n">
        <v>0</v>
      </c>
      <c r="I123" s="75" t="n">
        <v>129</v>
      </c>
      <c r="J123" s="11" t="n">
        <v>19360.11</v>
      </c>
      <c r="K123" s="11" t="n">
        <v>45825.14999999999</v>
      </c>
      <c r="L123" s="11" t="n">
        <v>9162.719999999999</v>
      </c>
      <c r="O123" s="75" t="n">
        <v>129</v>
      </c>
      <c r="P123" s="11" t="n">
        <v>0</v>
      </c>
      <c r="Q123" s="11" t="n">
        <v>112320.2319962929</v>
      </c>
      <c r="R123" s="11" t="n">
        <v>0</v>
      </c>
      <c r="U123" s="75" t="n">
        <v>129</v>
      </c>
      <c r="V123" s="3">
        <f>J123-P123+D123</f>
        <v/>
      </c>
      <c r="W123" s="3">
        <f>K123-Q123+E123</f>
        <v/>
      </c>
      <c r="X123" s="3">
        <f>L123-R123+F123</f>
        <v/>
      </c>
      <c r="AA123" s="75" t="n">
        <v>129</v>
      </c>
      <c r="AB123" s="2">
        <f>IF(Demand!AU142&gt;Retailers_Cap!N125,(V123/Retailers!P124)/(Demand!AU142-Retailers_Cap!N125),"Inesgotável")</f>
        <v/>
      </c>
      <c r="AC123" s="2">
        <f>IF(Demand!AV142&gt;Retailers_Cap!O125,(W123/Retailers!Q124)/(Demand!AV142-Retailers_Cap!O125),"Inesgotável")</f>
        <v/>
      </c>
      <c r="AD123" s="2">
        <f>IF(Demand!AW142&gt;Retailers_Cap!P125,(X123/Retailers!R124)/(Demand!AW142-Retailers_Cap!P125),"Inesgotável")</f>
        <v/>
      </c>
      <c r="AG123" s="75" t="n">
        <v>129</v>
      </c>
      <c r="AH123" s="75">
        <f>Retailers!AJ124</f>
        <v/>
      </c>
      <c r="AI123" s="75">
        <f>Retailers!AK124</f>
        <v/>
      </c>
      <c r="AJ123" s="75">
        <f>Retailers!AL124</f>
        <v/>
      </c>
      <c r="AM123" s="75" t="n">
        <v>129</v>
      </c>
      <c r="AN123" s="2">
        <f>IF(P123&gt;0,IF(D123=0,"Big stock",AB123/AH123),"Inesgotável")</f>
        <v/>
      </c>
      <c r="AO123" s="2">
        <f>IF(Q123&gt;0,IF(E123=0,"Big stock",AC123/AI123),"Inesgotável")</f>
        <v/>
      </c>
      <c r="AP123" s="2">
        <f>IF(R123&gt;0,IF(F123=0,"Big stock",AD123/AJ123),"Inesgotável")</f>
        <v/>
      </c>
      <c r="AS123" s="75" t="n">
        <v>129</v>
      </c>
      <c r="AT123" s="2">
        <f>Retailers_Cap!BL125</f>
        <v/>
      </c>
      <c r="AU123" s="2">
        <f>Retailers_Cap!BM125</f>
        <v/>
      </c>
      <c r="AV123" s="2">
        <f>Retailers_Cap!BN125</f>
        <v/>
      </c>
      <c r="AY123" s="75" t="n">
        <v>129</v>
      </c>
      <c r="AZ123" s="2">
        <f>IF(D123=0,"no repl",AB123-AT123)</f>
        <v/>
      </c>
      <c r="BA123" s="2">
        <f>IF(E123=0,"no repl",AC123-AU123)</f>
        <v/>
      </c>
      <c r="BB123" s="2">
        <f>IF(F123=0,"no repl",AD123-AV123)</f>
        <v/>
      </c>
    </row>
    <row r="124">
      <c r="C124" s="75" t="n">
        <v>130</v>
      </c>
      <c r="D124" s="11" t="n">
        <v>0</v>
      </c>
      <c r="E124" s="11" t="n">
        <v>0</v>
      </c>
      <c r="F124" s="11" t="n">
        <v>0</v>
      </c>
      <c r="I124" s="75" t="n">
        <v>130</v>
      </c>
      <c r="J124" s="11" t="n">
        <v>35667.5</v>
      </c>
      <c r="K124" s="11" t="n">
        <v>22919.4</v>
      </c>
      <c r="L124" s="11" t="n">
        <v>66674.19</v>
      </c>
      <c r="O124" s="75" t="n">
        <v>130</v>
      </c>
      <c r="P124" s="11" t="n">
        <v>0</v>
      </c>
      <c r="Q124" s="11" t="n">
        <v>0</v>
      </c>
      <c r="R124" s="11" t="n">
        <v>0</v>
      </c>
      <c r="U124" s="75" t="n">
        <v>130</v>
      </c>
      <c r="V124" s="3">
        <f>J124-P124+D124</f>
        <v/>
      </c>
      <c r="W124" s="3">
        <f>K124-Q124+E124</f>
        <v/>
      </c>
      <c r="X124" s="3">
        <f>L124-R124+F124</f>
        <v/>
      </c>
      <c r="AA124" s="75" t="n">
        <v>130</v>
      </c>
      <c r="AB124" s="2">
        <f>IF(Demand!AU143&gt;Retailers_Cap!N126,(V124/Retailers!P125)/(Demand!AU143-Retailers_Cap!N126),"Inesgotável")</f>
        <v/>
      </c>
      <c r="AC124" s="2">
        <f>IF(Demand!AV143&gt;Retailers_Cap!O126,(W124/Retailers!Q125)/(Demand!AV143-Retailers_Cap!O126),"Inesgotável")</f>
        <v/>
      </c>
      <c r="AD124" s="2">
        <f>IF(Demand!AW143&gt;Retailers_Cap!P126,(X124/Retailers!R125)/(Demand!AW143-Retailers_Cap!P126),"Inesgotável")</f>
        <v/>
      </c>
      <c r="AG124" s="75" t="n">
        <v>130</v>
      </c>
      <c r="AH124" s="75">
        <f>Retailers!AJ125</f>
        <v/>
      </c>
      <c r="AI124" s="75">
        <f>Retailers!AK125</f>
        <v/>
      </c>
      <c r="AJ124" s="75">
        <f>Retailers!AL125</f>
        <v/>
      </c>
      <c r="AM124" s="75" t="n">
        <v>130</v>
      </c>
      <c r="AN124" s="2">
        <f>IF(P124&gt;0,IF(D124=0,"Big stock",AB124/AH124),"Inesgotável")</f>
        <v/>
      </c>
      <c r="AO124" s="2">
        <f>IF(Q124&gt;0,IF(E124=0,"Big stock",AC124/AI124),"Inesgotável")</f>
        <v/>
      </c>
      <c r="AP124" s="2">
        <f>IF(R124&gt;0,IF(F124=0,"Big stock",AD124/AJ124),"Inesgotável")</f>
        <v/>
      </c>
      <c r="AS124" s="75" t="n">
        <v>130</v>
      </c>
      <c r="AT124" s="2">
        <f>Retailers_Cap!BL126</f>
        <v/>
      </c>
      <c r="AU124" s="2">
        <f>Retailers_Cap!BM126</f>
        <v/>
      </c>
      <c r="AV124" s="2">
        <f>Retailers_Cap!BN126</f>
        <v/>
      </c>
      <c r="AY124" s="75" t="n">
        <v>130</v>
      </c>
      <c r="AZ124" s="2">
        <f>IF(D124=0,"no repl",AB124-AT124)</f>
        <v/>
      </c>
      <c r="BA124" s="2">
        <f>IF(E124=0,"no repl",AC124-AU124)</f>
        <v/>
      </c>
      <c r="BB124" s="2">
        <f>IF(F124=0,"no repl",AD124-AV124)</f>
        <v/>
      </c>
    </row>
    <row r="125">
      <c r="C125" s="75" t="n">
        <v>131</v>
      </c>
      <c r="D125" s="11" t="n">
        <v>0</v>
      </c>
      <c r="E125" s="11" t="n">
        <v>85256.9245944079</v>
      </c>
      <c r="F125" s="11" t="n">
        <v>654899.044483261</v>
      </c>
      <c r="I125" s="75" t="n">
        <v>131</v>
      </c>
      <c r="J125" s="11" t="n">
        <v>93365.06</v>
      </c>
      <c r="K125" s="11" t="n">
        <v>15105.42</v>
      </c>
      <c r="L125" s="11" t="n">
        <v>20860.39</v>
      </c>
      <c r="O125" s="75" t="n">
        <v>131</v>
      </c>
      <c r="P125" s="11" t="n">
        <v>0</v>
      </c>
      <c r="Q125" s="11" t="n">
        <v>54163.39104953337</v>
      </c>
      <c r="R125" s="11" t="n">
        <v>392098.422806186</v>
      </c>
      <c r="U125" s="75" t="n">
        <v>131</v>
      </c>
      <c r="V125" s="3">
        <f>J125-P125+D125</f>
        <v/>
      </c>
      <c r="W125" s="3">
        <f>K125-Q125+E125</f>
        <v/>
      </c>
      <c r="X125" s="3">
        <f>L125-R125+F125</f>
        <v/>
      </c>
      <c r="AA125" s="75" t="n">
        <v>131</v>
      </c>
      <c r="AB125" s="2">
        <f>IF(Demand!AU144&gt;Retailers_Cap!N127,(V125/Retailers!P126)/(Demand!AU144-Retailers_Cap!N127),"Inesgotável")</f>
        <v/>
      </c>
      <c r="AC125" s="2">
        <f>IF(Demand!AV144&gt;Retailers_Cap!O127,(W125/Retailers!Q126)/(Demand!AV144-Retailers_Cap!O127),"Inesgotável")</f>
        <v/>
      </c>
      <c r="AD125" s="2">
        <f>IF(Demand!AW144&gt;Retailers_Cap!P127,(X125/Retailers!R126)/(Demand!AW144-Retailers_Cap!P127),"Inesgotável")</f>
        <v/>
      </c>
      <c r="AG125" s="75" t="n">
        <v>131</v>
      </c>
      <c r="AH125" s="75">
        <f>Retailers!AJ126</f>
        <v/>
      </c>
      <c r="AI125" s="75">
        <f>Retailers!AK126</f>
        <v/>
      </c>
      <c r="AJ125" s="75">
        <f>Retailers!AL126</f>
        <v/>
      </c>
      <c r="AM125" s="75" t="n">
        <v>131</v>
      </c>
      <c r="AN125" s="2">
        <f>IF(P125&gt;0,IF(D125=0,"Big stock",AB125/AH125),"Inesgotável")</f>
        <v/>
      </c>
      <c r="AO125" s="2">
        <f>IF(Q125&gt;0,IF(E125=0,"Big stock",AC125/AI125),"Inesgotável")</f>
        <v/>
      </c>
      <c r="AP125" s="2">
        <f>IF(R125&gt;0,IF(F125=0,"Big stock",AD125/AJ125),"Inesgotável")</f>
        <v/>
      </c>
      <c r="AS125" s="75" t="n">
        <v>131</v>
      </c>
      <c r="AT125" s="2">
        <f>Retailers_Cap!BL127</f>
        <v/>
      </c>
      <c r="AU125" s="2">
        <f>Retailers_Cap!BM127</f>
        <v/>
      </c>
      <c r="AV125" s="2">
        <f>Retailers_Cap!BN127</f>
        <v/>
      </c>
      <c r="AY125" s="75" t="n">
        <v>131</v>
      </c>
      <c r="AZ125" s="2">
        <f>IF(D125=0,"no repl",AB125-AT125)</f>
        <v/>
      </c>
      <c r="BA125" s="2">
        <f>IF(E125=0,"no repl",AC125-AU125)</f>
        <v/>
      </c>
      <c r="BB125" s="2">
        <f>IF(F125=0,"no repl",AD125-AV125)</f>
        <v/>
      </c>
    </row>
    <row r="126">
      <c r="C126" s="75" t="n">
        <v>132</v>
      </c>
      <c r="D126" s="11" t="n">
        <v>595586.6787787459</v>
      </c>
      <c r="E126" s="11" t="n">
        <v>0</v>
      </c>
      <c r="F126" s="11" t="n">
        <v>0</v>
      </c>
      <c r="I126" s="75" t="n">
        <v>132</v>
      </c>
      <c r="J126" s="11" t="n">
        <v>16779.98</v>
      </c>
      <c r="K126" s="11" t="n">
        <v>63433.5</v>
      </c>
      <c r="L126" s="11" t="n">
        <v>55626.05</v>
      </c>
      <c r="O126" s="75" t="n">
        <v>132</v>
      </c>
      <c r="P126" s="11" t="n">
        <v>394197.8058607565</v>
      </c>
      <c r="Q126" s="11" t="n">
        <v>0</v>
      </c>
      <c r="R126" s="11" t="n">
        <v>0</v>
      </c>
      <c r="U126" s="75" t="n">
        <v>132</v>
      </c>
      <c r="V126" s="3">
        <f>J126-P126+D126</f>
        <v/>
      </c>
      <c r="W126" s="3">
        <f>K126-Q126+E126</f>
        <v/>
      </c>
      <c r="X126" s="3">
        <f>L126-R126+F126</f>
        <v/>
      </c>
      <c r="AA126" s="75" t="n">
        <v>132</v>
      </c>
      <c r="AB126" s="2">
        <f>IF(Demand!AU145&gt;Retailers_Cap!N128,(V126/Retailers!P127)/(Demand!AU145-Retailers_Cap!N128),"Inesgotável")</f>
        <v/>
      </c>
      <c r="AC126" s="2">
        <f>IF(Demand!AV145&gt;Retailers_Cap!O128,(W126/Retailers!Q127)/(Demand!AV145-Retailers_Cap!O128),"Inesgotável")</f>
        <v/>
      </c>
      <c r="AD126" s="2">
        <f>IF(Demand!AW145&gt;Retailers_Cap!P128,(X126/Retailers!R127)/(Demand!AW145-Retailers_Cap!P128),"Inesgotável")</f>
        <v/>
      </c>
      <c r="AG126" s="75" t="n">
        <v>132</v>
      </c>
      <c r="AH126" s="75">
        <f>Retailers!AJ127</f>
        <v/>
      </c>
      <c r="AI126" s="75">
        <f>Retailers!AK127</f>
        <v/>
      </c>
      <c r="AJ126" s="75">
        <f>Retailers!AL127</f>
        <v/>
      </c>
      <c r="AM126" s="75" t="n">
        <v>132</v>
      </c>
      <c r="AN126" s="2">
        <f>IF(P126&gt;0,IF(D126=0,"Big stock",AB126/AH126),"Inesgotável")</f>
        <v/>
      </c>
      <c r="AO126" s="2">
        <f>IF(Q126&gt;0,IF(E126=0,"Big stock",AC126/AI126),"Inesgotável")</f>
        <v/>
      </c>
      <c r="AP126" s="2">
        <f>IF(R126&gt;0,IF(F126=0,"Big stock",AD126/AJ126),"Inesgotável")</f>
        <v/>
      </c>
      <c r="AS126" s="75" t="n">
        <v>132</v>
      </c>
      <c r="AT126" s="2">
        <f>Retailers_Cap!BL128</f>
        <v/>
      </c>
      <c r="AU126" s="2">
        <f>Retailers_Cap!BM128</f>
        <v/>
      </c>
      <c r="AV126" s="2">
        <f>Retailers_Cap!BN128</f>
        <v/>
      </c>
      <c r="AY126" s="75" t="n">
        <v>132</v>
      </c>
      <c r="AZ126" s="2">
        <f>IF(D126=0,"no repl",AB126-AT126)</f>
        <v/>
      </c>
      <c r="BA126" s="2">
        <f>IF(E126=0,"no repl",AC126-AU126)</f>
        <v/>
      </c>
      <c r="BB126" s="2">
        <f>IF(F126=0,"no repl",AD126-AV126)</f>
        <v/>
      </c>
    </row>
    <row r="127">
      <c r="C127" s="75" t="n">
        <v>133</v>
      </c>
      <c r="D127" s="11" t="n">
        <v>55086.48904215017</v>
      </c>
      <c r="E127" s="11" t="n">
        <v>231089.6576015259</v>
      </c>
      <c r="F127" s="11" t="n">
        <v>665390.6249245309</v>
      </c>
      <c r="I127" s="75" t="n">
        <v>133</v>
      </c>
      <c r="J127" s="11" t="n">
        <v>44246.82</v>
      </c>
      <c r="K127" s="11" t="n">
        <v>19987.92</v>
      </c>
      <c r="L127" s="11" t="n">
        <v>26025.6</v>
      </c>
      <c r="O127" s="75" t="n">
        <v>133</v>
      </c>
      <c r="P127" s="11" t="n">
        <v>34073.73256639983</v>
      </c>
      <c r="Q127" s="11" t="n">
        <v>137089.3096706648</v>
      </c>
      <c r="R127" s="11" t="n">
        <v>404012.8391260628</v>
      </c>
      <c r="U127" s="75" t="n">
        <v>133</v>
      </c>
      <c r="V127" s="3">
        <f>J127-P127+D127</f>
        <v/>
      </c>
      <c r="W127" s="3">
        <f>K127-Q127+E127</f>
        <v/>
      </c>
      <c r="X127" s="3">
        <f>L127-R127+F127</f>
        <v/>
      </c>
      <c r="AA127" s="75" t="n">
        <v>133</v>
      </c>
      <c r="AB127" s="2">
        <f>IF(Demand!AU146&gt;Retailers_Cap!N129,(V127/Retailers!P128)/(Demand!AU146-Retailers_Cap!N129),"Inesgotável")</f>
        <v/>
      </c>
      <c r="AC127" s="2">
        <f>IF(Demand!AV146&gt;Retailers_Cap!O129,(W127/Retailers!Q128)/(Demand!AV146-Retailers_Cap!O129),"Inesgotável")</f>
        <v/>
      </c>
      <c r="AD127" s="2">
        <f>IF(Demand!AW146&gt;Retailers_Cap!P129,(X127/Retailers!R128)/(Demand!AW146-Retailers_Cap!P129),"Inesgotável")</f>
        <v/>
      </c>
      <c r="AG127" s="75" t="n">
        <v>133</v>
      </c>
      <c r="AH127" s="75">
        <f>Retailers!AJ128</f>
        <v/>
      </c>
      <c r="AI127" s="75">
        <f>Retailers!AK128</f>
        <v/>
      </c>
      <c r="AJ127" s="75">
        <f>Retailers!AL128</f>
        <v/>
      </c>
      <c r="AM127" s="75" t="n">
        <v>133</v>
      </c>
      <c r="AN127" s="2">
        <f>IF(P127&gt;0,IF(D127=0,"Big stock",AB127/AH127),"Inesgotável")</f>
        <v/>
      </c>
      <c r="AO127" s="2">
        <f>IF(Q127&gt;0,IF(E127=0,"Big stock",AC127/AI127),"Inesgotável")</f>
        <v/>
      </c>
      <c r="AP127" s="2">
        <f>IF(R127&gt;0,IF(F127=0,"Big stock",AD127/AJ127),"Inesgotável")</f>
        <v/>
      </c>
      <c r="AS127" s="75" t="n">
        <v>133</v>
      </c>
      <c r="AT127" s="2">
        <f>Retailers_Cap!BL129</f>
        <v/>
      </c>
      <c r="AU127" s="2">
        <f>Retailers_Cap!BM129</f>
        <v/>
      </c>
      <c r="AV127" s="2">
        <f>Retailers_Cap!BN129</f>
        <v/>
      </c>
      <c r="AY127" s="75" t="n">
        <v>133</v>
      </c>
      <c r="AZ127" s="2">
        <f>IF(D127=0,"no repl",AB127-AT127)</f>
        <v/>
      </c>
      <c r="BA127" s="2">
        <f>IF(E127=0,"no repl",AC127-AU127)</f>
        <v/>
      </c>
      <c r="BB127" s="2">
        <f>IF(F127=0,"no repl",AD127-AV127)</f>
        <v/>
      </c>
    </row>
    <row r="128">
      <c r="C128" s="75" t="n">
        <v>134</v>
      </c>
      <c r="D128" s="11" t="n">
        <v>0</v>
      </c>
      <c r="E128" s="11" t="n">
        <v>81164.95584724637</v>
      </c>
      <c r="F128" s="11" t="n">
        <v>334915.0042204465</v>
      </c>
      <c r="I128" s="75" t="n">
        <v>134</v>
      </c>
      <c r="J128" s="11" t="n">
        <v>87814.55</v>
      </c>
      <c r="K128" s="11" t="n">
        <v>14981</v>
      </c>
      <c r="L128" s="11" t="n">
        <v>105725.25</v>
      </c>
      <c r="O128" s="75" t="n">
        <v>134</v>
      </c>
      <c r="P128" s="11" t="n">
        <v>0</v>
      </c>
      <c r="Q128" s="11" t="n">
        <v>51778.91561319326</v>
      </c>
      <c r="R128" s="11" t="n">
        <v>215369.7957209559</v>
      </c>
      <c r="U128" s="75" t="n">
        <v>134</v>
      </c>
      <c r="V128" s="3">
        <f>J128-P128+D128</f>
        <v/>
      </c>
      <c r="W128" s="3">
        <f>K128-Q128+E128</f>
        <v/>
      </c>
      <c r="X128" s="3">
        <f>L128-R128+F128</f>
        <v/>
      </c>
      <c r="AA128" s="75" t="n">
        <v>134</v>
      </c>
      <c r="AB128" s="2">
        <f>IF(Demand!AU147&gt;Retailers_Cap!N130,(V128/Retailers!P129)/(Demand!AU147-Retailers_Cap!N130),"Inesgotável")</f>
        <v/>
      </c>
      <c r="AC128" s="2">
        <f>IF(Demand!AV147&gt;Retailers_Cap!O130,(W128/Retailers!Q129)/(Demand!AV147-Retailers_Cap!O130),"Inesgotável")</f>
        <v/>
      </c>
      <c r="AD128" s="2">
        <f>IF(Demand!AW147&gt;Retailers_Cap!P130,(X128/Retailers!R129)/(Demand!AW147-Retailers_Cap!P130),"Inesgotável")</f>
        <v/>
      </c>
      <c r="AG128" s="75" t="n">
        <v>134</v>
      </c>
      <c r="AH128" s="75">
        <f>Retailers!AJ129</f>
        <v/>
      </c>
      <c r="AI128" s="75">
        <f>Retailers!AK129</f>
        <v/>
      </c>
      <c r="AJ128" s="75">
        <f>Retailers!AL129</f>
        <v/>
      </c>
      <c r="AM128" s="75" t="n">
        <v>134</v>
      </c>
      <c r="AN128" s="2">
        <f>IF(P128&gt;0,IF(D128=0,"Big stock",AB128/AH128),"Inesgotável")</f>
        <v/>
      </c>
      <c r="AO128" s="2">
        <f>IF(Q128&gt;0,IF(E128=0,"Big stock",AC128/AI128),"Inesgotável")</f>
        <v/>
      </c>
      <c r="AP128" s="2">
        <f>IF(R128&gt;0,IF(F128=0,"Big stock",AD128/AJ128),"Inesgotável")</f>
        <v/>
      </c>
      <c r="AS128" s="75" t="n">
        <v>134</v>
      </c>
      <c r="AT128" s="2">
        <f>Retailers_Cap!BL130</f>
        <v/>
      </c>
      <c r="AU128" s="2">
        <f>Retailers_Cap!BM130</f>
        <v/>
      </c>
      <c r="AV128" s="2">
        <f>Retailers_Cap!BN130</f>
        <v/>
      </c>
      <c r="AY128" s="75" t="n">
        <v>134</v>
      </c>
      <c r="AZ128" s="2">
        <f>IF(D128=0,"no repl",AB128-AT128)</f>
        <v/>
      </c>
      <c r="BA128" s="2">
        <f>IF(E128=0,"no repl",AC128-AU128)</f>
        <v/>
      </c>
      <c r="BB128" s="2">
        <f>IF(F128=0,"no repl",AD128-AV128)</f>
        <v/>
      </c>
    </row>
    <row r="129">
      <c r="C129" s="75" t="n">
        <v>135</v>
      </c>
      <c r="D129" s="11" t="n">
        <v>0</v>
      </c>
      <c r="E129" s="11" t="n">
        <v>226749.6878071125</v>
      </c>
      <c r="F129" s="11" t="n">
        <v>362184.9017422608</v>
      </c>
      <c r="I129" s="75" t="n">
        <v>135</v>
      </c>
      <c r="J129" s="11" t="n">
        <v>5431.860000000001</v>
      </c>
      <c r="K129" s="11" t="n">
        <v>35301.7</v>
      </c>
      <c r="L129" s="11" t="n">
        <v>31391.32</v>
      </c>
      <c r="O129" s="75" t="n">
        <v>135</v>
      </c>
      <c r="P129" s="11" t="n">
        <v>0</v>
      </c>
      <c r="Q129" s="11" t="n">
        <v>144298.1477029659</v>
      </c>
      <c r="R129" s="11" t="n">
        <v>221865.8548938361</v>
      </c>
      <c r="U129" s="75" t="n">
        <v>135</v>
      </c>
      <c r="V129" s="3">
        <f>J129-P129+D129</f>
        <v/>
      </c>
      <c r="W129" s="3">
        <f>K129-Q129+E129</f>
        <v/>
      </c>
      <c r="X129" s="3">
        <f>L129-R129+F129</f>
        <v/>
      </c>
      <c r="AA129" s="75" t="n">
        <v>135</v>
      </c>
      <c r="AB129" s="2">
        <f>IF(Demand!AU148&gt;Retailers_Cap!N131,(V129/Retailers!P130)/(Demand!AU148-Retailers_Cap!N131),"Inesgotável")</f>
        <v/>
      </c>
      <c r="AC129" s="2">
        <f>IF(Demand!AV148&gt;Retailers_Cap!O131,(W129/Retailers!Q130)/(Demand!AV148-Retailers_Cap!O131),"Inesgotável")</f>
        <v/>
      </c>
      <c r="AD129" s="2">
        <f>IF(Demand!AW148&gt;Retailers_Cap!P131,(X129/Retailers!R130)/(Demand!AW148-Retailers_Cap!P131),"Inesgotável")</f>
        <v/>
      </c>
      <c r="AG129" s="75" t="n">
        <v>135</v>
      </c>
      <c r="AH129" s="75">
        <f>Retailers!AJ130</f>
        <v/>
      </c>
      <c r="AI129" s="75">
        <f>Retailers!AK130</f>
        <v/>
      </c>
      <c r="AJ129" s="75">
        <f>Retailers!AL130</f>
        <v/>
      </c>
      <c r="AM129" s="75" t="n">
        <v>135</v>
      </c>
      <c r="AN129" s="2">
        <f>IF(P129&gt;0,IF(D129=0,"Big stock",AB129/AH129),"Inesgotável")</f>
        <v/>
      </c>
      <c r="AO129" s="2">
        <f>IF(Q129&gt;0,IF(E129=0,"Big stock",AC129/AI129),"Inesgotável")</f>
        <v/>
      </c>
      <c r="AP129" s="2">
        <f>IF(R129&gt;0,IF(F129=0,"Big stock",AD129/AJ129),"Inesgotável")</f>
        <v/>
      </c>
      <c r="AS129" s="75" t="n">
        <v>135</v>
      </c>
      <c r="AT129" s="2">
        <f>Retailers_Cap!BL131</f>
        <v/>
      </c>
      <c r="AU129" s="2">
        <f>Retailers_Cap!BM131</f>
        <v/>
      </c>
      <c r="AV129" s="2">
        <f>Retailers_Cap!BN131</f>
        <v/>
      </c>
      <c r="AY129" s="75" t="n">
        <v>135</v>
      </c>
      <c r="AZ129" s="2">
        <f>IF(D129=0,"no repl",AB129-AT129)</f>
        <v/>
      </c>
      <c r="BA129" s="2">
        <f>IF(E129=0,"no repl",AC129-AU129)</f>
        <v/>
      </c>
      <c r="BB129" s="2">
        <f>IF(F129=0,"no repl",AD129-AV129)</f>
        <v/>
      </c>
    </row>
    <row r="130">
      <c r="C130" s="75" t="n">
        <v>136</v>
      </c>
      <c r="D130" s="11" t="n">
        <v>0</v>
      </c>
      <c r="E130" s="11" t="n">
        <v>204881.4369649054</v>
      </c>
      <c r="F130" s="11" t="n">
        <v>494719.7789002637</v>
      </c>
      <c r="I130" s="75" t="n">
        <v>136</v>
      </c>
      <c r="J130" s="11" t="n">
        <v>38767.2</v>
      </c>
      <c r="K130" s="11" t="n">
        <v>56894.4</v>
      </c>
      <c r="L130" s="11" t="n">
        <v>9028.800000000001</v>
      </c>
      <c r="O130" s="75" t="n">
        <v>136</v>
      </c>
      <c r="P130" s="11" t="n">
        <v>0</v>
      </c>
      <c r="Q130" s="11" t="n">
        <v>119973.9736799652</v>
      </c>
      <c r="R130" s="11" t="n">
        <v>288479.0103470723</v>
      </c>
      <c r="U130" s="75" t="n">
        <v>136</v>
      </c>
      <c r="V130" s="3">
        <f>J130-P130+D130</f>
        <v/>
      </c>
      <c r="W130" s="3">
        <f>K130-Q130+E130</f>
        <v/>
      </c>
      <c r="X130" s="3">
        <f>L130-R130+F130</f>
        <v/>
      </c>
      <c r="AA130" s="75" t="n">
        <v>136</v>
      </c>
      <c r="AB130" s="2">
        <f>IF(Demand!AU149&gt;Retailers_Cap!N132,(V130/Retailers!P131)/(Demand!AU149-Retailers_Cap!N132),"Inesgotável")</f>
        <v/>
      </c>
      <c r="AC130" s="2">
        <f>IF(Demand!AV149&gt;Retailers_Cap!O132,(W130/Retailers!Q131)/(Demand!AV149-Retailers_Cap!O132),"Inesgotável")</f>
        <v/>
      </c>
      <c r="AD130" s="2">
        <f>IF(Demand!AW149&gt;Retailers_Cap!P132,(X130/Retailers!R131)/(Demand!AW149-Retailers_Cap!P132),"Inesgotável")</f>
        <v/>
      </c>
      <c r="AG130" s="75" t="n">
        <v>136</v>
      </c>
      <c r="AH130" s="75">
        <f>Retailers!AJ131</f>
        <v/>
      </c>
      <c r="AI130" s="75">
        <f>Retailers!AK131</f>
        <v/>
      </c>
      <c r="AJ130" s="75">
        <f>Retailers!AL131</f>
        <v/>
      </c>
      <c r="AM130" s="75" t="n">
        <v>136</v>
      </c>
      <c r="AN130" s="2">
        <f>IF(P130&gt;0,IF(D130=0,"Big stock",AB130/AH130),"Inesgotável")</f>
        <v/>
      </c>
      <c r="AO130" s="2">
        <f>IF(Q130&gt;0,IF(E130=0,"Big stock",AC130/AI130),"Inesgotável")</f>
        <v/>
      </c>
      <c r="AP130" s="2">
        <f>IF(R130&gt;0,IF(F130=0,"Big stock",AD130/AJ130),"Inesgotável")</f>
        <v/>
      </c>
      <c r="AS130" s="75" t="n">
        <v>136</v>
      </c>
      <c r="AT130" s="2">
        <f>Retailers_Cap!BL132</f>
        <v/>
      </c>
      <c r="AU130" s="2">
        <f>Retailers_Cap!BM132</f>
        <v/>
      </c>
      <c r="AV130" s="2">
        <f>Retailers_Cap!BN132</f>
        <v/>
      </c>
      <c r="AY130" s="75" t="n">
        <v>136</v>
      </c>
      <c r="AZ130" s="2">
        <f>IF(D130=0,"no repl",AB130-AT130)</f>
        <v/>
      </c>
      <c r="BA130" s="2">
        <f>IF(E130=0,"no repl",AC130-AU130)</f>
        <v/>
      </c>
      <c r="BB130" s="2">
        <f>IF(F130=0,"no repl",AD130-AV130)</f>
        <v/>
      </c>
    </row>
    <row r="131">
      <c r="C131" s="75" t="n">
        <v>137</v>
      </c>
      <c r="D131" s="11" t="n">
        <v>667601.3119498198</v>
      </c>
      <c r="E131" s="11" t="n">
        <v>0</v>
      </c>
      <c r="F131" s="11" t="n">
        <v>79574.56339203603</v>
      </c>
      <c r="I131" s="75" t="n">
        <v>137</v>
      </c>
      <c r="J131" s="11" t="n">
        <v>59348.7</v>
      </c>
      <c r="K131" s="11" t="n">
        <v>11337.7</v>
      </c>
      <c r="L131" s="11" t="n">
        <v>2459.8</v>
      </c>
      <c r="O131" s="75" t="n">
        <v>137</v>
      </c>
      <c r="P131" s="11" t="n">
        <v>379115.0458577191</v>
      </c>
      <c r="Q131" s="11" t="n">
        <v>0</v>
      </c>
      <c r="R131" s="11" t="n">
        <v>52999.76199058426</v>
      </c>
      <c r="U131" s="75" t="n">
        <v>137</v>
      </c>
      <c r="V131" s="3">
        <f>J131-P131+D131</f>
        <v/>
      </c>
      <c r="W131" s="3">
        <f>K131-Q131+E131</f>
        <v/>
      </c>
      <c r="X131" s="3">
        <f>L131-R131+F131</f>
        <v/>
      </c>
      <c r="AA131" s="75" t="n">
        <v>137</v>
      </c>
      <c r="AB131" s="2">
        <f>IF(Demand!AU150&gt;Retailers_Cap!N133,(V131/Retailers!P132)/(Demand!AU150-Retailers_Cap!N133),"Inesgotável")</f>
        <v/>
      </c>
      <c r="AC131" s="2">
        <f>IF(Demand!AV150&gt;Retailers_Cap!O133,(W131/Retailers!Q132)/(Demand!AV150-Retailers_Cap!O133),"Inesgotável")</f>
        <v/>
      </c>
      <c r="AD131" s="2">
        <f>IF(Demand!AW150&gt;Retailers_Cap!P133,(X131/Retailers!R132)/(Demand!AW150-Retailers_Cap!P133),"Inesgotável")</f>
        <v/>
      </c>
      <c r="AG131" s="75" t="n">
        <v>137</v>
      </c>
      <c r="AH131" s="75">
        <f>Retailers!AJ132</f>
        <v/>
      </c>
      <c r="AI131" s="75">
        <f>Retailers!AK132</f>
        <v/>
      </c>
      <c r="AJ131" s="75">
        <f>Retailers!AL132</f>
        <v/>
      </c>
      <c r="AM131" s="75" t="n">
        <v>137</v>
      </c>
      <c r="AN131" s="2">
        <f>IF(P131&gt;0,IF(D131=0,"Big stock",AB131/AH131),"Inesgotável")</f>
        <v/>
      </c>
      <c r="AO131" s="2">
        <f>IF(Q131&gt;0,IF(E131=0,"Big stock",AC131/AI131),"Inesgotável")</f>
        <v/>
      </c>
      <c r="AP131" s="2">
        <f>IF(R131&gt;0,IF(F131=0,"Big stock",AD131/AJ131),"Inesgotável")</f>
        <v/>
      </c>
      <c r="AS131" s="75" t="n">
        <v>137</v>
      </c>
      <c r="AT131" s="2">
        <f>Retailers_Cap!BL133</f>
        <v/>
      </c>
      <c r="AU131" s="2">
        <f>Retailers_Cap!BM133</f>
        <v/>
      </c>
      <c r="AV131" s="2">
        <f>Retailers_Cap!BN133</f>
        <v/>
      </c>
      <c r="AY131" s="75" t="n">
        <v>137</v>
      </c>
      <c r="AZ131" s="2">
        <f>IF(D131=0,"no repl",AB131-AT131)</f>
        <v/>
      </c>
      <c r="BA131" s="2">
        <f>IF(E131=0,"no repl",AC131-AU131)</f>
        <v/>
      </c>
      <c r="BB131" s="2">
        <f>IF(F131=0,"no repl",AD131-AV131)</f>
        <v/>
      </c>
    </row>
    <row r="132">
      <c r="C132" s="75" t="n">
        <v>138</v>
      </c>
      <c r="D132" s="11" t="n">
        <v>0</v>
      </c>
      <c r="E132" s="11" t="n">
        <v>481930.1303271588</v>
      </c>
      <c r="F132" s="11" t="n">
        <v>388681.6312116705</v>
      </c>
      <c r="I132" s="75" t="n">
        <v>138</v>
      </c>
      <c r="J132" s="11" t="n">
        <v>19457.19</v>
      </c>
      <c r="K132" s="11" t="n">
        <v>13581.21</v>
      </c>
      <c r="L132" s="11" t="n">
        <v>32846.22</v>
      </c>
      <c r="O132" s="75" t="n">
        <v>138</v>
      </c>
      <c r="P132" s="11" t="n">
        <v>0</v>
      </c>
      <c r="Q132" s="11" t="n">
        <v>294214.368020067</v>
      </c>
      <c r="R132" s="11" t="n">
        <v>227075.7969602552</v>
      </c>
      <c r="U132" s="75" t="n">
        <v>138</v>
      </c>
      <c r="V132" s="3">
        <f>J132-P132+D132</f>
        <v/>
      </c>
      <c r="W132" s="3">
        <f>K132-Q132+E132</f>
        <v/>
      </c>
      <c r="X132" s="3">
        <f>L132-R132+F132</f>
        <v/>
      </c>
      <c r="AA132" s="75" t="n">
        <v>138</v>
      </c>
      <c r="AB132" s="2">
        <f>IF(Demand!AU151&gt;Retailers_Cap!N134,(V132/Retailers!P133)/(Demand!AU151-Retailers_Cap!N134),"Inesgotável")</f>
        <v/>
      </c>
      <c r="AC132" s="2">
        <f>IF(Demand!AV151&gt;Retailers_Cap!O134,(W132/Retailers!Q133)/(Demand!AV151-Retailers_Cap!O134),"Inesgotável")</f>
        <v/>
      </c>
      <c r="AD132" s="2">
        <f>IF(Demand!AW151&gt;Retailers_Cap!P134,(X132/Retailers!R133)/(Demand!AW151-Retailers_Cap!P134),"Inesgotável")</f>
        <v/>
      </c>
      <c r="AG132" s="75" t="n">
        <v>138</v>
      </c>
      <c r="AH132" s="75">
        <f>Retailers!AJ133</f>
        <v/>
      </c>
      <c r="AI132" s="75">
        <f>Retailers!AK133</f>
        <v/>
      </c>
      <c r="AJ132" s="75">
        <f>Retailers!AL133</f>
        <v/>
      </c>
      <c r="AM132" s="75" t="n">
        <v>138</v>
      </c>
      <c r="AN132" s="2">
        <f>IF(P132&gt;0,IF(D132=0,"Big stock",AB132/AH132),"Inesgotável")</f>
        <v/>
      </c>
      <c r="AO132" s="2">
        <f>IF(Q132&gt;0,IF(E132=0,"Big stock",AC132/AI132),"Inesgotável")</f>
        <v/>
      </c>
      <c r="AP132" s="2">
        <f>IF(R132&gt;0,IF(F132=0,"Big stock",AD132/AJ132),"Inesgotável")</f>
        <v/>
      </c>
      <c r="AS132" s="75" t="n">
        <v>138</v>
      </c>
      <c r="AT132" s="2">
        <f>Retailers_Cap!BL134</f>
        <v/>
      </c>
      <c r="AU132" s="2">
        <f>Retailers_Cap!BM134</f>
        <v/>
      </c>
      <c r="AV132" s="2">
        <f>Retailers_Cap!BN134</f>
        <v/>
      </c>
      <c r="AY132" s="75" t="n">
        <v>138</v>
      </c>
      <c r="AZ132" s="2">
        <f>IF(D132=0,"no repl",AB132-AT132)</f>
        <v/>
      </c>
      <c r="BA132" s="2">
        <f>IF(E132=0,"no repl",AC132-AU132)</f>
        <v/>
      </c>
      <c r="BB132" s="2">
        <f>IF(F132=0,"no repl",AD132-AV132)</f>
        <v/>
      </c>
    </row>
    <row r="133">
      <c r="C133" s="75" t="n">
        <v>139</v>
      </c>
      <c r="D133" s="11" t="n">
        <v>0</v>
      </c>
      <c r="E133" s="11" t="n">
        <v>0</v>
      </c>
      <c r="F133" s="11" t="n">
        <v>426714.8566986575</v>
      </c>
      <c r="I133" s="75" t="n">
        <v>139</v>
      </c>
      <c r="J133" s="11" t="n">
        <v>35798.6</v>
      </c>
      <c r="K133" s="11" t="n">
        <v>15617.43</v>
      </c>
      <c r="L133" s="11" t="n">
        <v>30706.49</v>
      </c>
      <c r="O133" s="75" t="n">
        <v>139</v>
      </c>
      <c r="P133" s="11" t="n">
        <v>0</v>
      </c>
      <c r="Q133" s="11" t="n">
        <v>0</v>
      </c>
      <c r="R133" s="11" t="n">
        <v>281544.7121241373</v>
      </c>
      <c r="U133" s="75" t="n">
        <v>139</v>
      </c>
      <c r="V133" s="3">
        <f>J133-P133+D133</f>
        <v/>
      </c>
      <c r="W133" s="3">
        <f>K133-Q133+E133</f>
        <v/>
      </c>
      <c r="X133" s="3">
        <f>L133-R133+F133</f>
        <v/>
      </c>
      <c r="AA133" s="75" t="n">
        <v>139</v>
      </c>
      <c r="AB133" s="2">
        <f>IF(Demand!AU152&gt;Retailers_Cap!N135,(V133/Retailers!P134)/(Demand!AU152-Retailers_Cap!N135),"Inesgotável")</f>
        <v/>
      </c>
      <c r="AC133" s="2">
        <f>IF(Demand!AV152&gt;Retailers_Cap!O135,(W133/Retailers!Q134)/(Demand!AV152-Retailers_Cap!O135),"Inesgotável")</f>
        <v/>
      </c>
      <c r="AD133" s="2">
        <f>IF(Demand!AW152&gt;Retailers_Cap!P135,(X133/Retailers!R134)/(Demand!AW152-Retailers_Cap!P135),"Inesgotável")</f>
        <v/>
      </c>
      <c r="AG133" s="75" t="n">
        <v>139</v>
      </c>
      <c r="AH133" s="75">
        <f>Retailers!AJ134</f>
        <v/>
      </c>
      <c r="AI133" s="75">
        <f>Retailers!AK134</f>
        <v/>
      </c>
      <c r="AJ133" s="75">
        <f>Retailers!AL134</f>
        <v/>
      </c>
      <c r="AM133" s="75" t="n">
        <v>139</v>
      </c>
      <c r="AN133" s="2">
        <f>IF(P133&gt;0,IF(D133=0,"Big stock",AB133/AH133),"Inesgotável")</f>
        <v/>
      </c>
      <c r="AO133" s="2">
        <f>IF(Q133&gt;0,IF(E133=0,"Big stock",AC133/AI133),"Inesgotável")</f>
        <v/>
      </c>
      <c r="AP133" s="2">
        <f>IF(R133&gt;0,IF(F133=0,"Big stock",AD133/AJ133),"Inesgotável")</f>
        <v/>
      </c>
      <c r="AS133" s="75" t="n">
        <v>139</v>
      </c>
      <c r="AT133" s="2">
        <f>Retailers_Cap!BL135</f>
        <v/>
      </c>
      <c r="AU133" s="2">
        <f>Retailers_Cap!BM135</f>
        <v/>
      </c>
      <c r="AV133" s="2">
        <f>Retailers_Cap!BN135</f>
        <v/>
      </c>
      <c r="AY133" s="75" t="n">
        <v>139</v>
      </c>
      <c r="AZ133" s="2">
        <f>IF(D133=0,"no repl",AB133-AT133)</f>
        <v/>
      </c>
      <c r="BA133" s="2">
        <f>IF(E133=0,"no repl",AC133-AU133)</f>
        <v/>
      </c>
      <c r="BB133" s="2">
        <f>IF(F133=0,"no repl",AD133-AV133)</f>
        <v/>
      </c>
    </row>
    <row r="134">
      <c r="C134" s="75" t="n">
        <v>140</v>
      </c>
      <c r="D134" s="11" t="n">
        <v>212852.5786633914</v>
      </c>
      <c r="E134" s="11" t="n">
        <v>435872.9124307086</v>
      </c>
      <c r="F134" s="11" t="n">
        <v>0</v>
      </c>
      <c r="I134" s="75" t="n">
        <v>140</v>
      </c>
      <c r="J134" s="11" t="n">
        <v>36195.78</v>
      </c>
      <c r="K134" s="11" t="n">
        <v>83862.13</v>
      </c>
      <c r="L134" s="11" t="n">
        <v>29649.54</v>
      </c>
      <c r="O134" s="75" t="n">
        <v>140</v>
      </c>
      <c r="P134" s="11" t="n">
        <v>134623.8479548271</v>
      </c>
      <c r="Q134" s="11" t="n">
        <v>271013.2667768393</v>
      </c>
      <c r="R134" s="11" t="n">
        <v>0</v>
      </c>
      <c r="U134" s="75" t="n">
        <v>140</v>
      </c>
      <c r="V134" s="3">
        <f>J134-P134+D134</f>
        <v/>
      </c>
      <c r="W134" s="3">
        <f>K134-Q134+E134</f>
        <v/>
      </c>
      <c r="X134" s="3">
        <f>L134-R134+F134</f>
        <v/>
      </c>
      <c r="AA134" s="75" t="n">
        <v>140</v>
      </c>
      <c r="AB134" s="2">
        <f>IF(Demand!AU153&gt;Retailers_Cap!N136,(V134/Retailers!P135)/(Demand!AU153-Retailers_Cap!N136),"Inesgotável")</f>
        <v/>
      </c>
      <c r="AC134" s="2">
        <f>IF(Demand!AV153&gt;Retailers_Cap!O136,(W134/Retailers!Q135)/(Demand!AV153-Retailers_Cap!O136),"Inesgotável")</f>
        <v/>
      </c>
      <c r="AD134" s="2">
        <f>IF(Demand!AW153&gt;Retailers_Cap!P136,(X134/Retailers!R135)/(Demand!AW153-Retailers_Cap!P136),"Inesgotável")</f>
        <v/>
      </c>
      <c r="AG134" s="75" t="n">
        <v>140</v>
      </c>
      <c r="AH134" s="75">
        <f>Retailers!AJ135</f>
        <v/>
      </c>
      <c r="AI134" s="75">
        <f>Retailers!AK135</f>
        <v/>
      </c>
      <c r="AJ134" s="75">
        <f>Retailers!AL135</f>
        <v/>
      </c>
      <c r="AM134" s="75" t="n">
        <v>140</v>
      </c>
      <c r="AN134" s="2">
        <f>IF(P134&gt;0,IF(D134=0,"Big stock",AB134/AH134),"Inesgotável")</f>
        <v/>
      </c>
      <c r="AO134" s="2">
        <f>IF(Q134&gt;0,IF(E134=0,"Big stock",AC134/AI134),"Inesgotável")</f>
        <v/>
      </c>
      <c r="AP134" s="2">
        <f>IF(R134&gt;0,IF(F134=0,"Big stock",AD134/AJ134),"Inesgotável")</f>
        <v/>
      </c>
      <c r="AS134" s="75" t="n">
        <v>140</v>
      </c>
      <c r="AT134" s="2">
        <f>Retailers_Cap!BL136</f>
        <v/>
      </c>
      <c r="AU134" s="2">
        <f>Retailers_Cap!BM136</f>
        <v/>
      </c>
      <c r="AV134" s="2">
        <f>Retailers_Cap!BN136</f>
        <v/>
      </c>
      <c r="AY134" s="75" t="n">
        <v>140</v>
      </c>
      <c r="AZ134" s="2">
        <f>IF(D134=0,"no repl",AB134-AT134)</f>
        <v/>
      </c>
      <c r="BA134" s="2">
        <f>IF(E134=0,"no repl",AC134-AU134)</f>
        <v/>
      </c>
      <c r="BB134" s="2">
        <f>IF(F134=0,"no repl",AD134-AV134)</f>
        <v/>
      </c>
    </row>
    <row r="135">
      <c r="C135" s="75" t="n">
        <v>141</v>
      </c>
      <c r="D135" s="11" t="n">
        <v>391943.1096598618</v>
      </c>
      <c r="E135" s="11" t="n">
        <v>176215.6350483002</v>
      </c>
      <c r="F135" s="11" t="n">
        <v>0</v>
      </c>
      <c r="I135" s="75" t="n">
        <v>141</v>
      </c>
      <c r="J135" s="11" t="n">
        <v>66013.08</v>
      </c>
      <c r="K135" s="11" t="n">
        <v>47040.9</v>
      </c>
      <c r="L135" s="11" t="n">
        <v>17395.2</v>
      </c>
      <c r="O135" s="75" t="n">
        <v>141</v>
      </c>
      <c r="P135" s="11" t="n">
        <v>225520.4884141123</v>
      </c>
      <c r="Q135" s="11" t="n">
        <v>107834.9173040895</v>
      </c>
      <c r="R135" s="11" t="n">
        <v>0</v>
      </c>
      <c r="U135" s="75" t="n">
        <v>141</v>
      </c>
      <c r="V135" s="3">
        <f>J135-P135+D135</f>
        <v/>
      </c>
      <c r="W135" s="3">
        <f>K135-Q135+E135</f>
        <v/>
      </c>
      <c r="X135" s="3">
        <f>L135-R135+F135</f>
        <v/>
      </c>
      <c r="AA135" s="75" t="n">
        <v>141</v>
      </c>
      <c r="AB135" s="2">
        <f>IF(Demand!AU154&gt;Retailers_Cap!N137,(V135/Retailers!P136)/(Demand!AU154-Retailers_Cap!N137),"Inesgotável")</f>
        <v/>
      </c>
      <c r="AC135" s="2">
        <f>IF(Demand!AV154&gt;Retailers_Cap!O137,(W135/Retailers!Q136)/(Demand!AV154-Retailers_Cap!O137),"Inesgotável")</f>
        <v/>
      </c>
      <c r="AD135" s="2">
        <f>IF(Demand!AW154&gt;Retailers_Cap!P137,(X135/Retailers!R136)/(Demand!AW154-Retailers_Cap!P137),"Inesgotável")</f>
        <v/>
      </c>
      <c r="AG135" s="75" t="n">
        <v>141</v>
      </c>
      <c r="AH135" s="75">
        <f>Retailers!AJ136</f>
        <v/>
      </c>
      <c r="AI135" s="75">
        <f>Retailers!AK136</f>
        <v/>
      </c>
      <c r="AJ135" s="75">
        <f>Retailers!AL136</f>
        <v/>
      </c>
      <c r="AM135" s="75" t="n">
        <v>141</v>
      </c>
      <c r="AN135" s="2">
        <f>IF(P135&gt;0,IF(D135=0,"Big stock",AB135/AH135),"Inesgotável")</f>
        <v/>
      </c>
      <c r="AO135" s="2">
        <f>IF(Q135&gt;0,IF(E135=0,"Big stock",AC135/AI135),"Inesgotável")</f>
        <v/>
      </c>
      <c r="AP135" s="2">
        <f>IF(R135&gt;0,IF(F135=0,"Big stock",AD135/AJ135),"Inesgotável")</f>
        <v/>
      </c>
      <c r="AS135" s="75" t="n">
        <v>141</v>
      </c>
      <c r="AT135" s="2">
        <f>Retailers_Cap!BL137</f>
        <v/>
      </c>
      <c r="AU135" s="2">
        <f>Retailers_Cap!BM137</f>
        <v/>
      </c>
      <c r="AV135" s="2">
        <f>Retailers_Cap!BN137</f>
        <v/>
      </c>
      <c r="AY135" s="75" t="n">
        <v>141</v>
      </c>
      <c r="AZ135" s="2">
        <f>IF(D135=0,"no repl",AB135-AT135)</f>
        <v/>
      </c>
      <c r="BA135" s="2">
        <f>IF(E135=0,"no repl",AC135-AU135)</f>
        <v/>
      </c>
      <c r="BB135" s="2">
        <f>IF(F135=0,"no repl",AD135-AV135)</f>
        <v/>
      </c>
    </row>
    <row r="136">
      <c r="C136" s="75" t="n">
        <v>142</v>
      </c>
      <c r="D136" s="11" t="n">
        <v>0</v>
      </c>
      <c r="E136" s="11" t="n">
        <v>0</v>
      </c>
      <c r="F136" s="11" t="n">
        <v>447472.9306096944</v>
      </c>
      <c r="I136" s="75" t="n">
        <v>142</v>
      </c>
      <c r="J136" s="11" t="n">
        <v>3381.8</v>
      </c>
      <c r="K136" s="11" t="n">
        <v>2664.76</v>
      </c>
      <c r="L136" s="11" t="n">
        <v>55052.73</v>
      </c>
      <c r="O136" s="75" t="n">
        <v>142</v>
      </c>
      <c r="P136" s="11" t="n">
        <v>0</v>
      </c>
      <c r="Q136" s="11" t="n">
        <v>0</v>
      </c>
      <c r="R136" s="11" t="n">
        <v>277704.7977094512</v>
      </c>
      <c r="U136" s="75" t="n">
        <v>142</v>
      </c>
      <c r="V136" s="3">
        <f>J136-P136+D136</f>
        <v/>
      </c>
      <c r="W136" s="3">
        <f>K136-Q136+E136</f>
        <v/>
      </c>
      <c r="X136" s="3">
        <f>L136-R136+F136</f>
        <v/>
      </c>
      <c r="AA136" s="75" t="n">
        <v>142</v>
      </c>
      <c r="AB136" s="2">
        <f>IF(Demand!AU155&gt;Retailers_Cap!N138,(V136/Retailers!P137)/(Demand!AU155-Retailers_Cap!N138),"Inesgotável")</f>
        <v/>
      </c>
      <c r="AC136" s="2">
        <f>IF(Demand!AV155&gt;Retailers_Cap!O138,(W136/Retailers!Q137)/(Demand!AV155-Retailers_Cap!O138),"Inesgotável")</f>
        <v/>
      </c>
      <c r="AD136" s="2">
        <f>IF(Demand!AW155&gt;Retailers_Cap!P138,(X136/Retailers!R137)/(Demand!AW155-Retailers_Cap!P138),"Inesgotável")</f>
        <v/>
      </c>
      <c r="AG136" s="75" t="n">
        <v>142</v>
      </c>
      <c r="AH136" s="75">
        <f>Retailers!AJ137</f>
        <v/>
      </c>
      <c r="AI136" s="75">
        <f>Retailers!AK137</f>
        <v/>
      </c>
      <c r="AJ136" s="75">
        <f>Retailers!AL137</f>
        <v/>
      </c>
      <c r="AM136" s="75" t="n">
        <v>142</v>
      </c>
      <c r="AN136" s="2">
        <f>IF(P136&gt;0,IF(D136=0,"Big stock",AB136/AH136),"Inesgotável")</f>
        <v/>
      </c>
      <c r="AO136" s="2">
        <f>IF(Q136&gt;0,IF(E136=0,"Big stock",AC136/AI136),"Inesgotável")</f>
        <v/>
      </c>
      <c r="AP136" s="2">
        <f>IF(R136&gt;0,IF(F136=0,"Big stock",AD136/AJ136),"Inesgotável")</f>
        <v/>
      </c>
      <c r="AS136" s="75" t="n">
        <v>142</v>
      </c>
      <c r="AT136" s="2">
        <f>Retailers_Cap!BL138</f>
        <v/>
      </c>
      <c r="AU136" s="2">
        <f>Retailers_Cap!BM138</f>
        <v/>
      </c>
      <c r="AV136" s="2">
        <f>Retailers_Cap!BN138</f>
        <v/>
      </c>
      <c r="AY136" s="75" t="n">
        <v>142</v>
      </c>
      <c r="AZ136" s="2">
        <f>IF(D136=0,"no repl",AB136-AT136)</f>
        <v/>
      </c>
      <c r="BA136" s="2">
        <f>IF(E136=0,"no repl",AC136-AU136)</f>
        <v/>
      </c>
      <c r="BB136" s="2">
        <f>IF(F136=0,"no repl",AD136-AV136)</f>
        <v/>
      </c>
    </row>
    <row r="137">
      <c r="C137" s="75" t="n">
        <v>143</v>
      </c>
      <c r="D137" s="11" t="n">
        <v>0</v>
      </c>
      <c r="E137" s="11" t="n">
        <v>0</v>
      </c>
      <c r="F137" s="11" t="n">
        <v>210394.3838604816</v>
      </c>
      <c r="I137" s="75" t="n">
        <v>143</v>
      </c>
      <c r="J137" s="11" t="n">
        <v>19455.6</v>
      </c>
      <c r="K137" s="11" t="n">
        <v>28052.9</v>
      </c>
      <c r="L137" s="11" t="n">
        <v>60584.37</v>
      </c>
      <c r="O137" s="75" t="n">
        <v>143</v>
      </c>
      <c r="P137" s="11" t="n">
        <v>0</v>
      </c>
      <c r="Q137" s="11" t="n">
        <v>0</v>
      </c>
      <c r="R137" s="11" t="n">
        <v>125908.8528881725</v>
      </c>
      <c r="U137" s="75" t="n">
        <v>143</v>
      </c>
      <c r="V137" s="3">
        <f>J137-P137+D137</f>
        <v/>
      </c>
      <c r="W137" s="3">
        <f>K137-Q137+E137</f>
        <v/>
      </c>
      <c r="X137" s="3">
        <f>L137-R137+F137</f>
        <v/>
      </c>
      <c r="AA137" s="75" t="n">
        <v>143</v>
      </c>
      <c r="AB137" s="2">
        <f>IF(Demand!AU156&gt;Retailers_Cap!N139,(V137/Retailers!P138)/(Demand!AU156-Retailers_Cap!N139),"Inesgotável")</f>
        <v/>
      </c>
      <c r="AC137" s="2">
        <f>IF(Demand!AV156&gt;Retailers_Cap!O139,(W137/Retailers!Q138)/(Demand!AV156-Retailers_Cap!O139),"Inesgotável")</f>
        <v/>
      </c>
      <c r="AD137" s="2">
        <f>IF(Demand!AW156&gt;Retailers_Cap!P139,(X137/Retailers!R138)/(Demand!AW156-Retailers_Cap!P139),"Inesgotável")</f>
        <v/>
      </c>
      <c r="AG137" s="75" t="n">
        <v>143</v>
      </c>
      <c r="AH137" s="75">
        <f>Retailers!AJ138</f>
        <v/>
      </c>
      <c r="AI137" s="75">
        <f>Retailers!AK138</f>
        <v/>
      </c>
      <c r="AJ137" s="75">
        <f>Retailers!AL138</f>
        <v/>
      </c>
      <c r="AM137" s="75" t="n">
        <v>143</v>
      </c>
      <c r="AN137" s="2">
        <f>IF(P137&gt;0,IF(D137=0,"Big stock",AB137/AH137),"Inesgotável")</f>
        <v/>
      </c>
      <c r="AO137" s="2">
        <f>IF(Q137&gt;0,IF(E137=0,"Big stock",AC137/AI137),"Inesgotável")</f>
        <v/>
      </c>
      <c r="AP137" s="2">
        <f>IF(R137&gt;0,IF(F137=0,"Big stock",AD137/AJ137),"Inesgotável")</f>
        <v/>
      </c>
      <c r="AS137" s="75" t="n">
        <v>143</v>
      </c>
      <c r="AT137" s="2">
        <f>Retailers_Cap!BL139</f>
        <v/>
      </c>
      <c r="AU137" s="2">
        <f>Retailers_Cap!BM139</f>
        <v/>
      </c>
      <c r="AV137" s="2">
        <f>Retailers_Cap!BN139</f>
        <v/>
      </c>
      <c r="AY137" s="75" t="n">
        <v>143</v>
      </c>
      <c r="AZ137" s="2">
        <f>IF(D137=0,"no repl",AB137-AT137)</f>
        <v/>
      </c>
      <c r="BA137" s="2">
        <f>IF(E137=0,"no repl",AC137-AU137)</f>
        <v/>
      </c>
      <c r="BB137" s="2">
        <f>IF(F137=0,"no repl",AD137-AV137)</f>
        <v/>
      </c>
    </row>
    <row r="138">
      <c r="C138" s="75" t="n">
        <v>144</v>
      </c>
      <c r="D138" s="11" t="n">
        <v>348665.7311674732</v>
      </c>
      <c r="E138" s="11" t="n">
        <v>81207.4829590531</v>
      </c>
      <c r="F138" s="11" t="n">
        <v>0</v>
      </c>
      <c r="I138" s="75" t="n">
        <v>144</v>
      </c>
      <c r="J138" s="11" t="n">
        <v>674.79</v>
      </c>
      <c r="K138" s="11" t="n">
        <v>54374.2</v>
      </c>
      <c r="L138" s="11" t="n">
        <v>16217.68</v>
      </c>
      <c r="O138" s="75" t="n">
        <v>144</v>
      </c>
      <c r="P138" s="11" t="n">
        <v>201496.143223444</v>
      </c>
      <c r="Q138" s="11" t="n">
        <v>46208.44066228352</v>
      </c>
      <c r="R138" s="11" t="n">
        <v>0</v>
      </c>
      <c r="U138" s="75" t="n">
        <v>144</v>
      </c>
      <c r="V138" s="3">
        <f>J138-P138+D138</f>
        <v/>
      </c>
      <c r="W138" s="3">
        <f>K138-Q138+E138</f>
        <v/>
      </c>
      <c r="X138" s="3">
        <f>L138-R138+F138</f>
        <v/>
      </c>
      <c r="AA138" s="75" t="n">
        <v>144</v>
      </c>
      <c r="AB138" s="2">
        <f>IF(Demand!AU157&gt;Retailers_Cap!N140,(V138/Retailers!P139)/(Demand!AU157-Retailers_Cap!N140),"Inesgotável")</f>
        <v/>
      </c>
      <c r="AC138" s="2">
        <f>IF(Demand!AV157&gt;Retailers_Cap!O140,(W138/Retailers!Q139)/(Demand!AV157-Retailers_Cap!O140),"Inesgotável")</f>
        <v/>
      </c>
      <c r="AD138" s="2">
        <f>IF(Demand!AW157&gt;Retailers_Cap!P140,(X138/Retailers!R139)/(Demand!AW157-Retailers_Cap!P140),"Inesgotável")</f>
        <v/>
      </c>
      <c r="AG138" s="75" t="n">
        <v>144</v>
      </c>
      <c r="AH138" s="75">
        <f>Retailers!AJ139</f>
        <v/>
      </c>
      <c r="AI138" s="75">
        <f>Retailers!AK139</f>
        <v/>
      </c>
      <c r="AJ138" s="75">
        <f>Retailers!AL139</f>
        <v/>
      </c>
      <c r="AM138" s="75" t="n">
        <v>144</v>
      </c>
      <c r="AN138" s="2">
        <f>IF(P138&gt;0,IF(D138=0,"Big stock",AB138/AH138),"Inesgotável")</f>
        <v/>
      </c>
      <c r="AO138" s="2">
        <f>IF(Q138&gt;0,IF(E138=0,"Big stock",AC138/AI138),"Inesgotável")</f>
        <v/>
      </c>
      <c r="AP138" s="2">
        <f>IF(R138&gt;0,IF(F138=0,"Big stock",AD138/AJ138),"Inesgotável")</f>
        <v/>
      </c>
      <c r="AS138" s="75" t="n">
        <v>144</v>
      </c>
      <c r="AT138" s="2">
        <f>Retailers_Cap!BL140</f>
        <v/>
      </c>
      <c r="AU138" s="2">
        <f>Retailers_Cap!BM140</f>
        <v/>
      </c>
      <c r="AV138" s="2">
        <f>Retailers_Cap!BN140</f>
        <v/>
      </c>
      <c r="AY138" s="75" t="n">
        <v>144</v>
      </c>
      <c r="AZ138" s="2">
        <f>IF(D138=0,"no repl",AB138-AT138)</f>
        <v/>
      </c>
      <c r="BA138" s="2">
        <f>IF(E138=0,"no repl",AC138-AU138)</f>
        <v/>
      </c>
      <c r="BB138" s="2">
        <f>IF(F138=0,"no repl",AD138-AV138)</f>
        <v/>
      </c>
    </row>
    <row r="139">
      <c r="C139" s="75" t="n">
        <v>145</v>
      </c>
      <c r="D139" s="11" t="n">
        <v>380235.8434897787</v>
      </c>
      <c r="E139" s="11" t="n">
        <v>331779.3980343752</v>
      </c>
      <c r="F139" s="11" t="n">
        <v>0</v>
      </c>
      <c r="I139" s="75" t="n">
        <v>145</v>
      </c>
      <c r="J139" s="11" t="n">
        <v>63012.36</v>
      </c>
      <c r="K139" s="11" t="n">
        <v>49056.5</v>
      </c>
      <c r="L139" s="11" t="n">
        <v>65816.55</v>
      </c>
      <c r="O139" s="75" t="n">
        <v>145</v>
      </c>
      <c r="P139" s="11" t="n">
        <v>218642.5351306333</v>
      </c>
      <c r="Q139" s="11" t="n">
        <v>205472.1004370211</v>
      </c>
      <c r="R139" s="11" t="n">
        <v>22854.3865890733</v>
      </c>
      <c r="U139" s="75" t="n">
        <v>145</v>
      </c>
      <c r="V139" s="3">
        <f>J139-P139+D139</f>
        <v/>
      </c>
      <c r="W139" s="3">
        <f>K139-Q139+E139</f>
        <v/>
      </c>
      <c r="X139" s="3">
        <f>L139-R139+F139</f>
        <v/>
      </c>
      <c r="AA139" s="75" t="n">
        <v>145</v>
      </c>
      <c r="AB139" s="2">
        <f>IF(Demand!AU158&gt;Retailers_Cap!N141,(V139/Retailers!P140)/(Demand!AU158-Retailers_Cap!N141),"Inesgotável")</f>
        <v/>
      </c>
      <c r="AC139" s="2">
        <f>IF(Demand!AV158&gt;Retailers_Cap!O141,(W139/Retailers!Q140)/(Demand!AV158-Retailers_Cap!O141),"Inesgotável")</f>
        <v/>
      </c>
      <c r="AD139" s="2">
        <f>IF(Demand!AW158&gt;Retailers_Cap!P141,(X139/Retailers!R140)/(Demand!AW158-Retailers_Cap!P141),"Inesgotável")</f>
        <v/>
      </c>
      <c r="AG139" s="75" t="n">
        <v>145</v>
      </c>
      <c r="AH139" s="75">
        <f>Retailers!AJ140</f>
        <v/>
      </c>
      <c r="AI139" s="75">
        <f>Retailers!AK140</f>
        <v/>
      </c>
      <c r="AJ139" s="75">
        <f>Retailers!AL140</f>
        <v/>
      </c>
      <c r="AM139" s="75" t="n">
        <v>145</v>
      </c>
      <c r="AN139" s="2">
        <f>IF(P139&gt;0,IF(D139=0,"Big stock",AB139/AH139),"Inesgotável")</f>
        <v/>
      </c>
      <c r="AO139" s="2">
        <f>IF(Q139&gt;0,IF(E139=0,"Big stock",AC139/AI139),"Inesgotável")</f>
        <v/>
      </c>
      <c r="AP139" s="2">
        <f>IF(R139&gt;0,IF(F139=0,"Big stock",AD139/AJ139),"Inesgotável")</f>
        <v/>
      </c>
      <c r="AS139" s="75" t="n">
        <v>145</v>
      </c>
      <c r="AT139" s="2">
        <f>Retailers_Cap!BL141</f>
        <v/>
      </c>
      <c r="AU139" s="2">
        <f>Retailers_Cap!BM141</f>
        <v/>
      </c>
      <c r="AV139" s="2">
        <f>Retailers_Cap!BN141</f>
        <v/>
      </c>
      <c r="AY139" s="75" t="n">
        <v>145</v>
      </c>
      <c r="AZ139" s="2">
        <f>IF(D139=0,"no repl",AB139-AT139)</f>
        <v/>
      </c>
      <c r="BA139" s="2">
        <f>IF(E139=0,"no repl",AC139-AU139)</f>
        <v/>
      </c>
      <c r="BB139" s="2">
        <f>IF(F139=0,"no repl",AD139-AV139)</f>
        <v/>
      </c>
    </row>
    <row r="140">
      <c r="C140" s="75" t="n">
        <v>146</v>
      </c>
      <c r="D140" s="11" t="n">
        <v>102513.7976480032</v>
      </c>
      <c r="E140" s="11" t="n">
        <v>192289.1271197366</v>
      </c>
      <c r="F140" s="11" t="n">
        <v>223321.3373632392</v>
      </c>
      <c r="I140" s="75" t="n">
        <v>146</v>
      </c>
      <c r="J140" s="11" t="n">
        <v>39421.15</v>
      </c>
      <c r="K140" s="11" t="n">
        <v>18053.92</v>
      </c>
      <c r="L140" s="11" t="n">
        <v>52060.16</v>
      </c>
      <c r="O140" s="75" t="n">
        <v>146</v>
      </c>
      <c r="P140" s="11" t="n">
        <v>69772.11372229664</v>
      </c>
      <c r="Q140" s="11" t="n">
        <v>112773.0692693105</v>
      </c>
      <c r="R140" s="11" t="n">
        <v>147311.0520644689</v>
      </c>
      <c r="U140" s="75" t="n">
        <v>146</v>
      </c>
      <c r="V140" s="3">
        <f>J140-P140+D140</f>
        <v/>
      </c>
      <c r="W140" s="3">
        <f>K140-Q140+E140</f>
        <v/>
      </c>
      <c r="X140" s="3">
        <f>L140-R140+F140</f>
        <v/>
      </c>
      <c r="AA140" s="75" t="n">
        <v>146</v>
      </c>
      <c r="AB140" s="2">
        <f>IF(Demand!AU159&gt;Retailers_Cap!N142,(V140/Retailers!P141)/(Demand!AU159-Retailers_Cap!N142),"Inesgotável")</f>
        <v/>
      </c>
      <c r="AC140" s="2">
        <f>IF(Demand!AV159&gt;Retailers_Cap!O142,(W140/Retailers!Q141)/(Demand!AV159-Retailers_Cap!O142),"Inesgotável")</f>
        <v/>
      </c>
      <c r="AD140" s="2">
        <f>IF(Demand!AW159&gt;Retailers_Cap!P142,(X140/Retailers!R141)/(Demand!AW159-Retailers_Cap!P142),"Inesgotável")</f>
        <v/>
      </c>
      <c r="AG140" s="75" t="n">
        <v>146</v>
      </c>
      <c r="AH140" s="75">
        <f>Retailers!AJ141</f>
        <v/>
      </c>
      <c r="AI140" s="75">
        <f>Retailers!AK141</f>
        <v/>
      </c>
      <c r="AJ140" s="75">
        <f>Retailers!AL141</f>
        <v/>
      </c>
      <c r="AM140" s="75" t="n">
        <v>146</v>
      </c>
      <c r="AN140" s="2">
        <f>IF(P140&gt;0,IF(D140=0,"Big stock",AB140/AH140),"Inesgotável")</f>
        <v/>
      </c>
      <c r="AO140" s="2">
        <f>IF(Q140&gt;0,IF(E140=0,"Big stock",AC140/AI140),"Inesgotável")</f>
        <v/>
      </c>
      <c r="AP140" s="2">
        <f>IF(R140&gt;0,IF(F140=0,"Big stock",AD140/AJ140),"Inesgotável")</f>
        <v/>
      </c>
      <c r="AS140" s="75" t="n">
        <v>146</v>
      </c>
      <c r="AT140" s="2">
        <f>Retailers_Cap!BL142</f>
        <v/>
      </c>
      <c r="AU140" s="2">
        <f>Retailers_Cap!BM142</f>
        <v/>
      </c>
      <c r="AV140" s="2">
        <f>Retailers_Cap!BN142</f>
        <v/>
      </c>
      <c r="AY140" s="75" t="n">
        <v>146</v>
      </c>
      <c r="AZ140" s="2">
        <f>IF(D140=0,"no repl",AB140-AT140)</f>
        <v/>
      </c>
      <c r="BA140" s="2">
        <f>IF(E140=0,"no repl",AC140-AU140)</f>
        <v/>
      </c>
      <c r="BB140" s="2">
        <f>IF(F140=0,"no repl",AD140-AV140)</f>
        <v/>
      </c>
    </row>
    <row r="141">
      <c r="C141" s="75" t="n">
        <v>147</v>
      </c>
      <c r="D141" s="11" t="n">
        <v>0</v>
      </c>
      <c r="E141" s="11" t="n">
        <v>0</v>
      </c>
      <c r="F141" s="11" t="n">
        <v>0</v>
      </c>
      <c r="I141" s="75" t="n">
        <v>147</v>
      </c>
      <c r="J141" s="11" t="n">
        <v>40298.16</v>
      </c>
      <c r="K141" s="11" t="n">
        <v>17759.06</v>
      </c>
      <c r="L141" s="11" t="n">
        <v>20339.93</v>
      </c>
      <c r="O141" s="75" t="n">
        <v>147</v>
      </c>
      <c r="P141" s="11" t="n">
        <v>0</v>
      </c>
      <c r="Q141" s="11" t="n">
        <v>0</v>
      </c>
      <c r="R141" s="11" t="n">
        <v>0</v>
      </c>
      <c r="U141" s="75" t="n">
        <v>147</v>
      </c>
      <c r="V141" s="3">
        <f>J141-P141+D141</f>
        <v/>
      </c>
      <c r="W141" s="3">
        <f>K141-Q141+E141</f>
        <v/>
      </c>
      <c r="X141" s="3">
        <f>L141-R141+F141</f>
        <v/>
      </c>
      <c r="AA141" s="75" t="n">
        <v>147</v>
      </c>
      <c r="AB141" s="2">
        <f>IF(Demand!AU160&gt;Retailers_Cap!N143,(V141/Retailers!P142)/(Demand!AU160-Retailers_Cap!N143),"Inesgotável")</f>
        <v/>
      </c>
      <c r="AC141" s="2">
        <f>IF(Demand!AV160&gt;Retailers_Cap!O143,(W141/Retailers!Q142)/(Demand!AV160-Retailers_Cap!O143),"Inesgotável")</f>
        <v/>
      </c>
      <c r="AD141" s="2">
        <f>IF(Demand!AW160&gt;Retailers_Cap!P143,(X141/Retailers!R142)/(Demand!AW160-Retailers_Cap!P143),"Inesgotável")</f>
        <v/>
      </c>
      <c r="AG141" s="75" t="n">
        <v>147</v>
      </c>
      <c r="AH141" s="75">
        <f>Retailers!AJ142</f>
        <v/>
      </c>
      <c r="AI141" s="75">
        <f>Retailers!AK142</f>
        <v/>
      </c>
      <c r="AJ141" s="75">
        <f>Retailers!AL142</f>
        <v/>
      </c>
      <c r="AM141" s="75" t="n">
        <v>147</v>
      </c>
      <c r="AN141" s="2">
        <f>IF(P141&gt;0,IF(D141=0,"Big stock",AB141/AH141),"Inesgotável")</f>
        <v/>
      </c>
      <c r="AO141" s="2">
        <f>IF(Q141&gt;0,IF(E141=0,"Big stock",AC141/AI141),"Inesgotável")</f>
        <v/>
      </c>
      <c r="AP141" s="2">
        <f>IF(R141&gt;0,IF(F141=0,"Big stock",AD141/AJ141),"Inesgotável")</f>
        <v/>
      </c>
      <c r="AS141" s="75" t="n">
        <v>147</v>
      </c>
      <c r="AT141" s="2">
        <f>Retailers_Cap!BL143</f>
        <v/>
      </c>
      <c r="AU141" s="2">
        <f>Retailers_Cap!BM143</f>
        <v/>
      </c>
      <c r="AV141" s="2">
        <f>Retailers_Cap!BN143</f>
        <v/>
      </c>
      <c r="AY141" s="75" t="n">
        <v>147</v>
      </c>
      <c r="AZ141" s="2">
        <f>IF(D141=0,"no repl",AB141-AT141)</f>
        <v/>
      </c>
      <c r="BA141" s="2">
        <f>IF(E141=0,"no repl",AC141-AU141)</f>
        <v/>
      </c>
      <c r="BB141" s="2">
        <f>IF(F141=0,"no repl",AD141-AV141)</f>
        <v/>
      </c>
    </row>
    <row r="142">
      <c r="C142" s="75" t="n">
        <v>148</v>
      </c>
      <c r="D142" s="11" t="n">
        <v>64770.60127969489</v>
      </c>
      <c r="E142" s="11" t="n">
        <v>0</v>
      </c>
      <c r="F142" s="11" t="n">
        <v>0</v>
      </c>
      <c r="I142" s="75" t="n">
        <v>148</v>
      </c>
      <c r="J142" s="11" t="n">
        <v>49352</v>
      </c>
      <c r="K142" s="11" t="n">
        <v>27463.67</v>
      </c>
      <c r="L142" s="11" t="n">
        <v>68295.97</v>
      </c>
      <c r="O142" s="75" t="n">
        <v>148</v>
      </c>
      <c r="P142" s="11" t="n">
        <v>41454.0291612581</v>
      </c>
      <c r="Q142" s="11" t="n">
        <v>0</v>
      </c>
      <c r="R142" s="11" t="n">
        <v>0</v>
      </c>
      <c r="U142" s="75" t="n">
        <v>148</v>
      </c>
      <c r="V142" s="3">
        <f>J142-P142+D142</f>
        <v/>
      </c>
      <c r="W142" s="3">
        <f>K142-Q142+E142</f>
        <v/>
      </c>
      <c r="X142" s="3">
        <f>L142-R142+F142</f>
        <v/>
      </c>
      <c r="AA142" s="75" t="n">
        <v>148</v>
      </c>
      <c r="AB142" s="2">
        <f>IF(Demand!AU161&gt;Retailers_Cap!N144,(V142/Retailers!P143)/(Demand!AU161-Retailers_Cap!N144),"Inesgotável")</f>
        <v/>
      </c>
      <c r="AC142" s="2">
        <f>IF(Demand!AV161&gt;Retailers_Cap!O144,(W142/Retailers!Q143)/(Demand!AV161-Retailers_Cap!O144),"Inesgotável")</f>
        <v/>
      </c>
      <c r="AD142" s="2">
        <f>IF(Demand!AW161&gt;Retailers_Cap!P144,(X142/Retailers!R143)/(Demand!AW161-Retailers_Cap!P144),"Inesgotável")</f>
        <v/>
      </c>
      <c r="AG142" s="75" t="n">
        <v>148</v>
      </c>
      <c r="AH142" s="75">
        <f>Retailers!AJ143</f>
        <v/>
      </c>
      <c r="AI142" s="75">
        <f>Retailers!AK143</f>
        <v/>
      </c>
      <c r="AJ142" s="75">
        <f>Retailers!AL143</f>
        <v/>
      </c>
      <c r="AM142" s="75" t="n">
        <v>148</v>
      </c>
      <c r="AN142" s="2">
        <f>IF(P142&gt;0,IF(D142=0,"Big stock",AB142/AH142),"Inesgotável")</f>
        <v/>
      </c>
      <c r="AO142" s="2">
        <f>IF(Q142&gt;0,IF(E142=0,"Big stock",AC142/AI142),"Inesgotável")</f>
        <v/>
      </c>
      <c r="AP142" s="2">
        <f>IF(R142&gt;0,IF(F142=0,"Big stock",AD142/AJ142),"Inesgotável")</f>
        <v/>
      </c>
      <c r="AS142" s="75" t="n">
        <v>148</v>
      </c>
      <c r="AT142" s="2">
        <f>Retailers_Cap!BL144</f>
        <v/>
      </c>
      <c r="AU142" s="2">
        <f>Retailers_Cap!BM144</f>
        <v/>
      </c>
      <c r="AV142" s="2">
        <f>Retailers_Cap!BN144</f>
        <v/>
      </c>
      <c r="AY142" s="75" t="n">
        <v>148</v>
      </c>
      <c r="AZ142" s="2">
        <f>IF(D142=0,"no repl",AB142-AT142)</f>
        <v/>
      </c>
      <c r="BA142" s="2">
        <f>IF(E142=0,"no repl",AC142-AU142)</f>
        <v/>
      </c>
      <c r="BB142" s="2">
        <f>IF(F142=0,"no repl",AD142-AV142)</f>
        <v/>
      </c>
    </row>
    <row r="143">
      <c r="C143" s="75" t="n">
        <v>149</v>
      </c>
      <c r="D143" s="11" t="n">
        <v>297537.9895557743</v>
      </c>
      <c r="E143" s="11" t="n">
        <v>0</v>
      </c>
      <c r="F143" s="11" t="n">
        <v>63775.13026110861</v>
      </c>
      <c r="I143" s="75" t="n">
        <v>149</v>
      </c>
      <c r="J143" s="11" t="n">
        <v>9574.6</v>
      </c>
      <c r="K143" s="11" t="n">
        <v>14464.96</v>
      </c>
      <c r="L143" s="11" t="n">
        <v>34465.05</v>
      </c>
      <c r="O143" s="75" t="n">
        <v>149</v>
      </c>
      <c r="P143" s="11" t="n">
        <v>177720.6667522585</v>
      </c>
      <c r="Q143" s="11" t="n">
        <v>0</v>
      </c>
      <c r="R143" s="11" t="n">
        <v>40160.21400780381</v>
      </c>
      <c r="U143" s="75" t="n">
        <v>149</v>
      </c>
      <c r="V143" s="3">
        <f>J143-P143+D143</f>
        <v/>
      </c>
      <c r="W143" s="3">
        <f>K143-Q143+E143</f>
        <v/>
      </c>
      <c r="X143" s="3">
        <f>L143-R143+F143</f>
        <v/>
      </c>
      <c r="AA143" s="75" t="n">
        <v>149</v>
      </c>
      <c r="AB143" s="2">
        <f>IF(Demand!AU162&gt;Retailers_Cap!N145,(V143/Retailers!P144)/(Demand!AU162-Retailers_Cap!N145),"Inesgotável")</f>
        <v/>
      </c>
      <c r="AC143" s="2">
        <f>IF(Demand!AV162&gt;Retailers_Cap!O145,(W143/Retailers!Q144)/(Demand!AV162-Retailers_Cap!O145),"Inesgotável")</f>
        <v/>
      </c>
      <c r="AD143" s="2">
        <f>IF(Demand!AW162&gt;Retailers_Cap!P145,(X143/Retailers!R144)/(Demand!AW162-Retailers_Cap!P145),"Inesgotável")</f>
        <v/>
      </c>
      <c r="AG143" s="75" t="n">
        <v>149</v>
      </c>
      <c r="AH143" s="75">
        <f>Retailers!AJ144</f>
        <v/>
      </c>
      <c r="AI143" s="75">
        <f>Retailers!AK144</f>
        <v/>
      </c>
      <c r="AJ143" s="75">
        <f>Retailers!AL144</f>
        <v/>
      </c>
      <c r="AM143" s="75" t="n">
        <v>149</v>
      </c>
      <c r="AN143" s="2">
        <f>IF(P143&gt;0,IF(D143=0,"Big stock",AB143/AH143),"Inesgotável")</f>
        <v/>
      </c>
      <c r="AO143" s="2">
        <f>IF(Q143&gt;0,IF(E143=0,"Big stock",AC143/AI143),"Inesgotável")</f>
        <v/>
      </c>
      <c r="AP143" s="2">
        <f>IF(R143&gt;0,IF(F143=0,"Big stock",AD143/AJ143),"Inesgotável")</f>
        <v/>
      </c>
      <c r="AS143" s="75" t="n">
        <v>149</v>
      </c>
      <c r="AT143" s="2">
        <f>Retailers_Cap!BL145</f>
        <v/>
      </c>
      <c r="AU143" s="2">
        <f>Retailers_Cap!BM145</f>
        <v/>
      </c>
      <c r="AV143" s="2">
        <f>Retailers_Cap!BN145</f>
        <v/>
      </c>
      <c r="AY143" s="75" t="n">
        <v>149</v>
      </c>
      <c r="AZ143" s="2">
        <f>IF(D143=0,"no repl",AB143-AT143)</f>
        <v/>
      </c>
      <c r="BA143" s="2">
        <f>IF(E143=0,"no repl",AC143-AU143)</f>
        <v/>
      </c>
      <c r="BB143" s="2">
        <f>IF(F143=0,"no repl",AD143-AV143)</f>
        <v/>
      </c>
    </row>
    <row r="144">
      <c r="C144" s="75" t="n">
        <v>150</v>
      </c>
      <c r="D144" s="11" t="n">
        <v>0</v>
      </c>
      <c r="E144" s="11" t="n">
        <v>0</v>
      </c>
      <c r="F144" s="11" t="n">
        <v>48422.55605728157</v>
      </c>
      <c r="I144" s="75" t="n">
        <v>150</v>
      </c>
      <c r="J144" s="11" t="n">
        <v>128059.92</v>
      </c>
      <c r="K144" s="11" t="n">
        <v>50115.84</v>
      </c>
      <c r="L144" s="11" t="n">
        <v>39654.9</v>
      </c>
      <c r="O144" s="75" t="n">
        <v>150</v>
      </c>
      <c r="P144" s="11" t="n">
        <v>0</v>
      </c>
      <c r="Q144" s="11" t="n">
        <v>0</v>
      </c>
      <c r="R144" s="11" t="n">
        <v>27898.3192030954</v>
      </c>
      <c r="U144" s="75" t="n">
        <v>150</v>
      </c>
      <c r="V144" s="3">
        <f>J144-P144+D144</f>
        <v/>
      </c>
      <c r="W144" s="3">
        <f>K144-Q144+E144</f>
        <v/>
      </c>
      <c r="X144" s="3">
        <f>L144-R144+F144</f>
        <v/>
      </c>
      <c r="AA144" s="75" t="n">
        <v>150</v>
      </c>
      <c r="AB144" s="2">
        <f>IF(Demand!AU163&gt;Retailers_Cap!N146,(V144/Retailers!P145)/(Demand!AU163-Retailers_Cap!N146),"Inesgotável")</f>
        <v/>
      </c>
      <c r="AC144" s="2">
        <f>IF(Demand!AV163&gt;Retailers_Cap!O146,(W144/Retailers!Q145)/(Demand!AV163-Retailers_Cap!O146),"Inesgotável")</f>
        <v/>
      </c>
      <c r="AD144" s="2">
        <f>IF(Demand!AW163&gt;Retailers_Cap!P146,(X144/Retailers!R145)/(Demand!AW163-Retailers_Cap!P146),"Inesgotável")</f>
        <v/>
      </c>
      <c r="AG144" s="75" t="n">
        <v>150</v>
      </c>
      <c r="AH144" s="75">
        <f>Retailers!AJ145</f>
        <v/>
      </c>
      <c r="AI144" s="75">
        <f>Retailers!AK145</f>
        <v/>
      </c>
      <c r="AJ144" s="75">
        <f>Retailers!AL145</f>
        <v/>
      </c>
      <c r="AM144" s="75" t="n">
        <v>150</v>
      </c>
      <c r="AN144" s="2">
        <f>IF(P144&gt;0,IF(D144=0,"Big stock",AB144/AH144),"Inesgotável")</f>
        <v/>
      </c>
      <c r="AO144" s="2">
        <f>IF(Q144&gt;0,IF(E144=0,"Big stock",AC144/AI144),"Inesgotável")</f>
        <v/>
      </c>
      <c r="AP144" s="2">
        <f>IF(R144&gt;0,IF(F144=0,"Big stock",AD144/AJ144),"Inesgotável")</f>
        <v/>
      </c>
      <c r="AS144" s="75" t="n">
        <v>150</v>
      </c>
      <c r="AT144" s="2">
        <f>Retailers_Cap!BL146</f>
        <v/>
      </c>
      <c r="AU144" s="2">
        <f>Retailers_Cap!BM146</f>
        <v/>
      </c>
      <c r="AV144" s="2">
        <f>Retailers_Cap!BN146</f>
        <v/>
      </c>
      <c r="AY144" s="75" t="n">
        <v>150</v>
      </c>
      <c r="AZ144" s="2">
        <f>IF(D144=0,"no repl",AB144-AT144)</f>
        <v/>
      </c>
      <c r="BA144" s="2">
        <f>IF(E144=0,"no repl",AC144-AU144)</f>
        <v/>
      </c>
      <c r="BB144" s="2">
        <f>IF(F144=0,"no repl",AD144-AV144)</f>
        <v/>
      </c>
    </row>
    <row r="145">
      <c r="C145" s="75" t="n">
        <v>151</v>
      </c>
      <c r="D145" s="11" t="n">
        <v>0</v>
      </c>
      <c r="E145" s="11" t="n">
        <v>0</v>
      </c>
      <c r="F145" s="11" t="n">
        <v>0</v>
      </c>
      <c r="I145" s="75" t="n">
        <v>151</v>
      </c>
      <c r="J145" s="11" t="n">
        <v>76322.17999999999</v>
      </c>
      <c r="K145" s="11" t="n">
        <v>143701.98</v>
      </c>
      <c r="L145" s="11" t="n">
        <v>48978.93</v>
      </c>
      <c r="O145" s="75" t="n">
        <v>151</v>
      </c>
      <c r="P145" s="11" t="n">
        <v>0</v>
      </c>
      <c r="Q145" s="11" t="n">
        <v>0</v>
      </c>
      <c r="R145" s="11" t="n">
        <v>0</v>
      </c>
      <c r="U145" s="75" t="n">
        <v>151</v>
      </c>
      <c r="V145" s="3">
        <f>J145-P145+D145</f>
        <v/>
      </c>
      <c r="W145" s="3">
        <f>K145-Q145+E145</f>
        <v/>
      </c>
      <c r="X145" s="3">
        <f>L145-R145+F145</f>
        <v/>
      </c>
      <c r="AA145" s="75" t="n">
        <v>151</v>
      </c>
      <c r="AB145" s="2">
        <f>IF(Demand!AU164&gt;Retailers_Cap!N147,(V145/Retailers!P146)/(Demand!AU164-Retailers_Cap!N147),"Inesgotável")</f>
        <v/>
      </c>
      <c r="AC145" s="2">
        <f>IF(Demand!AV164&gt;Retailers_Cap!O147,(W145/Retailers!Q146)/(Demand!AV164-Retailers_Cap!O147),"Inesgotável")</f>
        <v/>
      </c>
      <c r="AD145" s="2">
        <f>IF(Demand!AW164&gt;Retailers_Cap!P147,(X145/Retailers!R146)/(Demand!AW164-Retailers_Cap!P147),"Inesgotável")</f>
        <v/>
      </c>
      <c r="AG145" s="75" t="n">
        <v>151</v>
      </c>
      <c r="AH145" s="75">
        <f>Retailers!AJ146</f>
        <v/>
      </c>
      <c r="AI145" s="75">
        <f>Retailers!AK146</f>
        <v/>
      </c>
      <c r="AJ145" s="75">
        <f>Retailers!AL146</f>
        <v/>
      </c>
      <c r="AM145" s="75" t="n">
        <v>151</v>
      </c>
      <c r="AN145" s="2">
        <f>IF(P145&gt;0,IF(D145=0,"Big stock",AB145/AH145),"Inesgotável")</f>
        <v/>
      </c>
      <c r="AO145" s="2">
        <f>IF(Q145&gt;0,IF(E145=0,"Big stock",AC145/AI145),"Inesgotável")</f>
        <v/>
      </c>
      <c r="AP145" s="2">
        <f>IF(R145&gt;0,IF(F145=0,"Big stock",AD145/AJ145),"Inesgotável")</f>
        <v/>
      </c>
      <c r="AS145" s="75" t="n">
        <v>151</v>
      </c>
      <c r="AT145" s="2">
        <f>Retailers_Cap!BL147</f>
        <v/>
      </c>
      <c r="AU145" s="2">
        <f>Retailers_Cap!BM147</f>
        <v/>
      </c>
      <c r="AV145" s="2">
        <f>Retailers_Cap!BN147</f>
        <v/>
      </c>
      <c r="AY145" s="75" t="n">
        <v>151</v>
      </c>
      <c r="AZ145" s="2">
        <f>IF(D145=0,"no repl",AB145-AT145)</f>
        <v/>
      </c>
      <c r="BA145" s="2">
        <f>IF(E145=0,"no repl",AC145-AU145)</f>
        <v/>
      </c>
      <c r="BB145" s="2">
        <f>IF(F145=0,"no repl",AD145-AV145)</f>
        <v/>
      </c>
    </row>
    <row r="146">
      <c r="C146" s="75" t="n">
        <v>152</v>
      </c>
      <c r="D146" s="11" t="n">
        <v>613485.4120276582</v>
      </c>
      <c r="E146" s="11" t="n">
        <v>0</v>
      </c>
      <c r="F146" s="11" t="n">
        <v>0</v>
      </c>
      <c r="I146" s="75" t="n">
        <v>152</v>
      </c>
      <c r="J146" s="11" t="n">
        <v>14830.92</v>
      </c>
      <c r="K146" s="11" t="n">
        <v>84424.67999999999</v>
      </c>
      <c r="L146" s="11" t="n">
        <v>13576.96</v>
      </c>
      <c r="O146" s="75" t="n">
        <v>152</v>
      </c>
      <c r="P146" s="11" t="n">
        <v>363815.9989266926</v>
      </c>
      <c r="Q146" s="11" t="n">
        <v>0</v>
      </c>
      <c r="R146" s="11" t="n">
        <v>0</v>
      </c>
      <c r="U146" s="75" t="n">
        <v>152</v>
      </c>
      <c r="V146" s="3">
        <f>J146-P146+D146</f>
        <v/>
      </c>
      <c r="W146" s="3">
        <f>K146-Q146+E146</f>
        <v/>
      </c>
      <c r="X146" s="3">
        <f>L146-R146+F146</f>
        <v/>
      </c>
      <c r="AA146" s="75" t="n">
        <v>152</v>
      </c>
      <c r="AB146" s="2">
        <f>IF(Demand!AU165&gt;Retailers_Cap!N148,(V146/Retailers!P147)/(Demand!AU165-Retailers_Cap!N148),"Inesgotável")</f>
        <v/>
      </c>
      <c r="AC146" s="2">
        <f>IF(Demand!AV165&gt;Retailers_Cap!O148,(W146/Retailers!Q147)/(Demand!AV165-Retailers_Cap!O148),"Inesgotável")</f>
        <v/>
      </c>
      <c r="AD146" s="2">
        <f>IF(Demand!AW165&gt;Retailers_Cap!P148,(X146/Retailers!R147)/(Demand!AW165-Retailers_Cap!P148),"Inesgotável")</f>
        <v/>
      </c>
      <c r="AG146" s="75" t="n">
        <v>152</v>
      </c>
      <c r="AH146" s="75">
        <f>Retailers!AJ147</f>
        <v/>
      </c>
      <c r="AI146" s="75">
        <f>Retailers!AK147</f>
        <v/>
      </c>
      <c r="AJ146" s="75">
        <f>Retailers!AL147</f>
        <v/>
      </c>
      <c r="AM146" s="75" t="n">
        <v>152</v>
      </c>
      <c r="AN146" s="2">
        <f>IF(P146&gt;0,IF(D146=0,"Big stock",AB146/AH146),"Inesgotável")</f>
        <v/>
      </c>
      <c r="AO146" s="2">
        <f>IF(Q146&gt;0,IF(E146=0,"Big stock",AC146/AI146),"Inesgotável")</f>
        <v/>
      </c>
      <c r="AP146" s="2">
        <f>IF(R146&gt;0,IF(F146=0,"Big stock",AD146/AJ146),"Inesgotável")</f>
        <v/>
      </c>
      <c r="AS146" s="75" t="n">
        <v>152</v>
      </c>
      <c r="AT146" s="2">
        <f>Retailers_Cap!BL148</f>
        <v/>
      </c>
      <c r="AU146" s="2">
        <f>Retailers_Cap!BM148</f>
        <v/>
      </c>
      <c r="AV146" s="2">
        <f>Retailers_Cap!BN148</f>
        <v/>
      </c>
      <c r="AY146" s="75" t="n">
        <v>152</v>
      </c>
      <c r="AZ146" s="2">
        <f>IF(D146=0,"no repl",AB146-AT146)</f>
        <v/>
      </c>
      <c r="BA146" s="2">
        <f>IF(E146=0,"no repl",AC146-AU146)</f>
        <v/>
      </c>
      <c r="BB146" s="2">
        <f>IF(F146=0,"no repl",AD146-AV146)</f>
        <v/>
      </c>
    </row>
    <row r="147">
      <c r="C147" s="75" t="n">
        <v>153</v>
      </c>
      <c r="D147" s="11" t="n">
        <v>0</v>
      </c>
      <c r="E147" s="11" t="n">
        <v>0</v>
      </c>
      <c r="F147" s="11" t="n">
        <v>0</v>
      </c>
      <c r="I147" s="75" t="n">
        <v>153</v>
      </c>
      <c r="J147" s="11" t="n">
        <v>28067.28</v>
      </c>
      <c r="K147" s="11" t="n">
        <v>73203.22</v>
      </c>
      <c r="L147" s="11" t="n">
        <v>46213.44</v>
      </c>
      <c r="O147" s="75" t="n">
        <v>153</v>
      </c>
      <c r="P147" s="11" t="n">
        <v>0</v>
      </c>
      <c r="Q147" s="11" t="n">
        <v>0</v>
      </c>
      <c r="R147" s="11" t="n">
        <v>0</v>
      </c>
      <c r="U147" s="75" t="n">
        <v>153</v>
      </c>
      <c r="V147" s="3">
        <f>J147-P147+D147</f>
        <v/>
      </c>
      <c r="W147" s="3">
        <f>K147-Q147+E147</f>
        <v/>
      </c>
      <c r="X147" s="3">
        <f>L147-R147+F147</f>
        <v/>
      </c>
      <c r="AA147" s="75" t="n">
        <v>153</v>
      </c>
      <c r="AB147" s="2">
        <f>IF(Demand!AU166&gt;Retailers_Cap!N149,(V147/Retailers!P148)/(Demand!AU166-Retailers_Cap!N149),"Inesgotável")</f>
        <v/>
      </c>
      <c r="AC147" s="2">
        <f>IF(Demand!AV166&gt;Retailers_Cap!O149,(W147/Retailers!Q148)/(Demand!AV166-Retailers_Cap!O149),"Inesgotável")</f>
        <v/>
      </c>
      <c r="AD147" s="2">
        <f>IF(Demand!AW166&gt;Retailers_Cap!P149,(X147/Retailers!R148)/(Demand!AW166-Retailers_Cap!P149),"Inesgotável")</f>
        <v/>
      </c>
      <c r="AG147" s="75" t="n">
        <v>153</v>
      </c>
      <c r="AH147" s="75">
        <f>Retailers!AJ148</f>
        <v/>
      </c>
      <c r="AI147" s="75">
        <f>Retailers!AK148</f>
        <v/>
      </c>
      <c r="AJ147" s="75">
        <f>Retailers!AL148</f>
        <v/>
      </c>
      <c r="AM147" s="75" t="n">
        <v>153</v>
      </c>
      <c r="AN147" s="2">
        <f>IF(P147&gt;0,IF(D147=0,"Big stock",AB147/AH147),"Inesgotável")</f>
        <v/>
      </c>
      <c r="AO147" s="2">
        <f>IF(Q147&gt;0,IF(E147=0,"Big stock",AC147/AI147),"Inesgotável")</f>
        <v/>
      </c>
      <c r="AP147" s="2">
        <f>IF(R147&gt;0,IF(F147=0,"Big stock",AD147/AJ147),"Inesgotável")</f>
        <v/>
      </c>
      <c r="AS147" s="75" t="n">
        <v>153</v>
      </c>
      <c r="AT147" s="2">
        <f>Retailers_Cap!BL149</f>
        <v/>
      </c>
      <c r="AU147" s="2">
        <f>Retailers_Cap!BM149</f>
        <v/>
      </c>
      <c r="AV147" s="2">
        <f>Retailers_Cap!BN149</f>
        <v/>
      </c>
      <c r="AY147" s="75" t="n">
        <v>153</v>
      </c>
      <c r="AZ147" s="2">
        <f>IF(D147=0,"no repl",AB147-AT147)</f>
        <v/>
      </c>
      <c r="BA147" s="2">
        <f>IF(E147=0,"no repl",AC147-AU147)</f>
        <v/>
      </c>
      <c r="BB147" s="2">
        <f>IF(F147=0,"no repl",AD147-AV147)</f>
        <v/>
      </c>
    </row>
    <row r="148">
      <c r="C148" s="75" t="n">
        <v>154</v>
      </c>
      <c r="D148" s="11" t="n">
        <v>0</v>
      </c>
      <c r="E148" s="11" t="n">
        <v>624922.7853559322</v>
      </c>
      <c r="F148" s="11" t="n">
        <v>604644.7650925543</v>
      </c>
      <c r="I148" s="75" t="n">
        <v>154</v>
      </c>
      <c r="J148" s="11" t="n">
        <v>44742.88</v>
      </c>
      <c r="K148" s="11" t="n">
        <v>32580.64</v>
      </c>
      <c r="L148" s="11" t="n">
        <v>36796.78</v>
      </c>
      <c r="O148" s="75" t="n">
        <v>154</v>
      </c>
      <c r="P148" s="11" t="n">
        <v>0</v>
      </c>
      <c r="Q148" s="11" t="n">
        <v>373955.4935335031</v>
      </c>
      <c r="R148" s="11" t="n">
        <v>344676.4345580807</v>
      </c>
      <c r="U148" s="75" t="n">
        <v>154</v>
      </c>
      <c r="V148" s="3">
        <f>J148-P148+D148</f>
        <v/>
      </c>
      <c r="W148" s="3">
        <f>K148-Q148+E148</f>
        <v/>
      </c>
      <c r="X148" s="3">
        <f>L148-R148+F148</f>
        <v/>
      </c>
      <c r="AA148" s="75" t="n">
        <v>154</v>
      </c>
      <c r="AB148" s="2">
        <f>IF(Demand!AU167&gt;Retailers_Cap!N150,(V148/Retailers!P149)/(Demand!AU167-Retailers_Cap!N150),"Inesgotável")</f>
        <v/>
      </c>
      <c r="AC148" s="2">
        <f>IF(Demand!AV167&gt;Retailers_Cap!O150,(W148/Retailers!Q149)/(Demand!AV167-Retailers_Cap!O150),"Inesgotável")</f>
        <v/>
      </c>
      <c r="AD148" s="2">
        <f>IF(Demand!AW167&gt;Retailers_Cap!P150,(X148/Retailers!R149)/(Demand!AW167-Retailers_Cap!P150),"Inesgotável")</f>
        <v/>
      </c>
      <c r="AG148" s="75" t="n">
        <v>154</v>
      </c>
      <c r="AH148" s="75">
        <f>Retailers!AJ149</f>
        <v/>
      </c>
      <c r="AI148" s="75">
        <f>Retailers!AK149</f>
        <v/>
      </c>
      <c r="AJ148" s="75">
        <f>Retailers!AL149</f>
        <v/>
      </c>
      <c r="AM148" s="75" t="n">
        <v>154</v>
      </c>
      <c r="AN148" s="2">
        <f>IF(P148&gt;0,IF(D148=0,"Big stock",AB148/AH148),"Inesgotável")</f>
        <v/>
      </c>
      <c r="AO148" s="2">
        <f>IF(Q148&gt;0,IF(E148=0,"Big stock",AC148/AI148),"Inesgotável")</f>
        <v/>
      </c>
      <c r="AP148" s="2">
        <f>IF(R148&gt;0,IF(F148=0,"Big stock",AD148/AJ148),"Inesgotável")</f>
        <v/>
      </c>
      <c r="AS148" s="75" t="n">
        <v>154</v>
      </c>
      <c r="AT148" s="2">
        <f>Retailers_Cap!BL150</f>
        <v/>
      </c>
      <c r="AU148" s="2">
        <f>Retailers_Cap!BM150</f>
        <v/>
      </c>
      <c r="AV148" s="2">
        <f>Retailers_Cap!BN150</f>
        <v/>
      </c>
      <c r="AY148" s="75" t="n">
        <v>154</v>
      </c>
      <c r="AZ148" s="2">
        <f>IF(D148=0,"no repl",AB148-AT148)</f>
        <v/>
      </c>
      <c r="BA148" s="2">
        <f>IF(E148=0,"no repl",AC148-AU148)</f>
        <v/>
      </c>
      <c r="BB148" s="2">
        <f>IF(F148=0,"no repl",AD148-AV148)</f>
        <v/>
      </c>
    </row>
    <row r="149">
      <c r="C149" s="75" t="n">
        <v>155</v>
      </c>
      <c r="D149" s="11" t="n">
        <v>0</v>
      </c>
      <c r="E149" s="11" t="n">
        <v>0</v>
      </c>
      <c r="F149" s="11" t="n">
        <v>402062.5144489534</v>
      </c>
      <c r="I149" s="75" t="n">
        <v>155</v>
      </c>
      <c r="J149" s="11" t="n">
        <v>37009.06</v>
      </c>
      <c r="K149" s="11" t="n">
        <v>47546.89</v>
      </c>
      <c r="L149" s="11" t="n">
        <v>66153.36</v>
      </c>
      <c r="O149" s="75" t="n">
        <v>155</v>
      </c>
      <c r="P149" s="11" t="n">
        <v>0</v>
      </c>
      <c r="Q149" s="11" t="n">
        <v>0</v>
      </c>
      <c r="R149" s="11" t="n">
        <v>244218.2337200615</v>
      </c>
      <c r="U149" s="75" t="n">
        <v>155</v>
      </c>
      <c r="V149" s="3">
        <f>J149-P149+D149</f>
        <v/>
      </c>
      <c r="W149" s="3">
        <f>K149-Q149+E149</f>
        <v/>
      </c>
      <c r="X149" s="3">
        <f>L149-R149+F149</f>
        <v/>
      </c>
      <c r="AA149" s="75" t="n">
        <v>155</v>
      </c>
      <c r="AB149" s="2">
        <f>IF(Demand!AU168&gt;Retailers_Cap!N151,(V149/Retailers!P150)/(Demand!AU168-Retailers_Cap!N151),"Inesgotável")</f>
        <v/>
      </c>
      <c r="AC149" s="2">
        <f>IF(Demand!AV168&gt;Retailers_Cap!O151,(W149/Retailers!Q150)/(Demand!AV168-Retailers_Cap!O151),"Inesgotável")</f>
        <v/>
      </c>
      <c r="AD149" s="2">
        <f>IF(Demand!AW168&gt;Retailers_Cap!P151,(X149/Retailers!R150)/(Demand!AW168-Retailers_Cap!P151),"Inesgotável")</f>
        <v/>
      </c>
      <c r="AG149" s="75" t="n">
        <v>155</v>
      </c>
      <c r="AH149" s="75">
        <f>Retailers!AJ150</f>
        <v/>
      </c>
      <c r="AI149" s="75">
        <f>Retailers!AK150</f>
        <v/>
      </c>
      <c r="AJ149" s="75">
        <f>Retailers!AL150</f>
        <v/>
      </c>
      <c r="AM149" s="75" t="n">
        <v>155</v>
      </c>
      <c r="AN149" s="2">
        <f>IF(P149&gt;0,IF(D149=0,"Big stock",AB149/AH149),"Inesgotável")</f>
        <v/>
      </c>
      <c r="AO149" s="2">
        <f>IF(Q149&gt;0,IF(E149=0,"Big stock",AC149/AI149),"Inesgotável")</f>
        <v/>
      </c>
      <c r="AP149" s="2">
        <f>IF(R149&gt;0,IF(F149=0,"Big stock",AD149/AJ149),"Inesgotável")</f>
        <v/>
      </c>
      <c r="AS149" s="75" t="n">
        <v>155</v>
      </c>
      <c r="AT149" s="2">
        <f>Retailers_Cap!BL151</f>
        <v/>
      </c>
      <c r="AU149" s="2">
        <f>Retailers_Cap!BM151</f>
        <v/>
      </c>
      <c r="AV149" s="2">
        <f>Retailers_Cap!BN151</f>
        <v/>
      </c>
      <c r="AY149" s="75" t="n">
        <v>155</v>
      </c>
      <c r="AZ149" s="2">
        <f>IF(D149=0,"no repl",AB149-AT149)</f>
        <v/>
      </c>
      <c r="BA149" s="2">
        <f>IF(E149=0,"no repl",AC149-AU149)</f>
        <v/>
      </c>
      <c r="BB149" s="2">
        <f>IF(F149=0,"no repl",AD149-AV149)</f>
        <v/>
      </c>
    </row>
    <row r="150">
      <c r="C150" s="75" t="n">
        <v>156</v>
      </c>
      <c r="D150" s="11" t="n">
        <v>54391.34063062113</v>
      </c>
      <c r="E150" s="11" t="n">
        <v>75140.67277862753</v>
      </c>
      <c r="F150" s="11" t="n">
        <v>0</v>
      </c>
      <c r="I150" s="75" t="n">
        <v>156</v>
      </c>
      <c r="J150" s="11" t="n">
        <v>30306.68</v>
      </c>
      <c r="K150" s="11" t="n">
        <v>23030.8</v>
      </c>
      <c r="L150" s="11" t="n">
        <v>48599.88</v>
      </c>
      <c r="O150" s="75" t="n">
        <v>156</v>
      </c>
      <c r="P150" s="11" t="n">
        <v>32789.01910959449</v>
      </c>
      <c r="Q150" s="11" t="n">
        <v>45063.25101873611</v>
      </c>
      <c r="R150" s="11" t="n">
        <v>0</v>
      </c>
      <c r="U150" s="75" t="n">
        <v>156</v>
      </c>
      <c r="V150" s="3">
        <f>J150-P150+D150</f>
        <v/>
      </c>
      <c r="W150" s="3">
        <f>K150-Q150+E150</f>
        <v/>
      </c>
      <c r="X150" s="3">
        <f>L150-R150+F150</f>
        <v/>
      </c>
      <c r="AA150" s="75" t="n">
        <v>156</v>
      </c>
      <c r="AB150" s="2">
        <f>IF(Demand!AU169&gt;Retailers_Cap!N152,(V150/Retailers!P151)/(Demand!AU169-Retailers_Cap!N152),"Inesgotável")</f>
        <v/>
      </c>
      <c r="AC150" s="2">
        <f>IF(Demand!AV169&gt;Retailers_Cap!O152,(W150/Retailers!Q151)/(Demand!AV169-Retailers_Cap!O152),"Inesgotável")</f>
        <v/>
      </c>
      <c r="AD150" s="2">
        <f>IF(Demand!AW169&gt;Retailers_Cap!P152,(X150/Retailers!R151)/(Demand!AW169-Retailers_Cap!P152),"Inesgotável")</f>
        <v/>
      </c>
      <c r="AG150" s="75" t="n">
        <v>156</v>
      </c>
      <c r="AH150" s="75">
        <f>Retailers!AJ151</f>
        <v/>
      </c>
      <c r="AI150" s="75">
        <f>Retailers!AK151</f>
        <v/>
      </c>
      <c r="AJ150" s="75">
        <f>Retailers!AL151</f>
        <v/>
      </c>
      <c r="AM150" s="75" t="n">
        <v>156</v>
      </c>
      <c r="AN150" s="2">
        <f>IF(P150&gt;0,IF(D150=0,"Big stock",AB150/AH150),"Inesgotável")</f>
        <v/>
      </c>
      <c r="AO150" s="2">
        <f>IF(Q150&gt;0,IF(E150=0,"Big stock",AC150/AI150),"Inesgotável")</f>
        <v/>
      </c>
      <c r="AP150" s="2">
        <f>IF(R150&gt;0,IF(F150=0,"Big stock",AD150/AJ150),"Inesgotável")</f>
        <v/>
      </c>
      <c r="AS150" s="75" t="n">
        <v>156</v>
      </c>
      <c r="AT150" s="2">
        <f>Retailers_Cap!BL152</f>
        <v/>
      </c>
      <c r="AU150" s="2">
        <f>Retailers_Cap!BM152</f>
        <v/>
      </c>
      <c r="AV150" s="2">
        <f>Retailers_Cap!BN152</f>
        <v/>
      </c>
      <c r="AY150" s="75" t="n">
        <v>156</v>
      </c>
      <c r="AZ150" s="2">
        <f>IF(D150=0,"no repl",AB150-AT150)</f>
        <v/>
      </c>
      <c r="BA150" s="2">
        <f>IF(E150=0,"no repl",AC150-AU150)</f>
        <v/>
      </c>
      <c r="BB150" s="2">
        <f>IF(F150=0,"no repl",AD150-AV150)</f>
        <v/>
      </c>
    </row>
    <row r="151">
      <c r="C151" s="75" t="n">
        <v>157</v>
      </c>
      <c r="D151" s="11" t="n">
        <v>0</v>
      </c>
      <c r="E151" s="11" t="n">
        <v>96778.97158733671</v>
      </c>
      <c r="F151" s="11" t="n">
        <v>297111.1581405249</v>
      </c>
      <c r="I151" s="75" t="n">
        <v>157</v>
      </c>
      <c r="J151" s="11" t="n">
        <v>47806.5</v>
      </c>
      <c r="K151" s="11" t="n">
        <v>26486.68</v>
      </c>
      <c r="L151" s="11" t="n">
        <v>20991.6</v>
      </c>
      <c r="O151" s="75" t="n">
        <v>157</v>
      </c>
      <c r="P151" s="11" t="n">
        <v>0</v>
      </c>
      <c r="Q151" s="11" t="n">
        <v>56573.98181467736</v>
      </c>
      <c r="R151" s="11" t="n">
        <v>186901.2361737875</v>
      </c>
      <c r="U151" s="75" t="n">
        <v>157</v>
      </c>
      <c r="V151" s="3">
        <f>J151-P151+D151</f>
        <v/>
      </c>
      <c r="W151" s="3">
        <f>K151-Q151+E151</f>
        <v/>
      </c>
      <c r="X151" s="3">
        <f>L151-R151+F151</f>
        <v/>
      </c>
      <c r="AA151" s="75" t="n">
        <v>157</v>
      </c>
      <c r="AB151" s="2">
        <f>IF(Demand!AU170&gt;Retailers_Cap!N153,(V151/Retailers!P152)/(Demand!AU170-Retailers_Cap!N153),"Inesgotável")</f>
        <v/>
      </c>
      <c r="AC151" s="2">
        <f>IF(Demand!AV170&gt;Retailers_Cap!O153,(W151/Retailers!Q152)/(Demand!AV170-Retailers_Cap!O153),"Inesgotável")</f>
        <v/>
      </c>
      <c r="AD151" s="2">
        <f>IF(Demand!AW170&gt;Retailers_Cap!P153,(X151/Retailers!R152)/(Demand!AW170-Retailers_Cap!P153),"Inesgotável")</f>
        <v/>
      </c>
      <c r="AG151" s="75" t="n">
        <v>157</v>
      </c>
      <c r="AH151" s="75">
        <f>Retailers!AJ152</f>
        <v/>
      </c>
      <c r="AI151" s="75">
        <f>Retailers!AK152</f>
        <v/>
      </c>
      <c r="AJ151" s="75">
        <f>Retailers!AL152</f>
        <v/>
      </c>
      <c r="AM151" s="75" t="n">
        <v>157</v>
      </c>
      <c r="AN151" s="2">
        <f>IF(P151&gt;0,IF(D151=0,"Big stock",AB151/AH151),"Inesgotável")</f>
        <v/>
      </c>
      <c r="AO151" s="2">
        <f>IF(Q151&gt;0,IF(E151=0,"Big stock",AC151/AI151),"Inesgotável")</f>
        <v/>
      </c>
      <c r="AP151" s="2">
        <f>IF(R151&gt;0,IF(F151=0,"Big stock",AD151/AJ151),"Inesgotável")</f>
        <v/>
      </c>
      <c r="AS151" s="75" t="n">
        <v>157</v>
      </c>
      <c r="AT151" s="2">
        <f>Retailers_Cap!BL153</f>
        <v/>
      </c>
      <c r="AU151" s="2">
        <f>Retailers_Cap!BM153</f>
        <v/>
      </c>
      <c r="AV151" s="2">
        <f>Retailers_Cap!BN153</f>
        <v/>
      </c>
      <c r="AY151" s="75" t="n">
        <v>157</v>
      </c>
      <c r="AZ151" s="2">
        <f>IF(D151=0,"no repl",AB151-AT151)</f>
        <v/>
      </c>
      <c r="BA151" s="2">
        <f>IF(E151=0,"no repl",AC151-AU151)</f>
        <v/>
      </c>
      <c r="BB151" s="2">
        <f>IF(F151=0,"no repl",AD151-AV151)</f>
        <v/>
      </c>
    </row>
    <row r="152">
      <c r="C152" s="75" t="n">
        <v>158</v>
      </c>
      <c r="D152" s="11" t="n">
        <v>202610.6764239094</v>
      </c>
      <c r="E152" s="11" t="n">
        <v>248154.5076974008</v>
      </c>
      <c r="F152" s="11" t="n">
        <v>0</v>
      </c>
      <c r="I152" s="75" t="n">
        <v>158</v>
      </c>
      <c r="J152" s="11" t="n">
        <v>15422.22</v>
      </c>
      <c r="K152" s="11" t="n">
        <v>46566.91</v>
      </c>
      <c r="L152" s="11" t="n">
        <v>60981.45</v>
      </c>
      <c r="O152" s="75" t="n">
        <v>158</v>
      </c>
      <c r="P152" s="11" t="n">
        <v>120559.0577072132</v>
      </c>
      <c r="Q152" s="11" t="n">
        <v>155195.5549354638</v>
      </c>
      <c r="R152" s="11" t="n">
        <v>0</v>
      </c>
      <c r="U152" s="75" t="n">
        <v>158</v>
      </c>
      <c r="V152" s="3">
        <f>J152-P152+D152</f>
        <v/>
      </c>
      <c r="W152" s="3">
        <f>K152-Q152+E152</f>
        <v/>
      </c>
      <c r="X152" s="3">
        <f>L152-R152+F152</f>
        <v/>
      </c>
      <c r="AA152" s="75" t="n">
        <v>158</v>
      </c>
      <c r="AB152" s="2">
        <f>IF(Demand!AU171&gt;Retailers_Cap!N154,(V152/Retailers!P153)/(Demand!AU171-Retailers_Cap!N154),"Inesgotável")</f>
        <v/>
      </c>
      <c r="AC152" s="2">
        <f>IF(Demand!AV171&gt;Retailers_Cap!O154,(W152/Retailers!Q153)/(Demand!AV171-Retailers_Cap!O154),"Inesgotável")</f>
        <v/>
      </c>
      <c r="AD152" s="2">
        <f>IF(Demand!AW171&gt;Retailers_Cap!P154,(X152/Retailers!R153)/(Demand!AW171-Retailers_Cap!P154),"Inesgotável")</f>
        <v/>
      </c>
      <c r="AG152" s="75" t="n">
        <v>158</v>
      </c>
      <c r="AH152" s="75">
        <f>Retailers!AJ153</f>
        <v/>
      </c>
      <c r="AI152" s="75">
        <f>Retailers!AK153</f>
        <v/>
      </c>
      <c r="AJ152" s="75">
        <f>Retailers!AL153</f>
        <v/>
      </c>
      <c r="AM152" s="75" t="n">
        <v>158</v>
      </c>
      <c r="AN152" s="2">
        <f>IF(P152&gt;0,IF(D152=0,"Big stock",AB152/AH152),"Inesgotável")</f>
        <v/>
      </c>
      <c r="AO152" s="2">
        <f>IF(Q152&gt;0,IF(E152=0,"Big stock",AC152/AI152),"Inesgotável")</f>
        <v/>
      </c>
      <c r="AP152" s="2">
        <f>IF(R152&gt;0,IF(F152=0,"Big stock",AD152/AJ152),"Inesgotável")</f>
        <v/>
      </c>
      <c r="AS152" s="75" t="n">
        <v>158</v>
      </c>
      <c r="AT152" s="2">
        <f>Retailers_Cap!BL154</f>
        <v/>
      </c>
      <c r="AU152" s="2">
        <f>Retailers_Cap!BM154</f>
        <v/>
      </c>
      <c r="AV152" s="2">
        <f>Retailers_Cap!BN154</f>
        <v/>
      </c>
      <c r="AY152" s="75" t="n">
        <v>158</v>
      </c>
      <c r="AZ152" s="2">
        <f>IF(D152=0,"no repl",AB152-AT152)</f>
        <v/>
      </c>
      <c r="BA152" s="2">
        <f>IF(E152=0,"no repl",AC152-AU152)</f>
        <v/>
      </c>
      <c r="BB152" s="2">
        <f>IF(F152=0,"no repl",AD152-AV152)</f>
        <v/>
      </c>
    </row>
    <row r="153">
      <c r="C153" s="75" t="n">
        <v>159</v>
      </c>
      <c r="D153" s="11" t="n">
        <v>0</v>
      </c>
      <c r="E153" s="11" t="n">
        <v>0</v>
      </c>
      <c r="F153" s="11" t="n">
        <v>0</v>
      </c>
      <c r="I153" s="75" t="n">
        <v>159</v>
      </c>
      <c r="J153" s="11" t="n">
        <v>68935.36</v>
      </c>
      <c r="K153" s="11" t="n">
        <v>44763</v>
      </c>
      <c r="L153" s="11" t="n">
        <v>18446.46</v>
      </c>
      <c r="O153" s="75" t="n">
        <v>159</v>
      </c>
      <c r="P153" s="11" t="n">
        <v>0</v>
      </c>
      <c r="Q153" s="11" t="n">
        <v>0</v>
      </c>
      <c r="R153" s="11" t="n">
        <v>0</v>
      </c>
      <c r="U153" s="75" t="n">
        <v>159</v>
      </c>
      <c r="V153" s="3">
        <f>J153-P153+D153</f>
        <v/>
      </c>
      <c r="W153" s="3">
        <f>K153-Q153+E153</f>
        <v/>
      </c>
      <c r="X153" s="3">
        <f>L153-R153+F153</f>
        <v/>
      </c>
      <c r="AA153" s="75" t="n">
        <v>159</v>
      </c>
      <c r="AB153" s="2">
        <f>IF(Demand!AU172&gt;Retailers_Cap!N155,(V153/Retailers!P154)/(Demand!AU172-Retailers_Cap!N155),"Inesgotável")</f>
        <v/>
      </c>
      <c r="AC153" s="2">
        <f>IF(Demand!AV172&gt;Retailers_Cap!O155,(W153/Retailers!Q154)/(Demand!AV172-Retailers_Cap!O155),"Inesgotável")</f>
        <v/>
      </c>
      <c r="AD153" s="2">
        <f>IF(Demand!AW172&gt;Retailers_Cap!P155,(X153/Retailers!R154)/(Demand!AW172-Retailers_Cap!P155),"Inesgotável")</f>
        <v/>
      </c>
      <c r="AG153" s="75" t="n">
        <v>159</v>
      </c>
      <c r="AH153" s="75">
        <f>Retailers!AJ154</f>
        <v/>
      </c>
      <c r="AI153" s="75">
        <f>Retailers!AK154</f>
        <v/>
      </c>
      <c r="AJ153" s="75">
        <f>Retailers!AL154</f>
        <v/>
      </c>
      <c r="AM153" s="75" t="n">
        <v>159</v>
      </c>
      <c r="AN153" s="2">
        <f>IF(P153&gt;0,IF(D153=0,"Big stock",AB153/AH153),"Inesgotável")</f>
        <v/>
      </c>
      <c r="AO153" s="2">
        <f>IF(Q153&gt;0,IF(E153=0,"Big stock",AC153/AI153),"Inesgotável")</f>
        <v/>
      </c>
      <c r="AP153" s="2">
        <f>IF(R153&gt;0,IF(F153=0,"Big stock",AD153/AJ153),"Inesgotável")</f>
        <v/>
      </c>
      <c r="AS153" s="75" t="n">
        <v>159</v>
      </c>
      <c r="AT153" s="2">
        <f>Retailers_Cap!BL155</f>
        <v/>
      </c>
      <c r="AU153" s="2">
        <f>Retailers_Cap!BM155</f>
        <v/>
      </c>
      <c r="AV153" s="2">
        <f>Retailers_Cap!BN155</f>
        <v/>
      </c>
      <c r="AY153" s="75" t="n">
        <v>159</v>
      </c>
      <c r="AZ153" s="2">
        <f>IF(D153=0,"no repl",AB153-AT153)</f>
        <v/>
      </c>
      <c r="BA153" s="2">
        <f>IF(E153=0,"no repl",AC153-AU153)</f>
        <v/>
      </c>
      <c r="BB153" s="2">
        <f>IF(F153=0,"no repl",AD153-AV153)</f>
        <v/>
      </c>
    </row>
    <row r="154">
      <c r="C154" s="75" t="n">
        <v>160</v>
      </c>
      <c r="D154" s="11" t="n">
        <v>113130.9131258001</v>
      </c>
      <c r="E154" s="11" t="n">
        <v>160322.3996686979</v>
      </c>
      <c r="F154" s="11" t="n">
        <v>242320.0116752809</v>
      </c>
      <c r="I154" s="75" t="n">
        <v>160</v>
      </c>
      <c r="J154" s="11" t="n">
        <v>46340.7</v>
      </c>
      <c r="K154" s="11" t="n">
        <v>45090.33</v>
      </c>
      <c r="L154" s="11" t="n">
        <v>65262.4</v>
      </c>
      <c r="O154" s="75" t="n">
        <v>160</v>
      </c>
      <c r="P154" s="11" t="n">
        <v>75739.71979007391</v>
      </c>
      <c r="Q154" s="11" t="n">
        <v>98711.0715864743</v>
      </c>
      <c r="R154" s="11" t="n">
        <v>143220.0636095079</v>
      </c>
      <c r="U154" s="75" t="n">
        <v>160</v>
      </c>
      <c r="V154" s="3">
        <f>J154-P154+D154</f>
        <v/>
      </c>
      <c r="W154" s="3">
        <f>K154-Q154+E154</f>
        <v/>
      </c>
      <c r="X154" s="3">
        <f>L154-R154+F154</f>
        <v/>
      </c>
      <c r="AA154" s="75" t="n">
        <v>160</v>
      </c>
      <c r="AB154" s="2">
        <f>IF(Demand!AU173&gt;Retailers_Cap!N156,(V154/Retailers!P155)/(Demand!AU173-Retailers_Cap!N156),"Inesgotável")</f>
        <v/>
      </c>
      <c r="AC154" s="2">
        <f>IF(Demand!AV173&gt;Retailers_Cap!O156,(W154/Retailers!Q155)/(Demand!AV173-Retailers_Cap!O156),"Inesgotável")</f>
        <v/>
      </c>
      <c r="AD154" s="2">
        <f>IF(Demand!AW173&gt;Retailers_Cap!P156,(X154/Retailers!R155)/(Demand!AW173-Retailers_Cap!P156),"Inesgotável")</f>
        <v/>
      </c>
      <c r="AG154" s="75" t="n">
        <v>160</v>
      </c>
      <c r="AH154" s="75">
        <f>Retailers!AJ155</f>
        <v/>
      </c>
      <c r="AI154" s="75">
        <f>Retailers!AK155</f>
        <v/>
      </c>
      <c r="AJ154" s="75">
        <f>Retailers!AL155</f>
        <v/>
      </c>
      <c r="AM154" s="75" t="n">
        <v>160</v>
      </c>
      <c r="AN154" s="2">
        <f>IF(P154&gt;0,IF(D154=0,"Big stock",AB154/AH154),"Inesgotável")</f>
        <v/>
      </c>
      <c r="AO154" s="2">
        <f>IF(Q154&gt;0,IF(E154=0,"Big stock",AC154/AI154),"Inesgotável")</f>
        <v/>
      </c>
      <c r="AP154" s="2">
        <f>IF(R154&gt;0,IF(F154=0,"Big stock",AD154/AJ154),"Inesgotável")</f>
        <v/>
      </c>
      <c r="AS154" s="75" t="n">
        <v>160</v>
      </c>
      <c r="AT154" s="2">
        <f>Retailers_Cap!BL156</f>
        <v/>
      </c>
      <c r="AU154" s="2">
        <f>Retailers_Cap!BM156</f>
        <v/>
      </c>
      <c r="AV154" s="2">
        <f>Retailers_Cap!BN156</f>
        <v/>
      </c>
      <c r="AY154" s="75" t="n">
        <v>160</v>
      </c>
      <c r="AZ154" s="2">
        <f>IF(D154=0,"no repl",AB154-AT154)</f>
        <v/>
      </c>
      <c r="BA154" s="2">
        <f>IF(E154=0,"no repl",AC154-AU154)</f>
        <v/>
      </c>
      <c r="BB154" s="2">
        <f>IF(F154=0,"no repl",AD154-AV154)</f>
        <v/>
      </c>
    </row>
    <row r="155">
      <c r="C155" s="75" t="n">
        <v>161</v>
      </c>
      <c r="D155" s="11" t="n">
        <v>0</v>
      </c>
      <c r="E155" s="11" t="n">
        <v>229278.6061026696</v>
      </c>
      <c r="F155" s="11" t="n">
        <v>0</v>
      </c>
      <c r="I155" s="75" t="n">
        <v>161</v>
      </c>
      <c r="J155" s="11" t="n">
        <v>26032</v>
      </c>
      <c r="K155" s="11" t="n">
        <v>35346.5</v>
      </c>
      <c r="L155" s="11" t="n">
        <v>6898.58</v>
      </c>
      <c r="O155" s="75" t="n">
        <v>161</v>
      </c>
      <c r="P155" s="11" t="n">
        <v>0</v>
      </c>
      <c r="Q155" s="11" t="n">
        <v>137408.1812804142</v>
      </c>
      <c r="R155" s="11" t="n">
        <v>0</v>
      </c>
      <c r="U155" s="75" t="n">
        <v>161</v>
      </c>
      <c r="V155" s="3">
        <f>J155-P155+D155</f>
        <v/>
      </c>
      <c r="W155" s="3">
        <f>K155-Q155+E155</f>
        <v/>
      </c>
      <c r="X155" s="3">
        <f>L155-R155+F155</f>
        <v/>
      </c>
      <c r="AA155" s="75" t="n">
        <v>161</v>
      </c>
      <c r="AB155" s="2">
        <f>IF(Demand!AU174&gt;Retailers_Cap!N157,(V155/Retailers!P156)/(Demand!AU174-Retailers_Cap!N157),"Inesgotável")</f>
        <v/>
      </c>
      <c r="AC155" s="2">
        <f>IF(Demand!AV174&gt;Retailers_Cap!O157,(W155/Retailers!Q156)/(Demand!AV174-Retailers_Cap!O157),"Inesgotável")</f>
        <v/>
      </c>
      <c r="AD155" s="2">
        <f>IF(Demand!AW174&gt;Retailers_Cap!P157,(X155/Retailers!R156)/(Demand!AW174-Retailers_Cap!P157),"Inesgotável")</f>
        <v/>
      </c>
      <c r="AG155" s="75" t="n">
        <v>161</v>
      </c>
      <c r="AH155" s="75">
        <f>Retailers!AJ156</f>
        <v/>
      </c>
      <c r="AI155" s="75">
        <f>Retailers!AK156</f>
        <v/>
      </c>
      <c r="AJ155" s="75">
        <f>Retailers!AL156</f>
        <v/>
      </c>
      <c r="AM155" s="75" t="n">
        <v>161</v>
      </c>
      <c r="AN155" s="2">
        <f>IF(P155&gt;0,IF(D155=0,"Big stock",AB155/AH155),"Inesgotável")</f>
        <v/>
      </c>
      <c r="AO155" s="2">
        <f>IF(Q155&gt;0,IF(E155=0,"Big stock",AC155/AI155),"Inesgotável")</f>
        <v/>
      </c>
      <c r="AP155" s="2">
        <f>IF(R155&gt;0,IF(F155=0,"Big stock",AD155/AJ155),"Inesgotável")</f>
        <v/>
      </c>
      <c r="AS155" s="75" t="n">
        <v>161</v>
      </c>
      <c r="AT155" s="2">
        <f>Retailers_Cap!BL157</f>
        <v/>
      </c>
      <c r="AU155" s="2">
        <f>Retailers_Cap!BM157</f>
        <v/>
      </c>
      <c r="AV155" s="2">
        <f>Retailers_Cap!BN157</f>
        <v/>
      </c>
      <c r="AY155" s="75" t="n">
        <v>161</v>
      </c>
      <c r="AZ155" s="2">
        <f>IF(D155=0,"no repl",AB155-AT155)</f>
        <v/>
      </c>
      <c r="BA155" s="2">
        <f>IF(E155=0,"no repl",AC155-AU155)</f>
        <v/>
      </c>
      <c r="BB155" s="2">
        <f>IF(F155=0,"no repl",AD155-AV155)</f>
        <v/>
      </c>
    </row>
    <row r="156">
      <c r="C156" s="75" t="n">
        <v>162</v>
      </c>
      <c r="D156" s="11" t="n">
        <v>201487.8978759387</v>
      </c>
      <c r="E156" s="11" t="n">
        <v>271931.9252977142</v>
      </c>
      <c r="F156" s="11" t="n">
        <v>244840.7736826377</v>
      </c>
      <c r="I156" s="75" t="n">
        <v>162</v>
      </c>
      <c r="J156" s="11" t="n">
        <v>39261.81</v>
      </c>
      <c r="K156" s="11" t="n">
        <v>65888</v>
      </c>
      <c r="L156" s="11" t="n">
        <v>37674.19</v>
      </c>
      <c r="O156" s="75" t="n">
        <v>162</v>
      </c>
      <c r="P156" s="11" t="n">
        <v>118826.2640672128</v>
      </c>
      <c r="Q156" s="11" t="n">
        <v>166264.2585798855</v>
      </c>
      <c r="R156" s="11" t="n">
        <v>150004.9054964005</v>
      </c>
      <c r="U156" s="75" t="n">
        <v>162</v>
      </c>
      <c r="V156" s="3">
        <f>J156-P156+D156</f>
        <v/>
      </c>
      <c r="W156" s="3">
        <f>K156-Q156+E156</f>
        <v/>
      </c>
      <c r="X156" s="3">
        <f>L156-R156+F156</f>
        <v/>
      </c>
      <c r="AA156" s="75" t="n">
        <v>162</v>
      </c>
      <c r="AB156" s="2">
        <f>IF(Demand!AU175&gt;Retailers_Cap!N158,(V156/Retailers!P157)/(Demand!AU175-Retailers_Cap!N158),"Inesgotável")</f>
        <v/>
      </c>
      <c r="AC156" s="2">
        <f>IF(Demand!AV175&gt;Retailers_Cap!O158,(W156/Retailers!Q157)/(Demand!AV175-Retailers_Cap!O158),"Inesgotável")</f>
        <v/>
      </c>
      <c r="AD156" s="2">
        <f>IF(Demand!AW175&gt;Retailers_Cap!P158,(X156/Retailers!R157)/(Demand!AW175-Retailers_Cap!P158),"Inesgotável")</f>
        <v/>
      </c>
      <c r="AG156" s="75" t="n">
        <v>162</v>
      </c>
      <c r="AH156" s="75">
        <f>Retailers!AJ157</f>
        <v/>
      </c>
      <c r="AI156" s="75">
        <f>Retailers!AK157</f>
        <v/>
      </c>
      <c r="AJ156" s="75">
        <f>Retailers!AL157</f>
        <v/>
      </c>
      <c r="AM156" s="75" t="n">
        <v>162</v>
      </c>
      <c r="AN156" s="2">
        <f>IF(P156&gt;0,IF(D156=0,"Big stock",AB156/AH156),"Inesgotável")</f>
        <v/>
      </c>
      <c r="AO156" s="2">
        <f>IF(Q156&gt;0,IF(E156=0,"Big stock",AC156/AI156),"Inesgotável")</f>
        <v/>
      </c>
      <c r="AP156" s="2">
        <f>IF(R156&gt;0,IF(F156=0,"Big stock",AD156/AJ156),"Inesgotável")</f>
        <v/>
      </c>
      <c r="AS156" s="75" t="n">
        <v>162</v>
      </c>
      <c r="AT156" s="2">
        <f>Retailers_Cap!BL158</f>
        <v/>
      </c>
      <c r="AU156" s="2">
        <f>Retailers_Cap!BM158</f>
        <v/>
      </c>
      <c r="AV156" s="2">
        <f>Retailers_Cap!BN158</f>
        <v/>
      </c>
      <c r="AY156" s="75" t="n">
        <v>162</v>
      </c>
      <c r="AZ156" s="2">
        <f>IF(D156=0,"no repl",AB156-AT156)</f>
        <v/>
      </c>
      <c r="BA156" s="2">
        <f>IF(E156=0,"no repl",AC156-AU156)</f>
        <v/>
      </c>
      <c r="BB156" s="2">
        <f>IF(F156=0,"no repl",AD156-AV156)</f>
        <v/>
      </c>
    </row>
    <row r="157">
      <c r="C157" s="75" t="n">
        <v>163</v>
      </c>
      <c r="D157" s="11" t="n">
        <v>259085.5328095119</v>
      </c>
      <c r="E157" s="11" t="n">
        <v>194732.6704305504</v>
      </c>
      <c r="F157" s="11" t="n">
        <v>0</v>
      </c>
      <c r="I157" s="75" t="n">
        <v>163</v>
      </c>
      <c r="J157" s="11" t="n">
        <v>26738.11</v>
      </c>
      <c r="K157" s="11" t="n">
        <v>32045.07</v>
      </c>
      <c r="L157" s="11" t="n">
        <v>133334.53</v>
      </c>
      <c r="O157" s="75" t="n">
        <v>163</v>
      </c>
      <c r="P157" s="11" t="n">
        <v>161259.5362545137</v>
      </c>
      <c r="Q157" s="11" t="n">
        <v>124221.8373727536</v>
      </c>
      <c r="R157" s="11" t="n">
        <v>19386.62517712138</v>
      </c>
      <c r="U157" s="75" t="n">
        <v>163</v>
      </c>
      <c r="V157" s="3">
        <f>J157-P157+D157</f>
        <v/>
      </c>
      <c r="W157" s="3">
        <f>K157-Q157+E157</f>
        <v/>
      </c>
      <c r="X157" s="3">
        <f>L157-R157+F157</f>
        <v/>
      </c>
      <c r="AA157" s="75" t="n">
        <v>163</v>
      </c>
      <c r="AB157" s="2">
        <f>IF(Demand!AU176&gt;Retailers_Cap!N159,(V157/Retailers!P158)/(Demand!AU176-Retailers_Cap!N159),"Inesgotável")</f>
        <v/>
      </c>
      <c r="AC157" s="2">
        <f>IF(Demand!AV176&gt;Retailers_Cap!O159,(W157/Retailers!Q158)/(Demand!AV176-Retailers_Cap!O159),"Inesgotável")</f>
        <v/>
      </c>
      <c r="AD157" s="2">
        <f>IF(Demand!AW176&gt;Retailers_Cap!P159,(X157/Retailers!R158)/(Demand!AW176-Retailers_Cap!P159),"Inesgotável")</f>
        <v/>
      </c>
      <c r="AG157" s="75" t="n">
        <v>163</v>
      </c>
      <c r="AH157" s="75">
        <f>Retailers!AJ158</f>
        <v/>
      </c>
      <c r="AI157" s="75">
        <f>Retailers!AK158</f>
        <v/>
      </c>
      <c r="AJ157" s="75">
        <f>Retailers!AL158</f>
        <v/>
      </c>
      <c r="AM157" s="75" t="n">
        <v>163</v>
      </c>
      <c r="AN157" s="2">
        <f>IF(P157&gt;0,IF(D157=0,"Big stock",AB157/AH157),"Inesgotável")</f>
        <v/>
      </c>
      <c r="AO157" s="2">
        <f>IF(Q157&gt;0,IF(E157=0,"Big stock",AC157/AI157),"Inesgotável")</f>
        <v/>
      </c>
      <c r="AP157" s="2">
        <f>IF(R157&gt;0,IF(F157=0,"Big stock",AD157/AJ157),"Inesgotável")</f>
        <v/>
      </c>
      <c r="AS157" s="75" t="n">
        <v>163</v>
      </c>
      <c r="AT157" s="2">
        <f>Retailers_Cap!BL159</f>
        <v/>
      </c>
      <c r="AU157" s="2">
        <f>Retailers_Cap!BM159</f>
        <v/>
      </c>
      <c r="AV157" s="2">
        <f>Retailers_Cap!BN159</f>
        <v/>
      </c>
      <c r="AY157" s="75" t="n">
        <v>163</v>
      </c>
      <c r="AZ157" s="2">
        <f>IF(D157=0,"no repl",AB157-AT157)</f>
        <v/>
      </c>
      <c r="BA157" s="2">
        <f>IF(E157=0,"no repl",AC157-AU157)</f>
        <v/>
      </c>
      <c r="BB157" s="2">
        <f>IF(F157=0,"no repl",AD157-AV157)</f>
        <v/>
      </c>
    </row>
    <row r="158">
      <c r="C158" s="75" t="n">
        <v>164</v>
      </c>
      <c r="D158" s="11" t="n">
        <v>0</v>
      </c>
      <c r="E158" s="11" t="n">
        <v>169661.9036625639</v>
      </c>
      <c r="F158" s="11" t="n">
        <v>0</v>
      </c>
      <c r="I158" s="75" t="n">
        <v>164</v>
      </c>
      <c r="J158" s="11" t="n">
        <v>18719.91</v>
      </c>
      <c r="K158" s="11" t="n">
        <v>51760.62</v>
      </c>
      <c r="L158" s="11" t="n">
        <v>20901.43</v>
      </c>
      <c r="O158" s="75" t="n">
        <v>164</v>
      </c>
      <c r="P158" s="11" t="n">
        <v>0</v>
      </c>
      <c r="Q158" s="11" t="n">
        <v>97173.52186835423</v>
      </c>
      <c r="R158" s="11" t="n">
        <v>0</v>
      </c>
      <c r="U158" s="75" t="n">
        <v>164</v>
      </c>
      <c r="V158" s="3">
        <f>J158-P158+D158</f>
        <v/>
      </c>
      <c r="W158" s="3">
        <f>K158-Q158+E158</f>
        <v/>
      </c>
      <c r="X158" s="3">
        <f>L158-R158+F158</f>
        <v/>
      </c>
      <c r="AA158" s="75" t="n">
        <v>164</v>
      </c>
      <c r="AB158" s="2">
        <f>IF(Demand!AU177&gt;Retailers_Cap!N160,(V158/Retailers!P159)/(Demand!AU177-Retailers_Cap!N160),"Inesgotável")</f>
        <v/>
      </c>
      <c r="AC158" s="2">
        <f>IF(Demand!AV177&gt;Retailers_Cap!O160,(W158/Retailers!Q159)/(Demand!AV177-Retailers_Cap!O160),"Inesgotável")</f>
        <v/>
      </c>
      <c r="AD158" s="2">
        <f>IF(Demand!AW177&gt;Retailers_Cap!P160,(X158/Retailers!R159)/(Demand!AW177-Retailers_Cap!P160),"Inesgotável")</f>
        <v/>
      </c>
      <c r="AG158" s="75" t="n">
        <v>164</v>
      </c>
      <c r="AH158" s="75">
        <f>Retailers!AJ159</f>
        <v/>
      </c>
      <c r="AI158" s="75">
        <f>Retailers!AK159</f>
        <v/>
      </c>
      <c r="AJ158" s="75">
        <f>Retailers!AL159</f>
        <v/>
      </c>
      <c r="AM158" s="75" t="n">
        <v>164</v>
      </c>
      <c r="AN158" s="2">
        <f>IF(P158&gt;0,IF(D158=0,"Big stock",AB158/AH158),"Inesgotável")</f>
        <v/>
      </c>
      <c r="AO158" s="2">
        <f>IF(Q158&gt;0,IF(E158=0,"Big stock",AC158/AI158),"Inesgotável")</f>
        <v/>
      </c>
      <c r="AP158" s="2">
        <f>IF(R158&gt;0,IF(F158=0,"Big stock",AD158/AJ158),"Inesgotável")</f>
        <v/>
      </c>
      <c r="AS158" s="75" t="n">
        <v>164</v>
      </c>
      <c r="AT158" s="2">
        <f>Retailers_Cap!BL160</f>
        <v/>
      </c>
      <c r="AU158" s="2">
        <f>Retailers_Cap!BM160</f>
        <v/>
      </c>
      <c r="AV158" s="2">
        <f>Retailers_Cap!BN160</f>
        <v/>
      </c>
      <c r="AY158" s="75" t="n">
        <v>164</v>
      </c>
      <c r="AZ158" s="2">
        <f>IF(D158=0,"no repl",AB158-AT158)</f>
        <v/>
      </c>
      <c r="BA158" s="2">
        <f>IF(E158=0,"no repl",AC158-AU158)</f>
        <v/>
      </c>
      <c r="BB158" s="2">
        <f>IF(F158=0,"no repl",AD158-AV158)</f>
        <v/>
      </c>
    </row>
    <row r="159">
      <c r="C159" s="75" t="n">
        <v>165</v>
      </c>
      <c r="D159" s="11" t="n">
        <v>0</v>
      </c>
      <c r="E159" s="11" t="n">
        <v>0</v>
      </c>
      <c r="F159" s="11" t="n">
        <v>0</v>
      </c>
      <c r="I159" s="75" t="n">
        <v>165</v>
      </c>
      <c r="J159" s="11" t="n">
        <v>53524.94</v>
      </c>
      <c r="K159" s="11" t="n">
        <v>47919.60000000001</v>
      </c>
      <c r="L159" s="11" t="n">
        <v>57700.21999999999</v>
      </c>
      <c r="O159" s="75" t="n">
        <v>165</v>
      </c>
      <c r="P159" s="11" t="n">
        <v>0</v>
      </c>
      <c r="Q159" s="11" t="n">
        <v>0</v>
      </c>
      <c r="R159" s="11" t="n">
        <v>0</v>
      </c>
      <c r="U159" s="75" t="n">
        <v>165</v>
      </c>
      <c r="V159" s="3">
        <f>J159-P159+D159</f>
        <v/>
      </c>
      <c r="W159" s="3">
        <f>K159-Q159+E159</f>
        <v/>
      </c>
      <c r="X159" s="3">
        <f>L159-R159+F159</f>
        <v/>
      </c>
      <c r="AA159" s="75" t="n">
        <v>165</v>
      </c>
      <c r="AB159" s="2">
        <f>IF(Demand!AU178&gt;Retailers_Cap!N161,(V159/Retailers!P160)/(Demand!AU178-Retailers_Cap!N161),"Inesgotável")</f>
        <v/>
      </c>
      <c r="AC159" s="2">
        <f>IF(Demand!AV178&gt;Retailers_Cap!O161,(W159/Retailers!Q160)/(Demand!AV178-Retailers_Cap!O161),"Inesgotável")</f>
        <v/>
      </c>
      <c r="AD159" s="2">
        <f>IF(Demand!AW178&gt;Retailers_Cap!P161,(X159/Retailers!R160)/(Demand!AW178-Retailers_Cap!P161),"Inesgotável")</f>
        <v/>
      </c>
      <c r="AG159" s="75" t="n">
        <v>165</v>
      </c>
      <c r="AH159" s="75">
        <f>Retailers!AJ160</f>
        <v/>
      </c>
      <c r="AI159" s="75">
        <f>Retailers!AK160</f>
        <v/>
      </c>
      <c r="AJ159" s="75">
        <f>Retailers!AL160</f>
        <v/>
      </c>
      <c r="AM159" s="75" t="n">
        <v>165</v>
      </c>
      <c r="AN159" s="2">
        <f>IF(P159&gt;0,IF(D159=0,"Big stock",AB159/AH159),"Inesgotável")</f>
        <v/>
      </c>
      <c r="AO159" s="2">
        <f>IF(Q159&gt;0,IF(E159=0,"Big stock",AC159/AI159),"Inesgotável")</f>
        <v/>
      </c>
      <c r="AP159" s="2">
        <f>IF(R159&gt;0,IF(F159=0,"Big stock",AD159/AJ159),"Inesgotável")</f>
        <v/>
      </c>
      <c r="AS159" s="75" t="n">
        <v>165</v>
      </c>
      <c r="AT159" s="2">
        <f>Retailers_Cap!BL161</f>
        <v/>
      </c>
      <c r="AU159" s="2">
        <f>Retailers_Cap!BM161</f>
        <v/>
      </c>
      <c r="AV159" s="2">
        <f>Retailers_Cap!BN161</f>
        <v/>
      </c>
      <c r="AY159" s="75" t="n">
        <v>165</v>
      </c>
      <c r="AZ159" s="2">
        <f>IF(D159=0,"no repl",AB159-AT159)</f>
        <v/>
      </c>
      <c r="BA159" s="2">
        <f>IF(E159=0,"no repl",AC159-AU159)</f>
        <v/>
      </c>
      <c r="BB159" s="2">
        <f>IF(F159=0,"no repl",AD159-AV159)</f>
        <v/>
      </c>
    </row>
    <row r="160">
      <c r="C160" s="75" t="n">
        <v>166</v>
      </c>
      <c r="D160" s="11" t="n">
        <v>67447.98981352727</v>
      </c>
      <c r="E160" s="11" t="n">
        <v>88194.39494253416</v>
      </c>
      <c r="F160" s="11" t="n">
        <v>0</v>
      </c>
      <c r="I160" s="75" t="n">
        <v>166</v>
      </c>
      <c r="J160" s="11" t="n">
        <v>27764.88</v>
      </c>
      <c r="K160" s="11" t="n">
        <v>44053.22</v>
      </c>
      <c r="L160" s="11" t="n">
        <v>14563.8</v>
      </c>
      <c r="O160" s="75" t="n">
        <v>166</v>
      </c>
      <c r="P160" s="11" t="n">
        <v>39510.09788820728</v>
      </c>
      <c r="Q160" s="11" t="n">
        <v>55986.12466411943</v>
      </c>
      <c r="R160" s="11" t="n">
        <v>0</v>
      </c>
      <c r="U160" s="75" t="n">
        <v>166</v>
      </c>
      <c r="V160" s="3">
        <f>J160-P160+D160</f>
        <v/>
      </c>
      <c r="W160" s="3">
        <f>K160-Q160+E160</f>
        <v/>
      </c>
      <c r="X160" s="3">
        <f>L160-R160+F160</f>
        <v/>
      </c>
      <c r="AA160" s="75" t="n">
        <v>166</v>
      </c>
      <c r="AB160" s="2">
        <f>IF(Demand!AU179&gt;Retailers_Cap!N162,(V160/Retailers!P161)/(Demand!AU179-Retailers_Cap!N162),"Inesgotável")</f>
        <v/>
      </c>
      <c r="AC160" s="2">
        <f>IF(Demand!AV179&gt;Retailers_Cap!O162,(W160/Retailers!Q161)/(Demand!AV179-Retailers_Cap!O162),"Inesgotável")</f>
        <v/>
      </c>
      <c r="AD160" s="2">
        <f>IF(Demand!AW179&gt;Retailers_Cap!P162,(X160/Retailers!R161)/(Demand!AW179-Retailers_Cap!P162),"Inesgotável")</f>
        <v/>
      </c>
      <c r="AG160" s="75" t="n">
        <v>166</v>
      </c>
      <c r="AH160" s="75">
        <f>Retailers!AJ161</f>
        <v/>
      </c>
      <c r="AI160" s="75">
        <f>Retailers!AK161</f>
        <v/>
      </c>
      <c r="AJ160" s="75">
        <f>Retailers!AL161</f>
        <v/>
      </c>
      <c r="AM160" s="75" t="n">
        <v>166</v>
      </c>
      <c r="AN160" s="2">
        <f>IF(P160&gt;0,IF(D160=0,"Big stock",AB160/AH160),"Inesgotável")</f>
        <v/>
      </c>
      <c r="AO160" s="2">
        <f>IF(Q160&gt;0,IF(E160=0,"Big stock",AC160/AI160),"Inesgotável")</f>
        <v/>
      </c>
      <c r="AP160" s="2">
        <f>IF(R160&gt;0,IF(F160=0,"Big stock",AD160/AJ160),"Inesgotável")</f>
        <v/>
      </c>
      <c r="AS160" s="75" t="n">
        <v>166</v>
      </c>
      <c r="AT160" s="2">
        <f>Retailers_Cap!BL162</f>
        <v/>
      </c>
      <c r="AU160" s="2">
        <f>Retailers_Cap!BM162</f>
        <v/>
      </c>
      <c r="AV160" s="2">
        <f>Retailers_Cap!BN162</f>
        <v/>
      </c>
      <c r="AY160" s="75" t="n">
        <v>166</v>
      </c>
      <c r="AZ160" s="2">
        <f>IF(D160=0,"no repl",AB160-AT160)</f>
        <v/>
      </c>
      <c r="BA160" s="2">
        <f>IF(E160=0,"no repl",AC160-AU160)</f>
        <v/>
      </c>
      <c r="BB160" s="2">
        <f>IF(F160=0,"no repl",AD160-AV160)</f>
        <v/>
      </c>
    </row>
    <row r="161">
      <c r="C161" s="75" t="n">
        <v>167</v>
      </c>
      <c r="D161" s="11" t="n">
        <v>0</v>
      </c>
      <c r="E161" s="11" t="n">
        <v>0</v>
      </c>
      <c r="F161" s="11" t="n">
        <v>591148.7252264435</v>
      </c>
      <c r="I161" s="75" t="n">
        <v>167</v>
      </c>
      <c r="J161" s="11" t="n">
        <v>21444.15</v>
      </c>
      <c r="K161" s="11" t="n">
        <v>74833.2</v>
      </c>
      <c r="L161" s="11" t="n">
        <v>65110.54</v>
      </c>
      <c r="O161" s="75" t="n">
        <v>167</v>
      </c>
      <c r="P161" s="11" t="n">
        <v>0</v>
      </c>
      <c r="Q161" s="11" t="n">
        <v>0</v>
      </c>
      <c r="R161" s="11" t="n">
        <v>351594.2859862499</v>
      </c>
      <c r="U161" s="75" t="n">
        <v>167</v>
      </c>
      <c r="V161" s="3">
        <f>J161-P161+D161</f>
        <v/>
      </c>
      <c r="W161" s="3">
        <f>K161-Q161+E161</f>
        <v/>
      </c>
      <c r="X161" s="3">
        <f>L161-R161+F161</f>
        <v/>
      </c>
      <c r="AA161" s="75" t="n">
        <v>167</v>
      </c>
      <c r="AB161" s="2">
        <f>IF(Demand!AU180&gt;Retailers_Cap!N163,(V161/Retailers!P162)/(Demand!AU180-Retailers_Cap!N163),"Inesgotável")</f>
        <v/>
      </c>
      <c r="AC161" s="2">
        <f>IF(Demand!AV180&gt;Retailers_Cap!O163,(W161/Retailers!Q162)/(Demand!AV180-Retailers_Cap!O163),"Inesgotável")</f>
        <v/>
      </c>
      <c r="AD161" s="2">
        <f>IF(Demand!AW180&gt;Retailers_Cap!P163,(X161/Retailers!R162)/(Demand!AW180-Retailers_Cap!P163),"Inesgotável")</f>
        <v/>
      </c>
      <c r="AG161" s="75" t="n">
        <v>167</v>
      </c>
      <c r="AH161" s="75">
        <f>Retailers!AJ162</f>
        <v/>
      </c>
      <c r="AI161" s="75">
        <f>Retailers!AK162</f>
        <v/>
      </c>
      <c r="AJ161" s="75">
        <f>Retailers!AL162</f>
        <v/>
      </c>
      <c r="AM161" s="75" t="n">
        <v>167</v>
      </c>
      <c r="AN161" s="2">
        <f>IF(P161&gt;0,IF(D161=0,"Big stock",AB161/AH161),"Inesgotável")</f>
        <v/>
      </c>
      <c r="AO161" s="2">
        <f>IF(Q161&gt;0,IF(E161=0,"Big stock",AC161/AI161),"Inesgotável")</f>
        <v/>
      </c>
      <c r="AP161" s="2">
        <f>IF(R161&gt;0,IF(F161=0,"Big stock",AD161/AJ161),"Inesgotável")</f>
        <v/>
      </c>
      <c r="AS161" s="75" t="n">
        <v>167</v>
      </c>
      <c r="AT161" s="2">
        <f>Retailers_Cap!BL163</f>
        <v/>
      </c>
      <c r="AU161" s="2">
        <f>Retailers_Cap!BM163</f>
        <v/>
      </c>
      <c r="AV161" s="2">
        <f>Retailers_Cap!BN163</f>
        <v/>
      </c>
      <c r="AY161" s="75" t="n">
        <v>167</v>
      </c>
      <c r="AZ161" s="2">
        <f>IF(D161=0,"no repl",AB161-AT161)</f>
        <v/>
      </c>
      <c r="BA161" s="2">
        <f>IF(E161=0,"no repl",AC161-AU161)</f>
        <v/>
      </c>
      <c r="BB161" s="2">
        <f>IF(F161=0,"no repl",AD161-AV161)</f>
        <v/>
      </c>
    </row>
    <row r="162">
      <c r="C162" s="75" t="n">
        <v>168</v>
      </c>
      <c r="D162" s="11" t="n">
        <v>0</v>
      </c>
      <c r="E162" s="11" t="n">
        <v>0</v>
      </c>
      <c r="F162" s="11" t="n">
        <v>121727.0334520955</v>
      </c>
      <c r="I162" s="75" t="n">
        <v>168</v>
      </c>
      <c r="J162" s="11" t="n">
        <v>69144.63</v>
      </c>
      <c r="K162" s="11" t="n">
        <v>59969.14999999999</v>
      </c>
      <c r="L162" s="11" t="n">
        <v>17620.84</v>
      </c>
      <c r="O162" s="75" t="n">
        <v>168</v>
      </c>
      <c r="P162" s="11" t="n">
        <v>0</v>
      </c>
      <c r="Q162" s="11" t="n">
        <v>0</v>
      </c>
      <c r="R162" s="11" t="n">
        <v>77796.25194999538</v>
      </c>
      <c r="U162" s="75" t="n">
        <v>168</v>
      </c>
      <c r="V162" s="3">
        <f>J162-P162+D162</f>
        <v/>
      </c>
      <c r="W162" s="3">
        <f>K162-Q162+E162</f>
        <v/>
      </c>
      <c r="X162" s="3">
        <f>L162-R162+F162</f>
        <v/>
      </c>
      <c r="AA162" s="75" t="n">
        <v>168</v>
      </c>
      <c r="AB162" s="2">
        <f>IF(Demand!AU181&gt;Retailers_Cap!N164,(V162/Retailers!P163)/(Demand!AU181-Retailers_Cap!N164),"Inesgotável")</f>
        <v/>
      </c>
      <c r="AC162" s="2">
        <f>IF(Demand!AV181&gt;Retailers_Cap!O164,(W162/Retailers!Q163)/(Demand!AV181-Retailers_Cap!O164),"Inesgotável")</f>
        <v/>
      </c>
      <c r="AD162" s="2">
        <f>IF(Demand!AW181&gt;Retailers_Cap!P164,(X162/Retailers!R163)/(Demand!AW181-Retailers_Cap!P164),"Inesgotável")</f>
        <v/>
      </c>
      <c r="AG162" s="75" t="n">
        <v>168</v>
      </c>
      <c r="AH162" s="75">
        <f>Retailers!AJ163</f>
        <v/>
      </c>
      <c r="AI162" s="75">
        <f>Retailers!AK163</f>
        <v/>
      </c>
      <c r="AJ162" s="75">
        <f>Retailers!AL163</f>
        <v/>
      </c>
      <c r="AM162" s="75" t="n">
        <v>168</v>
      </c>
      <c r="AN162" s="2">
        <f>IF(P162&gt;0,IF(D162=0,"Big stock",AB162/AH162),"Inesgotável")</f>
        <v/>
      </c>
      <c r="AO162" s="2">
        <f>IF(Q162&gt;0,IF(E162=0,"Big stock",AC162/AI162),"Inesgotável")</f>
        <v/>
      </c>
      <c r="AP162" s="2">
        <f>IF(R162&gt;0,IF(F162=0,"Big stock",AD162/AJ162),"Inesgotável")</f>
        <v/>
      </c>
      <c r="AS162" s="75" t="n">
        <v>168</v>
      </c>
      <c r="AT162" s="2">
        <f>Retailers_Cap!BL164</f>
        <v/>
      </c>
      <c r="AU162" s="2">
        <f>Retailers_Cap!BM164</f>
        <v/>
      </c>
      <c r="AV162" s="2">
        <f>Retailers_Cap!BN164</f>
        <v/>
      </c>
      <c r="AY162" s="75" t="n">
        <v>168</v>
      </c>
      <c r="AZ162" s="2">
        <f>IF(D162=0,"no repl",AB162-AT162)</f>
        <v/>
      </c>
      <c r="BA162" s="2">
        <f>IF(E162=0,"no repl",AC162-AU162)</f>
        <v/>
      </c>
      <c r="BB162" s="2">
        <f>IF(F162=0,"no repl",AD162-AV162)</f>
        <v/>
      </c>
    </row>
    <row r="163">
      <c r="C163" s="75" t="n">
        <v>169</v>
      </c>
      <c r="D163" s="11" t="n">
        <v>68798.3821704935</v>
      </c>
      <c r="E163" s="11" t="n">
        <v>0</v>
      </c>
      <c r="F163" s="11" t="n">
        <v>84668.80934326848</v>
      </c>
      <c r="I163" s="75" t="n">
        <v>169</v>
      </c>
      <c r="J163" s="11" t="n">
        <v>30128.56</v>
      </c>
      <c r="K163" s="11" t="n">
        <v>108525.11</v>
      </c>
      <c r="L163" s="11" t="n">
        <v>3225.8</v>
      </c>
      <c r="O163" s="75" t="n">
        <v>169</v>
      </c>
      <c r="P163" s="11" t="n">
        <v>38956.31994314417</v>
      </c>
      <c r="Q163" s="11" t="n">
        <v>30919.66247483377</v>
      </c>
      <c r="R163" s="11" t="n">
        <v>55954.91613508641</v>
      </c>
      <c r="U163" s="75" t="n">
        <v>169</v>
      </c>
      <c r="V163" s="3">
        <f>J163-P163+D163</f>
        <v/>
      </c>
      <c r="W163" s="3">
        <f>K163-Q163+E163</f>
        <v/>
      </c>
      <c r="X163" s="3">
        <f>L163-R163+F163</f>
        <v/>
      </c>
      <c r="AA163" s="75" t="n">
        <v>169</v>
      </c>
      <c r="AB163" s="2">
        <f>IF(Demand!AU182&gt;Retailers_Cap!N165,(V163/Retailers!P164)/(Demand!AU182-Retailers_Cap!N165),"Inesgotável")</f>
        <v/>
      </c>
      <c r="AC163" s="2">
        <f>IF(Demand!AV182&gt;Retailers_Cap!O165,(W163/Retailers!Q164)/(Demand!AV182-Retailers_Cap!O165),"Inesgotável")</f>
        <v/>
      </c>
      <c r="AD163" s="2">
        <f>IF(Demand!AW182&gt;Retailers_Cap!P165,(X163/Retailers!R164)/(Demand!AW182-Retailers_Cap!P165),"Inesgotável")</f>
        <v/>
      </c>
      <c r="AG163" s="75" t="n">
        <v>169</v>
      </c>
      <c r="AH163" s="75">
        <f>Retailers!AJ164</f>
        <v/>
      </c>
      <c r="AI163" s="75">
        <f>Retailers!AK164</f>
        <v/>
      </c>
      <c r="AJ163" s="75">
        <f>Retailers!AL164</f>
        <v/>
      </c>
      <c r="AM163" s="75" t="n">
        <v>169</v>
      </c>
      <c r="AN163" s="2">
        <f>IF(P163&gt;0,IF(D163=0,"Big stock",AB163/AH163),"Inesgotável")</f>
        <v/>
      </c>
      <c r="AO163" s="2">
        <f>IF(Q163&gt;0,IF(E163=0,"Big stock",AC163/AI163),"Inesgotável")</f>
        <v/>
      </c>
      <c r="AP163" s="2">
        <f>IF(R163&gt;0,IF(F163=0,"Big stock",AD163/AJ163),"Inesgotável")</f>
        <v/>
      </c>
      <c r="AS163" s="75" t="n">
        <v>169</v>
      </c>
      <c r="AT163" s="2">
        <f>Retailers_Cap!BL165</f>
        <v/>
      </c>
      <c r="AU163" s="2">
        <f>Retailers_Cap!BM165</f>
        <v/>
      </c>
      <c r="AV163" s="2">
        <f>Retailers_Cap!BN165</f>
        <v/>
      </c>
      <c r="AY163" s="75" t="n">
        <v>169</v>
      </c>
      <c r="AZ163" s="2">
        <f>IF(D163=0,"no repl",AB163-AT163)</f>
        <v/>
      </c>
      <c r="BA163" s="2">
        <f>IF(E163=0,"no repl",AC163-AU163)</f>
        <v/>
      </c>
      <c r="BB163" s="2">
        <f>IF(F163=0,"no repl",AD163-AV163)</f>
        <v/>
      </c>
    </row>
    <row r="164">
      <c r="C164" s="75" t="n">
        <v>170</v>
      </c>
      <c r="D164" s="11" t="n">
        <v>0</v>
      </c>
      <c r="E164" s="11" t="n">
        <v>0</v>
      </c>
      <c r="F164" s="11" t="n">
        <v>555181.449979863</v>
      </c>
      <c r="I164" s="75" t="n">
        <v>170</v>
      </c>
      <c r="J164" s="11" t="n">
        <v>33258.52</v>
      </c>
      <c r="K164" s="11" t="n">
        <v>122574.42</v>
      </c>
      <c r="L164" s="11" t="n">
        <v>37314.3</v>
      </c>
      <c r="O164" s="75" t="n">
        <v>170</v>
      </c>
      <c r="P164" s="11" t="n">
        <v>0</v>
      </c>
      <c r="Q164" s="11" t="n">
        <v>31021.78657540653</v>
      </c>
      <c r="R164" s="11" t="n">
        <v>316527.1892679149</v>
      </c>
      <c r="U164" s="75" t="n">
        <v>170</v>
      </c>
      <c r="V164" s="3">
        <f>J164-P164+D164</f>
        <v/>
      </c>
      <c r="W164" s="3">
        <f>K164-Q164+E164</f>
        <v/>
      </c>
      <c r="X164" s="3">
        <f>L164-R164+F164</f>
        <v/>
      </c>
      <c r="AA164" s="75" t="n">
        <v>170</v>
      </c>
      <c r="AB164" s="2">
        <f>IF(Demand!AU183&gt;Retailers_Cap!N166,(V164/Retailers!P165)/(Demand!AU183-Retailers_Cap!N166),"Inesgotável")</f>
        <v/>
      </c>
      <c r="AC164" s="2">
        <f>IF(Demand!AV183&gt;Retailers_Cap!O166,(W164/Retailers!Q165)/(Demand!AV183-Retailers_Cap!O166),"Inesgotável")</f>
        <v/>
      </c>
      <c r="AD164" s="2">
        <f>IF(Demand!AW183&gt;Retailers_Cap!P166,(X164/Retailers!R165)/(Demand!AW183-Retailers_Cap!P166),"Inesgotável")</f>
        <v/>
      </c>
      <c r="AG164" s="75" t="n">
        <v>170</v>
      </c>
      <c r="AH164" s="75">
        <f>Retailers!AJ165</f>
        <v/>
      </c>
      <c r="AI164" s="75">
        <f>Retailers!AK165</f>
        <v/>
      </c>
      <c r="AJ164" s="75">
        <f>Retailers!AL165</f>
        <v/>
      </c>
      <c r="AM164" s="75" t="n">
        <v>170</v>
      </c>
      <c r="AN164" s="2">
        <f>IF(P164&gt;0,IF(D164=0,"Big stock",AB164/AH164),"Inesgotável")</f>
        <v/>
      </c>
      <c r="AO164" s="2">
        <f>IF(Q164&gt;0,IF(E164=0,"Big stock",AC164/AI164),"Inesgotável")</f>
        <v/>
      </c>
      <c r="AP164" s="2">
        <f>IF(R164&gt;0,IF(F164=0,"Big stock",AD164/AJ164),"Inesgotável")</f>
        <v/>
      </c>
      <c r="AS164" s="75" t="n">
        <v>170</v>
      </c>
      <c r="AT164" s="2">
        <f>Retailers_Cap!BL166</f>
        <v/>
      </c>
      <c r="AU164" s="2">
        <f>Retailers_Cap!BM166</f>
        <v/>
      </c>
      <c r="AV164" s="2">
        <f>Retailers_Cap!BN166</f>
        <v/>
      </c>
      <c r="AY164" s="75" t="n">
        <v>170</v>
      </c>
      <c r="AZ164" s="2">
        <f>IF(D164=0,"no repl",AB164-AT164)</f>
        <v/>
      </c>
      <c r="BA164" s="2">
        <f>IF(E164=0,"no repl",AC164-AU164)</f>
        <v/>
      </c>
      <c r="BB164" s="2">
        <f>IF(F164=0,"no repl",AD164-AV164)</f>
        <v/>
      </c>
    </row>
    <row r="165">
      <c r="C165" s="75" t="n">
        <v>171</v>
      </c>
      <c r="D165" s="11" t="n">
        <v>197007.8086279865</v>
      </c>
      <c r="E165" s="11" t="n">
        <v>218125.0959856942</v>
      </c>
      <c r="F165" s="11" t="n">
        <v>0</v>
      </c>
      <c r="I165" s="75" t="n">
        <v>171</v>
      </c>
      <c r="J165" s="11" t="n">
        <v>9588.35</v>
      </c>
      <c r="K165" s="11" t="n">
        <v>35217.73</v>
      </c>
      <c r="L165" s="11" t="n">
        <v>31083.33</v>
      </c>
      <c r="O165" s="75" t="n">
        <v>171</v>
      </c>
      <c r="P165" s="11" t="n">
        <v>116017.9300272113</v>
      </c>
      <c r="Q165" s="11" t="n">
        <v>129704.1413840052</v>
      </c>
      <c r="R165" s="11" t="n">
        <v>0</v>
      </c>
      <c r="U165" s="75" t="n">
        <v>171</v>
      </c>
      <c r="V165" s="3">
        <f>J165-P165+D165</f>
        <v/>
      </c>
      <c r="W165" s="3">
        <f>K165-Q165+E165</f>
        <v/>
      </c>
      <c r="X165" s="3">
        <f>L165-R165+F165</f>
        <v/>
      </c>
      <c r="AA165" s="75" t="n">
        <v>171</v>
      </c>
      <c r="AB165" s="2">
        <f>IF(Demand!AU184&gt;Retailers_Cap!N167,(V165/Retailers!P166)/(Demand!AU184-Retailers_Cap!N167),"Inesgotável")</f>
        <v/>
      </c>
      <c r="AC165" s="2">
        <f>IF(Demand!AV184&gt;Retailers_Cap!O167,(W165/Retailers!Q166)/(Demand!AV184-Retailers_Cap!O167),"Inesgotável")</f>
        <v/>
      </c>
      <c r="AD165" s="2">
        <f>IF(Demand!AW184&gt;Retailers_Cap!P167,(X165/Retailers!R166)/(Demand!AW184-Retailers_Cap!P167),"Inesgotável")</f>
        <v/>
      </c>
      <c r="AG165" s="75" t="n">
        <v>171</v>
      </c>
      <c r="AH165" s="75">
        <f>Retailers!AJ166</f>
        <v/>
      </c>
      <c r="AI165" s="75">
        <f>Retailers!AK166</f>
        <v/>
      </c>
      <c r="AJ165" s="75">
        <f>Retailers!AL166</f>
        <v/>
      </c>
      <c r="AM165" s="75" t="n">
        <v>171</v>
      </c>
      <c r="AN165" s="2">
        <f>IF(P165&gt;0,IF(D165=0,"Big stock",AB165/AH165),"Inesgotável")</f>
        <v/>
      </c>
      <c r="AO165" s="2">
        <f>IF(Q165&gt;0,IF(E165=0,"Big stock",AC165/AI165),"Inesgotável")</f>
        <v/>
      </c>
      <c r="AP165" s="2">
        <f>IF(R165&gt;0,IF(F165=0,"Big stock",AD165/AJ165),"Inesgotável")</f>
        <v/>
      </c>
      <c r="AS165" s="75" t="n">
        <v>171</v>
      </c>
      <c r="AT165" s="2">
        <f>Retailers_Cap!BL167</f>
        <v/>
      </c>
      <c r="AU165" s="2">
        <f>Retailers_Cap!BM167</f>
        <v/>
      </c>
      <c r="AV165" s="2">
        <f>Retailers_Cap!BN167</f>
        <v/>
      </c>
      <c r="AY165" s="75" t="n">
        <v>171</v>
      </c>
      <c r="AZ165" s="2">
        <f>IF(D165=0,"no repl",AB165-AT165)</f>
        <v/>
      </c>
      <c r="BA165" s="2">
        <f>IF(E165=0,"no repl",AC165-AU165)</f>
        <v/>
      </c>
      <c r="BB165" s="2">
        <f>IF(F165=0,"no repl",AD165-AV165)</f>
        <v/>
      </c>
    </row>
    <row r="166">
      <c r="C166" s="75" t="n">
        <v>172</v>
      </c>
      <c r="D166" s="11" t="n">
        <v>0</v>
      </c>
      <c r="E166" s="11" t="n">
        <v>186099.153133331</v>
      </c>
      <c r="F166" s="11" t="n">
        <v>0</v>
      </c>
      <c r="I166" s="75" t="n">
        <v>172</v>
      </c>
      <c r="J166" s="11" t="n">
        <v>21789.15</v>
      </c>
      <c r="K166" s="11" t="n">
        <v>142204.42</v>
      </c>
      <c r="L166" s="11" t="n">
        <v>37045.9</v>
      </c>
      <c r="O166" s="75" t="n">
        <v>172</v>
      </c>
      <c r="P166" s="11" t="n">
        <v>0</v>
      </c>
      <c r="Q166" s="11" t="n">
        <v>120208.1086302742</v>
      </c>
      <c r="R166" s="11" t="n">
        <v>0</v>
      </c>
      <c r="U166" s="75" t="n">
        <v>172</v>
      </c>
      <c r="V166" s="3">
        <f>J166-P166+D166</f>
        <v/>
      </c>
      <c r="W166" s="3">
        <f>K166-Q166+E166</f>
        <v/>
      </c>
      <c r="X166" s="3">
        <f>L166-R166+F166</f>
        <v/>
      </c>
      <c r="AA166" s="75" t="n">
        <v>172</v>
      </c>
      <c r="AB166" s="2">
        <f>IF(Demand!AU185&gt;Retailers_Cap!N168,(V166/Retailers!P167)/(Demand!AU185-Retailers_Cap!N168),"Inesgotável")</f>
        <v/>
      </c>
      <c r="AC166" s="2">
        <f>IF(Demand!AV185&gt;Retailers_Cap!O168,(W166/Retailers!Q167)/(Demand!AV185-Retailers_Cap!O168),"Inesgotável")</f>
        <v/>
      </c>
      <c r="AD166" s="2">
        <f>IF(Demand!AW185&gt;Retailers_Cap!P168,(X166/Retailers!R167)/(Demand!AW185-Retailers_Cap!P168),"Inesgotável")</f>
        <v/>
      </c>
      <c r="AG166" s="75" t="n">
        <v>172</v>
      </c>
      <c r="AH166" s="75">
        <f>Retailers!AJ167</f>
        <v/>
      </c>
      <c r="AI166" s="75">
        <f>Retailers!AK167</f>
        <v/>
      </c>
      <c r="AJ166" s="75">
        <f>Retailers!AL167</f>
        <v/>
      </c>
      <c r="AM166" s="75" t="n">
        <v>172</v>
      </c>
      <c r="AN166" s="2">
        <f>IF(P166&gt;0,IF(D166=0,"Big stock",AB166/AH166),"Inesgotável")</f>
        <v/>
      </c>
      <c r="AO166" s="2">
        <f>IF(Q166&gt;0,IF(E166=0,"Big stock",AC166/AI166),"Inesgotável")</f>
        <v/>
      </c>
      <c r="AP166" s="2">
        <f>IF(R166&gt;0,IF(F166=0,"Big stock",AD166/AJ166),"Inesgotável")</f>
        <v/>
      </c>
      <c r="AS166" s="75" t="n">
        <v>172</v>
      </c>
      <c r="AT166" s="2">
        <f>Retailers_Cap!BL168</f>
        <v/>
      </c>
      <c r="AU166" s="2">
        <f>Retailers_Cap!BM168</f>
        <v/>
      </c>
      <c r="AV166" s="2">
        <f>Retailers_Cap!BN168</f>
        <v/>
      </c>
      <c r="AY166" s="75" t="n">
        <v>172</v>
      </c>
      <c r="AZ166" s="2">
        <f>IF(D166=0,"no repl",AB166-AT166)</f>
        <v/>
      </c>
      <c r="BA166" s="2">
        <f>IF(E166=0,"no repl",AC166-AU166)</f>
        <v/>
      </c>
      <c r="BB166" s="2">
        <f>IF(F166=0,"no repl",AD166-AV166)</f>
        <v/>
      </c>
    </row>
    <row r="167">
      <c r="C167" s="75" t="n">
        <v>173</v>
      </c>
      <c r="D167" s="11" t="n">
        <v>25636.68129207863</v>
      </c>
      <c r="E167" s="11" t="n">
        <v>0</v>
      </c>
      <c r="F167" s="11" t="n">
        <v>0</v>
      </c>
      <c r="I167" s="75" t="n">
        <v>173</v>
      </c>
      <c r="J167" s="11" t="n">
        <v>25332.48</v>
      </c>
      <c r="K167" s="11" t="n">
        <v>19036.92</v>
      </c>
      <c r="L167" s="11" t="n">
        <v>32938.1</v>
      </c>
      <c r="O167" s="75" t="n">
        <v>173</v>
      </c>
      <c r="P167" s="11" t="n">
        <v>14291.25434178982</v>
      </c>
      <c r="Q167" s="11" t="n">
        <v>0</v>
      </c>
      <c r="R167" s="11" t="n">
        <v>0</v>
      </c>
      <c r="U167" s="75" t="n">
        <v>173</v>
      </c>
      <c r="V167" s="3">
        <f>J167-P167+D167</f>
        <v/>
      </c>
      <c r="W167" s="3">
        <f>K167-Q167+E167</f>
        <v/>
      </c>
      <c r="X167" s="3">
        <f>L167-R167+F167</f>
        <v/>
      </c>
      <c r="AA167" s="75" t="n">
        <v>173</v>
      </c>
      <c r="AB167" s="2">
        <f>IF(Demand!AU186&gt;Retailers_Cap!N169,(V167/Retailers!P168)/(Demand!AU186-Retailers_Cap!N169),"Inesgotável")</f>
        <v/>
      </c>
      <c r="AC167" s="2">
        <f>IF(Demand!AV186&gt;Retailers_Cap!O169,(W167/Retailers!Q168)/(Demand!AV186-Retailers_Cap!O169),"Inesgotável")</f>
        <v/>
      </c>
      <c r="AD167" s="2">
        <f>IF(Demand!AW186&gt;Retailers_Cap!P169,(X167/Retailers!R168)/(Demand!AW186-Retailers_Cap!P169),"Inesgotável")</f>
        <v/>
      </c>
      <c r="AG167" s="75" t="n">
        <v>173</v>
      </c>
      <c r="AH167" s="75">
        <f>Retailers!AJ168</f>
        <v/>
      </c>
      <c r="AI167" s="75">
        <f>Retailers!AK168</f>
        <v/>
      </c>
      <c r="AJ167" s="75">
        <f>Retailers!AL168</f>
        <v/>
      </c>
      <c r="AM167" s="75" t="n">
        <v>173</v>
      </c>
      <c r="AN167" s="2">
        <f>IF(P167&gt;0,IF(D167=0,"Big stock",AB167/AH167),"Inesgotável")</f>
        <v/>
      </c>
      <c r="AO167" s="2">
        <f>IF(Q167&gt;0,IF(E167=0,"Big stock",AC167/AI167),"Inesgotável")</f>
        <v/>
      </c>
      <c r="AP167" s="2">
        <f>IF(R167&gt;0,IF(F167=0,"Big stock",AD167/AJ167),"Inesgotável")</f>
        <v/>
      </c>
      <c r="AS167" s="75" t="n">
        <v>173</v>
      </c>
      <c r="AT167" s="2">
        <f>Retailers_Cap!BL169</f>
        <v/>
      </c>
      <c r="AU167" s="2">
        <f>Retailers_Cap!BM169</f>
        <v/>
      </c>
      <c r="AV167" s="2">
        <f>Retailers_Cap!BN169</f>
        <v/>
      </c>
      <c r="AY167" s="75" t="n">
        <v>173</v>
      </c>
      <c r="AZ167" s="2">
        <f>IF(D167=0,"no repl",AB167-AT167)</f>
        <v/>
      </c>
      <c r="BA167" s="2">
        <f>IF(E167=0,"no repl",AC167-AU167)</f>
        <v/>
      </c>
      <c r="BB167" s="2">
        <f>IF(F167=0,"no repl",AD167-AV167)</f>
        <v/>
      </c>
    </row>
    <row r="168">
      <c r="C168" s="75" t="n">
        <v>174</v>
      </c>
      <c r="D168" s="11" t="n">
        <v>0</v>
      </c>
      <c r="E168" s="11" t="n">
        <v>0</v>
      </c>
      <c r="F168" s="11" t="n">
        <v>0</v>
      </c>
      <c r="I168" s="75" t="n">
        <v>174</v>
      </c>
      <c r="J168" s="11" t="n">
        <v>33790.5</v>
      </c>
      <c r="K168" s="11" t="n">
        <v>129931.76</v>
      </c>
      <c r="L168" s="11" t="n">
        <v>75309.78</v>
      </c>
      <c r="O168" s="75" t="n">
        <v>174</v>
      </c>
      <c r="P168" s="11" t="n">
        <v>0</v>
      </c>
      <c r="Q168" s="11" t="n">
        <v>0</v>
      </c>
      <c r="R168" s="11" t="n">
        <v>0</v>
      </c>
      <c r="U168" s="75" t="n">
        <v>174</v>
      </c>
      <c r="V168" s="3">
        <f>J168-P168+D168</f>
        <v/>
      </c>
      <c r="W168" s="3">
        <f>K168-Q168+E168</f>
        <v/>
      </c>
      <c r="X168" s="3">
        <f>L168-R168+F168</f>
        <v/>
      </c>
      <c r="AA168" s="75" t="n">
        <v>174</v>
      </c>
      <c r="AB168" s="2">
        <f>IF(Demand!AU187&gt;Retailers_Cap!N170,(V168/Retailers!P169)/(Demand!AU187-Retailers_Cap!N170),"Inesgotável")</f>
        <v/>
      </c>
      <c r="AC168" s="2">
        <f>IF(Demand!AV187&gt;Retailers_Cap!O170,(W168/Retailers!Q169)/(Demand!AV187-Retailers_Cap!O170),"Inesgotável")</f>
        <v/>
      </c>
      <c r="AD168" s="2">
        <f>IF(Demand!AW187&gt;Retailers_Cap!P170,(X168/Retailers!R169)/(Demand!AW187-Retailers_Cap!P170),"Inesgotável")</f>
        <v/>
      </c>
      <c r="AG168" s="75" t="n">
        <v>174</v>
      </c>
      <c r="AH168" s="75">
        <f>Retailers!AJ169</f>
        <v/>
      </c>
      <c r="AI168" s="75">
        <f>Retailers!AK169</f>
        <v/>
      </c>
      <c r="AJ168" s="75">
        <f>Retailers!AL169</f>
        <v/>
      </c>
      <c r="AM168" s="75" t="n">
        <v>174</v>
      </c>
      <c r="AN168" s="2">
        <f>IF(P168&gt;0,IF(D168=0,"Big stock",AB168/AH168),"Inesgotável")</f>
        <v/>
      </c>
      <c r="AO168" s="2">
        <f>IF(Q168&gt;0,IF(E168=0,"Big stock",AC168/AI168),"Inesgotável")</f>
        <v/>
      </c>
      <c r="AP168" s="2">
        <f>IF(R168&gt;0,IF(F168=0,"Big stock",AD168/AJ168),"Inesgotável")</f>
        <v/>
      </c>
      <c r="AS168" s="75" t="n">
        <v>174</v>
      </c>
      <c r="AT168" s="2">
        <f>Retailers_Cap!BL170</f>
        <v/>
      </c>
      <c r="AU168" s="2">
        <f>Retailers_Cap!BM170</f>
        <v/>
      </c>
      <c r="AV168" s="2">
        <f>Retailers_Cap!BN170</f>
        <v/>
      </c>
      <c r="AY168" s="75" t="n">
        <v>174</v>
      </c>
      <c r="AZ168" s="2">
        <f>IF(D168=0,"no repl",AB168-AT168)</f>
        <v/>
      </c>
      <c r="BA168" s="2">
        <f>IF(E168=0,"no repl",AC168-AU168)</f>
        <v/>
      </c>
      <c r="BB168" s="2">
        <f>IF(F168=0,"no repl",AD168-AV168)</f>
        <v/>
      </c>
    </row>
    <row r="169">
      <c r="C169" s="75" t="n">
        <v>175</v>
      </c>
      <c r="D169" s="11" t="n">
        <v>0</v>
      </c>
      <c r="E169" s="11" t="n">
        <v>0</v>
      </c>
      <c r="F169" s="11" t="n">
        <v>0</v>
      </c>
      <c r="I169" s="75" t="n">
        <v>175</v>
      </c>
      <c r="J169" s="11" t="n">
        <v>77188.49000000001</v>
      </c>
      <c r="K169" s="11" t="n">
        <v>13846.84</v>
      </c>
      <c r="L169" s="11" t="n">
        <v>75925.44</v>
      </c>
      <c r="O169" s="75" t="n">
        <v>175</v>
      </c>
      <c r="P169" s="11" t="n">
        <v>0</v>
      </c>
      <c r="Q169" s="11" t="n">
        <v>0</v>
      </c>
      <c r="R169" s="11" t="n">
        <v>0</v>
      </c>
      <c r="U169" s="75" t="n">
        <v>175</v>
      </c>
      <c r="V169" s="3">
        <f>J169-P169+D169</f>
        <v/>
      </c>
      <c r="W169" s="3">
        <f>K169-Q169+E169</f>
        <v/>
      </c>
      <c r="X169" s="3">
        <f>L169-R169+F169</f>
        <v/>
      </c>
      <c r="AA169" s="75" t="n">
        <v>175</v>
      </c>
      <c r="AB169" s="2">
        <f>IF(Demand!AU188&gt;Retailers_Cap!N171,(V169/Retailers!P170)/(Demand!AU188-Retailers_Cap!N171),"Inesgotável")</f>
        <v/>
      </c>
      <c r="AC169" s="2">
        <f>IF(Demand!AV188&gt;Retailers_Cap!O171,(W169/Retailers!Q170)/(Demand!AV188-Retailers_Cap!O171),"Inesgotável")</f>
        <v/>
      </c>
      <c r="AD169" s="2">
        <f>IF(Demand!AW188&gt;Retailers_Cap!P171,(X169/Retailers!R170)/(Demand!AW188-Retailers_Cap!P171),"Inesgotável")</f>
        <v/>
      </c>
      <c r="AG169" s="75" t="n">
        <v>175</v>
      </c>
      <c r="AH169" s="75">
        <f>Retailers!AJ170</f>
        <v/>
      </c>
      <c r="AI169" s="75">
        <f>Retailers!AK170</f>
        <v/>
      </c>
      <c r="AJ169" s="75">
        <f>Retailers!AL170</f>
        <v/>
      </c>
      <c r="AM169" s="75" t="n">
        <v>175</v>
      </c>
      <c r="AN169" s="2">
        <f>IF(P169&gt;0,IF(D169=0,"Big stock",AB169/AH169),"Inesgotável")</f>
        <v/>
      </c>
      <c r="AO169" s="2">
        <f>IF(Q169&gt;0,IF(E169=0,"Big stock",AC169/AI169),"Inesgotável")</f>
        <v/>
      </c>
      <c r="AP169" s="2">
        <f>IF(R169&gt;0,IF(F169=0,"Big stock",AD169/AJ169),"Inesgotável")</f>
        <v/>
      </c>
      <c r="AS169" s="75" t="n">
        <v>175</v>
      </c>
      <c r="AT169" s="2">
        <f>Retailers_Cap!BL171</f>
        <v/>
      </c>
      <c r="AU169" s="2">
        <f>Retailers_Cap!BM171</f>
        <v/>
      </c>
      <c r="AV169" s="2">
        <f>Retailers_Cap!BN171</f>
        <v/>
      </c>
      <c r="AY169" s="75" t="n">
        <v>175</v>
      </c>
      <c r="AZ169" s="2">
        <f>IF(D169=0,"no repl",AB169-AT169)</f>
        <v/>
      </c>
      <c r="BA169" s="2">
        <f>IF(E169=0,"no repl",AC169-AU169)</f>
        <v/>
      </c>
      <c r="BB169" s="2">
        <f>IF(F169=0,"no repl",AD169-AV169)</f>
        <v/>
      </c>
    </row>
    <row r="170">
      <c r="C170" s="75" t="n">
        <v>176</v>
      </c>
      <c r="D170" s="11" t="n">
        <v>421698.258721914</v>
      </c>
      <c r="E170" s="11" t="n">
        <v>516784.937672039</v>
      </c>
      <c r="F170" s="11" t="n">
        <v>124430.7208599873</v>
      </c>
      <c r="I170" s="75" t="n">
        <v>176</v>
      </c>
      <c r="J170" s="11" t="n">
        <v>35823.34</v>
      </c>
      <c r="K170" s="11" t="n">
        <v>62910.18</v>
      </c>
      <c r="L170" s="11" t="n">
        <v>30201.25</v>
      </c>
      <c r="O170" s="75" t="n">
        <v>176</v>
      </c>
      <c r="P170" s="11" t="n">
        <v>253314.2245783292</v>
      </c>
      <c r="Q170" s="11" t="n">
        <v>314537.9410209571</v>
      </c>
      <c r="R170" s="11" t="n">
        <v>75017.17585267121</v>
      </c>
      <c r="U170" s="75" t="n">
        <v>176</v>
      </c>
      <c r="V170" s="3">
        <f>J170-P170+D170</f>
        <v/>
      </c>
      <c r="W170" s="3">
        <f>K170-Q170+E170</f>
        <v/>
      </c>
      <c r="X170" s="3">
        <f>L170-R170+F170</f>
        <v/>
      </c>
      <c r="AA170" s="75" t="n">
        <v>176</v>
      </c>
      <c r="AB170" s="2">
        <f>IF(Demand!AU189&gt;Retailers_Cap!N172,(V170/Retailers!P171)/(Demand!AU189-Retailers_Cap!N172),"Inesgotável")</f>
        <v/>
      </c>
      <c r="AC170" s="2">
        <f>IF(Demand!AV189&gt;Retailers_Cap!O172,(W170/Retailers!Q171)/(Demand!AV189-Retailers_Cap!O172),"Inesgotável")</f>
        <v/>
      </c>
      <c r="AD170" s="2">
        <f>IF(Demand!AW189&gt;Retailers_Cap!P172,(X170/Retailers!R171)/(Demand!AW189-Retailers_Cap!P172),"Inesgotável")</f>
        <v/>
      </c>
      <c r="AG170" s="75" t="n">
        <v>176</v>
      </c>
      <c r="AH170" s="75">
        <f>Retailers!AJ171</f>
        <v/>
      </c>
      <c r="AI170" s="75">
        <f>Retailers!AK171</f>
        <v/>
      </c>
      <c r="AJ170" s="75">
        <f>Retailers!AL171</f>
        <v/>
      </c>
      <c r="AM170" s="75" t="n">
        <v>176</v>
      </c>
      <c r="AN170" s="2">
        <f>IF(P170&gt;0,IF(D170=0,"Big stock",AB170/AH170),"Inesgotável")</f>
        <v/>
      </c>
      <c r="AO170" s="2">
        <f>IF(Q170&gt;0,IF(E170=0,"Big stock",AC170/AI170),"Inesgotável")</f>
        <v/>
      </c>
      <c r="AP170" s="2">
        <f>IF(R170&gt;0,IF(F170=0,"Big stock",AD170/AJ170),"Inesgotável")</f>
        <v/>
      </c>
      <c r="AS170" s="75" t="n">
        <v>176</v>
      </c>
      <c r="AT170" s="2">
        <f>Retailers_Cap!BL172</f>
        <v/>
      </c>
      <c r="AU170" s="2">
        <f>Retailers_Cap!BM172</f>
        <v/>
      </c>
      <c r="AV170" s="2">
        <f>Retailers_Cap!BN172</f>
        <v/>
      </c>
      <c r="AY170" s="75" t="n">
        <v>176</v>
      </c>
      <c r="AZ170" s="2">
        <f>IF(D170=0,"no repl",AB170-AT170)</f>
        <v/>
      </c>
      <c r="BA170" s="2">
        <f>IF(E170=0,"no repl",AC170-AU170)</f>
        <v/>
      </c>
      <c r="BB170" s="2">
        <f>IF(F170=0,"no repl",AD170-AV170)</f>
        <v/>
      </c>
    </row>
    <row r="171">
      <c r="C171" s="75" t="n">
        <v>177</v>
      </c>
      <c r="D171" s="11" t="n">
        <v>0</v>
      </c>
      <c r="E171" s="11" t="n">
        <v>183176.6058384517</v>
      </c>
      <c r="F171" s="11" t="n">
        <v>0</v>
      </c>
      <c r="I171" s="75" t="n">
        <v>177</v>
      </c>
      <c r="J171" s="11" t="n">
        <v>15426.67</v>
      </c>
      <c r="K171" s="11" t="n">
        <v>88566.32000000001</v>
      </c>
      <c r="L171" s="11" t="n">
        <v>70299.08</v>
      </c>
      <c r="O171" s="75" t="n">
        <v>177</v>
      </c>
      <c r="P171" s="11" t="n">
        <v>0</v>
      </c>
      <c r="Q171" s="11" t="n">
        <v>118120.5260807803</v>
      </c>
      <c r="R171" s="11" t="n">
        <v>0</v>
      </c>
      <c r="U171" s="75" t="n">
        <v>177</v>
      </c>
      <c r="V171" s="3">
        <f>J171-P171+D171</f>
        <v/>
      </c>
      <c r="W171" s="3">
        <f>K171-Q171+E171</f>
        <v/>
      </c>
      <c r="X171" s="3">
        <f>L171-R171+F171</f>
        <v/>
      </c>
      <c r="AA171" s="75" t="n">
        <v>177</v>
      </c>
      <c r="AB171" s="2">
        <f>IF(Demand!AU190&gt;Retailers_Cap!N173,(V171/Retailers!P172)/(Demand!AU190-Retailers_Cap!N173),"Inesgotável")</f>
        <v/>
      </c>
      <c r="AC171" s="2">
        <f>IF(Demand!AV190&gt;Retailers_Cap!O173,(W171/Retailers!Q172)/(Demand!AV190-Retailers_Cap!O173),"Inesgotável")</f>
        <v/>
      </c>
      <c r="AD171" s="2">
        <f>IF(Demand!AW190&gt;Retailers_Cap!P173,(X171/Retailers!R172)/(Demand!AW190-Retailers_Cap!P173),"Inesgotável")</f>
        <v/>
      </c>
      <c r="AG171" s="75" t="n">
        <v>177</v>
      </c>
      <c r="AH171" s="75">
        <f>Retailers!AJ172</f>
        <v/>
      </c>
      <c r="AI171" s="75">
        <f>Retailers!AK172</f>
        <v/>
      </c>
      <c r="AJ171" s="75">
        <f>Retailers!AL172</f>
        <v/>
      </c>
      <c r="AM171" s="75" t="n">
        <v>177</v>
      </c>
      <c r="AN171" s="2">
        <f>IF(P171&gt;0,IF(D171=0,"Big stock",AB171/AH171),"Inesgotável")</f>
        <v/>
      </c>
      <c r="AO171" s="2">
        <f>IF(Q171&gt;0,IF(E171=0,"Big stock",AC171/AI171),"Inesgotável")</f>
        <v/>
      </c>
      <c r="AP171" s="2">
        <f>IF(R171&gt;0,IF(F171=0,"Big stock",AD171/AJ171),"Inesgotável")</f>
        <v/>
      </c>
      <c r="AS171" s="75" t="n">
        <v>177</v>
      </c>
      <c r="AT171" s="2">
        <f>Retailers_Cap!BL173</f>
        <v/>
      </c>
      <c r="AU171" s="2">
        <f>Retailers_Cap!BM173</f>
        <v/>
      </c>
      <c r="AV171" s="2">
        <f>Retailers_Cap!BN173</f>
        <v/>
      </c>
      <c r="AY171" s="75" t="n">
        <v>177</v>
      </c>
      <c r="AZ171" s="2">
        <f>IF(D171=0,"no repl",AB171-AT171)</f>
        <v/>
      </c>
      <c r="BA171" s="2">
        <f>IF(E171=0,"no repl",AC171-AU171)</f>
        <v/>
      </c>
      <c r="BB171" s="2">
        <f>IF(F171=0,"no repl",AD171-AV171)</f>
        <v/>
      </c>
    </row>
    <row r="172">
      <c r="C172" s="75" t="n">
        <v>178</v>
      </c>
      <c r="D172" s="11" t="n">
        <v>0</v>
      </c>
      <c r="E172" s="11" t="n">
        <v>52260.15038711955</v>
      </c>
      <c r="F172" s="11" t="n">
        <v>72548.80479396379</v>
      </c>
      <c r="I172" s="75" t="n">
        <v>178</v>
      </c>
      <c r="J172" s="11" t="n">
        <v>13767.12</v>
      </c>
      <c r="K172" s="11" t="n">
        <v>10061.07</v>
      </c>
      <c r="L172" s="11" t="n">
        <v>41177.75999999999</v>
      </c>
      <c r="O172" s="75" t="n">
        <v>178</v>
      </c>
      <c r="P172" s="11" t="n">
        <v>0</v>
      </c>
      <c r="Q172" s="11" t="n">
        <v>30899.5704606153</v>
      </c>
      <c r="R172" s="11" t="n">
        <v>43930.45882293362</v>
      </c>
      <c r="U172" s="75" t="n">
        <v>178</v>
      </c>
      <c r="V172" s="3">
        <f>J172-P172+D172</f>
        <v/>
      </c>
      <c r="W172" s="3">
        <f>K172-Q172+E172</f>
        <v/>
      </c>
      <c r="X172" s="3">
        <f>L172-R172+F172</f>
        <v/>
      </c>
      <c r="AA172" s="75" t="n">
        <v>178</v>
      </c>
      <c r="AB172" s="2">
        <f>IF(Demand!AU191&gt;Retailers_Cap!N174,(V172/Retailers!P173)/(Demand!AU191-Retailers_Cap!N174),"Inesgotável")</f>
        <v/>
      </c>
      <c r="AC172" s="2">
        <f>IF(Demand!AV191&gt;Retailers_Cap!O174,(W172/Retailers!Q173)/(Demand!AV191-Retailers_Cap!O174),"Inesgotável")</f>
        <v/>
      </c>
      <c r="AD172" s="2">
        <f>IF(Demand!AW191&gt;Retailers_Cap!P174,(X172/Retailers!R173)/(Demand!AW191-Retailers_Cap!P174),"Inesgotável")</f>
        <v/>
      </c>
      <c r="AG172" s="75" t="n">
        <v>178</v>
      </c>
      <c r="AH172" s="75">
        <f>Retailers!AJ173</f>
        <v/>
      </c>
      <c r="AI172" s="75">
        <f>Retailers!AK173</f>
        <v/>
      </c>
      <c r="AJ172" s="75">
        <f>Retailers!AL173</f>
        <v/>
      </c>
      <c r="AM172" s="75" t="n">
        <v>178</v>
      </c>
      <c r="AN172" s="2">
        <f>IF(P172&gt;0,IF(D172=0,"Big stock",AB172/AH172),"Inesgotável")</f>
        <v/>
      </c>
      <c r="AO172" s="2">
        <f>IF(Q172&gt;0,IF(E172=0,"Big stock",AC172/AI172),"Inesgotável")</f>
        <v/>
      </c>
      <c r="AP172" s="2">
        <f>IF(R172&gt;0,IF(F172=0,"Big stock",AD172/AJ172),"Inesgotável")</f>
        <v/>
      </c>
      <c r="AS172" s="75" t="n">
        <v>178</v>
      </c>
      <c r="AT172" s="2">
        <f>Retailers_Cap!BL174</f>
        <v/>
      </c>
      <c r="AU172" s="2">
        <f>Retailers_Cap!BM174</f>
        <v/>
      </c>
      <c r="AV172" s="2">
        <f>Retailers_Cap!BN174</f>
        <v/>
      </c>
      <c r="AY172" s="75" t="n">
        <v>178</v>
      </c>
      <c r="AZ172" s="2">
        <f>IF(D172=0,"no repl",AB172-AT172)</f>
        <v/>
      </c>
      <c r="BA172" s="2">
        <f>IF(E172=0,"no repl",AC172-AU172)</f>
        <v/>
      </c>
      <c r="BB172" s="2">
        <f>IF(F172=0,"no repl",AD172-AV172)</f>
        <v/>
      </c>
    </row>
    <row r="173">
      <c r="C173" s="75" t="n">
        <v>179</v>
      </c>
      <c r="D173" s="11" t="n">
        <v>0</v>
      </c>
      <c r="E173" s="11" t="n">
        <v>0</v>
      </c>
      <c r="F173" s="11" t="n">
        <v>0</v>
      </c>
      <c r="I173" s="75" t="n">
        <v>179</v>
      </c>
      <c r="J173" s="11" t="n">
        <v>9520.84</v>
      </c>
      <c r="K173" s="11" t="n">
        <v>20936.24</v>
      </c>
      <c r="L173" s="11" t="n">
        <v>50884.55</v>
      </c>
      <c r="O173" s="75" t="n">
        <v>179</v>
      </c>
      <c r="P173" s="11" t="n">
        <v>0</v>
      </c>
      <c r="Q173" s="11" t="n">
        <v>0</v>
      </c>
      <c r="R173" s="11" t="n">
        <v>0</v>
      </c>
      <c r="U173" s="75" t="n">
        <v>179</v>
      </c>
      <c r="V173" s="3">
        <f>J173-P173+D173</f>
        <v/>
      </c>
      <c r="W173" s="3">
        <f>K173-Q173+E173</f>
        <v/>
      </c>
      <c r="X173" s="3">
        <f>L173-R173+F173</f>
        <v/>
      </c>
      <c r="AA173" s="75" t="n">
        <v>179</v>
      </c>
      <c r="AB173" s="2">
        <f>IF(Demand!AU192&gt;Retailers_Cap!N175,(V173/Retailers!P174)/(Demand!AU192-Retailers_Cap!N175),"Inesgotável")</f>
        <v/>
      </c>
      <c r="AC173" s="2">
        <f>IF(Demand!AV192&gt;Retailers_Cap!O175,(W173/Retailers!Q174)/(Demand!AV192-Retailers_Cap!O175),"Inesgotável")</f>
        <v/>
      </c>
      <c r="AD173" s="2">
        <f>IF(Demand!AW192&gt;Retailers_Cap!P175,(X173/Retailers!R174)/(Demand!AW192-Retailers_Cap!P175),"Inesgotável")</f>
        <v/>
      </c>
      <c r="AG173" s="75" t="n">
        <v>179</v>
      </c>
      <c r="AH173" s="75">
        <f>Retailers!AJ174</f>
        <v/>
      </c>
      <c r="AI173" s="75">
        <f>Retailers!AK174</f>
        <v/>
      </c>
      <c r="AJ173" s="75">
        <f>Retailers!AL174</f>
        <v/>
      </c>
      <c r="AM173" s="75" t="n">
        <v>179</v>
      </c>
      <c r="AN173" s="2">
        <f>IF(P173&gt;0,IF(D173=0,"Big stock",AB173/AH173),"Inesgotável")</f>
        <v/>
      </c>
      <c r="AO173" s="2">
        <f>IF(Q173&gt;0,IF(E173=0,"Big stock",AC173/AI173),"Inesgotável")</f>
        <v/>
      </c>
      <c r="AP173" s="2">
        <f>IF(R173&gt;0,IF(F173=0,"Big stock",AD173/AJ173),"Inesgotável")</f>
        <v/>
      </c>
      <c r="AS173" s="75" t="n">
        <v>179</v>
      </c>
      <c r="AT173" s="2">
        <f>Retailers_Cap!BL175</f>
        <v/>
      </c>
      <c r="AU173" s="2">
        <f>Retailers_Cap!BM175</f>
        <v/>
      </c>
      <c r="AV173" s="2">
        <f>Retailers_Cap!BN175</f>
        <v/>
      </c>
      <c r="AY173" s="75" t="n">
        <v>179</v>
      </c>
      <c r="AZ173" s="2">
        <f>IF(D173=0,"no repl",AB173-AT173)</f>
        <v/>
      </c>
      <c r="BA173" s="2">
        <f>IF(E173=0,"no repl",AC173-AU173)</f>
        <v/>
      </c>
      <c r="BB173" s="2">
        <f>IF(F173=0,"no repl",AD173-AV173)</f>
        <v/>
      </c>
    </row>
    <row r="174">
      <c r="C174" s="75" t="n">
        <v>180</v>
      </c>
      <c r="D174" s="11" t="n">
        <v>0</v>
      </c>
      <c r="E174" s="11" t="n">
        <v>167752.4899910302</v>
      </c>
      <c r="F174" s="11" t="n">
        <v>75289.98077138084</v>
      </c>
      <c r="I174" s="75" t="n">
        <v>180</v>
      </c>
      <c r="J174" s="11" t="n">
        <v>40566.2</v>
      </c>
      <c r="K174" s="11" t="n">
        <v>83618.42999999999</v>
      </c>
      <c r="L174" s="11" t="n">
        <v>44931.68</v>
      </c>
      <c r="O174" s="75" t="n">
        <v>180</v>
      </c>
      <c r="P174" s="11" t="n">
        <v>0</v>
      </c>
      <c r="Q174" s="11" t="n">
        <v>99512.46481000719</v>
      </c>
      <c r="R174" s="11" t="n">
        <v>45562.82214793078</v>
      </c>
      <c r="U174" s="75" t="n">
        <v>180</v>
      </c>
      <c r="V174" s="3">
        <f>J174-P174+D174</f>
        <v/>
      </c>
      <c r="W174" s="3">
        <f>K174-Q174+E174</f>
        <v/>
      </c>
      <c r="X174" s="3">
        <f>L174-R174+F174</f>
        <v/>
      </c>
      <c r="AA174" s="75" t="n">
        <v>180</v>
      </c>
      <c r="AB174" s="2">
        <f>IF(Demand!AU193&gt;Retailers_Cap!N176,(V174/Retailers!P175)/(Demand!AU193-Retailers_Cap!N176),"Inesgotável")</f>
        <v/>
      </c>
      <c r="AC174" s="2">
        <f>IF(Demand!AV193&gt;Retailers_Cap!O176,(W174/Retailers!Q175)/(Demand!AV193-Retailers_Cap!O176),"Inesgotável")</f>
        <v/>
      </c>
      <c r="AD174" s="2">
        <f>IF(Demand!AW193&gt;Retailers_Cap!P176,(X174/Retailers!R175)/(Demand!AW193-Retailers_Cap!P176),"Inesgotável")</f>
        <v/>
      </c>
      <c r="AG174" s="75" t="n">
        <v>180</v>
      </c>
      <c r="AH174" s="75">
        <f>Retailers!AJ175</f>
        <v/>
      </c>
      <c r="AI174" s="75">
        <f>Retailers!AK175</f>
        <v/>
      </c>
      <c r="AJ174" s="75">
        <f>Retailers!AL175</f>
        <v/>
      </c>
      <c r="AM174" s="75" t="n">
        <v>180</v>
      </c>
      <c r="AN174" s="2">
        <f>IF(P174&gt;0,IF(D174=0,"Big stock",AB174/AH174),"Inesgotável")</f>
        <v/>
      </c>
      <c r="AO174" s="2">
        <f>IF(Q174&gt;0,IF(E174=0,"Big stock",AC174/AI174),"Inesgotável")</f>
        <v/>
      </c>
      <c r="AP174" s="2">
        <f>IF(R174&gt;0,IF(F174=0,"Big stock",AD174/AJ174),"Inesgotável")</f>
        <v/>
      </c>
      <c r="AS174" s="75" t="n">
        <v>180</v>
      </c>
      <c r="AT174" s="2">
        <f>Retailers_Cap!BL176</f>
        <v/>
      </c>
      <c r="AU174" s="2">
        <f>Retailers_Cap!BM176</f>
        <v/>
      </c>
      <c r="AV174" s="2">
        <f>Retailers_Cap!BN176</f>
        <v/>
      </c>
      <c r="AY174" s="75" t="n">
        <v>180</v>
      </c>
      <c r="AZ174" s="2">
        <f>IF(D174=0,"no repl",AB174-AT174)</f>
        <v/>
      </c>
      <c r="BA174" s="2">
        <f>IF(E174=0,"no repl",AC174-AU174)</f>
        <v/>
      </c>
      <c r="BB174" s="2">
        <f>IF(F174=0,"no repl",AD174-AV174)</f>
        <v/>
      </c>
    </row>
    <row r="175">
      <c r="C175" s="75" t="n">
        <v>181</v>
      </c>
      <c r="D175" s="11" t="n">
        <v>0</v>
      </c>
      <c r="E175" s="11" t="n">
        <v>0</v>
      </c>
      <c r="F175" s="11" t="n">
        <v>0</v>
      </c>
      <c r="I175" s="75" t="n">
        <v>181</v>
      </c>
      <c r="J175" s="11" t="n">
        <v>34539.36</v>
      </c>
      <c r="K175" s="11" t="n">
        <v>25013.65</v>
      </c>
      <c r="L175" s="11" t="n">
        <v>68985</v>
      </c>
      <c r="O175" s="75" t="n">
        <v>181</v>
      </c>
      <c r="P175" s="11" t="n">
        <v>0</v>
      </c>
      <c r="Q175" s="11" t="n">
        <v>0</v>
      </c>
      <c r="R175" s="11" t="n">
        <v>0</v>
      </c>
      <c r="U175" s="75" t="n">
        <v>181</v>
      </c>
      <c r="V175" s="3">
        <f>J175-P175+D175</f>
        <v/>
      </c>
      <c r="W175" s="3">
        <f>K175-Q175+E175</f>
        <v/>
      </c>
      <c r="X175" s="3">
        <f>L175-R175+F175</f>
        <v/>
      </c>
      <c r="AA175" s="75" t="n">
        <v>181</v>
      </c>
      <c r="AB175" s="2">
        <f>IF(Demand!AU194&gt;Retailers_Cap!N177,(V175/Retailers!P176)/(Demand!AU194-Retailers_Cap!N177),"Inesgotável")</f>
        <v/>
      </c>
      <c r="AC175" s="2">
        <f>IF(Demand!AV194&gt;Retailers_Cap!O177,(W175/Retailers!Q176)/(Demand!AV194-Retailers_Cap!O177),"Inesgotável")</f>
        <v/>
      </c>
      <c r="AD175" s="2">
        <f>IF(Demand!AW194&gt;Retailers_Cap!P177,(X175/Retailers!R176)/(Demand!AW194-Retailers_Cap!P177),"Inesgotável")</f>
        <v/>
      </c>
      <c r="AG175" s="75" t="n">
        <v>181</v>
      </c>
      <c r="AH175" s="75">
        <f>Retailers!AJ176</f>
        <v/>
      </c>
      <c r="AI175" s="75">
        <f>Retailers!AK176</f>
        <v/>
      </c>
      <c r="AJ175" s="75">
        <f>Retailers!AL176</f>
        <v/>
      </c>
      <c r="AM175" s="75" t="n">
        <v>181</v>
      </c>
      <c r="AN175" s="2">
        <f>IF(P175&gt;0,IF(D175=0,"Big stock",AB175/AH175),"Inesgotável")</f>
        <v/>
      </c>
      <c r="AO175" s="2">
        <f>IF(Q175&gt;0,IF(E175=0,"Big stock",AC175/AI175),"Inesgotável")</f>
        <v/>
      </c>
      <c r="AP175" s="2">
        <f>IF(R175&gt;0,IF(F175=0,"Big stock",AD175/AJ175),"Inesgotável")</f>
        <v/>
      </c>
      <c r="AS175" s="75" t="n">
        <v>181</v>
      </c>
      <c r="AT175" s="2">
        <f>Retailers_Cap!BL177</f>
        <v/>
      </c>
      <c r="AU175" s="2">
        <f>Retailers_Cap!BM177</f>
        <v/>
      </c>
      <c r="AV175" s="2">
        <f>Retailers_Cap!BN177</f>
        <v/>
      </c>
      <c r="AY175" s="75" t="n">
        <v>181</v>
      </c>
      <c r="AZ175" s="2">
        <f>IF(D175=0,"no repl",AB175-AT175)</f>
        <v/>
      </c>
      <c r="BA175" s="2">
        <f>IF(E175=0,"no repl",AC175-AU175)</f>
        <v/>
      </c>
      <c r="BB175" s="2">
        <f>IF(F175=0,"no repl",AD175-AV175)</f>
        <v/>
      </c>
    </row>
    <row r="176">
      <c r="C176" s="75" t="n">
        <v>182</v>
      </c>
      <c r="D176" s="11" t="n">
        <v>0</v>
      </c>
      <c r="E176" s="11" t="n">
        <v>0</v>
      </c>
      <c r="F176" s="11" t="n">
        <v>166559.4231720009</v>
      </c>
      <c r="I176" s="75" t="n">
        <v>182</v>
      </c>
      <c r="J176" s="11" t="n">
        <v>11160.49</v>
      </c>
      <c r="K176" s="11" t="n">
        <v>42983.58</v>
      </c>
      <c r="L176" s="11" t="n">
        <v>11755.8</v>
      </c>
      <c r="O176" s="75" t="n">
        <v>182</v>
      </c>
      <c r="P176" s="11" t="n">
        <v>0</v>
      </c>
      <c r="Q176" s="11" t="n">
        <v>0</v>
      </c>
      <c r="R176" s="11" t="n">
        <v>98740.60565150462</v>
      </c>
      <c r="U176" s="75" t="n">
        <v>182</v>
      </c>
      <c r="V176" s="3">
        <f>J176-P176+D176</f>
        <v/>
      </c>
      <c r="W176" s="3">
        <f>K176-Q176+E176</f>
        <v/>
      </c>
      <c r="X176" s="3">
        <f>L176-R176+F176</f>
        <v/>
      </c>
      <c r="AA176" s="75" t="n">
        <v>182</v>
      </c>
      <c r="AB176" s="2">
        <f>IF(Demand!AU195&gt;Retailers_Cap!N178,(V176/Retailers!P177)/(Demand!AU195-Retailers_Cap!N178),"Inesgotável")</f>
        <v/>
      </c>
      <c r="AC176" s="2">
        <f>IF(Demand!AV195&gt;Retailers_Cap!O178,(W176/Retailers!Q177)/(Demand!AV195-Retailers_Cap!O178),"Inesgotável")</f>
        <v/>
      </c>
      <c r="AD176" s="2">
        <f>IF(Demand!AW195&gt;Retailers_Cap!P178,(X176/Retailers!R177)/(Demand!AW195-Retailers_Cap!P178),"Inesgotável")</f>
        <v/>
      </c>
      <c r="AG176" s="75" t="n">
        <v>182</v>
      </c>
      <c r="AH176" s="75">
        <f>Retailers!AJ177</f>
        <v/>
      </c>
      <c r="AI176" s="75">
        <f>Retailers!AK177</f>
        <v/>
      </c>
      <c r="AJ176" s="75">
        <f>Retailers!AL177</f>
        <v/>
      </c>
      <c r="AM176" s="75" t="n">
        <v>182</v>
      </c>
      <c r="AN176" s="2">
        <f>IF(P176&gt;0,IF(D176=0,"Big stock",AB176/AH176),"Inesgotável")</f>
        <v/>
      </c>
      <c r="AO176" s="2">
        <f>IF(Q176&gt;0,IF(E176=0,"Big stock",AC176/AI176),"Inesgotável")</f>
        <v/>
      </c>
      <c r="AP176" s="2">
        <f>IF(R176&gt;0,IF(F176=0,"Big stock",AD176/AJ176),"Inesgotável")</f>
        <v/>
      </c>
      <c r="AS176" s="75" t="n">
        <v>182</v>
      </c>
      <c r="AT176" s="2">
        <f>Retailers_Cap!BL178</f>
        <v/>
      </c>
      <c r="AU176" s="2">
        <f>Retailers_Cap!BM178</f>
        <v/>
      </c>
      <c r="AV176" s="2">
        <f>Retailers_Cap!BN178</f>
        <v/>
      </c>
      <c r="AY176" s="75" t="n">
        <v>182</v>
      </c>
      <c r="AZ176" s="2">
        <f>IF(D176=0,"no repl",AB176-AT176)</f>
        <v/>
      </c>
      <c r="BA176" s="2">
        <f>IF(E176=0,"no repl",AC176-AU176)</f>
        <v/>
      </c>
      <c r="BB176" s="2">
        <f>IF(F176=0,"no repl",AD176-AV176)</f>
        <v/>
      </c>
    </row>
    <row r="177">
      <c r="C177" s="75" t="n">
        <v>183</v>
      </c>
      <c r="D177" s="11" t="n">
        <v>221488.1784890405</v>
      </c>
      <c r="E177" s="11" t="n">
        <v>19777.91168348657</v>
      </c>
      <c r="F177" s="11" t="n">
        <v>0</v>
      </c>
      <c r="I177" s="75" t="n">
        <v>183</v>
      </c>
      <c r="J177" s="11" t="n">
        <v>98333.55</v>
      </c>
      <c r="K177" s="11" t="n">
        <v>6950.429999999999</v>
      </c>
      <c r="L177" s="11" t="n">
        <v>35622.06</v>
      </c>
      <c r="O177" s="75" t="n">
        <v>183</v>
      </c>
      <c r="P177" s="11" t="n">
        <v>137547.4140465306</v>
      </c>
      <c r="Q177" s="11" t="n">
        <v>13504.74175875834</v>
      </c>
      <c r="R177" s="11" t="n">
        <v>0</v>
      </c>
      <c r="U177" s="75" t="n">
        <v>183</v>
      </c>
      <c r="V177" s="3">
        <f>J177-P177+D177</f>
        <v/>
      </c>
      <c r="W177" s="3">
        <f>K177-Q177+E177</f>
        <v/>
      </c>
      <c r="X177" s="3">
        <f>L177-R177+F177</f>
        <v/>
      </c>
      <c r="AA177" s="75" t="n">
        <v>183</v>
      </c>
      <c r="AB177" s="2">
        <f>IF(Demand!AU196&gt;Retailers_Cap!N179,(V177/Retailers!P178)/(Demand!AU196-Retailers_Cap!N179),"Inesgotável")</f>
        <v/>
      </c>
      <c r="AC177" s="2">
        <f>IF(Demand!AV196&gt;Retailers_Cap!O179,(W177/Retailers!Q178)/(Demand!AV196-Retailers_Cap!O179),"Inesgotável")</f>
        <v/>
      </c>
      <c r="AD177" s="2">
        <f>IF(Demand!AW196&gt;Retailers_Cap!P179,(X177/Retailers!R178)/(Demand!AW196-Retailers_Cap!P179),"Inesgotável")</f>
        <v/>
      </c>
      <c r="AG177" s="75" t="n">
        <v>183</v>
      </c>
      <c r="AH177" s="75">
        <f>Retailers!AJ178</f>
        <v/>
      </c>
      <c r="AI177" s="75">
        <f>Retailers!AK178</f>
        <v/>
      </c>
      <c r="AJ177" s="75">
        <f>Retailers!AL178</f>
        <v/>
      </c>
      <c r="AM177" s="75" t="n">
        <v>183</v>
      </c>
      <c r="AN177" s="2">
        <f>IF(P177&gt;0,IF(D177=0,"Big stock",AB177/AH177),"Inesgotável")</f>
        <v/>
      </c>
      <c r="AO177" s="2">
        <f>IF(Q177&gt;0,IF(E177=0,"Big stock",AC177/AI177),"Inesgotável")</f>
        <v/>
      </c>
      <c r="AP177" s="2">
        <f>IF(R177&gt;0,IF(F177=0,"Big stock",AD177/AJ177),"Inesgotável")</f>
        <v/>
      </c>
      <c r="AS177" s="75" t="n">
        <v>183</v>
      </c>
      <c r="AT177" s="2">
        <f>Retailers_Cap!BL179</f>
        <v/>
      </c>
      <c r="AU177" s="2">
        <f>Retailers_Cap!BM179</f>
        <v/>
      </c>
      <c r="AV177" s="2">
        <f>Retailers_Cap!BN179</f>
        <v/>
      </c>
      <c r="AY177" s="75" t="n">
        <v>183</v>
      </c>
      <c r="AZ177" s="2">
        <f>IF(D177=0,"no repl",AB177-AT177)</f>
        <v/>
      </c>
      <c r="BA177" s="2">
        <f>IF(E177=0,"no repl",AC177-AU177)</f>
        <v/>
      </c>
      <c r="BB177" s="2">
        <f>IF(F177=0,"no repl",AD177-AV177)</f>
        <v/>
      </c>
    </row>
    <row r="178">
      <c r="C178" s="75" t="n">
        <v>184</v>
      </c>
      <c r="D178" s="11" t="n">
        <v>306310.9247075036</v>
      </c>
      <c r="E178" s="11" t="n">
        <v>375305.7219707857</v>
      </c>
      <c r="F178" s="11" t="n">
        <v>350084.7426212213</v>
      </c>
      <c r="I178" s="75" t="n">
        <v>184</v>
      </c>
      <c r="J178" s="11" t="n">
        <v>38328.41</v>
      </c>
      <c r="K178" s="11" t="n">
        <v>24093.51</v>
      </c>
      <c r="L178" s="11" t="n">
        <v>25864.65</v>
      </c>
      <c r="O178" s="75" t="n">
        <v>184</v>
      </c>
      <c r="P178" s="11" t="n">
        <v>186089.8289927328</v>
      </c>
      <c r="Q178" s="11" t="n">
        <v>232590.3471475352</v>
      </c>
      <c r="R178" s="11" t="n">
        <v>205406.3328346492</v>
      </c>
      <c r="U178" s="75" t="n">
        <v>184</v>
      </c>
      <c r="V178" s="3">
        <f>J178-P178+D178</f>
        <v/>
      </c>
      <c r="W178" s="3">
        <f>K178-Q178+E178</f>
        <v/>
      </c>
      <c r="X178" s="3">
        <f>L178-R178+F178</f>
        <v/>
      </c>
      <c r="AA178" s="75" t="n">
        <v>184</v>
      </c>
      <c r="AB178" s="2">
        <f>IF(Demand!AU197&gt;Retailers_Cap!N180,(V178/Retailers!P179)/(Demand!AU197-Retailers_Cap!N180),"Inesgotável")</f>
        <v/>
      </c>
      <c r="AC178" s="2">
        <f>IF(Demand!AV197&gt;Retailers_Cap!O180,(W178/Retailers!Q179)/(Demand!AV197-Retailers_Cap!O180),"Inesgotável")</f>
        <v/>
      </c>
      <c r="AD178" s="2">
        <f>IF(Demand!AW197&gt;Retailers_Cap!P180,(X178/Retailers!R179)/(Demand!AW197-Retailers_Cap!P180),"Inesgotável")</f>
        <v/>
      </c>
      <c r="AG178" s="75" t="n">
        <v>184</v>
      </c>
      <c r="AH178" s="75">
        <f>Retailers!AJ179</f>
        <v/>
      </c>
      <c r="AI178" s="75">
        <f>Retailers!AK179</f>
        <v/>
      </c>
      <c r="AJ178" s="75">
        <f>Retailers!AL179</f>
        <v/>
      </c>
      <c r="AM178" s="75" t="n">
        <v>184</v>
      </c>
      <c r="AN178" s="2">
        <f>IF(P178&gt;0,IF(D178=0,"Big stock",AB178/AH178),"Inesgotável")</f>
        <v/>
      </c>
      <c r="AO178" s="2">
        <f>IF(Q178&gt;0,IF(E178=0,"Big stock",AC178/AI178),"Inesgotável")</f>
        <v/>
      </c>
      <c r="AP178" s="2">
        <f>IF(R178&gt;0,IF(F178=0,"Big stock",AD178/AJ178),"Inesgotável")</f>
        <v/>
      </c>
      <c r="AS178" s="75" t="n">
        <v>184</v>
      </c>
      <c r="AT178" s="2">
        <f>Retailers_Cap!BL180</f>
        <v/>
      </c>
      <c r="AU178" s="2">
        <f>Retailers_Cap!BM180</f>
        <v/>
      </c>
      <c r="AV178" s="2">
        <f>Retailers_Cap!BN180</f>
        <v/>
      </c>
      <c r="AY178" s="75" t="n">
        <v>184</v>
      </c>
      <c r="AZ178" s="2">
        <f>IF(D178=0,"no repl",AB178-AT178)</f>
        <v/>
      </c>
      <c r="BA178" s="2">
        <f>IF(E178=0,"no repl",AC178-AU178)</f>
        <v/>
      </c>
      <c r="BB178" s="2">
        <f>IF(F178=0,"no repl",AD178-AV178)</f>
        <v/>
      </c>
    </row>
    <row r="179">
      <c r="C179" s="75" t="n">
        <v>185</v>
      </c>
      <c r="D179" s="11" t="n">
        <v>275451.2880276556</v>
      </c>
      <c r="E179" s="11" t="n">
        <v>0</v>
      </c>
      <c r="F179" s="11" t="n">
        <v>0</v>
      </c>
      <c r="I179" s="75" t="n">
        <v>185</v>
      </c>
      <c r="J179" s="11" t="n">
        <v>64625.28000000001</v>
      </c>
      <c r="K179" s="11" t="n">
        <v>10457.7</v>
      </c>
      <c r="L179" s="11" t="n">
        <v>31883.76</v>
      </c>
      <c r="O179" s="75" t="n">
        <v>185</v>
      </c>
      <c r="P179" s="11" t="n">
        <v>172254.229451457</v>
      </c>
      <c r="Q179" s="11" t="n">
        <v>0</v>
      </c>
      <c r="R179" s="11" t="n">
        <v>0</v>
      </c>
      <c r="U179" s="75" t="n">
        <v>185</v>
      </c>
      <c r="V179" s="3">
        <f>J179-P179+D179</f>
        <v/>
      </c>
      <c r="W179" s="3">
        <f>K179-Q179+E179</f>
        <v/>
      </c>
      <c r="X179" s="3">
        <f>L179-R179+F179</f>
        <v/>
      </c>
      <c r="AA179" s="75" t="n">
        <v>185</v>
      </c>
      <c r="AB179" s="2">
        <f>IF(Demand!AU198&gt;Retailers_Cap!N181,(V179/Retailers!P180)/(Demand!AU198-Retailers_Cap!N181),"Inesgotável")</f>
        <v/>
      </c>
      <c r="AC179" s="2">
        <f>IF(Demand!AV198&gt;Retailers_Cap!O181,(W179/Retailers!Q180)/(Demand!AV198-Retailers_Cap!O181),"Inesgotável")</f>
        <v/>
      </c>
      <c r="AD179" s="2">
        <f>IF(Demand!AW198&gt;Retailers_Cap!P181,(X179/Retailers!R180)/(Demand!AW198-Retailers_Cap!P181),"Inesgotável")</f>
        <v/>
      </c>
      <c r="AG179" s="75" t="n">
        <v>185</v>
      </c>
      <c r="AH179" s="75">
        <f>Retailers!AJ180</f>
        <v/>
      </c>
      <c r="AI179" s="75">
        <f>Retailers!AK180</f>
        <v/>
      </c>
      <c r="AJ179" s="75">
        <f>Retailers!AL180</f>
        <v/>
      </c>
      <c r="AM179" s="75" t="n">
        <v>185</v>
      </c>
      <c r="AN179" s="2">
        <f>IF(P179&gt;0,IF(D179=0,"Big stock",AB179/AH179),"Inesgotável")</f>
        <v/>
      </c>
      <c r="AO179" s="2">
        <f>IF(Q179&gt;0,IF(E179=0,"Big stock",AC179/AI179),"Inesgotável")</f>
        <v/>
      </c>
      <c r="AP179" s="2">
        <f>IF(R179&gt;0,IF(F179=0,"Big stock",AD179/AJ179),"Inesgotável")</f>
        <v/>
      </c>
      <c r="AS179" s="75" t="n">
        <v>185</v>
      </c>
      <c r="AT179" s="2">
        <f>Retailers_Cap!BL181</f>
        <v/>
      </c>
      <c r="AU179" s="2">
        <f>Retailers_Cap!BM181</f>
        <v/>
      </c>
      <c r="AV179" s="2">
        <f>Retailers_Cap!BN181</f>
        <v/>
      </c>
      <c r="AY179" s="75" t="n">
        <v>185</v>
      </c>
      <c r="AZ179" s="2">
        <f>IF(D179=0,"no repl",AB179-AT179)</f>
        <v/>
      </c>
      <c r="BA179" s="2">
        <f>IF(E179=0,"no repl",AC179-AU179)</f>
        <v/>
      </c>
      <c r="BB179" s="2">
        <f>IF(F179=0,"no repl",AD179-AV179)</f>
        <v/>
      </c>
    </row>
    <row r="180">
      <c r="C180" s="75" t="n">
        <v>186</v>
      </c>
      <c r="D180" s="11" t="n">
        <v>0</v>
      </c>
      <c r="E180" s="11" t="n">
        <v>235132.3461184769</v>
      </c>
      <c r="F180" s="11" t="n">
        <v>0</v>
      </c>
      <c r="I180" s="75" t="n">
        <v>186</v>
      </c>
      <c r="J180" s="11" t="n">
        <v>139560.78</v>
      </c>
      <c r="K180" s="11" t="n">
        <v>71990.75</v>
      </c>
      <c r="L180" s="11" t="n">
        <v>6918.5</v>
      </c>
      <c r="O180" s="75" t="n">
        <v>186</v>
      </c>
      <c r="P180" s="11" t="n">
        <v>56056.13177579454</v>
      </c>
      <c r="Q180" s="11" t="n">
        <v>145022.0749965862</v>
      </c>
      <c r="R180" s="11" t="n">
        <v>0</v>
      </c>
      <c r="U180" s="75" t="n">
        <v>186</v>
      </c>
      <c r="V180" s="3">
        <f>J180-P180+D180</f>
        <v/>
      </c>
      <c r="W180" s="3">
        <f>K180-Q180+E180</f>
        <v/>
      </c>
      <c r="X180" s="3">
        <f>L180-R180+F180</f>
        <v/>
      </c>
      <c r="AA180" s="75" t="n">
        <v>186</v>
      </c>
      <c r="AB180" s="2">
        <f>IF(Demand!AU199&gt;Retailers_Cap!N182,(V180/Retailers!P181)/(Demand!AU199-Retailers_Cap!N182),"Inesgotável")</f>
        <v/>
      </c>
      <c r="AC180" s="2">
        <f>IF(Demand!AV199&gt;Retailers_Cap!O182,(W180/Retailers!Q181)/(Demand!AV199-Retailers_Cap!O182),"Inesgotável")</f>
        <v/>
      </c>
      <c r="AD180" s="2">
        <f>IF(Demand!AW199&gt;Retailers_Cap!P182,(X180/Retailers!R181)/(Demand!AW199-Retailers_Cap!P182),"Inesgotável")</f>
        <v/>
      </c>
      <c r="AG180" s="75" t="n">
        <v>186</v>
      </c>
      <c r="AH180" s="75">
        <f>Retailers!AJ181</f>
        <v/>
      </c>
      <c r="AI180" s="75">
        <f>Retailers!AK181</f>
        <v/>
      </c>
      <c r="AJ180" s="75">
        <f>Retailers!AL181</f>
        <v/>
      </c>
      <c r="AM180" s="75" t="n">
        <v>186</v>
      </c>
      <c r="AN180" s="2">
        <f>IF(P180&gt;0,IF(D180=0,"Big stock",AB180/AH180),"Inesgotável")</f>
        <v/>
      </c>
      <c r="AO180" s="2">
        <f>IF(Q180&gt;0,IF(E180=0,"Big stock",AC180/AI180),"Inesgotável")</f>
        <v/>
      </c>
      <c r="AP180" s="2">
        <f>IF(R180&gt;0,IF(F180=0,"Big stock",AD180/AJ180),"Inesgotável")</f>
        <v/>
      </c>
      <c r="AS180" s="75" t="n">
        <v>186</v>
      </c>
      <c r="AT180" s="2">
        <f>Retailers_Cap!BL182</f>
        <v/>
      </c>
      <c r="AU180" s="2">
        <f>Retailers_Cap!BM182</f>
        <v/>
      </c>
      <c r="AV180" s="2">
        <f>Retailers_Cap!BN182</f>
        <v/>
      </c>
      <c r="AY180" s="75" t="n">
        <v>186</v>
      </c>
      <c r="AZ180" s="2">
        <f>IF(D180=0,"no repl",AB180-AT180)</f>
        <v/>
      </c>
      <c r="BA180" s="2">
        <f>IF(E180=0,"no repl",AC180-AU180)</f>
        <v/>
      </c>
      <c r="BB180" s="2">
        <f>IF(F180=0,"no repl",AD180-AV180)</f>
        <v/>
      </c>
    </row>
    <row r="181">
      <c r="C181" s="75" t="n">
        <v>187</v>
      </c>
      <c r="D181" s="11" t="n">
        <v>470360.8831815276</v>
      </c>
      <c r="E181" s="11" t="n">
        <v>0</v>
      </c>
      <c r="F181" s="11" t="n">
        <v>0</v>
      </c>
      <c r="I181" s="75" t="n">
        <v>187</v>
      </c>
      <c r="J181" s="11" t="n">
        <v>25788.9</v>
      </c>
      <c r="K181" s="11" t="n">
        <v>117530.91</v>
      </c>
      <c r="L181" s="11" t="n">
        <v>37824.49</v>
      </c>
      <c r="O181" s="75" t="n">
        <v>187</v>
      </c>
      <c r="P181" s="11" t="n">
        <v>278078.493144056</v>
      </c>
      <c r="Q181" s="11" t="n">
        <v>0</v>
      </c>
      <c r="R181" s="11" t="n">
        <v>0</v>
      </c>
      <c r="U181" s="75" t="n">
        <v>187</v>
      </c>
      <c r="V181" s="3">
        <f>J181-P181+D181</f>
        <v/>
      </c>
      <c r="W181" s="3">
        <f>K181-Q181+E181</f>
        <v/>
      </c>
      <c r="X181" s="3">
        <f>L181-R181+F181</f>
        <v/>
      </c>
      <c r="AA181" s="75" t="n">
        <v>187</v>
      </c>
      <c r="AB181" s="2">
        <f>IF(Demand!AU200&gt;Retailers_Cap!N183,(V181/Retailers!P182)/(Demand!AU200-Retailers_Cap!N183),"Inesgotável")</f>
        <v/>
      </c>
      <c r="AC181" s="2">
        <f>IF(Demand!AV200&gt;Retailers_Cap!O183,(W181/Retailers!Q182)/(Demand!AV200-Retailers_Cap!O183),"Inesgotável")</f>
        <v/>
      </c>
      <c r="AD181" s="2">
        <f>IF(Demand!AW200&gt;Retailers_Cap!P183,(X181/Retailers!R182)/(Demand!AW200-Retailers_Cap!P183),"Inesgotável")</f>
        <v/>
      </c>
      <c r="AG181" s="75" t="n">
        <v>187</v>
      </c>
      <c r="AH181" s="75">
        <f>Retailers!AJ182</f>
        <v/>
      </c>
      <c r="AI181" s="75">
        <f>Retailers!AK182</f>
        <v/>
      </c>
      <c r="AJ181" s="75">
        <f>Retailers!AL182</f>
        <v/>
      </c>
      <c r="AM181" s="75" t="n">
        <v>187</v>
      </c>
      <c r="AN181" s="2">
        <f>IF(P181&gt;0,IF(D181=0,"Big stock",AB181/AH181),"Inesgotável")</f>
        <v/>
      </c>
      <c r="AO181" s="2">
        <f>IF(Q181&gt;0,IF(E181=0,"Big stock",AC181/AI181),"Inesgotável")</f>
        <v/>
      </c>
      <c r="AP181" s="2">
        <f>IF(R181&gt;0,IF(F181=0,"Big stock",AD181/AJ181),"Inesgotável")</f>
        <v/>
      </c>
      <c r="AS181" s="75" t="n">
        <v>187</v>
      </c>
      <c r="AT181" s="2">
        <f>Retailers_Cap!BL183</f>
        <v/>
      </c>
      <c r="AU181" s="2">
        <f>Retailers_Cap!BM183</f>
        <v/>
      </c>
      <c r="AV181" s="2">
        <f>Retailers_Cap!BN183</f>
        <v/>
      </c>
      <c r="AY181" s="75" t="n">
        <v>187</v>
      </c>
      <c r="AZ181" s="2">
        <f>IF(D181=0,"no repl",AB181-AT181)</f>
        <v/>
      </c>
      <c r="BA181" s="2">
        <f>IF(E181=0,"no repl",AC181-AU181)</f>
        <v/>
      </c>
      <c r="BB181" s="2">
        <f>IF(F181=0,"no repl",AD181-AV181)</f>
        <v/>
      </c>
    </row>
    <row r="182">
      <c r="C182" s="75" t="n">
        <v>188</v>
      </c>
      <c r="D182" s="11" t="n">
        <v>0</v>
      </c>
      <c r="E182" s="11" t="n">
        <v>185113.8828143441</v>
      </c>
      <c r="F182" s="11" t="n">
        <v>218628.2695451094</v>
      </c>
      <c r="I182" s="75" t="n">
        <v>188</v>
      </c>
      <c r="J182" s="11" t="n">
        <v>7521.15</v>
      </c>
      <c r="K182" s="11" t="n">
        <v>47794.23</v>
      </c>
      <c r="L182" s="11" t="n">
        <v>36857.7</v>
      </c>
      <c r="O182" s="75" t="n">
        <v>188</v>
      </c>
      <c r="P182" s="11" t="n">
        <v>0</v>
      </c>
      <c r="Q182" s="11" t="n">
        <v>107617.7592691786</v>
      </c>
      <c r="R182" s="11" t="n">
        <v>131167.5964283845</v>
      </c>
      <c r="U182" s="75" t="n">
        <v>188</v>
      </c>
      <c r="V182" s="3">
        <f>J182-P182+D182</f>
        <v/>
      </c>
      <c r="W182" s="3">
        <f>K182-Q182+E182</f>
        <v/>
      </c>
      <c r="X182" s="3">
        <f>L182-R182+F182</f>
        <v/>
      </c>
      <c r="AA182" s="75" t="n">
        <v>188</v>
      </c>
      <c r="AB182" s="2">
        <f>IF(Demand!AU201&gt;Retailers_Cap!N184,(V182/Retailers!P183)/(Demand!AU201-Retailers_Cap!N184),"Inesgotável")</f>
        <v/>
      </c>
      <c r="AC182" s="2">
        <f>IF(Demand!AV201&gt;Retailers_Cap!O184,(W182/Retailers!Q183)/(Demand!AV201-Retailers_Cap!O184),"Inesgotável")</f>
        <v/>
      </c>
      <c r="AD182" s="2">
        <f>IF(Demand!AW201&gt;Retailers_Cap!P184,(X182/Retailers!R183)/(Demand!AW201-Retailers_Cap!P184),"Inesgotável")</f>
        <v/>
      </c>
      <c r="AG182" s="75" t="n">
        <v>188</v>
      </c>
      <c r="AH182" s="75">
        <f>Retailers!AJ183</f>
        <v/>
      </c>
      <c r="AI182" s="75">
        <f>Retailers!AK183</f>
        <v/>
      </c>
      <c r="AJ182" s="75">
        <f>Retailers!AL183</f>
        <v/>
      </c>
      <c r="AM182" s="75" t="n">
        <v>188</v>
      </c>
      <c r="AN182" s="2">
        <f>IF(P182&gt;0,IF(D182=0,"Big stock",AB182/AH182),"Inesgotável")</f>
        <v/>
      </c>
      <c r="AO182" s="2">
        <f>IF(Q182&gt;0,IF(E182=0,"Big stock",AC182/AI182),"Inesgotável")</f>
        <v/>
      </c>
      <c r="AP182" s="2">
        <f>IF(R182&gt;0,IF(F182=0,"Big stock",AD182/AJ182),"Inesgotável")</f>
        <v/>
      </c>
      <c r="AS182" s="75" t="n">
        <v>188</v>
      </c>
      <c r="AT182" s="2">
        <f>Retailers_Cap!BL184</f>
        <v/>
      </c>
      <c r="AU182" s="2">
        <f>Retailers_Cap!BM184</f>
        <v/>
      </c>
      <c r="AV182" s="2">
        <f>Retailers_Cap!BN184</f>
        <v/>
      </c>
      <c r="AY182" s="75" t="n">
        <v>188</v>
      </c>
      <c r="AZ182" s="2">
        <f>IF(D182=0,"no repl",AB182-AT182)</f>
        <v/>
      </c>
      <c r="BA182" s="2">
        <f>IF(E182=0,"no repl",AC182-AU182)</f>
        <v/>
      </c>
      <c r="BB182" s="2">
        <f>IF(F182=0,"no repl",AD182-AV182)</f>
        <v/>
      </c>
    </row>
    <row r="183">
      <c r="C183" s="75" t="n">
        <v>189</v>
      </c>
      <c r="D183" s="11" t="n">
        <v>0</v>
      </c>
      <c r="E183" s="11" t="n">
        <v>0</v>
      </c>
      <c r="F183" s="11" t="n">
        <v>0</v>
      </c>
      <c r="I183" s="75" t="n">
        <v>189</v>
      </c>
      <c r="J183" s="11" t="n">
        <v>30826.6</v>
      </c>
      <c r="K183" s="11" t="n">
        <v>26143.68</v>
      </c>
      <c r="L183" s="11" t="n">
        <v>27764.31</v>
      </c>
      <c r="O183" s="75" t="n">
        <v>189</v>
      </c>
      <c r="P183" s="11" t="n">
        <v>0</v>
      </c>
      <c r="Q183" s="11" t="n">
        <v>0</v>
      </c>
      <c r="R183" s="11" t="n">
        <v>0</v>
      </c>
      <c r="U183" s="75" t="n">
        <v>189</v>
      </c>
      <c r="V183" s="3">
        <f>J183-P183+D183</f>
        <v/>
      </c>
      <c r="W183" s="3">
        <f>K183-Q183+E183</f>
        <v/>
      </c>
      <c r="X183" s="3">
        <f>L183-R183+F183</f>
        <v/>
      </c>
      <c r="AA183" s="75" t="n">
        <v>189</v>
      </c>
      <c r="AB183" s="2">
        <f>IF(Demand!AU202&gt;Retailers_Cap!N185,(V183/Retailers!P184)/(Demand!AU202-Retailers_Cap!N185),"Inesgotável")</f>
        <v/>
      </c>
      <c r="AC183" s="2">
        <f>IF(Demand!AV202&gt;Retailers_Cap!O185,(W183/Retailers!Q184)/(Demand!AV202-Retailers_Cap!O185),"Inesgotável")</f>
        <v/>
      </c>
      <c r="AD183" s="2">
        <f>IF(Demand!AW202&gt;Retailers_Cap!P185,(X183/Retailers!R184)/(Demand!AW202-Retailers_Cap!P185),"Inesgotável")</f>
        <v/>
      </c>
      <c r="AG183" s="75" t="n">
        <v>189</v>
      </c>
      <c r="AH183" s="75">
        <f>Retailers!AJ184</f>
        <v/>
      </c>
      <c r="AI183" s="75">
        <f>Retailers!AK184</f>
        <v/>
      </c>
      <c r="AJ183" s="75">
        <f>Retailers!AL184</f>
        <v/>
      </c>
      <c r="AM183" s="75" t="n">
        <v>189</v>
      </c>
      <c r="AN183" s="2">
        <f>IF(P183&gt;0,IF(D183=0,"Big stock",AB183/AH183),"Inesgotável")</f>
        <v/>
      </c>
      <c r="AO183" s="2">
        <f>IF(Q183&gt;0,IF(E183=0,"Big stock",AC183/AI183),"Inesgotável")</f>
        <v/>
      </c>
      <c r="AP183" s="2">
        <f>IF(R183&gt;0,IF(F183=0,"Big stock",AD183/AJ183),"Inesgotável")</f>
        <v/>
      </c>
      <c r="AS183" s="75" t="n">
        <v>189</v>
      </c>
      <c r="AT183" s="2">
        <f>Retailers_Cap!BL185</f>
        <v/>
      </c>
      <c r="AU183" s="2">
        <f>Retailers_Cap!BM185</f>
        <v/>
      </c>
      <c r="AV183" s="2">
        <f>Retailers_Cap!BN185</f>
        <v/>
      </c>
      <c r="AY183" s="75" t="n">
        <v>189</v>
      </c>
      <c r="AZ183" s="2">
        <f>IF(D183=0,"no repl",AB183-AT183)</f>
        <v/>
      </c>
      <c r="BA183" s="2">
        <f>IF(E183=0,"no repl",AC183-AU183)</f>
        <v/>
      </c>
      <c r="BB183" s="2">
        <f>IF(F183=0,"no repl",AD183-AV183)</f>
        <v/>
      </c>
    </row>
    <row r="184">
      <c r="C184" s="75" t="n">
        <v>190</v>
      </c>
      <c r="D184" s="11" t="n">
        <v>0</v>
      </c>
      <c r="E184" s="11" t="n">
        <v>210385.1169970121</v>
      </c>
      <c r="F184" s="11" t="n">
        <v>0</v>
      </c>
      <c r="I184" s="75" t="n">
        <v>190</v>
      </c>
      <c r="J184" s="11" t="n">
        <v>60050.92000000001</v>
      </c>
      <c r="K184" s="11" t="n">
        <v>34898.75</v>
      </c>
      <c r="L184" s="11" t="n">
        <v>6321.24</v>
      </c>
      <c r="O184" s="75" t="n">
        <v>190</v>
      </c>
      <c r="P184" s="11" t="n">
        <v>0</v>
      </c>
      <c r="Q184" s="11" t="n">
        <v>127630.6402855247</v>
      </c>
      <c r="R184" s="11" t="n">
        <v>0</v>
      </c>
      <c r="U184" s="75" t="n">
        <v>190</v>
      </c>
      <c r="V184" s="3">
        <f>J184-P184+D184</f>
        <v/>
      </c>
      <c r="W184" s="3">
        <f>K184-Q184+E184</f>
        <v/>
      </c>
      <c r="X184" s="3">
        <f>L184-R184+F184</f>
        <v/>
      </c>
      <c r="AA184" s="75" t="n">
        <v>190</v>
      </c>
      <c r="AB184" s="2">
        <f>IF(Demand!AU203&gt;Retailers_Cap!N186,(V184/Retailers!P185)/(Demand!AU203-Retailers_Cap!N186),"Inesgotável")</f>
        <v/>
      </c>
      <c r="AC184" s="2">
        <f>IF(Demand!AV203&gt;Retailers_Cap!O186,(W184/Retailers!Q185)/(Demand!AV203-Retailers_Cap!O186),"Inesgotável")</f>
        <v/>
      </c>
      <c r="AD184" s="2">
        <f>IF(Demand!AW203&gt;Retailers_Cap!P186,(X184/Retailers!R185)/(Demand!AW203-Retailers_Cap!P186),"Inesgotável")</f>
        <v/>
      </c>
      <c r="AG184" s="75" t="n">
        <v>190</v>
      </c>
      <c r="AH184" s="75">
        <f>Retailers!AJ185</f>
        <v/>
      </c>
      <c r="AI184" s="75">
        <f>Retailers!AK185</f>
        <v/>
      </c>
      <c r="AJ184" s="75">
        <f>Retailers!AL185</f>
        <v/>
      </c>
      <c r="AM184" s="75" t="n">
        <v>190</v>
      </c>
      <c r="AN184" s="2">
        <f>IF(P184&gt;0,IF(D184=0,"Big stock",AB184/AH184),"Inesgotável")</f>
        <v/>
      </c>
      <c r="AO184" s="2">
        <f>IF(Q184&gt;0,IF(E184=0,"Big stock",AC184/AI184),"Inesgotável")</f>
        <v/>
      </c>
      <c r="AP184" s="2">
        <f>IF(R184&gt;0,IF(F184=0,"Big stock",AD184/AJ184),"Inesgotável")</f>
        <v/>
      </c>
      <c r="AS184" s="75" t="n">
        <v>190</v>
      </c>
      <c r="AT184" s="2">
        <f>Retailers_Cap!BL186</f>
        <v/>
      </c>
      <c r="AU184" s="2">
        <f>Retailers_Cap!BM186</f>
        <v/>
      </c>
      <c r="AV184" s="2">
        <f>Retailers_Cap!BN186</f>
        <v/>
      </c>
      <c r="AY184" s="75" t="n">
        <v>190</v>
      </c>
      <c r="AZ184" s="2">
        <f>IF(D184=0,"no repl",AB184-AT184)</f>
        <v/>
      </c>
      <c r="BA184" s="2">
        <f>IF(E184=0,"no repl",AC184-AU184)</f>
        <v/>
      </c>
      <c r="BB184" s="2">
        <f>IF(F184=0,"no repl",AD184-AV184)</f>
        <v/>
      </c>
    </row>
    <row r="185">
      <c r="C185" s="75" t="n">
        <v>191</v>
      </c>
      <c r="D185" s="11" t="n">
        <v>98660.12246793171</v>
      </c>
      <c r="E185" s="11" t="n">
        <v>208627.1797348475</v>
      </c>
      <c r="F185" s="11" t="n">
        <v>472470.6205764213</v>
      </c>
      <c r="I185" s="75" t="n">
        <v>191</v>
      </c>
      <c r="J185" s="11" t="n">
        <v>38265.81</v>
      </c>
      <c r="K185" s="11" t="n">
        <v>25430.18</v>
      </c>
      <c r="L185" s="11" t="n">
        <v>76032.32000000001</v>
      </c>
      <c r="O185" s="75" t="n">
        <v>191</v>
      </c>
      <c r="P185" s="11" t="n">
        <v>57195.66153662435</v>
      </c>
      <c r="Q185" s="11" t="n">
        <v>126699.1141959952</v>
      </c>
      <c r="R185" s="11" t="n">
        <v>288565.4990400895</v>
      </c>
      <c r="U185" s="75" t="n">
        <v>191</v>
      </c>
      <c r="V185" s="3">
        <f>J185-P185+D185</f>
        <v/>
      </c>
      <c r="W185" s="3">
        <f>K185-Q185+E185</f>
        <v/>
      </c>
      <c r="X185" s="3">
        <f>L185-R185+F185</f>
        <v/>
      </c>
      <c r="AA185" s="75" t="n">
        <v>191</v>
      </c>
      <c r="AB185" s="2">
        <f>IF(Demand!AU204&gt;Retailers_Cap!N187,(V185/Retailers!P186)/(Demand!AU204-Retailers_Cap!N187),"Inesgotável")</f>
        <v/>
      </c>
      <c r="AC185" s="2">
        <f>IF(Demand!AV204&gt;Retailers_Cap!O187,(W185/Retailers!Q186)/(Demand!AV204-Retailers_Cap!O187),"Inesgotável")</f>
        <v/>
      </c>
      <c r="AD185" s="2">
        <f>IF(Demand!AW204&gt;Retailers_Cap!P187,(X185/Retailers!R186)/(Demand!AW204-Retailers_Cap!P187),"Inesgotável")</f>
        <v/>
      </c>
      <c r="AG185" s="75" t="n">
        <v>191</v>
      </c>
      <c r="AH185" s="75">
        <f>Retailers!AJ186</f>
        <v/>
      </c>
      <c r="AI185" s="75">
        <f>Retailers!AK186</f>
        <v/>
      </c>
      <c r="AJ185" s="75">
        <f>Retailers!AL186</f>
        <v/>
      </c>
      <c r="AM185" s="75" t="n">
        <v>191</v>
      </c>
      <c r="AN185" s="2">
        <f>IF(P185&gt;0,IF(D185=0,"Big stock",AB185/AH185),"Inesgotável")</f>
        <v/>
      </c>
      <c r="AO185" s="2">
        <f>IF(Q185&gt;0,IF(E185=0,"Big stock",AC185/AI185),"Inesgotável")</f>
        <v/>
      </c>
      <c r="AP185" s="2">
        <f>IF(R185&gt;0,IF(F185=0,"Big stock",AD185/AJ185),"Inesgotável")</f>
        <v/>
      </c>
      <c r="AS185" s="75" t="n">
        <v>191</v>
      </c>
      <c r="AT185" s="2">
        <f>Retailers_Cap!BL187</f>
        <v/>
      </c>
      <c r="AU185" s="2">
        <f>Retailers_Cap!BM187</f>
        <v/>
      </c>
      <c r="AV185" s="2">
        <f>Retailers_Cap!BN187</f>
        <v/>
      </c>
      <c r="AY185" s="75" t="n">
        <v>191</v>
      </c>
      <c r="AZ185" s="2">
        <f>IF(D185=0,"no repl",AB185-AT185)</f>
        <v/>
      </c>
      <c r="BA185" s="2">
        <f>IF(E185=0,"no repl",AC185-AU185)</f>
        <v/>
      </c>
      <c r="BB185" s="2">
        <f>IF(F185=0,"no repl",AD185-AV185)</f>
        <v/>
      </c>
    </row>
    <row r="186">
      <c r="C186" s="75" t="n">
        <v>192</v>
      </c>
      <c r="D186" s="11" t="n">
        <v>0</v>
      </c>
      <c r="E186" s="11" t="n">
        <v>0</v>
      </c>
      <c r="F186" s="11" t="n">
        <v>0</v>
      </c>
      <c r="I186" s="75" t="n">
        <v>192</v>
      </c>
      <c r="J186" s="11" t="n">
        <v>31437.45</v>
      </c>
      <c r="K186" s="11" t="n">
        <v>49558.68</v>
      </c>
      <c r="L186" s="11" t="n">
        <v>80342.7</v>
      </c>
      <c r="O186" s="75" t="n">
        <v>192</v>
      </c>
      <c r="P186" s="11" t="n">
        <v>0</v>
      </c>
      <c r="Q186" s="11" t="n">
        <v>0</v>
      </c>
      <c r="R186" s="11" t="n">
        <v>0</v>
      </c>
      <c r="U186" s="75" t="n">
        <v>192</v>
      </c>
      <c r="V186" s="3">
        <f>J186-P186+D186</f>
        <v/>
      </c>
      <c r="W186" s="3">
        <f>K186-Q186+E186</f>
        <v/>
      </c>
      <c r="X186" s="3">
        <f>L186-R186+F186</f>
        <v/>
      </c>
      <c r="AA186" s="75" t="n">
        <v>192</v>
      </c>
      <c r="AB186" s="2">
        <f>IF(Demand!AU205&gt;Retailers_Cap!N188,(V186/Retailers!P187)/(Demand!AU205-Retailers_Cap!N188),"Inesgotável")</f>
        <v/>
      </c>
      <c r="AC186" s="2">
        <f>IF(Demand!AV205&gt;Retailers_Cap!O188,(W186/Retailers!Q187)/(Demand!AV205-Retailers_Cap!O188),"Inesgotável")</f>
        <v/>
      </c>
      <c r="AD186" s="2">
        <f>IF(Demand!AW205&gt;Retailers_Cap!P188,(X186/Retailers!R187)/(Demand!AW205-Retailers_Cap!P188),"Inesgotável")</f>
        <v/>
      </c>
      <c r="AG186" s="75" t="n">
        <v>192</v>
      </c>
      <c r="AH186" s="75">
        <f>Retailers!AJ187</f>
        <v/>
      </c>
      <c r="AI186" s="75">
        <f>Retailers!AK187</f>
        <v/>
      </c>
      <c r="AJ186" s="75">
        <f>Retailers!AL187</f>
        <v/>
      </c>
      <c r="AM186" s="75" t="n">
        <v>192</v>
      </c>
      <c r="AN186" s="2">
        <f>IF(P186&gt;0,IF(D186=0,"Big stock",AB186/AH186),"Inesgotável")</f>
        <v/>
      </c>
      <c r="AO186" s="2">
        <f>IF(Q186&gt;0,IF(E186=0,"Big stock",AC186/AI186),"Inesgotável")</f>
        <v/>
      </c>
      <c r="AP186" s="2">
        <f>IF(R186&gt;0,IF(F186=0,"Big stock",AD186/AJ186),"Inesgotável")</f>
        <v/>
      </c>
      <c r="AS186" s="75" t="n">
        <v>192</v>
      </c>
      <c r="AT186" s="2">
        <f>Retailers_Cap!BL188</f>
        <v/>
      </c>
      <c r="AU186" s="2">
        <f>Retailers_Cap!BM188</f>
        <v/>
      </c>
      <c r="AV186" s="2">
        <f>Retailers_Cap!BN188</f>
        <v/>
      </c>
      <c r="AY186" s="75" t="n">
        <v>192</v>
      </c>
      <c r="AZ186" s="2">
        <f>IF(D186=0,"no repl",AB186-AT186)</f>
        <v/>
      </c>
      <c r="BA186" s="2">
        <f>IF(E186=0,"no repl",AC186-AU186)</f>
        <v/>
      </c>
      <c r="BB186" s="2">
        <f>IF(F186=0,"no repl",AD186-AV186)</f>
        <v/>
      </c>
    </row>
    <row r="187">
      <c r="C187" s="75" t="n">
        <v>193</v>
      </c>
      <c r="D187" s="11" t="n">
        <v>62809.99564029946</v>
      </c>
      <c r="E187" s="11" t="n">
        <v>237373.1596992489</v>
      </c>
      <c r="F187" s="11" t="n">
        <v>70130.12484618106</v>
      </c>
      <c r="I187" s="75" t="n">
        <v>193</v>
      </c>
      <c r="J187" s="11" t="n">
        <v>3583.6</v>
      </c>
      <c r="K187" s="11" t="n">
        <v>53026.5</v>
      </c>
      <c r="L187" s="11" t="n">
        <v>43098.83</v>
      </c>
      <c r="O187" s="75" t="n">
        <v>193</v>
      </c>
      <c r="P187" s="11" t="n">
        <v>40848.76167232768</v>
      </c>
      <c r="Q187" s="11" t="n">
        <v>173152.0534588186</v>
      </c>
      <c r="R187" s="11" t="n">
        <v>41203.03295564672</v>
      </c>
      <c r="U187" s="75" t="n">
        <v>193</v>
      </c>
      <c r="V187" s="3">
        <f>J187-P187+D187</f>
        <v/>
      </c>
      <c r="W187" s="3">
        <f>K187-Q187+E187</f>
        <v/>
      </c>
      <c r="X187" s="3">
        <f>L187-R187+F187</f>
        <v/>
      </c>
      <c r="AA187" s="75" t="n">
        <v>193</v>
      </c>
      <c r="AB187" s="2">
        <f>IF(Demand!AU206&gt;Retailers_Cap!N189,(V187/Retailers!P188)/(Demand!AU206-Retailers_Cap!N189),"Inesgotável")</f>
        <v/>
      </c>
      <c r="AC187" s="2">
        <f>IF(Demand!AV206&gt;Retailers_Cap!O189,(W187/Retailers!Q188)/(Demand!AV206-Retailers_Cap!O189),"Inesgotável")</f>
        <v/>
      </c>
      <c r="AD187" s="2">
        <f>IF(Demand!AW206&gt;Retailers_Cap!P189,(X187/Retailers!R188)/(Demand!AW206-Retailers_Cap!P189),"Inesgotável")</f>
        <v/>
      </c>
      <c r="AG187" s="75" t="n">
        <v>193</v>
      </c>
      <c r="AH187" s="75">
        <f>Retailers!AJ188</f>
        <v/>
      </c>
      <c r="AI187" s="75">
        <f>Retailers!AK188</f>
        <v/>
      </c>
      <c r="AJ187" s="75">
        <f>Retailers!AL188</f>
        <v/>
      </c>
      <c r="AM187" s="75" t="n">
        <v>193</v>
      </c>
      <c r="AN187" s="2">
        <f>IF(P187&gt;0,IF(D187=0,"Big stock",AB187/AH187),"Inesgotável")</f>
        <v/>
      </c>
      <c r="AO187" s="2">
        <f>IF(Q187&gt;0,IF(E187=0,"Big stock",AC187/AI187),"Inesgotável")</f>
        <v/>
      </c>
      <c r="AP187" s="2">
        <f>IF(R187&gt;0,IF(F187=0,"Big stock",AD187/AJ187),"Inesgotável")</f>
        <v/>
      </c>
      <c r="AS187" s="75" t="n">
        <v>193</v>
      </c>
      <c r="AT187" s="2">
        <f>Retailers_Cap!BL189</f>
        <v/>
      </c>
      <c r="AU187" s="2">
        <f>Retailers_Cap!BM189</f>
        <v/>
      </c>
      <c r="AV187" s="2">
        <f>Retailers_Cap!BN189</f>
        <v/>
      </c>
      <c r="AY187" s="75" t="n">
        <v>193</v>
      </c>
      <c r="AZ187" s="2">
        <f>IF(D187=0,"no repl",AB187-AT187)</f>
        <v/>
      </c>
      <c r="BA187" s="2">
        <f>IF(E187=0,"no repl",AC187-AU187)</f>
        <v/>
      </c>
      <c r="BB187" s="2">
        <f>IF(F187=0,"no repl",AD187-AV187)</f>
        <v/>
      </c>
    </row>
    <row r="188">
      <c r="C188" s="75" t="n">
        <v>194</v>
      </c>
      <c r="D188" s="11" t="n">
        <v>123167.9107403068</v>
      </c>
      <c r="E188" s="11" t="n">
        <v>0</v>
      </c>
      <c r="F188" s="11" t="n">
        <v>444812.386535329</v>
      </c>
      <c r="I188" s="75" t="n">
        <v>194</v>
      </c>
      <c r="J188" s="11" t="n">
        <v>30227.68</v>
      </c>
      <c r="K188" s="11" t="n">
        <v>72092.79000000001</v>
      </c>
      <c r="L188" s="11" t="n">
        <v>57944.82</v>
      </c>
      <c r="O188" s="75" t="n">
        <v>194</v>
      </c>
      <c r="P188" s="11" t="n">
        <v>77374.242403886</v>
      </c>
      <c r="Q188" s="11" t="n">
        <v>0</v>
      </c>
      <c r="R188" s="11" t="n">
        <v>273037.8743617234</v>
      </c>
      <c r="U188" s="75" t="n">
        <v>194</v>
      </c>
      <c r="V188" s="3">
        <f>J188-P188+D188</f>
        <v/>
      </c>
      <c r="W188" s="3">
        <f>K188-Q188+E188</f>
        <v/>
      </c>
      <c r="X188" s="3">
        <f>L188-R188+F188</f>
        <v/>
      </c>
      <c r="AA188" s="75" t="n">
        <v>194</v>
      </c>
      <c r="AB188" s="2">
        <f>IF(Demand!AU207&gt;Retailers_Cap!N190,(V188/Retailers!P189)/(Demand!AU207-Retailers_Cap!N190),"Inesgotável")</f>
        <v/>
      </c>
      <c r="AC188" s="2">
        <f>IF(Demand!AV207&gt;Retailers_Cap!O190,(W188/Retailers!Q189)/(Demand!AV207-Retailers_Cap!O190),"Inesgotável")</f>
        <v/>
      </c>
      <c r="AD188" s="2">
        <f>IF(Demand!AW207&gt;Retailers_Cap!P190,(X188/Retailers!R189)/(Demand!AW207-Retailers_Cap!P190),"Inesgotável")</f>
        <v/>
      </c>
      <c r="AG188" s="75" t="n">
        <v>194</v>
      </c>
      <c r="AH188" s="75">
        <f>Retailers!AJ189</f>
        <v/>
      </c>
      <c r="AI188" s="75">
        <f>Retailers!AK189</f>
        <v/>
      </c>
      <c r="AJ188" s="75">
        <f>Retailers!AL189</f>
        <v/>
      </c>
      <c r="AM188" s="75" t="n">
        <v>194</v>
      </c>
      <c r="AN188" s="2">
        <f>IF(P188&gt;0,IF(D188=0,"Big stock",AB188/AH188),"Inesgotável")</f>
        <v/>
      </c>
      <c r="AO188" s="2">
        <f>IF(Q188&gt;0,IF(E188=0,"Big stock",AC188/AI188),"Inesgotável")</f>
        <v/>
      </c>
      <c r="AP188" s="2">
        <f>IF(R188&gt;0,IF(F188=0,"Big stock",AD188/AJ188),"Inesgotável")</f>
        <v/>
      </c>
      <c r="AS188" s="75" t="n">
        <v>194</v>
      </c>
      <c r="AT188" s="2">
        <f>Retailers_Cap!BL190</f>
        <v/>
      </c>
      <c r="AU188" s="2">
        <f>Retailers_Cap!BM190</f>
        <v/>
      </c>
      <c r="AV188" s="2">
        <f>Retailers_Cap!BN190</f>
        <v/>
      </c>
      <c r="AY188" s="75" t="n">
        <v>194</v>
      </c>
      <c r="AZ188" s="2">
        <f>IF(D188=0,"no repl",AB188-AT188)</f>
        <v/>
      </c>
      <c r="BA188" s="2">
        <f>IF(E188=0,"no repl",AC188-AU188)</f>
        <v/>
      </c>
      <c r="BB188" s="2">
        <f>IF(F188=0,"no repl",AD188-AV188)</f>
        <v/>
      </c>
    </row>
    <row r="189">
      <c r="C189" s="75" t="n">
        <v>195</v>
      </c>
      <c r="D189" s="11" t="n">
        <v>301468.0750312125</v>
      </c>
      <c r="E189" s="11" t="n">
        <v>0</v>
      </c>
      <c r="F189" s="11" t="n">
        <v>0</v>
      </c>
      <c r="I189" s="75" t="n">
        <v>195</v>
      </c>
      <c r="J189" s="11" t="n">
        <v>50210.16</v>
      </c>
      <c r="K189" s="11" t="n">
        <v>31460.1</v>
      </c>
      <c r="L189" s="11" t="n">
        <v>46997.75</v>
      </c>
      <c r="O189" s="75" t="n">
        <v>195</v>
      </c>
      <c r="P189" s="11" t="n">
        <v>185588.7341006452</v>
      </c>
      <c r="Q189" s="11" t="n">
        <v>0</v>
      </c>
      <c r="R189" s="11" t="n">
        <v>0</v>
      </c>
      <c r="U189" s="75" t="n">
        <v>195</v>
      </c>
      <c r="V189" s="3">
        <f>J189-P189+D189</f>
        <v/>
      </c>
      <c r="W189" s="3">
        <f>K189-Q189+E189</f>
        <v/>
      </c>
      <c r="X189" s="3">
        <f>L189-R189+F189</f>
        <v/>
      </c>
      <c r="AA189" s="75" t="n">
        <v>195</v>
      </c>
      <c r="AB189" s="2">
        <f>IF(Demand!AU208&gt;Retailers_Cap!N191,(V189/Retailers!P190)/(Demand!AU208-Retailers_Cap!N191),"Inesgotável")</f>
        <v/>
      </c>
      <c r="AC189" s="2">
        <f>IF(Demand!AV208&gt;Retailers_Cap!O191,(W189/Retailers!Q190)/(Demand!AV208-Retailers_Cap!O191),"Inesgotável")</f>
        <v/>
      </c>
      <c r="AD189" s="2">
        <f>IF(Demand!AW208&gt;Retailers_Cap!P191,(X189/Retailers!R190)/(Demand!AW208-Retailers_Cap!P191),"Inesgotável")</f>
        <v/>
      </c>
      <c r="AG189" s="75" t="n">
        <v>195</v>
      </c>
      <c r="AH189" s="75">
        <f>Retailers!AJ190</f>
        <v/>
      </c>
      <c r="AI189" s="75">
        <f>Retailers!AK190</f>
        <v/>
      </c>
      <c r="AJ189" s="75">
        <f>Retailers!AL190</f>
        <v/>
      </c>
      <c r="AM189" s="75" t="n">
        <v>195</v>
      </c>
      <c r="AN189" s="2">
        <f>IF(P189&gt;0,IF(D189=0,"Big stock",AB189/AH189),"Inesgotável")</f>
        <v/>
      </c>
      <c r="AO189" s="2">
        <f>IF(Q189&gt;0,IF(E189=0,"Big stock",AC189/AI189),"Inesgotável")</f>
        <v/>
      </c>
      <c r="AP189" s="2">
        <f>IF(R189&gt;0,IF(F189=0,"Big stock",AD189/AJ189),"Inesgotável")</f>
        <v/>
      </c>
      <c r="AS189" s="75" t="n">
        <v>195</v>
      </c>
      <c r="AT189" s="2">
        <f>Retailers_Cap!BL191</f>
        <v/>
      </c>
      <c r="AU189" s="2">
        <f>Retailers_Cap!BM191</f>
        <v/>
      </c>
      <c r="AV189" s="2">
        <f>Retailers_Cap!BN191</f>
        <v/>
      </c>
      <c r="AY189" s="75" t="n">
        <v>195</v>
      </c>
      <c r="AZ189" s="2">
        <f>IF(D189=0,"no repl",AB189-AT189)</f>
        <v/>
      </c>
      <c r="BA189" s="2">
        <f>IF(E189=0,"no repl",AC189-AU189)</f>
        <v/>
      </c>
      <c r="BB189" s="2">
        <f>IF(F189=0,"no repl",AD189-AV189)</f>
        <v/>
      </c>
    </row>
    <row r="190">
      <c r="C190" s="75" t="n">
        <v>196</v>
      </c>
      <c r="D190" s="11" t="n">
        <v>0</v>
      </c>
      <c r="E190" s="11" t="n">
        <v>0</v>
      </c>
      <c r="F190" s="11" t="n">
        <v>0</v>
      </c>
      <c r="I190" s="75" t="n">
        <v>196</v>
      </c>
      <c r="J190" s="11" t="n">
        <v>16337.7</v>
      </c>
      <c r="K190" s="11" t="n">
        <v>63168</v>
      </c>
      <c r="L190" s="11" t="n">
        <v>79444.72</v>
      </c>
      <c r="O190" s="75" t="n">
        <v>196</v>
      </c>
      <c r="P190" s="11" t="n">
        <v>0</v>
      </c>
      <c r="Q190" s="11" t="n">
        <v>0</v>
      </c>
      <c r="R190" s="11" t="n">
        <v>0</v>
      </c>
      <c r="U190" s="75" t="n">
        <v>196</v>
      </c>
      <c r="V190" s="3">
        <f>J190-P190+D190</f>
        <v/>
      </c>
      <c r="W190" s="3">
        <f>K190-Q190+E190</f>
        <v/>
      </c>
      <c r="X190" s="3">
        <f>L190-R190+F190</f>
        <v/>
      </c>
      <c r="AA190" s="75" t="n">
        <v>196</v>
      </c>
      <c r="AB190" s="2">
        <f>IF(Demand!AU209&gt;Retailers_Cap!N192,(V190/Retailers!P191)/(Demand!AU209-Retailers_Cap!N192),"Inesgotável")</f>
        <v/>
      </c>
      <c r="AC190" s="2">
        <f>IF(Demand!AV209&gt;Retailers_Cap!O192,(W190/Retailers!Q191)/(Demand!AV209-Retailers_Cap!O192),"Inesgotável")</f>
        <v/>
      </c>
      <c r="AD190" s="2">
        <f>IF(Demand!AW209&gt;Retailers_Cap!P192,(X190/Retailers!R191)/(Demand!AW209-Retailers_Cap!P192),"Inesgotável")</f>
        <v/>
      </c>
      <c r="AG190" s="75" t="n">
        <v>196</v>
      </c>
      <c r="AH190" s="75">
        <f>Retailers!AJ191</f>
        <v/>
      </c>
      <c r="AI190" s="75">
        <f>Retailers!AK191</f>
        <v/>
      </c>
      <c r="AJ190" s="75">
        <f>Retailers!AL191</f>
        <v/>
      </c>
      <c r="AM190" s="75" t="n">
        <v>196</v>
      </c>
      <c r="AN190" s="2">
        <f>IF(P190&gt;0,IF(D190=0,"Big stock",AB190/AH190),"Inesgotável")</f>
        <v/>
      </c>
      <c r="AO190" s="2">
        <f>IF(Q190&gt;0,IF(E190=0,"Big stock",AC190/AI190),"Inesgotável")</f>
        <v/>
      </c>
      <c r="AP190" s="2">
        <f>IF(R190&gt;0,IF(F190=0,"Big stock",AD190/AJ190),"Inesgotável")</f>
        <v/>
      </c>
      <c r="AS190" s="75" t="n">
        <v>196</v>
      </c>
      <c r="AT190" s="2">
        <f>Retailers_Cap!BL192</f>
        <v/>
      </c>
      <c r="AU190" s="2">
        <f>Retailers_Cap!BM192</f>
        <v/>
      </c>
      <c r="AV190" s="2">
        <f>Retailers_Cap!BN192</f>
        <v/>
      </c>
      <c r="AY190" s="75" t="n">
        <v>196</v>
      </c>
      <c r="AZ190" s="2">
        <f>IF(D190=0,"no repl",AB190-AT190)</f>
        <v/>
      </c>
      <c r="BA190" s="2">
        <f>IF(E190=0,"no repl",AC190-AU190)</f>
        <v/>
      </c>
      <c r="BB190" s="2">
        <f>IF(F190=0,"no repl",AD190-AV190)</f>
        <v/>
      </c>
    </row>
    <row r="191">
      <c r="C191" s="75" t="n">
        <v>197</v>
      </c>
      <c r="D191" s="11" t="n">
        <v>222083.2732539336</v>
      </c>
      <c r="E191" s="11" t="n">
        <v>59889.31664611945</v>
      </c>
      <c r="F191" s="11" t="n">
        <v>0</v>
      </c>
      <c r="I191" s="75" t="n">
        <v>197</v>
      </c>
      <c r="J191" s="11" t="n">
        <v>67110.45</v>
      </c>
      <c r="K191" s="11" t="n">
        <v>36520.26</v>
      </c>
      <c r="L191" s="11" t="n">
        <v>48886.56</v>
      </c>
      <c r="O191" s="75" t="n">
        <v>197</v>
      </c>
      <c r="P191" s="11" t="n">
        <v>128210.1598047087</v>
      </c>
      <c r="Q191" s="11" t="n">
        <v>39480.30765063239</v>
      </c>
      <c r="R191" s="11" t="n">
        <v>0</v>
      </c>
      <c r="U191" s="75" t="n">
        <v>197</v>
      </c>
      <c r="V191" s="3">
        <f>J191-P191+D191</f>
        <v/>
      </c>
      <c r="W191" s="3">
        <f>K191-Q191+E191</f>
        <v/>
      </c>
      <c r="X191" s="3">
        <f>L191-R191+F191</f>
        <v/>
      </c>
      <c r="AA191" s="75" t="n">
        <v>197</v>
      </c>
      <c r="AB191" s="2">
        <f>IF(Demand!AU210&gt;Retailers_Cap!N193,(V191/Retailers!P192)/(Demand!AU210-Retailers_Cap!N193),"Inesgotável")</f>
        <v/>
      </c>
      <c r="AC191" s="2">
        <f>IF(Demand!AV210&gt;Retailers_Cap!O193,(W191/Retailers!Q192)/(Demand!AV210-Retailers_Cap!O193),"Inesgotável")</f>
        <v/>
      </c>
      <c r="AD191" s="2">
        <f>IF(Demand!AW210&gt;Retailers_Cap!P193,(X191/Retailers!R192)/(Demand!AW210-Retailers_Cap!P193),"Inesgotável")</f>
        <v/>
      </c>
      <c r="AG191" s="75" t="n">
        <v>197</v>
      </c>
      <c r="AH191" s="75">
        <f>Retailers!AJ192</f>
        <v/>
      </c>
      <c r="AI191" s="75">
        <f>Retailers!AK192</f>
        <v/>
      </c>
      <c r="AJ191" s="75">
        <f>Retailers!AL192</f>
        <v/>
      </c>
      <c r="AM191" s="75" t="n">
        <v>197</v>
      </c>
      <c r="AN191" s="2">
        <f>IF(P191&gt;0,IF(D191=0,"Big stock",AB191/AH191),"Inesgotável")</f>
        <v/>
      </c>
      <c r="AO191" s="2">
        <f>IF(Q191&gt;0,IF(E191=0,"Big stock",AC191/AI191),"Inesgotável")</f>
        <v/>
      </c>
      <c r="AP191" s="2">
        <f>IF(R191&gt;0,IF(F191=0,"Big stock",AD191/AJ191),"Inesgotável")</f>
        <v/>
      </c>
      <c r="AS191" s="75" t="n">
        <v>197</v>
      </c>
      <c r="AT191" s="2">
        <f>Retailers_Cap!BL193</f>
        <v/>
      </c>
      <c r="AU191" s="2">
        <f>Retailers_Cap!BM193</f>
        <v/>
      </c>
      <c r="AV191" s="2">
        <f>Retailers_Cap!BN193</f>
        <v/>
      </c>
      <c r="AY191" s="75" t="n">
        <v>197</v>
      </c>
      <c r="AZ191" s="2">
        <f>IF(D191=0,"no repl",AB191-AT191)</f>
        <v/>
      </c>
      <c r="BA191" s="2">
        <f>IF(E191=0,"no repl",AC191-AU191)</f>
        <v/>
      </c>
      <c r="BB191" s="2">
        <f>IF(F191=0,"no repl",AD191-AV191)</f>
        <v/>
      </c>
    </row>
    <row r="192">
      <c r="C192" s="75" t="n">
        <v>198</v>
      </c>
      <c r="D192" s="11" t="n">
        <v>0</v>
      </c>
      <c r="E192" s="11" t="n">
        <v>0</v>
      </c>
      <c r="F192" s="11" t="n">
        <v>0</v>
      </c>
      <c r="I192" s="75" t="n">
        <v>198</v>
      </c>
      <c r="J192" s="11" t="n">
        <v>97547.52</v>
      </c>
      <c r="K192" s="11" t="n">
        <v>98166.73999999999</v>
      </c>
      <c r="L192" s="11" t="n">
        <v>35595.84</v>
      </c>
      <c r="O192" s="75" t="n">
        <v>198</v>
      </c>
      <c r="P192" s="11" t="n">
        <v>0</v>
      </c>
      <c r="Q192" s="11" t="n">
        <v>0</v>
      </c>
      <c r="R192" s="11" t="n">
        <v>0</v>
      </c>
      <c r="U192" s="75" t="n">
        <v>198</v>
      </c>
      <c r="V192" s="3">
        <f>J192-P192+D192</f>
        <v/>
      </c>
      <c r="W192" s="3">
        <f>K192-Q192+E192</f>
        <v/>
      </c>
      <c r="X192" s="3">
        <f>L192-R192+F192</f>
        <v/>
      </c>
      <c r="AA192" s="75" t="n">
        <v>198</v>
      </c>
      <c r="AB192" s="2">
        <f>IF(Demand!AU211&gt;Retailers_Cap!N194,(V192/Retailers!P193)/(Demand!AU211-Retailers_Cap!N194),"Inesgotável")</f>
        <v/>
      </c>
      <c r="AC192" s="2">
        <f>IF(Demand!AV211&gt;Retailers_Cap!O194,(W192/Retailers!Q193)/(Demand!AV211-Retailers_Cap!O194),"Inesgotável")</f>
        <v/>
      </c>
      <c r="AD192" s="2">
        <f>IF(Demand!AW211&gt;Retailers_Cap!P194,(X192/Retailers!R193)/(Demand!AW211-Retailers_Cap!P194),"Inesgotável")</f>
        <v/>
      </c>
      <c r="AG192" s="75" t="n">
        <v>198</v>
      </c>
      <c r="AH192" s="75">
        <f>Retailers!AJ193</f>
        <v/>
      </c>
      <c r="AI192" s="75">
        <f>Retailers!AK193</f>
        <v/>
      </c>
      <c r="AJ192" s="75">
        <f>Retailers!AL193</f>
        <v/>
      </c>
      <c r="AM192" s="75" t="n">
        <v>198</v>
      </c>
      <c r="AN192" s="2">
        <f>IF(P192&gt;0,IF(D192=0,"Big stock",AB192/AH192),"Inesgotável")</f>
        <v/>
      </c>
      <c r="AO192" s="2">
        <f>IF(Q192&gt;0,IF(E192=0,"Big stock",AC192/AI192),"Inesgotável")</f>
        <v/>
      </c>
      <c r="AP192" s="2">
        <f>IF(R192&gt;0,IF(F192=0,"Big stock",AD192/AJ192),"Inesgotável")</f>
        <v/>
      </c>
      <c r="AS192" s="75" t="n">
        <v>198</v>
      </c>
      <c r="AT192" s="2">
        <f>Retailers_Cap!BL194</f>
        <v/>
      </c>
      <c r="AU192" s="2">
        <f>Retailers_Cap!BM194</f>
        <v/>
      </c>
      <c r="AV192" s="2">
        <f>Retailers_Cap!BN194</f>
        <v/>
      </c>
      <c r="AY192" s="75" t="n">
        <v>198</v>
      </c>
      <c r="AZ192" s="2">
        <f>IF(D192=0,"no repl",AB192-AT192)</f>
        <v/>
      </c>
      <c r="BA192" s="2">
        <f>IF(E192=0,"no repl",AC192-AU192)</f>
        <v/>
      </c>
      <c r="BB192" s="2">
        <f>IF(F192=0,"no repl",AD192-AV192)</f>
        <v/>
      </c>
    </row>
    <row r="193">
      <c r="C193" s="75" t="n">
        <v>199</v>
      </c>
      <c r="D193" s="11" t="n">
        <v>0</v>
      </c>
      <c r="E193" s="11" t="n">
        <v>46428.13811262192</v>
      </c>
      <c r="F193" s="11" t="n">
        <v>247050.9576163421</v>
      </c>
      <c r="I193" s="75" t="n">
        <v>199</v>
      </c>
      <c r="J193" s="11" t="n">
        <v>5568.5</v>
      </c>
      <c r="K193" s="11" t="n">
        <v>19581.44</v>
      </c>
      <c r="L193" s="11" t="n">
        <v>77445.59999999999</v>
      </c>
      <c r="O193" s="75" t="n">
        <v>199</v>
      </c>
      <c r="P193" s="11" t="n">
        <v>0</v>
      </c>
      <c r="Q193" s="11" t="n">
        <v>30690.80236808675</v>
      </c>
      <c r="R193" s="11" t="n">
        <v>157057.9590251125</v>
      </c>
      <c r="U193" s="75" t="n">
        <v>199</v>
      </c>
      <c r="V193" s="3">
        <f>J193-P193+D193</f>
        <v/>
      </c>
      <c r="W193" s="3">
        <f>K193-Q193+E193</f>
        <v/>
      </c>
      <c r="X193" s="3">
        <f>L193-R193+F193</f>
        <v/>
      </c>
      <c r="AA193" s="75" t="n">
        <v>199</v>
      </c>
      <c r="AB193" s="2">
        <f>IF(Demand!AU212&gt;Retailers_Cap!N195,(V193/Retailers!P194)/(Demand!AU212-Retailers_Cap!N195),"Inesgotável")</f>
        <v/>
      </c>
      <c r="AC193" s="2">
        <f>IF(Demand!AV212&gt;Retailers_Cap!O195,(W193/Retailers!Q194)/(Demand!AV212-Retailers_Cap!O195),"Inesgotável")</f>
        <v/>
      </c>
      <c r="AD193" s="2">
        <f>IF(Demand!AW212&gt;Retailers_Cap!P195,(X193/Retailers!R194)/(Demand!AW212-Retailers_Cap!P195),"Inesgotável")</f>
        <v/>
      </c>
      <c r="AG193" s="75" t="n">
        <v>199</v>
      </c>
      <c r="AH193" s="75">
        <f>Retailers!AJ194</f>
        <v/>
      </c>
      <c r="AI193" s="75">
        <f>Retailers!AK194</f>
        <v/>
      </c>
      <c r="AJ193" s="75">
        <f>Retailers!AL194</f>
        <v/>
      </c>
      <c r="AM193" s="75" t="n">
        <v>199</v>
      </c>
      <c r="AN193" s="2">
        <f>IF(P193&gt;0,IF(D193=0,"Big stock",AB193/AH193),"Inesgotável")</f>
        <v/>
      </c>
      <c r="AO193" s="2">
        <f>IF(Q193&gt;0,IF(E193=0,"Big stock",AC193/AI193),"Inesgotável")</f>
        <v/>
      </c>
      <c r="AP193" s="2">
        <f>IF(R193&gt;0,IF(F193=0,"Big stock",AD193/AJ193),"Inesgotável")</f>
        <v/>
      </c>
      <c r="AS193" s="75" t="n">
        <v>199</v>
      </c>
      <c r="AT193" s="2">
        <f>Retailers_Cap!BL195</f>
        <v/>
      </c>
      <c r="AU193" s="2">
        <f>Retailers_Cap!BM195</f>
        <v/>
      </c>
      <c r="AV193" s="2">
        <f>Retailers_Cap!BN195</f>
        <v/>
      </c>
      <c r="AY193" s="75" t="n">
        <v>199</v>
      </c>
      <c r="AZ193" s="2">
        <f>IF(D193=0,"no repl",AB193-AT193)</f>
        <v/>
      </c>
      <c r="BA193" s="2">
        <f>IF(E193=0,"no repl",AC193-AU193)</f>
        <v/>
      </c>
      <c r="BB193" s="2">
        <f>IF(F193=0,"no repl",AD193-AV193)</f>
        <v/>
      </c>
    </row>
    <row r="194">
      <c r="C194" s="75" t="n">
        <v>200</v>
      </c>
      <c r="D194" s="11" t="n">
        <v>337793.0564354492</v>
      </c>
      <c r="E194" s="11" t="n">
        <v>138582.3497657289</v>
      </c>
      <c r="F194" s="11" t="n">
        <v>0</v>
      </c>
      <c r="I194" s="75" t="n">
        <v>200</v>
      </c>
      <c r="J194" s="11" t="n">
        <v>43250.89000000001</v>
      </c>
      <c r="K194" s="11" t="n">
        <v>8282.299999999999</v>
      </c>
      <c r="L194" s="11" t="n">
        <v>93210.74000000001</v>
      </c>
      <c r="O194" s="75" t="n">
        <v>200</v>
      </c>
      <c r="P194" s="11" t="n">
        <v>204279.2652930004</v>
      </c>
      <c r="Q194" s="11" t="n">
        <v>86865.00172123962</v>
      </c>
      <c r="R194" s="11" t="n">
        <v>0</v>
      </c>
      <c r="U194" s="75" t="n">
        <v>200</v>
      </c>
      <c r="V194" s="3">
        <f>J194-P194+D194</f>
        <v/>
      </c>
      <c r="W194" s="3">
        <f>K194-Q194+E194</f>
        <v/>
      </c>
      <c r="X194" s="3">
        <f>L194-R194+F194</f>
        <v/>
      </c>
      <c r="AA194" s="75" t="n">
        <v>200</v>
      </c>
      <c r="AB194" s="2">
        <f>IF(Demand!AU213&gt;Retailers_Cap!N196,(V194/Retailers!P195)/(Demand!AU213-Retailers_Cap!N196),"Inesgotável")</f>
        <v/>
      </c>
      <c r="AC194" s="2">
        <f>IF(Demand!AV213&gt;Retailers_Cap!O196,(W194/Retailers!Q195)/(Demand!AV213-Retailers_Cap!O196),"Inesgotável")</f>
        <v/>
      </c>
      <c r="AD194" s="2">
        <f>IF(Demand!AW213&gt;Retailers_Cap!P196,(X194/Retailers!R195)/(Demand!AW213-Retailers_Cap!P196),"Inesgotável")</f>
        <v/>
      </c>
      <c r="AG194" s="75" t="n">
        <v>200</v>
      </c>
      <c r="AH194" s="75">
        <f>Retailers!AJ195</f>
        <v/>
      </c>
      <c r="AI194" s="75">
        <f>Retailers!AK195</f>
        <v/>
      </c>
      <c r="AJ194" s="75">
        <f>Retailers!AL195</f>
        <v/>
      </c>
      <c r="AM194" s="75" t="n">
        <v>200</v>
      </c>
      <c r="AN194" s="2">
        <f>IF(P194&gt;0,IF(D194=0,"Big stock",AB194/AH194),"Inesgotável")</f>
        <v/>
      </c>
      <c r="AO194" s="2">
        <f>IF(Q194&gt;0,IF(E194=0,"Big stock",AC194/AI194),"Inesgotável")</f>
        <v/>
      </c>
      <c r="AP194" s="2">
        <f>IF(R194&gt;0,IF(F194=0,"Big stock",AD194/AJ194),"Inesgotável")</f>
        <v/>
      </c>
      <c r="AS194" s="75" t="n">
        <v>200</v>
      </c>
      <c r="AT194" s="2">
        <f>Retailers_Cap!BL196</f>
        <v/>
      </c>
      <c r="AU194" s="2">
        <f>Retailers_Cap!BM196</f>
        <v/>
      </c>
      <c r="AV194" s="2">
        <f>Retailers_Cap!BN196</f>
        <v/>
      </c>
      <c r="AY194" s="75" t="n">
        <v>200</v>
      </c>
      <c r="AZ194" s="2">
        <f>IF(D194=0,"no repl",AB194-AT194)</f>
        <v/>
      </c>
      <c r="BA194" s="2">
        <f>IF(E194=0,"no repl",AC194-AU194)</f>
        <v/>
      </c>
      <c r="BB194" s="2">
        <f>IF(F194=0,"no repl",AD194-AV194)</f>
        <v/>
      </c>
    </row>
    <row r="195">
      <c r="AG195" s="75" t="inlineStr">
        <is>
          <t>*</t>
        </is>
      </c>
      <c r="AH195" s="75" t="inlineStr">
        <is>
          <t>*</t>
        </is>
      </c>
      <c r="AI195" s="75" t="inlineStr">
        <is>
          <t>*</t>
        </is>
      </c>
      <c r="AJ195" s="75" t="inlineStr">
        <is>
          <t>*</t>
        </is>
      </c>
      <c r="AK195" t="inlineStr">
        <is>
          <t>*</t>
        </is>
      </c>
      <c r="AL195" t="inlineStr">
        <is>
          <t>*</t>
        </is>
      </c>
      <c r="AM195" t="inlineStr">
        <is>
          <t>*</t>
        </is>
      </c>
      <c r="AN195" t="inlineStr">
        <is>
          <t>*</t>
        </is>
      </c>
      <c r="AO195" t="inlineStr">
        <is>
          <t>*</t>
        </is>
      </c>
      <c r="AP195" t="inlineStr">
        <is>
          <t>*</t>
        </is>
      </c>
      <c r="AQ195" t="inlineStr">
        <is>
          <t>*</t>
        </is>
      </c>
      <c r="AR195" t="inlineStr">
        <is>
          <t>*</t>
        </is>
      </c>
      <c r="AS195" t="inlineStr">
        <is>
          <t>*</t>
        </is>
      </c>
      <c r="AT195" t="inlineStr">
        <is>
          <t>*</t>
        </is>
      </c>
      <c r="AU195" t="inlineStr">
        <is>
          <t>*</t>
        </is>
      </c>
      <c r="AV195" t="inlineStr">
        <is>
          <t>*</t>
        </is>
      </c>
      <c r="AW195" t="inlineStr">
        <is>
          <t>*</t>
        </is>
      </c>
      <c r="AX195" t="inlineStr">
        <is>
          <t>*</t>
        </is>
      </c>
      <c r="AY195" t="inlineStr">
        <is>
          <t>*</t>
        </is>
      </c>
      <c r="AZ195" t="inlineStr">
        <is>
          <t>*</t>
        </is>
      </c>
      <c r="BA195" t="inlineStr">
        <is>
          <t>*</t>
        </is>
      </c>
      <c r="BB195" t="inlineStr">
        <is>
          <t>*</t>
        </is>
      </c>
      <c r="BC195" t="inlineStr">
        <is>
          <t>*</t>
        </is>
      </c>
      <c r="BD195" t="inlineStr">
        <is>
          <t>*</t>
        </is>
      </c>
      <c r="BE195" t="inlineStr">
        <is>
          <t>*</t>
        </is>
      </c>
      <c r="BF195" t="inlineStr">
        <is>
          <t>*</t>
        </is>
      </c>
      <c r="BG195" t="inlineStr">
        <is>
          <t>*</t>
        </is>
      </c>
      <c r="BH195" t="inlineStr">
        <is>
          <t>*</t>
        </is>
      </c>
      <c r="BI195" t="inlineStr">
        <is>
          <t>*</t>
        </is>
      </c>
      <c r="BJ195" t="inlineStr">
        <is>
          <t>*</t>
        </is>
      </c>
      <c r="BK195" t="inlineStr">
        <is>
          <t>*</t>
        </is>
      </c>
      <c r="BL195" t="inlineStr">
        <is>
          <t>*</t>
        </is>
      </c>
      <c r="BM195" t="inlineStr">
        <is>
          <t>*</t>
        </is>
      </c>
      <c r="BN195" t="inlineStr">
        <is>
          <t>*</t>
        </is>
      </c>
      <c r="BO195" t="inlineStr">
        <is>
          <t>*</t>
        </is>
      </c>
      <c r="BP195" t="inlineStr">
        <is>
          <t>*</t>
        </is>
      </c>
      <c r="BQ195" t="inlineStr">
        <is>
          <t>*</t>
        </is>
      </c>
      <c r="BR195" t="inlineStr">
        <is>
          <t>*</t>
        </is>
      </c>
    </row>
  </sheetData>
  <pageMargins left="0.511811024" right="0.511811024" top="0.787401575" bottom="0.787401575" header="0.31496062" footer="0.31496062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C2:X34"/>
  <sheetViews>
    <sheetView zoomScale="90" zoomScaleNormal="90" workbookViewId="0">
      <selection activeCell="I17" sqref="I17"/>
    </sheetView>
  </sheetViews>
  <sheetFormatPr baseColWidth="8" defaultColWidth="8.88671875" defaultRowHeight="14.4"/>
  <cols>
    <col width="5.44140625" customWidth="1" style="15" min="1" max="1"/>
    <col width="6.33203125" customWidth="1" style="15" min="2" max="2"/>
    <col width="12.6640625" bestFit="1" customWidth="1" style="15" min="3" max="3"/>
    <col width="17.109375" bestFit="1" customWidth="1" style="15" min="4" max="4"/>
    <col width="11.5546875" bestFit="1" customWidth="1" style="15" min="5" max="5"/>
    <col width="8.88671875" customWidth="1" style="15" min="6" max="6"/>
    <col width="14.6640625" bestFit="1" customWidth="1" style="15" min="7" max="7"/>
    <col width="8.88671875" customWidth="1" style="15" min="8" max="16384"/>
  </cols>
  <sheetData>
    <row r="2">
      <c r="I2" s="46" t="inlineStr">
        <is>
          <t>Leadtime</t>
        </is>
      </c>
    </row>
    <row r="3">
      <c r="I3" s="15" t="n">
        <v>15</v>
      </c>
      <c r="J3" s="15" t="inlineStr">
        <is>
          <t>dias</t>
        </is>
      </c>
    </row>
    <row r="4">
      <c r="E4" s="74" t="inlineStr">
        <is>
          <t>GERADOR DE DADOS</t>
        </is>
      </c>
    </row>
    <row r="5">
      <c r="I5" s="15" t="n">
        <v>1</v>
      </c>
      <c r="J5" s="15" t="n">
        <v>2</v>
      </c>
      <c r="K5" s="15" t="n">
        <v>3</v>
      </c>
      <c r="L5" s="15" t="n">
        <v>4</v>
      </c>
      <c r="M5" s="15" t="n">
        <v>5</v>
      </c>
      <c r="N5" s="15" t="n">
        <v>6</v>
      </c>
      <c r="O5" s="15" t="n">
        <v>7</v>
      </c>
      <c r="P5" s="15" t="n">
        <v>8</v>
      </c>
      <c r="Q5" s="15" t="n">
        <v>9</v>
      </c>
      <c r="R5" s="15" t="n">
        <v>10</v>
      </c>
      <c r="S5" s="15" t="n">
        <v>11</v>
      </c>
      <c r="T5" s="15" t="n">
        <v>12</v>
      </c>
      <c r="U5" s="15" t="n">
        <v>13</v>
      </c>
      <c r="V5" s="15" t="n">
        <v>14</v>
      </c>
      <c r="W5" s="15" t="n">
        <v>15</v>
      </c>
    </row>
    <row r="6">
      <c r="C6" s="15" t="inlineStr">
        <is>
          <t>$/prod</t>
        </is>
      </c>
      <c r="D6" s="15" t="inlineStr">
        <is>
          <t>Avarege</t>
        </is>
      </c>
      <c r="E6" s="39">
        <f>Factories!E6/2</f>
        <v/>
      </c>
      <c r="F6" s="15">
        <f>TRUNC((_xlfn.NORM.INV((RAND()),$E$6,$E$7)),2)</f>
        <v/>
      </c>
      <c r="G6" s="15" t="inlineStr">
        <is>
          <t>Hw</t>
        </is>
      </c>
      <c r="H6" s="15" t="n">
        <v>1</v>
      </c>
      <c r="I6" s="40" t="n">
        <v>85.76000000000001</v>
      </c>
      <c r="J6" s="40" t="n">
        <v>51.23</v>
      </c>
      <c r="K6" s="40" t="n">
        <v>25</v>
      </c>
      <c r="L6" s="40" t="n">
        <v>119.18</v>
      </c>
      <c r="M6" s="40" t="n">
        <v>82.26000000000001</v>
      </c>
      <c r="N6" s="40" t="n">
        <v>41.03</v>
      </c>
      <c r="O6" s="40" t="n">
        <v>113.67</v>
      </c>
      <c r="P6" s="40" t="n">
        <v>98.95</v>
      </c>
      <c r="Q6" s="40" t="n">
        <v>76.58</v>
      </c>
      <c r="R6" s="40" t="n">
        <v>76.8</v>
      </c>
      <c r="S6" s="40" t="n">
        <v>30.77</v>
      </c>
      <c r="T6" s="40" t="n">
        <v>70.26000000000001</v>
      </c>
      <c r="U6" s="40" t="n">
        <v>90.92</v>
      </c>
      <c r="V6" s="40" t="n">
        <v>94.43000000000001</v>
      </c>
      <c r="W6" s="40" t="n">
        <v>32.45</v>
      </c>
    </row>
    <row r="7">
      <c r="C7" s="15" t="inlineStr">
        <is>
          <t>$/prod</t>
        </is>
      </c>
      <c r="D7" s="15" t="inlineStr">
        <is>
          <t>Std Devition</t>
        </is>
      </c>
      <c r="E7" s="39">
        <f>E6*0.4</f>
        <v/>
      </c>
      <c r="F7" s="15">
        <f>TRUNC((_xlfn.NORM.INV((RAND()),$E$6,$E$7)),2)</f>
        <v/>
      </c>
      <c r="H7" s="15" t="n">
        <v>2</v>
      </c>
      <c r="I7" s="40" t="n">
        <v>52.86</v>
      </c>
      <c r="J7" s="40" t="n">
        <v>71.7</v>
      </c>
      <c r="K7" s="40" t="n">
        <v>100.13</v>
      </c>
      <c r="L7" s="40" t="n">
        <v>67.59</v>
      </c>
      <c r="M7" s="40" t="n">
        <v>63.07</v>
      </c>
      <c r="N7" s="40" t="n">
        <v>86.44</v>
      </c>
      <c r="O7" s="40" t="n">
        <v>94.52</v>
      </c>
      <c r="P7" s="40" t="n">
        <v>82.73999999999999</v>
      </c>
      <c r="Q7" s="40" t="n">
        <v>92.01000000000001</v>
      </c>
      <c r="R7" s="40" t="n">
        <v>109.64</v>
      </c>
      <c r="S7" s="40" t="n">
        <v>67.83</v>
      </c>
      <c r="T7" s="40" t="n">
        <v>108.04</v>
      </c>
      <c r="U7" s="40" t="n">
        <v>17.92</v>
      </c>
      <c r="V7" s="40" t="n">
        <v>106.04</v>
      </c>
      <c r="W7" s="40" t="n">
        <v>41.56</v>
      </c>
    </row>
    <row r="8">
      <c r="F8" s="15">
        <f>TRUNC((_xlfn.NORM.INV((RAND()),$E$6,$E$7)),2)</f>
        <v/>
      </c>
      <c r="H8" s="15" t="n">
        <v>3</v>
      </c>
      <c r="I8" s="40" t="n">
        <v>105.74</v>
      </c>
      <c r="J8" s="40" t="n">
        <v>126.76</v>
      </c>
      <c r="K8" s="40" t="n">
        <v>51.89</v>
      </c>
      <c r="L8" s="40" t="n">
        <v>127.34</v>
      </c>
      <c r="M8" s="40" t="n">
        <v>90.98</v>
      </c>
      <c r="N8" s="40" t="n">
        <v>50.78</v>
      </c>
      <c r="O8" s="40" t="n">
        <v>118.74</v>
      </c>
      <c r="P8" s="40" t="n">
        <v>105.73</v>
      </c>
      <c r="Q8" s="40" t="n">
        <v>119.92</v>
      </c>
      <c r="R8" s="40" t="n">
        <v>40.79</v>
      </c>
      <c r="S8" s="40" t="n">
        <v>112.82</v>
      </c>
      <c r="T8" s="40" t="n">
        <v>84.56</v>
      </c>
      <c r="U8" s="40" t="n">
        <v>149.68</v>
      </c>
      <c r="V8" s="40" t="n">
        <v>82.2</v>
      </c>
      <c r="W8" s="40" t="n">
        <v>93.83</v>
      </c>
    </row>
    <row r="9"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</row>
    <row r="10">
      <c r="I10" s="74" t="inlineStr">
        <is>
          <t>Variância da demanda média</t>
        </is>
      </c>
    </row>
    <row r="11">
      <c r="I11" s="15" t="n">
        <v>1</v>
      </c>
      <c r="J11" s="15" t="n">
        <v>2</v>
      </c>
      <c r="K11" s="15" t="n">
        <v>3</v>
      </c>
      <c r="L11" s="15" t="n">
        <v>4</v>
      </c>
      <c r="M11" s="15" t="n">
        <v>5</v>
      </c>
      <c r="N11" s="15" t="n">
        <v>6</v>
      </c>
      <c r="O11" s="15" t="n">
        <v>7</v>
      </c>
      <c r="P11" s="15" t="n">
        <v>8</v>
      </c>
      <c r="Q11" s="15" t="n">
        <v>9</v>
      </c>
      <c r="R11" s="15" t="n">
        <v>10</v>
      </c>
      <c r="S11" s="15" t="n">
        <v>11</v>
      </c>
      <c r="T11" s="15" t="n">
        <v>12</v>
      </c>
      <c r="U11" s="15" t="n">
        <v>13</v>
      </c>
      <c r="V11" s="15" t="n">
        <v>14</v>
      </c>
      <c r="W11" s="15" t="n">
        <v>15</v>
      </c>
    </row>
    <row r="12">
      <c r="H12" s="15" t="n">
        <v>1</v>
      </c>
      <c r="I12" s="15">
        <f>TRUNC(((Demand!AU5*0.2)^2)/30,2)</f>
        <v/>
      </c>
      <c r="J12" s="15">
        <f>TRUNC(((Demand!AV5*0.2)^2)/30,2)</f>
        <v/>
      </c>
      <c r="K12" s="15">
        <f>TRUNC(((Demand!AW5*0.2)^2)/30,2)</f>
        <v/>
      </c>
      <c r="L12" s="15">
        <f>TRUNC(((Demand!AX5*0.2)^2)/30,2)</f>
        <v/>
      </c>
      <c r="M12" s="15">
        <f>TRUNC(((Demand!AY5*0.2)^2)/30,2)</f>
        <v/>
      </c>
      <c r="N12" s="15">
        <f>TRUNC(((Demand!AZ5*0.2)^2)/30,2)</f>
        <v/>
      </c>
      <c r="O12" s="15">
        <f>TRUNC(((Demand!BA5*0.2)^2)/30,2)</f>
        <v/>
      </c>
      <c r="P12" s="15">
        <f>TRUNC(((Demand!BB5*0.2)^2)/30,2)</f>
        <v/>
      </c>
      <c r="Q12" s="15">
        <f>TRUNC(((Demand!BC5*0.2)^2)/30,2)</f>
        <v/>
      </c>
      <c r="R12" s="15">
        <f>TRUNC(((Demand!BD5*0.2)^2)/30,2)</f>
        <v/>
      </c>
      <c r="S12" s="15">
        <f>TRUNC(((Demand!BE5*0.2)^2)/30,2)</f>
        <v/>
      </c>
      <c r="T12" s="15">
        <f>TRUNC(((Demand!BF5*0.2)^2)/30,2)</f>
        <v/>
      </c>
      <c r="U12" s="15">
        <f>TRUNC(((Demand!BG5*0.2)^2)/30,2)</f>
        <v/>
      </c>
      <c r="V12" s="15">
        <f>TRUNC(((Demand!BH5*0.2)^2)/30,2)</f>
        <v/>
      </c>
      <c r="W12" s="15">
        <f>TRUNC(((Demand!BI5*0.2)^2)/30,2)</f>
        <v/>
      </c>
    </row>
    <row r="13">
      <c r="H13" s="15" t="n">
        <v>2</v>
      </c>
      <c r="I13" s="15">
        <f>TRUNC(((Demand!AU6*0.2)^2)/30,2)</f>
        <v/>
      </c>
      <c r="J13" s="15">
        <f>TRUNC(((Demand!AV6*0.2)^2)/30,2)</f>
        <v/>
      </c>
      <c r="K13" s="15">
        <f>TRUNC(((Demand!AW6*0.2)^2)/30,2)</f>
        <v/>
      </c>
      <c r="L13" s="15">
        <f>TRUNC(((Demand!AX6*0.2)^2)/30,2)</f>
        <v/>
      </c>
      <c r="M13" s="15">
        <f>TRUNC(((Demand!AY6*0.2)^2)/30,2)</f>
        <v/>
      </c>
      <c r="N13" s="15">
        <f>TRUNC(((Demand!AZ6*0.2)^2)/30,2)</f>
        <v/>
      </c>
      <c r="O13" s="15">
        <f>TRUNC(((Demand!BA6*0.2)^2)/30,2)</f>
        <v/>
      </c>
      <c r="P13" s="15">
        <f>TRUNC(((Demand!BB6*0.2)^2)/30,2)</f>
        <v/>
      </c>
      <c r="Q13" s="15">
        <f>TRUNC(((Demand!BC6*0.2)^2)/30,2)</f>
        <v/>
      </c>
      <c r="R13" s="15">
        <f>TRUNC(((Demand!BD6*0.2)^2)/30,2)</f>
        <v/>
      </c>
      <c r="S13" s="15">
        <f>TRUNC(((Demand!BE6*0.2)^2)/30,2)</f>
        <v/>
      </c>
      <c r="T13" s="15">
        <f>TRUNC(((Demand!BF6*0.2)^2)/30,2)</f>
        <v/>
      </c>
      <c r="U13" s="15">
        <f>TRUNC(((Demand!BG6*0.2)^2)/30,2)</f>
        <v/>
      </c>
      <c r="V13" s="15">
        <f>TRUNC(((Demand!BH6*0.2)^2)/30,2)</f>
        <v/>
      </c>
      <c r="W13" s="15">
        <f>TRUNC(((Demand!BI6*0.2)^2)/30,2)</f>
        <v/>
      </c>
    </row>
    <row r="14">
      <c r="H14" s="15" t="n">
        <v>3</v>
      </c>
      <c r="I14" s="15">
        <f>TRUNC(((Demand!AU7*0.2)^2)/30,2)</f>
        <v/>
      </c>
      <c r="J14" s="15">
        <f>TRUNC(((Demand!AV7*0.2)^2)/30,2)</f>
        <v/>
      </c>
      <c r="K14" s="15">
        <f>TRUNC(((Demand!AW7*0.2)^2)/30,2)</f>
        <v/>
      </c>
      <c r="L14" s="15">
        <f>TRUNC(((Demand!AX7*0.2)^2)/30,2)</f>
        <v/>
      </c>
      <c r="M14" s="15">
        <f>TRUNC(((Demand!AY7*0.2)^2)/30,2)</f>
        <v/>
      </c>
      <c r="N14" s="15">
        <f>TRUNC(((Demand!AZ7*0.2)^2)/30,2)</f>
        <v/>
      </c>
      <c r="O14" s="15">
        <f>TRUNC(((Demand!BA7*0.2)^2)/30,2)</f>
        <v/>
      </c>
      <c r="P14" s="15">
        <f>TRUNC(((Demand!BB7*0.2)^2)/30,2)</f>
        <v/>
      </c>
      <c r="Q14" s="15">
        <f>TRUNC(((Demand!BC7*0.2)^2)/30,2)</f>
        <v/>
      </c>
      <c r="R14" s="15">
        <f>TRUNC(((Demand!BD7*0.2)^2)/30,2)</f>
        <v/>
      </c>
      <c r="S14" s="15">
        <f>TRUNC(((Demand!BE7*0.2)^2)/30,2)</f>
        <v/>
      </c>
      <c r="T14" s="15">
        <f>TRUNC(((Demand!BF7*0.2)^2)/30,2)</f>
        <v/>
      </c>
      <c r="U14" s="15">
        <f>TRUNC(((Demand!BG7*0.2)^2)/30,2)</f>
        <v/>
      </c>
      <c r="V14" s="15">
        <f>TRUNC(((Demand!BH7*0.2)^2)/30,2)</f>
        <v/>
      </c>
      <c r="W14" s="15">
        <f>TRUNC(((Demand!BI7*0.2)^2)/30,2)</f>
        <v/>
      </c>
    </row>
    <row r="16">
      <c r="I16" s="15" t="n">
        <v>1</v>
      </c>
      <c r="J16" s="15" t="n">
        <v>2</v>
      </c>
      <c r="K16" s="15" t="n">
        <v>3</v>
      </c>
      <c r="L16" s="15" t="n">
        <v>4</v>
      </c>
      <c r="M16" s="15" t="n">
        <v>5</v>
      </c>
      <c r="N16" s="15" t="n">
        <v>6</v>
      </c>
      <c r="O16" s="15" t="n">
        <v>7</v>
      </c>
      <c r="P16" s="15" t="n">
        <v>8</v>
      </c>
      <c r="Q16" s="15" t="n">
        <v>9</v>
      </c>
      <c r="R16" s="15" t="n">
        <v>10</v>
      </c>
      <c r="S16" s="15" t="n">
        <v>11</v>
      </c>
      <c r="T16" s="15" t="n">
        <v>12</v>
      </c>
      <c r="U16" s="15" t="n">
        <v>13</v>
      </c>
      <c r="V16" s="15" t="n">
        <v>14</v>
      </c>
      <c r="W16" s="15" t="n">
        <v>15</v>
      </c>
      <c r="X16" s="47" t="n"/>
    </row>
    <row r="17">
      <c r="C17" s="15" t="inlineStr">
        <is>
          <t>prod/dia</t>
        </is>
      </c>
      <c r="D17" s="15" t="inlineStr">
        <is>
          <t>Avarege</t>
        </is>
      </c>
      <c r="F17" s="39">
        <f>TRUNC(((I12)+(Suppliers_Cap!D3))^0.5,4)</f>
        <v/>
      </c>
      <c r="G17" s="15" t="inlineStr">
        <is>
          <t>SigmaNDw</t>
        </is>
      </c>
      <c r="H17" s="15" t="n">
        <v>1</v>
      </c>
      <c r="I17" s="40" t="n">
        <v>13.9696</v>
      </c>
      <c r="J17" s="40" t="n">
        <v>16.389</v>
      </c>
      <c r="K17" s="40" t="n">
        <v>15.5948</v>
      </c>
      <c r="L17" s="40" t="n">
        <v>14.553</v>
      </c>
      <c r="M17" s="40" t="n">
        <v>22.2638</v>
      </c>
      <c r="N17" s="40" t="n">
        <v>13.8495</v>
      </c>
      <c r="O17" s="40" t="n">
        <v>15.1191</v>
      </c>
      <c r="P17" s="40" t="n">
        <v>20.6937</v>
      </c>
      <c r="Q17" s="40" t="n">
        <v>18.4669</v>
      </c>
      <c r="R17" s="40" t="n">
        <v>18.0532</v>
      </c>
      <c r="S17" s="40" t="n">
        <v>22.3239</v>
      </c>
      <c r="T17" s="40" t="n">
        <v>12.3097</v>
      </c>
      <c r="U17" s="40" t="n">
        <v>14.7583</v>
      </c>
      <c r="V17" s="40" t="n">
        <v>13.6645</v>
      </c>
      <c r="W17" s="40" t="n">
        <v>24.3509</v>
      </c>
    </row>
    <row r="18">
      <c r="C18" s="15" t="inlineStr">
        <is>
          <t>prod/dia</t>
        </is>
      </c>
      <c r="D18" s="15">
        <f>AVERAGE(SuppliersStdDev)</f>
        <v/>
      </c>
      <c r="E18" s="48" t="n"/>
      <c r="F18" s="39">
        <f>TRUNC(((I13)+(Suppliers_Cap!D4))^0.5,4)</f>
        <v/>
      </c>
      <c r="H18" s="15" t="n">
        <v>2</v>
      </c>
      <c r="I18" s="40" t="n">
        <v>16.8196</v>
      </c>
      <c r="J18" s="40" t="n">
        <v>14.6181</v>
      </c>
      <c r="K18" s="40" t="n">
        <v>15.554</v>
      </c>
      <c r="L18" s="40" t="n">
        <v>24.3014</v>
      </c>
      <c r="M18" s="40" t="n">
        <v>19.7195</v>
      </c>
      <c r="N18" s="40" t="n">
        <v>20.5574</v>
      </c>
      <c r="O18" s="40" t="n">
        <v>15.8921</v>
      </c>
      <c r="P18" s="40" t="n">
        <v>14.2488</v>
      </c>
      <c r="Q18" s="40" t="n">
        <v>17.7149</v>
      </c>
      <c r="R18" s="40" t="n">
        <v>13.9989</v>
      </c>
      <c r="S18" s="40" t="n">
        <v>17.4467</v>
      </c>
      <c r="T18" s="40" t="n">
        <v>19.047</v>
      </c>
      <c r="U18" s="40" t="n">
        <v>15.4246</v>
      </c>
      <c r="V18" s="40" t="n">
        <v>22.531</v>
      </c>
      <c r="W18" s="40" t="n">
        <v>20.8612</v>
      </c>
    </row>
    <row r="19">
      <c r="F19" s="39">
        <f>TRUNC(((I14)+(Suppliers_Cap!D5))^0.5,4)</f>
        <v/>
      </c>
      <c r="H19" s="15" t="n">
        <v>3</v>
      </c>
      <c r="I19" s="40" t="n">
        <v>21.6113</v>
      </c>
      <c r="J19" s="40" t="n">
        <v>16.2003</v>
      </c>
      <c r="K19" s="40" t="n">
        <v>17.0023</v>
      </c>
      <c r="L19" s="40" t="n">
        <v>24.1484</v>
      </c>
      <c r="M19" s="40" t="n">
        <v>16.7053</v>
      </c>
      <c r="N19" s="40" t="n">
        <v>21.6071</v>
      </c>
      <c r="O19" s="40" t="n">
        <v>16.456</v>
      </c>
      <c r="P19" s="40" t="n">
        <v>19.5486</v>
      </c>
      <c r="Q19" s="40" t="n">
        <v>17.5174</v>
      </c>
      <c r="R19" s="40" t="n">
        <v>14.9556</v>
      </c>
      <c r="S19" s="40" t="n">
        <v>16.22</v>
      </c>
      <c r="T19" s="40" t="n">
        <v>16.5828</v>
      </c>
      <c r="U19" s="40" t="n">
        <v>20.17</v>
      </c>
      <c r="V19" s="40" t="n">
        <v>19.1822</v>
      </c>
      <c r="W19" s="40" t="n">
        <v>19.0349</v>
      </c>
    </row>
    <row r="21">
      <c r="I21" s="15" t="n">
        <v>1</v>
      </c>
      <c r="J21" s="15" t="n">
        <v>2</v>
      </c>
      <c r="K21" s="15" t="n">
        <v>3</v>
      </c>
      <c r="L21" s="15" t="n">
        <v>4</v>
      </c>
      <c r="M21" s="15" t="n">
        <v>5</v>
      </c>
      <c r="N21" s="15" t="n">
        <v>6</v>
      </c>
      <c r="O21" s="15" t="n">
        <v>7</v>
      </c>
      <c r="P21" s="15" t="n">
        <v>8</v>
      </c>
      <c r="Q21" s="15" t="n">
        <v>9</v>
      </c>
      <c r="R21" s="15" t="n">
        <v>10</v>
      </c>
      <c r="S21" s="15" t="n">
        <v>11</v>
      </c>
      <c r="T21" s="15" t="n">
        <v>12</v>
      </c>
      <c r="U21" s="15" t="n">
        <v>13</v>
      </c>
      <c r="V21" s="15" t="n">
        <v>14</v>
      </c>
      <c r="W21" s="15" t="n">
        <v>15</v>
      </c>
    </row>
    <row r="22">
      <c r="C22" s="15" t="inlineStr">
        <is>
          <t>dias/prod</t>
        </is>
      </c>
      <c r="D22" s="15" t="inlineStr">
        <is>
          <t>Avarege</t>
        </is>
      </c>
      <c r="E22" s="39">
        <f>TRUNC(I3,2)</f>
        <v/>
      </c>
      <c r="F22" s="15">
        <f>TRUNC((_xlfn.NORM.INV((RAND()),$E$22,$E$23)),2)</f>
        <v/>
      </c>
      <c r="G22" s="15" t="inlineStr">
        <is>
          <t>ELTw</t>
        </is>
      </c>
      <c r="H22" s="15" t="n">
        <v>1</v>
      </c>
      <c r="I22" s="25" t="n">
        <v>9.449999999999999</v>
      </c>
      <c r="J22" s="25" t="n">
        <v>14.92</v>
      </c>
      <c r="K22" s="25" t="n">
        <v>14.79</v>
      </c>
      <c r="L22" s="25" t="n">
        <v>17.69</v>
      </c>
      <c r="M22" s="25" t="n">
        <v>14.79</v>
      </c>
      <c r="N22" s="25" t="n">
        <v>14.31</v>
      </c>
      <c r="O22" s="25" t="n">
        <v>10.15</v>
      </c>
      <c r="P22" s="25" t="n">
        <v>14.45</v>
      </c>
      <c r="Q22" s="25" t="n">
        <v>12.52</v>
      </c>
      <c r="R22" s="25" t="n">
        <v>11.45</v>
      </c>
      <c r="S22" s="25" t="n">
        <v>13.36</v>
      </c>
      <c r="T22" s="25" t="n">
        <v>13.38</v>
      </c>
      <c r="U22" s="25" t="n">
        <v>14.59</v>
      </c>
      <c r="V22" s="25" t="n">
        <v>14.28</v>
      </c>
      <c r="W22" s="25" t="n">
        <v>16.04</v>
      </c>
    </row>
    <row r="23">
      <c r="C23" s="15" t="inlineStr">
        <is>
          <t>dias/prod</t>
        </is>
      </c>
      <c r="D23" s="15" t="inlineStr">
        <is>
          <t>Std Devition</t>
        </is>
      </c>
      <c r="E23" s="39">
        <f>TRUNC((E22*0.2),2)</f>
        <v/>
      </c>
      <c r="F23" s="15">
        <f>TRUNC((_xlfn.NORM.INV((RAND()),$E$22,$E$23)),2)</f>
        <v/>
      </c>
      <c r="H23" s="15" t="n">
        <v>2</v>
      </c>
      <c r="I23" s="25" t="n">
        <v>13.11</v>
      </c>
      <c r="J23" s="25" t="n">
        <v>17.64</v>
      </c>
      <c r="K23" s="25" t="n">
        <v>11.65</v>
      </c>
      <c r="L23" s="25" t="n">
        <v>20.06</v>
      </c>
      <c r="M23" s="25" t="n">
        <v>11.73</v>
      </c>
      <c r="N23" s="25" t="n">
        <v>15.92</v>
      </c>
      <c r="O23" s="25" t="n">
        <v>12.08</v>
      </c>
      <c r="P23" s="25" t="n">
        <v>15.93</v>
      </c>
      <c r="Q23" s="25" t="n">
        <v>10.8</v>
      </c>
      <c r="R23" s="25" t="n">
        <v>13.12</v>
      </c>
      <c r="S23" s="25" t="n">
        <v>12.44</v>
      </c>
      <c r="T23" s="25" t="n">
        <v>15.71</v>
      </c>
      <c r="U23" s="25" t="n">
        <v>19.48</v>
      </c>
      <c r="V23" s="25" t="n">
        <v>17.94</v>
      </c>
      <c r="W23" s="25" t="n">
        <v>13.48</v>
      </c>
    </row>
    <row r="24">
      <c r="F24" s="15">
        <f>TRUNC((_xlfn.NORM.INV((RAND()),$E$22,$E$23)),2)</f>
        <v/>
      </c>
      <c r="H24" s="15" t="n">
        <v>3</v>
      </c>
      <c r="I24" s="25" t="n">
        <v>18.26</v>
      </c>
      <c r="J24" s="25" t="n">
        <v>19.27</v>
      </c>
      <c r="K24" s="25" t="n">
        <v>20.64</v>
      </c>
      <c r="L24" s="25" t="n">
        <v>13.97</v>
      </c>
      <c r="M24" s="25" t="n">
        <v>13.78</v>
      </c>
      <c r="N24" s="25" t="n">
        <v>17.6</v>
      </c>
      <c r="O24" s="25" t="n">
        <v>12.66</v>
      </c>
      <c r="P24" s="25" t="n">
        <v>13.15</v>
      </c>
      <c r="Q24" s="25" t="n">
        <v>16.36</v>
      </c>
      <c r="R24" s="25" t="n">
        <v>15.94</v>
      </c>
      <c r="S24" s="25" t="n">
        <v>10.35</v>
      </c>
      <c r="T24" s="25" t="n">
        <v>14.02</v>
      </c>
      <c r="U24" s="25" t="n">
        <v>14.06</v>
      </c>
      <c r="V24" s="25" t="n">
        <v>12.12</v>
      </c>
      <c r="W24" s="25" t="n">
        <v>12.77</v>
      </c>
    </row>
    <row r="26">
      <c r="I26" s="15" t="n">
        <v>1</v>
      </c>
      <c r="J26" s="15" t="n">
        <v>2</v>
      </c>
      <c r="K26" s="15" t="n">
        <v>3</v>
      </c>
      <c r="L26" s="15" t="n">
        <v>4</v>
      </c>
      <c r="M26" s="15" t="n">
        <v>5</v>
      </c>
      <c r="N26" s="15" t="n">
        <v>6</v>
      </c>
      <c r="O26" s="15" t="n">
        <v>7</v>
      </c>
      <c r="P26" s="15" t="n">
        <v>8</v>
      </c>
      <c r="Q26" s="15" t="n">
        <v>9</v>
      </c>
      <c r="R26" s="15" t="n">
        <v>10</v>
      </c>
      <c r="S26" s="15" t="n">
        <v>11</v>
      </c>
      <c r="T26" s="15" t="n">
        <v>12</v>
      </c>
      <c r="U26" s="15" t="n">
        <v>13</v>
      </c>
      <c r="V26" s="15" t="n">
        <v>14</v>
      </c>
      <c r="W26" s="15" t="n">
        <v>15</v>
      </c>
    </row>
    <row r="27">
      <c r="C27" s="15" t="inlineStr">
        <is>
          <t>dias/prod</t>
        </is>
      </c>
      <c r="F27" s="39">
        <f>TRUNC((I32^0.5),4)</f>
        <v/>
      </c>
      <c r="G27" s="15" t="inlineStr">
        <is>
          <t>SigmaELTw</t>
        </is>
      </c>
      <c r="H27" s="15" t="n">
        <v>1</v>
      </c>
      <c r="I27" s="40" t="n">
        <v>0.3449</v>
      </c>
      <c r="J27" s="40" t="n">
        <v>0.5447</v>
      </c>
      <c r="K27" s="40" t="n">
        <v>0.54</v>
      </c>
      <c r="L27" s="40" t="n">
        <v>0.6459</v>
      </c>
      <c r="M27" s="40" t="n">
        <v>0.54</v>
      </c>
      <c r="N27" s="40" t="n">
        <v>0.5224</v>
      </c>
      <c r="O27" s="40" t="n">
        <v>0.3705</v>
      </c>
      <c r="P27" s="40" t="n">
        <v>0.5276</v>
      </c>
      <c r="Q27" s="40" t="n">
        <v>0.4571</v>
      </c>
      <c r="R27" s="40" t="n">
        <v>0.418</v>
      </c>
      <c r="S27" s="40" t="n">
        <v>0.4877</v>
      </c>
      <c r="T27" s="40" t="n">
        <v>0.4884</v>
      </c>
      <c r="U27" s="40" t="n">
        <v>0.5327</v>
      </c>
      <c r="V27" s="40" t="n">
        <v>0.5213</v>
      </c>
      <c r="W27" s="40" t="n">
        <v>0.5856</v>
      </c>
    </row>
    <row r="28">
      <c r="F28" s="39">
        <f>TRUNC((I33^0.5),4)</f>
        <v/>
      </c>
      <c r="H28" s="15" t="n">
        <v>2</v>
      </c>
      <c r="I28" s="40" t="n">
        <v>0.4786</v>
      </c>
      <c r="J28" s="40" t="n">
        <v>0.644</v>
      </c>
      <c r="K28" s="40" t="n">
        <v>0.4253</v>
      </c>
      <c r="L28" s="40" t="n">
        <v>0.7324000000000001</v>
      </c>
      <c r="M28" s="40" t="n">
        <v>0.4282</v>
      </c>
      <c r="N28" s="40" t="n">
        <v>0.5812</v>
      </c>
      <c r="O28" s="40" t="n">
        <v>0.441</v>
      </c>
      <c r="P28" s="40" t="n">
        <v>0.5816</v>
      </c>
      <c r="Q28" s="40" t="n">
        <v>0.3943</v>
      </c>
      <c r="R28" s="40" t="n">
        <v>0.479</v>
      </c>
      <c r="S28" s="40" t="n">
        <v>0.4542</v>
      </c>
      <c r="T28" s="40" t="n">
        <v>0.5735</v>
      </c>
      <c r="U28" s="40" t="n">
        <v>0.7112000000000001</v>
      </c>
      <c r="V28" s="40" t="n">
        <v>0.655</v>
      </c>
      <c r="W28" s="40" t="n">
        <v>0.4921</v>
      </c>
      <c r="X28" s="47" t="n"/>
    </row>
    <row r="29">
      <c r="F29" s="39">
        <f>TRUNC((I34^0.5),4)</f>
        <v/>
      </c>
      <c r="H29" s="15" t="n">
        <v>3</v>
      </c>
      <c r="I29" s="40" t="n">
        <v>0.6667</v>
      </c>
      <c r="J29" s="40" t="n">
        <v>0.7036</v>
      </c>
      <c r="K29" s="40" t="n">
        <v>0.7536</v>
      </c>
      <c r="L29" s="40" t="n">
        <v>0.51</v>
      </c>
      <c r="M29" s="40" t="n">
        <v>0.503</v>
      </c>
      <c r="N29" s="40" t="n">
        <v>0.6425999999999999</v>
      </c>
      <c r="O29" s="40" t="n">
        <v>0.4622</v>
      </c>
      <c r="P29" s="40" t="n">
        <v>0.4801</v>
      </c>
      <c r="Q29" s="40" t="n">
        <v>0.5973000000000001</v>
      </c>
      <c r="R29" s="40" t="n">
        <v>0.5819</v>
      </c>
      <c r="S29" s="40" t="n">
        <v>0.3778</v>
      </c>
      <c r="T29" s="40" t="n">
        <v>0.5118</v>
      </c>
      <c r="U29" s="40" t="n">
        <v>0.5133</v>
      </c>
      <c r="V29" s="40" t="n">
        <v>0.4424</v>
      </c>
      <c r="W29" s="40" t="n">
        <v>0.4662</v>
      </c>
    </row>
    <row r="31">
      <c r="I31" s="15" t="n">
        <v>1</v>
      </c>
      <c r="J31" s="15" t="n">
        <v>2</v>
      </c>
      <c r="K31" s="15" t="n">
        <v>3</v>
      </c>
      <c r="L31" s="15" t="n">
        <v>4</v>
      </c>
      <c r="M31" s="15" t="n">
        <v>5</v>
      </c>
      <c r="N31" s="15" t="n">
        <v>6</v>
      </c>
      <c r="O31" s="15" t="n">
        <v>7</v>
      </c>
      <c r="P31" s="15" t="n">
        <v>8</v>
      </c>
      <c r="Q31" s="15" t="n">
        <v>9</v>
      </c>
      <c r="R31" s="15" t="n">
        <v>10</v>
      </c>
      <c r="S31" s="15" t="n">
        <v>11</v>
      </c>
      <c r="T31" s="15" t="n">
        <v>12</v>
      </c>
      <c r="U31" s="15" t="n">
        <v>13</v>
      </c>
      <c r="V31" s="15" t="n">
        <v>14</v>
      </c>
      <c r="W31" s="15" t="n">
        <v>15</v>
      </c>
    </row>
    <row r="32">
      <c r="F32" s="39">
        <f>TRUNC((((I22*0.2)^2)/30),4)</f>
        <v/>
      </c>
      <c r="G32" s="15" t="inlineStr">
        <is>
          <t>VarELTw</t>
        </is>
      </c>
      <c r="H32" s="15" t="n">
        <v>1</v>
      </c>
      <c r="I32" s="39">
        <f>TRUNC((((I22*0.2)^2)/30),4)</f>
        <v/>
      </c>
      <c r="J32" s="39">
        <f>TRUNC((((J22*0.2)^2)/30),4)</f>
        <v/>
      </c>
      <c r="K32" s="39">
        <f>TRUNC((((K22*0.2)^2)/30),4)</f>
        <v/>
      </c>
      <c r="L32" s="39">
        <f>TRUNC((((L22*0.2)^2)/30),4)</f>
        <v/>
      </c>
      <c r="M32" s="39">
        <f>TRUNC((((M22*0.2)^2)/30),4)</f>
        <v/>
      </c>
      <c r="N32" s="39">
        <f>TRUNC((((N22*0.2)^2)/30),4)</f>
        <v/>
      </c>
      <c r="O32" s="39">
        <f>TRUNC((((O22*0.2)^2)/30),4)</f>
        <v/>
      </c>
      <c r="P32" s="39">
        <f>TRUNC((((P22*0.2)^2)/30),4)</f>
        <v/>
      </c>
      <c r="Q32" s="39">
        <f>TRUNC((((Q22*0.2)^2)/30),4)</f>
        <v/>
      </c>
      <c r="R32" s="39">
        <f>TRUNC((((R22*0.2)^2)/30),4)</f>
        <v/>
      </c>
      <c r="S32" s="39">
        <f>TRUNC((((S22*0.2)^2)/30),4)</f>
        <v/>
      </c>
      <c r="T32" s="39">
        <f>TRUNC((((T22*0.2)^2)/30),4)</f>
        <v/>
      </c>
      <c r="U32" s="39">
        <f>TRUNC((((U22*0.2)^2)/30),4)</f>
        <v/>
      </c>
      <c r="V32" s="39">
        <f>TRUNC((((V22*0.2)^2)/30),4)</f>
        <v/>
      </c>
      <c r="W32" s="39">
        <f>TRUNC((((W22*0.2)^2)/30),4)</f>
        <v/>
      </c>
    </row>
    <row r="33">
      <c r="F33" s="39">
        <f>TRUNC((((I23*0.2)^2)/30),4)</f>
        <v/>
      </c>
      <c r="H33" s="15" t="n">
        <v>2</v>
      </c>
      <c r="I33" s="39">
        <f>TRUNC((((I23*0.2)^2)/30),4)</f>
        <v/>
      </c>
      <c r="J33" s="39">
        <f>TRUNC((((J23*0.2)^2)/30),4)</f>
        <v/>
      </c>
      <c r="K33" s="39">
        <f>TRUNC((((K23*0.2)^2)/30),4)</f>
        <v/>
      </c>
      <c r="L33" s="39">
        <f>TRUNC((((L23*0.2)^2)/30),4)</f>
        <v/>
      </c>
      <c r="M33" s="39">
        <f>TRUNC((((M23*0.2)^2)/30),4)</f>
        <v/>
      </c>
      <c r="N33" s="39">
        <f>TRUNC((((N23*0.2)^2)/30),4)</f>
        <v/>
      </c>
      <c r="O33" s="39">
        <f>TRUNC((((O23*0.2)^2)/30),4)</f>
        <v/>
      </c>
      <c r="P33" s="39">
        <f>TRUNC((((P23*0.2)^2)/30),4)</f>
        <v/>
      </c>
      <c r="Q33" s="39">
        <f>TRUNC((((Q23*0.2)^2)/30),4)</f>
        <v/>
      </c>
      <c r="R33" s="39">
        <f>TRUNC((((R23*0.2)^2)/30),4)</f>
        <v/>
      </c>
      <c r="S33" s="39">
        <f>TRUNC((((S23*0.2)^2)/30),4)</f>
        <v/>
      </c>
      <c r="T33" s="39">
        <f>TRUNC((((T23*0.2)^2)/30),4)</f>
        <v/>
      </c>
      <c r="U33" s="39">
        <f>TRUNC((((U23*0.2)^2)/30),4)</f>
        <v/>
      </c>
      <c r="V33" s="39">
        <f>TRUNC((((V23*0.2)^2)/30),4)</f>
        <v/>
      </c>
      <c r="W33" s="39">
        <f>TRUNC((((W23*0.2)^2)/30),4)</f>
        <v/>
      </c>
    </row>
    <row r="34">
      <c r="F34" s="39">
        <f>TRUNC((((I24*0.2)^2)/30),4)</f>
        <v/>
      </c>
      <c r="H34" s="15" t="n">
        <v>3</v>
      </c>
      <c r="I34" s="39">
        <f>TRUNC((((I24*0.2)^2)/30),4)</f>
        <v/>
      </c>
      <c r="J34" s="39">
        <f>TRUNC((((J24*0.2)^2)/30),4)</f>
        <v/>
      </c>
      <c r="K34" s="39">
        <f>TRUNC((((K24*0.2)^2)/30),4)</f>
        <v/>
      </c>
      <c r="L34" s="39">
        <f>TRUNC((((L24*0.2)^2)/30),4)</f>
        <v/>
      </c>
      <c r="M34" s="39">
        <f>TRUNC((((M24*0.2)^2)/30),4)</f>
        <v/>
      </c>
      <c r="N34" s="39">
        <f>TRUNC((((N24*0.2)^2)/30),4)</f>
        <v/>
      </c>
      <c r="O34" s="39">
        <f>TRUNC((((O24*0.2)^2)/30),4)</f>
        <v/>
      </c>
      <c r="P34" s="39">
        <f>TRUNC((((P24*0.2)^2)/30),4)</f>
        <v/>
      </c>
      <c r="Q34" s="39">
        <f>TRUNC((((Q24*0.2)^2)/30),4)</f>
        <v/>
      </c>
      <c r="R34" s="39">
        <f>TRUNC((((R24*0.2)^2)/30),4)</f>
        <v/>
      </c>
      <c r="S34" s="39">
        <f>TRUNC((((S24*0.2)^2)/30),4)</f>
        <v/>
      </c>
      <c r="T34" s="39">
        <f>TRUNC((((T24*0.2)^2)/30),4)</f>
        <v/>
      </c>
      <c r="U34" s="39">
        <f>TRUNC((((U24*0.2)^2)/30),4)</f>
        <v/>
      </c>
      <c r="V34" s="39">
        <f>TRUNC((((V24*0.2)^2)/30),4)</f>
        <v/>
      </c>
      <c r="W34" s="39">
        <f>TRUNC((((W24*0.2)^2)/30),4)</f>
        <v/>
      </c>
    </row>
  </sheetData>
  <mergeCells count="1">
    <mergeCell ref="E4:F4"/>
  </mergeCells>
  <pageMargins left="0.511811024" right="0.511811024" top="0.787401575" bottom="0.787401575" header="0.31496062" footer="0.31496062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C2:K34"/>
  <sheetViews>
    <sheetView zoomScale="90" zoomScaleNormal="90" workbookViewId="0">
      <selection activeCell="I23" sqref="I23"/>
    </sheetView>
  </sheetViews>
  <sheetFormatPr baseColWidth="8" defaultColWidth="8.88671875" defaultRowHeight="14.4"/>
  <cols>
    <col width="8.88671875" customWidth="1" style="15" min="1" max="1"/>
    <col width="12.33203125" customWidth="1" style="15" min="2" max="2"/>
    <col width="12.6640625" bestFit="1" customWidth="1" style="15" min="3" max="3"/>
    <col width="17.109375" bestFit="1" customWidth="1" style="15" min="4" max="4"/>
    <col width="11.6640625" customWidth="1" style="15" min="5" max="6"/>
    <col width="13.109375" customWidth="1" style="15" min="7" max="7"/>
    <col width="8.88671875" customWidth="1" style="15" min="8" max="8"/>
    <col width="9.44140625" bestFit="1" customWidth="1" style="15" min="9" max="11"/>
    <col width="8.88671875" customWidth="1" style="15" min="12" max="16384"/>
  </cols>
  <sheetData>
    <row r="2">
      <c r="I2" s="46" t="inlineStr">
        <is>
          <t>Lead time</t>
        </is>
      </c>
    </row>
    <row r="3">
      <c r="I3" s="15" t="n">
        <v>5</v>
      </c>
      <c r="J3" s="15" t="inlineStr">
        <is>
          <t>dias</t>
        </is>
      </c>
    </row>
    <row r="4">
      <c r="E4" s="74" t="inlineStr">
        <is>
          <t>GERADOR DE DADOS</t>
        </is>
      </c>
    </row>
    <row r="5">
      <c r="I5" s="15" t="n">
        <v>16</v>
      </c>
      <c r="J5" s="15" t="n">
        <v>17</v>
      </c>
      <c r="K5" s="15" t="n">
        <v>18</v>
      </c>
    </row>
    <row r="6">
      <c r="C6" s="15" t="inlineStr">
        <is>
          <t>$/prod</t>
        </is>
      </c>
      <c r="D6" s="15" t="inlineStr">
        <is>
          <t>Avarege</t>
        </is>
      </c>
      <c r="E6" s="39" t="n">
        <v>170</v>
      </c>
      <c r="F6" s="39">
        <f>TRUNC((_xlfn.NORM.INV((RAND()),$E$6,$E$7)),2)</f>
        <v/>
      </c>
      <c r="G6" s="15" t="inlineStr">
        <is>
          <t>hf</t>
        </is>
      </c>
      <c r="H6" s="15" t="n">
        <v>4</v>
      </c>
      <c r="I6" s="42" t="n">
        <v>171.74</v>
      </c>
      <c r="J6" s="42" t="n">
        <v>168.87</v>
      </c>
      <c r="K6" s="42" t="n">
        <v>168.84</v>
      </c>
    </row>
    <row r="7">
      <c r="C7" s="15" t="inlineStr">
        <is>
          <t>$/prod</t>
        </is>
      </c>
      <c r="D7" s="15" t="inlineStr">
        <is>
          <t>Std Devition</t>
        </is>
      </c>
      <c r="E7" s="39">
        <f>E6*0.02</f>
        <v/>
      </c>
      <c r="F7" s="39">
        <f>TRUNC((_xlfn.NORM.INV((RAND()),$E$6,$E$7)),2)</f>
        <v/>
      </c>
      <c r="H7" s="15" t="n">
        <v>5</v>
      </c>
      <c r="I7" s="42" t="n">
        <v>174.14</v>
      </c>
      <c r="J7" s="42" t="n">
        <v>173.41</v>
      </c>
      <c r="K7" s="42" t="n">
        <v>169.87</v>
      </c>
    </row>
    <row r="8">
      <c r="F8" s="39">
        <f>TRUNC((_xlfn.NORM.INV((RAND()),$E$6,$E$7)),2)</f>
        <v/>
      </c>
      <c r="H8" s="15" t="n">
        <v>6</v>
      </c>
      <c r="I8" s="42" t="n">
        <v>169.75</v>
      </c>
      <c r="J8" s="42" t="n">
        <v>167.89</v>
      </c>
      <c r="K8" s="42" t="n">
        <v>174.44</v>
      </c>
    </row>
    <row r="9">
      <c r="F9" s="39" t="n"/>
      <c r="I9" s="39" t="n"/>
      <c r="J9" s="39" t="n"/>
      <c r="K9" s="39" t="n"/>
    </row>
    <row r="10">
      <c r="I10" s="74" t="inlineStr">
        <is>
          <t>Variância da demanda média</t>
        </is>
      </c>
    </row>
    <row r="11">
      <c r="I11" s="15" t="n">
        <v>16</v>
      </c>
      <c r="J11" s="15" t="n">
        <v>17</v>
      </c>
      <c r="K11" s="15" t="n">
        <v>18</v>
      </c>
    </row>
    <row r="12">
      <c r="H12" s="15" t="n">
        <v>4</v>
      </c>
      <c r="I12" s="15">
        <f>TRUNC(((Demand!AU11*0.2)^2)/30,2)</f>
        <v/>
      </c>
      <c r="J12" s="15">
        <f>TRUNC(((Demand!AV11*0.2)^2)/30,2)</f>
        <v/>
      </c>
      <c r="K12" s="15">
        <f>TRUNC(((Demand!AW11*0.2)^2)/30,2)</f>
        <v/>
      </c>
    </row>
    <row r="13">
      <c r="H13" s="15" t="n">
        <v>5</v>
      </c>
      <c r="I13" s="15">
        <f>TRUNC(((Demand!AU12*0.2)^2)/30,2)</f>
        <v/>
      </c>
      <c r="J13" s="15">
        <f>TRUNC(((Demand!AV12*0.2)^2)/30,2)</f>
        <v/>
      </c>
      <c r="K13" s="15">
        <f>TRUNC(((Demand!AW12*0.2)^2)/30,2)</f>
        <v/>
      </c>
    </row>
    <row r="14">
      <c r="H14" s="15" t="n">
        <v>6</v>
      </c>
      <c r="I14" s="15">
        <f>TRUNC(((Demand!AU13*0.2)^2)/30,2)</f>
        <v/>
      </c>
      <c r="J14" s="15">
        <f>TRUNC(((Demand!AV13*0.2)^2)/30,2)</f>
        <v/>
      </c>
      <c r="K14" s="15">
        <f>TRUNC(((Demand!AW13*0.2)^2)/30,2)</f>
        <v/>
      </c>
    </row>
    <row r="16">
      <c r="I16" s="15" t="n">
        <v>16</v>
      </c>
      <c r="J16" s="15" t="n">
        <v>17</v>
      </c>
      <c r="K16" s="15" t="n">
        <v>18</v>
      </c>
    </row>
    <row r="17">
      <c r="C17" s="15" t="inlineStr">
        <is>
          <t>prod/dia</t>
        </is>
      </c>
      <c r="D17" s="15" t="inlineStr">
        <is>
          <t>Avarege</t>
        </is>
      </c>
      <c r="F17" s="39">
        <f>TRUNC(((I12)+(Factories_Cap!D3))^0.5,4)</f>
        <v/>
      </c>
      <c r="G17" s="15" t="inlineStr">
        <is>
          <t>SigmaNDf</t>
        </is>
      </c>
      <c r="H17" s="15" t="n">
        <v>4</v>
      </c>
      <c r="I17" s="81">
        <f>TRUNC(((I12)+(Factories_Cap!D3))^0.5,4)</f>
        <v/>
      </c>
      <c r="J17" s="81">
        <f>TRUNC(((J12)+(Factories_Cap!E3))^0.5,4)</f>
        <v/>
      </c>
      <c r="K17" s="81">
        <f>TRUNC(((K12)+(Factories_Cap!F3))^0.5,4)</f>
        <v/>
      </c>
    </row>
    <row r="18">
      <c r="C18" s="15" t="inlineStr">
        <is>
          <t>prod/dia</t>
        </is>
      </c>
      <c r="D18" s="15">
        <f>AVERAGE(FactoriesStdDev)</f>
        <v/>
      </c>
      <c r="E18" s="48" t="n"/>
      <c r="F18" s="39">
        <f>TRUNC(((I13)+(Factories_Cap!D4))^0.5,4)</f>
        <v/>
      </c>
      <c r="H18" s="15" t="n">
        <v>5</v>
      </c>
      <c r="I18" s="81">
        <f>TRUNC(((I13)+(Factories_Cap!D4))^0.5,4)</f>
        <v/>
      </c>
      <c r="J18" s="81">
        <f>TRUNC(((J13)+(Factories_Cap!E4))^0.5,4)</f>
        <v/>
      </c>
      <c r="K18" s="81">
        <f>TRUNC(((K13)+(Factories_Cap!F4))^0.5,4)</f>
        <v/>
      </c>
    </row>
    <row r="19">
      <c r="F19" s="39">
        <f>TRUNC(((I14)+(Factories_Cap!D5))^0.5,4)</f>
        <v/>
      </c>
      <c r="H19" s="15" t="n">
        <v>6</v>
      </c>
      <c r="I19" s="81">
        <f>TRUNC(((I14)+(Factories_Cap!D5))^0.5,4)</f>
        <v/>
      </c>
      <c r="J19" s="81">
        <f>TRUNC(((J14)+(Factories_Cap!E5))^0.5,4)</f>
        <v/>
      </c>
      <c r="K19" s="81">
        <f>TRUNC(((K14)+(Factories_Cap!F5))^0.5,4)</f>
        <v/>
      </c>
    </row>
    <row r="21">
      <c r="I21" s="15" t="n">
        <v>16</v>
      </c>
      <c r="J21" s="15" t="n">
        <v>17</v>
      </c>
      <c r="K21" s="15" t="n">
        <v>18</v>
      </c>
    </row>
    <row r="22">
      <c r="C22" s="15" t="inlineStr">
        <is>
          <t>dias/prod</t>
        </is>
      </c>
      <c r="D22" s="15" t="inlineStr">
        <is>
          <t>Avarege</t>
        </is>
      </c>
      <c r="E22" s="15">
        <f>I3</f>
        <v/>
      </c>
      <c r="F22" s="15">
        <f>TRUNC((_xlfn.NORM.INV((RAND()),$E$22,$E$23)),3)</f>
        <v/>
      </c>
      <c r="G22" s="15" t="inlineStr">
        <is>
          <t>ELTf</t>
        </is>
      </c>
      <c r="H22" s="15" t="n">
        <v>4</v>
      </c>
      <c r="I22" s="44" t="n">
        <v>4.889</v>
      </c>
      <c r="J22" s="44" t="n">
        <v>6.521</v>
      </c>
      <c r="K22" s="44" t="n">
        <v>4.091</v>
      </c>
    </row>
    <row r="23">
      <c r="C23" s="15" t="inlineStr">
        <is>
          <t>dias/prod</t>
        </is>
      </c>
      <c r="D23" s="15" t="inlineStr">
        <is>
          <t>Std Devition</t>
        </is>
      </c>
      <c r="E23" s="15">
        <f>E22*0.2</f>
        <v/>
      </c>
      <c r="F23" s="15">
        <f>TRUNC((_xlfn.NORM.INV((RAND()),$E$22,$E$23)),3)</f>
        <v/>
      </c>
      <c r="H23" s="15" t="n">
        <v>5</v>
      </c>
      <c r="I23" s="44" t="n">
        <v>3.548</v>
      </c>
      <c r="J23" s="44" t="n">
        <v>6.734</v>
      </c>
      <c r="K23" s="44" t="n">
        <v>4.237</v>
      </c>
    </row>
    <row r="24">
      <c r="F24" s="15">
        <f>TRUNC((_xlfn.NORM.INV((RAND()),$E$22,$E$23)),3)</f>
        <v/>
      </c>
      <c r="H24" s="15" t="n">
        <v>6</v>
      </c>
      <c r="I24" s="44" t="n">
        <v>4.35</v>
      </c>
      <c r="J24" s="44" t="n">
        <v>5.496</v>
      </c>
      <c r="K24" s="44" t="n">
        <v>4.967</v>
      </c>
    </row>
    <row r="26">
      <c r="I26" s="15" t="n">
        <v>16</v>
      </c>
      <c r="J26" s="15" t="n">
        <v>17</v>
      </c>
      <c r="K26" s="15" t="n">
        <v>18</v>
      </c>
    </row>
    <row r="27">
      <c r="C27" s="15" t="inlineStr">
        <is>
          <t>dias/prod</t>
        </is>
      </c>
      <c r="F27" s="39">
        <f>TRUNC((I32^0.5),4)</f>
        <v/>
      </c>
      <c r="G27" s="15" t="inlineStr">
        <is>
          <t>SigmaELTw</t>
        </is>
      </c>
      <c r="H27" s="15" t="n">
        <v>4</v>
      </c>
      <c r="I27" s="40" t="n">
        <v>0.1783</v>
      </c>
      <c r="J27" s="40" t="n">
        <v>0.2379</v>
      </c>
      <c r="K27" s="40" t="n">
        <v>0.1493</v>
      </c>
    </row>
    <row r="28">
      <c r="F28" s="39">
        <f>TRUNC((I33^0.5),4)</f>
        <v/>
      </c>
      <c r="H28" s="15" t="n">
        <v>5</v>
      </c>
      <c r="I28" s="40" t="n">
        <v>0.1292</v>
      </c>
      <c r="J28" s="40" t="n">
        <v>0.2457</v>
      </c>
      <c r="K28" s="40" t="n">
        <v>0.1545</v>
      </c>
    </row>
    <row r="29">
      <c r="F29" s="39">
        <f>TRUNC((I34^0.5),4)</f>
        <v/>
      </c>
      <c r="H29" s="15" t="n">
        <v>6</v>
      </c>
      <c r="I29" s="40" t="n">
        <v>0.1587</v>
      </c>
      <c r="J29" s="40" t="n">
        <v>0.2004</v>
      </c>
      <c r="K29" s="40" t="n">
        <v>0.1811</v>
      </c>
    </row>
    <row r="31">
      <c r="I31" s="15" t="n">
        <v>16</v>
      </c>
      <c r="J31" s="15" t="n">
        <v>17</v>
      </c>
      <c r="K31" s="15" t="n">
        <v>18</v>
      </c>
    </row>
    <row r="32">
      <c r="F32" s="39">
        <f>TRUNC((((I22*0.2)^2)/30),4)</f>
        <v/>
      </c>
      <c r="G32" s="15" t="inlineStr">
        <is>
          <t>VarELTw</t>
        </is>
      </c>
      <c r="H32" s="15" t="n">
        <v>4</v>
      </c>
      <c r="I32" s="39">
        <f>TRUNC((((I22*0.2)^2)/30),4)</f>
        <v/>
      </c>
      <c r="J32" s="39">
        <f>TRUNC((((J22*0.2)^2)/30),4)</f>
        <v/>
      </c>
      <c r="K32" s="39">
        <f>TRUNC((((K22*0.2)^2)/30),4)</f>
        <v/>
      </c>
    </row>
    <row r="33">
      <c r="F33" s="39">
        <f>TRUNC((((I23*0.2)^2)/30),4)</f>
        <v/>
      </c>
      <c r="H33" s="15" t="n">
        <v>5</v>
      </c>
      <c r="I33" s="39">
        <f>TRUNC((((I23*0.2)^2)/30),4)</f>
        <v/>
      </c>
      <c r="J33" s="39">
        <f>TRUNC((((J23*0.2)^2)/30),4)</f>
        <v/>
      </c>
      <c r="K33" s="39">
        <f>TRUNC((((K23*0.2)^2)/30),4)</f>
        <v/>
      </c>
    </row>
    <row r="34">
      <c r="F34" s="39">
        <f>TRUNC((((I24*0.2)^2)/30),4)</f>
        <v/>
      </c>
      <c r="H34" s="15" t="n">
        <v>6</v>
      </c>
      <c r="I34" s="39">
        <f>TRUNC((((I24*0.2)^2)/30),4)</f>
        <v/>
      </c>
      <c r="J34" s="39">
        <f>TRUNC((((J24*0.2)^2)/30),4)</f>
        <v/>
      </c>
      <c r="K34" s="39">
        <f>TRUNC((((K24*0.2)^2)/30),4)</f>
        <v/>
      </c>
    </row>
  </sheetData>
  <mergeCells count="1">
    <mergeCell ref="E4:F4"/>
  </mergeCells>
  <pageMargins left="0.511811024" right="0.511811024" top="0.787401575" bottom="0.787401575" header="0.31496062" footer="0.31496062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J2:V42"/>
  <sheetViews>
    <sheetView zoomScale="90" zoomScaleNormal="90" workbookViewId="0">
      <selection activeCell="F23" sqref="F23"/>
    </sheetView>
  </sheetViews>
  <sheetFormatPr baseColWidth="8" defaultColWidth="8.88671875" defaultRowHeight="14.4"/>
  <cols>
    <col width="8.88671875" customWidth="1" style="75" min="1" max="1"/>
    <col hidden="1" width="12.44140625" customWidth="1" style="75" min="2" max="2"/>
    <col hidden="1" width="10.5546875" customWidth="1" style="75" min="3" max="3"/>
    <col hidden="1" width="9" customWidth="1" style="75" min="4" max="4"/>
    <col hidden="1" width="8.88671875" customWidth="1" style="75" min="5" max="5"/>
    <col hidden="1" width="9" customWidth="1" style="75" min="6" max="6"/>
    <col hidden="1" width="15.33203125" customWidth="1" style="75" min="7" max="7"/>
    <col hidden="1" width="8.88671875" customWidth="1" style="75" min="8" max="8"/>
    <col width="8.88671875" customWidth="1" style="75" min="9" max="9"/>
    <col width="12.6640625" bestFit="1" customWidth="1" style="75" min="10" max="10"/>
    <col width="17.109375" bestFit="1" customWidth="1" style="75" min="11" max="11"/>
    <col width="10.5546875" customWidth="1" style="75" min="12" max="13"/>
    <col width="13.44140625" customWidth="1" style="75" min="14" max="14"/>
    <col width="9" bestFit="1" customWidth="1" style="75" min="15" max="15"/>
    <col width="12" bestFit="1" customWidth="1" style="75" min="16" max="18"/>
    <col width="8.88671875" customWidth="1" style="75" min="19" max="16384"/>
  </cols>
  <sheetData>
    <row r="2">
      <c r="P2" t="inlineStr">
        <is>
          <t>Tempo de atravessamento</t>
        </is>
      </c>
    </row>
    <row r="3">
      <c r="P3" s="75" t="n">
        <v>15</v>
      </c>
      <c r="Q3" s="75" t="inlineStr">
        <is>
          <t>dias</t>
        </is>
      </c>
    </row>
    <row r="4">
      <c r="L4" s="75" t="inlineStr">
        <is>
          <t>GERADOR DE DADOS</t>
        </is>
      </c>
    </row>
    <row r="5">
      <c r="P5" s="75" t="n">
        <v>19</v>
      </c>
      <c r="Q5" s="75" t="n">
        <v>20</v>
      </c>
      <c r="R5" s="75" t="n">
        <v>21</v>
      </c>
    </row>
    <row r="6">
      <c r="J6" s="75" t="inlineStr">
        <is>
          <t>$/prod</t>
        </is>
      </c>
      <c r="K6" s="75" t="inlineStr">
        <is>
          <t>Avarege</t>
        </is>
      </c>
      <c r="L6" s="2">
        <f>Factories!E6*1.1</f>
        <v/>
      </c>
      <c r="M6" s="75">
        <f>TRUNC((_xlfn.NORM.INV((RAND()),$L$6,$L$7)),2)</f>
        <v/>
      </c>
      <c r="N6" s="75" t="inlineStr">
        <is>
          <t>hd</t>
        </is>
      </c>
      <c r="O6" s="75" t="n">
        <v>9</v>
      </c>
      <c r="P6" s="5" t="n">
        <v>189.79</v>
      </c>
      <c r="Q6" s="5" t="n">
        <v>150.06</v>
      </c>
      <c r="R6" s="5" t="n">
        <v>255.21</v>
      </c>
    </row>
    <row r="7">
      <c r="J7" s="75" t="inlineStr">
        <is>
          <t>$/prod</t>
        </is>
      </c>
      <c r="K7" s="75" t="inlineStr">
        <is>
          <t>Std Devition</t>
        </is>
      </c>
      <c r="L7" s="2">
        <f>L6*0.2</f>
        <v/>
      </c>
      <c r="M7" s="75">
        <f>TRUNC((_xlfn.NORM.INV((RAND()),$L$6,$L$7)),2)</f>
        <v/>
      </c>
      <c r="O7" s="75" t="n">
        <v>10</v>
      </c>
      <c r="P7" s="5" t="n">
        <v>183.1</v>
      </c>
      <c r="Q7" s="5" t="n">
        <v>183.44</v>
      </c>
      <c r="R7" s="5" t="n">
        <v>191.12</v>
      </c>
    </row>
    <row r="10">
      <c r="P10" s="75" t="n">
        <v>19</v>
      </c>
      <c r="Q10" s="75" t="n">
        <v>20</v>
      </c>
      <c r="R10" s="75" t="n">
        <v>21</v>
      </c>
    </row>
    <row r="11">
      <c r="J11" s="75" t="inlineStr">
        <is>
          <t>prod/dia</t>
        </is>
      </c>
      <c r="K11" s="75" t="inlineStr">
        <is>
          <t>Avarege</t>
        </is>
      </c>
      <c r="L11" s="8">
        <f>Demand!E20</f>
        <v/>
      </c>
      <c r="M11" s="75">
        <f>TRUNC((_xlfn.NORM.INV((RAND()),$L$11,$L$12)),3)</f>
        <v/>
      </c>
      <c r="N11" s="75" t="inlineStr">
        <is>
          <t>sigmad</t>
        </is>
      </c>
      <c r="O11" s="75" t="n">
        <v>9</v>
      </c>
      <c r="P11" s="5" t="n">
        <v>500.671</v>
      </c>
      <c r="Q11" s="5" t="n">
        <v>508.078</v>
      </c>
      <c r="R11" s="5" t="n">
        <v>500.369</v>
      </c>
    </row>
    <row r="12">
      <c r="J12" s="75" t="inlineStr">
        <is>
          <t>prod/dia</t>
        </is>
      </c>
      <c r="K12" s="75" t="inlineStr">
        <is>
          <t>Std Devition</t>
        </is>
      </c>
      <c r="L12" s="8">
        <f>L11*0.01</f>
        <v/>
      </c>
      <c r="M12" s="75">
        <f>TRUNC((_xlfn.NORM.INV((RAND()),$L$11,$L$12)),3)</f>
        <v/>
      </c>
      <c r="O12" s="75" t="n">
        <v>10</v>
      </c>
      <c r="P12" s="5" t="n">
        <v>500.379</v>
      </c>
      <c r="Q12" s="5" t="n">
        <v>493.31</v>
      </c>
      <c r="R12" s="5" t="n">
        <v>505.821</v>
      </c>
    </row>
    <row r="15">
      <c r="P15" s="75" t="n">
        <v>19</v>
      </c>
      <c r="Q15" s="75" t="n">
        <v>20</v>
      </c>
      <c r="R15" s="75" t="n">
        <v>21</v>
      </c>
      <c r="T15" s="75" t="inlineStr">
        <is>
          <t>Máximo</t>
        </is>
      </c>
      <c r="U15" s="75" t="inlineStr">
        <is>
          <t>Mínimo</t>
        </is>
      </c>
    </row>
    <row r="16">
      <c r="J16" s="75" t="inlineStr">
        <is>
          <t>dias/prod</t>
        </is>
      </c>
      <c r="K16" s="75" t="inlineStr">
        <is>
          <t>Avarege</t>
        </is>
      </c>
      <c r="L16" s="75">
        <f>P3</f>
        <v/>
      </c>
      <c r="M16" s="75">
        <f>TRUNC((_xlfn.NORM.INV((RAND()),$L$16,$L$17)),3)</f>
        <v/>
      </c>
      <c r="N16" s="75" t="inlineStr">
        <is>
          <t>lambdad</t>
        </is>
      </c>
      <c r="O16" s="75" t="n">
        <v>9</v>
      </c>
      <c r="P16" s="5" t="n">
        <v>19.26</v>
      </c>
      <c r="Q16" s="5" t="n">
        <v>16.289</v>
      </c>
      <c r="R16" s="5" t="n">
        <v>18.674</v>
      </c>
      <c r="T16" s="75">
        <f>MAX(DistributorsLeadTime)</f>
        <v/>
      </c>
      <c r="U16" s="75">
        <f>MIN(FactoriesLeadTime)</f>
        <v/>
      </c>
    </row>
    <row r="17">
      <c r="J17" s="75" t="inlineStr">
        <is>
          <t>dias/prod</t>
        </is>
      </c>
      <c r="K17" s="75" t="inlineStr">
        <is>
          <t>Std Devition</t>
        </is>
      </c>
      <c r="L17" s="75">
        <f>L16*0.2</f>
        <v/>
      </c>
      <c r="M17" s="75">
        <f>TRUNC((_xlfn.NORM.INV((RAND()),$L$16,$L$17)),3)</f>
        <v/>
      </c>
      <c r="O17" s="75" t="n">
        <v>10</v>
      </c>
      <c r="P17" s="5" t="n">
        <v>15.308</v>
      </c>
      <c r="Q17" s="5" t="n">
        <v>14.624</v>
      </c>
      <c r="R17" s="5" t="n">
        <v>19.745</v>
      </c>
    </row>
    <row r="20">
      <c r="P20" s="75" t="n">
        <v>19</v>
      </c>
      <c r="Q20" s="75" t="n">
        <v>20</v>
      </c>
      <c r="R20" s="75" t="n">
        <v>21</v>
      </c>
      <c r="T20" s="75" t="inlineStr">
        <is>
          <t>CV</t>
        </is>
      </c>
    </row>
    <row r="21">
      <c r="K21" s="75" t="inlineStr">
        <is>
          <t>fator de segurança</t>
        </is>
      </c>
      <c r="M21" s="75">
        <f>IF(Distributors_Cap!D18=0,0,(IF((Demand!AU19&lt;Distributors_Cap!D13),0,(((2*(P16+Factories_Cap!#REF!)-Distributors_Cap!L12)*(Demand!AU19-Distributors_Cap!D13))/(P11*((2*(P16+Factories_Cap!#REF!)-Distributors_Cap!L12)^0.5))))))</f>
        <v/>
      </c>
      <c r="N21" s="75" t="inlineStr">
        <is>
          <t>kd</t>
        </is>
      </c>
      <c r="O21" s="75" t="n">
        <v>9</v>
      </c>
      <c r="P21" s="5" t="n">
        <v>7.592558883216195</v>
      </c>
      <c r="Q21" s="5" t="n">
        <v>0</v>
      </c>
      <c r="R21" s="5" t="n">
        <v>0</v>
      </c>
      <c r="T21" s="75">
        <f>P11/Demand!AU19</f>
        <v/>
      </c>
      <c r="U21" s="75">
        <f>Q11/Demand!AV19</f>
        <v/>
      </c>
      <c r="V21" s="75">
        <f>R11/Demand!AW19</f>
        <v/>
      </c>
    </row>
    <row r="22">
      <c r="O22" s="75" t="n">
        <v>10</v>
      </c>
      <c r="P22" s="5" t="n">
        <v>16.32072023133007</v>
      </c>
      <c r="Q22" s="5" t="n">
        <v>0</v>
      </c>
      <c r="R22" s="5" t="n">
        <v>4.487536123810481</v>
      </c>
      <c r="T22" s="75">
        <f>P12/Demand!AU20</f>
        <v/>
      </c>
      <c r="U22" s="75">
        <f>Q12/Demand!AV20</f>
        <v/>
      </c>
      <c r="V22" s="75">
        <f>R12/Demand!AW20</f>
        <v/>
      </c>
    </row>
    <row r="24">
      <c r="P24" s="75" t="n">
        <v>19</v>
      </c>
      <c r="Q24" s="75" t="n">
        <v>20</v>
      </c>
      <c r="R24" s="75" t="n">
        <v>21</v>
      </c>
    </row>
    <row r="25">
      <c r="N25" s="7" t="inlineStr">
        <is>
          <t>Ld+MaxSOf-Sd</t>
        </is>
      </c>
      <c r="O25" s="75" t="n">
        <v>9</v>
      </c>
      <c r="P25" s="75">
        <f>Results!$B$12+P16-Results!D17</f>
        <v/>
      </c>
      <c r="Q25" s="75">
        <f>Results!$B$12+Q16-Results!E17</f>
        <v/>
      </c>
      <c r="R25" s="75">
        <f>Results!$B$12+R16-Results!F17</f>
        <v/>
      </c>
    </row>
    <row r="26">
      <c r="O26" s="75" t="n">
        <v>10</v>
      </c>
      <c r="P26" s="75">
        <f>Results!$B$12+P17-Results!D18</f>
        <v/>
      </c>
      <c r="Q26" s="75">
        <f>Results!$B$12+Q17-Results!E18</f>
        <v/>
      </c>
      <c r="R26" s="75">
        <f>Results!$B$12+R17-Results!F18</f>
        <v/>
      </c>
    </row>
    <row r="28">
      <c r="P28" s="75" t="n">
        <v>19</v>
      </c>
      <c r="Q28" s="75" t="n">
        <v>20</v>
      </c>
      <c r="R28" s="75" t="n">
        <v>21</v>
      </c>
    </row>
    <row r="29">
      <c r="N29" s="75" t="inlineStr">
        <is>
          <t>Sd</t>
        </is>
      </c>
      <c r="O29" s="75" t="n">
        <v>9</v>
      </c>
      <c r="P29" s="75">
        <f>Results!D17</f>
        <v/>
      </c>
      <c r="Q29" s="75">
        <f>Results!E17</f>
        <v/>
      </c>
      <c r="R29" s="75">
        <f>Results!F17</f>
        <v/>
      </c>
    </row>
    <row r="30">
      <c r="O30" s="75" t="n">
        <v>10</v>
      </c>
      <c r="P30" s="75">
        <f>Results!D18</f>
        <v/>
      </c>
      <c r="Q30" s="75">
        <f>Results!E18</f>
        <v/>
      </c>
      <c r="R30" s="75">
        <f>Results!F18</f>
        <v/>
      </c>
    </row>
    <row r="32">
      <c r="P32" s="75" t="n">
        <v>19</v>
      </c>
      <c r="Q32" s="75" t="n">
        <v>20</v>
      </c>
      <c r="R32" s="75" t="n">
        <v>21</v>
      </c>
    </row>
    <row r="33">
      <c r="N33" s="75" t="inlineStr">
        <is>
          <t>Dem</t>
        </is>
      </c>
      <c r="O33" s="75" t="n">
        <v>9</v>
      </c>
      <c r="P33" s="75">
        <f>Demand!AU19</f>
        <v/>
      </c>
      <c r="Q33" s="75">
        <f>Demand!AV19</f>
        <v/>
      </c>
      <c r="R33" s="75">
        <f>Demand!AW19</f>
        <v/>
      </c>
    </row>
    <row r="34">
      <c r="O34" s="75" t="n">
        <v>10</v>
      </c>
      <c r="P34" s="75">
        <f>Demand!AU20</f>
        <v/>
      </c>
      <c r="Q34" s="75">
        <f>Demand!AV20</f>
        <v/>
      </c>
      <c r="R34" s="75">
        <f>Demand!AW20</f>
        <v/>
      </c>
    </row>
    <row r="36">
      <c r="P36" s="75" t="n">
        <v>19</v>
      </c>
      <c r="Q36" s="75" t="n">
        <v>20</v>
      </c>
      <c r="R36" s="75" t="n">
        <v>21</v>
      </c>
    </row>
    <row r="37">
      <c r="N37" s="75" t="inlineStr">
        <is>
          <t>Cap</t>
        </is>
      </c>
      <c r="O37" s="75" t="n">
        <v>9</v>
      </c>
      <c r="P37" s="75">
        <f>Distributors_Cap!D13</f>
        <v/>
      </c>
      <c r="Q37" s="75">
        <f>Distributors_Cap!E13</f>
        <v/>
      </c>
      <c r="R37" s="75">
        <f>Distributors_Cap!F13</f>
        <v/>
      </c>
    </row>
    <row r="38">
      <c r="O38" s="75" t="n">
        <v>10</v>
      </c>
      <c r="P38" s="75">
        <f>Distributors_Cap!D14</f>
        <v/>
      </c>
      <c r="Q38" s="75">
        <f>Distributors_Cap!E14</f>
        <v/>
      </c>
      <c r="R38" s="75">
        <f>Distributors_Cap!F14</f>
        <v/>
      </c>
    </row>
    <row r="40">
      <c r="P40" s="75" t="n">
        <v>19</v>
      </c>
      <c r="Q40" s="75" t="n">
        <v>20</v>
      </c>
      <c r="R40" s="75" t="n">
        <v>21</v>
      </c>
    </row>
    <row r="41">
      <c r="O41" s="75" t="n">
        <v>9</v>
      </c>
      <c r="P41" s="75">
        <f>IF((P33-P37)&gt;=0,"Dem","Folga")</f>
        <v/>
      </c>
      <c r="Q41" s="75">
        <f>IF((Q33-Q37)&gt;=0,"Dem","Folga")</f>
        <v/>
      </c>
      <c r="R41" s="75">
        <f>IF((R33-R37)&gt;=0,"Dem","Folga")</f>
        <v/>
      </c>
    </row>
    <row r="42">
      <c r="O42" s="75" t="n">
        <v>10</v>
      </c>
      <c r="P42" s="75">
        <f>IF((P34-P38)&gt;=0,"Dem","Folga")</f>
        <v/>
      </c>
      <c r="Q42" s="75">
        <f>IF((Q34-Q38)&gt;=0,"Dem","Folga")</f>
        <v/>
      </c>
      <c r="R42" s="75">
        <f>IF((R34-R38)&gt;=0,"Dem","Folga")</f>
        <v/>
      </c>
    </row>
  </sheetData>
  <mergeCells count="1">
    <mergeCell ref="L4:M4"/>
  </mergeCells>
  <pageMargins left="0.511811024" right="0.511811024" top="0.787401575" bottom="0.787401575" header="0.31496062" footer="0.31496062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J2:CS196"/>
  <sheetViews>
    <sheetView topLeftCell="R1" zoomScale="90" zoomScaleNormal="90" workbookViewId="0">
      <selection activeCell="A1" sqref="A1"/>
    </sheetView>
  </sheetViews>
  <sheetFormatPr baseColWidth="8" defaultColWidth="8.88671875" defaultRowHeight="14.4"/>
  <cols>
    <col width="4.88671875" customWidth="1" style="75" min="1" max="1"/>
    <col hidden="1" width="1.33203125" customWidth="1" style="75" min="2" max="8"/>
    <col width="8.88671875" customWidth="1" style="75" min="9" max="9"/>
    <col width="10" bestFit="1" customWidth="1" style="75" min="10" max="10"/>
    <col width="11.5546875" customWidth="1" style="75" min="11" max="11"/>
    <col hidden="1" width="8.6640625" customWidth="1" style="75" min="12" max="12"/>
    <col hidden="1" width="15.33203125" customWidth="1" style="75" min="13" max="13"/>
    <col width="8.88671875" customWidth="1" style="75" min="14" max="19"/>
    <col width="12.6640625" bestFit="1" customWidth="1" style="75" min="20" max="20"/>
    <col width="11.5546875" bestFit="1" customWidth="1" style="75" min="21" max="21"/>
    <col hidden="1" width="10.6640625" customWidth="1" style="75" min="22" max="23"/>
    <col width="8.88671875" customWidth="1" style="75" min="24" max="29"/>
    <col width="12.6640625" bestFit="1" customWidth="1" style="75" min="30" max="30"/>
    <col width="10.6640625" bestFit="1" customWidth="1" style="75" min="31" max="31"/>
    <col hidden="1" width="11.33203125" customWidth="1" style="75" min="32" max="33"/>
    <col width="8.88671875" customWidth="1" style="75" min="34" max="35"/>
    <col width="12" bestFit="1" customWidth="1" style="75" min="36" max="36"/>
    <col width="14.33203125" customWidth="1" style="75" min="37" max="37"/>
    <col width="16" customWidth="1" style="75" min="38" max="38"/>
    <col width="7.33203125" customWidth="1" style="75" min="39" max="39"/>
    <col width="17.109375" bestFit="1" customWidth="1" style="75" min="40" max="40"/>
    <col hidden="1" width="7.5546875" customWidth="1" style="75" min="41" max="41"/>
    <col hidden="1" width="16" customWidth="1" style="75" min="42" max="42"/>
    <col width="8.88671875" customWidth="1" style="75" min="43" max="52"/>
    <col hidden="1" width="13" customWidth="1" style="75" min="53" max="57"/>
    <col width="11.88671875" bestFit="1" customWidth="1" style="75" min="58" max="58"/>
    <col width="8.88671875" customWidth="1" style="75" min="59" max="16384"/>
  </cols>
  <sheetData>
    <row r="2">
      <c r="AJ2" t="inlineStr">
        <is>
          <t>Tempo de atravessamento</t>
        </is>
      </c>
      <c r="AL2" s="75">
        <f>MIN(RetailersLeadTime)</f>
        <v/>
      </c>
    </row>
    <row r="3">
      <c r="AJ3" s="75" t="n">
        <v>60</v>
      </c>
      <c r="AK3" s="75" t="inlineStr">
        <is>
          <t>dias</t>
        </is>
      </c>
    </row>
    <row r="4">
      <c r="L4" s="75" t="inlineStr">
        <is>
          <t>GERADOR DE DADOS</t>
        </is>
      </c>
      <c r="V4" s="75" t="inlineStr">
        <is>
          <t>GERADOR DE DADOS</t>
        </is>
      </c>
      <c r="AF4" s="75" t="inlineStr">
        <is>
          <t>GERADOR DE DADOS</t>
        </is>
      </c>
      <c r="AO4" s="75" t="inlineStr">
        <is>
          <t>GERADOR DE DADOS</t>
        </is>
      </c>
      <c r="BG4" s="7" t="inlineStr">
        <is>
          <t>Lr+MaxSOd-Sr</t>
        </is>
      </c>
    </row>
    <row r="5">
      <c r="P5" s="75" t="n">
        <v>22</v>
      </c>
      <c r="Q5" s="75" t="n">
        <v>23</v>
      </c>
      <c r="R5" s="75" t="n">
        <v>24</v>
      </c>
      <c r="Z5" s="75" t="n">
        <v>22</v>
      </c>
      <c r="AA5" s="75" t="n">
        <v>23</v>
      </c>
      <c r="AB5" s="75" t="n">
        <v>24</v>
      </c>
      <c r="AJ5" s="75" t="n">
        <v>22</v>
      </c>
      <c r="AK5" s="75" t="n">
        <v>23</v>
      </c>
      <c r="AL5" s="75" t="n">
        <v>24</v>
      </c>
      <c r="AS5" s="75" t="n">
        <v>22</v>
      </c>
      <c r="AT5" s="75" t="n">
        <v>23</v>
      </c>
      <c r="AU5" s="75" t="n">
        <v>24</v>
      </c>
      <c r="AW5" s="75" t="inlineStr">
        <is>
          <t>CV</t>
        </is>
      </c>
      <c r="BH5" s="75" t="n">
        <v>22</v>
      </c>
      <c r="BI5" s="75" t="n">
        <v>23</v>
      </c>
      <c r="BJ5" s="75" t="n">
        <v>24</v>
      </c>
      <c r="BN5" s="75" t="n">
        <v>22</v>
      </c>
      <c r="BO5" s="75" t="n">
        <v>23</v>
      </c>
      <c r="BP5" s="75" t="n">
        <v>24</v>
      </c>
      <c r="BT5" s="75" t="n">
        <v>22</v>
      </c>
      <c r="BU5" s="75" t="n">
        <v>23</v>
      </c>
      <c r="BV5" s="75" t="n">
        <v>24</v>
      </c>
      <c r="BZ5" s="75" t="n">
        <v>22</v>
      </c>
      <c r="CA5" s="75" t="n">
        <v>23</v>
      </c>
      <c r="CB5" s="75" t="n">
        <v>24</v>
      </c>
      <c r="CE5" s="75" t="n">
        <v>22</v>
      </c>
      <c r="CF5" s="75" t="n">
        <v>23</v>
      </c>
      <c r="CG5" s="75" t="n">
        <v>24</v>
      </c>
    </row>
    <row r="6">
      <c r="J6" s="75" t="inlineStr">
        <is>
          <t>$/prod</t>
        </is>
      </c>
      <c r="K6" s="75" t="inlineStr">
        <is>
          <t>Avarege</t>
        </is>
      </c>
      <c r="L6" s="2">
        <f>Distributors!L6*1.1</f>
        <v/>
      </c>
      <c r="M6" s="75">
        <f>TRUNC((_xlfn.NORM.INV((RAND()),$L$6,$L$7)),2)</f>
        <v/>
      </c>
      <c r="N6" s="75" t="inlineStr">
        <is>
          <t>hr</t>
        </is>
      </c>
      <c r="O6" s="75" t="n">
        <v>11</v>
      </c>
      <c r="P6" s="5" t="n">
        <v>209.12</v>
      </c>
      <c r="Q6" s="5" t="n">
        <v>185.93</v>
      </c>
      <c r="R6" s="5" t="n">
        <v>213.25</v>
      </c>
      <c r="T6" s="75" t="inlineStr">
        <is>
          <t>prod/dia</t>
        </is>
      </c>
      <c r="U6" s="75" t="inlineStr">
        <is>
          <t>Avarege</t>
        </is>
      </c>
      <c r="V6" s="8">
        <f>Demand!E25</f>
        <v/>
      </c>
      <c r="W6" s="75">
        <f>TRUNC((_xlfn.NORM.INV((RAND()),$V$6,$V$7)),3)</f>
        <v/>
      </c>
      <c r="X6" s="75" t="inlineStr">
        <is>
          <t>sigmar</t>
        </is>
      </c>
      <c r="Y6" s="75" t="n">
        <v>11</v>
      </c>
      <c r="Z6" s="5" t="n">
        <v>6.79</v>
      </c>
      <c r="AA6" s="5" t="n">
        <v>6.685</v>
      </c>
      <c r="AB6" s="5" t="n">
        <v>6.691</v>
      </c>
      <c r="AD6" s="75" t="inlineStr">
        <is>
          <t>dias/prod</t>
        </is>
      </c>
      <c r="AE6" s="75" t="inlineStr">
        <is>
          <t>Avarege</t>
        </is>
      </c>
      <c r="AF6" s="75">
        <f>AJ3</f>
        <v/>
      </c>
      <c r="AG6" s="75">
        <f>TRUNC((_xlfn.NORM.INV((RAND()),$AF$6,$AF$7)),3)</f>
        <v/>
      </c>
      <c r="AH6" s="75" t="inlineStr">
        <is>
          <t>lambdar</t>
        </is>
      </c>
      <c r="AI6" s="75" t="n">
        <v>11</v>
      </c>
      <c r="AJ6" s="5" t="n">
        <v>53.045</v>
      </c>
      <c r="AK6" s="5" t="n">
        <v>56.66</v>
      </c>
      <c r="AL6" s="5" t="n">
        <v>54.621</v>
      </c>
      <c r="AN6" s="75" t="inlineStr">
        <is>
          <t>fator de segurança</t>
        </is>
      </c>
      <c r="AP6" s="75">
        <f>IF(Retailers_Cap!R7=0,0,(IF((Demand!AU24&lt;Retailers_Cap!N7),0,(((2*(AJ6+Distributors_Cap!$P$47)-Retailers_Cap!$BB$7)*(Demand!AU24-Retailers_Cap!N7))/(Z6*((2*(AJ6+Distributors_Cap!$P$47)-Retailers_Cap!BB7)^0.5))))))</f>
        <v/>
      </c>
      <c r="AQ6" s="75" t="inlineStr">
        <is>
          <t>kr</t>
        </is>
      </c>
      <c r="AR6" s="75" t="n">
        <v>11</v>
      </c>
      <c r="AS6" s="5" t="n">
        <v>16.090838532262</v>
      </c>
      <c r="AT6" s="5" t="n">
        <v>13.76839698118468</v>
      </c>
      <c r="AU6" s="5" t="n">
        <v>4.854520450298061</v>
      </c>
      <c r="AW6" s="75">
        <f>Z6/Demand!AU24</f>
        <v/>
      </c>
      <c r="AX6" s="75">
        <f>AA6/Demand!AV24</f>
        <v/>
      </c>
      <c r="AY6" s="75">
        <f>AB6/Demand!AW24</f>
        <v/>
      </c>
      <c r="BG6" s="75" t="n">
        <v>11</v>
      </c>
      <c r="BH6" s="75">
        <f>Results!$B$19+AJ6-Results!$D$21</f>
        <v/>
      </c>
      <c r="BI6" s="75">
        <f>Results!$B$19+AK6-Results!$D$21</f>
        <v/>
      </c>
      <c r="BJ6" s="75">
        <f>Results!$B$19+AL6-Results!$D$21</f>
        <v/>
      </c>
      <c r="BL6" s="75" t="inlineStr">
        <is>
          <t>Sr</t>
        </is>
      </c>
      <c r="BM6" s="75" t="n">
        <v>11</v>
      </c>
      <c r="BN6" s="75">
        <f>Results!D21</f>
        <v/>
      </c>
      <c r="BO6" s="75">
        <f>Results!E21</f>
        <v/>
      </c>
      <c r="BP6" s="75">
        <f>Results!F21</f>
        <v/>
      </c>
      <c r="BR6" s="75" t="inlineStr">
        <is>
          <t>Dem</t>
        </is>
      </c>
      <c r="BS6" s="75" t="n">
        <v>11</v>
      </c>
      <c r="BT6" s="75">
        <f>Demand!AU24</f>
        <v/>
      </c>
      <c r="BU6" s="75">
        <f>Demand!AV24</f>
        <v/>
      </c>
      <c r="BV6" s="75">
        <f>Demand!AW24</f>
        <v/>
      </c>
      <c r="BX6" s="75" t="inlineStr">
        <is>
          <t>Cap</t>
        </is>
      </c>
      <c r="BY6" s="75" t="n">
        <v>11</v>
      </c>
      <c r="BZ6" s="75">
        <f>Retailers_Cap!N7</f>
        <v/>
      </c>
      <c r="CA6" s="75">
        <f>Retailers_Cap!O7</f>
        <v/>
      </c>
      <c r="CB6" s="75">
        <f>Retailers_Cap!P7</f>
        <v/>
      </c>
      <c r="CD6" s="75" t="n">
        <v>11</v>
      </c>
      <c r="CE6" s="75">
        <f>IF((BT6-BZ6)&gt;=0,"Dem","Folga")</f>
        <v/>
      </c>
      <c r="CF6" s="75">
        <f>IF((BU6-CA6)&gt;=0,"Dem","Folga")</f>
        <v/>
      </c>
      <c r="CG6" s="75">
        <f>IF((BV6-CB6)&gt;=0,"Dem","Folga")</f>
        <v/>
      </c>
    </row>
    <row r="7">
      <c r="J7" s="75" t="inlineStr">
        <is>
          <t>$/prod</t>
        </is>
      </c>
      <c r="K7" s="75" t="inlineStr">
        <is>
          <t>Std Devition</t>
        </is>
      </c>
      <c r="L7" s="2">
        <f>L6*0.2</f>
        <v/>
      </c>
      <c r="M7" s="75">
        <f>TRUNC((_xlfn.NORM.INV((RAND()),$L$6,$L$7)),2)</f>
        <v/>
      </c>
      <c r="O7" s="75" t="n">
        <v>12</v>
      </c>
      <c r="P7" s="5" t="n">
        <v>249.63</v>
      </c>
      <c r="Q7" s="5" t="n">
        <v>155.87</v>
      </c>
      <c r="R7" s="5" t="n">
        <v>172.64</v>
      </c>
      <c r="T7" s="75" t="inlineStr">
        <is>
          <t>prod/dia</t>
        </is>
      </c>
      <c r="U7" s="75" t="inlineStr">
        <is>
          <t>Std Devition</t>
        </is>
      </c>
      <c r="V7" s="8">
        <f>V6*0.01</f>
        <v/>
      </c>
      <c r="W7" s="75">
        <f>TRUNC((_xlfn.NORM.INV((RAND()),$V$6,$V$7)),3)</f>
        <v/>
      </c>
      <c r="Y7" s="75" t="n">
        <v>12</v>
      </c>
      <c r="Z7" s="5" t="n">
        <v>6.752</v>
      </c>
      <c r="AA7" s="5" t="n">
        <v>6.812</v>
      </c>
      <c r="AB7" s="5" t="n">
        <v>6.833</v>
      </c>
      <c r="AD7" s="75" t="inlineStr">
        <is>
          <t>dias/prod</t>
        </is>
      </c>
      <c r="AE7" s="75" t="inlineStr">
        <is>
          <t>Std Devition</t>
        </is>
      </c>
      <c r="AF7" s="75">
        <f>AF6*0.2</f>
        <v/>
      </c>
      <c r="AG7" s="75">
        <f>TRUNC((_xlfn.NORM.INV((RAND()),$AF$6,$AF$7)),3)</f>
        <v/>
      </c>
      <c r="AI7" s="75" t="n">
        <v>12</v>
      </c>
      <c r="AJ7" s="5" t="n">
        <v>63.666</v>
      </c>
      <c r="AK7" s="5" t="n">
        <v>66.75</v>
      </c>
      <c r="AL7" s="5" t="n">
        <v>64.45</v>
      </c>
      <c r="AR7" s="75" t="n">
        <v>12</v>
      </c>
      <c r="AS7" s="5" t="n">
        <v>0</v>
      </c>
      <c r="AT7" s="5" t="n">
        <v>0</v>
      </c>
      <c r="AU7" s="5" t="n">
        <v>13.31783375845737</v>
      </c>
      <c r="AW7" s="75">
        <f>Z7/Demand!AU25</f>
        <v/>
      </c>
      <c r="AX7" s="75">
        <f>AA7/Demand!AV25</f>
        <v/>
      </c>
      <c r="AY7" s="75">
        <f>AB7/Demand!AW25</f>
        <v/>
      </c>
      <c r="BG7" s="75" t="n">
        <v>12</v>
      </c>
      <c r="BH7" s="75">
        <f>Results!$B$19+AJ7-Results!$D$21</f>
        <v/>
      </c>
      <c r="BI7" s="75">
        <f>Results!$B$19+AK7-Results!$D$21</f>
        <v/>
      </c>
      <c r="BJ7" s="75">
        <f>Results!$B$19+AL7-Results!$D$21</f>
        <v/>
      </c>
      <c r="BM7" s="75" t="n">
        <v>12</v>
      </c>
      <c r="BN7" s="75">
        <f>Results!D22</f>
        <v/>
      </c>
      <c r="BO7" s="75">
        <f>Results!E22</f>
        <v/>
      </c>
      <c r="BP7" s="75">
        <f>Results!F22</f>
        <v/>
      </c>
      <c r="BS7" s="75" t="n">
        <v>12</v>
      </c>
      <c r="BT7" s="75">
        <f>Demand!AU25</f>
        <v/>
      </c>
      <c r="BU7" s="75">
        <f>Demand!AV25</f>
        <v/>
      </c>
      <c r="BV7" s="75">
        <f>Demand!AW25</f>
        <v/>
      </c>
      <c r="BY7" s="75" t="n">
        <v>12</v>
      </c>
      <c r="BZ7" s="75">
        <f>Retailers_Cap!N8</f>
        <v/>
      </c>
      <c r="CA7" s="75">
        <f>Retailers_Cap!O8</f>
        <v/>
      </c>
      <c r="CB7" s="75">
        <f>Retailers_Cap!P8</f>
        <v/>
      </c>
      <c r="CD7" s="75" t="n">
        <v>12</v>
      </c>
      <c r="CE7" s="75">
        <f>IF((BT7-BZ7)&gt;=0,"Dem","Folga")</f>
        <v/>
      </c>
      <c r="CF7" s="75">
        <f>IF((BU7-CA7)&gt;=0,"Dem","Folga")</f>
        <v/>
      </c>
      <c r="CG7" s="75">
        <f>IF((BV7-CB7)&gt;=0,"Dem","Folga")</f>
        <v/>
      </c>
    </row>
    <row r="8">
      <c r="M8" s="75">
        <f>TRUNC((_xlfn.NORM.INV((RAND()),$L$6,$L$7)),2)</f>
        <v/>
      </c>
      <c r="O8" s="75" t="n">
        <v>13</v>
      </c>
      <c r="P8" s="5" t="n">
        <v>215.08</v>
      </c>
      <c r="Q8" s="5" t="n">
        <v>196.95</v>
      </c>
      <c r="R8" s="5" t="n">
        <v>106.71</v>
      </c>
      <c r="W8" s="75">
        <f>TRUNC((_xlfn.NORM.INV((RAND()),$V$6,$V$7)),3)</f>
        <v/>
      </c>
      <c r="Y8" s="75" t="n">
        <v>13</v>
      </c>
      <c r="Z8" s="5" t="n">
        <v>6.681</v>
      </c>
      <c r="AA8" s="5" t="n">
        <v>6.74</v>
      </c>
      <c r="AB8" s="5" t="n">
        <v>6.696</v>
      </c>
      <c r="AG8" s="75">
        <f>TRUNC((_xlfn.NORM.INV((RAND()),$AF$6,$AF$7)),3)</f>
        <v/>
      </c>
      <c r="AI8" s="75" t="n">
        <v>13</v>
      </c>
      <c r="AJ8" s="5" t="n">
        <v>51.821</v>
      </c>
      <c r="AK8" s="5" t="n">
        <v>69.47799999999999</v>
      </c>
      <c r="AL8" s="5" t="n">
        <v>55.332</v>
      </c>
      <c r="AR8" s="75" t="n">
        <v>13</v>
      </c>
      <c r="AS8" s="5" t="n">
        <v>0</v>
      </c>
      <c r="AT8" s="5" t="n">
        <v>0</v>
      </c>
      <c r="AU8" s="5" t="n">
        <v>24.78100859941</v>
      </c>
      <c r="AW8" s="75">
        <f>Z8/Demand!AU26</f>
        <v/>
      </c>
      <c r="AX8" s="75">
        <f>AA8/Demand!AV26</f>
        <v/>
      </c>
      <c r="AY8" s="75">
        <f>AB8/Demand!AW26</f>
        <v/>
      </c>
      <c r="BG8" s="75" t="n">
        <v>13</v>
      </c>
      <c r="BH8" s="75">
        <f>Results!$B$19+AJ8-Results!$D$21</f>
        <v/>
      </c>
      <c r="BI8" s="75">
        <f>Results!$B$19+AK8-Results!$D$21</f>
        <v/>
      </c>
      <c r="BJ8" s="75">
        <f>Results!$B$19+AL8-Results!$D$21</f>
        <v/>
      </c>
      <c r="BM8" s="75" t="n">
        <v>13</v>
      </c>
      <c r="BN8" s="75">
        <f>Results!D23</f>
        <v/>
      </c>
      <c r="BO8" s="75">
        <f>Results!E23</f>
        <v/>
      </c>
      <c r="BP8" s="75">
        <f>Results!F23</f>
        <v/>
      </c>
      <c r="BS8" s="75" t="n">
        <v>13</v>
      </c>
      <c r="BT8" s="75">
        <f>Demand!AU26</f>
        <v/>
      </c>
      <c r="BU8" s="75">
        <f>Demand!AV26</f>
        <v/>
      </c>
      <c r="BV8" s="75">
        <f>Demand!AW26</f>
        <v/>
      </c>
      <c r="BY8" s="75" t="n">
        <v>13</v>
      </c>
      <c r="BZ8" s="75">
        <f>Retailers_Cap!N9</f>
        <v/>
      </c>
      <c r="CA8" s="75">
        <f>Retailers_Cap!O9</f>
        <v/>
      </c>
      <c r="CB8" s="75">
        <f>Retailers_Cap!P9</f>
        <v/>
      </c>
      <c r="CD8" s="75" t="n">
        <v>13</v>
      </c>
      <c r="CE8" s="75">
        <f>IF((BT8-BZ8)&gt;=0,"Dem","Folga")</f>
        <v/>
      </c>
      <c r="CF8" s="75">
        <f>IF((BU8-CA8)&gt;=0,"Dem","Folga")</f>
        <v/>
      </c>
      <c r="CG8" s="75">
        <f>IF((BV8-CB8)&gt;=0,"Dem","Folga")</f>
        <v/>
      </c>
    </row>
    <row r="9">
      <c r="M9" s="75">
        <f>TRUNC((_xlfn.NORM.INV((RAND()),$L$6,$L$7)),2)</f>
        <v/>
      </c>
      <c r="O9" s="75" t="n">
        <v>14</v>
      </c>
      <c r="P9" s="5" t="n">
        <v>213.47</v>
      </c>
      <c r="Q9" s="5" t="n">
        <v>189.41</v>
      </c>
      <c r="R9" s="5" t="n">
        <v>259.02</v>
      </c>
      <c r="W9" s="75">
        <f>TRUNC((_xlfn.NORM.INV((RAND()),$V$6,$V$7)),3)</f>
        <v/>
      </c>
      <c r="Y9" s="75" t="n">
        <v>14</v>
      </c>
      <c r="Z9" s="5" t="n">
        <v>6.736</v>
      </c>
      <c r="AA9" s="5" t="n">
        <v>6.781</v>
      </c>
      <c r="AB9" s="5" t="n">
        <v>6.708</v>
      </c>
      <c r="AG9" s="75">
        <f>TRUNC((_xlfn.NORM.INV((RAND()),$AF$6,$AF$7)),3)</f>
        <v/>
      </c>
      <c r="AI9" s="75" t="n">
        <v>14</v>
      </c>
      <c r="AJ9" s="5" t="n">
        <v>53.004</v>
      </c>
      <c r="AK9" s="5" t="n">
        <v>56.216</v>
      </c>
      <c r="AL9" s="5" t="n">
        <v>53.435</v>
      </c>
      <c r="AR9" s="75" t="n">
        <v>14</v>
      </c>
      <c r="AS9" s="5" t="n">
        <v>0</v>
      </c>
      <c r="AT9" s="5" t="n">
        <v>0</v>
      </c>
      <c r="AU9" s="5" t="n">
        <v>0</v>
      </c>
      <c r="AW9" s="75">
        <f>Z9/Demand!AU27</f>
        <v/>
      </c>
      <c r="AX9" s="75">
        <f>AA9/Demand!AV27</f>
        <v/>
      </c>
      <c r="AY9" s="75">
        <f>AB9/Demand!AW27</f>
        <v/>
      </c>
      <c r="BG9" s="75" t="n">
        <v>14</v>
      </c>
      <c r="BH9" s="75">
        <f>Results!$B$19+AJ9-Results!$D$21</f>
        <v/>
      </c>
      <c r="BI9" s="75">
        <f>Results!$B$19+AK9-Results!$D$21</f>
        <v/>
      </c>
      <c r="BJ9" s="75">
        <f>Results!$B$19+AL9-Results!$D$21</f>
        <v/>
      </c>
      <c r="BM9" s="75" t="n">
        <v>14</v>
      </c>
      <c r="BN9" s="75">
        <f>Results!D24</f>
        <v/>
      </c>
      <c r="BO9" s="75">
        <f>Results!E24</f>
        <v/>
      </c>
      <c r="BP9" s="75">
        <f>Results!F24</f>
        <v/>
      </c>
      <c r="BS9" s="75" t="n">
        <v>14</v>
      </c>
      <c r="BT9" s="75">
        <f>Demand!AU27</f>
        <v/>
      </c>
      <c r="BU9" s="75">
        <f>Demand!AV27</f>
        <v/>
      </c>
      <c r="BV9" s="75">
        <f>Demand!AW27</f>
        <v/>
      </c>
      <c r="BY9" s="75" t="n">
        <v>14</v>
      </c>
      <c r="BZ9" s="75">
        <f>Retailers_Cap!N10</f>
        <v/>
      </c>
      <c r="CA9" s="75">
        <f>Retailers_Cap!O10</f>
        <v/>
      </c>
      <c r="CB9" s="75">
        <f>Retailers_Cap!P10</f>
        <v/>
      </c>
      <c r="CD9" s="75" t="n">
        <v>14</v>
      </c>
      <c r="CE9" s="75">
        <f>IF((BT9-BZ9)&gt;=0,"Dem","Folga")</f>
        <v/>
      </c>
      <c r="CF9" s="75">
        <f>IF((BU9-CA9)&gt;=0,"Dem","Folga")</f>
        <v/>
      </c>
      <c r="CG9" s="75">
        <f>IF((BV9-CB9)&gt;=0,"Dem","Folga")</f>
        <v/>
      </c>
    </row>
    <row r="10">
      <c r="M10" s="75">
        <f>TRUNC((_xlfn.NORM.INV((RAND()),$L$6,$L$7)),2)</f>
        <v/>
      </c>
      <c r="O10" s="75" t="n">
        <v>15</v>
      </c>
      <c r="P10" s="5" t="n">
        <v>229.13</v>
      </c>
      <c r="Q10" s="5" t="n">
        <v>174.03</v>
      </c>
      <c r="R10" s="5" t="n">
        <v>211.69</v>
      </c>
      <c r="W10" s="75">
        <f>TRUNC((_xlfn.NORM.INV((RAND()),$V$6,$V$7)),3)</f>
        <v/>
      </c>
      <c r="Y10" s="75" t="n">
        <v>15</v>
      </c>
      <c r="Z10" s="5" t="n">
        <v>6.576</v>
      </c>
      <c r="AA10" s="5" t="n">
        <v>6.758</v>
      </c>
      <c r="AB10" s="5" t="n">
        <v>6.71</v>
      </c>
      <c r="AG10" s="75">
        <f>TRUNC((_xlfn.NORM.INV((RAND()),$AF$6,$AF$7)),3)</f>
        <v/>
      </c>
      <c r="AI10" s="75" t="n">
        <v>15</v>
      </c>
      <c r="AJ10" s="5" t="n">
        <v>50.825</v>
      </c>
      <c r="AK10" s="5" t="n">
        <v>55.76</v>
      </c>
      <c r="AL10" s="5" t="n">
        <v>46.177</v>
      </c>
      <c r="AR10" s="75" t="n">
        <v>15</v>
      </c>
      <c r="AS10" s="5" t="n">
        <v>13.03779402816948</v>
      </c>
      <c r="AT10" s="5" t="n">
        <v>0</v>
      </c>
      <c r="AU10" s="5" t="n">
        <v>0</v>
      </c>
      <c r="AW10" s="75">
        <f>Z10/Demand!AU28</f>
        <v/>
      </c>
      <c r="AX10" s="75">
        <f>AA10/Demand!AV28</f>
        <v/>
      </c>
      <c r="AY10" s="75">
        <f>AB10/Demand!AW28</f>
        <v/>
      </c>
      <c r="BG10" s="75" t="n">
        <v>15</v>
      </c>
      <c r="BH10" s="75">
        <f>Results!$B$19+AJ10-Results!$D$21</f>
        <v/>
      </c>
      <c r="BI10" s="75">
        <f>Results!$B$19+AK10-Results!$D$21</f>
        <v/>
      </c>
      <c r="BJ10" s="75">
        <f>Results!$B$19+AL10-Results!$D$21</f>
        <v/>
      </c>
      <c r="BM10" s="75" t="n">
        <v>15</v>
      </c>
      <c r="BN10" s="75">
        <f>Results!D25</f>
        <v/>
      </c>
      <c r="BO10" s="75">
        <f>Results!E25</f>
        <v/>
      </c>
      <c r="BP10" s="75">
        <f>Results!F25</f>
        <v/>
      </c>
      <c r="BS10" s="75" t="n">
        <v>15</v>
      </c>
      <c r="BT10" s="75">
        <f>Demand!AU28</f>
        <v/>
      </c>
      <c r="BU10" s="75">
        <f>Demand!AV28</f>
        <v/>
      </c>
      <c r="BV10" s="75">
        <f>Demand!AW28</f>
        <v/>
      </c>
      <c r="BY10" s="75" t="n">
        <v>15</v>
      </c>
      <c r="BZ10" s="75">
        <f>Retailers_Cap!N11</f>
        <v/>
      </c>
      <c r="CA10" s="75">
        <f>Retailers_Cap!O11</f>
        <v/>
      </c>
      <c r="CB10" s="75">
        <f>Retailers_Cap!P11</f>
        <v/>
      </c>
      <c r="CD10" s="75" t="n">
        <v>15</v>
      </c>
      <c r="CE10" s="75">
        <f>IF((BT10-BZ10)&gt;=0,"Dem","Folga")</f>
        <v/>
      </c>
      <c r="CF10" s="75">
        <f>IF((BU10-CA10)&gt;=0,"Dem","Folga")</f>
        <v/>
      </c>
      <c r="CG10" s="75">
        <f>IF((BV10-CB10)&gt;=0,"Dem","Folga")</f>
        <v/>
      </c>
    </row>
    <row r="11">
      <c r="M11" s="75">
        <f>TRUNC((_xlfn.NORM.INV((RAND()),$L$6,$L$7)),2)</f>
        <v/>
      </c>
      <c r="O11" s="75" t="n">
        <v>16</v>
      </c>
      <c r="P11" s="5" t="n">
        <v>254.52</v>
      </c>
      <c r="Q11" s="5" t="n">
        <v>127.67</v>
      </c>
      <c r="R11" s="5" t="n">
        <v>236.71</v>
      </c>
      <c r="W11" s="75">
        <f>TRUNC((_xlfn.NORM.INV((RAND()),$V$6,$V$7)),3)</f>
        <v/>
      </c>
      <c r="Y11" s="75" t="n">
        <v>16</v>
      </c>
      <c r="Z11" s="5" t="n">
        <v>6.852</v>
      </c>
      <c r="AA11" s="5" t="n">
        <v>6.663</v>
      </c>
      <c r="AB11" s="5" t="n">
        <v>6.795</v>
      </c>
      <c r="AG11" s="75">
        <f>TRUNC((_xlfn.NORM.INV((RAND()),$AF$6,$AF$7)),3)</f>
        <v/>
      </c>
      <c r="AI11" s="75" t="n">
        <v>16</v>
      </c>
      <c r="AJ11" s="5" t="n">
        <v>62.647</v>
      </c>
      <c r="AK11" s="5" t="n">
        <v>59.808</v>
      </c>
      <c r="AL11" s="5" t="n">
        <v>73.167</v>
      </c>
      <c r="AR11" s="75" t="n">
        <v>16</v>
      </c>
      <c r="AS11" s="5" t="n">
        <v>0</v>
      </c>
      <c r="AT11" s="5" t="n">
        <v>0</v>
      </c>
      <c r="AU11" s="5" t="n">
        <v>0</v>
      </c>
      <c r="AW11" s="75">
        <f>Z11/Demand!AU29</f>
        <v/>
      </c>
      <c r="AX11" s="75">
        <f>AA11/Demand!AV29</f>
        <v/>
      </c>
      <c r="AY11" s="75">
        <f>AB11/Demand!AW29</f>
        <v/>
      </c>
      <c r="BG11" s="75" t="n">
        <v>16</v>
      </c>
      <c r="BH11" s="75">
        <f>Results!$B$19+AJ11-Results!$D$21</f>
        <v/>
      </c>
      <c r="BI11" s="75">
        <f>Results!$B$19+AK11-Results!$D$21</f>
        <v/>
      </c>
      <c r="BJ11" s="75">
        <f>Results!$B$19+AL11-Results!$D$21</f>
        <v/>
      </c>
      <c r="BM11" s="75" t="n">
        <v>16</v>
      </c>
      <c r="BN11" s="75">
        <f>Results!D26</f>
        <v/>
      </c>
      <c r="BO11" s="75">
        <f>Results!E26</f>
        <v/>
      </c>
      <c r="BP11" s="75">
        <f>Results!F26</f>
        <v/>
      </c>
      <c r="BS11" s="75" t="n">
        <v>16</v>
      </c>
      <c r="BT11" s="75">
        <f>Demand!AU29</f>
        <v/>
      </c>
      <c r="BU11" s="75">
        <f>Demand!AV29</f>
        <v/>
      </c>
      <c r="BV11" s="75">
        <f>Demand!AW29</f>
        <v/>
      </c>
      <c r="BY11" s="75" t="n">
        <v>16</v>
      </c>
      <c r="BZ11" s="75">
        <f>Retailers_Cap!N12</f>
        <v/>
      </c>
      <c r="CA11" s="75">
        <f>Retailers_Cap!O12</f>
        <v/>
      </c>
      <c r="CB11" s="75">
        <f>Retailers_Cap!P12</f>
        <v/>
      </c>
      <c r="CD11" s="75" t="n">
        <v>16</v>
      </c>
      <c r="CE11" s="75">
        <f>IF((BT11-BZ11)&gt;=0,"Dem","Folga")</f>
        <v/>
      </c>
      <c r="CF11" s="75">
        <f>IF((BU11-CA11)&gt;=0,"Dem","Folga")</f>
        <v/>
      </c>
      <c r="CG11" s="75">
        <f>IF((BV11-CB11)&gt;=0,"Dem","Folga")</f>
        <v/>
      </c>
    </row>
    <row r="12">
      <c r="M12" s="75">
        <f>TRUNC((_xlfn.NORM.INV((RAND()),$L$6,$L$7)),2)</f>
        <v/>
      </c>
      <c r="O12" s="75" t="n">
        <v>17</v>
      </c>
      <c r="P12" s="5" t="n">
        <v>134.27</v>
      </c>
      <c r="Q12" s="5" t="n">
        <v>218.91</v>
      </c>
      <c r="R12" s="5" t="n">
        <v>219.58</v>
      </c>
      <c r="W12" s="75">
        <f>TRUNC((_xlfn.NORM.INV((RAND()),$V$6,$V$7)),3)</f>
        <v/>
      </c>
      <c r="Y12" s="75" t="n">
        <v>17</v>
      </c>
      <c r="Z12" s="5" t="n">
        <v>6.759</v>
      </c>
      <c r="AA12" s="5" t="n">
        <v>6.779</v>
      </c>
      <c r="AB12" s="5" t="n">
        <v>6.642</v>
      </c>
      <c r="AG12" s="75">
        <f>TRUNC((_xlfn.NORM.INV((RAND()),$AF$6,$AF$7)),3)</f>
        <v/>
      </c>
      <c r="AI12" s="75" t="n">
        <v>17</v>
      </c>
      <c r="AJ12" s="5" t="n">
        <v>56.062</v>
      </c>
      <c r="AK12" s="5" t="n">
        <v>46.061</v>
      </c>
      <c r="AL12" s="5" t="n">
        <v>67.54900000000001</v>
      </c>
      <c r="AR12" s="75" t="n">
        <v>17</v>
      </c>
      <c r="AS12" s="5" t="n">
        <v>11.95189787532524</v>
      </c>
      <c r="AT12" s="5" t="n">
        <v>0</v>
      </c>
      <c r="AU12" s="5" t="n">
        <v>11.72534969915612</v>
      </c>
      <c r="AW12" s="75">
        <f>Z12/Demand!AU30</f>
        <v/>
      </c>
      <c r="AX12" s="75">
        <f>AA12/Demand!AV30</f>
        <v/>
      </c>
      <c r="AY12" s="75">
        <f>AB12/Demand!AW30</f>
        <v/>
      </c>
      <c r="BG12" s="75" t="n">
        <v>17</v>
      </c>
      <c r="BH12" s="75">
        <f>Results!$B$19+AJ12-Results!$D$21</f>
        <v/>
      </c>
      <c r="BI12" s="75">
        <f>Results!$B$19+AK12-Results!$D$21</f>
        <v/>
      </c>
      <c r="BJ12" s="75">
        <f>Results!$B$19+AL12-Results!$D$21</f>
        <v/>
      </c>
      <c r="BM12" s="75" t="n">
        <v>17</v>
      </c>
      <c r="BN12" s="75">
        <f>Results!D27</f>
        <v/>
      </c>
      <c r="BO12" s="75">
        <f>Results!E27</f>
        <v/>
      </c>
      <c r="BP12" s="75">
        <f>Results!F27</f>
        <v/>
      </c>
      <c r="BS12" s="75" t="n">
        <v>17</v>
      </c>
      <c r="BT12" s="75">
        <f>Demand!AU30</f>
        <v/>
      </c>
      <c r="BU12" s="75">
        <f>Demand!AV30</f>
        <v/>
      </c>
      <c r="BV12" s="75">
        <f>Demand!AW30</f>
        <v/>
      </c>
      <c r="BY12" s="75" t="n">
        <v>17</v>
      </c>
      <c r="BZ12" s="75">
        <f>Retailers_Cap!N13</f>
        <v/>
      </c>
      <c r="CA12" s="75">
        <f>Retailers_Cap!O13</f>
        <v/>
      </c>
      <c r="CB12" s="75">
        <f>Retailers_Cap!P13</f>
        <v/>
      </c>
      <c r="CD12" s="75" t="n">
        <v>17</v>
      </c>
      <c r="CE12" s="75">
        <f>IF((BT12-BZ12)&gt;=0,"Dem","Folga")</f>
        <v/>
      </c>
      <c r="CF12" s="75">
        <f>IF((BU12-CA12)&gt;=0,"Dem","Folga")</f>
        <v/>
      </c>
      <c r="CG12" s="75">
        <f>IF((BV12-CB12)&gt;=0,"Dem","Folga")</f>
        <v/>
      </c>
    </row>
    <row r="13">
      <c r="M13" s="75">
        <f>TRUNC((_xlfn.NORM.INV((RAND()),$L$6,$L$7)),2)</f>
        <v/>
      </c>
      <c r="O13" s="75" t="n">
        <v>18</v>
      </c>
      <c r="P13" s="5" t="n">
        <v>178.25</v>
      </c>
      <c r="Q13" s="5" t="n">
        <v>196.91</v>
      </c>
      <c r="R13" s="5" t="n">
        <v>241.94</v>
      </c>
      <c r="W13" s="75">
        <f>TRUNC((_xlfn.NORM.INV((RAND()),$V$6,$V$7)),3)</f>
        <v/>
      </c>
      <c r="Y13" s="75" t="n">
        <v>18</v>
      </c>
      <c r="Z13" s="5" t="n">
        <v>6.784</v>
      </c>
      <c r="AA13" s="5" t="n">
        <v>6.738</v>
      </c>
      <c r="AB13" s="5" t="n">
        <v>6.823</v>
      </c>
      <c r="AG13" s="75">
        <f>TRUNC((_xlfn.NORM.INV((RAND()),$AF$6,$AF$7)),3)</f>
        <v/>
      </c>
      <c r="AI13" s="75" t="n">
        <v>18</v>
      </c>
      <c r="AJ13" s="5" t="n">
        <v>57.126</v>
      </c>
      <c r="AK13" s="5" t="n">
        <v>60.068</v>
      </c>
      <c r="AL13" s="5" t="n">
        <v>55.956</v>
      </c>
      <c r="AR13" s="75" t="n">
        <v>18</v>
      </c>
      <c r="AS13" s="5" t="n">
        <v>0</v>
      </c>
      <c r="AT13" s="5" t="n">
        <v>31.6035470785518</v>
      </c>
      <c r="AU13" s="5" t="n">
        <v>37.15874950440681</v>
      </c>
      <c r="AW13" s="75">
        <f>Z13/Demand!AU31</f>
        <v/>
      </c>
      <c r="AX13" s="75">
        <f>AA13/Demand!AV31</f>
        <v/>
      </c>
      <c r="AY13" s="75">
        <f>AB13/Demand!AW31</f>
        <v/>
      </c>
      <c r="BG13" s="75" t="n">
        <v>18</v>
      </c>
      <c r="BH13" s="75">
        <f>Results!$B$19+AJ13-Results!$D$21</f>
        <v/>
      </c>
      <c r="BI13" s="75">
        <f>Results!$B$19+AK13-Results!$D$21</f>
        <v/>
      </c>
      <c r="BJ13" s="75">
        <f>Results!$B$19+AL13-Results!$D$21</f>
        <v/>
      </c>
      <c r="BM13" s="75" t="n">
        <v>18</v>
      </c>
      <c r="BN13" s="75">
        <f>Results!D28</f>
        <v/>
      </c>
      <c r="BO13" s="75">
        <f>Results!E28</f>
        <v/>
      </c>
      <c r="BP13" s="75">
        <f>Results!F28</f>
        <v/>
      </c>
      <c r="BS13" s="75" t="n">
        <v>18</v>
      </c>
      <c r="BT13" s="75">
        <f>Demand!AU31</f>
        <v/>
      </c>
      <c r="BU13" s="75">
        <f>Demand!AV31</f>
        <v/>
      </c>
      <c r="BV13" s="75">
        <f>Demand!AW31</f>
        <v/>
      </c>
      <c r="BY13" s="75" t="n">
        <v>18</v>
      </c>
      <c r="BZ13" s="75">
        <f>Retailers_Cap!N14</f>
        <v/>
      </c>
      <c r="CA13" s="75">
        <f>Retailers_Cap!O14</f>
        <v/>
      </c>
      <c r="CB13" s="75">
        <f>Retailers_Cap!P14</f>
        <v/>
      </c>
      <c r="CD13" s="75" t="n">
        <v>18</v>
      </c>
      <c r="CE13" s="75">
        <f>IF((BT13-BZ13)&gt;=0,"Dem","Folga")</f>
        <v/>
      </c>
      <c r="CF13" s="75">
        <f>IF((BU13-CA13)&gt;=0,"Dem","Folga")</f>
        <v/>
      </c>
      <c r="CG13" s="75">
        <f>IF((BV13-CB13)&gt;=0,"Dem","Folga")</f>
        <v/>
      </c>
    </row>
    <row r="14">
      <c r="M14" s="75">
        <f>TRUNC((_xlfn.NORM.INV((RAND()),$L$6,$L$7)),2)</f>
        <v/>
      </c>
      <c r="O14" s="75" t="n">
        <v>19</v>
      </c>
      <c r="P14" s="5" t="n">
        <v>247.63</v>
      </c>
      <c r="Q14" s="5" t="n">
        <v>216.1</v>
      </c>
      <c r="R14" s="5" t="n">
        <v>172.43</v>
      </c>
      <c r="W14" s="75">
        <f>TRUNC((_xlfn.NORM.INV((RAND()),$V$6,$V$7)),3)</f>
        <v/>
      </c>
      <c r="Y14" s="75" t="n">
        <v>19</v>
      </c>
      <c r="Z14" s="5" t="n">
        <v>6.641</v>
      </c>
      <c r="AA14" s="5" t="n">
        <v>6.786</v>
      </c>
      <c r="AB14" s="5" t="n">
        <v>6.721</v>
      </c>
      <c r="AG14" s="75">
        <f>TRUNC((_xlfn.NORM.INV((RAND()),$AF$6,$AF$7)),3)</f>
        <v/>
      </c>
      <c r="AI14" s="75" t="n">
        <v>19</v>
      </c>
      <c r="AJ14" s="5" t="n">
        <v>70.82899999999999</v>
      </c>
      <c r="AK14" s="5" t="n">
        <v>50.286</v>
      </c>
      <c r="AL14" s="5" t="n">
        <v>59.843</v>
      </c>
      <c r="AR14" s="75" t="n">
        <v>19</v>
      </c>
      <c r="AS14" s="5" t="n">
        <v>0</v>
      </c>
      <c r="AT14" s="5" t="n">
        <v>0</v>
      </c>
      <c r="AU14" s="5" t="n">
        <v>0</v>
      </c>
      <c r="AW14" s="75">
        <f>Z14/Demand!AU32</f>
        <v/>
      </c>
      <c r="AX14" s="75">
        <f>AA14/Demand!AV32</f>
        <v/>
      </c>
      <c r="AY14" s="75">
        <f>AB14/Demand!AW32</f>
        <v/>
      </c>
      <c r="BG14" s="75" t="n">
        <v>19</v>
      </c>
      <c r="BH14" s="75">
        <f>Results!$B$19+AJ14-Results!$D$21</f>
        <v/>
      </c>
      <c r="BI14" s="75">
        <f>Results!$B$19+AK14-Results!$D$21</f>
        <v/>
      </c>
      <c r="BJ14" s="75">
        <f>Results!$B$19+AL14-Results!$D$21</f>
        <v/>
      </c>
      <c r="BM14" s="75" t="n">
        <v>19</v>
      </c>
      <c r="BN14" s="75">
        <f>Results!D29</f>
        <v/>
      </c>
      <c r="BO14" s="75">
        <f>Results!E29</f>
        <v/>
      </c>
      <c r="BP14" s="75">
        <f>Results!F29</f>
        <v/>
      </c>
      <c r="BS14" s="75" t="n">
        <v>19</v>
      </c>
      <c r="BT14" s="75">
        <f>Demand!AU32</f>
        <v/>
      </c>
      <c r="BU14" s="75">
        <f>Demand!AV32</f>
        <v/>
      </c>
      <c r="BV14" s="75">
        <f>Demand!AW32</f>
        <v/>
      </c>
      <c r="BY14" s="75" t="n">
        <v>19</v>
      </c>
      <c r="BZ14" s="75">
        <f>Retailers_Cap!N15</f>
        <v/>
      </c>
      <c r="CA14" s="75">
        <f>Retailers_Cap!O15</f>
        <v/>
      </c>
      <c r="CB14" s="75">
        <f>Retailers_Cap!P15</f>
        <v/>
      </c>
      <c r="CD14" s="75" t="n">
        <v>19</v>
      </c>
      <c r="CE14" s="75">
        <f>IF((BT14-BZ14)&gt;=0,"Dem","Folga")</f>
        <v/>
      </c>
      <c r="CF14" s="75">
        <f>IF((BU14-CA14)&gt;=0,"Dem","Folga")</f>
        <v/>
      </c>
      <c r="CG14" s="75">
        <f>IF((BV14-CB14)&gt;=0,"Dem","Folga")</f>
        <v/>
      </c>
    </row>
    <row r="15">
      <c r="M15" s="75">
        <f>TRUNC((_xlfn.NORM.INV((RAND()),$L$6,$L$7)),2)</f>
        <v/>
      </c>
      <c r="O15" s="75" t="n">
        <v>20</v>
      </c>
      <c r="P15" s="5" t="n">
        <v>197.11</v>
      </c>
      <c r="Q15" s="5" t="n">
        <v>149.84</v>
      </c>
      <c r="R15" s="5" t="n">
        <v>249.24</v>
      </c>
      <c r="W15" s="75">
        <f>TRUNC((_xlfn.NORM.INV((RAND()),$V$6,$V$7)),3)</f>
        <v/>
      </c>
      <c r="Y15" s="75" t="n">
        <v>20</v>
      </c>
      <c r="Z15" s="5" t="n">
        <v>6.848</v>
      </c>
      <c r="AA15" s="5" t="n">
        <v>6.772</v>
      </c>
      <c r="AB15" s="5" t="n">
        <v>6.734</v>
      </c>
      <c r="AG15" s="75">
        <f>TRUNC((_xlfn.NORM.INV((RAND()),$AF$6,$AF$7)),3)</f>
        <v/>
      </c>
      <c r="AI15" s="75" t="n">
        <v>20</v>
      </c>
      <c r="AJ15" s="5" t="n">
        <v>58.951</v>
      </c>
      <c r="AK15" s="5" t="n">
        <v>60.268</v>
      </c>
      <c r="AL15" s="5" t="n">
        <v>56.498</v>
      </c>
      <c r="AR15" s="75" t="n">
        <v>20</v>
      </c>
      <c r="AS15" s="5" t="n">
        <v>11.30420045082687</v>
      </c>
      <c r="AT15" s="5" t="n">
        <v>0</v>
      </c>
      <c r="AU15" s="5" t="n">
        <v>0</v>
      </c>
      <c r="AW15" s="75">
        <f>Z15/Demand!AU33</f>
        <v/>
      </c>
      <c r="AX15" s="75">
        <f>AA15/Demand!AV33</f>
        <v/>
      </c>
      <c r="AY15" s="75">
        <f>AB15/Demand!AW33</f>
        <v/>
      </c>
      <c r="BG15" s="75" t="n">
        <v>20</v>
      </c>
      <c r="BH15" s="75">
        <f>Results!$B$19+AJ15-Results!$D$21</f>
        <v/>
      </c>
      <c r="BI15" s="75">
        <f>Results!$B$19+AK15-Results!$D$21</f>
        <v/>
      </c>
      <c r="BJ15" s="75">
        <f>Results!$B$19+AL15-Results!$D$21</f>
        <v/>
      </c>
      <c r="BM15" s="75" t="n">
        <v>20</v>
      </c>
      <c r="BN15" s="75">
        <f>Results!D30</f>
        <v/>
      </c>
      <c r="BO15" s="75">
        <f>Results!E30</f>
        <v/>
      </c>
      <c r="BP15" s="75">
        <f>Results!F30</f>
        <v/>
      </c>
      <c r="BS15" s="75" t="n">
        <v>20</v>
      </c>
      <c r="BT15" s="75">
        <f>Demand!AU33</f>
        <v/>
      </c>
      <c r="BU15" s="75">
        <f>Demand!AV33</f>
        <v/>
      </c>
      <c r="BV15" s="75">
        <f>Demand!AW33</f>
        <v/>
      </c>
      <c r="BY15" s="75" t="n">
        <v>20</v>
      </c>
      <c r="BZ15" s="75">
        <f>Retailers_Cap!N16</f>
        <v/>
      </c>
      <c r="CA15" s="75">
        <f>Retailers_Cap!O16</f>
        <v/>
      </c>
      <c r="CB15" s="75">
        <f>Retailers_Cap!P16</f>
        <v/>
      </c>
      <c r="CD15" s="75" t="n">
        <v>20</v>
      </c>
      <c r="CE15" s="75">
        <f>IF((BT15-BZ15)&gt;=0,"Dem","Folga")</f>
        <v/>
      </c>
      <c r="CF15" s="75">
        <f>IF((BU15-CA15)&gt;=0,"Dem","Folga")</f>
        <v/>
      </c>
      <c r="CG15" s="75">
        <f>IF((BV15-CB15)&gt;=0,"Dem","Folga")</f>
        <v/>
      </c>
    </row>
    <row r="16">
      <c r="M16" s="75">
        <f>TRUNC((_xlfn.NORM.INV((RAND()),$L$6,$L$7)),2)</f>
        <v/>
      </c>
      <c r="O16" s="75" t="n">
        <v>21</v>
      </c>
      <c r="P16" s="5" t="n">
        <v>165.72</v>
      </c>
      <c r="Q16" s="5" t="n">
        <v>260.6</v>
      </c>
      <c r="R16" s="5" t="n">
        <v>215.87</v>
      </c>
      <c r="W16" s="75">
        <f>TRUNC((_xlfn.NORM.INV((RAND()),$V$6,$V$7)),3)</f>
        <v/>
      </c>
      <c r="Y16" s="75" t="n">
        <v>21</v>
      </c>
      <c r="Z16" s="5" t="n">
        <v>6.691</v>
      </c>
      <c r="AA16" s="5" t="n">
        <v>6.782</v>
      </c>
      <c r="AB16" s="5" t="n">
        <v>6.78</v>
      </c>
      <c r="AG16" s="75">
        <f>TRUNC((_xlfn.NORM.INV((RAND()),$AF$6,$AF$7)),3)</f>
        <v/>
      </c>
      <c r="AI16" s="75" t="n">
        <v>21</v>
      </c>
      <c r="AJ16" s="5" t="n">
        <v>36.203</v>
      </c>
      <c r="AK16" s="5" t="n">
        <v>68.202</v>
      </c>
      <c r="AL16" s="5" t="n">
        <v>69.22799999999999</v>
      </c>
      <c r="AR16" s="75" t="n">
        <v>21</v>
      </c>
      <c r="AS16" s="5" t="n">
        <v>0</v>
      </c>
      <c r="AT16" s="5" t="n">
        <v>0</v>
      </c>
      <c r="AU16" s="5" t="n">
        <v>0</v>
      </c>
      <c r="AW16" s="75">
        <f>Z16/Demand!AU34</f>
        <v/>
      </c>
      <c r="AX16" s="75">
        <f>AA16/Demand!AV34</f>
        <v/>
      </c>
      <c r="AY16" s="75">
        <f>AB16/Demand!AW34</f>
        <v/>
      </c>
      <c r="BG16" s="75" t="n">
        <v>21</v>
      </c>
      <c r="BH16" s="75">
        <f>Results!$B$19+AJ16-Results!$D$21</f>
        <v/>
      </c>
      <c r="BI16" s="75">
        <f>Results!$B$19+AK16-Results!$D$21</f>
        <v/>
      </c>
      <c r="BJ16" s="75">
        <f>Results!$B$19+AL16-Results!$D$21</f>
        <v/>
      </c>
      <c r="BM16" s="75" t="n">
        <v>21</v>
      </c>
      <c r="BN16" s="75">
        <f>Results!D31</f>
        <v/>
      </c>
      <c r="BO16" s="75">
        <f>Results!E31</f>
        <v/>
      </c>
      <c r="BP16" s="75">
        <f>Results!F31</f>
        <v/>
      </c>
      <c r="BS16" s="75" t="n">
        <v>21</v>
      </c>
      <c r="BT16" s="75">
        <f>Demand!AU34</f>
        <v/>
      </c>
      <c r="BU16" s="75">
        <f>Demand!AV34</f>
        <v/>
      </c>
      <c r="BV16" s="75">
        <f>Demand!AW34</f>
        <v/>
      </c>
      <c r="BY16" s="75" t="n">
        <v>21</v>
      </c>
      <c r="BZ16" s="75">
        <f>Retailers_Cap!N17</f>
        <v/>
      </c>
      <c r="CA16" s="75">
        <f>Retailers_Cap!O17</f>
        <v/>
      </c>
      <c r="CB16" s="75">
        <f>Retailers_Cap!P17</f>
        <v/>
      </c>
      <c r="CD16" s="75" t="n">
        <v>21</v>
      </c>
      <c r="CE16" s="75">
        <f>IF((BT16-BZ16)&gt;=0,"Dem","Folga")</f>
        <v/>
      </c>
      <c r="CF16" s="75">
        <f>IF((BU16-CA16)&gt;=0,"Dem","Folga")</f>
        <v/>
      </c>
      <c r="CG16" s="75">
        <f>IF((BV16-CB16)&gt;=0,"Dem","Folga")</f>
        <v/>
      </c>
    </row>
    <row r="17">
      <c r="M17" s="75">
        <f>TRUNC((_xlfn.NORM.INV((RAND()),$L$6,$L$7)),2)</f>
        <v/>
      </c>
      <c r="O17" s="75" t="n">
        <v>22</v>
      </c>
      <c r="P17" s="5" t="n">
        <v>193.86</v>
      </c>
      <c r="Q17" s="5" t="n">
        <v>335.73</v>
      </c>
      <c r="R17" s="5" t="n">
        <v>285.91</v>
      </c>
      <c r="W17" s="75">
        <f>TRUNC((_xlfn.NORM.INV((RAND()),$V$6,$V$7)),3)</f>
        <v/>
      </c>
      <c r="Y17" s="75" t="n">
        <v>22</v>
      </c>
      <c r="Z17" s="5" t="n">
        <v>6.787</v>
      </c>
      <c r="AA17" s="5" t="n">
        <v>6.751</v>
      </c>
      <c r="AB17" s="5" t="n">
        <v>6.729</v>
      </c>
      <c r="AG17" s="75">
        <f>TRUNC((_xlfn.NORM.INV((RAND()),$AF$6,$AF$7)),3)</f>
        <v/>
      </c>
      <c r="AI17" s="75" t="n">
        <v>22</v>
      </c>
      <c r="AJ17" s="5" t="n">
        <v>50.41</v>
      </c>
      <c r="AK17" s="5" t="n">
        <v>36.9</v>
      </c>
      <c r="AL17" s="5" t="n">
        <v>83.623</v>
      </c>
      <c r="AR17" s="75" t="n">
        <v>22</v>
      </c>
      <c r="AS17" s="5" t="n">
        <v>0</v>
      </c>
      <c r="AT17" s="5" t="n">
        <v>0</v>
      </c>
      <c r="AU17" s="5" t="n">
        <v>0</v>
      </c>
      <c r="AW17" s="75">
        <f>Z17/Demand!AU35</f>
        <v/>
      </c>
      <c r="AX17" s="75">
        <f>AA17/Demand!AV35</f>
        <v/>
      </c>
      <c r="AY17" s="75">
        <f>AB17/Demand!AW35</f>
        <v/>
      </c>
      <c r="BG17" s="75" t="n">
        <v>22</v>
      </c>
      <c r="BH17" s="75">
        <f>Results!$B$19+AJ17-Results!$D$21</f>
        <v/>
      </c>
      <c r="BI17" s="75">
        <f>Results!$B$19+AK17-Results!$D$21</f>
        <v/>
      </c>
      <c r="BJ17" s="75">
        <f>Results!$B$19+AL17-Results!$D$21</f>
        <v/>
      </c>
      <c r="BM17" s="75" t="n">
        <v>22</v>
      </c>
      <c r="BN17" s="75">
        <f>Results!D32</f>
        <v/>
      </c>
      <c r="BO17" s="75">
        <f>Results!E32</f>
        <v/>
      </c>
      <c r="BP17" s="75">
        <f>Results!F32</f>
        <v/>
      </c>
      <c r="BS17" s="75" t="n">
        <v>22</v>
      </c>
      <c r="BT17" s="75">
        <f>Demand!AU35</f>
        <v/>
      </c>
      <c r="BU17" s="75">
        <f>Demand!AV35</f>
        <v/>
      </c>
      <c r="BV17" s="75">
        <f>Demand!AW35</f>
        <v/>
      </c>
      <c r="BY17" s="75" t="n">
        <v>22</v>
      </c>
      <c r="BZ17" s="75">
        <f>Retailers_Cap!N18</f>
        <v/>
      </c>
      <c r="CA17" s="75">
        <f>Retailers_Cap!O18</f>
        <v/>
      </c>
      <c r="CB17" s="75">
        <f>Retailers_Cap!P18</f>
        <v/>
      </c>
      <c r="CD17" s="75" t="n">
        <v>22</v>
      </c>
      <c r="CE17" s="75">
        <f>IF((BT17-BZ17)&gt;=0,"Dem","Folga")</f>
        <v/>
      </c>
      <c r="CF17" s="75">
        <f>IF((BU17-CA17)&gt;=0,"Dem","Folga")</f>
        <v/>
      </c>
      <c r="CG17" s="75">
        <f>IF((BV17-CB17)&gt;=0,"Dem","Folga")</f>
        <v/>
      </c>
    </row>
    <row r="18">
      <c r="M18" s="75">
        <f>TRUNC((_xlfn.NORM.INV((RAND()),$L$6,$L$7)),2)</f>
        <v/>
      </c>
      <c r="O18" s="75" t="n">
        <v>23</v>
      </c>
      <c r="P18" s="5" t="n">
        <v>253.54</v>
      </c>
      <c r="Q18" s="5" t="n">
        <v>213.71</v>
      </c>
      <c r="R18" s="5" t="n">
        <v>181.43</v>
      </c>
      <c r="W18" s="75">
        <f>TRUNC((_xlfn.NORM.INV((RAND()),$V$6,$V$7)),3)</f>
        <v/>
      </c>
      <c r="Y18" s="75" t="n">
        <v>23</v>
      </c>
      <c r="Z18" s="5" t="n">
        <v>6.697</v>
      </c>
      <c r="AA18" s="5" t="n">
        <v>6.669</v>
      </c>
      <c r="AB18" s="5" t="n">
        <v>6.814</v>
      </c>
      <c r="AG18" s="75">
        <f>TRUNC((_xlfn.NORM.INV((RAND()),$AF$6,$AF$7)),3)</f>
        <v/>
      </c>
      <c r="AI18" s="75" t="n">
        <v>23</v>
      </c>
      <c r="AJ18" s="5" t="n">
        <v>75.764</v>
      </c>
      <c r="AK18" s="5" t="n">
        <v>47.993</v>
      </c>
      <c r="AL18" s="5" t="n">
        <v>52.899</v>
      </c>
      <c r="AR18" s="75" t="n">
        <v>23</v>
      </c>
      <c r="AS18" s="5" t="n">
        <v>16.41708088948642</v>
      </c>
      <c r="AT18" s="5" t="n">
        <v>11.41798118749846</v>
      </c>
      <c r="AU18" s="5" t="n">
        <v>0</v>
      </c>
      <c r="AW18" s="75">
        <f>Z18/Demand!AU36</f>
        <v/>
      </c>
      <c r="AX18" s="75">
        <f>AA18/Demand!AV36</f>
        <v/>
      </c>
      <c r="AY18" s="75">
        <f>AB18/Demand!AW36</f>
        <v/>
      </c>
      <c r="BG18" s="75" t="n">
        <v>23</v>
      </c>
      <c r="BH18" s="75">
        <f>Results!$B$19+AJ18-Results!$D$21</f>
        <v/>
      </c>
      <c r="BI18" s="75">
        <f>Results!$B$19+AK18-Results!$D$21</f>
        <v/>
      </c>
      <c r="BJ18" s="75">
        <f>Results!$B$19+AL18-Results!$D$21</f>
        <v/>
      </c>
      <c r="BM18" s="75" t="n">
        <v>23</v>
      </c>
      <c r="BN18" s="75">
        <f>Results!D33</f>
        <v/>
      </c>
      <c r="BO18" s="75">
        <f>Results!E33</f>
        <v/>
      </c>
      <c r="BP18" s="75">
        <f>Results!F33</f>
        <v/>
      </c>
      <c r="BS18" s="75" t="n">
        <v>23</v>
      </c>
      <c r="BT18" s="75">
        <f>Demand!AU36</f>
        <v/>
      </c>
      <c r="BU18" s="75">
        <f>Demand!AV36</f>
        <v/>
      </c>
      <c r="BV18" s="75">
        <f>Demand!AW36</f>
        <v/>
      </c>
      <c r="BY18" s="75" t="n">
        <v>23</v>
      </c>
      <c r="BZ18" s="75">
        <f>Retailers_Cap!N19</f>
        <v/>
      </c>
      <c r="CA18" s="75">
        <f>Retailers_Cap!O19</f>
        <v/>
      </c>
      <c r="CB18" s="75">
        <f>Retailers_Cap!P19</f>
        <v/>
      </c>
      <c r="CD18" s="75" t="n">
        <v>23</v>
      </c>
      <c r="CE18" s="75">
        <f>IF((BT18-BZ18)&gt;=0,"Dem","Folga")</f>
        <v/>
      </c>
      <c r="CF18" s="75">
        <f>IF((BU18-CA18)&gt;=0,"Dem","Folga")</f>
        <v/>
      </c>
      <c r="CG18" s="75">
        <f>IF((BV18-CB18)&gt;=0,"Dem","Folga")</f>
        <v/>
      </c>
    </row>
    <row r="19">
      <c r="M19" s="75">
        <f>TRUNC((_xlfn.NORM.INV((RAND()),$L$6,$L$7)),2)</f>
        <v/>
      </c>
      <c r="O19" s="75" t="n">
        <v>24</v>
      </c>
      <c r="P19" s="5" t="n">
        <v>70.78</v>
      </c>
      <c r="Q19" s="5" t="n">
        <v>266.26</v>
      </c>
      <c r="R19" s="5" t="n">
        <v>195.25</v>
      </c>
      <c r="W19" s="75">
        <f>TRUNC((_xlfn.NORM.INV((RAND()),$V$6,$V$7)),3)</f>
        <v/>
      </c>
      <c r="Y19" s="75" t="n">
        <v>24</v>
      </c>
      <c r="Z19" s="5" t="n">
        <v>6.711</v>
      </c>
      <c r="AA19" s="5" t="n">
        <v>6.702</v>
      </c>
      <c r="AB19" s="5" t="n">
        <v>6.691</v>
      </c>
      <c r="AG19" s="75">
        <f>TRUNC((_xlfn.NORM.INV((RAND()),$AF$6,$AF$7)),3)</f>
        <v/>
      </c>
      <c r="AI19" s="75" t="n">
        <v>24</v>
      </c>
      <c r="AJ19" s="5" t="n">
        <v>78.651</v>
      </c>
      <c r="AK19" s="5" t="n">
        <v>73.084</v>
      </c>
      <c r="AL19" s="5" t="n">
        <v>56.966</v>
      </c>
      <c r="AR19" s="75" t="n">
        <v>24</v>
      </c>
      <c r="AS19" s="5" t="n">
        <v>17.06145233660759</v>
      </c>
      <c r="AT19" s="5" t="n">
        <v>10.99741670723578</v>
      </c>
      <c r="AU19" s="5" t="n">
        <v>0</v>
      </c>
      <c r="AW19" s="75">
        <f>Z19/Demand!AU37</f>
        <v/>
      </c>
      <c r="AX19" s="75">
        <f>AA19/Demand!AV37</f>
        <v/>
      </c>
      <c r="AY19" s="75">
        <f>AB19/Demand!AW37</f>
        <v/>
      </c>
      <c r="BG19" s="75" t="n">
        <v>24</v>
      </c>
      <c r="BH19" s="75">
        <f>Results!$B$19+AJ19-Results!$D$21</f>
        <v/>
      </c>
      <c r="BI19" s="75">
        <f>Results!$B$19+AK19-Results!$D$21</f>
        <v/>
      </c>
      <c r="BJ19" s="75">
        <f>Results!$B$19+AL19-Results!$D$21</f>
        <v/>
      </c>
      <c r="BM19" s="75" t="n">
        <v>24</v>
      </c>
      <c r="BN19" s="75">
        <f>Results!D34</f>
        <v/>
      </c>
      <c r="BO19" s="75">
        <f>Results!E34</f>
        <v/>
      </c>
      <c r="BP19" s="75">
        <f>Results!F34</f>
        <v/>
      </c>
      <c r="BS19" s="75" t="n">
        <v>24</v>
      </c>
      <c r="BT19" s="75">
        <f>Demand!AU37</f>
        <v/>
      </c>
      <c r="BU19" s="75">
        <f>Demand!AV37</f>
        <v/>
      </c>
      <c r="BV19" s="75">
        <f>Demand!AW37</f>
        <v/>
      </c>
      <c r="BY19" s="75" t="n">
        <v>24</v>
      </c>
      <c r="BZ19" s="75">
        <f>Retailers_Cap!N20</f>
        <v/>
      </c>
      <c r="CA19" s="75">
        <f>Retailers_Cap!O20</f>
        <v/>
      </c>
      <c r="CB19" s="75">
        <f>Retailers_Cap!P20</f>
        <v/>
      </c>
      <c r="CD19" s="75" t="n">
        <v>24</v>
      </c>
      <c r="CE19" s="75">
        <f>IF((BT19-BZ19)&gt;=0,"Dem","Folga")</f>
        <v/>
      </c>
      <c r="CF19" s="75">
        <f>IF((BU19-CA19)&gt;=0,"Dem","Folga")</f>
        <v/>
      </c>
      <c r="CG19" s="75">
        <f>IF((BV19-CB19)&gt;=0,"Dem","Folga")</f>
        <v/>
      </c>
    </row>
    <row r="20">
      <c r="M20" s="75">
        <f>TRUNC((_xlfn.NORM.INV((RAND()),$L$6,$L$7)),2)</f>
        <v/>
      </c>
      <c r="O20" s="75" t="n">
        <v>25</v>
      </c>
      <c r="P20" s="5" t="n">
        <v>232.34</v>
      </c>
      <c r="Q20" s="5" t="n">
        <v>145.69</v>
      </c>
      <c r="R20" s="5" t="n">
        <v>143.16</v>
      </c>
      <c r="W20" s="75">
        <f>TRUNC((_xlfn.NORM.INV((RAND()),$V$6,$V$7)),3)</f>
        <v/>
      </c>
      <c r="Y20" s="75" t="n">
        <v>25</v>
      </c>
      <c r="Z20" s="5" t="n">
        <v>6.778</v>
      </c>
      <c r="AA20" s="5" t="n">
        <v>6.649</v>
      </c>
      <c r="AB20" s="5" t="n">
        <v>6.79</v>
      </c>
      <c r="AG20" s="75">
        <f>TRUNC((_xlfn.NORM.INV((RAND()),$AF$6,$AF$7)),3)</f>
        <v/>
      </c>
      <c r="AI20" s="75" t="n">
        <v>25</v>
      </c>
      <c r="AJ20" s="5" t="n">
        <v>49.287</v>
      </c>
      <c r="AK20" s="5" t="n">
        <v>71.176</v>
      </c>
      <c r="AL20" s="5" t="n">
        <v>63.71</v>
      </c>
      <c r="AR20" s="75" t="n">
        <v>25</v>
      </c>
      <c r="AS20" s="5" t="n">
        <v>0</v>
      </c>
      <c r="AT20" s="5" t="n">
        <v>0</v>
      </c>
      <c r="AU20" s="5" t="n">
        <v>0</v>
      </c>
      <c r="AW20" s="75">
        <f>Z20/Demand!AU38</f>
        <v/>
      </c>
      <c r="AX20" s="75">
        <f>AA20/Demand!AV38</f>
        <v/>
      </c>
      <c r="AY20" s="75">
        <f>AB20/Demand!AW38</f>
        <v/>
      </c>
      <c r="BG20" s="75" t="n">
        <v>25</v>
      </c>
      <c r="BH20" s="75">
        <f>Results!$B$19+AJ20-Results!$D$21</f>
        <v/>
      </c>
      <c r="BI20" s="75">
        <f>Results!$B$19+AK20-Results!$D$21</f>
        <v/>
      </c>
      <c r="BJ20" s="75">
        <f>Results!$B$19+AL20-Results!$D$21</f>
        <v/>
      </c>
      <c r="BM20" s="75" t="n">
        <v>25</v>
      </c>
      <c r="BN20" s="75">
        <f>Results!D35</f>
        <v/>
      </c>
      <c r="BO20" s="75">
        <f>Results!E35</f>
        <v/>
      </c>
      <c r="BP20" s="75">
        <f>Results!F35</f>
        <v/>
      </c>
      <c r="BS20" s="75" t="n">
        <v>25</v>
      </c>
      <c r="BT20" s="75">
        <f>Demand!AU38</f>
        <v/>
      </c>
      <c r="BU20" s="75">
        <f>Demand!AV38</f>
        <v/>
      </c>
      <c r="BV20" s="75">
        <f>Demand!AW38</f>
        <v/>
      </c>
      <c r="BY20" s="75" t="n">
        <v>25</v>
      </c>
      <c r="BZ20" s="75">
        <f>Retailers_Cap!N21</f>
        <v/>
      </c>
      <c r="CA20" s="75">
        <f>Retailers_Cap!O21</f>
        <v/>
      </c>
      <c r="CB20" s="75">
        <f>Retailers_Cap!P21</f>
        <v/>
      </c>
      <c r="CD20" s="75" t="n">
        <v>25</v>
      </c>
      <c r="CE20" s="75">
        <f>IF((BT20-BZ20)&gt;=0,"Dem","Folga")</f>
        <v/>
      </c>
      <c r="CF20" s="75">
        <f>IF((BU20-CA20)&gt;=0,"Dem","Folga")</f>
        <v/>
      </c>
      <c r="CG20" s="75">
        <f>IF((BV20-CB20)&gt;=0,"Dem","Folga")</f>
        <v/>
      </c>
    </row>
    <row r="21">
      <c r="M21" s="75">
        <f>TRUNC((_xlfn.NORM.INV((RAND()),$L$6,$L$7)),2)</f>
        <v/>
      </c>
      <c r="O21" s="75" t="n">
        <v>26</v>
      </c>
      <c r="P21" s="5" t="n">
        <v>126.78</v>
      </c>
      <c r="Q21" s="5" t="n">
        <v>202.9</v>
      </c>
      <c r="R21" s="5" t="n">
        <v>251.39</v>
      </c>
      <c r="W21" s="75">
        <f>TRUNC((_xlfn.NORM.INV((RAND()),$V$6,$V$7)),3)</f>
        <v/>
      </c>
      <c r="Y21" s="75" t="n">
        <v>26</v>
      </c>
      <c r="Z21" s="5" t="n">
        <v>6.835</v>
      </c>
      <c r="AA21" s="5" t="n">
        <v>6.805</v>
      </c>
      <c r="AB21" s="5" t="n">
        <v>6.815</v>
      </c>
      <c r="AG21" s="75">
        <f>TRUNC((_xlfn.NORM.INV((RAND()),$AF$6,$AF$7)),3)</f>
        <v/>
      </c>
      <c r="AI21" s="75" t="n">
        <v>26</v>
      </c>
      <c r="AJ21" s="5" t="n">
        <v>66.791</v>
      </c>
      <c r="AK21" s="5" t="n">
        <v>35.719</v>
      </c>
      <c r="AL21" s="5" t="n">
        <v>47.83</v>
      </c>
      <c r="AR21" s="75" t="n">
        <v>26</v>
      </c>
      <c r="AS21" s="5" t="n">
        <v>15.42644310395336</v>
      </c>
      <c r="AT21" s="5" t="n">
        <v>12.00069964319104</v>
      </c>
      <c r="AU21" s="5" t="n">
        <v>13.18029678674815</v>
      </c>
      <c r="AW21" s="75">
        <f>Z21/Demand!AU39</f>
        <v/>
      </c>
      <c r="AX21" s="75">
        <f>AA21/Demand!AV39</f>
        <v/>
      </c>
      <c r="AY21" s="75">
        <f>AB21/Demand!AW39</f>
        <v/>
      </c>
      <c r="BG21" s="75" t="n">
        <v>26</v>
      </c>
      <c r="BH21" s="75">
        <f>Results!$B$19+AJ21-Results!$D$21</f>
        <v/>
      </c>
      <c r="BI21" s="75">
        <f>Results!$B$19+AK21-Results!$D$21</f>
        <v/>
      </c>
      <c r="BJ21" s="75">
        <f>Results!$B$19+AL21-Results!$D$21</f>
        <v/>
      </c>
      <c r="BM21" s="75" t="n">
        <v>26</v>
      </c>
      <c r="BN21" s="75">
        <f>Results!D36</f>
        <v/>
      </c>
      <c r="BO21" s="75">
        <f>Results!E36</f>
        <v/>
      </c>
      <c r="BP21" s="75">
        <f>Results!F36</f>
        <v/>
      </c>
      <c r="BS21" s="75" t="n">
        <v>26</v>
      </c>
      <c r="BT21" s="75">
        <f>Demand!AU39</f>
        <v/>
      </c>
      <c r="BU21" s="75">
        <f>Demand!AV39</f>
        <v/>
      </c>
      <c r="BV21" s="75">
        <f>Demand!AW39</f>
        <v/>
      </c>
      <c r="BY21" s="75" t="n">
        <v>26</v>
      </c>
      <c r="BZ21" s="75">
        <f>Retailers_Cap!N22</f>
        <v/>
      </c>
      <c r="CA21" s="75">
        <f>Retailers_Cap!O22</f>
        <v/>
      </c>
      <c r="CB21" s="75">
        <f>Retailers_Cap!P22</f>
        <v/>
      </c>
      <c r="CD21" s="75" t="n">
        <v>26</v>
      </c>
      <c r="CE21" s="75">
        <f>IF((BT21-BZ21)&gt;=0,"Dem","Folga")</f>
        <v/>
      </c>
      <c r="CF21" s="75">
        <f>IF((BU21-CA21)&gt;=0,"Dem","Folga")</f>
        <v/>
      </c>
      <c r="CG21" s="75">
        <f>IF((BV21-CB21)&gt;=0,"Dem","Folga")</f>
        <v/>
      </c>
    </row>
    <row r="22">
      <c r="M22" s="75">
        <f>TRUNC((_xlfn.NORM.INV((RAND()),$L$6,$L$7)),2)</f>
        <v/>
      </c>
      <c r="O22" s="75" t="n">
        <v>27</v>
      </c>
      <c r="P22" s="5" t="n">
        <v>170.29</v>
      </c>
      <c r="Q22" s="5" t="n">
        <v>117.21</v>
      </c>
      <c r="R22" s="5" t="n">
        <v>180.64</v>
      </c>
      <c r="W22" s="75">
        <f>TRUNC((_xlfn.NORM.INV((RAND()),$V$6,$V$7)),3)</f>
        <v/>
      </c>
      <c r="Y22" s="75" t="n">
        <v>27</v>
      </c>
      <c r="Z22" s="5" t="n">
        <v>6.748</v>
      </c>
      <c r="AA22" s="5" t="n">
        <v>6.791</v>
      </c>
      <c r="AB22" s="5" t="n">
        <v>6.797</v>
      </c>
      <c r="AG22" s="75">
        <f>TRUNC((_xlfn.NORM.INV((RAND()),$AF$6,$AF$7)),3)</f>
        <v/>
      </c>
      <c r="AI22" s="75" t="n">
        <v>27</v>
      </c>
      <c r="AJ22" s="5" t="n">
        <v>48.149</v>
      </c>
      <c r="AK22" s="5" t="n">
        <v>45.611</v>
      </c>
      <c r="AL22" s="5" t="n">
        <v>38.699</v>
      </c>
      <c r="AR22" s="75" t="n">
        <v>27</v>
      </c>
      <c r="AS22" s="5" t="n">
        <v>0</v>
      </c>
      <c r="AT22" s="5" t="n">
        <v>0</v>
      </c>
      <c r="AU22" s="5" t="n">
        <v>0</v>
      </c>
      <c r="AW22" s="75">
        <f>Z22/Demand!AU40</f>
        <v/>
      </c>
      <c r="AX22" s="75">
        <f>AA22/Demand!AV40</f>
        <v/>
      </c>
      <c r="AY22" s="75">
        <f>AB22/Demand!AW40</f>
        <v/>
      </c>
      <c r="BG22" s="75" t="n">
        <v>27</v>
      </c>
      <c r="BH22" s="75">
        <f>Results!$B$19+AJ22-Results!$D$21</f>
        <v/>
      </c>
      <c r="BI22" s="75">
        <f>Results!$B$19+AK22-Results!$D$21</f>
        <v/>
      </c>
      <c r="BJ22" s="75">
        <f>Results!$B$19+AL22-Results!$D$21</f>
        <v/>
      </c>
      <c r="BM22" s="75" t="n">
        <v>27</v>
      </c>
      <c r="BN22" s="75">
        <f>Results!D37</f>
        <v/>
      </c>
      <c r="BO22" s="75">
        <f>Results!E37</f>
        <v/>
      </c>
      <c r="BP22" s="75">
        <f>Results!F37</f>
        <v/>
      </c>
      <c r="BS22" s="75" t="n">
        <v>27</v>
      </c>
      <c r="BT22" s="75">
        <f>Demand!AU40</f>
        <v/>
      </c>
      <c r="BU22" s="75">
        <f>Demand!AV40</f>
        <v/>
      </c>
      <c r="BV22" s="75">
        <f>Demand!AW40</f>
        <v/>
      </c>
      <c r="BY22" s="75" t="n">
        <v>27</v>
      </c>
      <c r="BZ22" s="75">
        <f>Retailers_Cap!N23</f>
        <v/>
      </c>
      <c r="CA22" s="75">
        <f>Retailers_Cap!O23</f>
        <v/>
      </c>
      <c r="CB22" s="75">
        <f>Retailers_Cap!P23</f>
        <v/>
      </c>
      <c r="CD22" s="75" t="n">
        <v>27</v>
      </c>
      <c r="CE22" s="75">
        <f>IF((BT22-BZ22)&gt;=0,"Dem","Folga")</f>
        <v/>
      </c>
      <c r="CF22" s="75">
        <f>IF((BU22-CA22)&gt;=0,"Dem","Folga")</f>
        <v/>
      </c>
      <c r="CG22" s="75">
        <f>IF((BV22-CB22)&gt;=0,"Dem","Folga")</f>
        <v/>
      </c>
    </row>
    <row r="23">
      <c r="M23" s="75">
        <f>TRUNC((_xlfn.NORM.INV((RAND()),$L$6,$L$7)),2)</f>
        <v/>
      </c>
      <c r="O23" s="75" t="n">
        <v>28</v>
      </c>
      <c r="P23" s="5" t="n">
        <v>227.93</v>
      </c>
      <c r="Q23" s="5" t="n">
        <v>259.73</v>
      </c>
      <c r="R23" s="5" t="n">
        <v>232.86</v>
      </c>
      <c r="W23" s="75">
        <f>TRUNC((_xlfn.NORM.INV((RAND()),$V$6,$V$7)),3)</f>
        <v/>
      </c>
      <c r="Y23" s="75" t="n">
        <v>28</v>
      </c>
      <c r="Z23" s="5" t="n">
        <v>6.68</v>
      </c>
      <c r="AA23" s="5" t="n">
        <v>6.738</v>
      </c>
      <c r="AB23" s="5" t="n">
        <v>6.773</v>
      </c>
      <c r="AG23" s="75">
        <f>TRUNC((_xlfn.NORM.INV((RAND()),$AF$6,$AF$7)),3)</f>
        <v/>
      </c>
      <c r="AI23" s="75" t="n">
        <v>28</v>
      </c>
      <c r="AJ23" s="5" t="n">
        <v>58.654</v>
      </c>
      <c r="AK23" s="5" t="n">
        <v>42.139</v>
      </c>
      <c r="AL23" s="5" t="n">
        <v>59.228</v>
      </c>
      <c r="AR23" s="75" t="n">
        <v>28</v>
      </c>
      <c r="AS23" s="5" t="n">
        <v>27.52804730626707</v>
      </c>
      <c r="AT23" s="5" t="n">
        <v>0</v>
      </c>
      <c r="AU23" s="5" t="n">
        <v>9.439796465992425</v>
      </c>
      <c r="AW23" s="75">
        <f>Z23/Demand!AU41</f>
        <v/>
      </c>
      <c r="AX23" s="75">
        <f>AA23/Demand!AV41</f>
        <v/>
      </c>
      <c r="AY23" s="75">
        <f>AB23/Demand!AW41</f>
        <v/>
      </c>
      <c r="BG23" s="75" t="n">
        <v>28</v>
      </c>
      <c r="BH23" s="75">
        <f>Results!$B$19+AJ23-Results!$D$21</f>
        <v/>
      </c>
      <c r="BI23" s="75">
        <f>Results!$B$19+AK23-Results!$D$21</f>
        <v/>
      </c>
      <c r="BJ23" s="75">
        <f>Results!$B$19+AL23-Results!$D$21</f>
        <v/>
      </c>
      <c r="BM23" s="75" t="n">
        <v>28</v>
      </c>
      <c r="BN23" s="75">
        <f>Results!D38</f>
        <v/>
      </c>
      <c r="BO23" s="75">
        <f>Results!E38</f>
        <v/>
      </c>
      <c r="BP23" s="75">
        <f>Results!F38</f>
        <v/>
      </c>
      <c r="BS23" s="75" t="n">
        <v>28</v>
      </c>
      <c r="BT23" s="75">
        <f>Demand!AU41</f>
        <v/>
      </c>
      <c r="BU23" s="75">
        <f>Demand!AV41</f>
        <v/>
      </c>
      <c r="BV23" s="75">
        <f>Demand!AW41</f>
        <v/>
      </c>
      <c r="BY23" s="75" t="n">
        <v>28</v>
      </c>
      <c r="BZ23" s="75">
        <f>Retailers_Cap!N24</f>
        <v/>
      </c>
      <c r="CA23" s="75">
        <f>Retailers_Cap!O24</f>
        <v/>
      </c>
      <c r="CB23" s="75">
        <f>Retailers_Cap!P24</f>
        <v/>
      </c>
      <c r="CD23" s="75" t="n">
        <v>28</v>
      </c>
      <c r="CE23" s="75">
        <f>IF((BT23-BZ23)&gt;=0,"Dem","Folga")</f>
        <v/>
      </c>
      <c r="CF23" s="75">
        <f>IF((BU23-CA23)&gt;=0,"Dem","Folga")</f>
        <v/>
      </c>
      <c r="CG23" s="75">
        <f>IF((BV23-CB23)&gt;=0,"Dem","Folga")</f>
        <v/>
      </c>
    </row>
    <row r="24">
      <c r="M24" s="75">
        <f>TRUNC((_xlfn.NORM.INV((RAND()),$L$6,$L$7)),2)</f>
        <v/>
      </c>
      <c r="O24" s="75" t="n">
        <v>29</v>
      </c>
      <c r="P24" s="5" t="n">
        <v>196.14</v>
      </c>
      <c r="Q24" s="5" t="n">
        <v>147.06</v>
      </c>
      <c r="R24" s="5" t="n">
        <v>164.85</v>
      </c>
      <c r="W24" s="75">
        <f>TRUNC((_xlfn.NORM.INV((RAND()),$V$6,$V$7)),3)</f>
        <v/>
      </c>
      <c r="Y24" s="75" t="n">
        <v>29</v>
      </c>
      <c r="Z24" s="5" t="n">
        <v>6.735</v>
      </c>
      <c r="AA24" s="5" t="n">
        <v>6.82</v>
      </c>
      <c r="AB24" s="5" t="n">
        <v>6.795</v>
      </c>
      <c r="AG24" s="75">
        <f>TRUNC((_xlfn.NORM.INV((RAND()),$AF$6,$AF$7)),3)</f>
        <v/>
      </c>
      <c r="AI24" s="75" t="n">
        <v>29</v>
      </c>
      <c r="AJ24" s="5" t="n">
        <v>74.997</v>
      </c>
      <c r="AK24" s="5" t="n">
        <v>45.427</v>
      </c>
      <c r="AL24" s="5" t="n">
        <v>54.332</v>
      </c>
      <c r="AR24" s="75" t="n">
        <v>29</v>
      </c>
      <c r="AS24" s="5" t="n">
        <v>0</v>
      </c>
      <c r="AT24" s="5" t="n">
        <v>0</v>
      </c>
      <c r="AU24" s="5" t="n">
        <v>0</v>
      </c>
      <c r="AW24" s="75">
        <f>Z24/Demand!AU42</f>
        <v/>
      </c>
      <c r="AX24" s="75">
        <f>AA24/Demand!AV42</f>
        <v/>
      </c>
      <c r="AY24" s="75">
        <f>AB24/Demand!AW42</f>
        <v/>
      </c>
      <c r="BG24" s="75" t="n">
        <v>29</v>
      </c>
      <c r="BH24" s="75">
        <f>Results!$B$19+AJ24-Results!$D$21</f>
        <v/>
      </c>
      <c r="BI24" s="75">
        <f>Results!$B$19+AK24-Results!$D$21</f>
        <v/>
      </c>
      <c r="BJ24" s="75">
        <f>Results!$B$19+AL24-Results!$D$21</f>
        <v/>
      </c>
      <c r="BM24" s="75" t="n">
        <v>29</v>
      </c>
      <c r="BN24" s="75">
        <f>Results!D39</f>
        <v/>
      </c>
      <c r="BO24" s="75">
        <f>Results!E39</f>
        <v/>
      </c>
      <c r="BP24" s="75">
        <f>Results!F39</f>
        <v/>
      </c>
      <c r="BS24" s="75" t="n">
        <v>29</v>
      </c>
      <c r="BT24" s="75">
        <f>Demand!AU42</f>
        <v/>
      </c>
      <c r="BU24" s="75">
        <f>Demand!AV42</f>
        <v/>
      </c>
      <c r="BV24" s="75">
        <f>Demand!AW42</f>
        <v/>
      </c>
      <c r="BY24" s="75" t="n">
        <v>29</v>
      </c>
      <c r="BZ24" s="75">
        <f>Retailers_Cap!N25</f>
        <v/>
      </c>
      <c r="CA24" s="75">
        <f>Retailers_Cap!O25</f>
        <v/>
      </c>
      <c r="CB24" s="75">
        <f>Retailers_Cap!P25</f>
        <v/>
      </c>
      <c r="CD24" s="75" t="n">
        <v>29</v>
      </c>
      <c r="CE24" s="75">
        <f>IF((BT24-BZ24)&gt;=0,"Dem","Folga")</f>
        <v/>
      </c>
      <c r="CF24" s="75">
        <f>IF((BU24-CA24)&gt;=0,"Dem","Folga")</f>
        <v/>
      </c>
      <c r="CG24" s="75">
        <f>IF((BV24-CB24)&gt;=0,"Dem","Folga")</f>
        <v/>
      </c>
    </row>
    <row r="25">
      <c r="M25" s="75">
        <f>TRUNC((_xlfn.NORM.INV((RAND()),$L$6,$L$7)),2)</f>
        <v/>
      </c>
      <c r="O25" s="75" t="n">
        <v>30</v>
      </c>
      <c r="P25" s="5" t="n">
        <v>258</v>
      </c>
      <c r="Q25" s="5" t="n">
        <v>231.58</v>
      </c>
      <c r="R25" s="5" t="n">
        <v>160.97</v>
      </c>
      <c r="W25" s="75">
        <f>TRUNC((_xlfn.NORM.INV((RAND()),$V$6,$V$7)),3)</f>
        <v/>
      </c>
      <c r="Y25" s="75" t="n">
        <v>30</v>
      </c>
      <c r="Z25" s="5" t="n">
        <v>6.694</v>
      </c>
      <c r="AA25" s="5" t="n">
        <v>6.71</v>
      </c>
      <c r="AB25" s="5" t="n">
        <v>6.708</v>
      </c>
      <c r="AG25" s="75">
        <f>TRUNC((_xlfn.NORM.INV((RAND()),$AF$6,$AF$7)),3)</f>
        <v/>
      </c>
      <c r="AI25" s="75" t="n">
        <v>30</v>
      </c>
      <c r="AJ25" s="5" t="n">
        <v>54.744</v>
      </c>
      <c r="AK25" s="5" t="n">
        <v>69.771</v>
      </c>
      <c r="AL25" s="5" t="n">
        <v>54.29</v>
      </c>
      <c r="AR25" s="75" t="n">
        <v>30</v>
      </c>
      <c r="AS25" s="5" t="n">
        <v>21.30150392801713</v>
      </c>
      <c r="AT25" s="5" t="n">
        <v>0</v>
      </c>
      <c r="AU25" s="5" t="n">
        <v>0</v>
      </c>
      <c r="AW25" s="75">
        <f>Z25/Demand!AU43</f>
        <v/>
      </c>
      <c r="AX25" s="75">
        <f>AA25/Demand!AV43</f>
        <v/>
      </c>
      <c r="AY25" s="75">
        <f>AB25/Demand!AW43</f>
        <v/>
      </c>
      <c r="BG25" s="75" t="n">
        <v>30</v>
      </c>
      <c r="BH25" s="75">
        <f>Results!$B$19+AJ25-Results!$D$21</f>
        <v/>
      </c>
      <c r="BI25" s="75">
        <f>Results!$B$19+AK25-Results!$D$21</f>
        <v/>
      </c>
      <c r="BJ25" s="75">
        <f>Results!$B$19+AL25-Results!$D$21</f>
        <v/>
      </c>
      <c r="BM25" s="75" t="n">
        <v>30</v>
      </c>
      <c r="BN25" s="75">
        <f>Results!D40</f>
        <v/>
      </c>
      <c r="BO25" s="75">
        <f>Results!E40</f>
        <v/>
      </c>
      <c r="BP25" s="75">
        <f>Results!F40</f>
        <v/>
      </c>
      <c r="BS25" s="75" t="n">
        <v>30</v>
      </c>
      <c r="BT25" s="75">
        <f>Demand!AU43</f>
        <v/>
      </c>
      <c r="BU25" s="75">
        <f>Demand!AV43</f>
        <v/>
      </c>
      <c r="BV25" s="75">
        <f>Demand!AW43</f>
        <v/>
      </c>
      <c r="BY25" s="75" t="n">
        <v>30</v>
      </c>
      <c r="BZ25" s="75">
        <f>Retailers_Cap!N26</f>
        <v/>
      </c>
      <c r="CA25" s="75">
        <f>Retailers_Cap!O26</f>
        <v/>
      </c>
      <c r="CB25" s="75">
        <f>Retailers_Cap!P26</f>
        <v/>
      </c>
      <c r="CD25" s="75" t="n">
        <v>30</v>
      </c>
      <c r="CE25" s="75">
        <f>IF((BT25-BZ25)&gt;=0,"Dem","Folga")</f>
        <v/>
      </c>
      <c r="CF25" s="75">
        <f>IF((BU25-CA25)&gt;=0,"Dem","Folga")</f>
        <v/>
      </c>
      <c r="CG25" s="75">
        <f>IF((BV25-CB25)&gt;=0,"Dem","Folga")</f>
        <v/>
      </c>
    </row>
    <row r="26">
      <c r="M26" s="75">
        <f>TRUNC((_xlfn.NORM.INV((RAND()),$L$6,$L$7)),2)</f>
        <v/>
      </c>
      <c r="O26" s="75" t="n">
        <v>31</v>
      </c>
      <c r="P26" s="5" t="n">
        <v>144.06</v>
      </c>
      <c r="Q26" s="5" t="n">
        <v>274.91</v>
      </c>
      <c r="R26" s="5" t="n">
        <v>236.68</v>
      </c>
      <c r="W26" s="75">
        <f>TRUNC((_xlfn.NORM.INV((RAND()),$V$6,$V$7)),3)</f>
        <v/>
      </c>
      <c r="Y26" s="75" t="n">
        <v>31</v>
      </c>
      <c r="Z26" s="5" t="n">
        <v>6.658</v>
      </c>
      <c r="AA26" s="5" t="n">
        <v>6.671</v>
      </c>
      <c r="AB26" s="5" t="n">
        <v>6.695</v>
      </c>
      <c r="AG26" s="75">
        <f>TRUNC((_xlfn.NORM.INV((RAND()),$AF$6,$AF$7)),3)</f>
        <v/>
      </c>
      <c r="AI26" s="75" t="n">
        <v>31</v>
      </c>
      <c r="AJ26" s="5" t="n">
        <v>65.696</v>
      </c>
      <c r="AK26" s="5" t="n">
        <v>66.53</v>
      </c>
      <c r="AL26" s="5" t="n">
        <v>49.735</v>
      </c>
      <c r="AR26" s="75" t="n">
        <v>31</v>
      </c>
      <c r="AS26" s="5" t="n">
        <v>0</v>
      </c>
      <c r="AT26" s="5" t="n">
        <v>0</v>
      </c>
      <c r="AU26" s="5" t="n">
        <v>7.213870759280733</v>
      </c>
      <c r="AW26" s="75">
        <f>Z26/Demand!AU44</f>
        <v/>
      </c>
      <c r="AX26" s="75">
        <f>AA26/Demand!AV44</f>
        <v/>
      </c>
      <c r="AY26" s="75">
        <f>AB26/Demand!AW44</f>
        <v/>
      </c>
      <c r="BG26" s="75" t="n">
        <v>31</v>
      </c>
      <c r="BH26" s="75">
        <f>Results!$B$19+AJ26-Results!$D$21</f>
        <v/>
      </c>
      <c r="BI26" s="75">
        <f>Results!$B$19+AK26-Results!$D$21</f>
        <v/>
      </c>
      <c r="BJ26" s="75">
        <f>Results!$B$19+AL26-Results!$D$21</f>
        <v/>
      </c>
      <c r="BM26" s="75" t="n">
        <v>31</v>
      </c>
      <c r="BN26" s="75">
        <f>Results!D41</f>
        <v/>
      </c>
      <c r="BO26" s="75">
        <f>Results!E41</f>
        <v/>
      </c>
      <c r="BP26" s="75">
        <f>Results!F41</f>
        <v/>
      </c>
      <c r="BS26" s="75" t="n">
        <v>31</v>
      </c>
      <c r="BT26" s="75">
        <f>Demand!AU44</f>
        <v/>
      </c>
      <c r="BU26" s="75">
        <f>Demand!AV44</f>
        <v/>
      </c>
      <c r="BV26" s="75">
        <f>Demand!AW44</f>
        <v/>
      </c>
      <c r="BY26" s="75" t="n">
        <v>31</v>
      </c>
      <c r="BZ26" s="75">
        <f>Retailers_Cap!N27</f>
        <v/>
      </c>
      <c r="CA26" s="75">
        <f>Retailers_Cap!O27</f>
        <v/>
      </c>
      <c r="CB26" s="75">
        <f>Retailers_Cap!P27</f>
        <v/>
      </c>
      <c r="CD26" s="75" t="n">
        <v>31</v>
      </c>
      <c r="CE26" s="75">
        <f>IF((BT26-BZ26)&gt;=0,"Dem","Folga")</f>
        <v/>
      </c>
      <c r="CF26" s="75">
        <f>IF((BU26-CA26)&gt;=0,"Dem","Folga")</f>
        <v/>
      </c>
      <c r="CG26" s="75">
        <f>IF((BV26-CB26)&gt;=0,"Dem","Folga")</f>
        <v/>
      </c>
    </row>
    <row r="27">
      <c r="M27" s="75">
        <f>TRUNC((_xlfn.NORM.INV((RAND()),$L$6,$L$7)),2)</f>
        <v/>
      </c>
      <c r="O27" s="75" t="n">
        <v>32</v>
      </c>
      <c r="P27" s="5" t="n">
        <v>222.17</v>
      </c>
      <c r="Q27" s="5" t="n">
        <v>204.07</v>
      </c>
      <c r="R27" s="5" t="n">
        <v>251.49</v>
      </c>
      <c r="W27" s="75">
        <f>TRUNC((_xlfn.NORM.INV((RAND()),$V$6,$V$7)),3)</f>
        <v/>
      </c>
      <c r="Y27" s="75" t="n">
        <v>32</v>
      </c>
      <c r="Z27" s="5" t="n">
        <v>6.835</v>
      </c>
      <c r="AA27" s="5" t="n">
        <v>6.645</v>
      </c>
      <c r="AB27" s="5" t="n">
        <v>6.771</v>
      </c>
      <c r="AG27" s="75">
        <f>TRUNC((_xlfn.NORM.INV((RAND()),$AF$6,$AF$7)),3)</f>
        <v/>
      </c>
      <c r="AI27" s="75" t="n">
        <v>32</v>
      </c>
      <c r="AJ27" s="5" t="n">
        <v>71.468</v>
      </c>
      <c r="AK27" s="5" t="n">
        <v>35.687</v>
      </c>
      <c r="AL27" s="5" t="n">
        <v>51.613</v>
      </c>
      <c r="AR27" s="75" t="n">
        <v>32</v>
      </c>
      <c r="AS27" s="5" t="n">
        <v>0</v>
      </c>
      <c r="AT27" s="5" t="n">
        <v>0</v>
      </c>
      <c r="AU27" s="5" t="n">
        <v>4.41493129245633</v>
      </c>
      <c r="AW27" s="75">
        <f>Z27/Demand!AU45</f>
        <v/>
      </c>
      <c r="AX27" s="75">
        <f>AA27/Demand!AV45</f>
        <v/>
      </c>
      <c r="AY27" s="75">
        <f>AB27/Demand!AW45</f>
        <v/>
      </c>
      <c r="BG27" s="75" t="n">
        <v>32</v>
      </c>
      <c r="BH27" s="75">
        <f>Results!$B$19+AJ27-Results!$D$21</f>
        <v/>
      </c>
      <c r="BI27" s="75">
        <f>Results!$B$19+AK27-Results!$D$21</f>
        <v/>
      </c>
      <c r="BJ27" s="75">
        <f>Results!$B$19+AL27-Results!$D$21</f>
        <v/>
      </c>
      <c r="BM27" s="75" t="n">
        <v>32</v>
      </c>
      <c r="BN27" s="75">
        <f>Results!D42</f>
        <v/>
      </c>
      <c r="BO27" s="75">
        <f>Results!E42</f>
        <v/>
      </c>
      <c r="BP27" s="75">
        <f>Results!F42</f>
        <v/>
      </c>
      <c r="BS27" s="75" t="n">
        <v>32</v>
      </c>
      <c r="BT27" s="75">
        <f>Demand!AU45</f>
        <v/>
      </c>
      <c r="BU27" s="75">
        <f>Demand!AV45</f>
        <v/>
      </c>
      <c r="BV27" s="75">
        <f>Demand!AW45</f>
        <v/>
      </c>
      <c r="BY27" s="75" t="n">
        <v>32</v>
      </c>
      <c r="BZ27" s="75">
        <f>Retailers_Cap!N28</f>
        <v/>
      </c>
      <c r="CA27" s="75">
        <f>Retailers_Cap!O28</f>
        <v/>
      </c>
      <c r="CB27" s="75">
        <f>Retailers_Cap!P28</f>
        <v/>
      </c>
      <c r="CD27" s="75" t="n">
        <v>32</v>
      </c>
      <c r="CE27" s="75">
        <f>IF((BT27-BZ27)&gt;=0,"Dem","Folga")</f>
        <v/>
      </c>
      <c r="CF27" s="75">
        <f>IF((BU27-CA27)&gt;=0,"Dem","Folga")</f>
        <v/>
      </c>
      <c r="CG27" s="75">
        <f>IF((BV27-CB27)&gt;=0,"Dem","Folga")</f>
        <v/>
      </c>
    </row>
    <row r="28">
      <c r="M28" s="75">
        <f>TRUNC((_xlfn.NORM.INV((RAND()),$L$6,$L$7)),2)</f>
        <v/>
      </c>
      <c r="O28" s="75" t="n">
        <v>33</v>
      </c>
      <c r="P28" s="5" t="n">
        <v>187.28</v>
      </c>
      <c r="Q28" s="5" t="n">
        <v>206.3</v>
      </c>
      <c r="R28" s="5" t="n">
        <v>192.44</v>
      </c>
      <c r="W28" s="75">
        <f>TRUNC((_xlfn.NORM.INV((RAND()),$V$6,$V$7)),3)</f>
        <v/>
      </c>
      <c r="Y28" s="75" t="n">
        <v>33</v>
      </c>
      <c r="Z28" s="5" t="n">
        <v>6.721</v>
      </c>
      <c r="AA28" s="5" t="n">
        <v>6.754</v>
      </c>
      <c r="AB28" s="5" t="n">
        <v>6.779</v>
      </c>
      <c r="AG28" s="75">
        <f>TRUNC((_xlfn.NORM.INV((RAND()),$AF$6,$AF$7)),3)</f>
        <v/>
      </c>
      <c r="AI28" s="75" t="n">
        <v>33</v>
      </c>
      <c r="AJ28" s="5" t="n">
        <v>67.304</v>
      </c>
      <c r="AK28" s="5" t="n">
        <v>53.203</v>
      </c>
      <c r="AL28" s="5" t="n">
        <v>55.226</v>
      </c>
      <c r="AR28" s="75" t="n">
        <v>33</v>
      </c>
      <c r="AS28" s="5" t="n">
        <v>4.213480520051422</v>
      </c>
      <c r="AT28" s="5" t="n">
        <v>8.414236728005648</v>
      </c>
      <c r="AU28" s="5" t="n">
        <v>29.36555208990596</v>
      </c>
      <c r="AW28" s="75">
        <f>Z28/Demand!AU46</f>
        <v/>
      </c>
      <c r="AX28" s="75">
        <f>AA28/Demand!AV46</f>
        <v/>
      </c>
      <c r="AY28" s="75">
        <f>AB28/Demand!AW46</f>
        <v/>
      </c>
      <c r="BG28" s="75" t="n">
        <v>33</v>
      </c>
      <c r="BH28" s="75">
        <f>Results!$B$19+AJ28-Results!$D$21</f>
        <v/>
      </c>
      <c r="BI28" s="75">
        <f>Results!$B$19+AK28-Results!$D$21</f>
        <v/>
      </c>
      <c r="BJ28" s="75">
        <f>Results!$B$19+AL28-Results!$D$21</f>
        <v/>
      </c>
      <c r="BM28" s="75" t="n">
        <v>33</v>
      </c>
      <c r="BN28" s="75">
        <f>Results!D43</f>
        <v/>
      </c>
      <c r="BO28" s="75">
        <f>Results!E43</f>
        <v/>
      </c>
      <c r="BP28" s="75">
        <f>Results!F43</f>
        <v/>
      </c>
      <c r="BS28" s="75" t="n">
        <v>33</v>
      </c>
      <c r="BT28" s="75">
        <f>Demand!AU46</f>
        <v/>
      </c>
      <c r="BU28" s="75">
        <f>Demand!AV46</f>
        <v/>
      </c>
      <c r="BV28" s="75">
        <f>Demand!AW46</f>
        <v/>
      </c>
      <c r="BY28" s="75" t="n">
        <v>33</v>
      </c>
      <c r="BZ28" s="75">
        <f>Retailers_Cap!N29</f>
        <v/>
      </c>
      <c r="CA28" s="75">
        <f>Retailers_Cap!O29</f>
        <v/>
      </c>
      <c r="CB28" s="75">
        <f>Retailers_Cap!P29</f>
        <v/>
      </c>
      <c r="CD28" s="75" t="n">
        <v>33</v>
      </c>
      <c r="CE28" s="75">
        <f>IF((BT28-BZ28)&gt;=0,"Dem","Folga")</f>
        <v/>
      </c>
      <c r="CF28" s="75">
        <f>IF((BU28-CA28)&gt;=0,"Dem","Folga")</f>
        <v/>
      </c>
      <c r="CG28" s="75">
        <f>IF((BV28-CB28)&gt;=0,"Dem","Folga")</f>
        <v/>
      </c>
    </row>
    <row r="29">
      <c r="M29" s="75">
        <f>TRUNC((_xlfn.NORM.INV((RAND()),$L$6,$L$7)),2)</f>
        <v/>
      </c>
      <c r="O29" s="75" t="n">
        <v>34</v>
      </c>
      <c r="P29" s="5" t="n">
        <v>194.92</v>
      </c>
      <c r="Q29" s="5" t="n">
        <v>203.71</v>
      </c>
      <c r="R29" s="5" t="n">
        <v>228.72</v>
      </c>
      <c r="W29" s="75">
        <f>TRUNC((_xlfn.NORM.INV((RAND()),$V$6,$V$7)),3)</f>
        <v/>
      </c>
      <c r="Y29" s="75" t="n">
        <v>34</v>
      </c>
      <c r="Z29" s="5" t="n">
        <v>6.746</v>
      </c>
      <c r="AA29" s="5" t="n">
        <v>6.784</v>
      </c>
      <c r="AB29" s="5" t="n">
        <v>6.747</v>
      </c>
      <c r="AG29" s="75">
        <f>TRUNC((_xlfn.NORM.INV((RAND()),$AF$6,$AF$7)),3)</f>
        <v/>
      </c>
      <c r="AI29" s="75" t="n">
        <v>34</v>
      </c>
      <c r="AJ29" s="5" t="n">
        <v>61.695</v>
      </c>
      <c r="AK29" s="5" t="n">
        <v>33.083</v>
      </c>
      <c r="AL29" s="5" t="n">
        <v>48.755</v>
      </c>
      <c r="AR29" s="75" t="n">
        <v>34</v>
      </c>
      <c r="AS29" s="5" t="n">
        <v>0</v>
      </c>
      <c r="AT29" s="5" t="n">
        <v>0</v>
      </c>
      <c r="AU29" s="5" t="n">
        <v>8.713216813441456</v>
      </c>
      <c r="AW29" s="75">
        <f>Z29/Demand!AU47</f>
        <v/>
      </c>
      <c r="AX29" s="75">
        <f>AA29/Demand!AV47</f>
        <v/>
      </c>
      <c r="AY29" s="75">
        <f>AB29/Demand!AW47</f>
        <v/>
      </c>
      <c r="BG29" s="75" t="n">
        <v>34</v>
      </c>
      <c r="BH29" s="75">
        <f>Results!$B$19+AJ29-Results!$D$21</f>
        <v/>
      </c>
      <c r="BI29" s="75">
        <f>Results!$B$19+AK29-Results!$D$21</f>
        <v/>
      </c>
      <c r="BJ29" s="75">
        <f>Results!$B$19+AL29-Results!$D$21</f>
        <v/>
      </c>
      <c r="BM29" s="75" t="n">
        <v>34</v>
      </c>
      <c r="BN29" s="75">
        <f>Results!D44</f>
        <v/>
      </c>
      <c r="BO29" s="75">
        <f>Results!E44</f>
        <v/>
      </c>
      <c r="BP29" s="75">
        <f>Results!F44</f>
        <v/>
      </c>
      <c r="BS29" s="75" t="n">
        <v>34</v>
      </c>
      <c r="BT29" s="75">
        <f>Demand!AU47</f>
        <v/>
      </c>
      <c r="BU29" s="75">
        <f>Demand!AV47</f>
        <v/>
      </c>
      <c r="BV29" s="75">
        <f>Demand!AW47</f>
        <v/>
      </c>
      <c r="BY29" s="75" t="n">
        <v>34</v>
      </c>
      <c r="BZ29" s="75">
        <f>Retailers_Cap!N30</f>
        <v/>
      </c>
      <c r="CA29" s="75">
        <f>Retailers_Cap!O30</f>
        <v/>
      </c>
      <c r="CB29" s="75">
        <f>Retailers_Cap!P30</f>
        <v/>
      </c>
      <c r="CD29" s="75" t="n">
        <v>34</v>
      </c>
      <c r="CE29" s="75">
        <f>IF((BT29-BZ29)&gt;=0,"Dem","Folga")</f>
        <v/>
      </c>
      <c r="CF29" s="75">
        <f>IF((BU29-CA29)&gt;=0,"Dem","Folga")</f>
        <v/>
      </c>
      <c r="CG29" s="75">
        <f>IF((BV29-CB29)&gt;=0,"Dem","Folga")</f>
        <v/>
      </c>
    </row>
    <row r="30">
      <c r="M30" s="75">
        <f>TRUNC((_xlfn.NORM.INV((RAND()),$L$6,$L$7)),2)</f>
        <v/>
      </c>
      <c r="O30" s="75" t="n">
        <v>35</v>
      </c>
      <c r="P30" s="5" t="n">
        <v>199.77</v>
      </c>
      <c r="Q30" s="5" t="n">
        <v>219.57</v>
      </c>
      <c r="R30" s="5" t="n">
        <v>178.06</v>
      </c>
      <c r="W30" s="75">
        <f>TRUNC((_xlfn.NORM.INV((RAND()),$V$6,$V$7)),3)</f>
        <v/>
      </c>
      <c r="Y30" s="75" t="n">
        <v>35</v>
      </c>
      <c r="Z30" s="5" t="n">
        <v>6.71</v>
      </c>
      <c r="AA30" s="5" t="n">
        <v>6.776</v>
      </c>
      <c r="AB30" s="5" t="n">
        <v>6.772</v>
      </c>
      <c r="AG30" s="75">
        <f>TRUNC((_xlfn.NORM.INV((RAND()),$AF$6,$AF$7)),3)</f>
        <v/>
      </c>
      <c r="AI30" s="75" t="n">
        <v>35</v>
      </c>
      <c r="AJ30" s="5" t="n">
        <v>68.51300000000001</v>
      </c>
      <c r="AK30" s="5" t="n">
        <v>45.747</v>
      </c>
      <c r="AL30" s="5" t="n">
        <v>67.163</v>
      </c>
      <c r="AR30" s="75" t="n">
        <v>35</v>
      </c>
      <c r="AS30" s="5" t="n">
        <v>21.16790248899576</v>
      </c>
      <c r="AT30" s="5" t="n">
        <v>0</v>
      </c>
      <c r="AU30" s="5" t="n">
        <v>30.68743079913455</v>
      </c>
      <c r="AW30" s="75">
        <f>Z30/Demand!AU48</f>
        <v/>
      </c>
      <c r="AX30" s="75">
        <f>AA30/Demand!AV48</f>
        <v/>
      </c>
      <c r="AY30" s="75">
        <f>AB30/Demand!AW48</f>
        <v/>
      </c>
      <c r="BG30" s="75" t="n">
        <v>35</v>
      </c>
      <c r="BH30" s="75">
        <f>Results!$B$19+AJ30-Results!$D$21</f>
        <v/>
      </c>
      <c r="BI30" s="75">
        <f>Results!$B$19+AK30-Results!$D$21</f>
        <v/>
      </c>
      <c r="BJ30" s="75">
        <f>Results!$B$19+AL30-Results!$D$21</f>
        <v/>
      </c>
      <c r="BM30" s="75" t="n">
        <v>35</v>
      </c>
      <c r="BN30" s="75">
        <f>Results!D45</f>
        <v/>
      </c>
      <c r="BO30" s="75">
        <f>Results!E45</f>
        <v/>
      </c>
      <c r="BP30" s="75">
        <f>Results!F45</f>
        <v/>
      </c>
      <c r="BS30" s="75" t="n">
        <v>35</v>
      </c>
      <c r="BT30" s="75">
        <f>Demand!AU48</f>
        <v/>
      </c>
      <c r="BU30" s="75">
        <f>Demand!AV48</f>
        <v/>
      </c>
      <c r="BV30" s="75">
        <f>Demand!AW48</f>
        <v/>
      </c>
      <c r="BY30" s="75" t="n">
        <v>35</v>
      </c>
      <c r="BZ30" s="75">
        <f>Retailers_Cap!N31</f>
        <v/>
      </c>
      <c r="CA30" s="75">
        <f>Retailers_Cap!O31</f>
        <v/>
      </c>
      <c r="CB30" s="75">
        <f>Retailers_Cap!P31</f>
        <v/>
      </c>
      <c r="CD30" s="75" t="n">
        <v>35</v>
      </c>
      <c r="CE30" s="75">
        <f>IF((BT30-BZ30)&gt;=0,"Dem","Folga")</f>
        <v/>
      </c>
      <c r="CF30" s="75">
        <f>IF((BU30-CA30)&gt;=0,"Dem","Folga")</f>
        <v/>
      </c>
      <c r="CG30" s="75">
        <f>IF((BV30-CB30)&gt;=0,"Dem","Folga")</f>
        <v/>
      </c>
    </row>
    <row r="31">
      <c r="M31" s="75">
        <f>TRUNC((_xlfn.NORM.INV((RAND()),$L$6,$L$7)),2)</f>
        <v/>
      </c>
      <c r="O31" s="75" t="n">
        <v>36</v>
      </c>
      <c r="P31" s="5" t="n">
        <v>151.1</v>
      </c>
      <c r="Q31" s="5" t="n">
        <v>157.09</v>
      </c>
      <c r="R31" s="5" t="n">
        <v>192.84</v>
      </c>
      <c r="W31" s="75">
        <f>TRUNC((_xlfn.NORM.INV((RAND()),$V$6,$V$7)),3)</f>
        <v/>
      </c>
      <c r="Y31" s="75" t="n">
        <v>36</v>
      </c>
      <c r="Z31" s="5" t="n">
        <v>6.66</v>
      </c>
      <c r="AA31" s="5" t="n">
        <v>6.685</v>
      </c>
      <c r="AB31" s="5" t="n">
        <v>6.734</v>
      </c>
      <c r="AG31" s="75">
        <f>TRUNC((_xlfn.NORM.INV((RAND()),$AF$6,$AF$7)),3)</f>
        <v/>
      </c>
      <c r="AI31" s="75" t="n">
        <v>36</v>
      </c>
      <c r="AJ31" s="5" t="n">
        <v>58.349</v>
      </c>
      <c r="AK31" s="5" t="n">
        <v>62.475</v>
      </c>
      <c r="AL31" s="5" t="n">
        <v>98.17400000000001</v>
      </c>
      <c r="AR31" s="75" t="n">
        <v>36</v>
      </c>
      <c r="AS31" s="5" t="n">
        <v>0</v>
      </c>
      <c r="AT31" s="5" t="n">
        <v>11.39724555242405</v>
      </c>
      <c r="AU31" s="5" t="n">
        <v>12.67953720040494</v>
      </c>
      <c r="AW31" s="75">
        <f>Z31/Demand!AU49</f>
        <v/>
      </c>
      <c r="AX31" s="75">
        <f>AA31/Demand!AV49</f>
        <v/>
      </c>
      <c r="AY31" s="75">
        <f>AB31/Demand!AW49</f>
        <v/>
      </c>
      <c r="BG31" s="75" t="n">
        <v>36</v>
      </c>
      <c r="BH31" s="75">
        <f>Results!$B$19+AJ31-Results!$D$21</f>
        <v/>
      </c>
      <c r="BI31" s="75">
        <f>Results!$B$19+AK31-Results!$D$21</f>
        <v/>
      </c>
      <c r="BJ31" s="75">
        <f>Results!$B$19+AL31-Results!$D$21</f>
        <v/>
      </c>
      <c r="BM31" s="75" t="n">
        <v>36</v>
      </c>
      <c r="BN31" s="75">
        <f>Results!D46</f>
        <v/>
      </c>
      <c r="BO31" s="75">
        <f>Results!E46</f>
        <v/>
      </c>
      <c r="BP31" s="75">
        <f>Results!F46</f>
        <v/>
      </c>
      <c r="BS31" s="75" t="n">
        <v>36</v>
      </c>
      <c r="BT31" s="75">
        <f>Demand!AU49</f>
        <v/>
      </c>
      <c r="BU31" s="75">
        <f>Demand!AV49</f>
        <v/>
      </c>
      <c r="BV31" s="75">
        <f>Demand!AW49</f>
        <v/>
      </c>
      <c r="BY31" s="75" t="n">
        <v>36</v>
      </c>
      <c r="BZ31" s="75">
        <f>Retailers_Cap!N32</f>
        <v/>
      </c>
      <c r="CA31" s="75">
        <f>Retailers_Cap!O32</f>
        <v/>
      </c>
      <c r="CB31" s="75">
        <f>Retailers_Cap!P32</f>
        <v/>
      </c>
      <c r="CD31" s="75" t="n">
        <v>36</v>
      </c>
      <c r="CE31" s="75">
        <f>IF((BT31-BZ31)&gt;=0,"Dem","Folga")</f>
        <v/>
      </c>
      <c r="CF31" s="75">
        <f>IF((BU31-CA31)&gt;=0,"Dem","Folga")</f>
        <v/>
      </c>
      <c r="CG31" s="75">
        <f>IF((BV31-CB31)&gt;=0,"Dem","Folga")</f>
        <v/>
      </c>
    </row>
    <row r="32">
      <c r="M32" s="75">
        <f>TRUNC((_xlfn.NORM.INV((RAND()),$L$6,$L$7)),2)</f>
        <v/>
      </c>
      <c r="O32" s="75" t="n">
        <v>37</v>
      </c>
      <c r="P32" s="5" t="n">
        <v>258.23</v>
      </c>
      <c r="Q32" s="5" t="n">
        <v>212.16</v>
      </c>
      <c r="R32" s="5" t="n">
        <v>95.67</v>
      </c>
      <c r="W32" s="75">
        <f>TRUNC((_xlfn.NORM.INV((RAND()),$V$6,$V$7)),3)</f>
        <v/>
      </c>
      <c r="Y32" s="75" t="n">
        <v>37</v>
      </c>
      <c r="Z32" s="5" t="n">
        <v>6.822</v>
      </c>
      <c r="AA32" s="5" t="n">
        <v>6.714</v>
      </c>
      <c r="AB32" s="5" t="n">
        <v>6.765</v>
      </c>
      <c r="AG32" s="75">
        <f>TRUNC((_xlfn.NORM.INV((RAND()),$AF$6,$AF$7)),3)</f>
        <v/>
      </c>
      <c r="AI32" s="75" t="n">
        <v>37</v>
      </c>
      <c r="AJ32" s="5" t="n">
        <v>50.638</v>
      </c>
      <c r="AK32" s="5" t="n">
        <v>52.521</v>
      </c>
      <c r="AL32" s="5" t="n">
        <v>85.3</v>
      </c>
      <c r="AR32" s="75" t="n">
        <v>37</v>
      </c>
      <c r="AS32" s="5" t="n">
        <v>8.599633654285723</v>
      </c>
      <c r="AT32" s="5" t="n">
        <v>12.52170304582716</v>
      </c>
      <c r="AU32" s="5" t="n">
        <v>0</v>
      </c>
      <c r="AW32" s="75">
        <f>Z32/Demand!AU50</f>
        <v/>
      </c>
      <c r="AX32" s="75">
        <f>AA32/Demand!AV50</f>
        <v/>
      </c>
      <c r="AY32" s="75">
        <f>AB32/Demand!AW50</f>
        <v/>
      </c>
      <c r="BG32" s="75" t="n">
        <v>37</v>
      </c>
      <c r="BH32" s="75">
        <f>Results!$B$19+AJ32-Results!$D$21</f>
        <v/>
      </c>
      <c r="BI32" s="75">
        <f>Results!$B$19+AK32-Results!$D$21</f>
        <v/>
      </c>
      <c r="BJ32" s="75">
        <f>Results!$B$19+AL32-Results!$D$21</f>
        <v/>
      </c>
      <c r="BM32" s="75" t="n">
        <v>37</v>
      </c>
      <c r="BN32" s="75">
        <f>Results!D47</f>
        <v/>
      </c>
      <c r="BO32" s="75">
        <f>Results!E47</f>
        <v/>
      </c>
      <c r="BP32" s="75">
        <f>Results!F47</f>
        <v/>
      </c>
      <c r="BS32" s="75" t="n">
        <v>37</v>
      </c>
      <c r="BT32" s="75">
        <f>Demand!AU50</f>
        <v/>
      </c>
      <c r="BU32" s="75">
        <f>Demand!AV50</f>
        <v/>
      </c>
      <c r="BV32" s="75">
        <f>Demand!AW50</f>
        <v/>
      </c>
      <c r="BY32" s="75" t="n">
        <v>37</v>
      </c>
      <c r="BZ32" s="75">
        <f>Retailers_Cap!N33</f>
        <v/>
      </c>
      <c r="CA32" s="75">
        <f>Retailers_Cap!O33</f>
        <v/>
      </c>
      <c r="CB32" s="75">
        <f>Retailers_Cap!P33</f>
        <v/>
      </c>
      <c r="CD32" s="75" t="n">
        <v>37</v>
      </c>
      <c r="CE32" s="75">
        <f>IF((BT32-BZ32)&gt;=0,"Dem","Folga")</f>
        <v/>
      </c>
      <c r="CF32" s="75">
        <f>IF((BU32-CA32)&gt;=0,"Dem","Folga")</f>
        <v/>
      </c>
      <c r="CG32" s="75">
        <f>IF((BV32-CB32)&gt;=0,"Dem","Folga")</f>
        <v/>
      </c>
    </row>
    <row r="33">
      <c r="M33" s="75">
        <f>TRUNC((_xlfn.NORM.INV((RAND()),$L$6,$L$7)),2)</f>
        <v/>
      </c>
      <c r="O33" s="75" t="n">
        <v>38</v>
      </c>
      <c r="P33" s="5" t="n">
        <v>223.06</v>
      </c>
      <c r="Q33" s="5" t="n">
        <v>199.68</v>
      </c>
      <c r="R33" s="5" t="n">
        <v>199.04</v>
      </c>
      <c r="W33" s="75">
        <f>TRUNC((_xlfn.NORM.INV((RAND()),$V$6,$V$7)),3)</f>
        <v/>
      </c>
      <c r="Y33" s="75" t="n">
        <v>38</v>
      </c>
      <c r="Z33" s="5" t="n">
        <v>6.771</v>
      </c>
      <c r="AA33" s="5" t="n">
        <v>6.687</v>
      </c>
      <c r="AB33" s="5" t="n">
        <v>6.681</v>
      </c>
      <c r="AG33" s="75">
        <f>TRUNC((_xlfn.NORM.INV((RAND()),$AF$6,$AF$7)),3)</f>
        <v/>
      </c>
      <c r="AI33" s="75" t="n">
        <v>38</v>
      </c>
      <c r="AJ33" s="5" t="n">
        <v>53.028</v>
      </c>
      <c r="AK33" s="5" t="n">
        <v>47.693</v>
      </c>
      <c r="AL33" s="5" t="n">
        <v>57.554</v>
      </c>
      <c r="AR33" s="75" t="n">
        <v>38</v>
      </c>
      <c r="AS33" s="5" t="n">
        <v>19.10351957663408</v>
      </c>
      <c r="AT33" s="5" t="n">
        <v>0</v>
      </c>
      <c r="AU33" s="5" t="n">
        <v>0</v>
      </c>
      <c r="AW33" s="75">
        <f>Z33/Demand!AU51</f>
        <v/>
      </c>
      <c r="AX33" s="75">
        <f>AA33/Demand!AV51</f>
        <v/>
      </c>
      <c r="AY33" s="75">
        <f>AB33/Demand!AW51</f>
        <v/>
      </c>
      <c r="BG33" s="75" t="n">
        <v>38</v>
      </c>
      <c r="BH33" s="75">
        <f>Results!$B$19+AJ33-Results!$D$21</f>
        <v/>
      </c>
      <c r="BI33" s="75">
        <f>Results!$B$19+AK33-Results!$D$21</f>
        <v/>
      </c>
      <c r="BJ33" s="75">
        <f>Results!$B$19+AL33-Results!$D$21</f>
        <v/>
      </c>
      <c r="BM33" s="75" t="n">
        <v>38</v>
      </c>
      <c r="BN33" s="75">
        <f>Results!D48</f>
        <v/>
      </c>
      <c r="BO33" s="75">
        <f>Results!E48</f>
        <v/>
      </c>
      <c r="BP33" s="75">
        <f>Results!F48</f>
        <v/>
      </c>
      <c r="BS33" s="75" t="n">
        <v>38</v>
      </c>
      <c r="BT33" s="75">
        <f>Demand!AU51</f>
        <v/>
      </c>
      <c r="BU33" s="75">
        <f>Demand!AV51</f>
        <v/>
      </c>
      <c r="BV33" s="75">
        <f>Demand!AW51</f>
        <v/>
      </c>
      <c r="BY33" s="75" t="n">
        <v>38</v>
      </c>
      <c r="BZ33" s="75">
        <f>Retailers_Cap!N34</f>
        <v/>
      </c>
      <c r="CA33" s="75">
        <f>Retailers_Cap!O34</f>
        <v/>
      </c>
      <c r="CB33" s="75">
        <f>Retailers_Cap!P34</f>
        <v/>
      </c>
      <c r="CD33" s="75" t="n">
        <v>38</v>
      </c>
      <c r="CE33" s="75">
        <f>IF((BT33-BZ33)&gt;=0,"Dem","Folga")</f>
        <v/>
      </c>
      <c r="CF33" s="75">
        <f>IF((BU33-CA33)&gt;=0,"Dem","Folga")</f>
        <v/>
      </c>
      <c r="CG33" s="75">
        <f>IF((BV33-CB33)&gt;=0,"Dem","Folga")</f>
        <v/>
      </c>
    </row>
    <row r="34">
      <c r="M34" s="75">
        <f>TRUNC((_xlfn.NORM.INV((RAND()),$L$6,$L$7)),2)</f>
        <v/>
      </c>
      <c r="O34" s="75" t="n">
        <v>39</v>
      </c>
      <c r="P34" s="5" t="n">
        <v>240.42</v>
      </c>
      <c r="Q34" s="5" t="n">
        <v>236.48</v>
      </c>
      <c r="R34" s="5" t="n">
        <v>209.49</v>
      </c>
      <c r="W34" s="75">
        <f>TRUNC((_xlfn.NORM.INV((RAND()),$V$6,$V$7)),3)</f>
        <v/>
      </c>
      <c r="Y34" s="75" t="n">
        <v>39</v>
      </c>
      <c r="Z34" s="5" t="n">
        <v>6.689</v>
      </c>
      <c r="AA34" s="5" t="n">
        <v>6.826</v>
      </c>
      <c r="AB34" s="5" t="n">
        <v>6.701</v>
      </c>
      <c r="AG34" s="75">
        <f>TRUNC((_xlfn.NORM.INV((RAND()),$AF$6,$AF$7)),3)</f>
        <v/>
      </c>
      <c r="AI34" s="75" t="n">
        <v>39</v>
      </c>
      <c r="AJ34" s="5" t="n">
        <v>66.75</v>
      </c>
      <c r="AK34" s="5" t="n">
        <v>50.137</v>
      </c>
      <c r="AL34" s="5" t="n">
        <v>61.721</v>
      </c>
      <c r="AR34" s="75" t="n">
        <v>39</v>
      </c>
      <c r="AS34" s="5" t="n">
        <v>0</v>
      </c>
      <c r="AT34" s="5" t="n">
        <v>0</v>
      </c>
      <c r="AU34" s="5" t="n">
        <v>0</v>
      </c>
      <c r="AW34" s="75">
        <f>Z34/Demand!AU52</f>
        <v/>
      </c>
      <c r="AX34" s="75">
        <f>AA34/Demand!AV52</f>
        <v/>
      </c>
      <c r="AY34" s="75">
        <f>AB34/Demand!AW52</f>
        <v/>
      </c>
      <c r="BG34" s="75" t="n">
        <v>39</v>
      </c>
      <c r="BH34" s="75">
        <f>Results!$B$19+AJ34-Results!$D$21</f>
        <v/>
      </c>
      <c r="BI34" s="75">
        <f>Results!$B$19+AK34-Results!$D$21</f>
        <v/>
      </c>
      <c r="BJ34" s="75">
        <f>Results!$B$19+AL34-Results!$D$21</f>
        <v/>
      </c>
      <c r="BM34" s="75" t="n">
        <v>39</v>
      </c>
      <c r="BN34" s="75">
        <f>Results!D49</f>
        <v/>
      </c>
      <c r="BO34" s="75">
        <f>Results!E49</f>
        <v/>
      </c>
      <c r="BP34" s="75">
        <f>Results!F49</f>
        <v/>
      </c>
      <c r="BS34" s="75" t="n">
        <v>39</v>
      </c>
      <c r="BT34" s="75">
        <f>Demand!AU52</f>
        <v/>
      </c>
      <c r="BU34" s="75">
        <f>Demand!AV52</f>
        <v/>
      </c>
      <c r="BV34" s="75">
        <f>Demand!AW52</f>
        <v/>
      </c>
      <c r="BY34" s="75" t="n">
        <v>39</v>
      </c>
      <c r="BZ34" s="75">
        <f>Retailers_Cap!N35</f>
        <v/>
      </c>
      <c r="CA34" s="75">
        <f>Retailers_Cap!O35</f>
        <v/>
      </c>
      <c r="CB34" s="75">
        <f>Retailers_Cap!P35</f>
        <v/>
      </c>
      <c r="CD34" s="75" t="n">
        <v>39</v>
      </c>
      <c r="CE34" s="75">
        <f>IF((BT34-BZ34)&gt;=0,"Dem","Folga")</f>
        <v/>
      </c>
      <c r="CF34" s="75">
        <f>IF((BU34-CA34)&gt;=0,"Dem","Folga")</f>
        <v/>
      </c>
      <c r="CG34" s="75">
        <f>IF((BV34-CB34)&gt;=0,"Dem","Folga")</f>
        <v/>
      </c>
    </row>
    <row r="35">
      <c r="M35" s="75">
        <f>TRUNC((_xlfn.NORM.INV((RAND()),$L$6,$L$7)),2)</f>
        <v/>
      </c>
      <c r="O35" s="75" t="n">
        <v>40</v>
      </c>
      <c r="P35" s="5" t="n">
        <v>195.27</v>
      </c>
      <c r="Q35" s="5" t="n">
        <v>219.8</v>
      </c>
      <c r="R35" s="5" t="n">
        <v>180.71</v>
      </c>
      <c r="W35" s="75">
        <f>TRUNC((_xlfn.NORM.INV((RAND()),$V$6,$V$7)),3)</f>
        <v/>
      </c>
      <c r="Y35" s="75" t="n">
        <v>40</v>
      </c>
      <c r="Z35" s="5" t="n">
        <v>6.884</v>
      </c>
      <c r="AA35" s="5" t="n">
        <v>6.74</v>
      </c>
      <c r="AB35" s="5" t="n">
        <v>6.9</v>
      </c>
      <c r="AG35" s="75">
        <f>TRUNC((_xlfn.NORM.INV((RAND()),$AF$6,$AF$7)),3)</f>
        <v/>
      </c>
      <c r="AI35" s="75" t="n">
        <v>40</v>
      </c>
      <c r="AJ35" s="5" t="n">
        <v>94.301</v>
      </c>
      <c r="AK35" s="5" t="n">
        <v>43.167</v>
      </c>
      <c r="AL35" s="5" t="n">
        <v>71.48</v>
      </c>
      <c r="AR35" s="75" t="n">
        <v>40</v>
      </c>
      <c r="AS35" s="5" t="n">
        <v>0</v>
      </c>
      <c r="AT35" s="5" t="n">
        <v>0</v>
      </c>
      <c r="AU35" s="5" t="n">
        <v>0</v>
      </c>
      <c r="AW35" s="75">
        <f>Z35/Demand!AU53</f>
        <v/>
      </c>
      <c r="AX35" s="75">
        <f>AA35/Demand!AV53</f>
        <v/>
      </c>
      <c r="AY35" s="75">
        <f>AB35/Demand!AW53</f>
        <v/>
      </c>
      <c r="BG35" s="75" t="n">
        <v>40</v>
      </c>
      <c r="BH35" s="75">
        <f>Results!$B$19+AJ35-Results!$D$21</f>
        <v/>
      </c>
      <c r="BI35" s="75">
        <f>Results!$B$19+AK35-Results!$D$21</f>
        <v/>
      </c>
      <c r="BJ35" s="75">
        <f>Results!$B$19+AL35-Results!$D$21</f>
        <v/>
      </c>
      <c r="BM35" s="75" t="n">
        <v>40</v>
      </c>
      <c r="BN35" s="75">
        <f>Results!D50</f>
        <v/>
      </c>
      <c r="BO35" s="75">
        <f>Results!E50</f>
        <v/>
      </c>
      <c r="BP35" s="75">
        <f>Results!F50</f>
        <v/>
      </c>
      <c r="BS35" s="75" t="n">
        <v>40</v>
      </c>
      <c r="BT35" s="75">
        <f>Demand!AU53</f>
        <v/>
      </c>
      <c r="BU35" s="75">
        <f>Demand!AV53</f>
        <v/>
      </c>
      <c r="BV35" s="75">
        <f>Demand!AW53</f>
        <v/>
      </c>
      <c r="BY35" s="75" t="n">
        <v>40</v>
      </c>
      <c r="BZ35" s="75">
        <f>Retailers_Cap!N36</f>
        <v/>
      </c>
      <c r="CA35" s="75">
        <f>Retailers_Cap!O36</f>
        <v/>
      </c>
      <c r="CB35" s="75">
        <f>Retailers_Cap!P36</f>
        <v/>
      </c>
      <c r="CD35" s="75" t="n">
        <v>40</v>
      </c>
      <c r="CE35" s="75">
        <f>IF((BT35-BZ35)&gt;=0,"Dem","Folga")</f>
        <v/>
      </c>
      <c r="CF35" s="75">
        <f>IF((BU35-CA35)&gt;=0,"Dem","Folga")</f>
        <v/>
      </c>
      <c r="CG35" s="75">
        <f>IF((BV35-CB35)&gt;=0,"Dem","Folga")</f>
        <v/>
      </c>
    </row>
    <row r="36">
      <c r="M36" s="75">
        <f>TRUNC((_xlfn.NORM.INV((RAND()),$L$6,$L$7)),2)</f>
        <v/>
      </c>
      <c r="O36" s="75" t="n">
        <v>41</v>
      </c>
      <c r="P36" s="5" t="n">
        <v>189.4</v>
      </c>
      <c r="Q36" s="5" t="n">
        <v>272.65</v>
      </c>
      <c r="R36" s="5" t="n">
        <v>251.76</v>
      </c>
      <c r="W36" s="75">
        <f>TRUNC((_xlfn.NORM.INV((RAND()),$V$6,$V$7)),3)</f>
        <v/>
      </c>
      <c r="Y36" s="75" t="n">
        <v>41</v>
      </c>
      <c r="Z36" s="5" t="n">
        <v>6.679</v>
      </c>
      <c r="AA36" s="5" t="n">
        <v>6.781</v>
      </c>
      <c r="AB36" s="5" t="n">
        <v>6.721</v>
      </c>
      <c r="AG36" s="75">
        <f>TRUNC((_xlfn.NORM.INV((RAND()),$AF$6,$AF$7)),3)</f>
        <v/>
      </c>
      <c r="AI36" s="75" t="n">
        <v>41</v>
      </c>
      <c r="AJ36" s="5" t="n">
        <v>77.779</v>
      </c>
      <c r="AK36" s="5" t="n">
        <v>55.93</v>
      </c>
      <c r="AL36" s="5" t="n">
        <v>54.943</v>
      </c>
      <c r="AR36" s="75" t="n">
        <v>41</v>
      </c>
      <c r="AS36" s="5" t="n">
        <v>0</v>
      </c>
      <c r="AT36" s="5" t="n">
        <v>8.584341298205384</v>
      </c>
      <c r="AU36" s="5" t="n">
        <v>0</v>
      </c>
      <c r="AW36" s="75">
        <f>Z36/Demand!AU54</f>
        <v/>
      </c>
      <c r="AX36" s="75">
        <f>AA36/Demand!AV54</f>
        <v/>
      </c>
      <c r="AY36" s="75">
        <f>AB36/Demand!AW54</f>
        <v/>
      </c>
      <c r="BG36" s="75" t="n">
        <v>41</v>
      </c>
      <c r="BH36" s="75">
        <f>Results!$B$19+AJ36-Results!$D$21</f>
        <v/>
      </c>
      <c r="BI36" s="75">
        <f>Results!$B$19+AK36-Results!$D$21</f>
        <v/>
      </c>
      <c r="BJ36" s="75">
        <f>Results!$B$19+AL36-Results!$D$21</f>
        <v/>
      </c>
      <c r="BM36" s="75" t="n">
        <v>41</v>
      </c>
      <c r="BN36" s="75">
        <f>Results!D51</f>
        <v/>
      </c>
      <c r="BO36" s="75">
        <f>Results!E51</f>
        <v/>
      </c>
      <c r="BP36" s="75">
        <f>Results!F51</f>
        <v/>
      </c>
      <c r="BS36" s="75" t="n">
        <v>41</v>
      </c>
      <c r="BT36" s="75">
        <f>Demand!AU54</f>
        <v/>
      </c>
      <c r="BU36" s="75">
        <f>Demand!AV54</f>
        <v/>
      </c>
      <c r="BV36" s="75">
        <f>Demand!AW54</f>
        <v/>
      </c>
      <c r="BY36" s="75" t="n">
        <v>41</v>
      </c>
      <c r="BZ36" s="75">
        <f>Retailers_Cap!N37</f>
        <v/>
      </c>
      <c r="CA36" s="75">
        <f>Retailers_Cap!O37</f>
        <v/>
      </c>
      <c r="CB36" s="75">
        <f>Retailers_Cap!P37</f>
        <v/>
      </c>
      <c r="CD36" s="75" t="n">
        <v>41</v>
      </c>
      <c r="CE36" s="75">
        <f>IF((BT36-BZ36)&gt;=0,"Dem","Folga")</f>
        <v/>
      </c>
      <c r="CF36" s="75">
        <f>IF((BU36-CA36)&gt;=0,"Dem","Folga")</f>
        <v/>
      </c>
      <c r="CG36" s="75">
        <f>IF((BV36-CB36)&gt;=0,"Dem","Folga")</f>
        <v/>
      </c>
    </row>
    <row r="37">
      <c r="M37" s="75">
        <f>TRUNC((_xlfn.NORM.INV((RAND()),$L$6,$L$7)),2)</f>
        <v/>
      </c>
      <c r="O37" s="75" t="n">
        <v>42</v>
      </c>
      <c r="P37" s="5" t="n">
        <v>194.05</v>
      </c>
      <c r="Q37" s="5" t="n">
        <v>224.24</v>
      </c>
      <c r="R37" s="5" t="n">
        <v>157.58</v>
      </c>
      <c r="W37" s="75">
        <f>TRUNC((_xlfn.NORM.INV((RAND()),$V$6,$V$7)),3)</f>
        <v/>
      </c>
      <c r="Y37" s="75" t="n">
        <v>42</v>
      </c>
      <c r="Z37" s="5" t="n">
        <v>6.831</v>
      </c>
      <c r="AA37" s="5" t="n">
        <v>6.827</v>
      </c>
      <c r="AB37" s="5" t="n">
        <v>6.774</v>
      </c>
      <c r="AG37" s="75">
        <f>TRUNC((_xlfn.NORM.INV((RAND()),$AF$6,$AF$7)),3)</f>
        <v/>
      </c>
      <c r="AI37" s="75" t="n">
        <v>42</v>
      </c>
      <c r="AJ37" s="5" t="n">
        <v>63.59</v>
      </c>
      <c r="AK37" s="5" t="n">
        <v>78.036</v>
      </c>
      <c r="AL37" s="5" t="n">
        <v>38.118</v>
      </c>
      <c r="AR37" s="75" t="n">
        <v>42</v>
      </c>
      <c r="AS37" s="5" t="n">
        <v>0</v>
      </c>
      <c r="AT37" s="5" t="n">
        <v>0</v>
      </c>
      <c r="AU37" s="5" t="n">
        <v>0</v>
      </c>
      <c r="AW37" s="75">
        <f>Z37/Demand!AU55</f>
        <v/>
      </c>
      <c r="AX37" s="75">
        <f>AA37/Demand!AV55</f>
        <v/>
      </c>
      <c r="AY37" s="75">
        <f>AB37/Demand!AW55</f>
        <v/>
      </c>
      <c r="BG37" s="75" t="n">
        <v>42</v>
      </c>
      <c r="BH37" s="75">
        <f>Results!$B$19+AJ37-Results!$D$21</f>
        <v/>
      </c>
      <c r="BI37" s="75">
        <f>Results!$B$19+AK37-Results!$D$21</f>
        <v/>
      </c>
      <c r="BJ37" s="75">
        <f>Results!$B$19+AL37-Results!$D$21</f>
        <v/>
      </c>
      <c r="BM37" s="75" t="n">
        <v>42</v>
      </c>
      <c r="BN37" s="75">
        <f>Results!D52</f>
        <v/>
      </c>
      <c r="BO37" s="75">
        <f>Results!E52</f>
        <v/>
      </c>
      <c r="BP37" s="75">
        <f>Results!F52</f>
        <v/>
      </c>
      <c r="BS37" s="75" t="n">
        <v>42</v>
      </c>
      <c r="BT37" s="75">
        <f>Demand!AU55</f>
        <v/>
      </c>
      <c r="BU37" s="75">
        <f>Demand!AV55</f>
        <v/>
      </c>
      <c r="BV37" s="75">
        <f>Demand!AW55</f>
        <v/>
      </c>
      <c r="BY37" s="75" t="n">
        <v>42</v>
      </c>
      <c r="BZ37" s="75">
        <f>Retailers_Cap!N38</f>
        <v/>
      </c>
      <c r="CA37" s="75">
        <f>Retailers_Cap!O38</f>
        <v/>
      </c>
      <c r="CB37" s="75">
        <f>Retailers_Cap!P38</f>
        <v/>
      </c>
      <c r="CD37" s="75" t="n">
        <v>42</v>
      </c>
      <c r="CE37" s="75">
        <f>IF((BT37-BZ37)&gt;=0,"Dem","Folga")</f>
        <v/>
      </c>
      <c r="CF37" s="75">
        <f>IF((BU37-CA37)&gt;=0,"Dem","Folga")</f>
        <v/>
      </c>
      <c r="CG37" s="75">
        <f>IF((BV37-CB37)&gt;=0,"Dem","Folga")</f>
        <v/>
      </c>
    </row>
    <row r="38">
      <c r="M38" s="75">
        <f>TRUNC((_xlfn.NORM.INV((RAND()),$L$6,$L$7)),2)</f>
        <v/>
      </c>
      <c r="O38" s="75" t="n">
        <v>43</v>
      </c>
      <c r="P38" s="5" t="n">
        <v>247.86</v>
      </c>
      <c r="Q38" s="5" t="n">
        <v>248.48</v>
      </c>
      <c r="R38" s="5" t="n">
        <v>185.62</v>
      </c>
      <c r="W38" s="75">
        <f>TRUNC((_xlfn.NORM.INV((RAND()),$V$6,$V$7)),3)</f>
        <v/>
      </c>
      <c r="Y38" s="75" t="n">
        <v>43</v>
      </c>
      <c r="Z38" s="5" t="n">
        <v>6.676</v>
      </c>
      <c r="AA38" s="5" t="n">
        <v>6.747</v>
      </c>
      <c r="AB38" s="5" t="n">
        <v>6.739</v>
      </c>
      <c r="AG38" s="75">
        <f>TRUNC((_xlfn.NORM.INV((RAND()),$AF$6,$AF$7)),3)</f>
        <v/>
      </c>
      <c r="AI38" s="75" t="n">
        <v>43</v>
      </c>
      <c r="AJ38" s="5" t="n">
        <v>47.243</v>
      </c>
      <c r="AK38" s="5" t="n">
        <v>44.416</v>
      </c>
      <c r="AL38" s="5" t="n">
        <v>71.06699999999999</v>
      </c>
      <c r="AR38" s="75" t="n">
        <v>43</v>
      </c>
      <c r="AS38" s="5" t="n">
        <v>16.86229855405494</v>
      </c>
      <c r="AT38" s="5" t="n">
        <v>18.57635440858925</v>
      </c>
      <c r="AU38" s="5" t="n">
        <v>9.689741326538645</v>
      </c>
      <c r="AW38" s="75">
        <f>Z38/Demand!AU56</f>
        <v/>
      </c>
      <c r="AX38" s="75">
        <f>AA38/Demand!AV56</f>
        <v/>
      </c>
      <c r="AY38" s="75">
        <f>AB38/Demand!AW56</f>
        <v/>
      </c>
      <c r="BG38" s="75" t="n">
        <v>43</v>
      </c>
      <c r="BH38" s="75">
        <f>Results!$B$19+AJ38-Results!$D$21</f>
        <v/>
      </c>
      <c r="BI38" s="75">
        <f>Results!$B$19+AK38-Results!$D$21</f>
        <v/>
      </c>
      <c r="BJ38" s="75">
        <f>Results!$B$19+AL38-Results!$D$21</f>
        <v/>
      </c>
      <c r="BM38" s="75" t="n">
        <v>43</v>
      </c>
      <c r="BN38" s="75">
        <f>Results!D53</f>
        <v/>
      </c>
      <c r="BO38" s="75">
        <f>Results!E53</f>
        <v/>
      </c>
      <c r="BP38" s="75">
        <f>Results!F53</f>
        <v/>
      </c>
      <c r="BS38" s="75" t="n">
        <v>43</v>
      </c>
      <c r="BT38" s="75">
        <f>Demand!AU56</f>
        <v/>
      </c>
      <c r="BU38" s="75">
        <f>Demand!AV56</f>
        <v/>
      </c>
      <c r="BV38" s="75">
        <f>Demand!AW56</f>
        <v/>
      </c>
      <c r="BY38" s="75" t="n">
        <v>43</v>
      </c>
      <c r="BZ38" s="75">
        <f>Retailers_Cap!N39</f>
        <v/>
      </c>
      <c r="CA38" s="75">
        <f>Retailers_Cap!O39</f>
        <v/>
      </c>
      <c r="CB38" s="75">
        <f>Retailers_Cap!P39</f>
        <v/>
      </c>
      <c r="CD38" s="75" t="n">
        <v>43</v>
      </c>
      <c r="CE38" s="75">
        <f>IF((BT38-BZ38)&gt;=0,"Dem","Folga")</f>
        <v/>
      </c>
      <c r="CF38" s="75">
        <f>IF((BU38-CA38)&gt;=0,"Dem","Folga")</f>
        <v/>
      </c>
      <c r="CG38" s="75">
        <f>IF((BV38-CB38)&gt;=0,"Dem","Folga")</f>
        <v/>
      </c>
    </row>
    <row r="39">
      <c r="M39" s="75">
        <f>TRUNC((_xlfn.NORM.INV((RAND()),$L$6,$L$7)),2)</f>
        <v/>
      </c>
      <c r="O39" s="75" t="n">
        <v>44</v>
      </c>
      <c r="P39" s="5" t="n">
        <v>161.8</v>
      </c>
      <c r="Q39" s="5" t="n">
        <v>225.17</v>
      </c>
      <c r="R39" s="5" t="n">
        <v>233.77</v>
      </c>
      <c r="W39" s="75">
        <f>TRUNC((_xlfn.NORM.INV((RAND()),$V$6,$V$7)),3)</f>
        <v/>
      </c>
      <c r="Y39" s="75" t="n">
        <v>44</v>
      </c>
      <c r="Z39" s="5" t="n">
        <v>6.686</v>
      </c>
      <c r="AA39" s="5" t="n">
        <v>6.703</v>
      </c>
      <c r="AB39" s="5" t="n">
        <v>6.811</v>
      </c>
      <c r="AG39" s="75">
        <f>TRUNC((_xlfn.NORM.INV((RAND()),$AF$6,$AF$7)),3)</f>
        <v/>
      </c>
      <c r="AI39" s="75" t="n">
        <v>44</v>
      </c>
      <c r="AJ39" s="5" t="n">
        <v>68.708</v>
      </c>
      <c r="AK39" s="5" t="n">
        <v>81.249</v>
      </c>
      <c r="AL39" s="5" t="n">
        <v>71.997</v>
      </c>
      <c r="AR39" s="75" t="n">
        <v>44</v>
      </c>
      <c r="AS39" s="5" t="n">
        <v>0</v>
      </c>
      <c r="AT39" s="5" t="n">
        <v>0</v>
      </c>
      <c r="AU39" s="5" t="n">
        <v>2.85371997064442</v>
      </c>
      <c r="AW39" s="75">
        <f>Z39/Demand!AU57</f>
        <v/>
      </c>
      <c r="AX39" s="75">
        <f>AA39/Demand!AV57</f>
        <v/>
      </c>
      <c r="AY39" s="75">
        <f>AB39/Demand!AW57</f>
        <v/>
      </c>
      <c r="BG39" s="75" t="n">
        <v>44</v>
      </c>
      <c r="BH39" s="75">
        <f>Results!$B$19+AJ39-Results!$D$21</f>
        <v/>
      </c>
      <c r="BI39" s="75">
        <f>Results!$B$19+AK39-Results!$D$21</f>
        <v/>
      </c>
      <c r="BJ39" s="75">
        <f>Results!$B$19+AL39-Results!$D$21</f>
        <v/>
      </c>
      <c r="BM39" s="75" t="n">
        <v>44</v>
      </c>
      <c r="BN39" s="75">
        <f>Results!D54</f>
        <v/>
      </c>
      <c r="BO39" s="75">
        <f>Results!E54</f>
        <v/>
      </c>
      <c r="BP39" s="75">
        <f>Results!F54</f>
        <v/>
      </c>
      <c r="BS39" s="75" t="n">
        <v>44</v>
      </c>
      <c r="BT39" s="75">
        <f>Demand!AU57</f>
        <v/>
      </c>
      <c r="BU39" s="75">
        <f>Demand!AV57</f>
        <v/>
      </c>
      <c r="BV39" s="75">
        <f>Demand!AW57</f>
        <v/>
      </c>
      <c r="BY39" s="75" t="n">
        <v>44</v>
      </c>
      <c r="BZ39" s="75">
        <f>Retailers_Cap!N40</f>
        <v/>
      </c>
      <c r="CA39" s="75">
        <f>Retailers_Cap!O40</f>
        <v/>
      </c>
      <c r="CB39" s="75">
        <f>Retailers_Cap!P40</f>
        <v/>
      </c>
      <c r="CD39" s="75" t="n">
        <v>44</v>
      </c>
      <c r="CE39" s="75">
        <f>IF((BT39-BZ39)&gt;=0,"Dem","Folga")</f>
        <v/>
      </c>
      <c r="CF39" s="75">
        <f>IF((BU39-CA39)&gt;=0,"Dem","Folga")</f>
        <v/>
      </c>
      <c r="CG39" s="75">
        <f>IF((BV39-CB39)&gt;=0,"Dem","Folga")</f>
        <v/>
      </c>
    </row>
    <row r="40">
      <c r="M40" s="75">
        <f>TRUNC((_xlfn.NORM.INV((RAND()),$L$6,$L$7)),2)</f>
        <v/>
      </c>
      <c r="O40" s="75" t="n">
        <v>45</v>
      </c>
      <c r="P40" s="5" t="n">
        <v>207.94</v>
      </c>
      <c r="Q40" s="5" t="n">
        <v>177.49</v>
      </c>
      <c r="R40" s="5" t="n">
        <v>180.9</v>
      </c>
      <c r="W40" s="75">
        <f>TRUNC((_xlfn.NORM.INV((RAND()),$V$6,$V$7)),3)</f>
        <v/>
      </c>
      <c r="Y40" s="75" t="n">
        <v>45</v>
      </c>
      <c r="Z40" s="5" t="n">
        <v>6.727</v>
      </c>
      <c r="AA40" s="5" t="n">
        <v>6.679</v>
      </c>
      <c r="AB40" s="5" t="n">
        <v>6.66</v>
      </c>
      <c r="AG40" s="75">
        <f>TRUNC((_xlfn.NORM.INV((RAND()),$AF$6,$AF$7)),3)</f>
        <v/>
      </c>
      <c r="AI40" s="75" t="n">
        <v>45</v>
      </c>
      <c r="AJ40" s="5" t="n">
        <v>80.925</v>
      </c>
      <c r="AK40" s="5" t="n">
        <v>54.896</v>
      </c>
      <c r="AL40" s="5" t="n">
        <v>64.851</v>
      </c>
      <c r="AR40" s="75" t="n">
        <v>45</v>
      </c>
      <c r="AS40" s="5" t="n">
        <v>0</v>
      </c>
      <c r="AT40" s="5" t="n">
        <v>0</v>
      </c>
      <c r="AU40" s="5" t="n">
        <v>7.001607535858487</v>
      </c>
      <c r="AW40" s="75">
        <f>Z40/Demand!AU58</f>
        <v/>
      </c>
      <c r="AX40" s="75">
        <f>AA40/Demand!AV58</f>
        <v/>
      </c>
      <c r="AY40" s="75">
        <f>AB40/Demand!AW58</f>
        <v/>
      </c>
      <c r="BG40" s="75" t="n">
        <v>45</v>
      </c>
      <c r="BH40" s="75">
        <f>Results!$B$19+AJ40-Results!$D$21</f>
        <v/>
      </c>
      <c r="BI40" s="75">
        <f>Results!$B$19+AK40-Results!$D$21</f>
        <v/>
      </c>
      <c r="BJ40" s="75">
        <f>Results!$B$19+AL40-Results!$D$21</f>
        <v/>
      </c>
      <c r="BM40" s="75" t="n">
        <v>45</v>
      </c>
      <c r="BN40" s="75">
        <f>Results!D55</f>
        <v/>
      </c>
      <c r="BO40" s="75">
        <f>Results!E55</f>
        <v/>
      </c>
      <c r="BP40" s="75">
        <f>Results!F55</f>
        <v/>
      </c>
      <c r="BS40" s="75" t="n">
        <v>45</v>
      </c>
      <c r="BT40" s="75">
        <f>Demand!AU58</f>
        <v/>
      </c>
      <c r="BU40" s="75">
        <f>Demand!AV58</f>
        <v/>
      </c>
      <c r="BV40" s="75">
        <f>Demand!AW58</f>
        <v/>
      </c>
      <c r="BY40" s="75" t="n">
        <v>45</v>
      </c>
      <c r="BZ40" s="75">
        <f>Retailers_Cap!N41</f>
        <v/>
      </c>
      <c r="CA40" s="75">
        <f>Retailers_Cap!O41</f>
        <v/>
      </c>
      <c r="CB40" s="75">
        <f>Retailers_Cap!P41</f>
        <v/>
      </c>
      <c r="CD40" s="75" t="n">
        <v>45</v>
      </c>
      <c r="CE40" s="75">
        <f>IF((BT40-BZ40)&gt;=0,"Dem","Folga")</f>
        <v/>
      </c>
      <c r="CF40" s="75">
        <f>IF((BU40-CA40)&gt;=0,"Dem","Folga")</f>
        <v/>
      </c>
      <c r="CG40" s="75">
        <f>IF((BV40-CB40)&gt;=0,"Dem","Folga")</f>
        <v/>
      </c>
    </row>
    <row r="41">
      <c r="M41" s="75">
        <f>TRUNC((_xlfn.NORM.INV((RAND()),$L$6,$L$7)),2)</f>
        <v/>
      </c>
      <c r="O41" s="75" t="n">
        <v>46</v>
      </c>
      <c r="P41" s="5" t="n">
        <v>213.53</v>
      </c>
      <c r="Q41" s="5" t="n">
        <v>158.86</v>
      </c>
      <c r="R41" s="5" t="n">
        <v>199.97</v>
      </c>
      <c r="W41" s="75">
        <f>TRUNC((_xlfn.NORM.INV((RAND()),$V$6,$V$7)),3)</f>
        <v/>
      </c>
      <c r="Y41" s="75" t="n">
        <v>46</v>
      </c>
      <c r="Z41" s="5" t="n">
        <v>6.677</v>
      </c>
      <c r="AA41" s="5" t="n">
        <v>6.744</v>
      </c>
      <c r="AB41" s="5" t="n">
        <v>6.708</v>
      </c>
      <c r="AG41" s="75">
        <f>TRUNC((_xlfn.NORM.INV((RAND()),$AF$6,$AF$7)),3)</f>
        <v/>
      </c>
      <c r="AI41" s="75" t="n">
        <v>46</v>
      </c>
      <c r="AJ41" s="5" t="n">
        <v>47.123</v>
      </c>
      <c r="AK41" s="5" t="n">
        <v>62.216</v>
      </c>
      <c r="AL41" s="5" t="n">
        <v>85.279</v>
      </c>
      <c r="AR41" s="75" t="n">
        <v>46</v>
      </c>
      <c r="AS41" s="5" t="n">
        <v>0</v>
      </c>
      <c r="AT41" s="5" t="n">
        <v>16.81284998489906</v>
      </c>
      <c r="AU41" s="5" t="n">
        <v>21.45656202300282</v>
      </c>
      <c r="AW41" s="75">
        <f>Z41/Demand!AU59</f>
        <v/>
      </c>
      <c r="AX41" s="75">
        <f>AA41/Demand!AV59</f>
        <v/>
      </c>
      <c r="AY41" s="75">
        <f>AB41/Demand!AW59</f>
        <v/>
      </c>
      <c r="BG41" s="75" t="n">
        <v>46</v>
      </c>
      <c r="BH41" s="75">
        <f>Results!$B$19+AJ41-Results!$D$21</f>
        <v/>
      </c>
      <c r="BI41" s="75">
        <f>Results!$B$19+AK41-Results!$D$21</f>
        <v/>
      </c>
      <c r="BJ41" s="75">
        <f>Results!$B$19+AL41-Results!$D$21</f>
        <v/>
      </c>
      <c r="BM41" s="75" t="n">
        <v>46</v>
      </c>
      <c r="BN41" s="75">
        <f>Results!D56</f>
        <v/>
      </c>
      <c r="BO41" s="75">
        <f>Results!E56</f>
        <v/>
      </c>
      <c r="BP41" s="75">
        <f>Results!F56</f>
        <v/>
      </c>
      <c r="BS41" s="75" t="n">
        <v>46</v>
      </c>
      <c r="BT41" s="75">
        <f>Demand!AU59</f>
        <v/>
      </c>
      <c r="BU41" s="75">
        <f>Demand!AV59</f>
        <v/>
      </c>
      <c r="BV41" s="75">
        <f>Demand!AW59</f>
        <v/>
      </c>
      <c r="BY41" s="75" t="n">
        <v>46</v>
      </c>
      <c r="BZ41" s="75">
        <f>Retailers_Cap!N42</f>
        <v/>
      </c>
      <c r="CA41" s="75">
        <f>Retailers_Cap!O42</f>
        <v/>
      </c>
      <c r="CB41" s="75">
        <f>Retailers_Cap!P42</f>
        <v/>
      </c>
      <c r="CD41" s="75" t="n">
        <v>46</v>
      </c>
      <c r="CE41" s="75">
        <f>IF((BT41-BZ41)&gt;=0,"Dem","Folga")</f>
        <v/>
      </c>
      <c r="CF41" s="75">
        <f>IF((BU41-CA41)&gt;=0,"Dem","Folga")</f>
        <v/>
      </c>
      <c r="CG41" s="75">
        <f>IF((BV41-CB41)&gt;=0,"Dem","Folga")</f>
        <v/>
      </c>
    </row>
    <row r="42">
      <c r="M42" s="75">
        <f>TRUNC((_xlfn.NORM.INV((RAND()),$L$6,$L$7)),2)</f>
        <v/>
      </c>
      <c r="O42" s="75" t="n">
        <v>47</v>
      </c>
      <c r="P42" s="5" t="n">
        <v>127.37</v>
      </c>
      <c r="Q42" s="5" t="n">
        <v>233.08</v>
      </c>
      <c r="R42" s="5" t="n">
        <v>228.92</v>
      </c>
      <c r="W42" s="75">
        <f>TRUNC((_xlfn.NORM.INV((RAND()),$V$6,$V$7)),3)</f>
        <v/>
      </c>
      <c r="Y42" s="75" t="n">
        <v>47</v>
      </c>
      <c r="Z42" s="5" t="n">
        <v>6.809</v>
      </c>
      <c r="AA42" s="5" t="n">
        <v>6.789</v>
      </c>
      <c r="AB42" s="5" t="n">
        <v>6.811</v>
      </c>
      <c r="AG42" s="75">
        <f>TRUNC((_xlfn.NORM.INV((RAND()),$AF$6,$AF$7)),3)</f>
        <v/>
      </c>
      <c r="AI42" s="75" t="n">
        <v>47</v>
      </c>
      <c r="AJ42" s="5" t="n">
        <v>63.343</v>
      </c>
      <c r="AK42" s="5" t="n">
        <v>64.31</v>
      </c>
      <c r="AL42" s="5" t="n">
        <v>65.268</v>
      </c>
      <c r="AR42" s="75" t="n">
        <v>47</v>
      </c>
      <c r="AS42" s="5" t="n">
        <v>10.46128014483272</v>
      </c>
      <c r="AT42" s="5" t="n">
        <v>7.172268586159964</v>
      </c>
      <c r="AU42" s="5" t="n">
        <v>0</v>
      </c>
      <c r="AW42" s="75">
        <f>Z42/Demand!AU60</f>
        <v/>
      </c>
      <c r="AX42" s="75">
        <f>AA42/Demand!AV60</f>
        <v/>
      </c>
      <c r="AY42" s="75">
        <f>AB42/Demand!AW60</f>
        <v/>
      </c>
      <c r="BG42" s="75" t="n">
        <v>47</v>
      </c>
      <c r="BH42" s="75">
        <f>Results!$B$19+AJ42-Results!$D$21</f>
        <v/>
      </c>
      <c r="BI42" s="75">
        <f>Results!$B$19+AK42-Results!$D$21</f>
        <v/>
      </c>
      <c r="BJ42" s="75">
        <f>Results!$B$19+AL42-Results!$D$21</f>
        <v/>
      </c>
      <c r="BM42" s="75" t="n">
        <v>47</v>
      </c>
      <c r="BN42" s="75">
        <f>Results!D57</f>
        <v/>
      </c>
      <c r="BO42" s="75">
        <f>Results!E57</f>
        <v/>
      </c>
      <c r="BP42" s="75">
        <f>Results!F57</f>
        <v/>
      </c>
      <c r="BS42" s="75" t="n">
        <v>47</v>
      </c>
      <c r="BT42" s="75">
        <f>Demand!AU60</f>
        <v/>
      </c>
      <c r="BU42" s="75">
        <f>Demand!AV60</f>
        <v/>
      </c>
      <c r="BV42" s="75">
        <f>Demand!AW60</f>
        <v/>
      </c>
      <c r="BY42" s="75" t="n">
        <v>47</v>
      </c>
      <c r="BZ42" s="75">
        <f>Retailers_Cap!N43</f>
        <v/>
      </c>
      <c r="CA42" s="75">
        <f>Retailers_Cap!O43</f>
        <v/>
      </c>
      <c r="CB42" s="75">
        <f>Retailers_Cap!P43</f>
        <v/>
      </c>
      <c r="CD42" s="75" t="n">
        <v>47</v>
      </c>
      <c r="CE42" s="75">
        <f>IF((BT42-BZ42)&gt;=0,"Dem","Folga")</f>
        <v/>
      </c>
      <c r="CF42" s="75">
        <f>IF((BU42-CA42)&gt;=0,"Dem","Folga")</f>
        <v/>
      </c>
      <c r="CG42" s="75">
        <f>IF((BV42-CB42)&gt;=0,"Dem","Folga")</f>
        <v/>
      </c>
    </row>
    <row r="43">
      <c r="M43" s="75">
        <f>TRUNC((_xlfn.NORM.INV((RAND()),$L$6,$L$7)),2)</f>
        <v/>
      </c>
      <c r="O43" s="75" t="n">
        <v>48</v>
      </c>
      <c r="P43" s="5" t="n">
        <v>159.71</v>
      </c>
      <c r="Q43" s="5" t="n">
        <v>198.57</v>
      </c>
      <c r="R43" s="5" t="n">
        <v>231.52</v>
      </c>
      <c r="W43" s="75">
        <f>TRUNC((_xlfn.NORM.INV((RAND()),$V$6,$V$7)),3)</f>
        <v/>
      </c>
      <c r="Y43" s="75" t="n">
        <v>48</v>
      </c>
      <c r="Z43" s="5" t="n">
        <v>6.736</v>
      </c>
      <c r="AA43" s="5" t="n">
        <v>6.768</v>
      </c>
      <c r="AB43" s="5" t="n">
        <v>6.672</v>
      </c>
      <c r="AG43" s="75">
        <f>TRUNC((_xlfn.NORM.INV((RAND()),$AF$6,$AF$7)),3)</f>
        <v/>
      </c>
      <c r="AI43" s="75" t="n">
        <v>48</v>
      </c>
      <c r="AJ43" s="5" t="n">
        <v>67.218</v>
      </c>
      <c r="AK43" s="5" t="n">
        <v>52.683</v>
      </c>
      <c r="AL43" s="5" t="n">
        <v>60.908</v>
      </c>
      <c r="AR43" s="75" t="n">
        <v>48</v>
      </c>
      <c r="AS43" s="5" t="n">
        <v>2.204918478739804</v>
      </c>
      <c r="AT43" s="5" t="n">
        <v>5.57950456163671</v>
      </c>
      <c r="AU43" s="5" t="n">
        <v>0</v>
      </c>
      <c r="AW43" s="75">
        <f>Z43/Demand!AU61</f>
        <v/>
      </c>
      <c r="AX43" s="75">
        <f>AA43/Demand!AV61</f>
        <v/>
      </c>
      <c r="AY43" s="75">
        <f>AB43/Demand!AW61</f>
        <v/>
      </c>
      <c r="BG43" s="75" t="n">
        <v>48</v>
      </c>
      <c r="BH43" s="75">
        <f>Results!$B$19+AJ43-Results!$D$21</f>
        <v/>
      </c>
      <c r="BI43" s="75">
        <f>Results!$B$19+AK43-Results!$D$21</f>
        <v/>
      </c>
      <c r="BJ43" s="75">
        <f>Results!$B$19+AL43-Results!$D$21</f>
        <v/>
      </c>
      <c r="BM43" s="75" t="n">
        <v>48</v>
      </c>
      <c r="BN43" s="75">
        <f>Results!D58</f>
        <v/>
      </c>
      <c r="BO43" s="75">
        <f>Results!E58</f>
        <v/>
      </c>
      <c r="BP43" s="75">
        <f>Results!F58</f>
        <v/>
      </c>
      <c r="BS43" s="75" t="n">
        <v>48</v>
      </c>
      <c r="BT43" s="75">
        <f>Demand!AU61</f>
        <v/>
      </c>
      <c r="BU43" s="75">
        <f>Demand!AV61</f>
        <v/>
      </c>
      <c r="BV43" s="75">
        <f>Demand!AW61</f>
        <v/>
      </c>
      <c r="BY43" s="75" t="n">
        <v>48</v>
      </c>
      <c r="BZ43" s="75">
        <f>Retailers_Cap!N44</f>
        <v/>
      </c>
      <c r="CA43" s="75">
        <f>Retailers_Cap!O44</f>
        <v/>
      </c>
      <c r="CB43" s="75">
        <f>Retailers_Cap!P44</f>
        <v/>
      </c>
      <c r="CD43" s="75" t="n">
        <v>48</v>
      </c>
      <c r="CE43" s="75">
        <f>IF((BT43-BZ43)&gt;=0,"Dem","Folga")</f>
        <v/>
      </c>
      <c r="CF43" s="75">
        <f>IF((BU43-CA43)&gt;=0,"Dem","Folga")</f>
        <v/>
      </c>
      <c r="CG43" s="75">
        <f>IF((BV43-CB43)&gt;=0,"Dem","Folga")</f>
        <v/>
      </c>
    </row>
    <row r="44">
      <c r="M44" s="75">
        <f>TRUNC((_xlfn.NORM.INV((RAND()),$L$6,$L$7)),2)</f>
        <v/>
      </c>
      <c r="O44" s="75" t="n">
        <v>49</v>
      </c>
      <c r="P44" s="5" t="n">
        <v>211.04</v>
      </c>
      <c r="Q44" s="5" t="n">
        <v>213.6</v>
      </c>
      <c r="R44" s="5" t="n">
        <v>228.92</v>
      </c>
      <c r="W44" s="75">
        <f>TRUNC((_xlfn.NORM.INV((RAND()),$V$6,$V$7)),3)</f>
        <v/>
      </c>
      <c r="Y44" s="75" t="n">
        <v>49</v>
      </c>
      <c r="Z44" s="5" t="n">
        <v>6.873</v>
      </c>
      <c r="AA44" s="5" t="n">
        <v>6.702</v>
      </c>
      <c r="AB44" s="5" t="n">
        <v>6.764</v>
      </c>
      <c r="AG44" s="75">
        <f>TRUNC((_xlfn.NORM.INV((RAND()),$AF$6,$AF$7)),3)</f>
        <v/>
      </c>
      <c r="AI44" s="75" t="n">
        <v>49</v>
      </c>
      <c r="AJ44" s="5" t="n">
        <v>66.607</v>
      </c>
      <c r="AK44" s="5" t="n">
        <v>71.277</v>
      </c>
      <c r="AL44" s="5" t="n">
        <v>76.54600000000001</v>
      </c>
      <c r="AR44" s="75" t="n">
        <v>49</v>
      </c>
      <c r="AS44" s="5" t="n">
        <v>16.19133036410964</v>
      </c>
      <c r="AT44" s="5" t="n">
        <v>0</v>
      </c>
      <c r="AU44" s="5" t="n">
        <v>9.609718410778617</v>
      </c>
      <c r="AW44" s="75">
        <f>Z44/Demand!AU62</f>
        <v/>
      </c>
      <c r="AX44" s="75">
        <f>AA44/Demand!AV62</f>
        <v/>
      </c>
      <c r="AY44" s="75">
        <f>AB44/Demand!AW62</f>
        <v/>
      </c>
      <c r="BG44" s="75" t="n">
        <v>49</v>
      </c>
      <c r="BH44" s="75">
        <f>Results!$B$19+AJ44-Results!$D$21</f>
        <v/>
      </c>
      <c r="BI44" s="75">
        <f>Results!$B$19+AK44-Results!$D$21</f>
        <v/>
      </c>
      <c r="BJ44" s="75">
        <f>Results!$B$19+AL44-Results!$D$21</f>
        <v/>
      </c>
      <c r="BM44" s="75" t="n">
        <v>49</v>
      </c>
      <c r="BN44" s="75">
        <f>Results!D59</f>
        <v/>
      </c>
      <c r="BO44" s="75">
        <f>Results!E59</f>
        <v/>
      </c>
      <c r="BP44" s="75">
        <f>Results!F59</f>
        <v/>
      </c>
      <c r="BS44" s="75" t="n">
        <v>49</v>
      </c>
      <c r="BT44" s="75">
        <f>Demand!AU62</f>
        <v/>
      </c>
      <c r="BU44" s="75">
        <f>Demand!AV62</f>
        <v/>
      </c>
      <c r="BV44" s="75">
        <f>Demand!AW62</f>
        <v/>
      </c>
      <c r="BY44" s="75" t="n">
        <v>49</v>
      </c>
      <c r="BZ44" s="75">
        <f>Retailers_Cap!N45</f>
        <v/>
      </c>
      <c r="CA44" s="75">
        <f>Retailers_Cap!O45</f>
        <v/>
      </c>
      <c r="CB44" s="75">
        <f>Retailers_Cap!P45</f>
        <v/>
      </c>
      <c r="CD44" s="75" t="n">
        <v>49</v>
      </c>
      <c r="CE44" s="75">
        <f>IF((BT44-BZ44)&gt;=0,"Dem","Folga")</f>
        <v/>
      </c>
      <c r="CF44" s="75">
        <f>IF((BU44-CA44)&gt;=0,"Dem","Folga")</f>
        <v/>
      </c>
      <c r="CG44" s="75">
        <f>IF((BV44-CB44)&gt;=0,"Dem","Folga")</f>
        <v/>
      </c>
    </row>
    <row r="45">
      <c r="M45" s="75">
        <f>TRUNC((_xlfn.NORM.INV((RAND()),$L$6,$L$7)),2)</f>
        <v/>
      </c>
      <c r="O45" s="75" t="n">
        <v>50</v>
      </c>
      <c r="P45" s="5" t="n">
        <v>130.83</v>
      </c>
      <c r="Q45" s="5" t="n">
        <v>216.87</v>
      </c>
      <c r="R45" s="5" t="n">
        <v>207.63</v>
      </c>
      <c r="W45" s="75">
        <f>TRUNC((_xlfn.NORM.INV((RAND()),$V$6,$V$7)),3)</f>
        <v/>
      </c>
      <c r="Y45" s="75" t="n">
        <v>50</v>
      </c>
      <c r="Z45" s="5" t="n">
        <v>6.775</v>
      </c>
      <c r="AA45" s="5" t="n">
        <v>6.706</v>
      </c>
      <c r="AB45" s="5" t="n">
        <v>6.754</v>
      </c>
      <c r="AG45" s="75">
        <f>TRUNC((_xlfn.NORM.INV((RAND()),$AF$6,$AF$7)),3)</f>
        <v/>
      </c>
      <c r="AI45" s="75" t="n">
        <v>50</v>
      </c>
      <c r="AJ45" s="5" t="n">
        <v>58.9</v>
      </c>
      <c r="AK45" s="5" t="n">
        <v>54.101</v>
      </c>
      <c r="AL45" s="5" t="n">
        <v>62.384</v>
      </c>
      <c r="AR45" s="75" t="n">
        <v>50</v>
      </c>
      <c r="AS45" s="5" t="n">
        <v>0</v>
      </c>
      <c r="AT45" s="5" t="n">
        <v>0</v>
      </c>
      <c r="AU45" s="5" t="n">
        <v>20.95504121192554</v>
      </c>
      <c r="AW45" s="75">
        <f>Z45/Demand!AU63</f>
        <v/>
      </c>
      <c r="AX45" s="75">
        <f>AA45/Demand!AV63</f>
        <v/>
      </c>
      <c r="AY45" s="75">
        <f>AB45/Demand!AW63</f>
        <v/>
      </c>
      <c r="BG45" s="75" t="n">
        <v>50</v>
      </c>
      <c r="BH45" s="75">
        <f>Results!$B$19+AJ45-Results!$D$21</f>
        <v/>
      </c>
      <c r="BI45" s="75">
        <f>Results!$B$19+AK45-Results!$D$21</f>
        <v/>
      </c>
      <c r="BJ45" s="75">
        <f>Results!$B$19+AL45-Results!$D$21</f>
        <v/>
      </c>
      <c r="BM45" s="75" t="n">
        <v>50</v>
      </c>
      <c r="BN45" s="75">
        <f>Results!D60</f>
        <v/>
      </c>
      <c r="BO45" s="75">
        <f>Results!E60</f>
        <v/>
      </c>
      <c r="BP45" s="75">
        <f>Results!F60</f>
        <v/>
      </c>
      <c r="BS45" s="75" t="n">
        <v>50</v>
      </c>
      <c r="BT45" s="75">
        <f>Demand!AU63</f>
        <v/>
      </c>
      <c r="BU45" s="75">
        <f>Demand!AV63</f>
        <v/>
      </c>
      <c r="BV45" s="75">
        <f>Demand!AW63</f>
        <v/>
      </c>
      <c r="BY45" s="75" t="n">
        <v>50</v>
      </c>
      <c r="BZ45" s="75">
        <f>Retailers_Cap!N46</f>
        <v/>
      </c>
      <c r="CA45" s="75">
        <f>Retailers_Cap!O46</f>
        <v/>
      </c>
      <c r="CB45" s="75">
        <f>Retailers_Cap!P46</f>
        <v/>
      </c>
      <c r="CD45" s="75" t="n">
        <v>50</v>
      </c>
      <c r="CE45" s="75">
        <f>IF((BT45-BZ45)&gt;=0,"Dem","Folga")</f>
        <v/>
      </c>
      <c r="CF45" s="75">
        <f>IF((BU45-CA45)&gt;=0,"Dem","Folga")</f>
        <v/>
      </c>
      <c r="CG45" s="75">
        <f>IF((BV45-CB45)&gt;=0,"Dem","Folga")</f>
        <v/>
      </c>
    </row>
    <row r="46">
      <c r="M46" s="75">
        <f>TRUNC((_xlfn.NORM.INV((RAND()),$L$6,$L$7)),2)</f>
        <v/>
      </c>
      <c r="O46" s="75" t="n">
        <v>51</v>
      </c>
      <c r="P46" s="5" t="n">
        <v>183.58</v>
      </c>
      <c r="Q46" s="5" t="n">
        <v>197.98</v>
      </c>
      <c r="R46" s="5" t="n">
        <v>216.78</v>
      </c>
      <c r="W46" s="75">
        <f>TRUNC((_xlfn.NORM.INV((RAND()),$V$6,$V$7)),3)</f>
        <v/>
      </c>
      <c r="Y46" s="75" t="n">
        <v>51</v>
      </c>
      <c r="Z46" s="5" t="n">
        <v>6.85</v>
      </c>
      <c r="AA46" s="5" t="n">
        <v>6.746</v>
      </c>
      <c r="AB46" s="5" t="n">
        <v>6.656</v>
      </c>
      <c r="AG46" s="75">
        <f>TRUNC((_xlfn.NORM.INV((RAND()),$AF$6,$AF$7)),3)</f>
        <v/>
      </c>
      <c r="AI46" s="75" t="n">
        <v>51</v>
      </c>
      <c r="AJ46" s="5" t="n">
        <v>68.458</v>
      </c>
      <c r="AK46" s="5" t="n">
        <v>56.296</v>
      </c>
      <c r="AL46" s="5" t="n">
        <v>58.884</v>
      </c>
      <c r="AR46" s="75" t="n">
        <v>51</v>
      </c>
      <c r="AS46" s="5" t="n">
        <v>0</v>
      </c>
      <c r="AT46" s="5" t="n">
        <v>10.45967417911625</v>
      </c>
      <c r="AU46" s="5" t="n">
        <v>0</v>
      </c>
      <c r="AW46" s="75">
        <f>Z46/Demand!AU64</f>
        <v/>
      </c>
      <c r="AX46" s="75">
        <f>AA46/Demand!AV64</f>
        <v/>
      </c>
      <c r="AY46" s="75">
        <f>AB46/Demand!AW64</f>
        <v/>
      </c>
      <c r="BG46" s="75" t="n">
        <v>51</v>
      </c>
      <c r="BH46" s="75">
        <f>Results!$B$19+AJ46-Results!$D$21</f>
        <v/>
      </c>
      <c r="BI46" s="75">
        <f>Results!$B$19+AK46-Results!$D$21</f>
        <v/>
      </c>
      <c r="BJ46" s="75">
        <f>Results!$B$19+AL46-Results!$D$21</f>
        <v/>
      </c>
      <c r="BM46" s="75" t="n">
        <v>51</v>
      </c>
      <c r="BN46" s="75">
        <f>Results!D61</f>
        <v/>
      </c>
      <c r="BO46" s="75">
        <f>Results!E61</f>
        <v/>
      </c>
      <c r="BP46" s="75">
        <f>Results!F61</f>
        <v/>
      </c>
      <c r="BS46" s="75" t="n">
        <v>51</v>
      </c>
      <c r="BT46" s="75">
        <f>Demand!AU64</f>
        <v/>
      </c>
      <c r="BU46" s="75">
        <f>Demand!AV64</f>
        <v/>
      </c>
      <c r="BV46" s="75">
        <f>Demand!AW64</f>
        <v/>
      </c>
      <c r="BY46" s="75" t="n">
        <v>51</v>
      </c>
      <c r="BZ46" s="75">
        <f>Retailers_Cap!N47</f>
        <v/>
      </c>
      <c r="CA46" s="75">
        <f>Retailers_Cap!O47</f>
        <v/>
      </c>
      <c r="CB46" s="75">
        <f>Retailers_Cap!P47</f>
        <v/>
      </c>
      <c r="CD46" s="75" t="n">
        <v>51</v>
      </c>
      <c r="CE46" s="75">
        <f>IF((BT46-BZ46)&gt;=0,"Dem","Folga")</f>
        <v/>
      </c>
      <c r="CF46" s="75">
        <f>IF((BU46-CA46)&gt;=0,"Dem","Folga")</f>
        <v/>
      </c>
      <c r="CG46" s="75">
        <f>IF((BV46-CB46)&gt;=0,"Dem","Folga")</f>
        <v/>
      </c>
    </row>
    <row r="47">
      <c r="M47" s="75">
        <f>TRUNC((_xlfn.NORM.INV((RAND()),$L$6,$L$7)),2)</f>
        <v/>
      </c>
      <c r="O47" s="75" t="n">
        <v>52</v>
      </c>
      <c r="P47" s="5" t="n">
        <v>183.23</v>
      </c>
      <c r="Q47" s="5" t="n">
        <v>237.64</v>
      </c>
      <c r="R47" s="5" t="n">
        <v>193.14</v>
      </c>
      <c r="W47" s="75">
        <f>TRUNC((_xlfn.NORM.INV((RAND()),$V$6,$V$7)),3)</f>
        <v/>
      </c>
      <c r="Y47" s="75" t="n">
        <v>52</v>
      </c>
      <c r="Z47" s="5" t="n">
        <v>6.79</v>
      </c>
      <c r="AA47" s="5" t="n">
        <v>6.864</v>
      </c>
      <c r="AB47" s="5" t="n">
        <v>6.834</v>
      </c>
      <c r="AG47" s="75">
        <f>TRUNC((_xlfn.NORM.INV((RAND()),$AF$6,$AF$7)),3)</f>
        <v/>
      </c>
      <c r="AI47" s="75" t="n">
        <v>52</v>
      </c>
      <c r="AJ47" s="5" t="n">
        <v>55.646</v>
      </c>
      <c r="AK47" s="5" t="n">
        <v>74.48699999999999</v>
      </c>
      <c r="AL47" s="5" t="n">
        <v>50.951</v>
      </c>
      <c r="AR47" s="75" t="n">
        <v>52</v>
      </c>
      <c r="AS47" s="5" t="n">
        <v>10.68934575838922</v>
      </c>
      <c r="AT47" s="5" t="n">
        <v>14.73522218558104</v>
      </c>
      <c r="AU47" s="5" t="n">
        <v>0</v>
      </c>
      <c r="AW47" s="75">
        <f>Z47/Demand!AU65</f>
        <v/>
      </c>
      <c r="AX47" s="75">
        <f>AA47/Demand!AV65</f>
        <v/>
      </c>
      <c r="AY47" s="75">
        <f>AB47/Demand!AW65</f>
        <v/>
      </c>
      <c r="BG47" s="75" t="n">
        <v>52</v>
      </c>
      <c r="BH47" s="75">
        <f>Results!$B$19+AJ47-Results!$D$21</f>
        <v/>
      </c>
      <c r="BI47" s="75">
        <f>Results!$B$19+AK47-Results!$D$21</f>
        <v/>
      </c>
      <c r="BJ47" s="75">
        <f>Results!$B$19+AL47-Results!$D$21</f>
        <v/>
      </c>
      <c r="BM47" s="75" t="n">
        <v>52</v>
      </c>
      <c r="BN47" s="75">
        <f>Results!D62</f>
        <v/>
      </c>
      <c r="BO47" s="75">
        <f>Results!E62</f>
        <v/>
      </c>
      <c r="BP47" s="75">
        <f>Results!F62</f>
        <v/>
      </c>
      <c r="BS47" s="75" t="n">
        <v>52</v>
      </c>
      <c r="BT47" s="75">
        <f>Demand!AU65</f>
        <v/>
      </c>
      <c r="BU47" s="75">
        <f>Demand!AV65</f>
        <v/>
      </c>
      <c r="BV47" s="75">
        <f>Demand!AW65</f>
        <v/>
      </c>
      <c r="BY47" s="75" t="n">
        <v>52</v>
      </c>
      <c r="BZ47" s="75">
        <f>Retailers_Cap!N48</f>
        <v/>
      </c>
      <c r="CA47" s="75">
        <f>Retailers_Cap!O48</f>
        <v/>
      </c>
      <c r="CB47" s="75">
        <f>Retailers_Cap!P48</f>
        <v/>
      </c>
      <c r="CD47" s="75" t="n">
        <v>52</v>
      </c>
      <c r="CE47" s="75">
        <f>IF((BT47-BZ47)&gt;=0,"Dem","Folga")</f>
        <v/>
      </c>
      <c r="CF47" s="75">
        <f>IF((BU47-CA47)&gt;=0,"Dem","Folga")</f>
        <v/>
      </c>
      <c r="CG47" s="75">
        <f>IF((BV47-CB47)&gt;=0,"Dem","Folga")</f>
        <v/>
      </c>
    </row>
    <row r="48">
      <c r="M48" s="75">
        <f>TRUNC((_xlfn.NORM.INV((RAND()),$L$6,$L$7)),2)</f>
        <v/>
      </c>
      <c r="O48" s="75" t="n">
        <v>53</v>
      </c>
      <c r="P48" s="5" t="n">
        <v>169.93</v>
      </c>
      <c r="Q48" s="5" t="n">
        <v>176.61</v>
      </c>
      <c r="R48" s="5" t="n">
        <v>241.48</v>
      </c>
      <c r="W48" s="75">
        <f>TRUNC((_xlfn.NORM.INV((RAND()),$V$6,$V$7)),3)</f>
        <v/>
      </c>
      <c r="Y48" s="75" t="n">
        <v>53</v>
      </c>
      <c r="Z48" s="5" t="n">
        <v>6.789</v>
      </c>
      <c r="AA48" s="5" t="n">
        <v>6.74</v>
      </c>
      <c r="AB48" s="5" t="n">
        <v>6.694</v>
      </c>
      <c r="AG48" s="75">
        <f>TRUNC((_xlfn.NORM.INV((RAND()),$AF$6,$AF$7)),3)</f>
        <v/>
      </c>
      <c r="AI48" s="75" t="n">
        <v>53</v>
      </c>
      <c r="AJ48" s="5" t="n">
        <v>71.663</v>
      </c>
      <c r="AK48" s="5" t="n">
        <v>58.181</v>
      </c>
      <c r="AL48" s="5" t="n">
        <v>44.543</v>
      </c>
      <c r="AR48" s="75" t="n">
        <v>53</v>
      </c>
      <c r="AS48" s="5" t="n">
        <v>0</v>
      </c>
      <c r="AT48" s="5" t="n">
        <v>0</v>
      </c>
      <c r="AU48" s="5" t="n">
        <v>0</v>
      </c>
      <c r="AW48" s="75">
        <f>Z48/Demand!AU66</f>
        <v/>
      </c>
      <c r="AX48" s="75">
        <f>AA48/Demand!AV66</f>
        <v/>
      </c>
      <c r="AY48" s="75">
        <f>AB48/Demand!AW66</f>
        <v/>
      </c>
      <c r="BG48" s="75" t="n">
        <v>53</v>
      </c>
      <c r="BH48" s="75">
        <f>Results!$B$19+AJ48-Results!$D$21</f>
        <v/>
      </c>
      <c r="BI48" s="75">
        <f>Results!$B$19+AK48-Results!$D$21</f>
        <v/>
      </c>
      <c r="BJ48" s="75">
        <f>Results!$B$19+AL48-Results!$D$21</f>
        <v/>
      </c>
      <c r="BM48" s="75" t="n">
        <v>53</v>
      </c>
      <c r="BN48" s="75">
        <f>Results!D63</f>
        <v/>
      </c>
      <c r="BO48" s="75">
        <f>Results!E63</f>
        <v/>
      </c>
      <c r="BP48" s="75">
        <f>Results!F63</f>
        <v/>
      </c>
      <c r="BS48" s="75" t="n">
        <v>53</v>
      </c>
      <c r="BT48" s="75">
        <f>Demand!AU66</f>
        <v/>
      </c>
      <c r="BU48" s="75">
        <f>Demand!AV66</f>
        <v/>
      </c>
      <c r="BV48" s="75">
        <f>Demand!AW66</f>
        <v/>
      </c>
      <c r="BY48" s="75" t="n">
        <v>53</v>
      </c>
      <c r="BZ48" s="75">
        <f>Retailers_Cap!N49</f>
        <v/>
      </c>
      <c r="CA48" s="75">
        <f>Retailers_Cap!O49</f>
        <v/>
      </c>
      <c r="CB48" s="75">
        <f>Retailers_Cap!P49</f>
        <v/>
      </c>
      <c r="CD48" s="75" t="n">
        <v>53</v>
      </c>
      <c r="CE48" s="75">
        <f>IF((BT48-BZ48)&gt;=0,"Dem","Folga")</f>
        <v/>
      </c>
      <c r="CF48" s="75">
        <f>IF((BU48-CA48)&gt;=0,"Dem","Folga")</f>
        <v/>
      </c>
      <c r="CG48" s="75">
        <f>IF((BV48-CB48)&gt;=0,"Dem","Folga")</f>
        <v/>
      </c>
    </row>
    <row r="49">
      <c r="M49" s="75">
        <f>TRUNC((_xlfn.NORM.INV((RAND()),$L$6,$L$7)),2)</f>
        <v/>
      </c>
      <c r="O49" s="75" t="n">
        <v>54</v>
      </c>
      <c r="P49" s="5" t="n">
        <v>222.73</v>
      </c>
      <c r="Q49" s="5" t="n">
        <v>201.67</v>
      </c>
      <c r="R49" s="5" t="n">
        <v>149.22</v>
      </c>
      <c r="W49" s="75">
        <f>TRUNC((_xlfn.NORM.INV((RAND()),$V$6,$V$7)),3)</f>
        <v/>
      </c>
      <c r="Y49" s="75" t="n">
        <v>54</v>
      </c>
      <c r="Z49" s="5" t="n">
        <v>6.749</v>
      </c>
      <c r="AA49" s="5" t="n">
        <v>6.8</v>
      </c>
      <c r="AB49" s="5" t="n">
        <v>6.712</v>
      </c>
      <c r="AG49" s="75">
        <f>TRUNC((_xlfn.NORM.INV((RAND()),$AF$6,$AF$7)),3)</f>
        <v/>
      </c>
      <c r="AI49" s="75" t="n">
        <v>54</v>
      </c>
      <c r="AJ49" s="5" t="n">
        <v>64.634</v>
      </c>
      <c r="AK49" s="5" t="n">
        <v>47.679</v>
      </c>
      <c r="AL49" s="5" t="n">
        <v>59.555</v>
      </c>
      <c r="AR49" s="75" t="n">
        <v>54</v>
      </c>
      <c r="AS49" s="5" t="n">
        <v>11.34319940996044</v>
      </c>
      <c r="AT49" s="5" t="n">
        <v>0</v>
      </c>
      <c r="AU49" s="5" t="n">
        <v>0</v>
      </c>
      <c r="AW49" s="75">
        <f>Z49/Demand!AU67</f>
        <v/>
      </c>
      <c r="AX49" s="75">
        <f>AA49/Demand!AV67</f>
        <v/>
      </c>
      <c r="AY49" s="75">
        <f>AB49/Demand!AW67</f>
        <v/>
      </c>
      <c r="BG49" s="75" t="n">
        <v>54</v>
      </c>
      <c r="BH49" s="75">
        <f>Results!$B$19+AJ49-Results!$D$21</f>
        <v/>
      </c>
      <c r="BI49" s="75">
        <f>Results!$B$19+AK49-Results!$D$21</f>
        <v/>
      </c>
      <c r="BJ49" s="75">
        <f>Results!$B$19+AL49-Results!$D$21</f>
        <v/>
      </c>
      <c r="BM49" s="75" t="n">
        <v>54</v>
      </c>
      <c r="BN49" s="75">
        <f>Results!D64</f>
        <v/>
      </c>
      <c r="BO49" s="75">
        <f>Results!E64</f>
        <v/>
      </c>
      <c r="BP49" s="75">
        <f>Results!F64</f>
        <v/>
      </c>
      <c r="BS49" s="75" t="n">
        <v>54</v>
      </c>
      <c r="BT49" s="75">
        <f>Demand!AU67</f>
        <v/>
      </c>
      <c r="BU49" s="75">
        <f>Demand!AV67</f>
        <v/>
      </c>
      <c r="BV49" s="75">
        <f>Demand!AW67</f>
        <v/>
      </c>
      <c r="BY49" s="75" t="n">
        <v>54</v>
      </c>
      <c r="BZ49" s="75">
        <f>Retailers_Cap!N50</f>
        <v/>
      </c>
      <c r="CA49" s="75">
        <f>Retailers_Cap!O50</f>
        <v/>
      </c>
      <c r="CB49" s="75">
        <f>Retailers_Cap!P50</f>
        <v/>
      </c>
      <c r="CD49" s="75" t="n">
        <v>54</v>
      </c>
      <c r="CE49" s="75">
        <f>IF((BT49-BZ49)&gt;=0,"Dem","Folga")</f>
        <v/>
      </c>
      <c r="CF49" s="75">
        <f>IF((BU49-CA49)&gt;=0,"Dem","Folga")</f>
        <v/>
      </c>
      <c r="CG49" s="75">
        <f>IF((BV49-CB49)&gt;=0,"Dem","Folga")</f>
        <v/>
      </c>
    </row>
    <row r="50">
      <c r="M50" s="75">
        <f>TRUNC((_xlfn.NORM.INV((RAND()),$L$6,$L$7)),2)</f>
        <v/>
      </c>
      <c r="O50" s="75" t="n">
        <v>55</v>
      </c>
      <c r="P50" s="5" t="n">
        <v>166.01</v>
      </c>
      <c r="Q50" s="5" t="n">
        <v>237.73</v>
      </c>
      <c r="R50" s="5" t="n">
        <v>144.95</v>
      </c>
      <c r="W50" s="75">
        <f>TRUNC((_xlfn.NORM.INV((RAND()),$V$6,$V$7)),3)</f>
        <v/>
      </c>
      <c r="Y50" s="75" t="n">
        <v>55</v>
      </c>
      <c r="Z50" s="5" t="n">
        <v>6.582</v>
      </c>
      <c r="AA50" s="5" t="n">
        <v>6.656</v>
      </c>
      <c r="AB50" s="5" t="n">
        <v>6.747</v>
      </c>
      <c r="AG50" s="75">
        <f>TRUNC((_xlfn.NORM.INV((RAND()),$AF$6,$AF$7)),3)</f>
        <v/>
      </c>
      <c r="AI50" s="75" t="n">
        <v>55</v>
      </c>
      <c r="AJ50" s="5" t="n">
        <v>53.255</v>
      </c>
      <c r="AK50" s="5" t="n">
        <v>78.795</v>
      </c>
      <c r="AL50" s="5" t="n">
        <v>67.131</v>
      </c>
      <c r="AR50" s="75" t="n">
        <v>55</v>
      </c>
      <c r="AS50" s="5" t="n">
        <v>0</v>
      </c>
      <c r="AT50" s="5" t="n">
        <v>0</v>
      </c>
      <c r="AU50" s="5" t="n">
        <v>0</v>
      </c>
      <c r="AW50" s="75">
        <f>Z50/Demand!AU68</f>
        <v/>
      </c>
      <c r="AX50" s="75">
        <f>AA50/Demand!AV68</f>
        <v/>
      </c>
      <c r="AY50" s="75">
        <f>AB50/Demand!AW68</f>
        <v/>
      </c>
      <c r="BG50" s="75" t="n">
        <v>55</v>
      </c>
      <c r="BH50" s="75">
        <f>Results!$B$19+AJ50-Results!$D$21</f>
        <v/>
      </c>
      <c r="BI50" s="75">
        <f>Results!$B$19+AK50-Results!$D$21</f>
        <v/>
      </c>
      <c r="BJ50" s="75">
        <f>Results!$B$19+AL50-Results!$D$21</f>
        <v/>
      </c>
      <c r="BM50" s="75" t="n">
        <v>55</v>
      </c>
      <c r="BN50" s="75">
        <f>Results!D65</f>
        <v/>
      </c>
      <c r="BO50" s="75">
        <f>Results!E65</f>
        <v/>
      </c>
      <c r="BP50" s="75">
        <f>Results!F65</f>
        <v/>
      </c>
      <c r="BS50" s="75" t="n">
        <v>55</v>
      </c>
      <c r="BT50" s="75">
        <f>Demand!AU68</f>
        <v/>
      </c>
      <c r="BU50" s="75">
        <f>Demand!AV68</f>
        <v/>
      </c>
      <c r="BV50" s="75">
        <f>Demand!AW68</f>
        <v/>
      </c>
      <c r="BY50" s="75" t="n">
        <v>55</v>
      </c>
      <c r="BZ50" s="75">
        <f>Retailers_Cap!N51</f>
        <v/>
      </c>
      <c r="CA50" s="75">
        <f>Retailers_Cap!O51</f>
        <v/>
      </c>
      <c r="CB50" s="75">
        <f>Retailers_Cap!P51</f>
        <v/>
      </c>
      <c r="CD50" s="75" t="n">
        <v>55</v>
      </c>
      <c r="CE50" s="75">
        <f>IF((BT50-BZ50)&gt;=0,"Dem","Folga")</f>
        <v/>
      </c>
      <c r="CF50" s="75">
        <f>IF((BU50-CA50)&gt;=0,"Dem","Folga")</f>
        <v/>
      </c>
      <c r="CG50" s="75">
        <f>IF((BV50-CB50)&gt;=0,"Dem","Folga")</f>
        <v/>
      </c>
    </row>
    <row r="51">
      <c r="M51" s="75">
        <f>TRUNC((_xlfn.NORM.INV((RAND()),$L$6,$L$7)),2)</f>
        <v/>
      </c>
      <c r="O51" s="75" t="n">
        <v>56</v>
      </c>
      <c r="P51" s="5" t="n">
        <v>238.21</v>
      </c>
      <c r="Q51" s="5" t="n">
        <v>137.05</v>
      </c>
      <c r="R51" s="5" t="n">
        <v>263.82</v>
      </c>
      <c r="W51" s="75">
        <f>TRUNC((_xlfn.NORM.INV((RAND()),$V$6,$V$7)),3)</f>
        <v/>
      </c>
      <c r="Y51" s="75" t="n">
        <v>56</v>
      </c>
      <c r="Z51" s="5" t="n">
        <v>6.728</v>
      </c>
      <c r="AA51" s="5" t="n">
        <v>6.776</v>
      </c>
      <c r="AB51" s="5" t="n">
        <v>6.803</v>
      </c>
      <c r="AG51" s="75">
        <f>TRUNC((_xlfn.NORM.INV((RAND()),$AF$6,$AF$7)),3)</f>
        <v/>
      </c>
      <c r="AI51" s="75" t="n">
        <v>56</v>
      </c>
      <c r="AJ51" s="5" t="n">
        <v>53.912</v>
      </c>
      <c r="AK51" s="5" t="n">
        <v>70.194</v>
      </c>
      <c r="AL51" s="5" t="n">
        <v>59.256</v>
      </c>
      <c r="AR51" s="75" t="n">
        <v>56</v>
      </c>
      <c r="AS51" s="5" t="n">
        <v>0</v>
      </c>
      <c r="AT51" s="5" t="n">
        <v>0</v>
      </c>
      <c r="AU51" s="5" t="n">
        <v>12.93795263791339</v>
      </c>
      <c r="AW51" s="75">
        <f>Z51/Demand!AU69</f>
        <v/>
      </c>
      <c r="AX51" s="75">
        <f>AA51/Demand!AV69</f>
        <v/>
      </c>
      <c r="AY51" s="75">
        <f>AB51/Demand!AW69</f>
        <v/>
      </c>
      <c r="BG51" s="75" t="n">
        <v>56</v>
      </c>
      <c r="BH51" s="75">
        <f>Results!$B$19+AJ51-Results!$D$21</f>
        <v/>
      </c>
      <c r="BI51" s="75">
        <f>Results!$B$19+AK51-Results!$D$21</f>
        <v/>
      </c>
      <c r="BJ51" s="75">
        <f>Results!$B$19+AL51-Results!$D$21</f>
        <v/>
      </c>
      <c r="BM51" s="75" t="n">
        <v>56</v>
      </c>
      <c r="BN51" s="75">
        <f>Results!D66</f>
        <v/>
      </c>
      <c r="BO51" s="75">
        <f>Results!E66</f>
        <v/>
      </c>
      <c r="BP51" s="75">
        <f>Results!F66</f>
        <v/>
      </c>
      <c r="BS51" s="75" t="n">
        <v>56</v>
      </c>
      <c r="BT51" s="75">
        <f>Demand!AU69</f>
        <v/>
      </c>
      <c r="BU51" s="75">
        <f>Demand!AV69</f>
        <v/>
      </c>
      <c r="BV51" s="75">
        <f>Demand!AW69</f>
        <v/>
      </c>
      <c r="BY51" s="75" t="n">
        <v>56</v>
      </c>
      <c r="BZ51" s="75">
        <f>Retailers_Cap!N52</f>
        <v/>
      </c>
      <c r="CA51" s="75">
        <f>Retailers_Cap!O52</f>
        <v/>
      </c>
      <c r="CB51" s="75">
        <f>Retailers_Cap!P52</f>
        <v/>
      </c>
      <c r="CD51" s="75" t="n">
        <v>56</v>
      </c>
      <c r="CE51" s="75">
        <f>IF((BT51-BZ51)&gt;=0,"Dem","Folga")</f>
        <v/>
      </c>
      <c r="CF51" s="75">
        <f>IF((BU51-CA51)&gt;=0,"Dem","Folga")</f>
        <v/>
      </c>
      <c r="CG51" s="75">
        <f>IF((BV51-CB51)&gt;=0,"Dem","Folga")</f>
        <v/>
      </c>
    </row>
    <row r="52">
      <c r="M52" s="75">
        <f>TRUNC((_xlfn.NORM.INV((RAND()),$L$6,$L$7)),2)</f>
        <v/>
      </c>
      <c r="O52" s="75" t="n">
        <v>57</v>
      </c>
      <c r="P52" s="5" t="n">
        <v>178.17</v>
      </c>
      <c r="Q52" s="5" t="n">
        <v>251.15</v>
      </c>
      <c r="R52" s="5" t="n">
        <v>188.46</v>
      </c>
      <c r="W52" s="75">
        <f>TRUNC((_xlfn.NORM.INV((RAND()),$V$6,$V$7)),3)</f>
        <v/>
      </c>
      <c r="Y52" s="75" t="n">
        <v>57</v>
      </c>
      <c r="Z52" s="5" t="n">
        <v>6.816</v>
      </c>
      <c r="AA52" s="5" t="n">
        <v>6.685</v>
      </c>
      <c r="AB52" s="5" t="n">
        <v>6.779</v>
      </c>
      <c r="AG52" s="75">
        <f>TRUNC((_xlfn.NORM.INV((RAND()),$AF$6,$AF$7)),3)</f>
        <v/>
      </c>
      <c r="AI52" s="75" t="n">
        <v>57</v>
      </c>
      <c r="AJ52" s="5" t="n">
        <v>61.562</v>
      </c>
      <c r="AK52" s="5" t="n">
        <v>70.205</v>
      </c>
      <c r="AL52" s="5" t="n">
        <v>52.015</v>
      </c>
      <c r="AR52" s="75" t="n">
        <v>57</v>
      </c>
      <c r="AS52" s="5" t="n">
        <v>14.84641019733664</v>
      </c>
      <c r="AT52" s="5" t="n">
        <v>33.55470764022593</v>
      </c>
      <c r="AU52" s="5" t="n">
        <v>14.98491945261265</v>
      </c>
      <c r="AW52" s="75">
        <f>Z52/Demand!AU70</f>
        <v/>
      </c>
      <c r="AX52" s="75">
        <f>AA52/Demand!AV70</f>
        <v/>
      </c>
      <c r="AY52" s="75">
        <f>AB52/Demand!AW70</f>
        <v/>
      </c>
      <c r="BG52" s="75" t="n">
        <v>57</v>
      </c>
      <c r="BH52" s="75">
        <f>Results!$B$19+AJ52-Results!$D$21</f>
        <v/>
      </c>
      <c r="BI52" s="75">
        <f>Results!$B$19+AK52-Results!$D$21</f>
        <v/>
      </c>
      <c r="BJ52" s="75">
        <f>Results!$B$19+AL52-Results!$D$21</f>
        <v/>
      </c>
      <c r="BM52" s="75" t="n">
        <v>57</v>
      </c>
      <c r="BN52" s="75">
        <f>Results!D67</f>
        <v/>
      </c>
      <c r="BO52" s="75">
        <f>Results!E67</f>
        <v/>
      </c>
      <c r="BP52" s="75">
        <f>Results!F67</f>
        <v/>
      </c>
      <c r="BS52" s="75" t="n">
        <v>57</v>
      </c>
      <c r="BT52" s="75">
        <f>Demand!AU70</f>
        <v/>
      </c>
      <c r="BU52" s="75">
        <f>Demand!AV70</f>
        <v/>
      </c>
      <c r="BV52" s="75">
        <f>Demand!AW70</f>
        <v/>
      </c>
      <c r="BY52" s="75" t="n">
        <v>57</v>
      </c>
      <c r="BZ52" s="75">
        <f>Retailers_Cap!N53</f>
        <v/>
      </c>
      <c r="CA52" s="75">
        <f>Retailers_Cap!O53</f>
        <v/>
      </c>
      <c r="CB52" s="75">
        <f>Retailers_Cap!P53</f>
        <v/>
      </c>
      <c r="CD52" s="75" t="n">
        <v>57</v>
      </c>
      <c r="CE52" s="75">
        <f>IF((BT52-BZ52)&gt;=0,"Dem","Folga")</f>
        <v/>
      </c>
      <c r="CF52" s="75">
        <f>IF((BU52-CA52)&gt;=0,"Dem","Folga")</f>
        <v/>
      </c>
      <c r="CG52" s="75">
        <f>IF((BV52-CB52)&gt;=0,"Dem","Folga")</f>
        <v/>
      </c>
    </row>
    <row r="53">
      <c r="M53" s="75">
        <f>TRUNC((_xlfn.NORM.INV((RAND()),$L$6,$L$7)),2)</f>
        <v/>
      </c>
      <c r="O53" s="75" t="n">
        <v>58</v>
      </c>
      <c r="P53" s="5" t="n">
        <v>211.78</v>
      </c>
      <c r="Q53" s="5" t="n">
        <v>204.95</v>
      </c>
      <c r="R53" s="5" t="n">
        <v>162.32</v>
      </c>
      <c r="W53" s="75">
        <f>TRUNC((_xlfn.NORM.INV((RAND()),$V$6,$V$7)),3)</f>
        <v/>
      </c>
      <c r="Y53" s="75" t="n">
        <v>58</v>
      </c>
      <c r="Z53" s="5" t="n">
        <v>6.865</v>
      </c>
      <c r="AA53" s="5" t="n">
        <v>6.71</v>
      </c>
      <c r="AB53" s="5" t="n">
        <v>6.894</v>
      </c>
      <c r="AG53" s="75">
        <f>TRUNC((_xlfn.NORM.INV((RAND()),$AF$6,$AF$7)),3)</f>
        <v/>
      </c>
      <c r="AI53" s="75" t="n">
        <v>58</v>
      </c>
      <c r="AJ53" s="5" t="n">
        <v>48.395</v>
      </c>
      <c r="AK53" s="5" t="n">
        <v>66.886</v>
      </c>
      <c r="AL53" s="5" t="n">
        <v>47.992</v>
      </c>
      <c r="AR53" s="75" t="n">
        <v>58</v>
      </c>
      <c r="AS53" s="5" t="n">
        <v>0</v>
      </c>
      <c r="AT53" s="5" t="n">
        <v>3.674936933794036</v>
      </c>
      <c r="AU53" s="5" t="n">
        <v>14.12159173423713</v>
      </c>
      <c r="AW53" s="75">
        <f>Z53/Demand!AU71</f>
        <v/>
      </c>
      <c r="AX53" s="75">
        <f>AA53/Demand!AV71</f>
        <v/>
      </c>
      <c r="AY53" s="75">
        <f>AB53/Demand!AW71</f>
        <v/>
      </c>
      <c r="BG53" s="75" t="n">
        <v>58</v>
      </c>
      <c r="BH53" s="75">
        <f>Results!$B$19+AJ53-Results!$D$21</f>
        <v/>
      </c>
      <c r="BI53" s="75">
        <f>Results!$B$19+AK53-Results!$D$21</f>
        <v/>
      </c>
      <c r="BJ53" s="75">
        <f>Results!$B$19+AL53-Results!$D$21</f>
        <v/>
      </c>
      <c r="BM53" s="75" t="n">
        <v>58</v>
      </c>
      <c r="BN53" s="75">
        <f>Results!D68</f>
        <v/>
      </c>
      <c r="BO53" s="75">
        <f>Results!E68</f>
        <v/>
      </c>
      <c r="BP53" s="75">
        <f>Results!F68</f>
        <v/>
      </c>
      <c r="BS53" s="75" t="n">
        <v>58</v>
      </c>
      <c r="BT53" s="75">
        <f>Demand!AU71</f>
        <v/>
      </c>
      <c r="BU53" s="75">
        <f>Demand!AV71</f>
        <v/>
      </c>
      <c r="BV53" s="75">
        <f>Demand!AW71</f>
        <v/>
      </c>
      <c r="BY53" s="75" t="n">
        <v>58</v>
      </c>
      <c r="BZ53" s="75">
        <f>Retailers_Cap!N54</f>
        <v/>
      </c>
      <c r="CA53" s="75">
        <f>Retailers_Cap!O54</f>
        <v/>
      </c>
      <c r="CB53" s="75">
        <f>Retailers_Cap!P54</f>
        <v/>
      </c>
      <c r="CD53" s="75" t="n">
        <v>58</v>
      </c>
      <c r="CE53" s="75">
        <f>IF((BT53-BZ53)&gt;=0,"Dem","Folga")</f>
        <v/>
      </c>
      <c r="CF53" s="75">
        <f>IF((BU53-CA53)&gt;=0,"Dem","Folga")</f>
        <v/>
      </c>
      <c r="CG53" s="75">
        <f>IF((BV53-CB53)&gt;=0,"Dem","Folga")</f>
        <v/>
      </c>
    </row>
    <row r="54">
      <c r="M54" s="75">
        <f>TRUNC((_xlfn.NORM.INV((RAND()),$L$6,$L$7)),2)</f>
        <v/>
      </c>
      <c r="O54" s="75" t="n">
        <v>59</v>
      </c>
      <c r="P54" s="5" t="n">
        <v>195.52</v>
      </c>
      <c r="Q54" s="5" t="n">
        <v>256.36</v>
      </c>
      <c r="R54" s="5" t="n">
        <v>237.06</v>
      </c>
      <c r="W54" s="75">
        <f>TRUNC((_xlfn.NORM.INV((RAND()),$V$6,$V$7)),3)</f>
        <v/>
      </c>
      <c r="Y54" s="75" t="n">
        <v>59</v>
      </c>
      <c r="Z54" s="5" t="n">
        <v>6.62</v>
      </c>
      <c r="AA54" s="5" t="n">
        <v>6.736</v>
      </c>
      <c r="AB54" s="5" t="n">
        <v>6.709</v>
      </c>
      <c r="AG54" s="75">
        <f>TRUNC((_xlfn.NORM.INV((RAND()),$AF$6,$AF$7)),3)</f>
        <v/>
      </c>
      <c r="AI54" s="75" t="n">
        <v>59</v>
      </c>
      <c r="AJ54" s="5" t="n">
        <v>61.747</v>
      </c>
      <c r="AK54" s="5" t="n">
        <v>51.345</v>
      </c>
      <c r="AL54" s="5" t="n">
        <v>59.566</v>
      </c>
      <c r="AR54" s="75" t="n">
        <v>59</v>
      </c>
      <c r="AS54" s="5" t="n">
        <v>0</v>
      </c>
      <c r="AT54" s="5" t="n">
        <v>0</v>
      </c>
      <c r="AU54" s="5" t="n">
        <v>0</v>
      </c>
      <c r="AW54" s="75">
        <f>Z54/Demand!AU72</f>
        <v/>
      </c>
      <c r="AX54" s="75">
        <f>AA54/Demand!AV72</f>
        <v/>
      </c>
      <c r="AY54" s="75">
        <f>AB54/Demand!AW72</f>
        <v/>
      </c>
      <c r="BG54" s="75" t="n">
        <v>59</v>
      </c>
      <c r="BH54" s="75">
        <f>Results!$B$19+AJ54-Results!$D$21</f>
        <v/>
      </c>
      <c r="BI54" s="75">
        <f>Results!$B$19+AK54-Results!$D$21</f>
        <v/>
      </c>
      <c r="BJ54" s="75">
        <f>Results!$B$19+AL54-Results!$D$21</f>
        <v/>
      </c>
      <c r="BM54" s="75" t="n">
        <v>59</v>
      </c>
      <c r="BN54" s="75">
        <f>Results!D69</f>
        <v/>
      </c>
      <c r="BO54" s="75">
        <f>Results!E69</f>
        <v/>
      </c>
      <c r="BP54" s="75">
        <f>Results!F69</f>
        <v/>
      </c>
      <c r="BS54" s="75" t="n">
        <v>59</v>
      </c>
      <c r="BT54" s="75">
        <f>Demand!AU72</f>
        <v/>
      </c>
      <c r="BU54" s="75">
        <f>Demand!AV72</f>
        <v/>
      </c>
      <c r="BV54" s="75">
        <f>Demand!AW72</f>
        <v/>
      </c>
      <c r="BY54" s="75" t="n">
        <v>59</v>
      </c>
      <c r="BZ54" s="75">
        <f>Retailers_Cap!N55</f>
        <v/>
      </c>
      <c r="CA54" s="75">
        <f>Retailers_Cap!O55</f>
        <v/>
      </c>
      <c r="CB54" s="75">
        <f>Retailers_Cap!P55</f>
        <v/>
      </c>
      <c r="CD54" s="75" t="n">
        <v>59</v>
      </c>
      <c r="CE54" s="75">
        <f>IF((BT54-BZ54)&gt;=0,"Dem","Folga")</f>
        <v/>
      </c>
      <c r="CF54" s="75">
        <f>IF((BU54-CA54)&gt;=0,"Dem","Folga")</f>
        <v/>
      </c>
      <c r="CG54" s="75">
        <f>IF((BV54-CB54)&gt;=0,"Dem","Folga")</f>
        <v/>
      </c>
    </row>
    <row r="55">
      <c r="M55" s="75">
        <f>TRUNC((_xlfn.NORM.INV((RAND()),$L$6,$L$7)),2)</f>
        <v/>
      </c>
      <c r="O55" s="75" t="n">
        <v>60</v>
      </c>
      <c r="P55" s="5" t="n">
        <v>235.93</v>
      </c>
      <c r="Q55" s="5" t="n">
        <v>141.85</v>
      </c>
      <c r="R55" s="5" t="n">
        <v>157.72</v>
      </c>
      <c r="W55" s="75">
        <f>TRUNC((_xlfn.NORM.INV((RAND()),$V$6,$V$7)),3)</f>
        <v/>
      </c>
      <c r="Y55" s="75" t="n">
        <v>60</v>
      </c>
      <c r="Z55" s="5" t="n">
        <v>6.758</v>
      </c>
      <c r="AA55" s="5" t="n">
        <v>6.81</v>
      </c>
      <c r="AB55" s="5" t="n">
        <v>6.735</v>
      </c>
      <c r="AG55" s="75">
        <f>TRUNC((_xlfn.NORM.INV((RAND()),$AF$6,$AF$7)),3)</f>
        <v/>
      </c>
      <c r="AI55" s="75" t="n">
        <v>60</v>
      </c>
      <c r="AJ55" s="5" t="n">
        <v>62.542</v>
      </c>
      <c r="AK55" s="5" t="n">
        <v>26.582</v>
      </c>
      <c r="AL55" s="5" t="n">
        <v>46.146</v>
      </c>
      <c r="AR55" s="75" t="n">
        <v>60</v>
      </c>
      <c r="AS55" s="5" t="n">
        <v>0</v>
      </c>
      <c r="AT55" s="5" t="n">
        <v>0</v>
      </c>
      <c r="AU55" s="5" t="n">
        <v>0</v>
      </c>
      <c r="AW55" s="75">
        <f>Z55/Demand!AU73</f>
        <v/>
      </c>
      <c r="AX55" s="75">
        <f>AA55/Demand!AV73</f>
        <v/>
      </c>
      <c r="AY55" s="75">
        <f>AB55/Demand!AW73</f>
        <v/>
      </c>
      <c r="BG55" s="75" t="n">
        <v>60</v>
      </c>
      <c r="BH55" s="75">
        <f>Results!$B$19+AJ55-Results!$D$21</f>
        <v/>
      </c>
      <c r="BI55" s="75">
        <f>Results!$B$19+AK55-Results!$D$21</f>
        <v/>
      </c>
      <c r="BJ55" s="75">
        <f>Results!$B$19+AL55-Results!$D$21</f>
        <v/>
      </c>
      <c r="BM55" s="75" t="n">
        <v>60</v>
      </c>
      <c r="BN55" s="75">
        <f>Results!D70</f>
        <v/>
      </c>
      <c r="BO55" s="75">
        <f>Results!E70</f>
        <v/>
      </c>
      <c r="BP55" s="75">
        <f>Results!F70</f>
        <v/>
      </c>
      <c r="BS55" s="75" t="n">
        <v>60</v>
      </c>
      <c r="BT55" s="75">
        <f>Demand!AU73</f>
        <v/>
      </c>
      <c r="BU55" s="75">
        <f>Demand!AV73</f>
        <v/>
      </c>
      <c r="BV55" s="75">
        <f>Demand!AW73</f>
        <v/>
      </c>
      <c r="BY55" s="75" t="n">
        <v>60</v>
      </c>
      <c r="BZ55" s="75">
        <f>Retailers_Cap!N56</f>
        <v/>
      </c>
      <c r="CA55" s="75">
        <f>Retailers_Cap!O56</f>
        <v/>
      </c>
      <c r="CB55" s="75">
        <f>Retailers_Cap!P56</f>
        <v/>
      </c>
      <c r="CD55" s="75" t="n">
        <v>60</v>
      </c>
      <c r="CE55" s="75">
        <f>IF((BT55-BZ55)&gt;=0,"Dem","Folga")</f>
        <v/>
      </c>
      <c r="CF55" s="75">
        <f>IF((BU55-CA55)&gt;=0,"Dem","Folga")</f>
        <v/>
      </c>
      <c r="CG55" s="75">
        <f>IF((BV55-CB55)&gt;=0,"Dem","Folga")</f>
        <v/>
      </c>
    </row>
    <row r="56">
      <c r="M56" s="75">
        <f>TRUNC((_xlfn.NORM.INV((RAND()),$L$6,$L$7)),2)</f>
        <v/>
      </c>
      <c r="O56" s="75" t="n">
        <v>61</v>
      </c>
      <c r="P56" s="5" t="n">
        <v>212.68</v>
      </c>
      <c r="Q56" s="5" t="n">
        <v>193.64</v>
      </c>
      <c r="R56" s="5" t="n">
        <v>169.33</v>
      </c>
      <c r="W56" s="75">
        <f>TRUNC((_xlfn.NORM.INV((RAND()),$V$6,$V$7)),3)</f>
        <v/>
      </c>
      <c r="Y56" s="75" t="n">
        <v>61</v>
      </c>
      <c r="Z56" s="5" t="n">
        <v>6.703</v>
      </c>
      <c r="AA56" s="5" t="n">
        <v>6.71</v>
      </c>
      <c r="AB56" s="5" t="n">
        <v>6.637</v>
      </c>
      <c r="AG56" s="75">
        <f>TRUNC((_xlfn.NORM.INV((RAND()),$AF$6,$AF$7)),3)</f>
        <v/>
      </c>
      <c r="AI56" s="75" t="n">
        <v>61</v>
      </c>
      <c r="AJ56" s="5" t="n">
        <v>74.661</v>
      </c>
      <c r="AK56" s="5" t="n">
        <v>87.357</v>
      </c>
      <c r="AL56" s="5" t="n">
        <v>59.856</v>
      </c>
      <c r="AR56" s="75" t="n">
        <v>61</v>
      </c>
      <c r="AS56" s="5" t="n">
        <v>4.547912183780533</v>
      </c>
      <c r="AT56" s="5" t="n">
        <v>13.07245271709981</v>
      </c>
      <c r="AU56" s="5" t="n">
        <v>26.35899110811429</v>
      </c>
      <c r="AW56" s="75">
        <f>Z56/Demand!AU74</f>
        <v/>
      </c>
      <c r="AX56" s="75">
        <f>AA56/Demand!AV74</f>
        <v/>
      </c>
      <c r="AY56" s="75">
        <f>AB56/Demand!AW74</f>
        <v/>
      </c>
      <c r="BG56" s="75" t="n">
        <v>61</v>
      </c>
      <c r="BH56" s="75">
        <f>Results!$B$19+AJ56-Results!$D$21</f>
        <v/>
      </c>
      <c r="BI56" s="75">
        <f>Results!$B$19+AK56-Results!$D$21</f>
        <v/>
      </c>
      <c r="BJ56" s="75">
        <f>Results!$B$19+AL56-Results!$D$21</f>
        <v/>
      </c>
      <c r="BM56" s="75" t="n">
        <v>61</v>
      </c>
      <c r="BN56" s="75">
        <f>Results!D71</f>
        <v/>
      </c>
      <c r="BO56" s="75">
        <f>Results!E71</f>
        <v/>
      </c>
      <c r="BP56" s="75">
        <f>Results!F71</f>
        <v/>
      </c>
      <c r="BS56" s="75" t="n">
        <v>61</v>
      </c>
      <c r="BT56" s="75">
        <f>Demand!AU74</f>
        <v/>
      </c>
      <c r="BU56" s="75">
        <f>Demand!AV74</f>
        <v/>
      </c>
      <c r="BV56" s="75">
        <f>Demand!AW74</f>
        <v/>
      </c>
      <c r="BY56" s="75" t="n">
        <v>61</v>
      </c>
      <c r="BZ56" s="75">
        <f>Retailers_Cap!N57</f>
        <v/>
      </c>
      <c r="CA56" s="75">
        <f>Retailers_Cap!O57</f>
        <v/>
      </c>
      <c r="CB56" s="75">
        <f>Retailers_Cap!P57</f>
        <v/>
      </c>
      <c r="CD56" s="75" t="n">
        <v>61</v>
      </c>
      <c r="CE56" s="75">
        <f>IF((BT56-BZ56)&gt;=0,"Dem","Folga")</f>
        <v/>
      </c>
      <c r="CF56" s="75">
        <f>IF((BU56-CA56)&gt;=0,"Dem","Folga")</f>
        <v/>
      </c>
      <c r="CG56" s="75">
        <f>IF((BV56-CB56)&gt;=0,"Dem","Folga")</f>
        <v/>
      </c>
    </row>
    <row r="57">
      <c r="M57" s="75">
        <f>TRUNC((_xlfn.NORM.INV((RAND()),$L$6,$L$7)),2)</f>
        <v/>
      </c>
      <c r="O57" s="75" t="n">
        <v>62</v>
      </c>
      <c r="P57" s="5" t="n">
        <v>153.84</v>
      </c>
      <c r="Q57" s="5" t="n">
        <v>147.73</v>
      </c>
      <c r="R57" s="5" t="n">
        <v>220.09</v>
      </c>
      <c r="W57" s="75">
        <f>TRUNC((_xlfn.NORM.INV((RAND()),$V$6,$V$7)),3)</f>
        <v/>
      </c>
      <c r="Y57" s="75" t="n">
        <v>62</v>
      </c>
      <c r="Z57" s="5" t="n">
        <v>6.724</v>
      </c>
      <c r="AA57" s="5" t="n">
        <v>6.772</v>
      </c>
      <c r="AB57" s="5" t="n">
        <v>6.766</v>
      </c>
      <c r="AG57" s="75">
        <f>TRUNC((_xlfn.NORM.INV((RAND()),$AF$6,$AF$7)),3)</f>
        <v/>
      </c>
      <c r="AI57" s="75" t="n">
        <v>62</v>
      </c>
      <c r="AJ57" s="5" t="n">
        <v>65.672</v>
      </c>
      <c r="AK57" s="5" t="n">
        <v>61.337</v>
      </c>
      <c r="AL57" s="5" t="n">
        <v>64.488</v>
      </c>
      <c r="AR57" s="75" t="n">
        <v>62</v>
      </c>
      <c r="AS57" s="5" t="n">
        <v>0</v>
      </c>
      <c r="AT57" s="5" t="n">
        <v>0</v>
      </c>
      <c r="AU57" s="5" t="n">
        <v>0</v>
      </c>
      <c r="AW57" s="75">
        <f>Z57/Demand!AU75</f>
        <v/>
      </c>
      <c r="AX57" s="75">
        <f>AA57/Demand!AV75</f>
        <v/>
      </c>
      <c r="AY57" s="75">
        <f>AB57/Demand!AW75</f>
        <v/>
      </c>
      <c r="BG57" s="75" t="n">
        <v>62</v>
      </c>
      <c r="BH57" s="75">
        <f>Results!$B$19+AJ57-Results!$D$21</f>
        <v/>
      </c>
      <c r="BI57" s="75">
        <f>Results!$B$19+AK57-Results!$D$21</f>
        <v/>
      </c>
      <c r="BJ57" s="75">
        <f>Results!$B$19+AL57-Results!$D$21</f>
        <v/>
      </c>
      <c r="BM57" s="75" t="n">
        <v>62</v>
      </c>
      <c r="BN57" s="75">
        <f>Results!D72</f>
        <v/>
      </c>
      <c r="BO57" s="75">
        <f>Results!E72</f>
        <v/>
      </c>
      <c r="BP57" s="75">
        <f>Results!F72</f>
        <v/>
      </c>
      <c r="BS57" s="75" t="n">
        <v>62</v>
      </c>
      <c r="BT57" s="75">
        <f>Demand!AU75</f>
        <v/>
      </c>
      <c r="BU57" s="75">
        <f>Demand!AV75</f>
        <v/>
      </c>
      <c r="BV57" s="75">
        <f>Demand!AW75</f>
        <v/>
      </c>
      <c r="BY57" s="75" t="n">
        <v>62</v>
      </c>
      <c r="BZ57" s="75">
        <f>Retailers_Cap!N58</f>
        <v/>
      </c>
      <c r="CA57" s="75">
        <f>Retailers_Cap!O58</f>
        <v/>
      </c>
      <c r="CB57" s="75">
        <f>Retailers_Cap!P58</f>
        <v/>
      </c>
      <c r="CD57" s="75" t="n">
        <v>62</v>
      </c>
      <c r="CE57" s="75">
        <f>IF((BT57-BZ57)&gt;=0,"Dem","Folga")</f>
        <v/>
      </c>
      <c r="CF57" s="75">
        <f>IF((BU57-CA57)&gt;=0,"Dem","Folga")</f>
        <v/>
      </c>
      <c r="CG57" s="75">
        <f>IF((BV57-CB57)&gt;=0,"Dem","Folga")</f>
        <v/>
      </c>
    </row>
    <row r="58">
      <c r="M58" s="75">
        <f>TRUNC((_xlfn.NORM.INV((RAND()),$L$6,$L$7)),2)</f>
        <v/>
      </c>
      <c r="O58" s="75" t="n">
        <v>63</v>
      </c>
      <c r="P58" s="5" t="n">
        <v>179.88</v>
      </c>
      <c r="Q58" s="5" t="n">
        <v>198.66</v>
      </c>
      <c r="R58" s="5" t="n">
        <v>204.58</v>
      </c>
      <c r="W58" s="75">
        <f>TRUNC((_xlfn.NORM.INV((RAND()),$V$6,$V$7)),3)</f>
        <v/>
      </c>
      <c r="Y58" s="75" t="n">
        <v>63</v>
      </c>
      <c r="Z58" s="5" t="n">
        <v>6.819</v>
      </c>
      <c r="AA58" s="5" t="n">
        <v>6.739</v>
      </c>
      <c r="AB58" s="5" t="n">
        <v>6.729</v>
      </c>
      <c r="AG58" s="75">
        <f>TRUNC((_xlfn.NORM.INV((RAND()),$AF$6,$AF$7)),3)</f>
        <v/>
      </c>
      <c r="AI58" s="75" t="n">
        <v>63</v>
      </c>
      <c r="AJ58" s="5" t="n">
        <v>62.047</v>
      </c>
      <c r="AK58" s="5" t="n">
        <v>83.80800000000001</v>
      </c>
      <c r="AL58" s="5" t="n">
        <v>61.121</v>
      </c>
      <c r="AR58" s="75" t="n">
        <v>63</v>
      </c>
      <c r="AS58" s="5" t="n">
        <v>0</v>
      </c>
      <c r="AT58" s="5" t="n">
        <v>0</v>
      </c>
      <c r="AU58" s="5" t="n">
        <v>0</v>
      </c>
      <c r="AW58" s="75">
        <f>Z58/Demand!AU76</f>
        <v/>
      </c>
      <c r="AX58" s="75">
        <f>AA58/Demand!AV76</f>
        <v/>
      </c>
      <c r="AY58" s="75">
        <f>AB58/Demand!AW76</f>
        <v/>
      </c>
      <c r="BG58" s="75" t="n">
        <v>63</v>
      </c>
      <c r="BH58" s="75">
        <f>Results!$B$19+AJ58-Results!$D$21</f>
        <v/>
      </c>
      <c r="BI58" s="75">
        <f>Results!$B$19+AK58-Results!$D$21</f>
        <v/>
      </c>
      <c r="BJ58" s="75">
        <f>Results!$B$19+AL58-Results!$D$21</f>
        <v/>
      </c>
      <c r="BM58" s="75" t="n">
        <v>63</v>
      </c>
      <c r="BN58" s="75">
        <f>Results!D73</f>
        <v/>
      </c>
      <c r="BO58" s="75">
        <f>Results!E73</f>
        <v/>
      </c>
      <c r="BP58" s="75">
        <f>Results!F73</f>
        <v/>
      </c>
      <c r="BS58" s="75" t="n">
        <v>63</v>
      </c>
      <c r="BT58" s="75">
        <f>Demand!AU76</f>
        <v/>
      </c>
      <c r="BU58" s="75">
        <f>Demand!AV76</f>
        <v/>
      </c>
      <c r="BV58" s="75">
        <f>Demand!AW76</f>
        <v/>
      </c>
      <c r="BY58" s="75" t="n">
        <v>63</v>
      </c>
      <c r="BZ58" s="75">
        <f>Retailers_Cap!N59</f>
        <v/>
      </c>
      <c r="CA58" s="75">
        <f>Retailers_Cap!O59</f>
        <v/>
      </c>
      <c r="CB58" s="75">
        <f>Retailers_Cap!P59</f>
        <v/>
      </c>
      <c r="CD58" s="75" t="n">
        <v>63</v>
      </c>
      <c r="CE58" s="75">
        <f>IF((BT58-BZ58)&gt;=0,"Dem","Folga")</f>
        <v/>
      </c>
      <c r="CF58" s="75">
        <f>IF((BU58-CA58)&gt;=0,"Dem","Folga")</f>
        <v/>
      </c>
      <c r="CG58" s="75">
        <f>IF((BV58-CB58)&gt;=0,"Dem","Folga")</f>
        <v/>
      </c>
    </row>
    <row r="59">
      <c r="M59" s="75">
        <f>TRUNC((_xlfn.NORM.INV((RAND()),$L$6,$L$7)),2)</f>
        <v/>
      </c>
      <c r="O59" s="75" t="n">
        <v>64</v>
      </c>
      <c r="P59" s="5" t="n">
        <v>134.34</v>
      </c>
      <c r="Q59" s="5" t="n">
        <v>194.38</v>
      </c>
      <c r="R59" s="5" t="n">
        <v>218.67</v>
      </c>
      <c r="W59" s="75">
        <f>TRUNC((_xlfn.NORM.INV((RAND()),$V$6,$V$7)),3)</f>
        <v/>
      </c>
      <c r="Y59" s="75" t="n">
        <v>64</v>
      </c>
      <c r="Z59" s="5" t="n">
        <v>6.752</v>
      </c>
      <c r="AA59" s="5" t="n">
        <v>6.616</v>
      </c>
      <c r="AB59" s="5" t="n">
        <v>6.752</v>
      </c>
      <c r="AG59" s="75">
        <f>TRUNC((_xlfn.NORM.INV((RAND()),$AF$6,$AF$7)),3)</f>
        <v/>
      </c>
      <c r="AI59" s="75" t="n">
        <v>64</v>
      </c>
      <c r="AJ59" s="5" t="n">
        <v>68.32899999999999</v>
      </c>
      <c r="AK59" s="5" t="n">
        <v>45.112</v>
      </c>
      <c r="AL59" s="5" t="n">
        <v>50.708</v>
      </c>
      <c r="AR59" s="75" t="n">
        <v>64</v>
      </c>
      <c r="AS59" s="5" t="n">
        <v>0</v>
      </c>
      <c r="AT59" s="5" t="n">
        <v>19.4853680968678</v>
      </c>
      <c r="AU59" s="5" t="n">
        <v>0</v>
      </c>
      <c r="AW59" s="75">
        <f>Z59/Demand!AU77</f>
        <v/>
      </c>
      <c r="AX59" s="75">
        <f>AA59/Demand!AV77</f>
        <v/>
      </c>
      <c r="AY59" s="75">
        <f>AB59/Demand!AW77</f>
        <v/>
      </c>
      <c r="BG59" s="75" t="n">
        <v>64</v>
      </c>
      <c r="BH59" s="75">
        <f>Results!$B$19+AJ59-Results!$D$21</f>
        <v/>
      </c>
      <c r="BI59" s="75">
        <f>Results!$B$19+AK59-Results!$D$21</f>
        <v/>
      </c>
      <c r="BJ59" s="75">
        <f>Results!$B$19+AL59-Results!$D$21</f>
        <v/>
      </c>
      <c r="BM59" s="75" t="n">
        <v>64</v>
      </c>
      <c r="BN59" s="75">
        <f>Results!D74</f>
        <v/>
      </c>
      <c r="BO59" s="75">
        <f>Results!E74</f>
        <v/>
      </c>
      <c r="BP59" s="75">
        <f>Results!F74</f>
        <v/>
      </c>
      <c r="BS59" s="75" t="n">
        <v>64</v>
      </c>
      <c r="BT59" s="75">
        <f>Demand!AU77</f>
        <v/>
      </c>
      <c r="BU59" s="75">
        <f>Demand!AV77</f>
        <v/>
      </c>
      <c r="BV59" s="75">
        <f>Demand!AW77</f>
        <v/>
      </c>
      <c r="BY59" s="75" t="n">
        <v>64</v>
      </c>
      <c r="BZ59" s="75">
        <f>Retailers_Cap!N60</f>
        <v/>
      </c>
      <c r="CA59" s="75">
        <f>Retailers_Cap!O60</f>
        <v/>
      </c>
      <c r="CB59" s="75">
        <f>Retailers_Cap!P60</f>
        <v/>
      </c>
      <c r="CD59" s="75" t="n">
        <v>64</v>
      </c>
      <c r="CE59" s="75">
        <f>IF((BT59-BZ59)&gt;=0,"Dem","Folga")</f>
        <v/>
      </c>
      <c r="CF59" s="75">
        <f>IF((BU59-CA59)&gt;=0,"Dem","Folga")</f>
        <v/>
      </c>
      <c r="CG59" s="75">
        <f>IF((BV59-CB59)&gt;=0,"Dem","Folga")</f>
        <v/>
      </c>
    </row>
    <row r="60">
      <c r="M60" s="75">
        <f>TRUNC((_xlfn.NORM.INV((RAND()),$L$6,$L$7)),2)</f>
        <v/>
      </c>
      <c r="O60" s="75" t="n">
        <v>65</v>
      </c>
      <c r="P60" s="5" t="n">
        <v>233.23</v>
      </c>
      <c r="Q60" s="5" t="n">
        <v>227.12</v>
      </c>
      <c r="R60" s="5" t="n">
        <v>240.03</v>
      </c>
      <c r="W60" s="75">
        <f>TRUNC((_xlfn.NORM.INV((RAND()),$V$6,$V$7)),3)</f>
        <v/>
      </c>
      <c r="Y60" s="75" t="n">
        <v>65</v>
      </c>
      <c r="Z60" s="5" t="n">
        <v>6.828</v>
      </c>
      <c r="AA60" s="5" t="n">
        <v>6.637</v>
      </c>
      <c r="AB60" s="5" t="n">
        <v>6.713</v>
      </c>
      <c r="AG60" s="75">
        <f>TRUNC((_xlfn.NORM.INV((RAND()),$AF$6,$AF$7)),3)</f>
        <v/>
      </c>
      <c r="AI60" s="75" t="n">
        <v>65</v>
      </c>
      <c r="AJ60" s="5" t="n">
        <v>63.759</v>
      </c>
      <c r="AK60" s="5" t="n">
        <v>30.786</v>
      </c>
      <c r="AL60" s="5" t="n">
        <v>44.338</v>
      </c>
      <c r="AR60" s="75" t="n">
        <v>65</v>
      </c>
      <c r="AS60" s="5" t="n">
        <v>0</v>
      </c>
      <c r="AT60" s="5" t="n">
        <v>0</v>
      </c>
      <c r="AU60" s="5" t="n">
        <v>0</v>
      </c>
      <c r="AW60" s="75">
        <f>Z60/Demand!AU78</f>
        <v/>
      </c>
      <c r="AX60" s="75">
        <f>AA60/Demand!AV78</f>
        <v/>
      </c>
      <c r="AY60" s="75">
        <f>AB60/Demand!AW78</f>
        <v/>
      </c>
      <c r="BG60" s="75" t="n">
        <v>65</v>
      </c>
      <c r="BH60" s="75">
        <f>Results!$B$19+AJ60-Results!$D$21</f>
        <v/>
      </c>
      <c r="BI60" s="75">
        <f>Results!$B$19+AK60-Results!$D$21</f>
        <v/>
      </c>
      <c r="BJ60" s="75">
        <f>Results!$B$19+AL60-Results!$D$21</f>
        <v/>
      </c>
      <c r="BM60" s="75" t="n">
        <v>65</v>
      </c>
      <c r="BN60" s="75">
        <f>Results!D75</f>
        <v/>
      </c>
      <c r="BO60" s="75">
        <f>Results!E75</f>
        <v/>
      </c>
      <c r="BP60" s="75">
        <f>Results!F75</f>
        <v/>
      </c>
      <c r="BS60" s="75" t="n">
        <v>65</v>
      </c>
      <c r="BT60" s="75">
        <f>Demand!AU78</f>
        <v/>
      </c>
      <c r="BU60" s="75">
        <f>Demand!AV78</f>
        <v/>
      </c>
      <c r="BV60" s="75">
        <f>Demand!AW78</f>
        <v/>
      </c>
      <c r="BY60" s="75" t="n">
        <v>65</v>
      </c>
      <c r="BZ60" s="75">
        <f>Retailers_Cap!N61</f>
        <v/>
      </c>
      <c r="CA60" s="75">
        <f>Retailers_Cap!O61</f>
        <v/>
      </c>
      <c r="CB60" s="75">
        <f>Retailers_Cap!P61</f>
        <v/>
      </c>
      <c r="CD60" s="75" t="n">
        <v>65</v>
      </c>
      <c r="CE60" s="75">
        <f>IF((BT60-BZ60)&gt;=0,"Dem","Folga")</f>
        <v/>
      </c>
      <c r="CF60" s="75">
        <f>IF((BU60-CA60)&gt;=0,"Dem","Folga")</f>
        <v/>
      </c>
      <c r="CG60" s="75">
        <f>IF((BV60-CB60)&gt;=0,"Dem","Folga")</f>
        <v/>
      </c>
    </row>
    <row r="61">
      <c r="M61" s="75">
        <f>TRUNC((_xlfn.NORM.INV((RAND()),$L$6,$L$7)),2)</f>
        <v/>
      </c>
      <c r="O61" s="75" t="n">
        <v>66</v>
      </c>
      <c r="P61" s="5" t="n">
        <v>237.92</v>
      </c>
      <c r="Q61" s="5" t="n">
        <v>199.8</v>
      </c>
      <c r="R61" s="5" t="n">
        <v>136.95</v>
      </c>
      <c r="W61" s="75">
        <f>TRUNC((_xlfn.NORM.INV((RAND()),$V$6,$V$7)),3)</f>
        <v/>
      </c>
      <c r="Y61" s="75" t="n">
        <v>66</v>
      </c>
      <c r="Z61" s="5" t="n">
        <v>6.795</v>
      </c>
      <c r="AA61" s="5" t="n">
        <v>6.687</v>
      </c>
      <c r="AB61" s="5" t="n">
        <v>6.639</v>
      </c>
      <c r="AG61" s="75">
        <f>TRUNC((_xlfn.NORM.INV((RAND()),$AF$6,$AF$7)),3)</f>
        <v/>
      </c>
      <c r="AI61" s="75" t="n">
        <v>66</v>
      </c>
      <c r="AJ61" s="5" t="n">
        <v>74.389</v>
      </c>
      <c r="AK61" s="5" t="n">
        <v>42.252</v>
      </c>
      <c r="AL61" s="5" t="n">
        <v>68.027</v>
      </c>
      <c r="AR61" s="75" t="n">
        <v>66</v>
      </c>
      <c r="AS61" s="5" t="n">
        <v>0</v>
      </c>
      <c r="AT61" s="5" t="n">
        <v>0</v>
      </c>
      <c r="AU61" s="5" t="n">
        <v>8.469519874559609</v>
      </c>
      <c r="AW61" s="75">
        <f>Z61/Demand!AU79</f>
        <v/>
      </c>
      <c r="AX61" s="75">
        <f>AA61/Demand!AV79</f>
        <v/>
      </c>
      <c r="AY61" s="75">
        <f>AB61/Demand!AW79</f>
        <v/>
      </c>
      <c r="BG61" s="75" t="n">
        <v>66</v>
      </c>
      <c r="BH61" s="75">
        <f>Results!$B$19+AJ61-Results!$D$21</f>
        <v/>
      </c>
      <c r="BI61" s="75">
        <f>Results!$B$19+AK61-Results!$D$21</f>
        <v/>
      </c>
      <c r="BJ61" s="75">
        <f>Results!$B$19+AL61-Results!$D$21</f>
        <v/>
      </c>
      <c r="BM61" s="75" t="n">
        <v>66</v>
      </c>
      <c r="BN61" s="75">
        <f>Results!D76</f>
        <v/>
      </c>
      <c r="BO61" s="75">
        <f>Results!E76</f>
        <v/>
      </c>
      <c r="BP61" s="75">
        <f>Results!F76</f>
        <v/>
      </c>
      <c r="BS61" s="75" t="n">
        <v>66</v>
      </c>
      <c r="BT61" s="75">
        <f>Demand!AU79</f>
        <v/>
      </c>
      <c r="BU61" s="75">
        <f>Demand!AV79</f>
        <v/>
      </c>
      <c r="BV61" s="75">
        <f>Demand!AW79</f>
        <v/>
      </c>
      <c r="BY61" s="75" t="n">
        <v>66</v>
      </c>
      <c r="BZ61" s="75">
        <f>Retailers_Cap!N62</f>
        <v/>
      </c>
      <c r="CA61" s="75">
        <f>Retailers_Cap!O62</f>
        <v/>
      </c>
      <c r="CB61" s="75">
        <f>Retailers_Cap!P62</f>
        <v/>
      </c>
      <c r="CD61" s="75" t="n">
        <v>66</v>
      </c>
      <c r="CE61" s="75">
        <f>IF((BT61-BZ61)&gt;=0,"Dem","Folga")</f>
        <v/>
      </c>
      <c r="CF61" s="75">
        <f>IF((BU61-CA61)&gt;=0,"Dem","Folga")</f>
        <v/>
      </c>
      <c r="CG61" s="75">
        <f>IF((BV61-CB61)&gt;=0,"Dem","Folga")</f>
        <v/>
      </c>
    </row>
    <row r="62">
      <c r="M62" s="75">
        <f>TRUNC((_xlfn.NORM.INV((RAND()),$L$6,$L$7)),2)</f>
        <v/>
      </c>
      <c r="O62" s="75" t="n">
        <v>67</v>
      </c>
      <c r="P62" s="5" t="n">
        <v>236.67</v>
      </c>
      <c r="Q62" s="5" t="n">
        <v>235.47</v>
      </c>
      <c r="R62" s="5" t="n">
        <v>191.64</v>
      </c>
      <c r="W62" s="75">
        <f>TRUNC((_xlfn.NORM.INV((RAND()),$V$6,$V$7)),3)</f>
        <v/>
      </c>
      <c r="Y62" s="75" t="n">
        <v>67</v>
      </c>
      <c r="Z62" s="5" t="n">
        <v>6.745</v>
      </c>
      <c r="AA62" s="5" t="n">
        <v>6.866</v>
      </c>
      <c r="AB62" s="5" t="n">
        <v>6.71</v>
      </c>
      <c r="AG62" s="75">
        <f>TRUNC((_xlfn.NORM.INV((RAND()),$AF$6,$AF$7)),3)</f>
        <v/>
      </c>
      <c r="AI62" s="75" t="n">
        <v>67</v>
      </c>
      <c r="AJ62" s="5" t="n">
        <v>75.634</v>
      </c>
      <c r="AK62" s="5" t="n">
        <v>67.55500000000001</v>
      </c>
      <c r="AL62" s="5" t="n">
        <v>51.78</v>
      </c>
      <c r="AR62" s="75" t="n">
        <v>67</v>
      </c>
      <c r="AS62" s="5" t="n">
        <v>0</v>
      </c>
      <c r="AT62" s="5" t="n">
        <v>0</v>
      </c>
      <c r="AU62" s="5" t="n">
        <v>0</v>
      </c>
      <c r="AW62" s="75">
        <f>Z62/Demand!AU80</f>
        <v/>
      </c>
      <c r="AX62" s="75">
        <f>AA62/Demand!AV80</f>
        <v/>
      </c>
      <c r="AY62" s="75">
        <f>AB62/Demand!AW80</f>
        <v/>
      </c>
      <c r="BG62" s="75" t="n">
        <v>67</v>
      </c>
      <c r="BH62" s="75">
        <f>Results!$B$19+AJ62-Results!$D$21</f>
        <v/>
      </c>
      <c r="BI62" s="75">
        <f>Results!$B$19+AK62-Results!$D$21</f>
        <v/>
      </c>
      <c r="BJ62" s="75">
        <f>Results!$B$19+AL62-Results!$D$21</f>
        <v/>
      </c>
      <c r="BM62" s="75" t="n">
        <v>67</v>
      </c>
      <c r="BN62" s="75">
        <f>Results!D77</f>
        <v/>
      </c>
      <c r="BO62" s="75">
        <f>Results!E77</f>
        <v/>
      </c>
      <c r="BP62" s="75">
        <f>Results!F77</f>
        <v/>
      </c>
      <c r="BS62" s="75" t="n">
        <v>67</v>
      </c>
      <c r="BT62" s="75">
        <f>Demand!AU80</f>
        <v/>
      </c>
      <c r="BU62" s="75">
        <f>Demand!AV80</f>
        <v/>
      </c>
      <c r="BV62" s="75">
        <f>Demand!AW80</f>
        <v/>
      </c>
      <c r="BY62" s="75" t="n">
        <v>67</v>
      </c>
      <c r="BZ62" s="75">
        <f>Retailers_Cap!N63</f>
        <v/>
      </c>
      <c r="CA62" s="75">
        <f>Retailers_Cap!O63</f>
        <v/>
      </c>
      <c r="CB62" s="75">
        <f>Retailers_Cap!P63</f>
        <v/>
      </c>
      <c r="CD62" s="75" t="n">
        <v>67</v>
      </c>
      <c r="CE62" s="75">
        <f>IF((BT62-BZ62)&gt;=0,"Dem","Folga")</f>
        <v/>
      </c>
      <c r="CF62" s="75">
        <f>IF((BU62-CA62)&gt;=0,"Dem","Folga")</f>
        <v/>
      </c>
      <c r="CG62" s="75">
        <f>IF((BV62-CB62)&gt;=0,"Dem","Folga")</f>
        <v/>
      </c>
    </row>
    <row r="63">
      <c r="M63" s="75">
        <f>TRUNC((_xlfn.NORM.INV((RAND()),$L$6,$L$7)),2)</f>
        <v/>
      </c>
      <c r="O63" s="75" t="n">
        <v>68</v>
      </c>
      <c r="P63" s="5" t="n">
        <v>185.34</v>
      </c>
      <c r="Q63" s="5" t="n">
        <v>223.95</v>
      </c>
      <c r="R63" s="5" t="n">
        <v>213.36</v>
      </c>
      <c r="W63" s="75">
        <f>TRUNC((_xlfn.NORM.INV((RAND()),$V$6,$V$7)),3)</f>
        <v/>
      </c>
      <c r="Y63" s="75" t="n">
        <v>68</v>
      </c>
      <c r="Z63" s="5" t="n">
        <v>6.714</v>
      </c>
      <c r="AA63" s="5" t="n">
        <v>6.708</v>
      </c>
      <c r="AB63" s="5" t="n">
        <v>6.823</v>
      </c>
      <c r="AG63" s="75">
        <f>TRUNC((_xlfn.NORM.INV((RAND()),$AF$6,$AF$7)),3)</f>
        <v/>
      </c>
      <c r="AI63" s="75" t="n">
        <v>68</v>
      </c>
      <c r="AJ63" s="5" t="n">
        <v>44.333</v>
      </c>
      <c r="AK63" s="5" t="n">
        <v>80.464</v>
      </c>
      <c r="AL63" s="5" t="n">
        <v>68.33499999999999</v>
      </c>
      <c r="AR63" s="75" t="n">
        <v>68</v>
      </c>
      <c r="AS63" s="5" t="n">
        <v>0</v>
      </c>
      <c r="AT63" s="5" t="n">
        <v>0</v>
      </c>
      <c r="AU63" s="5" t="n">
        <v>11.64802275210623</v>
      </c>
      <c r="AW63" s="75">
        <f>Z63/Demand!AU81</f>
        <v/>
      </c>
      <c r="AX63" s="75">
        <f>AA63/Demand!AV81</f>
        <v/>
      </c>
      <c r="AY63" s="75">
        <f>AB63/Demand!AW81</f>
        <v/>
      </c>
      <c r="BG63" s="75" t="n">
        <v>68</v>
      </c>
      <c r="BH63" s="75">
        <f>Results!$B$19+AJ63-Results!$D$21</f>
        <v/>
      </c>
      <c r="BI63" s="75">
        <f>Results!$B$19+AK63-Results!$D$21</f>
        <v/>
      </c>
      <c r="BJ63" s="75">
        <f>Results!$B$19+AL63-Results!$D$21</f>
        <v/>
      </c>
      <c r="BM63" s="75" t="n">
        <v>68</v>
      </c>
      <c r="BN63" s="75">
        <f>Results!D78</f>
        <v/>
      </c>
      <c r="BO63" s="75">
        <f>Results!E78</f>
        <v/>
      </c>
      <c r="BP63" s="75">
        <f>Results!F78</f>
        <v/>
      </c>
      <c r="BS63" s="75" t="n">
        <v>68</v>
      </c>
      <c r="BT63" s="75">
        <f>Demand!AU81</f>
        <v/>
      </c>
      <c r="BU63" s="75">
        <f>Demand!AV81</f>
        <v/>
      </c>
      <c r="BV63" s="75">
        <f>Demand!AW81</f>
        <v/>
      </c>
      <c r="BY63" s="75" t="n">
        <v>68</v>
      </c>
      <c r="BZ63" s="75">
        <f>Retailers_Cap!N64</f>
        <v/>
      </c>
      <c r="CA63" s="75">
        <f>Retailers_Cap!O64</f>
        <v/>
      </c>
      <c r="CB63" s="75">
        <f>Retailers_Cap!P64</f>
        <v/>
      </c>
      <c r="CD63" s="75" t="n">
        <v>68</v>
      </c>
      <c r="CE63" s="75">
        <f>IF((BT63-BZ63)&gt;=0,"Dem","Folga")</f>
        <v/>
      </c>
      <c r="CF63" s="75">
        <f>IF((BU63-CA63)&gt;=0,"Dem","Folga")</f>
        <v/>
      </c>
      <c r="CG63" s="75">
        <f>IF((BV63-CB63)&gt;=0,"Dem","Folga")</f>
        <v/>
      </c>
    </row>
    <row r="64">
      <c r="M64" s="75">
        <f>TRUNC((_xlfn.NORM.INV((RAND()),$L$6,$L$7)),2)</f>
        <v/>
      </c>
      <c r="O64" s="75" t="n">
        <v>69</v>
      </c>
      <c r="P64" s="5" t="n">
        <v>200.56</v>
      </c>
      <c r="Q64" s="5" t="n">
        <v>252.49</v>
      </c>
      <c r="R64" s="5" t="n">
        <v>255.21</v>
      </c>
      <c r="W64" s="75">
        <f>TRUNC((_xlfn.NORM.INV((RAND()),$V$6,$V$7)),3)</f>
        <v/>
      </c>
      <c r="Y64" s="75" t="n">
        <v>69</v>
      </c>
      <c r="Z64" s="5" t="n">
        <v>6.803</v>
      </c>
      <c r="AA64" s="5" t="n">
        <v>6.765</v>
      </c>
      <c r="AB64" s="5" t="n">
        <v>6.627</v>
      </c>
      <c r="AG64" s="75">
        <f>TRUNC((_xlfn.NORM.INV((RAND()),$AF$6,$AF$7)),3)</f>
        <v/>
      </c>
      <c r="AI64" s="75" t="n">
        <v>69</v>
      </c>
      <c r="AJ64" s="5" t="n">
        <v>52.518</v>
      </c>
      <c r="AK64" s="5" t="n">
        <v>46.987</v>
      </c>
      <c r="AL64" s="5" t="n">
        <v>71.907</v>
      </c>
      <c r="AR64" s="75" t="n">
        <v>69</v>
      </c>
      <c r="AS64" s="5" t="n">
        <v>9.339036035577262</v>
      </c>
      <c r="AT64" s="5" t="n">
        <v>0</v>
      </c>
      <c r="AU64" s="5" t="n">
        <v>2.494671411011074</v>
      </c>
      <c r="AW64" s="75">
        <f>Z64/Demand!AU82</f>
        <v/>
      </c>
      <c r="AX64" s="75">
        <f>AA64/Demand!AV82</f>
        <v/>
      </c>
      <c r="AY64" s="75">
        <f>AB64/Demand!AW82</f>
        <v/>
      </c>
      <c r="BG64" s="75" t="n">
        <v>69</v>
      </c>
      <c r="BH64" s="75">
        <f>Results!$B$19+AJ64-Results!$D$21</f>
        <v/>
      </c>
      <c r="BI64" s="75">
        <f>Results!$B$19+AK64-Results!$D$21</f>
        <v/>
      </c>
      <c r="BJ64" s="75">
        <f>Results!$B$19+AL64-Results!$D$21</f>
        <v/>
      </c>
      <c r="BM64" s="75" t="n">
        <v>69</v>
      </c>
      <c r="BN64" s="75">
        <f>Results!D79</f>
        <v/>
      </c>
      <c r="BO64" s="75">
        <f>Results!E79</f>
        <v/>
      </c>
      <c r="BP64" s="75">
        <f>Results!F79</f>
        <v/>
      </c>
      <c r="BS64" s="75" t="n">
        <v>69</v>
      </c>
      <c r="BT64" s="75">
        <f>Demand!AU82</f>
        <v/>
      </c>
      <c r="BU64" s="75">
        <f>Demand!AV82</f>
        <v/>
      </c>
      <c r="BV64" s="75">
        <f>Demand!AW82</f>
        <v/>
      </c>
      <c r="BY64" s="75" t="n">
        <v>69</v>
      </c>
      <c r="BZ64" s="75">
        <f>Retailers_Cap!N65</f>
        <v/>
      </c>
      <c r="CA64" s="75">
        <f>Retailers_Cap!O65</f>
        <v/>
      </c>
      <c r="CB64" s="75">
        <f>Retailers_Cap!P65</f>
        <v/>
      </c>
      <c r="CD64" s="75" t="n">
        <v>69</v>
      </c>
      <c r="CE64" s="75">
        <f>IF((BT64-BZ64)&gt;=0,"Dem","Folga")</f>
        <v/>
      </c>
      <c r="CF64" s="75">
        <f>IF((BU64-CA64)&gt;=0,"Dem","Folga")</f>
        <v/>
      </c>
      <c r="CG64" s="75">
        <f>IF((BV64-CB64)&gt;=0,"Dem","Folga")</f>
        <v/>
      </c>
    </row>
    <row r="65">
      <c r="M65" s="75">
        <f>TRUNC((_xlfn.NORM.INV((RAND()),$L$6,$L$7)),2)</f>
        <v/>
      </c>
      <c r="O65" s="75" t="n">
        <v>70</v>
      </c>
      <c r="P65" s="5" t="n">
        <v>150.04</v>
      </c>
      <c r="Q65" s="5" t="n">
        <v>209.78</v>
      </c>
      <c r="R65" s="5" t="n">
        <v>187.72</v>
      </c>
      <c r="W65" s="75">
        <f>TRUNC((_xlfn.NORM.INV((RAND()),$V$6,$V$7)),3)</f>
        <v/>
      </c>
      <c r="Y65" s="75" t="n">
        <v>70</v>
      </c>
      <c r="Z65" s="5" t="n">
        <v>6.694</v>
      </c>
      <c r="AA65" s="5" t="n">
        <v>6.787</v>
      </c>
      <c r="AB65" s="5" t="n">
        <v>6.677</v>
      </c>
      <c r="AG65" s="75">
        <f>TRUNC((_xlfn.NORM.INV((RAND()),$AF$6,$AF$7)),3)</f>
        <v/>
      </c>
      <c r="AI65" s="75" t="n">
        <v>70</v>
      </c>
      <c r="AJ65" s="5" t="n">
        <v>66.559</v>
      </c>
      <c r="AK65" s="5" t="n">
        <v>57.061</v>
      </c>
      <c r="AL65" s="5" t="n">
        <v>55.862</v>
      </c>
      <c r="AR65" s="75" t="n">
        <v>70</v>
      </c>
      <c r="AS65" s="5" t="n">
        <v>0</v>
      </c>
      <c r="AT65" s="5" t="n">
        <v>0</v>
      </c>
      <c r="AU65" s="5" t="n">
        <v>0</v>
      </c>
      <c r="AW65" s="75">
        <f>Z65/Demand!AU83</f>
        <v/>
      </c>
      <c r="AX65" s="75">
        <f>AA65/Demand!AV83</f>
        <v/>
      </c>
      <c r="AY65" s="75">
        <f>AB65/Demand!AW83</f>
        <v/>
      </c>
      <c r="BG65" s="75" t="n">
        <v>70</v>
      </c>
      <c r="BH65" s="75">
        <f>Results!$B$19+AJ65-Results!$D$21</f>
        <v/>
      </c>
      <c r="BI65" s="75">
        <f>Results!$B$19+AK65-Results!$D$21</f>
        <v/>
      </c>
      <c r="BJ65" s="75">
        <f>Results!$B$19+AL65-Results!$D$21</f>
        <v/>
      </c>
      <c r="BM65" s="75" t="n">
        <v>70</v>
      </c>
      <c r="BN65" s="75">
        <f>Results!D80</f>
        <v/>
      </c>
      <c r="BO65" s="75">
        <f>Results!E80</f>
        <v/>
      </c>
      <c r="BP65" s="75">
        <f>Results!F80</f>
        <v/>
      </c>
      <c r="BS65" s="75" t="n">
        <v>70</v>
      </c>
      <c r="BT65" s="75">
        <f>Demand!AU83</f>
        <v/>
      </c>
      <c r="BU65" s="75">
        <f>Demand!AV83</f>
        <v/>
      </c>
      <c r="BV65" s="75">
        <f>Demand!AW83</f>
        <v/>
      </c>
      <c r="BY65" s="75" t="n">
        <v>70</v>
      </c>
      <c r="BZ65" s="75">
        <f>Retailers_Cap!N66</f>
        <v/>
      </c>
      <c r="CA65" s="75">
        <f>Retailers_Cap!O66</f>
        <v/>
      </c>
      <c r="CB65" s="75">
        <f>Retailers_Cap!P66</f>
        <v/>
      </c>
      <c r="CD65" s="75" t="n">
        <v>70</v>
      </c>
      <c r="CE65" s="75">
        <f>IF((BT65-BZ65)&gt;=0,"Dem","Folga")</f>
        <v/>
      </c>
      <c r="CF65" s="75">
        <f>IF((BU65-CA65)&gt;=0,"Dem","Folga")</f>
        <v/>
      </c>
      <c r="CG65" s="75">
        <f>IF((BV65-CB65)&gt;=0,"Dem","Folga")</f>
        <v/>
      </c>
    </row>
    <row r="66">
      <c r="M66" s="75">
        <f>TRUNC((_xlfn.NORM.INV((RAND()),$L$6,$L$7)),2)</f>
        <v/>
      </c>
      <c r="O66" s="75" t="n">
        <v>71</v>
      </c>
      <c r="P66" s="5" t="n">
        <v>201</v>
      </c>
      <c r="Q66" s="5" t="n">
        <v>228.48</v>
      </c>
      <c r="R66" s="5" t="n">
        <v>260.06</v>
      </c>
      <c r="W66" s="75">
        <f>TRUNC((_xlfn.NORM.INV((RAND()),$V$6,$V$7)),3)</f>
        <v/>
      </c>
      <c r="Y66" s="75" t="n">
        <v>71</v>
      </c>
      <c r="Z66" s="5" t="n">
        <v>6.796</v>
      </c>
      <c r="AA66" s="5" t="n">
        <v>6.836</v>
      </c>
      <c r="AB66" s="5" t="n">
        <v>6.723</v>
      </c>
      <c r="AG66" s="75">
        <f>TRUNC((_xlfn.NORM.INV((RAND()),$AF$6,$AF$7)),3)</f>
        <v/>
      </c>
      <c r="AI66" s="75" t="n">
        <v>71</v>
      </c>
      <c r="AJ66" s="5" t="n">
        <v>61.114</v>
      </c>
      <c r="AK66" s="5" t="n">
        <v>49.637</v>
      </c>
      <c r="AL66" s="5" t="n">
        <v>61.122</v>
      </c>
      <c r="AR66" s="75" t="n">
        <v>71</v>
      </c>
      <c r="AS66" s="5" t="n">
        <v>0</v>
      </c>
      <c r="AT66" s="5" t="n">
        <v>10.37842827037662</v>
      </c>
      <c r="AU66" s="5" t="n">
        <v>10.68972568117868</v>
      </c>
      <c r="AW66" s="75">
        <f>Z66/Demand!AU84</f>
        <v/>
      </c>
      <c r="AX66" s="75">
        <f>AA66/Demand!AV84</f>
        <v/>
      </c>
      <c r="AY66" s="75">
        <f>AB66/Demand!AW84</f>
        <v/>
      </c>
      <c r="BG66" s="75" t="n">
        <v>71</v>
      </c>
      <c r="BH66" s="75">
        <f>Results!$B$19+AJ66-Results!$D$21</f>
        <v/>
      </c>
      <c r="BI66" s="75">
        <f>Results!$B$19+AK66-Results!$D$21</f>
        <v/>
      </c>
      <c r="BJ66" s="75">
        <f>Results!$B$19+AL66-Results!$D$21</f>
        <v/>
      </c>
      <c r="BM66" s="75" t="n">
        <v>71</v>
      </c>
      <c r="BN66" s="75">
        <f>Results!D81</f>
        <v/>
      </c>
      <c r="BO66" s="75">
        <f>Results!E81</f>
        <v/>
      </c>
      <c r="BP66" s="75">
        <f>Results!F81</f>
        <v/>
      </c>
      <c r="BS66" s="75" t="n">
        <v>71</v>
      </c>
      <c r="BT66" s="75">
        <f>Demand!AU84</f>
        <v/>
      </c>
      <c r="BU66" s="75">
        <f>Demand!AV84</f>
        <v/>
      </c>
      <c r="BV66" s="75">
        <f>Demand!AW84</f>
        <v/>
      </c>
      <c r="BY66" s="75" t="n">
        <v>71</v>
      </c>
      <c r="BZ66" s="75">
        <f>Retailers_Cap!N67</f>
        <v/>
      </c>
      <c r="CA66" s="75">
        <f>Retailers_Cap!O67</f>
        <v/>
      </c>
      <c r="CB66" s="75">
        <f>Retailers_Cap!P67</f>
        <v/>
      </c>
      <c r="CD66" s="75" t="n">
        <v>71</v>
      </c>
      <c r="CE66" s="75">
        <f>IF((BT66-BZ66)&gt;=0,"Dem","Folga")</f>
        <v/>
      </c>
      <c r="CF66" s="75">
        <f>IF((BU66-CA66)&gt;=0,"Dem","Folga")</f>
        <v/>
      </c>
      <c r="CG66" s="75">
        <f>IF((BV66-CB66)&gt;=0,"Dem","Folga")</f>
        <v/>
      </c>
    </row>
    <row r="67">
      <c r="M67" s="75">
        <f>TRUNC((_xlfn.NORM.INV((RAND()),$L$6,$L$7)),2)</f>
        <v/>
      </c>
      <c r="O67" s="75" t="n">
        <v>72</v>
      </c>
      <c r="P67" s="5" t="n">
        <v>211.35</v>
      </c>
      <c r="Q67" s="5" t="n">
        <v>166.19</v>
      </c>
      <c r="R67" s="5" t="n">
        <v>196.83</v>
      </c>
      <c r="W67" s="75">
        <f>TRUNC((_xlfn.NORM.INV((RAND()),$V$6,$V$7)),3)</f>
        <v/>
      </c>
      <c r="Y67" s="75" t="n">
        <v>72</v>
      </c>
      <c r="Z67" s="5" t="n">
        <v>6.722</v>
      </c>
      <c r="AA67" s="5" t="n">
        <v>6.633</v>
      </c>
      <c r="AB67" s="5" t="n">
        <v>6.751</v>
      </c>
      <c r="AG67" s="75">
        <f>TRUNC((_xlfn.NORM.INV((RAND()),$AF$6,$AF$7)),3)</f>
        <v/>
      </c>
      <c r="AI67" s="75" t="n">
        <v>72</v>
      </c>
      <c r="AJ67" s="5" t="n">
        <v>59.499</v>
      </c>
      <c r="AK67" s="5" t="n">
        <v>47.473</v>
      </c>
      <c r="AL67" s="5" t="n">
        <v>72.15000000000001</v>
      </c>
      <c r="AR67" s="75" t="n">
        <v>72</v>
      </c>
      <c r="AS67" s="5" t="n">
        <v>0</v>
      </c>
      <c r="AT67" s="5" t="n">
        <v>0</v>
      </c>
      <c r="AU67" s="5" t="n">
        <v>19.11562224841501</v>
      </c>
      <c r="AW67" s="75">
        <f>Z67/Demand!AU85</f>
        <v/>
      </c>
      <c r="AX67" s="75">
        <f>AA67/Demand!AV85</f>
        <v/>
      </c>
      <c r="AY67" s="75">
        <f>AB67/Demand!AW85</f>
        <v/>
      </c>
      <c r="BG67" s="75" t="n">
        <v>72</v>
      </c>
      <c r="BH67" s="75">
        <f>Results!$B$19+AJ67-Results!$D$21</f>
        <v/>
      </c>
      <c r="BI67" s="75">
        <f>Results!$B$19+AK67-Results!$D$21</f>
        <v/>
      </c>
      <c r="BJ67" s="75">
        <f>Results!$B$19+AL67-Results!$D$21</f>
        <v/>
      </c>
      <c r="BM67" s="75" t="n">
        <v>72</v>
      </c>
      <c r="BN67" s="75">
        <f>Results!D82</f>
        <v/>
      </c>
      <c r="BO67" s="75">
        <f>Results!E82</f>
        <v/>
      </c>
      <c r="BP67" s="75">
        <f>Results!F82</f>
        <v/>
      </c>
      <c r="BS67" s="75" t="n">
        <v>72</v>
      </c>
      <c r="BT67" s="75">
        <f>Demand!AU85</f>
        <v/>
      </c>
      <c r="BU67" s="75">
        <f>Demand!AV85</f>
        <v/>
      </c>
      <c r="BV67" s="75">
        <f>Demand!AW85</f>
        <v/>
      </c>
      <c r="BY67" s="75" t="n">
        <v>72</v>
      </c>
      <c r="BZ67" s="75">
        <f>Retailers_Cap!N68</f>
        <v/>
      </c>
      <c r="CA67" s="75">
        <f>Retailers_Cap!O68</f>
        <v/>
      </c>
      <c r="CB67" s="75">
        <f>Retailers_Cap!P68</f>
        <v/>
      </c>
      <c r="CD67" s="75" t="n">
        <v>72</v>
      </c>
      <c r="CE67" s="75">
        <f>IF((BT67-BZ67)&gt;=0,"Dem","Folga")</f>
        <v/>
      </c>
      <c r="CF67" s="75">
        <f>IF((BU67-CA67)&gt;=0,"Dem","Folga")</f>
        <v/>
      </c>
      <c r="CG67" s="75">
        <f>IF((BV67-CB67)&gt;=0,"Dem","Folga")</f>
        <v/>
      </c>
    </row>
    <row r="68">
      <c r="M68" s="75">
        <f>TRUNC((_xlfn.NORM.INV((RAND()),$L$6,$L$7)),2)</f>
        <v/>
      </c>
      <c r="O68" s="75" t="n">
        <v>73</v>
      </c>
      <c r="P68" s="5" t="n">
        <v>197.47</v>
      </c>
      <c r="Q68" s="5" t="n">
        <v>208.8</v>
      </c>
      <c r="R68" s="5" t="n">
        <v>182.28</v>
      </c>
      <c r="W68" s="75">
        <f>TRUNC((_xlfn.NORM.INV((RAND()),$V$6,$V$7)),3)</f>
        <v/>
      </c>
      <c r="Y68" s="75" t="n">
        <v>73</v>
      </c>
      <c r="Z68" s="5" t="n">
        <v>6.855</v>
      </c>
      <c r="AA68" s="5" t="n">
        <v>6.801</v>
      </c>
      <c r="AB68" s="5" t="n">
        <v>6.756</v>
      </c>
      <c r="AG68" s="75">
        <f>TRUNC((_xlfn.NORM.INV((RAND()),$AF$6,$AF$7)),3)</f>
        <v/>
      </c>
      <c r="AI68" s="75" t="n">
        <v>73</v>
      </c>
      <c r="AJ68" s="5" t="n">
        <v>63.459</v>
      </c>
      <c r="AK68" s="5" t="n">
        <v>73.873</v>
      </c>
      <c r="AL68" s="5" t="n">
        <v>65.596</v>
      </c>
      <c r="AR68" s="75" t="n">
        <v>73</v>
      </c>
      <c r="AS68" s="5" t="n">
        <v>9.945677408720604</v>
      </c>
      <c r="AT68" s="5" t="n">
        <v>0</v>
      </c>
      <c r="AU68" s="5" t="n">
        <v>0</v>
      </c>
      <c r="AW68" s="75">
        <f>Z68/Demand!AU86</f>
        <v/>
      </c>
      <c r="AX68" s="75">
        <f>AA68/Demand!AV86</f>
        <v/>
      </c>
      <c r="AY68" s="75">
        <f>AB68/Demand!AW86</f>
        <v/>
      </c>
      <c r="BG68" s="75" t="n">
        <v>73</v>
      </c>
      <c r="BH68" s="75">
        <f>Results!$B$19+AJ68-Results!$D$21</f>
        <v/>
      </c>
      <c r="BI68" s="75">
        <f>Results!$B$19+AK68-Results!$D$21</f>
        <v/>
      </c>
      <c r="BJ68" s="75">
        <f>Results!$B$19+AL68-Results!$D$21</f>
        <v/>
      </c>
      <c r="BM68" s="75" t="n">
        <v>73</v>
      </c>
      <c r="BN68" s="75">
        <f>Results!D83</f>
        <v/>
      </c>
      <c r="BO68" s="75">
        <f>Results!E83</f>
        <v/>
      </c>
      <c r="BP68" s="75">
        <f>Results!F83</f>
        <v/>
      </c>
      <c r="BS68" s="75" t="n">
        <v>73</v>
      </c>
      <c r="BT68" s="75">
        <f>Demand!AU86</f>
        <v/>
      </c>
      <c r="BU68" s="75">
        <f>Demand!AV86</f>
        <v/>
      </c>
      <c r="BV68" s="75">
        <f>Demand!AW86</f>
        <v/>
      </c>
      <c r="BY68" s="75" t="n">
        <v>73</v>
      </c>
      <c r="BZ68" s="75">
        <f>Retailers_Cap!N69</f>
        <v/>
      </c>
      <c r="CA68" s="75">
        <f>Retailers_Cap!O69</f>
        <v/>
      </c>
      <c r="CB68" s="75">
        <f>Retailers_Cap!P69</f>
        <v/>
      </c>
      <c r="CD68" s="75" t="n">
        <v>73</v>
      </c>
      <c r="CE68" s="75">
        <f>IF((BT68-BZ68)&gt;=0,"Dem","Folga")</f>
        <v/>
      </c>
      <c r="CF68" s="75">
        <f>IF((BU68-CA68)&gt;=0,"Dem","Folga")</f>
        <v/>
      </c>
      <c r="CG68" s="75">
        <f>IF((BV68-CB68)&gt;=0,"Dem","Folga")</f>
        <v/>
      </c>
    </row>
    <row r="69">
      <c r="M69" s="75">
        <f>TRUNC((_xlfn.NORM.INV((RAND()),$L$6,$L$7)),2)</f>
        <v/>
      </c>
      <c r="O69" s="75" t="n">
        <v>74</v>
      </c>
      <c r="P69" s="5" t="n">
        <v>182.33</v>
      </c>
      <c r="Q69" s="5" t="n">
        <v>195.24</v>
      </c>
      <c r="R69" s="5" t="n">
        <v>191.91</v>
      </c>
      <c r="W69" s="75">
        <f>TRUNC((_xlfn.NORM.INV((RAND()),$V$6,$V$7)),3)</f>
        <v/>
      </c>
      <c r="Y69" s="75" t="n">
        <v>74</v>
      </c>
      <c r="Z69" s="5" t="n">
        <v>6.736</v>
      </c>
      <c r="AA69" s="5" t="n">
        <v>6.838</v>
      </c>
      <c r="AB69" s="5" t="n">
        <v>6.824</v>
      </c>
      <c r="AG69" s="75">
        <f>TRUNC((_xlfn.NORM.INV((RAND()),$AF$6,$AF$7)),3)</f>
        <v/>
      </c>
      <c r="AI69" s="75" t="n">
        <v>74</v>
      </c>
      <c r="AJ69" s="5" t="n">
        <v>75.883</v>
      </c>
      <c r="AK69" s="5" t="n">
        <v>67.568</v>
      </c>
      <c r="AL69" s="5" t="n">
        <v>52.956</v>
      </c>
      <c r="AR69" s="75" t="n">
        <v>74</v>
      </c>
      <c r="AS69" s="5" t="n">
        <v>0</v>
      </c>
      <c r="AT69" s="5" t="n">
        <v>6.144930673754981</v>
      </c>
      <c r="AU69" s="5" t="n">
        <v>17.58557046370101</v>
      </c>
      <c r="AW69" s="75">
        <f>Z69/Demand!AU87</f>
        <v/>
      </c>
      <c r="AX69" s="75">
        <f>AA69/Demand!AV87</f>
        <v/>
      </c>
      <c r="AY69" s="75">
        <f>AB69/Demand!AW87</f>
        <v/>
      </c>
      <c r="BG69" s="75" t="n">
        <v>74</v>
      </c>
      <c r="BH69" s="75">
        <f>Results!$B$19+AJ69-Results!$D$21</f>
        <v/>
      </c>
      <c r="BI69" s="75">
        <f>Results!$B$19+AK69-Results!$D$21</f>
        <v/>
      </c>
      <c r="BJ69" s="75">
        <f>Results!$B$19+AL69-Results!$D$21</f>
        <v/>
      </c>
      <c r="BM69" s="75" t="n">
        <v>74</v>
      </c>
      <c r="BN69" s="75">
        <f>Results!D84</f>
        <v/>
      </c>
      <c r="BO69" s="75">
        <f>Results!E84</f>
        <v/>
      </c>
      <c r="BP69" s="75">
        <f>Results!F84</f>
        <v/>
      </c>
      <c r="BS69" s="75" t="n">
        <v>74</v>
      </c>
      <c r="BT69" s="75">
        <f>Demand!AU87</f>
        <v/>
      </c>
      <c r="BU69" s="75">
        <f>Demand!AV87</f>
        <v/>
      </c>
      <c r="BV69" s="75">
        <f>Demand!AW87</f>
        <v/>
      </c>
      <c r="BY69" s="75" t="n">
        <v>74</v>
      </c>
      <c r="BZ69" s="75">
        <f>Retailers_Cap!N70</f>
        <v/>
      </c>
      <c r="CA69" s="75">
        <f>Retailers_Cap!O70</f>
        <v/>
      </c>
      <c r="CB69" s="75">
        <f>Retailers_Cap!P70</f>
        <v/>
      </c>
      <c r="CD69" s="75" t="n">
        <v>74</v>
      </c>
      <c r="CE69" s="75">
        <f>IF((BT69-BZ69)&gt;=0,"Dem","Folga")</f>
        <v/>
      </c>
      <c r="CF69" s="75">
        <f>IF((BU69-CA69)&gt;=0,"Dem","Folga")</f>
        <v/>
      </c>
      <c r="CG69" s="75">
        <f>IF((BV69-CB69)&gt;=0,"Dem","Folga")</f>
        <v/>
      </c>
    </row>
    <row r="70">
      <c r="M70" s="75">
        <f>TRUNC((_xlfn.NORM.INV((RAND()),$L$6,$L$7)),2)</f>
        <v/>
      </c>
      <c r="O70" s="75" t="n">
        <v>75</v>
      </c>
      <c r="P70" s="5" t="n">
        <v>201</v>
      </c>
      <c r="Q70" s="5" t="n">
        <v>151.87</v>
      </c>
      <c r="R70" s="5" t="n">
        <v>246.75</v>
      </c>
      <c r="W70" s="75">
        <f>TRUNC((_xlfn.NORM.INV((RAND()),$V$6,$V$7)),3)</f>
        <v/>
      </c>
      <c r="Y70" s="75" t="n">
        <v>75</v>
      </c>
      <c r="Z70" s="5" t="n">
        <v>6.713</v>
      </c>
      <c r="AA70" s="5" t="n">
        <v>6.789</v>
      </c>
      <c r="AB70" s="5" t="n">
        <v>6.743</v>
      </c>
      <c r="AG70" s="75">
        <f>TRUNC((_xlfn.NORM.INV((RAND()),$AF$6,$AF$7)),3)</f>
        <v/>
      </c>
      <c r="AI70" s="75" t="n">
        <v>75</v>
      </c>
      <c r="AJ70" s="5" t="n">
        <v>59.17</v>
      </c>
      <c r="AK70" s="5" t="n">
        <v>63.307</v>
      </c>
      <c r="AL70" s="5" t="n">
        <v>42.014</v>
      </c>
      <c r="AR70" s="75" t="n">
        <v>75</v>
      </c>
      <c r="AS70" s="5" t="n">
        <v>3.524037822885438</v>
      </c>
      <c r="AT70" s="5" t="n">
        <v>0</v>
      </c>
      <c r="AU70" s="5" t="n">
        <v>13.88089643214096</v>
      </c>
      <c r="AW70" s="75">
        <f>Z70/Demand!AU88</f>
        <v/>
      </c>
      <c r="AX70" s="75">
        <f>AA70/Demand!AV88</f>
        <v/>
      </c>
      <c r="AY70" s="75">
        <f>AB70/Demand!AW88</f>
        <v/>
      </c>
      <c r="BG70" s="75" t="n">
        <v>75</v>
      </c>
      <c r="BH70" s="75">
        <f>Results!$B$19+AJ70-Results!$D$21</f>
        <v/>
      </c>
      <c r="BI70" s="75">
        <f>Results!$B$19+AK70-Results!$D$21</f>
        <v/>
      </c>
      <c r="BJ70" s="75">
        <f>Results!$B$19+AL70-Results!$D$21</f>
        <v/>
      </c>
      <c r="BM70" s="75" t="n">
        <v>75</v>
      </c>
      <c r="BN70" s="75">
        <f>Results!D85</f>
        <v/>
      </c>
      <c r="BO70" s="75">
        <f>Results!E85</f>
        <v/>
      </c>
      <c r="BP70" s="75">
        <f>Results!F85</f>
        <v/>
      </c>
      <c r="BS70" s="75" t="n">
        <v>75</v>
      </c>
      <c r="BT70" s="75">
        <f>Demand!AU88</f>
        <v/>
      </c>
      <c r="BU70" s="75">
        <f>Demand!AV88</f>
        <v/>
      </c>
      <c r="BV70" s="75">
        <f>Demand!AW88</f>
        <v/>
      </c>
      <c r="BY70" s="75" t="n">
        <v>75</v>
      </c>
      <c r="BZ70" s="75">
        <f>Retailers_Cap!N71</f>
        <v/>
      </c>
      <c r="CA70" s="75">
        <f>Retailers_Cap!O71</f>
        <v/>
      </c>
      <c r="CB70" s="75">
        <f>Retailers_Cap!P71</f>
        <v/>
      </c>
      <c r="CD70" s="75" t="n">
        <v>75</v>
      </c>
      <c r="CE70" s="75">
        <f>IF((BT70-BZ70)&gt;=0,"Dem","Folga")</f>
        <v/>
      </c>
      <c r="CF70" s="75">
        <f>IF((BU70-CA70)&gt;=0,"Dem","Folga")</f>
        <v/>
      </c>
      <c r="CG70" s="75">
        <f>IF((BV70-CB70)&gt;=0,"Dem","Folga")</f>
        <v/>
      </c>
    </row>
    <row r="71">
      <c r="M71" s="75">
        <f>TRUNC((_xlfn.NORM.INV((RAND()),$L$6,$L$7)),2)</f>
        <v/>
      </c>
      <c r="O71" s="75" t="n">
        <v>76</v>
      </c>
      <c r="P71" s="5" t="n">
        <v>264.98</v>
      </c>
      <c r="Q71" s="5" t="n">
        <v>194.1</v>
      </c>
      <c r="R71" s="5" t="n">
        <v>278.87</v>
      </c>
      <c r="W71" s="75">
        <f>TRUNC((_xlfn.NORM.INV((RAND()),$V$6,$V$7)),3)</f>
        <v/>
      </c>
      <c r="Y71" s="75" t="n">
        <v>76</v>
      </c>
      <c r="Z71" s="5" t="n">
        <v>6.795</v>
      </c>
      <c r="AA71" s="5" t="n">
        <v>6.756</v>
      </c>
      <c r="AB71" s="5" t="n">
        <v>6.719</v>
      </c>
      <c r="AG71" s="75">
        <f>TRUNC((_xlfn.NORM.INV((RAND()),$AF$6,$AF$7)),3)</f>
        <v/>
      </c>
      <c r="AI71" s="75" t="n">
        <v>76</v>
      </c>
      <c r="AJ71" s="5" t="n">
        <v>59.302</v>
      </c>
      <c r="AK71" s="5" t="n">
        <v>59.712</v>
      </c>
      <c r="AL71" s="5" t="n">
        <v>58.993</v>
      </c>
      <c r="AR71" s="75" t="n">
        <v>76</v>
      </c>
      <c r="AS71" s="5" t="n">
        <v>4.039654717077212</v>
      </c>
      <c r="AT71" s="5" t="n">
        <v>0</v>
      </c>
      <c r="AU71" s="5" t="n">
        <v>41.67464403384948</v>
      </c>
      <c r="AW71" s="75">
        <f>Z71/Demand!AU89</f>
        <v/>
      </c>
      <c r="AX71" s="75">
        <f>AA71/Demand!AV89</f>
        <v/>
      </c>
      <c r="AY71" s="75">
        <f>AB71/Demand!AW89</f>
        <v/>
      </c>
      <c r="BG71" s="75" t="n">
        <v>76</v>
      </c>
      <c r="BH71" s="75">
        <f>Results!$B$19+AJ71-Results!$D$21</f>
        <v/>
      </c>
      <c r="BI71" s="75">
        <f>Results!$B$19+AK71-Results!$D$21</f>
        <v/>
      </c>
      <c r="BJ71" s="75">
        <f>Results!$B$19+AL71-Results!$D$21</f>
        <v/>
      </c>
      <c r="BM71" s="75" t="n">
        <v>76</v>
      </c>
      <c r="BN71" s="75">
        <f>Results!D86</f>
        <v/>
      </c>
      <c r="BO71" s="75">
        <f>Results!E86</f>
        <v/>
      </c>
      <c r="BP71" s="75">
        <f>Results!F86</f>
        <v/>
      </c>
      <c r="BS71" s="75" t="n">
        <v>76</v>
      </c>
      <c r="BT71" s="75">
        <f>Demand!AU89</f>
        <v/>
      </c>
      <c r="BU71" s="75">
        <f>Demand!AV89</f>
        <v/>
      </c>
      <c r="BV71" s="75">
        <f>Demand!AW89</f>
        <v/>
      </c>
      <c r="BY71" s="75" t="n">
        <v>76</v>
      </c>
      <c r="BZ71" s="75">
        <f>Retailers_Cap!N72</f>
        <v/>
      </c>
      <c r="CA71" s="75">
        <f>Retailers_Cap!O72</f>
        <v/>
      </c>
      <c r="CB71" s="75">
        <f>Retailers_Cap!P72</f>
        <v/>
      </c>
      <c r="CD71" s="75" t="n">
        <v>76</v>
      </c>
      <c r="CE71" s="75">
        <f>IF((BT71-BZ71)&gt;=0,"Dem","Folga")</f>
        <v/>
      </c>
      <c r="CF71" s="75">
        <f>IF((BU71-CA71)&gt;=0,"Dem","Folga")</f>
        <v/>
      </c>
      <c r="CG71" s="75">
        <f>IF((BV71-CB71)&gt;=0,"Dem","Folga")</f>
        <v/>
      </c>
    </row>
    <row r="72">
      <c r="M72" s="75">
        <f>TRUNC((_xlfn.NORM.INV((RAND()),$L$6,$L$7)),2)</f>
        <v/>
      </c>
      <c r="O72" s="75" t="n">
        <v>77</v>
      </c>
      <c r="P72" s="5" t="n">
        <v>186.85</v>
      </c>
      <c r="Q72" s="5" t="n">
        <v>164.45</v>
      </c>
      <c r="R72" s="5" t="n">
        <v>224.7</v>
      </c>
      <c r="W72" s="75">
        <f>TRUNC((_xlfn.NORM.INV((RAND()),$V$6,$V$7)),3)</f>
        <v/>
      </c>
      <c r="Y72" s="75" t="n">
        <v>77</v>
      </c>
      <c r="Z72" s="5" t="n">
        <v>6.65</v>
      </c>
      <c r="AA72" s="5" t="n">
        <v>6.75</v>
      </c>
      <c r="AB72" s="5" t="n">
        <v>6.712</v>
      </c>
      <c r="AG72" s="75">
        <f>TRUNC((_xlfn.NORM.INV((RAND()),$AF$6,$AF$7)),3)</f>
        <v/>
      </c>
      <c r="AI72" s="75" t="n">
        <v>77</v>
      </c>
      <c r="AJ72" s="5" t="n">
        <v>66.357</v>
      </c>
      <c r="AK72" s="5" t="n">
        <v>54.774</v>
      </c>
      <c r="AL72" s="5" t="n">
        <v>61.446</v>
      </c>
      <c r="AR72" s="75" t="n">
        <v>77</v>
      </c>
      <c r="AS72" s="5" t="n">
        <v>0</v>
      </c>
      <c r="AT72" s="5" t="n">
        <v>0</v>
      </c>
      <c r="AU72" s="5" t="n">
        <v>0</v>
      </c>
      <c r="AW72" s="75">
        <f>Z72/Demand!AU90</f>
        <v/>
      </c>
      <c r="AX72" s="75">
        <f>AA72/Demand!AV90</f>
        <v/>
      </c>
      <c r="AY72" s="75">
        <f>AB72/Demand!AW90</f>
        <v/>
      </c>
      <c r="BG72" s="75" t="n">
        <v>77</v>
      </c>
      <c r="BH72" s="75">
        <f>Results!$B$19+AJ72-Results!$D$21</f>
        <v/>
      </c>
      <c r="BI72" s="75">
        <f>Results!$B$19+AK72-Results!$D$21</f>
        <v/>
      </c>
      <c r="BJ72" s="75">
        <f>Results!$B$19+AL72-Results!$D$21</f>
        <v/>
      </c>
      <c r="BM72" s="75" t="n">
        <v>77</v>
      </c>
      <c r="BN72" s="75">
        <f>Results!D87</f>
        <v/>
      </c>
      <c r="BO72" s="75">
        <f>Results!E87</f>
        <v/>
      </c>
      <c r="BP72" s="75">
        <f>Results!F87</f>
        <v/>
      </c>
      <c r="BS72" s="75" t="n">
        <v>77</v>
      </c>
      <c r="BT72" s="75">
        <f>Demand!AU90</f>
        <v/>
      </c>
      <c r="BU72" s="75">
        <f>Demand!AV90</f>
        <v/>
      </c>
      <c r="BV72" s="75">
        <f>Demand!AW90</f>
        <v/>
      </c>
      <c r="BY72" s="75" t="n">
        <v>77</v>
      </c>
      <c r="BZ72" s="75">
        <f>Retailers_Cap!N73</f>
        <v/>
      </c>
      <c r="CA72" s="75">
        <f>Retailers_Cap!O73</f>
        <v/>
      </c>
      <c r="CB72" s="75">
        <f>Retailers_Cap!P73</f>
        <v/>
      </c>
      <c r="CD72" s="75" t="n">
        <v>77</v>
      </c>
      <c r="CE72" s="75">
        <f>IF((BT72-BZ72)&gt;=0,"Dem","Folga")</f>
        <v/>
      </c>
      <c r="CF72" s="75">
        <f>IF((BU72-CA72)&gt;=0,"Dem","Folga")</f>
        <v/>
      </c>
      <c r="CG72" s="75">
        <f>IF((BV72-CB72)&gt;=0,"Dem","Folga")</f>
        <v/>
      </c>
    </row>
    <row r="73">
      <c r="M73" s="75">
        <f>TRUNC((_xlfn.NORM.INV((RAND()),$L$6,$L$7)),2)</f>
        <v/>
      </c>
      <c r="O73" s="75" t="n">
        <v>78</v>
      </c>
      <c r="P73" s="5" t="n">
        <v>170.47</v>
      </c>
      <c r="Q73" s="5" t="n">
        <v>200.73</v>
      </c>
      <c r="R73" s="5" t="n">
        <v>213.26</v>
      </c>
      <c r="W73" s="75">
        <f>TRUNC((_xlfn.NORM.INV((RAND()),$V$6,$V$7)),3)</f>
        <v/>
      </c>
      <c r="Y73" s="75" t="n">
        <v>78</v>
      </c>
      <c r="Z73" s="5" t="n">
        <v>6.808</v>
      </c>
      <c r="AA73" s="5" t="n">
        <v>6.54</v>
      </c>
      <c r="AB73" s="5" t="n">
        <v>6.758</v>
      </c>
      <c r="AG73" s="75">
        <f>TRUNC((_xlfn.NORM.INV((RAND()),$AF$6,$AF$7)),3)</f>
        <v/>
      </c>
      <c r="AI73" s="75" t="n">
        <v>78</v>
      </c>
      <c r="AJ73" s="5" t="n">
        <v>47.284</v>
      </c>
      <c r="AK73" s="5" t="n">
        <v>76.55200000000001</v>
      </c>
      <c r="AL73" s="5" t="n">
        <v>51.357</v>
      </c>
      <c r="AR73" s="75" t="n">
        <v>78</v>
      </c>
      <c r="AS73" s="5" t="n">
        <v>0</v>
      </c>
      <c r="AT73" s="5" t="n">
        <v>18.6250433417866</v>
      </c>
      <c r="AU73" s="5" t="n">
        <v>6.308435883585567</v>
      </c>
      <c r="AW73" s="75">
        <f>Z73/Demand!AU91</f>
        <v/>
      </c>
      <c r="AX73" s="75">
        <f>AA73/Demand!AV91</f>
        <v/>
      </c>
      <c r="AY73" s="75">
        <f>AB73/Demand!AW91</f>
        <v/>
      </c>
      <c r="BG73" s="75" t="n">
        <v>78</v>
      </c>
      <c r="BH73" s="75">
        <f>Results!$B$19+AJ73-Results!$D$21</f>
        <v/>
      </c>
      <c r="BI73" s="75">
        <f>Results!$B$19+AK73-Results!$D$21</f>
        <v/>
      </c>
      <c r="BJ73" s="75">
        <f>Results!$B$19+AL73-Results!$D$21</f>
        <v/>
      </c>
      <c r="BM73" s="75" t="n">
        <v>78</v>
      </c>
      <c r="BN73" s="75">
        <f>Results!D88</f>
        <v/>
      </c>
      <c r="BO73" s="75">
        <f>Results!E88</f>
        <v/>
      </c>
      <c r="BP73" s="75">
        <f>Results!F88</f>
        <v/>
      </c>
      <c r="BS73" s="75" t="n">
        <v>78</v>
      </c>
      <c r="BT73" s="75">
        <f>Demand!AU91</f>
        <v/>
      </c>
      <c r="BU73" s="75">
        <f>Demand!AV91</f>
        <v/>
      </c>
      <c r="BV73" s="75">
        <f>Demand!AW91</f>
        <v/>
      </c>
      <c r="BY73" s="75" t="n">
        <v>78</v>
      </c>
      <c r="BZ73" s="75">
        <f>Retailers_Cap!N74</f>
        <v/>
      </c>
      <c r="CA73" s="75">
        <f>Retailers_Cap!O74</f>
        <v/>
      </c>
      <c r="CB73" s="75">
        <f>Retailers_Cap!P74</f>
        <v/>
      </c>
      <c r="CD73" s="75" t="n">
        <v>78</v>
      </c>
      <c r="CE73" s="75">
        <f>IF((BT73-BZ73)&gt;=0,"Dem","Folga")</f>
        <v/>
      </c>
      <c r="CF73" s="75">
        <f>IF((BU73-CA73)&gt;=0,"Dem","Folga")</f>
        <v/>
      </c>
      <c r="CG73" s="75">
        <f>IF((BV73-CB73)&gt;=0,"Dem","Folga")</f>
        <v/>
      </c>
    </row>
    <row r="74">
      <c r="M74" s="75">
        <f>TRUNC((_xlfn.NORM.INV((RAND()),$L$6,$L$7)),2)</f>
        <v/>
      </c>
      <c r="O74" s="75" t="n">
        <v>79</v>
      </c>
      <c r="P74" s="5" t="n">
        <v>215.07</v>
      </c>
      <c r="Q74" s="5" t="n">
        <v>263.7</v>
      </c>
      <c r="R74" s="5" t="n">
        <v>194.85</v>
      </c>
      <c r="W74" s="75">
        <f>TRUNC((_xlfn.NORM.INV((RAND()),$V$6,$V$7)),3)</f>
        <v/>
      </c>
      <c r="Y74" s="75" t="n">
        <v>79</v>
      </c>
      <c r="Z74" s="5" t="n">
        <v>6.863</v>
      </c>
      <c r="AA74" s="5" t="n">
        <v>6.745</v>
      </c>
      <c r="AB74" s="5" t="n">
        <v>6.804</v>
      </c>
      <c r="AG74" s="75">
        <f>TRUNC((_xlfn.NORM.INV((RAND()),$AF$6,$AF$7)),3)</f>
        <v/>
      </c>
      <c r="AI74" s="75" t="n">
        <v>79</v>
      </c>
      <c r="AJ74" s="5" t="n">
        <v>79.316</v>
      </c>
      <c r="AK74" s="5" t="n">
        <v>61.48</v>
      </c>
      <c r="AL74" s="5" t="n">
        <v>55.911</v>
      </c>
      <c r="AR74" s="75" t="n">
        <v>79</v>
      </c>
      <c r="AS74" s="5" t="n">
        <v>0</v>
      </c>
      <c r="AT74" s="5" t="n">
        <v>9.997806256335329</v>
      </c>
      <c r="AU74" s="5" t="n">
        <v>0</v>
      </c>
      <c r="AW74" s="75">
        <f>Z74/Demand!AU92</f>
        <v/>
      </c>
      <c r="AX74" s="75">
        <f>AA74/Demand!AV92</f>
        <v/>
      </c>
      <c r="AY74" s="75">
        <f>AB74/Demand!AW92</f>
        <v/>
      </c>
      <c r="BG74" s="75" t="n">
        <v>79</v>
      </c>
      <c r="BH74" s="75">
        <f>Results!$B$19+AJ74-Results!$D$21</f>
        <v/>
      </c>
      <c r="BI74" s="75">
        <f>Results!$B$19+AK74-Results!$D$21</f>
        <v/>
      </c>
      <c r="BJ74" s="75">
        <f>Results!$B$19+AL74-Results!$D$21</f>
        <v/>
      </c>
      <c r="BM74" s="75" t="n">
        <v>79</v>
      </c>
      <c r="BN74" s="75">
        <f>Results!D89</f>
        <v/>
      </c>
      <c r="BO74" s="75">
        <f>Results!E89</f>
        <v/>
      </c>
      <c r="BP74" s="75">
        <f>Results!F89</f>
        <v/>
      </c>
      <c r="BS74" s="75" t="n">
        <v>79</v>
      </c>
      <c r="BT74" s="75">
        <f>Demand!AU92</f>
        <v/>
      </c>
      <c r="BU74" s="75">
        <f>Demand!AV92</f>
        <v/>
      </c>
      <c r="BV74" s="75">
        <f>Demand!AW92</f>
        <v/>
      </c>
      <c r="BY74" s="75" t="n">
        <v>79</v>
      </c>
      <c r="BZ74" s="75">
        <f>Retailers_Cap!N75</f>
        <v/>
      </c>
      <c r="CA74" s="75">
        <f>Retailers_Cap!O75</f>
        <v/>
      </c>
      <c r="CB74" s="75">
        <f>Retailers_Cap!P75</f>
        <v/>
      </c>
      <c r="CD74" s="75" t="n">
        <v>79</v>
      </c>
      <c r="CE74" s="75">
        <f>IF((BT74-BZ74)&gt;=0,"Dem","Folga")</f>
        <v/>
      </c>
      <c r="CF74" s="75">
        <f>IF((BU74-CA74)&gt;=0,"Dem","Folga")</f>
        <v/>
      </c>
      <c r="CG74" s="75">
        <f>IF((BV74-CB74)&gt;=0,"Dem","Folga")</f>
        <v/>
      </c>
    </row>
    <row r="75">
      <c r="M75" s="75">
        <f>TRUNC((_xlfn.NORM.INV((RAND()),$L$6,$L$7)),2)</f>
        <v/>
      </c>
      <c r="O75" s="75" t="n">
        <v>80</v>
      </c>
      <c r="P75" s="5" t="n">
        <v>197.79</v>
      </c>
      <c r="Q75" s="5" t="n">
        <v>176.22</v>
      </c>
      <c r="R75" s="5" t="n">
        <v>154.91</v>
      </c>
      <c r="W75" s="75">
        <f>TRUNC((_xlfn.NORM.INV((RAND()),$V$6,$V$7)),3)</f>
        <v/>
      </c>
      <c r="Y75" s="75" t="n">
        <v>80</v>
      </c>
      <c r="Z75" s="5" t="n">
        <v>6.773</v>
      </c>
      <c r="AA75" s="5" t="n">
        <v>6.775</v>
      </c>
      <c r="AB75" s="5" t="n">
        <v>6.701</v>
      </c>
      <c r="AG75" s="75">
        <f>TRUNC((_xlfn.NORM.INV((RAND()),$AF$6,$AF$7)),3)</f>
        <v/>
      </c>
      <c r="AI75" s="75" t="n">
        <v>80</v>
      </c>
      <c r="AJ75" s="5" t="n">
        <v>44.08</v>
      </c>
      <c r="AK75" s="5" t="n">
        <v>41.398</v>
      </c>
      <c r="AL75" s="5" t="n">
        <v>78.483</v>
      </c>
      <c r="AR75" s="75" t="n">
        <v>80</v>
      </c>
      <c r="AS75" s="5" t="n">
        <v>0</v>
      </c>
      <c r="AT75" s="5" t="n">
        <v>0</v>
      </c>
      <c r="AU75" s="5" t="n">
        <v>15.29565987920214</v>
      </c>
      <c r="AW75" s="75">
        <f>Z75/Demand!AU93</f>
        <v/>
      </c>
      <c r="AX75" s="75">
        <f>AA75/Demand!AV93</f>
        <v/>
      </c>
      <c r="AY75" s="75">
        <f>AB75/Demand!AW93</f>
        <v/>
      </c>
      <c r="BG75" s="75" t="n">
        <v>80</v>
      </c>
      <c r="BH75" s="75">
        <f>Results!$B$19+AJ75-Results!$D$21</f>
        <v/>
      </c>
      <c r="BI75" s="75">
        <f>Results!$B$19+AK75-Results!$D$21</f>
        <v/>
      </c>
      <c r="BJ75" s="75">
        <f>Results!$B$19+AL75-Results!$D$21</f>
        <v/>
      </c>
      <c r="BM75" s="75" t="n">
        <v>80</v>
      </c>
      <c r="BN75" s="75">
        <f>Results!D90</f>
        <v/>
      </c>
      <c r="BO75" s="75">
        <f>Results!E90</f>
        <v/>
      </c>
      <c r="BP75" s="75">
        <f>Results!F90</f>
        <v/>
      </c>
      <c r="BS75" s="75" t="n">
        <v>80</v>
      </c>
      <c r="BT75" s="75">
        <f>Demand!AU93</f>
        <v/>
      </c>
      <c r="BU75" s="75">
        <f>Demand!AV93</f>
        <v/>
      </c>
      <c r="BV75" s="75">
        <f>Demand!AW93</f>
        <v/>
      </c>
      <c r="BY75" s="75" t="n">
        <v>80</v>
      </c>
      <c r="BZ75" s="75">
        <f>Retailers_Cap!N76</f>
        <v/>
      </c>
      <c r="CA75" s="75">
        <f>Retailers_Cap!O76</f>
        <v/>
      </c>
      <c r="CB75" s="75">
        <f>Retailers_Cap!P76</f>
        <v/>
      </c>
      <c r="CD75" s="75" t="n">
        <v>80</v>
      </c>
      <c r="CE75" s="75">
        <f>IF((BT75-BZ75)&gt;=0,"Dem","Folga")</f>
        <v/>
      </c>
      <c r="CF75" s="75">
        <f>IF((BU75-CA75)&gt;=0,"Dem","Folga")</f>
        <v/>
      </c>
      <c r="CG75" s="75">
        <f>IF((BV75-CB75)&gt;=0,"Dem","Folga")</f>
        <v/>
      </c>
    </row>
    <row r="76">
      <c r="M76" s="75">
        <f>TRUNC((_xlfn.NORM.INV((RAND()),$L$6,$L$7)),2)</f>
        <v/>
      </c>
      <c r="O76" s="75" t="n">
        <v>81</v>
      </c>
      <c r="P76" s="5" t="n">
        <v>232.74</v>
      </c>
      <c r="Q76" s="5" t="n">
        <v>234.57</v>
      </c>
      <c r="R76" s="5" t="n">
        <v>233.41</v>
      </c>
      <c r="W76" s="75">
        <f>TRUNC((_xlfn.NORM.INV((RAND()),$V$6,$V$7)),3)</f>
        <v/>
      </c>
      <c r="Y76" s="75" t="n">
        <v>81</v>
      </c>
      <c r="Z76" s="5" t="n">
        <v>6.589</v>
      </c>
      <c r="AA76" s="5" t="n">
        <v>6.78</v>
      </c>
      <c r="AB76" s="5" t="n">
        <v>6.764</v>
      </c>
      <c r="AG76" s="75">
        <f>TRUNC((_xlfn.NORM.INV((RAND()),$AF$6,$AF$7)),3)</f>
        <v/>
      </c>
      <c r="AI76" s="75" t="n">
        <v>81</v>
      </c>
      <c r="AJ76" s="5" t="n">
        <v>65.432</v>
      </c>
      <c r="AK76" s="5" t="n">
        <v>60.978</v>
      </c>
      <c r="AL76" s="5" t="n">
        <v>53.082</v>
      </c>
      <c r="AR76" s="75" t="n">
        <v>81</v>
      </c>
      <c r="AS76" s="5" t="n">
        <v>0</v>
      </c>
      <c r="AT76" s="5" t="n">
        <v>0</v>
      </c>
      <c r="AU76" s="5" t="n">
        <v>0</v>
      </c>
      <c r="AW76" s="75">
        <f>Z76/Demand!AU94</f>
        <v/>
      </c>
      <c r="AX76" s="75">
        <f>AA76/Demand!AV94</f>
        <v/>
      </c>
      <c r="AY76" s="75">
        <f>AB76/Demand!AW94</f>
        <v/>
      </c>
      <c r="BG76" s="75" t="n">
        <v>81</v>
      </c>
      <c r="BH76" s="75">
        <f>Results!$B$19+AJ76-Results!$D$21</f>
        <v/>
      </c>
      <c r="BI76" s="75">
        <f>Results!$B$19+AK76-Results!$D$21</f>
        <v/>
      </c>
      <c r="BJ76" s="75">
        <f>Results!$B$19+AL76-Results!$D$21</f>
        <v/>
      </c>
      <c r="BM76" s="75" t="n">
        <v>81</v>
      </c>
      <c r="BN76" s="75">
        <f>Results!D91</f>
        <v/>
      </c>
      <c r="BO76" s="75">
        <f>Results!E91</f>
        <v/>
      </c>
      <c r="BP76" s="75">
        <f>Results!F91</f>
        <v/>
      </c>
      <c r="BS76" s="75" t="n">
        <v>81</v>
      </c>
      <c r="BT76" s="75">
        <f>Demand!AU94</f>
        <v/>
      </c>
      <c r="BU76" s="75">
        <f>Demand!AV94</f>
        <v/>
      </c>
      <c r="BV76" s="75">
        <f>Demand!AW94</f>
        <v/>
      </c>
      <c r="BY76" s="75" t="n">
        <v>81</v>
      </c>
      <c r="BZ76" s="75">
        <f>Retailers_Cap!N77</f>
        <v/>
      </c>
      <c r="CA76" s="75">
        <f>Retailers_Cap!O77</f>
        <v/>
      </c>
      <c r="CB76" s="75">
        <f>Retailers_Cap!P77</f>
        <v/>
      </c>
      <c r="CD76" s="75" t="n">
        <v>81</v>
      </c>
      <c r="CE76" s="75">
        <f>IF((BT76-BZ76)&gt;=0,"Dem","Folga")</f>
        <v/>
      </c>
      <c r="CF76" s="75">
        <f>IF((BU76-CA76)&gt;=0,"Dem","Folga")</f>
        <v/>
      </c>
      <c r="CG76" s="75">
        <f>IF((BV76-CB76)&gt;=0,"Dem","Folga")</f>
        <v/>
      </c>
    </row>
    <row r="77">
      <c r="M77" s="75">
        <f>TRUNC((_xlfn.NORM.INV((RAND()),$L$6,$L$7)),2)</f>
        <v/>
      </c>
      <c r="O77" s="75" t="n">
        <v>82</v>
      </c>
      <c r="P77" s="5" t="n">
        <v>196.21</v>
      </c>
      <c r="Q77" s="5" t="n">
        <v>214.38</v>
      </c>
      <c r="R77" s="5" t="n">
        <v>192.75</v>
      </c>
      <c r="W77" s="75">
        <f>TRUNC((_xlfn.NORM.INV((RAND()),$V$6,$V$7)),3)</f>
        <v/>
      </c>
      <c r="Y77" s="75" t="n">
        <v>82</v>
      </c>
      <c r="Z77" s="5" t="n">
        <v>6.752</v>
      </c>
      <c r="AA77" s="5" t="n">
        <v>6.675</v>
      </c>
      <c r="AB77" s="5" t="n">
        <v>6.604</v>
      </c>
      <c r="AG77" s="75">
        <f>TRUNC((_xlfn.NORM.INV((RAND()),$AF$6,$AF$7)),3)</f>
        <v/>
      </c>
      <c r="AI77" s="75" t="n">
        <v>82</v>
      </c>
      <c r="AJ77" s="5" t="n">
        <v>48.372</v>
      </c>
      <c r="AK77" s="5" t="n">
        <v>36.4</v>
      </c>
      <c r="AL77" s="5" t="n">
        <v>59.973</v>
      </c>
      <c r="AR77" s="75" t="n">
        <v>82</v>
      </c>
      <c r="AS77" s="5" t="n">
        <v>0</v>
      </c>
      <c r="AT77" s="5" t="n">
        <v>0</v>
      </c>
      <c r="AU77" s="5" t="n">
        <v>0</v>
      </c>
      <c r="AW77" s="75">
        <f>Z77/Demand!AU95</f>
        <v/>
      </c>
      <c r="AX77" s="75">
        <f>AA77/Demand!AV95</f>
        <v/>
      </c>
      <c r="AY77" s="75">
        <f>AB77/Demand!AW95</f>
        <v/>
      </c>
      <c r="BG77" s="75" t="n">
        <v>82</v>
      </c>
      <c r="BH77" s="75">
        <f>Results!$B$19+AJ77-Results!$D$21</f>
        <v/>
      </c>
      <c r="BI77" s="75">
        <f>Results!$B$19+AK77-Results!$D$21</f>
        <v/>
      </c>
      <c r="BJ77" s="75">
        <f>Results!$B$19+AL77-Results!$D$21</f>
        <v/>
      </c>
      <c r="BM77" s="75" t="n">
        <v>82</v>
      </c>
      <c r="BN77" s="75">
        <f>Results!D92</f>
        <v/>
      </c>
      <c r="BO77" s="75">
        <f>Results!E92</f>
        <v/>
      </c>
      <c r="BP77" s="75">
        <f>Results!F92</f>
        <v/>
      </c>
      <c r="BS77" s="75" t="n">
        <v>82</v>
      </c>
      <c r="BT77" s="75">
        <f>Demand!AU95</f>
        <v/>
      </c>
      <c r="BU77" s="75">
        <f>Demand!AV95</f>
        <v/>
      </c>
      <c r="BV77" s="75">
        <f>Demand!AW95</f>
        <v/>
      </c>
      <c r="BY77" s="75" t="n">
        <v>82</v>
      </c>
      <c r="BZ77" s="75">
        <f>Retailers_Cap!N78</f>
        <v/>
      </c>
      <c r="CA77" s="75">
        <f>Retailers_Cap!O78</f>
        <v/>
      </c>
      <c r="CB77" s="75">
        <f>Retailers_Cap!P78</f>
        <v/>
      </c>
      <c r="CD77" s="75" t="n">
        <v>82</v>
      </c>
      <c r="CE77" s="75">
        <f>IF((BT77-BZ77)&gt;=0,"Dem","Folga")</f>
        <v/>
      </c>
      <c r="CF77" s="75">
        <f>IF((BU77-CA77)&gt;=0,"Dem","Folga")</f>
        <v/>
      </c>
      <c r="CG77" s="75">
        <f>IF((BV77-CB77)&gt;=0,"Dem","Folga")</f>
        <v/>
      </c>
    </row>
    <row r="78">
      <c r="M78" s="75">
        <f>TRUNC((_xlfn.NORM.INV((RAND()),$L$6,$L$7)),2)</f>
        <v/>
      </c>
      <c r="O78" s="75" t="n">
        <v>83</v>
      </c>
      <c r="P78" s="5" t="n">
        <v>269.39</v>
      </c>
      <c r="Q78" s="5" t="n">
        <v>189.55</v>
      </c>
      <c r="R78" s="5" t="n">
        <v>154.68</v>
      </c>
      <c r="W78" s="75">
        <f>TRUNC((_xlfn.NORM.INV((RAND()),$V$6,$V$7)),3)</f>
        <v/>
      </c>
      <c r="Y78" s="75" t="n">
        <v>83</v>
      </c>
      <c r="Z78" s="5" t="n">
        <v>6.66</v>
      </c>
      <c r="AA78" s="5" t="n">
        <v>6.72</v>
      </c>
      <c r="AB78" s="5" t="n">
        <v>6.693</v>
      </c>
      <c r="AG78" s="75">
        <f>TRUNC((_xlfn.NORM.INV((RAND()),$AF$6,$AF$7)),3)</f>
        <v/>
      </c>
      <c r="AI78" s="75" t="n">
        <v>83</v>
      </c>
      <c r="AJ78" s="5" t="n">
        <v>58.308</v>
      </c>
      <c r="AK78" s="5" t="n">
        <v>40.555</v>
      </c>
      <c r="AL78" s="5" t="n">
        <v>54.947</v>
      </c>
      <c r="AR78" s="75" t="n">
        <v>83</v>
      </c>
      <c r="AS78" s="5" t="n">
        <v>8.311967902479061</v>
      </c>
      <c r="AT78" s="5" t="n">
        <v>0</v>
      </c>
      <c r="AU78" s="5" t="n">
        <v>0</v>
      </c>
      <c r="AW78" s="75">
        <f>Z78/Demand!AU96</f>
        <v/>
      </c>
      <c r="AX78" s="75">
        <f>AA78/Demand!AV96</f>
        <v/>
      </c>
      <c r="AY78" s="75">
        <f>AB78/Demand!AW96</f>
        <v/>
      </c>
      <c r="BG78" s="75" t="n">
        <v>83</v>
      </c>
      <c r="BH78" s="75">
        <f>Results!$B$19+AJ78-Results!$D$21</f>
        <v/>
      </c>
      <c r="BI78" s="75">
        <f>Results!$B$19+AK78-Results!$D$21</f>
        <v/>
      </c>
      <c r="BJ78" s="75">
        <f>Results!$B$19+AL78-Results!$D$21</f>
        <v/>
      </c>
      <c r="BM78" s="75" t="n">
        <v>83</v>
      </c>
      <c r="BN78" s="75">
        <f>Results!D93</f>
        <v/>
      </c>
      <c r="BO78" s="75">
        <f>Results!E93</f>
        <v/>
      </c>
      <c r="BP78" s="75">
        <f>Results!F93</f>
        <v/>
      </c>
      <c r="BS78" s="75" t="n">
        <v>83</v>
      </c>
      <c r="BT78" s="75">
        <f>Demand!AU96</f>
        <v/>
      </c>
      <c r="BU78" s="75">
        <f>Demand!AV96</f>
        <v/>
      </c>
      <c r="BV78" s="75">
        <f>Demand!AW96</f>
        <v/>
      </c>
      <c r="BY78" s="75" t="n">
        <v>83</v>
      </c>
      <c r="BZ78" s="75">
        <f>Retailers_Cap!N79</f>
        <v/>
      </c>
      <c r="CA78" s="75">
        <f>Retailers_Cap!O79</f>
        <v/>
      </c>
      <c r="CB78" s="75">
        <f>Retailers_Cap!P79</f>
        <v/>
      </c>
      <c r="CD78" s="75" t="n">
        <v>83</v>
      </c>
      <c r="CE78" s="75">
        <f>IF((BT78-BZ78)&gt;=0,"Dem","Folga")</f>
        <v/>
      </c>
      <c r="CF78" s="75">
        <f>IF((BU78-CA78)&gt;=0,"Dem","Folga")</f>
        <v/>
      </c>
      <c r="CG78" s="75">
        <f>IF((BV78-CB78)&gt;=0,"Dem","Folga")</f>
        <v/>
      </c>
    </row>
    <row r="79">
      <c r="M79" s="75">
        <f>TRUNC((_xlfn.NORM.INV((RAND()),$L$6,$L$7)),2)</f>
        <v/>
      </c>
      <c r="O79" s="75" t="n">
        <v>84</v>
      </c>
      <c r="P79" s="5" t="n">
        <v>152.82</v>
      </c>
      <c r="Q79" s="5" t="n">
        <v>170.59</v>
      </c>
      <c r="R79" s="5" t="n">
        <v>172.95</v>
      </c>
      <c r="W79" s="75">
        <f>TRUNC((_xlfn.NORM.INV((RAND()),$V$6,$V$7)),3)</f>
        <v/>
      </c>
      <c r="Y79" s="75" t="n">
        <v>84</v>
      </c>
      <c r="Z79" s="5" t="n">
        <v>6.803</v>
      </c>
      <c r="AA79" s="5" t="n">
        <v>6.744</v>
      </c>
      <c r="AB79" s="5" t="n">
        <v>6.649</v>
      </c>
      <c r="AG79" s="75">
        <f>TRUNC((_xlfn.NORM.INV((RAND()),$AF$6,$AF$7)),3)</f>
        <v/>
      </c>
      <c r="AI79" s="75" t="n">
        <v>84</v>
      </c>
      <c r="AJ79" s="5" t="n">
        <v>74.29300000000001</v>
      </c>
      <c r="AK79" s="5" t="n">
        <v>63.705</v>
      </c>
      <c r="AL79" s="5" t="n">
        <v>78.667</v>
      </c>
      <c r="AR79" s="75" t="n">
        <v>84</v>
      </c>
      <c r="AS79" s="5" t="n">
        <v>28.57911943304778</v>
      </c>
      <c r="AT79" s="5" t="n">
        <v>2.291367862255126</v>
      </c>
      <c r="AU79" s="5" t="n">
        <v>7.500659825932169</v>
      </c>
      <c r="AW79" s="75">
        <f>Z79/Demand!AU97</f>
        <v/>
      </c>
      <c r="AX79" s="75">
        <f>AA79/Demand!AV97</f>
        <v/>
      </c>
      <c r="AY79" s="75">
        <f>AB79/Demand!AW97</f>
        <v/>
      </c>
      <c r="BG79" s="75" t="n">
        <v>84</v>
      </c>
      <c r="BH79" s="75">
        <f>Results!$B$19+AJ79-Results!$D$21</f>
        <v/>
      </c>
      <c r="BI79" s="75">
        <f>Results!$B$19+AK79-Results!$D$21</f>
        <v/>
      </c>
      <c r="BJ79" s="75">
        <f>Results!$B$19+AL79-Results!$D$21</f>
        <v/>
      </c>
      <c r="BM79" s="75" t="n">
        <v>84</v>
      </c>
      <c r="BN79" s="75">
        <f>Results!D94</f>
        <v/>
      </c>
      <c r="BO79" s="75">
        <f>Results!E94</f>
        <v/>
      </c>
      <c r="BP79" s="75">
        <f>Results!F94</f>
        <v/>
      </c>
      <c r="BS79" s="75" t="n">
        <v>84</v>
      </c>
      <c r="BT79" s="75">
        <f>Demand!AU97</f>
        <v/>
      </c>
      <c r="BU79" s="75">
        <f>Demand!AV97</f>
        <v/>
      </c>
      <c r="BV79" s="75">
        <f>Demand!AW97</f>
        <v/>
      </c>
      <c r="BY79" s="75" t="n">
        <v>84</v>
      </c>
      <c r="BZ79" s="75">
        <f>Retailers_Cap!N80</f>
        <v/>
      </c>
      <c r="CA79" s="75">
        <f>Retailers_Cap!O80</f>
        <v/>
      </c>
      <c r="CB79" s="75">
        <f>Retailers_Cap!P80</f>
        <v/>
      </c>
      <c r="CD79" s="75" t="n">
        <v>84</v>
      </c>
      <c r="CE79" s="75">
        <f>IF((BT79-BZ79)&gt;=0,"Dem","Folga")</f>
        <v/>
      </c>
      <c r="CF79" s="75">
        <f>IF((BU79-CA79)&gt;=0,"Dem","Folga")</f>
        <v/>
      </c>
      <c r="CG79" s="75">
        <f>IF((BV79-CB79)&gt;=0,"Dem","Folga")</f>
        <v/>
      </c>
    </row>
    <row r="80">
      <c r="M80" s="75">
        <f>TRUNC((_xlfn.NORM.INV((RAND()),$L$6,$L$7)),2)</f>
        <v/>
      </c>
      <c r="O80" s="75" t="n">
        <v>85</v>
      </c>
      <c r="P80" s="5" t="n">
        <v>143.28</v>
      </c>
      <c r="Q80" s="5" t="n">
        <v>163.29</v>
      </c>
      <c r="R80" s="5" t="n">
        <v>255.46</v>
      </c>
      <c r="W80" s="75">
        <f>TRUNC((_xlfn.NORM.INV((RAND()),$V$6,$V$7)),3)</f>
        <v/>
      </c>
      <c r="Y80" s="75" t="n">
        <v>85</v>
      </c>
      <c r="Z80" s="5" t="n">
        <v>6.7</v>
      </c>
      <c r="AA80" s="5" t="n">
        <v>6.659</v>
      </c>
      <c r="AB80" s="5" t="n">
        <v>6.769</v>
      </c>
      <c r="AG80" s="75">
        <f>TRUNC((_xlfn.NORM.INV((RAND()),$AF$6,$AF$7)),3)</f>
        <v/>
      </c>
      <c r="AI80" s="75" t="n">
        <v>85</v>
      </c>
      <c r="AJ80" s="5" t="n">
        <v>43.88</v>
      </c>
      <c r="AK80" s="5" t="n">
        <v>45.26</v>
      </c>
      <c r="AL80" s="5" t="n">
        <v>73.002</v>
      </c>
      <c r="AR80" s="75" t="n">
        <v>85</v>
      </c>
      <c r="AS80" s="5" t="n">
        <v>22.31879693668553</v>
      </c>
      <c r="AT80" s="5" t="n">
        <v>4.929241625246953</v>
      </c>
      <c r="AU80" s="5" t="n">
        <v>21.40794221476525</v>
      </c>
      <c r="AW80" s="75">
        <f>Z80/Demand!AU98</f>
        <v/>
      </c>
      <c r="AX80" s="75">
        <f>AA80/Demand!AV98</f>
        <v/>
      </c>
      <c r="AY80" s="75">
        <f>AB80/Demand!AW98</f>
        <v/>
      </c>
      <c r="BG80" s="75" t="n">
        <v>85</v>
      </c>
      <c r="BH80" s="75">
        <f>Results!$B$19+AJ80-Results!$D$21</f>
        <v/>
      </c>
      <c r="BI80" s="75">
        <f>Results!$B$19+AK80-Results!$D$21</f>
        <v/>
      </c>
      <c r="BJ80" s="75">
        <f>Results!$B$19+AL80-Results!$D$21</f>
        <v/>
      </c>
      <c r="BM80" s="75" t="n">
        <v>85</v>
      </c>
      <c r="BN80" s="75">
        <f>Results!D95</f>
        <v/>
      </c>
      <c r="BO80" s="75">
        <f>Results!E95</f>
        <v/>
      </c>
      <c r="BP80" s="75">
        <f>Results!F95</f>
        <v/>
      </c>
      <c r="BS80" s="75" t="n">
        <v>85</v>
      </c>
      <c r="BT80" s="75">
        <f>Demand!AU98</f>
        <v/>
      </c>
      <c r="BU80" s="75">
        <f>Demand!AV98</f>
        <v/>
      </c>
      <c r="BV80" s="75">
        <f>Demand!AW98</f>
        <v/>
      </c>
      <c r="BY80" s="75" t="n">
        <v>85</v>
      </c>
      <c r="BZ80" s="75">
        <f>Retailers_Cap!N81</f>
        <v/>
      </c>
      <c r="CA80" s="75">
        <f>Retailers_Cap!O81</f>
        <v/>
      </c>
      <c r="CB80" s="75">
        <f>Retailers_Cap!P81</f>
        <v/>
      </c>
      <c r="CD80" s="75" t="n">
        <v>85</v>
      </c>
      <c r="CE80" s="75">
        <f>IF((BT80-BZ80)&gt;=0,"Dem","Folga")</f>
        <v/>
      </c>
      <c r="CF80" s="75">
        <f>IF((BU80-CA80)&gt;=0,"Dem","Folga")</f>
        <v/>
      </c>
      <c r="CG80" s="75">
        <f>IF((BV80-CB80)&gt;=0,"Dem","Folga")</f>
        <v/>
      </c>
    </row>
    <row r="81">
      <c r="M81" s="75">
        <f>TRUNC((_xlfn.NORM.INV((RAND()),$L$6,$L$7)),2)</f>
        <v/>
      </c>
      <c r="O81" s="75" t="n">
        <v>86</v>
      </c>
      <c r="P81" s="5" t="n">
        <v>221.3</v>
      </c>
      <c r="Q81" s="5" t="n">
        <v>150.45</v>
      </c>
      <c r="R81" s="5" t="n">
        <v>187.36</v>
      </c>
      <c r="W81" s="75">
        <f>TRUNC((_xlfn.NORM.INV((RAND()),$V$6,$V$7)),3)</f>
        <v/>
      </c>
      <c r="Y81" s="75" t="n">
        <v>86</v>
      </c>
      <c r="Z81" s="5" t="n">
        <v>6.688</v>
      </c>
      <c r="AA81" s="5" t="n">
        <v>6.709</v>
      </c>
      <c r="AB81" s="5" t="n">
        <v>6.771</v>
      </c>
      <c r="AG81" s="75">
        <f>TRUNC((_xlfn.NORM.INV((RAND()),$AF$6,$AF$7)),3)</f>
        <v/>
      </c>
      <c r="AI81" s="75" t="n">
        <v>86</v>
      </c>
      <c r="AJ81" s="5" t="n">
        <v>48.869</v>
      </c>
      <c r="AK81" s="5" t="n">
        <v>72.712</v>
      </c>
      <c r="AL81" s="5" t="n">
        <v>37.245</v>
      </c>
      <c r="AR81" s="75" t="n">
        <v>86</v>
      </c>
      <c r="AS81" s="5" t="n">
        <v>0</v>
      </c>
      <c r="AT81" s="5" t="n">
        <v>0</v>
      </c>
      <c r="AU81" s="5" t="n">
        <v>0</v>
      </c>
      <c r="AW81" s="75">
        <f>Z81/Demand!AU99</f>
        <v/>
      </c>
      <c r="AX81" s="75">
        <f>AA81/Demand!AV99</f>
        <v/>
      </c>
      <c r="AY81" s="75">
        <f>AB81/Demand!AW99</f>
        <v/>
      </c>
      <c r="BG81" s="75" t="n">
        <v>86</v>
      </c>
      <c r="BH81" s="75">
        <f>Results!$B$19+AJ81-Results!$D$21</f>
        <v/>
      </c>
      <c r="BI81" s="75">
        <f>Results!$B$19+AK81-Results!$D$21</f>
        <v/>
      </c>
      <c r="BJ81" s="75">
        <f>Results!$B$19+AL81-Results!$D$21</f>
        <v/>
      </c>
      <c r="BM81" s="75" t="n">
        <v>86</v>
      </c>
      <c r="BN81" s="75">
        <f>Results!D96</f>
        <v/>
      </c>
      <c r="BO81" s="75">
        <f>Results!E96</f>
        <v/>
      </c>
      <c r="BP81" s="75">
        <f>Results!F96</f>
        <v/>
      </c>
      <c r="BS81" s="75" t="n">
        <v>86</v>
      </c>
      <c r="BT81" s="75">
        <f>Demand!AU99</f>
        <v/>
      </c>
      <c r="BU81" s="75">
        <f>Demand!AV99</f>
        <v/>
      </c>
      <c r="BV81" s="75">
        <f>Demand!AW99</f>
        <v/>
      </c>
      <c r="BY81" s="75" t="n">
        <v>86</v>
      </c>
      <c r="BZ81" s="75">
        <f>Retailers_Cap!N82</f>
        <v/>
      </c>
      <c r="CA81" s="75">
        <f>Retailers_Cap!O82</f>
        <v/>
      </c>
      <c r="CB81" s="75">
        <f>Retailers_Cap!P82</f>
        <v/>
      </c>
      <c r="CD81" s="75" t="n">
        <v>86</v>
      </c>
      <c r="CE81" s="75">
        <f>IF((BT81-BZ81)&gt;=0,"Dem","Folga")</f>
        <v/>
      </c>
      <c r="CF81" s="75">
        <f>IF((BU81-CA81)&gt;=0,"Dem","Folga")</f>
        <v/>
      </c>
      <c r="CG81" s="75">
        <f>IF((BV81-CB81)&gt;=0,"Dem","Folga")</f>
        <v/>
      </c>
    </row>
    <row r="82">
      <c r="M82" s="75">
        <f>TRUNC((_xlfn.NORM.INV((RAND()),$L$6,$L$7)),2)</f>
        <v/>
      </c>
      <c r="O82" s="75" t="n">
        <v>87</v>
      </c>
      <c r="P82" s="5" t="n">
        <v>271.61</v>
      </c>
      <c r="Q82" s="5" t="n">
        <v>251.82</v>
      </c>
      <c r="R82" s="5" t="n">
        <v>207.8</v>
      </c>
      <c r="W82" s="75">
        <f>TRUNC((_xlfn.NORM.INV((RAND()),$V$6,$V$7)),3)</f>
        <v/>
      </c>
      <c r="Y82" s="75" t="n">
        <v>87</v>
      </c>
      <c r="Z82" s="5" t="n">
        <v>6.716</v>
      </c>
      <c r="AA82" s="5" t="n">
        <v>6.804</v>
      </c>
      <c r="AB82" s="5" t="n">
        <v>6.856</v>
      </c>
      <c r="AG82" s="75">
        <f>TRUNC((_xlfn.NORM.INV((RAND()),$AF$6,$AF$7)),3)</f>
        <v/>
      </c>
      <c r="AI82" s="75" t="n">
        <v>87</v>
      </c>
      <c r="AJ82" s="5" t="n">
        <v>49.193</v>
      </c>
      <c r="AK82" s="5" t="n">
        <v>60.402</v>
      </c>
      <c r="AL82" s="5" t="n">
        <v>54.749</v>
      </c>
      <c r="AR82" s="75" t="n">
        <v>87</v>
      </c>
      <c r="AS82" s="5" t="n">
        <v>0</v>
      </c>
      <c r="AT82" s="5" t="n">
        <v>4.844104660238698</v>
      </c>
      <c r="AU82" s="5" t="n">
        <v>17.6508994271414</v>
      </c>
      <c r="AW82" s="75">
        <f>Z82/Demand!AU100</f>
        <v/>
      </c>
      <c r="AX82" s="75">
        <f>AA82/Demand!AV100</f>
        <v/>
      </c>
      <c r="AY82" s="75">
        <f>AB82/Demand!AW100</f>
        <v/>
      </c>
      <c r="BG82" s="75" t="n">
        <v>87</v>
      </c>
      <c r="BH82" s="75">
        <f>Results!$B$19+AJ82-Results!$D$21</f>
        <v/>
      </c>
      <c r="BI82" s="75">
        <f>Results!$B$19+AK82-Results!$D$21</f>
        <v/>
      </c>
      <c r="BJ82" s="75">
        <f>Results!$B$19+AL82-Results!$D$21</f>
        <v/>
      </c>
      <c r="BM82" s="75" t="n">
        <v>87</v>
      </c>
      <c r="BN82" s="75">
        <f>Results!D97</f>
        <v/>
      </c>
      <c r="BO82" s="75">
        <f>Results!E97</f>
        <v/>
      </c>
      <c r="BP82" s="75">
        <f>Results!F97</f>
        <v/>
      </c>
      <c r="BS82" s="75" t="n">
        <v>87</v>
      </c>
      <c r="BT82" s="75">
        <f>Demand!AU100</f>
        <v/>
      </c>
      <c r="BU82" s="75">
        <f>Demand!AV100</f>
        <v/>
      </c>
      <c r="BV82" s="75">
        <f>Demand!AW100</f>
        <v/>
      </c>
      <c r="BY82" s="75" t="n">
        <v>87</v>
      </c>
      <c r="BZ82" s="75">
        <f>Retailers_Cap!N83</f>
        <v/>
      </c>
      <c r="CA82" s="75">
        <f>Retailers_Cap!O83</f>
        <v/>
      </c>
      <c r="CB82" s="75">
        <f>Retailers_Cap!P83</f>
        <v/>
      </c>
      <c r="CD82" s="75" t="n">
        <v>87</v>
      </c>
      <c r="CE82" s="75">
        <f>IF((BT82-BZ82)&gt;=0,"Dem","Folga")</f>
        <v/>
      </c>
      <c r="CF82" s="75">
        <f>IF((BU82-CA82)&gt;=0,"Dem","Folga")</f>
        <v/>
      </c>
      <c r="CG82" s="75">
        <f>IF((BV82-CB82)&gt;=0,"Dem","Folga")</f>
        <v/>
      </c>
    </row>
    <row r="83">
      <c r="M83" s="75">
        <f>TRUNC((_xlfn.NORM.INV((RAND()),$L$6,$L$7)),2)</f>
        <v/>
      </c>
      <c r="O83" s="75" t="n">
        <v>88</v>
      </c>
      <c r="P83" s="5" t="n">
        <v>242.14</v>
      </c>
      <c r="Q83" s="5" t="n">
        <v>194.39</v>
      </c>
      <c r="R83" s="5" t="n">
        <v>164.58</v>
      </c>
      <c r="W83" s="75">
        <f>TRUNC((_xlfn.NORM.INV((RAND()),$V$6,$V$7)),3)</f>
        <v/>
      </c>
      <c r="Y83" s="75" t="n">
        <v>88</v>
      </c>
      <c r="Z83" s="5" t="n">
        <v>6.791</v>
      </c>
      <c r="AA83" s="5" t="n">
        <v>6.679</v>
      </c>
      <c r="AB83" s="5" t="n">
        <v>6.768</v>
      </c>
      <c r="AG83" s="75">
        <f>TRUNC((_xlfn.NORM.INV((RAND()),$AF$6,$AF$7)),3)</f>
        <v/>
      </c>
      <c r="AI83" s="75" t="n">
        <v>88</v>
      </c>
      <c r="AJ83" s="5" t="n">
        <v>63.535</v>
      </c>
      <c r="AK83" s="5" t="n">
        <v>56.853</v>
      </c>
      <c r="AL83" s="5" t="n">
        <v>54.955</v>
      </c>
      <c r="AR83" s="75" t="n">
        <v>88</v>
      </c>
      <c r="AS83" s="5" t="n">
        <v>0</v>
      </c>
      <c r="AT83" s="5" t="n">
        <v>0</v>
      </c>
      <c r="AU83" s="5" t="n">
        <v>0</v>
      </c>
      <c r="AW83" s="75">
        <f>Z83/Demand!AU101</f>
        <v/>
      </c>
      <c r="AX83" s="75">
        <f>AA83/Demand!AV101</f>
        <v/>
      </c>
      <c r="AY83" s="75">
        <f>AB83/Demand!AW101</f>
        <v/>
      </c>
      <c r="BG83" s="75" t="n">
        <v>88</v>
      </c>
      <c r="BH83" s="75">
        <f>Results!$B$19+AJ83-Results!$D$21</f>
        <v/>
      </c>
      <c r="BI83" s="75">
        <f>Results!$B$19+AK83-Results!$D$21</f>
        <v/>
      </c>
      <c r="BJ83" s="75">
        <f>Results!$B$19+AL83-Results!$D$21</f>
        <v/>
      </c>
      <c r="BM83" s="75" t="n">
        <v>88</v>
      </c>
      <c r="BN83" s="75">
        <f>Results!D98</f>
        <v/>
      </c>
      <c r="BO83" s="75">
        <f>Results!E98</f>
        <v/>
      </c>
      <c r="BP83" s="75">
        <f>Results!F98</f>
        <v/>
      </c>
      <c r="BS83" s="75" t="n">
        <v>88</v>
      </c>
      <c r="BT83" s="75">
        <f>Demand!AU101</f>
        <v/>
      </c>
      <c r="BU83" s="75">
        <f>Demand!AV101</f>
        <v/>
      </c>
      <c r="BV83" s="75">
        <f>Demand!AW101</f>
        <v/>
      </c>
      <c r="BY83" s="75" t="n">
        <v>88</v>
      </c>
      <c r="BZ83" s="75">
        <f>Retailers_Cap!N84</f>
        <v/>
      </c>
      <c r="CA83" s="75">
        <f>Retailers_Cap!O84</f>
        <v/>
      </c>
      <c r="CB83" s="75">
        <f>Retailers_Cap!P84</f>
        <v/>
      </c>
      <c r="CD83" s="75" t="n">
        <v>88</v>
      </c>
      <c r="CE83" s="75">
        <f>IF((BT83-BZ83)&gt;=0,"Dem","Folga")</f>
        <v/>
      </c>
      <c r="CF83" s="75">
        <f>IF((BU83-CA83)&gt;=0,"Dem","Folga")</f>
        <v/>
      </c>
      <c r="CG83" s="75">
        <f>IF((BV83-CB83)&gt;=0,"Dem","Folga")</f>
        <v/>
      </c>
    </row>
    <row r="84">
      <c r="M84" s="75">
        <f>TRUNC((_xlfn.NORM.INV((RAND()),$L$6,$L$7)),2)</f>
        <v/>
      </c>
      <c r="O84" s="75" t="n">
        <v>89</v>
      </c>
      <c r="P84" s="5" t="n">
        <v>177.37</v>
      </c>
      <c r="Q84" s="5" t="n">
        <v>172.8</v>
      </c>
      <c r="R84" s="5" t="n">
        <v>219.56</v>
      </c>
      <c r="W84" s="75">
        <f>TRUNC((_xlfn.NORM.INV((RAND()),$V$6,$V$7)),3)</f>
        <v/>
      </c>
      <c r="Y84" s="75" t="n">
        <v>89</v>
      </c>
      <c r="Z84" s="5" t="n">
        <v>6.776</v>
      </c>
      <c r="AA84" s="5" t="n">
        <v>6.749</v>
      </c>
      <c r="AB84" s="5" t="n">
        <v>6.774</v>
      </c>
      <c r="AG84" s="75">
        <f>TRUNC((_xlfn.NORM.INV((RAND()),$AF$6,$AF$7)),3)</f>
        <v/>
      </c>
      <c r="AI84" s="75" t="n">
        <v>89</v>
      </c>
      <c r="AJ84" s="5" t="n">
        <v>65.476</v>
      </c>
      <c r="AK84" s="5" t="n">
        <v>46.921</v>
      </c>
      <c r="AL84" s="5" t="n">
        <v>47.585</v>
      </c>
      <c r="AR84" s="75" t="n">
        <v>89</v>
      </c>
      <c r="AS84" s="5" t="n">
        <v>14.45904719764835</v>
      </c>
      <c r="AT84" s="5" t="n">
        <v>0</v>
      </c>
      <c r="AU84" s="5" t="n">
        <v>0</v>
      </c>
      <c r="AW84" s="75">
        <f>Z84/Demand!AU102</f>
        <v/>
      </c>
      <c r="AX84" s="75">
        <f>AA84/Demand!AV102</f>
        <v/>
      </c>
      <c r="AY84" s="75">
        <f>AB84/Demand!AW102</f>
        <v/>
      </c>
      <c r="BG84" s="75" t="n">
        <v>89</v>
      </c>
      <c r="BH84" s="75">
        <f>Results!$B$19+AJ84-Results!$D$21</f>
        <v/>
      </c>
      <c r="BI84" s="75">
        <f>Results!$B$19+AK84-Results!$D$21</f>
        <v/>
      </c>
      <c r="BJ84" s="75">
        <f>Results!$B$19+AL84-Results!$D$21</f>
        <v/>
      </c>
      <c r="BM84" s="75" t="n">
        <v>89</v>
      </c>
      <c r="BN84" s="75">
        <f>Results!D99</f>
        <v/>
      </c>
      <c r="BO84" s="75">
        <f>Results!E99</f>
        <v/>
      </c>
      <c r="BP84" s="75">
        <f>Results!F99</f>
        <v/>
      </c>
      <c r="BS84" s="75" t="n">
        <v>89</v>
      </c>
      <c r="BT84" s="75">
        <f>Demand!AU102</f>
        <v/>
      </c>
      <c r="BU84" s="75">
        <f>Demand!AV102</f>
        <v/>
      </c>
      <c r="BV84" s="75">
        <f>Demand!AW102</f>
        <v/>
      </c>
      <c r="BY84" s="75" t="n">
        <v>89</v>
      </c>
      <c r="BZ84" s="75">
        <f>Retailers_Cap!N85</f>
        <v/>
      </c>
      <c r="CA84" s="75">
        <f>Retailers_Cap!O85</f>
        <v/>
      </c>
      <c r="CB84" s="75">
        <f>Retailers_Cap!P85</f>
        <v/>
      </c>
      <c r="CD84" s="75" t="n">
        <v>89</v>
      </c>
      <c r="CE84" s="75">
        <f>IF((BT84-BZ84)&gt;=0,"Dem","Folga")</f>
        <v/>
      </c>
      <c r="CF84" s="75">
        <f>IF((BU84-CA84)&gt;=0,"Dem","Folga")</f>
        <v/>
      </c>
      <c r="CG84" s="75">
        <f>IF((BV84-CB84)&gt;=0,"Dem","Folga")</f>
        <v/>
      </c>
    </row>
    <row r="85">
      <c r="M85" s="75">
        <f>TRUNC((_xlfn.NORM.INV((RAND()),$L$6,$L$7)),2)</f>
        <v/>
      </c>
      <c r="O85" s="75" t="n">
        <v>90</v>
      </c>
      <c r="P85" s="5" t="n">
        <v>182.11</v>
      </c>
      <c r="Q85" s="5" t="n">
        <v>180.77</v>
      </c>
      <c r="R85" s="5" t="n">
        <v>249.92</v>
      </c>
      <c r="W85" s="75">
        <f>TRUNC((_xlfn.NORM.INV((RAND()),$V$6,$V$7)),3)</f>
        <v/>
      </c>
      <c r="Y85" s="75" t="n">
        <v>90</v>
      </c>
      <c r="Z85" s="5" t="n">
        <v>6.636</v>
      </c>
      <c r="AA85" s="5" t="n">
        <v>6.805</v>
      </c>
      <c r="AB85" s="5" t="n">
        <v>6.829</v>
      </c>
      <c r="AG85" s="75">
        <f>TRUNC((_xlfn.NORM.INV((RAND()),$AF$6,$AF$7)),3)</f>
        <v/>
      </c>
      <c r="AI85" s="75" t="n">
        <v>90</v>
      </c>
      <c r="AJ85" s="5" t="n">
        <v>43.388</v>
      </c>
      <c r="AK85" s="5" t="n">
        <v>75.02800000000001</v>
      </c>
      <c r="AL85" s="5" t="n">
        <v>62.04</v>
      </c>
      <c r="AR85" s="75" t="n">
        <v>90</v>
      </c>
      <c r="AS85" s="5" t="n">
        <v>0</v>
      </c>
      <c r="AT85" s="5" t="n">
        <v>0</v>
      </c>
      <c r="AU85" s="5" t="n">
        <v>0</v>
      </c>
      <c r="AW85" s="75">
        <f>Z85/Demand!AU103</f>
        <v/>
      </c>
      <c r="AX85" s="75">
        <f>AA85/Demand!AV103</f>
        <v/>
      </c>
      <c r="AY85" s="75">
        <f>AB85/Demand!AW103</f>
        <v/>
      </c>
      <c r="BG85" s="75" t="n">
        <v>90</v>
      </c>
      <c r="BH85" s="75">
        <f>Results!$B$19+AJ85-Results!$D$21</f>
        <v/>
      </c>
      <c r="BI85" s="75">
        <f>Results!$B$19+AK85-Results!$D$21</f>
        <v/>
      </c>
      <c r="BJ85" s="75">
        <f>Results!$B$19+AL85-Results!$D$21</f>
        <v/>
      </c>
      <c r="BM85" s="75" t="n">
        <v>90</v>
      </c>
      <c r="BN85" s="75">
        <f>Results!D100</f>
        <v/>
      </c>
      <c r="BO85" s="75">
        <f>Results!E100</f>
        <v/>
      </c>
      <c r="BP85" s="75">
        <f>Results!F100</f>
        <v/>
      </c>
      <c r="BS85" s="75" t="n">
        <v>90</v>
      </c>
      <c r="BT85" s="75">
        <f>Demand!AU103</f>
        <v/>
      </c>
      <c r="BU85" s="75">
        <f>Demand!AV103</f>
        <v/>
      </c>
      <c r="BV85" s="75">
        <f>Demand!AW103</f>
        <v/>
      </c>
      <c r="BY85" s="75" t="n">
        <v>90</v>
      </c>
      <c r="BZ85" s="75">
        <f>Retailers_Cap!N86</f>
        <v/>
      </c>
      <c r="CA85" s="75">
        <f>Retailers_Cap!O86</f>
        <v/>
      </c>
      <c r="CB85" s="75">
        <f>Retailers_Cap!P86</f>
        <v/>
      </c>
      <c r="CD85" s="75" t="n">
        <v>90</v>
      </c>
      <c r="CE85" s="75">
        <f>IF((BT85-BZ85)&gt;=0,"Dem","Folga")</f>
        <v/>
      </c>
      <c r="CF85" s="75">
        <f>IF((BU85-CA85)&gt;=0,"Dem","Folga")</f>
        <v/>
      </c>
      <c r="CG85" s="75">
        <f>IF((BV85-CB85)&gt;=0,"Dem","Folga")</f>
        <v/>
      </c>
    </row>
    <row r="86">
      <c r="M86" s="75">
        <f>TRUNC((_xlfn.NORM.INV((RAND()),$L$6,$L$7)),2)</f>
        <v/>
      </c>
      <c r="O86" s="75" t="n">
        <v>91</v>
      </c>
      <c r="P86" s="5" t="n">
        <v>175.31</v>
      </c>
      <c r="Q86" s="5" t="n">
        <v>175.67</v>
      </c>
      <c r="R86" s="5" t="n">
        <v>194.23</v>
      </c>
      <c r="W86" s="75">
        <f>TRUNC((_xlfn.NORM.INV((RAND()),$V$6,$V$7)),3)</f>
        <v/>
      </c>
      <c r="Y86" s="75" t="n">
        <v>91</v>
      </c>
      <c r="Z86" s="5" t="n">
        <v>6.657</v>
      </c>
      <c r="AA86" s="5" t="n">
        <v>6.61</v>
      </c>
      <c r="AB86" s="5" t="n">
        <v>6.742</v>
      </c>
      <c r="AG86" s="75">
        <f>TRUNC((_xlfn.NORM.INV((RAND()),$AF$6,$AF$7)),3)</f>
        <v/>
      </c>
      <c r="AI86" s="75" t="n">
        <v>91</v>
      </c>
      <c r="AJ86" s="5" t="n">
        <v>68.217</v>
      </c>
      <c r="AK86" s="5" t="n">
        <v>59.264</v>
      </c>
      <c r="AL86" s="5" t="n">
        <v>71.79300000000001</v>
      </c>
      <c r="AR86" s="75" t="n">
        <v>91</v>
      </c>
      <c r="AS86" s="5" t="n">
        <v>0</v>
      </c>
      <c r="AT86" s="5" t="n">
        <v>0</v>
      </c>
      <c r="AU86" s="5" t="n">
        <v>0</v>
      </c>
      <c r="AW86" s="75">
        <f>Z86/Demand!AU104</f>
        <v/>
      </c>
      <c r="AX86" s="75">
        <f>AA86/Demand!AV104</f>
        <v/>
      </c>
      <c r="AY86" s="75">
        <f>AB86/Demand!AW104</f>
        <v/>
      </c>
      <c r="BG86" s="75" t="n">
        <v>91</v>
      </c>
      <c r="BH86" s="75">
        <f>Results!$B$19+AJ86-Results!$D$21</f>
        <v/>
      </c>
      <c r="BI86" s="75">
        <f>Results!$B$19+AK86-Results!$D$21</f>
        <v/>
      </c>
      <c r="BJ86" s="75">
        <f>Results!$B$19+AL86-Results!$D$21</f>
        <v/>
      </c>
      <c r="BM86" s="75" t="n">
        <v>91</v>
      </c>
      <c r="BN86" s="75">
        <f>Results!D101</f>
        <v/>
      </c>
      <c r="BO86" s="75">
        <f>Results!E101</f>
        <v/>
      </c>
      <c r="BP86" s="75">
        <f>Results!F101</f>
        <v/>
      </c>
      <c r="BS86" s="75" t="n">
        <v>91</v>
      </c>
      <c r="BT86" s="75">
        <f>Demand!AU104</f>
        <v/>
      </c>
      <c r="BU86" s="75">
        <f>Demand!AV104</f>
        <v/>
      </c>
      <c r="BV86" s="75">
        <f>Demand!AW104</f>
        <v/>
      </c>
      <c r="BY86" s="75" t="n">
        <v>91</v>
      </c>
      <c r="BZ86" s="75">
        <f>Retailers_Cap!N87</f>
        <v/>
      </c>
      <c r="CA86" s="75">
        <f>Retailers_Cap!O87</f>
        <v/>
      </c>
      <c r="CB86" s="75">
        <f>Retailers_Cap!P87</f>
        <v/>
      </c>
      <c r="CD86" s="75" t="n">
        <v>91</v>
      </c>
      <c r="CE86" s="75">
        <f>IF((BT86-BZ86)&gt;=0,"Dem","Folga")</f>
        <v/>
      </c>
      <c r="CF86" s="75">
        <f>IF((BU86-CA86)&gt;=0,"Dem","Folga")</f>
        <v/>
      </c>
      <c r="CG86" s="75">
        <f>IF((BV86-CB86)&gt;=0,"Dem","Folga")</f>
        <v/>
      </c>
    </row>
    <row r="87">
      <c r="M87" s="75">
        <f>TRUNC((_xlfn.NORM.INV((RAND()),$L$6,$L$7)),2)</f>
        <v/>
      </c>
      <c r="O87" s="75" t="n">
        <v>92</v>
      </c>
      <c r="P87" s="5" t="n">
        <v>224.67</v>
      </c>
      <c r="Q87" s="5" t="n">
        <v>287.15</v>
      </c>
      <c r="R87" s="5" t="n">
        <v>171.49</v>
      </c>
      <c r="W87" s="75">
        <f>TRUNC((_xlfn.NORM.INV((RAND()),$V$6,$V$7)),3)</f>
        <v/>
      </c>
      <c r="Y87" s="75" t="n">
        <v>92</v>
      </c>
      <c r="Z87" s="5" t="n">
        <v>6.71</v>
      </c>
      <c r="AA87" s="5" t="n">
        <v>6.639</v>
      </c>
      <c r="AB87" s="5" t="n">
        <v>6.647</v>
      </c>
      <c r="AG87" s="75">
        <f>TRUNC((_xlfn.NORM.INV((RAND()),$AF$6,$AF$7)),3)</f>
        <v/>
      </c>
      <c r="AI87" s="75" t="n">
        <v>92</v>
      </c>
      <c r="AJ87" s="5" t="n">
        <v>51.088</v>
      </c>
      <c r="AK87" s="5" t="n">
        <v>58.817</v>
      </c>
      <c r="AL87" s="5" t="n">
        <v>68.974</v>
      </c>
      <c r="AR87" s="75" t="n">
        <v>92</v>
      </c>
      <c r="AS87" s="5" t="n">
        <v>25.78103090573549</v>
      </c>
      <c r="AT87" s="5" t="n">
        <v>0</v>
      </c>
      <c r="AU87" s="5" t="n">
        <v>0</v>
      </c>
      <c r="AW87" s="75">
        <f>Z87/Demand!AU105</f>
        <v/>
      </c>
      <c r="AX87" s="75">
        <f>AA87/Demand!AV105</f>
        <v/>
      </c>
      <c r="AY87" s="75">
        <f>AB87/Demand!AW105</f>
        <v/>
      </c>
      <c r="BG87" s="75" t="n">
        <v>92</v>
      </c>
      <c r="BH87" s="75">
        <f>Results!$B$19+AJ87-Results!$D$21</f>
        <v/>
      </c>
      <c r="BI87" s="75">
        <f>Results!$B$19+AK87-Results!$D$21</f>
        <v/>
      </c>
      <c r="BJ87" s="75">
        <f>Results!$B$19+AL87-Results!$D$21</f>
        <v/>
      </c>
      <c r="BM87" s="75" t="n">
        <v>92</v>
      </c>
      <c r="BN87" s="75">
        <f>Results!D102</f>
        <v/>
      </c>
      <c r="BO87" s="75">
        <f>Results!E102</f>
        <v/>
      </c>
      <c r="BP87" s="75">
        <f>Results!F102</f>
        <v/>
      </c>
      <c r="BS87" s="75" t="n">
        <v>92</v>
      </c>
      <c r="BT87" s="75">
        <f>Demand!AU105</f>
        <v/>
      </c>
      <c r="BU87" s="75">
        <f>Demand!AV105</f>
        <v/>
      </c>
      <c r="BV87" s="75">
        <f>Demand!AW105</f>
        <v/>
      </c>
      <c r="BY87" s="75" t="n">
        <v>92</v>
      </c>
      <c r="BZ87" s="75">
        <f>Retailers_Cap!N88</f>
        <v/>
      </c>
      <c r="CA87" s="75">
        <f>Retailers_Cap!O88</f>
        <v/>
      </c>
      <c r="CB87" s="75">
        <f>Retailers_Cap!P88</f>
        <v/>
      </c>
      <c r="CD87" s="75" t="n">
        <v>92</v>
      </c>
      <c r="CE87" s="75">
        <f>IF((BT87-BZ87)&gt;=0,"Dem","Folga")</f>
        <v/>
      </c>
      <c r="CF87" s="75">
        <f>IF((BU87-CA87)&gt;=0,"Dem","Folga")</f>
        <v/>
      </c>
      <c r="CG87" s="75">
        <f>IF((BV87-CB87)&gt;=0,"Dem","Folga")</f>
        <v/>
      </c>
    </row>
    <row r="88">
      <c r="M88" s="75">
        <f>TRUNC((_xlfn.NORM.INV((RAND()),$L$6,$L$7)),2)</f>
        <v/>
      </c>
      <c r="O88" s="75" t="n">
        <v>93</v>
      </c>
      <c r="P88" s="5" t="n">
        <v>169.32</v>
      </c>
      <c r="Q88" s="5" t="n">
        <v>216.85</v>
      </c>
      <c r="R88" s="5" t="n">
        <v>197.85</v>
      </c>
      <c r="W88" s="75">
        <f>TRUNC((_xlfn.NORM.INV((RAND()),$V$6,$V$7)),3)</f>
        <v/>
      </c>
      <c r="Y88" s="75" t="n">
        <v>93</v>
      </c>
      <c r="Z88" s="5" t="n">
        <v>6.739</v>
      </c>
      <c r="AA88" s="5" t="n">
        <v>6.69</v>
      </c>
      <c r="AB88" s="5" t="n">
        <v>6.858</v>
      </c>
      <c r="AG88" s="75">
        <f>TRUNC((_xlfn.NORM.INV((RAND()),$AF$6,$AF$7)),3)</f>
        <v/>
      </c>
      <c r="AI88" s="75" t="n">
        <v>93</v>
      </c>
      <c r="AJ88" s="5" t="n">
        <v>63.733</v>
      </c>
      <c r="AK88" s="5" t="n">
        <v>56.199</v>
      </c>
      <c r="AL88" s="5" t="n">
        <v>54.766</v>
      </c>
      <c r="AR88" s="75" t="n">
        <v>93</v>
      </c>
      <c r="AS88" s="5" t="n">
        <v>32.81347780208073</v>
      </c>
      <c r="AT88" s="5" t="n">
        <v>0</v>
      </c>
      <c r="AU88" s="5" t="n">
        <v>0</v>
      </c>
      <c r="AW88" s="75">
        <f>Z88/Demand!AU106</f>
        <v/>
      </c>
      <c r="AX88" s="75">
        <f>AA88/Demand!AV106</f>
        <v/>
      </c>
      <c r="AY88" s="75">
        <f>AB88/Demand!AW106</f>
        <v/>
      </c>
      <c r="BG88" s="75" t="n">
        <v>93</v>
      </c>
      <c r="BH88" s="75">
        <f>Results!$B$19+AJ88-Results!$D$21</f>
        <v/>
      </c>
      <c r="BI88" s="75">
        <f>Results!$B$19+AK88-Results!$D$21</f>
        <v/>
      </c>
      <c r="BJ88" s="75">
        <f>Results!$B$19+AL88-Results!$D$21</f>
        <v/>
      </c>
      <c r="BM88" s="75" t="n">
        <v>93</v>
      </c>
      <c r="BN88" s="75">
        <f>Results!D103</f>
        <v/>
      </c>
      <c r="BO88" s="75">
        <f>Results!E103</f>
        <v/>
      </c>
      <c r="BP88" s="75">
        <f>Results!F103</f>
        <v/>
      </c>
      <c r="BS88" s="75" t="n">
        <v>93</v>
      </c>
      <c r="BT88" s="75">
        <f>Demand!AU106</f>
        <v/>
      </c>
      <c r="BU88" s="75">
        <f>Demand!AV106</f>
        <v/>
      </c>
      <c r="BV88" s="75">
        <f>Demand!AW106</f>
        <v/>
      </c>
      <c r="BY88" s="75" t="n">
        <v>93</v>
      </c>
      <c r="BZ88" s="75">
        <f>Retailers_Cap!N89</f>
        <v/>
      </c>
      <c r="CA88" s="75">
        <f>Retailers_Cap!O89</f>
        <v/>
      </c>
      <c r="CB88" s="75">
        <f>Retailers_Cap!P89</f>
        <v/>
      </c>
      <c r="CD88" s="75" t="n">
        <v>93</v>
      </c>
      <c r="CE88" s="75">
        <f>IF((BT88-BZ88)&gt;=0,"Dem","Folga")</f>
        <v/>
      </c>
      <c r="CF88" s="75">
        <f>IF((BU88-CA88)&gt;=0,"Dem","Folga")</f>
        <v/>
      </c>
      <c r="CG88" s="75">
        <f>IF((BV88-CB88)&gt;=0,"Dem","Folga")</f>
        <v/>
      </c>
    </row>
    <row r="89">
      <c r="M89" s="75">
        <f>TRUNC((_xlfn.NORM.INV((RAND()),$L$6,$L$7)),2)</f>
        <v/>
      </c>
      <c r="O89" s="75" t="n">
        <v>94</v>
      </c>
      <c r="P89" s="5" t="n">
        <v>212.17</v>
      </c>
      <c r="Q89" s="5" t="n">
        <v>273</v>
      </c>
      <c r="R89" s="5" t="n">
        <v>156.67</v>
      </c>
      <c r="W89" s="75">
        <f>TRUNC((_xlfn.NORM.INV((RAND()),$V$6,$V$7)),3)</f>
        <v/>
      </c>
      <c r="Y89" s="75" t="n">
        <v>94</v>
      </c>
      <c r="Z89" s="5" t="n">
        <v>6.676</v>
      </c>
      <c r="AA89" s="5" t="n">
        <v>6.769</v>
      </c>
      <c r="AB89" s="5" t="n">
        <v>6.707</v>
      </c>
      <c r="AG89" s="75">
        <f>TRUNC((_xlfn.NORM.INV((RAND()),$AF$6,$AF$7)),3)</f>
        <v/>
      </c>
      <c r="AI89" s="75" t="n">
        <v>94</v>
      </c>
      <c r="AJ89" s="5" t="n">
        <v>54.094</v>
      </c>
      <c r="AK89" s="5" t="n">
        <v>44.299</v>
      </c>
      <c r="AL89" s="5" t="n">
        <v>66.834</v>
      </c>
      <c r="AR89" s="75" t="n">
        <v>94</v>
      </c>
      <c r="AS89" s="5" t="n">
        <v>0</v>
      </c>
      <c r="AT89" s="5" t="n">
        <v>3.485629001430078</v>
      </c>
      <c r="AU89" s="5" t="n">
        <v>17.56161021377665</v>
      </c>
      <c r="AW89" s="75">
        <f>Z89/Demand!AU107</f>
        <v/>
      </c>
      <c r="AX89" s="75">
        <f>AA89/Demand!AV107</f>
        <v/>
      </c>
      <c r="AY89" s="75">
        <f>AB89/Demand!AW107</f>
        <v/>
      </c>
      <c r="BG89" s="75" t="n">
        <v>94</v>
      </c>
      <c r="BH89" s="75">
        <f>Results!$B$19+AJ89-Results!$D$21</f>
        <v/>
      </c>
      <c r="BI89" s="75">
        <f>Results!$B$19+AK89-Results!$D$21</f>
        <v/>
      </c>
      <c r="BJ89" s="75">
        <f>Results!$B$19+AL89-Results!$D$21</f>
        <v/>
      </c>
      <c r="BM89" s="75" t="n">
        <v>94</v>
      </c>
      <c r="BN89" s="75">
        <f>Results!D104</f>
        <v/>
      </c>
      <c r="BO89" s="75">
        <f>Results!E104</f>
        <v/>
      </c>
      <c r="BP89" s="75">
        <f>Results!F104</f>
        <v/>
      </c>
      <c r="BS89" s="75" t="n">
        <v>94</v>
      </c>
      <c r="BT89" s="75">
        <f>Demand!AU107</f>
        <v/>
      </c>
      <c r="BU89" s="75">
        <f>Demand!AV107</f>
        <v/>
      </c>
      <c r="BV89" s="75">
        <f>Demand!AW107</f>
        <v/>
      </c>
      <c r="BY89" s="75" t="n">
        <v>94</v>
      </c>
      <c r="BZ89" s="75">
        <f>Retailers_Cap!N90</f>
        <v/>
      </c>
      <c r="CA89" s="75">
        <f>Retailers_Cap!O90</f>
        <v/>
      </c>
      <c r="CB89" s="75">
        <f>Retailers_Cap!P90</f>
        <v/>
      </c>
      <c r="CD89" s="75" t="n">
        <v>94</v>
      </c>
      <c r="CE89" s="75">
        <f>IF((BT89-BZ89)&gt;=0,"Dem","Folga")</f>
        <v/>
      </c>
      <c r="CF89" s="75">
        <f>IF((BU89-CA89)&gt;=0,"Dem","Folga")</f>
        <v/>
      </c>
      <c r="CG89" s="75">
        <f>IF((BV89-CB89)&gt;=0,"Dem","Folga")</f>
        <v/>
      </c>
    </row>
    <row r="90">
      <c r="M90" s="75">
        <f>TRUNC((_xlfn.NORM.INV((RAND()),$L$6,$L$7)),2)</f>
        <v/>
      </c>
      <c r="O90" s="75" t="n">
        <v>95</v>
      </c>
      <c r="P90" s="5" t="n">
        <v>223.33</v>
      </c>
      <c r="Q90" s="5" t="n">
        <v>253.01</v>
      </c>
      <c r="R90" s="5" t="n">
        <v>211.19</v>
      </c>
      <c r="W90" s="75">
        <f>TRUNC((_xlfn.NORM.INV((RAND()),$V$6,$V$7)),3)</f>
        <v/>
      </c>
      <c r="Y90" s="75" t="n">
        <v>95</v>
      </c>
      <c r="Z90" s="5" t="n">
        <v>6.788</v>
      </c>
      <c r="AA90" s="5" t="n">
        <v>6.692</v>
      </c>
      <c r="AB90" s="5" t="n">
        <v>6.766</v>
      </c>
      <c r="AG90" s="75">
        <f>TRUNC((_xlfn.NORM.INV((RAND()),$AF$6,$AF$7)),3)</f>
        <v/>
      </c>
      <c r="AI90" s="75" t="n">
        <v>95</v>
      </c>
      <c r="AJ90" s="5" t="n">
        <v>65.167</v>
      </c>
      <c r="AK90" s="5" t="n">
        <v>53.927</v>
      </c>
      <c r="AL90" s="5" t="n">
        <v>50.366</v>
      </c>
      <c r="AR90" s="75" t="n">
        <v>95</v>
      </c>
      <c r="AS90" s="5" t="n">
        <v>0</v>
      </c>
      <c r="AT90" s="5" t="n">
        <v>11.33105018499738</v>
      </c>
      <c r="AU90" s="5" t="n">
        <v>7.316412486994533</v>
      </c>
      <c r="AW90" s="75">
        <f>Z90/Demand!AU108</f>
        <v/>
      </c>
      <c r="AX90" s="75">
        <f>AA90/Demand!AV108</f>
        <v/>
      </c>
      <c r="AY90" s="75">
        <f>AB90/Demand!AW108</f>
        <v/>
      </c>
      <c r="BG90" s="75" t="n">
        <v>95</v>
      </c>
      <c r="BH90" s="75">
        <f>Results!$B$19+AJ90-Results!$D$21</f>
        <v/>
      </c>
      <c r="BI90" s="75">
        <f>Results!$B$19+AK90-Results!$D$21</f>
        <v/>
      </c>
      <c r="BJ90" s="75">
        <f>Results!$B$19+AL90-Results!$D$21</f>
        <v/>
      </c>
      <c r="BM90" s="75" t="n">
        <v>95</v>
      </c>
      <c r="BN90" s="75">
        <f>Results!D105</f>
        <v/>
      </c>
      <c r="BO90" s="75">
        <f>Results!E105</f>
        <v/>
      </c>
      <c r="BP90" s="75">
        <f>Results!F105</f>
        <v/>
      </c>
      <c r="BS90" s="75" t="n">
        <v>95</v>
      </c>
      <c r="BT90" s="75">
        <f>Demand!AU108</f>
        <v/>
      </c>
      <c r="BU90" s="75">
        <f>Demand!AV108</f>
        <v/>
      </c>
      <c r="BV90" s="75">
        <f>Demand!AW108</f>
        <v/>
      </c>
      <c r="BY90" s="75" t="n">
        <v>95</v>
      </c>
      <c r="BZ90" s="75">
        <f>Retailers_Cap!N91</f>
        <v/>
      </c>
      <c r="CA90" s="75">
        <f>Retailers_Cap!O91</f>
        <v/>
      </c>
      <c r="CB90" s="75">
        <f>Retailers_Cap!P91</f>
        <v/>
      </c>
      <c r="CD90" s="75" t="n">
        <v>95</v>
      </c>
      <c r="CE90" s="75">
        <f>IF((BT90-BZ90)&gt;=0,"Dem","Folga")</f>
        <v/>
      </c>
      <c r="CF90" s="75">
        <f>IF((BU90-CA90)&gt;=0,"Dem","Folga")</f>
        <v/>
      </c>
      <c r="CG90" s="75">
        <f>IF((BV90-CB90)&gt;=0,"Dem","Folga")</f>
        <v/>
      </c>
    </row>
    <row r="91">
      <c r="M91" s="75">
        <f>TRUNC((_xlfn.NORM.INV((RAND()),$L$6,$L$7)),2)</f>
        <v/>
      </c>
      <c r="O91" s="75" t="n">
        <v>96</v>
      </c>
      <c r="P91" s="5" t="n">
        <v>188.28</v>
      </c>
      <c r="Q91" s="5" t="n">
        <v>152.79</v>
      </c>
      <c r="R91" s="5" t="n">
        <v>158.73</v>
      </c>
      <c r="W91" s="75">
        <f>TRUNC((_xlfn.NORM.INV((RAND()),$V$6,$V$7)),3)</f>
        <v/>
      </c>
      <c r="Y91" s="75" t="n">
        <v>96</v>
      </c>
      <c r="Z91" s="5" t="n">
        <v>6.685</v>
      </c>
      <c r="AA91" s="5" t="n">
        <v>6.741</v>
      </c>
      <c r="AB91" s="5" t="n">
        <v>6.695</v>
      </c>
      <c r="AG91" s="75">
        <f>TRUNC((_xlfn.NORM.INV((RAND()),$AF$6,$AF$7)),3)</f>
        <v/>
      </c>
      <c r="AI91" s="75" t="n">
        <v>96</v>
      </c>
      <c r="AJ91" s="5" t="n">
        <v>45.181</v>
      </c>
      <c r="AK91" s="5" t="n">
        <v>83.289</v>
      </c>
      <c r="AL91" s="5" t="n">
        <v>55.479</v>
      </c>
      <c r="AR91" s="75" t="n">
        <v>96</v>
      </c>
      <c r="AS91" s="5" t="n">
        <v>0</v>
      </c>
      <c r="AT91" s="5" t="n">
        <v>0</v>
      </c>
      <c r="AU91" s="5" t="n">
        <v>0</v>
      </c>
      <c r="AW91" s="75">
        <f>Z91/Demand!AU109</f>
        <v/>
      </c>
      <c r="AX91" s="75">
        <f>AA91/Demand!AV109</f>
        <v/>
      </c>
      <c r="AY91" s="75">
        <f>AB91/Demand!AW109</f>
        <v/>
      </c>
      <c r="BG91" s="75" t="n">
        <v>96</v>
      </c>
      <c r="BH91" s="75">
        <f>Results!$B$19+AJ91-Results!$D$21</f>
        <v/>
      </c>
      <c r="BI91" s="75">
        <f>Results!$B$19+AK91-Results!$D$21</f>
        <v/>
      </c>
      <c r="BJ91" s="75">
        <f>Results!$B$19+AL91-Results!$D$21</f>
        <v/>
      </c>
      <c r="BM91" s="75" t="n">
        <v>96</v>
      </c>
      <c r="BN91" s="75">
        <f>Results!D106</f>
        <v/>
      </c>
      <c r="BO91" s="75">
        <f>Results!E106</f>
        <v/>
      </c>
      <c r="BP91" s="75">
        <f>Results!F106</f>
        <v/>
      </c>
      <c r="BS91" s="75" t="n">
        <v>96</v>
      </c>
      <c r="BT91" s="75">
        <f>Demand!AU109</f>
        <v/>
      </c>
      <c r="BU91" s="75">
        <f>Demand!AV109</f>
        <v/>
      </c>
      <c r="BV91" s="75">
        <f>Demand!AW109</f>
        <v/>
      </c>
      <c r="BY91" s="75" t="n">
        <v>96</v>
      </c>
      <c r="BZ91" s="75">
        <f>Retailers_Cap!N92</f>
        <v/>
      </c>
      <c r="CA91" s="75">
        <f>Retailers_Cap!O92</f>
        <v/>
      </c>
      <c r="CB91" s="75">
        <f>Retailers_Cap!P92</f>
        <v/>
      </c>
      <c r="CD91" s="75" t="n">
        <v>96</v>
      </c>
      <c r="CE91" s="75">
        <f>IF((BT91-BZ91)&gt;=0,"Dem","Folga")</f>
        <v/>
      </c>
      <c r="CF91" s="75">
        <f>IF((BU91-CA91)&gt;=0,"Dem","Folga")</f>
        <v/>
      </c>
      <c r="CG91" s="75">
        <f>IF((BV91-CB91)&gt;=0,"Dem","Folga")</f>
        <v/>
      </c>
    </row>
    <row r="92">
      <c r="M92" s="75">
        <f>TRUNC((_xlfn.NORM.INV((RAND()),$L$6,$L$7)),2)</f>
        <v/>
      </c>
      <c r="O92" s="75" t="n">
        <v>97</v>
      </c>
      <c r="P92" s="5" t="n">
        <v>183.55</v>
      </c>
      <c r="Q92" s="5" t="n">
        <v>189.74</v>
      </c>
      <c r="R92" s="5" t="n">
        <v>210.71</v>
      </c>
      <c r="W92" s="75">
        <f>TRUNC((_xlfn.NORM.INV((RAND()),$V$6,$V$7)),3)</f>
        <v/>
      </c>
      <c r="Y92" s="75" t="n">
        <v>97</v>
      </c>
      <c r="Z92" s="5" t="n">
        <v>6.668</v>
      </c>
      <c r="AA92" s="5" t="n">
        <v>6.723</v>
      </c>
      <c r="AB92" s="5" t="n">
        <v>6.742</v>
      </c>
      <c r="AG92" s="75">
        <f>TRUNC((_xlfn.NORM.INV((RAND()),$AF$6,$AF$7)),3)</f>
        <v/>
      </c>
      <c r="AI92" s="75" t="n">
        <v>97</v>
      </c>
      <c r="AJ92" s="5" t="n">
        <v>79.949</v>
      </c>
      <c r="AK92" s="5" t="n">
        <v>56.712</v>
      </c>
      <c r="AL92" s="5" t="n">
        <v>81.46599999999999</v>
      </c>
      <c r="AR92" s="75" t="n">
        <v>97</v>
      </c>
      <c r="AS92" s="5" t="n">
        <v>7.403876827357038</v>
      </c>
      <c r="AT92" s="5" t="n">
        <v>0</v>
      </c>
      <c r="AU92" s="5" t="n">
        <v>10.34390409567436</v>
      </c>
      <c r="AW92" s="75">
        <f>Z92/Demand!AU110</f>
        <v/>
      </c>
      <c r="AX92" s="75">
        <f>AA92/Demand!AV110</f>
        <v/>
      </c>
      <c r="AY92" s="75">
        <f>AB92/Demand!AW110</f>
        <v/>
      </c>
      <c r="BG92" s="75" t="n">
        <v>97</v>
      </c>
      <c r="BH92" s="75">
        <f>Results!$B$19+AJ92-Results!$D$21</f>
        <v/>
      </c>
      <c r="BI92" s="75">
        <f>Results!$B$19+AK92-Results!$D$21</f>
        <v/>
      </c>
      <c r="BJ92" s="75">
        <f>Results!$B$19+AL92-Results!$D$21</f>
        <v/>
      </c>
      <c r="BM92" s="75" t="n">
        <v>97</v>
      </c>
      <c r="BN92" s="75">
        <f>Results!D107</f>
        <v/>
      </c>
      <c r="BO92" s="75">
        <f>Results!E107</f>
        <v/>
      </c>
      <c r="BP92" s="75">
        <f>Results!F107</f>
        <v/>
      </c>
      <c r="BS92" s="75" t="n">
        <v>97</v>
      </c>
      <c r="BT92" s="75">
        <f>Demand!AU110</f>
        <v/>
      </c>
      <c r="BU92" s="75">
        <f>Demand!AV110</f>
        <v/>
      </c>
      <c r="BV92" s="75">
        <f>Demand!AW110</f>
        <v/>
      </c>
      <c r="BY92" s="75" t="n">
        <v>97</v>
      </c>
      <c r="BZ92" s="75">
        <f>Retailers_Cap!N93</f>
        <v/>
      </c>
      <c r="CA92" s="75">
        <f>Retailers_Cap!O93</f>
        <v/>
      </c>
      <c r="CB92" s="75">
        <f>Retailers_Cap!P93</f>
        <v/>
      </c>
      <c r="CD92" s="75" t="n">
        <v>97</v>
      </c>
      <c r="CE92" s="75">
        <f>IF((BT92-BZ92)&gt;=0,"Dem","Folga")</f>
        <v/>
      </c>
      <c r="CF92" s="75">
        <f>IF((BU92-CA92)&gt;=0,"Dem","Folga")</f>
        <v/>
      </c>
      <c r="CG92" s="75">
        <f>IF((BV92-CB92)&gt;=0,"Dem","Folga")</f>
        <v/>
      </c>
    </row>
    <row r="93">
      <c r="M93" s="75">
        <f>TRUNC((_xlfn.NORM.INV((RAND()),$L$6,$L$7)),2)</f>
        <v/>
      </c>
      <c r="O93" s="75" t="n">
        <v>98</v>
      </c>
      <c r="P93" s="5" t="n">
        <v>252.83</v>
      </c>
      <c r="Q93" s="5" t="n">
        <v>187.91</v>
      </c>
      <c r="R93" s="5" t="n">
        <v>205.02</v>
      </c>
      <c r="W93" s="75">
        <f>TRUNC((_xlfn.NORM.INV((RAND()),$V$6,$V$7)),3)</f>
        <v/>
      </c>
      <c r="Y93" s="75" t="n">
        <v>98</v>
      </c>
      <c r="Z93" s="5" t="n">
        <v>6.617</v>
      </c>
      <c r="AA93" s="5" t="n">
        <v>6.805</v>
      </c>
      <c r="AB93" s="5" t="n">
        <v>6.799</v>
      </c>
      <c r="AG93" s="75">
        <f>TRUNC((_xlfn.NORM.INV((RAND()),$AF$6,$AF$7)),3)</f>
        <v/>
      </c>
      <c r="AI93" s="75" t="n">
        <v>98</v>
      </c>
      <c r="AJ93" s="5" t="n">
        <v>54.484</v>
      </c>
      <c r="AK93" s="5" t="n">
        <v>51.385</v>
      </c>
      <c r="AL93" s="5" t="n">
        <v>48.596</v>
      </c>
      <c r="AR93" s="75" t="n">
        <v>98</v>
      </c>
      <c r="AS93" s="5" t="n">
        <v>0</v>
      </c>
      <c r="AT93" s="5" t="n">
        <v>0</v>
      </c>
      <c r="AU93" s="5" t="n">
        <v>18.61571747574346</v>
      </c>
      <c r="AW93" s="75">
        <f>Z93/Demand!AU111</f>
        <v/>
      </c>
      <c r="AX93" s="75">
        <f>AA93/Demand!AV111</f>
        <v/>
      </c>
      <c r="AY93" s="75">
        <f>AB93/Demand!AW111</f>
        <v/>
      </c>
      <c r="BG93" s="75" t="n">
        <v>98</v>
      </c>
      <c r="BH93" s="75">
        <f>Results!$B$19+AJ93-Results!$D$21</f>
        <v/>
      </c>
      <c r="BI93" s="75">
        <f>Results!$B$19+AK93-Results!$D$21</f>
        <v/>
      </c>
      <c r="BJ93" s="75">
        <f>Results!$B$19+AL93-Results!$D$21</f>
        <v/>
      </c>
      <c r="BM93" s="75" t="n">
        <v>98</v>
      </c>
      <c r="BN93" s="75">
        <f>Results!D108</f>
        <v/>
      </c>
      <c r="BO93" s="75">
        <f>Results!E108</f>
        <v/>
      </c>
      <c r="BP93" s="75">
        <f>Results!F108</f>
        <v/>
      </c>
      <c r="BS93" s="75" t="n">
        <v>98</v>
      </c>
      <c r="BT93" s="75">
        <f>Demand!AU111</f>
        <v/>
      </c>
      <c r="BU93" s="75">
        <f>Demand!AV111</f>
        <v/>
      </c>
      <c r="BV93" s="75">
        <f>Demand!AW111</f>
        <v/>
      </c>
      <c r="BY93" s="75" t="n">
        <v>98</v>
      </c>
      <c r="BZ93" s="75">
        <f>Retailers_Cap!N94</f>
        <v/>
      </c>
      <c r="CA93" s="75">
        <f>Retailers_Cap!O94</f>
        <v/>
      </c>
      <c r="CB93" s="75">
        <f>Retailers_Cap!P94</f>
        <v/>
      </c>
      <c r="CD93" s="75" t="n">
        <v>98</v>
      </c>
      <c r="CE93" s="75">
        <f>IF((BT93-BZ93)&gt;=0,"Dem","Folga")</f>
        <v/>
      </c>
      <c r="CF93" s="75">
        <f>IF((BU93-CA93)&gt;=0,"Dem","Folga")</f>
        <v/>
      </c>
      <c r="CG93" s="75">
        <f>IF((BV93-CB93)&gt;=0,"Dem","Folga")</f>
        <v/>
      </c>
    </row>
    <row r="94">
      <c r="M94" s="75">
        <f>TRUNC((_xlfn.NORM.INV((RAND()),$L$6,$L$7)),2)</f>
        <v/>
      </c>
      <c r="O94" s="75" t="n">
        <v>99</v>
      </c>
      <c r="P94" s="5" t="n">
        <v>214.58</v>
      </c>
      <c r="Q94" s="5" t="n">
        <v>108.93</v>
      </c>
      <c r="R94" s="5" t="n">
        <v>257.43</v>
      </c>
      <c r="W94" s="75">
        <f>TRUNC((_xlfn.NORM.INV((RAND()),$V$6,$V$7)),3)</f>
        <v/>
      </c>
      <c r="Y94" s="75" t="n">
        <v>99</v>
      </c>
      <c r="Z94" s="5" t="n">
        <v>6.745</v>
      </c>
      <c r="AA94" s="5" t="n">
        <v>6.784</v>
      </c>
      <c r="AB94" s="5" t="n">
        <v>6.736</v>
      </c>
      <c r="AG94" s="75">
        <f>TRUNC((_xlfn.NORM.INV((RAND()),$AF$6,$AF$7)),3)</f>
        <v/>
      </c>
      <c r="AI94" s="75" t="n">
        <v>99</v>
      </c>
      <c r="AJ94" s="5" t="n">
        <v>76.26000000000001</v>
      </c>
      <c r="AK94" s="5" t="n">
        <v>60.901</v>
      </c>
      <c r="AL94" s="5" t="n">
        <v>73.62</v>
      </c>
      <c r="AR94" s="75" t="n">
        <v>99</v>
      </c>
      <c r="AS94" s="5" t="n">
        <v>0</v>
      </c>
      <c r="AT94" s="5" t="n">
        <v>1.988385751156432</v>
      </c>
      <c r="AU94" s="5" t="n">
        <v>0</v>
      </c>
      <c r="AW94" s="75">
        <f>Z94/Demand!AU112</f>
        <v/>
      </c>
      <c r="AX94" s="75">
        <f>AA94/Demand!AV112</f>
        <v/>
      </c>
      <c r="AY94" s="75">
        <f>AB94/Demand!AW112</f>
        <v/>
      </c>
      <c r="BG94" s="75" t="n">
        <v>99</v>
      </c>
      <c r="BH94" s="75">
        <f>Results!$B$19+AJ94-Results!$D$21</f>
        <v/>
      </c>
      <c r="BI94" s="75">
        <f>Results!$B$19+AK94-Results!$D$21</f>
        <v/>
      </c>
      <c r="BJ94" s="75">
        <f>Results!$B$19+AL94-Results!$D$21</f>
        <v/>
      </c>
      <c r="BM94" s="75" t="n">
        <v>99</v>
      </c>
      <c r="BN94" s="75">
        <f>Results!D109</f>
        <v/>
      </c>
      <c r="BO94" s="75">
        <f>Results!E109</f>
        <v/>
      </c>
      <c r="BP94" s="75">
        <f>Results!F109</f>
        <v/>
      </c>
      <c r="BS94" s="75" t="n">
        <v>99</v>
      </c>
      <c r="BT94" s="75">
        <f>Demand!AU112</f>
        <v/>
      </c>
      <c r="BU94" s="75">
        <f>Demand!AV112</f>
        <v/>
      </c>
      <c r="BV94" s="75">
        <f>Demand!AW112</f>
        <v/>
      </c>
      <c r="BY94" s="75" t="n">
        <v>99</v>
      </c>
      <c r="BZ94" s="75">
        <f>Retailers_Cap!N95</f>
        <v/>
      </c>
      <c r="CA94" s="75">
        <f>Retailers_Cap!O95</f>
        <v/>
      </c>
      <c r="CB94" s="75">
        <f>Retailers_Cap!P95</f>
        <v/>
      </c>
      <c r="CD94" s="75" t="n">
        <v>99</v>
      </c>
      <c r="CE94" s="75">
        <f>IF((BT94-BZ94)&gt;=0,"Dem","Folga")</f>
        <v/>
      </c>
      <c r="CF94" s="75">
        <f>IF((BU94-CA94)&gt;=0,"Dem","Folga")</f>
        <v/>
      </c>
      <c r="CG94" s="75">
        <f>IF((BV94-CB94)&gt;=0,"Dem","Folga")</f>
        <v/>
      </c>
    </row>
    <row r="95">
      <c r="M95" s="75">
        <f>TRUNC((_xlfn.NORM.INV((RAND()),$L$6,$L$7)),2)</f>
        <v/>
      </c>
      <c r="O95" s="75" t="n">
        <v>100</v>
      </c>
      <c r="P95" s="5" t="n">
        <v>153.67</v>
      </c>
      <c r="Q95" s="5" t="n">
        <v>198.07</v>
      </c>
      <c r="R95" s="5" t="n">
        <v>177.42</v>
      </c>
      <c r="W95" s="75">
        <f>TRUNC((_xlfn.NORM.INV((RAND()),$V$6,$V$7)),3)</f>
        <v/>
      </c>
      <c r="Y95" s="75" t="n">
        <v>100</v>
      </c>
      <c r="Z95" s="5" t="n">
        <v>6.746</v>
      </c>
      <c r="AA95" s="5" t="n">
        <v>6.645</v>
      </c>
      <c r="AB95" s="5" t="n">
        <v>6.706</v>
      </c>
      <c r="AG95" s="75">
        <f>TRUNC((_xlfn.NORM.INV((RAND()),$AF$6,$AF$7)),3)</f>
        <v/>
      </c>
      <c r="AI95" s="75" t="n">
        <v>100</v>
      </c>
      <c r="AJ95" s="5" t="n">
        <v>53.359</v>
      </c>
      <c r="AK95" s="5" t="n">
        <v>64.407</v>
      </c>
      <c r="AL95" s="5" t="n">
        <v>60.387</v>
      </c>
      <c r="AR95" s="75" t="n">
        <v>100</v>
      </c>
      <c r="AS95" s="5" t="n">
        <v>0</v>
      </c>
      <c r="AT95" s="5" t="n">
        <v>0</v>
      </c>
      <c r="AU95" s="5" t="n">
        <v>0</v>
      </c>
      <c r="AW95" s="75">
        <f>Z95/Demand!AU113</f>
        <v/>
      </c>
      <c r="AX95" s="75">
        <f>AA95/Demand!AV113</f>
        <v/>
      </c>
      <c r="AY95" s="75">
        <f>AB95/Demand!AW113</f>
        <v/>
      </c>
      <c r="BG95" s="75" t="n">
        <v>100</v>
      </c>
      <c r="BH95" s="75">
        <f>Results!$B$19+AJ95-Results!$D$21</f>
        <v/>
      </c>
      <c r="BI95" s="75">
        <f>Results!$B$19+AK95-Results!$D$21</f>
        <v/>
      </c>
      <c r="BJ95" s="75">
        <f>Results!$B$19+AL95-Results!$D$21</f>
        <v/>
      </c>
      <c r="BM95" s="75" t="n">
        <v>100</v>
      </c>
      <c r="BN95" s="75">
        <f>Results!D110</f>
        <v/>
      </c>
      <c r="BO95" s="75">
        <f>Results!E110</f>
        <v/>
      </c>
      <c r="BP95" s="75">
        <f>Results!F110</f>
        <v/>
      </c>
      <c r="BS95" s="75" t="n">
        <v>100</v>
      </c>
      <c r="BT95" s="75">
        <f>Demand!AU113</f>
        <v/>
      </c>
      <c r="BU95" s="75">
        <f>Demand!AV113</f>
        <v/>
      </c>
      <c r="BV95" s="75">
        <f>Demand!AW113</f>
        <v/>
      </c>
      <c r="BY95" s="75" t="n">
        <v>100</v>
      </c>
      <c r="BZ95" s="75">
        <f>Retailers_Cap!N96</f>
        <v/>
      </c>
      <c r="CA95" s="75">
        <f>Retailers_Cap!O96</f>
        <v/>
      </c>
      <c r="CB95" s="75">
        <f>Retailers_Cap!P96</f>
        <v/>
      </c>
      <c r="CD95" s="75" t="n">
        <v>100</v>
      </c>
      <c r="CE95" s="75">
        <f>IF((BT95-BZ95)&gt;=0,"Dem","Folga")</f>
        <v/>
      </c>
      <c r="CF95" s="75">
        <f>IF((BU95-CA95)&gt;=0,"Dem","Folga")</f>
        <v/>
      </c>
      <c r="CG95" s="75">
        <f>IF((BV95-CB95)&gt;=0,"Dem","Folga")</f>
        <v/>
      </c>
    </row>
    <row r="96">
      <c r="M96" s="75">
        <f>TRUNC((_xlfn.NORM.INV((RAND()),$L$6,$L$7)),2)</f>
        <v/>
      </c>
      <c r="O96" s="75" t="n">
        <v>101</v>
      </c>
      <c r="P96" s="5" t="n">
        <v>159.09</v>
      </c>
      <c r="Q96" s="5" t="n">
        <v>259.6</v>
      </c>
      <c r="R96" s="5" t="n">
        <v>298.69</v>
      </c>
      <c r="W96" s="75">
        <f>TRUNC((_xlfn.NORM.INV((RAND()),$V$6,$V$7)),3)</f>
        <v/>
      </c>
      <c r="Y96" s="75" t="n">
        <v>101</v>
      </c>
      <c r="Z96" s="5" t="n">
        <v>6.726</v>
      </c>
      <c r="AA96" s="5" t="n">
        <v>6.761</v>
      </c>
      <c r="AB96" s="5" t="n">
        <v>6.772</v>
      </c>
      <c r="AG96" s="75">
        <f>TRUNC((_xlfn.NORM.INV((RAND()),$AF$6,$AF$7)),3)</f>
        <v/>
      </c>
      <c r="AI96" s="75" t="n">
        <v>101</v>
      </c>
      <c r="AJ96" s="5" t="n">
        <v>57.974</v>
      </c>
      <c r="AK96" s="5" t="n">
        <v>60.294</v>
      </c>
      <c r="AL96" s="5" t="n">
        <v>58.822</v>
      </c>
      <c r="AR96" s="75" t="n">
        <v>101</v>
      </c>
      <c r="AS96" s="5" t="n">
        <v>0</v>
      </c>
      <c r="AT96" s="5" t="n">
        <v>0</v>
      </c>
      <c r="AU96" s="5" t="n">
        <v>0</v>
      </c>
      <c r="AW96" s="75">
        <f>Z96/Demand!AU114</f>
        <v/>
      </c>
      <c r="AX96" s="75">
        <f>AA96/Demand!AV114</f>
        <v/>
      </c>
      <c r="AY96" s="75">
        <f>AB96/Demand!AW114</f>
        <v/>
      </c>
      <c r="BG96" s="75" t="n">
        <v>101</v>
      </c>
      <c r="BH96" s="75">
        <f>Results!$B$19+AJ96-Results!$D$21</f>
        <v/>
      </c>
      <c r="BI96" s="75">
        <f>Results!$B$19+AK96-Results!$D$21</f>
        <v/>
      </c>
      <c r="BJ96" s="75">
        <f>Results!$B$19+AL96-Results!$D$21</f>
        <v/>
      </c>
      <c r="BM96" s="75" t="n">
        <v>101</v>
      </c>
      <c r="BN96" s="75">
        <f>Results!D111</f>
        <v/>
      </c>
      <c r="BO96" s="75">
        <f>Results!E111</f>
        <v/>
      </c>
      <c r="BP96" s="75">
        <f>Results!F111</f>
        <v/>
      </c>
      <c r="BS96" s="75" t="n">
        <v>101</v>
      </c>
      <c r="BT96" s="75">
        <f>Demand!AU114</f>
        <v/>
      </c>
      <c r="BU96" s="75">
        <f>Demand!AV114</f>
        <v/>
      </c>
      <c r="BV96" s="75">
        <f>Demand!AW114</f>
        <v/>
      </c>
      <c r="BY96" s="75" t="n">
        <v>101</v>
      </c>
      <c r="BZ96" s="75">
        <f>Retailers_Cap!N97</f>
        <v/>
      </c>
      <c r="CA96" s="75">
        <f>Retailers_Cap!O97</f>
        <v/>
      </c>
      <c r="CB96" s="75">
        <f>Retailers_Cap!P97</f>
        <v/>
      </c>
      <c r="CD96" s="75" t="n">
        <v>101</v>
      </c>
      <c r="CE96" s="75">
        <f>IF((BT96-BZ96)&gt;=0,"Dem","Folga")</f>
        <v/>
      </c>
      <c r="CF96" s="75">
        <f>IF((BU96-CA96)&gt;=0,"Dem","Folga")</f>
        <v/>
      </c>
      <c r="CG96" s="75">
        <f>IF((BV96-CB96)&gt;=0,"Dem","Folga")</f>
        <v/>
      </c>
    </row>
    <row r="97">
      <c r="M97" s="75">
        <f>TRUNC((_xlfn.NORM.INV((RAND()),$L$6,$L$7)),2)</f>
        <v/>
      </c>
      <c r="O97" s="75" t="n">
        <v>102</v>
      </c>
      <c r="P97" s="5" t="n">
        <v>205.91</v>
      </c>
      <c r="Q97" s="5" t="n">
        <v>158.51</v>
      </c>
      <c r="R97" s="5" t="n">
        <v>220.86</v>
      </c>
      <c r="W97" s="75">
        <f>TRUNC((_xlfn.NORM.INV((RAND()),$V$6,$V$7)),3)</f>
        <v/>
      </c>
      <c r="Y97" s="75" t="n">
        <v>102</v>
      </c>
      <c r="Z97" s="5" t="n">
        <v>6.756</v>
      </c>
      <c r="AA97" s="5" t="n">
        <v>6.824</v>
      </c>
      <c r="AB97" s="5" t="n">
        <v>6.873</v>
      </c>
      <c r="AG97" s="75">
        <f>TRUNC((_xlfn.NORM.INV((RAND()),$AF$6,$AF$7)),3)</f>
        <v/>
      </c>
      <c r="AI97" s="75" t="n">
        <v>102</v>
      </c>
      <c r="AJ97" s="5" t="n">
        <v>55.367</v>
      </c>
      <c r="AK97" s="5" t="n">
        <v>56.4</v>
      </c>
      <c r="AL97" s="5" t="n">
        <v>70.929</v>
      </c>
      <c r="AR97" s="75" t="n">
        <v>102</v>
      </c>
      <c r="AS97" s="5" t="n">
        <v>18.17011974521952</v>
      </c>
      <c r="AT97" s="5" t="n">
        <v>0</v>
      </c>
      <c r="AU97" s="5" t="n">
        <v>8.81555186633331</v>
      </c>
      <c r="AW97" s="75">
        <f>Z97/Demand!AU115</f>
        <v/>
      </c>
      <c r="AX97" s="75">
        <f>AA97/Demand!AV115</f>
        <v/>
      </c>
      <c r="AY97" s="75">
        <f>AB97/Demand!AW115</f>
        <v/>
      </c>
      <c r="BG97" s="75" t="n">
        <v>102</v>
      </c>
      <c r="BH97" s="75">
        <f>Results!$B$19+AJ97-Results!$D$21</f>
        <v/>
      </c>
      <c r="BI97" s="75">
        <f>Results!$B$19+AK97-Results!$D$21</f>
        <v/>
      </c>
      <c r="BJ97" s="75">
        <f>Results!$B$19+AL97-Results!$D$21</f>
        <v/>
      </c>
      <c r="BM97" s="75" t="n">
        <v>102</v>
      </c>
      <c r="BN97" s="75">
        <f>Results!D112</f>
        <v/>
      </c>
      <c r="BO97" s="75">
        <f>Results!E112</f>
        <v/>
      </c>
      <c r="BP97" s="75">
        <f>Results!F112</f>
        <v/>
      </c>
      <c r="BS97" s="75" t="n">
        <v>102</v>
      </c>
      <c r="BT97" s="75">
        <f>Demand!AU115</f>
        <v/>
      </c>
      <c r="BU97" s="75">
        <f>Demand!AV115</f>
        <v/>
      </c>
      <c r="BV97" s="75">
        <f>Demand!AW115</f>
        <v/>
      </c>
      <c r="BY97" s="75" t="n">
        <v>102</v>
      </c>
      <c r="BZ97" s="75">
        <f>Retailers_Cap!N98</f>
        <v/>
      </c>
      <c r="CA97" s="75">
        <f>Retailers_Cap!O98</f>
        <v/>
      </c>
      <c r="CB97" s="75">
        <f>Retailers_Cap!P98</f>
        <v/>
      </c>
      <c r="CD97" s="75" t="n">
        <v>102</v>
      </c>
      <c r="CE97" s="75">
        <f>IF((BT97-BZ97)&gt;=0,"Dem","Folga")</f>
        <v/>
      </c>
      <c r="CF97" s="75">
        <f>IF((BU97-CA97)&gt;=0,"Dem","Folga")</f>
        <v/>
      </c>
      <c r="CG97" s="75">
        <f>IF((BV97-CB97)&gt;=0,"Dem","Folga")</f>
        <v/>
      </c>
    </row>
    <row r="98">
      <c r="M98" s="75">
        <f>TRUNC((_xlfn.NORM.INV((RAND()),$L$6,$L$7)),2)</f>
        <v/>
      </c>
      <c r="O98" s="75" t="n">
        <v>103</v>
      </c>
      <c r="P98" s="5" t="n">
        <v>171.23</v>
      </c>
      <c r="Q98" s="5" t="n">
        <v>169.52</v>
      </c>
      <c r="R98" s="5" t="n">
        <v>224.69</v>
      </c>
      <c r="W98" s="75">
        <f>TRUNC((_xlfn.NORM.INV((RAND()),$V$6,$V$7)),3)</f>
        <v/>
      </c>
      <c r="Y98" s="75" t="n">
        <v>103</v>
      </c>
      <c r="Z98" s="5" t="n">
        <v>6.655</v>
      </c>
      <c r="AA98" s="5" t="n">
        <v>6.74</v>
      </c>
      <c r="AB98" s="5" t="n">
        <v>6.806</v>
      </c>
      <c r="AG98" s="75">
        <f>TRUNC((_xlfn.NORM.INV((RAND()),$AF$6,$AF$7)),3)</f>
        <v/>
      </c>
      <c r="AI98" s="75" t="n">
        <v>103</v>
      </c>
      <c r="AJ98" s="5" t="n">
        <v>70.151</v>
      </c>
      <c r="AK98" s="5" t="n">
        <v>70.989</v>
      </c>
      <c r="AL98" s="5" t="n">
        <v>48.465</v>
      </c>
      <c r="AR98" s="75" t="n">
        <v>103</v>
      </c>
      <c r="AS98" s="5" t="n">
        <v>0</v>
      </c>
      <c r="AT98" s="5" t="n">
        <v>0</v>
      </c>
      <c r="AU98" s="5" t="n">
        <v>0</v>
      </c>
      <c r="AW98" s="75">
        <f>Z98/Demand!AU116</f>
        <v/>
      </c>
      <c r="AX98" s="75">
        <f>AA98/Demand!AV116</f>
        <v/>
      </c>
      <c r="AY98" s="75">
        <f>AB98/Demand!AW116</f>
        <v/>
      </c>
      <c r="BG98" s="75" t="n">
        <v>103</v>
      </c>
      <c r="BH98" s="75">
        <f>Results!$B$19+AJ98-Results!$D$21</f>
        <v/>
      </c>
      <c r="BI98" s="75">
        <f>Results!$B$19+AK98-Results!$D$21</f>
        <v/>
      </c>
      <c r="BJ98" s="75">
        <f>Results!$B$19+AL98-Results!$D$21</f>
        <v/>
      </c>
      <c r="BM98" s="75" t="n">
        <v>103</v>
      </c>
      <c r="BN98" s="75">
        <f>Results!D113</f>
        <v/>
      </c>
      <c r="BO98" s="75">
        <f>Results!E113</f>
        <v/>
      </c>
      <c r="BP98" s="75">
        <f>Results!F113</f>
        <v/>
      </c>
      <c r="BS98" s="75" t="n">
        <v>103</v>
      </c>
      <c r="BT98" s="75">
        <f>Demand!AU116</f>
        <v/>
      </c>
      <c r="BU98" s="75">
        <f>Demand!AV116</f>
        <v/>
      </c>
      <c r="BV98" s="75">
        <f>Demand!AW116</f>
        <v/>
      </c>
      <c r="BY98" s="75" t="n">
        <v>103</v>
      </c>
      <c r="BZ98" s="75">
        <f>Retailers_Cap!N99</f>
        <v/>
      </c>
      <c r="CA98" s="75">
        <f>Retailers_Cap!O99</f>
        <v/>
      </c>
      <c r="CB98" s="75">
        <f>Retailers_Cap!P99</f>
        <v/>
      </c>
      <c r="CD98" s="75" t="n">
        <v>103</v>
      </c>
      <c r="CE98" s="75">
        <f>IF((BT98-BZ98)&gt;=0,"Dem","Folga")</f>
        <v/>
      </c>
      <c r="CF98" s="75">
        <f>IF((BU98-CA98)&gt;=0,"Dem","Folga")</f>
        <v/>
      </c>
      <c r="CG98" s="75">
        <f>IF((BV98-CB98)&gt;=0,"Dem","Folga")</f>
        <v/>
      </c>
    </row>
    <row r="99">
      <c r="M99" s="75">
        <f>TRUNC((_xlfn.NORM.INV((RAND()),$L$6,$L$7)),2)</f>
        <v/>
      </c>
      <c r="O99" s="75" t="n">
        <v>104</v>
      </c>
      <c r="P99" s="5" t="n">
        <v>194.11</v>
      </c>
      <c r="Q99" s="5" t="n">
        <v>233.53</v>
      </c>
      <c r="R99" s="5" t="n">
        <v>188.45</v>
      </c>
      <c r="W99" s="75">
        <f>TRUNC((_xlfn.NORM.INV((RAND()),$V$6,$V$7)),3)</f>
        <v/>
      </c>
      <c r="Y99" s="75" t="n">
        <v>104</v>
      </c>
      <c r="Z99" s="5" t="n">
        <v>6.944</v>
      </c>
      <c r="AA99" s="5" t="n">
        <v>6.736</v>
      </c>
      <c r="AB99" s="5" t="n">
        <v>6.555</v>
      </c>
      <c r="AG99" s="75">
        <f>TRUNC((_xlfn.NORM.INV((RAND()),$AF$6,$AF$7)),3)</f>
        <v/>
      </c>
      <c r="AI99" s="75" t="n">
        <v>104</v>
      </c>
      <c r="AJ99" s="5" t="n">
        <v>65.705</v>
      </c>
      <c r="AK99" s="5" t="n">
        <v>53.26</v>
      </c>
      <c r="AL99" s="5" t="n">
        <v>57.275</v>
      </c>
      <c r="AR99" s="75" t="n">
        <v>104</v>
      </c>
      <c r="AS99" s="5" t="n">
        <v>17.57074115811887</v>
      </c>
      <c r="AT99" s="5" t="n">
        <v>0</v>
      </c>
      <c r="AU99" s="5" t="n">
        <v>0</v>
      </c>
      <c r="AW99" s="75">
        <f>Z99/Demand!AU117</f>
        <v/>
      </c>
      <c r="AX99" s="75">
        <f>AA99/Demand!AV117</f>
        <v/>
      </c>
      <c r="AY99" s="75">
        <f>AB99/Demand!AW117</f>
        <v/>
      </c>
      <c r="BG99" s="75" t="n">
        <v>104</v>
      </c>
      <c r="BH99" s="75">
        <f>Results!$B$19+AJ99-Results!$D$21</f>
        <v/>
      </c>
      <c r="BI99" s="75">
        <f>Results!$B$19+AK99-Results!$D$21</f>
        <v/>
      </c>
      <c r="BJ99" s="75">
        <f>Results!$B$19+AL99-Results!$D$21</f>
        <v/>
      </c>
      <c r="BM99" s="75" t="n">
        <v>104</v>
      </c>
      <c r="BN99" s="75">
        <f>Results!D114</f>
        <v/>
      </c>
      <c r="BO99" s="75">
        <f>Results!E114</f>
        <v/>
      </c>
      <c r="BP99" s="75">
        <f>Results!F114</f>
        <v/>
      </c>
      <c r="BS99" s="75" t="n">
        <v>104</v>
      </c>
      <c r="BT99" s="75">
        <f>Demand!AU117</f>
        <v/>
      </c>
      <c r="BU99" s="75">
        <f>Demand!AV117</f>
        <v/>
      </c>
      <c r="BV99" s="75">
        <f>Demand!AW117</f>
        <v/>
      </c>
      <c r="BY99" s="75" t="n">
        <v>104</v>
      </c>
      <c r="BZ99" s="75">
        <f>Retailers_Cap!N100</f>
        <v/>
      </c>
      <c r="CA99" s="75">
        <f>Retailers_Cap!O100</f>
        <v/>
      </c>
      <c r="CB99" s="75">
        <f>Retailers_Cap!P100</f>
        <v/>
      </c>
      <c r="CD99" s="75" t="n">
        <v>104</v>
      </c>
      <c r="CE99" s="75">
        <f>IF((BT99-BZ99)&gt;=0,"Dem","Folga")</f>
        <v/>
      </c>
      <c r="CF99" s="75">
        <f>IF((BU99-CA99)&gt;=0,"Dem","Folga")</f>
        <v/>
      </c>
      <c r="CG99" s="75">
        <f>IF((BV99-CB99)&gt;=0,"Dem","Folga")</f>
        <v/>
      </c>
    </row>
    <row r="100">
      <c r="M100" s="75">
        <f>TRUNC((_xlfn.NORM.INV((RAND()),$L$6,$L$7)),2)</f>
        <v/>
      </c>
      <c r="O100" s="75" t="n">
        <v>105</v>
      </c>
      <c r="P100" s="5" t="n">
        <v>200.26</v>
      </c>
      <c r="Q100" s="5" t="n">
        <v>161.84</v>
      </c>
      <c r="R100" s="5" t="n">
        <v>269.93</v>
      </c>
      <c r="W100" s="75">
        <f>TRUNC((_xlfn.NORM.INV((RAND()),$V$6,$V$7)),3)</f>
        <v/>
      </c>
      <c r="Y100" s="75" t="n">
        <v>105</v>
      </c>
      <c r="Z100" s="5" t="n">
        <v>6.815</v>
      </c>
      <c r="AA100" s="5" t="n">
        <v>6.729</v>
      </c>
      <c r="AB100" s="5" t="n">
        <v>6.581</v>
      </c>
      <c r="AG100" s="75">
        <f>TRUNC((_xlfn.NORM.INV((RAND()),$AF$6,$AF$7)),3)</f>
        <v/>
      </c>
      <c r="AI100" s="75" t="n">
        <v>105</v>
      </c>
      <c r="AJ100" s="5" t="n">
        <v>44.838</v>
      </c>
      <c r="AK100" s="5" t="n">
        <v>88.941</v>
      </c>
      <c r="AL100" s="5" t="n">
        <v>75.759</v>
      </c>
      <c r="AR100" s="75" t="n">
        <v>105</v>
      </c>
      <c r="AS100" s="5" t="n">
        <v>5.731659741604303</v>
      </c>
      <c r="AT100" s="5" t="n">
        <v>0</v>
      </c>
      <c r="AU100" s="5" t="n">
        <v>14.3330040792111</v>
      </c>
      <c r="AW100" s="75">
        <f>Z100/Demand!AU118</f>
        <v/>
      </c>
      <c r="AX100" s="75">
        <f>AA100/Demand!AV118</f>
        <v/>
      </c>
      <c r="AY100" s="75">
        <f>AB100/Demand!AW118</f>
        <v/>
      </c>
      <c r="BG100" s="75" t="n">
        <v>105</v>
      </c>
      <c r="BH100" s="75">
        <f>Results!$B$19+AJ100-Results!$D$21</f>
        <v/>
      </c>
      <c r="BI100" s="75">
        <f>Results!$B$19+AK100-Results!$D$21</f>
        <v/>
      </c>
      <c r="BJ100" s="75">
        <f>Results!$B$19+AL100-Results!$D$21</f>
        <v/>
      </c>
      <c r="BM100" s="75" t="n">
        <v>105</v>
      </c>
      <c r="BN100" s="75">
        <f>Results!D115</f>
        <v/>
      </c>
      <c r="BO100" s="75">
        <f>Results!E115</f>
        <v/>
      </c>
      <c r="BP100" s="75">
        <f>Results!F115</f>
        <v/>
      </c>
      <c r="BS100" s="75" t="n">
        <v>105</v>
      </c>
      <c r="BT100" s="75">
        <f>Demand!AU118</f>
        <v/>
      </c>
      <c r="BU100" s="75">
        <f>Demand!AV118</f>
        <v/>
      </c>
      <c r="BV100" s="75">
        <f>Demand!AW118</f>
        <v/>
      </c>
      <c r="BY100" s="75" t="n">
        <v>105</v>
      </c>
      <c r="BZ100" s="75">
        <f>Retailers_Cap!N101</f>
        <v/>
      </c>
      <c r="CA100" s="75">
        <f>Retailers_Cap!O101</f>
        <v/>
      </c>
      <c r="CB100" s="75">
        <f>Retailers_Cap!P101</f>
        <v/>
      </c>
      <c r="CD100" s="75" t="n">
        <v>105</v>
      </c>
      <c r="CE100" s="75">
        <f>IF((BT100-BZ100)&gt;=0,"Dem","Folga")</f>
        <v/>
      </c>
      <c r="CF100" s="75">
        <f>IF((BU100-CA100)&gt;=0,"Dem","Folga")</f>
        <v/>
      </c>
      <c r="CG100" s="75">
        <f>IF((BV100-CB100)&gt;=0,"Dem","Folga")</f>
        <v/>
      </c>
    </row>
    <row r="101">
      <c r="M101" s="75">
        <f>TRUNC((_xlfn.NORM.INV((RAND()),$L$6,$L$7)),2)</f>
        <v/>
      </c>
      <c r="O101" s="75" t="n">
        <v>106</v>
      </c>
      <c r="P101" s="5" t="n">
        <v>210.13</v>
      </c>
      <c r="Q101" s="5" t="n">
        <v>238.32</v>
      </c>
      <c r="R101" s="5" t="n">
        <v>288.46</v>
      </c>
      <c r="W101" s="75">
        <f>TRUNC((_xlfn.NORM.INV((RAND()),$V$6,$V$7)),3)</f>
        <v/>
      </c>
      <c r="Y101" s="75" t="n">
        <v>106</v>
      </c>
      <c r="Z101" s="5" t="n">
        <v>6.765</v>
      </c>
      <c r="AA101" s="5" t="n">
        <v>6.758</v>
      </c>
      <c r="AB101" s="5" t="n">
        <v>6.77</v>
      </c>
      <c r="AG101" s="75">
        <f>TRUNC((_xlfn.NORM.INV((RAND()),$AF$6,$AF$7)),3)</f>
        <v/>
      </c>
      <c r="AI101" s="75" t="n">
        <v>106</v>
      </c>
      <c r="AJ101" s="5" t="n">
        <v>62.211</v>
      </c>
      <c r="AK101" s="5" t="n">
        <v>61.595</v>
      </c>
      <c r="AL101" s="5" t="n">
        <v>54.801</v>
      </c>
      <c r="AR101" s="75" t="n">
        <v>106</v>
      </c>
      <c r="AS101" s="5" t="n">
        <v>4.712665778837628</v>
      </c>
      <c r="AT101" s="5" t="n">
        <v>0</v>
      </c>
      <c r="AU101" s="5" t="n">
        <v>4.673745213835663</v>
      </c>
      <c r="AW101" s="75">
        <f>Z101/Demand!AU119</f>
        <v/>
      </c>
      <c r="AX101" s="75">
        <f>AA101/Demand!AV119</f>
        <v/>
      </c>
      <c r="AY101" s="75">
        <f>AB101/Demand!AW119</f>
        <v/>
      </c>
      <c r="BG101" s="75" t="n">
        <v>106</v>
      </c>
      <c r="BH101" s="75">
        <f>Results!$B$19+AJ101-Results!$D$21</f>
        <v/>
      </c>
      <c r="BI101" s="75">
        <f>Results!$B$19+AK101-Results!$D$21</f>
        <v/>
      </c>
      <c r="BJ101" s="75">
        <f>Results!$B$19+AL101-Results!$D$21</f>
        <v/>
      </c>
      <c r="BM101" s="75" t="n">
        <v>106</v>
      </c>
      <c r="BN101" s="75">
        <f>Results!D116</f>
        <v/>
      </c>
      <c r="BO101" s="75">
        <f>Results!E116</f>
        <v/>
      </c>
      <c r="BP101" s="75">
        <f>Results!F116</f>
        <v/>
      </c>
      <c r="BS101" s="75" t="n">
        <v>106</v>
      </c>
      <c r="BT101" s="75">
        <f>Demand!AU119</f>
        <v/>
      </c>
      <c r="BU101" s="75">
        <f>Demand!AV119</f>
        <v/>
      </c>
      <c r="BV101" s="75">
        <f>Demand!AW119</f>
        <v/>
      </c>
      <c r="BY101" s="75" t="n">
        <v>106</v>
      </c>
      <c r="BZ101" s="75">
        <f>Retailers_Cap!N102</f>
        <v/>
      </c>
      <c r="CA101" s="75">
        <f>Retailers_Cap!O102</f>
        <v/>
      </c>
      <c r="CB101" s="75">
        <f>Retailers_Cap!P102</f>
        <v/>
      </c>
      <c r="CD101" s="75" t="n">
        <v>106</v>
      </c>
      <c r="CE101" s="75">
        <f>IF((BT101-BZ101)&gt;=0,"Dem","Folga")</f>
        <v/>
      </c>
      <c r="CF101" s="75">
        <f>IF((BU101-CA101)&gt;=0,"Dem","Folga")</f>
        <v/>
      </c>
      <c r="CG101" s="75">
        <f>IF((BV101-CB101)&gt;=0,"Dem","Folga")</f>
        <v/>
      </c>
    </row>
    <row r="102">
      <c r="M102" s="75">
        <f>TRUNC((_xlfn.NORM.INV((RAND()),$L$6,$L$7)),2)</f>
        <v/>
      </c>
      <c r="O102" s="75" t="n">
        <v>107</v>
      </c>
      <c r="P102" s="5" t="n">
        <v>176.57</v>
      </c>
      <c r="Q102" s="5" t="n">
        <v>187.9</v>
      </c>
      <c r="R102" s="5" t="n">
        <v>211.75</v>
      </c>
      <c r="W102" s="75">
        <f>TRUNC((_xlfn.NORM.INV((RAND()),$V$6,$V$7)),3)</f>
        <v/>
      </c>
      <c r="Y102" s="75" t="n">
        <v>107</v>
      </c>
      <c r="Z102" s="5" t="n">
        <v>6.735</v>
      </c>
      <c r="AA102" s="5" t="n">
        <v>6.806</v>
      </c>
      <c r="AB102" s="5" t="n">
        <v>6.74</v>
      </c>
      <c r="AG102" s="75">
        <f>TRUNC((_xlfn.NORM.INV((RAND()),$AF$6,$AF$7)),3)</f>
        <v/>
      </c>
      <c r="AI102" s="75" t="n">
        <v>107</v>
      </c>
      <c r="AJ102" s="5" t="n">
        <v>64.729</v>
      </c>
      <c r="AK102" s="5" t="n">
        <v>52.756</v>
      </c>
      <c r="AL102" s="5" t="n">
        <v>66.333</v>
      </c>
      <c r="AR102" s="75" t="n">
        <v>107</v>
      </c>
      <c r="AS102" s="5" t="n">
        <v>0</v>
      </c>
      <c r="AT102" s="5" t="n">
        <v>0</v>
      </c>
      <c r="AU102" s="5" t="n">
        <v>10.56201138492915</v>
      </c>
      <c r="AW102" s="75">
        <f>Z102/Demand!AU120</f>
        <v/>
      </c>
      <c r="AX102" s="75">
        <f>AA102/Demand!AV120</f>
        <v/>
      </c>
      <c r="AY102" s="75">
        <f>AB102/Demand!AW120</f>
        <v/>
      </c>
      <c r="BG102" s="75" t="n">
        <v>107</v>
      </c>
      <c r="BH102" s="75">
        <f>Results!$B$19+AJ102-Results!$D$21</f>
        <v/>
      </c>
      <c r="BI102" s="75">
        <f>Results!$B$19+AK102-Results!$D$21</f>
        <v/>
      </c>
      <c r="BJ102" s="75">
        <f>Results!$B$19+AL102-Results!$D$21</f>
        <v/>
      </c>
      <c r="BM102" s="75" t="n">
        <v>107</v>
      </c>
      <c r="BN102" s="75">
        <f>Results!D117</f>
        <v/>
      </c>
      <c r="BO102" s="75">
        <f>Results!E117</f>
        <v/>
      </c>
      <c r="BP102" s="75">
        <f>Results!F117</f>
        <v/>
      </c>
      <c r="BS102" s="75" t="n">
        <v>107</v>
      </c>
      <c r="BT102" s="75">
        <f>Demand!AU120</f>
        <v/>
      </c>
      <c r="BU102" s="75">
        <f>Demand!AV120</f>
        <v/>
      </c>
      <c r="BV102" s="75">
        <f>Demand!AW120</f>
        <v/>
      </c>
      <c r="BY102" s="75" t="n">
        <v>107</v>
      </c>
      <c r="BZ102" s="75">
        <f>Retailers_Cap!N103</f>
        <v/>
      </c>
      <c r="CA102" s="75">
        <f>Retailers_Cap!O103</f>
        <v/>
      </c>
      <c r="CB102" s="75">
        <f>Retailers_Cap!P103</f>
        <v/>
      </c>
      <c r="CD102" s="75" t="n">
        <v>107</v>
      </c>
      <c r="CE102" s="75">
        <f>IF((BT102-BZ102)&gt;=0,"Dem","Folga")</f>
        <v/>
      </c>
      <c r="CF102" s="75">
        <f>IF((BU102-CA102)&gt;=0,"Dem","Folga")</f>
        <v/>
      </c>
      <c r="CG102" s="75">
        <f>IF((BV102-CB102)&gt;=0,"Dem","Folga")</f>
        <v/>
      </c>
    </row>
    <row r="103">
      <c r="M103" s="75">
        <f>TRUNC((_xlfn.NORM.INV((RAND()),$L$6,$L$7)),2)</f>
        <v/>
      </c>
      <c r="O103" s="75" t="n">
        <v>108</v>
      </c>
      <c r="P103" s="5" t="n">
        <v>254.93</v>
      </c>
      <c r="Q103" s="5" t="n">
        <v>174.4</v>
      </c>
      <c r="R103" s="5" t="n">
        <v>201.07</v>
      </c>
      <c r="W103" s="75">
        <f>TRUNC((_xlfn.NORM.INV((RAND()),$V$6,$V$7)),3)</f>
        <v/>
      </c>
      <c r="Y103" s="75" t="n">
        <v>108</v>
      </c>
      <c r="Z103" s="5" t="n">
        <v>6.755</v>
      </c>
      <c r="AA103" s="5" t="n">
        <v>6.651</v>
      </c>
      <c r="AB103" s="5" t="n">
        <v>6.663</v>
      </c>
      <c r="AG103" s="75">
        <f>TRUNC((_xlfn.NORM.INV((RAND()),$AF$6,$AF$7)),3)</f>
        <v/>
      </c>
      <c r="AI103" s="75" t="n">
        <v>108</v>
      </c>
      <c r="AJ103" s="5" t="n">
        <v>60.731</v>
      </c>
      <c r="AK103" s="5" t="n">
        <v>61.965</v>
      </c>
      <c r="AL103" s="5" t="n">
        <v>77.563</v>
      </c>
      <c r="AR103" s="75" t="n">
        <v>108</v>
      </c>
      <c r="AS103" s="5" t="n">
        <v>0</v>
      </c>
      <c r="AT103" s="5" t="n">
        <v>0</v>
      </c>
      <c r="AU103" s="5" t="n">
        <v>0</v>
      </c>
      <c r="AW103" s="75">
        <f>Z103/Demand!AU121</f>
        <v/>
      </c>
      <c r="AX103" s="75">
        <f>AA103/Demand!AV121</f>
        <v/>
      </c>
      <c r="AY103" s="75">
        <f>AB103/Demand!AW121</f>
        <v/>
      </c>
      <c r="BG103" s="75" t="n">
        <v>108</v>
      </c>
      <c r="BH103" s="75">
        <f>Results!$B$19+AJ103-Results!$D$21</f>
        <v/>
      </c>
      <c r="BI103" s="75">
        <f>Results!$B$19+AK103-Results!$D$21</f>
        <v/>
      </c>
      <c r="BJ103" s="75">
        <f>Results!$B$19+AL103-Results!$D$21</f>
        <v/>
      </c>
      <c r="BM103" s="75" t="n">
        <v>108</v>
      </c>
      <c r="BN103" s="75">
        <f>Results!D118</f>
        <v/>
      </c>
      <c r="BO103" s="75">
        <f>Results!E118</f>
        <v/>
      </c>
      <c r="BP103" s="75">
        <f>Results!F118</f>
        <v/>
      </c>
      <c r="BS103" s="75" t="n">
        <v>108</v>
      </c>
      <c r="BT103" s="75">
        <f>Demand!AU121</f>
        <v/>
      </c>
      <c r="BU103" s="75">
        <f>Demand!AV121</f>
        <v/>
      </c>
      <c r="BV103" s="75">
        <f>Demand!AW121</f>
        <v/>
      </c>
      <c r="BY103" s="75" t="n">
        <v>108</v>
      </c>
      <c r="BZ103" s="75">
        <f>Retailers_Cap!N104</f>
        <v/>
      </c>
      <c r="CA103" s="75">
        <f>Retailers_Cap!O104</f>
        <v/>
      </c>
      <c r="CB103" s="75">
        <f>Retailers_Cap!P104</f>
        <v/>
      </c>
      <c r="CD103" s="75" t="n">
        <v>108</v>
      </c>
      <c r="CE103" s="75">
        <f>IF((BT103-BZ103)&gt;=0,"Dem","Folga")</f>
        <v/>
      </c>
      <c r="CF103" s="75">
        <f>IF((BU103-CA103)&gt;=0,"Dem","Folga")</f>
        <v/>
      </c>
      <c r="CG103" s="75">
        <f>IF((BV103-CB103)&gt;=0,"Dem","Folga")</f>
        <v/>
      </c>
    </row>
    <row r="104">
      <c r="M104" s="75">
        <f>TRUNC((_xlfn.NORM.INV((RAND()),$L$6,$L$7)),2)</f>
        <v/>
      </c>
      <c r="O104" s="75" t="n">
        <v>109</v>
      </c>
      <c r="P104" s="5" t="n">
        <v>183.47</v>
      </c>
      <c r="Q104" s="5" t="n">
        <v>211.87</v>
      </c>
      <c r="R104" s="5" t="n">
        <v>253.39</v>
      </c>
      <c r="W104" s="75">
        <f>TRUNC((_xlfn.NORM.INV((RAND()),$V$6,$V$7)),3)</f>
        <v/>
      </c>
      <c r="Y104" s="75" t="n">
        <v>109</v>
      </c>
      <c r="Z104" s="5" t="n">
        <v>6.661</v>
      </c>
      <c r="AA104" s="5" t="n">
        <v>6.761</v>
      </c>
      <c r="AB104" s="5" t="n">
        <v>6.737</v>
      </c>
      <c r="AG104" s="75">
        <f>TRUNC((_xlfn.NORM.INV((RAND()),$AF$6,$AF$7)),3)</f>
        <v/>
      </c>
      <c r="AI104" s="75" t="n">
        <v>109</v>
      </c>
      <c r="AJ104" s="5" t="n">
        <v>54.905</v>
      </c>
      <c r="AK104" s="5" t="n">
        <v>45.5</v>
      </c>
      <c r="AL104" s="5" t="n">
        <v>42.069</v>
      </c>
      <c r="AR104" s="75" t="n">
        <v>109</v>
      </c>
      <c r="AS104" s="5" t="n">
        <v>16.43719968249041</v>
      </c>
      <c r="AT104" s="5" t="n">
        <v>0</v>
      </c>
      <c r="AU104" s="5" t="n">
        <v>0</v>
      </c>
      <c r="AW104" s="75">
        <f>Z104/Demand!AU122</f>
        <v/>
      </c>
      <c r="AX104" s="75">
        <f>AA104/Demand!AV122</f>
        <v/>
      </c>
      <c r="AY104" s="75">
        <f>AB104/Demand!AW122</f>
        <v/>
      </c>
      <c r="BG104" s="75" t="n">
        <v>109</v>
      </c>
      <c r="BH104" s="75">
        <f>Results!$B$19+AJ104-Results!$D$21</f>
        <v/>
      </c>
      <c r="BI104" s="75">
        <f>Results!$B$19+AK104-Results!$D$21</f>
        <v/>
      </c>
      <c r="BJ104" s="75">
        <f>Results!$B$19+AL104-Results!$D$21</f>
        <v/>
      </c>
      <c r="BM104" s="75" t="n">
        <v>109</v>
      </c>
      <c r="BN104" s="75">
        <f>Results!D119</f>
        <v/>
      </c>
      <c r="BO104" s="75">
        <f>Results!E119</f>
        <v/>
      </c>
      <c r="BP104" s="75">
        <f>Results!F119</f>
        <v/>
      </c>
      <c r="BS104" s="75" t="n">
        <v>109</v>
      </c>
      <c r="BT104" s="75">
        <f>Demand!AU122</f>
        <v/>
      </c>
      <c r="BU104" s="75">
        <f>Demand!AV122</f>
        <v/>
      </c>
      <c r="BV104" s="75">
        <f>Demand!AW122</f>
        <v/>
      </c>
      <c r="BY104" s="75" t="n">
        <v>109</v>
      </c>
      <c r="BZ104" s="75">
        <f>Retailers_Cap!N105</f>
        <v/>
      </c>
      <c r="CA104" s="75">
        <f>Retailers_Cap!O105</f>
        <v/>
      </c>
      <c r="CB104" s="75">
        <f>Retailers_Cap!P105</f>
        <v/>
      </c>
      <c r="CD104" s="75" t="n">
        <v>109</v>
      </c>
      <c r="CE104" s="75">
        <f>IF((BT104-BZ104)&gt;=0,"Dem","Folga")</f>
        <v/>
      </c>
      <c r="CF104" s="75">
        <f>IF((BU104-CA104)&gt;=0,"Dem","Folga")</f>
        <v/>
      </c>
      <c r="CG104" s="75">
        <f>IF((BV104-CB104)&gt;=0,"Dem","Folga")</f>
        <v/>
      </c>
    </row>
    <row r="105">
      <c r="M105" s="75">
        <f>TRUNC((_xlfn.NORM.INV((RAND()),$L$6,$L$7)),2)</f>
        <v/>
      </c>
      <c r="O105" s="75" t="n">
        <v>110</v>
      </c>
      <c r="P105" s="5" t="n">
        <v>234.92</v>
      </c>
      <c r="Q105" s="5" t="n">
        <v>171.96</v>
      </c>
      <c r="R105" s="5" t="n">
        <v>250.87</v>
      </c>
      <c r="W105" s="75">
        <f>TRUNC((_xlfn.NORM.INV((RAND()),$V$6,$V$7)),3)</f>
        <v/>
      </c>
      <c r="Y105" s="75" t="n">
        <v>110</v>
      </c>
      <c r="Z105" s="5" t="n">
        <v>6.753</v>
      </c>
      <c r="AA105" s="5" t="n">
        <v>6.739</v>
      </c>
      <c r="AB105" s="5" t="n">
        <v>6.646</v>
      </c>
      <c r="AG105" s="75">
        <f>TRUNC((_xlfn.NORM.INV((RAND()),$AF$6,$AF$7)),3)</f>
        <v/>
      </c>
      <c r="AI105" s="75" t="n">
        <v>110</v>
      </c>
      <c r="AJ105" s="5" t="n">
        <v>58.68</v>
      </c>
      <c r="AK105" s="5" t="n">
        <v>85.105</v>
      </c>
      <c r="AL105" s="5" t="n">
        <v>47.229</v>
      </c>
      <c r="AR105" s="75" t="n">
        <v>110</v>
      </c>
      <c r="AS105" s="5" t="n">
        <v>33.57775108218426</v>
      </c>
      <c r="AT105" s="5" t="n">
        <v>0</v>
      </c>
      <c r="AU105" s="5" t="n">
        <v>0</v>
      </c>
      <c r="AW105" s="75">
        <f>Z105/Demand!AU123</f>
        <v/>
      </c>
      <c r="AX105" s="75">
        <f>AA105/Demand!AV123</f>
        <v/>
      </c>
      <c r="AY105" s="75">
        <f>AB105/Demand!AW123</f>
        <v/>
      </c>
      <c r="BG105" s="75" t="n">
        <v>110</v>
      </c>
      <c r="BH105" s="75">
        <f>Results!$B$19+AJ105-Results!$D$21</f>
        <v/>
      </c>
      <c r="BI105" s="75">
        <f>Results!$B$19+AK105-Results!$D$21</f>
        <v/>
      </c>
      <c r="BJ105" s="75">
        <f>Results!$B$19+AL105-Results!$D$21</f>
        <v/>
      </c>
      <c r="BM105" s="75" t="n">
        <v>110</v>
      </c>
      <c r="BN105" s="75">
        <f>Results!D120</f>
        <v/>
      </c>
      <c r="BO105" s="75">
        <f>Results!E120</f>
        <v/>
      </c>
      <c r="BP105" s="75">
        <f>Results!F120</f>
        <v/>
      </c>
      <c r="BS105" s="75" t="n">
        <v>110</v>
      </c>
      <c r="BT105" s="75">
        <f>Demand!AU123</f>
        <v/>
      </c>
      <c r="BU105" s="75">
        <f>Demand!AV123</f>
        <v/>
      </c>
      <c r="BV105" s="75">
        <f>Demand!AW123</f>
        <v/>
      </c>
      <c r="BY105" s="75" t="n">
        <v>110</v>
      </c>
      <c r="BZ105" s="75">
        <f>Retailers_Cap!N106</f>
        <v/>
      </c>
      <c r="CA105" s="75">
        <f>Retailers_Cap!O106</f>
        <v/>
      </c>
      <c r="CB105" s="75">
        <f>Retailers_Cap!P106</f>
        <v/>
      </c>
      <c r="CD105" s="75" t="n">
        <v>110</v>
      </c>
      <c r="CE105" s="75">
        <f>IF((BT105-BZ105)&gt;=0,"Dem","Folga")</f>
        <v/>
      </c>
      <c r="CF105" s="75">
        <f>IF((BU105-CA105)&gt;=0,"Dem","Folga")</f>
        <v/>
      </c>
      <c r="CG105" s="75">
        <f>IF((BV105-CB105)&gt;=0,"Dem","Folga")</f>
        <v/>
      </c>
    </row>
    <row r="106">
      <c r="M106" s="75">
        <f>TRUNC((_xlfn.NORM.INV((RAND()),$L$6,$L$7)),2)</f>
        <v/>
      </c>
      <c r="O106" s="75" t="n">
        <v>111</v>
      </c>
      <c r="P106" s="5" t="n">
        <v>255.68</v>
      </c>
      <c r="Q106" s="5" t="n">
        <v>167.68</v>
      </c>
      <c r="R106" s="5" t="n">
        <v>200.27</v>
      </c>
      <c r="W106" s="75">
        <f>TRUNC((_xlfn.NORM.INV((RAND()),$V$6,$V$7)),3)</f>
        <v/>
      </c>
      <c r="Y106" s="75" t="n">
        <v>111</v>
      </c>
      <c r="Z106" s="5" t="n">
        <v>6.705</v>
      </c>
      <c r="AA106" s="5" t="n">
        <v>6.872</v>
      </c>
      <c r="AB106" s="5" t="n">
        <v>6.624</v>
      </c>
      <c r="AG106" s="75">
        <f>TRUNC((_xlfn.NORM.INV((RAND()),$AF$6,$AF$7)),3)</f>
        <v/>
      </c>
      <c r="AI106" s="75" t="n">
        <v>111</v>
      </c>
      <c r="AJ106" s="5" t="n">
        <v>41.253</v>
      </c>
      <c r="AK106" s="5" t="n">
        <v>46.242</v>
      </c>
      <c r="AL106" s="5" t="n">
        <v>71.078</v>
      </c>
      <c r="AR106" s="75" t="n">
        <v>111</v>
      </c>
      <c r="AS106" s="5" t="n">
        <v>0</v>
      </c>
      <c r="AT106" s="5" t="n">
        <v>0</v>
      </c>
      <c r="AU106" s="5" t="n">
        <v>0</v>
      </c>
      <c r="AW106" s="75">
        <f>Z106/Demand!AU124</f>
        <v/>
      </c>
      <c r="AX106" s="75">
        <f>AA106/Demand!AV124</f>
        <v/>
      </c>
      <c r="AY106" s="75">
        <f>AB106/Demand!AW124</f>
        <v/>
      </c>
      <c r="BG106" s="75" t="n">
        <v>111</v>
      </c>
      <c r="BH106" s="75">
        <f>Results!$B$19+AJ106-Results!$D$21</f>
        <v/>
      </c>
      <c r="BI106" s="75">
        <f>Results!$B$19+AK106-Results!$D$21</f>
        <v/>
      </c>
      <c r="BJ106" s="75">
        <f>Results!$B$19+AL106-Results!$D$21</f>
        <v/>
      </c>
      <c r="BM106" s="75" t="n">
        <v>111</v>
      </c>
      <c r="BN106" s="75">
        <f>Results!D121</f>
        <v/>
      </c>
      <c r="BO106" s="75">
        <f>Results!E121</f>
        <v/>
      </c>
      <c r="BP106" s="75">
        <f>Results!F121</f>
        <v/>
      </c>
      <c r="BS106" s="75" t="n">
        <v>111</v>
      </c>
      <c r="BT106" s="75">
        <f>Demand!AU124</f>
        <v/>
      </c>
      <c r="BU106" s="75">
        <f>Demand!AV124</f>
        <v/>
      </c>
      <c r="BV106" s="75">
        <f>Demand!AW124</f>
        <v/>
      </c>
      <c r="BY106" s="75" t="n">
        <v>111</v>
      </c>
      <c r="BZ106" s="75">
        <f>Retailers_Cap!N107</f>
        <v/>
      </c>
      <c r="CA106" s="75">
        <f>Retailers_Cap!O107</f>
        <v/>
      </c>
      <c r="CB106" s="75">
        <f>Retailers_Cap!P107</f>
        <v/>
      </c>
      <c r="CD106" s="75" t="n">
        <v>111</v>
      </c>
      <c r="CE106" s="75">
        <f>IF((BT106-BZ106)&gt;=0,"Dem","Folga")</f>
        <v/>
      </c>
      <c r="CF106" s="75">
        <f>IF((BU106-CA106)&gt;=0,"Dem","Folga")</f>
        <v/>
      </c>
      <c r="CG106" s="75">
        <f>IF((BV106-CB106)&gt;=0,"Dem","Folga")</f>
        <v/>
      </c>
    </row>
    <row r="107">
      <c r="M107" s="75">
        <f>TRUNC((_xlfn.NORM.INV((RAND()),$L$6,$L$7)),2)</f>
        <v/>
      </c>
      <c r="O107" s="75" t="n">
        <v>112</v>
      </c>
      <c r="P107" s="5" t="n">
        <v>160.92</v>
      </c>
      <c r="Q107" s="5" t="n">
        <v>215.02</v>
      </c>
      <c r="R107" s="5" t="n">
        <v>267.57</v>
      </c>
      <c r="W107" s="75">
        <f>TRUNC((_xlfn.NORM.INV((RAND()),$V$6,$V$7)),3)</f>
        <v/>
      </c>
      <c r="Y107" s="75" t="n">
        <v>112</v>
      </c>
      <c r="Z107" s="5" t="n">
        <v>6.663</v>
      </c>
      <c r="AA107" s="5" t="n">
        <v>6.631</v>
      </c>
      <c r="AB107" s="5" t="n">
        <v>6.73</v>
      </c>
      <c r="AG107" s="75">
        <f>TRUNC((_xlfn.NORM.INV((RAND()),$AF$6,$AF$7)),3)</f>
        <v/>
      </c>
      <c r="AI107" s="75" t="n">
        <v>112</v>
      </c>
      <c r="AJ107" s="5" t="n">
        <v>44.394</v>
      </c>
      <c r="AK107" s="5" t="n">
        <v>66.88800000000001</v>
      </c>
      <c r="AL107" s="5" t="n">
        <v>70.797</v>
      </c>
      <c r="AR107" s="75" t="n">
        <v>112</v>
      </c>
      <c r="AS107" s="5" t="n">
        <v>0</v>
      </c>
      <c r="AT107" s="5" t="n">
        <v>0</v>
      </c>
      <c r="AU107" s="5" t="n">
        <v>0</v>
      </c>
      <c r="AW107" s="75">
        <f>Z107/Demand!AU125</f>
        <v/>
      </c>
      <c r="AX107" s="75">
        <f>AA107/Demand!AV125</f>
        <v/>
      </c>
      <c r="AY107" s="75">
        <f>AB107/Demand!AW125</f>
        <v/>
      </c>
      <c r="BG107" s="75" t="n">
        <v>112</v>
      </c>
      <c r="BH107" s="75">
        <f>Results!$B$19+AJ107-Results!$D$21</f>
        <v/>
      </c>
      <c r="BI107" s="75">
        <f>Results!$B$19+AK107-Results!$D$21</f>
        <v/>
      </c>
      <c r="BJ107" s="75">
        <f>Results!$B$19+AL107-Results!$D$21</f>
        <v/>
      </c>
      <c r="BM107" s="75" t="n">
        <v>112</v>
      </c>
      <c r="BN107" s="75">
        <f>Results!D122</f>
        <v/>
      </c>
      <c r="BO107" s="75">
        <f>Results!E122</f>
        <v/>
      </c>
      <c r="BP107" s="75">
        <f>Results!F122</f>
        <v/>
      </c>
      <c r="BS107" s="75" t="n">
        <v>112</v>
      </c>
      <c r="BT107" s="75">
        <f>Demand!AU125</f>
        <v/>
      </c>
      <c r="BU107" s="75">
        <f>Demand!AV125</f>
        <v/>
      </c>
      <c r="BV107" s="75">
        <f>Demand!AW125</f>
        <v/>
      </c>
      <c r="BY107" s="75" t="n">
        <v>112</v>
      </c>
      <c r="BZ107" s="75">
        <f>Retailers_Cap!N108</f>
        <v/>
      </c>
      <c r="CA107" s="75">
        <f>Retailers_Cap!O108</f>
        <v/>
      </c>
      <c r="CB107" s="75">
        <f>Retailers_Cap!P108</f>
        <v/>
      </c>
      <c r="CD107" s="75" t="n">
        <v>112</v>
      </c>
      <c r="CE107" s="75">
        <f>IF((BT107-BZ107)&gt;=0,"Dem","Folga")</f>
        <v/>
      </c>
      <c r="CF107" s="75">
        <f>IF((BU107-CA107)&gt;=0,"Dem","Folga")</f>
        <v/>
      </c>
      <c r="CG107" s="75">
        <f>IF((BV107-CB107)&gt;=0,"Dem","Folga")</f>
        <v/>
      </c>
    </row>
    <row r="108">
      <c r="M108" s="75">
        <f>TRUNC((_xlfn.NORM.INV((RAND()),$L$6,$L$7)),2)</f>
        <v/>
      </c>
      <c r="O108" s="75" t="n">
        <v>113</v>
      </c>
      <c r="P108" s="5" t="n">
        <v>239.18</v>
      </c>
      <c r="Q108" s="5" t="n">
        <v>182.65</v>
      </c>
      <c r="R108" s="5" t="n">
        <v>122.27</v>
      </c>
      <c r="W108" s="75">
        <f>TRUNC((_xlfn.NORM.INV((RAND()),$V$6,$V$7)),3)</f>
        <v/>
      </c>
      <c r="Y108" s="75" t="n">
        <v>113</v>
      </c>
      <c r="Z108" s="5" t="n">
        <v>6.749</v>
      </c>
      <c r="AA108" s="5" t="n">
        <v>6.743</v>
      </c>
      <c r="AB108" s="5" t="n">
        <v>6.808</v>
      </c>
      <c r="AG108" s="75">
        <f>TRUNC((_xlfn.NORM.INV((RAND()),$AF$6,$AF$7)),3)</f>
        <v/>
      </c>
      <c r="AI108" s="75" t="n">
        <v>113</v>
      </c>
      <c r="AJ108" s="5" t="n">
        <v>82.42700000000001</v>
      </c>
      <c r="AK108" s="5" t="n">
        <v>58.659</v>
      </c>
      <c r="AL108" s="5" t="n">
        <v>60.28</v>
      </c>
      <c r="AR108" s="75" t="n">
        <v>113</v>
      </c>
      <c r="AS108" s="5" t="n">
        <v>0</v>
      </c>
      <c r="AT108" s="5" t="n">
        <v>11.24464437416972</v>
      </c>
      <c r="AU108" s="5" t="n">
        <v>0</v>
      </c>
      <c r="AW108" s="75">
        <f>Z108/Demand!AU126</f>
        <v/>
      </c>
      <c r="AX108" s="75">
        <f>AA108/Demand!AV126</f>
        <v/>
      </c>
      <c r="AY108" s="75">
        <f>AB108/Demand!AW126</f>
        <v/>
      </c>
      <c r="BG108" s="75" t="n">
        <v>113</v>
      </c>
      <c r="BH108" s="75">
        <f>Results!$B$19+AJ108-Results!$D$21</f>
        <v/>
      </c>
      <c r="BI108" s="75">
        <f>Results!$B$19+AK108-Results!$D$21</f>
        <v/>
      </c>
      <c r="BJ108" s="75">
        <f>Results!$B$19+AL108-Results!$D$21</f>
        <v/>
      </c>
      <c r="BM108" s="75" t="n">
        <v>113</v>
      </c>
      <c r="BN108" s="75">
        <f>Results!D123</f>
        <v/>
      </c>
      <c r="BO108" s="75">
        <f>Results!E123</f>
        <v/>
      </c>
      <c r="BP108" s="75">
        <f>Results!F123</f>
        <v/>
      </c>
      <c r="BS108" s="75" t="n">
        <v>113</v>
      </c>
      <c r="BT108" s="75">
        <f>Demand!AU126</f>
        <v/>
      </c>
      <c r="BU108" s="75">
        <f>Demand!AV126</f>
        <v/>
      </c>
      <c r="BV108" s="75">
        <f>Demand!AW126</f>
        <v/>
      </c>
      <c r="BY108" s="75" t="n">
        <v>113</v>
      </c>
      <c r="BZ108" s="75">
        <f>Retailers_Cap!N109</f>
        <v/>
      </c>
      <c r="CA108" s="75">
        <f>Retailers_Cap!O109</f>
        <v/>
      </c>
      <c r="CB108" s="75">
        <f>Retailers_Cap!P109</f>
        <v/>
      </c>
      <c r="CD108" s="75" t="n">
        <v>113</v>
      </c>
      <c r="CE108" s="75">
        <f>IF((BT108-BZ108)&gt;=0,"Dem","Folga")</f>
        <v/>
      </c>
      <c r="CF108" s="75">
        <f>IF((BU108-CA108)&gt;=0,"Dem","Folga")</f>
        <v/>
      </c>
      <c r="CG108" s="75">
        <f>IF((BV108-CB108)&gt;=0,"Dem","Folga")</f>
        <v/>
      </c>
    </row>
    <row r="109">
      <c r="M109" s="75">
        <f>TRUNC((_xlfn.NORM.INV((RAND()),$L$6,$L$7)),2)</f>
        <v/>
      </c>
      <c r="O109" s="75" t="n">
        <v>114</v>
      </c>
      <c r="P109" s="5" t="n">
        <v>164.91</v>
      </c>
      <c r="Q109" s="5" t="n">
        <v>228.09</v>
      </c>
      <c r="R109" s="5" t="n">
        <v>266.3</v>
      </c>
      <c r="W109" s="75">
        <f>TRUNC((_xlfn.NORM.INV((RAND()),$V$6,$V$7)),3)</f>
        <v/>
      </c>
      <c r="Y109" s="75" t="n">
        <v>114</v>
      </c>
      <c r="Z109" s="5" t="n">
        <v>6.732</v>
      </c>
      <c r="AA109" s="5" t="n">
        <v>6.627</v>
      </c>
      <c r="AB109" s="5" t="n">
        <v>6.837</v>
      </c>
      <c r="AG109" s="75">
        <f>TRUNC((_xlfn.NORM.INV((RAND()),$AF$6,$AF$7)),3)</f>
        <v/>
      </c>
      <c r="AI109" s="75" t="n">
        <v>114</v>
      </c>
      <c r="AJ109" s="5" t="n">
        <v>78.79900000000001</v>
      </c>
      <c r="AK109" s="5" t="n">
        <v>63.099</v>
      </c>
      <c r="AL109" s="5" t="n">
        <v>58.378</v>
      </c>
      <c r="AR109" s="75" t="n">
        <v>114</v>
      </c>
      <c r="AS109" s="5" t="n">
        <v>24.71153184151682</v>
      </c>
      <c r="AT109" s="5" t="n">
        <v>0</v>
      </c>
      <c r="AU109" s="5" t="n">
        <v>0</v>
      </c>
      <c r="AW109" s="75">
        <f>Z109/Demand!AU127</f>
        <v/>
      </c>
      <c r="AX109" s="75">
        <f>AA109/Demand!AV127</f>
        <v/>
      </c>
      <c r="AY109" s="75">
        <f>AB109/Demand!AW127</f>
        <v/>
      </c>
      <c r="BG109" s="75" t="n">
        <v>114</v>
      </c>
      <c r="BH109" s="75">
        <f>Results!$B$19+AJ109-Results!$D$21</f>
        <v/>
      </c>
      <c r="BI109" s="75">
        <f>Results!$B$19+AK109-Results!$D$21</f>
        <v/>
      </c>
      <c r="BJ109" s="75">
        <f>Results!$B$19+AL109-Results!$D$21</f>
        <v/>
      </c>
      <c r="BM109" s="75" t="n">
        <v>114</v>
      </c>
      <c r="BN109" s="75">
        <f>Results!D124</f>
        <v/>
      </c>
      <c r="BO109" s="75">
        <f>Results!E124</f>
        <v/>
      </c>
      <c r="BP109" s="75">
        <f>Results!F124</f>
        <v/>
      </c>
      <c r="BS109" s="75" t="n">
        <v>114</v>
      </c>
      <c r="BT109" s="75">
        <f>Demand!AU127</f>
        <v/>
      </c>
      <c r="BU109" s="75">
        <f>Demand!AV127</f>
        <v/>
      </c>
      <c r="BV109" s="75">
        <f>Demand!AW127</f>
        <v/>
      </c>
      <c r="BY109" s="75" t="n">
        <v>114</v>
      </c>
      <c r="BZ109" s="75">
        <f>Retailers_Cap!N110</f>
        <v/>
      </c>
      <c r="CA109" s="75">
        <f>Retailers_Cap!O110</f>
        <v/>
      </c>
      <c r="CB109" s="75">
        <f>Retailers_Cap!P110</f>
        <v/>
      </c>
      <c r="CD109" s="75" t="n">
        <v>114</v>
      </c>
      <c r="CE109" s="75">
        <f>IF((BT109-BZ109)&gt;=0,"Dem","Folga")</f>
        <v/>
      </c>
      <c r="CF109" s="75">
        <f>IF((BU109-CA109)&gt;=0,"Dem","Folga")</f>
        <v/>
      </c>
      <c r="CG109" s="75">
        <f>IF((BV109-CB109)&gt;=0,"Dem","Folga")</f>
        <v/>
      </c>
    </row>
    <row r="110">
      <c r="M110" s="75">
        <f>TRUNC((_xlfn.NORM.INV((RAND()),$L$6,$L$7)),2)</f>
        <v/>
      </c>
      <c r="O110" s="75" t="n">
        <v>115</v>
      </c>
      <c r="P110" s="5" t="n">
        <v>175.37</v>
      </c>
      <c r="Q110" s="5" t="n">
        <v>158.2</v>
      </c>
      <c r="R110" s="5" t="n">
        <v>266.58</v>
      </c>
      <c r="W110" s="75">
        <f>TRUNC((_xlfn.NORM.INV((RAND()),$V$6,$V$7)),3)</f>
        <v/>
      </c>
      <c r="Y110" s="75" t="n">
        <v>115</v>
      </c>
      <c r="Z110" s="5" t="n">
        <v>6.747</v>
      </c>
      <c r="AA110" s="5" t="n">
        <v>6.852</v>
      </c>
      <c r="AB110" s="5" t="n">
        <v>6.836</v>
      </c>
      <c r="AG110" s="75">
        <f>TRUNC((_xlfn.NORM.INV((RAND()),$AF$6,$AF$7)),3)</f>
        <v/>
      </c>
      <c r="AI110" s="75" t="n">
        <v>115</v>
      </c>
      <c r="AJ110" s="5" t="n">
        <v>72.24299999999999</v>
      </c>
      <c r="AK110" s="5" t="n">
        <v>61.343</v>
      </c>
      <c r="AL110" s="5" t="n">
        <v>51.138</v>
      </c>
      <c r="AR110" s="75" t="n">
        <v>115</v>
      </c>
      <c r="AS110" s="5" t="n">
        <v>0</v>
      </c>
      <c r="AT110" s="5" t="n">
        <v>0</v>
      </c>
      <c r="AU110" s="5" t="n">
        <v>0</v>
      </c>
      <c r="AW110" s="75">
        <f>Z110/Demand!AU128</f>
        <v/>
      </c>
      <c r="AX110" s="75">
        <f>AA110/Demand!AV128</f>
        <v/>
      </c>
      <c r="AY110" s="75">
        <f>AB110/Demand!AW128</f>
        <v/>
      </c>
      <c r="BG110" s="75" t="n">
        <v>115</v>
      </c>
      <c r="BH110" s="75">
        <f>Results!$B$19+AJ110-Results!$D$21</f>
        <v/>
      </c>
      <c r="BI110" s="75">
        <f>Results!$B$19+AK110-Results!$D$21</f>
        <v/>
      </c>
      <c r="BJ110" s="75">
        <f>Results!$B$19+AL110-Results!$D$21</f>
        <v/>
      </c>
      <c r="BM110" s="75" t="n">
        <v>115</v>
      </c>
      <c r="BN110" s="75">
        <f>Results!D125</f>
        <v/>
      </c>
      <c r="BO110" s="75">
        <f>Results!E125</f>
        <v/>
      </c>
      <c r="BP110" s="75">
        <f>Results!F125</f>
        <v/>
      </c>
      <c r="BS110" s="75" t="n">
        <v>115</v>
      </c>
      <c r="BT110" s="75">
        <f>Demand!AU128</f>
        <v/>
      </c>
      <c r="BU110" s="75">
        <f>Demand!AV128</f>
        <v/>
      </c>
      <c r="BV110" s="75">
        <f>Demand!AW128</f>
        <v/>
      </c>
      <c r="BY110" s="75" t="n">
        <v>115</v>
      </c>
      <c r="BZ110" s="75">
        <f>Retailers_Cap!N111</f>
        <v/>
      </c>
      <c r="CA110" s="75">
        <f>Retailers_Cap!O111</f>
        <v/>
      </c>
      <c r="CB110" s="75">
        <f>Retailers_Cap!P111</f>
        <v/>
      </c>
      <c r="CD110" s="75" t="n">
        <v>115</v>
      </c>
      <c r="CE110" s="75">
        <f>IF((BT110-BZ110)&gt;=0,"Dem","Folga")</f>
        <v/>
      </c>
      <c r="CF110" s="75">
        <f>IF((BU110-CA110)&gt;=0,"Dem","Folga")</f>
        <v/>
      </c>
      <c r="CG110" s="75">
        <f>IF((BV110-CB110)&gt;=0,"Dem","Folga")</f>
        <v/>
      </c>
    </row>
    <row r="111">
      <c r="M111" s="75">
        <f>TRUNC((_xlfn.NORM.INV((RAND()),$L$6,$L$7)),2)</f>
        <v/>
      </c>
      <c r="O111" s="75" t="n">
        <v>116</v>
      </c>
      <c r="P111" s="5" t="n">
        <v>264.17</v>
      </c>
      <c r="Q111" s="5" t="n">
        <v>219.68</v>
      </c>
      <c r="R111" s="5" t="n">
        <v>257.31</v>
      </c>
      <c r="W111" s="75">
        <f>TRUNC((_xlfn.NORM.INV((RAND()),$V$6,$V$7)),3)</f>
        <v/>
      </c>
      <c r="Y111" s="75" t="n">
        <v>116</v>
      </c>
      <c r="Z111" s="5" t="n">
        <v>6.785</v>
      </c>
      <c r="AA111" s="5" t="n">
        <v>6.723</v>
      </c>
      <c r="AB111" s="5" t="n">
        <v>6.687</v>
      </c>
      <c r="AG111" s="75">
        <f>TRUNC((_xlfn.NORM.INV((RAND()),$AF$6,$AF$7)),3)</f>
        <v/>
      </c>
      <c r="AI111" s="75" t="n">
        <v>116</v>
      </c>
      <c r="AJ111" s="5" t="n">
        <v>55.163</v>
      </c>
      <c r="AK111" s="5" t="n">
        <v>50.665</v>
      </c>
      <c r="AL111" s="5" t="n">
        <v>68.902</v>
      </c>
      <c r="AR111" s="75" t="n">
        <v>116</v>
      </c>
      <c r="AS111" s="5" t="n">
        <v>0</v>
      </c>
      <c r="AT111" s="5" t="n">
        <v>0</v>
      </c>
      <c r="AU111" s="5" t="n">
        <v>0</v>
      </c>
      <c r="AW111" s="75">
        <f>Z111/Demand!AU129</f>
        <v/>
      </c>
      <c r="AX111" s="75">
        <f>AA111/Demand!AV129</f>
        <v/>
      </c>
      <c r="AY111" s="75">
        <f>AB111/Demand!AW129</f>
        <v/>
      </c>
      <c r="BG111" s="75" t="n">
        <v>116</v>
      </c>
      <c r="BH111" s="75">
        <f>Results!$B$19+AJ111-Results!$D$21</f>
        <v/>
      </c>
      <c r="BI111" s="75">
        <f>Results!$B$19+AK111-Results!$D$21</f>
        <v/>
      </c>
      <c r="BJ111" s="75">
        <f>Results!$B$19+AL111-Results!$D$21</f>
        <v/>
      </c>
      <c r="BM111" s="75" t="n">
        <v>116</v>
      </c>
      <c r="BN111" s="75">
        <f>Results!D126</f>
        <v/>
      </c>
      <c r="BO111" s="75">
        <f>Results!E126</f>
        <v/>
      </c>
      <c r="BP111" s="75">
        <f>Results!F126</f>
        <v/>
      </c>
      <c r="BS111" s="75" t="n">
        <v>116</v>
      </c>
      <c r="BT111" s="75">
        <f>Demand!AU129</f>
        <v/>
      </c>
      <c r="BU111" s="75">
        <f>Demand!AV129</f>
        <v/>
      </c>
      <c r="BV111" s="75">
        <f>Demand!AW129</f>
        <v/>
      </c>
      <c r="BY111" s="75" t="n">
        <v>116</v>
      </c>
      <c r="BZ111" s="75">
        <f>Retailers_Cap!N112</f>
        <v/>
      </c>
      <c r="CA111" s="75">
        <f>Retailers_Cap!O112</f>
        <v/>
      </c>
      <c r="CB111" s="75">
        <f>Retailers_Cap!P112</f>
        <v/>
      </c>
      <c r="CD111" s="75" t="n">
        <v>116</v>
      </c>
      <c r="CE111" s="75">
        <f>IF((BT111-BZ111)&gt;=0,"Dem","Folga")</f>
        <v/>
      </c>
      <c r="CF111" s="75">
        <f>IF((BU111-CA111)&gt;=0,"Dem","Folga")</f>
        <v/>
      </c>
      <c r="CG111" s="75">
        <f>IF((BV111-CB111)&gt;=0,"Dem","Folga")</f>
        <v/>
      </c>
    </row>
    <row r="112">
      <c r="M112" s="75">
        <f>TRUNC((_xlfn.NORM.INV((RAND()),$L$6,$L$7)),2)</f>
        <v/>
      </c>
      <c r="O112" s="75" t="n">
        <v>117</v>
      </c>
      <c r="P112" s="5" t="n">
        <v>182.5</v>
      </c>
      <c r="Q112" s="5" t="n">
        <v>246.75</v>
      </c>
      <c r="R112" s="5" t="n">
        <v>203.61</v>
      </c>
      <c r="W112" s="75">
        <f>TRUNC((_xlfn.NORM.INV((RAND()),$V$6,$V$7)),3)</f>
        <v/>
      </c>
      <c r="Y112" s="75" t="n">
        <v>117</v>
      </c>
      <c r="Z112" s="5" t="n">
        <v>6.701</v>
      </c>
      <c r="AA112" s="5" t="n">
        <v>6.696</v>
      </c>
      <c r="AB112" s="5" t="n">
        <v>6.671</v>
      </c>
      <c r="AG112" s="75">
        <f>TRUNC((_xlfn.NORM.INV((RAND()),$AF$6,$AF$7)),3)</f>
        <v/>
      </c>
      <c r="AI112" s="75" t="n">
        <v>117</v>
      </c>
      <c r="AJ112" s="5" t="n">
        <v>50.155</v>
      </c>
      <c r="AK112" s="5" t="n">
        <v>80.922</v>
      </c>
      <c r="AL112" s="5" t="n">
        <v>64.733</v>
      </c>
      <c r="AR112" s="75" t="n">
        <v>117</v>
      </c>
      <c r="AS112" s="5" t="n">
        <v>0</v>
      </c>
      <c r="AT112" s="5" t="n">
        <v>0</v>
      </c>
      <c r="AU112" s="5" t="n">
        <v>4.684901316925019</v>
      </c>
      <c r="AW112" s="75">
        <f>Z112/Demand!AU130</f>
        <v/>
      </c>
      <c r="AX112" s="75">
        <f>AA112/Demand!AV130</f>
        <v/>
      </c>
      <c r="AY112" s="75">
        <f>AB112/Demand!AW130</f>
        <v/>
      </c>
      <c r="BG112" s="75" t="n">
        <v>117</v>
      </c>
      <c r="BH112" s="75">
        <f>Results!$B$19+AJ112-Results!$D$21</f>
        <v/>
      </c>
      <c r="BI112" s="75">
        <f>Results!$B$19+AK112-Results!$D$21</f>
        <v/>
      </c>
      <c r="BJ112" s="75">
        <f>Results!$B$19+AL112-Results!$D$21</f>
        <v/>
      </c>
      <c r="BM112" s="75" t="n">
        <v>117</v>
      </c>
      <c r="BN112" s="75">
        <f>Results!D127</f>
        <v/>
      </c>
      <c r="BO112" s="75">
        <f>Results!E127</f>
        <v/>
      </c>
      <c r="BP112" s="75">
        <f>Results!F127</f>
        <v/>
      </c>
      <c r="BS112" s="75" t="n">
        <v>117</v>
      </c>
      <c r="BT112" s="75">
        <f>Demand!AU130</f>
        <v/>
      </c>
      <c r="BU112" s="75">
        <f>Demand!AV130</f>
        <v/>
      </c>
      <c r="BV112" s="75">
        <f>Demand!AW130</f>
        <v/>
      </c>
      <c r="BY112" s="75" t="n">
        <v>117</v>
      </c>
      <c r="BZ112" s="75">
        <f>Retailers_Cap!N113</f>
        <v/>
      </c>
      <c r="CA112" s="75">
        <f>Retailers_Cap!O113</f>
        <v/>
      </c>
      <c r="CB112" s="75">
        <f>Retailers_Cap!P113</f>
        <v/>
      </c>
      <c r="CD112" s="75" t="n">
        <v>117</v>
      </c>
      <c r="CE112" s="75">
        <f>IF((BT112-BZ112)&gt;=0,"Dem","Folga")</f>
        <v/>
      </c>
      <c r="CF112" s="75">
        <f>IF((BU112-CA112)&gt;=0,"Dem","Folga")</f>
        <v/>
      </c>
      <c r="CG112" s="75">
        <f>IF((BV112-CB112)&gt;=0,"Dem","Folga")</f>
        <v/>
      </c>
    </row>
    <row r="113">
      <c r="M113" s="75">
        <f>TRUNC((_xlfn.NORM.INV((RAND()),$L$6,$L$7)),2)</f>
        <v/>
      </c>
      <c r="O113" s="75" t="n">
        <v>118</v>
      </c>
      <c r="P113" s="5" t="n">
        <v>204.58</v>
      </c>
      <c r="Q113" s="5" t="n">
        <v>225.84</v>
      </c>
      <c r="R113" s="5" t="n">
        <v>194.32</v>
      </c>
      <c r="W113" s="75">
        <f>TRUNC((_xlfn.NORM.INV((RAND()),$V$6,$V$7)),3)</f>
        <v/>
      </c>
      <c r="Y113" s="75" t="n">
        <v>118</v>
      </c>
      <c r="Z113" s="5" t="n">
        <v>6.689</v>
      </c>
      <c r="AA113" s="5" t="n">
        <v>6.769</v>
      </c>
      <c r="AB113" s="5" t="n">
        <v>6.686</v>
      </c>
      <c r="AG113" s="75">
        <f>TRUNC((_xlfn.NORM.INV((RAND()),$AF$6,$AF$7)),3)</f>
        <v/>
      </c>
      <c r="AI113" s="75" t="n">
        <v>118</v>
      </c>
      <c r="AJ113" s="5" t="n">
        <v>74.36</v>
      </c>
      <c r="AK113" s="5" t="n">
        <v>59.638</v>
      </c>
      <c r="AL113" s="5" t="n">
        <v>63.48</v>
      </c>
      <c r="AR113" s="75" t="n">
        <v>118</v>
      </c>
      <c r="AS113" s="5" t="n">
        <v>8.803674496918111</v>
      </c>
      <c r="AT113" s="5" t="n">
        <v>0</v>
      </c>
      <c r="AU113" s="5" t="n">
        <v>0</v>
      </c>
      <c r="AW113" s="75">
        <f>Z113/Demand!AU131</f>
        <v/>
      </c>
      <c r="AX113" s="75">
        <f>AA113/Demand!AV131</f>
        <v/>
      </c>
      <c r="AY113" s="75">
        <f>AB113/Demand!AW131</f>
        <v/>
      </c>
      <c r="BG113" s="75" t="n">
        <v>118</v>
      </c>
      <c r="BH113" s="75">
        <f>Results!$B$19+AJ113-Results!$D$21</f>
        <v/>
      </c>
      <c r="BI113" s="75">
        <f>Results!$B$19+AK113-Results!$D$21</f>
        <v/>
      </c>
      <c r="BJ113" s="75">
        <f>Results!$B$19+AL113-Results!$D$21</f>
        <v/>
      </c>
      <c r="BM113" s="75" t="n">
        <v>118</v>
      </c>
      <c r="BN113" s="75">
        <f>Results!D128</f>
        <v/>
      </c>
      <c r="BO113" s="75">
        <f>Results!E128</f>
        <v/>
      </c>
      <c r="BP113" s="75">
        <f>Results!F128</f>
        <v/>
      </c>
      <c r="BS113" s="75" t="n">
        <v>118</v>
      </c>
      <c r="BT113" s="75">
        <f>Demand!AU131</f>
        <v/>
      </c>
      <c r="BU113" s="75">
        <f>Demand!AV131</f>
        <v/>
      </c>
      <c r="BV113" s="75">
        <f>Demand!AW131</f>
        <v/>
      </c>
      <c r="BY113" s="75" t="n">
        <v>118</v>
      </c>
      <c r="BZ113" s="75">
        <f>Retailers_Cap!N114</f>
        <v/>
      </c>
      <c r="CA113" s="75">
        <f>Retailers_Cap!O114</f>
        <v/>
      </c>
      <c r="CB113" s="75">
        <f>Retailers_Cap!P114</f>
        <v/>
      </c>
      <c r="CD113" s="75" t="n">
        <v>118</v>
      </c>
      <c r="CE113" s="75">
        <f>IF((BT113-BZ113)&gt;=0,"Dem","Folga")</f>
        <v/>
      </c>
      <c r="CF113" s="75">
        <f>IF((BU113-CA113)&gt;=0,"Dem","Folga")</f>
        <v/>
      </c>
      <c r="CG113" s="75">
        <f>IF((BV113-CB113)&gt;=0,"Dem","Folga")</f>
        <v/>
      </c>
    </row>
    <row r="114">
      <c r="M114" s="75">
        <f>TRUNC((_xlfn.NORM.INV((RAND()),$L$6,$L$7)),2)</f>
        <v/>
      </c>
      <c r="O114" s="75" t="n">
        <v>119</v>
      </c>
      <c r="P114" s="5" t="n">
        <v>197.55</v>
      </c>
      <c r="Q114" s="5" t="n">
        <v>235.3</v>
      </c>
      <c r="R114" s="5" t="n">
        <v>136.47</v>
      </c>
      <c r="W114" s="75">
        <f>TRUNC((_xlfn.NORM.INV((RAND()),$V$6,$V$7)),3)</f>
        <v/>
      </c>
      <c r="Y114" s="75" t="n">
        <v>119</v>
      </c>
      <c r="Z114" s="5" t="n">
        <v>6.733</v>
      </c>
      <c r="AA114" s="5" t="n">
        <v>6.788</v>
      </c>
      <c r="AB114" s="5" t="n">
        <v>6.712</v>
      </c>
      <c r="AG114" s="75">
        <f>TRUNC((_xlfn.NORM.INV((RAND()),$AF$6,$AF$7)),3)</f>
        <v/>
      </c>
      <c r="AI114" s="75" t="n">
        <v>119</v>
      </c>
      <c r="AJ114" s="5" t="n">
        <v>74.07599999999999</v>
      </c>
      <c r="AK114" s="5" t="n">
        <v>82.202</v>
      </c>
      <c r="AL114" s="5" t="n">
        <v>33.994</v>
      </c>
      <c r="AR114" s="75" t="n">
        <v>119</v>
      </c>
      <c r="AS114" s="5" t="n">
        <v>37.93787314950842</v>
      </c>
      <c r="AT114" s="5" t="n">
        <v>0</v>
      </c>
      <c r="AU114" s="5" t="n">
        <v>9.811997502518343</v>
      </c>
      <c r="AW114" s="75">
        <f>Z114/Demand!AU132</f>
        <v/>
      </c>
      <c r="AX114" s="75">
        <f>AA114/Demand!AV132</f>
        <v/>
      </c>
      <c r="AY114" s="75">
        <f>AB114/Demand!AW132</f>
        <v/>
      </c>
      <c r="BG114" s="75" t="n">
        <v>119</v>
      </c>
      <c r="BH114" s="75">
        <f>Results!$B$19+AJ114-Results!$D$21</f>
        <v/>
      </c>
      <c r="BI114" s="75">
        <f>Results!$B$19+AK114-Results!$D$21</f>
        <v/>
      </c>
      <c r="BJ114" s="75">
        <f>Results!$B$19+AL114-Results!$D$21</f>
        <v/>
      </c>
      <c r="BM114" s="75" t="n">
        <v>119</v>
      </c>
      <c r="BN114" s="75">
        <f>Results!D129</f>
        <v/>
      </c>
      <c r="BO114" s="75">
        <f>Results!E129</f>
        <v/>
      </c>
      <c r="BP114" s="75">
        <f>Results!F129</f>
        <v/>
      </c>
      <c r="BS114" s="75" t="n">
        <v>119</v>
      </c>
      <c r="BT114" s="75">
        <f>Demand!AU132</f>
        <v/>
      </c>
      <c r="BU114" s="75">
        <f>Demand!AV132</f>
        <v/>
      </c>
      <c r="BV114" s="75">
        <f>Demand!AW132</f>
        <v/>
      </c>
      <c r="BY114" s="75" t="n">
        <v>119</v>
      </c>
      <c r="BZ114" s="75">
        <f>Retailers_Cap!N115</f>
        <v/>
      </c>
      <c r="CA114" s="75">
        <f>Retailers_Cap!O115</f>
        <v/>
      </c>
      <c r="CB114" s="75">
        <f>Retailers_Cap!P115</f>
        <v/>
      </c>
      <c r="CD114" s="75" t="n">
        <v>119</v>
      </c>
      <c r="CE114" s="75">
        <f>IF((BT114-BZ114)&gt;=0,"Dem","Folga")</f>
        <v/>
      </c>
      <c r="CF114" s="75">
        <f>IF((BU114-CA114)&gt;=0,"Dem","Folga")</f>
        <v/>
      </c>
      <c r="CG114" s="75">
        <f>IF((BV114-CB114)&gt;=0,"Dem","Folga")</f>
        <v/>
      </c>
    </row>
    <row r="115">
      <c r="M115" s="75">
        <f>TRUNC((_xlfn.NORM.INV((RAND()),$L$6,$L$7)),2)</f>
        <v/>
      </c>
      <c r="O115" s="75" t="n">
        <v>120</v>
      </c>
      <c r="P115" s="5" t="n">
        <v>232.4</v>
      </c>
      <c r="Q115" s="5" t="n">
        <v>169.07</v>
      </c>
      <c r="R115" s="5" t="n">
        <v>208.24</v>
      </c>
      <c r="W115" s="75">
        <f>TRUNC((_xlfn.NORM.INV((RAND()),$V$6,$V$7)),3)</f>
        <v/>
      </c>
      <c r="Y115" s="75" t="n">
        <v>120</v>
      </c>
      <c r="Z115" s="5" t="n">
        <v>6.623</v>
      </c>
      <c r="AA115" s="5" t="n">
        <v>6.735</v>
      </c>
      <c r="AB115" s="5" t="n">
        <v>6.791</v>
      </c>
      <c r="AG115" s="75">
        <f>TRUNC((_xlfn.NORM.INV((RAND()),$AF$6,$AF$7)),3)</f>
        <v/>
      </c>
      <c r="AI115" s="75" t="n">
        <v>120</v>
      </c>
      <c r="AJ115" s="5" t="n">
        <v>46.669</v>
      </c>
      <c r="AK115" s="5" t="n">
        <v>78.35899999999999</v>
      </c>
      <c r="AL115" s="5" t="n">
        <v>74.94</v>
      </c>
      <c r="AR115" s="75" t="n">
        <v>120</v>
      </c>
      <c r="AS115" s="5" t="n">
        <v>0</v>
      </c>
      <c r="AT115" s="5" t="n">
        <v>15.13205071812896</v>
      </c>
      <c r="AU115" s="5" t="n">
        <v>16.75921505349137</v>
      </c>
      <c r="AW115" s="75">
        <f>Z115/Demand!AU133</f>
        <v/>
      </c>
      <c r="AX115" s="75">
        <f>AA115/Demand!AV133</f>
        <v/>
      </c>
      <c r="AY115" s="75">
        <f>AB115/Demand!AW133</f>
        <v/>
      </c>
      <c r="BG115" s="75" t="n">
        <v>120</v>
      </c>
      <c r="BH115" s="75">
        <f>Results!$B$19+AJ115-Results!$D$21</f>
        <v/>
      </c>
      <c r="BI115" s="75">
        <f>Results!$B$19+AK115-Results!$D$21</f>
        <v/>
      </c>
      <c r="BJ115" s="75">
        <f>Results!$B$19+AL115-Results!$D$21</f>
        <v/>
      </c>
      <c r="BM115" s="75" t="n">
        <v>120</v>
      </c>
      <c r="BN115" s="75">
        <f>Results!D130</f>
        <v/>
      </c>
      <c r="BO115" s="75">
        <f>Results!E130</f>
        <v/>
      </c>
      <c r="BP115" s="75">
        <f>Results!F130</f>
        <v/>
      </c>
      <c r="BS115" s="75" t="n">
        <v>120</v>
      </c>
      <c r="BT115" s="75">
        <f>Demand!AU133</f>
        <v/>
      </c>
      <c r="BU115" s="75">
        <f>Demand!AV133</f>
        <v/>
      </c>
      <c r="BV115" s="75">
        <f>Demand!AW133</f>
        <v/>
      </c>
      <c r="BY115" s="75" t="n">
        <v>120</v>
      </c>
      <c r="BZ115" s="75">
        <f>Retailers_Cap!N116</f>
        <v/>
      </c>
      <c r="CA115" s="75">
        <f>Retailers_Cap!O116</f>
        <v/>
      </c>
      <c r="CB115" s="75">
        <f>Retailers_Cap!P116</f>
        <v/>
      </c>
      <c r="CD115" s="75" t="n">
        <v>120</v>
      </c>
      <c r="CE115" s="75">
        <f>IF((BT115-BZ115)&gt;=0,"Dem","Folga")</f>
        <v/>
      </c>
      <c r="CF115" s="75">
        <f>IF((BU115-CA115)&gt;=0,"Dem","Folga")</f>
        <v/>
      </c>
      <c r="CG115" s="75">
        <f>IF((BV115-CB115)&gt;=0,"Dem","Folga")</f>
        <v/>
      </c>
    </row>
    <row r="116">
      <c r="M116" s="75">
        <f>TRUNC((_xlfn.NORM.INV((RAND()),$L$6,$L$7)),2)</f>
        <v/>
      </c>
      <c r="O116" s="75" t="n">
        <v>121</v>
      </c>
      <c r="P116" s="5" t="n">
        <v>251.47</v>
      </c>
      <c r="Q116" s="5" t="n">
        <v>252.91</v>
      </c>
      <c r="R116" s="5" t="n">
        <v>263.74</v>
      </c>
      <c r="W116" s="75">
        <f>TRUNC((_xlfn.NORM.INV((RAND()),$V$6,$V$7)),3)</f>
        <v/>
      </c>
      <c r="Y116" s="75" t="n">
        <v>121</v>
      </c>
      <c r="Z116" s="5" t="n">
        <v>6.772</v>
      </c>
      <c r="AA116" s="5" t="n">
        <v>6.704</v>
      </c>
      <c r="AB116" s="5" t="n">
        <v>6.795</v>
      </c>
      <c r="AG116" s="75">
        <f>TRUNC((_xlfn.NORM.INV((RAND()),$AF$6,$AF$7)),3)</f>
        <v/>
      </c>
      <c r="AI116" s="75" t="n">
        <v>121</v>
      </c>
      <c r="AJ116" s="5" t="n">
        <v>56.824</v>
      </c>
      <c r="AK116" s="5" t="n">
        <v>73.136</v>
      </c>
      <c r="AL116" s="5" t="n">
        <v>53.779</v>
      </c>
      <c r="AR116" s="75" t="n">
        <v>121</v>
      </c>
      <c r="AS116" s="5" t="n">
        <v>17.11963638283738</v>
      </c>
      <c r="AT116" s="5" t="n">
        <v>0</v>
      </c>
      <c r="AU116" s="5" t="n">
        <v>0</v>
      </c>
      <c r="AW116" s="75">
        <f>Z116/Demand!AU134</f>
        <v/>
      </c>
      <c r="AX116" s="75">
        <f>AA116/Demand!AV134</f>
        <v/>
      </c>
      <c r="AY116" s="75">
        <f>AB116/Demand!AW134</f>
        <v/>
      </c>
      <c r="BG116" s="75" t="n">
        <v>121</v>
      </c>
      <c r="BH116" s="75">
        <f>Results!$B$19+AJ116-Results!$D$21</f>
        <v/>
      </c>
      <c r="BI116" s="75">
        <f>Results!$B$19+AK116-Results!$D$21</f>
        <v/>
      </c>
      <c r="BJ116" s="75">
        <f>Results!$B$19+AL116-Results!$D$21</f>
        <v/>
      </c>
      <c r="BM116" s="75" t="n">
        <v>121</v>
      </c>
      <c r="BN116" s="75">
        <f>Results!D131</f>
        <v/>
      </c>
      <c r="BO116" s="75">
        <f>Results!E131</f>
        <v/>
      </c>
      <c r="BP116" s="75">
        <f>Results!F131</f>
        <v/>
      </c>
      <c r="BS116" s="75" t="n">
        <v>121</v>
      </c>
      <c r="BT116" s="75">
        <f>Demand!AU134</f>
        <v/>
      </c>
      <c r="BU116" s="75">
        <f>Demand!AV134</f>
        <v/>
      </c>
      <c r="BV116" s="75">
        <f>Demand!AW134</f>
        <v/>
      </c>
      <c r="BY116" s="75" t="n">
        <v>121</v>
      </c>
      <c r="BZ116" s="75">
        <f>Retailers_Cap!N117</f>
        <v/>
      </c>
      <c r="CA116" s="75">
        <f>Retailers_Cap!O117</f>
        <v/>
      </c>
      <c r="CB116" s="75">
        <f>Retailers_Cap!P117</f>
        <v/>
      </c>
      <c r="CD116" s="75" t="n">
        <v>121</v>
      </c>
      <c r="CE116" s="75">
        <f>IF((BT116-BZ116)&gt;=0,"Dem","Folga")</f>
        <v/>
      </c>
      <c r="CF116" s="75">
        <f>IF((BU116-CA116)&gt;=0,"Dem","Folga")</f>
        <v/>
      </c>
      <c r="CG116" s="75">
        <f>IF((BV116-CB116)&gt;=0,"Dem","Folga")</f>
        <v/>
      </c>
    </row>
    <row r="117">
      <c r="M117" s="75">
        <f>TRUNC((_xlfn.NORM.INV((RAND()),$L$6,$L$7)),2)</f>
        <v/>
      </c>
      <c r="O117" s="75" t="n">
        <v>122</v>
      </c>
      <c r="P117" s="5" t="n">
        <v>235.37</v>
      </c>
      <c r="Q117" s="5" t="n">
        <v>224.03</v>
      </c>
      <c r="R117" s="5" t="n">
        <v>262.05</v>
      </c>
      <c r="W117" s="75">
        <f>TRUNC((_xlfn.NORM.INV((RAND()),$V$6,$V$7)),3)</f>
        <v/>
      </c>
      <c r="Y117" s="75" t="n">
        <v>122</v>
      </c>
      <c r="Z117" s="5" t="n">
        <v>6.855</v>
      </c>
      <c r="AA117" s="5" t="n">
        <v>6.846</v>
      </c>
      <c r="AB117" s="5" t="n">
        <v>6.782</v>
      </c>
      <c r="AG117" s="75">
        <f>TRUNC((_xlfn.NORM.INV((RAND()),$AF$6,$AF$7)),3)</f>
        <v/>
      </c>
      <c r="AI117" s="75" t="n">
        <v>122</v>
      </c>
      <c r="AJ117" s="5" t="n">
        <v>47.044</v>
      </c>
      <c r="AK117" s="5" t="n">
        <v>48.311</v>
      </c>
      <c r="AL117" s="5" t="n">
        <v>63.514</v>
      </c>
      <c r="AR117" s="75" t="n">
        <v>122</v>
      </c>
      <c r="AS117" s="5" t="n">
        <v>7.936520383079431</v>
      </c>
      <c r="AT117" s="5" t="n">
        <v>0</v>
      </c>
      <c r="AU117" s="5" t="n">
        <v>0</v>
      </c>
      <c r="AW117" s="75">
        <f>Z117/Demand!AU135</f>
        <v/>
      </c>
      <c r="AX117" s="75">
        <f>AA117/Demand!AV135</f>
        <v/>
      </c>
      <c r="AY117" s="75">
        <f>AB117/Demand!AW135</f>
        <v/>
      </c>
      <c r="BG117" s="75" t="n">
        <v>122</v>
      </c>
      <c r="BH117" s="75">
        <f>Results!$B$19+AJ117-Results!$D$21</f>
        <v/>
      </c>
      <c r="BI117" s="75">
        <f>Results!$B$19+AK117-Results!$D$21</f>
        <v/>
      </c>
      <c r="BJ117" s="75">
        <f>Results!$B$19+AL117-Results!$D$21</f>
        <v/>
      </c>
      <c r="BM117" s="75" t="n">
        <v>122</v>
      </c>
      <c r="BN117" s="75">
        <f>Results!D132</f>
        <v/>
      </c>
      <c r="BO117" s="75">
        <f>Results!E132</f>
        <v/>
      </c>
      <c r="BP117" s="75">
        <f>Results!F132</f>
        <v/>
      </c>
      <c r="BS117" s="75" t="n">
        <v>122</v>
      </c>
      <c r="BT117" s="75">
        <f>Demand!AU135</f>
        <v/>
      </c>
      <c r="BU117" s="75">
        <f>Demand!AV135</f>
        <v/>
      </c>
      <c r="BV117" s="75">
        <f>Demand!AW135</f>
        <v/>
      </c>
      <c r="BY117" s="75" t="n">
        <v>122</v>
      </c>
      <c r="BZ117" s="75">
        <f>Retailers_Cap!N118</f>
        <v/>
      </c>
      <c r="CA117" s="75">
        <f>Retailers_Cap!O118</f>
        <v/>
      </c>
      <c r="CB117" s="75">
        <f>Retailers_Cap!P118</f>
        <v/>
      </c>
      <c r="CD117" s="75" t="n">
        <v>122</v>
      </c>
      <c r="CE117" s="75">
        <f>IF((BT117-BZ117)&gt;=0,"Dem","Folga")</f>
        <v/>
      </c>
      <c r="CF117" s="75">
        <f>IF((BU117-CA117)&gt;=0,"Dem","Folga")</f>
        <v/>
      </c>
      <c r="CG117" s="75">
        <f>IF((BV117-CB117)&gt;=0,"Dem","Folga")</f>
        <v/>
      </c>
    </row>
    <row r="118">
      <c r="M118" s="75">
        <f>TRUNC((_xlfn.NORM.INV((RAND()),$L$6,$L$7)),2)</f>
        <v/>
      </c>
      <c r="O118" s="75" t="n">
        <v>123</v>
      </c>
      <c r="P118" s="5" t="n">
        <v>248.61</v>
      </c>
      <c r="Q118" s="5" t="n">
        <v>225.06</v>
      </c>
      <c r="R118" s="5" t="n">
        <v>146.91</v>
      </c>
      <c r="W118" s="75">
        <f>TRUNC((_xlfn.NORM.INV((RAND()),$V$6,$V$7)),3)</f>
        <v/>
      </c>
      <c r="Y118" s="75" t="n">
        <v>123</v>
      </c>
      <c r="Z118" s="5" t="n">
        <v>6.827</v>
      </c>
      <c r="AA118" s="5" t="n">
        <v>6.86</v>
      </c>
      <c r="AB118" s="5" t="n">
        <v>6.676</v>
      </c>
      <c r="AG118" s="75">
        <f>TRUNC((_xlfn.NORM.INV((RAND()),$AF$6,$AF$7)),3)</f>
        <v/>
      </c>
      <c r="AI118" s="75" t="n">
        <v>123</v>
      </c>
      <c r="AJ118" s="5" t="n">
        <v>55.637</v>
      </c>
      <c r="AK118" s="5" t="n">
        <v>52.979</v>
      </c>
      <c r="AL118" s="5" t="n">
        <v>45.17</v>
      </c>
      <c r="AR118" s="75" t="n">
        <v>123</v>
      </c>
      <c r="AS118" s="5" t="n">
        <v>0</v>
      </c>
      <c r="AT118" s="5" t="n">
        <v>11.13098529154248</v>
      </c>
      <c r="AU118" s="5" t="n">
        <v>0</v>
      </c>
      <c r="AW118" s="75">
        <f>Z118/Demand!AU136</f>
        <v/>
      </c>
      <c r="AX118" s="75">
        <f>AA118/Demand!AV136</f>
        <v/>
      </c>
      <c r="AY118" s="75">
        <f>AB118/Demand!AW136</f>
        <v/>
      </c>
      <c r="BG118" s="75" t="n">
        <v>123</v>
      </c>
      <c r="BH118" s="75">
        <f>Results!$B$19+AJ118-Results!$D$21</f>
        <v/>
      </c>
      <c r="BI118" s="75">
        <f>Results!$B$19+AK118-Results!$D$21</f>
        <v/>
      </c>
      <c r="BJ118" s="75">
        <f>Results!$B$19+AL118-Results!$D$21</f>
        <v/>
      </c>
      <c r="BM118" s="75" t="n">
        <v>123</v>
      </c>
      <c r="BN118" s="75">
        <f>Results!D133</f>
        <v/>
      </c>
      <c r="BO118" s="75">
        <f>Results!E133</f>
        <v/>
      </c>
      <c r="BP118" s="75">
        <f>Results!F133</f>
        <v/>
      </c>
      <c r="BS118" s="75" t="n">
        <v>123</v>
      </c>
      <c r="BT118" s="75">
        <f>Demand!AU136</f>
        <v/>
      </c>
      <c r="BU118" s="75">
        <f>Demand!AV136</f>
        <v/>
      </c>
      <c r="BV118" s="75">
        <f>Demand!AW136</f>
        <v/>
      </c>
      <c r="BY118" s="75" t="n">
        <v>123</v>
      </c>
      <c r="BZ118" s="75">
        <f>Retailers_Cap!N119</f>
        <v/>
      </c>
      <c r="CA118" s="75">
        <f>Retailers_Cap!O119</f>
        <v/>
      </c>
      <c r="CB118" s="75">
        <f>Retailers_Cap!P119</f>
        <v/>
      </c>
      <c r="CD118" s="75" t="n">
        <v>123</v>
      </c>
      <c r="CE118" s="75">
        <f>IF((BT118-BZ118)&gt;=0,"Dem","Folga")</f>
        <v/>
      </c>
      <c r="CF118" s="75">
        <f>IF((BU118-CA118)&gt;=0,"Dem","Folga")</f>
        <v/>
      </c>
      <c r="CG118" s="75">
        <f>IF((BV118-CB118)&gt;=0,"Dem","Folga")</f>
        <v/>
      </c>
    </row>
    <row r="119">
      <c r="M119" s="75">
        <f>TRUNC((_xlfn.NORM.INV((RAND()),$L$6,$L$7)),2)</f>
        <v/>
      </c>
      <c r="O119" s="75" t="n">
        <v>124</v>
      </c>
      <c r="P119" s="5" t="n">
        <v>256.14</v>
      </c>
      <c r="Q119" s="5" t="n">
        <v>238.58</v>
      </c>
      <c r="R119" s="5" t="n">
        <v>229.41</v>
      </c>
      <c r="W119" s="75">
        <f>TRUNC((_xlfn.NORM.INV((RAND()),$V$6,$V$7)),3)</f>
        <v/>
      </c>
      <c r="Y119" s="75" t="n">
        <v>124</v>
      </c>
      <c r="Z119" s="5" t="n">
        <v>6.791</v>
      </c>
      <c r="AA119" s="5" t="n">
        <v>6.829</v>
      </c>
      <c r="AB119" s="5" t="n">
        <v>6.806</v>
      </c>
      <c r="AG119" s="75">
        <f>TRUNC((_xlfn.NORM.INV((RAND()),$AF$6,$AF$7)),3)</f>
        <v/>
      </c>
      <c r="AI119" s="75" t="n">
        <v>124</v>
      </c>
      <c r="AJ119" s="5" t="n">
        <v>77.369</v>
      </c>
      <c r="AK119" s="5" t="n">
        <v>61.853</v>
      </c>
      <c r="AL119" s="5" t="n">
        <v>64.526</v>
      </c>
      <c r="AR119" s="75" t="n">
        <v>124</v>
      </c>
      <c r="AS119" s="5" t="n">
        <v>0</v>
      </c>
      <c r="AT119" s="5" t="n">
        <v>0</v>
      </c>
      <c r="AU119" s="5" t="n">
        <v>0</v>
      </c>
      <c r="AW119" s="75">
        <f>Z119/Demand!AU137</f>
        <v/>
      </c>
      <c r="AX119" s="75">
        <f>AA119/Demand!AV137</f>
        <v/>
      </c>
      <c r="AY119" s="75">
        <f>AB119/Demand!AW137</f>
        <v/>
      </c>
      <c r="BG119" s="75" t="n">
        <v>124</v>
      </c>
      <c r="BH119" s="75">
        <f>Results!$B$19+AJ119-Results!$D$21</f>
        <v/>
      </c>
      <c r="BI119" s="75">
        <f>Results!$B$19+AK119-Results!$D$21</f>
        <v/>
      </c>
      <c r="BJ119" s="75">
        <f>Results!$B$19+AL119-Results!$D$21</f>
        <v/>
      </c>
      <c r="BM119" s="75" t="n">
        <v>124</v>
      </c>
      <c r="BN119" s="75">
        <f>Results!D134</f>
        <v/>
      </c>
      <c r="BO119" s="75">
        <f>Results!E134</f>
        <v/>
      </c>
      <c r="BP119" s="75">
        <f>Results!F134</f>
        <v/>
      </c>
      <c r="BS119" s="75" t="n">
        <v>124</v>
      </c>
      <c r="BT119" s="75">
        <f>Demand!AU137</f>
        <v/>
      </c>
      <c r="BU119" s="75">
        <f>Demand!AV137</f>
        <v/>
      </c>
      <c r="BV119" s="75">
        <f>Demand!AW137</f>
        <v/>
      </c>
      <c r="BY119" s="75" t="n">
        <v>124</v>
      </c>
      <c r="BZ119" s="75">
        <f>Retailers_Cap!N120</f>
        <v/>
      </c>
      <c r="CA119" s="75">
        <f>Retailers_Cap!O120</f>
        <v/>
      </c>
      <c r="CB119" s="75">
        <f>Retailers_Cap!P120</f>
        <v/>
      </c>
      <c r="CD119" s="75" t="n">
        <v>124</v>
      </c>
      <c r="CE119" s="75">
        <f>IF((BT119-BZ119)&gt;=0,"Dem","Folga")</f>
        <v/>
      </c>
      <c r="CF119" s="75">
        <f>IF((BU119-CA119)&gt;=0,"Dem","Folga")</f>
        <v/>
      </c>
      <c r="CG119" s="75">
        <f>IF((BV119-CB119)&gt;=0,"Dem","Folga")</f>
        <v/>
      </c>
    </row>
    <row r="120">
      <c r="M120" s="75">
        <f>TRUNC((_xlfn.NORM.INV((RAND()),$L$6,$L$7)),2)</f>
        <v/>
      </c>
      <c r="O120" s="75" t="n">
        <v>125</v>
      </c>
      <c r="P120" s="5" t="n">
        <v>133.94</v>
      </c>
      <c r="Q120" s="5" t="n">
        <v>153.42</v>
      </c>
      <c r="R120" s="5" t="n">
        <v>169.05</v>
      </c>
      <c r="W120" s="75">
        <f>TRUNC((_xlfn.NORM.INV((RAND()),$V$6,$V$7)),3)</f>
        <v/>
      </c>
      <c r="Y120" s="75" t="n">
        <v>125</v>
      </c>
      <c r="Z120" s="5" t="n">
        <v>6.688</v>
      </c>
      <c r="AA120" s="5" t="n">
        <v>6.745</v>
      </c>
      <c r="AB120" s="5" t="n">
        <v>6.805</v>
      </c>
      <c r="AG120" s="75">
        <f>TRUNC((_xlfn.NORM.INV((RAND()),$AF$6,$AF$7)),3)</f>
        <v/>
      </c>
      <c r="AI120" s="75" t="n">
        <v>125</v>
      </c>
      <c r="AJ120" s="5" t="n">
        <v>64.322</v>
      </c>
      <c r="AK120" s="5" t="n">
        <v>50.551</v>
      </c>
      <c r="AL120" s="5" t="n">
        <v>55.886</v>
      </c>
      <c r="AR120" s="75" t="n">
        <v>125</v>
      </c>
      <c r="AS120" s="5" t="n">
        <v>0</v>
      </c>
      <c r="AT120" s="5" t="n">
        <v>3.398725300233659</v>
      </c>
      <c r="AU120" s="5" t="n">
        <v>6.722507254682048</v>
      </c>
      <c r="AW120" s="75">
        <f>Z120/Demand!AU138</f>
        <v/>
      </c>
      <c r="AX120" s="75">
        <f>AA120/Demand!AV138</f>
        <v/>
      </c>
      <c r="AY120" s="75">
        <f>AB120/Demand!AW138</f>
        <v/>
      </c>
      <c r="BG120" s="75" t="n">
        <v>125</v>
      </c>
      <c r="BH120" s="75">
        <f>Results!$B$19+AJ120-Results!$D$21</f>
        <v/>
      </c>
      <c r="BI120" s="75">
        <f>Results!$B$19+AK120-Results!$D$21</f>
        <v/>
      </c>
      <c r="BJ120" s="75">
        <f>Results!$B$19+AL120-Results!$D$21</f>
        <v/>
      </c>
      <c r="BM120" s="75" t="n">
        <v>125</v>
      </c>
      <c r="BN120" s="75">
        <f>Results!D135</f>
        <v/>
      </c>
      <c r="BO120" s="75">
        <f>Results!E135</f>
        <v/>
      </c>
      <c r="BP120" s="75">
        <f>Results!F135</f>
        <v/>
      </c>
      <c r="BS120" s="75" t="n">
        <v>125</v>
      </c>
      <c r="BT120" s="75">
        <f>Demand!AU138</f>
        <v/>
      </c>
      <c r="BU120" s="75">
        <f>Demand!AV138</f>
        <v/>
      </c>
      <c r="BV120" s="75">
        <f>Demand!AW138</f>
        <v/>
      </c>
      <c r="BY120" s="75" t="n">
        <v>125</v>
      </c>
      <c r="BZ120" s="75">
        <f>Retailers_Cap!N121</f>
        <v/>
      </c>
      <c r="CA120" s="75">
        <f>Retailers_Cap!O121</f>
        <v/>
      </c>
      <c r="CB120" s="75">
        <f>Retailers_Cap!P121</f>
        <v/>
      </c>
      <c r="CD120" s="75" t="n">
        <v>125</v>
      </c>
      <c r="CE120" s="75">
        <f>IF((BT120-BZ120)&gt;=0,"Dem","Folga")</f>
        <v/>
      </c>
      <c r="CF120" s="75">
        <f>IF((BU120-CA120)&gt;=0,"Dem","Folga")</f>
        <v/>
      </c>
      <c r="CG120" s="75">
        <f>IF((BV120-CB120)&gt;=0,"Dem","Folga")</f>
        <v/>
      </c>
    </row>
    <row r="121">
      <c r="M121" s="75">
        <f>TRUNC((_xlfn.NORM.INV((RAND()),$L$6,$L$7)),2)</f>
        <v/>
      </c>
      <c r="O121" s="75" t="n">
        <v>126</v>
      </c>
      <c r="P121" s="5" t="n">
        <v>146.63</v>
      </c>
      <c r="Q121" s="5" t="n">
        <v>89.06</v>
      </c>
      <c r="R121" s="5" t="n">
        <v>282.59</v>
      </c>
      <c r="W121" s="75">
        <f>TRUNC((_xlfn.NORM.INV((RAND()),$V$6,$V$7)),3)</f>
        <v/>
      </c>
      <c r="Y121" s="75" t="n">
        <v>126</v>
      </c>
      <c r="Z121" s="5" t="n">
        <v>6.7</v>
      </c>
      <c r="AA121" s="5" t="n">
        <v>6.704</v>
      </c>
      <c r="AB121" s="5" t="n">
        <v>6.83</v>
      </c>
      <c r="AG121" s="75">
        <f>TRUNC((_xlfn.NORM.INV((RAND()),$AF$6,$AF$7)),3)</f>
        <v/>
      </c>
      <c r="AI121" s="75" t="n">
        <v>126</v>
      </c>
      <c r="AJ121" s="5" t="n">
        <v>58.5</v>
      </c>
      <c r="AK121" s="5" t="n">
        <v>65.29300000000001</v>
      </c>
      <c r="AL121" s="5" t="n">
        <v>71.91</v>
      </c>
      <c r="AR121" s="75" t="n">
        <v>126</v>
      </c>
      <c r="AS121" s="5" t="n">
        <v>0</v>
      </c>
      <c r="AT121" s="5" t="n">
        <v>0</v>
      </c>
      <c r="AU121" s="5" t="n">
        <v>13.12708675075543</v>
      </c>
      <c r="AW121" s="75">
        <f>Z121/Demand!AU139</f>
        <v/>
      </c>
      <c r="AX121" s="75">
        <f>AA121/Demand!AV139</f>
        <v/>
      </c>
      <c r="AY121" s="75">
        <f>AB121/Demand!AW139</f>
        <v/>
      </c>
      <c r="BG121" s="75" t="n">
        <v>126</v>
      </c>
      <c r="BH121" s="75">
        <f>Results!$B$19+AJ121-Results!$D$21</f>
        <v/>
      </c>
      <c r="BI121" s="75">
        <f>Results!$B$19+AK121-Results!$D$21</f>
        <v/>
      </c>
      <c r="BJ121" s="75">
        <f>Results!$B$19+AL121-Results!$D$21</f>
        <v/>
      </c>
      <c r="BM121" s="75" t="n">
        <v>126</v>
      </c>
      <c r="BN121" s="75">
        <f>Results!D136</f>
        <v/>
      </c>
      <c r="BO121" s="75">
        <f>Results!E136</f>
        <v/>
      </c>
      <c r="BP121" s="75">
        <f>Results!F136</f>
        <v/>
      </c>
      <c r="BS121" s="75" t="n">
        <v>126</v>
      </c>
      <c r="BT121" s="75">
        <f>Demand!AU139</f>
        <v/>
      </c>
      <c r="BU121" s="75">
        <f>Demand!AV139</f>
        <v/>
      </c>
      <c r="BV121" s="75">
        <f>Demand!AW139</f>
        <v/>
      </c>
      <c r="BY121" s="75" t="n">
        <v>126</v>
      </c>
      <c r="BZ121" s="75">
        <f>Retailers_Cap!N122</f>
        <v/>
      </c>
      <c r="CA121" s="75">
        <f>Retailers_Cap!O122</f>
        <v/>
      </c>
      <c r="CB121" s="75">
        <f>Retailers_Cap!P122</f>
        <v/>
      </c>
      <c r="CD121" s="75" t="n">
        <v>126</v>
      </c>
      <c r="CE121" s="75">
        <f>IF((BT121-BZ121)&gt;=0,"Dem","Folga")</f>
        <v/>
      </c>
      <c r="CF121" s="75">
        <f>IF((BU121-CA121)&gt;=0,"Dem","Folga")</f>
        <v/>
      </c>
      <c r="CG121" s="75">
        <f>IF((BV121-CB121)&gt;=0,"Dem","Folga")</f>
        <v/>
      </c>
    </row>
    <row r="122">
      <c r="M122" s="75">
        <f>TRUNC((_xlfn.NORM.INV((RAND()),$L$6,$L$7)),2)</f>
        <v/>
      </c>
      <c r="O122" s="75" t="n">
        <v>127</v>
      </c>
      <c r="P122" s="5" t="n">
        <v>161.7</v>
      </c>
      <c r="Q122" s="5" t="n">
        <v>199.49</v>
      </c>
      <c r="R122" s="5" t="n">
        <v>254.52</v>
      </c>
      <c r="W122" s="75">
        <f>TRUNC((_xlfn.NORM.INV((RAND()),$V$6,$V$7)),3)</f>
        <v/>
      </c>
      <c r="Y122" s="75" t="n">
        <v>127</v>
      </c>
      <c r="Z122" s="5" t="n">
        <v>6.821</v>
      </c>
      <c r="AA122" s="5" t="n">
        <v>6.757</v>
      </c>
      <c r="AB122" s="5" t="n">
        <v>6.733</v>
      </c>
      <c r="AG122" s="75">
        <f>TRUNC((_xlfn.NORM.INV((RAND()),$AF$6,$AF$7)),3)</f>
        <v/>
      </c>
      <c r="AI122" s="75" t="n">
        <v>127</v>
      </c>
      <c r="AJ122" s="5" t="n">
        <v>82.133</v>
      </c>
      <c r="AK122" s="5" t="n">
        <v>58.774</v>
      </c>
      <c r="AL122" s="5" t="n">
        <v>75.09099999999999</v>
      </c>
      <c r="AR122" s="75" t="n">
        <v>127</v>
      </c>
      <c r="AS122" s="5" t="n">
        <v>12.55535865717131</v>
      </c>
      <c r="AT122" s="5" t="n">
        <v>0</v>
      </c>
      <c r="AU122" s="5" t="n">
        <v>0</v>
      </c>
      <c r="AW122" s="75">
        <f>Z122/Demand!AU140</f>
        <v/>
      </c>
      <c r="AX122" s="75">
        <f>AA122/Demand!AV140</f>
        <v/>
      </c>
      <c r="AY122" s="75">
        <f>AB122/Demand!AW140</f>
        <v/>
      </c>
      <c r="BG122" s="75" t="n">
        <v>127</v>
      </c>
      <c r="BH122" s="75">
        <f>Results!$B$19+AJ122-Results!$D$21</f>
        <v/>
      </c>
      <c r="BI122" s="75">
        <f>Results!$B$19+AK122-Results!$D$21</f>
        <v/>
      </c>
      <c r="BJ122" s="75">
        <f>Results!$B$19+AL122-Results!$D$21</f>
        <v/>
      </c>
      <c r="BM122" s="75" t="n">
        <v>127</v>
      </c>
      <c r="BN122" s="75">
        <f>Results!D137</f>
        <v/>
      </c>
      <c r="BO122" s="75">
        <f>Results!E137</f>
        <v/>
      </c>
      <c r="BP122" s="75">
        <f>Results!F137</f>
        <v/>
      </c>
      <c r="BS122" s="75" t="n">
        <v>127</v>
      </c>
      <c r="BT122" s="75">
        <f>Demand!AU140</f>
        <v/>
      </c>
      <c r="BU122" s="75">
        <f>Demand!AV140</f>
        <v/>
      </c>
      <c r="BV122" s="75">
        <f>Demand!AW140</f>
        <v/>
      </c>
      <c r="BY122" s="75" t="n">
        <v>127</v>
      </c>
      <c r="BZ122" s="75">
        <f>Retailers_Cap!N123</f>
        <v/>
      </c>
      <c r="CA122" s="75">
        <f>Retailers_Cap!O123</f>
        <v/>
      </c>
      <c r="CB122" s="75">
        <f>Retailers_Cap!P123</f>
        <v/>
      </c>
      <c r="CD122" s="75" t="n">
        <v>127</v>
      </c>
      <c r="CE122" s="75">
        <f>IF((BT122-BZ122)&gt;=0,"Dem","Folga")</f>
        <v/>
      </c>
      <c r="CF122" s="75">
        <f>IF((BU122-CA122)&gt;=0,"Dem","Folga")</f>
        <v/>
      </c>
      <c r="CG122" s="75">
        <f>IF((BV122-CB122)&gt;=0,"Dem","Folga")</f>
        <v/>
      </c>
    </row>
    <row r="123">
      <c r="M123" s="75">
        <f>TRUNC((_xlfn.NORM.INV((RAND()),$L$6,$L$7)),2)</f>
        <v/>
      </c>
      <c r="O123" s="75" t="n">
        <v>128</v>
      </c>
      <c r="P123" s="5" t="n">
        <v>223.46</v>
      </c>
      <c r="Q123" s="5" t="n">
        <v>148.56</v>
      </c>
      <c r="R123" s="5" t="n">
        <v>217.6</v>
      </c>
      <c r="W123" s="75">
        <f>TRUNC((_xlfn.NORM.INV((RAND()),$V$6,$V$7)),3)</f>
        <v/>
      </c>
      <c r="Y123" s="75" t="n">
        <v>128</v>
      </c>
      <c r="Z123" s="5" t="n">
        <v>6.591</v>
      </c>
      <c r="AA123" s="5" t="n">
        <v>6.733</v>
      </c>
      <c r="AB123" s="5" t="n">
        <v>6.811</v>
      </c>
      <c r="AG123" s="75">
        <f>TRUNC((_xlfn.NORM.INV((RAND()),$AF$6,$AF$7)),3)</f>
        <v/>
      </c>
      <c r="AI123" s="75" t="n">
        <v>128</v>
      </c>
      <c r="AJ123" s="5" t="n">
        <v>40.735</v>
      </c>
      <c r="AK123" s="5" t="n">
        <v>46.714</v>
      </c>
      <c r="AL123" s="5" t="n">
        <v>59.459</v>
      </c>
      <c r="AR123" s="75" t="n">
        <v>128</v>
      </c>
      <c r="AS123" s="5" t="n">
        <v>0</v>
      </c>
      <c r="AT123" s="5" t="n">
        <v>0</v>
      </c>
      <c r="AU123" s="5" t="n">
        <v>0</v>
      </c>
      <c r="AW123" s="75">
        <f>Z123/Demand!AU141</f>
        <v/>
      </c>
      <c r="AX123" s="75">
        <f>AA123/Demand!AV141</f>
        <v/>
      </c>
      <c r="AY123" s="75">
        <f>AB123/Demand!AW141</f>
        <v/>
      </c>
      <c r="BG123" s="75" t="n">
        <v>128</v>
      </c>
      <c r="BH123" s="75">
        <f>Results!$B$19+AJ123-Results!$D$21</f>
        <v/>
      </c>
      <c r="BI123" s="75">
        <f>Results!$B$19+AK123-Results!$D$21</f>
        <v/>
      </c>
      <c r="BJ123" s="75">
        <f>Results!$B$19+AL123-Results!$D$21</f>
        <v/>
      </c>
      <c r="BM123" s="75" t="n">
        <v>128</v>
      </c>
      <c r="BN123" s="75">
        <f>Results!D138</f>
        <v/>
      </c>
      <c r="BO123" s="75">
        <f>Results!E138</f>
        <v/>
      </c>
      <c r="BP123" s="75">
        <f>Results!F138</f>
        <v/>
      </c>
      <c r="BS123" s="75" t="n">
        <v>128</v>
      </c>
      <c r="BT123" s="75">
        <f>Demand!AU141</f>
        <v/>
      </c>
      <c r="BU123" s="75">
        <f>Demand!AV141</f>
        <v/>
      </c>
      <c r="BV123" s="75">
        <f>Demand!AW141</f>
        <v/>
      </c>
      <c r="BY123" s="75" t="n">
        <v>128</v>
      </c>
      <c r="BZ123" s="75">
        <f>Retailers_Cap!N124</f>
        <v/>
      </c>
      <c r="CA123" s="75">
        <f>Retailers_Cap!O124</f>
        <v/>
      </c>
      <c r="CB123" s="75">
        <f>Retailers_Cap!P124</f>
        <v/>
      </c>
      <c r="CD123" s="75" t="n">
        <v>128</v>
      </c>
      <c r="CE123" s="75">
        <f>IF((BT123-BZ123)&gt;=0,"Dem","Folga")</f>
        <v/>
      </c>
      <c r="CF123" s="75">
        <f>IF((BU123-CA123)&gt;=0,"Dem","Folga")</f>
        <v/>
      </c>
      <c r="CG123" s="75">
        <f>IF((BV123-CB123)&gt;=0,"Dem","Folga")</f>
        <v/>
      </c>
    </row>
    <row r="124">
      <c r="M124" s="75">
        <f>TRUNC((_xlfn.NORM.INV((RAND()),$L$6,$L$7)),2)</f>
        <v/>
      </c>
      <c r="O124" s="75" t="n">
        <v>129</v>
      </c>
      <c r="P124" s="5" t="n">
        <v>162.69</v>
      </c>
      <c r="Q124" s="5" t="n">
        <v>160.79</v>
      </c>
      <c r="R124" s="5" t="n">
        <v>145.44</v>
      </c>
      <c r="W124" s="75">
        <f>TRUNC((_xlfn.NORM.INV((RAND()),$V$6,$V$7)),3)</f>
        <v/>
      </c>
      <c r="Y124" s="75" t="n">
        <v>129</v>
      </c>
      <c r="Z124" s="5" t="n">
        <v>6.743</v>
      </c>
      <c r="AA124" s="5" t="n">
        <v>6.636</v>
      </c>
      <c r="AB124" s="5" t="n">
        <v>6.835</v>
      </c>
      <c r="AG124" s="75">
        <f>TRUNC((_xlfn.NORM.INV((RAND()),$AF$6,$AF$7)),3)</f>
        <v/>
      </c>
      <c r="AI124" s="75" t="n">
        <v>129</v>
      </c>
      <c r="AJ124" s="5" t="n">
        <v>52.521</v>
      </c>
      <c r="AK124" s="5" t="n">
        <v>44.615</v>
      </c>
      <c r="AL124" s="5" t="n">
        <v>62.786</v>
      </c>
      <c r="AR124" s="75" t="n">
        <v>129</v>
      </c>
      <c r="AS124" s="5" t="n">
        <v>0</v>
      </c>
      <c r="AT124" s="5" t="n">
        <v>14.64836011980007</v>
      </c>
      <c r="AU124" s="5" t="n">
        <v>0</v>
      </c>
      <c r="AW124" s="75">
        <f>Z124/Demand!AU142</f>
        <v/>
      </c>
      <c r="AX124" s="75">
        <f>AA124/Demand!AV142</f>
        <v/>
      </c>
      <c r="AY124" s="75">
        <f>AB124/Demand!AW142</f>
        <v/>
      </c>
      <c r="BG124" s="75" t="n">
        <v>129</v>
      </c>
      <c r="BH124" s="75">
        <f>Results!$B$19+AJ124-Results!$D$21</f>
        <v/>
      </c>
      <c r="BI124" s="75">
        <f>Results!$B$19+AK124-Results!$D$21</f>
        <v/>
      </c>
      <c r="BJ124" s="75">
        <f>Results!$B$19+AL124-Results!$D$21</f>
        <v/>
      </c>
      <c r="BM124" s="75" t="n">
        <v>129</v>
      </c>
      <c r="BN124" s="75">
        <f>Results!D139</f>
        <v/>
      </c>
      <c r="BO124" s="75">
        <f>Results!E139</f>
        <v/>
      </c>
      <c r="BP124" s="75">
        <f>Results!F139</f>
        <v/>
      </c>
      <c r="BS124" s="75" t="n">
        <v>129</v>
      </c>
      <c r="BT124" s="75">
        <f>Demand!AU142</f>
        <v/>
      </c>
      <c r="BU124" s="75">
        <f>Demand!AV142</f>
        <v/>
      </c>
      <c r="BV124" s="75">
        <f>Demand!AW142</f>
        <v/>
      </c>
      <c r="BY124" s="75" t="n">
        <v>129</v>
      </c>
      <c r="BZ124" s="75">
        <f>Retailers_Cap!N125</f>
        <v/>
      </c>
      <c r="CA124" s="75">
        <f>Retailers_Cap!O125</f>
        <v/>
      </c>
      <c r="CB124" s="75">
        <f>Retailers_Cap!P125</f>
        <v/>
      </c>
      <c r="CD124" s="75" t="n">
        <v>129</v>
      </c>
      <c r="CE124" s="75">
        <f>IF((BT124-BZ124)&gt;=0,"Dem","Folga")</f>
        <v/>
      </c>
      <c r="CF124" s="75">
        <f>IF((BU124-CA124)&gt;=0,"Dem","Folga")</f>
        <v/>
      </c>
      <c r="CG124" s="75">
        <f>IF((BV124-CB124)&gt;=0,"Dem","Folga")</f>
        <v/>
      </c>
    </row>
    <row r="125">
      <c r="M125" s="75">
        <f>TRUNC((_xlfn.NORM.INV((RAND()),$L$6,$L$7)),2)</f>
        <v/>
      </c>
      <c r="O125" s="75" t="n">
        <v>130</v>
      </c>
      <c r="P125" s="5" t="n">
        <v>129.7</v>
      </c>
      <c r="Q125" s="5" t="n">
        <v>218.28</v>
      </c>
      <c r="R125" s="5" t="n">
        <v>209.01</v>
      </c>
      <c r="W125" s="75">
        <f>TRUNC((_xlfn.NORM.INV((RAND()),$V$6,$V$7)),3)</f>
        <v/>
      </c>
      <c r="Y125" s="75" t="n">
        <v>130</v>
      </c>
      <c r="Z125" s="5" t="n">
        <v>6.718</v>
      </c>
      <c r="AA125" s="5" t="n">
        <v>6.716</v>
      </c>
      <c r="AB125" s="5" t="n">
        <v>6.736</v>
      </c>
      <c r="AG125" s="75">
        <f>TRUNC((_xlfn.NORM.INV((RAND()),$AF$6,$AF$7)),3)</f>
        <v/>
      </c>
      <c r="AI125" s="75" t="n">
        <v>130</v>
      </c>
      <c r="AJ125" s="5" t="n">
        <v>63.304</v>
      </c>
      <c r="AK125" s="5" t="n">
        <v>52.59</v>
      </c>
      <c r="AL125" s="5" t="n">
        <v>64.55</v>
      </c>
      <c r="AR125" s="75" t="n">
        <v>130</v>
      </c>
      <c r="AS125" s="5" t="n">
        <v>0</v>
      </c>
      <c r="AT125" s="5" t="n">
        <v>0</v>
      </c>
      <c r="AU125" s="5" t="n">
        <v>0</v>
      </c>
      <c r="AW125" s="75">
        <f>Z125/Demand!AU143</f>
        <v/>
      </c>
      <c r="AX125" s="75">
        <f>AA125/Demand!AV143</f>
        <v/>
      </c>
      <c r="AY125" s="75">
        <f>AB125/Demand!AW143</f>
        <v/>
      </c>
      <c r="BG125" s="75" t="n">
        <v>130</v>
      </c>
      <c r="BH125" s="75">
        <f>Results!$B$19+AJ125-Results!$D$21</f>
        <v/>
      </c>
      <c r="BI125" s="75">
        <f>Results!$B$19+AK125-Results!$D$21</f>
        <v/>
      </c>
      <c r="BJ125" s="75">
        <f>Results!$B$19+AL125-Results!$D$21</f>
        <v/>
      </c>
      <c r="BM125" s="75" t="n">
        <v>130</v>
      </c>
      <c r="BN125" s="75">
        <f>Results!D140</f>
        <v/>
      </c>
      <c r="BO125" s="75">
        <f>Results!E140</f>
        <v/>
      </c>
      <c r="BP125" s="75">
        <f>Results!F140</f>
        <v/>
      </c>
      <c r="BS125" s="75" t="n">
        <v>130</v>
      </c>
      <c r="BT125" s="75">
        <f>Demand!AU143</f>
        <v/>
      </c>
      <c r="BU125" s="75">
        <f>Demand!AV143</f>
        <v/>
      </c>
      <c r="BV125" s="75">
        <f>Demand!AW143</f>
        <v/>
      </c>
      <c r="BY125" s="75" t="n">
        <v>130</v>
      </c>
      <c r="BZ125" s="75">
        <f>Retailers_Cap!N126</f>
        <v/>
      </c>
      <c r="CA125" s="75">
        <f>Retailers_Cap!O126</f>
        <v/>
      </c>
      <c r="CB125" s="75">
        <f>Retailers_Cap!P126</f>
        <v/>
      </c>
      <c r="CD125" s="75" t="n">
        <v>130</v>
      </c>
      <c r="CE125" s="75">
        <f>IF((BT125-BZ125)&gt;=0,"Dem","Folga")</f>
        <v/>
      </c>
      <c r="CF125" s="75">
        <f>IF((BU125-CA125)&gt;=0,"Dem","Folga")</f>
        <v/>
      </c>
      <c r="CG125" s="75">
        <f>IF((BV125-CB125)&gt;=0,"Dem","Folga")</f>
        <v/>
      </c>
    </row>
    <row r="126">
      <c r="M126" s="75">
        <f>TRUNC((_xlfn.NORM.INV((RAND()),$L$6,$L$7)),2)</f>
        <v/>
      </c>
      <c r="O126" s="75" t="n">
        <v>131</v>
      </c>
      <c r="P126" s="5" t="n">
        <v>207.94</v>
      </c>
      <c r="Q126" s="5" t="n">
        <v>228.87</v>
      </c>
      <c r="R126" s="5" t="n">
        <v>251.33</v>
      </c>
      <c r="W126" s="75">
        <f>TRUNC((_xlfn.NORM.INV((RAND()),$V$6,$V$7)),3)</f>
        <v/>
      </c>
      <c r="Y126" s="75" t="n">
        <v>131</v>
      </c>
      <c r="Z126" s="5" t="n">
        <v>6.792</v>
      </c>
      <c r="AA126" s="5" t="n">
        <v>6.837</v>
      </c>
      <c r="AB126" s="5" t="n">
        <v>6.721</v>
      </c>
      <c r="AG126" s="75">
        <f>TRUNC((_xlfn.NORM.INV((RAND()),$AF$6,$AF$7)),3)</f>
        <v/>
      </c>
      <c r="AI126" s="75" t="n">
        <v>131</v>
      </c>
      <c r="AJ126" s="5" t="n">
        <v>51.298</v>
      </c>
      <c r="AK126" s="5" t="n">
        <v>53.645</v>
      </c>
      <c r="AL126" s="5" t="n">
        <v>66.53</v>
      </c>
      <c r="AR126" s="75" t="n">
        <v>131</v>
      </c>
      <c r="AS126" s="5" t="n">
        <v>0</v>
      </c>
      <c r="AT126" s="5" t="n">
        <v>4.540398453412707</v>
      </c>
      <c r="AU126" s="5" t="n">
        <v>27.69287813020168</v>
      </c>
      <c r="AW126" s="75">
        <f>Z126/Demand!AU144</f>
        <v/>
      </c>
      <c r="AX126" s="75">
        <f>AA126/Demand!AV144</f>
        <v/>
      </c>
      <c r="AY126" s="75">
        <f>AB126/Demand!AW144</f>
        <v/>
      </c>
      <c r="BG126" s="75" t="n">
        <v>131</v>
      </c>
      <c r="BH126" s="75">
        <f>Results!$B$19+AJ126-Results!$D$21</f>
        <v/>
      </c>
      <c r="BI126" s="75">
        <f>Results!$B$19+AK126-Results!$D$21</f>
        <v/>
      </c>
      <c r="BJ126" s="75">
        <f>Results!$B$19+AL126-Results!$D$21</f>
        <v/>
      </c>
      <c r="BM126" s="75" t="n">
        <v>131</v>
      </c>
      <c r="BN126" s="75">
        <f>Results!D141</f>
        <v/>
      </c>
      <c r="BO126" s="75">
        <f>Results!E141</f>
        <v/>
      </c>
      <c r="BP126" s="75">
        <f>Results!F141</f>
        <v/>
      </c>
      <c r="BS126" s="75" t="n">
        <v>131</v>
      </c>
      <c r="BT126" s="75">
        <f>Demand!AU144</f>
        <v/>
      </c>
      <c r="BU126" s="75">
        <f>Demand!AV144</f>
        <v/>
      </c>
      <c r="BV126" s="75">
        <f>Demand!AW144</f>
        <v/>
      </c>
      <c r="BY126" s="75" t="n">
        <v>131</v>
      </c>
      <c r="BZ126" s="75">
        <f>Retailers_Cap!N127</f>
        <v/>
      </c>
      <c r="CA126" s="75">
        <f>Retailers_Cap!O127</f>
        <v/>
      </c>
      <c r="CB126" s="75">
        <f>Retailers_Cap!P127</f>
        <v/>
      </c>
      <c r="CD126" s="75" t="n">
        <v>131</v>
      </c>
      <c r="CE126" s="75">
        <f>IF((BT126-BZ126)&gt;=0,"Dem","Folga")</f>
        <v/>
      </c>
      <c r="CF126" s="75">
        <f>IF((BU126-CA126)&gt;=0,"Dem","Folga")</f>
        <v/>
      </c>
      <c r="CG126" s="75">
        <f>IF((BV126-CB126)&gt;=0,"Dem","Folga")</f>
        <v/>
      </c>
    </row>
    <row r="127">
      <c r="M127" s="75">
        <f>TRUNC((_xlfn.NORM.INV((RAND()),$L$6,$L$7)),2)</f>
        <v/>
      </c>
      <c r="O127" s="75" t="n">
        <v>132</v>
      </c>
      <c r="P127" s="5" t="n">
        <v>289.31</v>
      </c>
      <c r="Q127" s="5" t="n">
        <v>195.18</v>
      </c>
      <c r="R127" s="5" t="n">
        <v>189.85</v>
      </c>
      <c r="W127" s="75">
        <f>TRUNC((_xlfn.NORM.INV((RAND()),$V$6,$V$7)),3)</f>
        <v/>
      </c>
      <c r="Y127" s="75" t="n">
        <v>132</v>
      </c>
      <c r="Z127" s="5" t="n">
        <v>6.683</v>
      </c>
      <c r="AA127" s="5" t="n">
        <v>6.801</v>
      </c>
      <c r="AB127" s="5" t="n">
        <v>6.831</v>
      </c>
      <c r="AG127" s="75">
        <f>TRUNC((_xlfn.NORM.INV((RAND()),$AF$6,$AF$7)),3)</f>
        <v/>
      </c>
      <c r="AI127" s="75" t="n">
        <v>132</v>
      </c>
      <c r="AJ127" s="5" t="n">
        <v>42.887</v>
      </c>
      <c r="AK127" s="5" t="n">
        <v>71.17</v>
      </c>
      <c r="AL127" s="5" t="n">
        <v>46.726</v>
      </c>
      <c r="AR127" s="75" t="n">
        <v>132</v>
      </c>
      <c r="AS127" s="5" t="n">
        <v>25.67017462615412</v>
      </c>
      <c r="AT127" s="5" t="n">
        <v>0</v>
      </c>
      <c r="AU127" s="5" t="n">
        <v>0</v>
      </c>
      <c r="AW127" s="75">
        <f>Z127/Demand!AU145</f>
        <v/>
      </c>
      <c r="AX127" s="75">
        <f>AA127/Demand!AV145</f>
        <v/>
      </c>
      <c r="AY127" s="75">
        <f>AB127/Demand!AW145</f>
        <v/>
      </c>
      <c r="BG127" s="75" t="n">
        <v>132</v>
      </c>
      <c r="BH127" s="75">
        <f>Results!$B$19+AJ127-Results!$D$21</f>
        <v/>
      </c>
      <c r="BI127" s="75">
        <f>Results!$B$19+AK127-Results!$D$21</f>
        <v/>
      </c>
      <c r="BJ127" s="75">
        <f>Results!$B$19+AL127-Results!$D$21</f>
        <v/>
      </c>
      <c r="BM127" s="75" t="n">
        <v>132</v>
      </c>
      <c r="BN127" s="75">
        <f>Results!D142</f>
        <v/>
      </c>
      <c r="BO127" s="75">
        <f>Results!E142</f>
        <v/>
      </c>
      <c r="BP127" s="75">
        <f>Results!F142</f>
        <v/>
      </c>
      <c r="BS127" s="75" t="n">
        <v>132</v>
      </c>
      <c r="BT127" s="75">
        <f>Demand!AU145</f>
        <v/>
      </c>
      <c r="BU127" s="75">
        <f>Demand!AV145</f>
        <v/>
      </c>
      <c r="BV127" s="75">
        <f>Demand!AW145</f>
        <v/>
      </c>
      <c r="BY127" s="75" t="n">
        <v>132</v>
      </c>
      <c r="BZ127" s="75">
        <f>Retailers_Cap!N128</f>
        <v/>
      </c>
      <c r="CA127" s="75">
        <f>Retailers_Cap!O128</f>
        <v/>
      </c>
      <c r="CB127" s="75">
        <f>Retailers_Cap!P128</f>
        <v/>
      </c>
      <c r="CD127" s="75" t="n">
        <v>132</v>
      </c>
      <c r="CE127" s="75">
        <f>IF((BT127-BZ127)&gt;=0,"Dem","Folga")</f>
        <v/>
      </c>
      <c r="CF127" s="75">
        <f>IF((BU127-CA127)&gt;=0,"Dem","Folga")</f>
        <v/>
      </c>
      <c r="CG127" s="75">
        <f>IF((BV127-CB127)&gt;=0,"Dem","Folga")</f>
        <v/>
      </c>
    </row>
    <row r="128">
      <c r="M128" s="75">
        <f>TRUNC((_xlfn.NORM.INV((RAND()),$L$6,$L$7)),2)</f>
        <v/>
      </c>
      <c r="O128" s="75" t="n">
        <v>133</v>
      </c>
      <c r="P128" s="5" t="n">
        <v>199.31</v>
      </c>
      <c r="Q128" s="5" t="n">
        <v>281.52</v>
      </c>
      <c r="R128" s="5" t="n">
        <v>216.88</v>
      </c>
      <c r="W128" s="75">
        <f>TRUNC((_xlfn.NORM.INV((RAND()),$V$6,$V$7)),3)</f>
        <v/>
      </c>
      <c r="Y128" s="75" t="n">
        <v>133</v>
      </c>
      <c r="Z128" s="5" t="n">
        <v>6.787</v>
      </c>
      <c r="AA128" s="5" t="n">
        <v>6.802</v>
      </c>
      <c r="AB128" s="5" t="n">
        <v>6.667</v>
      </c>
      <c r="AG128" s="75">
        <f>TRUNC((_xlfn.NORM.INV((RAND()),$AF$6,$AF$7)),3)</f>
        <v/>
      </c>
      <c r="AI128" s="75" t="n">
        <v>133</v>
      </c>
      <c r="AJ128" s="5" t="n">
        <v>60.239</v>
      </c>
      <c r="AK128" s="5" t="n">
        <v>72.152</v>
      </c>
      <c r="AL128" s="5" t="n">
        <v>72.804</v>
      </c>
      <c r="AR128" s="75" t="n">
        <v>133</v>
      </c>
      <c r="AS128" s="5" t="n">
        <v>5.090356137299564</v>
      </c>
      <c r="AT128" s="5" t="n">
        <v>8.619986625715109</v>
      </c>
      <c r="AU128" s="5" t="n">
        <v>32.86992265588005</v>
      </c>
      <c r="AW128" s="75">
        <f>Z128/Demand!AU146</f>
        <v/>
      </c>
      <c r="AX128" s="75">
        <f>AA128/Demand!AV146</f>
        <v/>
      </c>
      <c r="AY128" s="75">
        <f>AB128/Demand!AW146</f>
        <v/>
      </c>
      <c r="BG128" s="75" t="n">
        <v>133</v>
      </c>
      <c r="BH128" s="75">
        <f>Results!$B$19+AJ128-Results!$D$21</f>
        <v/>
      </c>
      <c r="BI128" s="75">
        <f>Results!$B$19+AK128-Results!$D$21</f>
        <v/>
      </c>
      <c r="BJ128" s="75">
        <f>Results!$B$19+AL128-Results!$D$21</f>
        <v/>
      </c>
      <c r="BM128" s="75" t="n">
        <v>133</v>
      </c>
      <c r="BN128" s="75">
        <f>Results!D143</f>
        <v/>
      </c>
      <c r="BO128" s="75">
        <f>Results!E143</f>
        <v/>
      </c>
      <c r="BP128" s="75">
        <f>Results!F143</f>
        <v/>
      </c>
      <c r="BS128" s="75" t="n">
        <v>133</v>
      </c>
      <c r="BT128" s="75">
        <f>Demand!AU146</f>
        <v/>
      </c>
      <c r="BU128" s="75">
        <f>Demand!AV146</f>
        <v/>
      </c>
      <c r="BV128" s="75">
        <f>Demand!AW146</f>
        <v/>
      </c>
      <c r="BY128" s="75" t="n">
        <v>133</v>
      </c>
      <c r="BZ128" s="75">
        <f>Retailers_Cap!N129</f>
        <v/>
      </c>
      <c r="CA128" s="75">
        <f>Retailers_Cap!O129</f>
        <v/>
      </c>
      <c r="CB128" s="75">
        <f>Retailers_Cap!P129</f>
        <v/>
      </c>
      <c r="CD128" s="75" t="n">
        <v>133</v>
      </c>
      <c r="CE128" s="75">
        <f>IF((BT128-BZ128)&gt;=0,"Dem","Folga")</f>
        <v/>
      </c>
      <c r="CF128" s="75">
        <f>IF((BU128-CA128)&gt;=0,"Dem","Folga")</f>
        <v/>
      </c>
      <c r="CG128" s="75">
        <f>IF((BV128-CB128)&gt;=0,"Dem","Folga")</f>
        <v/>
      </c>
    </row>
    <row r="129">
      <c r="M129" s="75">
        <f>TRUNC((_xlfn.NORM.INV((RAND()),$L$6,$L$7)),2)</f>
        <v/>
      </c>
      <c r="O129" s="75" t="n">
        <v>134</v>
      </c>
      <c r="P129" s="5" t="n">
        <v>168.55</v>
      </c>
      <c r="Q129" s="5" t="n">
        <v>211</v>
      </c>
      <c r="R129" s="5" t="n">
        <v>261.05</v>
      </c>
      <c r="W129" s="75">
        <f>TRUNC((_xlfn.NORM.INV((RAND()),$V$6,$V$7)),3)</f>
        <v/>
      </c>
      <c r="Y129" s="75" t="n">
        <v>134</v>
      </c>
      <c r="Z129" s="5" t="n">
        <v>6.801</v>
      </c>
      <c r="AA129" s="5" t="n">
        <v>6.581</v>
      </c>
      <c r="AB129" s="5" t="n">
        <v>6.778</v>
      </c>
      <c r="AG129" s="75">
        <f>TRUNC((_xlfn.NORM.INV((RAND()),$AF$6,$AF$7)),3)</f>
        <v/>
      </c>
      <c r="AI129" s="75" t="n">
        <v>134</v>
      </c>
      <c r="AJ129" s="5" t="n">
        <v>72.489</v>
      </c>
      <c r="AK129" s="5" t="n">
        <v>56.559</v>
      </c>
      <c r="AL129" s="5" t="n">
        <v>49.761</v>
      </c>
      <c r="AR129" s="75" t="n">
        <v>134</v>
      </c>
      <c r="AS129" s="5" t="n">
        <v>0</v>
      </c>
      <c r="AT129" s="5" t="n">
        <v>4.870942070490059</v>
      </c>
      <c r="AU129" s="5" t="n">
        <v>17.20745558302669</v>
      </c>
      <c r="AW129" s="75">
        <f>Z129/Demand!AU147</f>
        <v/>
      </c>
      <c r="AX129" s="75">
        <f>AA129/Demand!AV147</f>
        <v/>
      </c>
      <c r="AY129" s="75">
        <f>AB129/Demand!AW147</f>
        <v/>
      </c>
      <c r="BG129" s="75" t="n">
        <v>134</v>
      </c>
      <c r="BH129" s="75">
        <f>Results!$B$19+AJ129-Results!$D$21</f>
        <v/>
      </c>
      <c r="BI129" s="75">
        <f>Results!$B$19+AK129-Results!$D$21</f>
        <v/>
      </c>
      <c r="BJ129" s="75">
        <f>Results!$B$19+AL129-Results!$D$21</f>
        <v/>
      </c>
      <c r="BM129" s="75" t="n">
        <v>134</v>
      </c>
      <c r="BN129" s="75">
        <f>Results!D144</f>
        <v/>
      </c>
      <c r="BO129" s="75">
        <f>Results!E144</f>
        <v/>
      </c>
      <c r="BP129" s="75">
        <f>Results!F144</f>
        <v/>
      </c>
      <c r="BS129" s="75" t="n">
        <v>134</v>
      </c>
      <c r="BT129" s="75">
        <f>Demand!AU147</f>
        <v/>
      </c>
      <c r="BU129" s="75">
        <f>Demand!AV147</f>
        <v/>
      </c>
      <c r="BV129" s="75">
        <f>Demand!AW147</f>
        <v/>
      </c>
      <c r="BY129" s="75" t="n">
        <v>134</v>
      </c>
      <c r="BZ129" s="75">
        <f>Retailers_Cap!N130</f>
        <v/>
      </c>
      <c r="CA129" s="75">
        <f>Retailers_Cap!O130</f>
        <v/>
      </c>
      <c r="CB129" s="75">
        <f>Retailers_Cap!P130</f>
        <v/>
      </c>
      <c r="CD129" s="75" t="n">
        <v>134</v>
      </c>
      <c r="CE129" s="75">
        <f>IF((BT129-BZ129)&gt;=0,"Dem","Folga")</f>
        <v/>
      </c>
      <c r="CF129" s="75">
        <f>IF((BU129-CA129)&gt;=0,"Dem","Folga")</f>
        <v/>
      </c>
      <c r="CG129" s="75">
        <f>IF((BV129-CB129)&gt;=0,"Dem","Folga")</f>
        <v/>
      </c>
    </row>
    <row r="130">
      <c r="M130" s="75">
        <f>TRUNC((_xlfn.NORM.INV((RAND()),$L$6,$L$7)),2)</f>
        <v/>
      </c>
      <c r="O130" s="75" t="n">
        <v>135</v>
      </c>
      <c r="P130" s="5" t="n">
        <v>201.18</v>
      </c>
      <c r="Q130" s="5" t="n">
        <v>173.9</v>
      </c>
      <c r="R130" s="5" t="n">
        <v>210.68</v>
      </c>
      <c r="W130" s="75">
        <f>TRUNC((_xlfn.NORM.INV((RAND()),$V$6,$V$7)),3)</f>
        <v/>
      </c>
      <c r="Y130" s="75" t="n">
        <v>135</v>
      </c>
      <c r="Z130" s="5" t="n">
        <v>6.755</v>
      </c>
      <c r="AA130" s="5" t="n">
        <v>6.915</v>
      </c>
      <c r="AB130" s="5" t="n">
        <v>6.656</v>
      </c>
      <c r="AG130" s="75">
        <f>TRUNC((_xlfn.NORM.INV((RAND()),$AF$6,$AF$7)),3)</f>
        <v/>
      </c>
      <c r="AI130" s="75" t="n">
        <v>135</v>
      </c>
      <c r="AJ130" s="5" t="n">
        <v>45.852</v>
      </c>
      <c r="AK130" s="5" t="n">
        <v>50.194</v>
      </c>
      <c r="AL130" s="5" t="n">
        <v>55.767</v>
      </c>
      <c r="AR130" s="75" t="n">
        <v>135</v>
      </c>
      <c r="AS130" s="5" t="n">
        <v>0</v>
      </c>
      <c r="AT130" s="5" t="n">
        <v>15.71352733222763</v>
      </c>
      <c r="AU130" s="5" t="n">
        <v>19.8678268681787</v>
      </c>
      <c r="AW130" s="75">
        <f>Z130/Demand!AU148</f>
        <v/>
      </c>
      <c r="AX130" s="75">
        <f>AA130/Demand!AV148</f>
        <v/>
      </c>
      <c r="AY130" s="75">
        <f>AB130/Demand!AW148</f>
        <v/>
      </c>
      <c r="BG130" s="75" t="n">
        <v>135</v>
      </c>
      <c r="BH130" s="75">
        <f>Results!$B$19+AJ130-Results!$D$21</f>
        <v/>
      </c>
      <c r="BI130" s="75">
        <f>Results!$B$19+AK130-Results!$D$21</f>
        <v/>
      </c>
      <c r="BJ130" s="75">
        <f>Results!$B$19+AL130-Results!$D$21</f>
        <v/>
      </c>
      <c r="BM130" s="75" t="n">
        <v>135</v>
      </c>
      <c r="BN130" s="75">
        <f>Results!D145</f>
        <v/>
      </c>
      <c r="BO130" s="75">
        <f>Results!E145</f>
        <v/>
      </c>
      <c r="BP130" s="75">
        <f>Results!F145</f>
        <v/>
      </c>
      <c r="BS130" s="75" t="n">
        <v>135</v>
      </c>
      <c r="BT130" s="75">
        <f>Demand!AU148</f>
        <v/>
      </c>
      <c r="BU130" s="75">
        <f>Demand!AV148</f>
        <v/>
      </c>
      <c r="BV130" s="75">
        <f>Demand!AW148</f>
        <v/>
      </c>
      <c r="BY130" s="75" t="n">
        <v>135</v>
      </c>
      <c r="BZ130" s="75">
        <f>Retailers_Cap!N131</f>
        <v/>
      </c>
      <c r="CA130" s="75">
        <f>Retailers_Cap!O131</f>
        <v/>
      </c>
      <c r="CB130" s="75">
        <f>Retailers_Cap!P131</f>
        <v/>
      </c>
      <c r="CD130" s="75" t="n">
        <v>135</v>
      </c>
      <c r="CE130" s="75">
        <f>IF((BT130-BZ130)&gt;=0,"Dem","Folga")</f>
        <v/>
      </c>
      <c r="CF130" s="75">
        <f>IF((BU130-CA130)&gt;=0,"Dem","Folga")</f>
        <v/>
      </c>
      <c r="CG130" s="75">
        <f>IF((BV130-CB130)&gt;=0,"Dem","Folga")</f>
        <v/>
      </c>
    </row>
    <row r="131">
      <c r="M131" s="75">
        <f>TRUNC((_xlfn.NORM.INV((RAND()),$L$6,$L$7)),2)</f>
        <v/>
      </c>
      <c r="O131" s="75" t="n">
        <v>136</v>
      </c>
      <c r="P131" s="5" t="n">
        <v>133.68</v>
      </c>
      <c r="Q131" s="5" t="n">
        <v>197.55</v>
      </c>
      <c r="R131" s="5" t="n">
        <v>273.6</v>
      </c>
      <c r="W131" s="75">
        <f>TRUNC((_xlfn.NORM.INV((RAND()),$V$6,$V$7)),3)</f>
        <v/>
      </c>
      <c r="Y131" s="75" t="n">
        <v>136</v>
      </c>
      <c r="Z131" s="5" t="n">
        <v>6.765</v>
      </c>
      <c r="AA131" s="5" t="n">
        <v>6.763</v>
      </c>
      <c r="AB131" s="5" t="n">
        <v>6.72</v>
      </c>
      <c r="AG131" s="75">
        <f>TRUNC((_xlfn.NORM.INV((RAND()),$AF$6,$AF$7)),3)</f>
        <v/>
      </c>
      <c r="AI131" s="75" t="n">
        <v>136</v>
      </c>
      <c r="AJ131" s="5" t="n">
        <v>75.611</v>
      </c>
      <c r="AK131" s="5" t="n">
        <v>75.97799999999999</v>
      </c>
      <c r="AL131" s="5" t="n">
        <v>80.19799999999999</v>
      </c>
      <c r="AR131" s="75" t="n">
        <v>136</v>
      </c>
      <c r="AS131" s="5" t="n">
        <v>0</v>
      </c>
      <c r="AT131" s="5" t="n">
        <v>11.79621929763509</v>
      </c>
      <c r="AU131" s="5" t="n">
        <v>17.93835641259775</v>
      </c>
      <c r="AW131" s="75">
        <f>Z131/Demand!AU149</f>
        <v/>
      </c>
      <c r="AX131" s="75">
        <f>AA131/Demand!AV149</f>
        <v/>
      </c>
      <c r="AY131" s="75">
        <f>AB131/Demand!AW149</f>
        <v/>
      </c>
      <c r="BG131" s="75" t="n">
        <v>136</v>
      </c>
      <c r="BH131" s="75">
        <f>Results!$B$19+AJ131-Results!$D$21</f>
        <v/>
      </c>
      <c r="BI131" s="75">
        <f>Results!$B$19+AK131-Results!$D$21</f>
        <v/>
      </c>
      <c r="BJ131" s="75">
        <f>Results!$B$19+AL131-Results!$D$21</f>
        <v/>
      </c>
      <c r="BM131" s="75" t="n">
        <v>136</v>
      </c>
      <c r="BN131" s="75">
        <f>Results!D146</f>
        <v/>
      </c>
      <c r="BO131" s="75">
        <f>Results!E146</f>
        <v/>
      </c>
      <c r="BP131" s="75">
        <f>Results!F146</f>
        <v/>
      </c>
      <c r="BS131" s="75" t="n">
        <v>136</v>
      </c>
      <c r="BT131" s="75">
        <f>Demand!AU149</f>
        <v/>
      </c>
      <c r="BU131" s="75">
        <f>Demand!AV149</f>
        <v/>
      </c>
      <c r="BV131" s="75">
        <f>Demand!AW149</f>
        <v/>
      </c>
      <c r="BY131" s="75" t="n">
        <v>136</v>
      </c>
      <c r="BZ131" s="75">
        <f>Retailers_Cap!N132</f>
        <v/>
      </c>
      <c r="CA131" s="75">
        <f>Retailers_Cap!O132</f>
        <v/>
      </c>
      <c r="CB131" s="75">
        <f>Retailers_Cap!P132</f>
        <v/>
      </c>
      <c r="CD131" s="75" t="n">
        <v>136</v>
      </c>
      <c r="CE131" s="75">
        <f>IF((BT131-BZ131)&gt;=0,"Dem","Folga")</f>
        <v/>
      </c>
      <c r="CF131" s="75">
        <f>IF((BU131-CA131)&gt;=0,"Dem","Folga")</f>
        <v/>
      </c>
      <c r="CG131" s="75">
        <f>IF((BV131-CB131)&gt;=0,"Dem","Folga")</f>
        <v/>
      </c>
    </row>
    <row r="132">
      <c r="M132" s="75">
        <f>TRUNC((_xlfn.NORM.INV((RAND()),$L$6,$L$7)),2)</f>
        <v/>
      </c>
      <c r="O132" s="75" t="n">
        <v>137</v>
      </c>
      <c r="P132" s="5" t="n">
        <v>219.81</v>
      </c>
      <c r="Q132" s="5" t="n">
        <v>206.14</v>
      </c>
      <c r="R132" s="5" t="n">
        <v>122.99</v>
      </c>
      <c r="W132" s="75">
        <f>TRUNC((_xlfn.NORM.INV((RAND()),$V$6,$V$7)),3)</f>
        <v/>
      </c>
      <c r="Y132" s="75" t="n">
        <v>137</v>
      </c>
      <c r="Z132" s="5" t="n">
        <v>6.67</v>
      </c>
      <c r="AA132" s="5" t="n">
        <v>6.697</v>
      </c>
      <c r="AB132" s="5" t="n">
        <v>6.698</v>
      </c>
      <c r="AG132" s="75">
        <f>TRUNC((_xlfn.NORM.INV((RAND()),$AF$6,$AF$7)),3)</f>
        <v/>
      </c>
      <c r="AI132" s="75" t="n">
        <v>137</v>
      </c>
      <c r="AJ132" s="5" t="n">
        <v>82.556</v>
      </c>
      <c r="AK132" s="5" t="n">
        <v>63.18</v>
      </c>
      <c r="AL132" s="5" t="n">
        <v>46.581</v>
      </c>
      <c r="AR132" s="75" t="n">
        <v>137</v>
      </c>
      <c r="AS132" s="5" t="n">
        <v>30.35656603934145</v>
      </c>
      <c r="AT132" s="5" t="n">
        <v>0</v>
      </c>
      <c r="AU132" s="5" t="n">
        <v>8.049669945033852</v>
      </c>
      <c r="AW132" s="75">
        <f>Z132/Demand!AU150</f>
        <v/>
      </c>
      <c r="AX132" s="75">
        <f>AA132/Demand!AV150</f>
        <v/>
      </c>
      <c r="AY132" s="75">
        <f>AB132/Demand!AW150</f>
        <v/>
      </c>
      <c r="BG132" s="75" t="n">
        <v>137</v>
      </c>
      <c r="BH132" s="75">
        <f>Results!$B$19+AJ132-Results!$D$21</f>
        <v/>
      </c>
      <c r="BI132" s="75">
        <f>Results!$B$19+AK132-Results!$D$21</f>
        <v/>
      </c>
      <c r="BJ132" s="75">
        <f>Results!$B$19+AL132-Results!$D$21</f>
        <v/>
      </c>
      <c r="BM132" s="75" t="n">
        <v>137</v>
      </c>
      <c r="BN132" s="75">
        <f>Results!D147</f>
        <v/>
      </c>
      <c r="BO132" s="75">
        <f>Results!E147</f>
        <v/>
      </c>
      <c r="BP132" s="75">
        <f>Results!F147</f>
        <v/>
      </c>
      <c r="BS132" s="75" t="n">
        <v>137</v>
      </c>
      <c r="BT132" s="75">
        <f>Demand!AU150</f>
        <v/>
      </c>
      <c r="BU132" s="75">
        <f>Demand!AV150</f>
        <v/>
      </c>
      <c r="BV132" s="75">
        <f>Demand!AW150</f>
        <v/>
      </c>
      <c r="BY132" s="75" t="n">
        <v>137</v>
      </c>
      <c r="BZ132" s="75">
        <f>Retailers_Cap!N133</f>
        <v/>
      </c>
      <c r="CA132" s="75">
        <f>Retailers_Cap!O133</f>
        <v/>
      </c>
      <c r="CB132" s="75">
        <f>Retailers_Cap!P133</f>
        <v/>
      </c>
      <c r="CD132" s="75" t="n">
        <v>137</v>
      </c>
      <c r="CE132" s="75">
        <f>IF((BT132-BZ132)&gt;=0,"Dem","Folga")</f>
        <v/>
      </c>
      <c r="CF132" s="75">
        <f>IF((BU132-CA132)&gt;=0,"Dem","Folga")</f>
        <v/>
      </c>
      <c r="CG132" s="75">
        <f>IF((BV132-CB132)&gt;=0,"Dem","Folga")</f>
        <v/>
      </c>
    </row>
    <row r="133">
      <c r="M133" s="75">
        <f>TRUNC((_xlfn.NORM.INV((RAND()),$L$6,$L$7)),2)</f>
        <v/>
      </c>
      <c r="O133" s="75" t="n">
        <v>138</v>
      </c>
      <c r="P133" s="5" t="n">
        <v>175.29</v>
      </c>
      <c r="Q133" s="5" t="n">
        <v>230.19</v>
      </c>
      <c r="R133" s="5" t="n">
        <v>309.87</v>
      </c>
      <c r="W133" s="75">
        <f>TRUNC((_xlfn.NORM.INV((RAND()),$V$6,$V$7)),3)</f>
        <v/>
      </c>
      <c r="Y133" s="75" t="n">
        <v>138</v>
      </c>
      <c r="Z133" s="5" t="n">
        <v>6.745</v>
      </c>
      <c r="AA133" s="5" t="n">
        <v>6.881</v>
      </c>
      <c r="AB133" s="5" t="n">
        <v>6.713</v>
      </c>
      <c r="AG133" s="75">
        <f>TRUNC((_xlfn.NORM.INV((RAND()),$AF$6,$AF$7)),3)</f>
        <v/>
      </c>
      <c r="AI133" s="75" t="n">
        <v>138</v>
      </c>
      <c r="AJ133" s="5" t="n">
        <v>47.403</v>
      </c>
      <c r="AK133" s="5" t="n">
        <v>73.078</v>
      </c>
      <c r="AL133" s="5" t="n">
        <v>66.361</v>
      </c>
      <c r="AR133" s="75" t="n">
        <v>138</v>
      </c>
      <c r="AS133" s="5" t="n">
        <v>0</v>
      </c>
      <c r="AT133" s="5" t="n">
        <v>21.7329175729946</v>
      </c>
      <c r="AU133" s="5" t="n">
        <v>13.34657409057994</v>
      </c>
      <c r="AW133" s="75">
        <f>Z133/Demand!AU151</f>
        <v/>
      </c>
      <c r="AX133" s="75">
        <f>AA133/Demand!AV151</f>
        <v/>
      </c>
      <c r="AY133" s="75">
        <f>AB133/Demand!AW151</f>
        <v/>
      </c>
      <c r="BG133" s="75" t="n">
        <v>138</v>
      </c>
      <c r="BH133" s="75">
        <f>Results!$B$19+AJ133-Results!$D$21</f>
        <v/>
      </c>
      <c r="BI133" s="75">
        <f>Results!$B$19+AK133-Results!$D$21</f>
        <v/>
      </c>
      <c r="BJ133" s="75">
        <f>Results!$B$19+AL133-Results!$D$21</f>
        <v/>
      </c>
      <c r="BM133" s="75" t="n">
        <v>138</v>
      </c>
      <c r="BN133" s="75">
        <f>Results!D148</f>
        <v/>
      </c>
      <c r="BO133" s="75">
        <f>Results!E148</f>
        <v/>
      </c>
      <c r="BP133" s="75">
        <f>Results!F148</f>
        <v/>
      </c>
      <c r="BS133" s="75" t="n">
        <v>138</v>
      </c>
      <c r="BT133" s="75">
        <f>Demand!AU151</f>
        <v/>
      </c>
      <c r="BU133" s="75">
        <f>Demand!AV151</f>
        <v/>
      </c>
      <c r="BV133" s="75">
        <f>Demand!AW151</f>
        <v/>
      </c>
      <c r="BY133" s="75" t="n">
        <v>138</v>
      </c>
      <c r="BZ133" s="75">
        <f>Retailers_Cap!N134</f>
        <v/>
      </c>
      <c r="CA133" s="75">
        <f>Retailers_Cap!O134</f>
        <v/>
      </c>
      <c r="CB133" s="75">
        <f>Retailers_Cap!P134</f>
        <v/>
      </c>
      <c r="CD133" s="75" t="n">
        <v>138</v>
      </c>
      <c r="CE133" s="75">
        <f>IF((BT133-BZ133)&gt;=0,"Dem","Folga")</f>
        <v/>
      </c>
      <c r="CF133" s="75">
        <f>IF((BU133-CA133)&gt;=0,"Dem","Folga")</f>
        <v/>
      </c>
      <c r="CG133" s="75">
        <f>IF((BV133-CB133)&gt;=0,"Dem","Folga")</f>
        <v/>
      </c>
    </row>
    <row r="134">
      <c r="M134" s="75">
        <f>TRUNC((_xlfn.NORM.INV((RAND()),$L$6,$L$7)),2)</f>
        <v/>
      </c>
      <c r="O134" s="75" t="n">
        <v>139</v>
      </c>
      <c r="P134" s="5" t="n">
        <v>210.58</v>
      </c>
      <c r="Q134" s="5" t="n">
        <v>273.99</v>
      </c>
      <c r="R134" s="5" t="n">
        <v>220.91</v>
      </c>
      <c r="W134" s="75">
        <f>TRUNC((_xlfn.NORM.INV((RAND()),$V$6,$V$7)),3)</f>
        <v/>
      </c>
      <c r="Y134" s="75" t="n">
        <v>139</v>
      </c>
      <c r="Z134" s="5" t="n">
        <v>6.759</v>
      </c>
      <c r="AA134" s="5" t="n">
        <v>6.719</v>
      </c>
      <c r="AB134" s="5" t="n">
        <v>6.674</v>
      </c>
      <c r="AG134" s="75">
        <f>TRUNC((_xlfn.NORM.INV((RAND()),$AF$6,$AF$7)),3)</f>
        <v/>
      </c>
      <c r="AI134" s="75" t="n">
        <v>139</v>
      </c>
      <c r="AJ134" s="5" t="n">
        <v>49.062</v>
      </c>
      <c r="AK134" s="5" t="n">
        <v>79.155</v>
      </c>
      <c r="AL134" s="5" t="n">
        <v>49.729</v>
      </c>
      <c r="AR134" s="75" t="n">
        <v>139</v>
      </c>
      <c r="AS134" s="5" t="n">
        <v>0</v>
      </c>
      <c r="AT134" s="5" t="n">
        <v>0</v>
      </c>
      <c r="AU134" s="5" t="n">
        <v>24.11875798480898</v>
      </c>
      <c r="AW134" s="75">
        <f>Z134/Demand!AU152</f>
        <v/>
      </c>
      <c r="AX134" s="75">
        <f>AA134/Demand!AV152</f>
        <v/>
      </c>
      <c r="AY134" s="75">
        <f>AB134/Demand!AW152</f>
        <v/>
      </c>
      <c r="BG134" s="75" t="n">
        <v>139</v>
      </c>
      <c r="BH134" s="75">
        <f>Results!$B$19+AJ134-Results!$D$21</f>
        <v/>
      </c>
      <c r="BI134" s="75">
        <f>Results!$B$19+AK134-Results!$D$21</f>
        <v/>
      </c>
      <c r="BJ134" s="75">
        <f>Results!$B$19+AL134-Results!$D$21</f>
        <v/>
      </c>
      <c r="BM134" s="75" t="n">
        <v>139</v>
      </c>
      <c r="BN134" s="75">
        <f>Results!D149</f>
        <v/>
      </c>
      <c r="BO134" s="75">
        <f>Results!E149</f>
        <v/>
      </c>
      <c r="BP134" s="75">
        <f>Results!F149</f>
        <v/>
      </c>
      <c r="BS134" s="75" t="n">
        <v>139</v>
      </c>
      <c r="BT134" s="75">
        <f>Demand!AU152</f>
        <v/>
      </c>
      <c r="BU134" s="75">
        <f>Demand!AV152</f>
        <v/>
      </c>
      <c r="BV134" s="75">
        <f>Demand!AW152</f>
        <v/>
      </c>
      <c r="BY134" s="75" t="n">
        <v>139</v>
      </c>
      <c r="BZ134" s="75">
        <f>Retailers_Cap!N135</f>
        <v/>
      </c>
      <c r="CA134" s="75">
        <f>Retailers_Cap!O135</f>
        <v/>
      </c>
      <c r="CB134" s="75">
        <f>Retailers_Cap!P135</f>
        <v/>
      </c>
      <c r="CD134" s="75" t="n">
        <v>139</v>
      </c>
      <c r="CE134" s="75">
        <f>IF((BT134-BZ134)&gt;=0,"Dem","Folga")</f>
        <v/>
      </c>
      <c r="CF134" s="75">
        <f>IF((BU134-CA134)&gt;=0,"Dem","Folga")</f>
        <v/>
      </c>
      <c r="CG134" s="75">
        <f>IF((BV134-CB134)&gt;=0,"Dem","Folga")</f>
        <v/>
      </c>
    </row>
    <row r="135">
      <c r="M135" s="75">
        <f>TRUNC((_xlfn.NORM.INV((RAND()),$L$6,$L$7)),2)</f>
        <v/>
      </c>
      <c r="O135" s="75" t="n">
        <v>140</v>
      </c>
      <c r="P135" s="5" t="n">
        <v>222.06</v>
      </c>
      <c r="Q135" s="5" t="n">
        <v>245.93</v>
      </c>
      <c r="R135" s="5" t="n">
        <v>216.42</v>
      </c>
      <c r="W135" s="75">
        <f>TRUNC((_xlfn.NORM.INV((RAND()),$V$6,$V$7)),3)</f>
        <v/>
      </c>
      <c r="Y135" s="75" t="n">
        <v>140</v>
      </c>
      <c r="Z135" s="5" t="n">
        <v>6.598</v>
      </c>
      <c r="AA135" s="5" t="n">
        <v>6.727</v>
      </c>
      <c r="AB135" s="5" t="n">
        <v>6.672</v>
      </c>
      <c r="AG135" s="75">
        <f>TRUNC((_xlfn.NORM.INV((RAND()),$AF$6,$AF$7)),3)</f>
        <v/>
      </c>
      <c r="AI135" s="75" t="n">
        <v>140</v>
      </c>
      <c r="AJ135" s="5" t="n">
        <v>50.541</v>
      </c>
      <c r="AK135" s="5" t="n">
        <v>48.226</v>
      </c>
      <c r="AL135" s="5" t="n">
        <v>67.995</v>
      </c>
      <c r="AR135" s="75" t="n">
        <v>140</v>
      </c>
      <c r="AS135" s="5" t="n">
        <v>12.10640011506244</v>
      </c>
      <c r="AT135" s="5" t="n">
        <v>21.95561956020802</v>
      </c>
      <c r="AU135" s="5" t="n">
        <v>0</v>
      </c>
      <c r="AW135" s="75">
        <f>Z135/Demand!AU153</f>
        <v/>
      </c>
      <c r="AX135" s="75">
        <f>AA135/Demand!AV153</f>
        <v/>
      </c>
      <c r="AY135" s="75">
        <f>AB135/Demand!AW153</f>
        <v/>
      </c>
      <c r="BG135" s="75" t="n">
        <v>140</v>
      </c>
      <c r="BH135" s="75">
        <f>Results!$B$19+AJ135-Results!$D$21</f>
        <v/>
      </c>
      <c r="BI135" s="75">
        <f>Results!$B$19+AK135-Results!$D$21</f>
        <v/>
      </c>
      <c r="BJ135" s="75">
        <f>Results!$B$19+AL135-Results!$D$21</f>
        <v/>
      </c>
      <c r="BM135" s="75" t="n">
        <v>140</v>
      </c>
      <c r="BN135" s="75">
        <f>Results!D150</f>
        <v/>
      </c>
      <c r="BO135" s="75">
        <f>Results!E150</f>
        <v/>
      </c>
      <c r="BP135" s="75">
        <f>Results!F150</f>
        <v/>
      </c>
      <c r="BS135" s="75" t="n">
        <v>140</v>
      </c>
      <c r="BT135" s="75">
        <f>Demand!AU153</f>
        <v/>
      </c>
      <c r="BU135" s="75">
        <f>Demand!AV153</f>
        <v/>
      </c>
      <c r="BV135" s="75">
        <f>Demand!AW153</f>
        <v/>
      </c>
      <c r="BY135" s="75" t="n">
        <v>140</v>
      </c>
      <c r="BZ135" s="75">
        <f>Retailers_Cap!N136</f>
        <v/>
      </c>
      <c r="CA135" s="75">
        <f>Retailers_Cap!O136</f>
        <v/>
      </c>
      <c r="CB135" s="75">
        <f>Retailers_Cap!P136</f>
        <v/>
      </c>
      <c r="CD135" s="75" t="n">
        <v>140</v>
      </c>
      <c r="CE135" s="75">
        <f>IF((BT135-BZ135)&gt;=0,"Dem","Folga")</f>
        <v/>
      </c>
      <c r="CF135" s="75">
        <f>IF((BU135-CA135)&gt;=0,"Dem","Folga")</f>
        <v/>
      </c>
      <c r="CG135" s="75">
        <f>IF((BV135-CB135)&gt;=0,"Dem","Folga")</f>
        <v/>
      </c>
    </row>
    <row r="136">
      <c r="M136" s="75">
        <f>TRUNC((_xlfn.NORM.INV((RAND()),$L$6,$L$7)),2)</f>
        <v/>
      </c>
      <c r="O136" s="75" t="n">
        <v>141</v>
      </c>
      <c r="P136" s="5" t="n">
        <v>247.24</v>
      </c>
      <c r="Q136" s="5" t="n">
        <v>162.21</v>
      </c>
      <c r="R136" s="5" t="n">
        <v>241.6</v>
      </c>
      <c r="W136" s="75">
        <f>TRUNC((_xlfn.NORM.INV((RAND()),$V$6,$V$7)),3)</f>
        <v/>
      </c>
      <c r="Y136" s="75" t="n">
        <v>141</v>
      </c>
      <c r="Z136" s="5" t="n">
        <v>6.837</v>
      </c>
      <c r="AA136" s="5" t="n">
        <v>6.658</v>
      </c>
      <c r="AB136" s="5" t="n">
        <v>6.648</v>
      </c>
      <c r="AG136" s="75">
        <f>TRUNC((_xlfn.NORM.INV((RAND()),$AF$6,$AF$7)),3)</f>
        <v/>
      </c>
      <c r="AI136" s="75" t="n">
        <v>141</v>
      </c>
      <c r="AJ136" s="5" t="n">
        <v>76.11</v>
      </c>
      <c r="AK136" s="5" t="n">
        <v>57.858</v>
      </c>
      <c r="AL136" s="5" t="n">
        <v>46.855</v>
      </c>
      <c r="AR136" s="75" t="n">
        <v>141</v>
      </c>
      <c r="AS136" s="5" t="n">
        <v>16.56192003674099</v>
      </c>
      <c r="AT136" s="5" t="n">
        <v>13.59695869289315</v>
      </c>
      <c r="AU136" s="5" t="n">
        <v>0</v>
      </c>
      <c r="AW136" s="75">
        <f>Z136/Demand!AU154</f>
        <v/>
      </c>
      <c r="AX136" s="75">
        <f>AA136/Demand!AV154</f>
        <v/>
      </c>
      <c r="AY136" s="75">
        <f>AB136/Demand!AW154</f>
        <v/>
      </c>
      <c r="BG136" s="75" t="n">
        <v>141</v>
      </c>
      <c r="BH136" s="75">
        <f>Results!$B$19+AJ136-Results!$D$21</f>
        <v/>
      </c>
      <c r="BI136" s="75">
        <f>Results!$B$19+AK136-Results!$D$21</f>
        <v/>
      </c>
      <c r="BJ136" s="75">
        <f>Results!$B$19+AL136-Results!$D$21</f>
        <v/>
      </c>
      <c r="BM136" s="75" t="n">
        <v>141</v>
      </c>
      <c r="BN136" s="75">
        <f>Results!D151</f>
        <v/>
      </c>
      <c r="BO136" s="75">
        <f>Results!E151</f>
        <v/>
      </c>
      <c r="BP136" s="75">
        <f>Results!F151</f>
        <v/>
      </c>
      <c r="BS136" s="75" t="n">
        <v>141</v>
      </c>
      <c r="BT136" s="75">
        <f>Demand!AU154</f>
        <v/>
      </c>
      <c r="BU136" s="75">
        <f>Demand!AV154</f>
        <v/>
      </c>
      <c r="BV136" s="75">
        <f>Demand!AW154</f>
        <v/>
      </c>
      <c r="BY136" s="75" t="n">
        <v>141</v>
      </c>
      <c r="BZ136" s="75">
        <f>Retailers_Cap!N137</f>
        <v/>
      </c>
      <c r="CA136" s="75">
        <f>Retailers_Cap!O137</f>
        <v/>
      </c>
      <c r="CB136" s="75">
        <f>Retailers_Cap!P137</f>
        <v/>
      </c>
      <c r="CD136" s="75" t="n">
        <v>141</v>
      </c>
      <c r="CE136" s="75">
        <f>IF((BT136-BZ136)&gt;=0,"Dem","Folga")</f>
        <v/>
      </c>
      <c r="CF136" s="75">
        <f>IF((BU136-CA136)&gt;=0,"Dem","Folga")</f>
        <v/>
      </c>
      <c r="CG136" s="75">
        <f>IF((BV136-CB136)&gt;=0,"Dem","Folga")</f>
        <v/>
      </c>
    </row>
    <row r="137">
      <c r="M137" s="75">
        <f>TRUNC((_xlfn.NORM.INV((RAND()),$L$6,$L$7)),2)</f>
        <v/>
      </c>
      <c r="O137" s="75" t="n">
        <v>142</v>
      </c>
      <c r="P137" s="5" t="n">
        <v>169.09</v>
      </c>
      <c r="Q137" s="5" t="n">
        <v>190.34</v>
      </c>
      <c r="R137" s="5" t="n">
        <v>232.29</v>
      </c>
      <c r="W137" s="75">
        <f>TRUNC((_xlfn.NORM.INV((RAND()),$V$6,$V$7)),3)</f>
        <v/>
      </c>
      <c r="Y137" s="75" t="n">
        <v>142</v>
      </c>
      <c r="Z137" s="5" t="n">
        <v>6.901</v>
      </c>
      <c r="AA137" s="5" t="n">
        <v>6.738</v>
      </c>
      <c r="AB137" s="5" t="n">
        <v>6.746</v>
      </c>
      <c r="AG137" s="75">
        <f>TRUNC((_xlfn.NORM.INV((RAND()),$AF$6,$AF$7)),3)</f>
        <v/>
      </c>
      <c r="AI137" s="75" t="n">
        <v>142</v>
      </c>
      <c r="AJ137" s="5" t="n">
        <v>67.871</v>
      </c>
      <c r="AK137" s="5" t="n">
        <v>57.163</v>
      </c>
      <c r="AL137" s="5" t="n">
        <v>66.72199999999999</v>
      </c>
      <c r="AR137" s="75" t="n">
        <v>142</v>
      </c>
      <c r="AS137" s="5" t="n">
        <v>0</v>
      </c>
      <c r="AT137" s="5" t="n">
        <v>0</v>
      </c>
      <c r="AU137" s="5" t="n">
        <v>21.96577674037739</v>
      </c>
      <c r="AW137" s="75">
        <f>Z137/Demand!AU155</f>
        <v/>
      </c>
      <c r="AX137" s="75">
        <f>AA137/Demand!AV155</f>
        <v/>
      </c>
      <c r="AY137" s="75">
        <f>AB137/Demand!AW155</f>
        <v/>
      </c>
      <c r="BG137" s="75" t="n">
        <v>142</v>
      </c>
      <c r="BH137" s="75">
        <f>Results!$B$19+AJ137-Results!$D$21</f>
        <v/>
      </c>
      <c r="BI137" s="75">
        <f>Results!$B$19+AK137-Results!$D$21</f>
        <v/>
      </c>
      <c r="BJ137" s="75">
        <f>Results!$B$19+AL137-Results!$D$21</f>
        <v/>
      </c>
      <c r="BM137" s="75" t="n">
        <v>142</v>
      </c>
      <c r="BN137" s="75">
        <f>Results!D152</f>
        <v/>
      </c>
      <c r="BO137" s="75">
        <f>Results!E152</f>
        <v/>
      </c>
      <c r="BP137" s="75">
        <f>Results!F152</f>
        <v/>
      </c>
      <c r="BS137" s="75" t="n">
        <v>142</v>
      </c>
      <c r="BT137" s="75">
        <f>Demand!AU155</f>
        <v/>
      </c>
      <c r="BU137" s="75">
        <f>Demand!AV155</f>
        <v/>
      </c>
      <c r="BV137" s="75">
        <f>Demand!AW155</f>
        <v/>
      </c>
      <c r="BY137" s="75" t="n">
        <v>142</v>
      </c>
      <c r="BZ137" s="75">
        <f>Retailers_Cap!N138</f>
        <v/>
      </c>
      <c r="CA137" s="75">
        <f>Retailers_Cap!O138</f>
        <v/>
      </c>
      <c r="CB137" s="75">
        <f>Retailers_Cap!P138</f>
        <v/>
      </c>
      <c r="CD137" s="75" t="n">
        <v>142</v>
      </c>
      <c r="CE137" s="75">
        <f>IF((BT137-BZ137)&gt;=0,"Dem","Folga")</f>
        <v/>
      </c>
      <c r="CF137" s="75">
        <f>IF((BU137-CA137)&gt;=0,"Dem","Folga")</f>
        <v/>
      </c>
      <c r="CG137" s="75">
        <f>IF((BV137-CB137)&gt;=0,"Dem","Folga")</f>
        <v/>
      </c>
    </row>
    <row r="138">
      <c r="M138" s="75">
        <f>TRUNC((_xlfn.NORM.INV((RAND()),$L$6,$L$7)),2)</f>
        <v/>
      </c>
      <c r="O138" s="75" t="n">
        <v>143</v>
      </c>
      <c r="P138" s="5" t="n">
        <v>156.9</v>
      </c>
      <c r="Q138" s="5" t="n">
        <v>105.86</v>
      </c>
      <c r="R138" s="5" t="n">
        <v>262.27</v>
      </c>
      <c r="W138" s="75">
        <f>TRUNC((_xlfn.NORM.INV((RAND()),$V$6,$V$7)),3)</f>
        <v/>
      </c>
      <c r="Y138" s="75" t="n">
        <v>143</v>
      </c>
      <c r="Z138" s="5" t="n">
        <v>6.739</v>
      </c>
      <c r="AA138" s="5" t="n">
        <v>6.867</v>
      </c>
      <c r="AB138" s="5" t="n">
        <v>6.719</v>
      </c>
      <c r="AG138" s="75">
        <f>TRUNC((_xlfn.NORM.INV((RAND()),$AF$6,$AF$7)),3)</f>
        <v/>
      </c>
      <c r="AI138" s="75" t="n">
        <v>143</v>
      </c>
      <c r="AJ138" s="5" t="n">
        <v>63.995</v>
      </c>
      <c r="AK138" s="5" t="n">
        <v>70.626</v>
      </c>
      <c r="AL138" s="5" t="n">
        <v>54.772</v>
      </c>
      <c r="AR138" s="75" t="n">
        <v>143</v>
      </c>
      <c r="AS138" s="5" t="n">
        <v>0</v>
      </c>
      <c r="AT138" s="5" t="n">
        <v>0</v>
      </c>
      <c r="AU138" s="5" t="n">
        <v>9.949462957655355</v>
      </c>
      <c r="AW138" s="75">
        <f>Z138/Demand!AU156</f>
        <v/>
      </c>
      <c r="AX138" s="75">
        <f>AA138/Demand!AV156</f>
        <v/>
      </c>
      <c r="AY138" s="75">
        <f>AB138/Demand!AW156</f>
        <v/>
      </c>
      <c r="BG138" s="75" t="n">
        <v>143</v>
      </c>
      <c r="BH138" s="75">
        <f>Results!$B$19+AJ138-Results!$D$21</f>
        <v/>
      </c>
      <c r="BI138" s="75">
        <f>Results!$B$19+AK138-Results!$D$21</f>
        <v/>
      </c>
      <c r="BJ138" s="75">
        <f>Results!$B$19+AL138-Results!$D$21</f>
        <v/>
      </c>
      <c r="BM138" s="75" t="n">
        <v>143</v>
      </c>
      <c r="BN138" s="75">
        <f>Results!D153</f>
        <v/>
      </c>
      <c r="BO138" s="75">
        <f>Results!E153</f>
        <v/>
      </c>
      <c r="BP138" s="75">
        <f>Results!F153</f>
        <v/>
      </c>
      <c r="BS138" s="75" t="n">
        <v>143</v>
      </c>
      <c r="BT138" s="75">
        <f>Demand!AU156</f>
        <v/>
      </c>
      <c r="BU138" s="75">
        <f>Demand!AV156</f>
        <v/>
      </c>
      <c r="BV138" s="75">
        <f>Demand!AW156</f>
        <v/>
      </c>
      <c r="BY138" s="75" t="n">
        <v>143</v>
      </c>
      <c r="BZ138" s="75">
        <f>Retailers_Cap!N139</f>
        <v/>
      </c>
      <c r="CA138" s="75">
        <f>Retailers_Cap!O139</f>
        <v/>
      </c>
      <c r="CB138" s="75">
        <f>Retailers_Cap!P139</f>
        <v/>
      </c>
      <c r="CD138" s="75" t="n">
        <v>143</v>
      </c>
      <c r="CE138" s="75">
        <f>IF((BT138-BZ138)&gt;=0,"Dem","Folga")</f>
        <v/>
      </c>
      <c r="CF138" s="75">
        <f>IF((BU138-CA138)&gt;=0,"Dem","Folga")</f>
        <v/>
      </c>
      <c r="CG138" s="75">
        <f>IF((BV138-CB138)&gt;=0,"Dem","Folga")</f>
        <v/>
      </c>
    </row>
    <row r="139">
      <c r="M139" s="75">
        <f>TRUNC((_xlfn.NORM.INV((RAND()),$L$6,$L$7)),2)</f>
        <v/>
      </c>
      <c r="O139" s="75" t="n">
        <v>144</v>
      </c>
      <c r="P139" s="5" t="n">
        <v>224.93</v>
      </c>
      <c r="Q139" s="5" t="n">
        <v>143.09</v>
      </c>
      <c r="R139" s="5" t="n">
        <v>222.16</v>
      </c>
      <c r="W139" s="75">
        <f>TRUNC((_xlfn.NORM.INV((RAND()),$V$6,$V$7)),3)</f>
        <v/>
      </c>
      <c r="Y139" s="75" t="n">
        <v>144</v>
      </c>
      <c r="Z139" s="5" t="n">
        <v>6.658</v>
      </c>
      <c r="AA139" s="5" t="n">
        <v>6.804</v>
      </c>
      <c r="AB139" s="5" t="n">
        <v>6.668</v>
      </c>
      <c r="AG139" s="75">
        <f>TRUNC((_xlfn.NORM.INV((RAND()),$AF$6,$AF$7)),3)</f>
        <v/>
      </c>
      <c r="AI139" s="75" t="n">
        <v>144</v>
      </c>
      <c r="AJ139" s="5" t="n">
        <v>74.295</v>
      </c>
      <c r="AK139" s="5" t="n">
        <v>82.404</v>
      </c>
      <c r="AL139" s="5" t="n">
        <v>57.133</v>
      </c>
      <c r="AR139" s="75" t="n">
        <v>144</v>
      </c>
      <c r="AS139" s="5" t="n">
        <v>15.52125490730859</v>
      </c>
      <c r="AT139" s="5" t="n">
        <v>8.341083350913021</v>
      </c>
      <c r="AU139" s="5" t="n">
        <v>0</v>
      </c>
      <c r="AW139" s="75">
        <f>Z139/Demand!AU157</f>
        <v/>
      </c>
      <c r="AX139" s="75">
        <f>AA139/Demand!AV157</f>
        <v/>
      </c>
      <c r="AY139" s="75">
        <f>AB139/Demand!AW157</f>
        <v/>
      </c>
      <c r="BG139" s="75" t="n">
        <v>144</v>
      </c>
      <c r="BH139" s="75">
        <f>Results!$B$19+AJ139-Results!$D$21</f>
        <v/>
      </c>
      <c r="BI139" s="75">
        <f>Results!$B$19+AK139-Results!$D$21</f>
        <v/>
      </c>
      <c r="BJ139" s="75">
        <f>Results!$B$19+AL139-Results!$D$21</f>
        <v/>
      </c>
      <c r="BM139" s="75" t="n">
        <v>144</v>
      </c>
      <c r="BN139" s="75">
        <f>Results!D154</f>
        <v/>
      </c>
      <c r="BO139" s="75">
        <f>Results!E154</f>
        <v/>
      </c>
      <c r="BP139" s="75">
        <f>Results!F154</f>
        <v/>
      </c>
      <c r="BS139" s="75" t="n">
        <v>144</v>
      </c>
      <c r="BT139" s="75">
        <f>Demand!AU157</f>
        <v/>
      </c>
      <c r="BU139" s="75">
        <f>Demand!AV157</f>
        <v/>
      </c>
      <c r="BV139" s="75">
        <f>Demand!AW157</f>
        <v/>
      </c>
      <c r="BY139" s="75" t="n">
        <v>144</v>
      </c>
      <c r="BZ139" s="75">
        <f>Retailers_Cap!N140</f>
        <v/>
      </c>
      <c r="CA139" s="75">
        <f>Retailers_Cap!O140</f>
        <v/>
      </c>
      <c r="CB139" s="75">
        <f>Retailers_Cap!P140</f>
        <v/>
      </c>
      <c r="CD139" s="75" t="n">
        <v>144</v>
      </c>
      <c r="CE139" s="75">
        <f>IF((BT139-BZ139)&gt;=0,"Dem","Folga")</f>
        <v/>
      </c>
      <c r="CF139" s="75">
        <f>IF((BU139-CA139)&gt;=0,"Dem","Folga")</f>
        <v/>
      </c>
      <c r="CG139" s="75">
        <f>IF((BV139-CB139)&gt;=0,"Dem","Folga")</f>
        <v/>
      </c>
    </row>
    <row r="140">
      <c r="M140" s="75">
        <f>TRUNC((_xlfn.NORM.INV((RAND()),$L$6,$L$7)),2)</f>
        <v/>
      </c>
      <c r="O140" s="75" t="n">
        <v>145</v>
      </c>
      <c r="P140" s="5" t="n">
        <v>114.36</v>
      </c>
      <c r="Q140" s="5" t="n">
        <v>239.3</v>
      </c>
      <c r="R140" s="5" t="n">
        <v>270.85</v>
      </c>
      <c r="W140" s="75">
        <f>TRUNC((_xlfn.NORM.INV((RAND()),$V$6,$V$7)),3)</f>
        <v/>
      </c>
      <c r="Y140" s="75" t="n">
        <v>145</v>
      </c>
      <c r="Z140" s="5" t="n">
        <v>6.876</v>
      </c>
      <c r="AA140" s="5" t="n">
        <v>6.793</v>
      </c>
      <c r="AB140" s="5" t="n">
        <v>6.531</v>
      </c>
      <c r="AG140" s="75">
        <f>TRUNC((_xlfn.NORM.INV((RAND()),$AF$6,$AF$7)),3)</f>
        <v/>
      </c>
      <c r="AI140" s="75" t="n">
        <v>145</v>
      </c>
      <c r="AJ140" s="5" t="n">
        <v>75.38500000000001</v>
      </c>
      <c r="AK140" s="5" t="n">
        <v>70.164</v>
      </c>
      <c r="AL140" s="5" t="n">
        <v>59.14</v>
      </c>
      <c r="AR140" s="75" t="n">
        <v>145</v>
      </c>
      <c r="AS140" s="5" t="n">
        <v>34.53941706086385</v>
      </c>
      <c r="AT140" s="5" t="n">
        <v>15.70007580533413</v>
      </c>
      <c r="AU140" s="5" t="n">
        <v>0</v>
      </c>
      <c r="AW140" s="75">
        <f>Z140/Demand!AU158</f>
        <v/>
      </c>
      <c r="AX140" s="75">
        <f>AA140/Demand!AV158</f>
        <v/>
      </c>
      <c r="AY140" s="75">
        <f>AB140/Demand!AW158</f>
        <v/>
      </c>
      <c r="BG140" s="75" t="n">
        <v>145</v>
      </c>
      <c r="BH140" s="75">
        <f>Results!$B$19+AJ140-Results!$D$21</f>
        <v/>
      </c>
      <c r="BI140" s="75">
        <f>Results!$B$19+AK140-Results!$D$21</f>
        <v/>
      </c>
      <c r="BJ140" s="75">
        <f>Results!$B$19+AL140-Results!$D$21</f>
        <v/>
      </c>
      <c r="BM140" s="75" t="n">
        <v>145</v>
      </c>
      <c r="BN140" s="75">
        <f>Results!D155</f>
        <v/>
      </c>
      <c r="BO140" s="75">
        <f>Results!E155</f>
        <v/>
      </c>
      <c r="BP140" s="75">
        <f>Results!F155</f>
        <v/>
      </c>
      <c r="BS140" s="75" t="n">
        <v>145</v>
      </c>
      <c r="BT140" s="75">
        <f>Demand!AU158</f>
        <v/>
      </c>
      <c r="BU140" s="75">
        <f>Demand!AV158</f>
        <v/>
      </c>
      <c r="BV140" s="75">
        <f>Demand!AW158</f>
        <v/>
      </c>
      <c r="BY140" s="75" t="n">
        <v>145</v>
      </c>
      <c r="BZ140" s="75">
        <f>Retailers_Cap!N141</f>
        <v/>
      </c>
      <c r="CA140" s="75">
        <f>Retailers_Cap!O141</f>
        <v/>
      </c>
      <c r="CB140" s="75">
        <f>Retailers_Cap!P141</f>
        <v/>
      </c>
      <c r="CD140" s="75" t="n">
        <v>145</v>
      </c>
      <c r="CE140" s="75">
        <f>IF((BT140-BZ140)&gt;=0,"Dem","Folga")</f>
        <v/>
      </c>
      <c r="CF140" s="75">
        <f>IF((BU140-CA140)&gt;=0,"Dem","Folga")</f>
        <v/>
      </c>
      <c r="CG140" s="75">
        <f>IF((BV140-CB140)&gt;=0,"Dem","Folga")</f>
        <v/>
      </c>
    </row>
    <row r="141">
      <c r="M141" s="75">
        <f>TRUNC((_xlfn.NORM.INV((RAND()),$L$6,$L$7)),2)</f>
        <v/>
      </c>
      <c r="O141" s="75" t="n">
        <v>146</v>
      </c>
      <c r="P141" s="5" t="n">
        <v>254.33</v>
      </c>
      <c r="Q141" s="5" t="n">
        <v>170.32</v>
      </c>
      <c r="R141" s="5" t="n">
        <v>203.36</v>
      </c>
      <c r="W141" s="75">
        <f>TRUNC((_xlfn.NORM.INV((RAND()),$V$6,$V$7)),3)</f>
        <v/>
      </c>
      <c r="Y141" s="75" t="n">
        <v>146</v>
      </c>
      <c r="Z141" s="5" t="n">
        <v>6.707</v>
      </c>
      <c r="AA141" s="5" t="n">
        <v>6.778</v>
      </c>
      <c r="AB141" s="5" t="n">
        <v>6.744</v>
      </c>
      <c r="AG141" s="75">
        <f>TRUNC((_xlfn.NORM.INV((RAND()),$AF$6,$AF$7)),3)</f>
        <v/>
      </c>
      <c r="AI141" s="75" t="n">
        <v>146</v>
      </c>
      <c r="AJ141" s="5" t="n">
        <v>43.344</v>
      </c>
      <c r="AK141" s="5" t="n">
        <v>69.349</v>
      </c>
      <c r="AL141" s="5" t="n">
        <v>40.613</v>
      </c>
      <c r="AR141" s="75" t="n">
        <v>146</v>
      </c>
      <c r="AS141" s="5" t="n">
        <v>6.00975025766799</v>
      </c>
      <c r="AT141" s="5" t="n">
        <v>11.89760316772524</v>
      </c>
      <c r="AU141" s="5" t="n">
        <v>14.80316022982815</v>
      </c>
      <c r="AW141" s="75">
        <f>Z141/Demand!AU159</f>
        <v/>
      </c>
      <c r="AX141" s="75">
        <f>AA141/Demand!AV159</f>
        <v/>
      </c>
      <c r="AY141" s="75">
        <f>AB141/Demand!AW159</f>
        <v/>
      </c>
      <c r="BG141" s="75" t="n">
        <v>146</v>
      </c>
      <c r="BH141" s="75">
        <f>Results!$B$19+AJ141-Results!$D$21</f>
        <v/>
      </c>
      <c r="BI141" s="75">
        <f>Results!$B$19+AK141-Results!$D$21</f>
        <v/>
      </c>
      <c r="BJ141" s="75">
        <f>Results!$B$19+AL141-Results!$D$21</f>
        <v/>
      </c>
      <c r="BM141" s="75" t="n">
        <v>146</v>
      </c>
      <c r="BN141" s="75">
        <f>Results!D156</f>
        <v/>
      </c>
      <c r="BO141" s="75">
        <f>Results!E156</f>
        <v/>
      </c>
      <c r="BP141" s="75">
        <f>Results!F156</f>
        <v/>
      </c>
      <c r="BS141" s="75" t="n">
        <v>146</v>
      </c>
      <c r="BT141" s="75">
        <f>Demand!AU159</f>
        <v/>
      </c>
      <c r="BU141" s="75">
        <f>Demand!AV159</f>
        <v/>
      </c>
      <c r="BV141" s="75">
        <f>Demand!AW159</f>
        <v/>
      </c>
      <c r="BY141" s="75" t="n">
        <v>146</v>
      </c>
      <c r="BZ141" s="75">
        <f>Retailers_Cap!N142</f>
        <v/>
      </c>
      <c r="CA141" s="75">
        <f>Retailers_Cap!O142</f>
        <v/>
      </c>
      <c r="CB141" s="75">
        <f>Retailers_Cap!P142</f>
        <v/>
      </c>
      <c r="CD141" s="75" t="n">
        <v>146</v>
      </c>
      <c r="CE141" s="75">
        <f>IF((BT141-BZ141)&gt;=0,"Dem","Folga")</f>
        <v/>
      </c>
      <c r="CF141" s="75">
        <f>IF((BU141-CA141)&gt;=0,"Dem","Folga")</f>
        <v/>
      </c>
      <c r="CG141" s="75">
        <f>IF((BV141-CB141)&gt;=0,"Dem","Folga")</f>
        <v/>
      </c>
    </row>
    <row r="142">
      <c r="M142" s="75">
        <f>TRUNC((_xlfn.NORM.INV((RAND()),$L$6,$L$7)),2)</f>
        <v/>
      </c>
      <c r="O142" s="75" t="n">
        <v>147</v>
      </c>
      <c r="P142" s="5" t="n">
        <v>197.54</v>
      </c>
      <c r="Q142" s="5" t="n">
        <v>199.54</v>
      </c>
      <c r="R142" s="5" t="n">
        <v>209.69</v>
      </c>
      <c r="W142" s="75">
        <f>TRUNC((_xlfn.NORM.INV((RAND()),$V$6,$V$7)),3)</f>
        <v/>
      </c>
      <c r="Y142" s="75" t="n">
        <v>147</v>
      </c>
      <c r="Z142" s="5" t="n">
        <v>6.66</v>
      </c>
      <c r="AA142" s="5" t="n">
        <v>6.702</v>
      </c>
      <c r="AB142" s="5" t="n">
        <v>6.743</v>
      </c>
      <c r="AG142" s="75">
        <f>TRUNC((_xlfn.NORM.INV((RAND()),$AF$6,$AF$7)),3)</f>
        <v/>
      </c>
      <c r="AI142" s="75" t="n">
        <v>147</v>
      </c>
      <c r="AJ142" s="5" t="n">
        <v>51.188</v>
      </c>
      <c r="AK142" s="5" t="n">
        <v>63.994</v>
      </c>
      <c r="AL142" s="5" t="n">
        <v>40.286</v>
      </c>
      <c r="AR142" s="75" t="n">
        <v>147</v>
      </c>
      <c r="AS142" s="5" t="n">
        <v>0</v>
      </c>
      <c r="AT142" s="5" t="n">
        <v>0</v>
      </c>
      <c r="AU142" s="5" t="n">
        <v>0</v>
      </c>
      <c r="AW142" s="75">
        <f>Z142/Demand!AU160</f>
        <v/>
      </c>
      <c r="AX142" s="75">
        <f>AA142/Demand!AV160</f>
        <v/>
      </c>
      <c r="AY142" s="75">
        <f>AB142/Demand!AW160</f>
        <v/>
      </c>
      <c r="BG142" s="75" t="n">
        <v>147</v>
      </c>
      <c r="BH142" s="75">
        <f>Results!$B$19+AJ142-Results!$D$21</f>
        <v/>
      </c>
      <c r="BI142" s="75">
        <f>Results!$B$19+AK142-Results!$D$21</f>
        <v/>
      </c>
      <c r="BJ142" s="75">
        <f>Results!$B$19+AL142-Results!$D$21</f>
        <v/>
      </c>
      <c r="BM142" s="75" t="n">
        <v>147</v>
      </c>
      <c r="BN142" s="75">
        <f>Results!D157</f>
        <v/>
      </c>
      <c r="BO142" s="75">
        <f>Results!E157</f>
        <v/>
      </c>
      <c r="BP142" s="75">
        <f>Results!F157</f>
        <v/>
      </c>
      <c r="BS142" s="75" t="n">
        <v>147</v>
      </c>
      <c r="BT142" s="75">
        <f>Demand!AU160</f>
        <v/>
      </c>
      <c r="BU142" s="75">
        <f>Demand!AV160</f>
        <v/>
      </c>
      <c r="BV142" s="75">
        <f>Demand!AW160</f>
        <v/>
      </c>
      <c r="BY142" s="75" t="n">
        <v>147</v>
      </c>
      <c r="BZ142" s="75">
        <f>Retailers_Cap!N143</f>
        <v/>
      </c>
      <c r="CA142" s="75">
        <f>Retailers_Cap!O143</f>
        <v/>
      </c>
      <c r="CB142" s="75">
        <f>Retailers_Cap!P143</f>
        <v/>
      </c>
      <c r="CD142" s="75" t="n">
        <v>147</v>
      </c>
      <c r="CE142" s="75">
        <f>IF((BT142-BZ142)&gt;=0,"Dem","Folga")</f>
        <v/>
      </c>
      <c r="CF142" s="75">
        <f>IF((BU142-CA142)&gt;=0,"Dem","Folga")</f>
        <v/>
      </c>
      <c r="CG142" s="75">
        <f>IF((BV142-CB142)&gt;=0,"Dem","Folga")</f>
        <v/>
      </c>
    </row>
    <row r="143">
      <c r="M143" s="75">
        <f>TRUNC((_xlfn.NORM.INV((RAND()),$L$6,$L$7)),2)</f>
        <v/>
      </c>
      <c r="O143" s="75" t="n">
        <v>148</v>
      </c>
      <c r="P143" s="5" t="n">
        <v>199</v>
      </c>
      <c r="Q143" s="5" t="n">
        <v>95.03</v>
      </c>
      <c r="R143" s="5" t="n">
        <v>174.67</v>
      </c>
      <c r="W143" s="75">
        <f>TRUNC((_xlfn.NORM.INV((RAND()),$V$6,$V$7)),3)</f>
        <v/>
      </c>
      <c r="Y143" s="75" t="n">
        <v>148</v>
      </c>
      <c r="Z143" s="5" t="n">
        <v>6.799</v>
      </c>
      <c r="AA143" s="5" t="n">
        <v>6.767</v>
      </c>
      <c r="AB143" s="5" t="n">
        <v>6.784</v>
      </c>
      <c r="AG143" s="75">
        <f>TRUNC((_xlfn.NORM.INV((RAND()),$AF$6,$AF$7)),3)</f>
        <v/>
      </c>
      <c r="AI143" s="75" t="n">
        <v>148</v>
      </c>
      <c r="AJ143" s="5" t="n">
        <v>44.197</v>
      </c>
      <c r="AK143" s="5" t="n">
        <v>62.191</v>
      </c>
      <c r="AL143" s="5" t="n">
        <v>39.225</v>
      </c>
      <c r="AR143" s="75" t="n">
        <v>148</v>
      </c>
      <c r="AS143" s="5" t="n">
        <v>5.983975739827139</v>
      </c>
      <c r="AT143" s="5" t="n">
        <v>0</v>
      </c>
      <c r="AU143" s="5" t="n">
        <v>0</v>
      </c>
      <c r="AW143" s="75">
        <f>Z143/Demand!AU161</f>
        <v/>
      </c>
      <c r="AX143" s="75">
        <f>AA143/Demand!AV161</f>
        <v/>
      </c>
      <c r="AY143" s="75">
        <f>AB143/Demand!AW161</f>
        <v/>
      </c>
      <c r="BG143" s="75" t="n">
        <v>148</v>
      </c>
      <c r="BH143" s="75">
        <f>Results!$B$19+AJ143-Results!$D$21</f>
        <v/>
      </c>
      <c r="BI143" s="75">
        <f>Results!$B$19+AK143-Results!$D$21</f>
        <v/>
      </c>
      <c r="BJ143" s="75">
        <f>Results!$B$19+AL143-Results!$D$21</f>
        <v/>
      </c>
      <c r="BM143" s="75" t="n">
        <v>148</v>
      </c>
      <c r="BN143" s="75">
        <f>Results!D158</f>
        <v/>
      </c>
      <c r="BO143" s="75">
        <f>Results!E158</f>
        <v/>
      </c>
      <c r="BP143" s="75">
        <f>Results!F158</f>
        <v/>
      </c>
      <c r="BS143" s="75" t="n">
        <v>148</v>
      </c>
      <c r="BT143" s="75">
        <f>Demand!AU161</f>
        <v/>
      </c>
      <c r="BU143" s="75">
        <f>Demand!AV161</f>
        <v/>
      </c>
      <c r="BV143" s="75">
        <f>Demand!AW161</f>
        <v/>
      </c>
      <c r="BY143" s="75" t="n">
        <v>148</v>
      </c>
      <c r="BZ143" s="75">
        <f>Retailers_Cap!N144</f>
        <v/>
      </c>
      <c r="CA143" s="75">
        <f>Retailers_Cap!O144</f>
        <v/>
      </c>
      <c r="CB143" s="75">
        <f>Retailers_Cap!P144</f>
        <v/>
      </c>
      <c r="CD143" s="75" t="n">
        <v>148</v>
      </c>
      <c r="CE143" s="75">
        <f>IF((BT143-BZ143)&gt;=0,"Dem","Folga")</f>
        <v/>
      </c>
      <c r="CF143" s="75">
        <f>IF((BU143-CA143)&gt;=0,"Dem","Folga")</f>
        <v/>
      </c>
      <c r="CG143" s="75">
        <f>IF((BV143-CB143)&gt;=0,"Dem","Folga")</f>
        <v/>
      </c>
    </row>
    <row r="144">
      <c r="M144" s="75">
        <f>TRUNC((_xlfn.NORM.INV((RAND()),$L$6,$L$7)),2)</f>
        <v/>
      </c>
      <c r="O144" s="75" t="n">
        <v>149</v>
      </c>
      <c r="P144" s="5" t="n">
        <v>195.4</v>
      </c>
      <c r="Q144" s="5" t="n">
        <v>212.72</v>
      </c>
      <c r="R144" s="5" t="n">
        <v>237.69</v>
      </c>
      <c r="W144" s="75">
        <f>TRUNC((_xlfn.NORM.INV((RAND()),$V$6,$V$7)),3)</f>
        <v/>
      </c>
      <c r="Y144" s="75" t="n">
        <v>149</v>
      </c>
      <c r="Z144" s="5" t="n">
        <v>6.937</v>
      </c>
      <c r="AA144" s="5" t="n">
        <v>6.774</v>
      </c>
      <c r="AB144" s="5" t="n">
        <v>6.66</v>
      </c>
      <c r="AG144" s="75">
        <f>TRUNC((_xlfn.NORM.INV((RAND()),$AF$6,$AF$7)),3)</f>
        <v/>
      </c>
      <c r="AI144" s="75" t="n">
        <v>149</v>
      </c>
      <c r="AJ144" s="5" t="n">
        <v>65.712</v>
      </c>
      <c r="AK144" s="5" t="n">
        <v>58.954</v>
      </c>
      <c r="AL144" s="5" t="n">
        <v>59.24</v>
      </c>
      <c r="AR144" s="75" t="n">
        <v>149</v>
      </c>
      <c r="AS144" s="5" t="n">
        <v>15.67899185939884</v>
      </c>
      <c r="AT144" s="5" t="n">
        <v>0</v>
      </c>
      <c r="AU144" s="5" t="n">
        <v>4.028711929214877</v>
      </c>
      <c r="AW144" s="75">
        <f>Z144/Demand!AU162</f>
        <v/>
      </c>
      <c r="AX144" s="75">
        <f>AA144/Demand!AV162</f>
        <v/>
      </c>
      <c r="AY144" s="75">
        <f>AB144/Demand!AW162</f>
        <v/>
      </c>
      <c r="BG144" s="75" t="n">
        <v>149</v>
      </c>
      <c r="BH144" s="75">
        <f>Results!$B$19+AJ144-Results!$D$21</f>
        <v/>
      </c>
      <c r="BI144" s="75">
        <f>Results!$B$19+AK144-Results!$D$21</f>
        <v/>
      </c>
      <c r="BJ144" s="75">
        <f>Results!$B$19+AL144-Results!$D$21</f>
        <v/>
      </c>
      <c r="BM144" s="75" t="n">
        <v>149</v>
      </c>
      <c r="BN144" s="75">
        <f>Results!D159</f>
        <v/>
      </c>
      <c r="BO144" s="75">
        <f>Results!E159</f>
        <v/>
      </c>
      <c r="BP144" s="75">
        <f>Results!F159</f>
        <v/>
      </c>
      <c r="BS144" s="75" t="n">
        <v>149</v>
      </c>
      <c r="BT144" s="75">
        <f>Demand!AU162</f>
        <v/>
      </c>
      <c r="BU144" s="75">
        <f>Demand!AV162</f>
        <v/>
      </c>
      <c r="BV144" s="75">
        <f>Demand!AW162</f>
        <v/>
      </c>
      <c r="BY144" s="75" t="n">
        <v>149</v>
      </c>
      <c r="BZ144" s="75">
        <f>Retailers_Cap!N145</f>
        <v/>
      </c>
      <c r="CA144" s="75">
        <f>Retailers_Cap!O145</f>
        <v/>
      </c>
      <c r="CB144" s="75">
        <f>Retailers_Cap!P145</f>
        <v/>
      </c>
      <c r="CD144" s="75" t="n">
        <v>149</v>
      </c>
      <c r="CE144" s="75">
        <f>IF((BT144-BZ144)&gt;=0,"Dem","Folga")</f>
        <v/>
      </c>
      <c r="CF144" s="75">
        <f>IF((BU144-CA144)&gt;=0,"Dem","Folga")</f>
        <v/>
      </c>
      <c r="CG144" s="75">
        <f>IF((BV144-CB144)&gt;=0,"Dem","Folga")</f>
        <v/>
      </c>
    </row>
    <row r="145">
      <c r="M145" s="75">
        <f>TRUNC((_xlfn.NORM.INV((RAND()),$L$6,$L$7)),2)</f>
        <v/>
      </c>
      <c r="O145" s="75" t="n">
        <v>150</v>
      </c>
      <c r="P145" s="5" t="n">
        <v>316.98</v>
      </c>
      <c r="Q145" s="5" t="n">
        <v>202.08</v>
      </c>
      <c r="R145" s="5" t="n">
        <v>293.74</v>
      </c>
      <c r="W145" s="75">
        <f>TRUNC((_xlfn.NORM.INV((RAND()),$V$6,$V$7)),3)</f>
        <v/>
      </c>
      <c r="Y145" s="75" t="n">
        <v>150</v>
      </c>
      <c r="Z145" s="5" t="n">
        <v>6.78</v>
      </c>
      <c r="AA145" s="5" t="n">
        <v>6.739</v>
      </c>
      <c r="AB145" s="5" t="n">
        <v>6.688</v>
      </c>
      <c r="AG145" s="75">
        <f>TRUNC((_xlfn.NORM.INV((RAND()),$AF$6,$AF$7)),3)</f>
        <v/>
      </c>
      <c r="AI145" s="75" t="n">
        <v>150</v>
      </c>
      <c r="AJ145" s="5" t="n">
        <v>59.492</v>
      </c>
      <c r="AK145" s="5" t="n">
        <v>58.161</v>
      </c>
      <c r="AL145" s="5" t="n">
        <v>69.736</v>
      </c>
      <c r="AR145" s="75" t="n">
        <v>150</v>
      </c>
      <c r="AS145" s="5" t="n">
        <v>0</v>
      </c>
      <c r="AT145" s="5" t="n">
        <v>0</v>
      </c>
      <c r="AU145" s="5" t="n">
        <v>3.081047321391149</v>
      </c>
      <c r="AW145" s="75">
        <f>Z145/Demand!AU163</f>
        <v/>
      </c>
      <c r="AX145" s="75">
        <f>AA145/Demand!AV163</f>
        <v/>
      </c>
      <c r="AY145" s="75">
        <f>AB145/Demand!AW163</f>
        <v/>
      </c>
      <c r="BG145" s="75" t="n">
        <v>150</v>
      </c>
      <c r="BH145" s="75">
        <f>Results!$B$19+AJ145-Results!$D$21</f>
        <v/>
      </c>
      <c r="BI145" s="75">
        <f>Results!$B$19+AK145-Results!$D$21</f>
        <v/>
      </c>
      <c r="BJ145" s="75">
        <f>Results!$B$19+AL145-Results!$D$21</f>
        <v/>
      </c>
      <c r="BM145" s="75" t="n">
        <v>150</v>
      </c>
      <c r="BN145" s="75">
        <f>Results!D160</f>
        <v/>
      </c>
      <c r="BO145" s="75">
        <f>Results!E160</f>
        <v/>
      </c>
      <c r="BP145" s="75">
        <f>Results!F160</f>
        <v/>
      </c>
      <c r="BS145" s="75" t="n">
        <v>150</v>
      </c>
      <c r="BT145" s="75">
        <f>Demand!AU163</f>
        <v/>
      </c>
      <c r="BU145" s="75">
        <f>Demand!AV163</f>
        <v/>
      </c>
      <c r="BV145" s="75">
        <f>Demand!AW163</f>
        <v/>
      </c>
      <c r="BY145" s="75" t="n">
        <v>150</v>
      </c>
      <c r="BZ145" s="75">
        <f>Retailers_Cap!N146</f>
        <v/>
      </c>
      <c r="CA145" s="75">
        <f>Retailers_Cap!O146</f>
        <v/>
      </c>
      <c r="CB145" s="75">
        <f>Retailers_Cap!P146</f>
        <v/>
      </c>
      <c r="CD145" s="75" t="n">
        <v>150</v>
      </c>
      <c r="CE145" s="75">
        <f>IF((BT145-BZ145)&gt;=0,"Dem","Folga")</f>
        <v/>
      </c>
      <c r="CF145" s="75">
        <f>IF((BU145-CA145)&gt;=0,"Dem","Folga")</f>
        <v/>
      </c>
      <c r="CG145" s="75">
        <f>IF((BV145-CB145)&gt;=0,"Dem","Folga")</f>
        <v/>
      </c>
    </row>
    <row r="146">
      <c r="M146" s="75">
        <f>TRUNC((_xlfn.NORM.INV((RAND()),$L$6,$L$7)),2)</f>
        <v/>
      </c>
      <c r="O146" s="75" t="n">
        <v>151</v>
      </c>
      <c r="P146" s="5" t="n">
        <v>204.07</v>
      </c>
      <c r="Q146" s="5" t="n">
        <v>192.63</v>
      </c>
      <c r="R146" s="5" t="n">
        <v>212.03</v>
      </c>
      <c r="W146" s="75">
        <f>TRUNC((_xlfn.NORM.INV((RAND()),$V$6,$V$7)),3)</f>
        <v/>
      </c>
      <c r="Y146" s="75" t="n">
        <v>151</v>
      </c>
      <c r="Z146" s="5" t="n">
        <v>6.86</v>
      </c>
      <c r="AA146" s="5" t="n">
        <v>6.749</v>
      </c>
      <c r="AB146" s="5" t="n">
        <v>6.785</v>
      </c>
      <c r="AG146" s="75">
        <f>TRUNC((_xlfn.NORM.INV((RAND()),$AF$6,$AF$7)),3)</f>
        <v/>
      </c>
      <c r="AI146" s="75" t="n">
        <v>151</v>
      </c>
      <c r="AJ146" s="5" t="n">
        <v>67.889</v>
      </c>
      <c r="AK146" s="5" t="n">
        <v>56.829</v>
      </c>
      <c r="AL146" s="5" t="n">
        <v>52.156</v>
      </c>
      <c r="AR146" s="75" t="n">
        <v>151</v>
      </c>
      <c r="AS146" s="5" t="n">
        <v>0</v>
      </c>
      <c r="AT146" s="5" t="n">
        <v>0</v>
      </c>
      <c r="AU146" s="5" t="n">
        <v>0</v>
      </c>
      <c r="AW146" s="75">
        <f>Z146/Demand!AU164</f>
        <v/>
      </c>
      <c r="AX146" s="75">
        <f>AA146/Demand!AV164</f>
        <v/>
      </c>
      <c r="AY146" s="75">
        <f>AB146/Demand!AW164</f>
        <v/>
      </c>
      <c r="BG146" s="75" t="n">
        <v>151</v>
      </c>
      <c r="BH146" s="75">
        <f>Results!$B$19+AJ146-Results!$D$21</f>
        <v/>
      </c>
      <c r="BI146" s="75">
        <f>Results!$B$19+AK146-Results!$D$21</f>
        <v/>
      </c>
      <c r="BJ146" s="75">
        <f>Results!$B$19+AL146-Results!$D$21</f>
        <v/>
      </c>
      <c r="BM146" s="75" t="n">
        <v>151</v>
      </c>
      <c r="BN146" s="75">
        <f>Results!D161</f>
        <v/>
      </c>
      <c r="BO146" s="75">
        <f>Results!E161</f>
        <v/>
      </c>
      <c r="BP146" s="75">
        <f>Results!F161</f>
        <v/>
      </c>
      <c r="BS146" s="75" t="n">
        <v>151</v>
      </c>
      <c r="BT146" s="75">
        <f>Demand!AU164</f>
        <v/>
      </c>
      <c r="BU146" s="75">
        <f>Demand!AV164</f>
        <v/>
      </c>
      <c r="BV146" s="75">
        <f>Demand!AW164</f>
        <v/>
      </c>
      <c r="BY146" s="75" t="n">
        <v>151</v>
      </c>
      <c r="BZ146" s="75">
        <f>Retailers_Cap!N147</f>
        <v/>
      </c>
      <c r="CA146" s="75">
        <f>Retailers_Cap!O147</f>
        <v/>
      </c>
      <c r="CB146" s="75">
        <f>Retailers_Cap!P147</f>
        <v/>
      </c>
      <c r="CD146" s="75" t="n">
        <v>151</v>
      </c>
      <c r="CE146" s="75">
        <f>IF((BT146-BZ146)&gt;=0,"Dem","Folga")</f>
        <v/>
      </c>
      <c r="CF146" s="75">
        <f>IF((BU146-CA146)&gt;=0,"Dem","Folga")</f>
        <v/>
      </c>
      <c r="CG146" s="75">
        <f>IF((BV146-CB146)&gt;=0,"Dem","Folga")</f>
        <v/>
      </c>
    </row>
    <row r="147">
      <c r="M147" s="75">
        <f>TRUNC((_xlfn.NORM.INV((RAND()),$L$6,$L$7)),2)</f>
        <v/>
      </c>
      <c r="O147" s="75" t="n">
        <v>152</v>
      </c>
      <c r="P147" s="5" t="n">
        <v>190.14</v>
      </c>
      <c r="Q147" s="5" t="n">
        <v>230.04</v>
      </c>
      <c r="R147" s="5" t="n">
        <v>212.14</v>
      </c>
      <c r="W147" s="75">
        <f>TRUNC((_xlfn.NORM.INV((RAND()),$V$6,$V$7)),3)</f>
        <v/>
      </c>
      <c r="Y147" s="75" t="n">
        <v>152</v>
      </c>
      <c r="Z147" s="5" t="n">
        <v>6.786</v>
      </c>
      <c r="AA147" s="5" t="n">
        <v>6.827</v>
      </c>
      <c r="AB147" s="5" t="n">
        <v>6.804</v>
      </c>
      <c r="AG147" s="75">
        <f>TRUNC((_xlfn.NORM.INV((RAND()),$AF$6,$AF$7)),3)</f>
        <v/>
      </c>
      <c r="AI147" s="75" t="n">
        <v>152</v>
      </c>
      <c r="AJ147" s="5" t="n">
        <v>61.733</v>
      </c>
      <c r="AK147" s="5" t="n">
        <v>56.835</v>
      </c>
      <c r="AL147" s="5" t="n">
        <v>60.962</v>
      </c>
      <c r="AR147" s="75" t="n">
        <v>152</v>
      </c>
      <c r="AS147" s="5" t="n">
        <v>33.96165607339274</v>
      </c>
      <c r="AT147" s="5" t="n">
        <v>0</v>
      </c>
      <c r="AU147" s="5" t="n">
        <v>0</v>
      </c>
      <c r="AW147" s="75">
        <f>Z147/Demand!AU165</f>
        <v/>
      </c>
      <c r="AX147" s="75">
        <f>AA147/Demand!AV165</f>
        <v/>
      </c>
      <c r="AY147" s="75">
        <f>AB147/Demand!AW165</f>
        <v/>
      </c>
      <c r="BG147" s="75" t="n">
        <v>152</v>
      </c>
      <c r="BH147" s="75">
        <f>Results!$B$19+AJ147-Results!$D$21</f>
        <v/>
      </c>
      <c r="BI147" s="75">
        <f>Results!$B$19+AK147-Results!$D$21</f>
        <v/>
      </c>
      <c r="BJ147" s="75">
        <f>Results!$B$19+AL147-Results!$D$21</f>
        <v/>
      </c>
      <c r="BM147" s="75" t="n">
        <v>152</v>
      </c>
      <c r="BN147" s="75">
        <f>Results!D162</f>
        <v/>
      </c>
      <c r="BO147" s="75">
        <f>Results!E162</f>
        <v/>
      </c>
      <c r="BP147" s="75">
        <f>Results!F162</f>
        <v/>
      </c>
      <c r="BS147" s="75" t="n">
        <v>152</v>
      </c>
      <c r="BT147" s="75">
        <f>Demand!AU165</f>
        <v/>
      </c>
      <c r="BU147" s="75">
        <f>Demand!AV165</f>
        <v/>
      </c>
      <c r="BV147" s="75">
        <f>Demand!AW165</f>
        <v/>
      </c>
      <c r="BY147" s="75" t="n">
        <v>152</v>
      </c>
      <c r="BZ147" s="75">
        <f>Retailers_Cap!N148</f>
        <v/>
      </c>
      <c r="CA147" s="75">
        <f>Retailers_Cap!O148</f>
        <v/>
      </c>
      <c r="CB147" s="75">
        <f>Retailers_Cap!P148</f>
        <v/>
      </c>
      <c r="CD147" s="75" t="n">
        <v>152</v>
      </c>
      <c r="CE147" s="75">
        <f>IF((BT147-BZ147)&gt;=0,"Dem","Folga")</f>
        <v/>
      </c>
      <c r="CF147" s="75">
        <f>IF((BU147-CA147)&gt;=0,"Dem","Folga")</f>
        <v/>
      </c>
      <c r="CG147" s="75">
        <f>IF((BV147-CB147)&gt;=0,"Dem","Folga")</f>
        <v/>
      </c>
    </row>
    <row r="148">
      <c r="M148" s="75">
        <f>TRUNC((_xlfn.NORM.INV((RAND()),$L$6,$L$7)),2)</f>
        <v/>
      </c>
      <c r="O148" s="75" t="n">
        <v>153</v>
      </c>
      <c r="P148" s="5" t="n">
        <v>169.08</v>
      </c>
      <c r="Q148" s="5" t="n">
        <v>211.57</v>
      </c>
      <c r="R148" s="5" t="n">
        <v>251.16</v>
      </c>
      <c r="W148" s="75">
        <f>TRUNC((_xlfn.NORM.INV((RAND()),$V$6,$V$7)),3)</f>
        <v/>
      </c>
      <c r="Y148" s="75" t="n">
        <v>153</v>
      </c>
      <c r="Z148" s="5" t="n">
        <v>6.719</v>
      </c>
      <c r="AA148" s="5" t="n">
        <v>6.707</v>
      </c>
      <c r="AB148" s="5" t="n">
        <v>6.875</v>
      </c>
      <c r="AG148" s="75">
        <f>TRUNC((_xlfn.NORM.INV((RAND()),$AF$6,$AF$7)),3)</f>
        <v/>
      </c>
      <c r="AI148" s="75" t="n">
        <v>153</v>
      </c>
      <c r="AJ148" s="5" t="n">
        <v>53.804</v>
      </c>
      <c r="AK148" s="5" t="n">
        <v>71.146</v>
      </c>
      <c r="AL148" s="5" t="n">
        <v>45.06</v>
      </c>
      <c r="AR148" s="75" t="n">
        <v>153</v>
      </c>
      <c r="AS148" s="5" t="n">
        <v>0</v>
      </c>
      <c r="AT148" s="5" t="n">
        <v>0</v>
      </c>
      <c r="AU148" s="5" t="n">
        <v>0</v>
      </c>
      <c r="AW148" s="75">
        <f>Z148/Demand!AU166</f>
        <v/>
      </c>
      <c r="AX148" s="75">
        <f>AA148/Demand!AV166</f>
        <v/>
      </c>
      <c r="AY148" s="75">
        <f>AB148/Demand!AW166</f>
        <v/>
      </c>
      <c r="BG148" s="75" t="n">
        <v>153</v>
      </c>
      <c r="BH148" s="75">
        <f>Results!$B$19+AJ148-Results!$D$21</f>
        <v/>
      </c>
      <c r="BI148" s="75">
        <f>Results!$B$19+AK148-Results!$D$21</f>
        <v/>
      </c>
      <c r="BJ148" s="75">
        <f>Results!$B$19+AL148-Results!$D$21</f>
        <v/>
      </c>
      <c r="BM148" s="75" t="n">
        <v>153</v>
      </c>
      <c r="BN148" s="75">
        <f>Results!D163</f>
        <v/>
      </c>
      <c r="BO148" s="75">
        <f>Results!E163</f>
        <v/>
      </c>
      <c r="BP148" s="75">
        <f>Results!F163</f>
        <v/>
      </c>
      <c r="BS148" s="75" t="n">
        <v>153</v>
      </c>
      <c r="BT148" s="75">
        <f>Demand!AU166</f>
        <v/>
      </c>
      <c r="BU148" s="75">
        <f>Demand!AV166</f>
        <v/>
      </c>
      <c r="BV148" s="75">
        <f>Demand!AW166</f>
        <v/>
      </c>
      <c r="BY148" s="75" t="n">
        <v>153</v>
      </c>
      <c r="BZ148" s="75">
        <f>Retailers_Cap!N149</f>
        <v/>
      </c>
      <c r="CA148" s="75">
        <f>Retailers_Cap!O149</f>
        <v/>
      </c>
      <c r="CB148" s="75">
        <f>Retailers_Cap!P149</f>
        <v/>
      </c>
      <c r="CD148" s="75" t="n">
        <v>153</v>
      </c>
      <c r="CE148" s="75">
        <f>IF((BT148-BZ148)&gt;=0,"Dem","Folga")</f>
        <v/>
      </c>
      <c r="CF148" s="75">
        <f>IF((BU148-CA148)&gt;=0,"Dem","Folga")</f>
        <v/>
      </c>
      <c r="CG148" s="75">
        <f>IF((BV148-CB148)&gt;=0,"Dem","Folga")</f>
        <v/>
      </c>
    </row>
    <row r="149">
      <c r="M149" s="75">
        <f>TRUNC((_xlfn.NORM.INV((RAND()),$L$6,$L$7)),2)</f>
        <v/>
      </c>
      <c r="O149" s="75" t="n">
        <v>154</v>
      </c>
      <c r="P149" s="5" t="n">
        <v>215.11</v>
      </c>
      <c r="Q149" s="5" t="n">
        <v>207.52</v>
      </c>
      <c r="R149" s="5" t="n">
        <v>220.34</v>
      </c>
      <c r="W149" s="75">
        <f>TRUNC((_xlfn.NORM.INV((RAND()),$V$6,$V$7)),3)</f>
        <v/>
      </c>
      <c r="Y149" s="75" t="n">
        <v>154</v>
      </c>
      <c r="Z149" s="5" t="n">
        <v>6.813</v>
      </c>
      <c r="AA149" s="5" t="n">
        <v>6.695</v>
      </c>
      <c r="AB149" s="5" t="n">
        <v>6.72</v>
      </c>
      <c r="AG149" s="75">
        <f>TRUNC((_xlfn.NORM.INV((RAND()),$AF$6,$AF$7)),3)</f>
        <v/>
      </c>
      <c r="AI149" s="75" t="n">
        <v>154</v>
      </c>
      <c r="AJ149" s="5" t="n">
        <v>81.836</v>
      </c>
      <c r="AK149" s="5" t="n">
        <v>69.60299999999999</v>
      </c>
      <c r="AL149" s="5" t="n">
        <v>79.04600000000001</v>
      </c>
      <c r="AR149" s="75" t="n">
        <v>154</v>
      </c>
      <c r="AS149" s="5" t="n">
        <v>0</v>
      </c>
      <c r="AT149" s="5" t="n">
        <v>32.12830278405588</v>
      </c>
      <c r="AU149" s="5" t="n">
        <v>27.22365422145908</v>
      </c>
      <c r="AW149" s="75">
        <f>Z149/Demand!AU167</f>
        <v/>
      </c>
      <c r="AX149" s="75">
        <f>AA149/Demand!AV167</f>
        <v/>
      </c>
      <c r="AY149" s="75">
        <f>AB149/Demand!AW167</f>
        <v/>
      </c>
      <c r="BG149" s="75" t="n">
        <v>154</v>
      </c>
      <c r="BH149" s="75">
        <f>Results!$B$19+AJ149-Results!$D$21</f>
        <v/>
      </c>
      <c r="BI149" s="75">
        <f>Results!$B$19+AK149-Results!$D$21</f>
        <v/>
      </c>
      <c r="BJ149" s="75">
        <f>Results!$B$19+AL149-Results!$D$21</f>
        <v/>
      </c>
      <c r="BM149" s="75" t="n">
        <v>154</v>
      </c>
      <c r="BN149" s="75">
        <f>Results!D164</f>
        <v/>
      </c>
      <c r="BO149" s="75">
        <f>Results!E164</f>
        <v/>
      </c>
      <c r="BP149" s="75">
        <f>Results!F164</f>
        <v/>
      </c>
      <c r="BS149" s="75" t="n">
        <v>154</v>
      </c>
      <c r="BT149" s="75">
        <f>Demand!AU167</f>
        <v/>
      </c>
      <c r="BU149" s="75">
        <f>Demand!AV167</f>
        <v/>
      </c>
      <c r="BV149" s="75">
        <f>Demand!AW167</f>
        <v/>
      </c>
      <c r="BY149" s="75" t="n">
        <v>154</v>
      </c>
      <c r="BZ149" s="75">
        <f>Retailers_Cap!N150</f>
        <v/>
      </c>
      <c r="CA149" s="75">
        <f>Retailers_Cap!O150</f>
        <v/>
      </c>
      <c r="CB149" s="75">
        <f>Retailers_Cap!P150</f>
        <v/>
      </c>
      <c r="CD149" s="75" t="n">
        <v>154</v>
      </c>
      <c r="CE149" s="75">
        <f>IF((BT149-BZ149)&gt;=0,"Dem","Folga")</f>
        <v/>
      </c>
      <c r="CF149" s="75">
        <f>IF((BU149-CA149)&gt;=0,"Dem","Folga")</f>
        <v/>
      </c>
      <c r="CG149" s="75">
        <f>IF((BV149-CB149)&gt;=0,"Dem","Folga")</f>
        <v/>
      </c>
    </row>
    <row r="150">
      <c r="M150" s="75">
        <f>TRUNC((_xlfn.NORM.INV((RAND()),$L$6,$L$7)),2)</f>
        <v/>
      </c>
      <c r="O150" s="75" t="n">
        <v>155</v>
      </c>
      <c r="P150" s="5" t="n">
        <v>305.86</v>
      </c>
      <c r="Q150" s="5" t="n">
        <v>262.69</v>
      </c>
      <c r="R150" s="5" t="n">
        <v>242.32</v>
      </c>
      <c r="W150" s="75">
        <f>TRUNC((_xlfn.NORM.INV((RAND()),$V$6,$V$7)),3)</f>
        <v/>
      </c>
      <c r="Y150" s="75" t="n">
        <v>155</v>
      </c>
      <c r="Z150" s="5" t="n">
        <v>6.717</v>
      </c>
      <c r="AA150" s="5" t="n">
        <v>6.641</v>
      </c>
      <c r="AB150" s="5" t="n">
        <v>6.763</v>
      </c>
      <c r="AG150" s="75">
        <f>TRUNC((_xlfn.NORM.INV((RAND()),$AF$6,$AF$7)),3)</f>
        <v/>
      </c>
      <c r="AI150" s="75" t="n">
        <v>155</v>
      </c>
      <c r="AJ150" s="5" t="n">
        <v>69.47</v>
      </c>
      <c r="AK150" s="5" t="n">
        <v>55.503</v>
      </c>
      <c r="AL150" s="5" t="n">
        <v>66.381</v>
      </c>
      <c r="AR150" s="75" t="n">
        <v>155</v>
      </c>
      <c r="AS150" s="5" t="n">
        <v>0</v>
      </c>
      <c r="AT150" s="5" t="n">
        <v>0</v>
      </c>
      <c r="AU150" s="5" t="n">
        <v>18.87215888803287</v>
      </c>
      <c r="AW150" s="75">
        <f>Z150/Demand!AU168</f>
        <v/>
      </c>
      <c r="AX150" s="75">
        <f>AA150/Demand!AV168</f>
        <v/>
      </c>
      <c r="AY150" s="75">
        <f>AB150/Demand!AW168</f>
        <v/>
      </c>
      <c r="BG150" s="75" t="n">
        <v>155</v>
      </c>
      <c r="BH150" s="75">
        <f>Results!$B$19+AJ150-Results!$D$21</f>
        <v/>
      </c>
      <c r="BI150" s="75">
        <f>Results!$B$19+AK150-Results!$D$21</f>
        <v/>
      </c>
      <c r="BJ150" s="75">
        <f>Results!$B$19+AL150-Results!$D$21</f>
        <v/>
      </c>
      <c r="BM150" s="75" t="n">
        <v>155</v>
      </c>
      <c r="BN150" s="75">
        <f>Results!D165</f>
        <v/>
      </c>
      <c r="BO150" s="75">
        <f>Results!E165</f>
        <v/>
      </c>
      <c r="BP150" s="75">
        <f>Results!F165</f>
        <v/>
      </c>
      <c r="BS150" s="75" t="n">
        <v>155</v>
      </c>
      <c r="BT150" s="75">
        <f>Demand!AU168</f>
        <v/>
      </c>
      <c r="BU150" s="75">
        <f>Demand!AV168</f>
        <v/>
      </c>
      <c r="BV150" s="75">
        <f>Demand!AW168</f>
        <v/>
      </c>
      <c r="BY150" s="75" t="n">
        <v>155</v>
      </c>
      <c r="BZ150" s="75">
        <f>Retailers_Cap!N151</f>
        <v/>
      </c>
      <c r="CA150" s="75">
        <f>Retailers_Cap!O151</f>
        <v/>
      </c>
      <c r="CB150" s="75">
        <f>Retailers_Cap!P151</f>
        <v/>
      </c>
      <c r="CD150" s="75" t="n">
        <v>155</v>
      </c>
      <c r="CE150" s="75">
        <f>IF((BT150-BZ150)&gt;=0,"Dem","Folga")</f>
        <v/>
      </c>
      <c r="CF150" s="75">
        <f>IF((BU150-CA150)&gt;=0,"Dem","Folga")</f>
        <v/>
      </c>
      <c r="CG150" s="75">
        <f>IF((BV150-CB150)&gt;=0,"Dem","Folga")</f>
        <v/>
      </c>
    </row>
    <row r="151">
      <c r="M151" s="75">
        <f>TRUNC((_xlfn.NORM.INV((RAND()),$L$6,$L$7)),2)</f>
        <v/>
      </c>
      <c r="O151" s="75" t="n">
        <v>156</v>
      </c>
      <c r="P151" s="5" t="n">
        <v>207.58</v>
      </c>
      <c r="Q151" s="5" t="n">
        <v>177.16</v>
      </c>
      <c r="R151" s="5" t="n">
        <v>147.72</v>
      </c>
      <c r="W151" s="75">
        <f>TRUNC((_xlfn.NORM.INV((RAND()),$V$6,$V$7)),3)</f>
        <v/>
      </c>
      <c r="Y151" s="75" t="n">
        <v>156</v>
      </c>
      <c r="Z151" s="5" t="n">
        <v>6.81</v>
      </c>
      <c r="AA151" s="5" t="n">
        <v>6.657</v>
      </c>
      <c r="AB151" s="5" t="n">
        <v>6.816</v>
      </c>
      <c r="AG151" s="75">
        <f>TRUNC((_xlfn.NORM.INV((RAND()),$AF$6,$AF$7)),3)</f>
        <v/>
      </c>
      <c r="AI151" s="75" t="n">
        <v>156</v>
      </c>
      <c r="AJ151" s="5" t="n">
        <v>53.739</v>
      </c>
      <c r="AK151" s="5" t="n">
        <v>59.548</v>
      </c>
      <c r="AL151" s="5" t="n">
        <v>37.537</v>
      </c>
      <c r="AR151" s="75" t="n">
        <v>156</v>
      </c>
      <c r="AS151" s="5" t="n">
        <v>3.847664034602594</v>
      </c>
      <c r="AT151" s="5" t="n">
        <v>5.309450847174123</v>
      </c>
      <c r="AU151" s="5" t="n">
        <v>0</v>
      </c>
      <c r="AW151" s="75">
        <f>Z151/Demand!AU169</f>
        <v/>
      </c>
      <c r="AX151" s="75">
        <f>AA151/Demand!AV169</f>
        <v/>
      </c>
      <c r="AY151" s="75">
        <f>AB151/Demand!AW169</f>
        <v/>
      </c>
      <c r="BG151" s="75" t="n">
        <v>156</v>
      </c>
      <c r="BH151" s="75">
        <f>Results!$B$19+AJ151-Results!$D$21</f>
        <v/>
      </c>
      <c r="BI151" s="75">
        <f>Results!$B$19+AK151-Results!$D$21</f>
        <v/>
      </c>
      <c r="BJ151" s="75">
        <f>Results!$B$19+AL151-Results!$D$21</f>
        <v/>
      </c>
      <c r="BM151" s="75" t="n">
        <v>156</v>
      </c>
      <c r="BN151" s="75">
        <f>Results!D166</f>
        <v/>
      </c>
      <c r="BO151" s="75">
        <f>Results!E166</f>
        <v/>
      </c>
      <c r="BP151" s="75">
        <f>Results!F166</f>
        <v/>
      </c>
      <c r="BS151" s="75" t="n">
        <v>156</v>
      </c>
      <c r="BT151" s="75">
        <f>Demand!AU169</f>
        <v/>
      </c>
      <c r="BU151" s="75">
        <f>Demand!AV169</f>
        <v/>
      </c>
      <c r="BV151" s="75">
        <f>Demand!AW169</f>
        <v/>
      </c>
      <c r="BY151" s="75" t="n">
        <v>156</v>
      </c>
      <c r="BZ151" s="75">
        <f>Retailers_Cap!N152</f>
        <v/>
      </c>
      <c r="CA151" s="75">
        <f>Retailers_Cap!O152</f>
        <v/>
      </c>
      <c r="CB151" s="75">
        <f>Retailers_Cap!P152</f>
        <v/>
      </c>
      <c r="CD151" s="75" t="n">
        <v>156</v>
      </c>
      <c r="CE151" s="75">
        <f>IF((BT151-BZ151)&gt;=0,"Dem","Folga")</f>
        <v/>
      </c>
      <c r="CF151" s="75">
        <f>IF((BU151-CA151)&gt;=0,"Dem","Folga")</f>
        <v/>
      </c>
      <c r="CG151" s="75">
        <f>IF((BV151-CB151)&gt;=0,"Dem","Folga")</f>
        <v/>
      </c>
    </row>
    <row r="152">
      <c r="M152" s="75">
        <f>TRUNC((_xlfn.NORM.INV((RAND()),$L$6,$L$7)),2)</f>
        <v/>
      </c>
      <c r="O152" s="75" t="n">
        <v>157</v>
      </c>
      <c r="P152" s="5" t="n">
        <v>136.59</v>
      </c>
      <c r="Q152" s="5" t="n">
        <v>141.64</v>
      </c>
      <c r="R152" s="5" t="n">
        <v>176.4</v>
      </c>
      <c r="W152" s="75">
        <f>TRUNC((_xlfn.NORM.INV((RAND()),$V$6,$V$7)),3)</f>
        <v/>
      </c>
      <c r="Y152" s="75" t="n">
        <v>157</v>
      </c>
      <c r="Z152" s="5" t="n">
        <v>6.669</v>
      </c>
      <c r="AA152" s="5" t="n">
        <v>6.806</v>
      </c>
      <c r="AB152" s="5" t="n">
        <v>6.798</v>
      </c>
      <c r="AG152" s="75">
        <f>TRUNC((_xlfn.NORM.INV((RAND()),$AF$6,$AF$7)),3)</f>
        <v/>
      </c>
      <c r="AI152" s="75" t="n">
        <v>157</v>
      </c>
      <c r="AJ152" s="5" t="n">
        <v>60.445</v>
      </c>
      <c r="AK152" s="5" t="n">
        <v>74.61499999999999</v>
      </c>
      <c r="AL152" s="5" t="n">
        <v>63.054</v>
      </c>
      <c r="AR152" s="75" t="n">
        <v>157</v>
      </c>
      <c r="AS152" s="5" t="n">
        <v>0</v>
      </c>
      <c r="AT152" s="5" t="n">
        <v>7.722533263991464</v>
      </c>
      <c r="AU152" s="5" t="n">
        <v>19.05881387712077</v>
      </c>
      <c r="AW152" s="75">
        <f>Z152/Demand!AU170</f>
        <v/>
      </c>
      <c r="AX152" s="75">
        <f>AA152/Demand!AV170</f>
        <v/>
      </c>
      <c r="AY152" s="75">
        <f>AB152/Demand!AW170</f>
        <v/>
      </c>
      <c r="BG152" s="75" t="n">
        <v>157</v>
      </c>
      <c r="BH152" s="75">
        <f>Results!$B$19+AJ152-Results!$D$21</f>
        <v/>
      </c>
      <c r="BI152" s="75">
        <f>Results!$B$19+AK152-Results!$D$21</f>
        <v/>
      </c>
      <c r="BJ152" s="75">
        <f>Results!$B$19+AL152-Results!$D$21</f>
        <v/>
      </c>
      <c r="BM152" s="75" t="n">
        <v>157</v>
      </c>
      <c r="BN152" s="75">
        <f>Results!D167</f>
        <v/>
      </c>
      <c r="BO152" s="75">
        <f>Results!E167</f>
        <v/>
      </c>
      <c r="BP152" s="75">
        <f>Results!F167</f>
        <v/>
      </c>
      <c r="BS152" s="75" t="n">
        <v>157</v>
      </c>
      <c r="BT152" s="75">
        <f>Demand!AU170</f>
        <v/>
      </c>
      <c r="BU152" s="75">
        <f>Demand!AV170</f>
        <v/>
      </c>
      <c r="BV152" s="75">
        <f>Demand!AW170</f>
        <v/>
      </c>
      <c r="BY152" s="75" t="n">
        <v>157</v>
      </c>
      <c r="BZ152" s="75">
        <f>Retailers_Cap!N153</f>
        <v/>
      </c>
      <c r="CA152" s="75">
        <f>Retailers_Cap!O153</f>
        <v/>
      </c>
      <c r="CB152" s="75">
        <f>Retailers_Cap!P153</f>
        <v/>
      </c>
      <c r="CD152" s="75" t="n">
        <v>157</v>
      </c>
      <c r="CE152" s="75">
        <f>IF((BT152-BZ152)&gt;=0,"Dem","Folga")</f>
        <v/>
      </c>
      <c r="CF152" s="75">
        <f>IF((BU152-CA152)&gt;=0,"Dem","Folga")</f>
        <v/>
      </c>
      <c r="CG152" s="75">
        <f>IF((BV152-CB152)&gt;=0,"Dem","Folga")</f>
        <v/>
      </c>
    </row>
    <row r="153">
      <c r="M153" s="75">
        <f>TRUNC((_xlfn.NORM.INV((RAND()),$L$6,$L$7)),2)</f>
        <v/>
      </c>
      <c r="O153" s="75" t="n">
        <v>158</v>
      </c>
      <c r="P153" s="5" t="n">
        <v>155.78</v>
      </c>
      <c r="Q153" s="5" t="n">
        <v>188.53</v>
      </c>
      <c r="R153" s="5" t="n">
        <v>213.97</v>
      </c>
      <c r="W153" s="75">
        <f>TRUNC((_xlfn.NORM.INV((RAND()),$V$6,$V$7)),3)</f>
        <v/>
      </c>
      <c r="Y153" s="75" t="n">
        <v>158</v>
      </c>
      <c r="Z153" s="5" t="n">
        <v>6.737</v>
      </c>
      <c r="AA153" s="5" t="n">
        <v>6.787</v>
      </c>
      <c r="AB153" s="5" t="n">
        <v>6.726</v>
      </c>
      <c r="AG153" s="75">
        <f>TRUNC((_xlfn.NORM.INV((RAND()),$AF$6,$AF$7)),3)</f>
        <v/>
      </c>
      <c r="AI153" s="75" t="n">
        <v>158</v>
      </c>
      <c r="AJ153" s="5" t="n">
        <v>71.498</v>
      </c>
      <c r="AK153" s="5" t="n">
        <v>49.595</v>
      </c>
      <c r="AL153" s="5" t="n">
        <v>41.072</v>
      </c>
      <c r="AR153" s="75" t="n">
        <v>158</v>
      </c>
      <c r="AS153" s="5" t="n">
        <v>13.78973892433452</v>
      </c>
      <c r="AT153" s="5" t="n">
        <v>16.16153495036773</v>
      </c>
      <c r="AU153" s="5" t="n">
        <v>0</v>
      </c>
      <c r="AW153" s="75">
        <f>Z153/Demand!AU171</f>
        <v/>
      </c>
      <c r="AX153" s="75">
        <f>AA153/Demand!AV171</f>
        <v/>
      </c>
      <c r="AY153" s="75">
        <f>AB153/Demand!AW171</f>
        <v/>
      </c>
      <c r="BG153" s="75" t="n">
        <v>158</v>
      </c>
      <c r="BH153" s="75">
        <f>Results!$B$19+AJ153-Results!$D$21</f>
        <v/>
      </c>
      <c r="BI153" s="75">
        <f>Results!$B$19+AK153-Results!$D$21</f>
        <v/>
      </c>
      <c r="BJ153" s="75">
        <f>Results!$B$19+AL153-Results!$D$21</f>
        <v/>
      </c>
      <c r="BM153" s="75" t="n">
        <v>158</v>
      </c>
      <c r="BN153" s="75">
        <f>Results!D168</f>
        <v/>
      </c>
      <c r="BO153" s="75">
        <f>Results!E168</f>
        <v/>
      </c>
      <c r="BP153" s="75">
        <f>Results!F168</f>
        <v/>
      </c>
      <c r="BS153" s="75" t="n">
        <v>158</v>
      </c>
      <c r="BT153" s="75">
        <f>Demand!AU171</f>
        <v/>
      </c>
      <c r="BU153" s="75">
        <f>Demand!AV171</f>
        <v/>
      </c>
      <c r="BV153" s="75">
        <f>Demand!AW171</f>
        <v/>
      </c>
      <c r="BY153" s="75" t="n">
        <v>158</v>
      </c>
      <c r="BZ153" s="75">
        <f>Retailers_Cap!N154</f>
        <v/>
      </c>
      <c r="CA153" s="75">
        <f>Retailers_Cap!O154</f>
        <v/>
      </c>
      <c r="CB153" s="75">
        <f>Retailers_Cap!P154</f>
        <v/>
      </c>
      <c r="CD153" s="75" t="n">
        <v>158</v>
      </c>
      <c r="CE153" s="75">
        <f>IF((BT153-BZ153)&gt;=0,"Dem","Folga")</f>
        <v/>
      </c>
      <c r="CF153" s="75">
        <f>IF((BU153-CA153)&gt;=0,"Dem","Folga")</f>
        <v/>
      </c>
      <c r="CG153" s="75">
        <f>IF((BV153-CB153)&gt;=0,"Dem","Folga")</f>
        <v/>
      </c>
    </row>
    <row r="154">
      <c r="M154" s="75">
        <f>TRUNC((_xlfn.NORM.INV((RAND()),$L$6,$L$7)),2)</f>
        <v/>
      </c>
      <c r="O154" s="75" t="n">
        <v>159</v>
      </c>
      <c r="P154" s="5" t="n">
        <v>151.84</v>
      </c>
      <c r="Q154" s="5" t="n">
        <v>260.25</v>
      </c>
      <c r="R154" s="5" t="n">
        <v>267.34</v>
      </c>
      <c r="W154" s="75">
        <f>TRUNC((_xlfn.NORM.INV((RAND()),$V$6,$V$7)),3)</f>
        <v/>
      </c>
      <c r="Y154" s="75" t="n">
        <v>159</v>
      </c>
      <c r="Z154" s="5" t="n">
        <v>6.603</v>
      </c>
      <c r="AA154" s="5" t="n">
        <v>6.72</v>
      </c>
      <c r="AB154" s="5" t="n">
        <v>6.84</v>
      </c>
      <c r="AG154" s="75">
        <f>TRUNC((_xlfn.NORM.INV((RAND()),$AF$6,$AF$7)),3)</f>
        <v/>
      </c>
      <c r="AI154" s="75" t="n">
        <v>159</v>
      </c>
      <c r="AJ154" s="5" t="n">
        <v>87.414</v>
      </c>
      <c r="AK154" s="5" t="n">
        <v>79.72499999999999</v>
      </c>
      <c r="AL154" s="5" t="n">
        <v>66.57599999999999</v>
      </c>
      <c r="AR154" s="75" t="n">
        <v>159</v>
      </c>
      <c r="AS154" s="5" t="n">
        <v>0</v>
      </c>
      <c r="AT154" s="5" t="n">
        <v>0</v>
      </c>
      <c r="AU154" s="5" t="n">
        <v>0</v>
      </c>
      <c r="AW154" s="75">
        <f>Z154/Demand!AU172</f>
        <v/>
      </c>
      <c r="AX154" s="75">
        <f>AA154/Demand!AV172</f>
        <v/>
      </c>
      <c r="AY154" s="75">
        <f>AB154/Demand!AW172</f>
        <v/>
      </c>
      <c r="BG154" s="75" t="n">
        <v>159</v>
      </c>
      <c r="BH154" s="75">
        <f>Results!$B$19+AJ154-Results!$D$21</f>
        <v/>
      </c>
      <c r="BI154" s="75">
        <f>Results!$B$19+AK154-Results!$D$21</f>
        <v/>
      </c>
      <c r="BJ154" s="75">
        <f>Results!$B$19+AL154-Results!$D$21</f>
        <v/>
      </c>
      <c r="BM154" s="75" t="n">
        <v>159</v>
      </c>
      <c r="BN154" s="75">
        <f>Results!D169</f>
        <v/>
      </c>
      <c r="BO154" s="75">
        <f>Results!E169</f>
        <v/>
      </c>
      <c r="BP154" s="75">
        <f>Results!F169</f>
        <v/>
      </c>
      <c r="BS154" s="75" t="n">
        <v>159</v>
      </c>
      <c r="BT154" s="75">
        <f>Demand!AU172</f>
        <v/>
      </c>
      <c r="BU154" s="75">
        <f>Demand!AV172</f>
        <v/>
      </c>
      <c r="BV154" s="75">
        <f>Demand!AW172</f>
        <v/>
      </c>
      <c r="BY154" s="75" t="n">
        <v>159</v>
      </c>
      <c r="BZ154" s="75">
        <f>Retailers_Cap!N155</f>
        <v/>
      </c>
      <c r="CA154" s="75">
        <f>Retailers_Cap!O155</f>
        <v/>
      </c>
      <c r="CB154" s="75">
        <f>Retailers_Cap!P155</f>
        <v/>
      </c>
      <c r="CD154" s="75" t="n">
        <v>159</v>
      </c>
      <c r="CE154" s="75">
        <f>IF((BT154-BZ154)&gt;=0,"Dem","Folga")</f>
        <v/>
      </c>
      <c r="CF154" s="75">
        <f>IF((BU154-CA154)&gt;=0,"Dem","Folga")</f>
        <v/>
      </c>
      <c r="CG154" s="75">
        <f>IF((BV154-CB154)&gt;=0,"Dem","Folga")</f>
        <v/>
      </c>
    </row>
    <row r="155">
      <c r="M155" s="75">
        <f>TRUNC((_xlfn.NORM.INV((RAND()),$L$6,$L$7)),2)</f>
        <v/>
      </c>
      <c r="O155" s="75" t="n">
        <v>160</v>
      </c>
      <c r="P155" s="5" t="n">
        <v>220.67</v>
      </c>
      <c r="Q155" s="5" t="n">
        <v>224.33</v>
      </c>
      <c r="R155" s="5" t="n">
        <v>233.08</v>
      </c>
      <c r="W155" s="75">
        <f>TRUNC((_xlfn.NORM.INV((RAND()),$V$6,$V$7)),3)</f>
        <v/>
      </c>
      <c r="Y155" s="75" t="n">
        <v>160</v>
      </c>
      <c r="Z155" s="5" t="n">
        <v>6.713</v>
      </c>
      <c r="AA155" s="5" t="n">
        <v>6.846</v>
      </c>
      <c r="AB155" s="5" t="n">
        <v>6.654</v>
      </c>
      <c r="AG155" s="75">
        <f>TRUNC((_xlfn.NORM.INV((RAND()),$AF$6,$AF$7)),3)</f>
        <v/>
      </c>
      <c r="AI155" s="75" t="n">
        <v>160</v>
      </c>
      <c r="AJ155" s="5" t="n">
        <v>43.405</v>
      </c>
      <c r="AK155" s="5" t="n">
        <v>62.765</v>
      </c>
      <c r="AL155" s="5" t="n">
        <v>77.17100000000001</v>
      </c>
      <c r="AR155" s="75" t="n">
        <v>160</v>
      </c>
      <c r="AS155" s="5" t="n">
        <v>7.636974672768276</v>
      </c>
      <c r="AT155" s="5" t="n">
        <v>8.69938812596841</v>
      </c>
      <c r="AU155" s="5" t="n">
        <v>12.01871738349706</v>
      </c>
      <c r="AW155" s="75">
        <f>Z155/Demand!AU173</f>
        <v/>
      </c>
      <c r="AX155" s="75">
        <f>AA155/Demand!AV173</f>
        <v/>
      </c>
      <c r="AY155" s="75">
        <f>AB155/Demand!AW173</f>
        <v/>
      </c>
      <c r="BG155" s="75" t="n">
        <v>160</v>
      </c>
      <c r="BH155" s="75">
        <f>Results!$B$19+AJ155-Results!$D$21</f>
        <v/>
      </c>
      <c r="BI155" s="75">
        <f>Results!$B$19+AK155-Results!$D$21</f>
        <v/>
      </c>
      <c r="BJ155" s="75">
        <f>Results!$B$19+AL155-Results!$D$21</f>
        <v/>
      </c>
      <c r="BM155" s="75" t="n">
        <v>160</v>
      </c>
      <c r="BN155" s="75">
        <f>Results!D170</f>
        <v/>
      </c>
      <c r="BO155" s="75">
        <f>Results!E170</f>
        <v/>
      </c>
      <c r="BP155" s="75">
        <f>Results!F170</f>
        <v/>
      </c>
      <c r="BS155" s="75" t="n">
        <v>160</v>
      </c>
      <c r="BT155" s="75">
        <f>Demand!AU173</f>
        <v/>
      </c>
      <c r="BU155" s="75">
        <f>Demand!AV173</f>
        <v/>
      </c>
      <c r="BV155" s="75">
        <f>Demand!AW173</f>
        <v/>
      </c>
      <c r="BY155" s="75" t="n">
        <v>160</v>
      </c>
      <c r="BZ155" s="75">
        <f>Retailers_Cap!N156</f>
        <v/>
      </c>
      <c r="CA155" s="75">
        <f>Retailers_Cap!O156</f>
        <v/>
      </c>
      <c r="CB155" s="75">
        <f>Retailers_Cap!P156</f>
        <v/>
      </c>
      <c r="CD155" s="75" t="n">
        <v>160</v>
      </c>
      <c r="CE155" s="75">
        <f>IF((BT155-BZ155)&gt;=0,"Dem","Folga")</f>
        <v/>
      </c>
      <c r="CF155" s="75">
        <f>IF((BU155-CA155)&gt;=0,"Dem","Folga")</f>
        <v/>
      </c>
      <c r="CG155" s="75">
        <f>IF((BV155-CB155)&gt;=0,"Dem","Folga")</f>
        <v/>
      </c>
    </row>
    <row r="156">
      <c r="M156" s="75">
        <f>TRUNC((_xlfn.NORM.INV((RAND()),$L$6,$L$7)),2)</f>
        <v/>
      </c>
      <c r="O156" s="75" t="n">
        <v>161</v>
      </c>
      <c r="P156" s="5" t="n">
        <v>162.7</v>
      </c>
      <c r="Q156" s="5" t="n">
        <v>201.98</v>
      </c>
      <c r="R156" s="5" t="n">
        <v>265.33</v>
      </c>
      <c r="W156" s="75">
        <f>TRUNC((_xlfn.NORM.INV((RAND()),$V$6,$V$7)),3)</f>
        <v/>
      </c>
      <c r="Y156" s="75" t="n">
        <v>161</v>
      </c>
      <c r="Z156" s="5" t="n">
        <v>6.749</v>
      </c>
      <c r="AA156" s="5" t="n">
        <v>6.677</v>
      </c>
      <c r="AB156" s="5" t="n">
        <v>6.757</v>
      </c>
      <c r="AG156" s="75">
        <f>TRUNC((_xlfn.NORM.INV((RAND()),$AF$6,$AF$7)),3)</f>
        <v/>
      </c>
      <c r="AI156" s="75" t="n">
        <v>161</v>
      </c>
      <c r="AJ156" s="5" t="n">
        <v>60.751</v>
      </c>
      <c r="AK156" s="5" t="n">
        <v>59.798</v>
      </c>
      <c r="AL156" s="5" t="n">
        <v>70.583</v>
      </c>
      <c r="AR156" s="75" t="n">
        <v>161</v>
      </c>
      <c r="AS156" s="5" t="n">
        <v>0</v>
      </c>
      <c r="AT156" s="5" t="n">
        <v>13.07767187074375</v>
      </c>
      <c r="AU156" s="5" t="n">
        <v>0</v>
      </c>
      <c r="AW156" s="75">
        <f>Z156/Demand!AU174</f>
        <v/>
      </c>
      <c r="AX156" s="75">
        <f>AA156/Demand!AV174</f>
        <v/>
      </c>
      <c r="AY156" s="75">
        <f>AB156/Demand!AW174</f>
        <v/>
      </c>
      <c r="BG156" s="75" t="n">
        <v>161</v>
      </c>
      <c r="BH156" s="75">
        <f>Results!$B$19+AJ156-Results!$D$21</f>
        <v/>
      </c>
      <c r="BI156" s="75">
        <f>Results!$B$19+AK156-Results!$D$21</f>
        <v/>
      </c>
      <c r="BJ156" s="75">
        <f>Results!$B$19+AL156-Results!$D$21</f>
        <v/>
      </c>
      <c r="BM156" s="75" t="n">
        <v>161</v>
      </c>
      <c r="BN156" s="75">
        <f>Results!D171</f>
        <v/>
      </c>
      <c r="BO156" s="75">
        <f>Results!E171</f>
        <v/>
      </c>
      <c r="BP156" s="75">
        <f>Results!F171</f>
        <v/>
      </c>
      <c r="BS156" s="75" t="n">
        <v>161</v>
      </c>
      <c r="BT156" s="75">
        <f>Demand!AU174</f>
        <v/>
      </c>
      <c r="BU156" s="75">
        <f>Demand!AV174</f>
        <v/>
      </c>
      <c r="BV156" s="75">
        <f>Demand!AW174</f>
        <v/>
      </c>
      <c r="BY156" s="75" t="n">
        <v>161</v>
      </c>
      <c r="BZ156" s="75">
        <f>Retailers_Cap!N157</f>
        <v/>
      </c>
      <c r="CA156" s="75">
        <f>Retailers_Cap!O157</f>
        <v/>
      </c>
      <c r="CB156" s="75">
        <f>Retailers_Cap!P157</f>
        <v/>
      </c>
      <c r="CD156" s="75" t="n">
        <v>161</v>
      </c>
      <c r="CE156" s="75">
        <f>IF((BT156-BZ156)&gt;=0,"Dem","Folga")</f>
        <v/>
      </c>
      <c r="CF156" s="75">
        <f>IF((BU156-CA156)&gt;=0,"Dem","Folga")</f>
        <v/>
      </c>
      <c r="CG156" s="75">
        <f>IF((BV156-CB156)&gt;=0,"Dem","Folga")</f>
        <v/>
      </c>
    </row>
    <row r="157">
      <c r="M157" s="75">
        <f>TRUNC((_xlfn.NORM.INV((RAND()),$L$6,$L$7)),2)</f>
        <v/>
      </c>
      <c r="O157" s="75" t="n">
        <v>162</v>
      </c>
      <c r="P157" s="5" t="n">
        <v>151.59</v>
      </c>
      <c r="Q157" s="5" t="n">
        <v>164.72</v>
      </c>
      <c r="R157" s="5" t="n">
        <v>231.13</v>
      </c>
      <c r="W157" s="75">
        <f>TRUNC((_xlfn.NORM.INV((RAND()),$V$6,$V$7)),3)</f>
        <v/>
      </c>
      <c r="Y157" s="75" t="n">
        <v>162</v>
      </c>
      <c r="Z157" s="5" t="n">
        <v>6.795</v>
      </c>
      <c r="AA157" s="5" t="n">
        <v>6.759</v>
      </c>
      <c r="AB157" s="5" t="n">
        <v>6.758</v>
      </c>
      <c r="AG157" s="75">
        <f>TRUNC((_xlfn.NORM.INV((RAND()),$AF$6,$AF$7)),3)</f>
        <v/>
      </c>
      <c r="AI157" s="75" t="n">
        <v>162</v>
      </c>
      <c r="AJ157" s="5" t="n">
        <v>61.856</v>
      </c>
      <c r="AK157" s="5" t="n">
        <v>52.404</v>
      </c>
      <c r="AL157" s="5" t="n">
        <v>67.47499999999999</v>
      </c>
      <c r="AR157" s="75" t="n">
        <v>162</v>
      </c>
      <c r="AS157" s="5" t="n">
        <v>15.04685027681789</v>
      </c>
      <c r="AT157" s="5" t="n">
        <v>20.35401880543489</v>
      </c>
      <c r="AU157" s="5" t="n">
        <v>12.05773914369751</v>
      </c>
      <c r="AW157" s="75">
        <f>Z157/Demand!AU175</f>
        <v/>
      </c>
      <c r="AX157" s="75">
        <f>AA157/Demand!AV175</f>
        <v/>
      </c>
      <c r="AY157" s="75">
        <f>AB157/Demand!AW175</f>
        <v/>
      </c>
      <c r="BG157" s="75" t="n">
        <v>162</v>
      </c>
      <c r="BH157" s="75">
        <f>Results!$B$19+AJ157-Results!$D$21</f>
        <v/>
      </c>
      <c r="BI157" s="75">
        <f>Results!$B$19+AK157-Results!$D$21</f>
        <v/>
      </c>
      <c r="BJ157" s="75">
        <f>Results!$B$19+AL157-Results!$D$21</f>
        <v/>
      </c>
      <c r="BM157" s="75" t="n">
        <v>162</v>
      </c>
      <c r="BN157" s="75">
        <f>Results!D172</f>
        <v/>
      </c>
      <c r="BO157" s="75">
        <f>Results!E172</f>
        <v/>
      </c>
      <c r="BP157" s="75">
        <f>Results!F172</f>
        <v/>
      </c>
      <c r="BS157" s="75" t="n">
        <v>162</v>
      </c>
      <c r="BT157" s="75">
        <f>Demand!AU175</f>
        <v/>
      </c>
      <c r="BU157" s="75">
        <f>Demand!AV175</f>
        <v/>
      </c>
      <c r="BV157" s="75">
        <f>Demand!AW175</f>
        <v/>
      </c>
      <c r="BY157" s="75" t="n">
        <v>162</v>
      </c>
      <c r="BZ157" s="75">
        <f>Retailers_Cap!N158</f>
        <v/>
      </c>
      <c r="CA157" s="75">
        <f>Retailers_Cap!O158</f>
        <v/>
      </c>
      <c r="CB157" s="75">
        <f>Retailers_Cap!P158</f>
        <v/>
      </c>
      <c r="CD157" s="75" t="n">
        <v>162</v>
      </c>
      <c r="CE157" s="75">
        <f>IF((BT157-BZ157)&gt;=0,"Dem","Folga")</f>
        <v/>
      </c>
      <c r="CF157" s="75">
        <f>IF((BU157-CA157)&gt;=0,"Dem","Folga")</f>
        <v/>
      </c>
      <c r="CG157" s="75">
        <f>IF((BV157-CB157)&gt;=0,"Dem","Folga")</f>
        <v/>
      </c>
    </row>
    <row r="158">
      <c r="M158" s="75">
        <f>TRUNC((_xlfn.NORM.INV((RAND()),$L$6,$L$7)),2)</f>
        <v/>
      </c>
      <c r="O158" s="75" t="n">
        <v>163</v>
      </c>
      <c r="P158" s="5" t="n">
        <v>224.69</v>
      </c>
      <c r="Q158" s="5" t="n">
        <v>227.27</v>
      </c>
      <c r="R158" s="5" t="n">
        <v>184.93</v>
      </c>
      <c r="W158" s="75">
        <f>TRUNC((_xlfn.NORM.INV((RAND()),$V$6,$V$7)),3)</f>
        <v/>
      </c>
      <c r="Y158" s="75" t="n">
        <v>163</v>
      </c>
      <c r="Z158" s="5" t="n">
        <v>6.747</v>
      </c>
      <c r="AA158" s="5" t="n">
        <v>6.82</v>
      </c>
      <c r="AB158" s="5" t="n">
        <v>6.792</v>
      </c>
      <c r="AG158" s="75">
        <f>TRUNC((_xlfn.NORM.INV((RAND()),$AF$6,$AF$7)),3)</f>
        <v/>
      </c>
      <c r="AI158" s="75" t="n">
        <v>163</v>
      </c>
      <c r="AJ158" s="5" t="n">
        <v>64.47199999999999</v>
      </c>
      <c r="AK158" s="5" t="n">
        <v>52.843</v>
      </c>
      <c r="AL158" s="5" t="n">
        <v>79.592</v>
      </c>
      <c r="AR158" s="75" t="n">
        <v>163</v>
      </c>
      <c r="AS158" s="5" t="n">
        <v>13.14635501653369</v>
      </c>
      <c r="AT158" s="5" t="n">
        <v>10.46962404573319</v>
      </c>
      <c r="AU158" s="5" t="n">
        <v>0</v>
      </c>
      <c r="AW158" s="75">
        <f>Z158/Demand!AU176</f>
        <v/>
      </c>
      <c r="AX158" s="75">
        <f>AA158/Demand!AV176</f>
        <v/>
      </c>
      <c r="AY158" s="75">
        <f>AB158/Demand!AW176</f>
        <v/>
      </c>
      <c r="BG158" s="75" t="n">
        <v>163</v>
      </c>
      <c r="BH158" s="75">
        <f>Results!$B$19+AJ158-Results!$D$21</f>
        <v/>
      </c>
      <c r="BI158" s="75">
        <f>Results!$B$19+AK158-Results!$D$21</f>
        <v/>
      </c>
      <c r="BJ158" s="75">
        <f>Results!$B$19+AL158-Results!$D$21</f>
        <v/>
      </c>
      <c r="BM158" s="75" t="n">
        <v>163</v>
      </c>
      <c r="BN158" s="75">
        <f>Results!D173</f>
        <v/>
      </c>
      <c r="BO158" s="75">
        <f>Results!E173</f>
        <v/>
      </c>
      <c r="BP158" s="75">
        <f>Results!F173</f>
        <v/>
      </c>
      <c r="BS158" s="75" t="n">
        <v>163</v>
      </c>
      <c r="BT158" s="75">
        <f>Demand!AU176</f>
        <v/>
      </c>
      <c r="BU158" s="75">
        <f>Demand!AV176</f>
        <v/>
      </c>
      <c r="BV158" s="75">
        <f>Demand!AW176</f>
        <v/>
      </c>
      <c r="BY158" s="75" t="n">
        <v>163</v>
      </c>
      <c r="BZ158" s="75">
        <f>Retailers_Cap!N159</f>
        <v/>
      </c>
      <c r="CA158" s="75">
        <f>Retailers_Cap!O159</f>
        <v/>
      </c>
      <c r="CB158" s="75">
        <f>Retailers_Cap!P159</f>
        <v/>
      </c>
      <c r="CD158" s="75" t="n">
        <v>163</v>
      </c>
      <c r="CE158" s="75">
        <f>IF((BT158-BZ158)&gt;=0,"Dem","Folga")</f>
        <v/>
      </c>
      <c r="CF158" s="75">
        <f>IF((BU158-CA158)&gt;=0,"Dem","Folga")</f>
        <v/>
      </c>
      <c r="CG158" s="75">
        <f>IF((BV158-CB158)&gt;=0,"Dem","Folga")</f>
        <v/>
      </c>
    </row>
    <row r="159">
      <c r="M159" s="75">
        <f>TRUNC((_xlfn.NORM.INV((RAND()),$L$6,$L$7)),2)</f>
        <v/>
      </c>
      <c r="O159" s="75" t="n">
        <v>164</v>
      </c>
      <c r="P159" s="5" t="n">
        <v>189.09</v>
      </c>
      <c r="Q159" s="5" t="n">
        <v>193.86</v>
      </c>
      <c r="R159" s="5" t="n">
        <v>150.37</v>
      </c>
      <c r="W159" s="75">
        <f>TRUNC((_xlfn.NORM.INV((RAND()),$V$6,$V$7)),3)</f>
        <v/>
      </c>
      <c r="Y159" s="75" t="n">
        <v>164</v>
      </c>
      <c r="Z159" s="5" t="n">
        <v>6.68</v>
      </c>
      <c r="AA159" s="5" t="n">
        <v>6.814</v>
      </c>
      <c r="AB159" s="5" t="n">
        <v>6.742</v>
      </c>
      <c r="AG159" s="75">
        <f>TRUNC((_xlfn.NORM.INV((RAND()),$AF$6,$AF$7)),3)</f>
        <v/>
      </c>
      <c r="AI159" s="75" t="n">
        <v>164</v>
      </c>
      <c r="AJ159" s="5" t="n">
        <v>65.876</v>
      </c>
      <c r="AK159" s="5" t="n">
        <v>75.011</v>
      </c>
      <c r="AL159" s="5" t="n">
        <v>68.511</v>
      </c>
      <c r="AR159" s="75" t="n">
        <v>164</v>
      </c>
      <c r="AS159" s="5" t="n">
        <v>0</v>
      </c>
      <c r="AT159" s="5" t="n">
        <v>9.879856703793745</v>
      </c>
      <c r="AU159" s="5" t="n">
        <v>0</v>
      </c>
      <c r="AW159" s="75">
        <f>Z159/Demand!AU177</f>
        <v/>
      </c>
      <c r="AX159" s="75">
        <f>AA159/Demand!AV177</f>
        <v/>
      </c>
      <c r="AY159" s="75">
        <f>AB159/Demand!AW177</f>
        <v/>
      </c>
      <c r="BG159" s="75" t="n">
        <v>164</v>
      </c>
      <c r="BH159" s="75">
        <f>Results!$B$19+AJ159-Results!$D$21</f>
        <v/>
      </c>
      <c r="BI159" s="75">
        <f>Results!$B$19+AK159-Results!$D$21</f>
        <v/>
      </c>
      <c r="BJ159" s="75">
        <f>Results!$B$19+AL159-Results!$D$21</f>
        <v/>
      </c>
      <c r="BM159" s="75" t="n">
        <v>164</v>
      </c>
      <c r="BN159" s="75">
        <f>Results!D174</f>
        <v/>
      </c>
      <c r="BO159" s="75">
        <f>Results!E174</f>
        <v/>
      </c>
      <c r="BP159" s="75">
        <f>Results!F174</f>
        <v/>
      </c>
      <c r="BS159" s="75" t="n">
        <v>164</v>
      </c>
      <c r="BT159" s="75">
        <f>Demand!AU177</f>
        <v/>
      </c>
      <c r="BU159" s="75">
        <f>Demand!AV177</f>
        <v/>
      </c>
      <c r="BV159" s="75">
        <f>Demand!AW177</f>
        <v/>
      </c>
      <c r="BY159" s="75" t="n">
        <v>164</v>
      </c>
      <c r="BZ159" s="75">
        <f>Retailers_Cap!N160</f>
        <v/>
      </c>
      <c r="CA159" s="75">
        <f>Retailers_Cap!O160</f>
        <v/>
      </c>
      <c r="CB159" s="75">
        <f>Retailers_Cap!P160</f>
        <v/>
      </c>
      <c r="CD159" s="75" t="n">
        <v>164</v>
      </c>
      <c r="CE159" s="75">
        <f>IF((BT159-BZ159)&gt;=0,"Dem","Folga")</f>
        <v/>
      </c>
      <c r="CF159" s="75">
        <f>IF((BU159-CA159)&gt;=0,"Dem","Folga")</f>
        <v/>
      </c>
      <c r="CG159" s="75">
        <f>IF((BV159-CB159)&gt;=0,"Dem","Folga")</f>
        <v/>
      </c>
    </row>
    <row r="160">
      <c r="M160" s="75">
        <f>TRUNC((_xlfn.NORM.INV((RAND()),$L$6,$L$7)),2)</f>
        <v/>
      </c>
      <c r="O160" s="75" t="n">
        <v>165</v>
      </c>
      <c r="P160" s="5" t="n">
        <v>206.66</v>
      </c>
      <c r="Q160" s="5" t="n">
        <v>330.48</v>
      </c>
      <c r="R160" s="5" t="n">
        <v>239.42</v>
      </c>
      <c r="W160" s="75">
        <f>TRUNC((_xlfn.NORM.INV((RAND()),$V$6,$V$7)),3)</f>
        <v/>
      </c>
      <c r="Y160" s="75" t="n">
        <v>165</v>
      </c>
      <c r="Z160" s="5" t="n">
        <v>6.894</v>
      </c>
      <c r="AA160" s="5" t="n">
        <v>6.693</v>
      </c>
      <c r="AB160" s="5" t="n">
        <v>6.634</v>
      </c>
      <c r="AG160" s="75">
        <f>TRUNC((_xlfn.NORM.INV((RAND()),$AF$6,$AF$7)),3)</f>
        <v/>
      </c>
      <c r="AI160" s="75" t="n">
        <v>165</v>
      </c>
      <c r="AJ160" s="5" t="n">
        <v>72.83</v>
      </c>
      <c r="AK160" s="5" t="n">
        <v>58.869</v>
      </c>
      <c r="AL160" s="5" t="n">
        <v>49.788</v>
      </c>
      <c r="AR160" s="75" t="n">
        <v>165</v>
      </c>
      <c r="AS160" s="5" t="n">
        <v>0</v>
      </c>
      <c r="AT160" s="5" t="n">
        <v>0</v>
      </c>
      <c r="AU160" s="5" t="n">
        <v>0</v>
      </c>
      <c r="AW160" s="75">
        <f>Z160/Demand!AU178</f>
        <v/>
      </c>
      <c r="AX160" s="75">
        <f>AA160/Demand!AV178</f>
        <v/>
      </c>
      <c r="AY160" s="75">
        <f>AB160/Demand!AW178</f>
        <v/>
      </c>
      <c r="BG160" s="75" t="n">
        <v>165</v>
      </c>
      <c r="BH160" s="75">
        <f>Results!$B$19+AJ160-Results!$D$21</f>
        <v/>
      </c>
      <c r="BI160" s="75">
        <f>Results!$B$19+AK160-Results!$D$21</f>
        <v/>
      </c>
      <c r="BJ160" s="75">
        <f>Results!$B$19+AL160-Results!$D$21</f>
        <v/>
      </c>
      <c r="BM160" s="75" t="n">
        <v>165</v>
      </c>
      <c r="BN160" s="75">
        <f>Results!D175</f>
        <v/>
      </c>
      <c r="BO160" s="75">
        <f>Results!E175</f>
        <v/>
      </c>
      <c r="BP160" s="75">
        <f>Results!F175</f>
        <v/>
      </c>
      <c r="BS160" s="75" t="n">
        <v>165</v>
      </c>
      <c r="BT160" s="75">
        <f>Demand!AU178</f>
        <v/>
      </c>
      <c r="BU160" s="75">
        <f>Demand!AV178</f>
        <v/>
      </c>
      <c r="BV160" s="75">
        <f>Demand!AW178</f>
        <v/>
      </c>
      <c r="BY160" s="75" t="n">
        <v>165</v>
      </c>
      <c r="BZ160" s="75">
        <f>Retailers_Cap!N161</f>
        <v/>
      </c>
      <c r="CA160" s="75">
        <f>Retailers_Cap!O161</f>
        <v/>
      </c>
      <c r="CB160" s="75">
        <f>Retailers_Cap!P161</f>
        <v/>
      </c>
      <c r="CD160" s="75" t="n">
        <v>165</v>
      </c>
      <c r="CE160" s="75">
        <f>IF((BT160-BZ160)&gt;=0,"Dem","Folga")</f>
        <v/>
      </c>
      <c r="CF160" s="75">
        <f>IF((BU160-CA160)&gt;=0,"Dem","Folga")</f>
        <v/>
      </c>
      <c r="CG160" s="75">
        <f>IF((BV160-CB160)&gt;=0,"Dem","Folga")</f>
        <v/>
      </c>
    </row>
    <row r="161">
      <c r="M161" s="75">
        <f>TRUNC((_xlfn.NORM.INV((RAND()),$L$6,$L$7)),2)</f>
        <v/>
      </c>
      <c r="O161" s="75" t="n">
        <v>166</v>
      </c>
      <c r="P161" s="5" t="n">
        <v>194.16</v>
      </c>
      <c r="Q161" s="5" t="n">
        <v>247.49</v>
      </c>
      <c r="R161" s="5" t="n">
        <v>134.85</v>
      </c>
      <c r="W161" s="75">
        <f>TRUNC((_xlfn.NORM.INV((RAND()),$V$6,$V$7)),3)</f>
        <v/>
      </c>
      <c r="Y161" s="75" t="n">
        <v>166</v>
      </c>
      <c r="Z161" s="5" t="n">
        <v>6.698</v>
      </c>
      <c r="AA161" s="5" t="n">
        <v>6.779</v>
      </c>
      <c r="AB161" s="5" t="n">
        <v>6.795</v>
      </c>
      <c r="AG161" s="75">
        <f>TRUNC((_xlfn.NORM.INV((RAND()),$AF$6,$AF$7)),3)</f>
        <v/>
      </c>
      <c r="AI161" s="75" t="n">
        <v>166</v>
      </c>
      <c r="AJ161" s="5" t="n">
        <v>76.506</v>
      </c>
      <c r="AK161" s="5" t="n">
        <v>50.165</v>
      </c>
      <c r="AL161" s="5" t="n">
        <v>50.533</v>
      </c>
      <c r="AR161" s="75" t="n">
        <v>166</v>
      </c>
      <c r="AS161" s="5" t="n">
        <v>4.321981047692915</v>
      </c>
      <c r="AT161" s="5" t="n">
        <v>5.256754504562533</v>
      </c>
      <c r="AU161" s="5" t="n">
        <v>0</v>
      </c>
      <c r="AW161" s="75">
        <f>Z161/Demand!AU179</f>
        <v/>
      </c>
      <c r="AX161" s="75">
        <f>AA161/Demand!AV179</f>
        <v/>
      </c>
      <c r="AY161" s="75">
        <f>AB161/Demand!AW179</f>
        <v/>
      </c>
      <c r="BG161" s="75" t="n">
        <v>166</v>
      </c>
      <c r="BH161" s="75">
        <f>Results!$B$19+AJ161-Results!$D$21</f>
        <v/>
      </c>
      <c r="BI161" s="75">
        <f>Results!$B$19+AK161-Results!$D$21</f>
        <v/>
      </c>
      <c r="BJ161" s="75">
        <f>Results!$B$19+AL161-Results!$D$21</f>
        <v/>
      </c>
      <c r="BM161" s="75" t="n">
        <v>166</v>
      </c>
      <c r="BN161" s="75">
        <f>Results!D176</f>
        <v/>
      </c>
      <c r="BO161" s="75">
        <f>Results!E176</f>
        <v/>
      </c>
      <c r="BP161" s="75">
        <f>Results!F176</f>
        <v/>
      </c>
      <c r="BS161" s="75" t="n">
        <v>166</v>
      </c>
      <c r="BT161" s="75">
        <f>Demand!AU179</f>
        <v/>
      </c>
      <c r="BU161" s="75">
        <f>Demand!AV179</f>
        <v/>
      </c>
      <c r="BV161" s="75">
        <f>Demand!AW179</f>
        <v/>
      </c>
      <c r="BY161" s="75" t="n">
        <v>166</v>
      </c>
      <c r="BZ161" s="75">
        <f>Retailers_Cap!N162</f>
        <v/>
      </c>
      <c r="CA161" s="75">
        <f>Retailers_Cap!O162</f>
        <v/>
      </c>
      <c r="CB161" s="75">
        <f>Retailers_Cap!P162</f>
        <v/>
      </c>
      <c r="CD161" s="75" t="n">
        <v>166</v>
      </c>
      <c r="CE161" s="75">
        <f>IF((BT161-BZ161)&gt;=0,"Dem","Folga")</f>
        <v/>
      </c>
      <c r="CF161" s="75">
        <f>IF((BU161-CA161)&gt;=0,"Dem","Folga")</f>
        <v/>
      </c>
      <c r="CG161" s="75">
        <f>IF((BV161-CB161)&gt;=0,"Dem","Folga")</f>
        <v/>
      </c>
    </row>
    <row r="162">
      <c r="M162" s="75">
        <f>TRUNC((_xlfn.NORM.INV((RAND()),$L$6,$L$7)),2)</f>
        <v/>
      </c>
      <c r="O162" s="75" t="n">
        <v>167</v>
      </c>
      <c r="P162" s="5" t="n">
        <v>204.23</v>
      </c>
      <c r="Q162" s="5" t="n">
        <v>207.87</v>
      </c>
      <c r="R162" s="5" t="n">
        <v>190.94</v>
      </c>
      <c r="W162" s="75">
        <f>TRUNC((_xlfn.NORM.INV((RAND()),$V$6,$V$7)),3)</f>
        <v/>
      </c>
      <c r="Y162" s="75" t="n">
        <v>167</v>
      </c>
      <c r="Z162" s="5" t="n">
        <v>6.824</v>
      </c>
      <c r="AA162" s="5" t="n">
        <v>6.652</v>
      </c>
      <c r="AB162" s="5" t="n">
        <v>6.807</v>
      </c>
      <c r="AG162" s="75">
        <f>TRUNC((_xlfn.NORM.INV((RAND()),$AF$6,$AF$7)),3)</f>
        <v/>
      </c>
      <c r="AI162" s="75" t="n">
        <v>167</v>
      </c>
      <c r="AJ162" s="5" t="n">
        <v>45.813</v>
      </c>
      <c r="AK162" s="5" t="n">
        <v>41.149</v>
      </c>
      <c r="AL162" s="5" t="n">
        <v>77.059</v>
      </c>
      <c r="AR162" s="75" t="n">
        <v>167</v>
      </c>
      <c r="AS162" s="5" t="n">
        <v>0</v>
      </c>
      <c r="AT162" s="5" t="n">
        <v>0</v>
      </c>
      <c r="AU162" s="5" t="n">
        <v>32.48748207471591</v>
      </c>
      <c r="AW162" s="75">
        <f>Z162/Demand!AU180</f>
        <v/>
      </c>
      <c r="AX162" s="75">
        <f>AA162/Demand!AV180</f>
        <v/>
      </c>
      <c r="AY162" s="75">
        <f>AB162/Demand!AW180</f>
        <v/>
      </c>
      <c r="BG162" s="75" t="n">
        <v>167</v>
      </c>
      <c r="BH162" s="75">
        <f>Results!$B$19+AJ162-Results!$D$21</f>
        <v/>
      </c>
      <c r="BI162" s="75">
        <f>Results!$B$19+AK162-Results!$D$21</f>
        <v/>
      </c>
      <c r="BJ162" s="75">
        <f>Results!$B$19+AL162-Results!$D$21</f>
        <v/>
      </c>
      <c r="BM162" s="75" t="n">
        <v>167</v>
      </c>
      <c r="BN162" s="75">
        <f>Results!D177</f>
        <v/>
      </c>
      <c r="BO162" s="75">
        <f>Results!E177</f>
        <v/>
      </c>
      <c r="BP162" s="75">
        <f>Results!F177</f>
        <v/>
      </c>
      <c r="BS162" s="75" t="n">
        <v>167</v>
      </c>
      <c r="BT162" s="75">
        <f>Demand!AU180</f>
        <v/>
      </c>
      <c r="BU162" s="75">
        <f>Demand!AV180</f>
        <v/>
      </c>
      <c r="BV162" s="75">
        <f>Demand!AW180</f>
        <v/>
      </c>
      <c r="BY162" s="75" t="n">
        <v>167</v>
      </c>
      <c r="BZ162" s="75">
        <f>Retailers_Cap!N163</f>
        <v/>
      </c>
      <c r="CA162" s="75">
        <f>Retailers_Cap!O163</f>
        <v/>
      </c>
      <c r="CB162" s="75">
        <f>Retailers_Cap!P163</f>
        <v/>
      </c>
      <c r="CD162" s="75" t="n">
        <v>167</v>
      </c>
      <c r="CE162" s="75">
        <f>IF((BT162-BZ162)&gt;=0,"Dem","Folga")</f>
        <v/>
      </c>
      <c r="CF162" s="75">
        <f>IF((BU162-CA162)&gt;=0,"Dem","Folga")</f>
        <v/>
      </c>
      <c r="CG162" s="75">
        <f>IF((BV162-CB162)&gt;=0,"Dem","Folga")</f>
        <v/>
      </c>
    </row>
    <row r="163">
      <c r="M163" s="75">
        <f>TRUNC((_xlfn.NORM.INV((RAND()),$L$6,$L$7)),2)</f>
        <v/>
      </c>
      <c r="O163" s="75" t="n">
        <v>168</v>
      </c>
      <c r="P163" s="5" t="n">
        <v>222.33</v>
      </c>
      <c r="Q163" s="5" t="n">
        <v>177.95</v>
      </c>
      <c r="R163" s="5" t="n">
        <v>259.13</v>
      </c>
      <c r="W163" s="75">
        <f>TRUNC((_xlfn.NORM.INV((RAND()),$V$6,$V$7)),3)</f>
        <v/>
      </c>
      <c r="Y163" s="75" t="n">
        <v>168</v>
      </c>
      <c r="Z163" s="5" t="n">
        <v>6.852</v>
      </c>
      <c r="AA163" s="5" t="n">
        <v>6.761</v>
      </c>
      <c r="AB163" s="5" t="n">
        <v>6.77</v>
      </c>
      <c r="AG163" s="75">
        <f>TRUNC((_xlfn.NORM.INV((RAND()),$AF$6,$AF$7)),3)</f>
        <v/>
      </c>
      <c r="AI163" s="75" t="n">
        <v>168</v>
      </c>
      <c r="AJ163" s="5" t="n">
        <v>74.404</v>
      </c>
      <c r="AK163" s="5" t="n">
        <v>58.803</v>
      </c>
      <c r="AL163" s="5" t="n">
        <v>49.815</v>
      </c>
      <c r="AR163" s="75" t="n">
        <v>168</v>
      </c>
      <c r="AS163" s="5" t="n">
        <v>0</v>
      </c>
      <c r="AT163" s="5" t="n">
        <v>0</v>
      </c>
      <c r="AU163" s="5" t="n">
        <v>5.782284132287267</v>
      </c>
      <c r="AW163" s="75">
        <f>Z163/Demand!AU181</f>
        <v/>
      </c>
      <c r="AX163" s="75">
        <f>AA163/Demand!AV181</f>
        <v/>
      </c>
      <c r="AY163" s="75">
        <f>AB163/Demand!AW181</f>
        <v/>
      </c>
      <c r="BG163" s="75" t="n">
        <v>168</v>
      </c>
      <c r="BH163" s="75">
        <f>Results!$B$19+AJ163-Results!$D$21</f>
        <v/>
      </c>
      <c r="BI163" s="75">
        <f>Results!$B$19+AK163-Results!$D$21</f>
        <v/>
      </c>
      <c r="BJ163" s="75">
        <f>Results!$B$19+AL163-Results!$D$21</f>
        <v/>
      </c>
      <c r="BM163" s="75" t="n">
        <v>168</v>
      </c>
      <c r="BN163" s="75">
        <f>Results!D178</f>
        <v/>
      </c>
      <c r="BO163" s="75">
        <f>Results!E178</f>
        <v/>
      </c>
      <c r="BP163" s="75">
        <f>Results!F178</f>
        <v/>
      </c>
      <c r="BS163" s="75" t="n">
        <v>168</v>
      </c>
      <c r="BT163" s="75">
        <f>Demand!AU181</f>
        <v/>
      </c>
      <c r="BU163" s="75">
        <f>Demand!AV181</f>
        <v/>
      </c>
      <c r="BV163" s="75">
        <f>Demand!AW181</f>
        <v/>
      </c>
      <c r="BY163" s="75" t="n">
        <v>168</v>
      </c>
      <c r="BZ163" s="75">
        <f>Retailers_Cap!N164</f>
        <v/>
      </c>
      <c r="CA163" s="75">
        <f>Retailers_Cap!O164</f>
        <v/>
      </c>
      <c r="CB163" s="75">
        <f>Retailers_Cap!P164</f>
        <v/>
      </c>
      <c r="CD163" s="75" t="n">
        <v>168</v>
      </c>
      <c r="CE163" s="75">
        <f>IF((BT163-BZ163)&gt;=0,"Dem","Folga")</f>
        <v/>
      </c>
      <c r="CF163" s="75">
        <f>IF((BU163-CA163)&gt;=0,"Dem","Folga")</f>
        <v/>
      </c>
      <c r="CG163" s="75">
        <f>IF((BV163-CB163)&gt;=0,"Dem","Folga")</f>
        <v/>
      </c>
    </row>
    <row r="164">
      <c r="M164" s="75">
        <f>TRUNC((_xlfn.NORM.INV((RAND()),$L$6,$L$7)),2)</f>
        <v/>
      </c>
      <c r="O164" s="75" t="n">
        <v>169</v>
      </c>
      <c r="P164" s="5" t="n">
        <v>195.64</v>
      </c>
      <c r="Q164" s="5" t="n">
        <v>205.93</v>
      </c>
      <c r="R164" s="5" t="n">
        <v>161.29</v>
      </c>
      <c r="W164" s="75">
        <f>TRUNC((_xlfn.NORM.INV((RAND()),$V$6,$V$7)),3)</f>
        <v/>
      </c>
      <c r="Y164" s="75" t="n">
        <v>169</v>
      </c>
      <c r="Z164" s="5" t="n">
        <v>6.795</v>
      </c>
      <c r="AA164" s="5" t="n">
        <v>6.717</v>
      </c>
      <c r="AB164" s="5" t="n">
        <v>6.647</v>
      </c>
      <c r="AG164" s="75">
        <f>TRUNC((_xlfn.NORM.INV((RAND()),$AF$6,$AF$7)),3)</f>
        <v/>
      </c>
      <c r="AI164" s="75" t="n">
        <v>169</v>
      </c>
      <c r="AJ164" s="5" t="n">
        <v>74.321</v>
      </c>
      <c r="AK164" s="5" t="n">
        <v>49.833</v>
      </c>
      <c r="AL164" s="5" t="n">
        <v>44.144</v>
      </c>
      <c r="AR164" s="75" t="n">
        <v>169</v>
      </c>
      <c r="AS164" s="5" t="n">
        <v>4.312706113365398</v>
      </c>
      <c r="AT164" s="5" t="n">
        <v>0</v>
      </c>
      <c r="AU164" s="5" t="n">
        <v>6.581260566466076</v>
      </c>
      <c r="AW164" s="75">
        <f>Z164/Demand!AU182</f>
        <v/>
      </c>
      <c r="AX164" s="75">
        <f>AA164/Demand!AV182</f>
        <v/>
      </c>
      <c r="AY164" s="75">
        <f>AB164/Demand!AW182</f>
        <v/>
      </c>
      <c r="BG164" s="75" t="n">
        <v>169</v>
      </c>
      <c r="BH164" s="75">
        <f>Results!$B$19+AJ164-Results!$D$21</f>
        <v/>
      </c>
      <c r="BI164" s="75">
        <f>Results!$B$19+AK164-Results!$D$21</f>
        <v/>
      </c>
      <c r="BJ164" s="75">
        <f>Results!$B$19+AL164-Results!$D$21</f>
        <v/>
      </c>
      <c r="BM164" s="75" t="n">
        <v>169</v>
      </c>
      <c r="BN164" s="75">
        <f>Results!D179</f>
        <v/>
      </c>
      <c r="BO164" s="75">
        <f>Results!E179</f>
        <v/>
      </c>
      <c r="BP164" s="75">
        <f>Results!F179</f>
        <v/>
      </c>
      <c r="BS164" s="75" t="n">
        <v>169</v>
      </c>
      <c r="BT164" s="75">
        <f>Demand!AU182</f>
        <v/>
      </c>
      <c r="BU164" s="75">
        <f>Demand!AV182</f>
        <v/>
      </c>
      <c r="BV164" s="75">
        <f>Demand!AW182</f>
        <v/>
      </c>
      <c r="BY164" s="75" t="n">
        <v>169</v>
      </c>
      <c r="BZ164" s="75">
        <f>Retailers_Cap!N165</f>
        <v/>
      </c>
      <c r="CA164" s="75">
        <f>Retailers_Cap!O165</f>
        <v/>
      </c>
      <c r="CB164" s="75">
        <f>Retailers_Cap!P165</f>
        <v/>
      </c>
      <c r="CD164" s="75" t="n">
        <v>169</v>
      </c>
      <c r="CE164" s="75">
        <f>IF((BT164-BZ164)&gt;=0,"Dem","Folga")</f>
        <v/>
      </c>
      <c r="CF164" s="75">
        <f>IF((BU164-CA164)&gt;=0,"Dem","Folga")</f>
        <v/>
      </c>
      <c r="CG164" s="75">
        <f>IF((BV164-CB164)&gt;=0,"Dem","Folga")</f>
        <v/>
      </c>
    </row>
    <row r="165">
      <c r="M165" s="75">
        <f>TRUNC((_xlfn.NORM.INV((RAND()),$L$6,$L$7)),2)</f>
        <v/>
      </c>
      <c r="O165" s="75" t="n">
        <v>170</v>
      </c>
      <c r="P165" s="5" t="n">
        <v>204.04</v>
      </c>
      <c r="Q165" s="5" t="n">
        <v>175.86</v>
      </c>
      <c r="R165" s="5" t="n">
        <v>214.45</v>
      </c>
      <c r="W165" s="75">
        <f>TRUNC((_xlfn.NORM.INV((RAND()),$V$6,$V$7)),3)</f>
        <v/>
      </c>
      <c r="Y165" s="75" t="n">
        <v>170</v>
      </c>
      <c r="Z165" s="5" t="n">
        <v>6.671</v>
      </c>
      <c r="AA165" s="5" t="n">
        <v>6.706</v>
      </c>
      <c r="AB165" s="5" t="n">
        <v>6.771</v>
      </c>
      <c r="AG165" s="75">
        <f>TRUNC((_xlfn.NORM.INV((RAND()),$AF$6,$AF$7)),3)</f>
        <v/>
      </c>
      <c r="AI165" s="75" t="n">
        <v>170</v>
      </c>
      <c r="AJ165" s="5" t="n">
        <v>60.961</v>
      </c>
      <c r="AK165" s="5" t="n">
        <v>62.96</v>
      </c>
      <c r="AL165" s="5" t="n">
        <v>80.188</v>
      </c>
      <c r="AR165" s="75" t="n">
        <v>170</v>
      </c>
      <c r="AS165" s="5" t="n">
        <v>0</v>
      </c>
      <c r="AT165" s="5" t="n">
        <v>0</v>
      </c>
      <c r="AU165" s="5" t="n">
        <v>25.48970582773454</v>
      </c>
      <c r="AW165" s="75">
        <f>Z165/Demand!AU183</f>
        <v/>
      </c>
      <c r="AX165" s="75">
        <f>AA165/Demand!AV183</f>
        <v/>
      </c>
      <c r="AY165" s="75">
        <f>AB165/Demand!AW183</f>
        <v/>
      </c>
      <c r="BG165" s="75" t="n">
        <v>170</v>
      </c>
      <c r="BH165" s="75">
        <f>Results!$B$19+AJ165-Results!$D$21</f>
        <v/>
      </c>
      <c r="BI165" s="75">
        <f>Results!$B$19+AK165-Results!$D$21</f>
        <v/>
      </c>
      <c r="BJ165" s="75">
        <f>Results!$B$19+AL165-Results!$D$21</f>
        <v/>
      </c>
      <c r="BM165" s="75" t="n">
        <v>170</v>
      </c>
      <c r="BN165" s="75">
        <f>Results!D180</f>
        <v/>
      </c>
      <c r="BO165" s="75">
        <f>Results!E180</f>
        <v/>
      </c>
      <c r="BP165" s="75">
        <f>Results!F180</f>
        <v/>
      </c>
      <c r="BS165" s="75" t="n">
        <v>170</v>
      </c>
      <c r="BT165" s="75">
        <f>Demand!AU183</f>
        <v/>
      </c>
      <c r="BU165" s="75">
        <f>Demand!AV183</f>
        <v/>
      </c>
      <c r="BV165" s="75">
        <f>Demand!AW183</f>
        <v/>
      </c>
      <c r="BY165" s="75" t="n">
        <v>170</v>
      </c>
      <c r="BZ165" s="75">
        <f>Retailers_Cap!N166</f>
        <v/>
      </c>
      <c r="CA165" s="75">
        <f>Retailers_Cap!O166</f>
        <v/>
      </c>
      <c r="CB165" s="75">
        <f>Retailers_Cap!P166</f>
        <v/>
      </c>
      <c r="CD165" s="75" t="n">
        <v>170</v>
      </c>
      <c r="CE165" s="75">
        <f>IF((BT165-BZ165)&gt;=0,"Dem","Folga")</f>
        <v/>
      </c>
      <c r="CF165" s="75">
        <f>IF((BU165-CA165)&gt;=0,"Dem","Folga")</f>
        <v/>
      </c>
      <c r="CG165" s="75">
        <f>IF((BV165-CB165)&gt;=0,"Dem","Folga")</f>
        <v/>
      </c>
    </row>
    <row r="166">
      <c r="M166" s="75">
        <f>TRUNC((_xlfn.NORM.INV((RAND()),$L$6,$L$7)),2)</f>
        <v/>
      </c>
      <c r="O166" s="75" t="n">
        <v>171</v>
      </c>
      <c r="P166" s="5" t="n">
        <v>100.93</v>
      </c>
      <c r="Q166" s="5" t="n">
        <v>233.23</v>
      </c>
      <c r="R166" s="5" t="n">
        <v>252.71</v>
      </c>
      <c r="W166" s="75">
        <f>TRUNC((_xlfn.NORM.INV((RAND()),$V$6,$V$7)),3)</f>
        <v/>
      </c>
      <c r="Y166" s="75" t="n">
        <v>171</v>
      </c>
      <c r="Z166" s="5" t="n">
        <v>6.68</v>
      </c>
      <c r="AA166" s="5" t="n">
        <v>6.774</v>
      </c>
      <c r="AB166" s="5" t="n">
        <v>6.8</v>
      </c>
      <c r="AG166" s="75">
        <f>TRUNC((_xlfn.NORM.INV((RAND()),$AF$6,$AF$7)),3)</f>
        <v/>
      </c>
      <c r="AI166" s="75" t="n">
        <v>171</v>
      </c>
      <c r="AJ166" s="5" t="n">
        <v>63.182</v>
      </c>
      <c r="AK166" s="5" t="n">
        <v>85.98399999999999</v>
      </c>
      <c r="AL166" s="5" t="n">
        <v>51.093</v>
      </c>
      <c r="AR166" s="75" t="n">
        <v>171</v>
      </c>
      <c r="AS166" s="5" t="n">
        <v>20.87174061255839</v>
      </c>
      <c r="AT166" s="5" t="n">
        <v>9.861613900718954</v>
      </c>
      <c r="AU166" s="5" t="n">
        <v>0</v>
      </c>
      <c r="AW166" s="75">
        <f>Z166/Demand!AU184</f>
        <v/>
      </c>
      <c r="AX166" s="75">
        <f>AA166/Demand!AV184</f>
        <v/>
      </c>
      <c r="AY166" s="75">
        <f>AB166/Demand!AW184</f>
        <v/>
      </c>
      <c r="BG166" s="75" t="n">
        <v>171</v>
      </c>
      <c r="BH166" s="75">
        <f>Results!$B$19+AJ166-Results!$D$21</f>
        <v/>
      </c>
      <c r="BI166" s="75">
        <f>Results!$B$19+AK166-Results!$D$21</f>
        <v/>
      </c>
      <c r="BJ166" s="75">
        <f>Results!$B$19+AL166-Results!$D$21</f>
        <v/>
      </c>
      <c r="BM166" s="75" t="n">
        <v>171</v>
      </c>
      <c r="BN166" s="75">
        <f>Results!D181</f>
        <v/>
      </c>
      <c r="BO166" s="75">
        <f>Results!E181</f>
        <v/>
      </c>
      <c r="BP166" s="75">
        <f>Results!F181</f>
        <v/>
      </c>
      <c r="BS166" s="75" t="n">
        <v>171</v>
      </c>
      <c r="BT166" s="75">
        <f>Demand!AU184</f>
        <v/>
      </c>
      <c r="BU166" s="75">
        <f>Demand!AV184</f>
        <v/>
      </c>
      <c r="BV166" s="75">
        <f>Demand!AW184</f>
        <v/>
      </c>
      <c r="BY166" s="75" t="n">
        <v>171</v>
      </c>
      <c r="BZ166" s="75">
        <f>Retailers_Cap!N167</f>
        <v/>
      </c>
      <c r="CA166" s="75">
        <f>Retailers_Cap!O167</f>
        <v/>
      </c>
      <c r="CB166" s="75">
        <f>Retailers_Cap!P167</f>
        <v/>
      </c>
      <c r="CD166" s="75" t="n">
        <v>171</v>
      </c>
      <c r="CE166" s="75">
        <f>IF((BT166-BZ166)&gt;=0,"Dem","Folga")</f>
        <v/>
      </c>
      <c r="CF166" s="75">
        <f>IF((BU166-CA166)&gt;=0,"Dem","Folga")</f>
        <v/>
      </c>
      <c r="CG166" s="75">
        <f>IF((BV166-CB166)&gt;=0,"Dem","Folga")</f>
        <v/>
      </c>
    </row>
    <row r="167">
      <c r="M167" s="75">
        <f>TRUNC((_xlfn.NORM.INV((RAND()),$L$6,$L$7)),2)</f>
        <v/>
      </c>
      <c r="O167" s="75" t="n">
        <v>172</v>
      </c>
      <c r="P167" s="5" t="n">
        <v>250.45</v>
      </c>
      <c r="Q167" s="5" t="n">
        <v>279.38</v>
      </c>
      <c r="R167" s="5" t="n">
        <v>291.7</v>
      </c>
      <c r="W167" s="75">
        <f>TRUNC((_xlfn.NORM.INV((RAND()),$V$6,$V$7)),3)</f>
        <v/>
      </c>
      <c r="Y167" s="75" t="n">
        <v>172</v>
      </c>
      <c r="Z167" s="5" t="n">
        <v>6.681</v>
      </c>
      <c r="AA167" s="5" t="n">
        <v>6.728</v>
      </c>
      <c r="AB167" s="5" t="n">
        <v>6.781</v>
      </c>
      <c r="AG167" s="75">
        <f>TRUNC((_xlfn.NORM.INV((RAND()),$AF$6,$AF$7)),3)</f>
        <v/>
      </c>
      <c r="AI167" s="75" t="n">
        <v>172</v>
      </c>
      <c r="AJ167" s="5" t="n">
        <v>66.661</v>
      </c>
      <c r="AK167" s="5" t="n">
        <v>46.471</v>
      </c>
      <c r="AL167" s="5" t="n">
        <v>78.14700000000001</v>
      </c>
      <c r="AR167" s="75" t="n">
        <v>172</v>
      </c>
      <c r="AS167" s="5" t="n">
        <v>0</v>
      </c>
      <c r="AT167" s="5" t="n">
        <v>12.37579520487525</v>
      </c>
      <c r="AU167" s="5" t="n">
        <v>0</v>
      </c>
      <c r="AW167" s="75">
        <f>Z167/Demand!AU185</f>
        <v/>
      </c>
      <c r="AX167" s="75">
        <f>AA167/Demand!AV185</f>
        <v/>
      </c>
      <c r="AY167" s="75">
        <f>AB167/Demand!AW185</f>
        <v/>
      </c>
      <c r="BG167" s="75" t="n">
        <v>172</v>
      </c>
      <c r="BH167" s="75">
        <f>Results!$B$19+AJ167-Results!$D$21</f>
        <v/>
      </c>
      <c r="BI167" s="75">
        <f>Results!$B$19+AK167-Results!$D$21</f>
        <v/>
      </c>
      <c r="BJ167" s="75">
        <f>Results!$B$19+AL167-Results!$D$21</f>
        <v/>
      </c>
      <c r="BM167" s="75" t="n">
        <v>172</v>
      </c>
      <c r="BN167" s="75">
        <f>Results!D182</f>
        <v/>
      </c>
      <c r="BO167" s="75">
        <f>Results!E182</f>
        <v/>
      </c>
      <c r="BP167" s="75">
        <f>Results!F182</f>
        <v/>
      </c>
      <c r="BS167" s="75" t="n">
        <v>172</v>
      </c>
      <c r="BT167" s="75">
        <f>Demand!AU185</f>
        <v/>
      </c>
      <c r="BU167" s="75">
        <f>Demand!AV185</f>
        <v/>
      </c>
      <c r="BV167" s="75">
        <f>Demand!AW185</f>
        <v/>
      </c>
      <c r="BY167" s="75" t="n">
        <v>172</v>
      </c>
      <c r="BZ167" s="75">
        <f>Retailers_Cap!N168</f>
        <v/>
      </c>
      <c r="CA167" s="75">
        <f>Retailers_Cap!O168</f>
        <v/>
      </c>
      <c r="CB167" s="75">
        <f>Retailers_Cap!P168</f>
        <v/>
      </c>
      <c r="CD167" s="75" t="n">
        <v>172</v>
      </c>
      <c r="CE167" s="75">
        <f>IF((BT167-BZ167)&gt;=0,"Dem","Folga")</f>
        <v/>
      </c>
      <c r="CF167" s="75">
        <f>IF((BU167-CA167)&gt;=0,"Dem","Folga")</f>
        <v/>
      </c>
      <c r="CG167" s="75">
        <f>IF((BV167-CB167)&gt;=0,"Dem","Folga")</f>
        <v/>
      </c>
    </row>
    <row r="168">
      <c r="M168" s="75">
        <f>TRUNC((_xlfn.NORM.INV((RAND()),$L$6,$L$7)),2)</f>
        <v/>
      </c>
      <c r="O168" s="75" t="n">
        <v>173</v>
      </c>
      <c r="P168" s="5" t="n">
        <v>175.92</v>
      </c>
      <c r="Q168" s="5" t="n">
        <v>226.63</v>
      </c>
      <c r="R168" s="5" t="n">
        <v>194.9</v>
      </c>
      <c r="W168" s="75">
        <f>TRUNC((_xlfn.NORM.INV((RAND()),$V$6,$V$7)),3)</f>
        <v/>
      </c>
      <c r="Y168" s="75" t="n">
        <v>173</v>
      </c>
      <c r="Z168" s="5" t="n">
        <v>6.823</v>
      </c>
      <c r="AA168" s="5" t="n">
        <v>6.737</v>
      </c>
      <c r="AB168" s="5" t="n">
        <v>6.844</v>
      </c>
      <c r="AG168" s="75">
        <f>TRUNC((_xlfn.NORM.INV((RAND()),$AF$6,$AF$7)),3)</f>
        <v/>
      </c>
      <c r="AI168" s="75" t="n">
        <v>173</v>
      </c>
      <c r="AJ168" s="5" t="n">
        <v>55.997</v>
      </c>
      <c r="AK168" s="5" t="n">
        <v>62.861</v>
      </c>
      <c r="AL168" s="5" t="n">
        <v>94.697</v>
      </c>
      <c r="AR168" s="75" t="n">
        <v>173</v>
      </c>
      <c r="AS168" s="5" t="n">
        <v>4.271704600128125</v>
      </c>
      <c r="AT168" s="5" t="n">
        <v>0</v>
      </c>
      <c r="AU168" s="5" t="n">
        <v>0</v>
      </c>
      <c r="AW168" s="75">
        <f>Z168/Demand!AU186</f>
        <v/>
      </c>
      <c r="AX168" s="75">
        <f>AA168/Demand!AV186</f>
        <v/>
      </c>
      <c r="AY168" s="75">
        <f>AB168/Demand!AW186</f>
        <v/>
      </c>
      <c r="BG168" s="75" t="n">
        <v>173</v>
      </c>
      <c r="BH168" s="75">
        <f>Results!$B$19+AJ168-Results!$D$21</f>
        <v/>
      </c>
      <c r="BI168" s="75">
        <f>Results!$B$19+AK168-Results!$D$21</f>
        <v/>
      </c>
      <c r="BJ168" s="75">
        <f>Results!$B$19+AL168-Results!$D$21</f>
        <v/>
      </c>
      <c r="BM168" s="75" t="n">
        <v>173</v>
      </c>
      <c r="BN168" s="75">
        <f>Results!D183</f>
        <v/>
      </c>
      <c r="BO168" s="75">
        <f>Results!E183</f>
        <v/>
      </c>
      <c r="BP168" s="75">
        <f>Results!F183</f>
        <v/>
      </c>
      <c r="BS168" s="75" t="n">
        <v>173</v>
      </c>
      <c r="BT168" s="75">
        <f>Demand!AU186</f>
        <v/>
      </c>
      <c r="BU168" s="75">
        <f>Demand!AV186</f>
        <v/>
      </c>
      <c r="BV168" s="75">
        <f>Demand!AW186</f>
        <v/>
      </c>
      <c r="BY168" s="75" t="n">
        <v>173</v>
      </c>
      <c r="BZ168" s="75">
        <f>Retailers_Cap!N169</f>
        <v/>
      </c>
      <c r="CA168" s="75">
        <f>Retailers_Cap!O169</f>
        <v/>
      </c>
      <c r="CB168" s="75">
        <f>Retailers_Cap!P169</f>
        <v/>
      </c>
      <c r="CD168" s="75" t="n">
        <v>173</v>
      </c>
      <c r="CE168" s="75">
        <f>IF((BT168-BZ168)&gt;=0,"Dem","Folga")</f>
        <v/>
      </c>
      <c r="CF168" s="75">
        <f>IF((BU168-CA168)&gt;=0,"Dem","Folga")</f>
        <v/>
      </c>
      <c r="CG168" s="75">
        <f>IF((BV168-CB168)&gt;=0,"Dem","Folga")</f>
        <v/>
      </c>
    </row>
    <row r="169">
      <c r="M169" s="75">
        <f>TRUNC((_xlfn.NORM.INV((RAND()),$L$6,$L$7)),2)</f>
        <v/>
      </c>
      <c r="O169" s="75" t="n">
        <v>174</v>
      </c>
      <c r="P169" s="5" t="n">
        <v>250.3</v>
      </c>
      <c r="Q169" s="5" t="n">
        <v>277.04</v>
      </c>
      <c r="R169" s="5" t="n">
        <v>222.81</v>
      </c>
      <c r="W169" s="75">
        <f>TRUNC((_xlfn.NORM.INV((RAND()),$V$6,$V$7)),3)</f>
        <v/>
      </c>
      <c r="Y169" s="75" t="n">
        <v>174</v>
      </c>
      <c r="Z169" s="5" t="n">
        <v>6.744</v>
      </c>
      <c r="AA169" s="5" t="n">
        <v>6.753</v>
      </c>
      <c r="AB169" s="5" t="n">
        <v>6.771</v>
      </c>
      <c r="AG169" s="75">
        <f>TRUNC((_xlfn.NORM.INV((RAND()),$AF$6,$AF$7)),3)</f>
        <v/>
      </c>
      <c r="AI169" s="75" t="n">
        <v>174</v>
      </c>
      <c r="AJ169" s="5" t="n">
        <v>62.222</v>
      </c>
      <c r="AK169" s="5" t="n">
        <v>53.686</v>
      </c>
      <c r="AL169" s="5" t="n">
        <v>67.50700000000001</v>
      </c>
      <c r="AR169" s="75" t="n">
        <v>174</v>
      </c>
      <c r="AS169" s="5" t="n">
        <v>0</v>
      </c>
      <c r="AT169" s="5" t="n">
        <v>0</v>
      </c>
      <c r="AU169" s="5" t="n">
        <v>0</v>
      </c>
      <c r="AW169" s="75">
        <f>Z169/Demand!AU187</f>
        <v/>
      </c>
      <c r="AX169" s="75">
        <f>AA169/Demand!AV187</f>
        <v/>
      </c>
      <c r="AY169" s="75">
        <f>AB169/Demand!AW187</f>
        <v/>
      </c>
      <c r="BG169" s="75" t="n">
        <v>174</v>
      </c>
      <c r="BH169" s="75">
        <f>Results!$B$19+AJ169-Results!$D$21</f>
        <v/>
      </c>
      <c r="BI169" s="75">
        <f>Results!$B$19+AK169-Results!$D$21</f>
        <v/>
      </c>
      <c r="BJ169" s="75">
        <f>Results!$B$19+AL169-Results!$D$21</f>
        <v/>
      </c>
      <c r="BM169" s="75" t="n">
        <v>174</v>
      </c>
      <c r="BN169" s="75">
        <f>Results!D184</f>
        <v/>
      </c>
      <c r="BO169" s="75">
        <f>Results!E184</f>
        <v/>
      </c>
      <c r="BP169" s="75">
        <f>Results!F184</f>
        <v/>
      </c>
      <c r="BS169" s="75" t="n">
        <v>174</v>
      </c>
      <c r="BT169" s="75">
        <f>Demand!AU187</f>
        <v/>
      </c>
      <c r="BU169" s="75">
        <f>Demand!AV187</f>
        <v/>
      </c>
      <c r="BV169" s="75">
        <f>Demand!AW187</f>
        <v/>
      </c>
      <c r="BY169" s="75" t="n">
        <v>174</v>
      </c>
      <c r="BZ169" s="75">
        <f>Retailers_Cap!N170</f>
        <v/>
      </c>
      <c r="CA169" s="75">
        <f>Retailers_Cap!O170</f>
        <v/>
      </c>
      <c r="CB169" s="75">
        <f>Retailers_Cap!P170</f>
        <v/>
      </c>
      <c r="CD169" s="75" t="n">
        <v>174</v>
      </c>
      <c r="CE169" s="75">
        <f>IF((BT169-BZ169)&gt;=0,"Dem","Folga")</f>
        <v/>
      </c>
      <c r="CF169" s="75">
        <f>IF((BU169-CA169)&gt;=0,"Dem","Folga")</f>
        <v/>
      </c>
      <c r="CG169" s="75">
        <f>IF((BV169-CB169)&gt;=0,"Dem","Folga")</f>
        <v/>
      </c>
    </row>
    <row r="170">
      <c r="M170" s="75">
        <f>TRUNC((_xlfn.NORM.INV((RAND()),$L$6,$L$7)),2)</f>
        <v/>
      </c>
      <c r="O170" s="75" t="n">
        <v>175</v>
      </c>
      <c r="P170" s="5" t="n">
        <v>192.49</v>
      </c>
      <c r="Q170" s="5" t="n">
        <v>203.63</v>
      </c>
      <c r="R170" s="5" t="n">
        <v>231.48</v>
      </c>
      <c r="W170" s="75">
        <f>TRUNC((_xlfn.NORM.INV((RAND()),$V$6,$V$7)),3)</f>
        <v/>
      </c>
      <c r="Y170" s="75" t="n">
        <v>175</v>
      </c>
      <c r="Z170" s="5" t="n">
        <v>6.659</v>
      </c>
      <c r="AA170" s="5" t="n">
        <v>6.836</v>
      </c>
      <c r="AB170" s="5" t="n">
        <v>6.747</v>
      </c>
      <c r="AG170" s="75">
        <f>TRUNC((_xlfn.NORM.INV((RAND()),$AF$6,$AF$7)),3)</f>
        <v/>
      </c>
      <c r="AI170" s="75" t="n">
        <v>175</v>
      </c>
      <c r="AJ170" s="5" t="n">
        <v>51.259</v>
      </c>
      <c r="AK170" s="5" t="n">
        <v>47.085</v>
      </c>
      <c r="AL170" s="5" t="n">
        <v>74.723</v>
      </c>
      <c r="AR170" s="75" t="n">
        <v>175</v>
      </c>
      <c r="AS170" s="5" t="n">
        <v>0</v>
      </c>
      <c r="AT170" s="5" t="n">
        <v>0</v>
      </c>
      <c r="AU170" s="5" t="n">
        <v>0</v>
      </c>
      <c r="AW170" s="75">
        <f>Z170/Demand!AU188</f>
        <v/>
      </c>
      <c r="AX170" s="75">
        <f>AA170/Demand!AV188</f>
        <v/>
      </c>
      <c r="AY170" s="75">
        <f>AB170/Demand!AW188</f>
        <v/>
      </c>
      <c r="BG170" s="75" t="n">
        <v>175</v>
      </c>
      <c r="BH170" s="75">
        <f>Results!$B$19+AJ170-Results!$D$21</f>
        <v/>
      </c>
      <c r="BI170" s="75">
        <f>Results!$B$19+AK170-Results!$D$21</f>
        <v/>
      </c>
      <c r="BJ170" s="75">
        <f>Results!$B$19+AL170-Results!$D$21</f>
        <v/>
      </c>
      <c r="BM170" s="75" t="n">
        <v>175</v>
      </c>
      <c r="BN170" s="75">
        <f>Results!D185</f>
        <v/>
      </c>
      <c r="BO170" s="75">
        <f>Results!E185</f>
        <v/>
      </c>
      <c r="BP170" s="75">
        <f>Results!F185</f>
        <v/>
      </c>
      <c r="BS170" s="75" t="n">
        <v>175</v>
      </c>
      <c r="BT170" s="75">
        <f>Demand!AU188</f>
        <v/>
      </c>
      <c r="BU170" s="75">
        <f>Demand!AV188</f>
        <v/>
      </c>
      <c r="BV170" s="75">
        <f>Demand!AW188</f>
        <v/>
      </c>
      <c r="BY170" s="75" t="n">
        <v>175</v>
      </c>
      <c r="BZ170" s="75">
        <f>Retailers_Cap!N171</f>
        <v/>
      </c>
      <c r="CA170" s="75">
        <f>Retailers_Cap!O171</f>
        <v/>
      </c>
      <c r="CB170" s="75">
        <f>Retailers_Cap!P171</f>
        <v/>
      </c>
      <c r="CD170" s="75" t="n">
        <v>175</v>
      </c>
      <c r="CE170" s="75">
        <f>IF((BT170-BZ170)&gt;=0,"Dem","Folga")</f>
        <v/>
      </c>
      <c r="CF170" s="75">
        <f>IF((BU170-CA170)&gt;=0,"Dem","Folga")</f>
        <v/>
      </c>
      <c r="CG170" s="75">
        <f>IF((BV170-CB170)&gt;=0,"Dem","Folga")</f>
        <v/>
      </c>
    </row>
    <row r="171">
      <c r="M171" s="75">
        <f>TRUNC((_xlfn.NORM.INV((RAND()),$L$6,$L$7)),2)</f>
        <v/>
      </c>
      <c r="O171" s="75" t="n">
        <v>176</v>
      </c>
      <c r="P171" s="5" t="n">
        <v>226.73</v>
      </c>
      <c r="Q171" s="5" t="n">
        <v>168.66</v>
      </c>
      <c r="R171" s="5" t="n">
        <v>241.61</v>
      </c>
      <c r="W171" s="75">
        <f>TRUNC((_xlfn.NORM.INV((RAND()),$V$6,$V$7)),3)</f>
        <v/>
      </c>
      <c r="Y171" s="75" t="n">
        <v>176</v>
      </c>
      <c r="Z171" s="5" t="n">
        <v>6.68</v>
      </c>
      <c r="AA171" s="5" t="n">
        <v>6.782</v>
      </c>
      <c r="AB171" s="5" t="n">
        <v>6.803</v>
      </c>
      <c r="AG171" s="75">
        <f>TRUNC((_xlfn.NORM.INV((RAND()),$AF$6,$AF$7)),3)</f>
        <v/>
      </c>
      <c r="AI171" s="75" t="n">
        <v>176</v>
      </c>
      <c r="AJ171" s="5" t="n">
        <v>76.328</v>
      </c>
      <c r="AK171" s="5" t="n">
        <v>59.529</v>
      </c>
      <c r="AL171" s="5" t="n">
        <v>78.256</v>
      </c>
      <c r="AR171" s="75" t="n">
        <v>176</v>
      </c>
      <c r="AS171" s="5" t="n">
        <v>19.88787224722858</v>
      </c>
      <c r="AT171" s="5" t="n">
        <v>34.75334513803566</v>
      </c>
      <c r="AU171" s="5" t="n">
        <v>5.823296301799129</v>
      </c>
      <c r="AW171" s="75">
        <f>Z171/Demand!AU189</f>
        <v/>
      </c>
      <c r="AX171" s="75">
        <f>AA171/Demand!AV189</f>
        <v/>
      </c>
      <c r="AY171" s="75">
        <f>AB171/Demand!AW189</f>
        <v/>
      </c>
      <c r="BG171" s="75" t="n">
        <v>176</v>
      </c>
      <c r="BH171" s="75">
        <f>Results!$B$19+AJ171-Results!$D$21</f>
        <v/>
      </c>
      <c r="BI171" s="75">
        <f>Results!$B$19+AK171-Results!$D$21</f>
        <v/>
      </c>
      <c r="BJ171" s="75">
        <f>Results!$B$19+AL171-Results!$D$21</f>
        <v/>
      </c>
      <c r="BM171" s="75" t="n">
        <v>176</v>
      </c>
      <c r="BN171" s="75">
        <f>Results!D186</f>
        <v/>
      </c>
      <c r="BO171" s="75">
        <f>Results!E186</f>
        <v/>
      </c>
      <c r="BP171" s="75">
        <f>Results!F186</f>
        <v/>
      </c>
      <c r="BS171" s="75" t="n">
        <v>176</v>
      </c>
      <c r="BT171" s="75">
        <f>Demand!AU189</f>
        <v/>
      </c>
      <c r="BU171" s="75">
        <f>Demand!AV189</f>
        <v/>
      </c>
      <c r="BV171" s="75">
        <f>Demand!AW189</f>
        <v/>
      </c>
      <c r="BY171" s="75" t="n">
        <v>176</v>
      </c>
      <c r="BZ171" s="75">
        <f>Retailers_Cap!N172</f>
        <v/>
      </c>
      <c r="CA171" s="75">
        <f>Retailers_Cap!O172</f>
        <v/>
      </c>
      <c r="CB171" s="75">
        <f>Retailers_Cap!P172</f>
        <v/>
      </c>
      <c r="CD171" s="75" t="n">
        <v>176</v>
      </c>
      <c r="CE171" s="75">
        <f>IF((BT171-BZ171)&gt;=0,"Dem","Folga")</f>
        <v/>
      </c>
      <c r="CF171" s="75">
        <f>IF((BU171-CA171)&gt;=0,"Dem","Folga")</f>
        <v/>
      </c>
      <c r="CG171" s="75">
        <f>IF((BV171-CB171)&gt;=0,"Dem","Folga")</f>
        <v/>
      </c>
    </row>
    <row r="172">
      <c r="M172" s="75">
        <f>TRUNC((_xlfn.NORM.INV((RAND()),$L$6,$L$7)),2)</f>
        <v/>
      </c>
      <c r="O172" s="75" t="n">
        <v>177</v>
      </c>
      <c r="P172" s="5" t="n">
        <v>115.99</v>
      </c>
      <c r="Q172" s="5" t="n">
        <v>195.08</v>
      </c>
      <c r="R172" s="5" t="n">
        <v>262.31</v>
      </c>
      <c r="W172" s="75">
        <f>TRUNC((_xlfn.NORM.INV((RAND()),$V$6,$V$7)),3)</f>
        <v/>
      </c>
      <c r="Y172" s="75" t="n">
        <v>177</v>
      </c>
      <c r="Z172" s="5" t="n">
        <v>6.573</v>
      </c>
      <c r="AA172" s="5" t="n">
        <v>6.749</v>
      </c>
      <c r="AB172" s="5" t="n">
        <v>6.771</v>
      </c>
      <c r="AG172" s="75">
        <f>TRUNC((_xlfn.NORM.INV((RAND()),$AF$6,$AF$7)),3)</f>
        <v/>
      </c>
      <c r="AI172" s="75" t="n">
        <v>177</v>
      </c>
      <c r="AJ172" s="5" t="n">
        <v>61.991</v>
      </c>
      <c r="AK172" s="5" t="n">
        <v>50.447</v>
      </c>
      <c r="AL172" s="5" t="n">
        <v>44.912</v>
      </c>
      <c r="AR172" s="75" t="n">
        <v>177</v>
      </c>
      <c r="AS172" s="5" t="n">
        <v>0</v>
      </c>
      <c r="AT172" s="5" t="n">
        <v>13.91290540893562</v>
      </c>
      <c r="AU172" s="5" t="n">
        <v>0</v>
      </c>
      <c r="AW172" s="75">
        <f>Z172/Demand!AU190</f>
        <v/>
      </c>
      <c r="AX172" s="75">
        <f>AA172/Demand!AV190</f>
        <v/>
      </c>
      <c r="AY172" s="75">
        <f>AB172/Demand!AW190</f>
        <v/>
      </c>
      <c r="BG172" s="75" t="n">
        <v>177</v>
      </c>
      <c r="BH172" s="75">
        <f>Results!$B$19+AJ172-Results!$D$21</f>
        <v/>
      </c>
      <c r="BI172" s="75">
        <f>Results!$B$19+AK172-Results!$D$21</f>
        <v/>
      </c>
      <c r="BJ172" s="75">
        <f>Results!$B$19+AL172-Results!$D$21</f>
        <v/>
      </c>
      <c r="BM172" s="75" t="n">
        <v>177</v>
      </c>
      <c r="BN172" s="75">
        <f>Results!D187</f>
        <v/>
      </c>
      <c r="BO172" s="75">
        <f>Results!E187</f>
        <v/>
      </c>
      <c r="BP172" s="75">
        <f>Results!F187</f>
        <v/>
      </c>
      <c r="BS172" s="75" t="n">
        <v>177</v>
      </c>
      <c r="BT172" s="75">
        <f>Demand!AU190</f>
        <v/>
      </c>
      <c r="BU172" s="75">
        <f>Demand!AV190</f>
        <v/>
      </c>
      <c r="BV172" s="75">
        <f>Demand!AW190</f>
        <v/>
      </c>
      <c r="BY172" s="75" t="n">
        <v>177</v>
      </c>
      <c r="BZ172" s="75">
        <f>Retailers_Cap!N173</f>
        <v/>
      </c>
      <c r="CA172" s="75">
        <f>Retailers_Cap!O173</f>
        <v/>
      </c>
      <c r="CB172" s="75">
        <f>Retailers_Cap!P173</f>
        <v/>
      </c>
      <c r="CD172" s="75" t="n">
        <v>177</v>
      </c>
      <c r="CE172" s="75">
        <f>IF((BT172-BZ172)&gt;=0,"Dem","Folga")</f>
        <v/>
      </c>
      <c r="CF172" s="75">
        <f>IF((BU172-CA172)&gt;=0,"Dem","Folga")</f>
        <v/>
      </c>
      <c r="CG172" s="75">
        <f>IF((BV172-CB172)&gt;=0,"Dem","Folga")</f>
        <v/>
      </c>
    </row>
    <row r="173">
      <c r="M173" s="75">
        <f>TRUNC((_xlfn.NORM.INV((RAND()),$L$6,$L$7)),2)</f>
        <v/>
      </c>
      <c r="O173" s="75" t="n">
        <v>178</v>
      </c>
      <c r="P173" s="5" t="n">
        <v>191.21</v>
      </c>
      <c r="Q173" s="5" t="n">
        <v>176.51</v>
      </c>
      <c r="R173" s="5" t="n">
        <v>263.96</v>
      </c>
      <c r="W173" s="75">
        <f>TRUNC((_xlfn.NORM.INV((RAND()),$V$6,$V$7)),3)</f>
        <v/>
      </c>
      <c r="Y173" s="75" t="n">
        <v>178</v>
      </c>
      <c r="Z173" s="5" t="n">
        <v>6.73</v>
      </c>
      <c r="AA173" s="5" t="n">
        <v>6.787</v>
      </c>
      <c r="AB173" s="5" t="n">
        <v>6.833</v>
      </c>
      <c r="AG173" s="75">
        <f>TRUNC((_xlfn.NORM.INV((RAND()),$AF$6,$AF$7)),3)</f>
        <v/>
      </c>
      <c r="AI173" s="75" t="n">
        <v>178</v>
      </c>
      <c r="AJ173" s="5" t="n">
        <v>70.702</v>
      </c>
      <c r="AK173" s="5" t="n">
        <v>62.289</v>
      </c>
      <c r="AL173" s="5" t="n">
        <v>57.974</v>
      </c>
      <c r="AR173" s="75" t="n">
        <v>178</v>
      </c>
      <c r="AS173" s="5" t="n">
        <v>0</v>
      </c>
      <c r="AT173" s="5" t="n">
        <v>3.355676903101748</v>
      </c>
      <c r="AU173" s="5" t="n">
        <v>4.022358003209589</v>
      </c>
      <c r="AW173" s="75">
        <f>Z173/Demand!AU191</f>
        <v/>
      </c>
      <c r="AX173" s="75">
        <f>AA173/Demand!AV191</f>
        <v/>
      </c>
      <c r="AY173" s="75">
        <f>AB173/Demand!AW191</f>
        <v/>
      </c>
      <c r="BG173" s="75" t="n">
        <v>178</v>
      </c>
      <c r="BH173" s="75">
        <f>Results!$B$19+AJ173-Results!$D$21</f>
        <v/>
      </c>
      <c r="BI173" s="75">
        <f>Results!$B$19+AK173-Results!$D$21</f>
        <v/>
      </c>
      <c r="BJ173" s="75">
        <f>Results!$B$19+AL173-Results!$D$21</f>
        <v/>
      </c>
      <c r="BM173" s="75" t="n">
        <v>178</v>
      </c>
      <c r="BN173" s="75">
        <f>Results!D188</f>
        <v/>
      </c>
      <c r="BO173" s="75">
        <f>Results!E188</f>
        <v/>
      </c>
      <c r="BP173" s="75">
        <f>Results!F188</f>
        <v/>
      </c>
      <c r="BS173" s="75" t="n">
        <v>178</v>
      </c>
      <c r="BT173" s="75">
        <f>Demand!AU191</f>
        <v/>
      </c>
      <c r="BU173" s="75">
        <f>Demand!AV191</f>
        <v/>
      </c>
      <c r="BV173" s="75">
        <f>Demand!AW191</f>
        <v/>
      </c>
      <c r="BY173" s="75" t="n">
        <v>178</v>
      </c>
      <c r="BZ173" s="75">
        <f>Retailers_Cap!N174</f>
        <v/>
      </c>
      <c r="CA173" s="75">
        <f>Retailers_Cap!O174</f>
        <v/>
      </c>
      <c r="CB173" s="75">
        <f>Retailers_Cap!P174</f>
        <v/>
      </c>
      <c r="CD173" s="75" t="n">
        <v>178</v>
      </c>
      <c r="CE173" s="75">
        <f>IF((BT173-BZ173)&gt;=0,"Dem","Folga")</f>
        <v/>
      </c>
      <c r="CF173" s="75">
        <f>IF((BU173-CA173)&gt;=0,"Dem","Folga")</f>
        <v/>
      </c>
      <c r="CG173" s="75">
        <f>IF((BV173-CB173)&gt;=0,"Dem","Folga")</f>
        <v/>
      </c>
    </row>
    <row r="174">
      <c r="M174" s="75">
        <f>TRUNC((_xlfn.NORM.INV((RAND()),$L$6,$L$7)),2)</f>
        <v/>
      </c>
      <c r="O174" s="75" t="n">
        <v>179</v>
      </c>
      <c r="P174" s="5" t="n">
        <v>257.32</v>
      </c>
      <c r="Q174" s="5" t="n">
        <v>127.66</v>
      </c>
      <c r="R174" s="5" t="n">
        <v>172.49</v>
      </c>
      <c r="W174" s="75">
        <f>TRUNC((_xlfn.NORM.INV((RAND()),$V$6,$V$7)),3)</f>
        <v/>
      </c>
      <c r="Y174" s="75" t="n">
        <v>179</v>
      </c>
      <c r="Z174" s="5" t="n">
        <v>6.893</v>
      </c>
      <c r="AA174" s="5" t="n">
        <v>6.792</v>
      </c>
      <c r="AB174" s="5" t="n">
        <v>6.648</v>
      </c>
      <c r="AG174" s="75">
        <f>TRUNC((_xlfn.NORM.INV((RAND()),$AF$6,$AF$7)),3)</f>
        <v/>
      </c>
      <c r="AI174" s="75" t="n">
        <v>179</v>
      </c>
      <c r="AJ174" s="5" t="n">
        <v>49.258</v>
      </c>
      <c r="AK174" s="5" t="n">
        <v>86.279</v>
      </c>
      <c r="AL174" s="5" t="n">
        <v>81.41200000000001</v>
      </c>
      <c r="AR174" s="75" t="n">
        <v>179</v>
      </c>
      <c r="AS174" s="5" t="n">
        <v>0</v>
      </c>
      <c r="AT174" s="5" t="n">
        <v>0</v>
      </c>
      <c r="AU174" s="5" t="n">
        <v>0</v>
      </c>
      <c r="AW174" s="75">
        <f>Z174/Demand!AU192</f>
        <v/>
      </c>
      <c r="AX174" s="75">
        <f>AA174/Demand!AV192</f>
        <v/>
      </c>
      <c r="AY174" s="75">
        <f>AB174/Demand!AW192</f>
        <v/>
      </c>
      <c r="BG174" s="75" t="n">
        <v>179</v>
      </c>
      <c r="BH174" s="75">
        <f>Results!$B$19+AJ174-Results!$D$21</f>
        <v/>
      </c>
      <c r="BI174" s="75">
        <f>Results!$B$19+AK174-Results!$D$21</f>
        <v/>
      </c>
      <c r="BJ174" s="75">
        <f>Results!$B$19+AL174-Results!$D$21</f>
        <v/>
      </c>
      <c r="BM174" s="75" t="n">
        <v>179</v>
      </c>
      <c r="BN174" s="75">
        <f>Results!D189</f>
        <v/>
      </c>
      <c r="BO174" s="75">
        <f>Results!E189</f>
        <v/>
      </c>
      <c r="BP174" s="75">
        <f>Results!F189</f>
        <v/>
      </c>
      <c r="BS174" s="75" t="n">
        <v>179</v>
      </c>
      <c r="BT174" s="75">
        <f>Demand!AU192</f>
        <v/>
      </c>
      <c r="BU174" s="75">
        <f>Demand!AV192</f>
        <v/>
      </c>
      <c r="BV174" s="75">
        <f>Demand!AW192</f>
        <v/>
      </c>
      <c r="BY174" s="75" t="n">
        <v>179</v>
      </c>
      <c r="BZ174" s="75">
        <f>Retailers_Cap!N175</f>
        <v/>
      </c>
      <c r="CA174" s="75">
        <f>Retailers_Cap!O175</f>
        <v/>
      </c>
      <c r="CB174" s="75">
        <f>Retailers_Cap!P175</f>
        <v/>
      </c>
      <c r="CD174" s="75" t="n">
        <v>179</v>
      </c>
      <c r="CE174" s="75">
        <f>IF((BT174-BZ174)&gt;=0,"Dem","Folga")</f>
        <v/>
      </c>
      <c r="CF174" s="75">
        <f>IF((BU174-CA174)&gt;=0,"Dem","Folga")</f>
        <v/>
      </c>
      <c r="CG174" s="75">
        <f>IF((BV174-CB174)&gt;=0,"Dem","Folga")</f>
        <v/>
      </c>
    </row>
    <row r="175">
      <c r="M175" s="75">
        <f>TRUNC((_xlfn.NORM.INV((RAND()),$L$6,$L$7)),2)</f>
        <v/>
      </c>
      <c r="O175" s="75" t="n">
        <v>180</v>
      </c>
      <c r="P175" s="5" t="n">
        <v>188.68</v>
      </c>
      <c r="Q175" s="5" t="n">
        <v>209.57</v>
      </c>
      <c r="R175" s="5" t="n">
        <v>165.19</v>
      </c>
      <c r="W175" s="75">
        <f>TRUNC((_xlfn.NORM.INV((RAND()),$V$6,$V$7)),3)</f>
        <v/>
      </c>
      <c r="Y175" s="75" t="n">
        <v>180</v>
      </c>
      <c r="Z175" s="5" t="n">
        <v>6.711</v>
      </c>
      <c r="AA175" s="5" t="n">
        <v>6.713</v>
      </c>
      <c r="AB175" s="5" t="n">
        <v>6.78</v>
      </c>
      <c r="AG175" s="75">
        <f>TRUNC((_xlfn.NORM.INV((RAND()),$AF$6,$AF$7)),3)</f>
        <v/>
      </c>
      <c r="AI175" s="75" t="n">
        <v>180</v>
      </c>
      <c r="AJ175" s="5" t="n">
        <v>54.315</v>
      </c>
      <c r="AK175" s="5" t="n">
        <v>69.72799999999999</v>
      </c>
      <c r="AL175" s="5" t="n">
        <v>66.7</v>
      </c>
      <c r="AR175" s="75" t="n">
        <v>180</v>
      </c>
      <c r="AS175" s="5" t="n">
        <v>0</v>
      </c>
      <c r="AT175" s="5" t="n">
        <v>10.8400311324065</v>
      </c>
      <c r="AU175" s="5" t="n">
        <v>6.722390536916445</v>
      </c>
      <c r="AW175" s="75">
        <f>Z175/Demand!AU193</f>
        <v/>
      </c>
      <c r="AX175" s="75">
        <f>AA175/Demand!AV193</f>
        <v/>
      </c>
      <c r="AY175" s="75">
        <f>AB175/Demand!AW193</f>
        <v/>
      </c>
      <c r="BG175" s="75" t="n">
        <v>180</v>
      </c>
      <c r="BH175" s="75">
        <f>Results!$B$19+AJ175-Results!$D$21</f>
        <v/>
      </c>
      <c r="BI175" s="75">
        <f>Results!$B$19+AK175-Results!$D$21</f>
        <v/>
      </c>
      <c r="BJ175" s="75">
        <f>Results!$B$19+AL175-Results!$D$21</f>
        <v/>
      </c>
      <c r="BM175" s="75" t="n">
        <v>180</v>
      </c>
      <c r="BN175" s="75">
        <f>Results!D190</f>
        <v/>
      </c>
      <c r="BO175" s="75">
        <f>Results!E190</f>
        <v/>
      </c>
      <c r="BP175" s="75">
        <f>Results!F190</f>
        <v/>
      </c>
      <c r="BS175" s="75" t="n">
        <v>180</v>
      </c>
      <c r="BT175" s="75">
        <f>Demand!AU193</f>
        <v/>
      </c>
      <c r="BU175" s="75">
        <f>Demand!AV193</f>
        <v/>
      </c>
      <c r="BV175" s="75">
        <f>Demand!AW193</f>
        <v/>
      </c>
      <c r="BY175" s="75" t="n">
        <v>180</v>
      </c>
      <c r="BZ175" s="75">
        <f>Retailers_Cap!N176</f>
        <v/>
      </c>
      <c r="CA175" s="75">
        <f>Retailers_Cap!O176</f>
        <v/>
      </c>
      <c r="CB175" s="75">
        <f>Retailers_Cap!P176</f>
        <v/>
      </c>
      <c r="CD175" s="75" t="n">
        <v>180</v>
      </c>
      <c r="CE175" s="75">
        <f>IF((BT175-BZ175)&gt;=0,"Dem","Folga")</f>
        <v/>
      </c>
      <c r="CF175" s="75">
        <f>IF((BU175-CA175)&gt;=0,"Dem","Folga")</f>
        <v/>
      </c>
      <c r="CG175" s="75">
        <f>IF((BV175-CB175)&gt;=0,"Dem","Folga")</f>
        <v/>
      </c>
    </row>
    <row r="176">
      <c r="M176" s="75">
        <f>TRUNC((_xlfn.NORM.INV((RAND()),$L$6,$L$7)),2)</f>
        <v/>
      </c>
      <c r="O176" s="75" t="n">
        <v>181</v>
      </c>
      <c r="P176" s="5" t="n">
        <v>183.72</v>
      </c>
      <c r="Q176" s="5" t="n">
        <v>217.51</v>
      </c>
      <c r="R176" s="5" t="n">
        <v>157.5</v>
      </c>
      <c r="W176" s="75">
        <f>TRUNC((_xlfn.NORM.INV((RAND()),$V$6,$V$7)),3)</f>
        <v/>
      </c>
      <c r="Y176" s="75" t="n">
        <v>181</v>
      </c>
      <c r="Z176" s="5" t="n">
        <v>6.701</v>
      </c>
      <c r="AA176" s="5" t="n">
        <v>6.753</v>
      </c>
      <c r="AB176" s="5" t="n">
        <v>6.813</v>
      </c>
      <c r="AG176" s="75">
        <f>TRUNC((_xlfn.NORM.INV((RAND()),$AF$6,$AF$7)),3)</f>
        <v/>
      </c>
      <c r="AI176" s="75" t="n">
        <v>181</v>
      </c>
      <c r="AJ176" s="5" t="n">
        <v>56.533</v>
      </c>
      <c r="AK176" s="5" t="n">
        <v>65.581</v>
      </c>
      <c r="AL176" s="5" t="n">
        <v>66.003</v>
      </c>
      <c r="AR176" s="75" t="n">
        <v>181</v>
      </c>
      <c r="AS176" s="5" t="n">
        <v>0</v>
      </c>
      <c r="AT176" s="5" t="n">
        <v>0</v>
      </c>
      <c r="AU176" s="5" t="n">
        <v>0</v>
      </c>
      <c r="AW176" s="75">
        <f>Z176/Demand!AU194</f>
        <v/>
      </c>
      <c r="AX176" s="75">
        <f>AA176/Demand!AV194</f>
        <v/>
      </c>
      <c r="AY176" s="75">
        <f>AB176/Demand!AW194</f>
        <v/>
      </c>
      <c r="BG176" s="75" t="n">
        <v>181</v>
      </c>
      <c r="BH176" s="75">
        <f>Results!$B$19+AJ176-Results!$D$21</f>
        <v/>
      </c>
      <c r="BI176" s="75">
        <f>Results!$B$19+AK176-Results!$D$21</f>
        <v/>
      </c>
      <c r="BJ176" s="75">
        <f>Results!$B$19+AL176-Results!$D$21</f>
        <v/>
      </c>
      <c r="BM176" s="75" t="n">
        <v>181</v>
      </c>
      <c r="BN176" s="75">
        <f>Results!D191</f>
        <v/>
      </c>
      <c r="BO176" s="75">
        <f>Results!E191</f>
        <v/>
      </c>
      <c r="BP176" s="75">
        <f>Results!F191</f>
        <v/>
      </c>
      <c r="BS176" s="75" t="n">
        <v>181</v>
      </c>
      <c r="BT176" s="75">
        <f>Demand!AU194</f>
        <v/>
      </c>
      <c r="BU176" s="75">
        <f>Demand!AV194</f>
        <v/>
      </c>
      <c r="BV176" s="75">
        <f>Demand!AW194</f>
        <v/>
      </c>
      <c r="BY176" s="75" t="n">
        <v>181</v>
      </c>
      <c r="BZ176" s="75">
        <f>Retailers_Cap!N177</f>
        <v/>
      </c>
      <c r="CA176" s="75">
        <f>Retailers_Cap!O177</f>
        <v/>
      </c>
      <c r="CB176" s="75">
        <f>Retailers_Cap!P177</f>
        <v/>
      </c>
      <c r="CD176" s="75" t="n">
        <v>181</v>
      </c>
      <c r="CE176" s="75">
        <f>IF((BT176-BZ176)&gt;=0,"Dem","Folga")</f>
        <v/>
      </c>
      <c r="CF176" s="75">
        <f>IF((BU176-CA176)&gt;=0,"Dem","Folga")</f>
        <v/>
      </c>
      <c r="CG176" s="75">
        <f>IF((BV176-CB176)&gt;=0,"Dem","Folga")</f>
        <v/>
      </c>
    </row>
    <row r="177">
      <c r="M177" s="75">
        <f>TRUNC((_xlfn.NORM.INV((RAND()),$L$6,$L$7)),2)</f>
        <v/>
      </c>
      <c r="O177" s="75" t="n">
        <v>182</v>
      </c>
      <c r="P177" s="5" t="n">
        <v>157.19</v>
      </c>
      <c r="Q177" s="5" t="n">
        <v>212.79</v>
      </c>
      <c r="R177" s="5" t="n">
        <v>261.24</v>
      </c>
      <c r="W177" s="75">
        <f>TRUNC((_xlfn.NORM.INV((RAND()),$V$6,$V$7)),3)</f>
        <v/>
      </c>
      <c r="Y177" s="75" t="n">
        <v>182</v>
      </c>
      <c r="Z177" s="5" t="n">
        <v>6.825</v>
      </c>
      <c r="AA177" s="5" t="n">
        <v>6.807</v>
      </c>
      <c r="AB177" s="5" t="n">
        <v>6.846</v>
      </c>
      <c r="AG177" s="75">
        <f>TRUNC((_xlfn.NORM.INV((RAND()),$AF$6,$AF$7)),3)</f>
        <v/>
      </c>
      <c r="AI177" s="75" t="n">
        <v>182</v>
      </c>
      <c r="AJ177" s="5" t="n">
        <v>56.555</v>
      </c>
      <c r="AK177" s="5" t="n">
        <v>63.908</v>
      </c>
      <c r="AL177" s="5" t="n">
        <v>69.252</v>
      </c>
      <c r="AR177" s="75" t="n">
        <v>182</v>
      </c>
      <c r="AS177" s="5" t="n">
        <v>0</v>
      </c>
      <c r="AT177" s="5" t="n">
        <v>0</v>
      </c>
      <c r="AU177" s="5" t="n">
        <v>6.65218934901434</v>
      </c>
      <c r="AW177" s="75">
        <f>Z177/Demand!AU195</f>
        <v/>
      </c>
      <c r="AX177" s="75">
        <f>AA177/Demand!AV195</f>
        <v/>
      </c>
      <c r="AY177" s="75">
        <f>AB177/Demand!AW195</f>
        <v/>
      </c>
      <c r="BG177" s="75" t="n">
        <v>182</v>
      </c>
      <c r="BH177" s="75">
        <f>Results!$B$19+AJ177-Results!$D$21</f>
        <v/>
      </c>
      <c r="BI177" s="75">
        <f>Results!$B$19+AK177-Results!$D$21</f>
        <v/>
      </c>
      <c r="BJ177" s="75">
        <f>Results!$B$19+AL177-Results!$D$21</f>
        <v/>
      </c>
      <c r="BM177" s="75" t="n">
        <v>182</v>
      </c>
      <c r="BN177" s="75">
        <f>Results!D192</f>
        <v/>
      </c>
      <c r="BO177" s="75">
        <f>Results!E192</f>
        <v/>
      </c>
      <c r="BP177" s="75">
        <f>Results!F192</f>
        <v/>
      </c>
      <c r="BS177" s="75" t="n">
        <v>182</v>
      </c>
      <c r="BT177" s="75">
        <f>Demand!AU195</f>
        <v/>
      </c>
      <c r="BU177" s="75">
        <f>Demand!AV195</f>
        <v/>
      </c>
      <c r="BV177" s="75">
        <f>Demand!AW195</f>
        <v/>
      </c>
      <c r="BY177" s="75" t="n">
        <v>182</v>
      </c>
      <c r="BZ177" s="75">
        <f>Retailers_Cap!N178</f>
        <v/>
      </c>
      <c r="CA177" s="75">
        <f>Retailers_Cap!O178</f>
        <v/>
      </c>
      <c r="CB177" s="75">
        <f>Retailers_Cap!P178</f>
        <v/>
      </c>
      <c r="CD177" s="75" t="n">
        <v>182</v>
      </c>
      <c r="CE177" s="75">
        <f>IF((BT177-BZ177)&gt;=0,"Dem","Folga")</f>
        <v/>
      </c>
      <c r="CF177" s="75">
        <f>IF((BU177-CA177)&gt;=0,"Dem","Folga")</f>
        <v/>
      </c>
      <c r="CG177" s="75">
        <f>IF((BV177-CB177)&gt;=0,"Dem","Folga")</f>
        <v/>
      </c>
    </row>
    <row r="178">
      <c r="M178" s="75">
        <f>TRUNC((_xlfn.NORM.INV((RAND()),$L$6,$L$7)),2)</f>
        <v/>
      </c>
      <c r="O178" s="75" t="n">
        <v>183</v>
      </c>
      <c r="P178" s="5" t="n">
        <v>211.47</v>
      </c>
      <c r="Q178" s="5" t="n">
        <v>239.67</v>
      </c>
      <c r="R178" s="5" t="n">
        <v>138.07</v>
      </c>
      <c r="W178" s="75">
        <f>TRUNC((_xlfn.NORM.INV((RAND()),$V$6,$V$7)),3)</f>
        <v/>
      </c>
      <c r="Y178" s="75" t="n">
        <v>183</v>
      </c>
      <c r="Z178" s="5" t="n">
        <v>6.751</v>
      </c>
      <c r="AA178" s="5" t="n">
        <v>6.766</v>
      </c>
      <c r="AB178" s="5" t="n">
        <v>6.799</v>
      </c>
      <c r="AG178" s="75">
        <f>TRUNC((_xlfn.NORM.INV((RAND()),$AF$6,$AF$7)),3)</f>
        <v/>
      </c>
      <c r="AI178" s="75" t="n">
        <v>183</v>
      </c>
      <c r="AJ178" s="5" t="n">
        <v>67.679</v>
      </c>
      <c r="AK178" s="5" t="n">
        <v>31.107</v>
      </c>
      <c r="AL178" s="5" t="n">
        <v>59.942</v>
      </c>
      <c r="AR178" s="75" t="n">
        <v>183</v>
      </c>
      <c r="AS178" s="5" t="n">
        <v>14.10395758063191</v>
      </c>
      <c r="AT178" s="5" t="n">
        <v>1.219648718848611</v>
      </c>
      <c r="AU178" s="5" t="n">
        <v>0</v>
      </c>
      <c r="AW178" s="75">
        <f>Z178/Demand!AU196</f>
        <v/>
      </c>
      <c r="AX178" s="75">
        <f>AA178/Demand!AV196</f>
        <v/>
      </c>
      <c r="AY178" s="75">
        <f>AB178/Demand!AW196</f>
        <v/>
      </c>
      <c r="BG178" s="75" t="n">
        <v>183</v>
      </c>
      <c r="BH178" s="75">
        <f>Results!$B$19+AJ178-Results!$D$21</f>
        <v/>
      </c>
      <c r="BI178" s="75">
        <f>Results!$B$19+AK178-Results!$D$21</f>
        <v/>
      </c>
      <c r="BJ178" s="75">
        <f>Results!$B$19+AL178-Results!$D$21</f>
        <v/>
      </c>
      <c r="BM178" s="75" t="n">
        <v>183</v>
      </c>
      <c r="BN178" s="75">
        <f>Results!D193</f>
        <v/>
      </c>
      <c r="BO178" s="75">
        <f>Results!E193</f>
        <v/>
      </c>
      <c r="BP178" s="75">
        <f>Results!F193</f>
        <v/>
      </c>
      <c r="BS178" s="75" t="n">
        <v>183</v>
      </c>
      <c r="BT178" s="75">
        <f>Demand!AU196</f>
        <v/>
      </c>
      <c r="BU178" s="75">
        <f>Demand!AV196</f>
        <v/>
      </c>
      <c r="BV178" s="75">
        <f>Demand!AW196</f>
        <v/>
      </c>
      <c r="BY178" s="75" t="n">
        <v>183</v>
      </c>
      <c r="BZ178" s="75">
        <f>Retailers_Cap!N179</f>
        <v/>
      </c>
      <c r="CA178" s="75">
        <f>Retailers_Cap!O179</f>
        <v/>
      </c>
      <c r="CB178" s="75">
        <f>Retailers_Cap!P179</f>
        <v/>
      </c>
      <c r="CD178" s="75" t="n">
        <v>183</v>
      </c>
      <c r="CE178" s="75">
        <f>IF((BT178-BZ178)&gt;=0,"Dem","Folga")</f>
        <v/>
      </c>
      <c r="CF178" s="75">
        <f>IF((BU178-CA178)&gt;=0,"Dem","Folga")</f>
        <v/>
      </c>
      <c r="CG178" s="75">
        <f>IF((BV178-CB178)&gt;=0,"Dem","Folga")</f>
        <v/>
      </c>
    </row>
    <row r="179">
      <c r="M179" s="75">
        <f>TRUNC((_xlfn.NORM.INV((RAND()),$L$6,$L$7)),2)</f>
        <v/>
      </c>
      <c r="O179" s="75" t="n">
        <v>184</v>
      </c>
      <c r="P179" s="5" t="n">
        <v>244.13</v>
      </c>
      <c r="Q179" s="5" t="n">
        <v>259.07</v>
      </c>
      <c r="R179" s="5" t="n">
        <v>224.91</v>
      </c>
      <c r="W179" s="75">
        <f>TRUNC((_xlfn.NORM.INV((RAND()),$V$6,$V$7)),3)</f>
        <v/>
      </c>
      <c r="Y179" s="75" t="n">
        <v>184</v>
      </c>
      <c r="Z179" s="5" t="n">
        <v>6.766</v>
      </c>
      <c r="AA179" s="5" t="n">
        <v>6.772</v>
      </c>
      <c r="AB179" s="5" t="n">
        <v>6.764</v>
      </c>
      <c r="AG179" s="75">
        <f>TRUNC((_xlfn.NORM.INV((RAND()),$AF$6,$AF$7)),3)</f>
        <v/>
      </c>
      <c r="AI179" s="75" t="n">
        <v>184</v>
      </c>
      <c r="AJ179" s="5" t="n">
        <v>59.455</v>
      </c>
      <c r="AK179" s="5" t="n">
        <v>56.377</v>
      </c>
      <c r="AL179" s="5" t="n">
        <v>66.08799999999999</v>
      </c>
      <c r="AR179" s="75" t="n">
        <v>184</v>
      </c>
      <c r="AS179" s="5" t="n">
        <v>14.26480993572664</v>
      </c>
      <c r="AT179" s="5" t="n">
        <v>16.45537405630727</v>
      </c>
      <c r="AU179" s="5" t="n">
        <v>16.43738712672332</v>
      </c>
      <c r="AW179" s="75">
        <f>Z179/Demand!AU197</f>
        <v/>
      </c>
      <c r="AX179" s="75">
        <f>AA179/Demand!AV197</f>
        <v/>
      </c>
      <c r="AY179" s="75">
        <f>AB179/Demand!AW197</f>
        <v/>
      </c>
      <c r="BG179" s="75" t="n">
        <v>184</v>
      </c>
      <c r="BH179" s="75">
        <f>Results!$B$19+AJ179-Results!$D$21</f>
        <v/>
      </c>
      <c r="BI179" s="75">
        <f>Results!$B$19+AK179-Results!$D$21</f>
        <v/>
      </c>
      <c r="BJ179" s="75">
        <f>Results!$B$19+AL179-Results!$D$21</f>
        <v/>
      </c>
      <c r="BM179" s="75" t="n">
        <v>184</v>
      </c>
      <c r="BN179" s="75">
        <f>Results!D194</f>
        <v/>
      </c>
      <c r="BO179" s="75">
        <f>Results!E194</f>
        <v/>
      </c>
      <c r="BP179" s="75">
        <f>Results!F194</f>
        <v/>
      </c>
      <c r="BS179" s="75" t="n">
        <v>184</v>
      </c>
      <c r="BT179" s="75">
        <f>Demand!AU197</f>
        <v/>
      </c>
      <c r="BU179" s="75">
        <f>Demand!AV197</f>
        <v/>
      </c>
      <c r="BV179" s="75">
        <f>Demand!AW197</f>
        <v/>
      </c>
      <c r="BY179" s="75" t="n">
        <v>184</v>
      </c>
      <c r="BZ179" s="75">
        <f>Retailers_Cap!N180</f>
        <v/>
      </c>
      <c r="CA179" s="75">
        <f>Retailers_Cap!O180</f>
        <v/>
      </c>
      <c r="CB179" s="75">
        <f>Retailers_Cap!P180</f>
        <v/>
      </c>
      <c r="CD179" s="75" t="n">
        <v>184</v>
      </c>
      <c r="CE179" s="75">
        <f>IF((BT179-BZ179)&gt;=0,"Dem","Folga")</f>
        <v/>
      </c>
      <c r="CF179" s="75">
        <f>IF((BU179-CA179)&gt;=0,"Dem","Folga")</f>
        <v/>
      </c>
      <c r="CG179" s="75">
        <f>IF((BV179-CB179)&gt;=0,"Dem","Folga")</f>
        <v/>
      </c>
    </row>
    <row r="180">
      <c r="M180" s="75">
        <f>TRUNC((_xlfn.NORM.INV((RAND()),$L$6,$L$7)),2)</f>
        <v/>
      </c>
      <c r="O180" s="75" t="n">
        <v>185</v>
      </c>
      <c r="P180" s="5" t="n">
        <v>186.24</v>
      </c>
      <c r="Q180" s="5" t="n">
        <v>190.14</v>
      </c>
      <c r="R180" s="5" t="n">
        <v>183.24</v>
      </c>
      <c r="W180" s="75">
        <f>TRUNC((_xlfn.NORM.INV((RAND()),$V$6,$V$7)),3)</f>
        <v/>
      </c>
      <c r="Y180" s="75" t="n">
        <v>185</v>
      </c>
      <c r="Z180" s="5" t="n">
        <v>6.733</v>
      </c>
      <c r="AA180" s="5" t="n">
        <v>6.747</v>
      </c>
      <c r="AB180" s="5" t="n">
        <v>6.74</v>
      </c>
      <c r="AG180" s="75">
        <f>TRUNC((_xlfn.NORM.INV((RAND()),$AF$6,$AF$7)),3)</f>
        <v/>
      </c>
      <c r="AI180" s="75" t="n">
        <v>185</v>
      </c>
      <c r="AJ180" s="5" t="n">
        <v>58.842</v>
      </c>
      <c r="AK180" s="5" t="n">
        <v>39.305</v>
      </c>
      <c r="AL180" s="5" t="n">
        <v>56.79</v>
      </c>
      <c r="AR180" s="75" t="n">
        <v>185</v>
      </c>
      <c r="AS180" s="5" t="n">
        <v>18.30551636403404</v>
      </c>
      <c r="AT180" s="5" t="n">
        <v>0</v>
      </c>
      <c r="AU180" s="5" t="n">
        <v>0</v>
      </c>
      <c r="AW180" s="75">
        <f>Z180/Demand!AU198</f>
        <v/>
      </c>
      <c r="AX180" s="75">
        <f>AA180/Demand!AV198</f>
        <v/>
      </c>
      <c r="AY180" s="75">
        <f>AB180/Demand!AW198</f>
        <v/>
      </c>
      <c r="BG180" s="75" t="n">
        <v>185</v>
      </c>
      <c r="BH180" s="75">
        <f>Results!$B$19+AJ180-Results!$D$21</f>
        <v/>
      </c>
      <c r="BI180" s="75">
        <f>Results!$B$19+AK180-Results!$D$21</f>
        <v/>
      </c>
      <c r="BJ180" s="75">
        <f>Results!$B$19+AL180-Results!$D$21</f>
        <v/>
      </c>
      <c r="BM180" s="75" t="n">
        <v>185</v>
      </c>
      <c r="BN180" s="75">
        <f>Results!D195</f>
        <v/>
      </c>
      <c r="BO180" s="75">
        <f>Results!E195</f>
        <v/>
      </c>
      <c r="BP180" s="75">
        <f>Results!F195</f>
        <v/>
      </c>
      <c r="BS180" s="75" t="n">
        <v>185</v>
      </c>
      <c r="BT180" s="75">
        <f>Demand!AU198</f>
        <v/>
      </c>
      <c r="BU180" s="75">
        <f>Demand!AV198</f>
        <v/>
      </c>
      <c r="BV180" s="75">
        <f>Demand!AW198</f>
        <v/>
      </c>
      <c r="BY180" s="75" t="n">
        <v>185</v>
      </c>
      <c r="BZ180" s="75">
        <f>Retailers_Cap!N181</f>
        <v/>
      </c>
      <c r="CA180" s="75">
        <f>Retailers_Cap!O181</f>
        <v/>
      </c>
      <c r="CB180" s="75">
        <f>Retailers_Cap!P181</f>
        <v/>
      </c>
      <c r="CD180" s="75" t="n">
        <v>185</v>
      </c>
      <c r="CE180" s="75">
        <f>IF((BT180-BZ180)&gt;=0,"Dem","Folga")</f>
        <v/>
      </c>
      <c r="CF180" s="75">
        <f>IF((BU180-CA180)&gt;=0,"Dem","Folga")</f>
        <v/>
      </c>
      <c r="CG180" s="75">
        <f>IF((BV180-CB180)&gt;=0,"Dem","Folga")</f>
        <v/>
      </c>
    </row>
    <row r="181">
      <c r="M181" s="75">
        <f>TRUNC((_xlfn.NORM.INV((RAND()),$L$6,$L$7)),2)</f>
        <v/>
      </c>
      <c r="O181" s="75" t="n">
        <v>186</v>
      </c>
      <c r="P181" s="5" t="n">
        <v>263.82</v>
      </c>
      <c r="Q181" s="5" t="n">
        <v>221.51</v>
      </c>
      <c r="R181" s="5" t="n">
        <v>276.74</v>
      </c>
      <c r="W181" s="75">
        <f>TRUNC((_xlfn.NORM.INV((RAND()),$V$6,$V$7)),3)</f>
        <v/>
      </c>
      <c r="Y181" s="75" t="n">
        <v>186</v>
      </c>
      <c r="Z181" s="5" t="n">
        <v>6.782</v>
      </c>
      <c r="AA181" s="5" t="n">
        <v>6.734</v>
      </c>
      <c r="AB181" s="5" t="n">
        <v>6.746</v>
      </c>
      <c r="AG181" s="75">
        <f>TRUNC((_xlfn.NORM.INV((RAND()),$AF$6,$AF$7)),3)</f>
        <v/>
      </c>
      <c r="AI181" s="75" t="n">
        <v>186</v>
      </c>
      <c r="AJ181" s="5" t="n">
        <v>45.586</v>
      </c>
      <c r="AK181" s="5" t="n">
        <v>68.288</v>
      </c>
      <c r="AL181" s="5" t="n">
        <v>71.79600000000001</v>
      </c>
      <c r="AR181" s="75" t="n">
        <v>186</v>
      </c>
      <c r="AS181" s="5" t="n">
        <v>0</v>
      </c>
      <c r="AT181" s="5" t="n">
        <v>13.1360466479249</v>
      </c>
      <c r="AU181" s="5" t="n">
        <v>0</v>
      </c>
      <c r="AW181" s="75">
        <f>Z181/Demand!AU199</f>
        <v/>
      </c>
      <c r="AX181" s="75">
        <f>AA181/Demand!AV199</f>
        <v/>
      </c>
      <c r="AY181" s="75">
        <f>AB181/Demand!AW199</f>
        <v/>
      </c>
      <c r="BG181" s="75" t="n">
        <v>186</v>
      </c>
      <c r="BH181" s="75">
        <f>Results!$B$19+AJ181-Results!$D$21</f>
        <v/>
      </c>
      <c r="BI181" s="75">
        <f>Results!$B$19+AK181-Results!$D$21</f>
        <v/>
      </c>
      <c r="BJ181" s="75">
        <f>Results!$B$19+AL181-Results!$D$21</f>
        <v/>
      </c>
      <c r="BM181" s="75" t="n">
        <v>186</v>
      </c>
      <c r="BN181" s="75">
        <f>Results!D196</f>
        <v/>
      </c>
      <c r="BO181" s="75">
        <f>Results!E196</f>
        <v/>
      </c>
      <c r="BP181" s="75">
        <f>Results!F196</f>
        <v/>
      </c>
      <c r="BS181" s="75" t="n">
        <v>186</v>
      </c>
      <c r="BT181" s="75">
        <f>Demand!AU199</f>
        <v/>
      </c>
      <c r="BU181" s="75">
        <f>Demand!AV199</f>
        <v/>
      </c>
      <c r="BV181" s="75">
        <f>Demand!AW199</f>
        <v/>
      </c>
      <c r="BY181" s="75" t="n">
        <v>186</v>
      </c>
      <c r="BZ181" s="75">
        <f>Retailers_Cap!N182</f>
        <v/>
      </c>
      <c r="CA181" s="75">
        <f>Retailers_Cap!O182</f>
        <v/>
      </c>
      <c r="CB181" s="75">
        <f>Retailers_Cap!P182</f>
        <v/>
      </c>
      <c r="CD181" s="75" t="n">
        <v>186</v>
      </c>
      <c r="CE181" s="75">
        <f>IF((BT181-BZ181)&gt;=0,"Dem","Folga")</f>
        <v/>
      </c>
      <c r="CF181" s="75">
        <f>IF((BU181-CA181)&gt;=0,"Dem","Folga")</f>
        <v/>
      </c>
      <c r="CG181" s="75">
        <f>IF((BV181-CB181)&gt;=0,"Dem","Folga")</f>
        <v/>
      </c>
    </row>
    <row r="182">
      <c r="M182" s="75">
        <f>TRUNC((_xlfn.NORM.INV((RAND()),$L$6,$L$7)),2)</f>
        <v/>
      </c>
      <c r="O182" s="75" t="n">
        <v>187</v>
      </c>
      <c r="P182" s="5" t="n">
        <v>218.55</v>
      </c>
      <c r="Q182" s="5" t="n">
        <v>192.99</v>
      </c>
      <c r="R182" s="5" t="n">
        <v>211.31</v>
      </c>
      <c r="W182" s="75">
        <f>TRUNC((_xlfn.NORM.INV((RAND()),$V$6,$V$7)),3)</f>
        <v/>
      </c>
      <c r="Y182" s="75" t="n">
        <v>187</v>
      </c>
      <c r="Z182" s="5" t="n">
        <v>6.826</v>
      </c>
      <c r="AA182" s="5" t="n">
        <v>6.707</v>
      </c>
      <c r="AB182" s="5" t="n">
        <v>6.737</v>
      </c>
      <c r="AG182" s="75">
        <f>TRUNC((_xlfn.NORM.INV((RAND()),$AF$6,$AF$7)),3)</f>
        <v/>
      </c>
      <c r="AI182" s="75" t="n">
        <v>187</v>
      </c>
      <c r="AJ182" s="5" t="n">
        <v>65.64400000000001</v>
      </c>
      <c r="AK182" s="5" t="n">
        <v>71.682</v>
      </c>
      <c r="AL182" s="5" t="n">
        <v>49.387</v>
      </c>
      <c r="AR182" s="75" t="n">
        <v>187</v>
      </c>
      <c r="AS182" s="5" t="n">
        <v>22.5209168287253</v>
      </c>
      <c r="AT182" s="5" t="n">
        <v>0</v>
      </c>
      <c r="AU182" s="5" t="n">
        <v>0</v>
      </c>
      <c r="AW182" s="75">
        <f>Z182/Demand!AU200</f>
        <v/>
      </c>
      <c r="AX182" s="75">
        <f>AA182/Demand!AV200</f>
        <v/>
      </c>
      <c r="AY182" s="75">
        <f>AB182/Demand!AW200</f>
        <v/>
      </c>
      <c r="BG182" s="75" t="n">
        <v>187</v>
      </c>
      <c r="BH182" s="75">
        <f>Results!$B$19+AJ182-Results!$D$21</f>
        <v/>
      </c>
      <c r="BI182" s="75">
        <f>Results!$B$19+AK182-Results!$D$21</f>
        <v/>
      </c>
      <c r="BJ182" s="75">
        <f>Results!$B$19+AL182-Results!$D$21</f>
        <v/>
      </c>
      <c r="BM182" s="75" t="n">
        <v>187</v>
      </c>
      <c r="BN182" s="75">
        <f>Results!D197</f>
        <v/>
      </c>
      <c r="BO182" s="75">
        <f>Results!E197</f>
        <v/>
      </c>
      <c r="BP182" s="75">
        <f>Results!F197</f>
        <v/>
      </c>
      <c r="BS182" s="75" t="n">
        <v>187</v>
      </c>
      <c r="BT182" s="75">
        <f>Demand!AU200</f>
        <v/>
      </c>
      <c r="BU182" s="75">
        <f>Demand!AV200</f>
        <v/>
      </c>
      <c r="BV182" s="75">
        <f>Demand!AW200</f>
        <v/>
      </c>
      <c r="BY182" s="75" t="n">
        <v>187</v>
      </c>
      <c r="BZ182" s="75">
        <f>Retailers_Cap!N183</f>
        <v/>
      </c>
      <c r="CA182" s="75">
        <f>Retailers_Cap!O183</f>
        <v/>
      </c>
      <c r="CB182" s="75">
        <f>Retailers_Cap!P183</f>
        <v/>
      </c>
      <c r="CD182" s="75" t="n">
        <v>187</v>
      </c>
      <c r="CE182" s="75">
        <f>IF((BT182-BZ182)&gt;=0,"Dem","Folga")</f>
        <v/>
      </c>
      <c r="CF182" s="75">
        <f>IF((BU182-CA182)&gt;=0,"Dem","Folga")</f>
        <v/>
      </c>
      <c r="CG182" s="75">
        <f>IF((BV182-CB182)&gt;=0,"Dem","Folga")</f>
        <v/>
      </c>
    </row>
    <row r="183">
      <c r="M183" s="75">
        <f>TRUNC((_xlfn.NORM.INV((RAND()),$L$6,$L$7)),2)</f>
        <v/>
      </c>
      <c r="O183" s="75" t="n">
        <v>188</v>
      </c>
      <c r="P183" s="5" t="n">
        <v>214.89</v>
      </c>
      <c r="Q183" s="5" t="n">
        <v>188.91</v>
      </c>
      <c r="R183" s="5" t="n">
        <v>186.15</v>
      </c>
      <c r="W183" s="75">
        <f>TRUNC((_xlfn.NORM.INV((RAND()),$V$6,$V$7)),3)</f>
        <v/>
      </c>
      <c r="Y183" s="75" t="n">
        <v>188</v>
      </c>
      <c r="Z183" s="5" t="n">
        <v>6.831</v>
      </c>
      <c r="AA183" s="5" t="n">
        <v>6.71</v>
      </c>
      <c r="AB183" s="5" t="n">
        <v>6.642</v>
      </c>
      <c r="AG183" s="75">
        <f>TRUNC((_xlfn.NORM.INV((RAND()),$AF$6,$AF$7)),3)</f>
        <v/>
      </c>
      <c r="AI183" s="75" t="n">
        <v>188</v>
      </c>
      <c r="AJ183" s="5" t="n">
        <v>43.098</v>
      </c>
      <c r="AK183" s="5" t="n">
        <v>69.706</v>
      </c>
      <c r="AL183" s="5" t="n">
        <v>62.839</v>
      </c>
      <c r="AR183" s="75" t="n">
        <v>188</v>
      </c>
      <c r="AS183" s="5" t="n">
        <v>0</v>
      </c>
      <c r="AT183" s="5" t="n">
        <v>11.23357967341014</v>
      </c>
      <c r="AU183" s="5" t="n">
        <v>13.60194621451315</v>
      </c>
      <c r="AW183" s="75">
        <f>Z183/Demand!AU201</f>
        <v/>
      </c>
      <c r="AX183" s="75">
        <f>AA183/Demand!AV201</f>
        <v/>
      </c>
      <c r="AY183" s="75">
        <f>AB183/Demand!AW201</f>
        <v/>
      </c>
      <c r="BG183" s="75" t="n">
        <v>188</v>
      </c>
      <c r="BH183" s="75">
        <f>Results!$B$19+AJ183-Results!$D$21</f>
        <v/>
      </c>
      <c r="BI183" s="75">
        <f>Results!$B$19+AK183-Results!$D$21</f>
        <v/>
      </c>
      <c r="BJ183" s="75">
        <f>Results!$B$19+AL183-Results!$D$21</f>
        <v/>
      </c>
      <c r="BM183" s="75" t="n">
        <v>188</v>
      </c>
      <c r="BN183" s="75">
        <f>Results!D198</f>
        <v/>
      </c>
      <c r="BO183" s="75">
        <f>Results!E198</f>
        <v/>
      </c>
      <c r="BP183" s="75">
        <f>Results!F198</f>
        <v/>
      </c>
      <c r="BS183" s="75" t="n">
        <v>188</v>
      </c>
      <c r="BT183" s="75">
        <f>Demand!AU201</f>
        <v/>
      </c>
      <c r="BU183" s="75">
        <f>Demand!AV201</f>
        <v/>
      </c>
      <c r="BV183" s="75">
        <f>Demand!AW201</f>
        <v/>
      </c>
      <c r="BY183" s="75" t="n">
        <v>188</v>
      </c>
      <c r="BZ183" s="75">
        <f>Retailers_Cap!N184</f>
        <v/>
      </c>
      <c r="CA183" s="75">
        <f>Retailers_Cap!O184</f>
        <v/>
      </c>
      <c r="CB183" s="75">
        <f>Retailers_Cap!P184</f>
        <v/>
      </c>
      <c r="CD183" s="75" t="n">
        <v>188</v>
      </c>
      <c r="CE183" s="75">
        <f>IF((BT183-BZ183)&gt;=0,"Dem","Folga")</f>
        <v/>
      </c>
      <c r="CF183" s="75">
        <f>IF((BU183-CA183)&gt;=0,"Dem","Folga")</f>
        <v/>
      </c>
      <c r="CG183" s="75">
        <f>IF((BV183-CB183)&gt;=0,"Dem","Folga")</f>
        <v/>
      </c>
    </row>
    <row r="184">
      <c r="M184" s="75">
        <f>TRUNC((_xlfn.NORM.INV((RAND()),$L$6,$L$7)),2)</f>
        <v/>
      </c>
      <c r="O184" s="75" t="n">
        <v>189</v>
      </c>
      <c r="P184" s="5" t="n">
        <v>158.9</v>
      </c>
      <c r="Q184" s="5" t="n">
        <v>231.36</v>
      </c>
      <c r="R184" s="5" t="n">
        <v>196.91</v>
      </c>
      <c r="W184" s="75">
        <f>TRUNC((_xlfn.NORM.INV((RAND()),$V$6,$V$7)),3)</f>
        <v/>
      </c>
      <c r="Y184" s="75" t="n">
        <v>189</v>
      </c>
      <c r="Z184" s="5" t="n">
        <v>6.701</v>
      </c>
      <c r="AA184" s="5" t="n">
        <v>6.649</v>
      </c>
      <c r="AB184" s="5" t="n">
        <v>6.689</v>
      </c>
      <c r="AG184" s="75">
        <f>TRUNC((_xlfn.NORM.INV((RAND()),$AF$6,$AF$7)),3)</f>
        <v/>
      </c>
      <c r="AI184" s="75" t="n">
        <v>189</v>
      </c>
      <c r="AJ184" s="5" t="n">
        <v>56.564</v>
      </c>
      <c r="AK184" s="5" t="n">
        <v>62.17</v>
      </c>
      <c r="AL184" s="5" t="n">
        <v>57.854</v>
      </c>
      <c r="AR184" s="75" t="n">
        <v>189</v>
      </c>
      <c r="AS184" s="5" t="n">
        <v>0</v>
      </c>
      <c r="AT184" s="5" t="n">
        <v>0</v>
      </c>
      <c r="AU184" s="5" t="n">
        <v>0</v>
      </c>
      <c r="AW184" s="75">
        <f>Z184/Demand!AU202</f>
        <v/>
      </c>
      <c r="AX184" s="75">
        <f>AA184/Demand!AV202</f>
        <v/>
      </c>
      <c r="AY184" s="75">
        <f>AB184/Demand!AW202</f>
        <v/>
      </c>
      <c r="BG184" s="75" t="n">
        <v>189</v>
      </c>
      <c r="BH184" s="75">
        <f>Results!$B$19+AJ184-Results!$D$21</f>
        <v/>
      </c>
      <c r="BI184" s="75">
        <f>Results!$B$19+AK184-Results!$D$21</f>
        <v/>
      </c>
      <c r="BJ184" s="75">
        <f>Results!$B$19+AL184-Results!$D$21</f>
        <v/>
      </c>
      <c r="BM184" s="75" t="n">
        <v>189</v>
      </c>
      <c r="BN184" s="75">
        <f>Results!D199</f>
        <v/>
      </c>
      <c r="BO184" s="75">
        <f>Results!E199</f>
        <v/>
      </c>
      <c r="BP184" s="75">
        <f>Results!F199</f>
        <v/>
      </c>
      <c r="BS184" s="75" t="n">
        <v>189</v>
      </c>
      <c r="BT184" s="75">
        <f>Demand!AU202</f>
        <v/>
      </c>
      <c r="BU184" s="75">
        <f>Demand!AV202</f>
        <v/>
      </c>
      <c r="BV184" s="75">
        <f>Demand!AW202</f>
        <v/>
      </c>
      <c r="BY184" s="75" t="n">
        <v>189</v>
      </c>
      <c r="BZ184" s="75">
        <f>Retailers_Cap!N185</f>
        <v/>
      </c>
      <c r="CA184" s="75">
        <f>Retailers_Cap!O185</f>
        <v/>
      </c>
      <c r="CB184" s="75">
        <f>Retailers_Cap!P185</f>
        <v/>
      </c>
      <c r="CD184" s="75" t="n">
        <v>189</v>
      </c>
      <c r="CE184" s="75">
        <f>IF((BT184-BZ184)&gt;=0,"Dem","Folga")</f>
        <v/>
      </c>
      <c r="CF184" s="75">
        <f>IF((BU184-CA184)&gt;=0,"Dem","Folga")</f>
        <v/>
      </c>
      <c r="CG184" s="75">
        <f>IF((BV184-CB184)&gt;=0,"Dem","Folga")</f>
        <v/>
      </c>
    </row>
    <row r="185">
      <c r="M185" s="75">
        <f>TRUNC((_xlfn.NORM.INV((RAND()),$L$6,$L$7)),2)</f>
        <v/>
      </c>
      <c r="O185" s="75" t="n">
        <v>190</v>
      </c>
      <c r="P185" s="5" t="n">
        <v>167.74</v>
      </c>
      <c r="Q185" s="5" t="n">
        <v>279.19</v>
      </c>
      <c r="R185" s="5" t="n">
        <v>175.59</v>
      </c>
      <c r="W185" s="75">
        <f>TRUNC((_xlfn.NORM.INV((RAND()),$V$6,$V$7)),3)</f>
        <v/>
      </c>
      <c r="Y185" s="75" t="n">
        <v>190</v>
      </c>
      <c r="Z185" s="5" t="n">
        <v>6.643</v>
      </c>
      <c r="AA185" s="5" t="n">
        <v>6.882</v>
      </c>
      <c r="AB185" s="5" t="n">
        <v>6.623</v>
      </c>
      <c r="AG185" s="75">
        <f>TRUNC((_xlfn.NORM.INV((RAND()),$AF$6,$AF$7)),3)</f>
        <v/>
      </c>
      <c r="AI185" s="75" t="n">
        <v>190</v>
      </c>
      <c r="AJ185" s="5" t="n">
        <v>39.428</v>
      </c>
      <c r="AK185" s="5" t="n">
        <v>66.18899999999999</v>
      </c>
      <c r="AL185" s="5" t="n">
        <v>60.83</v>
      </c>
      <c r="AR185" s="75" t="n">
        <v>190</v>
      </c>
      <c r="AS185" s="5" t="n">
        <v>0</v>
      </c>
      <c r="AT185" s="5" t="n">
        <v>8.422812530024137</v>
      </c>
      <c r="AU185" s="5" t="n">
        <v>0</v>
      </c>
      <c r="AW185" s="75">
        <f>Z185/Demand!AU203</f>
        <v/>
      </c>
      <c r="AX185" s="75">
        <f>AA185/Demand!AV203</f>
        <v/>
      </c>
      <c r="AY185" s="75">
        <f>AB185/Demand!AW203</f>
        <v/>
      </c>
      <c r="BG185" s="75" t="n">
        <v>190</v>
      </c>
      <c r="BH185" s="75">
        <f>Results!$B$19+AJ185-Results!$D$21</f>
        <v/>
      </c>
      <c r="BI185" s="75">
        <f>Results!$B$19+AK185-Results!$D$21</f>
        <v/>
      </c>
      <c r="BJ185" s="75">
        <f>Results!$B$19+AL185-Results!$D$21</f>
        <v/>
      </c>
      <c r="BM185" s="75" t="n">
        <v>190</v>
      </c>
      <c r="BN185" s="75">
        <f>Results!D200</f>
        <v/>
      </c>
      <c r="BO185" s="75">
        <f>Results!E200</f>
        <v/>
      </c>
      <c r="BP185" s="75">
        <f>Results!F200</f>
        <v/>
      </c>
      <c r="BS185" s="75" t="n">
        <v>190</v>
      </c>
      <c r="BT185" s="75">
        <f>Demand!AU203</f>
        <v/>
      </c>
      <c r="BU185" s="75">
        <f>Demand!AV203</f>
        <v/>
      </c>
      <c r="BV185" s="75">
        <f>Demand!AW203</f>
        <v/>
      </c>
      <c r="BY185" s="75" t="n">
        <v>190</v>
      </c>
      <c r="BZ185" s="75">
        <f>Retailers_Cap!N186</f>
        <v/>
      </c>
      <c r="CA185" s="75">
        <f>Retailers_Cap!O186</f>
        <v/>
      </c>
      <c r="CB185" s="75">
        <f>Retailers_Cap!P186</f>
        <v/>
      </c>
      <c r="CD185" s="75" t="n">
        <v>190</v>
      </c>
      <c r="CE185" s="75">
        <f>IF((BT185-BZ185)&gt;=0,"Dem","Folga")</f>
        <v/>
      </c>
      <c r="CF185" s="75">
        <f>IF((BU185-CA185)&gt;=0,"Dem","Folga")</f>
        <v/>
      </c>
      <c r="CG185" s="75">
        <f>IF((BV185-CB185)&gt;=0,"Dem","Folga")</f>
        <v/>
      </c>
    </row>
    <row r="186">
      <c r="M186" s="75">
        <f>TRUNC((_xlfn.NORM.INV((RAND()),$L$6,$L$7)),2)</f>
        <v/>
      </c>
      <c r="O186" s="75" t="n">
        <v>191</v>
      </c>
      <c r="P186" s="5" t="n">
        <v>204.63</v>
      </c>
      <c r="Q186" s="5" t="n">
        <v>215.51</v>
      </c>
      <c r="R186" s="5" t="n">
        <v>182.77</v>
      </c>
      <c r="W186" s="75">
        <f>TRUNC((_xlfn.NORM.INV((RAND()),$V$6,$V$7)),3)</f>
        <v/>
      </c>
      <c r="Y186" s="75" t="n">
        <v>191</v>
      </c>
      <c r="Z186" s="5" t="n">
        <v>6.779</v>
      </c>
      <c r="AA186" s="5" t="n">
        <v>6.914</v>
      </c>
      <c r="AB186" s="5" t="n">
        <v>6.742</v>
      </c>
      <c r="AG186" s="75">
        <f>TRUNC((_xlfn.NORM.INV((RAND()),$AF$6,$AF$7)),3)</f>
        <v/>
      </c>
      <c r="AI186" s="75" t="n">
        <v>191</v>
      </c>
      <c r="AJ186" s="5" t="n">
        <v>67.929</v>
      </c>
      <c r="AK186" s="5" t="n">
        <v>58.746</v>
      </c>
      <c r="AL186" s="5" t="n">
        <v>67.633</v>
      </c>
      <c r="AR186" s="75" t="n">
        <v>191</v>
      </c>
      <c r="AS186" s="5" t="n">
        <v>5.926870880067319</v>
      </c>
      <c r="AT186" s="5" t="n">
        <v>10.7703727206162</v>
      </c>
      <c r="AU186" s="5" t="n">
        <v>29.49427979438891</v>
      </c>
      <c r="AW186" s="75">
        <f>Z186/Demand!AU204</f>
        <v/>
      </c>
      <c r="AX186" s="75">
        <f>AA186/Demand!AV204</f>
        <v/>
      </c>
      <c r="AY186" s="75">
        <f>AB186/Demand!AW204</f>
        <v/>
      </c>
      <c r="BG186" s="75" t="n">
        <v>191</v>
      </c>
      <c r="BH186" s="75">
        <f>Results!$B$19+AJ186-Results!$D$21</f>
        <v/>
      </c>
      <c r="BI186" s="75">
        <f>Results!$B$19+AK186-Results!$D$21</f>
        <v/>
      </c>
      <c r="BJ186" s="75">
        <f>Results!$B$19+AL186-Results!$D$21</f>
        <v/>
      </c>
      <c r="BM186" s="75" t="n">
        <v>191</v>
      </c>
      <c r="BN186" s="75">
        <f>Results!D201</f>
        <v/>
      </c>
      <c r="BO186" s="75">
        <f>Results!E201</f>
        <v/>
      </c>
      <c r="BP186" s="75">
        <f>Results!F201</f>
        <v/>
      </c>
      <c r="BS186" s="75" t="n">
        <v>191</v>
      </c>
      <c r="BT186" s="75">
        <f>Demand!AU204</f>
        <v/>
      </c>
      <c r="BU186" s="75">
        <f>Demand!AV204</f>
        <v/>
      </c>
      <c r="BV186" s="75">
        <f>Demand!AW204</f>
        <v/>
      </c>
      <c r="BY186" s="75" t="n">
        <v>191</v>
      </c>
      <c r="BZ186" s="75">
        <f>Retailers_Cap!N187</f>
        <v/>
      </c>
      <c r="CA186" s="75">
        <f>Retailers_Cap!O187</f>
        <v/>
      </c>
      <c r="CB186" s="75">
        <f>Retailers_Cap!P187</f>
        <v/>
      </c>
      <c r="CD186" s="75" t="n">
        <v>191</v>
      </c>
      <c r="CE186" s="75">
        <f>IF((BT186-BZ186)&gt;=0,"Dem","Folga")</f>
        <v/>
      </c>
      <c r="CF186" s="75">
        <f>IF((BU186-CA186)&gt;=0,"Dem","Folga")</f>
        <v/>
      </c>
      <c r="CG186" s="75">
        <f>IF((BV186-CB186)&gt;=0,"Dem","Folga")</f>
        <v/>
      </c>
    </row>
    <row r="187">
      <c r="M187" s="75">
        <f>TRUNC((_xlfn.NORM.INV((RAND()),$L$6,$L$7)),2)</f>
        <v/>
      </c>
      <c r="O187" s="75" t="n">
        <v>192</v>
      </c>
      <c r="P187" s="5" t="n">
        <v>216.81</v>
      </c>
      <c r="Q187" s="5" t="n">
        <v>189.88</v>
      </c>
      <c r="R187" s="5" t="n">
        <v>246.45</v>
      </c>
      <c r="W187" s="75">
        <f>TRUNC((_xlfn.NORM.INV((RAND()),$V$6,$V$7)),3)</f>
        <v/>
      </c>
      <c r="Y187" s="75" t="n">
        <v>192</v>
      </c>
      <c r="Z187" s="5" t="n">
        <v>6.782</v>
      </c>
      <c r="AA187" s="5" t="n">
        <v>6.755</v>
      </c>
      <c r="AB187" s="5" t="n">
        <v>6.743</v>
      </c>
      <c r="AG187" s="75">
        <f>TRUNC((_xlfn.NORM.INV((RAND()),$AF$6,$AF$7)),3)</f>
        <v/>
      </c>
      <c r="AI187" s="75" t="n">
        <v>192</v>
      </c>
      <c r="AJ187" s="5" t="n">
        <v>71.443</v>
      </c>
      <c r="AK187" s="5" t="n">
        <v>54.613</v>
      </c>
      <c r="AL187" s="5" t="n">
        <v>60.529</v>
      </c>
      <c r="AR187" s="75" t="n">
        <v>192</v>
      </c>
      <c r="AS187" s="5" t="n">
        <v>0</v>
      </c>
      <c r="AT187" s="5" t="n">
        <v>0</v>
      </c>
      <c r="AU187" s="5" t="n">
        <v>0</v>
      </c>
      <c r="AW187" s="75">
        <f>Z187/Demand!AU205</f>
        <v/>
      </c>
      <c r="AX187" s="75">
        <f>AA187/Demand!AV205</f>
        <v/>
      </c>
      <c r="AY187" s="75">
        <f>AB187/Demand!AW205</f>
        <v/>
      </c>
      <c r="BG187" s="75" t="n">
        <v>192</v>
      </c>
      <c r="BH187" s="75">
        <f>Results!$B$19+AJ187-Results!$D$21</f>
        <v/>
      </c>
      <c r="BI187" s="75">
        <f>Results!$B$19+AK187-Results!$D$21</f>
        <v/>
      </c>
      <c r="BJ187" s="75">
        <f>Results!$B$19+AL187-Results!$D$21</f>
        <v/>
      </c>
      <c r="BM187" s="75" t="n">
        <v>192</v>
      </c>
      <c r="BN187" s="75">
        <f>Results!D202</f>
        <v/>
      </c>
      <c r="BO187" s="75">
        <f>Results!E202</f>
        <v/>
      </c>
      <c r="BP187" s="75">
        <f>Results!F202</f>
        <v/>
      </c>
      <c r="BS187" s="75" t="n">
        <v>192</v>
      </c>
      <c r="BT187" s="75">
        <f>Demand!AU205</f>
        <v/>
      </c>
      <c r="BU187" s="75">
        <f>Demand!AV205</f>
        <v/>
      </c>
      <c r="BV187" s="75">
        <f>Demand!AW205</f>
        <v/>
      </c>
      <c r="BY187" s="75" t="n">
        <v>192</v>
      </c>
      <c r="BZ187" s="75">
        <f>Retailers_Cap!N188</f>
        <v/>
      </c>
      <c r="CA187" s="75">
        <f>Retailers_Cap!O188</f>
        <v/>
      </c>
      <c r="CB187" s="75">
        <f>Retailers_Cap!P188</f>
        <v/>
      </c>
      <c r="CD187" s="75" t="n">
        <v>192</v>
      </c>
      <c r="CE187" s="75">
        <f>IF((BT187-BZ187)&gt;=0,"Dem","Folga")</f>
        <v/>
      </c>
      <c r="CF187" s="75">
        <f>IF((BU187-CA187)&gt;=0,"Dem","Folga")</f>
        <v/>
      </c>
      <c r="CG187" s="75">
        <f>IF((BV187-CB187)&gt;=0,"Dem","Folga")</f>
        <v/>
      </c>
    </row>
    <row r="188">
      <c r="M188" s="75">
        <f>TRUNC((_xlfn.NORM.INV((RAND()),$L$6,$L$7)),2)</f>
        <v/>
      </c>
      <c r="O188" s="75" t="n">
        <v>193</v>
      </c>
      <c r="P188" s="5" t="n">
        <v>210.8</v>
      </c>
      <c r="Q188" s="5" t="n">
        <v>230.55</v>
      </c>
      <c r="R188" s="5" t="n">
        <v>223.31</v>
      </c>
      <c r="W188" s="75">
        <f>TRUNC((_xlfn.NORM.INV((RAND()),$V$6,$V$7)),3)</f>
        <v/>
      </c>
      <c r="Y188" s="75" t="n">
        <v>193</v>
      </c>
      <c r="Z188" s="5" t="n">
        <v>6.679</v>
      </c>
      <c r="AA188" s="5" t="n">
        <v>6.758</v>
      </c>
      <c r="AB188" s="5" t="n">
        <v>6.837</v>
      </c>
      <c r="AG188" s="75">
        <f>TRUNC((_xlfn.NORM.INV((RAND()),$AF$6,$AF$7)),3)</f>
        <v/>
      </c>
      <c r="AI188" s="75" t="n">
        <v>193</v>
      </c>
      <c r="AJ188" s="5" t="n">
        <v>39.353</v>
      </c>
      <c r="AK188" s="5" t="n">
        <v>32.532</v>
      </c>
      <c r="AL188" s="5" t="n">
        <v>67.015</v>
      </c>
      <c r="AR188" s="75" t="n">
        <v>193</v>
      </c>
      <c r="AS188" s="5" t="n">
        <v>3.717624034548149</v>
      </c>
      <c r="AT188" s="5" t="n">
        <v>15.23520480537321</v>
      </c>
      <c r="AU188" s="5" t="n">
        <v>4.593363981305</v>
      </c>
      <c r="AW188" s="75">
        <f>Z188/Demand!AU206</f>
        <v/>
      </c>
      <c r="AX188" s="75">
        <f>AA188/Demand!AV206</f>
        <v/>
      </c>
      <c r="AY188" s="75">
        <f>AB188/Demand!AW206</f>
        <v/>
      </c>
      <c r="BG188" s="75" t="n">
        <v>193</v>
      </c>
      <c r="BH188" s="75">
        <f>Results!$B$19+AJ188-Results!$D$21</f>
        <v/>
      </c>
      <c r="BI188" s="75">
        <f>Results!$B$19+AK188-Results!$D$21</f>
        <v/>
      </c>
      <c r="BJ188" s="75">
        <f>Results!$B$19+AL188-Results!$D$21</f>
        <v/>
      </c>
      <c r="BM188" s="75" t="n">
        <v>193</v>
      </c>
      <c r="BN188" s="75">
        <f>Results!D203</f>
        <v/>
      </c>
      <c r="BO188" s="75">
        <f>Results!E203</f>
        <v/>
      </c>
      <c r="BP188" s="75">
        <f>Results!F203</f>
        <v/>
      </c>
      <c r="BS188" s="75" t="n">
        <v>193</v>
      </c>
      <c r="BT188" s="75">
        <f>Demand!AU206</f>
        <v/>
      </c>
      <c r="BU188" s="75">
        <f>Demand!AV206</f>
        <v/>
      </c>
      <c r="BV188" s="75">
        <f>Demand!AW206</f>
        <v/>
      </c>
      <c r="BY188" s="75" t="n">
        <v>193</v>
      </c>
      <c r="BZ188" s="75">
        <f>Retailers_Cap!N189</f>
        <v/>
      </c>
      <c r="CA188" s="75">
        <f>Retailers_Cap!O189</f>
        <v/>
      </c>
      <c r="CB188" s="75">
        <f>Retailers_Cap!P189</f>
        <v/>
      </c>
      <c r="CD188" s="75" t="n">
        <v>193</v>
      </c>
      <c r="CE188" s="75">
        <f>IF((BT188-BZ188)&gt;=0,"Dem","Folga")</f>
        <v/>
      </c>
      <c r="CF188" s="75">
        <f>IF((BU188-CA188)&gt;=0,"Dem","Folga")</f>
        <v/>
      </c>
      <c r="CG188" s="75">
        <f>IF((BV188-CB188)&gt;=0,"Dem","Folga")</f>
        <v/>
      </c>
    </row>
    <row r="189">
      <c r="M189" s="75">
        <f>TRUNC((_xlfn.NORM.INV((RAND()),$L$6,$L$7)),2)</f>
        <v/>
      </c>
      <c r="O189" s="75" t="n">
        <v>194</v>
      </c>
      <c r="P189" s="5" t="n">
        <v>220.64</v>
      </c>
      <c r="Q189" s="5" t="n">
        <v>237.93</v>
      </c>
      <c r="R189" s="5" t="n">
        <v>145.59</v>
      </c>
      <c r="W189" s="75">
        <f>TRUNC((_xlfn.NORM.INV((RAND()),$V$6,$V$7)),3)</f>
        <v/>
      </c>
      <c r="Y189" s="75" t="n">
        <v>194</v>
      </c>
      <c r="Z189" s="5" t="n">
        <v>6.808</v>
      </c>
      <c r="AA189" s="5" t="n">
        <v>6.703</v>
      </c>
      <c r="AB189" s="5" t="n">
        <v>6.756</v>
      </c>
      <c r="AG189" s="75">
        <f>TRUNC((_xlfn.NORM.INV((RAND()),$AF$6,$AF$7)),3)</f>
        <v/>
      </c>
      <c r="AI189" s="75" t="n">
        <v>194</v>
      </c>
      <c r="AJ189" s="5" t="n">
        <v>62.43</v>
      </c>
      <c r="AK189" s="5" t="n">
        <v>37.211</v>
      </c>
      <c r="AL189" s="5" t="n">
        <v>64.06399999999999</v>
      </c>
      <c r="AR189" s="75" t="n">
        <v>194</v>
      </c>
      <c r="AS189" s="5" t="n">
        <v>6.833017495794357</v>
      </c>
      <c r="AT189" s="5" t="n">
        <v>0</v>
      </c>
      <c r="AU189" s="5" t="n">
        <v>34.78662801399079</v>
      </c>
      <c r="AW189" s="75">
        <f>Z189/Demand!AU207</f>
        <v/>
      </c>
      <c r="AX189" s="75">
        <f>AA189/Demand!AV207</f>
        <v/>
      </c>
      <c r="AY189" s="75">
        <f>AB189/Demand!AW207</f>
        <v/>
      </c>
      <c r="BG189" s="75" t="n">
        <v>194</v>
      </c>
      <c r="BH189" s="75">
        <f>Results!$B$19+AJ189-Results!$D$21</f>
        <v/>
      </c>
      <c r="BI189" s="75">
        <f>Results!$B$19+AK189-Results!$D$21</f>
        <v/>
      </c>
      <c r="BJ189" s="75">
        <f>Results!$B$19+AL189-Results!$D$21</f>
        <v/>
      </c>
      <c r="BM189" s="75" t="n">
        <v>194</v>
      </c>
      <c r="BN189" s="75">
        <f>Results!D204</f>
        <v/>
      </c>
      <c r="BO189" s="75">
        <f>Results!E204</f>
        <v/>
      </c>
      <c r="BP189" s="75">
        <f>Results!F204</f>
        <v/>
      </c>
      <c r="BS189" s="75" t="n">
        <v>194</v>
      </c>
      <c r="BT189" s="75">
        <f>Demand!AU207</f>
        <v/>
      </c>
      <c r="BU189" s="75">
        <f>Demand!AV207</f>
        <v/>
      </c>
      <c r="BV189" s="75">
        <f>Demand!AW207</f>
        <v/>
      </c>
      <c r="BY189" s="75" t="n">
        <v>194</v>
      </c>
      <c r="BZ189" s="75">
        <f>Retailers_Cap!N190</f>
        <v/>
      </c>
      <c r="CA189" s="75">
        <f>Retailers_Cap!O190</f>
        <v/>
      </c>
      <c r="CB189" s="75">
        <f>Retailers_Cap!P190</f>
        <v/>
      </c>
      <c r="CD189" s="75" t="n">
        <v>194</v>
      </c>
      <c r="CE189" s="75">
        <f>IF((BT189-BZ189)&gt;=0,"Dem","Folga")</f>
        <v/>
      </c>
      <c r="CF189" s="75">
        <f>IF((BU189-CA189)&gt;=0,"Dem","Folga")</f>
        <v/>
      </c>
      <c r="CG189" s="75">
        <f>IF((BV189-CB189)&gt;=0,"Dem","Folga")</f>
        <v/>
      </c>
    </row>
    <row r="190">
      <c r="M190" s="75">
        <f>TRUNC((_xlfn.NORM.INV((RAND()),$L$6,$L$7)),2)</f>
        <v/>
      </c>
      <c r="O190" s="75" t="n">
        <v>195</v>
      </c>
      <c r="P190" s="5" t="n">
        <v>240.24</v>
      </c>
      <c r="Q190" s="5" t="n">
        <v>221.55</v>
      </c>
      <c r="R190" s="5" t="n">
        <v>177.35</v>
      </c>
      <c r="W190" s="75">
        <f>TRUNC((_xlfn.NORM.INV((RAND()),$V$6,$V$7)),3)</f>
        <v/>
      </c>
      <c r="Y190" s="75" t="n">
        <v>195</v>
      </c>
      <c r="Z190" s="5" t="n">
        <v>6.724</v>
      </c>
      <c r="AA190" s="5" t="n">
        <v>6.702</v>
      </c>
      <c r="AB190" s="5" t="n">
        <v>6.731</v>
      </c>
      <c r="AG190" s="75">
        <f>TRUNC((_xlfn.NORM.INV((RAND()),$AF$6,$AF$7)),3)</f>
        <v/>
      </c>
      <c r="AI190" s="75" t="n">
        <v>195</v>
      </c>
      <c r="AJ190" s="5" t="n">
        <v>71.324</v>
      </c>
      <c r="AK190" s="5" t="n">
        <v>66.39100000000001</v>
      </c>
      <c r="AL190" s="5" t="n">
        <v>59.448</v>
      </c>
      <c r="AR190" s="75" t="n">
        <v>195</v>
      </c>
      <c r="AS190" s="5" t="n">
        <v>14.35571909096622</v>
      </c>
      <c r="AT190" s="5" t="n">
        <v>0</v>
      </c>
      <c r="AU190" s="5" t="n">
        <v>0</v>
      </c>
      <c r="AW190" s="75">
        <f>Z190/Demand!AU208</f>
        <v/>
      </c>
      <c r="AX190" s="75">
        <f>AA190/Demand!AV208</f>
        <v/>
      </c>
      <c r="AY190" s="75">
        <f>AB190/Demand!AW208</f>
        <v/>
      </c>
      <c r="BG190" s="75" t="n">
        <v>195</v>
      </c>
      <c r="BH190" s="75">
        <f>Results!$B$19+AJ190-Results!$D$21</f>
        <v/>
      </c>
      <c r="BI190" s="75">
        <f>Results!$B$19+AK190-Results!$D$21</f>
        <v/>
      </c>
      <c r="BJ190" s="75">
        <f>Results!$B$19+AL190-Results!$D$21</f>
        <v/>
      </c>
      <c r="BM190" s="75" t="n">
        <v>195</v>
      </c>
      <c r="BN190" s="75">
        <f>Results!D205</f>
        <v/>
      </c>
      <c r="BO190" s="75">
        <f>Results!E205</f>
        <v/>
      </c>
      <c r="BP190" s="75">
        <f>Results!F205</f>
        <v/>
      </c>
      <c r="BS190" s="75" t="n">
        <v>195</v>
      </c>
      <c r="BT190" s="75">
        <f>Demand!AU208</f>
        <v/>
      </c>
      <c r="BU190" s="75">
        <f>Demand!AV208</f>
        <v/>
      </c>
      <c r="BV190" s="75">
        <f>Demand!AW208</f>
        <v/>
      </c>
      <c r="BY190" s="75" t="n">
        <v>195</v>
      </c>
      <c r="BZ190" s="75">
        <f>Retailers_Cap!N191</f>
        <v/>
      </c>
      <c r="CA190" s="75">
        <f>Retailers_Cap!O191</f>
        <v/>
      </c>
      <c r="CB190" s="75">
        <f>Retailers_Cap!P191</f>
        <v/>
      </c>
      <c r="CD190" s="75" t="n">
        <v>195</v>
      </c>
      <c r="CE190" s="75">
        <f>IF((BT190-BZ190)&gt;=0,"Dem","Folga")</f>
        <v/>
      </c>
      <c r="CF190" s="75">
        <f>IF((BU190-CA190)&gt;=0,"Dem","Folga")</f>
        <v/>
      </c>
      <c r="CG190" s="75">
        <f>IF((BV190-CB190)&gt;=0,"Dem","Folga")</f>
        <v/>
      </c>
    </row>
    <row r="191">
      <c r="M191" s="75">
        <f>TRUNC((_xlfn.NORM.INV((RAND()),$L$6,$L$7)),2)</f>
        <v/>
      </c>
      <c r="O191" s="75" t="n">
        <v>196</v>
      </c>
      <c r="P191" s="5" t="n">
        <v>181.53</v>
      </c>
      <c r="Q191" s="5" t="n">
        <v>120.32</v>
      </c>
      <c r="R191" s="5" t="n">
        <v>156.08</v>
      </c>
      <c r="W191" s="75">
        <f>TRUNC((_xlfn.NORM.INV((RAND()),$V$6,$V$7)),3)</f>
        <v/>
      </c>
      <c r="Y191" s="75" t="n">
        <v>196</v>
      </c>
      <c r="Z191" s="5" t="n">
        <v>6.76</v>
      </c>
      <c r="AA191" s="5" t="n">
        <v>6.768</v>
      </c>
      <c r="AB191" s="5" t="n">
        <v>6.798</v>
      </c>
      <c r="AG191" s="75">
        <f>TRUNC((_xlfn.NORM.INV((RAND()),$AF$6,$AF$7)),3)</f>
        <v/>
      </c>
      <c r="AI191" s="75" t="n">
        <v>196</v>
      </c>
      <c r="AJ191" s="5" t="n">
        <v>66.685</v>
      </c>
      <c r="AK191" s="5" t="n">
        <v>44.804</v>
      </c>
      <c r="AL191" s="5" t="n">
        <v>58.699</v>
      </c>
      <c r="AR191" s="75" t="n">
        <v>196</v>
      </c>
      <c r="AS191" s="5" t="n">
        <v>0</v>
      </c>
      <c r="AT191" s="5" t="n">
        <v>0</v>
      </c>
      <c r="AU191" s="5" t="n">
        <v>0</v>
      </c>
      <c r="AW191" s="75">
        <f>Z191/Demand!AU209</f>
        <v/>
      </c>
      <c r="AX191" s="75">
        <f>AA191/Demand!AV209</f>
        <v/>
      </c>
      <c r="AY191" s="75">
        <f>AB191/Demand!AW209</f>
        <v/>
      </c>
      <c r="BG191" s="75" t="n">
        <v>196</v>
      </c>
      <c r="BH191" s="75">
        <f>Results!$B$19+AJ191-Results!$D$21</f>
        <v/>
      </c>
      <c r="BI191" s="75">
        <f>Results!$B$19+AK191-Results!$D$21</f>
        <v/>
      </c>
      <c r="BJ191" s="75">
        <f>Results!$B$19+AL191-Results!$D$21</f>
        <v/>
      </c>
      <c r="BM191" s="75" t="n">
        <v>196</v>
      </c>
      <c r="BN191" s="75">
        <f>Results!D206</f>
        <v/>
      </c>
      <c r="BO191" s="75">
        <f>Results!E206</f>
        <v/>
      </c>
      <c r="BP191" s="75">
        <f>Results!F206</f>
        <v/>
      </c>
      <c r="BS191" s="75" t="n">
        <v>196</v>
      </c>
      <c r="BT191" s="75">
        <f>Demand!AU209</f>
        <v/>
      </c>
      <c r="BU191" s="75">
        <f>Demand!AV209</f>
        <v/>
      </c>
      <c r="BV191" s="75">
        <f>Demand!AW209</f>
        <v/>
      </c>
      <c r="BY191" s="75" t="n">
        <v>196</v>
      </c>
      <c r="BZ191" s="75">
        <f>Retailers_Cap!N192</f>
        <v/>
      </c>
      <c r="CA191" s="75">
        <f>Retailers_Cap!O192</f>
        <v/>
      </c>
      <c r="CB191" s="75">
        <f>Retailers_Cap!P192</f>
        <v/>
      </c>
      <c r="CD191" s="75" t="n">
        <v>196</v>
      </c>
      <c r="CE191" s="75">
        <f>IF((BT191-BZ191)&gt;=0,"Dem","Folga")</f>
        <v/>
      </c>
      <c r="CF191" s="75">
        <f>IF((BU191-CA191)&gt;=0,"Dem","Folga")</f>
        <v/>
      </c>
      <c r="CG191" s="75">
        <f>IF((BV191-CB191)&gt;=0,"Dem","Folga")</f>
        <v/>
      </c>
    </row>
    <row r="192">
      <c r="M192" s="75">
        <f>TRUNC((_xlfn.NORM.INV((RAND()),$L$6,$L$7)),2)</f>
        <v/>
      </c>
      <c r="O192" s="75" t="n">
        <v>197</v>
      </c>
      <c r="P192" s="5" t="n">
        <v>251.35</v>
      </c>
      <c r="Q192" s="5" t="n">
        <v>136.78</v>
      </c>
      <c r="R192" s="5" t="n">
        <v>239.64</v>
      </c>
      <c r="W192" s="75">
        <f>TRUNC((_xlfn.NORM.INV((RAND()),$V$6,$V$7)),3)</f>
        <v/>
      </c>
      <c r="Y192" s="75" t="n">
        <v>197</v>
      </c>
      <c r="Z192" s="5" t="n">
        <v>6.784</v>
      </c>
      <c r="AA192" s="5" t="n">
        <v>6.737</v>
      </c>
      <c r="AB192" s="5" t="n">
        <v>6.752</v>
      </c>
      <c r="AG192" s="75">
        <f>TRUNC((_xlfn.NORM.INV((RAND()),$AF$6,$AF$7)),3)</f>
        <v/>
      </c>
      <c r="AI192" s="75" t="n">
        <v>197</v>
      </c>
      <c r="AJ192" s="5" t="n">
        <v>76.777</v>
      </c>
      <c r="AK192" s="5" t="n">
        <v>46.92</v>
      </c>
      <c r="AL192" s="5" t="n">
        <v>37.603</v>
      </c>
      <c r="AR192" s="75" t="n">
        <v>197</v>
      </c>
      <c r="AS192" s="5" t="n">
        <v>10.018616869753</v>
      </c>
      <c r="AT192" s="5" t="n">
        <v>7.221338474902933</v>
      </c>
      <c r="AU192" s="5" t="n">
        <v>0</v>
      </c>
      <c r="AW192" s="75">
        <f>Z192/Demand!AU210</f>
        <v/>
      </c>
      <c r="AX192" s="75">
        <f>AA192/Demand!AV210</f>
        <v/>
      </c>
      <c r="AY192" s="75">
        <f>AB192/Demand!AW210</f>
        <v/>
      </c>
      <c r="BG192" s="75" t="n">
        <v>197</v>
      </c>
      <c r="BH192" s="75">
        <f>Results!$B$19+AJ192-Results!$D$21</f>
        <v/>
      </c>
      <c r="BI192" s="75">
        <f>Results!$B$19+AK192-Results!$D$21</f>
        <v/>
      </c>
      <c r="BJ192" s="75">
        <f>Results!$B$19+AL192-Results!$D$21</f>
        <v/>
      </c>
      <c r="BM192" s="75" t="n">
        <v>197</v>
      </c>
      <c r="BN192" s="75">
        <f>Results!D207</f>
        <v/>
      </c>
      <c r="BO192" s="75">
        <f>Results!E207</f>
        <v/>
      </c>
      <c r="BP192" s="75">
        <f>Results!F207</f>
        <v/>
      </c>
      <c r="BS192" s="75" t="n">
        <v>197</v>
      </c>
      <c r="BT192" s="75">
        <f>Demand!AU210</f>
        <v/>
      </c>
      <c r="BU192" s="75">
        <f>Demand!AV210</f>
        <v/>
      </c>
      <c r="BV192" s="75">
        <f>Demand!AW210</f>
        <v/>
      </c>
      <c r="BY192" s="75" t="n">
        <v>197</v>
      </c>
      <c r="BZ192" s="75">
        <f>Retailers_Cap!N193</f>
        <v/>
      </c>
      <c r="CA192" s="75">
        <f>Retailers_Cap!O193</f>
        <v/>
      </c>
      <c r="CB192" s="75">
        <f>Retailers_Cap!P193</f>
        <v/>
      </c>
      <c r="CD192" s="75" t="n">
        <v>197</v>
      </c>
      <c r="CE192" s="75">
        <f>IF((BT192-BZ192)&gt;=0,"Dem","Folga")</f>
        <v/>
      </c>
      <c r="CF192" s="75">
        <f>IF((BU192-CA192)&gt;=0,"Dem","Folga")</f>
        <v/>
      </c>
      <c r="CG192" s="75">
        <f>IF((BV192-CB192)&gt;=0,"Dem","Folga")</f>
        <v/>
      </c>
    </row>
    <row r="193">
      <c r="M193" s="75">
        <f>TRUNC((_xlfn.NORM.INV((RAND()),$L$6,$L$7)),2)</f>
        <v/>
      </c>
      <c r="O193" s="75" t="n">
        <v>198</v>
      </c>
      <c r="P193" s="5" t="n">
        <v>255.36</v>
      </c>
      <c r="Q193" s="5" t="n">
        <v>241.79</v>
      </c>
      <c r="R193" s="5" t="n">
        <v>211.88</v>
      </c>
      <c r="W193" s="75">
        <f>TRUNC((_xlfn.NORM.INV((RAND()),$V$6,$V$7)),3)</f>
        <v/>
      </c>
      <c r="Y193" s="75" t="n">
        <v>198</v>
      </c>
      <c r="Z193" s="5" t="n">
        <v>6.679</v>
      </c>
      <c r="AA193" s="5" t="n">
        <v>6.763</v>
      </c>
      <c r="AB193" s="5" t="n">
        <v>6.785</v>
      </c>
      <c r="AG193" s="75">
        <f>TRUNC((_xlfn.NORM.INV((RAND()),$AF$6,$AF$7)),3)</f>
        <v/>
      </c>
      <c r="AI193" s="75" t="n">
        <v>198</v>
      </c>
      <c r="AJ193" s="5" t="n">
        <v>67.12</v>
      </c>
      <c r="AK193" s="5" t="n">
        <v>55.253</v>
      </c>
      <c r="AL193" s="5" t="n">
        <v>76.435</v>
      </c>
      <c r="AR193" s="75" t="n">
        <v>198</v>
      </c>
      <c r="AS193" s="5" t="n">
        <v>0</v>
      </c>
      <c r="AT193" s="5" t="n">
        <v>0</v>
      </c>
      <c r="AU193" s="5" t="n">
        <v>0</v>
      </c>
      <c r="AW193" s="75">
        <f>Z193/Demand!AU211</f>
        <v/>
      </c>
      <c r="AX193" s="75">
        <f>AA193/Demand!AV211</f>
        <v/>
      </c>
      <c r="AY193" s="75">
        <f>AB193/Demand!AW211</f>
        <v/>
      </c>
      <c r="BG193" s="75" t="n">
        <v>198</v>
      </c>
      <c r="BH193" s="75">
        <f>Results!$B$19+AJ193-Results!$D$21</f>
        <v/>
      </c>
      <c r="BI193" s="75">
        <f>Results!$B$19+AK193-Results!$D$21</f>
        <v/>
      </c>
      <c r="BJ193" s="75">
        <f>Results!$B$19+AL193-Results!$D$21</f>
        <v/>
      </c>
      <c r="BM193" s="75" t="n">
        <v>198</v>
      </c>
      <c r="BN193" s="75">
        <f>Results!D208</f>
        <v/>
      </c>
      <c r="BO193" s="75">
        <f>Results!E208</f>
        <v/>
      </c>
      <c r="BP193" s="75">
        <f>Results!F208</f>
        <v/>
      </c>
      <c r="BS193" s="75" t="n">
        <v>198</v>
      </c>
      <c r="BT193" s="75">
        <f>Demand!AU211</f>
        <v/>
      </c>
      <c r="BU193" s="75">
        <f>Demand!AV211</f>
        <v/>
      </c>
      <c r="BV193" s="75">
        <f>Demand!AW211</f>
        <v/>
      </c>
      <c r="BY193" s="75" t="n">
        <v>198</v>
      </c>
      <c r="BZ193" s="75">
        <f>Retailers_Cap!N194</f>
        <v/>
      </c>
      <c r="CA193" s="75">
        <f>Retailers_Cap!O194</f>
        <v/>
      </c>
      <c r="CB193" s="75">
        <f>Retailers_Cap!P194</f>
        <v/>
      </c>
      <c r="CD193" s="75" t="n">
        <v>198</v>
      </c>
      <c r="CE193" s="75">
        <f>IF((BT193-BZ193)&gt;=0,"Dem","Folga")</f>
        <v/>
      </c>
      <c r="CF193" s="75">
        <f>IF((BU193-CA193)&gt;=0,"Dem","Folga")</f>
        <v/>
      </c>
      <c r="CG193" s="75">
        <f>IF((BV193-CB193)&gt;=0,"Dem","Folga")</f>
        <v/>
      </c>
    </row>
    <row r="194">
      <c r="M194" s="75">
        <f>TRUNC((_xlfn.NORM.INV((RAND()),$L$6,$L$7)),2)</f>
        <v/>
      </c>
      <c r="O194" s="75" t="n">
        <v>199</v>
      </c>
      <c r="P194" s="5" t="n">
        <v>222.74</v>
      </c>
      <c r="Q194" s="5" t="n">
        <v>152.98</v>
      </c>
      <c r="R194" s="5" t="n">
        <v>224.48</v>
      </c>
      <c r="W194" s="75">
        <f>TRUNC((_xlfn.NORM.INV((RAND()),$V$6,$V$7)),3)</f>
        <v/>
      </c>
      <c r="Y194" s="75" t="n">
        <v>199</v>
      </c>
      <c r="Z194" s="5" t="n">
        <v>6.75</v>
      </c>
      <c r="AA194" s="5" t="n">
        <v>6.711</v>
      </c>
      <c r="AB194" s="5" t="n">
        <v>6.77</v>
      </c>
      <c r="AG194" s="75">
        <f>TRUNC((_xlfn.NORM.INV((RAND()),$AF$6,$AF$7)),3)</f>
        <v/>
      </c>
      <c r="AI194" s="75" t="n">
        <v>199</v>
      </c>
      <c r="AJ194" s="5" t="n">
        <v>60.404</v>
      </c>
      <c r="AK194" s="5" t="n">
        <v>41.633</v>
      </c>
      <c r="AL194" s="5" t="n">
        <v>44.725</v>
      </c>
      <c r="AR194" s="75" t="n">
        <v>199</v>
      </c>
      <c r="AS194" s="5" t="n">
        <v>0</v>
      </c>
      <c r="AT194" s="5" t="n">
        <v>4.522300032599455</v>
      </c>
      <c r="AU194" s="5" t="n">
        <v>14.77840397734045</v>
      </c>
      <c r="AW194" s="75">
        <f>Z194/Demand!AU212</f>
        <v/>
      </c>
      <c r="AX194" s="75">
        <f>AA194/Demand!AV212</f>
        <v/>
      </c>
      <c r="AY194" s="75">
        <f>AB194/Demand!AW212</f>
        <v/>
      </c>
      <c r="BG194" s="75" t="n">
        <v>199</v>
      </c>
      <c r="BH194" s="75">
        <f>Results!$B$19+AJ194-Results!$D$21</f>
        <v/>
      </c>
      <c r="BI194" s="75">
        <f>Results!$B$19+AK194-Results!$D$21</f>
        <v/>
      </c>
      <c r="BJ194" s="75">
        <f>Results!$B$19+AL194-Results!$D$21</f>
        <v/>
      </c>
      <c r="BM194" s="75" t="n">
        <v>199</v>
      </c>
      <c r="BN194" s="75">
        <f>Results!D209</f>
        <v/>
      </c>
      <c r="BO194" s="75">
        <f>Results!E209</f>
        <v/>
      </c>
      <c r="BP194" s="75">
        <f>Results!F209</f>
        <v/>
      </c>
      <c r="BS194" s="75" t="n">
        <v>199</v>
      </c>
      <c r="BT194" s="75">
        <f>Demand!AU212</f>
        <v/>
      </c>
      <c r="BU194" s="75">
        <f>Demand!AV212</f>
        <v/>
      </c>
      <c r="BV194" s="75">
        <f>Demand!AW212</f>
        <v/>
      </c>
      <c r="BY194" s="75" t="n">
        <v>199</v>
      </c>
      <c r="BZ194" s="75">
        <f>Retailers_Cap!N195</f>
        <v/>
      </c>
      <c r="CA194" s="75">
        <f>Retailers_Cap!O195</f>
        <v/>
      </c>
      <c r="CB194" s="75">
        <f>Retailers_Cap!P195</f>
        <v/>
      </c>
      <c r="CD194" s="75" t="n">
        <v>199</v>
      </c>
      <c r="CE194" s="75">
        <f>IF((BT194-BZ194)&gt;=0,"Dem","Folga")</f>
        <v/>
      </c>
      <c r="CF194" s="75">
        <f>IF((BU194-CA194)&gt;=0,"Dem","Folga")</f>
        <v/>
      </c>
      <c r="CG194" s="75">
        <f>IF((BV194-CB194)&gt;=0,"Dem","Folga")</f>
        <v/>
      </c>
    </row>
    <row r="195">
      <c r="M195" s="75">
        <f>TRUNC((_xlfn.NORM.INV((RAND()),$L$6,$L$7)),2)</f>
        <v/>
      </c>
      <c r="O195" s="75" t="n">
        <v>200</v>
      </c>
      <c r="P195" s="5" t="n">
        <v>152.83</v>
      </c>
      <c r="Q195" s="5" t="n">
        <v>127.42</v>
      </c>
      <c r="R195" s="5" t="n">
        <v>222.46</v>
      </c>
      <c r="W195" s="75">
        <f>TRUNC((_xlfn.NORM.INV((RAND()),$V$6,$V$7)),3)</f>
        <v/>
      </c>
      <c r="Y195" s="75" t="n">
        <v>200</v>
      </c>
      <c r="Z195" s="5" t="n">
        <v>6.719</v>
      </c>
      <c r="AA195" s="5" t="n">
        <v>6.724</v>
      </c>
      <c r="AB195" s="5" t="n">
        <v>6.803</v>
      </c>
      <c r="AG195" s="75">
        <f>TRUNC((_xlfn.NORM.INV((RAND()),$AF$6,$AF$7)),3)</f>
        <v/>
      </c>
      <c r="AI195" s="75" t="n">
        <v>200</v>
      </c>
      <c r="AJ195" s="5" t="n">
        <v>58.3</v>
      </c>
      <c r="AK195" s="5" t="n">
        <v>59.975</v>
      </c>
      <c r="AL195" s="5" t="n">
        <v>66.089</v>
      </c>
      <c r="AR195" s="75" t="n">
        <v>200</v>
      </c>
      <c r="AS195" s="5" t="n">
        <v>25.30428740316539</v>
      </c>
      <c r="AT195" s="5" t="n">
        <v>12.44225973284506</v>
      </c>
      <c r="AU195" s="5" t="n">
        <v>0</v>
      </c>
      <c r="AW195" s="75">
        <f>Z195/Demand!AU213</f>
        <v/>
      </c>
      <c r="AX195" s="75">
        <f>AA195/Demand!AV213</f>
        <v/>
      </c>
      <c r="AY195" s="75">
        <f>AB195/Demand!AW213</f>
        <v/>
      </c>
      <c r="BG195" s="75" t="n">
        <v>200</v>
      </c>
      <c r="BH195" s="75">
        <f>Results!$B$19+AJ195-Results!$D$21</f>
        <v/>
      </c>
      <c r="BI195" s="75">
        <f>Results!$B$19+AK195-Results!$D$21</f>
        <v/>
      </c>
      <c r="BJ195" s="75">
        <f>Results!$B$19+AL195-Results!$D$21</f>
        <v/>
      </c>
      <c r="BM195" s="75" t="n">
        <v>200</v>
      </c>
      <c r="BN195" s="75">
        <f>Results!D210</f>
        <v/>
      </c>
      <c r="BO195" s="75">
        <f>Results!E210</f>
        <v/>
      </c>
      <c r="BP195" s="75">
        <f>Results!F210</f>
        <v/>
      </c>
      <c r="BS195" s="75" t="n">
        <v>200</v>
      </c>
      <c r="BT195" s="75">
        <f>Demand!AU213</f>
        <v/>
      </c>
      <c r="BU195" s="75">
        <f>Demand!AV213</f>
        <v/>
      </c>
      <c r="BV195" s="75">
        <f>Demand!AW213</f>
        <v/>
      </c>
      <c r="BY195" s="75" t="n">
        <v>200</v>
      </c>
      <c r="BZ195" s="75">
        <f>Retailers_Cap!N196</f>
        <v/>
      </c>
      <c r="CA195" s="75">
        <f>Retailers_Cap!O196</f>
        <v/>
      </c>
      <c r="CB195" s="75">
        <f>Retailers_Cap!P196</f>
        <v/>
      </c>
      <c r="CD195" s="75" t="n">
        <v>200</v>
      </c>
      <c r="CE195" s="75">
        <f>IF((BT195-BZ195)&gt;=0,"Dem","Folga")</f>
        <v/>
      </c>
      <c r="CF195" s="75">
        <f>IF((BU195-CA195)&gt;=0,"Dem","Folga")</f>
        <v/>
      </c>
      <c r="CG195" s="75">
        <f>IF((BV195-CB195)&gt;=0,"Dem","Folga")</f>
        <v/>
      </c>
    </row>
    <row r="196">
      <c r="BH196" s="75" t="inlineStr">
        <is>
          <t>*</t>
        </is>
      </c>
      <c r="BI196" s="75" t="inlineStr">
        <is>
          <t>*</t>
        </is>
      </c>
      <c r="BJ196" s="75" t="inlineStr">
        <is>
          <t>*</t>
        </is>
      </c>
      <c r="BK196" s="75" t="inlineStr">
        <is>
          <t>*</t>
        </is>
      </c>
      <c r="BL196" s="75" t="inlineStr">
        <is>
          <t>*</t>
        </is>
      </c>
      <c r="BM196" s="75" t="inlineStr">
        <is>
          <t>*</t>
        </is>
      </c>
      <c r="BN196" s="75" t="inlineStr">
        <is>
          <t>*</t>
        </is>
      </c>
      <c r="BO196" s="75" t="inlineStr">
        <is>
          <t>*</t>
        </is>
      </c>
      <c r="BP196" s="75" t="inlineStr">
        <is>
          <t>*</t>
        </is>
      </c>
      <c r="BQ196" s="75" t="inlineStr">
        <is>
          <t>*</t>
        </is>
      </c>
      <c r="BR196" s="75" t="inlineStr">
        <is>
          <t>*</t>
        </is>
      </c>
      <c r="BS196" s="75" t="inlineStr">
        <is>
          <t>*</t>
        </is>
      </c>
      <c r="BT196" s="75" t="inlineStr">
        <is>
          <t>*</t>
        </is>
      </c>
      <c r="BU196" s="75" t="inlineStr">
        <is>
          <t>*</t>
        </is>
      </c>
      <c r="BV196" s="75" t="inlineStr">
        <is>
          <t>*</t>
        </is>
      </c>
      <c r="BW196" s="75" t="inlineStr">
        <is>
          <t>*</t>
        </is>
      </c>
      <c r="BX196" s="75" t="inlineStr">
        <is>
          <t>*</t>
        </is>
      </c>
      <c r="BY196" s="75" t="inlineStr">
        <is>
          <t>*</t>
        </is>
      </c>
      <c r="BZ196" s="75" t="inlineStr">
        <is>
          <t>*</t>
        </is>
      </c>
      <c r="CA196" s="75" t="inlineStr">
        <is>
          <t>*</t>
        </is>
      </c>
      <c r="CB196" s="75" t="inlineStr">
        <is>
          <t>*</t>
        </is>
      </c>
      <c r="CC196" s="75" t="inlineStr">
        <is>
          <t>*</t>
        </is>
      </c>
      <c r="CD196" s="75" t="inlineStr">
        <is>
          <t>*</t>
        </is>
      </c>
      <c r="CE196" s="75" t="inlineStr">
        <is>
          <t>*</t>
        </is>
      </c>
      <c r="CF196" s="75" t="inlineStr">
        <is>
          <t>*</t>
        </is>
      </c>
      <c r="CG196" s="75" t="inlineStr">
        <is>
          <t>*</t>
        </is>
      </c>
      <c r="CH196" s="75" t="inlineStr">
        <is>
          <t>*</t>
        </is>
      </c>
      <c r="CI196" s="75" t="inlineStr">
        <is>
          <t>*</t>
        </is>
      </c>
      <c r="CJ196" s="75" t="inlineStr">
        <is>
          <t>*</t>
        </is>
      </c>
      <c r="CK196" s="75" t="inlineStr">
        <is>
          <t>*</t>
        </is>
      </c>
      <c r="CL196" s="75" t="inlineStr">
        <is>
          <t>*</t>
        </is>
      </c>
      <c r="CM196" s="75" t="inlineStr">
        <is>
          <t>*</t>
        </is>
      </c>
      <c r="CN196" s="75" t="inlineStr">
        <is>
          <t>*</t>
        </is>
      </c>
      <c r="CO196" s="75" t="inlineStr">
        <is>
          <t>*</t>
        </is>
      </c>
      <c r="CP196" s="75" t="inlineStr">
        <is>
          <t>*</t>
        </is>
      </c>
      <c r="CQ196" s="75" t="inlineStr">
        <is>
          <t>*</t>
        </is>
      </c>
      <c r="CR196" s="75" t="inlineStr">
        <is>
          <t>*</t>
        </is>
      </c>
      <c r="CS196" s="75" t="inlineStr">
        <is>
          <t>*</t>
        </is>
      </c>
    </row>
  </sheetData>
  <mergeCells count="4">
    <mergeCell ref="AF4:AG4"/>
    <mergeCell ref="V4:W4"/>
    <mergeCell ref="AO4:AP4"/>
    <mergeCell ref="L4:M4"/>
  </mergeCells>
  <pageMargins left="0.511811024" right="0.511811024" top="0.787401575" bottom="0.787401575" header="0.31496062" footer="0.31496062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68"/>
  <sheetViews>
    <sheetView topLeftCell="A19" zoomScale="90" zoomScaleNormal="90" workbookViewId="0">
      <selection activeCell="D41" sqref="D41"/>
    </sheetView>
  </sheetViews>
  <sheetFormatPr baseColWidth="8" defaultColWidth="8.88671875" defaultRowHeight="14.4"/>
  <cols>
    <col width="18.88671875" bestFit="1" customWidth="1" style="15" min="1" max="1"/>
    <col width="14.88671875" bestFit="1" customWidth="1" style="15" min="2" max="2"/>
    <col width="13.109375" customWidth="1" style="15" min="3" max="3"/>
    <col width="10.109375" customWidth="1" style="15" min="4" max="9"/>
    <col width="13.88671875" bestFit="1" customWidth="1" style="15" min="10" max="10"/>
    <col width="10.109375" customWidth="1" style="15" min="11" max="14"/>
    <col width="13.5546875" bestFit="1" customWidth="1" style="15" min="15" max="15"/>
    <col width="10.109375" customWidth="1" style="15" min="16" max="18"/>
    <col width="8.88671875" customWidth="1" style="15" min="19" max="21"/>
    <col width="15" customWidth="1" style="15" min="22" max="22"/>
    <col width="13.109375" customWidth="1" style="15" min="23" max="23"/>
    <col width="13.88671875" bestFit="1" customWidth="1" style="15" min="24" max="24"/>
    <col width="12.109375" customWidth="1" style="15" min="25" max="25"/>
    <col width="13.5546875" bestFit="1" customWidth="1" style="15" min="26" max="26"/>
    <col width="12.109375" customWidth="1" style="15" min="27" max="38"/>
    <col width="8.88671875" customWidth="1" style="15" min="39" max="16384"/>
  </cols>
  <sheetData>
    <row r="1">
      <c r="C1" s="74" t="inlineStr">
        <is>
          <t>Variância da capacidade</t>
        </is>
      </c>
    </row>
    <row r="2">
      <c r="C2" s="15" t="inlineStr">
        <is>
          <t>Capw</t>
        </is>
      </c>
      <c r="D2" s="15" t="n">
        <v>1</v>
      </c>
      <c r="E2" s="15" t="n">
        <v>2</v>
      </c>
      <c r="F2" s="15" t="n">
        <v>3</v>
      </c>
      <c r="G2" s="15" t="n">
        <v>4</v>
      </c>
      <c r="H2" s="15" t="n">
        <v>5</v>
      </c>
      <c r="I2" s="15" t="n">
        <v>6</v>
      </c>
      <c r="J2" s="15" t="n">
        <v>7</v>
      </c>
      <c r="K2" s="15" t="n">
        <v>8</v>
      </c>
      <c r="L2" s="15" t="n">
        <v>9</v>
      </c>
      <c r="M2" s="15" t="n">
        <v>10</v>
      </c>
      <c r="N2" s="15" t="n">
        <v>11</v>
      </c>
      <c r="O2" s="15" t="n">
        <v>12</v>
      </c>
      <c r="P2" s="15" t="n">
        <v>13</v>
      </c>
      <c r="Q2" s="15" t="n">
        <v>14</v>
      </c>
      <c r="R2" s="15" t="n">
        <v>15</v>
      </c>
    </row>
    <row r="3">
      <c r="C3" s="15" t="n">
        <v>1</v>
      </c>
      <c r="D3" s="15">
        <f>TRUNC(((D14*0.2)^2)/30,2)</f>
        <v/>
      </c>
      <c r="E3" s="15">
        <f>TRUNC(((E14*0.2)^2)/30,2)</f>
        <v/>
      </c>
      <c r="F3" s="15">
        <f>TRUNC(((F14*0.2)^2)/30,2)</f>
        <v/>
      </c>
      <c r="G3" s="15">
        <f>TRUNC(((G14*0.2)^2)/30,2)</f>
        <v/>
      </c>
      <c r="H3" s="15">
        <f>TRUNC(((H14*0.2)^2)/30,2)</f>
        <v/>
      </c>
      <c r="I3" s="15">
        <f>TRUNC(((I14*0.2)^2)/30,2)</f>
        <v/>
      </c>
      <c r="J3" s="15">
        <f>TRUNC(((J14*0.2)^2)/30,2)</f>
        <v/>
      </c>
      <c r="K3" s="15">
        <f>TRUNC(((K14*0.2)^2)/30,2)</f>
        <v/>
      </c>
      <c r="L3" s="15">
        <f>TRUNC(((L14*0.2)^2)/30,2)</f>
        <v/>
      </c>
      <c r="M3" s="15">
        <f>TRUNC(((M14*0.2)^2)/30,2)</f>
        <v/>
      </c>
      <c r="N3" s="15">
        <f>TRUNC(((N14*0.2)^2)/30,2)</f>
        <v/>
      </c>
      <c r="O3" s="15">
        <f>TRUNC(((O14*0.2)^2)/30,2)</f>
        <v/>
      </c>
      <c r="P3" s="15">
        <f>TRUNC(((P14*0.2)^2)/30,2)</f>
        <v/>
      </c>
      <c r="Q3" s="15">
        <f>TRUNC(((Q14*0.2)^2)/30,2)</f>
        <v/>
      </c>
      <c r="R3" s="15">
        <f>TRUNC(((R14*0.2)^2)/30,2)</f>
        <v/>
      </c>
    </row>
    <row r="4">
      <c r="C4" s="15" t="n">
        <v>2</v>
      </c>
      <c r="D4" s="15">
        <f>TRUNC(((D15*0.2)^2)/30,2)</f>
        <v/>
      </c>
      <c r="E4" s="15">
        <f>TRUNC(((E15*0.2)^2)/30,2)</f>
        <v/>
      </c>
      <c r="F4" s="15">
        <f>TRUNC(((F15*0.2)^2)/30,2)</f>
        <v/>
      </c>
      <c r="G4" s="15">
        <f>TRUNC(((G15*0.2)^2)/30,2)</f>
        <v/>
      </c>
      <c r="H4" s="15">
        <f>TRUNC(((H15*0.2)^2)/30,2)</f>
        <v/>
      </c>
      <c r="I4" s="15">
        <f>TRUNC(((I15*0.2)^2)/30,2)</f>
        <v/>
      </c>
      <c r="J4" s="15">
        <f>TRUNC(((J15*0.2)^2)/30,2)</f>
        <v/>
      </c>
      <c r="K4" s="15">
        <f>TRUNC(((K15*0.2)^2)/30,2)</f>
        <v/>
      </c>
      <c r="L4" s="15">
        <f>TRUNC(((L15*0.2)^2)/30,2)</f>
        <v/>
      </c>
      <c r="M4" s="15">
        <f>TRUNC(((M15*0.2)^2)/30,2)</f>
        <v/>
      </c>
      <c r="N4" s="15">
        <f>TRUNC(((N15*0.2)^2)/30,2)</f>
        <v/>
      </c>
      <c r="O4" s="15">
        <f>TRUNC(((O15*0.2)^2)/30,2)</f>
        <v/>
      </c>
      <c r="P4" s="15">
        <f>TRUNC(((P15*0.2)^2)/30,2)</f>
        <v/>
      </c>
      <c r="Q4" s="15">
        <f>TRUNC(((Q15*0.2)^2)/30,2)</f>
        <v/>
      </c>
      <c r="R4" s="15">
        <f>TRUNC(((R15*0.2)^2)/30,2)</f>
        <v/>
      </c>
    </row>
    <row r="5">
      <c r="C5" s="15" t="n">
        <v>3</v>
      </c>
      <c r="D5" s="15">
        <f>TRUNC(((D16*0.2)^2)/30,2)</f>
        <v/>
      </c>
      <c r="E5" s="15">
        <f>TRUNC(((E16*0.2)^2)/30,2)</f>
        <v/>
      </c>
      <c r="F5" s="15">
        <f>TRUNC(((F16*0.2)^2)/30,2)</f>
        <v/>
      </c>
      <c r="G5" s="15">
        <f>TRUNC(((G16*0.2)^2)/30,2)</f>
        <v/>
      </c>
      <c r="H5" s="15">
        <f>TRUNC(((H16*0.2)^2)/30,2)</f>
        <v/>
      </c>
      <c r="I5" s="15">
        <f>TRUNC(((I16*0.2)^2)/30,2)</f>
        <v/>
      </c>
      <c r="J5" s="15">
        <f>TRUNC(((J16*0.2)^2)/30,2)</f>
        <v/>
      </c>
      <c r="K5" s="15">
        <f>TRUNC(((K16*0.2)^2)/30,2)</f>
        <v/>
      </c>
      <c r="L5" s="15">
        <f>TRUNC(((L16*0.2)^2)/30,2)</f>
        <v/>
      </c>
      <c r="M5" s="15">
        <f>TRUNC(((M16*0.2)^2)/30,2)</f>
        <v/>
      </c>
      <c r="N5" s="15">
        <f>TRUNC(((N16*0.2)^2)/30,2)</f>
        <v/>
      </c>
      <c r="O5" s="15">
        <f>TRUNC(((O16*0.2)^2)/30,2)</f>
        <v/>
      </c>
      <c r="P5" s="15">
        <f>TRUNC(((P16*0.2)^2)/30,2)</f>
        <v/>
      </c>
      <c r="Q5" s="15">
        <f>TRUNC(((Q16*0.2)^2)/30,2)</f>
        <v/>
      </c>
      <c r="R5" s="15">
        <f>TRUNC(((R16*0.2)^2)/30,2)</f>
        <v/>
      </c>
    </row>
    <row r="7">
      <c r="C7" s="74" t="inlineStr">
        <is>
          <t>Desvio da capacidade</t>
        </is>
      </c>
    </row>
    <row r="8">
      <c r="C8" s="15" t="inlineStr">
        <is>
          <t>Capw</t>
        </is>
      </c>
      <c r="D8" s="15" t="n">
        <v>1</v>
      </c>
      <c r="E8" s="15" t="n">
        <v>2</v>
      </c>
      <c r="F8" s="15" t="n">
        <v>3</v>
      </c>
      <c r="G8" s="15" t="n">
        <v>4</v>
      </c>
      <c r="H8" s="15" t="n">
        <v>5</v>
      </c>
      <c r="I8" s="15" t="n">
        <v>6</v>
      </c>
      <c r="J8" s="15" t="n">
        <v>7</v>
      </c>
      <c r="K8" s="15" t="n">
        <v>8</v>
      </c>
      <c r="L8" s="15" t="n">
        <v>9</v>
      </c>
      <c r="M8" s="15" t="n">
        <v>10</v>
      </c>
      <c r="N8" s="15" t="n">
        <v>11</v>
      </c>
      <c r="O8" s="15" t="n">
        <v>12</v>
      </c>
      <c r="P8" s="15" t="n">
        <v>13</v>
      </c>
      <c r="Q8" s="15" t="n">
        <v>14</v>
      </c>
      <c r="R8" s="15" t="n">
        <v>15</v>
      </c>
    </row>
    <row r="9">
      <c r="B9" s="15">
        <f>TRUNC((D3^0.5),4)</f>
        <v/>
      </c>
      <c r="C9" s="15" t="n">
        <v>1</v>
      </c>
      <c r="D9" s="81" t="n">
        <v>11.122</v>
      </c>
      <c r="E9" s="81" t="n">
        <v>12.2768</v>
      </c>
      <c r="F9" s="81" t="n">
        <v>13.4141</v>
      </c>
      <c r="G9" s="81" t="n">
        <v>12.0714</v>
      </c>
      <c r="H9" s="81" t="n">
        <v>14.867</v>
      </c>
      <c r="I9" s="81" t="n">
        <v>7.6609</v>
      </c>
      <c r="J9" s="81" t="n">
        <v>12.8949</v>
      </c>
      <c r="K9" s="81" t="n">
        <v>11.8831</v>
      </c>
      <c r="L9" s="81" t="n">
        <v>11.0774</v>
      </c>
      <c r="M9" s="81" t="n">
        <v>13.2879</v>
      </c>
      <c r="N9" s="81" t="n">
        <v>15.4764</v>
      </c>
      <c r="O9" s="81" t="n">
        <v>9.154199999999999</v>
      </c>
      <c r="P9" s="81" t="n">
        <v>9.248200000000001</v>
      </c>
      <c r="Q9" s="81" t="n">
        <v>7.9056</v>
      </c>
      <c r="R9" s="81" t="n">
        <v>14.1957</v>
      </c>
    </row>
    <row r="10">
      <c r="B10" s="15">
        <f>TRUNC((D4^0.5),4)</f>
        <v/>
      </c>
      <c r="C10" s="15" t="n">
        <v>2</v>
      </c>
      <c r="D10" s="81" t="n">
        <v>10.5408</v>
      </c>
      <c r="E10" s="81" t="n">
        <v>9.2956</v>
      </c>
      <c r="F10" s="81" t="n">
        <v>12.1893</v>
      </c>
      <c r="G10" s="81" t="n">
        <v>20.8117</v>
      </c>
      <c r="H10" s="81" t="n">
        <v>13.277</v>
      </c>
      <c r="I10" s="81" t="n">
        <v>13.1282</v>
      </c>
      <c r="J10" s="81" t="n">
        <v>11.1242</v>
      </c>
      <c r="K10" s="81" t="n">
        <v>11.3986</v>
      </c>
      <c r="L10" s="81" t="n">
        <v>13.843</v>
      </c>
      <c r="M10" s="81" t="n">
        <v>8.518800000000001</v>
      </c>
      <c r="N10" s="81" t="n">
        <v>14.1647</v>
      </c>
      <c r="O10" s="81" t="n">
        <v>12.0519</v>
      </c>
      <c r="P10" s="81" t="n">
        <v>9.7257</v>
      </c>
      <c r="Q10" s="81" t="n">
        <v>14.9077</v>
      </c>
      <c r="R10" s="81" t="n">
        <v>13.0747</v>
      </c>
    </row>
    <row r="11">
      <c r="B11" s="15">
        <f>TRUNC((D5^0.5),4)</f>
        <v/>
      </c>
      <c r="C11" s="15" t="n">
        <v>3</v>
      </c>
      <c r="D11" s="81" t="n">
        <v>11.9645</v>
      </c>
      <c r="E11" s="81" t="n">
        <v>13.1175</v>
      </c>
      <c r="F11" s="81" t="n">
        <v>14.7349</v>
      </c>
      <c r="G11" s="81" t="n">
        <v>15.1805</v>
      </c>
      <c r="H11" s="81" t="n">
        <v>13.4424</v>
      </c>
      <c r="I11" s="81" t="n">
        <v>11.1928</v>
      </c>
      <c r="J11" s="81" t="n">
        <v>8.0405</v>
      </c>
      <c r="K11" s="81" t="n">
        <v>14.8996</v>
      </c>
      <c r="L11" s="81" t="n">
        <v>14.5337</v>
      </c>
      <c r="M11" s="81" t="n">
        <v>11.1552</v>
      </c>
      <c r="N11" s="81" t="n">
        <v>8.819800000000001</v>
      </c>
      <c r="O11" s="81" t="n">
        <v>11.5212</v>
      </c>
      <c r="P11" s="81" t="n">
        <v>15.9524</v>
      </c>
      <c r="Q11" s="81" t="n">
        <v>14.3551</v>
      </c>
      <c r="R11" s="81" t="n">
        <v>11.9465</v>
      </c>
    </row>
    <row r="13">
      <c r="A13" s="15" t="inlineStr">
        <is>
          <t>GERADOR DE DADOS</t>
        </is>
      </c>
      <c r="C13" s="15" t="inlineStr">
        <is>
          <t>Capw</t>
        </is>
      </c>
      <c r="D13" s="15" t="n">
        <v>1</v>
      </c>
      <c r="E13" s="15" t="n">
        <v>2</v>
      </c>
      <c r="F13" s="15" t="n">
        <v>3</v>
      </c>
      <c r="G13" s="15" t="n">
        <v>4</v>
      </c>
      <c r="H13" s="15" t="n">
        <v>5</v>
      </c>
      <c r="I13" s="15" t="n">
        <v>6</v>
      </c>
      <c r="J13" s="15" t="n">
        <v>7</v>
      </c>
      <c r="K13" s="15" t="n">
        <v>8</v>
      </c>
      <c r="L13" s="15" t="n">
        <v>9</v>
      </c>
      <c r="M13" s="15" t="n">
        <v>10</v>
      </c>
      <c r="N13" s="15" t="n">
        <v>11</v>
      </c>
      <c r="O13" s="15" t="n">
        <v>12</v>
      </c>
      <c r="P13" s="15" t="n">
        <v>13</v>
      </c>
      <c r="Q13" s="15" t="n">
        <v>14</v>
      </c>
      <c r="R13" s="15" t="n">
        <v>15</v>
      </c>
    </row>
    <row r="14">
      <c r="A14" s="39">
        <f>Demand!E5</f>
        <v/>
      </c>
      <c r="B14" s="39">
        <f>TRUNC((_xlfn.NORM.INV((RAND()),$A$14,$A$15)),2)</f>
        <v/>
      </c>
      <c r="C14" s="15" t="n">
        <v>1</v>
      </c>
      <c r="D14" s="40" t="n">
        <v>304.6</v>
      </c>
      <c r="E14" s="40" t="n">
        <v>336.22</v>
      </c>
      <c r="F14" s="40" t="n">
        <v>367.37</v>
      </c>
      <c r="G14" s="40" t="n">
        <v>330.6</v>
      </c>
      <c r="H14" s="40" t="n">
        <v>407.16</v>
      </c>
      <c r="I14" s="40" t="n">
        <v>209.81</v>
      </c>
      <c r="J14" s="40" t="n">
        <v>353.15</v>
      </c>
      <c r="K14" s="40" t="n">
        <v>325.44</v>
      </c>
      <c r="L14" s="40" t="n">
        <v>303.38</v>
      </c>
      <c r="M14" s="40" t="n">
        <v>363.91</v>
      </c>
      <c r="N14" s="40" t="n">
        <v>423.84</v>
      </c>
      <c r="O14" s="40" t="n">
        <v>250.7</v>
      </c>
      <c r="P14" s="40" t="n">
        <v>253.28</v>
      </c>
      <c r="Q14" s="40" t="n">
        <v>216.52</v>
      </c>
      <c r="R14" s="40" t="n">
        <v>388.77</v>
      </c>
    </row>
    <row r="15">
      <c r="A15" s="39">
        <f>A14*0.2</f>
        <v/>
      </c>
      <c r="B15" s="39">
        <f>TRUNC((_xlfn.NORM.INV((RAND()),$A$14,$A$15)),2)</f>
        <v/>
      </c>
      <c r="C15" s="15" t="n">
        <v>2</v>
      </c>
      <c r="D15" s="40" t="n">
        <v>288.68</v>
      </c>
      <c r="E15" s="40" t="n">
        <v>254.58</v>
      </c>
      <c r="F15" s="40" t="n">
        <v>333.83</v>
      </c>
      <c r="G15" s="40" t="n">
        <v>569.96</v>
      </c>
      <c r="H15" s="40" t="n">
        <v>363.61</v>
      </c>
      <c r="I15" s="40" t="n">
        <v>359.54</v>
      </c>
      <c r="J15" s="40" t="n">
        <v>304.66</v>
      </c>
      <c r="K15" s="40" t="n">
        <v>312.17</v>
      </c>
      <c r="L15" s="40" t="n">
        <v>379.11</v>
      </c>
      <c r="M15" s="40" t="n">
        <v>233.3</v>
      </c>
      <c r="N15" s="40" t="n">
        <v>387.92</v>
      </c>
      <c r="O15" s="40" t="n">
        <v>330.06</v>
      </c>
      <c r="P15" s="40" t="n">
        <v>266.36</v>
      </c>
      <c r="Q15" s="40" t="n">
        <v>408.27</v>
      </c>
      <c r="R15" s="40" t="n">
        <v>358.07</v>
      </c>
    </row>
    <row r="16">
      <c r="B16" s="39">
        <f>TRUNC((_xlfn.NORM.INV((RAND()),$A$14,$A$15)),2)</f>
        <v/>
      </c>
      <c r="C16" s="15" t="n">
        <v>3</v>
      </c>
      <c r="D16" s="40" t="n">
        <v>327.67</v>
      </c>
      <c r="E16" s="40" t="n">
        <v>359.24</v>
      </c>
      <c r="F16" s="40" t="n">
        <v>403.54</v>
      </c>
      <c r="G16" s="40" t="n">
        <v>415.74</v>
      </c>
      <c r="H16" s="40" t="n">
        <v>368.14</v>
      </c>
      <c r="I16" s="40" t="n">
        <v>306.54</v>
      </c>
      <c r="J16" s="40" t="n">
        <v>220.2</v>
      </c>
      <c r="K16" s="40" t="n">
        <v>408.05</v>
      </c>
      <c r="L16" s="40" t="n">
        <v>398.03</v>
      </c>
      <c r="M16" s="40" t="n">
        <v>305.5</v>
      </c>
      <c r="N16" s="40" t="n">
        <v>241.55</v>
      </c>
      <c r="O16" s="40" t="n">
        <v>315.53</v>
      </c>
      <c r="P16" s="40" t="n">
        <v>436.88</v>
      </c>
      <c r="Q16" s="40" t="n">
        <v>393.14</v>
      </c>
      <c r="R16" s="40" t="n">
        <v>327.17</v>
      </c>
    </row>
    <row r="18">
      <c r="C18" s="15" t="inlineStr">
        <is>
          <t>RunOutTimew</t>
        </is>
      </c>
      <c r="D18" s="15" t="n">
        <v>1</v>
      </c>
      <c r="E18" s="15" t="n">
        <v>2</v>
      </c>
      <c r="F18" s="15" t="n">
        <v>3</v>
      </c>
      <c r="G18" s="15" t="n">
        <v>4</v>
      </c>
      <c r="H18" s="15" t="n">
        <v>5</v>
      </c>
      <c r="I18" s="15" t="n">
        <v>6</v>
      </c>
      <c r="J18" s="15" t="n">
        <v>7</v>
      </c>
      <c r="K18" s="15" t="n">
        <v>8</v>
      </c>
      <c r="L18" s="15" t="n">
        <v>9</v>
      </c>
      <c r="M18" s="15" t="n">
        <v>10</v>
      </c>
      <c r="N18" s="15" t="n">
        <v>11</v>
      </c>
      <c r="O18" s="15" t="n">
        <v>12</v>
      </c>
      <c r="P18" s="15" t="n">
        <v>13</v>
      </c>
      <c r="Q18" s="15" t="n">
        <v>14</v>
      </c>
      <c r="R18" s="15" t="n">
        <v>15</v>
      </c>
    </row>
    <row r="19">
      <c r="C19" s="15" t="n">
        <v>1</v>
      </c>
      <c r="D19" s="41">
        <f>IF(Demand!AU5=Suppliers_Cap!D14,0,(Beginning_stock!AT5/(Demand!AU5-Suppliers_Cap!D14)))</f>
        <v/>
      </c>
      <c r="E19" s="41">
        <f>IF(Demand!AV5=Suppliers_Cap!E14,0,(Beginning_stock!AU5/(Demand!AV5-Suppliers_Cap!E14)))</f>
        <v/>
      </c>
      <c r="F19" s="41">
        <f>IF(Demand!AW5=Suppliers_Cap!F14,0,(Beginning_stock!AV5/(Demand!AW5-Suppliers_Cap!F14)))</f>
        <v/>
      </c>
      <c r="G19" s="41">
        <f>IF(Demand!AX5=Suppliers_Cap!G14,0,(Beginning_stock!AW5/(Demand!AX5-Suppliers_Cap!G14)))</f>
        <v/>
      </c>
      <c r="H19" s="41">
        <f>IF(Demand!AY5=Suppliers_Cap!H14,0,(Beginning_stock!AX5/(Demand!AY5-Suppliers_Cap!H14)))</f>
        <v/>
      </c>
      <c r="I19" s="41">
        <f>IF(Demand!AZ5=Suppliers_Cap!I14,0,(Beginning_stock!AY5/(Demand!AZ5-Suppliers_Cap!I14)))</f>
        <v/>
      </c>
      <c r="J19" s="41">
        <f>IF(Demand!BA5=Suppliers_Cap!J14,0,(Beginning_stock!AZ5/(Demand!BA5-Suppliers_Cap!J14)))</f>
        <v/>
      </c>
      <c r="K19" s="41">
        <f>IF(Demand!BB5=Suppliers_Cap!K14,0,(Beginning_stock!BA5/(Demand!BB5-Suppliers_Cap!K14)))</f>
        <v/>
      </c>
      <c r="L19" s="41">
        <f>IF(Demand!BC5=Suppliers_Cap!L14,0,(Beginning_stock!BB5/(Demand!BC5-Suppliers_Cap!L14)))</f>
        <v/>
      </c>
      <c r="M19" s="41">
        <f>IF(Demand!BD5=Suppliers_Cap!M14,0,(Beginning_stock!BC5/(Demand!BD5-Suppliers_Cap!M14)))</f>
        <v/>
      </c>
      <c r="N19" s="41">
        <f>IF(Demand!BE5=Suppliers_Cap!N14,0,(Beginning_stock!BD5/(Demand!BE5-Suppliers_Cap!N14)))</f>
        <v/>
      </c>
      <c r="O19" s="41">
        <f>IF(Demand!BF5=Suppliers_Cap!O14,0,(Beginning_stock!BE5/(Demand!BF5-Suppliers_Cap!O14)))</f>
        <v/>
      </c>
      <c r="P19" s="41">
        <f>IF(Demand!BG5=Suppliers_Cap!P14,0,(Beginning_stock!BF5/(Demand!BG5-Suppliers_Cap!P14)))</f>
        <v/>
      </c>
      <c r="Q19" s="41">
        <f>IF(Demand!BH5=Suppliers_Cap!Q14,0,(Beginning_stock!BG5/(Demand!BH5-Suppliers_Cap!Q14)))</f>
        <v/>
      </c>
      <c r="R19" s="41">
        <f>IF(Demand!BI5=Suppliers_Cap!R14,0,(Beginning_stock!BH5/(Demand!BI5-Suppliers_Cap!R14)))</f>
        <v/>
      </c>
    </row>
    <row r="20">
      <c r="C20" s="15" t="n">
        <v>2</v>
      </c>
      <c r="D20" s="41">
        <f>IF(Demand!AU6=Suppliers_Cap!D15,0,(Beginning_stock!AT6/(Demand!AU6-Suppliers_Cap!D15)))</f>
        <v/>
      </c>
      <c r="E20" s="41">
        <f>IF(Demand!AV6=Suppliers_Cap!E15,0,(Beginning_stock!AU6/(Demand!AV6-Suppliers_Cap!E15)))</f>
        <v/>
      </c>
      <c r="F20" s="41">
        <f>IF(Demand!AW6=Suppliers_Cap!F15,0,(Beginning_stock!AV6/(Demand!AW6-Suppliers_Cap!F15)))</f>
        <v/>
      </c>
      <c r="G20" s="41">
        <f>IF(Demand!AX6=Suppliers_Cap!G15,0,(Beginning_stock!AW6/(Demand!AX6-Suppliers_Cap!G15)))</f>
        <v/>
      </c>
      <c r="H20" s="41">
        <f>IF(Demand!AY6=Suppliers_Cap!H15,0,(Beginning_stock!AX6/(Demand!AY6-Suppliers_Cap!H15)))</f>
        <v/>
      </c>
      <c r="I20" s="41">
        <f>IF(Demand!AZ6=Suppliers_Cap!I15,0,(Beginning_stock!AY6/(Demand!AZ6-Suppliers_Cap!I15)))</f>
        <v/>
      </c>
      <c r="J20" s="41">
        <f>IF(Demand!BA6=Suppliers_Cap!J15,0,(Beginning_stock!AZ6/(Demand!BA6-Suppliers_Cap!J15)))</f>
        <v/>
      </c>
      <c r="K20" s="41">
        <f>IF(Demand!BB6=Suppliers_Cap!K15,0,(Beginning_stock!BA6/(Demand!BB6-Suppliers_Cap!K15)))</f>
        <v/>
      </c>
      <c r="L20" s="41">
        <f>IF(Demand!BC6=Suppliers_Cap!L15,0,(Beginning_stock!BB6/(Demand!BC6-Suppliers_Cap!L15)))</f>
        <v/>
      </c>
      <c r="M20" s="41">
        <f>IF(Demand!BD6=Suppliers_Cap!M15,0,(Beginning_stock!BC6/(Demand!BD6-Suppliers_Cap!M15)))</f>
        <v/>
      </c>
      <c r="N20" s="41">
        <f>IF(Demand!BE6=Suppliers_Cap!N15,0,(Beginning_stock!BD6/(Demand!BE6-Suppliers_Cap!N15)))</f>
        <v/>
      </c>
      <c r="O20" s="41">
        <f>IF(Demand!BF6=Suppliers_Cap!O15,0,(Beginning_stock!BE6/(Demand!BF6-Suppliers_Cap!O15)))</f>
        <v/>
      </c>
      <c r="P20" s="41">
        <f>IF(Demand!BG6=Suppliers_Cap!P15,0,(Beginning_stock!BF6/(Demand!BG6-Suppliers_Cap!P15)))</f>
        <v/>
      </c>
      <c r="Q20" s="41">
        <f>IF(Demand!BH6=Suppliers_Cap!Q15,0,(Beginning_stock!BG6/(Demand!BH6-Suppliers_Cap!Q15)))</f>
        <v/>
      </c>
      <c r="R20" s="41">
        <f>IF(Demand!BI6=Suppliers_Cap!R15,0,(Beginning_stock!BH6/(Demand!BI6-Suppliers_Cap!R15)))</f>
        <v/>
      </c>
    </row>
    <row r="21">
      <c r="C21" s="15" t="n">
        <v>3</v>
      </c>
      <c r="D21" s="41">
        <f>IF(Demand!AU7=Suppliers_Cap!D16,0,(Beginning_stock!AT7/(Demand!AU7-Suppliers_Cap!D16)))</f>
        <v/>
      </c>
      <c r="E21" s="41">
        <f>IF(Demand!AV7=Suppliers_Cap!E16,0,(Beginning_stock!AU7/(Demand!AV7-Suppliers_Cap!E16)))</f>
        <v/>
      </c>
      <c r="F21" s="41">
        <f>IF(Demand!AW7=Suppliers_Cap!F16,0,(Beginning_stock!AV7/(Demand!AW7-Suppliers_Cap!F16)))</f>
        <v/>
      </c>
      <c r="G21" s="41">
        <f>IF(Demand!AX7=Suppliers_Cap!G16,0,(Beginning_stock!AW7/(Demand!AX7-Suppliers_Cap!G16)))</f>
        <v/>
      </c>
      <c r="H21" s="41">
        <f>IF(Demand!AY7=Suppliers_Cap!H16,0,(Beginning_stock!AX7/(Demand!AY7-Suppliers_Cap!H16)))</f>
        <v/>
      </c>
      <c r="I21" s="41">
        <f>IF(Demand!AZ7=Suppliers_Cap!I16,0,(Beginning_stock!AY7/(Demand!AZ7-Suppliers_Cap!I16)))</f>
        <v/>
      </c>
      <c r="J21" s="41">
        <f>IF(Demand!BA7=Suppliers_Cap!J16,0,(Beginning_stock!AZ7/(Demand!BA7-Suppliers_Cap!J16)))</f>
        <v/>
      </c>
      <c r="K21" s="41">
        <f>IF(Demand!BB7=Suppliers_Cap!K16,0,(Beginning_stock!BA7/(Demand!BB7-Suppliers_Cap!K16)))</f>
        <v/>
      </c>
      <c r="L21" s="41">
        <f>IF(Demand!BC7=Suppliers_Cap!L16,0,(Beginning_stock!BB7/(Demand!BC7-Suppliers_Cap!L16)))</f>
        <v/>
      </c>
      <c r="M21" s="41">
        <f>IF(Demand!BD7=Suppliers_Cap!M16,0,(Beginning_stock!BC7/(Demand!BD7-Suppliers_Cap!M16)))</f>
        <v/>
      </c>
      <c r="N21" s="41">
        <f>IF(Demand!BE7=Suppliers_Cap!N16,0,(Beginning_stock!BD7/(Demand!BE7-Suppliers_Cap!N16)))</f>
        <v/>
      </c>
      <c r="O21" s="41">
        <f>IF(Demand!BF7=Suppliers_Cap!O16,0,(Beginning_stock!BE7/(Demand!BF7-Suppliers_Cap!O16)))</f>
        <v/>
      </c>
      <c r="P21" s="41">
        <f>IF(Demand!BG7=Suppliers_Cap!P16,0,(Beginning_stock!BF7/(Demand!BG7-Suppliers_Cap!P16)))</f>
        <v/>
      </c>
      <c r="Q21" s="41">
        <f>IF(Demand!BH7=Suppliers_Cap!Q16,0,(Beginning_stock!BG7/(Demand!BH7-Suppliers_Cap!Q16)))</f>
        <v/>
      </c>
      <c r="R21" s="41">
        <f>IF(Demand!BI7=Suppliers_Cap!R16,0,(Beginning_stock!BH7/(Demand!BI7-Suppliers_Cap!R16)))</f>
        <v/>
      </c>
    </row>
    <row r="23">
      <c r="C23" s="15" t="inlineStr">
        <is>
          <t>Stockout time</t>
        </is>
      </c>
    </row>
    <row r="24">
      <c r="D24" s="15" t="n">
        <v>1</v>
      </c>
      <c r="E24" s="15" t="n">
        <v>2</v>
      </c>
      <c r="F24" s="15" t="n">
        <v>3</v>
      </c>
      <c r="G24" s="15" t="n">
        <v>4</v>
      </c>
      <c r="H24" s="15" t="n">
        <v>5</v>
      </c>
      <c r="I24" s="15" t="n">
        <v>6</v>
      </c>
      <c r="J24" s="15" t="n">
        <v>7</v>
      </c>
      <c r="K24" s="15" t="n">
        <v>8</v>
      </c>
      <c r="L24" s="15" t="n">
        <v>9</v>
      </c>
      <c r="M24" s="15" t="n">
        <v>10</v>
      </c>
      <c r="N24" s="15" t="n">
        <v>11</v>
      </c>
      <c r="O24" s="15" t="n">
        <v>12</v>
      </c>
      <c r="P24" s="15" t="n">
        <v>13</v>
      </c>
      <c r="Q24" s="15" t="n">
        <v>14</v>
      </c>
      <c r="R24" s="15" t="n">
        <v>15</v>
      </c>
      <c r="T24" s="15" t="inlineStr">
        <is>
          <t>máximo</t>
        </is>
      </c>
      <c r="V24" s="15" t="inlineStr">
        <is>
          <t>máximo</t>
        </is>
      </c>
    </row>
    <row r="25">
      <c r="C25" s="15" t="n">
        <v>1</v>
      </c>
      <c r="D25" s="15">
        <f>IF(D19&gt;0,Suppliers!I22-D19,0)</f>
        <v/>
      </c>
      <c r="E25" s="15">
        <f>IF(E19&gt;0,Suppliers!J22-E19,0)</f>
        <v/>
      </c>
      <c r="F25" s="15">
        <f>IF(F19&gt;0,Suppliers!K22-F19,0)</f>
        <v/>
      </c>
      <c r="G25" s="15">
        <f>IF(G19&gt;0,Suppliers!L22-G19,0)</f>
        <v/>
      </c>
      <c r="H25" s="15">
        <f>IF(H19&gt;0,Suppliers!M22-H19,0)</f>
        <v/>
      </c>
      <c r="I25" s="15">
        <f>IF(I19&gt;0,Suppliers!N22-I19,0)</f>
        <v/>
      </c>
      <c r="J25" s="15">
        <f>IF(J19&gt;0,Suppliers!O22-J19,0)</f>
        <v/>
      </c>
      <c r="K25" s="15">
        <f>IF(K19&gt;0,Suppliers!P22-K19,0)</f>
        <v/>
      </c>
      <c r="L25" s="15">
        <f>IF(L19&gt;0,Suppliers!Q22-L19,0)</f>
        <v/>
      </c>
      <c r="M25" s="15">
        <f>IF(M19&gt;0,Suppliers!R22-M19,0)</f>
        <v/>
      </c>
      <c r="N25" s="15">
        <f>IF(N19&gt;0,Suppliers!S22-N19,0)</f>
        <v/>
      </c>
      <c r="O25" s="15">
        <f>IF(O19&gt;0,Suppliers!T22-O19,0)</f>
        <v/>
      </c>
      <c r="P25" s="15">
        <f>IF(P19&gt;0,Suppliers!U22-P19,0)</f>
        <v/>
      </c>
      <c r="Q25" s="15">
        <f>IF(Q19&gt;0,Suppliers!V22-Q19,0)</f>
        <v/>
      </c>
      <c r="R25" s="15">
        <f>IF(R19&gt;0,Suppliers!W22-R19,0)</f>
        <v/>
      </c>
      <c r="T25" s="15">
        <f>MAX(D25:R25)</f>
        <v/>
      </c>
      <c r="V25" s="15" t="n">
        <v>6.887941037957994</v>
      </c>
    </row>
    <row r="26">
      <c r="C26" s="15" t="n">
        <v>2</v>
      </c>
      <c r="D26" s="15">
        <f>IF(D20&gt;0,Suppliers!I23-D20,0)</f>
        <v/>
      </c>
      <c r="E26" s="15">
        <f>IF(E20&gt;0,Suppliers!J23-E20,0)</f>
        <v/>
      </c>
      <c r="F26" s="15">
        <f>IF(F20&gt;0,Suppliers!K23-F20,0)</f>
        <v/>
      </c>
      <c r="G26" s="15">
        <f>IF(G20&gt;0,Suppliers!L23-G20,0)</f>
        <v/>
      </c>
      <c r="H26" s="15">
        <f>IF(H20&gt;0,Suppliers!M23-H20,0)</f>
        <v/>
      </c>
      <c r="I26" s="15">
        <f>IF(I20&gt;0,Suppliers!N23-I20,0)</f>
        <v/>
      </c>
      <c r="J26" s="15">
        <f>IF(J20&gt;0,Suppliers!O23-J20,0)</f>
        <v/>
      </c>
      <c r="K26" s="15">
        <f>IF(K20&gt;0,Suppliers!P23-K20,0)</f>
        <v/>
      </c>
      <c r="L26" s="15">
        <f>IF(L20&gt;0,Suppliers!Q23-L20,0)</f>
        <v/>
      </c>
      <c r="M26" s="15">
        <f>IF(M20&gt;0,Suppliers!R23-M20,0)</f>
        <v/>
      </c>
      <c r="N26" s="15">
        <f>IF(N20&gt;0,Suppliers!S23-N20,0)</f>
        <v/>
      </c>
      <c r="O26" s="15">
        <f>IF(O20&gt;0,Suppliers!T23-O20,0)</f>
        <v/>
      </c>
      <c r="P26" s="15">
        <f>IF(P20&gt;0,Suppliers!U23-P20,0)</f>
        <v/>
      </c>
      <c r="Q26" s="15">
        <f>IF(Q20&gt;0,Suppliers!V23-Q20,0)</f>
        <v/>
      </c>
      <c r="R26" s="15">
        <f>IF(R20&gt;0,Suppliers!W23-R20,0)</f>
        <v/>
      </c>
      <c r="T26" s="15">
        <f>MAX(D26:R26)</f>
        <v/>
      </c>
      <c r="V26" s="15" t="n">
        <v>1.63121294165426</v>
      </c>
    </row>
    <row r="27">
      <c r="C27" s="15" t="n">
        <v>3</v>
      </c>
      <c r="D27" s="15">
        <f>IF(D21&gt;0,Suppliers!I24-D21,0)</f>
        <v/>
      </c>
      <c r="E27" s="15">
        <f>IF(E21&gt;0,Suppliers!J24-E21,0)</f>
        <v/>
      </c>
      <c r="F27" s="15">
        <f>IF(F21&gt;0,Suppliers!K24-F21,0)</f>
        <v/>
      </c>
      <c r="G27" s="15">
        <f>IF(G21&gt;0,Suppliers!L24-G21,0)</f>
        <v/>
      </c>
      <c r="H27" s="15">
        <f>IF(H21&gt;0,Suppliers!M24-H21,0)</f>
        <v/>
      </c>
      <c r="I27" s="15">
        <f>IF(I21&gt;0,Suppliers!N24-I21,0)</f>
        <v/>
      </c>
      <c r="J27" s="15">
        <f>IF(J21&gt;0,Suppliers!O24-J21,0)</f>
        <v/>
      </c>
      <c r="K27" s="15">
        <f>IF(K21&gt;0,Suppliers!P24-K21,0)</f>
        <v/>
      </c>
      <c r="L27" s="15">
        <f>IF(L21&gt;0,Suppliers!Q24-L21,0)</f>
        <v/>
      </c>
      <c r="M27" s="15">
        <f>IF(M21&gt;0,Suppliers!R24-M21,0)</f>
        <v/>
      </c>
      <c r="N27" s="15">
        <f>IF(N21&gt;0,Suppliers!S24-N21,0)</f>
        <v/>
      </c>
      <c r="O27" s="15">
        <f>IF(O21&gt;0,Suppliers!T24-O21,0)</f>
        <v/>
      </c>
      <c r="P27" s="15">
        <f>IF(P21&gt;0,Suppliers!U24-P21,0)</f>
        <v/>
      </c>
      <c r="Q27" s="15">
        <f>IF(Q21&gt;0,Suppliers!V24-Q21,0)</f>
        <v/>
      </c>
      <c r="R27" s="15">
        <f>IF(R21&gt;0,Suppliers!W24-R21,0)</f>
        <v/>
      </c>
      <c r="T27" s="15">
        <f>MAX(D27:R27)</f>
        <v/>
      </c>
      <c r="V27" s="15" t="n">
        <v>9.960484921350567</v>
      </c>
    </row>
    <row r="29">
      <c r="C29" s="74" t="inlineStr">
        <is>
          <t>Maximum stockout time per p</t>
        </is>
      </c>
    </row>
    <row r="30">
      <c r="D30" s="15" t="n">
        <v>1</v>
      </c>
      <c r="E30" s="15" t="n">
        <v>2</v>
      </c>
      <c r="F30" s="15" t="n">
        <v>3</v>
      </c>
      <c r="G30" s="15" t="n">
        <v>4</v>
      </c>
      <c r="H30" s="15" t="n">
        <v>5</v>
      </c>
      <c r="I30" s="15" t="n">
        <v>6</v>
      </c>
      <c r="J30" s="15" t="n">
        <v>7</v>
      </c>
      <c r="K30" s="15" t="n">
        <v>8</v>
      </c>
      <c r="L30" s="15" t="n">
        <v>9</v>
      </c>
      <c r="M30" s="15" t="n">
        <v>10</v>
      </c>
      <c r="N30" s="15" t="n">
        <v>11</v>
      </c>
      <c r="O30" s="15" t="n">
        <v>12</v>
      </c>
      <c r="P30" s="15" t="n">
        <v>13</v>
      </c>
      <c r="Q30" s="15" t="n">
        <v>14</v>
      </c>
      <c r="R30" s="15" t="n">
        <v>15</v>
      </c>
      <c r="T30" s="15" t="inlineStr">
        <is>
          <t>máximo</t>
        </is>
      </c>
      <c r="V30" s="15" t="inlineStr">
        <is>
          <t>máximo</t>
        </is>
      </c>
    </row>
    <row r="31">
      <c r="D31" s="15">
        <f>MAX(D25:D27)</f>
        <v/>
      </c>
      <c r="E31" s="15">
        <f>MAX(E25:E27)</f>
        <v/>
      </c>
      <c r="F31" s="15">
        <f>MAX(F25:F27)</f>
        <v/>
      </c>
      <c r="G31" s="15">
        <f>MAX(G25:G27)</f>
        <v/>
      </c>
      <c r="H31" s="15">
        <f>MAX(H25:H27)</f>
        <v/>
      </c>
      <c r="I31" s="15">
        <f>MAX(I25:I27)</f>
        <v/>
      </c>
      <c r="J31" s="15">
        <f>MAX(J25:J27)</f>
        <v/>
      </c>
      <c r="K31" s="15">
        <f>MAX(K25:K27)</f>
        <v/>
      </c>
      <c r="L31" s="15">
        <f>MAX(L25:L27)</f>
        <v/>
      </c>
      <c r="M31" s="15">
        <f>MAX(M25:M27)</f>
        <v/>
      </c>
      <c r="N31" s="15">
        <f>MAX(N25:N27)</f>
        <v/>
      </c>
      <c r="O31" s="15">
        <f>MAX(O25:O27)</f>
        <v/>
      </c>
      <c r="P31" s="15">
        <f>MAX(P25:P27)</f>
        <v/>
      </c>
      <c r="Q31" s="15">
        <f>MAX(Q25:Q27)</f>
        <v/>
      </c>
      <c r="R31" s="15">
        <f>MAX(R25:R27)</f>
        <v/>
      </c>
      <c r="T31" s="15">
        <f>MAX(D31:R31)</f>
        <v/>
      </c>
      <c r="V31" s="44" t="n">
        <v>15.14345622119816</v>
      </c>
    </row>
    <row r="33">
      <c r="C33" s="15" t="inlineStr">
        <is>
          <t>S0</t>
        </is>
      </c>
      <c r="D33" s="15" t="n">
        <v>1</v>
      </c>
      <c r="E33" s="15" t="n">
        <v>2</v>
      </c>
      <c r="F33" s="15" t="n">
        <v>3</v>
      </c>
      <c r="G33" s="15" t="n">
        <v>4</v>
      </c>
      <c r="H33" s="15" t="n">
        <v>5</v>
      </c>
      <c r="I33" s="15" t="n">
        <v>6</v>
      </c>
      <c r="J33" s="15" t="n">
        <v>7</v>
      </c>
      <c r="K33" s="15" t="n">
        <v>8</v>
      </c>
      <c r="L33" s="15" t="n">
        <v>9</v>
      </c>
      <c r="M33" s="15" t="n">
        <v>10</v>
      </c>
      <c r="N33" s="15" t="n">
        <v>11</v>
      </c>
      <c r="O33" s="15" t="n">
        <v>12</v>
      </c>
      <c r="P33" s="15" t="n">
        <v>13</v>
      </c>
      <c r="Q33" s="15" t="n">
        <v>14</v>
      </c>
      <c r="R33" s="15" t="n">
        <v>15</v>
      </c>
    </row>
    <row r="34">
      <c r="C34" s="15" t="n">
        <v>1</v>
      </c>
      <c r="D34" s="89">
        <f>IF(D25&lt;&gt;0,D25,0)</f>
        <v/>
      </c>
      <c r="E34" s="89">
        <f>IF(E25&lt;&gt;0,E25,0)</f>
        <v/>
      </c>
      <c r="F34" s="89">
        <f>IF(F25&lt;&gt;0,F25,0)</f>
        <v/>
      </c>
      <c r="G34" s="89">
        <f>IF(G25&lt;&gt;0,G25,0)</f>
        <v/>
      </c>
      <c r="H34" s="89">
        <f>IF(H25&lt;&gt;0,H25,0)</f>
        <v/>
      </c>
      <c r="I34" s="89">
        <f>IF(I25&lt;&gt;0,I25,0)</f>
        <v/>
      </c>
      <c r="J34" s="89">
        <f>IF(J25&lt;&gt;0,J25,0)</f>
        <v/>
      </c>
      <c r="K34" s="89">
        <f>IF(K25&lt;&gt;0,K25,0)</f>
        <v/>
      </c>
      <c r="L34" s="89">
        <f>IF(L25&lt;&gt;0,L25,0)</f>
        <v/>
      </c>
      <c r="M34" s="89">
        <f>IF(M25&lt;&gt;0,M25,0)</f>
        <v/>
      </c>
      <c r="N34" s="89">
        <f>IF(N25&lt;&gt;0,N25,0)</f>
        <v/>
      </c>
      <c r="O34" s="89">
        <f>IF(O25&lt;&gt;0,O25,0)</f>
        <v/>
      </c>
      <c r="P34" s="89">
        <f>IF(P25&lt;&gt;0,P25,0)</f>
        <v/>
      </c>
      <c r="Q34" s="89">
        <f>IF(Q25&lt;&gt;0,Q25,0)</f>
        <v/>
      </c>
      <c r="R34" s="89">
        <f>IF(R25&lt;&gt;0,R25,0)</f>
        <v/>
      </c>
    </row>
    <row r="35">
      <c r="C35" s="15" t="n">
        <v>2</v>
      </c>
      <c r="D35" s="89">
        <f>IF(D26&lt;&gt;0,D26,0)</f>
        <v/>
      </c>
      <c r="E35" s="89">
        <f>IF(E26&lt;&gt;0,E26,0)</f>
        <v/>
      </c>
      <c r="F35" s="89">
        <f>IF(F26&lt;&gt;0,F26,0)</f>
        <v/>
      </c>
      <c r="G35" s="89">
        <f>IF(G26&lt;&gt;0,G26,0)</f>
        <v/>
      </c>
      <c r="H35" s="89">
        <f>IF(H26&lt;&gt;0,H26,0)</f>
        <v/>
      </c>
      <c r="I35" s="89">
        <f>IF(I26&lt;&gt;0,I26,0)</f>
        <v/>
      </c>
      <c r="J35" s="89">
        <f>IF(J26&lt;&gt;0,J26,0)</f>
        <v/>
      </c>
      <c r="K35" s="89">
        <f>IF(K26&lt;&gt;0,K26,0)</f>
        <v/>
      </c>
      <c r="L35" s="89">
        <f>IF(L26&lt;&gt;0,L26,0)</f>
        <v/>
      </c>
      <c r="M35" s="89">
        <f>IF(M26&lt;&gt;0,M26,0)</f>
        <v/>
      </c>
      <c r="N35" s="89">
        <f>IF(N26&lt;&gt;0,N26,0)</f>
        <v/>
      </c>
      <c r="O35" s="89">
        <f>IF(O26&lt;&gt;0,O26,0)</f>
        <v/>
      </c>
      <c r="P35" s="89">
        <f>IF(P26&lt;&gt;0,P26,0)</f>
        <v/>
      </c>
      <c r="Q35" s="89">
        <f>IF(Q26&lt;&gt;0,Q26,0)</f>
        <v/>
      </c>
      <c r="R35" s="89">
        <f>IF(R26&lt;&gt;0,R26,0)</f>
        <v/>
      </c>
    </row>
    <row r="36">
      <c r="C36" s="15" t="n">
        <v>3</v>
      </c>
      <c r="D36" s="89">
        <f>IF(D27&lt;&gt;0,D27,0)</f>
        <v/>
      </c>
      <c r="E36" s="89">
        <f>IF(E27&lt;&gt;0,E27,0)</f>
        <v/>
      </c>
      <c r="F36" s="89">
        <f>IF(F27&lt;&gt;0,F27,0)</f>
        <v/>
      </c>
      <c r="G36" s="89">
        <f>IF(G27&lt;&gt;0,G27,0)</f>
        <v/>
      </c>
      <c r="H36" s="89">
        <f>IF(H27&lt;&gt;0,H27,0)</f>
        <v/>
      </c>
      <c r="I36" s="89">
        <f>IF(I27&lt;&gt;0,I27,0)</f>
        <v/>
      </c>
      <c r="J36" s="89">
        <f>IF(J27&lt;&gt;0,J27,0)</f>
        <v/>
      </c>
      <c r="K36" s="89">
        <f>IF(K27&lt;&gt;0,K27,0)</f>
        <v/>
      </c>
      <c r="L36" s="89">
        <f>IF(L27&lt;&gt;0,L27,0)</f>
        <v/>
      </c>
      <c r="M36" s="89">
        <f>IF(M27&lt;&gt;0,M27,0)</f>
        <v/>
      </c>
      <c r="N36" s="89">
        <f>IF(N27&lt;&gt;0,N27,0)</f>
        <v/>
      </c>
      <c r="O36" s="89">
        <f>IF(O27&lt;&gt;0,O27,0)</f>
        <v/>
      </c>
      <c r="P36" s="89">
        <f>IF(P27&lt;&gt;0,P27,0)</f>
        <v/>
      </c>
      <c r="Q36" s="89">
        <f>IF(Q27&lt;&gt;0,Q27,0)</f>
        <v/>
      </c>
      <c r="R36" s="89">
        <f>IF(R27&lt;&gt;0,R27,0)</f>
        <v/>
      </c>
    </row>
    <row r="38">
      <c r="C38" s="15" t="inlineStr">
        <is>
          <t>S0</t>
        </is>
      </c>
      <c r="D38" s="15" t="n">
        <v>1</v>
      </c>
      <c r="E38" s="15" t="n">
        <v>2</v>
      </c>
      <c r="F38" s="15" t="n">
        <v>3</v>
      </c>
      <c r="G38" s="15" t="n">
        <v>4</v>
      </c>
      <c r="H38" s="15" t="n">
        <v>5</v>
      </c>
      <c r="I38" s="15" t="n">
        <v>6</v>
      </c>
      <c r="J38" s="15" t="n">
        <v>7</v>
      </c>
      <c r="K38" s="15" t="n">
        <v>8</v>
      </c>
      <c r="L38" s="15" t="n">
        <v>9</v>
      </c>
      <c r="M38" s="15" t="n">
        <v>10</v>
      </c>
      <c r="N38" s="15" t="n">
        <v>11</v>
      </c>
      <c r="O38" s="15" t="n">
        <v>12</v>
      </c>
      <c r="P38" s="15" t="n">
        <v>13</v>
      </c>
      <c r="Q38" s="15" t="n">
        <v>14</v>
      </c>
      <c r="R38" s="15" t="n">
        <v>15</v>
      </c>
    </row>
    <row r="39">
      <c r="C39" s="15" t="n">
        <v>1</v>
      </c>
      <c r="D39" s="45" t="n">
        <v>0</v>
      </c>
      <c r="E39" s="45" t="n">
        <v>0</v>
      </c>
      <c r="F39" s="45" t="n">
        <v>0</v>
      </c>
      <c r="G39" s="45" t="n">
        <v>0</v>
      </c>
      <c r="H39" s="45" t="n">
        <v>-0.2635331905781637</v>
      </c>
      <c r="I39" s="45" t="n">
        <v>6.887941037957994</v>
      </c>
      <c r="J39" s="45" t="n">
        <v>0</v>
      </c>
      <c r="K39" s="45" t="n">
        <v>-1.741438677542767</v>
      </c>
      <c r="L39" s="45" t="n">
        <v>-4.375428063592381</v>
      </c>
      <c r="M39" s="45" t="n">
        <v>0</v>
      </c>
      <c r="N39" s="45" t="n">
        <v>-56.04966010733436</v>
      </c>
      <c r="O39" s="45" t="n">
        <v>0</v>
      </c>
      <c r="P39" s="45" t="n">
        <v>-7.063160453808745</v>
      </c>
      <c r="Q39" s="45" t="n">
        <v>6.422937662044865</v>
      </c>
      <c r="R39" s="45" t="n">
        <v>5.81591951394787</v>
      </c>
    </row>
    <row r="40">
      <c r="C40" s="15" t="n">
        <v>2</v>
      </c>
      <c r="D40" s="45" t="n">
        <v>-5.361609506190415</v>
      </c>
      <c r="E40" s="45" t="n">
        <v>-1.922419562419556</v>
      </c>
      <c r="F40" s="45" t="n">
        <v>0</v>
      </c>
      <c r="G40" s="45" t="n">
        <v>0</v>
      </c>
      <c r="H40" s="45" t="n">
        <v>-36.15456150182123</v>
      </c>
      <c r="I40" s="45" t="n">
        <v>-4.554898236092269</v>
      </c>
      <c r="J40" s="45" t="n">
        <v>-178.8290909090919</v>
      </c>
      <c r="K40" s="45" t="n">
        <v>0</v>
      </c>
      <c r="L40" s="45" t="n">
        <v>0</v>
      </c>
      <c r="M40" s="45" t="n">
        <v>-3.290545608346255</v>
      </c>
      <c r="N40" s="45" t="n">
        <v>0</v>
      </c>
      <c r="O40" s="45" t="n">
        <v>1.63121294165426</v>
      </c>
      <c r="P40" s="45" t="n">
        <v>-0.7280962445130896</v>
      </c>
      <c r="Q40" s="45" t="n">
        <v>-6.306323529411749</v>
      </c>
      <c r="R40" s="45" t="n">
        <v>-6.207751119274477</v>
      </c>
    </row>
    <row r="41">
      <c r="C41" s="15" t="n">
        <v>3</v>
      </c>
      <c r="D41" s="45" t="n">
        <v>9.325916106773198</v>
      </c>
      <c r="E41" s="45" t="n">
        <v>0</v>
      </c>
      <c r="F41" s="45" t="n">
        <v>0</v>
      </c>
      <c r="G41" s="45" t="n">
        <v>-1.296788395212003</v>
      </c>
      <c r="H41" s="45" t="n">
        <v>0</v>
      </c>
      <c r="I41" s="45" t="n">
        <v>9.960484921350567</v>
      </c>
      <c r="J41" s="45" t="n">
        <v>6.221065834344835</v>
      </c>
      <c r="K41" s="45" t="n">
        <v>0</v>
      </c>
      <c r="L41" s="45" t="n">
        <v>0</v>
      </c>
      <c r="M41" s="45" t="n">
        <v>0</v>
      </c>
      <c r="N41" s="45" t="n">
        <v>5.626190476190476</v>
      </c>
      <c r="O41" s="45" t="n">
        <v>-103.171719171917</v>
      </c>
      <c r="P41" s="45" t="n">
        <v>0</v>
      </c>
      <c r="Q41" s="45" t="n">
        <v>0</v>
      </c>
      <c r="R41" s="45" t="n">
        <v>-4.998174885612606</v>
      </c>
    </row>
    <row r="43">
      <c r="C43" s="74" t="inlineStr">
        <is>
          <t>GERADOR DE DADOS</t>
        </is>
      </c>
    </row>
    <row r="44">
      <c r="D44" s="15" t="n">
        <v>1</v>
      </c>
      <c r="E44" s="15" t="n">
        <v>2</v>
      </c>
      <c r="F44" s="15" t="n">
        <v>3</v>
      </c>
      <c r="G44" s="15" t="n">
        <v>4</v>
      </c>
      <c r="H44" s="15" t="n">
        <v>5</v>
      </c>
      <c r="I44" s="15" t="n">
        <v>6</v>
      </c>
      <c r="J44" s="15" t="n">
        <v>7</v>
      </c>
      <c r="K44" s="15" t="n">
        <v>8</v>
      </c>
      <c r="L44" s="15" t="n">
        <v>9</v>
      </c>
      <c r="M44" s="15" t="n">
        <v>10</v>
      </c>
      <c r="N44" s="15" t="n">
        <v>11</v>
      </c>
      <c r="O44" s="15" t="n">
        <v>12</v>
      </c>
      <c r="P44" s="15" t="n">
        <v>13</v>
      </c>
      <c r="Q44" s="15" t="n">
        <v>14</v>
      </c>
      <c r="R44" s="15" t="n">
        <v>15</v>
      </c>
    </row>
    <row r="45">
      <c r="C45" s="15" t="n">
        <v>1</v>
      </c>
      <c r="D45" s="42">
        <f>IF(D14&gt;Demand!AU5,0,ROUNDUP($B$49^0.5,0))</f>
        <v/>
      </c>
      <c r="E45" s="42">
        <f>IF(E14&gt;Demand!AV5,0,ROUNDUP($B$49^0.5,0))</f>
        <v/>
      </c>
      <c r="F45" s="42">
        <f>IF(F14&gt;Demand!AW5,0,ROUNDUP($B$49^0.5,0))</f>
        <v/>
      </c>
      <c r="G45" s="43">
        <f>IF(G14&gt;Demand!AX5,0,ROUNDUP($B$49^0.5,0))</f>
        <v/>
      </c>
      <c r="H45" s="42">
        <f>IF(H14&gt;Demand!AY5,0,ROUNDUP($B$49^0.5,0))</f>
        <v/>
      </c>
      <c r="I45" s="42">
        <f>IF(I14&gt;Demand!AZ5,0,ROUNDUP($B$49^0.5,0))</f>
        <v/>
      </c>
      <c r="J45" s="42">
        <f>IF(J14&gt;Demand!BA5,0,ROUNDUP($B$49^0.5,0))</f>
        <v/>
      </c>
      <c r="K45" s="42">
        <f>IF(K14&gt;Demand!BB5,0,ROUNDUP($B$49^0.5,0))</f>
        <v/>
      </c>
      <c r="L45" s="42">
        <f>IF(L14&gt;Demand!BC5,0,ROUNDUP($B$49^0.5,0))</f>
        <v/>
      </c>
      <c r="M45" s="42">
        <f>IF(M14&gt;Demand!BD5,0,ROUNDUP($B$49^0.5,0))</f>
        <v/>
      </c>
      <c r="N45" s="42">
        <f>IF(N14&gt;Demand!BE5,0,ROUNDUP($B$49^0.5,0))</f>
        <v/>
      </c>
      <c r="O45" s="42">
        <f>IF(O14&gt;Demand!BF5,0,ROUNDUP($B$49^0.5,0))</f>
        <v/>
      </c>
      <c r="P45" s="42">
        <f>IF(P14&gt;Demand!BG5,0,ROUNDUP($B$49^0.5,0))</f>
        <v/>
      </c>
      <c r="Q45" s="42">
        <f>IF(Q14&gt;Demand!BH5,0,ROUNDUP($B$49^0.5,0))</f>
        <v/>
      </c>
      <c r="R45" s="42">
        <f>IF(R14&gt;Demand!BI5,0,ROUNDUP($B$49^0.5,0))</f>
        <v/>
      </c>
    </row>
    <row r="46">
      <c r="C46" s="15" t="n">
        <v>2</v>
      </c>
      <c r="D46" s="42">
        <f>IF(D15&gt;Demand!AU6,0,ROUNDUP($B$49^0.5,0))</f>
        <v/>
      </c>
      <c r="E46" s="42">
        <f>IF(E15&gt;Demand!AV6,0,ROUNDUP($B$49^0.5,0))</f>
        <v/>
      </c>
      <c r="F46" s="42">
        <f>IF(F15&gt;Demand!AW6,0,ROUNDUP($B$49^0.5,0))</f>
        <v/>
      </c>
      <c r="G46" s="42">
        <f>IF(G15&gt;Demand!AX6,0,ROUNDUP($B$49^0.5,0))</f>
        <v/>
      </c>
      <c r="H46" s="42">
        <f>IF(H15&gt;Demand!AY6,0,ROUNDUP($B$49^0.5,0))</f>
        <v/>
      </c>
      <c r="I46" s="42">
        <f>IF(I15&gt;Demand!AZ6,0,ROUNDUP($B$49^0.5,0))</f>
        <v/>
      </c>
      <c r="J46" s="42">
        <f>IF(J15&gt;Demand!BA6,0,ROUNDUP($B$49^0.5,0))</f>
        <v/>
      </c>
      <c r="K46" s="42">
        <f>IF(K15&gt;Demand!BB6,0,ROUNDUP($B$49^0.5,0))</f>
        <v/>
      </c>
      <c r="L46" s="42">
        <f>IF(L15&gt;Demand!BC6,0,ROUNDUP($B$49^0.5,0))</f>
        <v/>
      </c>
      <c r="M46" s="42">
        <f>IF(M15&gt;Demand!BD6,0,ROUNDUP($B$49^0.5,0))</f>
        <v/>
      </c>
      <c r="N46" s="42">
        <f>IF(N15&gt;Demand!BE6,0,ROUNDUP($B$49^0.5,0))</f>
        <v/>
      </c>
      <c r="O46" s="42">
        <f>IF(O15&gt;Demand!BF6,0,ROUNDUP($B$49^0.5,0))</f>
        <v/>
      </c>
      <c r="P46" s="42">
        <f>IF(P15&gt;Demand!BG6,0,ROUNDUP($B$49^0.5,0))</f>
        <v/>
      </c>
      <c r="Q46" s="42">
        <f>IF(Q15&gt;Demand!BH6,0,ROUNDUP($B$49^0.5,0))</f>
        <v/>
      </c>
      <c r="R46" s="42">
        <f>IF(R15&gt;Demand!BI6,0,ROUNDUP($B$49^0.5,0))</f>
        <v/>
      </c>
    </row>
    <row r="47">
      <c r="C47" s="15" t="n">
        <v>3</v>
      </c>
      <c r="D47" s="42">
        <f>IF(D16&gt;Demand!AU7,0,ROUNDUP($B$49^0.5,0))</f>
        <v/>
      </c>
      <c r="E47" s="42">
        <f>IF(E16&gt;Demand!AV7,0,ROUNDUP($B$49^0.5,0))</f>
        <v/>
      </c>
      <c r="F47" s="42">
        <f>IF(F16&gt;Demand!AW7,0,ROUNDUP($B$49^0.5,0))</f>
        <v/>
      </c>
      <c r="G47" s="42">
        <f>IF(G16&gt;Demand!AX7,0,ROUNDUP($B$49^0.5,0))</f>
        <v/>
      </c>
      <c r="H47" s="42">
        <f>IF(H16&gt;Demand!AY7,0,ROUNDUP($B$49^0.5,0))</f>
        <v/>
      </c>
      <c r="I47" s="42">
        <f>IF(I16&gt;Demand!AZ7,0,ROUNDUP($B$49^0.5,0))</f>
        <v/>
      </c>
      <c r="J47" s="42">
        <f>IF(J16&gt;Demand!BA7,0,ROUNDUP($B$49^0.5,0))</f>
        <v/>
      </c>
      <c r="K47" s="42">
        <f>IF(K16&gt;Demand!BB7,0,ROUNDUP($B$49^0.5,0))</f>
        <v/>
      </c>
      <c r="L47" s="42">
        <f>IF(L16&gt;Demand!BC7,0,ROUNDUP($B$49^0.5,0))</f>
        <v/>
      </c>
      <c r="M47" s="42">
        <f>IF(M16&gt;Demand!BD7,0,ROUNDUP($B$49^0.5,0))</f>
        <v/>
      </c>
      <c r="N47" s="42">
        <f>IF(N16&gt;Demand!BE7,0,ROUNDUP($B$49^0.5,0))</f>
        <v/>
      </c>
      <c r="O47" s="42">
        <f>IF(O16&gt;Demand!BF7,0,ROUNDUP($B$49^0.5,0))</f>
        <v/>
      </c>
      <c r="P47" s="42">
        <f>IF(P16&gt;Demand!BG7,0,ROUNDUP($B$49^0.5,0))</f>
        <v/>
      </c>
      <c r="Q47" s="42">
        <f>IF(Q16&gt;Demand!BH7,0,ROUNDUP($B$49^0.5,0))</f>
        <v/>
      </c>
      <c r="R47" s="42">
        <f>IF(R16&gt;Demand!BI7,0,ROUNDUP($B$49^0.5,0))</f>
        <v/>
      </c>
    </row>
    <row r="49">
      <c r="B49" s="18" t="n">
        <v>990000000</v>
      </c>
      <c r="C49" s="15" t="inlineStr">
        <is>
          <t>uwip</t>
        </is>
      </c>
      <c r="D49" s="15" t="n">
        <v>1</v>
      </c>
      <c r="E49" s="15" t="n">
        <v>2</v>
      </c>
      <c r="F49" s="15" t="n">
        <v>3</v>
      </c>
      <c r="G49" s="15" t="n">
        <v>4</v>
      </c>
      <c r="H49" s="15" t="n">
        <v>5</v>
      </c>
      <c r="I49" s="15" t="n">
        <v>6</v>
      </c>
      <c r="J49" s="15" t="n">
        <v>7</v>
      </c>
      <c r="K49" s="15" t="n">
        <v>8</v>
      </c>
      <c r="L49" s="15" t="n">
        <v>9</v>
      </c>
      <c r="M49" s="15" t="n">
        <v>10</v>
      </c>
      <c r="N49" s="15" t="n">
        <v>11</v>
      </c>
      <c r="O49" s="15" t="n">
        <v>12</v>
      </c>
      <c r="P49" s="15" t="n">
        <v>13</v>
      </c>
      <c r="Q49" s="15" t="n">
        <v>14</v>
      </c>
      <c r="R49" s="15" t="n">
        <v>15</v>
      </c>
    </row>
    <row r="50">
      <c r="C50" s="15" t="n">
        <v>1</v>
      </c>
      <c r="D50" s="42" t="n">
        <v>0</v>
      </c>
      <c r="E50" s="42" t="n">
        <v>0</v>
      </c>
      <c r="F50" s="42" t="n">
        <v>0</v>
      </c>
      <c r="G50" s="43" t="n">
        <v>0</v>
      </c>
      <c r="H50" s="42" t="n">
        <v>31465</v>
      </c>
      <c r="I50" s="42" t="n">
        <v>31465</v>
      </c>
      <c r="J50" s="42" t="n">
        <v>0</v>
      </c>
      <c r="K50" s="42" t="n">
        <v>31465</v>
      </c>
      <c r="L50" s="42" t="n">
        <v>31465</v>
      </c>
      <c r="M50" s="42" t="n">
        <v>0</v>
      </c>
      <c r="N50" s="42" t="n">
        <v>31465</v>
      </c>
      <c r="O50" s="42" t="n">
        <v>0</v>
      </c>
      <c r="P50" s="42" t="n">
        <v>31465</v>
      </c>
      <c r="Q50" s="42" t="n">
        <v>31465</v>
      </c>
      <c r="R50" s="42" t="n">
        <v>31465</v>
      </c>
    </row>
    <row r="51">
      <c r="C51" s="15" t="n">
        <v>2</v>
      </c>
      <c r="D51" s="42" t="n">
        <v>31465</v>
      </c>
      <c r="E51" s="42" t="n">
        <v>31465</v>
      </c>
      <c r="F51" s="42" t="n">
        <v>0</v>
      </c>
      <c r="G51" s="42" t="n">
        <v>0</v>
      </c>
      <c r="H51" s="42" t="n">
        <v>31465</v>
      </c>
      <c r="I51" s="42" t="n">
        <v>31465</v>
      </c>
      <c r="J51" s="42" t="n">
        <v>31465</v>
      </c>
      <c r="K51" s="42" t="n">
        <v>0</v>
      </c>
      <c r="L51" s="42" t="n">
        <v>0</v>
      </c>
      <c r="M51" s="42" t="n">
        <v>31465</v>
      </c>
      <c r="N51" s="42" t="n">
        <v>0</v>
      </c>
      <c r="O51" s="42" t="n">
        <v>31465</v>
      </c>
      <c r="P51" s="42" t="n">
        <v>31465</v>
      </c>
      <c r="Q51" s="42" t="n">
        <v>31465</v>
      </c>
      <c r="R51" s="42" t="n">
        <v>31465</v>
      </c>
    </row>
    <row r="52">
      <c r="C52" s="15" t="n">
        <v>3</v>
      </c>
      <c r="D52" s="42" t="n">
        <v>31465</v>
      </c>
      <c r="E52" s="42" t="n">
        <v>0</v>
      </c>
      <c r="F52" s="42" t="n">
        <v>0</v>
      </c>
      <c r="G52" s="42" t="n">
        <v>31465</v>
      </c>
      <c r="H52" s="42" t="n">
        <v>0</v>
      </c>
      <c r="I52" s="42" t="n">
        <v>31465</v>
      </c>
      <c r="J52" s="42" t="n">
        <v>31465</v>
      </c>
      <c r="K52" s="42" t="n">
        <v>0</v>
      </c>
      <c r="L52" s="42" t="n">
        <v>0</v>
      </c>
      <c r="M52" s="42" t="n">
        <v>0</v>
      </c>
      <c r="N52" s="42" t="n">
        <v>31465</v>
      </c>
      <c r="O52" s="42" t="n">
        <v>31465</v>
      </c>
      <c r="P52" s="42" t="n">
        <v>0</v>
      </c>
      <c r="Q52" s="42" t="n">
        <v>0</v>
      </c>
      <c r="R52" s="42" t="n">
        <v>31465</v>
      </c>
    </row>
    <row r="54">
      <c r="C54" s="74" t="inlineStr">
        <is>
          <t>GERADOR DE DADOS</t>
        </is>
      </c>
    </row>
    <row r="55">
      <c r="D55" s="15" t="n">
        <v>1</v>
      </c>
      <c r="E55" s="15" t="n">
        <v>2</v>
      </c>
      <c r="F55" s="15" t="n">
        <v>3</v>
      </c>
      <c r="G55" s="15" t="n">
        <v>4</v>
      </c>
      <c r="H55" s="15" t="n">
        <v>5</v>
      </c>
      <c r="I55" s="15" t="n">
        <v>6</v>
      </c>
      <c r="J55" s="15" t="n">
        <v>7</v>
      </c>
      <c r="K55" s="15" t="n">
        <v>8</v>
      </c>
      <c r="L55" s="15" t="n">
        <v>9</v>
      </c>
      <c r="M55" s="15" t="n">
        <v>10</v>
      </c>
      <c r="N55" s="15" t="n">
        <v>11</v>
      </c>
      <c r="O55" s="15" t="n">
        <v>12</v>
      </c>
      <c r="P55" s="15" t="n">
        <v>13</v>
      </c>
      <c r="Q55" s="15" t="n">
        <v>14</v>
      </c>
      <c r="R55" s="15" t="n">
        <v>15</v>
      </c>
    </row>
    <row r="56">
      <c r="C56" s="15" t="n">
        <v>1</v>
      </c>
      <c r="D56" s="39">
        <f>ROUNDDOWN(LOG((D50+1),2),0)</f>
        <v/>
      </c>
      <c r="E56" s="39">
        <f>ROUNDDOWN(LOG((E50+1),2),0)</f>
        <v/>
      </c>
      <c r="F56" s="39">
        <f>ROUNDDOWN(LOG((F50+1),2),0)</f>
        <v/>
      </c>
      <c r="G56" s="39">
        <f>ROUNDDOWN(LOG((G50+1),2),0)</f>
        <v/>
      </c>
      <c r="H56" s="39">
        <f>ROUNDDOWN(LOG((H50+1),2),0)</f>
        <v/>
      </c>
      <c r="I56" s="39">
        <f>ROUNDDOWN(LOG((I50+1),2),0)</f>
        <v/>
      </c>
      <c r="J56" s="39">
        <f>ROUNDDOWN(LOG((J50+1),2),0)</f>
        <v/>
      </c>
      <c r="K56" s="39">
        <f>ROUNDDOWN(LOG((K50+1),2),0)</f>
        <v/>
      </c>
      <c r="L56" s="39">
        <f>ROUNDDOWN(LOG((L50+1),2),0)</f>
        <v/>
      </c>
      <c r="M56" s="39">
        <f>ROUNDDOWN(LOG((M50+1),2),0)</f>
        <v/>
      </c>
      <c r="N56" s="39">
        <f>ROUNDDOWN(LOG((N50+1),2),0)</f>
        <v/>
      </c>
      <c r="O56" s="39">
        <f>ROUNDDOWN(LOG((O50+1),2),0)</f>
        <v/>
      </c>
      <c r="P56" s="39">
        <f>ROUNDDOWN(LOG((P50+1),2),0)</f>
        <v/>
      </c>
      <c r="Q56" s="39">
        <f>ROUNDDOWN(LOG((Q50+1),2),0)</f>
        <v/>
      </c>
      <c r="R56" s="39">
        <f>ROUNDDOWN(LOG((R50+1),2),0)</f>
        <v/>
      </c>
    </row>
    <row r="57">
      <c r="C57" s="15" t="n">
        <v>2</v>
      </c>
      <c r="D57" s="39">
        <f>ROUNDDOWN(LOG((D51+1),2),0)</f>
        <v/>
      </c>
      <c r="E57" s="39">
        <f>ROUNDDOWN(LOG((E51+1),2),0)</f>
        <v/>
      </c>
      <c r="F57" s="39">
        <f>ROUNDDOWN(LOG((F51+1),2),0)</f>
        <v/>
      </c>
      <c r="G57" s="39">
        <f>ROUNDDOWN(LOG((G51+1),2),0)</f>
        <v/>
      </c>
      <c r="H57" s="39">
        <f>ROUNDDOWN(LOG((H51+1),2),0)</f>
        <v/>
      </c>
      <c r="I57" s="39">
        <f>ROUNDDOWN(LOG((I51+1),2),0)</f>
        <v/>
      </c>
      <c r="J57" s="39">
        <f>ROUNDDOWN(LOG((J51+1),2),0)</f>
        <v/>
      </c>
      <c r="K57" s="39">
        <f>ROUNDDOWN(LOG((K51+1),2),0)</f>
        <v/>
      </c>
      <c r="L57" s="39">
        <f>ROUNDDOWN(LOG((L51+1),2),0)</f>
        <v/>
      </c>
      <c r="M57" s="39">
        <f>ROUNDDOWN(LOG((M51+1),2),0)</f>
        <v/>
      </c>
      <c r="N57" s="39">
        <f>ROUNDDOWN(LOG((N51+1),2),0)</f>
        <v/>
      </c>
      <c r="O57" s="39">
        <f>ROUNDDOWN(LOG((O51+1),2),0)</f>
        <v/>
      </c>
      <c r="P57" s="39">
        <f>ROUNDDOWN(LOG((P51+1),2),0)</f>
        <v/>
      </c>
      <c r="Q57" s="39">
        <f>ROUNDDOWN(LOG((Q51+1),2),0)</f>
        <v/>
      </c>
      <c r="R57" s="39">
        <f>ROUNDDOWN(LOG((R51+1),2),0)</f>
        <v/>
      </c>
    </row>
    <row r="58">
      <c r="C58" s="15" t="n">
        <v>3</v>
      </c>
      <c r="D58" s="39">
        <f>ROUNDDOWN(LOG((D52+1),2),0)</f>
        <v/>
      </c>
      <c r="E58" s="39">
        <f>ROUNDDOWN(LOG((E52+1),2),0)</f>
        <v/>
      </c>
      <c r="F58" s="39">
        <f>ROUNDDOWN(LOG((F52+1),2),0)</f>
        <v/>
      </c>
      <c r="G58" s="39">
        <f>ROUNDDOWN(LOG((G52+1),2),0)</f>
        <v/>
      </c>
      <c r="H58" s="39">
        <f>ROUNDDOWN(LOG((H52+1),2),0)</f>
        <v/>
      </c>
      <c r="I58" s="39">
        <f>ROUNDDOWN(LOG((I52+1),2),0)</f>
        <v/>
      </c>
      <c r="J58" s="39">
        <f>ROUNDDOWN(LOG((J52+1),2),0)</f>
        <v/>
      </c>
      <c r="K58" s="39">
        <f>ROUNDDOWN(LOG((K52+1),2),0)</f>
        <v/>
      </c>
      <c r="L58" s="39">
        <f>ROUNDDOWN(LOG((L52+1),2),0)</f>
        <v/>
      </c>
      <c r="M58" s="39">
        <f>ROUNDDOWN(LOG((M52+1),2),0)</f>
        <v/>
      </c>
      <c r="N58" s="39">
        <f>ROUNDDOWN(LOG((N52+1),2),0)</f>
        <v/>
      </c>
      <c r="O58" s="39">
        <f>ROUNDDOWN(LOG((O52+1),2),0)</f>
        <v/>
      </c>
      <c r="P58" s="39">
        <f>ROUNDDOWN(LOG((P52+1),2),0)</f>
        <v/>
      </c>
      <c r="Q58" s="39">
        <f>ROUNDDOWN(LOG((Q52+1),2),0)</f>
        <v/>
      </c>
      <c r="R58" s="39">
        <f>ROUNDDOWN(LOG((R52+1),2),0)</f>
        <v/>
      </c>
    </row>
    <row r="60">
      <c r="C60" s="15" t="inlineStr">
        <is>
          <t>numwip</t>
        </is>
      </c>
      <c r="D60" s="15" t="n">
        <v>1</v>
      </c>
      <c r="E60" s="15" t="n">
        <v>2</v>
      </c>
      <c r="F60" s="15" t="n">
        <v>3</v>
      </c>
      <c r="G60" s="15" t="n">
        <v>4</v>
      </c>
      <c r="H60" s="15" t="n">
        <v>5</v>
      </c>
      <c r="I60" s="15" t="n">
        <v>6</v>
      </c>
      <c r="J60" s="15" t="n">
        <v>7</v>
      </c>
      <c r="K60" s="15" t="n">
        <v>8</v>
      </c>
      <c r="L60" s="15" t="n">
        <v>9</v>
      </c>
      <c r="M60" s="15" t="n">
        <v>10</v>
      </c>
      <c r="N60" s="15" t="n">
        <v>11</v>
      </c>
      <c r="O60" s="15" t="n">
        <v>12</v>
      </c>
      <c r="P60" s="15" t="n">
        <v>13</v>
      </c>
      <c r="Q60" s="15" t="n">
        <v>14</v>
      </c>
      <c r="R60" s="15" t="n">
        <v>15</v>
      </c>
    </row>
    <row r="61">
      <c r="C61" s="15" t="n">
        <v>1</v>
      </c>
      <c r="D61" s="42" t="n">
        <v>0</v>
      </c>
      <c r="E61" s="42" t="n">
        <v>0</v>
      </c>
      <c r="F61" s="42" t="n">
        <v>0</v>
      </c>
      <c r="G61" s="43" t="n">
        <v>0</v>
      </c>
      <c r="H61" s="42" t="n">
        <v>14</v>
      </c>
      <c r="I61" s="42" t="n">
        <v>14</v>
      </c>
      <c r="J61" s="42" t="n">
        <v>0</v>
      </c>
      <c r="K61" s="42" t="n">
        <v>14</v>
      </c>
      <c r="L61" s="42" t="n">
        <v>14</v>
      </c>
      <c r="M61" s="42" t="n">
        <v>0</v>
      </c>
      <c r="N61" s="42" t="n">
        <v>14</v>
      </c>
      <c r="O61" s="42" t="n">
        <v>0</v>
      </c>
      <c r="P61" s="42" t="n">
        <v>14</v>
      </c>
      <c r="Q61" s="42" t="n">
        <v>14</v>
      </c>
      <c r="R61" s="42" t="n">
        <v>14</v>
      </c>
    </row>
    <row r="62">
      <c r="C62" s="15" t="n">
        <v>2</v>
      </c>
      <c r="D62" s="42" t="n">
        <v>14</v>
      </c>
      <c r="E62" s="42" t="n">
        <v>14</v>
      </c>
      <c r="F62" s="42" t="n">
        <v>0</v>
      </c>
      <c r="G62" s="42" t="n">
        <v>0</v>
      </c>
      <c r="H62" s="42" t="n">
        <v>14</v>
      </c>
      <c r="I62" s="42" t="n">
        <v>14</v>
      </c>
      <c r="J62" s="42" t="n">
        <v>14</v>
      </c>
      <c r="K62" s="42" t="n">
        <v>0</v>
      </c>
      <c r="L62" s="42" t="n">
        <v>0</v>
      </c>
      <c r="M62" s="42" t="n">
        <v>14</v>
      </c>
      <c r="N62" s="42" t="n">
        <v>0</v>
      </c>
      <c r="O62" s="42" t="n">
        <v>14</v>
      </c>
      <c r="P62" s="42" t="n">
        <v>14</v>
      </c>
      <c r="Q62" s="42" t="n">
        <v>14</v>
      </c>
      <c r="R62" s="42" t="n">
        <v>14</v>
      </c>
    </row>
    <row r="63">
      <c r="C63" s="15" t="n">
        <v>3</v>
      </c>
      <c r="D63" s="42" t="n">
        <v>14</v>
      </c>
      <c r="E63" s="42" t="n">
        <v>0</v>
      </c>
      <c r="F63" s="42" t="n">
        <v>0</v>
      </c>
      <c r="G63" s="42" t="n">
        <v>14</v>
      </c>
      <c r="H63" s="42" t="n">
        <v>0</v>
      </c>
      <c r="I63" s="42" t="n">
        <v>14</v>
      </c>
      <c r="J63" s="42" t="n">
        <v>14</v>
      </c>
      <c r="K63" s="42" t="n">
        <v>0</v>
      </c>
      <c r="L63" s="42" t="n">
        <v>0</v>
      </c>
      <c r="M63" s="42" t="n">
        <v>0</v>
      </c>
      <c r="N63" s="42" t="n">
        <v>14</v>
      </c>
      <c r="O63" s="42" t="n">
        <v>14</v>
      </c>
      <c r="P63" s="42" t="n">
        <v>0</v>
      </c>
      <c r="Q63" s="42" t="n">
        <v>0</v>
      </c>
      <c r="R63" s="42" t="n">
        <v>14</v>
      </c>
    </row>
    <row r="65">
      <c r="D65" s="39">
        <f>MAX(SuppliersNumberBinaryVarY)</f>
        <v/>
      </c>
      <c r="E65" s="39" t="n"/>
      <c r="F65" s="39">
        <f>MIN(SuppliersNumberBinaryVarY)</f>
        <v/>
      </c>
    </row>
    <row r="66">
      <c r="D66" s="39" t="n"/>
      <c r="E66" s="39" t="n"/>
      <c r="F66" s="39" t="n"/>
    </row>
    <row r="67">
      <c r="C67" s="15" t="inlineStr">
        <is>
          <t>Maxnumwip</t>
        </is>
      </c>
      <c r="D67" s="42" t="n">
        <v>14</v>
      </c>
      <c r="E67" s="39" t="n"/>
      <c r="F67" s="39" t="n"/>
    </row>
    <row r="68">
      <c r="C68" s="15" t="inlineStr">
        <is>
          <t>Minnumwip</t>
        </is>
      </c>
      <c r="D68" s="42" t="n">
        <v>0</v>
      </c>
      <c r="E68" s="39" t="n"/>
      <c r="F68" s="39" t="n"/>
    </row>
  </sheetData>
  <pageMargins left="0.511811024" right="0.511811024" top="0.787401575" bottom="0.787401575" header="0.31496062" footer="0.31496062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8"/>
  <sheetViews>
    <sheetView topLeftCell="A7" zoomScale="90" zoomScaleNormal="90" workbookViewId="0">
      <selection activeCell="D25" sqref="D25"/>
    </sheetView>
  </sheetViews>
  <sheetFormatPr baseColWidth="8" defaultColWidth="8.88671875" defaultRowHeight="14.4"/>
  <cols>
    <col width="18.88671875" bestFit="1" customWidth="1" style="75" min="1" max="1"/>
    <col width="14.44140625" bestFit="1" customWidth="1" style="75" min="2" max="2"/>
    <col width="26.6640625" bestFit="1" customWidth="1" style="75" min="3" max="3"/>
    <col width="13.5546875" bestFit="1" customWidth="1" style="75" min="4" max="4"/>
    <col width="11.44140625" customWidth="1" style="75" min="5" max="6"/>
    <col width="8.88671875" customWidth="1" style="75" min="7" max="16384"/>
  </cols>
  <sheetData>
    <row r="1">
      <c r="C1" s="74" t="inlineStr">
        <is>
          <t>Variância da capacidade</t>
        </is>
      </c>
      <c r="D1" s="15" t="n"/>
      <c r="E1" s="15" t="n"/>
      <c r="F1" s="15" t="n"/>
    </row>
    <row r="2">
      <c r="C2" s="15" t="inlineStr">
        <is>
          <t>Capf</t>
        </is>
      </c>
      <c r="D2" s="15" t="n">
        <v>16</v>
      </c>
      <c r="E2" s="15" t="n">
        <v>17</v>
      </c>
      <c r="F2" s="15" t="n">
        <v>18</v>
      </c>
    </row>
    <row r="3">
      <c r="C3" s="15" t="n">
        <v>4</v>
      </c>
      <c r="D3" s="15">
        <f>TRUNC(((D14*0.2)^2)/30,2)</f>
        <v/>
      </c>
      <c r="E3" s="15">
        <f>TRUNC(((E14*0.2)^2)/30,2)</f>
        <v/>
      </c>
      <c r="F3" s="15">
        <f>TRUNC(((F14*0.2)^2)/30,2)</f>
        <v/>
      </c>
    </row>
    <row r="4">
      <c r="C4" s="15" t="n">
        <v>5</v>
      </c>
      <c r="D4" s="15">
        <f>TRUNC(((D15*0.2)^2)/30,2)</f>
        <v/>
      </c>
      <c r="E4" s="15">
        <f>TRUNC(((E15*0.2)^2)/30,2)</f>
        <v/>
      </c>
      <c r="F4" s="15">
        <f>TRUNC(((F15*0.2)^2)/30,2)</f>
        <v/>
      </c>
    </row>
    <row r="5">
      <c r="C5" s="15" t="n">
        <v>6</v>
      </c>
      <c r="D5" s="15">
        <f>TRUNC(((D16*0.2)^2)/30,2)</f>
        <v/>
      </c>
      <c r="E5" s="15">
        <f>TRUNC(((E16*0.2)^2)/30,2)</f>
        <v/>
      </c>
      <c r="F5" s="15">
        <f>TRUNC(((F16*0.2)^2)/30,2)</f>
        <v/>
      </c>
    </row>
    <row r="7">
      <c r="B7" s="15" t="n"/>
      <c r="C7" s="74" t="inlineStr">
        <is>
          <t>Desvio da capacidade</t>
        </is>
      </c>
      <c r="D7" s="15" t="n"/>
      <c r="E7" s="15" t="n"/>
      <c r="F7" s="15" t="n"/>
    </row>
    <row r="8">
      <c r="B8" s="15" t="n"/>
      <c r="C8" s="15" t="inlineStr">
        <is>
          <t>Capw</t>
        </is>
      </c>
      <c r="D8" s="15" t="n">
        <v>1</v>
      </c>
      <c r="E8" s="15" t="n">
        <v>2</v>
      </c>
      <c r="F8" s="15" t="n">
        <v>3</v>
      </c>
    </row>
    <row r="9">
      <c r="B9" s="15">
        <f>TRUNC((D3^0.5),4)</f>
        <v/>
      </c>
      <c r="C9" s="15" t="n">
        <v>1</v>
      </c>
      <c r="D9" s="81" t="n">
        <v>50.79025497081108</v>
      </c>
      <c r="E9" s="81" t="n">
        <v>52.49295190785141</v>
      </c>
      <c r="F9" s="81" t="n">
        <v>61.66514412534848</v>
      </c>
    </row>
    <row r="10">
      <c r="B10" s="15">
        <f>TRUNC((D4^0.5),4)</f>
        <v/>
      </c>
      <c r="C10" s="15" t="n">
        <v>2</v>
      </c>
      <c r="D10" s="81" t="n">
        <v>54.8854261165931</v>
      </c>
      <c r="E10" s="81" t="n">
        <v>47.2505026428291</v>
      </c>
      <c r="F10" s="81" t="n">
        <v>79.92471457565551</v>
      </c>
    </row>
    <row r="11">
      <c r="B11" s="15">
        <f>TRUNC((D5^0.5),4)</f>
        <v/>
      </c>
      <c r="C11" s="15" t="n">
        <v>3</v>
      </c>
      <c r="D11" s="81" t="n">
        <v>62.42026914392471</v>
      </c>
      <c r="E11" s="81" t="n">
        <v>42.70585439960193</v>
      </c>
      <c r="F11" s="81" t="n">
        <v>83.05257371087303</v>
      </c>
    </row>
    <row r="13">
      <c r="A13" s="75" t="inlineStr">
        <is>
          <t>GERADOR DE DADOS</t>
        </is>
      </c>
      <c r="C13" s="75" t="inlineStr">
        <is>
          <t>Capf</t>
        </is>
      </c>
      <c r="D13" s="15" t="n">
        <v>16</v>
      </c>
      <c r="E13" s="15" t="n">
        <v>17</v>
      </c>
      <c r="F13" s="15" t="n">
        <v>18</v>
      </c>
    </row>
    <row r="14">
      <c r="A14" s="2">
        <f>Demand!E11</f>
        <v/>
      </c>
      <c r="B14" s="75">
        <f>TRUNC((_xlfn.NORM.INV((RAND()),$A$14,$A$15)),2)</f>
        <v/>
      </c>
      <c r="C14" s="15" t="n">
        <v>4</v>
      </c>
      <c r="D14" s="5" t="n">
        <v>1390.95</v>
      </c>
      <c r="E14" s="5" t="n">
        <v>1437.58</v>
      </c>
      <c r="F14" s="5" t="n">
        <v>1688.77</v>
      </c>
    </row>
    <row r="15">
      <c r="A15" s="2">
        <f>A14*0.2</f>
        <v/>
      </c>
      <c r="B15" s="75">
        <f>TRUNC((_xlfn.NORM.INV((RAND()),$A$14,$A$15)),2)</f>
        <v/>
      </c>
      <c r="C15" s="15" t="n">
        <v>5</v>
      </c>
      <c r="D15" s="5" t="n">
        <v>1503.1</v>
      </c>
      <c r="E15" s="5" t="n">
        <v>1294.01</v>
      </c>
      <c r="F15" s="5" t="n">
        <v>2188.83</v>
      </c>
    </row>
    <row r="16">
      <c r="B16" s="75">
        <f>TRUNC((_xlfn.NORM.INV((RAND()),$A$14,$A$15)),2)</f>
        <v/>
      </c>
      <c r="C16" s="15" t="n">
        <v>6</v>
      </c>
      <c r="D16" s="5" t="n">
        <v>1709.45</v>
      </c>
      <c r="E16" s="5" t="n">
        <v>1169.55</v>
      </c>
      <c r="F16" s="5" t="n">
        <v>2274.49</v>
      </c>
    </row>
    <row r="17">
      <c r="A17" s="15" t="n"/>
      <c r="B17" s="15" t="n"/>
      <c r="C17" s="15" t="n"/>
      <c r="D17" s="15" t="n"/>
      <c r="E17" s="15" t="n"/>
      <c r="F17" s="15" t="n"/>
    </row>
    <row r="18">
      <c r="A18" s="15" t="n"/>
      <c r="B18" s="15" t="n"/>
      <c r="C18" s="15" t="inlineStr">
        <is>
          <t>RunOutTimef</t>
        </is>
      </c>
      <c r="D18" s="15" t="n">
        <v>16</v>
      </c>
      <c r="E18" s="15" t="n">
        <v>17</v>
      </c>
      <c r="F18" s="15" t="n">
        <v>18</v>
      </c>
    </row>
    <row r="19">
      <c r="A19" s="15" t="n"/>
      <c r="B19" s="15" t="n"/>
      <c r="C19" s="15" t="n">
        <v>4</v>
      </c>
      <c r="D19" s="41">
        <f>IF(Demand!AU11=D14,0,(Beginning_stock!AT15/(Demand!AU11-D14)))</f>
        <v/>
      </c>
      <c r="E19" s="41">
        <f>IF(Demand!AV11=E14,0,(Beginning_stock!AU15/(Demand!AV11-E14)))</f>
        <v/>
      </c>
      <c r="F19" s="41">
        <f>IF(Demand!AW11=F14,0,(Beginning_stock!AV15/(Demand!AW11-F14)))</f>
        <v/>
      </c>
    </row>
    <row r="20">
      <c r="A20" s="15" t="n"/>
      <c r="B20" s="15" t="n"/>
      <c r="C20" s="15" t="n">
        <v>5</v>
      </c>
      <c r="D20" s="41">
        <f>IF(Demand!AU12=D15,0,(Beginning_stock!AT16/(Demand!AU12-D15)))</f>
        <v/>
      </c>
      <c r="E20" s="41">
        <f>IF(Demand!AV12=E15,0,(Beginning_stock!AU16/(Demand!AV12-E15)))</f>
        <v/>
      </c>
      <c r="F20" s="41">
        <f>IF(Demand!AW12=F15,0,(Beginning_stock!AV16/(Demand!AW12-F15)))</f>
        <v/>
      </c>
    </row>
    <row r="21">
      <c r="A21" s="15" t="n"/>
      <c r="B21" s="15" t="n"/>
      <c r="C21" s="15" t="n">
        <v>6</v>
      </c>
      <c r="D21" s="41">
        <f>IF(Demand!AU13=D16,0,(Beginning_stock!AT17/(Demand!AU13-D16)))</f>
        <v/>
      </c>
      <c r="E21" s="41">
        <f>IF(Demand!AV13=E16,0,(Beginning_stock!AU17/(Demand!AV13-E16)))</f>
        <v/>
      </c>
      <c r="F21" s="41">
        <f>IF(Demand!AW13=F16,0,(Beginning_stock!AV17/(Demand!AW13-F16)))</f>
        <v/>
      </c>
    </row>
    <row r="22">
      <c r="A22" s="15" t="n"/>
      <c r="B22" s="15" t="n"/>
      <c r="C22" s="15" t="n"/>
      <c r="D22" s="15" t="n"/>
      <c r="E22" s="15" t="n"/>
      <c r="F22" s="15" t="n"/>
    </row>
    <row r="23">
      <c r="A23" s="15" t="n"/>
      <c r="B23" s="15" t="n"/>
      <c r="C23" s="15" t="inlineStr">
        <is>
          <t>Stockout time</t>
        </is>
      </c>
      <c r="D23" s="15" t="n"/>
      <c r="E23" s="15" t="n"/>
      <c r="F23" s="15" t="n"/>
    </row>
    <row r="24">
      <c r="A24" s="15" t="n"/>
      <c r="B24" s="15" t="n"/>
      <c r="C24" s="15" t="n"/>
      <c r="D24" s="15" t="n">
        <v>16</v>
      </c>
      <c r="E24" s="15" t="n">
        <v>17</v>
      </c>
      <c r="F24" s="15" t="n">
        <v>18</v>
      </c>
    </row>
    <row r="25">
      <c r="A25" s="15" t="n"/>
      <c r="B25" s="15" t="n"/>
      <c r="C25" s="15" t="n">
        <v>4</v>
      </c>
      <c r="D25" s="48">
        <f>Factories!I22-D19</f>
        <v/>
      </c>
      <c r="E25" s="48">
        <f>Factories!J22-E19</f>
        <v/>
      </c>
      <c r="F25" s="48">
        <f>Factories!K22-F19</f>
        <v/>
      </c>
    </row>
    <row r="26">
      <c r="A26" s="15" t="n"/>
      <c r="B26" s="15" t="n"/>
      <c r="C26" s="15" t="n">
        <v>5</v>
      </c>
      <c r="D26" s="48">
        <f>Factories!I23-D20</f>
        <v/>
      </c>
      <c r="E26" s="48">
        <f>Factories!J23-E20</f>
        <v/>
      </c>
      <c r="F26" s="48">
        <f>Factories!K23-F20</f>
        <v/>
      </c>
    </row>
    <row r="27">
      <c r="A27" s="15" t="n"/>
      <c r="B27" s="15" t="n"/>
      <c r="C27" s="15" t="n">
        <v>6</v>
      </c>
      <c r="D27" s="48">
        <f>Factories!I24-D21</f>
        <v/>
      </c>
      <c r="E27" s="48">
        <f>Factories!J24-E21</f>
        <v/>
      </c>
      <c r="F27" s="48">
        <f>Factories!K24-F21</f>
        <v/>
      </c>
    </row>
    <row r="28">
      <c r="A28" s="15" t="n"/>
      <c r="B28" s="15" t="n"/>
      <c r="C28" s="15" t="n"/>
      <c r="D28" s="15" t="n"/>
      <c r="E28" s="15" t="n"/>
      <c r="F28" s="15" t="n"/>
    </row>
    <row r="29">
      <c r="A29" s="15" t="n"/>
      <c r="B29" s="15" t="n"/>
      <c r="C29" s="74" t="inlineStr">
        <is>
          <t>Maximum stockout time per p</t>
        </is>
      </c>
      <c r="D29" s="15" t="n"/>
      <c r="E29" s="15" t="n"/>
      <c r="F29" s="15" t="n"/>
    </row>
    <row r="30">
      <c r="A30" s="15" t="n"/>
      <c r="B30" s="15" t="n"/>
      <c r="C30" s="15" t="n"/>
      <c r="D30" s="15" t="n">
        <v>16</v>
      </c>
      <c r="E30" s="15" t="n">
        <v>17</v>
      </c>
      <c r="F30" s="15" t="n">
        <v>18</v>
      </c>
    </row>
    <row r="31">
      <c r="A31" s="15" t="n"/>
      <c r="B31" s="15" t="n"/>
      <c r="C31" s="15" t="n"/>
      <c r="D31" s="15">
        <f>MAX(D25:D27)</f>
        <v/>
      </c>
      <c r="E31" s="15">
        <f>MAX(E25:E27)</f>
        <v/>
      </c>
      <c r="F31" s="15">
        <f>MAX(F25:F27)</f>
        <v/>
      </c>
    </row>
    <row r="32">
      <c r="A32" s="15" t="n"/>
      <c r="B32" s="15" t="n"/>
      <c r="C32" s="15" t="n"/>
      <c r="D32" s="15" t="n"/>
      <c r="E32" s="15" t="n"/>
      <c r="F32" s="15" t="n"/>
    </row>
    <row r="33">
      <c r="A33" s="15" t="n"/>
      <c r="B33" s="15" t="n"/>
      <c r="C33" s="15" t="inlineStr">
        <is>
          <t>S0</t>
        </is>
      </c>
      <c r="D33" s="15" t="n">
        <v>16</v>
      </c>
      <c r="E33" s="15" t="n">
        <v>17</v>
      </c>
      <c r="F33" s="15" t="n">
        <v>18</v>
      </c>
    </row>
    <row r="34">
      <c r="A34" s="15" t="n"/>
      <c r="B34" s="15" t="n"/>
      <c r="C34" s="15" t="n">
        <v>4</v>
      </c>
      <c r="D34" s="89">
        <f>IF(D25&lt;&gt;0,D25,0)</f>
        <v/>
      </c>
      <c r="E34" s="89">
        <f>IF(E25&lt;&gt;0,E25,0)</f>
        <v/>
      </c>
      <c r="F34" s="89">
        <f>IF(F25&lt;&gt;0,F25,0)</f>
        <v/>
      </c>
    </row>
    <row r="35">
      <c r="A35" s="15" t="n"/>
      <c r="B35" s="15" t="n"/>
      <c r="C35" s="15" t="n">
        <v>5</v>
      </c>
      <c r="D35" s="89">
        <f>IF(D26&lt;&gt;0,D26,0)</f>
        <v/>
      </c>
      <c r="E35" s="89">
        <f>IF(E26&lt;&gt;0,E26,0)</f>
        <v/>
      </c>
      <c r="F35" s="89">
        <f>IF(F26&lt;&gt;0,F26,0)</f>
        <v/>
      </c>
    </row>
    <row r="36">
      <c r="A36" s="15" t="n"/>
      <c r="B36" s="15" t="n"/>
      <c r="C36" s="15" t="n">
        <v>6</v>
      </c>
      <c r="D36" s="89">
        <f>IF(D27&lt;&gt;0,D27,0)</f>
        <v/>
      </c>
      <c r="E36" s="89">
        <f>IF(E27&lt;&gt;0,E27,0)</f>
        <v/>
      </c>
      <c r="F36" s="89">
        <f>IF(F27&lt;&gt;0,F27,0)</f>
        <v/>
      </c>
    </row>
    <row r="37">
      <c r="A37" s="15" t="n"/>
      <c r="B37" s="15" t="n"/>
      <c r="C37" s="15" t="n"/>
      <c r="D37" s="15" t="n"/>
      <c r="E37" s="15" t="n"/>
      <c r="F37" s="15" t="n"/>
    </row>
    <row r="38">
      <c r="A38" s="15" t="n"/>
      <c r="B38" s="15" t="n"/>
      <c r="C38" s="15" t="inlineStr">
        <is>
          <t>S0</t>
        </is>
      </c>
      <c r="D38" s="15" t="n">
        <v>16</v>
      </c>
      <c r="E38" s="15" t="n">
        <v>17</v>
      </c>
      <c r="F38" s="15" t="n">
        <v>18</v>
      </c>
    </row>
    <row r="39">
      <c r="A39" s="15" t="n"/>
      <c r="B39" s="15" t="n"/>
      <c r="C39" s="15" t="n">
        <v>4</v>
      </c>
      <c r="D39" s="45" t="n">
        <v>4.22981207187531</v>
      </c>
      <c r="E39" s="45" t="n">
        <v>4.09572546831875</v>
      </c>
      <c r="F39" s="45" t="n">
        <v>1.952608411480534</v>
      </c>
    </row>
    <row r="40">
      <c r="A40" s="15" t="n"/>
      <c r="B40" s="15" t="n"/>
      <c r="C40" s="15" t="n">
        <v>5</v>
      </c>
      <c r="D40" s="45" t="n">
        <v>5.482613077384523</v>
      </c>
      <c r="E40" s="45" t="n">
        <v>5.457538372642749</v>
      </c>
      <c r="F40" s="45" t="n">
        <v>5.086466613986566</v>
      </c>
    </row>
    <row r="41">
      <c r="A41" s="15" t="n"/>
      <c r="B41" s="15" t="n"/>
      <c r="C41" s="15" t="n">
        <v>6</v>
      </c>
      <c r="D41" s="45" t="n">
        <v>5.315192736924654</v>
      </c>
      <c r="E41" s="45" t="n">
        <v>4.641323495057121</v>
      </c>
      <c r="F41" s="45" t="n">
        <v>5.28358255301216</v>
      </c>
    </row>
    <row r="42">
      <c r="A42" s="15" t="n"/>
      <c r="B42" s="15" t="n"/>
      <c r="C42" s="15" t="n"/>
      <c r="D42" s="15" t="n"/>
      <c r="E42" s="15" t="n"/>
      <c r="F42" s="15" t="n"/>
    </row>
    <row r="43">
      <c r="A43" s="15" t="n"/>
      <c r="B43" s="15" t="n"/>
      <c r="C43" s="74" t="inlineStr">
        <is>
          <t>GERADOR DE DADOS</t>
        </is>
      </c>
      <c r="D43" s="15" t="n"/>
      <c r="E43" s="15" t="n"/>
      <c r="F43" s="15" t="n"/>
    </row>
    <row r="44">
      <c r="A44" s="15" t="n"/>
      <c r="B44" s="15" t="n"/>
      <c r="C44" s="15" t="n"/>
      <c r="D44" s="15" t="n">
        <v>16</v>
      </c>
      <c r="E44" s="15" t="n">
        <v>17</v>
      </c>
      <c r="F44" s="15" t="n">
        <v>18</v>
      </c>
    </row>
    <row r="45">
      <c r="A45" s="15" t="n"/>
      <c r="B45" s="15" t="n"/>
      <c r="C45" s="15" t="n">
        <v>4</v>
      </c>
      <c r="D45" s="42">
        <f>IF(D14&gt;Demand!AU11,0,ROUNDUP($B$49^0.5,0))</f>
        <v/>
      </c>
      <c r="E45" s="42">
        <f>IF(E14&gt;Demand!AV11,0,ROUNDUP($B$49^0.5,0))</f>
        <v/>
      </c>
      <c r="F45" s="42">
        <f>IF(F14&gt;Demand!AW11,0,ROUNDUP($B$49^0.5,0))</f>
        <v/>
      </c>
    </row>
    <row r="46">
      <c r="A46" s="15" t="n"/>
      <c r="B46" s="15" t="n"/>
      <c r="C46" s="15" t="n">
        <v>5</v>
      </c>
      <c r="D46" s="42">
        <f>IF(D15&gt;Demand!AU12,0,ROUNDUP($B$49^0.5,0))</f>
        <v/>
      </c>
      <c r="E46" s="42">
        <f>IF(E15&gt;Demand!AV12,0,ROUNDUP($B$49^0.5,0))</f>
        <v/>
      </c>
      <c r="F46" s="42">
        <f>IF(F15&gt;Demand!AW12,0,ROUNDUP($B$49^0.5,0))</f>
        <v/>
      </c>
    </row>
    <row r="47">
      <c r="A47" s="15" t="n"/>
      <c r="B47" s="15" t="n"/>
      <c r="C47" s="15" t="n">
        <v>6</v>
      </c>
      <c r="D47" s="42">
        <f>IF(D16&gt;Demand!AU13,0,ROUNDUP($B$49^0.5,0))</f>
        <v/>
      </c>
      <c r="E47" s="42">
        <f>IF(E16&gt;Demand!AV13,0,ROUNDUP($B$49^0.5,0))</f>
        <v/>
      </c>
      <c r="F47" s="42">
        <f>IF(F16&gt;Demand!AW13,0,ROUNDUP($B$49^0.5,0))</f>
        <v/>
      </c>
    </row>
    <row r="48">
      <c r="A48" s="15" t="n"/>
      <c r="B48" s="15" t="n"/>
      <c r="C48" s="15" t="n"/>
      <c r="D48" s="15" t="n"/>
      <c r="E48" s="15" t="n"/>
      <c r="F48" s="15" t="n"/>
    </row>
    <row r="49">
      <c r="A49" s="15" t="n"/>
      <c r="B49" s="18" t="n">
        <v>990000000</v>
      </c>
      <c r="C49" s="15" t="inlineStr">
        <is>
          <t>ufip</t>
        </is>
      </c>
      <c r="D49" s="15" t="n">
        <v>16</v>
      </c>
      <c r="E49" s="15" t="n">
        <v>17</v>
      </c>
      <c r="F49" s="15" t="n">
        <v>18</v>
      </c>
    </row>
    <row r="50">
      <c r="A50" s="15" t="n"/>
      <c r="B50" s="15" t="n"/>
      <c r="C50" s="15" t="n">
        <v>4</v>
      </c>
      <c r="D50" s="42" t="n">
        <v>31465</v>
      </c>
      <c r="E50" s="42" t="n">
        <v>31465</v>
      </c>
      <c r="F50" s="42" t="n">
        <v>31465</v>
      </c>
    </row>
    <row r="51">
      <c r="A51" s="15" t="n"/>
      <c r="B51" s="15" t="n"/>
      <c r="C51" s="15" t="n">
        <v>5</v>
      </c>
      <c r="D51" s="42" t="n">
        <v>0</v>
      </c>
      <c r="E51" s="42" t="n">
        <v>31465</v>
      </c>
      <c r="F51" s="42" t="n">
        <v>0</v>
      </c>
    </row>
    <row r="52">
      <c r="A52" s="15" t="n"/>
      <c r="B52" s="15" t="n"/>
      <c r="C52" s="15" t="n">
        <v>6</v>
      </c>
      <c r="D52" s="42" t="n">
        <v>0</v>
      </c>
      <c r="E52" s="42" t="n">
        <v>31465</v>
      </c>
      <c r="F52" s="42" t="n">
        <v>0</v>
      </c>
    </row>
    <row r="53">
      <c r="A53" s="15" t="n"/>
      <c r="B53" s="15" t="n"/>
      <c r="C53" s="15" t="n"/>
      <c r="D53" s="15" t="n"/>
      <c r="E53" s="15" t="n"/>
      <c r="F53" s="15" t="n"/>
    </row>
    <row r="54">
      <c r="A54" s="15" t="n"/>
      <c r="B54" s="15" t="n"/>
      <c r="C54" s="74" t="inlineStr">
        <is>
          <t>GERADOR DE DADOS</t>
        </is>
      </c>
      <c r="D54" s="15" t="n"/>
      <c r="E54" s="15" t="n"/>
      <c r="F54" s="15" t="n"/>
    </row>
    <row r="55">
      <c r="A55" s="15" t="n"/>
      <c r="B55" s="15" t="n"/>
      <c r="C55" s="15" t="n"/>
      <c r="D55" s="15" t="n">
        <v>16</v>
      </c>
      <c r="E55" s="15" t="n">
        <v>17</v>
      </c>
      <c r="F55" s="15" t="n">
        <v>18</v>
      </c>
    </row>
    <row r="56">
      <c r="A56" s="15" t="n"/>
      <c r="B56" s="15" t="n"/>
      <c r="C56" s="15" t="n">
        <v>4</v>
      </c>
      <c r="D56" s="39">
        <f>ROUNDDOWN(LOG((D50+1),2),0)</f>
        <v/>
      </c>
      <c r="E56" s="39">
        <f>ROUNDDOWN(LOG((E50+1),2),0)</f>
        <v/>
      </c>
      <c r="F56" s="39">
        <f>ROUNDDOWN(LOG((F50+1),2),0)</f>
        <v/>
      </c>
    </row>
    <row r="57">
      <c r="A57" s="15" t="n"/>
      <c r="B57" s="15" t="n"/>
      <c r="C57" s="15" t="n">
        <v>5</v>
      </c>
      <c r="D57" s="39">
        <f>ROUNDDOWN(LOG((D51+1),2),0)</f>
        <v/>
      </c>
      <c r="E57" s="39">
        <f>ROUNDDOWN(LOG((E51+1),2),0)</f>
        <v/>
      </c>
      <c r="F57" s="39">
        <f>ROUNDDOWN(LOG((F51+1),2),0)</f>
        <v/>
      </c>
    </row>
    <row r="58">
      <c r="A58" s="15" t="n"/>
      <c r="B58" s="15" t="n"/>
      <c r="C58" s="15" t="n">
        <v>6</v>
      </c>
      <c r="D58" s="39">
        <f>ROUNDDOWN(LOG((D52+1),2),0)</f>
        <v/>
      </c>
      <c r="E58" s="39">
        <f>ROUNDDOWN(LOG((E52+1),2),0)</f>
        <v/>
      </c>
      <c r="F58" s="39">
        <f>ROUNDDOWN(LOG((F52+1),2),0)</f>
        <v/>
      </c>
    </row>
    <row r="59">
      <c r="A59" s="15" t="n"/>
      <c r="B59" s="15" t="n"/>
      <c r="C59" s="15" t="n"/>
      <c r="D59" s="15" t="n"/>
      <c r="E59" s="15" t="n"/>
      <c r="F59" s="15" t="n"/>
    </row>
    <row r="60">
      <c r="A60" s="15" t="n"/>
      <c r="B60" s="15" t="n"/>
      <c r="C60" s="15" t="inlineStr">
        <is>
          <t>numfip</t>
        </is>
      </c>
      <c r="D60" s="15" t="n">
        <v>16</v>
      </c>
      <c r="E60" s="15" t="n">
        <v>17</v>
      </c>
      <c r="F60" s="15" t="n">
        <v>18</v>
      </c>
    </row>
    <row r="61">
      <c r="A61" s="15" t="n"/>
      <c r="B61" s="15" t="n"/>
      <c r="C61" s="15" t="n">
        <v>4</v>
      </c>
      <c r="D61" s="42" t="n">
        <v>14</v>
      </c>
      <c r="E61" s="42" t="n">
        <v>14</v>
      </c>
      <c r="F61" s="42" t="n">
        <v>14</v>
      </c>
    </row>
    <row r="62">
      <c r="A62" s="15" t="n"/>
      <c r="B62" s="15" t="n"/>
      <c r="C62" s="15" t="n">
        <v>5</v>
      </c>
      <c r="D62" s="42" t="n">
        <v>0</v>
      </c>
      <c r="E62" s="42" t="n">
        <v>14</v>
      </c>
      <c r="F62" s="42" t="n">
        <v>0</v>
      </c>
    </row>
    <row r="63">
      <c r="A63" s="15" t="n"/>
      <c r="B63" s="15" t="n"/>
      <c r="C63" s="15" t="n">
        <v>6</v>
      </c>
      <c r="D63" s="42" t="n">
        <v>0</v>
      </c>
      <c r="E63" s="42" t="n">
        <v>14</v>
      </c>
      <c r="F63" s="42" t="n">
        <v>0</v>
      </c>
    </row>
    <row r="64">
      <c r="A64" s="15" t="n"/>
      <c r="B64" s="15" t="n"/>
      <c r="C64" s="15" t="n"/>
      <c r="D64" s="15" t="n"/>
      <c r="E64" s="15" t="n"/>
      <c r="F64" s="15" t="n"/>
    </row>
    <row r="65">
      <c r="A65" s="15" t="n"/>
      <c r="B65" s="15" t="n"/>
      <c r="C65" s="15" t="n"/>
      <c r="D65" s="39">
        <f>MAX(FactoriesNumberBinaryVarY)</f>
        <v/>
      </c>
      <c r="E65" s="39" t="n"/>
      <c r="F65" s="39">
        <f>MIN(FactoriesNumberBinaryVarY)</f>
        <v/>
      </c>
    </row>
    <row r="66">
      <c r="A66" s="15" t="n"/>
      <c r="B66" s="15" t="n"/>
      <c r="C66" s="15" t="n"/>
      <c r="D66" s="39" t="n"/>
      <c r="E66" s="39" t="n"/>
      <c r="F66" s="39" t="n"/>
    </row>
    <row r="67">
      <c r="A67" s="15" t="n"/>
      <c r="B67" s="15" t="n"/>
      <c r="C67" s="15" t="inlineStr">
        <is>
          <t>Maxnumfip</t>
        </is>
      </c>
      <c r="D67" s="42" t="n">
        <v>14</v>
      </c>
      <c r="E67" s="39" t="n"/>
      <c r="F67" s="39" t="n"/>
    </row>
    <row r="68">
      <c r="A68" s="15" t="n"/>
      <c r="B68" s="15" t="n"/>
      <c r="C68" s="15" t="inlineStr">
        <is>
          <t>Minnumfip</t>
        </is>
      </c>
      <c r="D68" s="42" t="n">
        <v>0</v>
      </c>
      <c r="E68" s="39" t="n"/>
      <c r="F68" s="39" t="n"/>
    </row>
  </sheetData>
  <pageMargins left="0.511811024" right="0.511811024" top="0.787401575" bottom="0.787401575" header="0.31496062" footer="0.31496062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AG50"/>
  <sheetViews>
    <sheetView zoomScale="90" zoomScaleNormal="90" workbookViewId="0">
      <selection activeCell="P22" sqref="P22"/>
    </sheetView>
  </sheetViews>
  <sheetFormatPr baseColWidth="8" defaultColWidth="8.88671875" defaultRowHeight="14.4"/>
  <cols>
    <col width="11.5546875" customWidth="1" style="75" min="1" max="2"/>
    <col width="11.5546875" bestFit="1" customWidth="1" style="75" min="3" max="3"/>
    <col width="8.88671875" customWidth="1" style="75" min="4" max="6"/>
    <col width="10.33203125" bestFit="1" customWidth="1" style="75" min="7" max="7"/>
    <col width="8.88671875" customWidth="1" style="75" min="8" max="16384"/>
  </cols>
  <sheetData>
    <row r="2">
      <c r="K2" s="75" t="inlineStr">
        <is>
          <t>lambdad</t>
        </is>
      </c>
      <c r="L2" s="75" t="n">
        <v>19</v>
      </c>
      <c r="M2" s="75" t="n">
        <v>20</v>
      </c>
      <c r="N2" s="75" t="n">
        <v>21</v>
      </c>
    </row>
    <row r="3">
      <c r="K3" s="75" t="n">
        <v>9</v>
      </c>
      <c r="L3" s="75" t="n">
        <v>19.26</v>
      </c>
      <c r="M3" s="75" t="n">
        <v>16.289</v>
      </c>
      <c r="N3" s="75" t="n">
        <v>18.674</v>
      </c>
    </row>
    <row r="4">
      <c r="K4" s="75" t="n">
        <v>10</v>
      </c>
      <c r="L4" s="75" t="n">
        <v>15.308</v>
      </c>
      <c r="M4" s="75" t="n">
        <v>14.624</v>
      </c>
      <c r="N4" s="75" t="n">
        <v>19.745</v>
      </c>
    </row>
    <row r="6">
      <c r="C6" s="75" t="inlineStr">
        <is>
          <t>lambdad</t>
        </is>
      </c>
      <c r="D6" s="75" t="n">
        <v>19</v>
      </c>
      <c r="E6" s="75" t="n">
        <v>20</v>
      </c>
      <c r="F6" s="75" t="n">
        <v>21</v>
      </c>
      <c r="K6" s="75" t="inlineStr">
        <is>
          <t>Ei (p)</t>
        </is>
      </c>
      <c r="L6" s="75" t="n">
        <v>19</v>
      </c>
      <c r="M6" s="75" t="n">
        <v>20</v>
      </c>
      <c r="N6" s="75" t="n">
        <v>21</v>
      </c>
      <c r="S6" s="75" t="n">
        <v>1</v>
      </c>
      <c r="T6" s="75" t="n">
        <v>2</v>
      </c>
      <c r="U6" s="75" t="n">
        <v>3</v>
      </c>
      <c r="V6" s="75" t="n">
        <v>4</v>
      </c>
      <c r="W6" s="75" t="n">
        <v>5</v>
      </c>
      <c r="X6" s="75" t="n">
        <v>6</v>
      </c>
      <c r="Y6" s="75" t="n">
        <v>7</v>
      </c>
      <c r="Z6" s="75" t="n">
        <v>8</v>
      </c>
      <c r="AA6" s="75" t="n">
        <v>9</v>
      </c>
      <c r="AB6" s="75" t="n">
        <v>10</v>
      </c>
      <c r="AC6" s="75" t="n">
        <v>11</v>
      </c>
      <c r="AD6" s="75" t="n">
        <v>12</v>
      </c>
      <c r="AE6" s="75" t="n">
        <v>13</v>
      </c>
      <c r="AF6" s="75" t="n">
        <v>14</v>
      </c>
      <c r="AG6" s="75" t="n">
        <v>15</v>
      </c>
    </row>
    <row r="7">
      <c r="C7" s="75" t="n">
        <v>9</v>
      </c>
      <c r="D7" s="75" t="n">
        <v>19.26</v>
      </c>
      <c r="E7" s="75" t="n">
        <v>16.289</v>
      </c>
      <c r="F7" s="75" t="n">
        <v>18.674</v>
      </c>
      <c r="K7" s="75" t="n">
        <v>9</v>
      </c>
      <c r="L7" s="75">
        <f>Beginning_stock!AT25</f>
        <v/>
      </c>
      <c r="M7" s="75">
        <f>Beginning_stock!AU25</f>
        <v/>
      </c>
      <c r="N7" s="75">
        <f>Beginning_stock!AV25</f>
        <v/>
      </c>
      <c r="Q7" s="75" t="inlineStr">
        <is>
          <t>Lambdaw</t>
        </is>
      </c>
      <c r="R7" s="75" t="n">
        <v>1</v>
      </c>
      <c r="S7" s="75" t="n">
        <v>18.505</v>
      </c>
      <c r="T7" s="75" t="n">
        <v>15.462</v>
      </c>
      <c r="U7" s="75" t="n">
        <v>11.972</v>
      </c>
      <c r="V7" s="75" t="n">
        <v>13.559</v>
      </c>
      <c r="W7" s="75" t="n">
        <v>15.373</v>
      </c>
      <c r="X7" s="75" t="n">
        <v>17.73</v>
      </c>
      <c r="Y7" s="75" t="n">
        <v>15.342</v>
      </c>
      <c r="Z7" s="75" t="n">
        <v>19.782</v>
      </c>
      <c r="AA7" s="75" t="n">
        <v>12.66</v>
      </c>
      <c r="AB7" s="75" t="n">
        <v>13.452</v>
      </c>
      <c r="AC7" s="75" t="n">
        <v>14.32</v>
      </c>
      <c r="AD7" s="75" t="n">
        <v>18.487</v>
      </c>
      <c r="AE7" s="75" t="n">
        <v>15.858</v>
      </c>
      <c r="AF7" s="75" t="n">
        <v>15.037</v>
      </c>
      <c r="AG7" s="75" t="n">
        <v>12.314</v>
      </c>
    </row>
    <row r="8">
      <c r="C8" s="75" t="n">
        <v>10</v>
      </c>
      <c r="D8" s="75" t="n">
        <v>15.308</v>
      </c>
      <c r="E8" s="75" t="n">
        <v>14.624</v>
      </c>
      <c r="F8" s="75" t="n">
        <v>19.745</v>
      </c>
      <c r="K8" s="75" t="n">
        <v>10</v>
      </c>
      <c r="L8" s="75">
        <f>Beginning_stock!AT26</f>
        <v/>
      </c>
      <c r="M8" s="75">
        <f>Beginning_stock!AU26</f>
        <v/>
      </c>
      <c r="N8" s="75">
        <f>Beginning_stock!AV26</f>
        <v/>
      </c>
      <c r="R8" s="75" t="n">
        <v>2</v>
      </c>
      <c r="S8" s="75" t="n">
        <v>16.684</v>
      </c>
      <c r="T8" s="75" t="n">
        <v>15.732</v>
      </c>
      <c r="U8" s="75" t="n">
        <v>16.241</v>
      </c>
      <c r="V8" s="75" t="n">
        <v>15.693</v>
      </c>
      <c r="W8" s="75" t="n">
        <v>11.913</v>
      </c>
      <c r="X8" s="75" t="n">
        <v>13.523</v>
      </c>
      <c r="Y8" s="75" t="n">
        <v>13.636</v>
      </c>
      <c r="Z8" s="75" t="n">
        <v>16.606</v>
      </c>
      <c r="AA8" s="75" t="n">
        <v>17.887</v>
      </c>
      <c r="AB8" s="75" t="n">
        <v>10.093</v>
      </c>
      <c r="AC8" s="75" t="n">
        <v>12.59</v>
      </c>
      <c r="AD8" s="75" t="n">
        <v>16.779</v>
      </c>
      <c r="AE8" s="75" t="n">
        <v>18.918</v>
      </c>
      <c r="AF8" s="75" t="n">
        <v>21.384</v>
      </c>
      <c r="AG8" s="75" t="n">
        <v>12.893</v>
      </c>
    </row>
    <row r="9">
      <c r="R9" s="75" t="n">
        <v>3</v>
      </c>
      <c r="S9" s="75" t="n">
        <v>14.153</v>
      </c>
      <c r="T9" s="75" t="n">
        <v>9.699</v>
      </c>
      <c r="U9" s="75" t="n">
        <v>19.802</v>
      </c>
      <c r="V9" s="75" t="n">
        <v>21.443</v>
      </c>
      <c r="W9" s="75" t="n">
        <v>18.022</v>
      </c>
      <c r="X9" s="75" t="n">
        <v>17.336</v>
      </c>
      <c r="Y9" s="75" t="n">
        <v>16.02</v>
      </c>
      <c r="Z9" s="75" t="n">
        <v>20.89</v>
      </c>
      <c r="AA9" s="75" t="n">
        <v>19.51</v>
      </c>
      <c r="AB9" s="75" t="n">
        <v>17.487</v>
      </c>
      <c r="AC9" s="75" t="n">
        <v>13.032</v>
      </c>
      <c r="AD9" s="75" t="n">
        <v>14.763</v>
      </c>
      <c r="AE9" s="75" t="n">
        <v>17.64</v>
      </c>
      <c r="AF9" s="75" t="n">
        <v>11.211</v>
      </c>
      <c r="AG9" s="75" t="n">
        <v>11.457</v>
      </c>
    </row>
    <row r="10">
      <c r="D10" s="75">
        <f>MIN(D7:F8)</f>
        <v/>
      </c>
      <c r="E10" s="75">
        <f>MAX(D7:F8)</f>
        <v/>
      </c>
      <c r="K10" s="7" t="inlineStr">
        <is>
          <t>Ei Exhaustion time (days)</t>
        </is>
      </c>
    </row>
    <row r="11">
      <c r="L11" s="75" t="n">
        <v>19</v>
      </c>
      <c r="M11" s="75" t="n">
        <v>20</v>
      </c>
      <c r="N11" s="75" t="n">
        <v>21</v>
      </c>
    </row>
    <row r="12">
      <c r="A12" s="75" t="inlineStr">
        <is>
          <t>GERADOR DE DADOS</t>
        </is>
      </c>
      <c r="C12" s="75" t="inlineStr">
        <is>
          <t>Cap</t>
        </is>
      </c>
      <c r="D12" s="75" t="n">
        <v>19</v>
      </c>
      <c r="E12" s="75" t="n">
        <v>20</v>
      </c>
      <c r="F12" s="75" t="n">
        <v>21</v>
      </c>
      <c r="K12" s="75" t="n">
        <v>9</v>
      </c>
      <c r="L12" s="75">
        <f>IF(Demand!AU19=Distributors_Cap!D13,"dist=0",(L7/(Demand!AU19-Distributors_Cap!D13)))</f>
        <v/>
      </c>
      <c r="M12" s="75">
        <f>IF(Demand!AV19=Distributors_Cap!E13,"dist=0",(M7/(Demand!AV19-Distributors_Cap!E13)))</f>
        <v/>
      </c>
      <c r="N12" s="75">
        <f>IF(Demand!AW19=Distributors_Cap!F13,"dist=0",(N7/(Demand!AW19-Distributors_Cap!F13)))</f>
        <v/>
      </c>
      <c r="R12" s="75" t="inlineStr">
        <is>
          <t>máximo</t>
        </is>
      </c>
      <c r="S12" s="75">
        <f>MAX(S7:AG9)</f>
        <v/>
      </c>
    </row>
    <row r="13">
      <c r="A13" s="2">
        <f>2500*1.05</f>
        <v/>
      </c>
      <c r="B13" s="75">
        <f>TRUNC((_xlfn.NORM.INV((RAND()),$A$13,$A$14)),0)</f>
        <v/>
      </c>
      <c r="C13" s="75" t="n">
        <v>9</v>
      </c>
      <c r="D13" s="5" t="n">
        <v>2029</v>
      </c>
      <c r="E13" s="5" t="n">
        <v>2799</v>
      </c>
      <c r="F13" s="5" t="n">
        <v>3273</v>
      </c>
      <c r="K13" s="75" t="n">
        <v>10</v>
      </c>
      <c r="L13" s="75">
        <f>IF(Demand!AU20=Distributors_Cap!D14,"dist=0",(L8/(Demand!AU20-Distributors_Cap!D14)))</f>
        <v/>
      </c>
      <c r="M13" s="75">
        <f>IF(Demand!AV20=Distributors_Cap!E14,"dist=0",(M8/(Demand!AV20-Distributors_Cap!E14)))</f>
        <v/>
      </c>
      <c r="N13" s="75">
        <f>IF(Demand!AW20=Distributors_Cap!F14,"dist=0",(N8/(Demand!AW20-Distributors_Cap!F14)))</f>
        <v/>
      </c>
    </row>
    <row r="14">
      <c r="A14" s="2">
        <f>A13*0.2</f>
        <v/>
      </c>
      <c r="B14" s="75">
        <f>TRUNC((_xlfn.NORM.INV((RAND()),$A$13,$A$14)),0)</f>
        <v/>
      </c>
      <c r="C14" s="75" t="n">
        <v>10</v>
      </c>
      <c r="D14" s="5" t="n">
        <v>1163</v>
      </c>
      <c r="E14" s="5" t="n">
        <v>3232</v>
      </c>
      <c r="F14" s="5" t="n">
        <v>2404</v>
      </c>
      <c r="S14" s="75" t="n">
        <v>16</v>
      </c>
      <c r="T14" s="75" t="n">
        <v>17</v>
      </c>
      <c r="U14" s="75" t="n">
        <v>18</v>
      </c>
    </row>
    <row r="15">
      <c r="K15" s="75" t="inlineStr">
        <is>
          <t>Delta</t>
        </is>
      </c>
      <c r="Q15" s="75" t="inlineStr">
        <is>
          <t>lambdaf</t>
        </is>
      </c>
      <c r="R15" s="75" t="n">
        <v>4</v>
      </c>
      <c r="S15" s="75" t="n">
        <v>4.903</v>
      </c>
      <c r="T15" s="75" t="n">
        <v>6.218</v>
      </c>
      <c r="U15" s="75" t="n">
        <v>4.744</v>
      </c>
    </row>
    <row r="16">
      <c r="D16" s="75">
        <f>MIN(D13:F14)</f>
        <v/>
      </c>
      <c r="E16" s="75">
        <f>MAX(D13:F14)</f>
        <v/>
      </c>
      <c r="L16" s="75" t="n">
        <v>19</v>
      </c>
      <c r="M16" s="75" t="n">
        <v>20</v>
      </c>
      <c r="N16" s="75" t="n">
        <v>21</v>
      </c>
      <c r="R16" s="75" t="n">
        <v>5</v>
      </c>
      <c r="S16" s="75" t="n">
        <v>4.871</v>
      </c>
      <c r="T16" s="75" t="n">
        <v>4.236</v>
      </c>
      <c r="U16" s="75" t="n">
        <v>6.462</v>
      </c>
    </row>
    <row r="17">
      <c r="A17" s="75" t="inlineStr">
        <is>
          <t>GERADOR DE DADOS</t>
        </is>
      </c>
      <c r="D17" s="7" t="inlineStr">
        <is>
          <t>GERADOR DE DADOS</t>
        </is>
      </c>
      <c r="E17" s="7" t="n"/>
      <c r="K17" s="75" t="n">
        <v>9</v>
      </c>
      <c r="L17" s="75">
        <f>IF(Demand!AU19&lt;=Distributors_Cap!D13,"dist=0",(IF(L12&lt;=D7+Factories_Cap!#REF!,1,0)))</f>
        <v/>
      </c>
      <c r="M17" s="75">
        <f>IF(Demand!AV19&lt;=Distributors_Cap!E13,"dist=0",(IF(M12&lt;=E7+Factories_Cap!#REF!,1,0)))</f>
        <v/>
      </c>
      <c r="N17" s="75">
        <f>IF(Demand!AW19&lt;=Distributors_Cap!F13,"dist=0",(IF(N12&lt;=F7+Factories_Cap!#REF!,1,0)))</f>
        <v/>
      </c>
      <c r="R17" s="75" t="n">
        <v>6</v>
      </c>
      <c r="S17" s="75" t="n">
        <v>5.257</v>
      </c>
      <c r="T17" s="75" t="n">
        <v>5.942</v>
      </c>
      <c r="U17" s="75" t="n">
        <v>2.985</v>
      </c>
    </row>
    <row r="18">
      <c r="B18" s="75">
        <f>IF(D13&gt;Demand!AU19,0,(IF(((2*(Distributors!P16+Factories_Cap!#REF!)-Distributors_Cap!L12)*(Demand!AU19-Distributors_Cap!D13))&lt;0,0,((IF(L12&gt;2*(Distributors!P16+Factories_Cap!#REF!),0,(IF(L17=0,ROUNDUP((2*(Distributors!P16+Factories_Cap!#REF!)-L12)^0.5,0),ROUNDUP((2*(Distributors!P16+Factories_Cap!#REF!)-L12)^0.5,0)))))))))</f>
        <v/>
      </c>
      <c r="D18" s="2">
        <f>IF(D13&gt;Demand!AU19,0,(IF(((2*(Distributors!P16+Factories_Cap!#REF!)-Distributors_Cap!L12)*(Demand!AU19-Distributors_Cap!D13))&lt;0,0,((IF(L12&gt;2*(Distributors!P16+Factories_Cap!#REF!),0,(IF(L17=0,ROUNDUP((2*(Distributors!P16+Factories_Cap!#REF!)-L12)^0.5,0),ROUNDUP((2*(Distributors!P16+Factories_Cap!#REF!)-L12)^0.5,0)))))))))</f>
        <v/>
      </c>
      <c r="E18" s="2">
        <f>IF(E13&gt;Demand!AV19,0,(IF(((2*(Distributors!Q16+Factories_Cap!#REF!)-Distributors_Cap!M12)*(Demand!AV19-Distributors_Cap!E13))&lt;0,0,((IF(M12&gt;2*(Distributors!Q16+Factories_Cap!#REF!),0,(IF(M17=0,ROUNDUP((2*(Distributors!Q16+Factories_Cap!#REF!)-M12)^0.5,0),ROUNDUP((2*(Distributors!Q16+Factories_Cap!#REF!)-M12)^0.5,0)))))))))</f>
        <v/>
      </c>
      <c r="F18" s="2">
        <f>IF(F13&gt;Demand!AW19,0,(IF(((2*(Distributors!R16+Factories_Cap!#REF!)-Distributors_Cap!N12)*(Demand!AW19-Distributors_Cap!F13))&lt;0,0,((IF(N12&gt;2*(Distributors!R16+Factories_Cap!#REF!),0,(IF(N17=0,ROUNDUP((2*(Distributors!R16+Factories_Cap!#REF!)-N12)^0.5,0),ROUNDUP((2*(Distributors!R16+Factories_Cap!#REF!)-N12)^0.5,0)))))))))</f>
        <v/>
      </c>
      <c r="G18" s="2" t="n"/>
      <c r="H18" s="2" t="n"/>
      <c r="I18" s="2" t="n"/>
      <c r="J18" s="2" t="n"/>
      <c r="K18" s="75" t="n">
        <v>10</v>
      </c>
      <c r="L18" s="75">
        <f>IF(Demand!AU20&lt;=Distributors_Cap!D14,"dist=0",(IF(L13&lt;=D8+Factories_Cap!#REF!,1,0)))</f>
        <v/>
      </c>
      <c r="M18" s="75">
        <f>IF(Demand!AV20&lt;=Distributors_Cap!E14,"dist=0",(IF(M13&lt;=E8+Factories_Cap!#REF!,1,0)))</f>
        <v/>
      </c>
      <c r="N18" s="75">
        <f>IF(Demand!AW20&lt;=Distributors_Cap!F14,"dist=0",(IF(N13&lt;=F8+Factories_Cap!#REF!,1,0)))</f>
        <v/>
      </c>
      <c r="R18" s="75" t="n">
        <v>7</v>
      </c>
      <c r="S18" s="75" t="n">
        <v>4.985</v>
      </c>
      <c r="T18" s="75" t="n">
        <v>5.071</v>
      </c>
      <c r="U18" s="75" t="n">
        <v>4.562</v>
      </c>
    </row>
    <row r="19">
      <c r="D19" s="2">
        <f>IF(D14&gt;Demand!AU20,0,(IF(((2*(Distributors!P17+Factories_Cap!#REF!)-Distributors_Cap!L13)*(Demand!AU20-Distributors_Cap!D14))&lt;0,0,((IF(L13&gt;2*(Distributors!P17+Factories_Cap!#REF!),0,(IF(L18=0,ROUNDUP((2*(Distributors!P17+Factories_Cap!#REF!)-L13)^0.5,0),ROUNDUP((2*(Distributors!P17+Factories_Cap!#REF!)-L13)^0.5,0)))))))))</f>
        <v/>
      </c>
      <c r="E19" s="2">
        <f>IF(E14&gt;Demand!AV20,0,(IF(((2*(Distributors!Q17+Factories_Cap!#REF!)-Distributors_Cap!M13)*(Demand!AV20-Distributors_Cap!E14))&lt;0,0,((IF(M13&gt;2*(Distributors!Q17+Factories_Cap!#REF!),0,(IF(M18=0,ROUNDUP((2*(Distributors!Q17+Factories_Cap!#REF!)-M13)^0.5,0),ROUNDUP((2*(Distributors!Q17+Factories_Cap!#REF!)-M13)^0.5,0)))))))))</f>
        <v/>
      </c>
      <c r="F19" s="2">
        <f>IF(F14&gt;Demand!AW20,0,(IF(((2*(Distributors!R17+Factories_Cap!#REF!)-Distributors_Cap!N13)*(Demand!AW20-Distributors_Cap!F14))&lt;0,0,((IF(N13&gt;2*(Distributors!R17+Factories_Cap!#REF!),0,(IF(N18=0,ROUNDUP((2*(Distributors!R17+Factories_Cap!#REF!)-N13)^0.5,0),ROUNDUP((2*(Distributors!R17+Factories_Cap!#REF!)-N13)^0.5,0)))))))))</f>
        <v/>
      </c>
      <c r="G19" s="2" t="n"/>
      <c r="H19" s="2" t="n"/>
      <c r="I19" s="2" t="n"/>
      <c r="J19" s="2" t="n"/>
      <c r="R19" s="75" t="n">
        <v>8</v>
      </c>
      <c r="S19" s="75" t="n">
        <v>4.468</v>
      </c>
      <c r="T19" s="75" t="n">
        <v>5.629</v>
      </c>
      <c r="U19" s="75" t="n">
        <v>4.901</v>
      </c>
    </row>
    <row r="20">
      <c r="K20" s="7" t="inlineStr">
        <is>
          <t>MaxSOf+Ld-Sd</t>
        </is>
      </c>
    </row>
    <row r="21">
      <c r="C21" s="75" t="inlineStr">
        <is>
          <t>udip</t>
        </is>
      </c>
      <c r="D21" s="75" t="n">
        <v>19</v>
      </c>
      <c r="E21" s="75" t="n">
        <v>20</v>
      </c>
      <c r="F21" s="75" t="n">
        <v>21</v>
      </c>
      <c r="L21" s="75" t="n">
        <v>19</v>
      </c>
      <c r="M21" s="75" t="n">
        <v>20</v>
      </c>
      <c r="N21" s="75" t="n">
        <v>21</v>
      </c>
      <c r="R21" s="75" t="inlineStr">
        <is>
          <t>máximo</t>
        </is>
      </c>
      <c r="S21" s="75">
        <f>MAX(S15:U19)</f>
        <v/>
      </c>
    </row>
    <row r="22">
      <c r="C22" s="75" t="n">
        <v>9</v>
      </c>
      <c r="D22" s="10" t="n">
        <v>8</v>
      </c>
      <c r="E22" s="10" t="n">
        <v>0</v>
      </c>
      <c r="F22" s="10" t="n">
        <v>0</v>
      </c>
      <c r="G22" s="2" t="n"/>
      <c r="H22" s="2" t="n"/>
      <c r="I22" s="2" t="n"/>
      <c r="J22" s="2" t="n"/>
      <c r="K22" s="75" t="n">
        <v>9</v>
      </c>
      <c r="L22" s="75">
        <f>Distributors!P25</f>
        <v/>
      </c>
      <c r="M22" s="75">
        <f>Distributors!Q25</f>
        <v/>
      </c>
      <c r="N22" s="75">
        <f>Distributors!R25</f>
        <v/>
      </c>
    </row>
    <row r="23">
      <c r="C23" s="75" t="n">
        <v>10</v>
      </c>
      <c r="D23" s="10" t="n">
        <v>8</v>
      </c>
      <c r="E23" s="10" t="n">
        <v>0</v>
      </c>
      <c r="F23" s="10" t="n">
        <v>6</v>
      </c>
      <c r="G23" s="2" t="n"/>
      <c r="H23" s="2" t="n"/>
      <c r="I23" s="2" t="n"/>
      <c r="J23" s="2" t="n"/>
      <c r="K23" s="75" t="n">
        <v>10</v>
      </c>
      <c r="L23" s="75">
        <f>Distributors!P26</f>
        <v/>
      </c>
      <c r="M23" s="75">
        <f>Distributors!Q26</f>
        <v/>
      </c>
      <c r="N23" s="75">
        <f>Distributors!R26</f>
        <v/>
      </c>
    </row>
    <row r="24">
      <c r="D24" s="7" t="inlineStr">
        <is>
          <t>GERADOR DE DADOS</t>
        </is>
      </c>
    </row>
    <row r="25">
      <c r="D25" s="2">
        <f>ROUNDDOWN(LOG((D22+1),2),0)</f>
        <v/>
      </c>
      <c r="E25" s="2">
        <f>ROUNDDOWN(LOG((E22+1),2),0)</f>
        <v/>
      </c>
      <c r="F25" s="2">
        <f>ROUNDDOWN(LOG((F22+1),2),0)</f>
        <v/>
      </c>
      <c r="G25" s="2" t="n"/>
      <c r="H25" s="2" t="n"/>
      <c r="I25" s="2" t="n"/>
      <c r="J25" s="2" t="n"/>
      <c r="K25" s="75" t="inlineStr">
        <is>
          <t>Auxd</t>
        </is>
      </c>
    </row>
    <row r="26">
      <c r="D26" s="2">
        <f>ROUNDDOWN(LOG((D23+1),2),0)</f>
        <v/>
      </c>
      <c r="E26" s="2">
        <f>ROUNDDOWN(LOG((E23+1),2),0)</f>
        <v/>
      </c>
      <c r="F26" s="2">
        <f>ROUNDDOWN(LOG((F23+1),2),0)</f>
        <v/>
      </c>
      <c r="G26" s="2" t="n"/>
      <c r="H26" s="2" t="n"/>
      <c r="I26" s="2" t="n"/>
      <c r="J26" s="2" t="n"/>
      <c r="L26" s="75" t="n">
        <v>19</v>
      </c>
      <c r="M26" s="75" t="n">
        <v>20</v>
      </c>
      <c r="N26" s="75" t="n">
        <v>21</v>
      </c>
    </row>
    <row r="27">
      <c r="K27" s="75" t="n">
        <v>9</v>
      </c>
      <c r="L27" s="75">
        <f>#REF!</f>
        <v/>
      </c>
      <c r="M27" s="75">
        <f>#REF!</f>
        <v/>
      </c>
      <c r="N27" s="75">
        <f>#REF!</f>
        <v/>
      </c>
    </row>
    <row r="28">
      <c r="C28" s="75" t="inlineStr">
        <is>
          <t>numdip</t>
        </is>
      </c>
      <c r="D28" s="75" t="n">
        <v>19</v>
      </c>
      <c r="E28" s="75" t="n">
        <v>20</v>
      </c>
      <c r="F28" s="75" t="n">
        <v>21</v>
      </c>
      <c r="K28" s="75" t="n">
        <v>10</v>
      </c>
      <c r="L28" s="75">
        <f>#REF!</f>
        <v/>
      </c>
      <c r="M28" s="75">
        <f>#REF!</f>
        <v/>
      </c>
      <c r="N28" s="75">
        <f>#REF!</f>
        <v/>
      </c>
    </row>
    <row r="29">
      <c r="C29" s="75" t="n">
        <v>9</v>
      </c>
      <c r="D29" s="9" t="n">
        <v>3</v>
      </c>
      <c r="E29" s="9" t="n">
        <v>0</v>
      </c>
      <c r="F29" s="9" t="n">
        <v>0</v>
      </c>
      <c r="G29" s="2" t="n"/>
      <c r="H29" s="2" t="n"/>
      <c r="I29" s="2" t="n"/>
      <c r="J29" s="2" t="n"/>
    </row>
    <row r="30">
      <c r="C30" s="75" t="n">
        <v>10</v>
      </c>
      <c r="D30" s="9" t="n">
        <v>3</v>
      </c>
      <c r="E30" s="9" t="n">
        <v>0</v>
      </c>
      <c r="F30" s="9" t="n">
        <v>2</v>
      </c>
      <c r="G30" s="2" t="n"/>
      <c r="H30" s="2" t="n"/>
      <c r="I30" s="2" t="n"/>
      <c r="J30" s="2" t="n"/>
      <c r="K30" s="75" t="inlineStr">
        <is>
          <t>Kd</t>
        </is>
      </c>
    </row>
    <row r="31">
      <c r="L31" s="75" t="n">
        <v>19</v>
      </c>
      <c r="M31" s="75" t="n">
        <v>20</v>
      </c>
      <c r="N31" s="75" t="n">
        <v>21</v>
      </c>
    </row>
    <row r="32">
      <c r="K32" s="75" t="n">
        <v>9</v>
      </c>
      <c r="L32" s="75">
        <f>Distributors!P21</f>
        <v/>
      </c>
      <c r="M32" s="75">
        <f>Distributors!Q21</f>
        <v/>
      </c>
      <c r="N32" s="75">
        <f>Distributors!R21</f>
        <v/>
      </c>
    </row>
    <row r="33">
      <c r="D33" s="2">
        <f>MAX(DistributorsNumberBinaryVarY)</f>
        <v/>
      </c>
      <c r="E33" s="2" t="n"/>
      <c r="F33" s="2">
        <f>MIN(DistributorsNumberBinaryVarY)</f>
        <v/>
      </c>
      <c r="G33" s="2" t="n"/>
      <c r="H33" s="2" t="n"/>
      <c r="I33" s="2" t="n"/>
      <c r="J33" s="2" t="n"/>
      <c r="K33" s="75" t="n">
        <v>10</v>
      </c>
      <c r="L33" s="75">
        <f>Distributors!P22</f>
        <v/>
      </c>
      <c r="M33" s="75">
        <f>Distributors!Q22</f>
        <v/>
      </c>
      <c r="N33" s="75">
        <f>Distributors!R22</f>
        <v/>
      </c>
    </row>
    <row r="34">
      <c r="D34" s="2" t="n"/>
      <c r="E34" s="2" t="n"/>
      <c r="F34" s="2" t="n"/>
      <c r="G34" s="2" t="n"/>
      <c r="H34" s="2" t="n"/>
      <c r="I34" s="2" t="n"/>
      <c r="J34" s="2" t="n"/>
    </row>
    <row r="35">
      <c r="C35" s="75" t="inlineStr">
        <is>
          <t>Maxnumdip</t>
        </is>
      </c>
      <c r="D35" s="9" t="n">
        <v>3</v>
      </c>
      <c r="E35" s="2" t="n"/>
      <c r="F35" s="2" t="n"/>
      <c r="G35" s="2" t="n"/>
      <c r="H35" s="2" t="n"/>
      <c r="I35" s="2" t="n"/>
      <c r="J35" s="2" t="n"/>
      <c r="K35" s="75" t="inlineStr">
        <is>
          <t>Dist</t>
        </is>
      </c>
    </row>
    <row r="36">
      <c r="C36" s="75" t="inlineStr">
        <is>
          <t>Minnumdip</t>
        </is>
      </c>
      <c r="D36" s="9" t="n">
        <v>0</v>
      </c>
      <c r="E36" s="2" t="n"/>
      <c r="F36" s="2" t="n"/>
      <c r="G36" s="2" t="n"/>
      <c r="H36" s="2" t="n"/>
      <c r="I36" s="2" t="n"/>
      <c r="J36" s="2" t="n"/>
      <c r="L36" s="75" t="n">
        <v>19</v>
      </c>
      <c r="M36" s="75" t="n">
        <v>20</v>
      </c>
      <c r="N36" s="75" t="n">
        <v>21</v>
      </c>
    </row>
    <row r="37">
      <c r="K37" s="75" t="n">
        <v>9</v>
      </c>
      <c r="L37" s="75">
        <f>Results!#REF!</f>
        <v/>
      </c>
      <c r="M37" s="75">
        <f>Results!#REF!</f>
        <v/>
      </c>
      <c r="N37" s="75">
        <f>Results!#REF!</f>
        <v/>
      </c>
    </row>
    <row r="38">
      <c r="K38" s="75" t="n">
        <v>10</v>
      </c>
      <c r="L38" s="75">
        <f>Results!#REF!</f>
        <v/>
      </c>
      <c r="M38" s="75">
        <f>Results!#REF!</f>
        <v/>
      </c>
      <c r="N38" s="75">
        <f>Results!#REF!</f>
        <v/>
      </c>
    </row>
    <row r="40">
      <c r="K40" s="75" t="inlineStr">
        <is>
          <t>Sd</t>
        </is>
      </c>
    </row>
    <row r="41">
      <c r="L41" s="75" t="n">
        <v>19</v>
      </c>
      <c r="M41" s="75" t="n">
        <v>20</v>
      </c>
      <c r="N41" s="75" t="n">
        <v>21</v>
      </c>
    </row>
    <row r="42">
      <c r="K42" s="75" t="n">
        <v>9</v>
      </c>
      <c r="L42" s="75">
        <f>Distributors!P29</f>
        <v/>
      </c>
      <c r="M42" s="75">
        <f>Distributors!Q29</f>
        <v/>
      </c>
      <c r="N42" s="75">
        <f>Distributors!R29</f>
        <v/>
      </c>
    </row>
    <row r="43">
      <c r="K43" s="75" t="n">
        <v>10</v>
      </c>
      <c r="L43" s="75">
        <f>Distributors!P30</f>
        <v/>
      </c>
      <c r="M43" s="75">
        <f>Distributors!Q30</f>
        <v/>
      </c>
      <c r="N43" s="75">
        <f>Distributors!R30</f>
        <v/>
      </c>
    </row>
    <row r="45">
      <c r="L45" s="7" t="inlineStr">
        <is>
          <t>Stockout time</t>
        </is>
      </c>
    </row>
    <row r="46">
      <c r="L46" s="75" t="n">
        <v>16</v>
      </c>
      <c r="M46" s="75" t="n">
        <v>17</v>
      </c>
      <c r="N46" s="75" t="n">
        <v>18</v>
      </c>
      <c r="P46" s="75" t="inlineStr">
        <is>
          <t>máximo</t>
        </is>
      </c>
      <c r="R46" s="75" t="inlineStr">
        <is>
          <t>máximo</t>
        </is>
      </c>
    </row>
    <row r="47">
      <c r="K47" s="75" t="n">
        <v>4</v>
      </c>
      <c r="L47" s="75">
        <f>IF(L12="dist=0",0,IF(L12&gt;0,L3+Factories_Cap!#REF!-L12,0))</f>
        <v/>
      </c>
      <c r="M47" s="75">
        <f>IF(M12="dist=0",0,IF(M12&gt;0,M3+Factories_Cap!#REF!-M12,0))</f>
        <v/>
      </c>
      <c r="N47" s="75">
        <f>IF(N12="dist=0",0,IF(N12&gt;0,N3+Factories_Cap!#REF!-N12,0))</f>
        <v/>
      </c>
      <c r="P47" s="75">
        <f>MAX(L47:N48)</f>
        <v/>
      </c>
      <c r="R47" s="5" t="n">
        <v>25.24023477597671</v>
      </c>
    </row>
    <row r="48">
      <c r="K48" s="75" t="n">
        <v>5</v>
      </c>
      <c r="L48" s="75">
        <f>IF(L13="dist=0",0,IF(L13&gt;0,L4+Factories_Cap!#REF!-L13,0))</f>
        <v/>
      </c>
      <c r="M48" s="75">
        <f>IF(M13="dist=0",0,IF(M13&gt;0,M4+Factories_Cap!#REF!-M13,0))</f>
        <v/>
      </c>
      <c r="N48" s="75">
        <f>IF(N13="dist=0",0,IF(N13&gt;0,N4+Factories_Cap!#REF!-N13,0))</f>
        <v/>
      </c>
    </row>
    <row r="50">
      <c r="L50" s="7" t="n"/>
    </row>
  </sheetData>
  <mergeCells count="2">
    <mergeCell ref="A12:B12"/>
    <mergeCell ref="A17:B17"/>
  </mergeCells>
  <pageMargins left="0.511811024" right="0.511811024" top="0.787401575" bottom="0.787401575" header="0.31496062" footer="0.31496062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EF197"/>
  <sheetViews>
    <sheetView topLeftCell="F1" zoomScale="90" zoomScaleNormal="90" workbookViewId="0">
      <selection activeCell="F1" sqref="F1"/>
    </sheetView>
  </sheetViews>
  <sheetFormatPr baseColWidth="8" defaultColWidth="8.88671875" defaultRowHeight="14.4"/>
  <cols>
    <col hidden="1" width="13" customWidth="1" style="75" min="1" max="5"/>
    <col width="8.88671875" customWidth="1" style="75" min="6" max="10"/>
    <col width="10.6640625" customWidth="1" style="75" min="11" max="12"/>
    <col width="8.88671875" customWidth="1" style="75" min="13" max="16"/>
    <col width="22.33203125" customWidth="1" style="75" min="17" max="17"/>
    <col width="8.88671875" customWidth="1" style="75" min="18" max="37"/>
    <col width="11.33203125" bestFit="1" customWidth="1" style="75" min="38" max="38"/>
    <col width="8.88671875" customWidth="1" style="75" min="39" max="96"/>
    <col width="10.6640625" customWidth="1" style="75" min="97" max="97"/>
    <col width="8.88671875" customWidth="1" style="75" min="98" max="16384"/>
  </cols>
  <sheetData>
    <row r="2">
      <c r="N2" s="75" t="inlineStr">
        <is>
          <t>mínimo</t>
        </is>
      </c>
      <c r="O2" s="75" t="inlineStr">
        <is>
          <t>máximo</t>
        </is>
      </c>
    </row>
    <row r="3">
      <c r="N3" s="75">
        <f>MIN(RetailersCap)</f>
        <v/>
      </c>
      <c r="O3" s="75">
        <f>MAX(RetailersCap)</f>
        <v/>
      </c>
    </row>
    <row r="4">
      <c r="R4" s="2" t="n"/>
    </row>
    <row r="5">
      <c r="K5" s="75" t="inlineStr">
        <is>
          <t>GERADOR DE DADOS</t>
        </is>
      </c>
      <c r="Q5" s="75" t="inlineStr">
        <is>
          <t>GERADOR DE DADOS</t>
        </is>
      </c>
      <c r="AB5" s="75" t="inlineStr">
        <is>
          <t>GERADOR DE DADOS</t>
        </is>
      </c>
      <c r="BA5" s="7" t="inlineStr">
        <is>
          <t>Ei Exhaustion time (days)</t>
        </is>
      </c>
      <c r="BF5" s="75" t="inlineStr">
        <is>
          <t>Delta</t>
        </is>
      </c>
      <c r="BK5" s="7" t="inlineStr">
        <is>
          <t>MaxSOd+Lr-Sr</t>
        </is>
      </c>
      <c r="BP5" s="75" t="inlineStr">
        <is>
          <t>Auxr</t>
        </is>
      </c>
      <c r="BU5" s="75" t="inlineStr">
        <is>
          <t>Kr</t>
        </is>
      </c>
      <c r="BZ5" s="75" t="inlineStr">
        <is>
          <t>Ret</t>
        </is>
      </c>
      <c r="CE5" s="75" t="inlineStr">
        <is>
          <t>Sr</t>
        </is>
      </c>
      <c r="CK5" s="7" t="inlineStr">
        <is>
          <t>Stockout time</t>
        </is>
      </c>
    </row>
    <row r="6">
      <c r="G6" s="75" t="inlineStr">
        <is>
          <t>lambdar</t>
        </is>
      </c>
      <c r="H6" s="75" t="n">
        <v>22</v>
      </c>
      <c r="I6" s="75" t="n">
        <v>23</v>
      </c>
      <c r="J6" s="75" t="n">
        <v>24</v>
      </c>
      <c r="M6" s="75" t="inlineStr">
        <is>
          <t>Cap</t>
        </is>
      </c>
      <c r="N6" s="75" t="n">
        <v>22</v>
      </c>
      <c r="O6" s="75" t="n">
        <v>23</v>
      </c>
      <c r="P6" s="75" t="n">
        <v>24</v>
      </c>
      <c r="X6" s="75" t="n">
        <v>22</v>
      </c>
      <c r="Y6" s="75" t="n">
        <v>23</v>
      </c>
      <c r="Z6" s="75" t="n">
        <v>24</v>
      </c>
      <c r="AH6" s="75" t="n">
        <v>22</v>
      </c>
      <c r="AI6" s="75" t="n">
        <v>23</v>
      </c>
      <c r="AJ6" s="75" t="n">
        <v>24</v>
      </c>
      <c r="AQ6" s="75" t="inlineStr">
        <is>
          <t>lambdar</t>
        </is>
      </c>
      <c r="AR6" s="75" t="n">
        <v>22</v>
      </c>
      <c r="AS6" s="75" t="n">
        <v>23</v>
      </c>
      <c r="AT6" s="75" t="n">
        <v>24</v>
      </c>
      <c r="AV6" s="75" t="inlineStr">
        <is>
          <t>Ei (p)</t>
        </is>
      </c>
      <c r="AW6" s="75" t="n">
        <v>22</v>
      </c>
      <c r="AX6" s="75" t="n">
        <v>23</v>
      </c>
      <c r="AY6" s="75" t="n">
        <v>24</v>
      </c>
      <c r="BA6" s="75" t="inlineStr">
        <is>
          <t>Ei (p)</t>
        </is>
      </c>
      <c r="BB6" s="75" t="n">
        <v>22</v>
      </c>
      <c r="BC6" s="75" t="n">
        <v>23</v>
      </c>
      <c r="BD6" s="75" t="n">
        <v>24</v>
      </c>
      <c r="BG6" s="75" t="n">
        <v>22</v>
      </c>
      <c r="BH6" s="75" t="n">
        <v>23</v>
      </c>
      <c r="BI6" s="75" t="n">
        <v>24</v>
      </c>
      <c r="BL6" s="75" t="n">
        <v>22</v>
      </c>
      <c r="BM6" s="75" t="n">
        <v>23</v>
      </c>
      <c r="BN6" s="75" t="n">
        <v>24</v>
      </c>
      <c r="BQ6" s="75" t="n">
        <v>22</v>
      </c>
      <c r="BR6" s="75" t="n">
        <v>23</v>
      </c>
      <c r="BS6" s="75" t="n">
        <v>24</v>
      </c>
      <c r="BV6" s="75" t="n">
        <v>22</v>
      </c>
      <c r="BW6" s="75" t="n">
        <v>23</v>
      </c>
      <c r="BX6" s="75" t="n">
        <v>24</v>
      </c>
      <c r="CA6" s="75" t="n">
        <v>22</v>
      </c>
      <c r="CB6" s="75" t="n">
        <v>23</v>
      </c>
      <c r="CC6" s="75" t="n">
        <v>24</v>
      </c>
      <c r="CF6" s="75" t="n">
        <v>22</v>
      </c>
      <c r="CG6" s="75" t="n">
        <v>23</v>
      </c>
      <c r="CH6" s="75" t="n">
        <v>24</v>
      </c>
      <c r="CK6" s="75" t="n">
        <v>22</v>
      </c>
      <c r="CL6" s="75" t="n">
        <v>23</v>
      </c>
      <c r="CM6" s="75" t="n">
        <v>24</v>
      </c>
      <c r="CO6" s="75" t="inlineStr">
        <is>
          <t>máximo</t>
        </is>
      </c>
      <c r="CQ6" s="75" t="inlineStr">
        <is>
          <t>máximo</t>
        </is>
      </c>
      <c r="CU6" s="75" t="n">
        <v>1</v>
      </c>
      <c r="CV6" s="75" t="n">
        <v>2</v>
      </c>
      <c r="CW6" s="75" t="n">
        <v>3</v>
      </c>
      <c r="CX6" s="75" t="n">
        <v>4</v>
      </c>
      <c r="CY6" s="75" t="n">
        <v>5</v>
      </c>
      <c r="CZ6" s="75" t="n">
        <v>6</v>
      </c>
      <c r="DA6" s="75" t="n">
        <v>7</v>
      </c>
      <c r="DB6" s="75" t="n">
        <v>8</v>
      </c>
      <c r="DC6" s="75" t="n">
        <v>9</v>
      </c>
      <c r="DD6" s="75" t="n">
        <v>10</v>
      </c>
      <c r="DE6" s="75" t="n">
        <v>11</v>
      </c>
      <c r="DF6" s="75" t="n">
        <v>12</v>
      </c>
      <c r="DG6" s="75" t="n">
        <v>13</v>
      </c>
      <c r="DH6" s="75" t="n">
        <v>14</v>
      </c>
      <c r="DI6" s="75" t="n">
        <v>15</v>
      </c>
    </row>
    <row r="7">
      <c r="G7" s="75" t="n">
        <v>11</v>
      </c>
      <c r="H7" s="75" t="n">
        <v>53.045</v>
      </c>
      <c r="I7" s="75" t="n">
        <v>56.66</v>
      </c>
      <c r="J7" s="75" t="n">
        <v>54.621</v>
      </c>
      <c r="K7" s="2">
        <f>27*1.05</f>
        <v/>
      </c>
      <c r="L7" s="75">
        <f>TRUNC((_xlfn.NORM.INV((RAND()),$K$7,$K$8)),0)</f>
        <v/>
      </c>
      <c r="M7" s="75" t="n">
        <v>11</v>
      </c>
      <c r="N7" s="5" t="n">
        <v>25</v>
      </c>
      <c r="O7" s="5" t="n">
        <v>27</v>
      </c>
      <c r="P7" s="5" t="n">
        <v>25</v>
      </c>
      <c r="Q7" s="75">
        <f>IF(N7&gt;Demand!AU24,0,(IF(((2*(Retailers!AJ6+Distributors_Cap!$P$47)-Retailers_Cap!$BB$7)*(Demand!AU24-Retailers_Cap!N7))&lt;0,0,((IF(BB7&gt;2*(Retailers!AJ6+Distributors_Cap!$P$47),0,(IF(BG7=0,ROUNDUP((2*(Retailers!AJ6+Distributors_Cap!$P$47)-BB7)^0.5,0),ROUNDUP((2*(Retailers!AJ6+Distributors_Cap!$P$47)-BB7)^0.5,0)))))))))</f>
        <v/>
      </c>
      <c r="R7" s="2">
        <f>IF(N7&gt;Demand!AU24,0,(IF(((2*(Retailers!AJ6+Distributors_Cap!$P$47)-Retailers_Cap!$BB$7)*(Demand!AU24-Retailers_Cap!N7))&lt;0,0,((IF(BB7&gt;2*(Retailers!AJ6+Distributors_Cap!$P$47),0,(IF(BG7=0,ROUNDUP((2*(Retailers!AJ6+Distributors_Cap!$P$47)-BB7)^0.5,0),ROUNDUP((2*(Retailers!AJ6+Distributors_Cap!$P$47)-BB7)^0.5,0)))))))))</f>
        <v/>
      </c>
      <c r="S7" s="2">
        <f>IF(O7&gt;Demand!AV24,0,(IF(((2*(Retailers!AK6+Distributors_Cap!$P$47)-Retailers_Cap!$BB$7)*(Demand!AV24-Retailers_Cap!O7))&lt;0,0,((IF(BC7&gt;2*(Retailers!AK6+Distributors_Cap!$P$47),0,(IF(BH7=0,ROUNDUP((2*(Retailers!AK6+Distributors_Cap!$P$47)-BC7)^0.5,0),ROUNDUP((2*(Retailers!AK6+Distributors_Cap!$P$47)-BC7)^0.5,0)))))))))</f>
        <v/>
      </c>
      <c r="T7" s="2">
        <f>IF(P7&gt;Demand!AW24,0,(IF(((2*(Retailers!AL6+Distributors_Cap!$P$47)-Retailers_Cap!$BB$7)*(Demand!AW24-Retailers_Cap!P7))&lt;0,0,((IF(BD7&gt;2*(Retailers!AL6+Distributors_Cap!$P$47),0,(IF(BI7=0,ROUNDUP((2*(Retailers!AL6+Distributors_Cap!$P$47)-BD7)^0.5,0),ROUNDUP((2*(Retailers!AL6+Distributors_Cap!$P$47)-BD7)^0.5,0)))))))))</f>
        <v/>
      </c>
      <c r="V7" s="75" t="inlineStr">
        <is>
          <t>urip</t>
        </is>
      </c>
      <c r="W7" s="75" t="n">
        <v>11</v>
      </c>
      <c r="X7" s="9" t="n">
        <v>11</v>
      </c>
      <c r="Y7" s="9" t="n">
        <v>13</v>
      </c>
      <c r="Z7" s="9" t="n">
        <v>12</v>
      </c>
      <c r="AB7" s="2">
        <f>ROUNDDOWN(LOG((X7+1),2),0)</f>
        <v/>
      </c>
      <c r="AC7" s="2">
        <f>ROUNDDOWN(LOG((Y7+1),2),0)</f>
        <v/>
      </c>
      <c r="AD7" s="2">
        <f>ROUNDDOWN(LOG((Z7+1),2),0)</f>
        <v/>
      </c>
      <c r="AF7" s="75" t="inlineStr">
        <is>
          <t>numrip</t>
        </is>
      </c>
      <c r="AG7" s="75" t="n">
        <v>11</v>
      </c>
      <c r="AH7" s="9" t="n">
        <v>3</v>
      </c>
      <c r="AI7" s="9" t="n">
        <v>3</v>
      </c>
      <c r="AJ7" s="9" t="n">
        <v>3</v>
      </c>
      <c r="AN7" s="2">
        <f>MAX(RetailersNumberBinaryVarY)</f>
        <v/>
      </c>
      <c r="AO7" s="2">
        <f>MIN(RetailersNumberBinaryVarY)</f>
        <v/>
      </c>
      <c r="AP7" s="2" t="n"/>
      <c r="AQ7" s="75" t="n">
        <v>11</v>
      </c>
      <c r="AR7" s="75" t="n">
        <v>53.045</v>
      </c>
      <c r="AS7" s="75" t="n">
        <v>56.66</v>
      </c>
      <c r="AT7" s="75" t="n">
        <v>54.621</v>
      </c>
      <c r="AU7" s="2" t="n"/>
      <c r="AV7" s="75" t="n">
        <v>11</v>
      </c>
      <c r="AW7" s="75">
        <f>Beginning_stock!AT35</f>
        <v/>
      </c>
      <c r="AX7" s="75">
        <f>Beginning_stock!AU35</f>
        <v/>
      </c>
      <c r="AY7" s="75">
        <f>Beginning_stock!AV35</f>
        <v/>
      </c>
      <c r="AZ7" s="2" t="n"/>
      <c r="BA7" s="75" t="n">
        <v>11</v>
      </c>
      <c r="BB7" s="75">
        <f>IF(Demand!AU24=Retailers_Cap!N7,"ret=0",(AW7/(Demand!AU24-Retailers_Cap!N7)))</f>
        <v/>
      </c>
      <c r="BC7" s="75">
        <f>IF(Demand!AV24=Retailers_Cap!O7,"ret=0",(AX7/(Demand!AV24-Retailers_Cap!O7)))</f>
        <v/>
      </c>
      <c r="BD7" s="75">
        <f>IF(Demand!AW24=Retailers_Cap!P7,"ret=0",(AY7/(Demand!AW24-Retailers_Cap!P7)))</f>
        <v/>
      </c>
      <c r="BE7" s="2" t="n"/>
      <c r="BF7" s="75" t="n">
        <v>11</v>
      </c>
      <c r="BG7" s="2">
        <f>IF(Demand!AU24&lt;=Retailers_Cap!N7,"ret=0",(IF(BB7&lt;=AR7+Distributors_Cap!$P$47,1,0)))</f>
        <v/>
      </c>
      <c r="BH7" s="2">
        <f>IF(Demand!AV24&lt;=Retailers_Cap!O7,"ret=0",(IF(BC7&lt;=AS7+Distributors_Cap!$P$47,1,0)))</f>
        <v/>
      </c>
      <c r="BI7" s="2">
        <f>IF(Demand!AW24&lt;=Retailers_Cap!P7,"ret=0",(IF(BD7&lt;=AT7+Distributors_Cap!$P$47,1,0)))</f>
        <v/>
      </c>
      <c r="BJ7" s="2" t="n"/>
      <c r="BK7" s="75" t="n">
        <v>11</v>
      </c>
      <c r="BL7" s="75">
        <f>Retailers!BH6</f>
        <v/>
      </c>
      <c r="BM7" s="75">
        <f>Retailers!BI6</f>
        <v/>
      </c>
      <c r="BN7" s="75">
        <f>Retailers!BJ6</f>
        <v/>
      </c>
      <c r="BO7" s="2" t="n"/>
      <c r="BP7" s="75" t="n">
        <v>11</v>
      </c>
      <c r="BQ7" s="75">
        <f>#REF!</f>
        <v/>
      </c>
      <c r="BR7" s="75">
        <f>#REF!</f>
        <v/>
      </c>
      <c r="BS7" s="75">
        <f>#REF!</f>
        <v/>
      </c>
      <c r="BT7" s="2" t="n"/>
      <c r="BU7" s="75" t="n">
        <v>11</v>
      </c>
      <c r="BV7" s="75">
        <f>Retailers!AS6</f>
        <v/>
      </c>
      <c r="BW7" s="75">
        <f>Retailers!AT6</f>
        <v/>
      </c>
      <c r="BX7" s="75">
        <f>Retailers!AU6</f>
        <v/>
      </c>
      <c r="BY7" s="2" t="n"/>
      <c r="BZ7" s="75" t="n">
        <v>11</v>
      </c>
      <c r="CA7" s="75">
        <f>Results!#REF!</f>
        <v/>
      </c>
      <c r="CB7" s="75">
        <f>Results!#REF!</f>
        <v/>
      </c>
      <c r="CC7" s="75">
        <f>Results!#REF!</f>
        <v/>
      </c>
      <c r="CD7" s="2" t="n"/>
      <c r="CE7" s="75" t="n">
        <v>11</v>
      </c>
      <c r="CF7" s="75">
        <f>Retailers!BN6</f>
        <v/>
      </c>
      <c r="CG7" s="75">
        <f>Retailers!BO6</f>
        <v/>
      </c>
      <c r="CH7" s="75">
        <f>Retailers!BP6</f>
        <v/>
      </c>
      <c r="CI7" s="2" t="n"/>
      <c r="CJ7" s="75" t="n">
        <v>11</v>
      </c>
      <c r="CK7" s="75">
        <f>IF(BB7="ret=0",0,IF(BB7&gt;0,AR7+Distributors_Cap!$P$47-BB7,0))</f>
        <v/>
      </c>
      <c r="CL7" s="75">
        <f>IF(BC7="ret=0",0,IF(BC7&gt;0,AS7+Distributors_Cap!$P$47-BC7,0))</f>
        <v/>
      </c>
      <c r="CM7" s="75">
        <f>IF(BD7="ret=0",0,IF(BD7&gt;0,AT7+Distributors_Cap!$P$47-BD7,0))</f>
        <v/>
      </c>
      <c r="CO7" s="75">
        <f>MAX(CK7:CM196)</f>
        <v/>
      </c>
      <c r="CQ7" s="9" t="n">
        <v>103.2303776331196</v>
      </c>
      <c r="CS7" s="75" t="inlineStr">
        <is>
          <t>Lambdaw</t>
        </is>
      </c>
      <c r="CT7" s="75" t="n">
        <v>1</v>
      </c>
      <c r="CU7" s="75" t="n">
        <v>18.505</v>
      </c>
      <c r="CV7" s="75" t="n">
        <v>15.462</v>
      </c>
      <c r="CW7" s="75" t="n">
        <v>11.972</v>
      </c>
      <c r="CX7" s="75" t="n">
        <v>13.559</v>
      </c>
      <c r="CY7" s="75" t="n">
        <v>15.373</v>
      </c>
      <c r="CZ7" s="75" t="n">
        <v>17.73</v>
      </c>
      <c r="DA7" s="75" t="n">
        <v>15.342</v>
      </c>
      <c r="DB7" s="75" t="n">
        <v>19.782</v>
      </c>
      <c r="DC7" s="75" t="n">
        <v>12.66</v>
      </c>
      <c r="DD7" s="75" t="n">
        <v>13.452</v>
      </c>
      <c r="DE7" s="75" t="n">
        <v>14.32</v>
      </c>
      <c r="DF7" s="75" t="n">
        <v>18.487</v>
      </c>
      <c r="DG7" s="75" t="n">
        <v>15.858</v>
      </c>
      <c r="DH7" s="75" t="n">
        <v>15.037</v>
      </c>
      <c r="DI7" s="75" t="n">
        <v>12.314</v>
      </c>
    </row>
    <row r="8">
      <c r="G8" s="75" t="n">
        <v>12</v>
      </c>
      <c r="H8" s="75" t="n">
        <v>63.666</v>
      </c>
      <c r="I8" s="75" t="n">
        <v>66.75</v>
      </c>
      <c r="J8" s="75" t="n">
        <v>64.45</v>
      </c>
      <c r="K8" s="2">
        <f>K7*0.25</f>
        <v/>
      </c>
      <c r="L8" s="75">
        <f>TRUNC((_xlfn.NORM.INV((RAND()),$K$7,$K$8)),0)</f>
        <v/>
      </c>
      <c r="M8" s="75" t="n">
        <v>12</v>
      </c>
      <c r="N8" s="5" t="n">
        <v>33</v>
      </c>
      <c r="O8" s="5" t="n">
        <v>24</v>
      </c>
      <c r="P8" s="5" t="n">
        <v>18</v>
      </c>
      <c r="R8" s="2">
        <f>IF(N8&gt;Demand!AU25,0,(IF(((2*(Retailers!AJ7+Distributors_Cap!$P$47)-Retailers_Cap!$BB$7)*(Demand!AU25-Retailers_Cap!N8))&lt;0,0,((IF(BB8&gt;2*(Retailers!AJ7+Distributors_Cap!$P$47),0,(IF(BG8=0,ROUNDUP((2*(Retailers!AJ7+Distributors_Cap!$P$47)-BB8)^0.5,0),ROUNDUP((2*(Retailers!AJ7+Distributors_Cap!$P$47)-BB8)^0.5,0)))))))))</f>
        <v/>
      </c>
      <c r="S8" s="2">
        <f>IF(O8&gt;Demand!AV25,0,(IF(((2*(Retailers!AK7+Distributors_Cap!$P$47)-Retailers_Cap!$BB$7)*(Demand!AV25-Retailers_Cap!O8))&lt;0,0,((IF(BC8&gt;2*(Retailers!AK7+Distributors_Cap!$P$47),0,(IF(BH8=0,ROUNDUP((2*(Retailers!AK7+Distributors_Cap!$P$47)-BC8)^0.5,0),ROUNDUP((2*(Retailers!AK7+Distributors_Cap!$P$47)-BC8)^0.5,0)))))))))</f>
        <v/>
      </c>
      <c r="T8" s="2">
        <f>IF(P8&gt;Demand!AW25,0,(IF(((2*(Retailers!AL7+Distributors_Cap!$P$47)-Retailers_Cap!$BB$7)*(Demand!AW25-Retailers_Cap!P8))&lt;0,0,((IF(BD8&gt;2*(Retailers!AL7+Distributors_Cap!$P$47),0,(IF(BI8=0,ROUNDUP((2*(Retailers!AL7+Distributors_Cap!$P$47)-BD8)^0.5,0),ROUNDUP((2*(Retailers!AL7+Distributors_Cap!$P$47)-BD8)^0.5,0)))))))))</f>
        <v/>
      </c>
      <c r="W8" s="75" t="n">
        <v>12</v>
      </c>
      <c r="X8" s="9" t="n">
        <v>0</v>
      </c>
      <c r="Y8" s="9" t="n">
        <v>0</v>
      </c>
      <c r="Z8" s="9" t="n">
        <v>10</v>
      </c>
      <c r="AB8" s="2">
        <f>ROUNDDOWN(LOG((X8+1),2),0)</f>
        <v/>
      </c>
      <c r="AC8" s="2">
        <f>ROUNDDOWN(LOG((Y8+1),2),0)</f>
        <v/>
      </c>
      <c r="AD8" s="2">
        <f>ROUNDDOWN(LOG((Z8+1),2),0)</f>
        <v/>
      </c>
      <c r="AG8" s="75" t="n">
        <v>12</v>
      </c>
      <c r="AH8" s="9" t="n">
        <v>0</v>
      </c>
      <c r="AI8" s="9" t="n">
        <v>0</v>
      </c>
      <c r="AJ8" s="9" t="n">
        <v>3</v>
      </c>
      <c r="AN8" s="2" t="n"/>
      <c r="AO8" s="2" t="n"/>
      <c r="AP8" s="2" t="n"/>
      <c r="AQ8" s="75" t="n">
        <v>12</v>
      </c>
      <c r="AR8" s="75" t="n">
        <v>63.666</v>
      </c>
      <c r="AS8" s="75" t="n">
        <v>66.75</v>
      </c>
      <c r="AT8" s="75" t="n">
        <v>64.45</v>
      </c>
      <c r="AU8" s="2" t="n"/>
      <c r="AV8" s="75" t="n">
        <v>12</v>
      </c>
      <c r="AW8" s="75">
        <f>Beginning_stock!AT36</f>
        <v/>
      </c>
      <c r="AX8" s="75">
        <f>Beginning_stock!AU36</f>
        <v/>
      </c>
      <c r="AY8" s="75">
        <f>Beginning_stock!AV36</f>
        <v/>
      </c>
      <c r="AZ8" s="2" t="n"/>
      <c r="BA8" s="75" t="n">
        <v>12</v>
      </c>
      <c r="BB8" s="75">
        <f>IF(Demand!AU25=Retailers_Cap!N8,"ret=0",(AW8/(Demand!AU25-Retailers_Cap!N8)))</f>
        <v/>
      </c>
      <c r="BC8" s="75">
        <f>IF(Demand!AV25=Retailers_Cap!O8,"ret=0",(AX8/(Demand!AV25-Retailers_Cap!O8)))</f>
        <v/>
      </c>
      <c r="BD8" s="75">
        <f>IF(Demand!AW25=Retailers_Cap!P8,"ret=0",(AY8/(Demand!AW25-Retailers_Cap!P8)))</f>
        <v/>
      </c>
      <c r="BE8" s="2" t="n"/>
      <c r="BF8" s="75" t="n">
        <v>12</v>
      </c>
      <c r="BG8" s="2">
        <f>IF(Demand!AU25&lt;=Retailers_Cap!N8,"ret=0",(IF(BB8&lt;=AR8+Distributors_Cap!$P$47,1,0)))</f>
        <v/>
      </c>
      <c r="BH8" s="2">
        <f>IF(Demand!AV25&lt;=Retailers_Cap!O8,"ret=0",(IF(BC8&lt;=AS8+Distributors_Cap!$P$47,1,0)))</f>
        <v/>
      </c>
      <c r="BI8" s="2">
        <f>IF(Demand!AW25&lt;=Retailers_Cap!P8,"ret=0",(IF(BD8&lt;=AT8+Distributors_Cap!$P$47,1,0)))</f>
        <v/>
      </c>
      <c r="BJ8" s="2" t="n"/>
      <c r="BK8" s="75" t="n">
        <v>12</v>
      </c>
      <c r="BL8" s="75">
        <f>Retailers!BH7</f>
        <v/>
      </c>
      <c r="BM8" s="75">
        <f>Retailers!BI7</f>
        <v/>
      </c>
      <c r="BN8" s="75">
        <f>Retailers!BJ7</f>
        <v/>
      </c>
      <c r="BO8" s="2" t="n"/>
      <c r="BP8" s="75" t="n">
        <v>12</v>
      </c>
      <c r="BQ8" s="75">
        <f>#REF!</f>
        <v/>
      </c>
      <c r="BR8" s="75">
        <f>#REF!</f>
        <v/>
      </c>
      <c r="BS8" s="75">
        <f>#REF!</f>
        <v/>
      </c>
      <c r="BT8" s="2" t="n"/>
      <c r="BU8" s="75" t="n">
        <v>12</v>
      </c>
      <c r="BV8" s="75">
        <f>Retailers!AS7</f>
        <v/>
      </c>
      <c r="BW8" s="75">
        <f>Retailers!AT7</f>
        <v/>
      </c>
      <c r="BX8" s="75">
        <f>Retailers!AU7</f>
        <v/>
      </c>
      <c r="BY8" s="2" t="n"/>
      <c r="BZ8" s="75" t="n">
        <v>12</v>
      </c>
      <c r="CA8" s="75">
        <f>Results!#REF!</f>
        <v/>
      </c>
      <c r="CB8" s="75">
        <f>Results!#REF!</f>
        <v/>
      </c>
      <c r="CC8" s="75">
        <f>Results!#REF!</f>
        <v/>
      </c>
      <c r="CD8" s="2" t="n"/>
      <c r="CE8" s="75" t="n">
        <v>12</v>
      </c>
      <c r="CF8" s="75">
        <f>Retailers!BN7</f>
        <v/>
      </c>
      <c r="CG8" s="75">
        <f>Retailers!BO7</f>
        <v/>
      </c>
      <c r="CH8" s="75">
        <f>Retailers!BP7</f>
        <v/>
      </c>
      <c r="CI8" s="2" t="n"/>
      <c r="CJ8" s="75" t="n">
        <v>12</v>
      </c>
      <c r="CK8" s="75">
        <f>IF(BB8="ret=0",0,IF(BB8&gt;0,AR8+Distributors_Cap!$P$47-BB8,0))</f>
        <v/>
      </c>
      <c r="CL8" s="75">
        <f>IF(BC8="ret=0",0,IF(BC8&gt;0,AS8+Distributors_Cap!$P$47-BC8,0))</f>
        <v/>
      </c>
      <c r="CM8" s="75">
        <f>IF(BD8="ret=0",0,IF(BD8&gt;0,AT8+Distributors_Cap!$P$47-BD8,0))</f>
        <v/>
      </c>
      <c r="CQ8" s="2" t="n"/>
      <c r="CT8" s="75" t="n">
        <v>2</v>
      </c>
      <c r="CU8" s="75" t="n">
        <v>16.684</v>
      </c>
      <c r="CV8" s="75" t="n">
        <v>15.732</v>
      </c>
      <c r="CW8" s="75" t="n">
        <v>16.241</v>
      </c>
      <c r="CX8" s="75" t="n">
        <v>15.693</v>
      </c>
      <c r="CY8" s="75" t="n">
        <v>11.913</v>
      </c>
      <c r="CZ8" s="75" t="n">
        <v>13.523</v>
      </c>
      <c r="DA8" s="75" t="n">
        <v>13.636</v>
      </c>
      <c r="DB8" s="75" t="n">
        <v>16.606</v>
      </c>
      <c r="DC8" s="75" t="n">
        <v>17.887</v>
      </c>
      <c r="DD8" s="75" t="n">
        <v>10.093</v>
      </c>
      <c r="DE8" s="75" t="n">
        <v>12.59</v>
      </c>
      <c r="DF8" s="75" t="n">
        <v>16.779</v>
      </c>
      <c r="DG8" s="75" t="n">
        <v>18.918</v>
      </c>
      <c r="DH8" s="75" t="n">
        <v>21.384</v>
      </c>
      <c r="DI8" s="75" t="n">
        <v>12.893</v>
      </c>
    </row>
    <row r="9">
      <c r="G9" s="75" t="n">
        <v>13</v>
      </c>
      <c r="H9" s="75" t="n">
        <v>51.821</v>
      </c>
      <c r="I9" s="75" t="n">
        <v>69.47799999999999</v>
      </c>
      <c r="J9" s="75" t="n">
        <v>55.332</v>
      </c>
      <c r="L9" s="75">
        <f>TRUNC((_xlfn.NORM.INV((RAND()),$K$7,$K$8)),0)</f>
        <v/>
      </c>
      <c r="M9" s="75" t="n">
        <v>13</v>
      </c>
      <c r="N9" s="5" t="n">
        <v>33</v>
      </c>
      <c r="O9" s="5" t="n">
        <v>28</v>
      </c>
      <c r="P9" s="5" t="n">
        <v>16</v>
      </c>
      <c r="R9" s="2">
        <f>IF(N9&gt;Demand!AU26,0,(IF(((2*(Retailers!AJ8+Distributors_Cap!$P$47)-Retailers_Cap!$BB$7)*(Demand!AU26-Retailers_Cap!N9))&lt;0,0,((IF(BB9&gt;2*(Retailers!AJ8+Distributors_Cap!$P$47),0,(IF(BG9=0,ROUNDUP((2*(Retailers!AJ8+Distributors_Cap!$P$47)-BB9)^0.5,0),ROUNDUP((2*(Retailers!AJ8+Distributors_Cap!$P$47)-BB9)^0.5,0)))))))))</f>
        <v/>
      </c>
      <c r="S9" s="2">
        <f>IF(O9&gt;Demand!AV26,0,(IF(((2*(Retailers!AK8+Distributors_Cap!$P$47)-Retailers_Cap!$BB$7)*(Demand!AV26-Retailers_Cap!O9))&lt;0,0,((IF(BC9&gt;2*(Retailers!AK8+Distributors_Cap!$P$47),0,(IF(BH9=0,ROUNDUP((2*(Retailers!AK8+Distributors_Cap!$P$47)-BC9)^0.5,0),ROUNDUP((2*(Retailers!AK8+Distributors_Cap!$P$47)-BC9)^0.5,0)))))))))</f>
        <v/>
      </c>
      <c r="T9" s="2">
        <f>IF(P9&gt;Demand!AW26,0,(IF(((2*(Retailers!AL8+Distributors_Cap!$P$47)-Retailers_Cap!$BB$7)*(Demand!AW26-Retailers_Cap!P9))&lt;0,0,((IF(BD9&gt;2*(Retailers!AL8+Distributors_Cap!$P$47),0,(IF(BI9=0,ROUNDUP((2*(Retailers!AL8+Distributors_Cap!$P$47)-BD9)^0.5,0),ROUNDUP((2*(Retailers!AL8+Distributors_Cap!$P$47)-BD9)^0.5,0)))))))))</f>
        <v/>
      </c>
      <c r="W9" s="75" t="n">
        <v>13</v>
      </c>
      <c r="X9" s="9" t="n">
        <v>0</v>
      </c>
      <c r="Y9" s="9" t="n">
        <v>0</v>
      </c>
      <c r="Z9" s="9" t="n">
        <v>12</v>
      </c>
      <c r="AB9" s="2">
        <f>ROUNDDOWN(LOG((X9+1),2),0)</f>
        <v/>
      </c>
      <c r="AC9" s="2">
        <f>ROUNDDOWN(LOG((Y9+1),2),0)</f>
        <v/>
      </c>
      <c r="AD9" s="2">
        <f>ROUNDDOWN(LOG((Z9+1),2),0)</f>
        <v/>
      </c>
      <c r="AG9" s="75" t="n">
        <v>13</v>
      </c>
      <c r="AH9" s="9" t="n">
        <v>0</v>
      </c>
      <c r="AI9" s="9" t="n">
        <v>0</v>
      </c>
      <c r="AJ9" s="9" t="n">
        <v>3</v>
      </c>
      <c r="AL9" s="75" t="inlineStr">
        <is>
          <t>Maxnumrip</t>
        </is>
      </c>
      <c r="AN9" s="9" t="n">
        <v>4</v>
      </c>
      <c r="AO9" s="2" t="n"/>
      <c r="AP9" s="2" t="n"/>
      <c r="AQ9" s="75" t="n">
        <v>13</v>
      </c>
      <c r="AR9" s="75" t="n">
        <v>51.821</v>
      </c>
      <c r="AS9" s="75" t="n">
        <v>69.47799999999999</v>
      </c>
      <c r="AT9" s="75" t="n">
        <v>55.332</v>
      </c>
      <c r="AU9" s="2" t="n"/>
      <c r="AV9" s="75" t="n">
        <v>13</v>
      </c>
      <c r="AW9" s="75">
        <f>Beginning_stock!AT37</f>
        <v/>
      </c>
      <c r="AX9" s="75">
        <f>Beginning_stock!AU37</f>
        <v/>
      </c>
      <c r="AY9" s="75">
        <f>Beginning_stock!AV37</f>
        <v/>
      </c>
      <c r="AZ9" s="2" t="n"/>
      <c r="BA9" s="75" t="n">
        <v>13</v>
      </c>
      <c r="BB9" s="75">
        <f>IF(Demand!AU26=Retailers_Cap!N9,"ret=0",(AW9/(Demand!AU26-Retailers_Cap!N9)))</f>
        <v/>
      </c>
      <c r="BC9" s="75">
        <f>IF(Demand!AV26=Retailers_Cap!O9,"ret=0",(AX9/(Demand!AV26-Retailers_Cap!O9)))</f>
        <v/>
      </c>
      <c r="BD9" s="75">
        <f>IF(Demand!AW26=Retailers_Cap!P9,"ret=0",(AY9/(Demand!AW26-Retailers_Cap!P9)))</f>
        <v/>
      </c>
      <c r="BE9" s="2" t="n"/>
      <c r="BF9" s="75" t="n">
        <v>13</v>
      </c>
      <c r="BG9" s="2">
        <f>IF(Demand!AU26&lt;=Retailers_Cap!N9,"ret=0",(IF(BB9&lt;=AR9+Distributors_Cap!$P$47,1,0)))</f>
        <v/>
      </c>
      <c r="BH9" s="2">
        <f>IF(Demand!AV26&lt;=Retailers_Cap!O9,"ret=0",(IF(BC9&lt;=AS9+Distributors_Cap!$P$47,1,0)))</f>
        <v/>
      </c>
      <c r="BI9" s="2">
        <f>IF(Demand!AW26&lt;=Retailers_Cap!P9,"ret=0",(IF(BD9&lt;=AT9+Distributors_Cap!$P$47,1,0)))</f>
        <v/>
      </c>
      <c r="BJ9" s="2" t="n"/>
      <c r="BK9" s="75" t="n">
        <v>13</v>
      </c>
      <c r="BL9" s="75">
        <f>Retailers!BH8</f>
        <v/>
      </c>
      <c r="BM9" s="75">
        <f>Retailers!BI8</f>
        <v/>
      </c>
      <c r="BN9" s="75">
        <f>Retailers!BJ8</f>
        <v/>
      </c>
      <c r="BO9" s="2" t="n"/>
      <c r="BP9" s="75" t="n">
        <v>13</v>
      </c>
      <c r="BQ9" s="75">
        <f>#REF!</f>
        <v/>
      </c>
      <c r="BR9" s="75">
        <f>#REF!</f>
        <v/>
      </c>
      <c r="BS9" s="75">
        <f>#REF!</f>
        <v/>
      </c>
      <c r="BT9" s="2" t="n"/>
      <c r="BU9" s="75" t="n">
        <v>13</v>
      </c>
      <c r="BV9" s="75">
        <f>Retailers!AS8</f>
        <v/>
      </c>
      <c r="BW9" s="75">
        <f>Retailers!AT8</f>
        <v/>
      </c>
      <c r="BX9" s="75">
        <f>Retailers!AU8</f>
        <v/>
      </c>
      <c r="BY9" s="2" t="n"/>
      <c r="BZ9" s="75" t="n">
        <v>13</v>
      </c>
      <c r="CA9" s="75">
        <f>Results!#REF!</f>
        <v/>
      </c>
      <c r="CB9" s="75">
        <f>Results!#REF!</f>
        <v/>
      </c>
      <c r="CC9" s="75">
        <f>Results!#REF!</f>
        <v/>
      </c>
      <c r="CD9" s="2" t="n"/>
      <c r="CE9" s="75" t="n">
        <v>13</v>
      </c>
      <c r="CF9" s="75">
        <f>Retailers!BN8</f>
        <v/>
      </c>
      <c r="CG9" s="75">
        <f>Retailers!BO8</f>
        <v/>
      </c>
      <c r="CH9" s="75">
        <f>Retailers!BP8</f>
        <v/>
      </c>
      <c r="CI9" s="2" t="n"/>
      <c r="CJ9" s="75" t="n">
        <v>13</v>
      </c>
      <c r="CK9" s="75">
        <f>IF(BB9="ret=0",0,IF(BB9&gt;0,AR9+Distributors_Cap!$P$47-BB9,0))</f>
        <v/>
      </c>
      <c r="CL9" s="75">
        <f>IF(BC9="ret=0",0,IF(BC9&gt;0,AS9+Distributors_Cap!$P$47-BC9,0))</f>
        <v/>
      </c>
      <c r="CM9" s="75">
        <f>IF(BD9="ret=0",0,IF(BD9&gt;0,AT9+Distributors_Cap!$P$47-BD9,0))</f>
        <v/>
      </c>
      <c r="CQ9" s="2" t="n"/>
      <c r="CT9" s="75" t="n">
        <v>3</v>
      </c>
      <c r="CU9" s="75" t="n">
        <v>14.153</v>
      </c>
      <c r="CV9" s="75" t="n">
        <v>9.699</v>
      </c>
      <c r="CW9" s="75" t="n">
        <v>19.802</v>
      </c>
      <c r="CX9" s="75" t="n">
        <v>21.443</v>
      </c>
      <c r="CY9" s="75" t="n">
        <v>18.022</v>
      </c>
      <c r="CZ9" s="75" t="n">
        <v>17.336</v>
      </c>
      <c r="DA9" s="75" t="n">
        <v>16.02</v>
      </c>
      <c r="DB9" s="75" t="n">
        <v>20.89</v>
      </c>
      <c r="DC9" s="75" t="n">
        <v>19.51</v>
      </c>
      <c r="DD9" s="75" t="n">
        <v>17.487</v>
      </c>
      <c r="DE9" s="75" t="n">
        <v>13.032</v>
      </c>
      <c r="DF9" s="75" t="n">
        <v>14.763</v>
      </c>
      <c r="DG9" s="75" t="n">
        <v>17.64</v>
      </c>
      <c r="DH9" s="75" t="n">
        <v>11.211</v>
      </c>
      <c r="DI9" s="75" t="n">
        <v>11.457</v>
      </c>
    </row>
    <row r="10">
      <c r="G10" s="75" t="n">
        <v>14</v>
      </c>
      <c r="H10" s="75" t="n">
        <v>53.004</v>
      </c>
      <c r="I10" s="75" t="n">
        <v>56.216</v>
      </c>
      <c r="J10" s="75" t="n">
        <v>53.435</v>
      </c>
      <c r="L10" s="75">
        <f>TRUNC((_xlfn.NORM.INV((RAND()),$K$7,$K$8)),0)</f>
        <v/>
      </c>
      <c r="M10" s="75" t="n">
        <v>14</v>
      </c>
      <c r="N10" s="5" t="n">
        <v>27</v>
      </c>
      <c r="O10" s="5" t="n">
        <v>40</v>
      </c>
      <c r="P10" s="5" t="n">
        <v>29</v>
      </c>
      <c r="R10" s="2">
        <f>IF(N10&gt;Demand!AU27,0,(IF(((2*(Retailers!AJ9+Distributors_Cap!$P$47)-Retailers_Cap!$BB$7)*(Demand!AU27-Retailers_Cap!N10))&lt;0,0,((IF(BB10&gt;2*(Retailers!AJ9+Distributors_Cap!$P$47),0,(IF(BG10=0,ROUNDUP((2*(Retailers!AJ9+Distributors_Cap!$P$47)-BB10)^0.5,0),ROUNDUP((2*(Retailers!AJ9+Distributors_Cap!$P$47)-BB10)^0.5,0)))))))))</f>
        <v/>
      </c>
      <c r="S10" s="2">
        <f>IF(O10&gt;Demand!AV27,0,(IF(((2*(Retailers!AK9+Distributors_Cap!$P$47)-Retailers_Cap!$BB$7)*(Demand!AV27-Retailers_Cap!O10))&lt;0,0,((IF(BC10&gt;2*(Retailers!AK9+Distributors_Cap!$P$47),0,(IF(BH10=0,ROUNDUP((2*(Retailers!AK9+Distributors_Cap!$P$47)-BC10)^0.5,0),ROUNDUP((2*(Retailers!AK9+Distributors_Cap!$P$47)-BC10)^0.5,0)))))))))</f>
        <v/>
      </c>
      <c r="T10" s="2">
        <f>IF(P10&gt;Demand!AW27,0,(IF(((2*(Retailers!AL9+Distributors_Cap!$P$47)-Retailers_Cap!$BB$7)*(Demand!AW27-Retailers_Cap!P10))&lt;0,0,((IF(BD10&gt;2*(Retailers!AL9+Distributors_Cap!$P$47),0,(IF(BI10=0,ROUNDUP((2*(Retailers!AL9+Distributors_Cap!$P$47)-BD10)^0.5,0),ROUNDUP((2*(Retailers!AL9+Distributors_Cap!$P$47)-BD10)^0.5,0)))))))))</f>
        <v/>
      </c>
      <c r="W10" s="75" t="n">
        <v>14</v>
      </c>
      <c r="X10" s="9" t="n">
        <v>0</v>
      </c>
      <c r="Y10" s="9" t="n">
        <v>0</v>
      </c>
      <c r="Z10" s="9" t="n">
        <v>0</v>
      </c>
      <c r="AB10" s="2">
        <f>ROUNDDOWN(LOG((X10+1),2),0)</f>
        <v/>
      </c>
      <c r="AC10" s="2">
        <f>ROUNDDOWN(LOG((Y10+1),2),0)</f>
        <v/>
      </c>
      <c r="AD10" s="2">
        <f>ROUNDDOWN(LOG((Z10+1),2),0)</f>
        <v/>
      </c>
      <c r="AG10" s="75" t="n">
        <v>14</v>
      </c>
      <c r="AH10" s="9" t="n">
        <v>0</v>
      </c>
      <c r="AI10" s="9" t="n">
        <v>0</v>
      </c>
      <c r="AJ10" s="9" t="n">
        <v>0</v>
      </c>
      <c r="AL10" s="75" t="inlineStr">
        <is>
          <t>Minnumrip</t>
        </is>
      </c>
      <c r="AN10" s="9" t="n">
        <v>0</v>
      </c>
      <c r="AO10" s="2" t="n"/>
      <c r="AP10" s="2" t="n"/>
      <c r="AQ10" s="75" t="n">
        <v>14</v>
      </c>
      <c r="AR10" s="75" t="n">
        <v>53.004</v>
      </c>
      <c r="AS10" s="75" t="n">
        <v>56.216</v>
      </c>
      <c r="AT10" s="75" t="n">
        <v>53.435</v>
      </c>
      <c r="AU10" s="2" t="n"/>
      <c r="AV10" s="75" t="n">
        <v>14</v>
      </c>
      <c r="AW10" s="75">
        <f>Beginning_stock!AT38</f>
        <v/>
      </c>
      <c r="AX10" s="75">
        <f>Beginning_stock!AU38</f>
        <v/>
      </c>
      <c r="AY10" s="75">
        <f>Beginning_stock!AV38</f>
        <v/>
      </c>
      <c r="AZ10" s="2" t="n"/>
      <c r="BA10" s="75" t="n">
        <v>14</v>
      </c>
      <c r="BB10" s="75">
        <f>IF(Demand!AU27=Retailers_Cap!N10,"ret=0",(AW10/(Demand!AU27-Retailers_Cap!N10)))</f>
        <v/>
      </c>
      <c r="BC10" s="75">
        <f>IF(Demand!AV27=Retailers_Cap!O10,"ret=0",(AX10/(Demand!AV27-Retailers_Cap!O10)))</f>
        <v/>
      </c>
      <c r="BD10" s="75">
        <f>IF(Demand!AW27=Retailers_Cap!P10,"ret=0",(AY10/(Demand!AW27-Retailers_Cap!P10)))</f>
        <v/>
      </c>
      <c r="BE10" s="2" t="n"/>
      <c r="BF10" s="75" t="n">
        <v>14</v>
      </c>
      <c r="BG10" s="2">
        <f>IF(Demand!AU27&lt;=Retailers_Cap!N10,"ret=0",(IF(BB10&lt;=AR10+Distributors_Cap!$P$47,1,0)))</f>
        <v/>
      </c>
      <c r="BH10" s="2">
        <f>IF(Demand!AV27&lt;=Retailers_Cap!O10,"ret=0",(IF(BC10&lt;=AS10+Distributors_Cap!$P$47,1,0)))</f>
        <v/>
      </c>
      <c r="BI10" s="2">
        <f>IF(Demand!AW27&lt;=Retailers_Cap!P10,"ret=0",(IF(BD10&lt;=AT10+Distributors_Cap!$P$47,1,0)))</f>
        <v/>
      </c>
      <c r="BJ10" s="2" t="n"/>
      <c r="BK10" s="75" t="n">
        <v>14</v>
      </c>
      <c r="BL10" s="75">
        <f>Retailers!BH9</f>
        <v/>
      </c>
      <c r="BM10" s="75">
        <f>Retailers!BI9</f>
        <v/>
      </c>
      <c r="BN10" s="75">
        <f>Retailers!BJ9</f>
        <v/>
      </c>
      <c r="BO10" s="2" t="n"/>
      <c r="BP10" s="75" t="n">
        <v>14</v>
      </c>
      <c r="BQ10" s="75">
        <f>#REF!</f>
        <v/>
      </c>
      <c r="BR10" s="75">
        <f>#REF!</f>
        <v/>
      </c>
      <c r="BS10" s="75">
        <f>#REF!</f>
        <v/>
      </c>
      <c r="BT10" s="2" t="n"/>
      <c r="BU10" s="75" t="n">
        <v>14</v>
      </c>
      <c r="BV10" s="75">
        <f>Retailers!AS9</f>
        <v/>
      </c>
      <c r="BW10" s="75">
        <f>Retailers!AT9</f>
        <v/>
      </c>
      <c r="BX10" s="75">
        <f>Retailers!AU9</f>
        <v/>
      </c>
      <c r="BY10" s="2" t="n"/>
      <c r="BZ10" s="75" t="n">
        <v>14</v>
      </c>
      <c r="CA10" s="75">
        <f>Results!#REF!</f>
        <v/>
      </c>
      <c r="CB10" s="75">
        <f>Results!#REF!</f>
        <v/>
      </c>
      <c r="CC10" s="75">
        <f>Results!#REF!</f>
        <v/>
      </c>
      <c r="CD10" s="2" t="n"/>
      <c r="CE10" s="75" t="n">
        <v>14</v>
      </c>
      <c r="CF10" s="75">
        <f>Retailers!BN9</f>
        <v/>
      </c>
      <c r="CG10" s="75">
        <f>Retailers!BO9</f>
        <v/>
      </c>
      <c r="CH10" s="75">
        <f>Retailers!BP9</f>
        <v/>
      </c>
      <c r="CI10" s="2" t="n"/>
      <c r="CJ10" s="75" t="n">
        <v>14</v>
      </c>
      <c r="CK10" s="75">
        <f>IF(BB10="ret=0",0,IF(BB10&gt;0,AR10+Distributors_Cap!$P$47-BB10,0))</f>
        <v/>
      </c>
      <c r="CL10" s="75">
        <f>IF(BC10="ret=0",0,IF(BC10&gt;0,AS10+Distributors_Cap!$P$47-BC10,0))</f>
        <v/>
      </c>
      <c r="CM10" s="75">
        <f>IF(BD10="ret=0",0,IF(BD10&gt;0,AT10+Distributors_Cap!$P$47-BD10,0))</f>
        <v/>
      </c>
      <c r="CQ10" s="2" t="n"/>
    </row>
    <row r="11">
      <c r="G11" s="75" t="n">
        <v>15</v>
      </c>
      <c r="H11" s="75" t="n">
        <v>50.825</v>
      </c>
      <c r="I11" s="75" t="n">
        <v>55.76</v>
      </c>
      <c r="J11" s="75" t="n">
        <v>46.177</v>
      </c>
      <c r="L11" s="75">
        <f>TRUNC((_xlfn.NORM.INV((RAND()),$K$7,$K$8)),0)</f>
        <v/>
      </c>
      <c r="M11" s="75" t="n">
        <v>15</v>
      </c>
      <c r="N11" s="5" t="n">
        <v>16</v>
      </c>
      <c r="O11" s="5" t="n">
        <v>24</v>
      </c>
      <c r="P11" s="5" t="n">
        <v>32</v>
      </c>
      <c r="R11" s="2">
        <f>IF(N11&gt;Demand!AU28,0,(IF(((2*(Retailers!AJ10+Distributors_Cap!$P$47)-Retailers_Cap!$BB$7)*(Demand!AU28-Retailers_Cap!N11))&lt;0,0,((IF(BB11&gt;2*(Retailers!AJ10+Distributors_Cap!$P$47),0,(IF(BG11=0,ROUNDUP((2*(Retailers!AJ10+Distributors_Cap!$P$47)-BB11)^0.5,0),ROUNDUP((2*(Retailers!AJ10+Distributors_Cap!$P$47)-BB11)^0.5,0)))))))))</f>
        <v/>
      </c>
      <c r="S11" s="2">
        <f>IF(O11&gt;Demand!AV28,0,(IF(((2*(Retailers!AK10+Distributors_Cap!$P$47)-Retailers_Cap!$BB$7)*(Demand!AV28-Retailers_Cap!O11))&lt;0,0,((IF(BC11&gt;2*(Retailers!AK10+Distributors_Cap!$P$47),0,(IF(BH11=0,ROUNDUP((2*(Retailers!AK10+Distributors_Cap!$P$47)-BC11)^0.5,0),ROUNDUP((2*(Retailers!AK10+Distributors_Cap!$P$47)-BC11)^0.5,0)))))))))</f>
        <v/>
      </c>
      <c r="T11" s="2">
        <f>IF(P11&gt;Demand!AW28,0,(IF(((2*(Retailers!AL10+Distributors_Cap!$P$47)-Retailers_Cap!$BB$7)*(Demand!AW28-Retailers_Cap!P11))&lt;0,0,((IF(BD11&gt;2*(Retailers!AL10+Distributors_Cap!$P$47),0,(IF(BI11=0,ROUNDUP((2*(Retailers!AL10+Distributors_Cap!$P$47)-BD11)^0.5,0),ROUNDUP((2*(Retailers!AL10+Distributors_Cap!$P$47)-BD11)^0.5,0)))))))))</f>
        <v/>
      </c>
      <c r="W11" s="75" t="n">
        <v>15</v>
      </c>
      <c r="X11" s="9" t="n">
        <v>11</v>
      </c>
      <c r="Y11" s="9" t="n">
        <v>0</v>
      </c>
      <c r="Z11" s="9" t="n">
        <v>0</v>
      </c>
      <c r="AB11" s="2">
        <f>ROUNDDOWN(LOG((X11+1),2),0)</f>
        <v/>
      </c>
      <c r="AC11" s="2">
        <f>ROUNDDOWN(LOG((Y11+1),2),0)</f>
        <v/>
      </c>
      <c r="AD11" s="2">
        <f>ROUNDDOWN(LOG((Z11+1),2),0)</f>
        <v/>
      </c>
      <c r="AG11" s="75" t="n">
        <v>15</v>
      </c>
      <c r="AH11" s="9" t="n">
        <v>3</v>
      </c>
      <c r="AI11" s="9" t="n">
        <v>0</v>
      </c>
      <c r="AJ11" s="9" t="n">
        <v>0</v>
      </c>
      <c r="AQ11" s="75" t="n">
        <v>15</v>
      </c>
      <c r="AR11" s="75" t="n">
        <v>50.825</v>
      </c>
      <c r="AS11" s="75" t="n">
        <v>55.76</v>
      </c>
      <c r="AT11" s="75" t="n">
        <v>46.177</v>
      </c>
      <c r="AV11" s="75" t="n">
        <v>15</v>
      </c>
      <c r="AW11" s="75">
        <f>Beginning_stock!AT39</f>
        <v/>
      </c>
      <c r="AX11" s="75">
        <f>Beginning_stock!AU39</f>
        <v/>
      </c>
      <c r="AY11" s="75">
        <f>Beginning_stock!AV39</f>
        <v/>
      </c>
      <c r="BA11" s="75" t="n">
        <v>15</v>
      </c>
      <c r="BB11" s="75">
        <f>IF(Demand!AU28=Retailers_Cap!N11,"ret=0",(AW11/(Demand!AU28-Retailers_Cap!N11)))</f>
        <v/>
      </c>
      <c r="BC11" s="75">
        <f>IF(Demand!AV28=Retailers_Cap!O11,"ret=0",(AX11/(Demand!AV28-Retailers_Cap!O11)))</f>
        <v/>
      </c>
      <c r="BD11" s="75">
        <f>IF(Demand!AW28=Retailers_Cap!P11,"ret=0",(AY11/(Demand!AW28-Retailers_Cap!P11)))</f>
        <v/>
      </c>
      <c r="BF11" s="75" t="n">
        <v>15</v>
      </c>
      <c r="BG11" s="2">
        <f>IF(Demand!AU28&lt;=Retailers_Cap!N11,"ret=0",(IF(BB11&lt;=AR11+Distributors_Cap!$P$47,1,0)))</f>
        <v/>
      </c>
      <c r="BH11" s="2">
        <f>IF(Demand!AV28&lt;=Retailers_Cap!O11,"ret=0",(IF(BC11&lt;=AS11+Distributors_Cap!$P$47,1,0)))</f>
        <v/>
      </c>
      <c r="BI11" s="2">
        <f>IF(Demand!AW28&lt;=Retailers_Cap!P11,"ret=0",(IF(BD11&lt;=AT11+Distributors_Cap!$P$47,1,0)))</f>
        <v/>
      </c>
      <c r="BK11" s="75" t="n">
        <v>15</v>
      </c>
      <c r="BL11" s="75">
        <f>Retailers!BH10</f>
        <v/>
      </c>
      <c r="BM11" s="75">
        <f>Retailers!BI10</f>
        <v/>
      </c>
      <c r="BN11" s="75">
        <f>Retailers!BJ10</f>
        <v/>
      </c>
      <c r="BP11" s="75" t="n">
        <v>15</v>
      </c>
      <c r="BQ11" s="75">
        <f>#REF!</f>
        <v/>
      </c>
      <c r="BR11" s="75">
        <f>#REF!</f>
        <v/>
      </c>
      <c r="BS11" s="75">
        <f>#REF!</f>
        <v/>
      </c>
      <c r="BU11" s="75" t="n">
        <v>15</v>
      </c>
      <c r="BV11" s="75">
        <f>Retailers!AS10</f>
        <v/>
      </c>
      <c r="BW11" s="75">
        <f>Retailers!AT10</f>
        <v/>
      </c>
      <c r="BX11" s="75">
        <f>Retailers!AU10</f>
        <v/>
      </c>
      <c r="BZ11" s="75" t="n">
        <v>15</v>
      </c>
      <c r="CA11" s="75">
        <f>Results!#REF!</f>
        <v/>
      </c>
      <c r="CB11" s="75">
        <f>Results!#REF!</f>
        <v/>
      </c>
      <c r="CC11" s="75">
        <f>Results!#REF!</f>
        <v/>
      </c>
      <c r="CE11" s="75" t="n">
        <v>15</v>
      </c>
      <c r="CF11" s="75">
        <f>Retailers!BN10</f>
        <v/>
      </c>
      <c r="CG11" s="75">
        <f>Retailers!BO10</f>
        <v/>
      </c>
      <c r="CH11" s="75">
        <f>Retailers!BP10</f>
        <v/>
      </c>
      <c r="CJ11" s="75" t="n">
        <v>15</v>
      </c>
      <c r="CK11" s="75">
        <f>IF(BB11="ret=0",0,IF(BB11&gt;0,AR11+Distributors_Cap!$P$47-BB11,0))</f>
        <v/>
      </c>
      <c r="CL11" s="75">
        <f>IF(BC11="ret=0",0,IF(BC11&gt;0,AS11+Distributors_Cap!$P$47-BC11,0))</f>
        <v/>
      </c>
      <c r="CM11" s="75">
        <f>IF(BD11="ret=0",0,IF(BD11&gt;0,AT11+Distributors_Cap!$P$47-BD11,0))</f>
        <v/>
      </c>
    </row>
    <row r="12">
      <c r="G12" s="75" t="n">
        <v>16</v>
      </c>
      <c r="H12" s="75" t="n">
        <v>62.647</v>
      </c>
      <c r="I12" s="75" t="n">
        <v>59.808</v>
      </c>
      <c r="J12" s="75" t="n">
        <v>73.167</v>
      </c>
      <c r="L12" s="75">
        <f>TRUNC((_xlfn.NORM.INV((RAND()),$K$7,$K$8)),0)</f>
        <v/>
      </c>
      <c r="M12" s="75" t="n">
        <v>16</v>
      </c>
      <c r="N12" s="5" t="n">
        <v>31</v>
      </c>
      <c r="O12" s="5" t="n">
        <v>38</v>
      </c>
      <c r="P12" s="5" t="n">
        <v>44</v>
      </c>
      <c r="R12" s="2">
        <f>IF(N12&gt;Demand!AU29,0,(IF(((2*(Retailers!AJ11+Distributors_Cap!$P$47)-Retailers_Cap!$BB$7)*(Demand!AU29-Retailers_Cap!N12))&lt;0,0,((IF(BB12&gt;2*(Retailers!AJ11+Distributors_Cap!$P$47),0,(IF(BG12=0,ROUNDUP((2*(Retailers!AJ11+Distributors_Cap!$P$47)-BB12)^0.5,0),ROUNDUP((2*(Retailers!AJ11+Distributors_Cap!$P$47)-BB12)^0.5,0)))))))))</f>
        <v/>
      </c>
      <c r="S12" s="2">
        <f>IF(O12&gt;Demand!AV29,0,(IF(((2*(Retailers!AK11+Distributors_Cap!$P$47)-Retailers_Cap!$BB$7)*(Demand!AV29-Retailers_Cap!O12))&lt;0,0,((IF(BC12&gt;2*(Retailers!AK11+Distributors_Cap!$P$47),0,(IF(BH12=0,ROUNDUP((2*(Retailers!AK11+Distributors_Cap!$P$47)-BC12)^0.5,0),ROUNDUP((2*(Retailers!AK11+Distributors_Cap!$P$47)-BC12)^0.5,0)))))))))</f>
        <v/>
      </c>
      <c r="T12" s="2">
        <f>IF(P12&gt;Demand!AW29,0,(IF(((2*(Retailers!AL11+Distributors_Cap!$P$47)-Retailers_Cap!$BB$7)*(Demand!AW29-Retailers_Cap!P12))&lt;0,0,((IF(BD12&gt;2*(Retailers!AL11+Distributors_Cap!$P$47),0,(IF(BI12=0,ROUNDUP((2*(Retailers!AL11+Distributors_Cap!$P$47)-BD12)^0.5,0),ROUNDUP((2*(Retailers!AL11+Distributors_Cap!$P$47)-BD12)^0.5,0)))))))))</f>
        <v/>
      </c>
      <c r="W12" s="75" t="n">
        <v>16</v>
      </c>
      <c r="X12" s="9" t="n">
        <v>0</v>
      </c>
      <c r="Y12" s="9" t="n">
        <v>0</v>
      </c>
      <c r="Z12" s="9" t="n">
        <v>0</v>
      </c>
      <c r="AB12" s="2">
        <f>ROUNDDOWN(LOG((X12+1),2),0)</f>
        <v/>
      </c>
      <c r="AC12" s="2">
        <f>ROUNDDOWN(LOG((Y12+1),2),0)</f>
        <v/>
      </c>
      <c r="AD12" s="2">
        <f>ROUNDDOWN(LOG((Z12+1),2),0)</f>
        <v/>
      </c>
      <c r="AG12" s="75" t="n">
        <v>16</v>
      </c>
      <c r="AH12" s="9" t="n">
        <v>0</v>
      </c>
      <c r="AI12" s="9" t="n">
        <v>0</v>
      </c>
      <c r="AJ12" s="9" t="n">
        <v>0</v>
      </c>
      <c r="AQ12" s="75" t="n">
        <v>16</v>
      </c>
      <c r="AR12" s="75" t="n">
        <v>62.647</v>
      </c>
      <c r="AS12" s="75" t="n">
        <v>59.808</v>
      </c>
      <c r="AT12" s="75" t="n">
        <v>73.167</v>
      </c>
      <c r="AV12" s="75" t="n">
        <v>16</v>
      </c>
      <c r="AW12" s="75">
        <f>Beginning_stock!AT40</f>
        <v/>
      </c>
      <c r="AX12" s="75">
        <f>Beginning_stock!AU40</f>
        <v/>
      </c>
      <c r="AY12" s="75">
        <f>Beginning_stock!AV40</f>
        <v/>
      </c>
      <c r="BA12" s="75" t="n">
        <v>16</v>
      </c>
      <c r="BB12" s="75">
        <f>IF(Demand!AU29=Retailers_Cap!N12,"ret=0",(AW12/(Demand!AU29-Retailers_Cap!N12)))</f>
        <v/>
      </c>
      <c r="BC12" s="75">
        <f>IF(Demand!AV29=Retailers_Cap!O12,"ret=0",(AX12/(Demand!AV29-Retailers_Cap!O12)))</f>
        <v/>
      </c>
      <c r="BD12" s="75">
        <f>IF(Demand!AW29=Retailers_Cap!P12,"ret=0",(AY12/(Demand!AW29-Retailers_Cap!P12)))</f>
        <v/>
      </c>
      <c r="BF12" s="75" t="n">
        <v>16</v>
      </c>
      <c r="BG12" s="2">
        <f>IF(Demand!AU29&lt;=Retailers_Cap!N12,"ret=0",(IF(BB12&lt;=AR12+Distributors_Cap!$P$47,1,0)))</f>
        <v/>
      </c>
      <c r="BH12" s="2">
        <f>IF(Demand!AV29&lt;=Retailers_Cap!O12,"ret=0",(IF(BC12&lt;=AS12+Distributors_Cap!$P$47,1,0)))</f>
        <v/>
      </c>
      <c r="BI12" s="2">
        <f>IF(Demand!AW29&lt;=Retailers_Cap!P12,"ret=0",(IF(BD12&lt;=AT12+Distributors_Cap!$P$47,1,0)))</f>
        <v/>
      </c>
      <c r="BK12" s="75" t="n">
        <v>16</v>
      </c>
      <c r="BL12" s="75">
        <f>Retailers!BH11</f>
        <v/>
      </c>
      <c r="BM12" s="75">
        <f>Retailers!BI11</f>
        <v/>
      </c>
      <c r="BN12" s="75">
        <f>Retailers!BJ11</f>
        <v/>
      </c>
      <c r="BP12" s="75" t="n">
        <v>16</v>
      </c>
      <c r="BQ12" s="75">
        <f>#REF!</f>
        <v/>
      </c>
      <c r="BR12" s="75">
        <f>#REF!</f>
        <v/>
      </c>
      <c r="BS12" s="75">
        <f>#REF!</f>
        <v/>
      </c>
      <c r="BU12" s="75" t="n">
        <v>16</v>
      </c>
      <c r="BV12" s="75">
        <f>Retailers!AS11</f>
        <v/>
      </c>
      <c r="BW12" s="75">
        <f>Retailers!AT11</f>
        <v/>
      </c>
      <c r="BX12" s="75">
        <f>Retailers!AU11</f>
        <v/>
      </c>
      <c r="BZ12" s="75" t="n">
        <v>16</v>
      </c>
      <c r="CA12" s="75">
        <f>Results!#REF!</f>
        <v/>
      </c>
      <c r="CB12" s="75">
        <f>Results!#REF!</f>
        <v/>
      </c>
      <c r="CC12" s="75">
        <f>Results!#REF!</f>
        <v/>
      </c>
      <c r="CE12" s="75" t="n">
        <v>16</v>
      </c>
      <c r="CF12" s="75">
        <f>Retailers!BN11</f>
        <v/>
      </c>
      <c r="CG12" s="75">
        <f>Retailers!BO11</f>
        <v/>
      </c>
      <c r="CH12" s="75">
        <f>Retailers!BP11</f>
        <v/>
      </c>
      <c r="CJ12" s="75" t="n">
        <v>16</v>
      </c>
      <c r="CK12" s="75">
        <f>IF(BB12="ret=0",0,IF(BB12&gt;0,AR12+Distributors_Cap!$P$47-BB12,0))</f>
        <v/>
      </c>
      <c r="CL12" s="75">
        <f>IF(BC12="ret=0",0,IF(BC12&gt;0,AS12+Distributors_Cap!$P$47-BC12,0))</f>
        <v/>
      </c>
      <c r="CM12" s="75">
        <f>IF(BD12="ret=0",0,IF(BD12&gt;0,AT12+Distributors_Cap!$P$47-BD12,0))</f>
        <v/>
      </c>
      <c r="CT12" s="75" t="inlineStr">
        <is>
          <t>máximo</t>
        </is>
      </c>
      <c r="CU12" s="75">
        <f>MAX(CU7:DI9)</f>
        <v/>
      </c>
    </row>
    <row r="13">
      <c r="G13" s="75" t="n">
        <v>17</v>
      </c>
      <c r="H13" s="75" t="n">
        <v>56.062</v>
      </c>
      <c r="I13" s="75" t="n">
        <v>46.061</v>
      </c>
      <c r="J13" s="75" t="n">
        <v>67.54900000000001</v>
      </c>
      <c r="L13" s="75">
        <f>TRUNC((_xlfn.NORM.INV((RAND()),$K$7,$K$8)),0)</f>
        <v/>
      </c>
      <c r="M13" s="75" t="n">
        <v>17</v>
      </c>
      <c r="N13" s="5" t="n">
        <v>21</v>
      </c>
      <c r="O13" s="5" t="n">
        <v>26</v>
      </c>
      <c r="P13" s="5" t="n">
        <v>23</v>
      </c>
      <c r="R13" s="2">
        <f>IF(N13&gt;Demand!AU30,0,(IF(((2*(Retailers!AJ12+Distributors_Cap!$P$47)-Retailers_Cap!$BB$7)*(Demand!AU30-Retailers_Cap!N13))&lt;0,0,((IF(BB13&gt;2*(Retailers!AJ12+Distributors_Cap!$P$47),0,(IF(BG13=0,ROUNDUP((2*(Retailers!AJ12+Distributors_Cap!$P$47)-BB13)^0.5,0),ROUNDUP((2*(Retailers!AJ12+Distributors_Cap!$P$47)-BB13)^0.5,0)))))))))</f>
        <v/>
      </c>
      <c r="S13" s="2">
        <f>IF(O13&gt;Demand!AV30,0,(IF(((2*(Retailers!AK12+Distributors_Cap!$P$47)-Retailers_Cap!$BB$7)*(Demand!AV30-Retailers_Cap!O13))&lt;0,0,((IF(BC13&gt;2*(Retailers!AK12+Distributors_Cap!$P$47),0,(IF(BH13=0,ROUNDUP((2*(Retailers!AK12+Distributors_Cap!$P$47)-BC13)^0.5,0),ROUNDUP((2*(Retailers!AK12+Distributors_Cap!$P$47)-BC13)^0.5,0)))))))))</f>
        <v/>
      </c>
      <c r="T13" s="2">
        <f>IF(P13&gt;Demand!AW30,0,(IF(((2*(Retailers!AL12+Distributors_Cap!$P$47)-Retailers_Cap!$BB$7)*(Demand!AW30-Retailers_Cap!P13))&lt;0,0,((IF(BD13&gt;2*(Retailers!AL12+Distributors_Cap!$P$47),0,(IF(BI13=0,ROUNDUP((2*(Retailers!AL12+Distributors_Cap!$P$47)-BD13)^0.5,0),ROUNDUP((2*(Retailers!AL12+Distributors_Cap!$P$47)-BD13)^0.5,0)))))))))</f>
        <v/>
      </c>
      <c r="W13" s="75" t="n">
        <v>17</v>
      </c>
      <c r="X13" s="9" t="n">
        <v>13</v>
      </c>
      <c r="Y13" s="9" t="n">
        <v>0</v>
      </c>
      <c r="Z13" s="9" t="n">
        <v>14</v>
      </c>
      <c r="AB13" s="2">
        <f>ROUNDDOWN(LOG((X13+1),2),0)</f>
        <v/>
      </c>
      <c r="AC13" s="2">
        <f>ROUNDDOWN(LOG((Y13+1),2),0)</f>
        <v/>
      </c>
      <c r="AD13" s="2">
        <f>ROUNDDOWN(LOG((Z13+1),2),0)</f>
        <v/>
      </c>
      <c r="AG13" s="75" t="n">
        <v>17</v>
      </c>
      <c r="AH13" s="9" t="n">
        <v>3</v>
      </c>
      <c r="AI13" s="9" t="n">
        <v>0</v>
      </c>
      <c r="AJ13" s="9" t="n">
        <v>3</v>
      </c>
      <c r="AQ13" s="75" t="n">
        <v>17</v>
      </c>
      <c r="AR13" s="75" t="n">
        <v>56.062</v>
      </c>
      <c r="AS13" s="75" t="n">
        <v>46.061</v>
      </c>
      <c r="AT13" s="75" t="n">
        <v>67.54900000000001</v>
      </c>
      <c r="AV13" s="75" t="n">
        <v>17</v>
      </c>
      <c r="AW13" s="75">
        <f>Beginning_stock!AT41</f>
        <v/>
      </c>
      <c r="AX13" s="75">
        <f>Beginning_stock!AU41</f>
        <v/>
      </c>
      <c r="AY13" s="75">
        <f>Beginning_stock!AV41</f>
        <v/>
      </c>
      <c r="BA13" s="75" t="n">
        <v>17</v>
      </c>
      <c r="BB13" s="75">
        <f>IF(Demand!AU30=Retailers_Cap!N13,"ret=0",(AW13/(Demand!AU30-Retailers_Cap!N13)))</f>
        <v/>
      </c>
      <c r="BC13" s="75">
        <f>IF(Demand!AV30=Retailers_Cap!O13,"ret=0",(AX13/(Demand!AV30-Retailers_Cap!O13)))</f>
        <v/>
      </c>
      <c r="BD13" s="75">
        <f>IF(Demand!AW30=Retailers_Cap!P13,"ret=0",(AY13/(Demand!AW30-Retailers_Cap!P13)))</f>
        <v/>
      </c>
      <c r="BF13" s="75" t="n">
        <v>17</v>
      </c>
      <c r="BG13" s="2">
        <f>IF(Demand!AU30&lt;=Retailers_Cap!N13,"ret=0",(IF(BB13&lt;=AR13+Distributors_Cap!$P$47,1,0)))</f>
        <v/>
      </c>
      <c r="BH13" s="2">
        <f>IF(Demand!AV30&lt;=Retailers_Cap!O13,"ret=0",(IF(BC13&lt;=AS13+Distributors_Cap!$P$47,1,0)))</f>
        <v/>
      </c>
      <c r="BI13" s="2">
        <f>IF(Demand!AW30&lt;=Retailers_Cap!P13,"ret=0",(IF(BD13&lt;=AT13+Distributors_Cap!$P$47,1,0)))</f>
        <v/>
      </c>
      <c r="BK13" s="75" t="n">
        <v>17</v>
      </c>
      <c r="BL13" s="75">
        <f>Retailers!BH12</f>
        <v/>
      </c>
      <c r="BM13" s="75">
        <f>Retailers!BI12</f>
        <v/>
      </c>
      <c r="BN13" s="75">
        <f>Retailers!BJ12</f>
        <v/>
      </c>
      <c r="BP13" s="75" t="n">
        <v>17</v>
      </c>
      <c r="BQ13" s="75">
        <f>#REF!</f>
        <v/>
      </c>
      <c r="BR13" s="75">
        <f>#REF!</f>
        <v/>
      </c>
      <c r="BS13" s="75">
        <f>#REF!</f>
        <v/>
      </c>
      <c r="BU13" s="75" t="n">
        <v>17</v>
      </c>
      <c r="BV13" s="75">
        <f>Retailers!AS12</f>
        <v/>
      </c>
      <c r="BW13" s="75">
        <f>Retailers!AT12</f>
        <v/>
      </c>
      <c r="BX13" s="75">
        <f>Retailers!AU12</f>
        <v/>
      </c>
      <c r="BZ13" s="75" t="n">
        <v>17</v>
      </c>
      <c r="CA13" s="75">
        <f>Results!#REF!</f>
        <v/>
      </c>
      <c r="CB13" s="75">
        <f>Results!#REF!</f>
        <v/>
      </c>
      <c r="CC13" s="75">
        <f>Results!#REF!</f>
        <v/>
      </c>
      <c r="CE13" s="75" t="n">
        <v>17</v>
      </c>
      <c r="CF13" s="75">
        <f>Retailers!BN12</f>
        <v/>
      </c>
      <c r="CG13" s="75">
        <f>Retailers!BO12</f>
        <v/>
      </c>
      <c r="CH13" s="75">
        <f>Retailers!BP12</f>
        <v/>
      </c>
      <c r="CJ13" s="75" t="n">
        <v>17</v>
      </c>
      <c r="CK13" s="75">
        <f>IF(BB13="ret=0",0,IF(BB13&gt;0,AR13+Distributors_Cap!$P$47-BB13,0))</f>
        <v/>
      </c>
      <c r="CL13" s="75">
        <f>IF(BC13="ret=0",0,IF(BC13&gt;0,AS13+Distributors_Cap!$P$47-BC13,0))</f>
        <v/>
      </c>
      <c r="CM13" s="75">
        <f>IF(BD13="ret=0",0,IF(BD13&gt;0,AT13+Distributors_Cap!$P$47-BD13,0))</f>
        <v/>
      </c>
    </row>
    <row r="14">
      <c r="G14" s="75" t="n">
        <v>18</v>
      </c>
      <c r="H14" s="75" t="n">
        <v>57.126</v>
      </c>
      <c r="I14" s="75" t="n">
        <v>60.068</v>
      </c>
      <c r="J14" s="75" t="n">
        <v>55.956</v>
      </c>
      <c r="L14" s="75">
        <f>TRUNC((_xlfn.NORM.INV((RAND()),$K$7,$K$8)),0)</f>
        <v/>
      </c>
      <c r="M14" s="75" t="n">
        <v>18</v>
      </c>
      <c r="N14" s="5" t="n">
        <v>33</v>
      </c>
      <c r="O14" s="5" t="n">
        <v>10</v>
      </c>
      <c r="P14" s="5" t="n">
        <v>21</v>
      </c>
      <c r="R14" s="2">
        <f>IF(N14&gt;Demand!AU31,0,(IF(((2*(Retailers!AJ13+Distributors_Cap!$P$47)-Retailers_Cap!$BB$7)*(Demand!AU31-Retailers_Cap!N14))&lt;0,0,((IF(BB14&gt;2*(Retailers!AJ13+Distributors_Cap!$P$47),0,(IF(BG14=0,ROUNDUP((2*(Retailers!AJ13+Distributors_Cap!$P$47)-BB14)^0.5,0),ROUNDUP((2*(Retailers!AJ13+Distributors_Cap!$P$47)-BB14)^0.5,0)))))))))</f>
        <v/>
      </c>
      <c r="S14" s="2">
        <f>IF(O14&gt;Demand!AV31,0,(IF(((2*(Retailers!AK13+Distributors_Cap!$P$47)-Retailers_Cap!$BB$7)*(Demand!AV31-Retailers_Cap!O14))&lt;0,0,((IF(BC14&gt;2*(Retailers!AK13+Distributors_Cap!$P$47),0,(IF(BH14=0,ROUNDUP((2*(Retailers!AK13+Distributors_Cap!$P$47)-BC14)^0.5,0),ROUNDUP((2*(Retailers!AK13+Distributors_Cap!$P$47)-BC14)^0.5,0)))))))))</f>
        <v/>
      </c>
      <c r="T14" s="2">
        <f>IF(P14&gt;Demand!AW31,0,(IF(((2*(Retailers!AL13+Distributors_Cap!$P$47)-Retailers_Cap!$BB$7)*(Demand!AW31-Retailers_Cap!P14))&lt;0,0,((IF(BD14&gt;2*(Retailers!AL13+Distributors_Cap!$P$47),0,(IF(BI14=0,ROUNDUP((2*(Retailers!AL13+Distributors_Cap!$P$47)-BD14)^0.5,0),ROUNDUP((2*(Retailers!AL13+Distributors_Cap!$P$47)-BD14)^0.5,0)))))))))</f>
        <v/>
      </c>
      <c r="W14" s="75" t="n">
        <v>18</v>
      </c>
      <c r="X14" s="9" t="n">
        <v>0</v>
      </c>
      <c r="Y14" s="9" t="n">
        <v>13</v>
      </c>
      <c r="Z14" s="9" t="n">
        <v>13</v>
      </c>
      <c r="AB14" s="2">
        <f>ROUNDDOWN(LOG((X14+1),2),0)</f>
        <v/>
      </c>
      <c r="AC14" s="2">
        <f>ROUNDDOWN(LOG((Y14+1),2),0)</f>
        <v/>
      </c>
      <c r="AD14" s="2">
        <f>ROUNDDOWN(LOG((Z14+1),2),0)</f>
        <v/>
      </c>
      <c r="AG14" s="75" t="n">
        <v>18</v>
      </c>
      <c r="AH14" s="9" t="n">
        <v>0</v>
      </c>
      <c r="AI14" s="9" t="n">
        <v>3</v>
      </c>
      <c r="AJ14" s="9" t="n">
        <v>3</v>
      </c>
      <c r="AQ14" s="75" t="n">
        <v>18</v>
      </c>
      <c r="AR14" s="75" t="n">
        <v>57.126</v>
      </c>
      <c r="AS14" s="75" t="n">
        <v>60.068</v>
      </c>
      <c r="AT14" s="75" t="n">
        <v>55.956</v>
      </c>
      <c r="AV14" s="75" t="n">
        <v>18</v>
      </c>
      <c r="AW14" s="75">
        <f>Beginning_stock!AT42</f>
        <v/>
      </c>
      <c r="AX14" s="75">
        <f>Beginning_stock!AU42</f>
        <v/>
      </c>
      <c r="AY14" s="75">
        <f>Beginning_stock!AV42</f>
        <v/>
      </c>
      <c r="BA14" s="75" t="n">
        <v>18</v>
      </c>
      <c r="BB14" s="75">
        <f>IF(Demand!AU31=Retailers_Cap!N14,"ret=0",(AW14/(Demand!AU31-Retailers_Cap!N14)))</f>
        <v/>
      </c>
      <c r="BC14" s="75">
        <f>IF(Demand!AV31=Retailers_Cap!O14,"ret=0",(AX14/(Demand!AV31-Retailers_Cap!O14)))</f>
        <v/>
      </c>
      <c r="BD14" s="75">
        <f>IF(Demand!AW31=Retailers_Cap!P14,"ret=0",(AY14/(Demand!AW31-Retailers_Cap!P14)))</f>
        <v/>
      </c>
      <c r="BF14" s="75" t="n">
        <v>18</v>
      </c>
      <c r="BG14" s="2">
        <f>IF(Demand!AU31&lt;=Retailers_Cap!N14,"ret=0",(IF(BB14&lt;=AR14+Distributors_Cap!$P$47,1,0)))</f>
        <v/>
      </c>
      <c r="BH14" s="2">
        <f>IF(Demand!AV31&lt;=Retailers_Cap!O14,"ret=0",(IF(BC14&lt;=AS14+Distributors_Cap!$P$47,1,0)))</f>
        <v/>
      </c>
      <c r="BI14" s="2">
        <f>IF(Demand!AW31&lt;=Retailers_Cap!P14,"ret=0",(IF(BD14&lt;=AT14+Distributors_Cap!$P$47,1,0)))</f>
        <v/>
      </c>
      <c r="BK14" s="75" t="n">
        <v>18</v>
      </c>
      <c r="BL14" s="75">
        <f>Retailers!BH13</f>
        <v/>
      </c>
      <c r="BM14" s="75">
        <f>Retailers!BI13</f>
        <v/>
      </c>
      <c r="BN14" s="75">
        <f>Retailers!BJ13</f>
        <v/>
      </c>
      <c r="BP14" s="75" t="n">
        <v>18</v>
      </c>
      <c r="BQ14" s="75">
        <f>#REF!</f>
        <v/>
      </c>
      <c r="BR14" s="75">
        <f>#REF!</f>
        <v/>
      </c>
      <c r="BS14" s="75">
        <f>#REF!</f>
        <v/>
      </c>
      <c r="BU14" s="75" t="n">
        <v>18</v>
      </c>
      <c r="BV14" s="75">
        <f>Retailers!AS13</f>
        <v/>
      </c>
      <c r="BW14" s="75">
        <f>Retailers!AT13</f>
        <v/>
      </c>
      <c r="BX14" s="75">
        <f>Retailers!AU13</f>
        <v/>
      </c>
      <c r="BZ14" s="75" t="n">
        <v>18</v>
      </c>
      <c r="CA14" s="75">
        <f>Results!#REF!</f>
        <v/>
      </c>
      <c r="CB14" s="75">
        <f>Results!#REF!</f>
        <v/>
      </c>
      <c r="CC14" s="75">
        <f>Results!#REF!</f>
        <v/>
      </c>
      <c r="CE14" s="75" t="n">
        <v>18</v>
      </c>
      <c r="CF14" s="75">
        <f>Retailers!BN13</f>
        <v/>
      </c>
      <c r="CG14" s="75">
        <f>Retailers!BO13</f>
        <v/>
      </c>
      <c r="CH14" s="75">
        <f>Retailers!BP13</f>
        <v/>
      </c>
      <c r="CJ14" s="75" t="n">
        <v>18</v>
      </c>
      <c r="CK14" s="75">
        <f>IF(BB14="ret=0",0,IF(BB14&gt;0,AR14+Distributors_Cap!$P$47-BB14,0))</f>
        <v/>
      </c>
      <c r="CL14" s="75">
        <f>IF(BC14="ret=0",0,IF(BC14&gt;0,AS14+Distributors_Cap!$P$47-BC14,0))</f>
        <v/>
      </c>
      <c r="CM14" s="75">
        <f>IF(BD14="ret=0",0,IF(BD14&gt;0,AT14+Distributors_Cap!$P$47-BD14,0))</f>
        <v/>
      </c>
      <c r="CU14" s="75" t="n">
        <v>16</v>
      </c>
      <c r="CV14" s="75" t="n">
        <v>17</v>
      </c>
      <c r="CW14" s="75" t="n">
        <v>18</v>
      </c>
    </row>
    <row r="15">
      <c r="G15" s="75" t="n">
        <v>19</v>
      </c>
      <c r="H15" s="75" t="n">
        <v>70.82899999999999</v>
      </c>
      <c r="I15" s="75" t="n">
        <v>50.286</v>
      </c>
      <c r="J15" s="75" t="n">
        <v>59.843</v>
      </c>
      <c r="L15" s="75">
        <f>TRUNC((_xlfn.NORM.INV((RAND()),$K$7,$K$8)),0)</f>
        <v/>
      </c>
      <c r="M15" s="75" t="n">
        <v>19</v>
      </c>
      <c r="N15" s="5" t="n">
        <v>34</v>
      </c>
      <c r="O15" s="5" t="n">
        <v>33</v>
      </c>
      <c r="P15" s="5" t="n">
        <v>29</v>
      </c>
      <c r="R15" s="2">
        <f>IF(N15&gt;Demand!AU32,0,(IF(((2*(Retailers!AJ14+Distributors_Cap!$P$47)-Retailers_Cap!$BB$7)*(Demand!AU32-Retailers_Cap!N15))&lt;0,0,((IF(BB15&gt;2*(Retailers!AJ14+Distributors_Cap!$P$47),0,(IF(BG15=0,ROUNDUP((2*(Retailers!AJ14+Distributors_Cap!$P$47)-BB15)^0.5,0),ROUNDUP((2*(Retailers!AJ14+Distributors_Cap!$P$47)-BB15)^0.5,0)))))))))</f>
        <v/>
      </c>
      <c r="S15" s="2">
        <f>IF(O15&gt;Demand!AV32,0,(IF(((2*(Retailers!AK14+Distributors_Cap!$P$47)-Retailers_Cap!$BB$7)*(Demand!AV32-Retailers_Cap!O15))&lt;0,0,((IF(BC15&gt;2*(Retailers!AK14+Distributors_Cap!$P$47),0,(IF(BH15=0,ROUNDUP((2*(Retailers!AK14+Distributors_Cap!$P$47)-BC15)^0.5,0),ROUNDUP((2*(Retailers!AK14+Distributors_Cap!$P$47)-BC15)^0.5,0)))))))))</f>
        <v/>
      </c>
      <c r="T15" s="2">
        <f>IF(P15&gt;Demand!AW32,0,(IF(((2*(Retailers!AL14+Distributors_Cap!$P$47)-Retailers_Cap!$BB$7)*(Demand!AW32-Retailers_Cap!P15))&lt;0,0,((IF(BD15&gt;2*(Retailers!AL14+Distributors_Cap!$P$47),0,(IF(BI15=0,ROUNDUP((2*(Retailers!AL14+Distributors_Cap!$P$47)-BD15)^0.5,0),ROUNDUP((2*(Retailers!AL14+Distributors_Cap!$P$47)-BD15)^0.5,0)))))))))</f>
        <v/>
      </c>
      <c r="W15" s="75" t="n">
        <v>19</v>
      </c>
      <c r="X15" s="9" t="n">
        <v>0</v>
      </c>
      <c r="Y15" s="9" t="n">
        <v>0</v>
      </c>
      <c r="Z15" s="9" t="n">
        <v>0</v>
      </c>
      <c r="AB15" s="2">
        <f>ROUNDDOWN(LOG((X15+1),2),0)</f>
        <v/>
      </c>
      <c r="AC15" s="2">
        <f>ROUNDDOWN(LOG((Y15+1),2),0)</f>
        <v/>
      </c>
      <c r="AD15" s="2">
        <f>ROUNDDOWN(LOG((Z15+1),2),0)</f>
        <v/>
      </c>
      <c r="AG15" s="75" t="n">
        <v>19</v>
      </c>
      <c r="AH15" s="9" t="n">
        <v>0</v>
      </c>
      <c r="AI15" s="9" t="n">
        <v>0</v>
      </c>
      <c r="AJ15" s="9" t="n">
        <v>0</v>
      </c>
      <c r="AQ15" s="75" t="n">
        <v>19</v>
      </c>
      <c r="AR15" s="75" t="n">
        <v>70.82899999999999</v>
      </c>
      <c r="AS15" s="75" t="n">
        <v>50.286</v>
      </c>
      <c r="AT15" s="75" t="n">
        <v>59.843</v>
      </c>
      <c r="AV15" s="75" t="n">
        <v>19</v>
      </c>
      <c r="AW15" s="75">
        <f>Beginning_stock!AT43</f>
        <v/>
      </c>
      <c r="AX15" s="75">
        <f>Beginning_stock!AU43</f>
        <v/>
      </c>
      <c r="AY15" s="75">
        <f>Beginning_stock!AV43</f>
        <v/>
      </c>
      <c r="BA15" s="75" t="n">
        <v>19</v>
      </c>
      <c r="BB15" s="75">
        <f>IF(Demand!AU32=Retailers_Cap!N15,"ret=0",(AW15/(Demand!AU32-Retailers_Cap!N15)))</f>
        <v/>
      </c>
      <c r="BC15" s="75">
        <f>IF(Demand!AV32=Retailers_Cap!O15,"ret=0",(AX15/(Demand!AV32-Retailers_Cap!O15)))</f>
        <v/>
      </c>
      <c r="BD15" s="75">
        <f>IF(Demand!AW32=Retailers_Cap!P15,"ret=0",(AY15/(Demand!AW32-Retailers_Cap!P15)))</f>
        <v/>
      </c>
      <c r="BF15" s="75" t="n">
        <v>19</v>
      </c>
      <c r="BG15" s="2">
        <f>IF(Demand!AU32&lt;=Retailers_Cap!N15,"ret=0",(IF(BB15&lt;=AR15+Distributors_Cap!$P$47,1,0)))</f>
        <v/>
      </c>
      <c r="BH15" s="2">
        <f>IF(Demand!AV32&lt;=Retailers_Cap!O15,"ret=0",(IF(BC15&lt;=AS15+Distributors_Cap!$P$47,1,0)))</f>
        <v/>
      </c>
      <c r="BI15" s="2">
        <f>IF(Demand!AW32&lt;=Retailers_Cap!P15,"ret=0",(IF(BD15&lt;=AT15+Distributors_Cap!$P$47,1,0)))</f>
        <v/>
      </c>
      <c r="BK15" s="75" t="n">
        <v>19</v>
      </c>
      <c r="BL15" s="75">
        <f>Retailers!BH14</f>
        <v/>
      </c>
      <c r="BM15" s="75">
        <f>Retailers!BI14</f>
        <v/>
      </c>
      <c r="BN15" s="75">
        <f>Retailers!BJ14</f>
        <v/>
      </c>
      <c r="BP15" s="75" t="n">
        <v>19</v>
      </c>
      <c r="BQ15" s="75">
        <f>#REF!</f>
        <v/>
      </c>
      <c r="BR15" s="75">
        <f>#REF!</f>
        <v/>
      </c>
      <c r="BS15" s="75">
        <f>#REF!</f>
        <v/>
      </c>
      <c r="BU15" s="75" t="n">
        <v>19</v>
      </c>
      <c r="BV15" s="75">
        <f>Retailers!AS14</f>
        <v/>
      </c>
      <c r="BW15" s="75">
        <f>Retailers!AT14</f>
        <v/>
      </c>
      <c r="BX15" s="75">
        <f>Retailers!AU14</f>
        <v/>
      </c>
      <c r="BZ15" s="75" t="n">
        <v>19</v>
      </c>
      <c r="CA15" s="75">
        <f>Results!#REF!</f>
        <v/>
      </c>
      <c r="CB15" s="75">
        <f>Results!#REF!</f>
        <v/>
      </c>
      <c r="CC15" s="75">
        <f>Results!#REF!</f>
        <v/>
      </c>
      <c r="CE15" s="75" t="n">
        <v>19</v>
      </c>
      <c r="CF15" s="75">
        <f>Retailers!BN14</f>
        <v/>
      </c>
      <c r="CG15" s="75">
        <f>Retailers!BO14</f>
        <v/>
      </c>
      <c r="CH15" s="75">
        <f>Retailers!BP14</f>
        <v/>
      </c>
      <c r="CJ15" s="75" t="n">
        <v>19</v>
      </c>
      <c r="CK15" s="75">
        <f>IF(BB15="ret=0",0,IF(BB15&gt;0,AR15+Distributors_Cap!$P$47-BB15,0))</f>
        <v/>
      </c>
      <c r="CL15" s="75">
        <f>IF(BC15="ret=0",0,IF(BC15&gt;0,AS15+Distributors_Cap!$P$47-BC15,0))</f>
        <v/>
      </c>
      <c r="CM15" s="75">
        <f>IF(BD15="ret=0",0,IF(BD15&gt;0,AT15+Distributors_Cap!$P$47-BD15,0))</f>
        <v/>
      </c>
      <c r="CS15" s="75" t="inlineStr">
        <is>
          <t>lambdaf</t>
        </is>
      </c>
      <c r="CT15" s="75" t="n">
        <v>4</v>
      </c>
      <c r="CU15" s="75" t="n">
        <v>4.903</v>
      </c>
      <c r="CV15" s="75" t="n">
        <v>6.218</v>
      </c>
      <c r="CW15" s="75" t="n">
        <v>4.744</v>
      </c>
    </row>
    <row r="16">
      <c r="G16" s="75" t="n">
        <v>20</v>
      </c>
      <c r="H16" s="75" t="n">
        <v>58.951</v>
      </c>
      <c r="I16" s="75" t="n">
        <v>60.268</v>
      </c>
      <c r="J16" s="75" t="n">
        <v>56.498</v>
      </c>
      <c r="L16" s="75">
        <f>TRUNC((_xlfn.NORM.INV((RAND()),$K$7,$K$8)),0)</f>
        <v/>
      </c>
      <c r="M16" s="75" t="n">
        <v>20</v>
      </c>
      <c r="N16" s="5" t="n">
        <v>22</v>
      </c>
      <c r="O16" s="5" t="n">
        <v>38</v>
      </c>
      <c r="P16" s="5" t="n">
        <v>32</v>
      </c>
      <c r="R16" s="2">
        <f>IF(N16&gt;Demand!AU33,0,(IF(((2*(Retailers!AJ15+Distributors_Cap!$P$47)-Retailers_Cap!$BB$7)*(Demand!AU33-Retailers_Cap!N16))&lt;0,0,((IF(BB16&gt;2*(Retailers!AJ15+Distributors_Cap!$P$47),0,(IF(BG16=0,ROUNDUP((2*(Retailers!AJ15+Distributors_Cap!$P$47)-BB16)^0.5,0),ROUNDUP((2*(Retailers!AJ15+Distributors_Cap!$P$47)-BB16)^0.5,0)))))))))</f>
        <v/>
      </c>
      <c r="S16" s="2">
        <f>IF(O16&gt;Demand!AV33,0,(IF(((2*(Retailers!AK15+Distributors_Cap!$P$47)-Retailers_Cap!$BB$7)*(Demand!AV33-Retailers_Cap!O16))&lt;0,0,((IF(BC16&gt;2*(Retailers!AK15+Distributors_Cap!$P$47),0,(IF(BH16=0,ROUNDUP((2*(Retailers!AK15+Distributors_Cap!$P$47)-BC16)^0.5,0),ROUNDUP((2*(Retailers!AK15+Distributors_Cap!$P$47)-BC16)^0.5,0)))))))))</f>
        <v/>
      </c>
      <c r="T16" s="2">
        <f>IF(P16&gt;Demand!AW33,0,(IF(((2*(Retailers!AL15+Distributors_Cap!$P$47)-Retailers_Cap!$BB$7)*(Demand!AW33-Retailers_Cap!P16))&lt;0,0,((IF(BD16&gt;2*(Retailers!AL15+Distributors_Cap!$P$47),0,(IF(BI16=0,ROUNDUP((2*(Retailers!AL15+Distributors_Cap!$P$47)-BD16)^0.5,0),ROUNDUP((2*(Retailers!AL15+Distributors_Cap!$P$47)-BD16)^0.5,0)))))))))</f>
        <v/>
      </c>
      <c r="W16" s="75" t="n">
        <v>20</v>
      </c>
      <c r="X16" s="9" t="n">
        <v>11</v>
      </c>
      <c r="Y16" s="9" t="n">
        <v>0</v>
      </c>
      <c r="Z16" s="9" t="n">
        <v>0</v>
      </c>
      <c r="AB16" s="2">
        <f>ROUNDDOWN(LOG((X16+1),2),0)</f>
        <v/>
      </c>
      <c r="AC16" s="2">
        <f>ROUNDDOWN(LOG((Y16+1),2),0)</f>
        <v/>
      </c>
      <c r="AD16" s="2">
        <f>ROUNDDOWN(LOG((Z16+1),2),0)</f>
        <v/>
      </c>
      <c r="AG16" s="75" t="n">
        <v>20</v>
      </c>
      <c r="AH16" s="9" t="n">
        <v>3</v>
      </c>
      <c r="AI16" s="9" t="n">
        <v>0</v>
      </c>
      <c r="AJ16" s="9" t="n">
        <v>0</v>
      </c>
      <c r="AQ16" s="75" t="n">
        <v>20</v>
      </c>
      <c r="AR16" s="75" t="n">
        <v>58.951</v>
      </c>
      <c r="AS16" s="75" t="n">
        <v>60.268</v>
      </c>
      <c r="AT16" s="75" t="n">
        <v>56.498</v>
      </c>
      <c r="AV16" s="75" t="n">
        <v>20</v>
      </c>
      <c r="AW16" s="75">
        <f>Beginning_stock!AT44</f>
        <v/>
      </c>
      <c r="AX16" s="75">
        <f>Beginning_stock!AU44</f>
        <v/>
      </c>
      <c r="AY16" s="75">
        <f>Beginning_stock!AV44</f>
        <v/>
      </c>
      <c r="BA16" s="75" t="n">
        <v>20</v>
      </c>
      <c r="BB16" s="75">
        <f>IF(Demand!AU33=Retailers_Cap!N16,"ret=0",(AW16/(Demand!AU33-Retailers_Cap!N16)))</f>
        <v/>
      </c>
      <c r="BC16" s="75">
        <f>IF(Demand!AV33=Retailers_Cap!O16,"ret=0",(AX16/(Demand!AV33-Retailers_Cap!O16)))</f>
        <v/>
      </c>
      <c r="BD16" s="75">
        <f>IF(Demand!AW33=Retailers_Cap!P16,"ret=0",(AY16/(Demand!AW33-Retailers_Cap!P16)))</f>
        <v/>
      </c>
      <c r="BF16" s="75" t="n">
        <v>20</v>
      </c>
      <c r="BG16" s="2">
        <f>IF(Demand!AU33&lt;=Retailers_Cap!N16,"ret=0",(IF(BB16&lt;=AR16+Distributors_Cap!$P$47,1,0)))</f>
        <v/>
      </c>
      <c r="BH16" s="2">
        <f>IF(Demand!AV33&lt;=Retailers_Cap!O16,"ret=0",(IF(BC16&lt;=AS16+Distributors_Cap!$P$47,1,0)))</f>
        <v/>
      </c>
      <c r="BI16" s="2">
        <f>IF(Demand!AW33&lt;=Retailers_Cap!P16,"ret=0",(IF(BD16&lt;=AT16+Distributors_Cap!$P$47,1,0)))</f>
        <v/>
      </c>
      <c r="BK16" s="75" t="n">
        <v>20</v>
      </c>
      <c r="BL16" s="75">
        <f>Retailers!BH15</f>
        <v/>
      </c>
      <c r="BM16" s="75">
        <f>Retailers!BI15</f>
        <v/>
      </c>
      <c r="BN16" s="75">
        <f>Retailers!BJ15</f>
        <v/>
      </c>
      <c r="BP16" s="75" t="n">
        <v>20</v>
      </c>
      <c r="BQ16" s="75">
        <f>#REF!</f>
        <v/>
      </c>
      <c r="BR16" s="75">
        <f>#REF!</f>
        <v/>
      </c>
      <c r="BS16" s="75">
        <f>#REF!</f>
        <v/>
      </c>
      <c r="BU16" s="75" t="n">
        <v>20</v>
      </c>
      <c r="BV16" s="75">
        <f>Retailers!AS15</f>
        <v/>
      </c>
      <c r="BW16" s="75">
        <f>Retailers!AT15</f>
        <v/>
      </c>
      <c r="BX16" s="75">
        <f>Retailers!AU15</f>
        <v/>
      </c>
      <c r="BZ16" s="75" t="n">
        <v>20</v>
      </c>
      <c r="CA16" s="75">
        <f>Results!#REF!</f>
        <v/>
      </c>
      <c r="CB16" s="75">
        <f>Results!#REF!</f>
        <v/>
      </c>
      <c r="CC16" s="75">
        <f>Results!#REF!</f>
        <v/>
      </c>
      <c r="CE16" s="75" t="n">
        <v>20</v>
      </c>
      <c r="CF16" s="75">
        <f>Retailers!BN15</f>
        <v/>
      </c>
      <c r="CG16" s="75">
        <f>Retailers!BO15</f>
        <v/>
      </c>
      <c r="CH16" s="75">
        <f>Retailers!BP15</f>
        <v/>
      </c>
      <c r="CJ16" s="75" t="n">
        <v>20</v>
      </c>
      <c r="CK16" s="75">
        <f>IF(BB16="ret=0",0,IF(BB16&gt;0,AR16+Distributors_Cap!$P$47-BB16,0))</f>
        <v/>
      </c>
      <c r="CL16" s="75">
        <f>IF(BC16="ret=0",0,IF(BC16&gt;0,AS16+Distributors_Cap!$P$47-BC16,0))</f>
        <v/>
      </c>
      <c r="CM16" s="75">
        <f>IF(BD16="ret=0",0,IF(BD16&gt;0,AT16+Distributors_Cap!$P$47-BD16,0))</f>
        <v/>
      </c>
      <c r="CT16" s="75" t="n">
        <v>5</v>
      </c>
      <c r="CU16" s="75" t="n">
        <v>4.871</v>
      </c>
      <c r="CV16" s="75" t="n">
        <v>4.236</v>
      </c>
      <c r="CW16" s="75" t="n">
        <v>6.462</v>
      </c>
    </row>
    <row r="17">
      <c r="G17" s="75" t="n">
        <v>21</v>
      </c>
      <c r="H17" s="75" t="n">
        <v>36.203</v>
      </c>
      <c r="I17" s="75" t="n">
        <v>68.202</v>
      </c>
      <c r="J17" s="75" t="n">
        <v>69.22799999999999</v>
      </c>
      <c r="L17" s="75">
        <f>TRUNC((_xlfn.NORM.INV((RAND()),$K$7,$K$8)),0)</f>
        <v/>
      </c>
      <c r="M17" s="75" t="n">
        <v>21</v>
      </c>
      <c r="N17" s="5" t="n">
        <v>28</v>
      </c>
      <c r="O17" s="5" t="n">
        <v>28</v>
      </c>
      <c r="P17" s="5" t="n">
        <v>32</v>
      </c>
      <c r="R17" s="2">
        <f>IF(N17&gt;Demand!AU34,0,(IF(((2*(Retailers!AJ16+Distributors_Cap!$P$47)-Retailers_Cap!$BB$7)*(Demand!AU34-Retailers_Cap!N17))&lt;0,0,((IF(BB17&gt;2*(Retailers!AJ16+Distributors_Cap!$P$47),0,(IF(BG17=0,ROUNDUP((2*(Retailers!AJ16+Distributors_Cap!$P$47)-BB17)^0.5,0),ROUNDUP((2*(Retailers!AJ16+Distributors_Cap!$P$47)-BB17)^0.5,0)))))))))</f>
        <v/>
      </c>
      <c r="S17" s="2">
        <f>IF(O17&gt;Demand!AV34,0,(IF(((2*(Retailers!AK16+Distributors_Cap!$P$47)-Retailers_Cap!$BB$7)*(Demand!AV34-Retailers_Cap!O17))&lt;0,0,((IF(BC17&gt;2*(Retailers!AK16+Distributors_Cap!$P$47),0,(IF(BH17=0,ROUNDUP((2*(Retailers!AK16+Distributors_Cap!$P$47)-BC17)^0.5,0),ROUNDUP((2*(Retailers!AK16+Distributors_Cap!$P$47)-BC17)^0.5,0)))))))))</f>
        <v/>
      </c>
      <c r="T17" s="2">
        <f>IF(P17&gt;Demand!AW34,0,(IF(((2*(Retailers!AL16+Distributors_Cap!$P$47)-Retailers_Cap!$BB$7)*(Demand!AW34-Retailers_Cap!P17))&lt;0,0,((IF(BD17&gt;2*(Retailers!AL16+Distributors_Cap!$P$47),0,(IF(BI17=0,ROUNDUP((2*(Retailers!AL16+Distributors_Cap!$P$47)-BD17)^0.5,0),ROUNDUP((2*(Retailers!AL16+Distributors_Cap!$P$47)-BD17)^0.5,0)))))))))</f>
        <v/>
      </c>
      <c r="W17" s="75" t="n">
        <v>21</v>
      </c>
      <c r="X17" s="9" t="n">
        <v>0</v>
      </c>
      <c r="Y17" s="9" t="n">
        <v>0</v>
      </c>
      <c r="Z17" s="9" t="n">
        <v>0</v>
      </c>
      <c r="AB17" s="2">
        <f>ROUNDDOWN(LOG((X17+1),2),0)</f>
        <v/>
      </c>
      <c r="AC17" s="2">
        <f>ROUNDDOWN(LOG((Y17+1),2),0)</f>
        <v/>
      </c>
      <c r="AD17" s="2">
        <f>ROUNDDOWN(LOG((Z17+1),2),0)</f>
        <v/>
      </c>
      <c r="AG17" s="75" t="n">
        <v>21</v>
      </c>
      <c r="AH17" s="9" t="n">
        <v>0</v>
      </c>
      <c r="AI17" s="9" t="n">
        <v>0</v>
      </c>
      <c r="AJ17" s="9" t="n">
        <v>0</v>
      </c>
      <c r="AQ17" s="75" t="n">
        <v>21</v>
      </c>
      <c r="AR17" s="75" t="n">
        <v>36.203</v>
      </c>
      <c r="AS17" s="75" t="n">
        <v>68.202</v>
      </c>
      <c r="AT17" s="75" t="n">
        <v>69.22799999999999</v>
      </c>
      <c r="AV17" s="75" t="n">
        <v>21</v>
      </c>
      <c r="AW17" s="75">
        <f>Beginning_stock!AT45</f>
        <v/>
      </c>
      <c r="AX17" s="75">
        <f>Beginning_stock!AU45</f>
        <v/>
      </c>
      <c r="AY17" s="75">
        <f>Beginning_stock!AV45</f>
        <v/>
      </c>
      <c r="BA17" s="75" t="n">
        <v>21</v>
      </c>
      <c r="BB17" s="75">
        <f>IF(Demand!AU34=Retailers_Cap!N17,"ret=0",(AW17/(Demand!AU34-Retailers_Cap!N17)))</f>
        <v/>
      </c>
      <c r="BC17" s="75">
        <f>IF(Demand!AV34=Retailers_Cap!O17,"ret=0",(AX17/(Demand!AV34-Retailers_Cap!O17)))</f>
        <v/>
      </c>
      <c r="BD17" s="75">
        <f>IF(Demand!AW34=Retailers_Cap!P17,"ret=0",(AY17/(Demand!AW34-Retailers_Cap!P17)))</f>
        <v/>
      </c>
      <c r="BF17" s="75" t="n">
        <v>21</v>
      </c>
      <c r="BG17" s="2">
        <f>IF(Demand!AU34&lt;=Retailers_Cap!N17,"ret=0",(IF(BB17&lt;=AR17+Distributors_Cap!$P$47,1,0)))</f>
        <v/>
      </c>
      <c r="BH17" s="2">
        <f>IF(Demand!AV34&lt;=Retailers_Cap!O17,"ret=0",(IF(BC17&lt;=AS17+Distributors_Cap!$P$47,1,0)))</f>
        <v/>
      </c>
      <c r="BI17" s="2">
        <f>IF(Demand!AW34&lt;=Retailers_Cap!P17,"ret=0",(IF(BD17&lt;=AT17+Distributors_Cap!$P$47,1,0)))</f>
        <v/>
      </c>
      <c r="BK17" s="75" t="n">
        <v>21</v>
      </c>
      <c r="BL17" s="75">
        <f>Retailers!BH16</f>
        <v/>
      </c>
      <c r="BM17" s="75">
        <f>Retailers!BI16</f>
        <v/>
      </c>
      <c r="BN17" s="75">
        <f>Retailers!BJ16</f>
        <v/>
      </c>
      <c r="BP17" s="75" t="n">
        <v>21</v>
      </c>
      <c r="BQ17" s="75">
        <f>#REF!</f>
        <v/>
      </c>
      <c r="BR17" s="75">
        <f>#REF!</f>
        <v/>
      </c>
      <c r="BS17" s="75">
        <f>#REF!</f>
        <v/>
      </c>
      <c r="BU17" s="75" t="n">
        <v>21</v>
      </c>
      <c r="BV17" s="75">
        <f>Retailers!AS16</f>
        <v/>
      </c>
      <c r="BW17" s="75">
        <f>Retailers!AT16</f>
        <v/>
      </c>
      <c r="BX17" s="75">
        <f>Retailers!AU16</f>
        <v/>
      </c>
      <c r="BZ17" s="75" t="n">
        <v>21</v>
      </c>
      <c r="CA17" s="75">
        <f>Results!#REF!</f>
        <v/>
      </c>
      <c r="CB17" s="75">
        <f>Results!#REF!</f>
        <v/>
      </c>
      <c r="CC17" s="75">
        <f>Results!#REF!</f>
        <v/>
      </c>
      <c r="CE17" s="75" t="n">
        <v>21</v>
      </c>
      <c r="CF17" s="75">
        <f>Retailers!BN16</f>
        <v/>
      </c>
      <c r="CG17" s="75">
        <f>Retailers!BO16</f>
        <v/>
      </c>
      <c r="CH17" s="75">
        <f>Retailers!BP16</f>
        <v/>
      </c>
      <c r="CJ17" s="75" t="n">
        <v>21</v>
      </c>
      <c r="CK17" s="75">
        <f>IF(BB17="ret=0",0,IF(BB17&gt;0,AR17+Distributors_Cap!$P$47-BB17,0))</f>
        <v/>
      </c>
      <c r="CL17" s="75">
        <f>IF(BC17="ret=0",0,IF(BC17&gt;0,AS17+Distributors_Cap!$P$47-BC17,0))</f>
        <v/>
      </c>
      <c r="CM17" s="75">
        <f>IF(BD17="ret=0",0,IF(BD17&gt;0,AT17+Distributors_Cap!$P$47-BD17,0))</f>
        <v/>
      </c>
      <c r="CT17" s="75" t="n">
        <v>6</v>
      </c>
      <c r="CU17" s="75" t="n">
        <v>5.257</v>
      </c>
      <c r="CV17" s="75" t="n">
        <v>5.942</v>
      </c>
      <c r="CW17" s="75" t="n">
        <v>2.985</v>
      </c>
    </row>
    <row r="18">
      <c r="G18" s="75" t="n">
        <v>22</v>
      </c>
      <c r="H18" s="75" t="n">
        <v>50.41</v>
      </c>
      <c r="I18" s="75" t="n">
        <v>36.9</v>
      </c>
      <c r="J18" s="75" t="n">
        <v>83.623</v>
      </c>
      <c r="L18" s="75">
        <f>TRUNC((_xlfn.NORM.INV((RAND()),$K$7,$K$8)),0)</f>
        <v/>
      </c>
      <c r="M18" s="75" t="n">
        <v>22</v>
      </c>
      <c r="N18" s="5" t="n">
        <v>31</v>
      </c>
      <c r="O18" s="5" t="n">
        <v>41</v>
      </c>
      <c r="P18" s="5" t="n">
        <v>25</v>
      </c>
      <c r="R18" s="2">
        <f>IF(N18&gt;Demand!AU35,0,(IF(((2*(Retailers!AJ17+Distributors_Cap!$P$47)-Retailers_Cap!$BB$7)*(Demand!AU35-Retailers_Cap!N18))&lt;0,0,((IF(BB18&gt;2*(Retailers!AJ17+Distributors_Cap!$P$47),0,(IF(BG18=0,ROUNDUP((2*(Retailers!AJ17+Distributors_Cap!$P$47)-BB18)^0.5,0),ROUNDUP((2*(Retailers!AJ17+Distributors_Cap!$P$47)-BB18)^0.5,0)))))))))</f>
        <v/>
      </c>
      <c r="S18" s="2">
        <f>IF(O18&gt;Demand!AV35,0,(IF(((2*(Retailers!AK17+Distributors_Cap!$P$47)-Retailers_Cap!$BB$7)*(Demand!AV35-Retailers_Cap!O18))&lt;0,0,((IF(BC18&gt;2*(Retailers!AK17+Distributors_Cap!$P$47),0,(IF(BH18=0,ROUNDUP((2*(Retailers!AK17+Distributors_Cap!$P$47)-BC18)^0.5,0),ROUNDUP((2*(Retailers!AK17+Distributors_Cap!$P$47)-BC18)^0.5,0)))))))))</f>
        <v/>
      </c>
      <c r="T18" s="2">
        <f>IF(P18&gt;Demand!AW35,0,(IF(((2*(Retailers!AL17+Distributors_Cap!$P$47)-Retailers_Cap!$BB$7)*(Demand!AW35-Retailers_Cap!P18))&lt;0,0,((IF(BD18&gt;2*(Retailers!AL17+Distributors_Cap!$P$47),0,(IF(BI18=0,ROUNDUP((2*(Retailers!AL17+Distributors_Cap!$P$47)-BD18)^0.5,0),ROUNDUP((2*(Retailers!AL17+Distributors_Cap!$P$47)-BD18)^0.5,0)))))))))</f>
        <v/>
      </c>
      <c r="W18" s="75" t="n">
        <v>22</v>
      </c>
      <c r="X18" s="9" t="n">
        <v>0</v>
      </c>
      <c r="Y18" s="9" t="n">
        <v>0</v>
      </c>
      <c r="Z18" s="9" t="n">
        <v>0</v>
      </c>
      <c r="AB18" s="2">
        <f>ROUNDDOWN(LOG((X18+1),2),0)</f>
        <v/>
      </c>
      <c r="AC18" s="2">
        <f>ROUNDDOWN(LOG((Y18+1),2),0)</f>
        <v/>
      </c>
      <c r="AD18" s="2">
        <f>ROUNDDOWN(LOG((Z18+1),2),0)</f>
        <v/>
      </c>
      <c r="AG18" s="75" t="n">
        <v>22</v>
      </c>
      <c r="AH18" s="9" t="n">
        <v>0</v>
      </c>
      <c r="AI18" s="9" t="n">
        <v>0</v>
      </c>
      <c r="AJ18" s="9" t="n">
        <v>0</v>
      </c>
      <c r="AQ18" s="75" t="n">
        <v>22</v>
      </c>
      <c r="AR18" s="75" t="n">
        <v>50.41</v>
      </c>
      <c r="AS18" s="75" t="n">
        <v>36.9</v>
      </c>
      <c r="AT18" s="75" t="n">
        <v>83.623</v>
      </c>
      <c r="AV18" s="75" t="n">
        <v>22</v>
      </c>
      <c r="AW18" s="75">
        <f>Beginning_stock!AT46</f>
        <v/>
      </c>
      <c r="AX18" s="75">
        <f>Beginning_stock!AU46</f>
        <v/>
      </c>
      <c r="AY18" s="75">
        <f>Beginning_stock!AV46</f>
        <v/>
      </c>
      <c r="BA18" s="75" t="n">
        <v>22</v>
      </c>
      <c r="BB18" s="75">
        <f>IF(Demand!AU35=Retailers_Cap!N18,"ret=0",(AW18/(Demand!AU35-Retailers_Cap!N18)))</f>
        <v/>
      </c>
      <c r="BC18" s="75">
        <f>IF(Demand!AV35=Retailers_Cap!O18,"ret=0",(AX18/(Demand!AV35-Retailers_Cap!O18)))</f>
        <v/>
      </c>
      <c r="BD18" s="75">
        <f>IF(Demand!AW35=Retailers_Cap!P18,"ret=0",(AY18/(Demand!AW35-Retailers_Cap!P18)))</f>
        <v/>
      </c>
      <c r="BF18" s="75" t="n">
        <v>22</v>
      </c>
      <c r="BG18" s="2">
        <f>IF(Demand!AU35&lt;=Retailers_Cap!N18,"ret=0",(IF(BB18&lt;=AR18+Distributors_Cap!$P$47,1,0)))</f>
        <v/>
      </c>
      <c r="BH18" s="2">
        <f>IF(Demand!AV35&lt;=Retailers_Cap!O18,"ret=0",(IF(BC18&lt;=AS18+Distributors_Cap!$P$47,1,0)))</f>
        <v/>
      </c>
      <c r="BI18" s="2">
        <f>IF(Demand!AW35&lt;=Retailers_Cap!P18,"ret=0",(IF(BD18&lt;=AT18+Distributors_Cap!$P$47,1,0)))</f>
        <v/>
      </c>
      <c r="BK18" s="75" t="n">
        <v>22</v>
      </c>
      <c r="BL18" s="75">
        <f>Retailers!BH17</f>
        <v/>
      </c>
      <c r="BM18" s="75">
        <f>Retailers!BI17</f>
        <v/>
      </c>
      <c r="BN18" s="75">
        <f>Retailers!BJ17</f>
        <v/>
      </c>
      <c r="BP18" s="75" t="n">
        <v>22</v>
      </c>
      <c r="BQ18" s="75">
        <f>#REF!</f>
        <v/>
      </c>
      <c r="BR18" s="75">
        <f>#REF!</f>
        <v/>
      </c>
      <c r="BS18" s="75">
        <f>#REF!</f>
        <v/>
      </c>
      <c r="BU18" s="75" t="n">
        <v>22</v>
      </c>
      <c r="BV18" s="75">
        <f>Retailers!AS17</f>
        <v/>
      </c>
      <c r="BW18" s="75">
        <f>Retailers!AT17</f>
        <v/>
      </c>
      <c r="BX18" s="75">
        <f>Retailers!AU17</f>
        <v/>
      </c>
      <c r="BZ18" s="75" t="n">
        <v>22</v>
      </c>
      <c r="CA18" s="75">
        <f>Results!#REF!</f>
        <v/>
      </c>
      <c r="CB18" s="75">
        <f>Results!#REF!</f>
        <v/>
      </c>
      <c r="CC18" s="75">
        <f>Results!#REF!</f>
        <v/>
      </c>
      <c r="CE18" s="75" t="n">
        <v>22</v>
      </c>
      <c r="CF18" s="75">
        <f>Retailers!BN17</f>
        <v/>
      </c>
      <c r="CG18" s="75">
        <f>Retailers!BO17</f>
        <v/>
      </c>
      <c r="CH18" s="75">
        <f>Retailers!BP17</f>
        <v/>
      </c>
      <c r="CJ18" s="75" t="n">
        <v>22</v>
      </c>
      <c r="CK18" s="75">
        <f>IF(BB18="ret=0",0,IF(BB18&gt;0,AR18+Distributors_Cap!$P$47-BB18,0))</f>
        <v/>
      </c>
      <c r="CL18" s="75">
        <f>IF(BC18="ret=0",0,IF(BC18&gt;0,AS18+Distributors_Cap!$P$47-BC18,0))</f>
        <v/>
      </c>
      <c r="CM18" s="75">
        <f>IF(BD18="ret=0",0,IF(BD18&gt;0,AT18+Distributors_Cap!$P$47-BD18,0))</f>
        <v/>
      </c>
      <c r="CT18" s="75" t="n">
        <v>7</v>
      </c>
      <c r="CU18" s="75" t="n">
        <v>4.985</v>
      </c>
      <c r="CV18" s="75" t="n">
        <v>5.071</v>
      </c>
      <c r="CW18" s="75" t="n">
        <v>4.562</v>
      </c>
    </row>
    <row r="19">
      <c r="G19" s="75" t="n">
        <v>23</v>
      </c>
      <c r="H19" s="75" t="n">
        <v>75.764</v>
      </c>
      <c r="I19" s="75" t="n">
        <v>47.993</v>
      </c>
      <c r="J19" s="75" t="n">
        <v>52.899</v>
      </c>
      <c r="L19" s="75">
        <f>TRUNC((_xlfn.NORM.INV((RAND()),$K$7,$K$8)),0)</f>
        <v/>
      </c>
      <c r="M19" s="75" t="n">
        <v>23</v>
      </c>
      <c r="N19" s="5" t="n">
        <v>21</v>
      </c>
      <c r="O19" s="5" t="n">
        <v>34</v>
      </c>
      <c r="P19" s="5" t="n">
        <v>27</v>
      </c>
      <c r="R19" s="2">
        <f>IF(N19&gt;Demand!AU36,0,(IF(((2*(Retailers!AJ18+Distributors_Cap!$P$47)-Retailers_Cap!$BB$7)*(Demand!AU36-Retailers_Cap!N19))&lt;0,0,((IF(BB19&gt;2*(Retailers!AJ18+Distributors_Cap!$P$47),0,(IF(BG19=0,ROUNDUP((2*(Retailers!AJ18+Distributors_Cap!$P$47)-BB19)^0.5,0),ROUNDUP((2*(Retailers!AJ18+Distributors_Cap!$P$47)-BB19)^0.5,0)))))))))</f>
        <v/>
      </c>
      <c r="S19" s="2">
        <f>IF(O19&gt;Demand!AV36,0,(IF(((2*(Retailers!AK18+Distributors_Cap!$P$47)-Retailers_Cap!$BB$7)*(Demand!AV36-Retailers_Cap!O19))&lt;0,0,((IF(BC19&gt;2*(Retailers!AK18+Distributors_Cap!$P$47),0,(IF(BH19=0,ROUNDUP((2*(Retailers!AK18+Distributors_Cap!$P$47)-BC19)^0.5,0),ROUNDUP((2*(Retailers!AK18+Distributors_Cap!$P$47)-BC19)^0.5,0)))))))))</f>
        <v/>
      </c>
      <c r="T19" s="2">
        <f>IF(P19&gt;Demand!AW36,0,(IF(((2*(Retailers!AL18+Distributors_Cap!$P$47)-Retailers_Cap!$BB$7)*(Demand!AW36-Retailers_Cap!P19))&lt;0,0,((IF(BD19&gt;2*(Retailers!AL18+Distributors_Cap!$P$47),0,(IF(BI19=0,ROUNDUP((2*(Retailers!AL18+Distributors_Cap!$P$47)-BD19)^0.5,0),ROUNDUP((2*(Retailers!AL18+Distributors_Cap!$P$47)-BD19)^0.5,0)))))))))</f>
        <v/>
      </c>
      <c r="W19" s="75" t="n">
        <v>23</v>
      </c>
      <c r="X19" s="9" t="n">
        <v>14</v>
      </c>
      <c r="Y19" s="9" t="n">
        <v>11</v>
      </c>
      <c r="Z19" s="9" t="n">
        <v>0</v>
      </c>
      <c r="AB19" s="2">
        <f>ROUNDDOWN(LOG((X19+1),2),0)</f>
        <v/>
      </c>
      <c r="AC19" s="2">
        <f>ROUNDDOWN(LOG((Y19+1),2),0)</f>
        <v/>
      </c>
      <c r="AD19" s="2">
        <f>ROUNDDOWN(LOG((Z19+1),2),0)</f>
        <v/>
      </c>
      <c r="AG19" s="75" t="n">
        <v>23</v>
      </c>
      <c r="AH19" s="9" t="n">
        <v>3</v>
      </c>
      <c r="AI19" s="9" t="n">
        <v>3</v>
      </c>
      <c r="AJ19" s="9" t="n">
        <v>0</v>
      </c>
      <c r="AQ19" s="75" t="n">
        <v>23</v>
      </c>
      <c r="AR19" s="75" t="n">
        <v>75.764</v>
      </c>
      <c r="AS19" s="75" t="n">
        <v>47.993</v>
      </c>
      <c r="AT19" s="75" t="n">
        <v>52.899</v>
      </c>
      <c r="AV19" s="75" t="n">
        <v>23</v>
      </c>
      <c r="AW19" s="75">
        <f>Beginning_stock!AT47</f>
        <v/>
      </c>
      <c r="AX19" s="75">
        <f>Beginning_stock!AU47</f>
        <v/>
      </c>
      <c r="AY19" s="75">
        <f>Beginning_stock!AV47</f>
        <v/>
      </c>
      <c r="BA19" s="75" t="n">
        <v>23</v>
      </c>
      <c r="BB19" s="75">
        <f>IF(Demand!AU36=Retailers_Cap!N19,"ret=0",(AW19/(Demand!AU36-Retailers_Cap!N19)))</f>
        <v/>
      </c>
      <c r="BC19" s="75">
        <f>IF(Demand!AV36=Retailers_Cap!O19,"ret=0",(AX19/(Demand!AV36-Retailers_Cap!O19)))</f>
        <v/>
      </c>
      <c r="BD19" s="75">
        <f>IF(Demand!AW36=Retailers_Cap!P19,"ret=0",(AY19/(Demand!AW36-Retailers_Cap!P19)))</f>
        <v/>
      </c>
      <c r="BF19" s="75" t="n">
        <v>23</v>
      </c>
      <c r="BG19" s="2">
        <f>IF(Demand!AU36&lt;=Retailers_Cap!N19,"ret=0",(IF(BB19&lt;=AR19+Distributors_Cap!$P$47,1,0)))</f>
        <v/>
      </c>
      <c r="BH19" s="2">
        <f>IF(Demand!AV36&lt;=Retailers_Cap!O19,"ret=0",(IF(BC19&lt;=AS19+Distributors_Cap!$P$47,1,0)))</f>
        <v/>
      </c>
      <c r="BI19" s="2">
        <f>IF(Demand!AW36&lt;=Retailers_Cap!P19,"ret=0",(IF(BD19&lt;=AT19+Distributors_Cap!$P$47,1,0)))</f>
        <v/>
      </c>
      <c r="BK19" s="75" t="n">
        <v>23</v>
      </c>
      <c r="BL19" s="75">
        <f>Retailers!BH18</f>
        <v/>
      </c>
      <c r="BM19" s="75">
        <f>Retailers!BI18</f>
        <v/>
      </c>
      <c r="BN19" s="75">
        <f>Retailers!BJ18</f>
        <v/>
      </c>
      <c r="BP19" s="75" t="n">
        <v>23</v>
      </c>
      <c r="BQ19" s="75">
        <f>#REF!</f>
        <v/>
      </c>
      <c r="BR19" s="75">
        <f>#REF!</f>
        <v/>
      </c>
      <c r="BS19" s="75">
        <f>#REF!</f>
        <v/>
      </c>
      <c r="BU19" s="75" t="n">
        <v>23</v>
      </c>
      <c r="BV19" s="75">
        <f>Retailers!AS18</f>
        <v/>
      </c>
      <c r="BW19" s="75">
        <f>Retailers!AT18</f>
        <v/>
      </c>
      <c r="BX19" s="75">
        <f>Retailers!AU18</f>
        <v/>
      </c>
      <c r="BZ19" s="75" t="n">
        <v>23</v>
      </c>
      <c r="CA19" s="75">
        <f>Results!#REF!</f>
        <v/>
      </c>
      <c r="CB19" s="75">
        <f>Results!#REF!</f>
        <v/>
      </c>
      <c r="CC19" s="75">
        <f>Results!#REF!</f>
        <v/>
      </c>
      <c r="CE19" s="75" t="n">
        <v>23</v>
      </c>
      <c r="CF19" s="75">
        <f>Retailers!BN18</f>
        <v/>
      </c>
      <c r="CG19" s="75">
        <f>Retailers!BO18</f>
        <v/>
      </c>
      <c r="CH19" s="75">
        <f>Retailers!BP18</f>
        <v/>
      </c>
      <c r="CJ19" s="75" t="n">
        <v>23</v>
      </c>
      <c r="CK19" s="75">
        <f>IF(BB19="ret=0",0,IF(BB19&gt;0,AR19+Distributors_Cap!$P$47-BB19,0))</f>
        <v/>
      </c>
      <c r="CL19" s="75">
        <f>IF(BC19="ret=0",0,IF(BC19&gt;0,AS19+Distributors_Cap!$P$47-BC19,0))</f>
        <v/>
      </c>
      <c r="CM19" s="75">
        <f>IF(BD19="ret=0",0,IF(BD19&gt;0,AT19+Distributors_Cap!$P$47-BD19,0))</f>
        <v/>
      </c>
      <c r="CT19" s="75" t="n">
        <v>8</v>
      </c>
      <c r="CU19" s="75" t="n">
        <v>4.468</v>
      </c>
      <c r="CV19" s="75" t="n">
        <v>5.629</v>
      </c>
      <c r="CW19" s="75" t="n">
        <v>4.901</v>
      </c>
    </row>
    <row r="20">
      <c r="G20" s="75" t="n">
        <v>24</v>
      </c>
      <c r="H20" s="75" t="n">
        <v>78.651</v>
      </c>
      <c r="I20" s="75" t="n">
        <v>73.084</v>
      </c>
      <c r="J20" s="75" t="n">
        <v>56.966</v>
      </c>
      <c r="L20" s="75">
        <f>TRUNC((_xlfn.NORM.INV((RAND()),$K$7,$K$8)),0)</f>
        <v/>
      </c>
      <c r="M20" s="75" t="n">
        <v>24</v>
      </c>
      <c r="N20" s="5" t="n">
        <v>13</v>
      </c>
      <c r="O20" s="5" t="n">
        <v>30</v>
      </c>
      <c r="P20" s="5" t="n">
        <v>30</v>
      </c>
      <c r="R20" s="2">
        <f>IF(N20&gt;Demand!AU37,0,(IF(((2*(Retailers!AJ19+Distributors_Cap!$P$47)-Retailers_Cap!$BB$7)*(Demand!AU37-Retailers_Cap!N20))&lt;0,0,((IF(BB20&gt;2*(Retailers!AJ19+Distributors_Cap!$P$47),0,(IF(BG20=0,ROUNDUP((2*(Retailers!AJ19+Distributors_Cap!$P$47)-BB20)^0.5,0),ROUNDUP((2*(Retailers!AJ19+Distributors_Cap!$P$47)-BB20)^0.5,0)))))))))</f>
        <v/>
      </c>
      <c r="S20" s="2">
        <f>IF(O20&gt;Demand!AV37,0,(IF(((2*(Retailers!AK19+Distributors_Cap!$P$47)-Retailers_Cap!$BB$7)*(Demand!AV37-Retailers_Cap!O20))&lt;0,0,((IF(BC20&gt;2*(Retailers!AK19+Distributors_Cap!$P$47),0,(IF(BH20=0,ROUNDUP((2*(Retailers!AK19+Distributors_Cap!$P$47)-BC20)^0.5,0),ROUNDUP((2*(Retailers!AK19+Distributors_Cap!$P$47)-BC20)^0.5,0)))))))))</f>
        <v/>
      </c>
      <c r="T20" s="2">
        <f>IF(P20&gt;Demand!AW37,0,(IF(((2*(Retailers!AL19+Distributors_Cap!$P$47)-Retailers_Cap!$BB$7)*(Demand!AW37-Retailers_Cap!P20))&lt;0,0,((IF(BD20&gt;2*(Retailers!AL19+Distributors_Cap!$P$47),0,(IF(BI20=0,ROUNDUP((2*(Retailers!AL19+Distributors_Cap!$P$47)-BD20)^0.5,0),ROUNDUP((2*(Retailers!AL19+Distributors_Cap!$P$47)-BD20)^0.5,0)))))))))</f>
        <v/>
      </c>
      <c r="W20" s="75" t="n">
        <v>24</v>
      </c>
      <c r="X20" s="9" t="n">
        <v>14</v>
      </c>
      <c r="Y20" s="9" t="n">
        <v>13</v>
      </c>
      <c r="Z20" s="9" t="n">
        <v>0</v>
      </c>
      <c r="AB20" s="2">
        <f>ROUNDDOWN(LOG((X20+1),2),0)</f>
        <v/>
      </c>
      <c r="AC20" s="2">
        <f>ROUNDDOWN(LOG((Y20+1),2),0)</f>
        <v/>
      </c>
      <c r="AD20" s="2">
        <f>ROUNDDOWN(LOG((Z20+1),2),0)</f>
        <v/>
      </c>
      <c r="AG20" s="75" t="n">
        <v>24</v>
      </c>
      <c r="AH20" s="9" t="n">
        <v>3</v>
      </c>
      <c r="AI20" s="9" t="n">
        <v>3</v>
      </c>
      <c r="AJ20" s="9" t="n">
        <v>0</v>
      </c>
      <c r="AQ20" s="75" t="n">
        <v>24</v>
      </c>
      <c r="AR20" s="75" t="n">
        <v>78.651</v>
      </c>
      <c r="AS20" s="75" t="n">
        <v>73.084</v>
      </c>
      <c r="AT20" s="75" t="n">
        <v>56.966</v>
      </c>
      <c r="AV20" s="75" t="n">
        <v>24</v>
      </c>
      <c r="AW20" s="75">
        <f>Beginning_stock!AT48</f>
        <v/>
      </c>
      <c r="AX20" s="75">
        <f>Beginning_stock!AU48</f>
        <v/>
      </c>
      <c r="AY20" s="75">
        <f>Beginning_stock!AV48</f>
        <v/>
      </c>
      <c r="BA20" s="75" t="n">
        <v>24</v>
      </c>
      <c r="BB20" s="75">
        <f>IF(Demand!AU37=Retailers_Cap!N20,"ret=0",(AW20/(Demand!AU37-Retailers_Cap!N20)))</f>
        <v/>
      </c>
      <c r="BC20" s="75">
        <f>IF(Demand!AV37=Retailers_Cap!O20,"ret=0",(AX20/(Demand!AV37-Retailers_Cap!O20)))</f>
        <v/>
      </c>
      <c r="BD20" s="75">
        <f>IF(Demand!AW37=Retailers_Cap!P20,"ret=0",(AY20/(Demand!AW37-Retailers_Cap!P20)))</f>
        <v/>
      </c>
      <c r="BF20" s="75" t="n">
        <v>24</v>
      </c>
      <c r="BG20" s="2">
        <f>IF(Demand!AU37&lt;=Retailers_Cap!N20,"ret=0",(IF(BB20&lt;=AR20+Distributors_Cap!$P$47,1,0)))</f>
        <v/>
      </c>
      <c r="BH20" s="2">
        <f>IF(Demand!AV37&lt;=Retailers_Cap!O20,"ret=0",(IF(BC20&lt;=AS20+Distributors_Cap!$P$47,1,0)))</f>
        <v/>
      </c>
      <c r="BI20" s="2">
        <f>IF(Demand!AW37&lt;=Retailers_Cap!P20,"ret=0",(IF(BD20&lt;=AT20+Distributors_Cap!$P$47,1,0)))</f>
        <v/>
      </c>
      <c r="BK20" s="75" t="n">
        <v>24</v>
      </c>
      <c r="BL20" s="75">
        <f>Retailers!BH19</f>
        <v/>
      </c>
      <c r="BM20" s="75">
        <f>Retailers!BI19</f>
        <v/>
      </c>
      <c r="BN20" s="75">
        <f>Retailers!BJ19</f>
        <v/>
      </c>
      <c r="BP20" s="75" t="n">
        <v>24</v>
      </c>
      <c r="BQ20" s="75">
        <f>#REF!</f>
        <v/>
      </c>
      <c r="BR20" s="75">
        <f>#REF!</f>
        <v/>
      </c>
      <c r="BS20" s="75">
        <f>#REF!</f>
        <v/>
      </c>
      <c r="BU20" s="75" t="n">
        <v>24</v>
      </c>
      <c r="BV20" s="75">
        <f>Retailers!AS19</f>
        <v/>
      </c>
      <c r="BW20" s="75">
        <f>Retailers!AT19</f>
        <v/>
      </c>
      <c r="BX20" s="75">
        <f>Retailers!AU19</f>
        <v/>
      </c>
      <c r="BZ20" s="75" t="n">
        <v>24</v>
      </c>
      <c r="CA20" s="75">
        <f>Results!#REF!</f>
        <v/>
      </c>
      <c r="CB20" s="75">
        <f>Results!#REF!</f>
        <v/>
      </c>
      <c r="CC20" s="75">
        <f>Results!#REF!</f>
        <v/>
      </c>
      <c r="CE20" s="75" t="n">
        <v>24</v>
      </c>
      <c r="CF20" s="75">
        <f>Retailers!BN19</f>
        <v/>
      </c>
      <c r="CG20" s="75">
        <f>Retailers!BO19</f>
        <v/>
      </c>
      <c r="CH20" s="75">
        <f>Retailers!BP19</f>
        <v/>
      </c>
      <c r="CJ20" s="75" t="n">
        <v>24</v>
      </c>
      <c r="CK20" s="75">
        <f>IF(BB20="ret=0",0,IF(BB20&gt;0,AR20+Distributors_Cap!$P$47-BB20,0))</f>
        <v/>
      </c>
      <c r="CL20" s="75">
        <f>IF(BC20="ret=0",0,IF(BC20&gt;0,AS20+Distributors_Cap!$P$47-BC20,0))</f>
        <v/>
      </c>
      <c r="CM20" s="75">
        <f>IF(BD20="ret=0",0,IF(BD20&gt;0,AT20+Distributors_Cap!$P$47-BD20,0))</f>
        <v/>
      </c>
    </row>
    <row r="21">
      <c r="G21" s="75" t="n">
        <v>25</v>
      </c>
      <c r="H21" s="75" t="n">
        <v>49.287</v>
      </c>
      <c r="I21" s="75" t="n">
        <v>71.176</v>
      </c>
      <c r="J21" s="75" t="n">
        <v>63.71</v>
      </c>
      <c r="L21" s="75">
        <f>TRUNC((_xlfn.NORM.INV((RAND()),$K$7,$K$8)),0)</f>
        <v/>
      </c>
      <c r="M21" s="75" t="n">
        <v>25</v>
      </c>
      <c r="N21" s="5" t="n">
        <v>40</v>
      </c>
      <c r="O21" s="5" t="n">
        <v>28</v>
      </c>
      <c r="P21" s="5" t="n">
        <v>24</v>
      </c>
      <c r="R21" s="2">
        <f>IF(N21&gt;Demand!AU38,0,(IF(((2*(Retailers!AJ20+Distributors_Cap!$P$47)-Retailers_Cap!$BB$7)*(Demand!AU38-Retailers_Cap!N21))&lt;0,0,((IF(BB21&gt;2*(Retailers!AJ20+Distributors_Cap!$P$47),0,(IF(BG21=0,ROUNDUP((2*(Retailers!AJ20+Distributors_Cap!$P$47)-BB21)^0.5,0),ROUNDUP((2*(Retailers!AJ20+Distributors_Cap!$P$47)-BB21)^0.5,0)))))))))</f>
        <v/>
      </c>
      <c r="S21" s="2">
        <f>IF(O21&gt;Demand!AV38,0,(IF(((2*(Retailers!AK20+Distributors_Cap!$P$47)-Retailers_Cap!$BB$7)*(Demand!AV38-Retailers_Cap!O21))&lt;0,0,((IF(BC21&gt;2*(Retailers!AK20+Distributors_Cap!$P$47),0,(IF(BH21=0,ROUNDUP((2*(Retailers!AK20+Distributors_Cap!$P$47)-BC21)^0.5,0),ROUNDUP((2*(Retailers!AK20+Distributors_Cap!$P$47)-BC21)^0.5,0)))))))))</f>
        <v/>
      </c>
      <c r="T21" s="2">
        <f>IF(P21&gt;Demand!AW38,0,(IF(((2*(Retailers!AL20+Distributors_Cap!$P$47)-Retailers_Cap!$BB$7)*(Demand!AW38-Retailers_Cap!P21))&lt;0,0,((IF(BD21&gt;2*(Retailers!AL20+Distributors_Cap!$P$47),0,(IF(BI21=0,ROUNDUP((2*(Retailers!AL20+Distributors_Cap!$P$47)-BD21)^0.5,0),ROUNDUP((2*(Retailers!AL20+Distributors_Cap!$P$47)-BD21)^0.5,0)))))))))</f>
        <v/>
      </c>
      <c r="W21" s="75" t="n">
        <v>25</v>
      </c>
      <c r="X21" s="9" t="n">
        <v>0</v>
      </c>
      <c r="Y21" s="9" t="n">
        <v>0</v>
      </c>
      <c r="Z21" s="9" t="n">
        <v>0</v>
      </c>
      <c r="AB21" s="2">
        <f>ROUNDDOWN(LOG((X21+1),2),0)</f>
        <v/>
      </c>
      <c r="AC21" s="2">
        <f>ROUNDDOWN(LOG((Y21+1),2),0)</f>
        <v/>
      </c>
      <c r="AD21" s="2">
        <f>ROUNDDOWN(LOG((Z21+1),2),0)</f>
        <v/>
      </c>
      <c r="AG21" s="75" t="n">
        <v>25</v>
      </c>
      <c r="AH21" s="9" t="n">
        <v>0</v>
      </c>
      <c r="AI21" s="9" t="n">
        <v>0</v>
      </c>
      <c r="AJ21" s="9" t="n">
        <v>0</v>
      </c>
      <c r="AQ21" s="75" t="n">
        <v>25</v>
      </c>
      <c r="AR21" s="75" t="n">
        <v>49.287</v>
      </c>
      <c r="AS21" s="75" t="n">
        <v>71.176</v>
      </c>
      <c r="AT21" s="75" t="n">
        <v>63.71</v>
      </c>
      <c r="AV21" s="75" t="n">
        <v>25</v>
      </c>
      <c r="AW21" s="75">
        <f>Beginning_stock!AT49</f>
        <v/>
      </c>
      <c r="AX21" s="75">
        <f>Beginning_stock!AU49</f>
        <v/>
      </c>
      <c r="AY21" s="75">
        <f>Beginning_stock!AV49</f>
        <v/>
      </c>
      <c r="BA21" s="75" t="n">
        <v>25</v>
      </c>
      <c r="BB21" s="75">
        <f>IF(Demand!AU38=Retailers_Cap!N21,"ret=0",(AW21/(Demand!AU38-Retailers_Cap!N21)))</f>
        <v/>
      </c>
      <c r="BC21" s="75">
        <f>IF(Demand!AV38=Retailers_Cap!O21,"ret=0",(AX21/(Demand!AV38-Retailers_Cap!O21)))</f>
        <v/>
      </c>
      <c r="BD21" s="75">
        <f>IF(Demand!AW38=Retailers_Cap!P21,"ret=0",(AY21/(Demand!AW38-Retailers_Cap!P21)))</f>
        <v/>
      </c>
      <c r="BF21" s="75" t="n">
        <v>25</v>
      </c>
      <c r="BG21" s="2">
        <f>IF(Demand!AU38&lt;=Retailers_Cap!N21,"ret=0",(IF(BB21&lt;=AR21+Distributors_Cap!$P$47,1,0)))</f>
        <v/>
      </c>
      <c r="BH21" s="2">
        <f>IF(Demand!AV38&lt;=Retailers_Cap!O21,"ret=0",(IF(BC21&lt;=AS21+Distributors_Cap!$P$47,1,0)))</f>
        <v/>
      </c>
      <c r="BI21" s="2">
        <f>IF(Demand!AW38&lt;=Retailers_Cap!P21,"ret=0",(IF(BD21&lt;=AT21+Distributors_Cap!$P$47,1,0)))</f>
        <v/>
      </c>
      <c r="BK21" s="75" t="n">
        <v>25</v>
      </c>
      <c r="BL21" s="75">
        <f>Retailers!BH20</f>
        <v/>
      </c>
      <c r="BM21" s="75">
        <f>Retailers!BI20</f>
        <v/>
      </c>
      <c r="BN21" s="75">
        <f>Retailers!BJ20</f>
        <v/>
      </c>
      <c r="BP21" s="75" t="n">
        <v>25</v>
      </c>
      <c r="BQ21" s="75">
        <f>#REF!</f>
        <v/>
      </c>
      <c r="BR21" s="75">
        <f>#REF!</f>
        <v/>
      </c>
      <c r="BS21" s="75">
        <f>#REF!</f>
        <v/>
      </c>
      <c r="BU21" s="75" t="n">
        <v>25</v>
      </c>
      <c r="BV21" s="75">
        <f>Retailers!AS20</f>
        <v/>
      </c>
      <c r="BW21" s="75">
        <f>Retailers!AT20</f>
        <v/>
      </c>
      <c r="BX21" s="75">
        <f>Retailers!AU20</f>
        <v/>
      </c>
      <c r="BZ21" s="75" t="n">
        <v>25</v>
      </c>
      <c r="CA21" s="75">
        <f>Results!#REF!</f>
        <v/>
      </c>
      <c r="CB21" s="75">
        <f>Results!#REF!</f>
        <v/>
      </c>
      <c r="CC21" s="75">
        <f>Results!#REF!</f>
        <v/>
      </c>
      <c r="CE21" s="75" t="n">
        <v>25</v>
      </c>
      <c r="CF21" s="75">
        <f>Retailers!BN20</f>
        <v/>
      </c>
      <c r="CG21" s="75">
        <f>Retailers!BO20</f>
        <v/>
      </c>
      <c r="CH21" s="75">
        <f>Retailers!BP20</f>
        <v/>
      </c>
      <c r="CJ21" s="75" t="n">
        <v>25</v>
      </c>
      <c r="CK21" s="75">
        <f>IF(BB21="ret=0",0,IF(BB21&gt;0,AR21+Distributors_Cap!$P$47-BB21,0))</f>
        <v/>
      </c>
      <c r="CL21" s="75">
        <f>IF(BC21="ret=0",0,IF(BC21&gt;0,AS21+Distributors_Cap!$P$47-BC21,0))</f>
        <v/>
      </c>
      <c r="CM21" s="75">
        <f>IF(BD21="ret=0",0,IF(BD21&gt;0,AT21+Distributors_Cap!$P$47-BD21,0))</f>
        <v/>
      </c>
      <c r="CT21" s="75" t="inlineStr">
        <is>
          <t>máximo</t>
        </is>
      </c>
      <c r="CU21" s="75">
        <f>MAX(CU15:CW19)</f>
        <v/>
      </c>
    </row>
    <row r="22">
      <c r="G22" s="75" t="n">
        <v>26</v>
      </c>
      <c r="H22" s="75" t="n">
        <v>66.791</v>
      </c>
      <c r="I22" s="75" t="n">
        <v>35.719</v>
      </c>
      <c r="J22" s="75" t="n">
        <v>47.83</v>
      </c>
      <c r="L22" s="75">
        <f>TRUNC((_xlfn.NORM.INV((RAND()),$K$7,$K$8)),0)</f>
        <v/>
      </c>
      <c r="M22" s="75" t="n">
        <v>26</v>
      </c>
      <c r="N22" s="5" t="n">
        <v>19</v>
      </c>
      <c r="O22" s="5" t="n">
        <v>21</v>
      </c>
      <c r="P22" s="5" t="n">
        <v>14</v>
      </c>
      <c r="R22" s="2">
        <f>IF(N22&gt;Demand!AU39,0,(IF(((2*(Retailers!AJ21+Distributors_Cap!$P$47)-Retailers_Cap!$BB$7)*(Demand!AU39-Retailers_Cap!N22))&lt;0,0,((IF(BB22&gt;2*(Retailers!AJ21+Distributors_Cap!$P$47),0,(IF(BG22=0,ROUNDUP((2*(Retailers!AJ21+Distributors_Cap!$P$47)-BB22)^0.5,0),ROUNDUP((2*(Retailers!AJ21+Distributors_Cap!$P$47)-BB22)^0.5,0)))))))))</f>
        <v/>
      </c>
      <c r="S22" s="2">
        <f>IF(O22&gt;Demand!AV39,0,(IF(((2*(Retailers!AK21+Distributors_Cap!$P$47)-Retailers_Cap!$BB$7)*(Demand!AV39-Retailers_Cap!O22))&lt;0,0,((IF(BC22&gt;2*(Retailers!AK21+Distributors_Cap!$P$47),0,(IF(BH22=0,ROUNDUP((2*(Retailers!AK21+Distributors_Cap!$P$47)-BC22)^0.5,0),ROUNDUP((2*(Retailers!AK21+Distributors_Cap!$P$47)-BC22)^0.5,0)))))))))</f>
        <v/>
      </c>
      <c r="T22" s="2">
        <f>IF(P22&gt;Demand!AW39,0,(IF(((2*(Retailers!AL21+Distributors_Cap!$P$47)-Retailers_Cap!$BB$7)*(Demand!AW39-Retailers_Cap!P22))&lt;0,0,((IF(BD22&gt;2*(Retailers!AL21+Distributors_Cap!$P$47),0,(IF(BI22=0,ROUNDUP((2*(Retailers!AL21+Distributors_Cap!$P$47)-BD22)^0.5,0),ROUNDUP((2*(Retailers!AL21+Distributors_Cap!$P$47)-BD22)^0.5,0)))))))))</f>
        <v/>
      </c>
      <c r="W22" s="75" t="n">
        <v>26</v>
      </c>
      <c r="X22" s="9" t="n">
        <v>10</v>
      </c>
      <c r="Y22" s="9" t="n">
        <v>11</v>
      </c>
      <c r="Z22" s="9" t="n">
        <v>10</v>
      </c>
      <c r="AB22" s="2">
        <f>ROUNDDOWN(LOG((X22+1),2),0)</f>
        <v/>
      </c>
      <c r="AC22" s="2">
        <f>ROUNDDOWN(LOG((Y22+1),2),0)</f>
        <v/>
      </c>
      <c r="AD22" s="2">
        <f>ROUNDDOWN(LOG((Z22+1),2),0)</f>
        <v/>
      </c>
      <c r="AG22" s="75" t="n">
        <v>26</v>
      </c>
      <c r="AH22" s="9" t="n">
        <v>3</v>
      </c>
      <c r="AI22" s="9" t="n">
        <v>3</v>
      </c>
      <c r="AJ22" s="9" t="n">
        <v>3</v>
      </c>
      <c r="AQ22" s="75" t="n">
        <v>26</v>
      </c>
      <c r="AR22" s="75" t="n">
        <v>66.791</v>
      </c>
      <c r="AS22" s="75" t="n">
        <v>35.719</v>
      </c>
      <c r="AT22" s="75" t="n">
        <v>47.83</v>
      </c>
      <c r="AV22" s="75" t="n">
        <v>26</v>
      </c>
      <c r="AW22" s="75">
        <f>Beginning_stock!AT50</f>
        <v/>
      </c>
      <c r="AX22" s="75">
        <f>Beginning_stock!AU50</f>
        <v/>
      </c>
      <c r="AY22" s="75">
        <f>Beginning_stock!AV50</f>
        <v/>
      </c>
      <c r="BA22" s="75" t="n">
        <v>26</v>
      </c>
      <c r="BB22" s="75">
        <f>IF(Demand!AU39=Retailers_Cap!N22,"ret=0",(AW22/(Demand!AU39-Retailers_Cap!N22)))</f>
        <v/>
      </c>
      <c r="BC22" s="75">
        <f>IF(Demand!AV39=Retailers_Cap!O22,"ret=0",(AX22/(Demand!AV39-Retailers_Cap!O22)))</f>
        <v/>
      </c>
      <c r="BD22" s="75">
        <f>IF(Demand!AW39=Retailers_Cap!P22,"ret=0",(AY22/(Demand!AW39-Retailers_Cap!P22)))</f>
        <v/>
      </c>
      <c r="BF22" s="75" t="n">
        <v>26</v>
      </c>
      <c r="BG22" s="2">
        <f>IF(Demand!AU39&lt;=Retailers_Cap!N22,"ret=0",(IF(BB22&lt;=AR22+Distributors_Cap!$P$47,1,0)))</f>
        <v/>
      </c>
      <c r="BH22" s="2">
        <f>IF(Demand!AV39&lt;=Retailers_Cap!O22,"ret=0",(IF(BC22&lt;=AS22+Distributors_Cap!$P$47,1,0)))</f>
        <v/>
      </c>
      <c r="BI22" s="2">
        <f>IF(Demand!AW39&lt;=Retailers_Cap!P22,"ret=0",(IF(BD22&lt;=AT22+Distributors_Cap!$P$47,1,0)))</f>
        <v/>
      </c>
      <c r="BK22" s="75" t="n">
        <v>26</v>
      </c>
      <c r="BL22" s="75">
        <f>Retailers!BH21</f>
        <v/>
      </c>
      <c r="BM22" s="75">
        <f>Retailers!BI21</f>
        <v/>
      </c>
      <c r="BN22" s="75">
        <f>Retailers!BJ21</f>
        <v/>
      </c>
      <c r="BP22" s="75" t="n">
        <v>26</v>
      </c>
      <c r="BQ22" s="75">
        <f>#REF!</f>
        <v/>
      </c>
      <c r="BR22" s="75">
        <f>#REF!</f>
        <v/>
      </c>
      <c r="BS22" s="75">
        <f>#REF!</f>
        <v/>
      </c>
      <c r="BU22" s="75" t="n">
        <v>26</v>
      </c>
      <c r="BV22" s="75">
        <f>Retailers!AS21</f>
        <v/>
      </c>
      <c r="BW22" s="75">
        <f>Retailers!AT21</f>
        <v/>
      </c>
      <c r="BX22" s="75">
        <f>Retailers!AU21</f>
        <v/>
      </c>
      <c r="BZ22" s="75" t="n">
        <v>26</v>
      </c>
      <c r="CA22" s="75">
        <f>Results!#REF!</f>
        <v/>
      </c>
      <c r="CB22" s="75">
        <f>Results!#REF!</f>
        <v/>
      </c>
      <c r="CC22" s="75">
        <f>Results!#REF!</f>
        <v/>
      </c>
      <c r="CE22" s="75" t="n">
        <v>26</v>
      </c>
      <c r="CF22" s="75">
        <f>Retailers!BN21</f>
        <v/>
      </c>
      <c r="CG22" s="75">
        <f>Retailers!BO21</f>
        <v/>
      </c>
      <c r="CH22" s="75">
        <f>Retailers!BP21</f>
        <v/>
      </c>
      <c r="CJ22" s="75" t="n">
        <v>26</v>
      </c>
      <c r="CK22" s="75">
        <f>IF(BB22="ret=0",0,IF(BB22&gt;0,AR22+Distributors_Cap!$P$47-BB22,0))</f>
        <v/>
      </c>
      <c r="CL22" s="75">
        <f>IF(BC22="ret=0",0,IF(BC22&gt;0,AS22+Distributors_Cap!$P$47-BC22,0))</f>
        <v/>
      </c>
      <c r="CM22" s="75">
        <f>IF(BD22="ret=0",0,IF(BD22&gt;0,AT22+Distributors_Cap!$P$47-BD22,0))</f>
        <v/>
      </c>
    </row>
    <row r="23">
      <c r="G23" s="75" t="n">
        <v>27</v>
      </c>
      <c r="H23" s="75" t="n">
        <v>48.149</v>
      </c>
      <c r="I23" s="75" t="n">
        <v>45.611</v>
      </c>
      <c r="J23" s="75" t="n">
        <v>38.699</v>
      </c>
      <c r="L23" s="75">
        <f>TRUNC((_xlfn.NORM.INV((RAND()),$K$7,$K$8)),0)</f>
        <v/>
      </c>
      <c r="M23" s="75" t="n">
        <v>27</v>
      </c>
      <c r="N23" s="5" t="n">
        <v>24</v>
      </c>
      <c r="O23" s="5" t="n">
        <v>26</v>
      </c>
      <c r="P23" s="5" t="n">
        <v>20</v>
      </c>
      <c r="R23" s="2">
        <f>IF(N23&gt;Demand!AU40,0,(IF(((2*(Retailers!AJ22+Distributors_Cap!$P$47)-Retailers_Cap!$BB$7)*(Demand!AU40-Retailers_Cap!N23))&lt;0,0,((IF(BB23&gt;2*(Retailers!AJ22+Distributors_Cap!$P$47),0,(IF(BG23=0,ROUNDUP((2*(Retailers!AJ22+Distributors_Cap!$P$47)-BB23)^0.5,0),ROUNDUP((2*(Retailers!AJ22+Distributors_Cap!$P$47)-BB23)^0.5,0)))))))))</f>
        <v/>
      </c>
      <c r="S23" s="2">
        <f>IF(O23&gt;Demand!AV40,0,(IF(((2*(Retailers!AK22+Distributors_Cap!$P$47)-Retailers_Cap!$BB$7)*(Demand!AV40-Retailers_Cap!O23))&lt;0,0,((IF(BC23&gt;2*(Retailers!AK22+Distributors_Cap!$P$47),0,(IF(BH23=0,ROUNDUP((2*(Retailers!AK22+Distributors_Cap!$P$47)-BC23)^0.5,0),ROUNDUP((2*(Retailers!AK22+Distributors_Cap!$P$47)-BC23)^0.5,0)))))))))</f>
        <v/>
      </c>
      <c r="T23" s="2">
        <f>IF(P23&gt;Demand!AW40,0,(IF(((2*(Retailers!AL22+Distributors_Cap!$P$47)-Retailers_Cap!$BB$7)*(Demand!AW40-Retailers_Cap!P23))&lt;0,0,((IF(BD23&gt;2*(Retailers!AL22+Distributors_Cap!$P$47),0,(IF(BI23=0,ROUNDUP((2*(Retailers!AL22+Distributors_Cap!$P$47)-BD23)^0.5,0),ROUNDUP((2*(Retailers!AL22+Distributors_Cap!$P$47)-BD23)^0.5,0)))))))))</f>
        <v/>
      </c>
      <c r="W23" s="75" t="n">
        <v>27</v>
      </c>
      <c r="X23" s="9" t="n">
        <v>0</v>
      </c>
      <c r="Y23" s="9" t="n">
        <v>0</v>
      </c>
      <c r="Z23" s="9" t="n">
        <v>0</v>
      </c>
      <c r="AB23" s="2">
        <f>ROUNDDOWN(LOG((X23+1),2),0)</f>
        <v/>
      </c>
      <c r="AC23" s="2">
        <f>ROUNDDOWN(LOG((Y23+1),2),0)</f>
        <v/>
      </c>
      <c r="AD23" s="2">
        <f>ROUNDDOWN(LOG((Z23+1),2),0)</f>
        <v/>
      </c>
      <c r="AG23" s="75" t="n">
        <v>27</v>
      </c>
      <c r="AH23" s="9" t="n">
        <v>0</v>
      </c>
      <c r="AI23" s="9" t="n">
        <v>0</v>
      </c>
      <c r="AJ23" s="9" t="n">
        <v>0</v>
      </c>
      <c r="AQ23" s="75" t="n">
        <v>27</v>
      </c>
      <c r="AR23" s="75" t="n">
        <v>48.149</v>
      </c>
      <c r="AS23" s="75" t="n">
        <v>45.611</v>
      </c>
      <c r="AT23" s="75" t="n">
        <v>38.699</v>
      </c>
      <c r="AV23" s="75" t="n">
        <v>27</v>
      </c>
      <c r="AW23" s="75">
        <f>Beginning_stock!AT51</f>
        <v/>
      </c>
      <c r="AX23" s="75">
        <f>Beginning_stock!AU51</f>
        <v/>
      </c>
      <c r="AY23" s="75">
        <f>Beginning_stock!AV51</f>
        <v/>
      </c>
      <c r="BA23" s="75" t="n">
        <v>27</v>
      </c>
      <c r="BB23" s="75">
        <f>IF(Demand!AU40=Retailers_Cap!N23,"ret=0",(AW23/(Demand!AU40-Retailers_Cap!N23)))</f>
        <v/>
      </c>
      <c r="BC23" s="75">
        <f>IF(Demand!AV40=Retailers_Cap!O23,"ret=0",(AX23/(Demand!AV40-Retailers_Cap!O23)))</f>
        <v/>
      </c>
      <c r="BD23" s="75">
        <f>IF(Demand!AW40=Retailers_Cap!P23,"ret=0",(AY23/(Demand!AW40-Retailers_Cap!P23)))</f>
        <v/>
      </c>
      <c r="BF23" s="75" t="n">
        <v>27</v>
      </c>
      <c r="BG23" s="2">
        <f>IF(Demand!AU40&lt;=Retailers_Cap!N23,"ret=0",(IF(BB23&lt;=AR23+Distributors_Cap!$P$47,1,0)))</f>
        <v/>
      </c>
      <c r="BH23" s="2">
        <f>IF(Demand!AV40&lt;=Retailers_Cap!O23,"ret=0",(IF(BC23&lt;=AS23+Distributors_Cap!$P$47,1,0)))</f>
        <v/>
      </c>
      <c r="BI23" s="2">
        <f>IF(Demand!AW40&lt;=Retailers_Cap!P23,"ret=0",(IF(BD23&lt;=AT23+Distributors_Cap!$P$47,1,0)))</f>
        <v/>
      </c>
      <c r="BK23" s="75" t="n">
        <v>27</v>
      </c>
      <c r="BL23" s="75">
        <f>Retailers!BH22</f>
        <v/>
      </c>
      <c r="BM23" s="75">
        <f>Retailers!BI22</f>
        <v/>
      </c>
      <c r="BN23" s="75">
        <f>Retailers!BJ22</f>
        <v/>
      </c>
      <c r="BP23" s="75" t="n">
        <v>27</v>
      </c>
      <c r="BQ23" s="75">
        <f>#REF!</f>
        <v/>
      </c>
      <c r="BR23" s="75">
        <f>#REF!</f>
        <v/>
      </c>
      <c r="BS23" s="75">
        <f>#REF!</f>
        <v/>
      </c>
      <c r="BU23" s="75" t="n">
        <v>27</v>
      </c>
      <c r="BV23" s="75">
        <f>Retailers!AS22</f>
        <v/>
      </c>
      <c r="BW23" s="75">
        <f>Retailers!AT22</f>
        <v/>
      </c>
      <c r="BX23" s="75">
        <f>Retailers!AU22</f>
        <v/>
      </c>
      <c r="BZ23" s="75" t="n">
        <v>27</v>
      </c>
      <c r="CA23" s="75">
        <f>Results!#REF!</f>
        <v/>
      </c>
      <c r="CB23" s="75">
        <f>Results!#REF!</f>
        <v/>
      </c>
      <c r="CC23" s="75">
        <f>Results!#REF!</f>
        <v/>
      </c>
      <c r="CE23" s="75" t="n">
        <v>27</v>
      </c>
      <c r="CF23" s="75">
        <f>Retailers!BN22</f>
        <v/>
      </c>
      <c r="CG23" s="75">
        <f>Retailers!BO22</f>
        <v/>
      </c>
      <c r="CH23" s="75">
        <f>Retailers!BP22</f>
        <v/>
      </c>
      <c r="CJ23" s="75" t="n">
        <v>27</v>
      </c>
      <c r="CK23" s="75">
        <f>IF(BB23="ret=0",0,IF(BB23&gt;0,AR23+Distributors_Cap!$P$47-BB23,0))</f>
        <v/>
      </c>
      <c r="CL23" s="75">
        <f>IF(BC23="ret=0",0,IF(BC23&gt;0,AS23+Distributors_Cap!$P$47-BC23,0))</f>
        <v/>
      </c>
      <c r="CM23" s="75">
        <f>IF(BD23="ret=0",0,IF(BD23&gt;0,AT23+Distributors_Cap!$P$47-BD23,0))</f>
        <v/>
      </c>
      <c r="CU23" s="75" t="n">
        <v>19</v>
      </c>
      <c r="CV23" s="75" t="n">
        <v>20</v>
      </c>
      <c r="CW23" s="75" t="n">
        <v>21</v>
      </c>
    </row>
    <row r="24">
      <c r="G24" s="75" t="n">
        <v>28</v>
      </c>
      <c r="H24" s="75" t="n">
        <v>58.654</v>
      </c>
      <c r="I24" s="75" t="n">
        <v>42.139</v>
      </c>
      <c r="J24" s="75" t="n">
        <v>59.228</v>
      </c>
      <c r="L24" s="75">
        <f>TRUNC((_xlfn.NORM.INV((RAND()),$K$7,$K$8)),0)</f>
        <v/>
      </c>
      <c r="M24" s="75" t="n">
        <v>28</v>
      </c>
      <c r="N24" s="5" t="n">
        <v>14</v>
      </c>
      <c r="O24" s="5" t="n">
        <v>32</v>
      </c>
      <c r="P24" s="5" t="n">
        <v>28</v>
      </c>
      <c r="R24" s="2">
        <f>IF(N24&gt;Demand!AU41,0,(IF(((2*(Retailers!AJ23+Distributors_Cap!$P$47)-Retailers_Cap!$BB$7)*(Demand!AU41-Retailers_Cap!N24))&lt;0,0,((IF(BB24&gt;2*(Retailers!AJ23+Distributors_Cap!$P$47),0,(IF(BG24=0,ROUNDUP((2*(Retailers!AJ23+Distributors_Cap!$P$47)-BB24)^0.5,0),ROUNDUP((2*(Retailers!AJ23+Distributors_Cap!$P$47)-BB24)^0.5,0)))))))))</f>
        <v/>
      </c>
      <c r="S24" s="2">
        <f>IF(O24&gt;Demand!AV41,0,(IF(((2*(Retailers!AK23+Distributors_Cap!$P$47)-Retailers_Cap!$BB$7)*(Demand!AV41-Retailers_Cap!O24))&lt;0,0,((IF(BC24&gt;2*(Retailers!AK23+Distributors_Cap!$P$47),0,(IF(BH24=0,ROUNDUP((2*(Retailers!AK23+Distributors_Cap!$P$47)-BC24)^0.5,0),ROUNDUP((2*(Retailers!AK23+Distributors_Cap!$P$47)-BC24)^0.5,0)))))))))</f>
        <v/>
      </c>
      <c r="T24" s="2">
        <f>IF(P24&gt;Demand!AW41,0,(IF(((2*(Retailers!AL23+Distributors_Cap!$P$47)-Retailers_Cap!$BB$7)*(Demand!AW41-Retailers_Cap!P24))&lt;0,0,((IF(BD24&gt;2*(Retailers!AL23+Distributors_Cap!$P$47),0,(IF(BI24=0,ROUNDUP((2*(Retailers!AL23+Distributors_Cap!$P$47)-BD24)^0.5,0),ROUNDUP((2*(Retailers!AL23+Distributors_Cap!$P$47)-BD24)^0.5,0)))))))))</f>
        <v/>
      </c>
      <c r="W24" s="75" t="n">
        <v>28</v>
      </c>
      <c r="X24" s="9" t="n">
        <v>13</v>
      </c>
      <c r="Y24" s="9" t="n">
        <v>0</v>
      </c>
      <c r="Z24" s="9" t="n">
        <v>11</v>
      </c>
      <c r="AB24" s="2">
        <f>ROUNDDOWN(LOG((X24+1),2),0)</f>
        <v/>
      </c>
      <c r="AC24" s="2">
        <f>ROUNDDOWN(LOG((Y24+1),2),0)</f>
        <v/>
      </c>
      <c r="AD24" s="2">
        <f>ROUNDDOWN(LOG((Z24+1),2),0)</f>
        <v/>
      </c>
      <c r="AG24" s="75" t="n">
        <v>28</v>
      </c>
      <c r="AH24" s="9" t="n">
        <v>3</v>
      </c>
      <c r="AI24" s="9" t="n">
        <v>0</v>
      </c>
      <c r="AJ24" s="9" t="n">
        <v>3</v>
      </c>
      <c r="AQ24" s="75" t="n">
        <v>28</v>
      </c>
      <c r="AR24" s="75" t="n">
        <v>58.654</v>
      </c>
      <c r="AS24" s="75" t="n">
        <v>42.139</v>
      </c>
      <c r="AT24" s="75" t="n">
        <v>59.228</v>
      </c>
      <c r="AV24" s="75" t="n">
        <v>28</v>
      </c>
      <c r="AW24" s="75">
        <f>Beginning_stock!AT52</f>
        <v/>
      </c>
      <c r="AX24" s="75">
        <f>Beginning_stock!AU52</f>
        <v/>
      </c>
      <c r="AY24" s="75">
        <f>Beginning_stock!AV52</f>
        <v/>
      </c>
      <c r="BA24" s="75" t="n">
        <v>28</v>
      </c>
      <c r="BB24" s="75">
        <f>IF(Demand!AU41=Retailers_Cap!N24,"ret=0",(AW24/(Demand!AU41-Retailers_Cap!N24)))</f>
        <v/>
      </c>
      <c r="BC24" s="75">
        <f>IF(Demand!AV41=Retailers_Cap!O24,"ret=0",(AX24/(Demand!AV41-Retailers_Cap!O24)))</f>
        <v/>
      </c>
      <c r="BD24" s="75">
        <f>IF(Demand!AW41=Retailers_Cap!P24,"ret=0",(AY24/(Demand!AW41-Retailers_Cap!P24)))</f>
        <v/>
      </c>
      <c r="BF24" s="75" t="n">
        <v>28</v>
      </c>
      <c r="BG24" s="2">
        <f>IF(Demand!AU41&lt;=Retailers_Cap!N24,"ret=0",(IF(BB24&lt;=AR24+Distributors_Cap!$P$47,1,0)))</f>
        <v/>
      </c>
      <c r="BH24" s="2">
        <f>IF(Demand!AV41&lt;=Retailers_Cap!O24,"ret=0",(IF(BC24&lt;=AS24+Distributors_Cap!$P$47,1,0)))</f>
        <v/>
      </c>
      <c r="BI24" s="2">
        <f>IF(Demand!AW41&lt;=Retailers_Cap!P24,"ret=0",(IF(BD24&lt;=AT24+Distributors_Cap!$P$47,1,0)))</f>
        <v/>
      </c>
      <c r="BK24" s="75" t="n">
        <v>28</v>
      </c>
      <c r="BL24" s="75">
        <f>Retailers!BH23</f>
        <v/>
      </c>
      <c r="BM24" s="75">
        <f>Retailers!BI23</f>
        <v/>
      </c>
      <c r="BN24" s="75">
        <f>Retailers!BJ23</f>
        <v/>
      </c>
      <c r="BP24" s="75" t="n">
        <v>28</v>
      </c>
      <c r="BQ24" s="75">
        <f>#REF!</f>
        <v/>
      </c>
      <c r="BR24" s="75">
        <f>#REF!</f>
        <v/>
      </c>
      <c r="BS24" s="75">
        <f>#REF!</f>
        <v/>
      </c>
      <c r="BU24" s="75" t="n">
        <v>28</v>
      </c>
      <c r="BV24" s="75">
        <f>Retailers!AS23</f>
        <v/>
      </c>
      <c r="BW24" s="75">
        <f>Retailers!AT23</f>
        <v/>
      </c>
      <c r="BX24" s="75">
        <f>Retailers!AU23</f>
        <v/>
      </c>
      <c r="BZ24" s="75" t="n">
        <v>28</v>
      </c>
      <c r="CA24" s="75">
        <f>Results!#REF!</f>
        <v/>
      </c>
      <c r="CB24" s="75">
        <f>Results!#REF!</f>
        <v/>
      </c>
      <c r="CC24" s="75">
        <f>Results!#REF!</f>
        <v/>
      </c>
      <c r="CE24" s="75" t="n">
        <v>28</v>
      </c>
      <c r="CF24" s="75">
        <f>Retailers!BN23</f>
        <v/>
      </c>
      <c r="CG24" s="75">
        <f>Retailers!BO23</f>
        <v/>
      </c>
      <c r="CH24" s="75">
        <f>Retailers!BP23</f>
        <v/>
      </c>
      <c r="CJ24" s="75" t="n">
        <v>28</v>
      </c>
      <c r="CK24" s="75">
        <f>IF(BB24="ret=0",0,IF(BB24&gt;0,AR24+Distributors_Cap!$P$47-BB24,0))</f>
        <v/>
      </c>
      <c r="CL24" s="75">
        <f>IF(BC24="ret=0",0,IF(BC24&gt;0,AS24+Distributors_Cap!$P$47-BC24,0))</f>
        <v/>
      </c>
      <c r="CM24" s="75">
        <f>IF(BD24="ret=0",0,IF(BD24&gt;0,AT24+Distributors_Cap!$P$47-BD24,0))</f>
        <v/>
      </c>
      <c r="CS24" s="75" t="inlineStr">
        <is>
          <t>lambdad</t>
        </is>
      </c>
      <c r="CT24" s="75" t="n">
        <v>9</v>
      </c>
      <c r="CU24" s="75" t="n">
        <v>19.26</v>
      </c>
      <c r="CV24" s="75" t="n">
        <v>16.289</v>
      </c>
      <c r="CW24" s="75" t="n">
        <v>18.674</v>
      </c>
    </row>
    <row r="25">
      <c r="G25" s="75" t="n">
        <v>29</v>
      </c>
      <c r="H25" s="75" t="n">
        <v>74.997</v>
      </c>
      <c r="I25" s="75" t="n">
        <v>45.427</v>
      </c>
      <c r="J25" s="75" t="n">
        <v>54.332</v>
      </c>
      <c r="L25" s="75">
        <f>TRUNC((_xlfn.NORM.INV((RAND()),$K$7,$K$8)),0)</f>
        <v/>
      </c>
      <c r="M25" s="75" t="n">
        <v>29</v>
      </c>
      <c r="N25" s="5" t="n">
        <v>25</v>
      </c>
      <c r="O25" s="5" t="n">
        <v>26</v>
      </c>
      <c r="P25" s="5" t="n">
        <v>34</v>
      </c>
      <c r="R25" s="2">
        <f>IF(N25&gt;Demand!AU42,0,(IF(((2*(Retailers!AJ24+Distributors_Cap!$P$47)-Retailers_Cap!$BB$7)*(Demand!AU42-Retailers_Cap!N25))&lt;0,0,((IF(BB25&gt;2*(Retailers!AJ24+Distributors_Cap!$P$47),0,(IF(BG25=0,ROUNDUP((2*(Retailers!AJ24+Distributors_Cap!$P$47)-BB25)^0.5,0),ROUNDUP((2*(Retailers!AJ24+Distributors_Cap!$P$47)-BB25)^0.5,0)))))))))</f>
        <v/>
      </c>
      <c r="S25" s="2">
        <f>IF(O25&gt;Demand!AV42,0,(IF(((2*(Retailers!AK24+Distributors_Cap!$P$47)-Retailers_Cap!$BB$7)*(Demand!AV42-Retailers_Cap!O25))&lt;0,0,((IF(BC25&gt;2*(Retailers!AK24+Distributors_Cap!$P$47),0,(IF(BH25=0,ROUNDUP((2*(Retailers!AK24+Distributors_Cap!$P$47)-BC25)^0.5,0),ROUNDUP((2*(Retailers!AK24+Distributors_Cap!$P$47)-BC25)^0.5,0)))))))))</f>
        <v/>
      </c>
      <c r="T25" s="2">
        <f>IF(P25&gt;Demand!AW42,0,(IF(((2*(Retailers!AL24+Distributors_Cap!$P$47)-Retailers_Cap!$BB$7)*(Demand!AW42-Retailers_Cap!P25))&lt;0,0,((IF(BD25&gt;2*(Retailers!AL24+Distributors_Cap!$P$47),0,(IF(BI25=0,ROUNDUP((2*(Retailers!AL24+Distributors_Cap!$P$47)-BD25)^0.5,0),ROUNDUP((2*(Retailers!AL24+Distributors_Cap!$P$47)-BD25)^0.5,0)))))))))</f>
        <v/>
      </c>
      <c r="W25" s="75" t="n">
        <v>29</v>
      </c>
      <c r="X25" s="9" t="n">
        <v>0</v>
      </c>
      <c r="Y25" s="9" t="n">
        <v>0</v>
      </c>
      <c r="Z25" s="9" t="n">
        <v>0</v>
      </c>
      <c r="AB25" s="2">
        <f>ROUNDDOWN(LOG((X25+1),2),0)</f>
        <v/>
      </c>
      <c r="AC25" s="2">
        <f>ROUNDDOWN(LOG((Y25+1),2),0)</f>
        <v/>
      </c>
      <c r="AD25" s="2">
        <f>ROUNDDOWN(LOG((Z25+1),2),0)</f>
        <v/>
      </c>
      <c r="AG25" s="75" t="n">
        <v>29</v>
      </c>
      <c r="AH25" s="9" t="n">
        <v>0</v>
      </c>
      <c r="AI25" s="9" t="n">
        <v>0</v>
      </c>
      <c r="AJ25" s="9" t="n">
        <v>0</v>
      </c>
      <c r="AQ25" s="75" t="n">
        <v>29</v>
      </c>
      <c r="AR25" s="75" t="n">
        <v>74.997</v>
      </c>
      <c r="AS25" s="75" t="n">
        <v>45.427</v>
      </c>
      <c r="AT25" s="75" t="n">
        <v>54.332</v>
      </c>
      <c r="AV25" s="75" t="n">
        <v>29</v>
      </c>
      <c r="AW25" s="75">
        <f>Beginning_stock!AT53</f>
        <v/>
      </c>
      <c r="AX25" s="75">
        <f>Beginning_stock!AU53</f>
        <v/>
      </c>
      <c r="AY25" s="75">
        <f>Beginning_stock!AV53</f>
        <v/>
      </c>
      <c r="BA25" s="75" t="n">
        <v>29</v>
      </c>
      <c r="BB25" s="75">
        <f>IF(Demand!AU42=Retailers_Cap!N25,"ret=0",(AW25/(Demand!AU42-Retailers_Cap!N25)))</f>
        <v/>
      </c>
      <c r="BC25" s="75">
        <f>IF(Demand!AV42=Retailers_Cap!O25,"ret=0",(AX25/(Demand!AV42-Retailers_Cap!O25)))</f>
        <v/>
      </c>
      <c r="BD25" s="75">
        <f>IF(Demand!AW42=Retailers_Cap!P25,"ret=0",(AY25/(Demand!AW42-Retailers_Cap!P25)))</f>
        <v/>
      </c>
      <c r="BF25" s="75" t="n">
        <v>29</v>
      </c>
      <c r="BG25" s="2">
        <f>IF(Demand!AU42&lt;=Retailers_Cap!N25,"ret=0",(IF(BB25&lt;=AR25+Distributors_Cap!$P$47,1,0)))</f>
        <v/>
      </c>
      <c r="BH25" s="2">
        <f>IF(Demand!AV42&lt;=Retailers_Cap!O25,"ret=0",(IF(BC25&lt;=AS25+Distributors_Cap!$P$47,1,0)))</f>
        <v/>
      </c>
      <c r="BI25" s="2">
        <f>IF(Demand!AW42&lt;=Retailers_Cap!P25,"ret=0",(IF(BD25&lt;=AT25+Distributors_Cap!$P$47,1,0)))</f>
        <v/>
      </c>
      <c r="BK25" s="75" t="n">
        <v>29</v>
      </c>
      <c r="BL25" s="75">
        <f>Retailers!BH24</f>
        <v/>
      </c>
      <c r="BM25" s="75">
        <f>Retailers!BI24</f>
        <v/>
      </c>
      <c r="BN25" s="75">
        <f>Retailers!BJ24</f>
        <v/>
      </c>
      <c r="BP25" s="75" t="n">
        <v>29</v>
      </c>
      <c r="BQ25" s="75">
        <f>#REF!</f>
        <v/>
      </c>
      <c r="BR25" s="75">
        <f>#REF!</f>
        <v/>
      </c>
      <c r="BS25" s="75">
        <f>#REF!</f>
        <v/>
      </c>
      <c r="BU25" s="75" t="n">
        <v>29</v>
      </c>
      <c r="BV25" s="75">
        <f>Retailers!AS24</f>
        <v/>
      </c>
      <c r="BW25" s="75">
        <f>Retailers!AT24</f>
        <v/>
      </c>
      <c r="BX25" s="75">
        <f>Retailers!AU24</f>
        <v/>
      </c>
      <c r="BZ25" s="75" t="n">
        <v>29</v>
      </c>
      <c r="CA25" s="75">
        <f>Results!#REF!</f>
        <v/>
      </c>
      <c r="CB25" s="75">
        <f>Results!#REF!</f>
        <v/>
      </c>
      <c r="CC25" s="75">
        <f>Results!#REF!</f>
        <v/>
      </c>
      <c r="CE25" s="75" t="n">
        <v>29</v>
      </c>
      <c r="CF25" s="75">
        <f>Retailers!BN24</f>
        <v/>
      </c>
      <c r="CG25" s="75">
        <f>Retailers!BO24</f>
        <v/>
      </c>
      <c r="CH25" s="75">
        <f>Retailers!BP24</f>
        <v/>
      </c>
      <c r="CJ25" s="75" t="n">
        <v>29</v>
      </c>
      <c r="CK25" s="75">
        <f>IF(BB25="ret=0",0,IF(BB25&gt;0,AR25+Distributors_Cap!$P$47-BB25,0))</f>
        <v/>
      </c>
      <c r="CL25" s="75">
        <f>IF(BC25="ret=0",0,IF(BC25&gt;0,AS25+Distributors_Cap!$P$47-BC25,0))</f>
        <v/>
      </c>
      <c r="CM25" s="75">
        <f>IF(BD25="ret=0",0,IF(BD25&gt;0,AT25+Distributors_Cap!$P$47-BD25,0))</f>
        <v/>
      </c>
      <c r="CT25" s="75" t="n">
        <v>10</v>
      </c>
      <c r="CU25" s="75" t="n">
        <v>15.308</v>
      </c>
      <c r="CV25" s="75" t="n">
        <v>14.624</v>
      </c>
      <c r="CW25" s="75" t="n">
        <v>19.745</v>
      </c>
    </row>
    <row r="26">
      <c r="G26" s="75" t="n">
        <v>30</v>
      </c>
      <c r="H26" s="75" t="n">
        <v>54.744</v>
      </c>
      <c r="I26" s="75" t="n">
        <v>69.771</v>
      </c>
      <c r="J26" s="75" t="n">
        <v>54.29</v>
      </c>
      <c r="L26" s="75">
        <f>TRUNC((_xlfn.NORM.INV((RAND()),$K$7,$K$8)),0)</f>
        <v/>
      </c>
      <c r="M26" s="75" t="n">
        <v>30</v>
      </c>
      <c r="N26" s="5" t="n">
        <v>17</v>
      </c>
      <c r="O26" s="5" t="n">
        <v>33</v>
      </c>
      <c r="P26" s="5" t="n">
        <v>31</v>
      </c>
      <c r="R26" s="2">
        <f>IF(N26&gt;Demand!AU43,0,(IF(((2*(Retailers!AJ25+Distributors_Cap!$P$47)-Retailers_Cap!$BB$7)*(Demand!AU43-Retailers_Cap!N26))&lt;0,0,((IF(BB26&gt;2*(Retailers!AJ25+Distributors_Cap!$P$47),0,(IF(BG26=0,ROUNDUP((2*(Retailers!AJ25+Distributors_Cap!$P$47)-BB26)^0.5,0),ROUNDUP((2*(Retailers!AJ25+Distributors_Cap!$P$47)-BB26)^0.5,0)))))))))</f>
        <v/>
      </c>
      <c r="S26" s="2">
        <f>IF(O26&gt;Demand!AV43,0,(IF(((2*(Retailers!AK25+Distributors_Cap!$P$47)-Retailers_Cap!$BB$7)*(Demand!AV43-Retailers_Cap!O26))&lt;0,0,((IF(BC26&gt;2*(Retailers!AK25+Distributors_Cap!$P$47),0,(IF(BH26=0,ROUNDUP((2*(Retailers!AK25+Distributors_Cap!$P$47)-BC26)^0.5,0),ROUNDUP((2*(Retailers!AK25+Distributors_Cap!$P$47)-BC26)^0.5,0)))))))))</f>
        <v/>
      </c>
      <c r="T26" s="2">
        <f>IF(P26&gt;Demand!AW43,0,(IF(((2*(Retailers!AL25+Distributors_Cap!$P$47)-Retailers_Cap!$BB$7)*(Demand!AW43-Retailers_Cap!P26))&lt;0,0,((IF(BD26&gt;2*(Retailers!AL25+Distributors_Cap!$P$47),0,(IF(BI26=0,ROUNDUP((2*(Retailers!AL25+Distributors_Cap!$P$47)-BD26)^0.5,0),ROUNDUP((2*(Retailers!AL25+Distributors_Cap!$P$47)-BD26)^0.5,0)))))))))</f>
        <v/>
      </c>
      <c r="W26" s="75" t="n">
        <v>30</v>
      </c>
      <c r="X26" s="9" t="n">
        <v>12</v>
      </c>
      <c r="Y26" s="9" t="n">
        <v>0</v>
      </c>
      <c r="Z26" s="9" t="n">
        <v>0</v>
      </c>
      <c r="AB26" s="2">
        <f>ROUNDDOWN(LOG((X26+1),2),0)</f>
        <v/>
      </c>
      <c r="AC26" s="2">
        <f>ROUNDDOWN(LOG((Y26+1),2),0)</f>
        <v/>
      </c>
      <c r="AD26" s="2">
        <f>ROUNDDOWN(LOG((Z26+1),2),0)</f>
        <v/>
      </c>
      <c r="AG26" s="75" t="n">
        <v>30</v>
      </c>
      <c r="AH26" s="9" t="n">
        <v>3</v>
      </c>
      <c r="AI26" s="9" t="n">
        <v>0</v>
      </c>
      <c r="AJ26" s="9" t="n">
        <v>0</v>
      </c>
      <c r="AQ26" s="75" t="n">
        <v>30</v>
      </c>
      <c r="AR26" s="75" t="n">
        <v>54.744</v>
      </c>
      <c r="AS26" s="75" t="n">
        <v>69.771</v>
      </c>
      <c r="AT26" s="75" t="n">
        <v>54.29</v>
      </c>
      <c r="AV26" s="75" t="n">
        <v>30</v>
      </c>
      <c r="AW26" s="75">
        <f>Beginning_stock!AT54</f>
        <v/>
      </c>
      <c r="AX26" s="75">
        <f>Beginning_stock!AU54</f>
        <v/>
      </c>
      <c r="AY26" s="75">
        <f>Beginning_stock!AV54</f>
        <v/>
      </c>
      <c r="BA26" s="75" t="n">
        <v>30</v>
      </c>
      <c r="BB26" s="75">
        <f>IF(Demand!AU43=Retailers_Cap!N26,"ret=0",(AW26/(Demand!AU43-Retailers_Cap!N26)))</f>
        <v/>
      </c>
      <c r="BC26" s="75">
        <f>IF(Demand!AV43=Retailers_Cap!O26,"ret=0",(AX26/(Demand!AV43-Retailers_Cap!O26)))</f>
        <v/>
      </c>
      <c r="BD26" s="75">
        <f>IF(Demand!AW43=Retailers_Cap!P26,"ret=0",(AY26/(Demand!AW43-Retailers_Cap!P26)))</f>
        <v/>
      </c>
      <c r="BF26" s="75" t="n">
        <v>30</v>
      </c>
      <c r="BG26" s="2">
        <f>IF(Demand!AU43&lt;=Retailers_Cap!N26,"ret=0",(IF(BB26&lt;=AR26+Distributors_Cap!$P$47,1,0)))</f>
        <v/>
      </c>
      <c r="BH26" s="2">
        <f>IF(Demand!AV43&lt;=Retailers_Cap!O26,"ret=0",(IF(BC26&lt;=AS26+Distributors_Cap!$P$47,1,0)))</f>
        <v/>
      </c>
      <c r="BI26" s="2">
        <f>IF(Demand!AW43&lt;=Retailers_Cap!P26,"ret=0",(IF(BD26&lt;=AT26+Distributors_Cap!$P$47,1,0)))</f>
        <v/>
      </c>
      <c r="BK26" s="75" t="n">
        <v>30</v>
      </c>
      <c r="BL26" s="75">
        <f>Retailers!BH25</f>
        <v/>
      </c>
      <c r="BM26" s="75">
        <f>Retailers!BI25</f>
        <v/>
      </c>
      <c r="BN26" s="75">
        <f>Retailers!BJ25</f>
        <v/>
      </c>
      <c r="BP26" s="75" t="n">
        <v>30</v>
      </c>
      <c r="BQ26" s="75">
        <f>#REF!</f>
        <v/>
      </c>
      <c r="BR26" s="75">
        <f>#REF!</f>
        <v/>
      </c>
      <c r="BS26" s="75">
        <f>#REF!</f>
        <v/>
      </c>
      <c r="BU26" s="75" t="n">
        <v>30</v>
      </c>
      <c r="BV26" s="75">
        <f>Retailers!AS25</f>
        <v/>
      </c>
      <c r="BW26" s="75">
        <f>Retailers!AT25</f>
        <v/>
      </c>
      <c r="BX26" s="75">
        <f>Retailers!AU25</f>
        <v/>
      </c>
      <c r="BZ26" s="75" t="n">
        <v>30</v>
      </c>
      <c r="CA26" s="75">
        <f>Results!#REF!</f>
        <v/>
      </c>
      <c r="CB26" s="75">
        <f>Results!#REF!</f>
        <v/>
      </c>
      <c r="CC26" s="75">
        <f>Results!#REF!</f>
        <v/>
      </c>
      <c r="CE26" s="75" t="n">
        <v>30</v>
      </c>
      <c r="CF26" s="75">
        <f>Retailers!BN25</f>
        <v/>
      </c>
      <c r="CG26" s="75">
        <f>Retailers!BO25</f>
        <v/>
      </c>
      <c r="CH26" s="75">
        <f>Retailers!BP25</f>
        <v/>
      </c>
      <c r="CJ26" s="75" t="n">
        <v>30</v>
      </c>
      <c r="CK26" s="75">
        <f>IF(BB26="ret=0",0,IF(BB26&gt;0,AR26+Distributors_Cap!$P$47-BB26,0))</f>
        <v/>
      </c>
      <c r="CL26" s="75">
        <f>IF(BC26="ret=0",0,IF(BC26&gt;0,AS26+Distributors_Cap!$P$47-BC26,0))</f>
        <v/>
      </c>
      <c r="CM26" s="75">
        <f>IF(BD26="ret=0",0,IF(BD26&gt;0,AT26+Distributors_Cap!$P$47-BD26,0))</f>
        <v/>
      </c>
    </row>
    <row r="27">
      <c r="G27" s="75" t="n">
        <v>31</v>
      </c>
      <c r="H27" s="75" t="n">
        <v>65.696</v>
      </c>
      <c r="I27" s="75" t="n">
        <v>66.53</v>
      </c>
      <c r="J27" s="75" t="n">
        <v>49.735</v>
      </c>
      <c r="L27" s="75">
        <f>TRUNC((_xlfn.NORM.INV((RAND()),$K$7,$K$8)),0)</f>
        <v/>
      </c>
      <c r="M27" s="75" t="n">
        <v>31</v>
      </c>
      <c r="N27" s="5" t="n">
        <v>23</v>
      </c>
      <c r="O27" s="5" t="n">
        <v>32</v>
      </c>
      <c r="P27" s="5" t="n">
        <v>33</v>
      </c>
      <c r="R27" s="2">
        <f>IF(N27&gt;Demand!AU44,0,(IF(((2*(Retailers!AJ26+Distributors_Cap!$P$47)-Retailers_Cap!$BB$7)*(Demand!AU44-Retailers_Cap!N27))&lt;0,0,((IF(BB27&gt;2*(Retailers!AJ26+Distributors_Cap!$P$47),0,(IF(BG27=0,ROUNDUP((2*(Retailers!AJ26+Distributors_Cap!$P$47)-BB27)^0.5,0),ROUNDUP((2*(Retailers!AJ26+Distributors_Cap!$P$47)-BB27)^0.5,0)))))))))</f>
        <v/>
      </c>
      <c r="S27" s="2">
        <f>IF(O27&gt;Demand!AV44,0,(IF(((2*(Retailers!AK26+Distributors_Cap!$P$47)-Retailers_Cap!$BB$7)*(Demand!AV44-Retailers_Cap!O27))&lt;0,0,((IF(BC27&gt;2*(Retailers!AK26+Distributors_Cap!$P$47),0,(IF(BH27=0,ROUNDUP((2*(Retailers!AK26+Distributors_Cap!$P$47)-BC27)^0.5,0),ROUNDUP((2*(Retailers!AK26+Distributors_Cap!$P$47)-BC27)^0.5,0)))))))))</f>
        <v/>
      </c>
      <c r="T27" s="2">
        <f>IF(P27&gt;Demand!AW44,0,(IF(((2*(Retailers!AL26+Distributors_Cap!$P$47)-Retailers_Cap!$BB$7)*(Demand!AW44-Retailers_Cap!P27))&lt;0,0,((IF(BD27&gt;2*(Retailers!AL26+Distributors_Cap!$P$47),0,(IF(BI27=0,ROUNDUP((2*(Retailers!AL26+Distributors_Cap!$P$47)-BD27)^0.5,0),ROUNDUP((2*(Retailers!AL26+Distributors_Cap!$P$47)-BD27)^0.5,0)))))))))</f>
        <v/>
      </c>
      <c r="W27" s="75" t="n">
        <v>31</v>
      </c>
      <c r="X27" s="9" t="n">
        <v>0</v>
      </c>
      <c r="Y27" s="9" t="n">
        <v>0</v>
      </c>
      <c r="Z27" s="9" t="n">
        <v>10</v>
      </c>
      <c r="AB27" s="2">
        <f>ROUNDDOWN(LOG((X27+1),2),0)</f>
        <v/>
      </c>
      <c r="AC27" s="2">
        <f>ROUNDDOWN(LOG((Y27+1),2),0)</f>
        <v/>
      </c>
      <c r="AD27" s="2">
        <f>ROUNDDOWN(LOG((Z27+1),2),0)</f>
        <v/>
      </c>
      <c r="AG27" s="75" t="n">
        <v>31</v>
      </c>
      <c r="AH27" s="9" t="n">
        <v>0</v>
      </c>
      <c r="AI27" s="9" t="n">
        <v>0</v>
      </c>
      <c r="AJ27" s="9" t="n">
        <v>3</v>
      </c>
      <c r="AQ27" s="75" t="n">
        <v>31</v>
      </c>
      <c r="AR27" s="75" t="n">
        <v>65.696</v>
      </c>
      <c r="AS27" s="75" t="n">
        <v>66.53</v>
      </c>
      <c r="AT27" s="75" t="n">
        <v>49.735</v>
      </c>
      <c r="AV27" s="75" t="n">
        <v>31</v>
      </c>
      <c r="AW27" s="75">
        <f>Beginning_stock!AT55</f>
        <v/>
      </c>
      <c r="AX27" s="75">
        <f>Beginning_stock!AU55</f>
        <v/>
      </c>
      <c r="AY27" s="75">
        <f>Beginning_stock!AV55</f>
        <v/>
      </c>
      <c r="BA27" s="75" t="n">
        <v>31</v>
      </c>
      <c r="BB27" s="75">
        <f>IF(Demand!AU44=Retailers_Cap!N27,"ret=0",(AW27/(Demand!AU44-Retailers_Cap!N27)))</f>
        <v/>
      </c>
      <c r="BC27" s="75">
        <f>IF(Demand!AV44=Retailers_Cap!O27,"ret=0",(AX27/(Demand!AV44-Retailers_Cap!O27)))</f>
        <v/>
      </c>
      <c r="BD27" s="75">
        <f>IF(Demand!AW44=Retailers_Cap!P27,"ret=0",(AY27/(Demand!AW44-Retailers_Cap!P27)))</f>
        <v/>
      </c>
      <c r="BF27" s="75" t="n">
        <v>31</v>
      </c>
      <c r="BG27" s="2">
        <f>IF(Demand!AU44&lt;=Retailers_Cap!N27,"ret=0",(IF(BB27&lt;=AR27+Distributors_Cap!$P$47,1,0)))</f>
        <v/>
      </c>
      <c r="BH27" s="2">
        <f>IF(Demand!AV44&lt;=Retailers_Cap!O27,"ret=0",(IF(BC27&lt;=AS27+Distributors_Cap!$P$47,1,0)))</f>
        <v/>
      </c>
      <c r="BI27" s="2">
        <f>IF(Demand!AW44&lt;=Retailers_Cap!P27,"ret=0",(IF(BD27&lt;=AT27+Distributors_Cap!$P$47,1,0)))</f>
        <v/>
      </c>
      <c r="BK27" s="75" t="n">
        <v>31</v>
      </c>
      <c r="BL27" s="75">
        <f>Retailers!BH26</f>
        <v/>
      </c>
      <c r="BM27" s="75">
        <f>Retailers!BI26</f>
        <v/>
      </c>
      <c r="BN27" s="75">
        <f>Retailers!BJ26</f>
        <v/>
      </c>
      <c r="BP27" s="75" t="n">
        <v>31</v>
      </c>
      <c r="BQ27" s="75">
        <f>#REF!</f>
        <v/>
      </c>
      <c r="BR27" s="75">
        <f>#REF!</f>
        <v/>
      </c>
      <c r="BS27" s="75">
        <f>#REF!</f>
        <v/>
      </c>
      <c r="BU27" s="75" t="n">
        <v>31</v>
      </c>
      <c r="BV27" s="75">
        <f>Retailers!AS26</f>
        <v/>
      </c>
      <c r="BW27" s="75">
        <f>Retailers!AT26</f>
        <v/>
      </c>
      <c r="BX27" s="75">
        <f>Retailers!AU26</f>
        <v/>
      </c>
      <c r="BZ27" s="75" t="n">
        <v>31</v>
      </c>
      <c r="CA27" s="75">
        <f>Results!#REF!</f>
        <v/>
      </c>
      <c r="CB27" s="75">
        <f>Results!#REF!</f>
        <v/>
      </c>
      <c r="CC27" s="75">
        <f>Results!#REF!</f>
        <v/>
      </c>
      <c r="CE27" s="75" t="n">
        <v>31</v>
      </c>
      <c r="CF27" s="75">
        <f>Retailers!BN26</f>
        <v/>
      </c>
      <c r="CG27" s="75">
        <f>Retailers!BO26</f>
        <v/>
      </c>
      <c r="CH27" s="75">
        <f>Retailers!BP26</f>
        <v/>
      </c>
      <c r="CJ27" s="75" t="n">
        <v>31</v>
      </c>
      <c r="CK27" s="75">
        <f>IF(BB27="ret=0",0,IF(BB27&gt;0,AR27+Distributors_Cap!$P$47-BB27,0))</f>
        <v/>
      </c>
      <c r="CL27" s="75">
        <f>IF(BC27="ret=0",0,IF(BC27&gt;0,AS27+Distributors_Cap!$P$47-BC27,0))</f>
        <v/>
      </c>
      <c r="CM27" s="75">
        <f>IF(BD27="ret=0",0,IF(BD27&gt;0,AT27+Distributors_Cap!$P$47-BD27,0))</f>
        <v/>
      </c>
      <c r="CT27" s="75" t="inlineStr">
        <is>
          <t>máximo</t>
        </is>
      </c>
      <c r="CU27" s="75">
        <f>MAX(CU24:CW25)</f>
        <v/>
      </c>
    </row>
    <row r="28">
      <c r="G28" s="75" t="n">
        <v>32</v>
      </c>
      <c r="H28" s="75" t="n">
        <v>71.468</v>
      </c>
      <c r="I28" s="75" t="n">
        <v>35.687</v>
      </c>
      <c r="J28" s="75" t="n">
        <v>51.613</v>
      </c>
      <c r="L28" s="75">
        <f>TRUNC((_xlfn.NORM.INV((RAND()),$K$7,$K$8)),0)</f>
        <v/>
      </c>
      <c r="M28" s="75" t="n">
        <v>32</v>
      </c>
      <c r="N28" s="5" t="n">
        <v>30</v>
      </c>
      <c r="O28" s="5" t="n">
        <v>31</v>
      </c>
      <c r="P28" s="5" t="n">
        <v>16</v>
      </c>
      <c r="R28" s="2">
        <f>IF(N28&gt;Demand!AU45,0,(IF(((2*(Retailers!AJ27+Distributors_Cap!$P$47)-Retailers_Cap!$BB$7)*(Demand!AU45-Retailers_Cap!N28))&lt;0,0,((IF(BB28&gt;2*(Retailers!AJ27+Distributors_Cap!$P$47),0,(IF(BG28=0,ROUNDUP((2*(Retailers!AJ27+Distributors_Cap!$P$47)-BB28)^0.5,0),ROUNDUP((2*(Retailers!AJ27+Distributors_Cap!$P$47)-BB28)^0.5,0)))))))))</f>
        <v/>
      </c>
      <c r="S28" s="2">
        <f>IF(O28&gt;Demand!AV45,0,(IF(((2*(Retailers!AK27+Distributors_Cap!$P$47)-Retailers_Cap!$BB$7)*(Demand!AV45-Retailers_Cap!O28))&lt;0,0,((IF(BC28&gt;2*(Retailers!AK27+Distributors_Cap!$P$47),0,(IF(BH28=0,ROUNDUP((2*(Retailers!AK27+Distributors_Cap!$P$47)-BC28)^0.5,0),ROUNDUP((2*(Retailers!AK27+Distributors_Cap!$P$47)-BC28)^0.5,0)))))))))</f>
        <v/>
      </c>
      <c r="T28" s="2">
        <f>IF(P28&gt;Demand!AW45,0,(IF(((2*(Retailers!AL27+Distributors_Cap!$P$47)-Retailers_Cap!$BB$7)*(Demand!AW45-Retailers_Cap!P28))&lt;0,0,((IF(BD28&gt;2*(Retailers!AL27+Distributors_Cap!$P$47),0,(IF(BI28=0,ROUNDUP((2*(Retailers!AL27+Distributors_Cap!$P$47)-BD28)^0.5,0),ROUNDUP((2*(Retailers!AL27+Distributors_Cap!$P$47)-BD28)^0.5,0)))))))))</f>
        <v/>
      </c>
      <c r="W28" s="75" t="n">
        <v>32</v>
      </c>
      <c r="X28" s="9" t="n">
        <v>0</v>
      </c>
      <c r="Y28" s="9" t="n">
        <v>0</v>
      </c>
      <c r="Z28" s="9" t="n">
        <v>12</v>
      </c>
      <c r="AB28" s="2">
        <f>ROUNDDOWN(LOG((X28+1),2),0)</f>
        <v/>
      </c>
      <c r="AC28" s="2">
        <f>ROUNDDOWN(LOG((Y28+1),2),0)</f>
        <v/>
      </c>
      <c r="AD28" s="2">
        <f>ROUNDDOWN(LOG((Z28+1),2),0)</f>
        <v/>
      </c>
      <c r="AG28" s="75" t="n">
        <v>32</v>
      </c>
      <c r="AH28" s="9" t="n">
        <v>0</v>
      </c>
      <c r="AI28" s="9" t="n">
        <v>0</v>
      </c>
      <c r="AJ28" s="9" t="n">
        <v>3</v>
      </c>
      <c r="AQ28" s="75" t="n">
        <v>32</v>
      </c>
      <c r="AR28" s="75" t="n">
        <v>71.468</v>
      </c>
      <c r="AS28" s="75" t="n">
        <v>35.687</v>
      </c>
      <c r="AT28" s="75" t="n">
        <v>51.613</v>
      </c>
      <c r="AV28" s="75" t="n">
        <v>32</v>
      </c>
      <c r="AW28" s="75">
        <f>Beginning_stock!AT56</f>
        <v/>
      </c>
      <c r="AX28" s="75">
        <f>Beginning_stock!AU56</f>
        <v/>
      </c>
      <c r="AY28" s="75">
        <f>Beginning_stock!AV56</f>
        <v/>
      </c>
      <c r="BA28" s="75" t="n">
        <v>32</v>
      </c>
      <c r="BB28" s="75">
        <f>IF(Demand!AU45=Retailers_Cap!N28,"ret=0",(AW28/(Demand!AU45-Retailers_Cap!N28)))</f>
        <v/>
      </c>
      <c r="BC28" s="75">
        <f>IF(Demand!AV45=Retailers_Cap!O28,"ret=0",(AX28/(Demand!AV45-Retailers_Cap!O28)))</f>
        <v/>
      </c>
      <c r="BD28" s="75">
        <f>IF(Demand!AW45=Retailers_Cap!P28,"ret=0",(AY28/(Demand!AW45-Retailers_Cap!P28)))</f>
        <v/>
      </c>
      <c r="BF28" s="75" t="n">
        <v>32</v>
      </c>
      <c r="BG28" s="2">
        <f>IF(Demand!AU45&lt;=Retailers_Cap!N28,"ret=0",(IF(BB28&lt;=AR28+Distributors_Cap!$P$47,1,0)))</f>
        <v/>
      </c>
      <c r="BH28" s="2">
        <f>IF(Demand!AV45&lt;=Retailers_Cap!O28,"ret=0",(IF(BC28&lt;=AS28+Distributors_Cap!$P$47,1,0)))</f>
        <v/>
      </c>
      <c r="BI28" s="2">
        <f>IF(Demand!AW45&lt;=Retailers_Cap!P28,"ret=0",(IF(BD28&lt;=AT28+Distributors_Cap!$P$47,1,0)))</f>
        <v/>
      </c>
      <c r="BK28" s="75" t="n">
        <v>32</v>
      </c>
      <c r="BL28" s="75">
        <f>Retailers!BH27</f>
        <v/>
      </c>
      <c r="BM28" s="75">
        <f>Retailers!BI27</f>
        <v/>
      </c>
      <c r="BN28" s="75">
        <f>Retailers!BJ27</f>
        <v/>
      </c>
      <c r="BP28" s="75" t="n">
        <v>32</v>
      </c>
      <c r="BQ28" s="75">
        <f>#REF!</f>
        <v/>
      </c>
      <c r="BR28" s="75">
        <f>#REF!</f>
        <v/>
      </c>
      <c r="BS28" s="75">
        <f>#REF!</f>
        <v/>
      </c>
      <c r="BU28" s="75" t="n">
        <v>32</v>
      </c>
      <c r="BV28" s="75">
        <f>Retailers!AS27</f>
        <v/>
      </c>
      <c r="BW28" s="75">
        <f>Retailers!AT27</f>
        <v/>
      </c>
      <c r="BX28" s="75">
        <f>Retailers!AU27</f>
        <v/>
      </c>
      <c r="BZ28" s="75" t="n">
        <v>32</v>
      </c>
      <c r="CA28" s="75">
        <f>Results!#REF!</f>
        <v/>
      </c>
      <c r="CB28" s="75">
        <f>Results!#REF!</f>
        <v/>
      </c>
      <c r="CC28" s="75">
        <f>Results!#REF!</f>
        <v/>
      </c>
      <c r="CE28" s="75" t="n">
        <v>32</v>
      </c>
      <c r="CF28" s="75">
        <f>Retailers!BN27</f>
        <v/>
      </c>
      <c r="CG28" s="75">
        <f>Retailers!BO27</f>
        <v/>
      </c>
      <c r="CH28" s="75">
        <f>Retailers!BP27</f>
        <v/>
      </c>
      <c r="CJ28" s="75" t="n">
        <v>32</v>
      </c>
      <c r="CK28" s="75">
        <f>IF(BB28="ret=0",0,IF(BB28&gt;0,AR28+Distributors_Cap!$P$47-BB28,0))</f>
        <v/>
      </c>
      <c r="CL28" s="75">
        <f>IF(BC28="ret=0",0,IF(BC28&gt;0,AS28+Distributors_Cap!$P$47-BC28,0))</f>
        <v/>
      </c>
      <c r="CM28" s="75">
        <f>IF(BD28="ret=0",0,IF(BD28&gt;0,AT28+Distributors_Cap!$P$47-BD28,0))</f>
        <v/>
      </c>
    </row>
    <row r="29">
      <c r="G29" s="75" t="n">
        <v>33</v>
      </c>
      <c r="H29" s="75" t="n">
        <v>67.304</v>
      </c>
      <c r="I29" s="75" t="n">
        <v>53.203</v>
      </c>
      <c r="J29" s="75" t="n">
        <v>55.226</v>
      </c>
      <c r="L29" s="75">
        <f>TRUNC((_xlfn.NORM.INV((RAND()),$K$7,$K$8)),0)</f>
        <v/>
      </c>
      <c r="M29" s="75" t="n">
        <v>33</v>
      </c>
      <c r="N29" s="5" t="n">
        <v>21</v>
      </c>
      <c r="O29" s="5" t="n">
        <v>23</v>
      </c>
      <c r="P29" s="5" t="n">
        <v>13</v>
      </c>
      <c r="R29" s="2">
        <f>IF(N29&gt;Demand!AU46,0,(IF(((2*(Retailers!AJ28+Distributors_Cap!$P$47)-Retailers_Cap!$BB$7)*(Demand!AU46-Retailers_Cap!N29))&lt;0,0,((IF(BB29&gt;2*(Retailers!AJ28+Distributors_Cap!$P$47),0,(IF(BG29=0,ROUNDUP((2*(Retailers!AJ28+Distributors_Cap!$P$47)-BB29)^0.5,0),ROUNDUP((2*(Retailers!AJ28+Distributors_Cap!$P$47)-BB29)^0.5,0)))))))))</f>
        <v/>
      </c>
      <c r="S29" s="2">
        <f>IF(O29&gt;Demand!AV46,0,(IF(((2*(Retailers!AK28+Distributors_Cap!$P$47)-Retailers_Cap!$BB$7)*(Demand!AV46-Retailers_Cap!O29))&lt;0,0,((IF(BC29&gt;2*(Retailers!AK28+Distributors_Cap!$P$47),0,(IF(BH29=0,ROUNDUP((2*(Retailers!AK28+Distributors_Cap!$P$47)-BC29)^0.5,0),ROUNDUP((2*(Retailers!AK28+Distributors_Cap!$P$47)-BC29)^0.5,0)))))))))</f>
        <v/>
      </c>
      <c r="T29" s="2">
        <f>IF(P29&gt;Demand!AW46,0,(IF(((2*(Retailers!AL28+Distributors_Cap!$P$47)-Retailers_Cap!$BB$7)*(Demand!AW46-Retailers_Cap!P29))&lt;0,0,((IF(BD29&gt;2*(Retailers!AL28+Distributors_Cap!$P$47),0,(IF(BI29=0,ROUNDUP((2*(Retailers!AL28+Distributors_Cap!$P$47)-BD29)^0.5,0),ROUNDUP((2*(Retailers!AL28+Distributors_Cap!$P$47)-BD29)^0.5,0)))))))))</f>
        <v/>
      </c>
      <c r="W29" s="75" t="n">
        <v>33</v>
      </c>
      <c r="X29" s="9" t="n">
        <v>11</v>
      </c>
      <c r="Y29" s="9" t="n">
        <v>11</v>
      </c>
      <c r="Z29" s="9" t="n">
        <v>13</v>
      </c>
      <c r="AB29" s="2">
        <f>ROUNDDOWN(LOG((X29+1),2),0)</f>
        <v/>
      </c>
      <c r="AC29" s="2">
        <f>ROUNDDOWN(LOG((Y29+1),2),0)</f>
        <v/>
      </c>
      <c r="AD29" s="2">
        <f>ROUNDDOWN(LOG((Z29+1),2),0)</f>
        <v/>
      </c>
      <c r="AG29" s="75" t="n">
        <v>33</v>
      </c>
      <c r="AH29" s="9" t="n">
        <v>3</v>
      </c>
      <c r="AI29" s="9" t="n">
        <v>3</v>
      </c>
      <c r="AJ29" s="9" t="n">
        <v>3</v>
      </c>
      <c r="AQ29" s="75" t="n">
        <v>33</v>
      </c>
      <c r="AR29" s="75" t="n">
        <v>67.304</v>
      </c>
      <c r="AS29" s="75" t="n">
        <v>53.203</v>
      </c>
      <c r="AT29" s="75" t="n">
        <v>55.226</v>
      </c>
      <c r="AV29" s="75" t="n">
        <v>33</v>
      </c>
      <c r="AW29" s="75">
        <f>Beginning_stock!AT57</f>
        <v/>
      </c>
      <c r="AX29" s="75">
        <f>Beginning_stock!AU57</f>
        <v/>
      </c>
      <c r="AY29" s="75">
        <f>Beginning_stock!AV57</f>
        <v/>
      </c>
      <c r="BA29" s="75" t="n">
        <v>33</v>
      </c>
      <c r="BB29" s="75">
        <f>IF(Demand!AU46=Retailers_Cap!N29,"ret=0",(AW29/(Demand!AU46-Retailers_Cap!N29)))</f>
        <v/>
      </c>
      <c r="BC29" s="75">
        <f>IF(Demand!AV46=Retailers_Cap!O29,"ret=0",(AX29/(Demand!AV46-Retailers_Cap!O29)))</f>
        <v/>
      </c>
      <c r="BD29" s="75">
        <f>IF(Demand!AW46=Retailers_Cap!P29,"ret=0",(AY29/(Demand!AW46-Retailers_Cap!P29)))</f>
        <v/>
      </c>
      <c r="BF29" s="75" t="n">
        <v>33</v>
      </c>
      <c r="BG29" s="2">
        <f>IF(Demand!AU46&lt;=Retailers_Cap!N29,"ret=0",(IF(BB29&lt;=AR29+Distributors_Cap!$P$47,1,0)))</f>
        <v/>
      </c>
      <c r="BH29" s="2">
        <f>IF(Demand!AV46&lt;=Retailers_Cap!O29,"ret=0",(IF(BC29&lt;=AS29+Distributors_Cap!$P$47,1,0)))</f>
        <v/>
      </c>
      <c r="BI29" s="2">
        <f>IF(Demand!AW46&lt;=Retailers_Cap!P29,"ret=0",(IF(BD29&lt;=AT29+Distributors_Cap!$P$47,1,0)))</f>
        <v/>
      </c>
      <c r="BK29" s="75" t="n">
        <v>33</v>
      </c>
      <c r="BL29" s="75">
        <f>Retailers!BH28</f>
        <v/>
      </c>
      <c r="BM29" s="75">
        <f>Retailers!BI28</f>
        <v/>
      </c>
      <c r="BN29" s="75">
        <f>Retailers!BJ28</f>
        <v/>
      </c>
      <c r="BP29" s="75" t="n">
        <v>33</v>
      </c>
      <c r="BQ29" s="75">
        <f>#REF!</f>
        <v/>
      </c>
      <c r="BR29" s="75">
        <f>#REF!</f>
        <v/>
      </c>
      <c r="BS29" s="75">
        <f>#REF!</f>
        <v/>
      </c>
      <c r="BU29" s="75" t="n">
        <v>33</v>
      </c>
      <c r="BV29" s="75">
        <f>Retailers!AS28</f>
        <v/>
      </c>
      <c r="BW29" s="75">
        <f>Retailers!AT28</f>
        <v/>
      </c>
      <c r="BX29" s="75">
        <f>Retailers!AU28</f>
        <v/>
      </c>
      <c r="BZ29" s="75" t="n">
        <v>33</v>
      </c>
      <c r="CA29" s="75">
        <f>Results!#REF!</f>
        <v/>
      </c>
      <c r="CB29" s="75">
        <f>Results!#REF!</f>
        <v/>
      </c>
      <c r="CC29" s="75">
        <f>Results!#REF!</f>
        <v/>
      </c>
      <c r="CE29" s="75" t="n">
        <v>33</v>
      </c>
      <c r="CF29" s="75">
        <f>Retailers!BN28</f>
        <v/>
      </c>
      <c r="CG29" s="75">
        <f>Retailers!BO28</f>
        <v/>
      </c>
      <c r="CH29" s="75">
        <f>Retailers!BP28</f>
        <v/>
      </c>
      <c r="CJ29" s="75" t="n">
        <v>33</v>
      </c>
      <c r="CK29" s="75">
        <f>IF(BB29="ret=0",0,IF(BB29&gt;0,AR29+Distributors_Cap!$P$47-BB29,0))</f>
        <v/>
      </c>
      <c r="CL29" s="75">
        <f>IF(BC29="ret=0",0,IF(BC29&gt;0,AS29+Distributors_Cap!$P$47-BC29,0))</f>
        <v/>
      </c>
      <c r="CM29" s="75">
        <f>IF(BD29="ret=0",0,IF(BD29&gt;0,AT29+Distributors_Cap!$P$47-BD29,0))</f>
        <v/>
      </c>
    </row>
    <row r="30">
      <c r="G30" s="75" t="n">
        <v>34</v>
      </c>
      <c r="H30" s="75" t="n">
        <v>61.695</v>
      </c>
      <c r="I30" s="75" t="n">
        <v>33.083</v>
      </c>
      <c r="J30" s="75" t="n">
        <v>48.755</v>
      </c>
      <c r="L30" s="75">
        <f>TRUNC((_xlfn.NORM.INV((RAND()),$K$7,$K$8)),0)</f>
        <v/>
      </c>
      <c r="M30" s="75" t="n">
        <v>34</v>
      </c>
      <c r="N30" s="5" t="n">
        <v>32</v>
      </c>
      <c r="O30" s="5" t="n">
        <v>40</v>
      </c>
      <c r="P30" s="5" t="n">
        <v>28</v>
      </c>
      <c r="R30" s="2">
        <f>IF(N30&gt;Demand!AU47,0,(IF(((2*(Retailers!AJ29+Distributors_Cap!$P$47)-Retailers_Cap!$BB$7)*(Demand!AU47-Retailers_Cap!N30))&lt;0,0,((IF(BB30&gt;2*(Retailers!AJ29+Distributors_Cap!$P$47),0,(IF(BG30=0,ROUNDUP((2*(Retailers!AJ29+Distributors_Cap!$P$47)-BB30)^0.5,0),ROUNDUP((2*(Retailers!AJ29+Distributors_Cap!$P$47)-BB30)^0.5,0)))))))))</f>
        <v/>
      </c>
      <c r="S30" s="2">
        <f>IF(O30&gt;Demand!AV47,0,(IF(((2*(Retailers!AK29+Distributors_Cap!$P$47)-Retailers_Cap!$BB$7)*(Demand!AV47-Retailers_Cap!O30))&lt;0,0,((IF(BC30&gt;2*(Retailers!AK29+Distributors_Cap!$P$47),0,(IF(BH30=0,ROUNDUP((2*(Retailers!AK29+Distributors_Cap!$P$47)-BC30)^0.5,0),ROUNDUP((2*(Retailers!AK29+Distributors_Cap!$P$47)-BC30)^0.5,0)))))))))</f>
        <v/>
      </c>
      <c r="T30" s="2">
        <f>IF(P30&gt;Demand!AW47,0,(IF(((2*(Retailers!AL29+Distributors_Cap!$P$47)-Retailers_Cap!$BB$7)*(Demand!AW47-Retailers_Cap!P30))&lt;0,0,((IF(BD30&gt;2*(Retailers!AL29+Distributors_Cap!$P$47),0,(IF(BI30=0,ROUNDUP((2*(Retailers!AL29+Distributors_Cap!$P$47)-BD30)^0.5,0),ROUNDUP((2*(Retailers!AL29+Distributors_Cap!$P$47)-BD30)^0.5,0)))))))))</f>
        <v/>
      </c>
      <c r="W30" s="75" t="n">
        <v>34</v>
      </c>
      <c r="X30" s="9" t="n">
        <v>0</v>
      </c>
      <c r="Y30" s="9" t="n">
        <v>0</v>
      </c>
      <c r="Z30" s="9" t="n">
        <v>10</v>
      </c>
      <c r="AB30" s="2">
        <f>ROUNDDOWN(LOG((X30+1),2),0)</f>
        <v/>
      </c>
      <c r="AC30" s="2">
        <f>ROUNDDOWN(LOG((Y30+1),2),0)</f>
        <v/>
      </c>
      <c r="AD30" s="2">
        <f>ROUNDDOWN(LOG((Z30+1),2),0)</f>
        <v/>
      </c>
      <c r="AG30" s="75" t="n">
        <v>34</v>
      </c>
      <c r="AH30" s="9" t="n">
        <v>0</v>
      </c>
      <c r="AI30" s="9" t="n">
        <v>0</v>
      </c>
      <c r="AJ30" s="9" t="n">
        <v>3</v>
      </c>
      <c r="AQ30" s="75" t="n">
        <v>34</v>
      </c>
      <c r="AR30" s="75" t="n">
        <v>61.695</v>
      </c>
      <c r="AS30" s="75" t="n">
        <v>33.083</v>
      </c>
      <c r="AT30" s="75" t="n">
        <v>48.755</v>
      </c>
      <c r="AV30" s="75" t="n">
        <v>34</v>
      </c>
      <c r="AW30" s="75">
        <f>Beginning_stock!AT58</f>
        <v/>
      </c>
      <c r="AX30" s="75">
        <f>Beginning_stock!AU58</f>
        <v/>
      </c>
      <c r="AY30" s="75">
        <f>Beginning_stock!AV58</f>
        <v/>
      </c>
      <c r="BA30" s="75" t="n">
        <v>34</v>
      </c>
      <c r="BB30" s="75">
        <f>IF(Demand!AU47=Retailers_Cap!N30,"ret=0",(AW30/(Demand!AU47-Retailers_Cap!N30)))</f>
        <v/>
      </c>
      <c r="BC30" s="75">
        <f>IF(Demand!AV47=Retailers_Cap!O30,"ret=0",(AX30/(Demand!AV47-Retailers_Cap!O30)))</f>
        <v/>
      </c>
      <c r="BD30" s="75">
        <f>IF(Demand!AW47=Retailers_Cap!P30,"ret=0",(AY30/(Demand!AW47-Retailers_Cap!P30)))</f>
        <v/>
      </c>
      <c r="BF30" s="75" t="n">
        <v>34</v>
      </c>
      <c r="BG30" s="2">
        <f>IF(Demand!AU47&lt;=Retailers_Cap!N30,"ret=0",(IF(BB30&lt;=AR30+Distributors_Cap!$P$47,1,0)))</f>
        <v/>
      </c>
      <c r="BH30" s="2">
        <f>IF(Demand!AV47&lt;=Retailers_Cap!O30,"ret=0",(IF(BC30&lt;=AS30+Distributors_Cap!$P$47,1,0)))</f>
        <v/>
      </c>
      <c r="BI30" s="2">
        <f>IF(Demand!AW47&lt;=Retailers_Cap!P30,"ret=0",(IF(BD30&lt;=AT30+Distributors_Cap!$P$47,1,0)))</f>
        <v/>
      </c>
      <c r="BK30" s="75" t="n">
        <v>34</v>
      </c>
      <c r="BL30" s="75">
        <f>Retailers!BH29</f>
        <v/>
      </c>
      <c r="BM30" s="75">
        <f>Retailers!BI29</f>
        <v/>
      </c>
      <c r="BN30" s="75">
        <f>Retailers!BJ29</f>
        <v/>
      </c>
      <c r="BP30" s="75" t="n">
        <v>34</v>
      </c>
      <c r="BQ30" s="75">
        <f>#REF!</f>
        <v/>
      </c>
      <c r="BR30" s="75">
        <f>#REF!</f>
        <v/>
      </c>
      <c r="BS30" s="75">
        <f>#REF!</f>
        <v/>
      </c>
      <c r="BU30" s="75" t="n">
        <v>34</v>
      </c>
      <c r="BV30" s="75">
        <f>Retailers!AS29</f>
        <v/>
      </c>
      <c r="BW30" s="75">
        <f>Retailers!AT29</f>
        <v/>
      </c>
      <c r="BX30" s="75">
        <f>Retailers!AU29</f>
        <v/>
      </c>
      <c r="BZ30" s="75" t="n">
        <v>34</v>
      </c>
      <c r="CA30" s="75">
        <f>Results!#REF!</f>
        <v/>
      </c>
      <c r="CB30" s="75">
        <f>Results!#REF!</f>
        <v/>
      </c>
      <c r="CC30" s="75">
        <f>Results!#REF!</f>
        <v/>
      </c>
      <c r="CE30" s="75" t="n">
        <v>34</v>
      </c>
      <c r="CF30" s="75">
        <f>Retailers!BN29</f>
        <v/>
      </c>
      <c r="CG30" s="75">
        <f>Retailers!BO29</f>
        <v/>
      </c>
      <c r="CH30" s="75">
        <f>Retailers!BP29</f>
        <v/>
      </c>
      <c r="CJ30" s="75" t="n">
        <v>34</v>
      </c>
      <c r="CK30" s="75">
        <f>IF(BB30="ret=0",0,IF(BB30&gt;0,AR30+Distributors_Cap!$P$47-BB30,0))</f>
        <v/>
      </c>
      <c r="CL30" s="75">
        <f>IF(BC30="ret=0",0,IF(BC30&gt;0,AS30+Distributors_Cap!$P$47-BC30,0))</f>
        <v/>
      </c>
      <c r="CM30" s="75">
        <f>IF(BD30="ret=0",0,IF(BD30&gt;0,AT30+Distributors_Cap!$P$47-BD30,0))</f>
        <v/>
      </c>
    </row>
    <row r="31">
      <c r="G31" s="75" t="n">
        <v>35</v>
      </c>
      <c r="H31" s="75" t="n">
        <v>68.51300000000001</v>
      </c>
      <c r="I31" s="75" t="n">
        <v>45.747</v>
      </c>
      <c r="J31" s="75" t="n">
        <v>67.163</v>
      </c>
      <c r="L31" s="75">
        <f>TRUNC((_xlfn.NORM.INV((RAND()),$K$7,$K$8)),0)</f>
        <v/>
      </c>
      <c r="M31" s="75" t="n">
        <v>35</v>
      </c>
      <c r="N31" s="5" t="n">
        <v>15</v>
      </c>
      <c r="O31" s="5" t="n">
        <v>31</v>
      </c>
      <c r="P31" s="5" t="n">
        <v>26</v>
      </c>
      <c r="R31" s="2">
        <f>IF(N31&gt;Demand!AU48,0,(IF(((2*(Retailers!AJ30+Distributors_Cap!$P$47)-Retailers_Cap!$BB$7)*(Demand!AU48-Retailers_Cap!N31))&lt;0,0,((IF(BB31&gt;2*(Retailers!AJ30+Distributors_Cap!$P$47),0,(IF(BG31=0,ROUNDUP((2*(Retailers!AJ30+Distributors_Cap!$P$47)-BB31)^0.5,0),ROUNDUP((2*(Retailers!AJ30+Distributors_Cap!$P$47)-BB31)^0.5,0)))))))))</f>
        <v/>
      </c>
      <c r="S31" s="2">
        <f>IF(O31&gt;Demand!AV48,0,(IF(((2*(Retailers!AK30+Distributors_Cap!$P$47)-Retailers_Cap!$BB$7)*(Demand!AV48-Retailers_Cap!O31))&lt;0,0,((IF(BC31&gt;2*(Retailers!AK30+Distributors_Cap!$P$47),0,(IF(BH31=0,ROUNDUP((2*(Retailers!AK30+Distributors_Cap!$P$47)-BC31)^0.5,0),ROUNDUP((2*(Retailers!AK30+Distributors_Cap!$P$47)-BC31)^0.5,0)))))))))</f>
        <v/>
      </c>
      <c r="T31" s="2">
        <f>IF(P31&gt;Demand!AW48,0,(IF(((2*(Retailers!AL30+Distributors_Cap!$P$47)-Retailers_Cap!$BB$7)*(Demand!AW48-Retailers_Cap!P31))&lt;0,0,((IF(BD31&gt;2*(Retailers!AL30+Distributors_Cap!$P$47),0,(IF(BI31=0,ROUNDUP((2*(Retailers!AL30+Distributors_Cap!$P$47)-BD31)^0.5,0),ROUNDUP((2*(Retailers!AL30+Distributors_Cap!$P$47)-BD31)^0.5,0)))))))))</f>
        <v/>
      </c>
      <c r="W31" s="75" t="n">
        <v>35</v>
      </c>
      <c r="X31" s="9" t="n">
        <v>13</v>
      </c>
      <c r="Y31" s="9" t="n">
        <v>0</v>
      </c>
      <c r="Z31" s="9" t="n">
        <v>14</v>
      </c>
      <c r="AB31" s="2">
        <f>ROUNDDOWN(LOG((X31+1),2),0)</f>
        <v/>
      </c>
      <c r="AC31" s="2">
        <f>ROUNDDOWN(LOG((Y31+1),2),0)</f>
        <v/>
      </c>
      <c r="AD31" s="2">
        <f>ROUNDDOWN(LOG((Z31+1),2),0)</f>
        <v/>
      </c>
      <c r="AG31" s="75" t="n">
        <v>35</v>
      </c>
      <c r="AH31" s="9" t="n">
        <v>3</v>
      </c>
      <c r="AI31" s="9" t="n">
        <v>0</v>
      </c>
      <c r="AJ31" s="9" t="n">
        <v>3</v>
      </c>
      <c r="AQ31" s="75" t="n">
        <v>35</v>
      </c>
      <c r="AR31" s="75" t="n">
        <v>68.51300000000001</v>
      </c>
      <c r="AS31" s="75" t="n">
        <v>45.747</v>
      </c>
      <c r="AT31" s="75" t="n">
        <v>67.163</v>
      </c>
      <c r="AV31" s="75" t="n">
        <v>35</v>
      </c>
      <c r="AW31" s="75">
        <f>Beginning_stock!AT59</f>
        <v/>
      </c>
      <c r="AX31" s="75">
        <f>Beginning_stock!AU59</f>
        <v/>
      </c>
      <c r="AY31" s="75">
        <f>Beginning_stock!AV59</f>
        <v/>
      </c>
      <c r="BA31" s="75" t="n">
        <v>35</v>
      </c>
      <c r="BB31" s="75">
        <f>IF(Demand!AU48=Retailers_Cap!N31,"ret=0",(AW31/(Demand!AU48-Retailers_Cap!N31)))</f>
        <v/>
      </c>
      <c r="BC31" s="75">
        <f>IF(Demand!AV48=Retailers_Cap!O31,"ret=0",(AX31/(Demand!AV48-Retailers_Cap!O31)))</f>
        <v/>
      </c>
      <c r="BD31" s="75">
        <f>IF(Demand!AW48=Retailers_Cap!P31,"ret=0",(AY31/(Demand!AW48-Retailers_Cap!P31)))</f>
        <v/>
      </c>
      <c r="BF31" s="75" t="n">
        <v>35</v>
      </c>
      <c r="BG31" s="2">
        <f>IF(Demand!AU48&lt;=Retailers_Cap!N31,"ret=0",(IF(BB31&lt;=AR31+Distributors_Cap!$P$47,1,0)))</f>
        <v/>
      </c>
      <c r="BH31" s="2">
        <f>IF(Demand!AV48&lt;=Retailers_Cap!O31,"ret=0",(IF(BC31&lt;=AS31+Distributors_Cap!$P$47,1,0)))</f>
        <v/>
      </c>
      <c r="BI31" s="2">
        <f>IF(Demand!AW48&lt;=Retailers_Cap!P31,"ret=0",(IF(BD31&lt;=AT31+Distributors_Cap!$P$47,1,0)))</f>
        <v/>
      </c>
      <c r="BK31" s="75" t="n">
        <v>35</v>
      </c>
      <c r="BL31" s="75">
        <f>Retailers!BH30</f>
        <v/>
      </c>
      <c r="BM31" s="75">
        <f>Retailers!BI30</f>
        <v/>
      </c>
      <c r="BN31" s="75">
        <f>Retailers!BJ30</f>
        <v/>
      </c>
      <c r="BP31" s="75" t="n">
        <v>35</v>
      </c>
      <c r="BQ31" s="75">
        <f>#REF!</f>
        <v/>
      </c>
      <c r="BR31" s="75">
        <f>#REF!</f>
        <v/>
      </c>
      <c r="BS31" s="75">
        <f>#REF!</f>
        <v/>
      </c>
      <c r="BU31" s="75" t="n">
        <v>35</v>
      </c>
      <c r="BV31" s="75">
        <f>Retailers!AS30</f>
        <v/>
      </c>
      <c r="BW31" s="75">
        <f>Retailers!AT30</f>
        <v/>
      </c>
      <c r="BX31" s="75">
        <f>Retailers!AU30</f>
        <v/>
      </c>
      <c r="BZ31" s="75" t="n">
        <v>35</v>
      </c>
      <c r="CA31" s="75">
        <f>Results!#REF!</f>
        <v/>
      </c>
      <c r="CB31" s="75">
        <f>Results!#REF!</f>
        <v/>
      </c>
      <c r="CC31" s="75">
        <f>Results!#REF!</f>
        <v/>
      </c>
      <c r="CE31" s="75" t="n">
        <v>35</v>
      </c>
      <c r="CF31" s="75">
        <f>Retailers!BN30</f>
        <v/>
      </c>
      <c r="CG31" s="75">
        <f>Retailers!BO30</f>
        <v/>
      </c>
      <c r="CH31" s="75">
        <f>Retailers!BP30</f>
        <v/>
      </c>
      <c r="CJ31" s="75" t="n">
        <v>35</v>
      </c>
      <c r="CK31" s="75">
        <f>IF(BB31="ret=0",0,IF(BB31&gt;0,AR31+Distributors_Cap!$P$47-BB31,0))</f>
        <v/>
      </c>
      <c r="CL31" s="75">
        <f>IF(BC31="ret=0",0,IF(BC31&gt;0,AS31+Distributors_Cap!$P$47-BC31,0))</f>
        <v/>
      </c>
      <c r="CM31" s="75">
        <f>IF(BD31="ret=0",0,IF(BD31&gt;0,AT31+Distributors_Cap!$P$47-BD31,0))</f>
        <v/>
      </c>
    </row>
    <row r="32">
      <c r="G32" s="75" t="n">
        <v>36</v>
      </c>
      <c r="H32" s="75" t="n">
        <v>58.349</v>
      </c>
      <c r="I32" s="75" t="n">
        <v>62.475</v>
      </c>
      <c r="J32" s="75" t="n">
        <v>98.17400000000001</v>
      </c>
      <c r="L32" s="75">
        <f>TRUNC((_xlfn.NORM.INV((RAND()),$K$7,$K$8)),0)</f>
        <v/>
      </c>
      <c r="M32" s="75" t="n">
        <v>36</v>
      </c>
      <c r="N32" s="5" t="n">
        <v>40</v>
      </c>
      <c r="O32" s="5" t="n">
        <v>23</v>
      </c>
      <c r="P32" s="5" t="n">
        <v>32</v>
      </c>
      <c r="R32" s="2">
        <f>IF(N32&gt;Demand!AU49,0,(IF(((2*(Retailers!AJ31+Distributors_Cap!$P$47)-Retailers_Cap!$BB$7)*(Demand!AU49-Retailers_Cap!N32))&lt;0,0,((IF(BB32&gt;2*(Retailers!AJ31+Distributors_Cap!$P$47),0,(IF(BG32=0,ROUNDUP((2*(Retailers!AJ31+Distributors_Cap!$P$47)-BB32)^0.5,0),ROUNDUP((2*(Retailers!AJ31+Distributors_Cap!$P$47)-BB32)^0.5,0)))))))))</f>
        <v/>
      </c>
      <c r="S32" s="2">
        <f>IF(O32&gt;Demand!AV49,0,(IF(((2*(Retailers!AK31+Distributors_Cap!$P$47)-Retailers_Cap!$BB$7)*(Demand!AV49-Retailers_Cap!O32))&lt;0,0,((IF(BC32&gt;2*(Retailers!AK31+Distributors_Cap!$P$47),0,(IF(BH32=0,ROUNDUP((2*(Retailers!AK31+Distributors_Cap!$P$47)-BC32)^0.5,0),ROUNDUP((2*(Retailers!AK31+Distributors_Cap!$P$47)-BC32)^0.5,0)))))))))</f>
        <v/>
      </c>
      <c r="T32" s="2">
        <f>IF(P32&gt;Demand!AW49,0,(IF(((2*(Retailers!AL31+Distributors_Cap!$P$47)-Retailers_Cap!$BB$7)*(Demand!AW49-Retailers_Cap!P32))&lt;0,0,((IF(BD32&gt;2*(Retailers!AL31+Distributors_Cap!$P$47),0,(IF(BI32=0,ROUNDUP((2*(Retailers!AL31+Distributors_Cap!$P$47)-BD32)^0.5,0),ROUNDUP((2*(Retailers!AL31+Distributors_Cap!$P$47)-BD32)^0.5,0)))))))))</f>
        <v/>
      </c>
      <c r="W32" s="75" t="n">
        <v>36</v>
      </c>
      <c r="X32" s="9" t="n">
        <v>0</v>
      </c>
      <c r="Y32" s="9" t="n">
        <v>13</v>
      </c>
      <c r="Z32" s="9" t="n">
        <v>15</v>
      </c>
      <c r="AB32" s="2">
        <f>ROUNDDOWN(LOG((X32+1),2),0)</f>
        <v/>
      </c>
      <c r="AC32" s="2">
        <f>ROUNDDOWN(LOG((Y32+1),2),0)</f>
        <v/>
      </c>
      <c r="AD32" s="2">
        <f>ROUNDDOWN(LOG((Z32+1),2),0)</f>
        <v/>
      </c>
      <c r="AG32" s="75" t="n">
        <v>36</v>
      </c>
      <c r="AH32" s="9" t="n">
        <v>0</v>
      </c>
      <c r="AI32" s="9" t="n">
        <v>3</v>
      </c>
      <c r="AJ32" s="9" t="n">
        <v>4</v>
      </c>
      <c r="AQ32" s="75" t="n">
        <v>36</v>
      </c>
      <c r="AR32" s="75" t="n">
        <v>58.349</v>
      </c>
      <c r="AS32" s="75" t="n">
        <v>62.475</v>
      </c>
      <c r="AT32" s="75" t="n">
        <v>98.17400000000001</v>
      </c>
      <c r="AV32" s="75" t="n">
        <v>36</v>
      </c>
      <c r="AW32" s="75">
        <f>Beginning_stock!AT60</f>
        <v/>
      </c>
      <c r="AX32" s="75">
        <f>Beginning_stock!AU60</f>
        <v/>
      </c>
      <c r="AY32" s="75">
        <f>Beginning_stock!AV60</f>
        <v/>
      </c>
      <c r="BA32" s="75" t="n">
        <v>36</v>
      </c>
      <c r="BB32" s="75">
        <f>IF(Demand!AU49=Retailers_Cap!N32,"ret=0",(AW32/(Demand!AU49-Retailers_Cap!N32)))</f>
        <v/>
      </c>
      <c r="BC32" s="75">
        <f>IF(Demand!AV49=Retailers_Cap!O32,"ret=0",(AX32/(Demand!AV49-Retailers_Cap!O32)))</f>
        <v/>
      </c>
      <c r="BD32" s="75">
        <f>IF(Demand!AW49=Retailers_Cap!P32,"ret=0",(AY32/(Demand!AW49-Retailers_Cap!P32)))</f>
        <v/>
      </c>
      <c r="BF32" s="75" t="n">
        <v>36</v>
      </c>
      <c r="BG32" s="2">
        <f>IF(Demand!AU49&lt;=Retailers_Cap!N32,"ret=0",(IF(BB32&lt;=AR32+Distributors_Cap!$P$47,1,0)))</f>
        <v/>
      </c>
      <c r="BH32" s="2">
        <f>IF(Demand!AV49&lt;=Retailers_Cap!O32,"ret=0",(IF(BC32&lt;=AS32+Distributors_Cap!$P$47,1,0)))</f>
        <v/>
      </c>
      <c r="BI32" s="2">
        <f>IF(Demand!AW49&lt;=Retailers_Cap!P32,"ret=0",(IF(BD32&lt;=AT32+Distributors_Cap!$P$47,1,0)))</f>
        <v/>
      </c>
      <c r="BK32" s="75" t="n">
        <v>36</v>
      </c>
      <c r="BL32" s="75">
        <f>Retailers!BH31</f>
        <v/>
      </c>
      <c r="BM32" s="75">
        <f>Retailers!BI31</f>
        <v/>
      </c>
      <c r="BN32" s="75">
        <f>Retailers!BJ31</f>
        <v/>
      </c>
      <c r="BP32" s="75" t="n">
        <v>36</v>
      </c>
      <c r="BQ32" s="75">
        <f>#REF!</f>
        <v/>
      </c>
      <c r="BR32" s="75">
        <f>#REF!</f>
        <v/>
      </c>
      <c r="BS32" s="75">
        <f>#REF!</f>
        <v/>
      </c>
      <c r="BU32" s="75" t="n">
        <v>36</v>
      </c>
      <c r="BV32" s="75">
        <f>Retailers!AS31</f>
        <v/>
      </c>
      <c r="BW32" s="75">
        <f>Retailers!AT31</f>
        <v/>
      </c>
      <c r="BX32" s="75">
        <f>Retailers!AU31</f>
        <v/>
      </c>
      <c r="BZ32" s="75" t="n">
        <v>36</v>
      </c>
      <c r="CA32" s="75">
        <f>Results!#REF!</f>
        <v/>
      </c>
      <c r="CB32" s="75">
        <f>Results!#REF!</f>
        <v/>
      </c>
      <c r="CC32" s="75">
        <f>Results!#REF!</f>
        <v/>
      </c>
      <c r="CE32" s="75" t="n">
        <v>36</v>
      </c>
      <c r="CF32" s="75">
        <f>Retailers!BN31</f>
        <v/>
      </c>
      <c r="CG32" s="75">
        <f>Retailers!BO31</f>
        <v/>
      </c>
      <c r="CH32" s="75">
        <f>Retailers!BP31</f>
        <v/>
      </c>
      <c r="CJ32" s="75" t="n">
        <v>36</v>
      </c>
      <c r="CK32" s="75">
        <f>IF(BB32="ret=0",0,IF(BB32&gt;0,AR32+Distributors_Cap!$P$47-BB32,0))</f>
        <v/>
      </c>
      <c r="CL32" s="75">
        <f>IF(BC32="ret=0",0,IF(BC32&gt;0,AS32+Distributors_Cap!$P$47-BC32,0))</f>
        <v/>
      </c>
      <c r="CM32" s="75">
        <f>IF(BD32="ret=0",0,IF(BD32&gt;0,AT32+Distributors_Cap!$P$47-BD32,0))</f>
        <v/>
      </c>
    </row>
    <row r="33">
      <c r="G33" s="75" t="n">
        <v>37</v>
      </c>
      <c r="H33" s="75" t="n">
        <v>50.638</v>
      </c>
      <c r="I33" s="75" t="n">
        <v>52.521</v>
      </c>
      <c r="J33" s="75" t="n">
        <v>85.3</v>
      </c>
      <c r="L33" s="75">
        <f>TRUNC((_xlfn.NORM.INV((RAND()),$K$7,$K$8)),0)</f>
        <v/>
      </c>
      <c r="M33" s="75" t="n">
        <v>37</v>
      </c>
      <c r="N33" s="5" t="n">
        <v>32</v>
      </c>
      <c r="O33" s="5" t="n">
        <v>25</v>
      </c>
      <c r="P33" s="5" t="n">
        <v>33</v>
      </c>
      <c r="R33" s="2">
        <f>IF(N33&gt;Demand!AU50,0,(IF(((2*(Retailers!AJ32+Distributors_Cap!$P$47)-Retailers_Cap!$BB$7)*(Demand!AU50-Retailers_Cap!N33))&lt;0,0,((IF(BB33&gt;2*(Retailers!AJ32+Distributors_Cap!$P$47),0,(IF(BG33=0,ROUNDUP((2*(Retailers!AJ32+Distributors_Cap!$P$47)-BB33)^0.5,0),ROUNDUP((2*(Retailers!AJ32+Distributors_Cap!$P$47)-BB33)^0.5,0)))))))))</f>
        <v/>
      </c>
      <c r="S33" s="2">
        <f>IF(O33&gt;Demand!AV50,0,(IF(((2*(Retailers!AK32+Distributors_Cap!$P$47)-Retailers_Cap!$BB$7)*(Demand!AV50-Retailers_Cap!O33))&lt;0,0,((IF(BC33&gt;2*(Retailers!AK32+Distributors_Cap!$P$47),0,(IF(BH33=0,ROUNDUP((2*(Retailers!AK32+Distributors_Cap!$P$47)-BC33)^0.5,0),ROUNDUP((2*(Retailers!AK32+Distributors_Cap!$P$47)-BC33)^0.5,0)))))))))</f>
        <v/>
      </c>
      <c r="T33" s="2">
        <f>IF(P33&gt;Demand!AW50,0,(IF(((2*(Retailers!AL32+Distributors_Cap!$P$47)-Retailers_Cap!$BB$7)*(Demand!AW50-Retailers_Cap!P33))&lt;0,0,((IF(BD33&gt;2*(Retailers!AL32+Distributors_Cap!$P$47),0,(IF(BI33=0,ROUNDUP((2*(Retailers!AL32+Distributors_Cap!$P$47)-BD33)^0.5,0),ROUNDUP((2*(Retailers!AL32+Distributors_Cap!$P$47)-BD33)^0.5,0)))))))))</f>
        <v/>
      </c>
      <c r="W33" s="75" t="n">
        <v>37</v>
      </c>
      <c r="X33" s="9" t="n">
        <v>8</v>
      </c>
      <c r="Y33" s="9" t="n">
        <v>12</v>
      </c>
      <c r="Z33" s="9" t="n">
        <v>0</v>
      </c>
      <c r="AB33" s="2">
        <f>ROUNDDOWN(LOG((X33+1),2),0)</f>
        <v/>
      </c>
      <c r="AC33" s="2">
        <f>ROUNDDOWN(LOG((Y33+1),2),0)</f>
        <v/>
      </c>
      <c r="AD33" s="2">
        <f>ROUNDDOWN(LOG((Z33+1),2),0)</f>
        <v/>
      </c>
      <c r="AG33" s="75" t="n">
        <v>37</v>
      </c>
      <c r="AH33" s="9" t="n">
        <v>3</v>
      </c>
      <c r="AI33" s="9" t="n">
        <v>3</v>
      </c>
      <c r="AJ33" s="9" t="n">
        <v>0</v>
      </c>
      <c r="AQ33" s="75" t="n">
        <v>37</v>
      </c>
      <c r="AR33" s="75" t="n">
        <v>50.638</v>
      </c>
      <c r="AS33" s="75" t="n">
        <v>52.521</v>
      </c>
      <c r="AT33" s="75" t="n">
        <v>85.3</v>
      </c>
      <c r="AV33" s="75" t="n">
        <v>37</v>
      </c>
      <c r="AW33" s="75">
        <f>Beginning_stock!AT61</f>
        <v/>
      </c>
      <c r="AX33" s="75">
        <f>Beginning_stock!AU61</f>
        <v/>
      </c>
      <c r="AY33" s="75">
        <f>Beginning_stock!AV61</f>
        <v/>
      </c>
      <c r="BA33" s="75" t="n">
        <v>37</v>
      </c>
      <c r="BB33" s="75">
        <f>IF(Demand!AU50=Retailers_Cap!N33,"ret=0",(AW33/(Demand!AU50-Retailers_Cap!N33)))</f>
        <v/>
      </c>
      <c r="BC33" s="75">
        <f>IF(Demand!AV50=Retailers_Cap!O33,"ret=0",(AX33/(Demand!AV50-Retailers_Cap!O33)))</f>
        <v/>
      </c>
      <c r="BD33" s="75">
        <f>IF(Demand!AW50=Retailers_Cap!P33,"ret=0",(AY33/(Demand!AW50-Retailers_Cap!P33)))</f>
        <v/>
      </c>
      <c r="BF33" s="75" t="n">
        <v>37</v>
      </c>
      <c r="BG33" s="2">
        <f>IF(Demand!AU50&lt;=Retailers_Cap!N33,"ret=0",(IF(BB33&lt;=AR33+Distributors_Cap!$P$47,1,0)))</f>
        <v/>
      </c>
      <c r="BH33" s="2">
        <f>IF(Demand!AV50&lt;=Retailers_Cap!O33,"ret=0",(IF(BC33&lt;=AS33+Distributors_Cap!$P$47,1,0)))</f>
        <v/>
      </c>
      <c r="BI33" s="2">
        <f>IF(Demand!AW50&lt;=Retailers_Cap!P33,"ret=0",(IF(BD33&lt;=AT33+Distributors_Cap!$P$47,1,0)))</f>
        <v/>
      </c>
      <c r="BK33" s="75" t="n">
        <v>37</v>
      </c>
      <c r="BL33" s="75">
        <f>Retailers!BH32</f>
        <v/>
      </c>
      <c r="BM33" s="75">
        <f>Retailers!BI32</f>
        <v/>
      </c>
      <c r="BN33" s="75">
        <f>Retailers!BJ32</f>
        <v/>
      </c>
      <c r="BP33" s="75" t="n">
        <v>37</v>
      </c>
      <c r="BQ33" s="75">
        <f>#REF!</f>
        <v/>
      </c>
      <c r="BR33" s="75">
        <f>#REF!</f>
        <v/>
      </c>
      <c r="BS33" s="75">
        <f>#REF!</f>
        <v/>
      </c>
      <c r="BU33" s="75" t="n">
        <v>37</v>
      </c>
      <c r="BV33" s="75">
        <f>Retailers!AS32</f>
        <v/>
      </c>
      <c r="BW33" s="75">
        <f>Retailers!AT32</f>
        <v/>
      </c>
      <c r="BX33" s="75">
        <f>Retailers!AU32</f>
        <v/>
      </c>
      <c r="BZ33" s="75" t="n">
        <v>37</v>
      </c>
      <c r="CA33" s="75">
        <f>Results!#REF!</f>
        <v/>
      </c>
      <c r="CB33" s="75">
        <f>Results!#REF!</f>
        <v/>
      </c>
      <c r="CC33" s="75">
        <f>Results!#REF!</f>
        <v/>
      </c>
      <c r="CE33" s="75" t="n">
        <v>37</v>
      </c>
      <c r="CF33" s="75">
        <f>Retailers!BN32</f>
        <v/>
      </c>
      <c r="CG33" s="75">
        <f>Retailers!BO32</f>
        <v/>
      </c>
      <c r="CH33" s="75">
        <f>Retailers!BP32</f>
        <v/>
      </c>
      <c r="CJ33" s="75" t="n">
        <v>37</v>
      </c>
      <c r="CK33" s="75">
        <f>IF(BB33="ret=0",0,IF(BB33&gt;0,AR33+Distributors_Cap!$P$47-BB33,0))</f>
        <v/>
      </c>
      <c r="CL33" s="75">
        <f>IF(BC33="ret=0",0,IF(BC33&gt;0,AS33+Distributors_Cap!$P$47-BC33,0))</f>
        <v/>
      </c>
      <c r="CM33" s="75">
        <f>IF(BD33="ret=0",0,IF(BD33&gt;0,AT33+Distributors_Cap!$P$47-BD33,0))</f>
        <v/>
      </c>
    </row>
    <row r="34">
      <c r="G34" s="75" t="n">
        <v>38</v>
      </c>
      <c r="H34" s="75" t="n">
        <v>53.028</v>
      </c>
      <c r="I34" s="75" t="n">
        <v>47.693</v>
      </c>
      <c r="J34" s="75" t="n">
        <v>57.554</v>
      </c>
      <c r="L34" s="75">
        <f>TRUNC((_xlfn.NORM.INV((RAND()),$K$7,$K$8)),0)</f>
        <v/>
      </c>
      <c r="M34" s="75" t="n">
        <v>38</v>
      </c>
      <c r="N34" s="5" t="n">
        <v>16</v>
      </c>
      <c r="O34" s="5" t="n">
        <v>30</v>
      </c>
      <c r="P34" s="5" t="n">
        <v>29</v>
      </c>
      <c r="R34" s="2">
        <f>IF(N34&gt;Demand!AU51,0,(IF(((2*(Retailers!AJ33+Distributors_Cap!$P$47)-Retailers_Cap!$BB$7)*(Demand!AU51-Retailers_Cap!N34))&lt;0,0,((IF(BB34&gt;2*(Retailers!AJ33+Distributors_Cap!$P$47),0,(IF(BG34=0,ROUNDUP((2*(Retailers!AJ33+Distributors_Cap!$P$47)-BB34)^0.5,0),ROUNDUP((2*(Retailers!AJ33+Distributors_Cap!$P$47)-BB34)^0.5,0)))))))))</f>
        <v/>
      </c>
      <c r="S34" s="2">
        <f>IF(O34&gt;Demand!AV51,0,(IF(((2*(Retailers!AK33+Distributors_Cap!$P$47)-Retailers_Cap!$BB$7)*(Demand!AV51-Retailers_Cap!O34))&lt;0,0,((IF(BC34&gt;2*(Retailers!AK33+Distributors_Cap!$P$47),0,(IF(BH34=0,ROUNDUP((2*(Retailers!AK33+Distributors_Cap!$P$47)-BC34)^0.5,0),ROUNDUP((2*(Retailers!AK33+Distributors_Cap!$P$47)-BC34)^0.5,0)))))))))</f>
        <v/>
      </c>
      <c r="T34" s="2">
        <f>IF(P34&gt;Demand!AW51,0,(IF(((2*(Retailers!AL33+Distributors_Cap!$P$47)-Retailers_Cap!$BB$7)*(Demand!AW51-Retailers_Cap!P34))&lt;0,0,((IF(BD34&gt;2*(Retailers!AL33+Distributors_Cap!$P$47),0,(IF(BI34=0,ROUNDUP((2*(Retailers!AL33+Distributors_Cap!$P$47)-BD34)^0.5,0),ROUNDUP((2*(Retailers!AL33+Distributors_Cap!$P$47)-BD34)^0.5,0)))))))))</f>
        <v/>
      </c>
      <c r="W34" s="75" t="n">
        <v>38</v>
      </c>
      <c r="X34" s="9" t="n">
        <v>11</v>
      </c>
      <c r="Y34" s="9" t="n">
        <v>0</v>
      </c>
      <c r="Z34" s="9" t="n">
        <v>0</v>
      </c>
      <c r="AB34" s="2">
        <f>ROUNDDOWN(LOG((X34+1),2),0)</f>
        <v/>
      </c>
      <c r="AC34" s="2">
        <f>ROUNDDOWN(LOG((Y34+1),2),0)</f>
        <v/>
      </c>
      <c r="AD34" s="2">
        <f>ROUNDDOWN(LOG((Z34+1),2),0)</f>
        <v/>
      </c>
      <c r="AG34" s="75" t="n">
        <v>38</v>
      </c>
      <c r="AH34" s="9" t="n">
        <v>3</v>
      </c>
      <c r="AI34" s="9" t="n">
        <v>0</v>
      </c>
      <c r="AJ34" s="9" t="n">
        <v>0</v>
      </c>
      <c r="AQ34" s="75" t="n">
        <v>38</v>
      </c>
      <c r="AR34" s="75" t="n">
        <v>53.028</v>
      </c>
      <c r="AS34" s="75" t="n">
        <v>47.693</v>
      </c>
      <c r="AT34" s="75" t="n">
        <v>57.554</v>
      </c>
      <c r="AV34" s="75" t="n">
        <v>38</v>
      </c>
      <c r="AW34" s="75">
        <f>Beginning_stock!AT62</f>
        <v/>
      </c>
      <c r="AX34" s="75">
        <f>Beginning_stock!AU62</f>
        <v/>
      </c>
      <c r="AY34" s="75">
        <f>Beginning_stock!AV62</f>
        <v/>
      </c>
      <c r="BA34" s="75" t="n">
        <v>38</v>
      </c>
      <c r="BB34" s="75">
        <f>IF(Demand!AU51=Retailers_Cap!N34,"ret=0",(AW34/(Demand!AU51-Retailers_Cap!N34)))</f>
        <v/>
      </c>
      <c r="BC34" s="75">
        <f>IF(Demand!AV51=Retailers_Cap!O34,"ret=0",(AX34/(Demand!AV51-Retailers_Cap!O34)))</f>
        <v/>
      </c>
      <c r="BD34" s="75">
        <f>IF(Demand!AW51=Retailers_Cap!P34,"ret=0",(AY34/(Demand!AW51-Retailers_Cap!P34)))</f>
        <v/>
      </c>
      <c r="BF34" s="75" t="n">
        <v>38</v>
      </c>
      <c r="BG34" s="2">
        <f>IF(Demand!AU51&lt;=Retailers_Cap!N34,"ret=0",(IF(BB34&lt;=AR34+Distributors_Cap!$P$47,1,0)))</f>
        <v/>
      </c>
      <c r="BH34" s="2">
        <f>IF(Demand!AV51&lt;=Retailers_Cap!O34,"ret=0",(IF(BC34&lt;=AS34+Distributors_Cap!$P$47,1,0)))</f>
        <v/>
      </c>
      <c r="BI34" s="2">
        <f>IF(Demand!AW51&lt;=Retailers_Cap!P34,"ret=0",(IF(BD34&lt;=AT34+Distributors_Cap!$P$47,1,0)))</f>
        <v/>
      </c>
      <c r="BK34" s="75" t="n">
        <v>38</v>
      </c>
      <c r="BL34" s="75">
        <f>Retailers!BH33</f>
        <v/>
      </c>
      <c r="BM34" s="75">
        <f>Retailers!BI33</f>
        <v/>
      </c>
      <c r="BN34" s="75">
        <f>Retailers!BJ33</f>
        <v/>
      </c>
      <c r="BP34" s="75" t="n">
        <v>38</v>
      </c>
      <c r="BQ34" s="75">
        <f>#REF!</f>
        <v/>
      </c>
      <c r="BR34" s="75">
        <f>#REF!</f>
        <v/>
      </c>
      <c r="BS34" s="75">
        <f>#REF!</f>
        <v/>
      </c>
      <c r="BU34" s="75" t="n">
        <v>38</v>
      </c>
      <c r="BV34" s="75">
        <f>Retailers!AS33</f>
        <v/>
      </c>
      <c r="BW34" s="75">
        <f>Retailers!AT33</f>
        <v/>
      </c>
      <c r="BX34" s="75">
        <f>Retailers!AU33</f>
        <v/>
      </c>
      <c r="BZ34" s="75" t="n">
        <v>38</v>
      </c>
      <c r="CA34" s="75">
        <f>Results!#REF!</f>
        <v/>
      </c>
      <c r="CB34" s="75">
        <f>Results!#REF!</f>
        <v/>
      </c>
      <c r="CC34" s="75">
        <f>Results!#REF!</f>
        <v/>
      </c>
      <c r="CE34" s="75" t="n">
        <v>38</v>
      </c>
      <c r="CF34" s="75">
        <f>Retailers!BN33</f>
        <v/>
      </c>
      <c r="CG34" s="75">
        <f>Retailers!BO33</f>
        <v/>
      </c>
      <c r="CH34" s="75">
        <f>Retailers!BP33</f>
        <v/>
      </c>
      <c r="CJ34" s="75" t="n">
        <v>38</v>
      </c>
      <c r="CK34" s="75">
        <f>IF(BB34="ret=0",0,IF(BB34&gt;0,AR34+Distributors_Cap!$P$47-BB34,0))</f>
        <v/>
      </c>
      <c r="CL34" s="75">
        <f>IF(BC34="ret=0",0,IF(BC34&gt;0,AS34+Distributors_Cap!$P$47-BC34,0))</f>
        <v/>
      </c>
      <c r="CM34" s="75">
        <f>IF(BD34="ret=0",0,IF(BD34&gt;0,AT34+Distributors_Cap!$P$47-BD34,0))</f>
        <v/>
      </c>
    </row>
    <row r="35">
      <c r="G35" s="75" t="n">
        <v>39</v>
      </c>
      <c r="H35" s="75" t="n">
        <v>66.75</v>
      </c>
      <c r="I35" s="75" t="n">
        <v>50.137</v>
      </c>
      <c r="J35" s="75" t="n">
        <v>61.721</v>
      </c>
      <c r="L35" s="75">
        <f>TRUNC((_xlfn.NORM.INV((RAND()),$K$7,$K$8)),0)</f>
        <v/>
      </c>
      <c r="M35" s="75" t="n">
        <v>39</v>
      </c>
      <c r="N35" s="5" t="n">
        <v>33</v>
      </c>
      <c r="O35" s="5" t="n">
        <v>44</v>
      </c>
      <c r="P35" s="5" t="n">
        <v>39</v>
      </c>
      <c r="R35" s="2">
        <f>IF(N35&gt;Demand!AU52,0,(IF(((2*(Retailers!AJ34+Distributors_Cap!$P$47)-Retailers_Cap!$BB$7)*(Demand!AU52-Retailers_Cap!N35))&lt;0,0,((IF(BB35&gt;2*(Retailers!AJ34+Distributors_Cap!$P$47),0,(IF(BG35=0,ROUNDUP((2*(Retailers!AJ34+Distributors_Cap!$P$47)-BB35)^0.5,0),ROUNDUP((2*(Retailers!AJ34+Distributors_Cap!$P$47)-BB35)^0.5,0)))))))))</f>
        <v/>
      </c>
      <c r="S35" s="2">
        <f>IF(O35&gt;Demand!AV52,0,(IF(((2*(Retailers!AK34+Distributors_Cap!$P$47)-Retailers_Cap!$BB$7)*(Demand!AV52-Retailers_Cap!O35))&lt;0,0,((IF(BC35&gt;2*(Retailers!AK34+Distributors_Cap!$P$47),0,(IF(BH35=0,ROUNDUP((2*(Retailers!AK34+Distributors_Cap!$P$47)-BC35)^0.5,0),ROUNDUP((2*(Retailers!AK34+Distributors_Cap!$P$47)-BC35)^0.5,0)))))))))</f>
        <v/>
      </c>
      <c r="T35" s="2">
        <f>IF(P35&gt;Demand!AW52,0,(IF(((2*(Retailers!AL34+Distributors_Cap!$P$47)-Retailers_Cap!$BB$7)*(Demand!AW52-Retailers_Cap!P35))&lt;0,0,((IF(BD35&gt;2*(Retailers!AL34+Distributors_Cap!$P$47),0,(IF(BI35=0,ROUNDUP((2*(Retailers!AL34+Distributors_Cap!$P$47)-BD35)^0.5,0),ROUNDUP((2*(Retailers!AL34+Distributors_Cap!$P$47)-BD35)^0.5,0)))))))))</f>
        <v/>
      </c>
      <c r="W35" s="75" t="n">
        <v>39</v>
      </c>
      <c r="X35" s="9" t="n">
        <v>0</v>
      </c>
      <c r="Y35" s="9" t="n">
        <v>0</v>
      </c>
      <c r="Z35" s="9" t="n">
        <v>0</v>
      </c>
      <c r="AB35" s="2">
        <f>ROUNDDOWN(LOG((X35+1),2),0)</f>
        <v/>
      </c>
      <c r="AC35" s="2">
        <f>ROUNDDOWN(LOG((Y35+1),2),0)</f>
        <v/>
      </c>
      <c r="AD35" s="2">
        <f>ROUNDDOWN(LOG((Z35+1),2),0)</f>
        <v/>
      </c>
      <c r="AG35" s="75" t="n">
        <v>39</v>
      </c>
      <c r="AH35" s="9" t="n">
        <v>0</v>
      </c>
      <c r="AI35" s="9" t="n">
        <v>0</v>
      </c>
      <c r="AJ35" s="9" t="n">
        <v>0</v>
      </c>
      <c r="AQ35" s="75" t="n">
        <v>39</v>
      </c>
      <c r="AR35" s="75" t="n">
        <v>66.75</v>
      </c>
      <c r="AS35" s="75" t="n">
        <v>50.137</v>
      </c>
      <c r="AT35" s="75" t="n">
        <v>61.721</v>
      </c>
      <c r="AV35" s="75" t="n">
        <v>39</v>
      </c>
      <c r="AW35" s="75">
        <f>Beginning_stock!AT63</f>
        <v/>
      </c>
      <c r="AX35" s="75">
        <f>Beginning_stock!AU63</f>
        <v/>
      </c>
      <c r="AY35" s="75">
        <f>Beginning_stock!AV63</f>
        <v/>
      </c>
      <c r="BA35" s="75" t="n">
        <v>39</v>
      </c>
      <c r="BB35" s="75">
        <f>IF(Demand!AU52=Retailers_Cap!N35,"ret=0",(AW35/(Demand!AU52-Retailers_Cap!N35)))</f>
        <v/>
      </c>
      <c r="BC35" s="75">
        <f>IF(Demand!AV52=Retailers_Cap!O35,"ret=0",(AX35/(Demand!AV52-Retailers_Cap!O35)))</f>
        <v/>
      </c>
      <c r="BD35" s="75">
        <f>IF(Demand!AW52=Retailers_Cap!P35,"ret=0",(AY35/(Demand!AW52-Retailers_Cap!P35)))</f>
        <v/>
      </c>
      <c r="BF35" s="75" t="n">
        <v>39</v>
      </c>
      <c r="BG35" s="2">
        <f>IF(Demand!AU52&lt;=Retailers_Cap!N35,"ret=0",(IF(BB35&lt;=AR35+Distributors_Cap!$P$47,1,0)))</f>
        <v/>
      </c>
      <c r="BH35" s="2">
        <f>IF(Demand!AV52&lt;=Retailers_Cap!O35,"ret=0",(IF(BC35&lt;=AS35+Distributors_Cap!$P$47,1,0)))</f>
        <v/>
      </c>
      <c r="BI35" s="2">
        <f>IF(Demand!AW52&lt;=Retailers_Cap!P35,"ret=0",(IF(BD35&lt;=AT35+Distributors_Cap!$P$47,1,0)))</f>
        <v/>
      </c>
      <c r="BK35" s="75" t="n">
        <v>39</v>
      </c>
      <c r="BL35" s="75">
        <f>Retailers!BH34</f>
        <v/>
      </c>
      <c r="BM35" s="75">
        <f>Retailers!BI34</f>
        <v/>
      </c>
      <c r="BN35" s="75">
        <f>Retailers!BJ34</f>
        <v/>
      </c>
      <c r="BP35" s="75" t="n">
        <v>39</v>
      </c>
      <c r="BQ35" s="75">
        <f>#REF!</f>
        <v/>
      </c>
      <c r="BR35" s="75">
        <f>#REF!</f>
        <v/>
      </c>
      <c r="BS35" s="75">
        <f>#REF!</f>
        <v/>
      </c>
      <c r="BU35" s="75" t="n">
        <v>39</v>
      </c>
      <c r="BV35" s="75">
        <f>Retailers!AS34</f>
        <v/>
      </c>
      <c r="BW35" s="75">
        <f>Retailers!AT34</f>
        <v/>
      </c>
      <c r="BX35" s="75">
        <f>Retailers!AU34</f>
        <v/>
      </c>
      <c r="BZ35" s="75" t="n">
        <v>39</v>
      </c>
      <c r="CA35" s="75">
        <f>Results!#REF!</f>
        <v/>
      </c>
      <c r="CB35" s="75">
        <f>Results!#REF!</f>
        <v/>
      </c>
      <c r="CC35" s="75">
        <f>Results!#REF!</f>
        <v/>
      </c>
      <c r="CE35" s="75" t="n">
        <v>39</v>
      </c>
      <c r="CF35" s="75">
        <f>Retailers!BN34</f>
        <v/>
      </c>
      <c r="CG35" s="75">
        <f>Retailers!BO34</f>
        <v/>
      </c>
      <c r="CH35" s="75">
        <f>Retailers!BP34</f>
        <v/>
      </c>
      <c r="CJ35" s="75" t="n">
        <v>39</v>
      </c>
      <c r="CK35" s="75">
        <f>IF(BB35="ret=0",0,IF(BB35&gt;0,AR35+Distributors_Cap!$P$47-BB35,0))</f>
        <v/>
      </c>
      <c r="CL35" s="75">
        <f>IF(BC35="ret=0",0,IF(BC35&gt;0,AS35+Distributors_Cap!$P$47-BC35,0))</f>
        <v/>
      </c>
      <c r="CM35" s="75">
        <f>IF(BD35="ret=0",0,IF(BD35&gt;0,AT35+Distributors_Cap!$P$47-BD35,0))</f>
        <v/>
      </c>
    </row>
    <row r="36">
      <c r="G36" s="75" t="n">
        <v>40</v>
      </c>
      <c r="H36" s="75" t="n">
        <v>94.301</v>
      </c>
      <c r="I36" s="75" t="n">
        <v>43.167</v>
      </c>
      <c r="J36" s="75" t="n">
        <v>71.48</v>
      </c>
      <c r="L36" s="75">
        <f>TRUNC((_xlfn.NORM.INV((RAND()),$K$7,$K$8)),0)</f>
        <v/>
      </c>
      <c r="M36" s="75" t="n">
        <v>40</v>
      </c>
      <c r="N36" s="5" t="n">
        <v>39</v>
      </c>
      <c r="O36" s="5" t="n">
        <v>29</v>
      </c>
      <c r="P36" s="5" t="n">
        <v>25</v>
      </c>
      <c r="R36" s="2">
        <f>IF(N36&gt;Demand!AU53,0,(IF(((2*(Retailers!AJ35+Distributors_Cap!$P$47)-Retailers_Cap!$BB$7)*(Demand!AU53-Retailers_Cap!N36))&lt;0,0,((IF(BB36&gt;2*(Retailers!AJ35+Distributors_Cap!$P$47),0,(IF(BG36=0,ROUNDUP((2*(Retailers!AJ35+Distributors_Cap!$P$47)-BB36)^0.5,0),ROUNDUP((2*(Retailers!AJ35+Distributors_Cap!$P$47)-BB36)^0.5,0)))))))))</f>
        <v/>
      </c>
      <c r="S36" s="2">
        <f>IF(O36&gt;Demand!AV53,0,(IF(((2*(Retailers!AK35+Distributors_Cap!$P$47)-Retailers_Cap!$BB$7)*(Demand!AV53-Retailers_Cap!O36))&lt;0,0,((IF(BC36&gt;2*(Retailers!AK35+Distributors_Cap!$P$47),0,(IF(BH36=0,ROUNDUP((2*(Retailers!AK35+Distributors_Cap!$P$47)-BC36)^0.5,0),ROUNDUP((2*(Retailers!AK35+Distributors_Cap!$P$47)-BC36)^0.5,0)))))))))</f>
        <v/>
      </c>
      <c r="T36" s="2">
        <f>IF(P36&gt;Demand!AW53,0,(IF(((2*(Retailers!AL35+Distributors_Cap!$P$47)-Retailers_Cap!$BB$7)*(Demand!AW53-Retailers_Cap!P36))&lt;0,0,((IF(BD36&gt;2*(Retailers!AL35+Distributors_Cap!$P$47),0,(IF(BI36=0,ROUNDUP((2*(Retailers!AL35+Distributors_Cap!$P$47)-BD36)^0.5,0),ROUNDUP((2*(Retailers!AL35+Distributors_Cap!$P$47)-BD36)^0.5,0)))))))))</f>
        <v/>
      </c>
      <c r="W36" s="75" t="n">
        <v>40</v>
      </c>
      <c r="X36" s="9" t="n">
        <v>0</v>
      </c>
      <c r="Y36" s="9" t="n">
        <v>0</v>
      </c>
      <c r="Z36" s="9" t="n">
        <v>0</v>
      </c>
      <c r="AB36" s="2">
        <f>ROUNDDOWN(LOG((X36+1),2),0)</f>
        <v/>
      </c>
      <c r="AC36" s="2">
        <f>ROUNDDOWN(LOG((Y36+1),2),0)</f>
        <v/>
      </c>
      <c r="AD36" s="2">
        <f>ROUNDDOWN(LOG((Z36+1),2),0)</f>
        <v/>
      </c>
      <c r="AG36" s="75" t="n">
        <v>40</v>
      </c>
      <c r="AH36" s="9" t="n">
        <v>0</v>
      </c>
      <c r="AI36" s="9" t="n">
        <v>0</v>
      </c>
      <c r="AJ36" s="9" t="n">
        <v>0</v>
      </c>
      <c r="AQ36" s="75" t="n">
        <v>40</v>
      </c>
      <c r="AR36" s="75" t="n">
        <v>94.301</v>
      </c>
      <c r="AS36" s="75" t="n">
        <v>43.167</v>
      </c>
      <c r="AT36" s="75" t="n">
        <v>71.48</v>
      </c>
      <c r="AV36" s="75" t="n">
        <v>40</v>
      </c>
      <c r="AW36" s="75">
        <f>Beginning_stock!AT64</f>
        <v/>
      </c>
      <c r="AX36" s="75">
        <f>Beginning_stock!AU64</f>
        <v/>
      </c>
      <c r="AY36" s="75">
        <f>Beginning_stock!AV64</f>
        <v/>
      </c>
      <c r="BA36" s="75" t="n">
        <v>40</v>
      </c>
      <c r="BB36" s="75">
        <f>IF(Demand!AU53=Retailers_Cap!N36,"ret=0",(AW36/(Demand!AU53-Retailers_Cap!N36)))</f>
        <v/>
      </c>
      <c r="BC36" s="75">
        <f>IF(Demand!AV53=Retailers_Cap!O36,"ret=0",(AX36/(Demand!AV53-Retailers_Cap!O36)))</f>
        <v/>
      </c>
      <c r="BD36" s="75">
        <f>IF(Demand!AW53=Retailers_Cap!P36,"ret=0",(AY36/(Demand!AW53-Retailers_Cap!P36)))</f>
        <v/>
      </c>
      <c r="BF36" s="75" t="n">
        <v>40</v>
      </c>
      <c r="BG36" s="2">
        <f>IF(Demand!AU53&lt;=Retailers_Cap!N36,"ret=0",(IF(BB36&lt;=AR36+Distributors_Cap!$P$47,1,0)))</f>
        <v/>
      </c>
      <c r="BH36" s="2">
        <f>IF(Demand!AV53&lt;=Retailers_Cap!O36,"ret=0",(IF(BC36&lt;=AS36+Distributors_Cap!$P$47,1,0)))</f>
        <v/>
      </c>
      <c r="BI36" s="2">
        <f>IF(Demand!AW53&lt;=Retailers_Cap!P36,"ret=0",(IF(BD36&lt;=AT36+Distributors_Cap!$P$47,1,0)))</f>
        <v/>
      </c>
      <c r="BK36" s="75" t="n">
        <v>40</v>
      </c>
      <c r="BL36" s="75">
        <f>Retailers!BH35</f>
        <v/>
      </c>
      <c r="BM36" s="75">
        <f>Retailers!BI35</f>
        <v/>
      </c>
      <c r="BN36" s="75">
        <f>Retailers!BJ35</f>
        <v/>
      </c>
      <c r="BP36" s="75" t="n">
        <v>40</v>
      </c>
      <c r="BQ36" s="75">
        <f>#REF!</f>
        <v/>
      </c>
      <c r="BR36" s="75">
        <f>#REF!</f>
        <v/>
      </c>
      <c r="BS36" s="75">
        <f>#REF!</f>
        <v/>
      </c>
      <c r="BU36" s="75" t="n">
        <v>40</v>
      </c>
      <c r="BV36" s="75">
        <f>Retailers!AS35</f>
        <v/>
      </c>
      <c r="BW36" s="75">
        <f>Retailers!AT35</f>
        <v/>
      </c>
      <c r="BX36" s="75">
        <f>Retailers!AU35</f>
        <v/>
      </c>
      <c r="BZ36" s="75" t="n">
        <v>40</v>
      </c>
      <c r="CA36" s="75">
        <f>Results!#REF!</f>
        <v/>
      </c>
      <c r="CB36" s="75">
        <f>Results!#REF!</f>
        <v/>
      </c>
      <c r="CC36" s="75">
        <f>Results!#REF!</f>
        <v/>
      </c>
      <c r="CE36" s="75" t="n">
        <v>40</v>
      </c>
      <c r="CF36" s="75">
        <f>Retailers!BN35</f>
        <v/>
      </c>
      <c r="CG36" s="75">
        <f>Retailers!BO35</f>
        <v/>
      </c>
      <c r="CH36" s="75">
        <f>Retailers!BP35</f>
        <v/>
      </c>
      <c r="CJ36" s="75" t="n">
        <v>40</v>
      </c>
      <c r="CK36" s="75">
        <f>IF(BB36="ret=0",0,IF(BB36&gt;0,AR36+Distributors_Cap!$P$47-BB36,0))</f>
        <v/>
      </c>
      <c r="CL36" s="75">
        <f>IF(BC36="ret=0",0,IF(BC36&gt;0,AS36+Distributors_Cap!$P$47-BC36,0))</f>
        <v/>
      </c>
      <c r="CM36" s="75">
        <f>IF(BD36="ret=0",0,IF(BD36&gt;0,AT36+Distributors_Cap!$P$47-BD36,0))</f>
        <v/>
      </c>
    </row>
    <row r="37">
      <c r="G37" s="75" t="n">
        <v>41</v>
      </c>
      <c r="H37" s="75" t="n">
        <v>77.779</v>
      </c>
      <c r="I37" s="75" t="n">
        <v>55.93</v>
      </c>
      <c r="J37" s="75" t="n">
        <v>54.943</v>
      </c>
      <c r="L37" s="75">
        <f>TRUNC((_xlfn.NORM.INV((RAND()),$K$7,$K$8)),0)</f>
        <v/>
      </c>
      <c r="M37" s="75" t="n">
        <v>41</v>
      </c>
      <c r="N37" s="5" t="n">
        <v>44</v>
      </c>
      <c r="O37" s="5" t="n">
        <v>26</v>
      </c>
      <c r="P37" s="5" t="n">
        <v>28</v>
      </c>
      <c r="R37" s="2">
        <f>IF(N37&gt;Demand!AU54,0,(IF(((2*(Retailers!AJ36+Distributors_Cap!$P$47)-Retailers_Cap!$BB$7)*(Demand!AU54-Retailers_Cap!N37))&lt;0,0,((IF(BB37&gt;2*(Retailers!AJ36+Distributors_Cap!$P$47),0,(IF(BG37=0,ROUNDUP((2*(Retailers!AJ36+Distributors_Cap!$P$47)-BB37)^0.5,0),ROUNDUP((2*(Retailers!AJ36+Distributors_Cap!$P$47)-BB37)^0.5,0)))))))))</f>
        <v/>
      </c>
      <c r="S37" s="2">
        <f>IF(O37&gt;Demand!AV54,0,(IF(((2*(Retailers!AK36+Distributors_Cap!$P$47)-Retailers_Cap!$BB$7)*(Demand!AV54-Retailers_Cap!O37))&lt;0,0,((IF(BC37&gt;2*(Retailers!AK36+Distributors_Cap!$P$47),0,(IF(BH37=0,ROUNDUP((2*(Retailers!AK36+Distributors_Cap!$P$47)-BC37)^0.5,0),ROUNDUP((2*(Retailers!AK36+Distributors_Cap!$P$47)-BC37)^0.5,0)))))))))</f>
        <v/>
      </c>
      <c r="T37" s="2">
        <f>IF(P37&gt;Demand!AW54,0,(IF(((2*(Retailers!AL36+Distributors_Cap!$P$47)-Retailers_Cap!$BB$7)*(Demand!AW54-Retailers_Cap!P37))&lt;0,0,((IF(BD37&gt;2*(Retailers!AL36+Distributors_Cap!$P$47),0,(IF(BI37=0,ROUNDUP((2*(Retailers!AL36+Distributors_Cap!$P$47)-BD37)^0.5,0),ROUNDUP((2*(Retailers!AL36+Distributors_Cap!$P$47)-BD37)^0.5,0)))))))))</f>
        <v/>
      </c>
      <c r="W37" s="75" t="n">
        <v>41</v>
      </c>
      <c r="X37" s="9" t="n">
        <v>0</v>
      </c>
      <c r="Y37" s="9" t="n">
        <v>11</v>
      </c>
      <c r="Z37" s="9" t="n">
        <v>0</v>
      </c>
      <c r="AB37" s="2">
        <f>ROUNDDOWN(LOG((X37+1),2),0)</f>
        <v/>
      </c>
      <c r="AC37" s="2">
        <f>ROUNDDOWN(LOG((Y37+1),2),0)</f>
        <v/>
      </c>
      <c r="AD37" s="2">
        <f>ROUNDDOWN(LOG((Z37+1),2),0)</f>
        <v/>
      </c>
      <c r="AG37" s="75" t="n">
        <v>41</v>
      </c>
      <c r="AH37" s="9" t="n">
        <v>0</v>
      </c>
      <c r="AI37" s="9" t="n">
        <v>3</v>
      </c>
      <c r="AJ37" s="9" t="n">
        <v>0</v>
      </c>
      <c r="AQ37" s="75" t="n">
        <v>41</v>
      </c>
      <c r="AR37" s="75" t="n">
        <v>77.779</v>
      </c>
      <c r="AS37" s="75" t="n">
        <v>55.93</v>
      </c>
      <c r="AT37" s="75" t="n">
        <v>54.943</v>
      </c>
      <c r="AV37" s="75" t="n">
        <v>41</v>
      </c>
      <c r="AW37" s="75">
        <f>Beginning_stock!AT65</f>
        <v/>
      </c>
      <c r="AX37" s="75">
        <f>Beginning_stock!AU65</f>
        <v/>
      </c>
      <c r="AY37" s="75">
        <f>Beginning_stock!AV65</f>
        <v/>
      </c>
      <c r="BA37" s="75" t="n">
        <v>41</v>
      </c>
      <c r="BB37" s="75">
        <f>IF(Demand!AU54=Retailers_Cap!N37,"ret=0",(AW37/(Demand!AU54-Retailers_Cap!N37)))</f>
        <v/>
      </c>
      <c r="BC37" s="75">
        <f>IF(Demand!AV54=Retailers_Cap!O37,"ret=0",(AX37/(Demand!AV54-Retailers_Cap!O37)))</f>
        <v/>
      </c>
      <c r="BD37" s="75">
        <f>IF(Demand!AW54=Retailers_Cap!P37,"ret=0",(AY37/(Demand!AW54-Retailers_Cap!P37)))</f>
        <v/>
      </c>
      <c r="BF37" s="75" t="n">
        <v>41</v>
      </c>
      <c r="BG37" s="2">
        <f>IF(Demand!AU54&lt;=Retailers_Cap!N37,"ret=0",(IF(BB37&lt;=AR37+Distributors_Cap!$P$47,1,0)))</f>
        <v/>
      </c>
      <c r="BH37" s="2">
        <f>IF(Demand!AV54&lt;=Retailers_Cap!O37,"ret=0",(IF(BC37&lt;=AS37+Distributors_Cap!$P$47,1,0)))</f>
        <v/>
      </c>
      <c r="BI37" s="2">
        <f>IF(Demand!AW54&lt;=Retailers_Cap!P37,"ret=0",(IF(BD37&lt;=AT37+Distributors_Cap!$P$47,1,0)))</f>
        <v/>
      </c>
      <c r="BK37" s="75" t="n">
        <v>41</v>
      </c>
      <c r="BL37" s="75">
        <f>Retailers!BH36</f>
        <v/>
      </c>
      <c r="BM37" s="75">
        <f>Retailers!BI36</f>
        <v/>
      </c>
      <c r="BN37" s="75">
        <f>Retailers!BJ36</f>
        <v/>
      </c>
      <c r="BP37" s="75" t="n">
        <v>41</v>
      </c>
      <c r="BQ37" s="75">
        <f>#REF!</f>
        <v/>
      </c>
      <c r="BR37" s="75">
        <f>#REF!</f>
        <v/>
      </c>
      <c r="BS37" s="75">
        <f>#REF!</f>
        <v/>
      </c>
      <c r="BU37" s="75" t="n">
        <v>41</v>
      </c>
      <c r="BV37" s="75">
        <f>Retailers!AS36</f>
        <v/>
      </c>
      <c r="BW37" s="75">
        <f>Retailers!AT36</f>
        <v/>
      </c>
      <c r="BX37" s="75">
        <f>Retailers!AU36</f>
        <v/>
      </c>
      <c r="BZ37" s="75" t="n">
        <v>41</v>
      </c>
      <c r="CA37" s="75">
        <f>Results!#REF!</f>
        <v/>
      </c>
      <c r="CB37" s="75">
        <f>Results!#REF!</f>
        <v/>
      </c>
      <c r="CC37" s="75">
        <f>Results!#REF!</f>
        <v/>
      </c>
      <c r="CE37" s="75" t="n">
        <v>41</v>
      </c>
      <c r="CF37" s="75">
        <f>Retailers!BN36</f>
        <v/>
      </c>
      <c r="CG37" s="75">
        <f>Retailers!BO36</f>
        <v/>
      </c>
      <c r="CH37" s="75">
        <f>Retailers!BP36</f>
        <v/>
      </c>
      <c r="CJ37" s="75" t="n">
        <v>41</v>
      </c>
      <c r="CK37" s="75">
        <f>IF(BB37="ret=0",0,IF(BB37&gt;0,AR37+Distributors_Cap!$P$47-BB37,0))</f>
        <v/>
      </c>
      <c r="CL37" s="75">
        <f>IF(BC37="ret=0",0,IF(BC37&gt;0,AS37+Distributors_Cap!$P$47-BC37,0))</f>
        <v/>
      </c>
      <c r="CM37" s="75">
        <f>IF(BD37="ret=0",0,IF(BD37&gt;0,AT37+Distributors_Cap!$P$47-BD37,0))</f>
        <v/>
      </c>
    </row>
    <row r="38">
      <c r="G38" s="75" t="n">
        <v>42</v>
      </c>
      <c r="H38" s="75" t="n">
        <v>63.59</v>
      </c>
      <c r="I38" s="75" t="n">
        <v>78.036</v>
      </c>
      <c r="J38" s="75" t="n">
        <v>38.118</v>
      </c>
      <c r="L38" s="75">
        <f>TRUNC((_xlfn.NORM.INV((RAND()),$K$7,$K$8)),0)</f>
        <v/>
      </c>
      <c r="M38" s="75" t="n">
        <v>42</v>
      </c>
      <c r="N38" s="5" t="n">
        <v>29</v>
      </c>
      <c r="O38" s="5" t="n">
        <v>23</v>
      </c>
      <c r="P38" s="5" t="n">
        <v>23</v>
      </c>
      <c r="R38" s="2">
        <f>IF(N38&gt;Demand!AU55,0,(IF(((2*(Retailers!AJ37+Distributors_Cap!$P$47)-Retailers_Cap!$BB$7)*(Demand!AU55-Retailers_Cap!N38))&lt;0,0,((IF(BB38&gt;2*(Retailers!AJ37+Distributors_Cap!$P$47),0,(IF(BG38=0,ROUNDUP((2*(Retailers!AJ37+Distributors_Cap!$P$47)-BB38)^0.5,0),ROUNDUP((2*(Retailers!AJ37+Distributors_Cap!$P$47)-BB38)^0.5,0)))))))))</f>
        <v/>
      </c>
      <c r="S38" s="2">
        <f>IF(O38&gt;Demand!AV55,0,(IF(((2*(Retailers!AK37+Distributors_Cap!$P$47)-Retailers_Cap!$BB$7)*(Demand!AV55-Retailers_Cap!O38))&lt;0,0,((IF(BC38&gt;2*(Retailers!AK37+Distributors_Cap!$P$47),0,(IF(BH38=0,ROUNDUP((2*(Retailers!AK37+Distributors_Cap!$P$47)-BC38)^0.5,0),ROUNDUP((2*(Retailers!AK37+Distributors_Cap!$P$47)-BC38)^0.5,0)))))))))</f>
        <v/>
      </c>
      <c r="T38" s="2">
        <f>IF(P38&gt;Demand!AW55,0,(IF(((2*(Retailers!AL37+Distributors_Cap!$P$47)-Retailers_Cap!$BB$7)*(Demand!AW55-Retailers_Cap!P38))&lt;0,0,((IF(BD38&gt;2*(Retailers!AL37+Distributors_Cap!$P$47),0,(IF(BI38=0,ROUNDUP((2*(Retailers!AL37+Distributors_Cap!$P$47)-BD38)^0.5,0),ROUNDUP((2*(Retailers!AL37+Distributors_Cap!$P$47)-BD38)^0.5,0)))))))))</f>
        <v/>
      </c>
      <c r="W38" s="75" t="n">
        <v>42</v>
      </c>
      <c r="X38" s="9" t="n">
        <v>0</v>
      </c>
      <c r="Y38" s="9" t="n">
        <v>0</v>
      </c>
      <c r="Z38" s="9" t="n">
        <v>0</v>
      </c>
      <c r="AB38" s="2">
        <f>ROUNDDOWN(LOG((X38+1),2),0)</f>
        <v/>
      </c>
      <c r="AC38" s="2">
        <f>ROUNDDOWN(LOG((Y38+1),2),0)</f>
        <v/>
      </c>
      <c r="AD38" s="2">
        <f>ROUNDDOWN(LOG((Z38+1),2),0)</f>
        <v/>
      </c>
      <c r="AG38" s="75" t="n">
        <v>42</v>
      </c>
      <c r="AH38" s="9" t="n">
        <v>0</v>
      </c>
      <c r="AI38" s="9" t="n">
        <v>0</v>
      </c>
      <c r="AJ38" s="9" t="n">
        <v>0</v>
      </c>
      <c r="AQ38" s="75" t="n">
        <v>42</v>
      </c>
      <c r="AR38" s="75" t="n">
        <v>63.59</v>
      </c>
      <c r="AS38" s="75" t="n">
        <v>78.036</v>
      </c>
      <c r="AT38" s="75" t="n">
        <v>38.118</v>
      </c>
      <c r="AV38" s="75" t="n">
        <v>42</v>
      </c>
      <c r="AW38" s="75">
        <f>Beginning_stock!AT66</f>
        <v/>
      </c>
      <c r="AX38" s="75">
        <f>Beginning_stock!AU66</f>
        <v/>
      </c>
      <c r="AY38" s="75">
        <f>Beginning_stock!AV66</f>
        <v/>
      </c>
      <c r="BA38" s="75" t="n">
        <v>42</v>
      </c>
      <c r="BB38" s="75">
        <f>IF(Demand!AU55=Retailers_Cap!N38,"ret=0",(AW38/(Demand!AU55-Retailers_Cap!N38)))</f>
        <v/>
      </c>
      <c r="BC38" s="75">
        <f>IF(Demand!AV55=Retailers_Cap!O38,"ret=0",(AX38/(Demand!AV55-Retailers_Cap!O38)))</f>
        <v/>
      </c>
      <c r="BD38" s="75">
        <f>IF(Demand!AW55=Retailers_Cap!P38,"ret=0",(AY38/(Demand!AW55-Retailers_Cap!P38)))</f>
        <v/>
      </c>
      <c r="BF38" s="75" t="n">
        <v>42</v>
      </c>
      <c r="BG38" s="2">
        <f>IF(Demand!AU55&lt;=Retailers_Cap!N38,"ret=0",(IF(BB38&lt;=AR38+Distributors_Cap!$P$47,1,0)))</f>
        <v/>
      </c>
      <c r="BH38" s="2">
        <f>IF(Demand!AV55&lt;=Retailers_Cap!O38,"ret=0",(IF(BC38&lt;=AS38+Distributors_Cap!$P$47,1,0)))</f>
        <v/>
      </c>
      <c r="BI38" s="2">
        <f>IF(Demand!AW55&lt;=Retailers_Cap!P38,"ret=0",(IF(BD38&lt;=AT38+Distributors_Cap!$P$47,1,0)))</f>
        <v/>
      </c>
      <c r="BK38" s="75" t="n">
        <v>42</v>
      </c>
      <c r="BL38" s="75">
        <f>Retailers!BH37</f>
        <v/>
      </c>
      <c r="BM38" s="75">
        <f>Retailers!BI37</f>
        <v/>
      </c>
      <c r="BN38" s="75">
        <f>Retailers!BJ37</f>
        <v/>
      </c>
      <c r="BP38" s="75" t="n">
        <v>42</v>
      </c>
      <c r="BQ38" s="75">
        <f>#REF!</f>
        <v/>
      </c>
      <c r="BR38" s="75">
        <f>#REF!</f>
        <v/>
      </c>
      <c r="BS38" s="75">
        <f>#REF!</f>
        <v/>
      </c>
      <c r="BU38" s="75" t="n">
        <v>42</v>
      </c>
      <c r="BV38" s="75">
        <f>Retailers!AS37</f>
        <v/>
      </c>
      <c r="BW38" s="75">
        <f>Retailers!AT37</f>
        <v/>
      </c>
      <c r="BX38" s="75">
        <f>Retailers!AU37</f>
        <v/>
      </c>
      <c r="BZ38" s="75" t="n">
        <v>42</v>
      </c>
      <c r="CA38" s="75">
        <f>Results!#REF!</f>
        <v/>
      </c>
      <c r="CB38" s="75">
        <f>Results!#REF!</f>
        <v/>
      </c>
      <c r="CC38" s="75">
        <f>Results!#REF!</f>
        <v/>
      </c>
      <c r="CE38" s="75" t="n">
        <v>42</v>
      </c>
      <c r="CF38" s="75">
        <f>Retailers!BN37</f>
        <v/>
      </c>
      <c r="CG38" s="75">
        <f>Retailers!BO37</f>
        <v/>
      </c>
      <c r="CH38" s="75">
        <f>Retailers!BP37</f>
        <v/>
      </c>
      <c r="CJ38" s="75" t="n">
        <v>42</v>
      </c>
      <c r="CK38" s="75">
        <f>IF(BB38="ret=0",0,IF(BB38&gt;0,AR38+Distributors_Cap!$P$47-BB38,0))</f>
        <v/>
      </c>
      <c r="CL38" s="75">
        <f>IF(BC38="ret=0",0,IF(BC38&gt;0,AS38+Distributors_Cap!$P$47-BC38,0))</f>
        <v/>
      </c>
      <c r="CM38" s="75">
        <f>IF(BD38="ret=0",0,IF(BD38&gt;0,AT38+Distributors_Cap!$P$47-BD38,0))</f>
        <v/>
      </c>
    </row>
    <row r="39">
      <c r="G39" s="75" t="n">
        <v>43</v>
      </c>
      <c r="H39" s="75" t="n">
        <v>47.243</v>
      </c>
      <c r="I39" s="75" t="n">
        <v>44.416</v>
      </c>
      <c r="J39" s="75" t="n">
        <v>71.06699999999999</v>
      </c>
      <c r="L39" s="75">
        <f>TRUNC((_xlfn.NORM.INV((RAND()),$K$7,$K$8)),0)</f>
        <v/>
      </c>
      <c r="M39" s="75" t="n">
        <v>43</v>
      </c>
      <c r="N39" s="5" t="n">
        <v>21</v>
      </c>
      <c r="O39" s="5" t="n">
        <v>10</v>
      </c>
      <c r="P39" s="5" t="n">
        <v>23</v>
      </c>
      <c r="R39" s="2">
        <f>IF(N39&gt;Demand!AU56,0,(IF(((2*(Retailers!AJ38+Distributors_Cap!$P$47)-Retailers_Cap!$BB$7)*(Demand!AU56-Retailers_Cap!N39))&lt;0,0,((IF(BB39&gt;2*(Retailers!AJ38+Distributors_Cap!$P$47),0,(IF(BG39=0,ROUNDUP((2*(Retailers!AJ38+Distributors_Cap!$P$47)-BB39)^0.5,0),ROUNDUP((2*(Retailers!AJ38+Distributors_Cap!$P$47)-BB39)^0.5,0)))))))))</f>
        <v/>
      </c>
      <c r="S39" s="2">
        <f>IF(O39&gt;Demand!AV56,0,(IF(((2*(Retailers!AK38+Distributors_Cap!$P$47)-Retailers_Cap!$BB$7)*(Demand!AV56-Retailers_Cap!O39))&lt;0,0,((IF(BC39&gt;2*(Retailers!AK38+Distributors_Cap!$P$47),0,(IF(BH39=0,ROUNDUP((2*(Retailers!AK38+Distributors_Cap!$P$47)-BC39)^0.5,0),ROUNDUP((2*(Retailers!AK38+Distributors_Cap!$P$47)-BC39)^0.5,0)))))))))</f>
        <v/>
      </c>
      <c r="T39" s="2">
        <f>IF(P39&gt;Demand!AW56,0,(IF(((2*(Retailers!AL38+Distributors_Cap!$P$47)-Retailers_Cap!$BB$7)*(Demand!AW56-Retailers_Cap!P39))&lt;0,0,((IF(BD39&gt;2*(Retailers!AL38+Distributors_Cap!$P$47),0,(IF(BI39=0,ROUNDUP((2*(Retailers!AL38+Distributors_Cap!$P$47)-BD39)^0.5,0),ROUNDUP((2*(Retailers!AL38+Distributors_Cap!$P$47)-BD39)^0.5,0)))))))))</f>
        <v/>
      </c>
      <c r="W39" s="75" t="n">
        <v>43</v>
      </c>
      <c r="X39" s="9" t="n">
        <v>12</v>
      </c>
      <c r="Y39" s="9" t="n">
        <v>12</v>
      </c>
      <c r="Z39" s="9" t="n">
        <v>12</v>
      </c>
      <c r="AB39" s="2">
        <f>ROUNDDOWN(LOG((X39+1),2),0)</f>
        <v/>
      </c>
      <c r="AC39" s="2">
        <f>ROUNDDOWN(LOG((Y39+1),2),0)</f>
        <v/>
      </c>
      <c r="AD39" s="2">
        <f>ROUNDDOWN(LOG((Z39+1),2),0)</f>
        <v/>
      </c>
      <c r="AG39" s="75" t="n">
        <v>43</v>
      </c>
      <c r="AH39" s="9" t="n">
        <v>3</v>
      </c>
      <c r="AI39" s="9" t="n">
        <v>3</v>
      </c>
      <c r="AJ39" s="9" t="n">
        <v>3</v>
      </c>
      <c r="AQ39" s="75" t="n">
        <v>43</v>
      </c>
      <c r="AR39" s="75" t="n">
        <v>47.243</v>
      </c>
      <c r="AS39" s="75" t="n">
        <v>44.416</v>
      </c>
      <c r="AT39" s="75" t="n">
        <v>71.06699999999999</v>
      </c>
      <c r="AV39" s="75" t="n">
        <v>43</v>
      </c>
      <c r="AW39" s="75">
        <f>Beginning_stock!AT67</f>
        <v/>
      </c>
      <c r="AX39" s="75">
        <f>Beginning_stock!AU67</f>
        <v/>
      </c>
      <c r="AY39" s="75">
        <f>Beginning_stock!AV67</f>
        <v/>
      </c>
      <c r="BA39" s="75" t="n">
        <v>43</v>
      </c>
      <c r="BB39" s="75">
        <f>IF(Demand!AU56=Retailers_Cap!N39,"ret=0",(AW39/(Demand!AU56-Retailers_Cap!N39)))</f>
        <v/>
      </c>
      <c r="BC39" s="75">
        <f>IF(Demand!AV56=Retailers_Cap!O39,"ret=0",(AX39/(Demand!AV56-Retailers_Cap!O39)))</f>
        <v/>
      </c>
      <c r="BD39" s="75">
        <f>IF(Demand!AW56=Retailers_Cap!P39,"ret=0",(AY39/(Demand!AW56-Retailers_Cap!P39)))</f>
        <v/>
      </c>
      <c r="BF39" s="75" t="n">
        <v>43</v>
      </c>
      <c r="BG39" s="2">
        <f>IF(Demand!AU56&lt;=Retailers_Cap!N39,"ret=0",(IF(BB39&lt;=AR39+Distributors_Cap!$P$47,1,0)))</f>
        <v/>
      </c>
      <c r="BH39" s="2">
        <f>IF(Demand!AV56&lt;=Retailers_Cap!O39,"ret=0",(IF(BC39&lt;=AS39+Distributors_Cap!$P$47,1,0)))</f>
        <v/>
      </c>
      <c r="BI39" s="2">
        <f>IF(Demand!AW56&lt;=Retailers_Cap!P39,"ret=0",(IF(BD39&lt;=AT39+Distributors_Cap!$P$47,1,0)))</f>
        <v/>
      </c>
      <c r="BK39" s="75" t="n">
        <v>43</v>
      </c>
      <c r="BL39" s="75">
        <f>Retailers!BH38</f>
        <v/>
      </c>
      <c r="BM39" s="75">
        <f>Retailers!BI38</f>
        <v/>
      </c>
      <c r="BN39" s="75">
        <f>Retailers!BJ38</f>
        <v/>
      </c>
      <c r="BP39" s="75" t="n">
        <v>43</v>
      </c>
      <c r="BQ39" s="75">
        <f>#REF!</f>
        <v/>
      </c>
      <c r="BR39" s="75">
        <f>#REF!</f>
        <v/>
      </c>
      <c r="BS39" s="75">
        <f>#REF!</f>
        <v/>
      </c>
      <c r="BU39" s="75" t="n">
        <v>43</v>
      </c>
      <c r="BV39" s="75">
        <f>Retailers!AS38</f>
        <v/>
      </c>
      <c r="BW39" s="75">
        <f>Retailers!AT38</f>
        <v/>
      </c>
      <c r="BX39" s="75">
        <f>Retailers!AU38</f>
        <v/>
      </c>
      <c r="BZ39" s="75" t="n">
        <v>43</v>
      </c>
      <c r="CA39" s="75">
        <f>Results!#REF!</f>
        <v/>
      </c>
      <c r="CB39" s="75">
        <f>Results!#REF!</f>
        <v/>
      </c>
      <c r="CC39" s="75">
        <f>Results!#REF!</f>
        <v/>
      </c>
      <c r="CE39" s="75" t="n">
        <v>43</v>
      </c>
      <c r="CF39" s="75">
        <f>Retailers!BN38</f>
        <v/>
      </c>
      <c r="CG39" s="75">
        <f>Retailers!BO38</f>
        <v/>
      </c>
      <c r="CH39" s="75">
        <f>Retailers!BP38</f>
        <v/>
      </c>
      <c r="CJ39" s="75" t="n">
        <v>43</v>
      </c>
      <c r="CK39" s="75">
        <f>IF(BB39="ret=0",0,IF(BB39&gt;0,AR39+Distributors_Cap!$P$47-BB39,0))</f>
        <v/>
      </c>
      <c r="CL39" s="75">
        <f>IF(BC39="ret=0",0,IF(BC39&gt;0,AS39+Distributors_Cap!$P$47-BC39,0))</f>
        <v/>
      </c>
      <c r="CM39" s="75">
        <f>IF(BD39="ret=0",0,IF(BD39&gt;0,AT39+Distributors_Cap!$P$47-BD39,0))</f>
        <v/>
      </c>
    </row>
    <row r="40">
      <c r="G40" s="75" t="n">
        <v>44</v>
      </c>
      <c r="H40" s="75" t="n">
        <v>68.708</v>
      </c>
      <c r="I40" s="75" t="n">
        <v>81.249</v>
      </c>
      <c r="J40" s="75" t="n">
        <v>71.997</v>
      </c>
      <c r="L40" s="75">
        <f>TRUNC((_xlfn.NORM.INV((RAND()),$K$7,$K$8)),0)</f>
        <v/>
      </c>
      <c r="M40" s="75" t="n">
        <v>44</v>
      </c>
      <c r="N40" s="5" t="n">
        <v>32</v>
      </c>
      <c r="O40" s="5" t="n">
        <v>26</v>
      </c>
      <c r="P40" s="5" t="n">
        <v>28</v>
      </c>
      <c r="R40" s="2">
        <f>IF(N40&gt;Demand!AU57,0,(IF(((2*(Retailers!AJ39+Distributors_Cap!$P$47)-Retailers_Cap!$BB$7)*(Demand!AU57-Retailers_Cap!N40))&lt;0,0,((IF(BB40&gt;2*(Retailers!AJ39+Distributors_Cap!$P$47),0,(IF(BG40=0,ROUNDUP((2*(Retailers!AJ39+Distributors_Cap!$P$47)-BB40)^0.5,0),ROUNDUP((2*(Retailers!AJ39+Distributors_Cap!$P$47)-BB40)^0.5,0)))))))))</f>
        <v/>
      </c>
      <c r="S40" s="2">
        <f>IF(O40&gt;Demand!AV57,0,(IF(((2*(Retailers!AK39+Distributors_Cap!$P$47)-Retailers_Cap!$BB$7)*(Demand!AV57-Retailers_Cap!O40))&lt;0,0,((IF(BC40&gt;2*(Retailers!AK39+Distributors_Cap!$P$47),0,(IF(BH40=0,ROUNDUP((2*(Retailers!AK39+Distributors_Cap!$P$47)-BC40)^0.5,0),ROUNDUP((2*(Retailers!AK39+Distributors_Cap!$P$47)-BC40)^0.5,0)))))))))</f>
        <v/>
      </c>
      <c r="T40" s="2">
        <f>IF(P40&gt;Demand!AW57,0,(IF(((2*(Retailers!AL39+Distributors_Cap!$P$47)-Retailers_Cap!$BB$7)*(Demand!AW57-Retailers_Cap!P40))&lt;0,0,((IF(BD40&gt;2*(Retailers!AL39+Distributors_Cap!$P$47),0,(IF(BI40=0,ROUNDUP((2*(Retailers!AL39+Distributors_Cap!$P$47)-BD40)^0.5,0),ROUNDUP((2*(Retailers!AL39+Distributors_Cap!$P$47)-BD40)^0.5,0)))))))))</f>
        <v/>
      </c>
      <c r="W40" s="75" t="n">
        <v>44</v>
      </c>
      <c r="X40" s="9" t="n">
        <v>0</v>
      </c>
      <c r="Y40" s="9" t="n">
        <v>0</v>
      </c>
      <c r="Z40" s="9" t="n">
        <v>9</v>
      </c>
      <c r="AB40" s="2">
        <f>ROUNDDOWN(LOG((X40+1),2),0)</f>
        <v/>
      </c>
      <c r="AC40" s="2">
        <f>ROUNDDOWN(LOG((Y40+1),2),0)</f>
        <v/>
      </c>
      <c r="AD40" s="2">
        <f>ROUNDDOWN(LOG((Z40+1),2),0)</f>
        <v/>
      </c>
      <c r="AG40" s="75" t="n">
        <v>44</v>
      </c>
      <c r="AH40" s="9" t="n">
        <v>0</v>
      </c>
      <c r="AI40" s="9" t="n">
        <v>0</v>
      </c>
      <c r="AJ40" s="9" t="n">
        <v>3</v>
      </c>
      <c r="AQ40" s="75" t="n">
        <v>44</v>
      </c>
      <c r="AR40" s="75" t="n">
        <v>68.708</v>
      </c>
      <c r="AS40" s="75" t="n">
        <v>81.249</v>
      </c>
      <c r="AT40" s="75" t="n">
        <v>71.997</v>
      </c>
      <c r="AV40" s="75" t="n">
        <v>44</v>
      </c>
      <c r="AW40" s="75">
        <f>Beginning_stock!AT68</f>
        <v/>
      </c>
      <c r="AX40" s="75">
        <f>Beginning_stock!AU68</f>
        <v/>
      </c>
      <c r="AY40" s="75">
        <f>Beginning_stock!AV68</f>
        <v/>
      </c>
      <c r="BA40" s="75" t="n">
        <v>44</v>
      </c>
      <c r="BB40" s="75">
        <f>IF(Demand!AU57=Retailers_Cap!N40,"ret=0",(AW40/(Demand!AU57-Retailers_Cap!N40)))</f>
        <v/>
      </c>
      <c r="BC40" s="75">
        <f>IF(Demand!AV57=Retailers_Cap!O40,"ret=0",(AX40/(Demand!AV57-Retailers_Cap!O40)))</f>
        <v/>
      </c>
      <c r="BD40" s="75">
        <f>IF(Demand!AW57=Retailers_Cap!P40,"ret=0",(AY40/(Demand!AW57-Retailers_Cap!P40)))</f>
        <v/>
      </c>
      <c r="BF40" s="75" t="n">
        <v>44</v>
      </c>
      <c r="BG40" s="2">
        <f>IF(Demand!AU57&lt;=Retailers_Cap!N40,"ret=0",(IF(BB40&lt;=AR40+Distributors_Cap!$P$47,1,0)))</f>
        <v/>
      </c>
      <c r="BH40" s="2">
        <f>IF(Demand!AV57&lt;=Retailers_Cap!O40,"ret=0",(IF(BC40&lt;=AS40+Distributors_Cap!$P$47,1,0)))</f>
        <v/>
      </c>
      <c r="BI40" s="2">
        <f>IF(Demand!AW57&lt;=Retailers_Cap!P40,"ret=0",(IF(BD40&lt;=AT40+Distributors_Cap!$P$47,1,0)))</f>
        <v/>
      </c>
      <c r="BK40" s="75" t="n">
        <v>44</v>
      </c>
      <c r="BL40" s="75">
        <f>Retailers!BH39</f>
        <v/>
      </c>
      <c r="BM40" s="75">
        <f>Retailers!BI39</f>
        <v/>
      </c>
      <c r="BN40" s="75">
        <f>Retailers!BJ39</f>
        <v/>
      </c>
      <c r="BP40" s="75" t="n">
        <v>44</v>
      </c>
      <c r="BQ40" s="75">
        <f>#REF!</f>
        <v/>
      </c>
      <c r="BR40" s="75">
        <f>#REF!</f>
        <v/>
      </c>
      <c r="BS40" s="75">
        <f>#REF!</f>
        <v/>
      </c>
      <c r="BU40" s="75" t="n">
        <v>44</v>
      </c>
      <c r="BV40" s="75">
        <f>Retailers!AS39</f>
        <v/>
      </c>
      <c r="BW40" s="75">
        <f>Retailers!AT39</f>
        <v/>
      </c>
      <c r="BX40" s="75">
        <f>Retailers!AU39</f>
        <v/>
      </c>
      <c r="BZ40" s="75" t="n">
        <v>44</v>
      </c>
      <c r="CA40" s="75">
        <f>Results!#REF!</f>
        <v/>
      </c>
      <c r="CB40" s="75">
        <f>Results!#REF!</f>
        <v/>
      </c>
      <c r="CC40" s="75">
        <f>Results!#REF!</f>
        <v/>
      </c>
      <c r="CE40" s="75" t="n">
        <v>44</v>
      </c>
      <c r="CF40" s="75">
        <f>Retailers!BN39</f>
        <v/>
      </c>
      <c r="CG40" s="75">
        <f>Retailers!BO39</f>
        <v/>
      </c>
      <c r="CH40" s="75">
        <f>Retailers!BP39</f>
        <v/>
      </c>
      <c r="CJ40" s="75" t="n">
        <v>44</v>
      </c>
      <c r="CK40" s="75">
        <f>IF(BB40="ret=0",0,IF(BB40&gt;0,AR40+Distributors_Cap!$P$47-BB40,0))</f>
        <v/>
      </c>
      <c r="CL40" s="75">
        <f>IF(BC40="ret=0",0,IF(BC40&gt;0,AS40+Distributors_Cap!$P$47-BC40,0))</f>
        <v/>
      </c>
      <c r="CM40" s="75">
        <f>IF(BD40="ret=0",0,IF(BD40&gt;0,AT40+Distributors_Cap!$P$47-BD40,0))</f>
        <v/>
      </c>
    </row>
    <row r="41">
      <c r="G41" s="75" t="n">
        <v>45</v>
      </c>
      <c r="H41" s="75" t="n">
        <v>80.925</v>
      </c>
      <c r="I41" s="75" t="n">
        <v>54.896</v>
      </c>
      <c r="J41" s="75" t="n">
        <v>64.851</v>
      </c>
      <c r="L41" s="75">
        <f>TRUNC((_xlfn.NORM.INV((RAND()),$K$7,$K$8)),0)</f>
        <v/>
      </c>
      <c r="M41" s="75" t="n">
        <v>45</v>
      </c>
      <c r="N41" s="5" t="n">
        <v>23</v>
      </c>
      <c r="O41" s="5" t="n">
        <v>22</v>
      </c>
      <c r="P41" s="5" t="n">
        <v>18</v>
      </c>
      <c r="R41" s="2">
        <f>IF(N41&gt;Demand!AU58,0,(IF(((2*(Retailers!AJ40+Distributors_Cap!$P$47)-Retailers_Cap!$BB$7)*(Demand!AU58-Retailers_Cap!N41))&lt;0,0,((IF(BB41&gt;2*(Retailers!AJ40+Distributors_Cap!$P$47),0,(IF(BG41=0,ROUNDUP((2*(Retailers!AJ40+Distributors_Cap!$P$47)-BB41)^0.5,0),ROUNDUP((2*(Retailers!AJ40+Distributors_Cap!$P$47)-BB41)^0.5,0)))))))))</f>
        <v/>
      </c>
      <c r="S41" s="2">
        <f>IF(O41&gt;Demand!AV58,0,(IF(((2*(Retailers!AK40+Distributors_Cap!$P$47)-Retailers_Cap!$BB$7)*(Demand!AV58-Retailers_Cap!O41))&lt;0,0,((IF(BC41&gt;2*(Retailers!AK40+Distributors_Cap!$P$47),0,(IF(BH41=0,ROUNDUP((2*(Retailers!AK40+Distributors_Cap!$P$47)-BC41)^0.5,0),ROUNDUP((2*(Retailers!AK40+Distributors_Cap!$P$47)-BC41)^0.5,0)))))))))</f>
        <v/>
      </c>
      <c r="T41" s="2">
        <f>IF(P41&gt;Demand!AW58,0,(IF(((2*(Retailers!AL40+Distributors_Cap!$P$47)-Retailers_Cap!$BB$7)*(Demand!AW58-Retailers_Cap!P41))&lt;0,0,((IF(BD41&gt;2*(Retailers!AL40+Distributors_Cap!$P$47),0,(IF(BI41=0,ROUNDUP((2*(Retailers!AL40+Distributors_Cap!$P$47)-BD41)^0.5,0),ROUNDUP((2*(Retailers!AL40+Distributors_Cap!$P$47)-BD41)^0.5,0)))))))))</f>
        <v/>
      </c>
      <c r="W41" s="75" t="n">
        <v>45</v>
      </c>
      <c r="X41" s="9" t="n">
        <v>0</v>
      </c>
      <c r="Y41" s="9" t="n">
        <v>0</v>
      </c>
      <c r="Z41" s="9" t="n">
        <v>13</v>
      </c>
      <c r="AB41" s="2">
        <f>ROUNDDOWN(LOG((X41+1),2),0)</f>
        <v/>
      </c>
      <c r="AC41" s="2">
        <f>ROUNDDOWN(LOG((Y41+1),2),0)</f>
        <v/>
      </c>
      <c r="AD41" s="2">
        <f>ROUNDDOWN(LOG((Z41+1),2),0)</f>
        <v/>
      </c>
      <c r="AG41" s="75" t="n">
        <v>45</v>
      </c>
      <c r="AH41" s="9" t="n">
        <v>0</v>
      </c>
      <c r="AI41" s="9" t="n">
        <v>0</v>
      </c>
      <c r="AJ41" s="9" t="n">
        <v>3</v>
      </c>
      <c r="AQ41" s="75" t="n">
        <v>45</v>
      </c>
      <c r="AR41" s="75" t="n">
        <v>80.925</v>
      </c>
      <c r="AS41" s="75" t="n">
        <v>54.896</v>
      </c>
      <c r="AT41" s="75" t="n">
        <v>64.851</v>
      </c>
      <c r="AV41" s="75" t="n">
        <v>45</v>
      </c>
      <c r="AW41" s="75">
        <f>Beginning_stock!AT69</f>
        <v/>
      </c>
      <c r="AX41" s="75">
        <f>Beginning_stock!AU69</f>
        <v/>
      </c>
      <c r="AY41" s="75">
        <f>Beginning_stock!AV69</f>
        <v/>
      </c>
      <c r="BA41" s="75" t="n">
        <v>45</v>
      </c>
      <c r="BB41" s="75">
        <f>IF(Demand!AU58=Retailers_Cap!N41,"ret=0",(AW41/(Demand!AU58-Retailers_Cap!N41)))</f>
        <v/>
      </c>
      <c r="BC41" s="75">
        <f>IF(Demand!AV58=Retailers_Cap!O41,"ret=0",(AX41/(Demand!AV58-Retailers_Cap!O41)))</f>
        <v/>
      </c>
      <c r="BD41" s="75">
        <f>IF(Demand!AW58=Retailers_Cap!P41,"ret=0",(AY41/(Demand!AW58-Retailers_Cap!P41)))</f>
        <v/>
      </c>
      <c r="BF41" s="75" t="n">
        <v>45</v>
      </c>
      <c r="BG41" s="2">
        <f>IF(Demand!AU58&lt;=Retailers_Cap!N41,"ret=0",(IF(BB41&lt;=AR41+Distributors_Cap!$P$47,1,0)))</f>
        <v/>
      </c>
      <c r="BH41" s="2">
        <f>IF(Demand!AV58&lt;=Retailers_Cap!O41,"ret=0",(IF(BC41&lt;=AS41+Distributors_Cap!$P$47,1,0)))</f>
        <v/>
      </c>
      <c r="BI41" s="2">
        <f>IF(Demand!AW58&lt;=Retailers_Cap!P41,"ret=0",(IF(BD41&lt;=AT41+Distributors_Cap!$P$47,1,0)))</f>
        <v/>
      </c>
      <c r="BK41" s="75" t="n">
        <v>45</v>
      </c>
      <c r="BL41" s="75">
        <f>Retailers!BH40</f>
        <v/>
      </c>
      <c r="BM41" s="75">
        <f>Retailers!BI40</f>
        <v/>
      </c>
      <c r="BN41" s="75">
        <f>Retailers!BJ40</f>
        <v/>
      </c>
      <c r="BP41" s="75" t="n">
        <v>45</v>
      </c>
      <c r="BQ41" s="75">
        <f>#REF!</f>
        <v/>
      </c>
      <c r="BR41" s="75">
        <f>#REF!</f>
        <v/>
      </c>
      <c r="BS41" s="75">
        <f>#REF!</f>
        <v/>
      </c>
      <c r="BU41" s="75" t="n">
        <v>45</v>
      </c>
      <c r="BV41" s="75">
        <f>Retailers!AS40</f>
        <v/>
      </c>
      <c r="BW41" s="75">
        <f>Retailers!AT40</f>
        <v/>
      </c>
      <c r="BX41" s="75">
        <f>Retailers!AU40</f>
        <v/>
      </c>
      <c r="BZ41" s="75" t="n">
        <v>45</v>
      </c>
      <c r="CA41" s="75">
        <f>Results!#REF!</f>
        <v/>
      </c>
      <c r="CB41" s="75">
        <f>Results!#REF!</f>
        <v/>
      </c>
      <c r="CC41" s="75">
        <f>Results!#REF!</f>
        <v/>
      </c>
      <c r="CE41" s="75" t="n">
        <v>45</v>
      </c>
      <c r="CF41" s="75">
        <f>Retailers!BN40</f>
        <v/>
      </c>
      <c r="CG41" s="75">
        <f>Retailers!BO40</f>
        <v/>
      </c>
      <c r="CH41" s="75">
        <f>Retailers!BP40</f>
        <v/>
      </c>
      <c r="CJ41" s="75" t="n">
        <v>45</v>
      </c>
      <c r="CK41" s="75">
        <f>IF(BB41="ret=0",0,IF(BB41&gt;0,AR41+Distributors_Cap!$P$47-BB41,0))</f>
        <v/>
      </c>
      <c r="CL41" s="75">
        <f>IF(BC41="ret=0",0,IF(BC41&gt;0,AS41+Distributors_Cap!$P$47-BC41,0))</f>
        <v/>
      </c>
      <c r="CM41" s="75">
        <f>IF(BD41="ret=0",0,IF(BD41&gt;0,AT41+Distributors_Cap!$P$47-BD41,0))</f>
        <v/>
      </c>
    </row>
    <row r="42">
      <c r="G42" s="75" t="n">
        <v>46</v>
      </c>
      <c r="H42" s="75" t="n">
        <v>47.123</v>
      </c>
      <c r="I42" s="75" t="n">
        <v>62.216</v>
      </c>
      <c r="J42" s="75" t="n">
        <v>85.279</v>
      </c>
      <c r="L42" s="75">
        <f>TRUNC((_xlfn.NORM.INV((RAND()),$K$7,$K$8)),0)</f>
        <v/>
      </c>
      <c r="M42" s="75" t="n">
        <v>46</v>
      </c>
      <c r="N42" s="5" t="n">
        <v>34</v>
      </c>
      <c r="O42" s="5" t="n">
        <v>24</v>
      </c>
      <c r="P42" s="5" t="n">
        <v>19</v>
      </c>
      <c r="R42" s="2">
        <f>IF(N42&gt;Demand!AU59,0,(IF(((2*(Retailers!AJ41+Distributors_Cap!$P$47)-Retailers_Cap!$BB$7)*(Demand!AU59-Retailers_Cap!N42))&lt;0,0,((IF(BB42&gt;2*(Retailers!AJ41+Distributors_Cap!$P$47),0,(IF(BG42=0,ROUNDUP((2*(Retailers!AJ41+Distributors_Cap!$P$47)-BB42)^0.5,0),ROUNDUP((2*(Retailers!AJ41+Distributors_Cap!$P$47)-BB42)^0.5,0)))))))))</f>
        <v/>
      </c>
      <c r="S42" s="2">
        <f>IF(O42&gt;Demand!AV59,0,(IF(((2*(Retailers!AK41+Distributors_Cap!$P$47)-Retailers_Cap!$BB$7)*(Demand!AV59-Retailers_Cap!O42))&lt;0,0,((IF(BC42&gt;2*(Retailers!AK41+Distributors_Cap!$P$47),0,(IF(BH42=0,ROUNDUP((2*(Retailers!AK41+Distributors_Cap!$P$47)-BC42)^0.5,0),ROUNDUP((2*(Retailers!AK41+Distributors_Cap!$P$47)-BC42)^0.5,0)))))))))</f>
        <v/>
      </c>
      <c r="T42" s="2">
        <f>IF(P42&gt;Demand!AW59,0,(IF(((2*(Retailers!AL41+Distributors_Cap!$P$47)-Retailers_Cap!$BB$7)*(Demand!AW59-Retailers_Cap!P42))&lt;0,0,((IF(BD42&gt;2*(Retailers!AL41+Distributors_Cap!$P$47),0,(IF(BI42=0,ROUNDUP((2*(Retailers!AL41+Distributors_Cap!$P$47)-BD42)^0.5,0),ROUNDUP((2*(Retailers!AL41+Distributors_Cap!$P$47)-BD42)^0.5,0)))))))))</f>
        <v/>
      </c>
      <c r="W42" s="75" t="n">
        <v>46</v>
      </c>
      <c r="X42" s="9" t="n">
        <v>0</v>
      </c>
      <c r="Y42" s="9" t="n">
        <v>13</v>
      </c>
      <c r="Z42" s="9" t="n">
        <v>15</v>
      </c>
      <c r="AB42" s="2">
        <f>ROUNDDOWN(LOG((X42+1),2),0)</f>
        <v/>
      </c>
      <c r="AC42" s="2">
        <f>ROUNDDOWN(LOG((Y42+1),2),0)</f>
        <v/>
      </c>
      <c r="AD42" s="2">
        <f>ROUNDDOWN(LOG((Z42+1),2),0)</f>
        <v/>
      </c>
      <c r="AG42" s="75" t="n">
        <v>46</v>
      </c>
      <c r="AH42" s="9" t="n">
        <v>0</v>
      </c>
      <c r="AI42" s="9" t="n">
        <v>3</v>
      </c>
      <c r="AJ42" s="9" t="n">
        <v>4</v>
      </c>
      <c r="AQ42" s="75" t="n">
        <v>46</v>
      </c>
      <c r="AR42" s="75" t="n">
        <v>47.123</v>
      </c>
      <c r="AS42" s="75" t="n">
        <v>62.216</v>
      </c>
      <c r="AT42" s="75" t="n">
        <v>85.279</v>
      </c>
      <c r="AV42" s="75" t="n">
        <v>46</v>
      </c>
      <c r="AW42" s="75">
        <f>Beginning_stock!AT70</f>
        <v/>
      </c>
      <c r="AX42" s="75">
        <f>Beginning_stock!AU70</f>
        <v/>
      </c>
      <c r="AY42" s="75">
        <f>Beginning_stock!AV70</f>
        <v/>
      </c>
      <c r="BA42" s="75" t="n">
        <v>46</v>
      </c>
      <c r="BB42" s="75">
        <f>IF(Demand!AU59=Retailers_Cap!N42,"ret=0",(AW42/(Demand!AU59-Retailers_Cap!N42)))</f>
        <v/>
      </c>
      <c r="BC42" s="75">
        <f>IF(Demand!AV59=Retailers_Cap!O42,"ret=0",(AX42/(Demand!AV59-Retailers_Cap!O42)))</f>
        <v/>
      </c>
      <c r="BD42" s="75">
        <f>IF(Demand!AW59=Retailers_Cap!P42,"ret=0",(AY42/(Demand!AW59-Retailers_Cap!P42)))</f>
        <v/>
      </c>
      <c r="BF42" s="75" t="n">
        <v>46</v>
      </c>
      <c r="BG42" s="2">
        <f>IF(Demand!AU59&lt;=Retailers_Cap!N42,"ret=0",(IF(BB42&lt;=AR42+Distributors_Cap!$P$47,1,0)))</f>
        <v/>
      </c>
      <c r="BH42" s="2">
        <f>IF(Demand!AV59&lt;=Retailers_Cap!O42,"ret=0",(IF(BC42&lt;=AS42+Distributors_Cap!$P$47,1,0)))</f>
        <v/>
      </c>
      <c r="BI42" s="2">
        <f>IF(Demand!AW59&lt;=Retailers_Cap!P42,"ret=0",(IF(BD42&lt;=AT42+Distributors_Cap!$P$47,1,0)))</f>
        <v/>
      </c>
      <c r="BK42" s="75" t="n">
        <v>46</v>
      </c>
      <c r="BL42" s="75">
        <f>Retailers!BH41</f>
        <v/>
      </c>
      <c r="BM42" s="75">
        <f>Retailers!BI41</f>
        <v/>
      </c>
      <c r="BN42" s="75">
        <f>Retailers!BJ41</f>
        <v/>
      </c>
      <c r="BP42" s="75" t="n">
        <v>46</v>
      </c>
      <c r="BQ42" s="75">
        <f>#REF!</f>
        <v/>
      </c>
      <c r="BR42" s="75">
        <f>#REF!</f>
        <v/>
      </c>
      <c r="BS42" s="75">
        <f>#REF!</f>
        <v/>
      </c>
      <c r="BU42" s="75" t="n">
        <v>46</v>
      </c>
      <c r="BV42" s="75">
        <f>Retailers!AS41</f>
        <v/>
      </c>
      <c r="BW42" s="75">
        <f>Retailers!AT41</f>
        <v/>
      </c>
      <c r="BX42" s="75">
        <f>Retailers!AU41</f>
        <v/>
      </c>
      <c r="BZ42" s="75" t="n">
        <v>46</v>
      </c>
      <c r="CA42" s="75">
        <f>Results!#REF!</f>
        <v/>
      </c>
      <c r="CB42" s="75">
        <f>Results!#REF!</f>
        <v/>
      </c>
      <c r="CC42" s="75">
        <f>Results!#REF!</f>
        <v/>
      </c>
      <c r="CE42" s="75" t="n">
        <v>46</v>
      </c>
      <c r="CF42" s="75">
        <f>Retailers!BN41</f>
        <v/>
      </c>
      <c r="CG42" s="75">
        <f>Retailers!BO41</f>
        <v/>
      </c>
      <c r="CH42" s="75">
        <f>Retailers!BP41</f>
        <v/>
      </c>
      <c r="CJ42" s="75" t="n">
        <v>46</v>
      </c>
      <c r="CK42" s="75">
        <f>IF(BB42="ret=0",0,IF(BB42&gt;0,AR42+Distributors_Cap!$P$47-BB42,0))</f>
        <v/>
      </c>
      <c r="CL42" s="75">
        <f>IF(BC42="ret=0",0,IF(BC42&gt;0,AS42+Distributors_Cap!$P$47-BC42,0))</f>
        <v/>
      </c>
      <c r="CM42" s="75">
        <f>IF(BD42="ret=0",0,IF(BD42&gt;0,AT42+Distributors_Cap!$P$47-BD42,0))</f>
        <v/>
      </c>
    </row>
    <row r="43">
      <c r="G43" s="75" t="n">
        <v>47</v>
      </c>
      <c r="H43" s="75" t="n">
        <v>63.343</v>
      </c>
      <c r="I43" s="75" t="n">
        <v>64.31</v>
      </c>
      <c r="J43" s="75" t="n">
        <v>65.268</v>
      </c>
      <c r="L43" s="75">
        <f>TRUNC((_xlfn.NORM.INV((RAND()),$K$7,$K$8)),0)</f>
        <v/>
      </c>
      <c r="M43" s="75" t="n">
        <v>47</v>
      </c>
      <c r="N43" s="5" t="n">
        <v>26</v>
      </c>
      <c r="O43" s="5" t="n">
        <v>31</v>
      </c>
      <c r="P43" s="5" t="n">
        <v>29</v>
      </c>
      <c r="R43" s="2">
        <f>IF(N43&gt;Demand!AU60,0,(IF(((2*(Retailers!AJ42+Distributors_Cap!$P$47)-Retailers_Cap!$BB$7)*(Demand!AU60-Retailers_Cap!N43))&lt;0,0,((IF(BB43&gt;2*(Retailers!AJ42+Distributors_Cap!$P$47),0,(IF(BG43=0,ROUNDUP((2*(Retailers!AJ42+Distributors_Cap!$P$47)-BB43)^0.5,0),ROUNDUP((2*(Retailers!AJ42+Distributors_Cap!$P$47)-BB43)^0.5,0)))))))))</f>
        <v/>
      </c>
      <c r="S43" s="2">
        <f>IF(O43&gt;Demand!AV60,0,(IF(((2*(Retailers!AK42+Distributors_Cap!$P$47)-Retailers_Cap!$BB$7)*(Demand!AV60-Retailers_Cap!O43))&lt;0,0,((IF(BC43&gt;2*(Retailers!AK42+Distributors_Cap!$P$47),0,(IF(BH43=0,ROUNDUP((2*(Retailers!AK42+Distributors_Cap!$P$47)-BC43)^0.5,0),ROUNDUP((2*(Retailers!AK42+Distributors_Cap!$P$47)-BC43)^0.5,0)))))))))</f>
        <v/>
      </c>
      <c r="T43" s="2">
        <f>IF(P43&gt;Demand!AW60,0,(IF(((2*(Retailers!AL42+Distributors_Cap!$P$47)-Retailers_Cap!$BB$7)*(Demand!AW60-Retailers_Cap!P43))&lt;0,0,((IF(BD43&gt;2*(Retailers!AL42+Distributors_Cap!$P$47),0,(IF(BI43=0,ROUNDUP((2*(Retailers!AL42+Distributors_Cap!$P$47)-BD43)^0.5,0),ROUNDUP((2*(Retailers!AL42+Distributors_Cap!$P$47)-BD43)^0.5,0)))))))))</f>
        <v/>
      </c>
      <c r="W43" s="75" t="n">
        <v>47</v>
      </c>
      <c r="X43" s="9" t="n">
        <v>12</v>
      </c>
      <c r="Y43" s="9" t="n">
        <v>9</v>
      </c>
      <c r="Z43" s="9" t="n">
        <v>0</v>
      </c>
      <c r="AB43" s="2">
        <f>ROUNDDOWN(LOG((X43+1),2),0)</f>
        <v/>
      </c>
      <c r="AC43" s="2">
        <f>ROUNDDOWN(LOG((Y43+1),2),0)</f>
        <v/>
      </c>
      <c r="AD43" s="2">
        <f>ROUNDDOWN(LOG((Z43+1),2),0)</f>
        <v/>
      </c>
      <c r="AG43" s="75" t="n">
        <v>47</v>
      </c>
      <c r="AH43" s="9" t="n">
        <v>3</v>
      </c>
      <c r="AI43" s="9" t="n">
        <v>3</v>
      </c>
      <c r="AJ43" s="9" t="n">
        <v>0</v>
      </c>
      <c r="AQ43" s="75" t="n">
        <v>47</v>
      </c>
      <c r="AR43" s="75" t="n">
        <v>63.343</v>
      </c>
      <c r="AS43" s="75" t="n">
        <v>64.31</v>
      </c>
      <c r="AT43" s="75" t="n">
        <v>65.268</v>
      </c>
      <c r="AV43" s="75" t="n">
        <v>47</v>
      </c>
      <c r="AW43" s="75">
        <f>Beginning_stock!AT71</f>
        <v/>
      </c>
      <c r="AX43" s="75">
        <f>Beginning_stock!AU71</f>
        <v/>
      </c>
      <c r="AY43" s="75">
        <f>Beginning_stock!AV71</f>
        <v/>
      </c>
      <c r="BA43" s="75" t="n">
        <v>47</v>
      </c>
      <c r="BB43" s="75">
        <f>IF(Demand!AU60=Retailers_Cap!N43,"ret=0",(AW43/(Demand!AU60-Retailers_Cap!N43)))</f>
        <v/>
      </c>
      <c r="BC43" s="75">
        <f>IF(Demand!AV60=Retailers_Cap!O43,"ret=0",(AX43/(Demand!AV60-Retailers_Cap!O43)))</f>
        <v/>
      </c>
      <c r="BD43" s="75">
        <f>IF(Demand!AW60=Retailers_Cap!P43,"ret=0",(AY43/(Demand!AW60-Retailers_Cap!P43)))</f>
        <v/>
      </c>
      <c r="BF43" s="75" t="n">
        <v>47</v>
      </c>
      <c r="BG43" s="2">
        <f>IF(Demand!AU60&lt;=Retailers_Cap!N43,"ret=0",(IF(BB43&lt;=AR43+Distributors_Cap!$P$47,1,0)))</f>
        <v/>
      </c>
      <c r="BH43" s="2">
        <f>IF(Demand!AV60&lt;=Retailers_Cap!O43,"ret=0",(IF(BC43&lt;=AS43+Distributors_Cap!$P$47,1,0)))</f>
        <v/>
      </c>
      <c r="BI43" s="2">
        <f>IF(Demand!AW60&lt;=Retailers_Cap!P43,"ret=0",(IF(BD43&lt;=AT43+Distributors_Cap!$P$47,1,0)))</f>
        <v/>
      </c>
      <c r="BK43" s="75" t="n">
        <v>47</v>
      </c>
      <c r="BL43" s="75">
        <f>Retailers!BH42</f>
        <v/>
      </c>
      <c r="BM43" s="75">
        <f>Retailers!BI42</f>
        <v/>
      </c>
      <c r="BN43" s="75">
        <f>Retailers!BJ42</f>
        <v/>
      </c>
      <c r="BP43" s="75" t="n">
        <v>47</v>
      </c>
      <c r="BQ43" s="75">
        <f>#REF!</f>
        <v/>
      </c>
      <c r="BR43" s="75">
        <f>#REF!</f>
        <v/>
      </c>
      <c r="BS43" s="75">
        <f>#REF!</f>
        <v/>
      </c>
      <c r="BU43" s="75" t="n">
        <v>47</v>
      </c>
      <c r="BV43" s="75">
        <f>Retailers!AS42</f>
        <v/>
      </c>
      <c r="BW43" s="75">
        <f>Retailers!AT42</f>
        <v/>
      </c>
      <c r="BX43" s="75">
        <f>Retailers!AU42</f>
        <v/>
      </c>
      <c r="BZ43" s="75" t="n">
        <v>47</v>
      </c>
      <c r="CA43" s="75">
        <f>Results!#REF!</f>
        <v/>
      </c>
      <c r="CB43" s="75">
        <f>Results!#REF!</f>
        <v/>
      </c>
      <c r="CC43" s="75">
        <f>Results!#REF!</f>
        <v/>
      </c>
      <c r="CE43" s="75" t="n">
        <v>47</v>
      </c>
      <c r="CF43" s="75">
        <f>Retailers!BN42</f>
        <v/>
      </c>
      <c r="CG43" s="75">
        <f>Retailers!BO42</f>
        <v/>
      </c>
      <c r="CH43" s="75">
        <f>Retailers!BP42</f>
        <v/>
      </c>
      <c r="CJ43" s="75" t="n">
        <v>47</v>
      </c>
      <c r="CK43" s="75">
        <f>IF(BB43="ret=0",0,IF(BB43&gt;0,AR43+Distributors_Cap!$P$47-BB43,0))</f>
        <v/>
      </c>
      <c r="CL43" s="75">
        <f>IF(BC43="ret=0",0,IF(BC43&gt;0,AS43+Distributors_Cap!$P$47-BC43,0))</f>
        <v/>
      </c>
      <c r="CM43" s="75">
        <f>IF(BD43="ret=0",0,IF(BD43&gt;0,AT43+Distributors_Cap!$P$47-BD43,0))</f>
        <v/>
      </c>
    </row>
    <row r="44">
      <c r="G44" s="75" t="n">
        <v>48</v>
      </c>
      <c r="H44" s="75" t="n">
        <v>67.218</v>
      </c>
      <c r="I44" s="75" t="n">
        <v>52.683</v>
      </c>
      <c r="J44" s="75" t="n">
        <v>60.908</v>
      </c>
      <c r="L44" s="75">
        <f>TRUNC((_xlfn.NORM.INV((RAND()),$K$7,$K$8)),0)</f>
        <v/>
      </c>
      <c r="M44" s="75" t="n">
        <v>48</v>
      </c>
      <c r="N44" s="5" t="n">
        <v>24</v>
      </c>
      <c r="O44" s="5" t="n">
        <v>30</v>
      </c>
      <c r="P44" s="5" t="n">
        <v>28</v>
      </c>
      <c r="R44" s="2">
        <f>IF(N44&gt;Demand!AU61,0,(IF(((2*(Retailers!AJ43+Distributors_Cap!$P$47)-Retailers_Cap!$BB$7)*(Demand!AU61-Retailers_Cap!N44))&lt;0,0,((IF(BB44&gt;2*(Retailers!AJ43+Distributors_Cap!$P$47),0,(IF(BG44=0,ROUNDUP((2*(Retailers!AJ43+Distributors_Cap!$P$47)-BB44)^0.5,0),ROUNDUP((2*(Retailers!AJ43+Distributors_Cap!$P$47)-BB44)^0.5,0)))))))))</f>
        <v/>
      </c>
      <c r="S44" s="2">
        <f>IF(O44&gt;Demand!AV61,0,(IF(((2*(Retailers!AK43+Distributors_Cap!$P$47)-Retailers_Cap!$BB$7)*(Demand!AV61-Retailers_Cap!O44))&lt;0,0,((IF(BC44&gt;2*(Retailers!AK43+Distributors_Cap!$P$47),0,(IF(BH44=0,ROUNDUP((2*(Retailers!AK43+Distributors_Cap!$P$47)-BC44)^0.5,0),ROUNDUP((2*(Retailers!AK43+Distributors_Cap!$P$47)-BC44)^0.5,0)))))))))</f>
        <v/>
      </c>
      <c r="T44" s="2">
        <f>IF(P44&gt;Demand!AW61,0,(IF(((2*(Retailers!AL43+Distributors_Cap!$P$47)-Retailers_Cap!$BB$7)*(Demand!AW61-Retailers_Cap!P44))&lt;0,0,((IF(BD44&gt;2*(Retailers!AL43+Distributors_Cap!$P$47),0,(IF(BI44=0,ROUNDUP((2*(Retailers!AL43+Distributors_Cap!$P$47)-BD44)^0.5,0),ROUNDUP((2*(Retailers!AL43+Distributors_Cap!$P$47)-BD44)^0.5,0)))))))))</f>
        <v/>
      </c>
      <c r="W44" s="75" t="n">
        <v>48</v>
      </c>
      <c r="X44" s="9" t="n">
        <v>10</v>
      </c>
      <c r="Y44" s="9" t="n">
        <v>10</v>
      </c>
      <c r="Z44" s="9" t="n">
        <v>0</v>
      </c>
      <c r="AB44" s="2">
        <f>ROUNDDOWN(LOG((X44+1),2),0)</f>
        <v/>
      </c>
      <c r="AC44" s="2">
        <f>ROUNDDOWN(LOG((Y44+1),2),0)</f>
        <v/>
      </c>
      <c r="AD44" s="2">
        <f>ROUNDDOWN(LOG((Z44+1),2),0)</f>
        <v/>
      </c>
      <c r="AG44" s="75" t="n">
        <v>48</v>
      </c>
      <c r="AH44" s="9" t="n">
        <v>3</v>
      </c>
      <c r="AI44" s="9" t="n">
        <v>3</v>
      </c>
      <c r="AJ44" s="9" t="n">
        <v>0</v>
      </c>
      <c r="AQ44" s="75" t="n">
        <v>48</v>
      </c>
      <c r="AR44" s="75" t="n">
        <v>67.218</v>
      </c>
      <c r="AS44" s="75" t="n">
        <v>52.683</v>
      </c>
      <c r="AT44" s="75" t="n">
        <v>60.908</v>
      </c>
      <c r="AV44" s="75" t="n">
        <v>48</v>
      </c>
      <c r="AW44" s="75">
        <f>Beginning_stock!AT72</f>
        <v/>
      </c>
      <c r="AX44" s="75">
        <f>Beginning_stock!AU72</f>
        <v/>
      </c>
      <c r="AY44" s="75">
        <f>Beginning_stock!AV72</f>
        <v/>
      </c>
      <c r="BA44" s="75" t="n">
        <v>48</v>
      </c>
      <c r="BB44" s="75">
        <f>IF(Demand!AU61=Retailers_Cap!N44,"ret=0",(AW44/(Demand!AU61-Retailers_Cap!N44)))</f>
        <v/>
      </c>
      <c r="BC44" s="75">
        <f>IF(Demand!AV61=Retailers_Cap!O44,"ret=0",(AX44/(Demand!AV61-Retailers_Cap!O44)))</f>
        <v/>
      </c>
      <c r="BD44" s="75">
        <f>IF(Demand!AW61=Retailers_Cap!P44,"ret=0",(AY44/(Demand!AW61-Retailers_Cap!P44)))</f>
        <v/>
      </c>
      <c r="BF44" s="75" t="n">
        <v>48</v>
      </c>
      <c r="BG44" s="2">
        <f>IF(Demand!AU61&lt;=Retailers_Cap!N44,"ret=0",(IF(BB44&lt;=AR44+Distributors_Cap!$P$47,1,0)))</f>
        <v/>
      </c>
      <c r="BH44" s="2">
        <f>IF(Demand!AV61&lt;=Retailers_Cap!O44,"ret=0",(IF(BC44&lt;=AS44+Distributors_Cap!$P$47,1,0)))</f>
        <v/>
      </c>
      <c r="BI44" s="2">
        <f>IF(Demand!AW61&lt;=Retailers_Cap!P44,"ret=0",(IF(BD44&lt;=AT44+Distributors_Cap!$P$47,1,0)))</f>
        <v/>
      </c>
      <c r="BK44" s="75" t="n">
        <v>48</v>
      </c>
      <c r="BL44" s="75">
        <f>Retailers!BH43</f>
        <v/>
      </c>
      <c r="BM44" s="75">
        <f>Retailers!BI43</f>
        <v/>
      </c>
      <c r="BN44" s="75">
        <f>Retailers!BJ43</f>
        <v/>
      </c>
      <c r="BP44" s="75" t="n">
        <v>48</v>
      </c>
      <c r="BQ44" s="75">
        <f>#REF!</f>
        <v/>
      </c>
      <c r="BR44" s="75">
        <f>#REF!</f>
        <v/>
      </c>
      <c r="BS44" s="75">
        <f>#REF!</f>
        <v/>
      </c>
      <c r="BU44" s="75" t="n">
        <v>48</v>
      </c>
      <c r="BV44" s="75">
        <f>Retailers!AS43</f>
        <v/>
      </c>
      <c r="BW44" s="75">
        <f>Retailers!AT43</f>
        <v/>
      </c>
      <c r="BX44" s="75">
        <f>Retailers!AU43</f>
        <v/>
      </c>
      <c r="BZ44" s="75" t="n">
        <v>48</v>
      </c>
      <c r="CA44" s="75">
        <f>Results!#REF!</f>
        <v/>
      </c>
      <c r="CB44" s="75">
        <f>Results!#REF!</f>
        <v/>
      </c>
      <c r="CC44" s="75">
        <f>Results!#REF!</f>
        <v/>
      </c>
      <c r="CE44" s="75" t="n">
        <v>48</v>
      </c>
      <c r="CF44" s="75">
        <f>Retailers!BN43</f>
        <v/>
      </c>
      <c r="CG44" s="75">
        <f>Retailers!BO43</f>
        <v/>
      </c>
      <c r="CH44" s="75">
        <f>Retailers!BP43</f>
        <v/>
      </c>
      <c r="CJ44" s="75" t="n">
        <v>48</v>
      </c>
      <c r="CK44" s="75">
        <f>IF(BB44="ret=0",0,IF(BB44&gt;0,AR44+Distributors_Cap!$P$47-BB44,0))</f>
        <v/>
      </c>
      <c r="CL44" s="75">
        <f>IF(BC44="ret=0",0,IF(BC44&gt;0,AS44+Distributors_Cap!$P$47-BC44,0))</f>
        <v/>
      </c>
      <c r="CM44" s="75">
        <f>IF(BD44="ret=0",0,IF(BD44&gt;0,AT44+Distributors_Cap!$P$47-BD44,0))</f>
        <v/>
      </c>
    </row>
    <row r="45">
      <c r="G45" s="75" t="n">
        <v>49</v>
      </c>
      <c r="H45" s="75" t="n">
        <v>66.607</v>
      </c>
      <c r="I45" s="75" t="n">
        <v>71.277</v>
      </c>
      <c r="J45" s="75" t="n">
        <v>76.54600000000001</v>
      </c>
      <c r="L45" s="75">
        <f>TRUNC((_xlfn.NORM.INV((RAND()),$K$7,$K$8)),0)</f>
        <v/>
      </c>
      <c r="M45" s="75" t="n">
        <v>49</v>
      </c>
      <c r="N45" s="5" t="n">
        <v>24</v>
      </c>
      <c r="O45" s="5" t="n">
        <v>22</v>
      </c>
      <c r="P45" s="5" t="n">
        <v>25</v>
      </c>
      <c r="R45" s="2">
        <f>IF(N45&gt;Demand!AU62,0,(IF(((2*(Retailers!AJ44+Distributors_Cap!$P$47)-Retailers_Cap!$BB$7)*(Demand!AU62-Retailers_Cap!N45))&lt;0,0,((IF(BB45&gt;2*(Retailers!AJ44+Distributors_Cap!$P$47),0,(IF(BG45=0,ROUNDUP((2*(Retailers!AJ44+Distributors_Cap!$P$47)-BB45)^0.5,0),ROUNDUP((2*(Retailers!AJ44+Distributors_Cap!$P$47)-BB45)^0.5,0)))))))))</f>
        <v/>
      </c>
      <c r="S45" s="2">
        <f>IF(O45&gt;Demand!AV62,0,(IF(((2*(Retailers!AK44+Distributors_Cap!$P$47)-Retailers_Cap!$BB$7)*(Demand!AV62-Retailers_Cap!O45))&lt;0,0,((IF(BC45&gt;2*(Retailers!AK44+Distributors_Cap!$P$47),0,(IF(BH45=0,ROUNDUP((2*(Retailers!AK44+Distributors_Cap!$P$47)-BC45)^0.5,0),ROUNDUP((2*(Retailers!AK44+Distributors_Cap!$P$47)-BC45)^0.5,0)))))))))</f>
        <v/>
      </c>
      <c r="T45" s="2">
        <f>IF(P45&gt;Demand!AW62,0,(IF(((2*(Retailers!AL44+Distributors_Cap!$P$47)-Retailers_Cap!$BB$7)*(Demand!AW62-Retailers_Cap!P45))&lt;0,0,((IF(BD45&gt;2*(Retailers!AL44+Distributors_Cap!$P$47),0,(IF(BI45=0,ROUNDUP((2*(Retailers!AL44+Distributors_Cap!$P$47)-BD45)^0.5,0),ROUNDUP((2*(Retailers!AL44+Distributors_Cap!$P$47)-BD45)^0.5,0)))))))))</f>
        <v/>
      </c>
      <c r="W45" s="75" t="n">
        <v>49</v>
      </c>
      <c r="X45" s="9" t="n">
        <v>14</v>
      </c>
      <c r="Y45" s="9" t="n">
        <v>0</v>
      </c>
      <c r="Z45" s="9" t="n">
        <v>11</v>
      </c>
      <c r="AB45" s="2">
        <f>ROUNDDOWN(LOG((X45+1),2),0)</f>
        <v/>
      </c>
      <c r="AC45" s="2">
        <f>ROUNDDOWN(LOG((Y45+1),2),0)</f>
        <v/>
      </c>
      <c r="AD45" s="2">
        <f>ROUNDDOWN(LOG((Z45+1),2),0)</f>
        <v/>
      </c>
      <c r="AG45" s="75" t="n">
        <v>49</v>
      </c>
      <c r="AH45" s="9" t="n">
        <v>3</v>
      </c>
      <c r="AI45" s="9" t="n">
        <v>0</v>
      </c>
      <c r="AJ45" s="9" t="n">
        <v>3</v>
      </c>
      <c r="AQ45" s="75" t="n">
        <v>49</v>
      </c>
      <c r="AR45" s="75" t="n">
        <v>66.607</v>
      </c>
      <c r="AS45" s="75" t="n">
        <v>71.277</v>
      </c>
      <c r="AT45" s="75" t="n">
        <v>76.54600000000001</v>
      </c>
      <c r="AV45" s="75" t="n">
        <v>49</v>
      </c>
      <c r="AW45" s="75">
        <f>Beginning_stock!AT73</f>
        <v/>
      </c>
      <c r="AX45" s="75">
        <f>Beginning_stock!AU73</f>
        <v/>
      </c>
      <c r="AY45" s="75">
        <f>Beginning_stock!AV73</f>
        <v/>
      </c>
      <c r="BA45" s="75" t="n">
        <v>49</v>
      </c>
      <c r="BB45" s="75">
        <f>IF(Demand!AU62=Retailers_Cap!N45,"ret=0",(AW45/(Demand!AU62-Retailers_Cap!N45)))</f>
        <v/>
      </c>
      <c r="BC45" s="75">
        <f>IF(Demand!AV62=Retailers_Cap!O45,"ret=0",(AX45/(Demand!AV62-Retailers_Cap!O45)))</f>
        <v/>
      </c>
      <c r="BD45" s="75">
        <f>IF(Demand!AW62=Retailers_Cap!P45,"ret=0",(AY45/(Demand!AW62-Retailers_Cap!P45)))</f>
        <v/>
      </c>
      <c r="BF45" s="75" t="n">
        <v>49</v>
      </c>
      <c r="BG45" s="2">
        <f>IF(Demand!AU62&lt;=Retailers_Cap!N45,"ret=0",(IF(BB45&lt;=AR45+Distributors_Cap!$P$47,1,0)))</f>
        <v/>
      </c>
      <c r="BH45" s="2">
        <f>IF(Demand!AV62&lt;=Retailers_Cap!O45,"ret=0",(IF(BC45&lt;=AS45+Distributors_Cap!$P$47,1,0)))</f>
        <v/>
      </c>
      <c r="BI45" s="2">
        <f>IF(Demand!AW62&lt;=Retailers_Cap!P45,"ret=0",(IF(BD45&lt;=AT45+Distributors_Cap!$P$47,1,0)))</f>
        <v/>
      </c>
      <c r="BK45" s="75" t="n">
        <v>49</v>
      </c>
      <c r="BL45" s="75">
        <f>Retailers!BH44</f>
        <v/>
      </c>
      <c r="BM45" s="75">
        <f>Retailers!BI44</f>
        <v/>
      </c>
      <c r="BN45" s="75">
        <f>Retailers!BJ44</f>
        <v/>
      </c>
      <c r="BP45" s="75" t="n">
        <v>49</v>
      </c>
      <c r="BQ45" s="75">
        <f>#REF!</f>
        <v/>
      </c>
      <c r="BR45" s="75">
        <f>#REF!</f>
        <v/>
      </c>
      <c r="BS45" s="75">
        <f>#REF!</f>
        <v/>
      </c>
      <c r="BU45" s="75" t="n">
        <v>49</v>
      </c>
      <c r="BV45" s="75">
        <f>Retailers!AS44</f>
        <v/>
      </c>
      <c r="BW45" s="75">
        <f>Retailers!AT44</f>
        <v/>
      </c>
      <c r="BX45" s="75">
        <f>Retailers!AU44</f>
        <v/>
      </c>
      <c r="BZ45" s="75" t="n">
        <v>49</v>
      </c>
      <c r="CA45" s="75">
        <f>Results!#REF!</f>
        <v/>
      </c>
      <c r="CB45" s="75">
        <f>Results!#REF!</f>
        <v/>
      </c>
      <c r="CC45" s="75">
        <f>Results!#REF!</f>
        <v/>
      </c>
      <c r="CE45" s="75" t="n">
        <v>49</v>
      </c>
      <c r="CF45" s="75">
        <f>Retailers!BN44</f>
        <v/>
      </c>
      <c r="CG45" s="75">
        <f>Retailers!BO44</f>
        <v/>
      </c>
      <c r="CH45" s="75">
        <f>Retailers!BP44</f>
        <v/>
      </c>
      <c r="CJ45" s="75" t="n">
        <v>49</v>
      </c>
      <c r="CK45" s="75">
        <f>IF(BB45="ret=0",0,IF(BB45&gt;0,AR45+Distributors_Cap!$P$47-BB45,0))</f>
        <v/>
      </c>
      <c r="CL45" s="75">
        <f>IF(BC45="ret=0",0,IF(BC45&gt;0,AS45+Distributors_Cap!$P$47-BC45,0))</f>
        <v/>
      </c>
      <c r="CM45" s="75">
        <f>IF(BD45="ret=0",0,IF(BD45&gt;0,AT45+Distributors_Cap!$P$47-BD45,0))</f>
        <v/>
      </c>
    </row>
    <row r="46">
      <c r="G46" s="75" t="n">
        <v>50</v>
      </c>
      <c r="H46" s="75" t="n">
        <v>58.9</v>
      </c>
      <c r="I46" s="75" t="n">
        <v>54.101</v>
      </c>
      <c r="J46" s="75" t="n">
        <v>62.384</v>
      </c>
      <c r="L46" s="75">
        <f>TRUNC((_xlfn.NORM.INV((RAND()),$K$7,$K$8)),0)</f>
        <v/>
      </c>
      <c r="M46" s="75" t="n">
        <v>50</v>
      </c>
      <c r="N46" s="5" t="n">
        <v>27</v>
      </c>
      <c r="O46" s="5" t="n">
        <v>20</v>
      </c>
      <c r="P46" s="5" t="n">
        <v>17</v>
      </c>
      <c r="R46" s="2">
        <f>IF(N46&gt;Demand!AU63,0,(IF(((2*(Retailers!AJ45+Distributors_Cap!$P$47)-Retailers_Cap!$BB$7)*(Demand!AU63-Retailers_Cap!N46))&lt;0,0,((IF(BB46&gt;2*(Retailers!AJ45+Distributors_Cap!$P$47),0,(IF(BG46=0,ROUNDUP((2*(Retailers!AJ45+Distributors_Cap!$P$47)-BB46)^0.5,0),ROUNDUP((2*(Retailers!AJ45+Distributors_Cap!$P$47)-BB46)^0.5,0)))))))))</f>
        <v/>
      </c>
      <c r="S46" s="2">
        <f>IF(O46&gt;Demand!AV63,0,(IF(((2*(Retailers!AK45+Distributors_Cap!$P$47)-Retailers_Cap!$BB$7)*(Demand!AV63-Retailers_Cap!O46))&lt;0,0,((IF(BC46&gt;2*(Retailers!AK45+Distributors_Cap!$P$47),0,(IF(BH46=0,ROUNDUP((2*(Retailers!AK45+Distributors_Cap!$P$47)-BC46)^0.5,0),ROUNDUP((2*(Retailers!AK45+Distributors_Cap!$P$47)-BC46)^0.5,0)))))))))</f>
        <v/>
      </c>
      <c r="T46" s="2">
        <f>IF(P46&gt;Demand!AW63,0,(IF(((2*(Retailers!AL45+Distributors_Cap!$P$47)-Retailers_Cap!$BB$7)*(Demand!AW63-Retailers_Cap!P46))&lt;0,0,((IF(BD46&gt;2*(Retailers!AL45+Distributors_Cap!$P$47),0,(IF(BI46=0,ROUNDUP((2*(Retailers!AL45+Distributors_Cap!$P$47)-BD46)^0.5,0),ROUNDUP((2*(Retailers!AL45+Distributors_Cap!$P$47)-BD46)^0.5,0)))))))))</f>
        <v/>
      </c>
      <c r="W46" s="75" t="n">
        <v>50</v>
      </c>
      <c r="X46" s="9" t="n">
        <v>0</v>
      </c>
      <c r="Y46" s="9" t="n">
        <v>0</v>
      </c>
      <c r="Z46" s="9" t="n">
        <v>13</v>
      </c>
      <c r="AB46" s="2">
        <f>ROUNDDOWN(LOG((X46+1),2),0)</f>
        <v/>
      </c>
      <c r="AC46" s="2">
        <f>ROUNDDOWN(LOG((Y46+1),2),0)</f>
        <v/>
      </c>
      <c r="AD46" s="2">
        <f>ROUNDDOWN(LOG((Z46+1),2),0)</f>
        <v/>
      </c>
      <c r="AG46" s="75" t="n">
        <v>50</v>
      </c>
      <c r="AH46" s="9" t="n">
        <v>0</v>
      </c>
      <c r="AI46" s="9" t="n">
        <v>0</v>
      </c>
      <c r="AJ46" s="9" t="n">
        <v>3</v>
      </c>
      <c r="AQ46" s="75" t="n">
        <v>50</v>
      </c>
      <c r="AR46" s="75" t="n">
        <v>58.9</v>
      </c>
      <c r="AS46" s="75" t="n">
        <v>54.101</v>
      </c>
      <c r="AT46" s="75" t="n">
        <v>62.384</v>
      </c>
      <c r="AV46" s="75" t="n">
        <v>50</v>
      </c>
      <c r="AW46" s="75">
        <f>Beginning_stock!AT74</f>
        <v/>
      </c>
      <c r="AX46" s="75">
        <f>Beginning_stock!AU74</f>
        <v/>
      </c>
      <c r="AY46" s="75">
        <f>Beginning_stock!AV74</f>
        <v/>
      </c>
      <c r="BA46" s="75" t="n">
        <v>50</v>
      </c>
      <c r="BB46" s="75">
        <f>IF(Demand!AU63=Retailers_Cap!N46,"ret=0",(AW46/(Demand!AU63-Retailers_Cap!N46)))</f>
        <v/>
      </c>
      <c r="BC46" s="75">
        <f>IF(Demand!AV63=Retailers_Cap!O46,"ret=0",(AX46/(Demand!AV63-Retailers_Cap!O46)))</f>
        <v/>
      </c>
      <c r="BD46" s="75">
        <f>IF(Demand!AW63=Retailers_Cap!P46,"ret=0",(AY46/(Demand!AW63-Retailers_Cap!P46)))</f>
        <v/>
      </c>
      <c r="BF46" s="75" t="n">
        <v>50</v>
      </c>
      <c r="BG46" s="2">
        <f>IF(Demand!AU63&lt;=Retailers_Cap!N46,"ret=0",(IF(BB46&lt;=AR46+Distributors_Cap!$P$47,1,0)))</f>
        <v/>
      </c>
      <c r="BH46" s="2">
        <f>IF(Demand!AV63&lt;=Retailers_Cap!O46,"ret=0",(IF(BC46&lt;=AS46+Distributors_Cap!$P$47,1,0)))</f>
        <v/>
      </c>
      <c r="BI46" s="2">
        <f>IF(Demand!AW63&lt;=Retailers_Cap!P46,"ret=0",(IF(BD46&lt;=AT46+Distributors_Cap!$P$47,1,0)))</f>
        <v/>
      </c>
      <c r="BK46" s="75" t="n">
        <v>50</v>
      </c>
      <c r="BL46" s="75">
        <f>Retailers!BH45</f>
        <v/>
      </c>
      <c r="BM46" s="75">
        <f>Retailers!BI45</f>
        <v/>
      </c>
      <c r="BN46" s="75">
        <f>Retailers!BJ45</f>
        <v/>
      </c>
      <c r="BP46" s="75" t="n">
        <v>50</v>
      </c>
      <c r="BQ46" s="75">
        <f>#REF!</f>
        <v/>
      </c>
      <c r="BR46" s="75">
        <f>#REF!</f>
        <v/>
      </c>
      <c r="BS46" s="75">
        <f>#REF!</f>
        <v/>
      </c>
      <c r="BU46" s="75" t="n">
        <v>50</v>
      </c>
      <c r="BV46" s="75">
        <f>Retailers!AS45</f>
        <v/>
      </c>
      <c r="BW46" s="75">
        <f>Retailers!AT45</f>
        <v/>
      </c>
      <c r="BX46" s="75">
        <f>Retailers!AU45</f>
        <v/>
      </c>
      <c r="BZ46" s="75" t="n">
        <v>50</v>
      </c>
      <c r="CA46" s="75">
        <f>Results!#REF!</f>
        <v/>
      </c>
      <c r="CB46" s="75">
        <f>Results!#REF!</f>
        <v/>
      </c>
      <c r="CC46" s="75">
        <f>Results!#REF!</f>
        <v/>
      </c>
      <c r="CE46" s="75" t="n">
        <v>50</v>
      </c>
      <c r="CF46" s="75">
        <f>Retailers!BN45</f>
        <v/>
      </c>
      <c r="CG46" s="75">
        <f>Retailers!BO45</f>
        <v/>
      </c>
      <c r="CH46" s="75">
        <f>Retailers!BP45</f>
        <v/>
      </c>
      <c r="CJ46" s="75" t="n">
        <v>50</v>
      </c>
      <c r="CK46" s="75">
        <f>IF(BB46="ret=0",0,IF(BB46&gt;0,AR46+Distributors_Cap!$P$47-BB46,0))</f>
        <v/>
      </c>
      <c r="CL46" s="75">
        <f>IF(BC46="ret=0",0,IF(BC46&gt;0,AS46+Distributors_Cap!$P$47-BC46,0))</f>
        <v/>
      </c>
      <c r="CM46" s="75">
        <f>IF(BD46="ret=0",0,IF(BD46&gt;0,AT46+Distributors_Cap!$P$47-BD46,0))</f>
        <v/>
      </c>
    </row>
    <row r="47">
      <c r="G47" s="75" t="n">
        <v>51</v>
      </c>
      <c r="H47" s="75" t="n">
        <v>68.458</v>
      </c>
      <c r="I47" s="75" t="n">
        <v>56.296</v>
      </c>
      <c r="J47" s="75" t="n">
        <v>58.884</v>
      </c>
      <c r="L47" s="75">
        <f>TRUNC((_xlfn.NORM.INV((RAND()),$K$7,$K$8)),0)</f>
        <v/>
      </c>
      <c r="M47" s="75" t="n">
        <v>51</v>
      </c>
      <c r="N47" s="5" t="n">
        <v>43</v>
      </c>
      <c r="O47" s="5" t="n">
        <v>19</v>
      </c>
      <c r="P47" s="5" t="n">
        <v>33</v>
      </c>
      <c r="R47" s="2">
        <f>IF(N47&gt;Demand!AU64,0,(IF(((2*(Retailers!AJ46+Distributors_Cap!$P$47)-Retailers_Cap!$BB$7)*(Demand!AU64-Retailers_Cap!N47))&lt;0,0,((IF(BB47&gt;2*(Retailers!AJ46+Distributors_Cap!$P$47),0,(IF(BG47=0,ROUNDUP((2*(Retailers!AJ46+Distributors_Cap!$P$47)-BB47)^0.5,0),ROUNDUP((2*(Retailers!AJ46+Distributors_Cap!$P$47)-BB47)^0.5,0)))))))))</f>
        <v/>
      </c>
      <c r="S47" s="2">
        <f>IF(O47&gt;Demand!AV64,0,(IF(((2*(Retailers!AK46+Distributors_Cap!$P$47)-Retailers_Cap!$BB$7)*(Demand!AV64-Retailers_Cap!O47))&lt;0,0,((IF(BC47&gt;2*(Retailers!AK46+Distributors_Cap!$P$47),0,(IF(BH47=0,ROUNDUP((2*(Retailers!AK46+Distributors_Cap!$P$47)-BC47)^0.5,0),ROUNDUP((2*(Retailers!AK46+Distributors_Cap!$P$47)-BC47)^0.5,0)))))))))</f>
        <v/>
      </c>
      <c r="T47" s="2">
        <f>IF(P47&gt;Demand!AW64,0,(IF(((2*(Retailers!AL46+Distributors_Cap!$P$47)-Retailers_Cap!$BB$7)*(Demand!AW64-Retailers_Cap!P47))&lt;0,0,((IF(BD47&gt;2*(Retailers!AL46+Distributors_Cap!$P$47),0,(IF(BI47=0,ROUNDUP((2*(Retailers!AL46+Distributors_Cap!$P$47)-BD47)^0.5,0),ROUNDUP((2*(Retailers!AL46+Distributors_Cap!$P$47)-BD47)^0.5,0)))))))))</f>
        <v/>
      </c>
      <c r="W47" s="75" t="n">
        <v>51</v>
      </c>
      <c r="X47" s="9" t="n">
        <v>0</v>
      </c>
      <c r="Y47" s="9" t="n">
        <v>13</v>
      </c>
      <c r="Z47" s="9" t="n">
        <v>0</v>
      </c>
      <c r="AB47" s="2">
        <f>ROUNDDOWN(LOG((X47+1),2),0)</f>
        <v/>
      </c>
      <c r="AC47" s="2">
        <f>ROUNDDOWN(LOG((Y47+1),2),0)</f>
        <v/>
      </c>
      <c r="AD47" s="2">
        <f>ROUNDDOWN(LOG((Z47+1),2),0)</f>
        <v/>
      </c>
      <c r="AG47" s="75" t="n">
        <v>51</v>
      </c>
      <c r="AH47" s="9" t="n">
        <v>0</v>
      </c>
      <c r="AI47" s="9" t="n">
        <v>3</v>
      </c>
      <c r="AJ47" s="9" t="n">
        <v>0</v>
      </c>
      <c r="AQ47" s="75" t="n">
        <v>51</v>
      </c>
      <c r="AR47" s="75" t="n">
        <v>68.458</v>
      </c>
      <c r="AS47" s="75" t="n">
        <v>56.296</v>
      </c>
      <c r="AT47" s="75" t="n">
        <v>58.884</v>
      </c>
      <c r="AV47" s="75" t="n">
        <v>51</v>
      </c>
      <c r="AW47" s="75">
        <f>Beginning_stock!AT75</f>
        <v/>
      </c>
      <c r="AX47" s="75">
        <f>Beginning_stock!AU75</f>
        <v/>
      </c>
      <c r="AY47" s="75">
        <f>Beginning_stock!AV75</f>
        <v/>
      </c>
      <c r="BA47" s="75" t="n">
        <v>51</v>
      </c>
      <c r="BB47" s="75">
        <f>IF(Demand!AU64=Retailers_Cap!N47,"ret=0",(AW47/(Demand!AU64-Retailers_Cap!N47)))</f>
        <v/>
      </c>
      <c r="BC47" s="75">
        <f>IF(Demand!AV64=Retailers_Cap!O47,"ret=0",(AX47/(Demand!AV64-Retailers_Cap!O47)))</f>
        <v/>
      </c>
      <c r="BD47" s="75">
        <f>IF(Demand!AW64=Retailers_Cap!P47,"ret=0",(AY47/(Demand!AW64-Retailers_Cap!P47)))</f>
        <v/>
      </c>
      <c r="BF47" s="75" t="n">
        <v>51</v>
      </c>
      <c r="BG47" s="2">
        <f>IF(Demand!AU64&lt;=Retailers_Cap!N47,"ret=0",(IF(BB47&lt;=AR47+Distributors_Cap!$P$47,1,0)))</f>
        <v/>
      </c>
      <c r="BH47" s="2">
        <f>IF(Demand!AV64&lt;=Retailers_Cap!O47,"ret=0",(IF(BC47&lt;=AS47+Distributors_Cap!$P$47,1,0)))</f>
        <v/>
      </c>
      <c r="BI47" s="2">
        <f>IF(Demand!AW64&lt;=Retailers_Cap!P47,"ret=0",(IF(BD47&lt;=AT47+Distributors_Cap!$P$47,1,0)))</f>
        <v/>
      </c>
      <c r="BK47" s="75" t="n">
        <v>51</v>
      </c>
      <c r="BL47" s="75">
        <f>Retailers!BH46</f>
        <v/>
      </c>
      <c r="BM47" s="75">
        <f>Retailers!BI46</f>
        <v/>
      </c>
      <c r="BN47" s="75">
        <f>Retailers!BJ46</f>
        <v/>
      </c>
      <c r="BP47" s="75" t="n">
        <v>51</v>
      </c>
      <c r="BQ47" s="75">
        <f>#REF!</f>
        <v/>
      </c>
      <c r="BR47" s="75">
        <f>#REF!</f>
        <v/>
      </c>
      <c r="BS47" s="75">
        <f>#REF!</f>
        <v/>
      </c>
      <c r="BU47" s="75" t="n">
        <v>51</v>
      </c>
      <c r="BV47" s="75">
        <f>Retailers!AS46</f>
        <v/>
      </c>
      <c r="BW47" s="75">
        <f>Retailers!AT46</f>
        <v/>
      </c>
      <c r="BX47" s="75">
        <f>Retailers!AU46</f>
        <v/>
      </c>
      <c r="BZ47" s="75" t="n">
        <v>51</v>
      </c>
      <c r="CA47" s="75">
        <f>Results!#REF!</f>
        <v/>
      </c>
      <c r="CB47" s="75">
        <f>Results!#REF!</f>
        <v/>
      </c>
      <c r="CC47" s="75">
        <f>Results!#REF!</f>
        <v/>
      </c>
      <c r="CE47" s="75" t="n">
        <v>51</v>
      </c>
      <c r="CF47" s="75">
        <f>Retailers!BN46</f>
        <v/>
      </c>
      <c r="CG47" s="75">
        <f>Retailers!BO46</f>
        <v/>
      </c>
      <c r="CH47" s="75">
        <f>Retailers!BP46</f>
        <v/>
      </c>
      <c r="CJ47" s="75" t="n">
        <v>51</v>
      </c>
      <c r="CK47" s="75">
        <f>IF(BB47="ret=0",0,IF(BB47&gt;0,AR47+Distributors_Cap!$P$47-BB47,0))</f>
        <v/>
      </c>
      <c r="CL47" s="75">
        <f>IF(BC47="ret=0",0,IF(BC47&gt;0,AS47+Distributors_Cap!$P$47-BC47,0))</f>
        <v/>
      </c>
      <c r="CM47" s="75">
        <f>IF(BD47="ret=0",0,IF(BD47&gt;0,AT47+Distributors_Cap!$P$47-BD47,0))</f>
        <v/>
      </c>
    </row>
    <row r="48">
      <c r="G48" s="75" t="n">
        <v>52</v>
      </c>
      <c r="H48" s="75" t="n">
        <v>55.646</v>
      </c>
      <c r="I48" s="75" t="n">
        <v>74.48699999999999</v>
      </c>
      <c r="J48" s="75" t="n">
        <v>50.951</v>
      </c>
      <c r="L48" s="75">
        <f>TRUNC((_xlfn.NORM.INV((RAND()),$K$7,$K$8)),0)</f>
        <v/>
      </c>
      <c r="M48" s="75" t="n">
        <v>52</v>
      </c>
      <c r="N48" s="5" t="n">
        <v>23</v>
      </c>
      <c r="O48" s="5" t="n">
        <v>24</v>
      </c>
      <c r="P48" s="5" t="n">
        <v>28</v>
      </c>
      <c r="R48" s="2">
        <f>IF(N48&gt;Demand!AU65,0,(IF(((2*(Retailers!AJ47+Distributors_Cap!$P$47)-Retailers_Cap!$BB$7)*(Demand!AU65-Retailers_Cap!N48))&lt;0,0,((IF(BB48&gt;2*(Retailers!AJ47+Distributors_Cap!$P$47),0,(IF(BG48=0,ROUNDUP((2*(Retailers!AJ47+Distributors_Cap!$P$47)-BB48)^0.5,0),ROUNDUP((2*(Retailers!AJ47+Distributors_Cap!$P$47)-BB48)^0.5,0)))))))))</f>
        <v/>
      </c>
      <c r="S48" s="2">
        <f>IF(O48&gt;Demand!AV65,0,(IF(((2*(Retailers!AK47+Distributors_Cap!$P$47)-Retailers_Cap!$BB$7)*(Demand!AV65-Retailers_Cap!O48))&lt;0,0,((IF(BC48&gt;2*(Retailers!AK47+Distributors_Cap!$P$47),0,(IF(BH48=0,ROUNDUP((2*(Retailers!AK47+Distributors_Cap!$P$47)-BC48)^0.5,0),ROUNDUP((2*(Retailers!AK47+Distributors_Cap!$P$47)-BC48)^0.5,0)))))))))</f>
        <v/>
      </c>
      <c r="T48" s="2">
        <f>IF(P48&gt;Demand!AW65,0,(IF(((2*(Retailers!AL47+Distributors_Cap!$P$47)-Retailers_Cap!$BB$7)*(Demand!AW65-Retailers_Cap!P48))&lt;0,0,((IF(BD48&gt;2*(Retailers!AL47+Distributors_Cap!$P$47),0,(IF(BI48=0,ROUNDUP((2*(Retailers!AL47+Distributors_Cap!$P$47)-BD48)^0.5,0),ROUNDUP((2*(Retailers!AL47+Distributors_Cap!$P$47)-BD48)^0.5,0)))))))))</f>
        <v/>
      </c>
      <c r="W48" s="75" t="n">
        <v>52</v>
      </c>
      <c r="X48" s="9" t="n">
        <v>13</v>
      </c>
      <c r="Y48" s="9" t="n">
        <v>13</v>
      </c>
      <c r="Z48" s="9" t="n">
        <v>0</v>
      </c>
      <c r="AB48" s="2">
        <f>ROUNDDOWN(LOG((X48+1),2),0)</f>
        <v/>
      </c>
      <c r="AC48" s="2">
        <f>ROUNDDOWN(LOG((Y48+1),2),0)</f>
        <v/>
      </c>
      <c r="AD48" s="2">
        <f>ROUNDDOWN(LOG((Z48+1),2),0)</f>
        <v/>
      </c>
      <c r="AG48" s="75" t="n">
        <v>52</v>
      </c>
      <c r="AH48" s="9" t="n">
        <v>3</v>
      </c>
      <c r="AI48" s="9" t="n">
        <v>3</v>
      </c>
      <c r="AJ48" s="9" t="n">
        <v>0</v>
      </c>
      <c r="AQ48" s="75" t="n">
        <v>52</v>
      </c>
      <c r="AR48" s="75" t="n">
        <v>55.646</v>
      </c>
      <c r="AS48" s="75" t="n">
        <v>74.48699999999999</v>
      </c>
      <c r="AT48" s="75" t="n">
        <v>50.951</v>
      </c>
      <c r="AV48" s="75" t="n">
        <v>52</v>
      </c>
      <c r="AW48" s="75">
        <f>Beginning_stock!AT76</f>
        <v/>
      </c>
      <c r="AX48" s="75">
        <f>Beginning_stock!AU76</f>
        <v/>
      </c>
      <c r="AY48" s="75">
        <f>Beginning_stock!AV76</f>
        <v/>
      </c>
      <c r="BA48" s="75" t="n">
        <v>52</v>
      </c>
      <c r="BB48" s="75">
        <f>IF(Demand!AU65=Retailers_Cap!N48,"ret=0",(AW48/(Demand!AU65-Retailers_Cap!N48)))</f>
        <v/>
      </c>
      <c r="BC48" s="75">
        <f>IF(Demand!AV65=Retailers_Cap!O48,"ret=0",(AX48/(Demand!AV65-Retailers_Cap!O48)))</f>
        <v/>
      </c>
      <c r="BD48" s="75">
        <f>IF(Demand!AW65=Retailers_Cap!P48,"ret=0",(AY48/(Demand!AW65-Retailers_Cap!P48)))</f>
        <v/>
      </c>
      <c r="BF48" s="75" t="n">
        <v>52</v>
      </c>
      <c r="BG48" s="2">
        <f>IF(Demand!AU65&lt;=Retailers_Cap!N48,"ret=0",(IF(BB48&lt;=AR48+Distributors_Cap!$P$47,1,0)))</f>
        <v/>
      </c>
      <c r="BH48" s="2">
        <f>IF(Demand!AV65&lt;=Retailers_Cap!O48,"ret=0",(IF(BC48&lt;=AS48+Distributors_Cap!$P$47,1,0)))</f>
        <v/>
      </c>
      <c r="BI48" s="2">
        <f>IF(Demand!AW65&lt;=Retailers_Cap!P48,"ret=0",(IF(BD48&lt;=AT48+Distributors_Cap!$P$47,1,0)))</f>
        <v/>
      </c>
      <c r="BK48" s="75" t="n">
        <v>52</v>
      </c>
      <c r="BL48" s="75">
        <f>Retailers!BH47</f>
        <v/>
      </c>
      <c r="BM48" s="75">
        <f>Retailers!BI47</f>
        <v/>
      </c>
      <c r="BN48" s="75">
        <f>Retailers!BJ47</f>
        <v/>
      </c>
      <c r="BP48" s="75" t="n">
        <v>52</v>
      </c>
      <c r="BQ48" s="75">
        <f>#REF!</f>
        <v/>
      </c>
      <c r="BR48" s="75">
        <f>#REF!</f>
        <v/>
      </c>
      <c r="BS48" s="75">
        <f>#REF!</f>
        <v/>
      </c>
      <c r="BU48" s="75" t="n">
        <v>52</v>
      </c>
      <c r="BV48" s="75">
        <f>Retailers!AS47</f>
        <v/>
      </c>
      <c r="BW48" s="75">
        <f>Retailers!AT47</f>
        <v/>
      </c>
      <c r="BX48" s="75">
        <f>Retailers!AU47</f>
        <v/>
      </c>
      <c r="BZ48" s="75" t="n">
        <v>52</v>
      </c>
      <c r="CA48" s="75">
        <f>Results!#REF!</f>
        <v/>
      </c>
      <c r="CB48" s="75">
        <f>Results!#REF!</f>
        <v/>
      </c>
      <c r="CC48" s="75">
        <f>Results!#REF!</f>
        <v/>
      </c>
      <c r="CE48" s="75" t="n">
        <v>52</v>
      </c>
      <c r="CF48" s="75">
        <f>Retailers!BN47</f>
        <v/>
      </c>
      <c r="CG48" s="75">
        <f>Retailers!BO47</f>
        <v/>
      </c>
      <c r="CH48" s="75">
        <f>Retailers!BP47</f>
        <v/>
      </c>
      <c r="CJ48" s="75" t="n">
        <v>52</v>
      </c>
      <c r="CK48" s="75">
        <f>IF(BB48="ret=0",0,IF(BB48&gt;0,AR48+Distributors_Cap!$P$47-BB48,0))</f>
        <v/>
      </c>
      <c r="CL48" s="75">
        <f>IF(BC48="ret=0",0,IF(BC48&gt;0,AS48+Distributors_Cap!$P$47-BC48,0))</f>
        <v/>
      </c>
      <c r="CM48" s="75">
        <f>IF(BD48="ret=0",0,IF(BD48&gt;0,AT48+Distributors_Cap!$P$47-BD48,0))</f>
        <v/>
      </c>
    </row>
    <row r="49">
      <c r="G49" s="75" t="n">
        <v>53</v>
      </c>
      <c r="H49" s="75" t="n">
        <v>71.663</v>
      </c>
      <c r="I49" s="75" t="n">
        <v>58.181</v>
      </c>
      <c r="J49" s="75" t="n">
        <v>44.543</v>
      </c>
      <c r="L49" s="75">
        <f>TRUNC((_xlfn.NORM.INV((RAND()),$K$7,$K$8)),0)</f>
        <v/>
      </c>
      <c r="M49" s="75" t="n">
        <v>53</v>
      </c>
      <c r="N49" s="5" t="n">
        <v>28</v>
      </c>
      <c r="O49" s="5" t="n">
        <v>34</v>
      </c>
      <c r="P49" s="5" t="n">
        <v>33</v>
      </c>
      <c r="R49" s="2">
        <f>IF(N49&gt;Demand!AU66,0,(IF(((2*(Retailers!AJ48+Distributors_Cap!$P$47)-Retailers_Cap!$BB$7)*(Demand!AU66-Retailers_Cap!N49))&lt;0,0,((IF(BB49&gt;2*(Retailers!AJ48+Distributors_Cap!$P$47),0,(IF(BG49=0,ROUNDUP((2*(Retailers!AJ48+Distributors_Cap!$P$47)-BB49)^0.5,0),ROUNDUP((2*(Retailers!AJ48+Distributors_Cap!$P$47)-BB49)^0.5,0)))))))))</f>
        <v/>
      </c>
      <c r="S49" s="2">
        <f>IF(O49&gt;Demand!AV66,0,(IF(((2*(Retailers!AK48+Distributors_Cap!$P$47)-Retailers_Cap!$BB$7)*(Demand!AV66-Retailers_Cap!O49))&lt;0,0,((IF(BC49&gt;2*(Retailers!AK48+Distributors_Cap!$P$47),0,(IF(BH49=0,ROUNDUP((2*(Retailers!AK48+Distributors_Cap!$P$47)-BC49)^0.5,0),ROUNDUP((2*(Retailers!AK48+Distributors_Cap!$P$47)-BC49)^0.5,0)))))))))</f>
        <v/>
      </c>
      <c r="T49" s="2">
        <f>IF(P49&gt;Demand!AW66,0,(IF(((2*(Retailers!AL48+Distributors_Cap!$P$47)-Retailers_Cap!$BB$7)*(Demand!AW66-Retailers_Cap!P49))&lt;0,0,((IF(BD49&gt;2*(Retailers!AL48+Distributors_Cap!$P$47),0,(IF(BI49=0,ROUNDUP((2*(Retailers!AL48+Distributors_Cap!$P$47)-BD49)^0.5,0),ROUNDUP((2*(Retailers!AL48+Distributors_Cap!$P$47)-BD49)^0.5,0)))))))))</f>
        <v/>
      </c>
      <c r="W49" s="75" t="n">
        <v>53</v>
      </c>
      <c r="X49" s="9" t="n">
        <v>0</v>
      </c>
      <c r="Y49" s="9" t="n">
        <v>0</v>
      </c>
      <c r="Z49" s="9" t="n">
        <v>0</v>
      </c>
      <c r="AB49" s="2">
        <f>ROUNDDOWN(LOG((X49+1),2),0)</f>
        <v/>
      </c>
      <c r="AC49" s="2">
        <f>ROUNDDOWN(LOG((Y49+1),2),0)</f>
        <v/>
      </c>
      <c r="AD49" s="2">
        <f>ROUNDDOWN(LOG((Z49+1),2),0)</f>
        <v/>
      </c>
      <c r="AG49" s="75" t="n">
        <v>53</v>
      </c>
      <c r="AH49" s="9" t="n">
        <v>0</v>
      </c>
      <c r="AI49" s="9" t="n">
        <v>0</v>
      </c>
      <c r="AJ49" s="9" t="n">
        <v>0</v>
      </c>
      <c r="AQ49" s="75" t="n">
        <v>53</v>
      </c>
      <c r="AR49" s="75" t="n">
        <v>71.663</v>
      </c>
      <c r="AS49" s="75" t="n">
        <v>58.181</v>
      </c>
      <c r="AT49" s="75" t="n">
        <v>44.543</v>
      </c>
      <c r="AV49" s="75" t="n">
        <v>53</v>
      </c>
      <c r="AW49" s="75">
        <f>Beginning_stock!AT77</f>
        <v/>
      </c>
      <c r="AX49" s="75">
        <f>Beginning_stock!AU77</f>
        <v/>
      </c>
      <c r="AY49" s="75">
        <f>Beginning_stock!AV77</f>
        <v/>
      </c>
      <c r="BA49" s="75" t="n">
        <v>53</v>
      </c>
      <c r="BB49" s="75">
        <f>IF(Demand!AU66=Retailers_Cap!N49,"ret=0",(AW49/(Demand!AU66-Retailers_Cap!N49)))</f>
        <v/>
      </c>
      <c r="BC49" s="75">
        <f>IF(Demand!AV66=Retailers_Cap!O49,"ret=0",(AX49/(Demand!AV66-Retailers_Cap!O49)))</f>
        <v/>
      </c>
      <c r="BD49" s="75">
        <f>IF(Demand!AW66=Retailers_Cap!P49,"ret=0",(AY49/(Demand!AW66-Retailers_Cap!P49)))</f>
        <v/>
      </c>
      <c r="BF49" s="75" t="n">
        <v>53</v>
      </c>
      <c r="BG49" s="2">
        <f>IF(Demand!AU66&lt;=Retailers_Cap!N49,"ret=0",(IF(BB49&lt;=AR49+Distributors_Cap!$P$47,1,0)))</f>
        <v/>
      </c>
      <c r="BH49" s="2">
        <f>IF(Demand!AV66&lt;=Retailers_Cap!O49,"ret=0",(IF(BC49&lt;=AS49+Distributors_Cap!$P$47,1,0)))</f>
        <v/>
      </c>
      <c r="BI49" s="2">
        <f>IF(Demand!AW66&lt;=Retailers_Cap!P49,"ret=0",(IF(BD49&lt;=AT49+Distributors_Cap!$P$47,1,0)))</f>
        <v/>
      </c>
      <c r="BK49" s="75" t="n">
        <v>53</v>
      </c>
      <c r="BL49" s="75">
        <f>Retailers!BH48</f>
        <v/>
      </c>
      <c r="BM49" s="75">
        <f>Retailers!BI48</f>
        <v/>
      </c>
      <c r="BN49" s="75">
        <f>Retailers!BJ48</f>
        <v/>
      </c>
      <c r="BP49" s="75" t="n">
        <v>53</v>
      </c>
      <c r="BQ49" s="75">
        <f>#REF!</f>
        <v/>
      </c>
      <c r="BR49" s="75">
        <f>#REF!</f>
        <v/>
      </c>
      <c r="BS49" s="75">
        <f>#REF!</f>
        <v/>
      </c>
      <c r="BU49" s="75" t="n">
        <v>53</v>
      </c>
      <c r="BV49" s="75">
        <f>Retailers!AS48</f>
        <v/>
      </c>
      <c r="BW49" s="75">
        <f>Retailers!AT48</f>
        <v/>
      </c>
      <c r="BX49" s="75">
        <f>Retailers!AU48</f>
        <v/>
      </c>
      <c r="BZ49" s="75" t="n">
        <v>53</v>
      </c>
      <c r="CA49" s="75">
        <f>Results!#REF!</f>
        <v/>
      </c>
      <c r="CB49" s="75">
        <f>Results!#REF!</f>
        <v/>
      </c>
      <c r="CC49" s="75">
        <f>Results!#REF!</f>
        <v/>
      </c>
      <c r="CE49" s="75" t="n">
        <v>53</v>
      </c>
      <c r="CF49" s="75">
        <f>Retailers!BN48</f>
        <v/>
      </c>
      <c r="CG49" s="75">
        <f>Retailers!BO48</f>
        <v/>
      </c>
      <c r="CH49" s="75">
        <f>Retailers!BP48</f>
        <v/>
      </c>
      <c r="CJ49" s="75" t="n">
        <v>53</v>
      </c>
      <c r="CK49" s="75">
        <f>IF(BB49="ret=0",0,IF(BB49&gt;0,AR49+Distributors_Cap!$P$47-BB49,0))</f>
        <v/>
      </c>
      <c r="CL49" s="75">
        <f>IF(BC49="ret=0",0,IF(BC49&gt;0,AS49+Distributors_Cap!$P$47-BC49,0))</f>
        <v/>
      </c>
      <c r="CM49" s="75">
        <f>IF(BD49="ret=0",0,IF(BD49&gt;0,AT49+Distributors_Cap!$P$47-BD49,0))</f>
        <v/>
      </c>
    </row>
    <row r="50">
      <c r="G50" s="75" t="n">
        <v>54</v>
      </c>
      <c r="H50" s="75" t="n">
        <v>64.634</v>
      </c>
      <c r="I50" s="75" t="n">
        <v>47.679</v>
      </c>
      <c r="J50" s="75" t="n">
        <v>59.555</v>
      </c>
      <c r="L50" s="75">
        <f>TRUNC((_xlfn.NORM.INV((RAND()),$K$7,$K$8)),0)</f>
        <v/>
      </c>
      <c r="M50" s="75" t="n">
        <v>54</v>
      </c>
      <c r="N50" s="5" t="n">
        <v>25</v>
      </c>
      <c r="O50" s="5" t="n">
        <v>33</v>
      </c>
      <c r="P50" s="5" t="n">
        <v>29</v>
      </c>
      <c r="R50" s="2">
        <f>IF(N50&gt;Demand!AU67,0,(IF(((2*(Retailers!AJ49+Distributors_Cap!$P$47)-Retailers_Cap!$BB$7)*(Demand!AU67-Retailers_Cap!N50))&lt;0,0,((IF(BB50&gt;2*(Retailers!AJ49+Distributors_Cap!$P$47),0,(IF(BG50=0,ROUNDUP((2*(Retailers!AJ49+Distributors_Cap!$P$47)-BB50)^0.5,0),ROUNDUP((2*(Retailers!AJ49+Distributors_Cap!$P$47)-BB50)^0.5,0)))))))))</f>
        <v/>
      </c>
      <c r="S50" s="2">
        <f>IF(O50&gt;Demand!AV67,0,(IF(((2*(Retailers!AK49+Distributors_Cap!$P$47)-Retailers_Cap!$BB$7)*(Demand!AV67-Retailers_Cap!O50))&lt;0,0,((IF(BC50&gt;2*(Retailers!AK49+Distributors_Cap!$P$47),0,(IF(BH50=0,ROUNDUP((2*(Retailers!AK49+Distributors_Cap!$P$47)-BC50)^0.5,0),ROUNDUP((2*(Retailers!AK49+Distributors_Cap!$P$47)-BC50)^0.5,0)))))))))</f>
        <v/>
      </c>
      <c r="T50" s="2">
        <f>IF(P50&gt;Demand!AW67,0,(IF(((2*(Retailers!AL49+Distributors_Cap!$P$47)-Retailers_Cap!$BB$7)*(Demand!AW67-Retailers_Cap!P50))&lt;0,0,((IF(BD50&gt;2*(Retailers!AL49+Distributors_Cap!$P$47),0,(IF(BI50=0,ROUNDUP((2*(Retailers!AL49+Distributors_Cap!$P$47)-BD50)^0.5,0),ROUNDUP((2*(Retailers!AL49+Distributors_Cap!$P$47)-BD50)^0.5,0)))))))))</f>
        <v/>
      </c>
      <c r="W50" s="75" t="n">
        <v>54</v>
      </c>
      <c r="X50" s="9" t="n">
        <v>14</v>
      </c>
      <c r="Y50" s="9" t="n">
        <v>0</v>
      </c>
      <c r="Z50" s="9" t="n">
        <v>0</v>
      </c>
      <c r="AB50" s="2">
        <f>ROUNDDOWN(LOG((X50+1),2),0)</f>
        <v/>
      </c>
      <c r="AC50" s="2">
        <f>ROUNDDOWN(LOG((Y50+1),2),0)</f>
        <v/>
      </c>
      <c r="AD50" s="2">
        <f>ROUNDDOWN(LOG((Z50+1),2),0)</f>
        <v/>
      </c>
      <c r="AG50" s="75" t="n">
        <v>54</v>
      </c>
      <c r="AH50" s="9" t="n">
        <v>3</v>
      </c>
      <c r="AI50" s="9" t="n">
        <v>0</v>
      </c>
      <c r="AJ50" s="9" t="n">
        <v>0</v>
      </c>
      <c r="AQ50" s="75" t="n">
        <v>54</v>
      </c>
      <c r="AR50" s="75" t="n">
        <v>64.634</v>
      </c>
      <c r="AS50" s="75" t="n">
        <v>47.679</v>
      </c>
      <c r="AT50" s="75" t="n">
        <v>59.555</v>
      </c>
      <c r="AV50" s="75" t="n">
        <v>54</v>
      </c>
      <c r="AW50" s="75">
        <f>Beginning_stock!AT78</f>
        <v/>
      </c>
      <c r="AX50" s="75">
        <f>Beginning_stock!AU78</f>
        <v/>
      </c>
      <c r="AY50" s="75">
        <f>Beginning_stock!AV78</f>
        <v/>
      </c>
      <c r="BA50" s="75" t="n">
        <v>54</v>
      </c>
      <c r="BB50" s="75">
        <f>IF(Demand!AU67=Retailers_Cap!N50,"ret=0",(AW50/(Demand!AU67-Retailers_Cap!N50)))</f>
        <v/>
      </c>
      <c r="BC50" s="75">
        <f>IF(Demand!AV67=Retailers_Cap!O50,"ret=0",(AX50/(Demand!AV67-Retailers_Cap!O50)))</f>
        <v/>
      </c>
      <c r="BD50" s="75">
        <f>IF(Demand!AW67=Retailers_Cap!P50,"ret=0",(AY50/(Demand!AW67-Retailers_Cap!P50)))</f>
        <v/>
      </c>
      <c r="BF50" s="75" t="n">
        <v>54</v>
      </c>
      <c r="BG50" s="2">
        <f>IF(Demand!AU67&lt;=Retailers_Cap!N50,"ret=0",(IF(BB50&lt;=AR50+Distributors_Cap!$P$47,1,0)))</f>
        <v/>
      </c>
      <c r="BH50" s="2">
        <f>IF(Demand!AV67&lt;=Retailers_Cap!O50,"ret=0",(IF(BC50&lt;=AS50+Distributors_Cap!$P$47,1,0)))</f>
        <v/>
      </c>
      <c r="BI50" s="2">
        <f>IF(Demand!AW67&lt;=Retailers_Cap!P50,"ret=0",(IF(BD50&lt;=AT50+Distributors_Cap!$P$47,1,0)))</f>
        <v/>
      </c>
      <c r="BK50" s="75" t="n">
        <v>54</v>
      </c>
      <c r="BL50" s="75">
        <f>Retailers!BH49</f>
        <v/>
      </c>
      <c r="BM50" s="75">
        <f>Retailers!BI49</f>
        <v/>
      </c>
      <c r="BN50" s="75">
        <f>Retailers!BJ49</f>
        <v/>
      </c>
      <c r="BP50" s="75" t="n">
        <v>54</v>
      </c>
      <c r="BQ50" s="75">
        <f>#REF!</f>
        <v/>
      </c>
      <c r="BR50" s="75">
        <f>#REF!</f>
        <v/>
      </c>
      <c r="BS50" s="75">
        <f>#REF!</f>
        <v/>
      </c>
      <c r="BU50" s="75" t="n">
        <v>54</v>
      </c>
      <c r="BV50" s="75">
        <f>Retailers!AS49</f>
        <v/>
      </c>
      <c r="BW50" s="75">
        <f>Retailers!AT49</f>
        <v/>
      </c>
      <c r="BX50" s="75">
        <f>Retailers!AU49</f>
        <v/>
      </c>
      <c r="BZ50" s="75" t="n">
        <v>54</v>
      </c>
      <c r="CA50" s="75">
        <f>Results!#REF!</f>
        <v/>
      </c>
      <c r="CB50" s="75">
        <f>Results!#REF!</f>
        <v/>
      </c>
      <c r="CC50" s="75">
        <f>Results!#REF!</f>
        <v/>
      </c>
      <c r="CE50" s="75" t="n">
        <v>54</v>
      </c>
      <c r="CF50" s="75">
        <f>Retailers!BN49</f>
        <v/>
      </c>
      <c r="CG50" s="75">
        <f>Retailers!BO49</f>
        <v/>
      </c>
      <c r="CH50" s="75">
        <f>Retailers!BP49</f>
        <v/>
      </c>
      <c r="CJ50" s="75" t="n">
        <v>54</v>
      </c>
      <c r="CK50" s="75">
        <f>IF(BB50="ret=0",0,IF(BB50&gt;0,AR50+Distributors_Cap!$P$47-BB50,0))</f>
        <v/>
      </c>
      <c r="CL50" s="75">
        <f>IF(BC50="ret=0",0,IF(BC50&gt;0,AS50+Distributors_Cap!$P$47-BC50,0))</f>
        <v/>
      </c>
      <c r="CM50" s="75">
        <f>IF(BD50="ret=0",0,IF(BD50&gt;0,AT50+Distributors_Cap!$P$47-BD50,0))</f>
        <v/>
      </c>
    </row>
    <row r="51">
      <c r="G51" s="75" t="n">
        <v>55</v>
      </c>
      <c r="H51" s="75" t="n">
        <v>53.255</v>
      </c>
      <c r="I51" s="75" t="n">
        <v>78.795</v>
      </c>
      <c r="J51" s="75" t="n">
        <v>67.131</v>
      </c>
      <c r="L51" s="75">
        <f>TRUNC((_xlfn.NORM.INV((RAND()),$K$7,$K$8)),0)</f>
        <v/>
      </c>
      <c r="M51" s="75" t="n">
        <v>55</v>
      </c>
      <c r="N51" s="5" t="n">
        <v>24</v>
      </c>
      <c r="O51" s="5" t="n">
        <v>40</v>
      </c>
      <c r="P51" s="5" t="n">
        <v>29</v>
      </c>
      <c r="R51" s="2">
        <f>IF(N51&gt;Demand!AU68,0,(IF(((2*(Retailers!AJ50+Distributors_Cap!$P$47)-Retailers_Cap!$BB$7)*(Demand!AU68-Retailers_Cap!N51))&lt;0,0,((IF(BB51&gt;2*(Retailers!AJ50+Distributors_Cap!$P$47),0,(IF(BG51=0,ROUNDUP((2*(Retailers!AJ50+Distributors_Cap!$P$47)-BB51)^0.5,0),ROUNDUP((2*(Retailers!AJ50+Distributors_Cap!$P$47)-BB51)^0.5,0)))))))))</f>
        <v/>
      </c>
      <c r="S51" s="2">
        <f>IF(O51&gt;Demand!AV68,0,(IF(((2*(Retailers!AK50+Distributors_Cap!$P$47)-Retailers_Cap!$BB$7)*(Demand!AV68-Retailers_Cap!O51))&lt;0,0,((IF(BC51&gt;2*(Retailers!AK50+Distributors_Cap!$P$47),0,(IF(BH51=0,ROUNDUP((2*(Retailers!AK50+Distributors_Cap!$P$47)-BC51)^0.5,0),ROUNDUP((2*(Retailers!AK50+Distributors_Cap!$P$47)-BC51)^0.5,0)))))))))</f>
        <v/>
      </c>
      <c r="T51" s="2">
        <f>IF(P51&gt;Demand!AW68,0,(IF(((2*(Retailers!AL50+Distributors_Cap!$P$47)-Retailers_Cap!$BB$7)*(Demand!AW68-Retailers_Cap!P51))&lt;0,0,((IF(BD51&gt;2*(Retailers!AL50+Distributors_Cap!$P$47),0,(IF(BI51=0,ROUNDUP((2*(Retailers!AL50+Distributors_Cap!$P$47)-BD51)^0.5,0),ROUNDUP((2*(Retailers!AL50+Distributors_Cap!$P$47)-BD51)^0.5,0)))))))))</f>
        <v/>
      </c>
      <c r="W51" s="75" t="n">
        <v>55</v>
      </c>
      <c r="X51" s="9" t="n">
        <v>0</v>
      </c>
      <c r="Y51" s="9" t="n">
        <v>0</v>
      </c>
      <c r="Z51" s="9" t="n">
        <v>0</v>
      </c>
      <c r="AB51" s="2">
        <f>ROUNDDOWN(LOG((X51+1),2),0)</f>
        <v/>
      </c>
      <c r="AC51" s="2">
        <f>ROUNDDOWN(LOG((Y51+1),2),0)</f>
        <v/>
      </c>
      <c r="AD51" s="2">
        <f>ROUNDDOWN(LOG((Z51+1),2),0)</f>
        <v/>
      </c>
      <c r="AG51" s="75" t="n">
        <v>55</v>
      </c>
      <c r="AH51" s="9" t="n">
        <v>0</v>
      </c>
      <c r="AI51" s="9" t="n">
        <v>0</v>
      </c>
      <c r="AJ51" s="9" t="n">
        <v>0</v>
      </c>
      <c r="AQ51" s="75" t="n">
        <v>55</v>
      </c>
      <c r="AR51" s="75" t="n">
        <v>53.255</v>
      </c>
      <c r="AS51" s="75" t="n">
        <v>78.795</v>
      </c>
      <c r="AT51" s="75" t="n">
        <v>67.131</v>
      </c>
      <c r="AV51" s="75" t="n">
        <v>55</v>
      </c>
      <c r="AW51" s="75">
        <f>Beginning_stock!AT79</f>
        <v/>
      </c>
      <c r="AX51" s="75">
        <f>Beginning_stock!AU79</f>
        <v/>
      </c>
      <c r="AY51" s="75">
        <f>Beginning_stock!AV79</f>
        <v/>
      </c>
      <c r="BA51" s="75" t="n">
        <v>55</v>
      </c>
      <c r="BB51" s="75">
        <f>IF(Demand!AU68=Retailers_Cap!N51,"ret=0",(AW51/(Demand!AU68-Retailers_Cap!N51)))</f>
        <v/>
      </c>
      <c r="BC51" s="75">
        <f>IF(Demand!AV68=Retailers_Cap!O51,"ret=0",(AX51/(Demand!AV68-Retailers_Cap!O51)))</f>
        <v/>
      </c>
      <c r="BD51" s="75">
        <f>IF(Demand!AW68=Retailers_Cap!P51,"ret=0",(AY51/(Demand!AW68-Retailers_Cap!P51)))</f>
        <v/>
      </c>
      <c r="BF51" s="75" t="n">
        <v>55</v>
      </c>
      <c r="BG51" s="2">
        <f>IF(Demand!AU68&lt;=Retailers_Cap!N51,"ret=0",(IF(BB51&lt;=AR51+Distributors_Cap!$P$47,1,0)))</f>
        <v/>
      </c>
      <c r="BH51" s="2">
        <f>IF(Demand!AV68&lt;=Retailers_Cap!O51,"ret=0",(IF(BC51&lt;=AS51+Distributors_Cap!$P$47,1,0)))</f>
        <v/>
      </c>
      <c r="BI51" s="2">
        <f>IF(Demand!AW68&lt;=Retailers_Cap!P51,"ret=0",(IF(BD51&lt;=AT51+Distributors_Cap!$P$47,1,0)))</f>
        <v/>
      </c>
      <c r="BK51" s="75" t="n">
        <v>55</v>
      </c>
      <c r="BL51" s="75">
        <f>Retailers!BH50</f>
        <v/>
      </c>
      <c r="BM51" s="75">
        <f>Retailers!BI50</f>
        <v/>
      </c>
      <c r="BN51" s="75">
        <f>Retailers!BJ50</f>
        <v/>
      </c>
      <c r="BP51" s="75" t="n">
        <v>55</v>
      </c>
      <c r="BQ51" s="75">
        <f>#REF!</f>
        <v/>
      </c>
      <c r="BR51" s="75">
        <f>#REF!</f>
        <v/>
      </c>
      <c r="BS51" s="75">
        <f>#REF!</f>
        <v/>
      </c>
      <c r="BU51" s="75" t="n">
        <v>55</v>
      </c>
      <c r="BV51" s="75">
        <f>Retailers!AS50</f>
        <v/>
      </c>
      <c r="BW51" s="75">
        <f>Retailers!AT50</f>
        <v/>
      </c>
      <c r="BX51" s="75">
        <f>Retailers!AU50</f>
        <v/>
      </c>
      <c r="BZ51" s="75" t="n">
        <v>55</v>
      </c>
      <c r="CA51" s="75">
        <f>Results!#REF!</f>
        <v/>
      </c>
      <c r="CB51" s="75">
        <f>Results!#REF!</f>
        <v/>
      </c>
      <c r="CC51" s="75">
        <f>Results!#REF!</f>
        <v/>
      </c>
      <c r="CE51" s="75" t="n">
        <v>55</v>
      </c>
      <c r="CF51" s="75">
        <f>Retailers!BN50</f>
        <v/>
      </c>
      <c r="CG51" s="75">
        <f>Retailers!BO50</f>
        <v/>
      </c>
      <c r="CH51" s="75">
        <f>Retailers!BP50</f>
        <v/>
      </c>
      <c r="CJ51" s="75" t="n">
        <v>55</v>
      </c>
      <c r="CK51" s="75">
        <f>IF(BB51="ret=0",0,IF(BB51&gt;0,AR51+Distributors_Cap!$P$47-BB51,0))</f>
        <v/>
      </c>
      <c r="CL51" s="75">
        <f>IF(BC51="ret=0",0,IF(BC51&gt;0,AS51+Distributors_Cap!$P$47-BC51,0))</f>
        <v/>
      </c>
      <c r="CM51" s="75">
        <f>IF(BD51="ret=0",0,IF(BD51&gt;0,AT51+Distributors_Cap!$P$47-BD51,0))</f>
        <v/>
      </c>
    </row>
    <row r="52">
      <c r="G52" s="75" t="n">
        <v>56</v>
      </c>
      <c r="H52" s="75" t="n">
        <v>53.912</v>
      </c>
      <c r="I52" s="75" t="n">
        <v>70.194</v>
      </c>
      <c r="J52" s="75" t="n">
        <v>59.256</v>
      </c>
      <c r="L52" s="75">
        <f>TRUNC((_xlfn.NORM.INV((RAND()),$K$7,$K$8)),0)</f>
        <v/>
      </c>
      <c r="M52" s="75" t="n">
        <v>56</v>
      </c>
      <c r="N52" s="5" t="n">
        <v>20</v>
      </c>
      <c r="O52" s="5" t="n">
        <v>22</v>
      </c>
      <c r="P52" s="5" t="n">
        <v>25</v>
      </c>
      <c r="R52" s="2">
        <f>IF(N52&gt;Demand!AU69,0,(IF(((2*(Retailers!AJ51+Distributors_Cap!$P$47)-Retailers_Cap!$BB$7)*(Demand!AU69-Retailers_Cap!N52))&lt;0,0,((IF(BB52&gt;2*(Retailers!AJ51+Distributors_Cap!$P$47),0,(IF(BG52=0,ROUNDUP((2*(Retailers!AJ51+Distributors_Cap!$P$47)-BB52)^0.5,0),ROUNDUP((2*(Retailers!AJ51+Distributors_Cap!$P$47)-BB52)^0.5,0)))))))))</f>
        <v/>
      </c>
      <c r="S52" s="2">
        <f>IF(O52&gt;Demand!AV69,0,(IF(((2*(Retailers!AK51+Distributors_Cap!$P$47)-Retailers_Cap!$BB$7)*(Demand!AV69-Retailers_Cap!O52))&lt;0,0,((IF(BC52&gt;2*(Retailers!AK51+Distributors_Cap!$P$47),0,(IF(BH52=0,ROUNDUP((2*(Retailers!AK51+Distributors_Cap!$P$47)-BC52)^0.5,0),ROUNDUP((2*(Retailers!AK51+Distributors_Cap!$P$47)-BC52)^0.5,0)))))))))</f>
        <v/>
      </c>
      <c r="T52" s="2">
        <f>IF(P52&gt;Demand!AW69,0,(IF(((2*(Retailers!AL51+Distributors_Cap!$P$47)-Retailers_Cap!$BB$7)*(Demand!AW69-Retailers_Cap!P52))&lt;0,0,((IF(BD52&gt;2*(Retailers!AL51+Distributors_Cap!$P$47),0,(IF(BI52=0,ROUNDUP((2*(Retailers!AL51+Distributors_Cap!$P$47)-BD52)^0.5,0),ROUNDUP((2*(Retailers!AL51+Distributors_Cap!$P$47)-BD52)^0.5,0)))))))))</f>
        <v/>
      </c>
      <c r="W52" s="75" t="n">
        <v>56</v>
      </c>
      <c r="X52" s="9" t="n">
        <v>0</v>
      </c>
      <c r="Y52" s="9" t="n">
        <v>0</v>
      </c>
      <c r="Z52" s="9" t="n">
        <v>12</v>
      </c>
      <c r="AB52" s="2">
        <f>ROUNDDOWN(LOG((X52+1),2),0)</f>
        <v/>
      </c>
      <c r="AC52" s="2">
        <f>ROUNDDOWN(LOG((Y52+1),2),0)</f>
        <v/>
      </c>
      <c r="AD52" s="2">
        <f>ROUNDDOWN(LOG((Z52+1),2),0)</f>
        <v/>
      </c>
      <c r="AG52" s="75" t="n">
        <v>56</v>
      </c>
      <c r="AH52" s="9" t="n">
        <v>0</v>
      </c>
      <c r="AI52" s="9" t="n">
        <v>0</v>
      </c>
      <c r="AJ52" s="9" t="n">
        <v>3</v>
      </c>
      <c r="AQ52" s="75" t="n">
        <v>56</v>
      </c>
      <c r="AR52" s="75" t="n">
        <v>53.912</v>
      </c>
      <c r="AS52" s="75" t="n">
        <v>70.194</v>
      </c>
      <c r="AT52" s="75" t="n">
        <v>59.256</v>
      </c>
      <c r="AV52" s="75" t="n">
        <v>56</v>
      </c>
      <c r="AW52" s="75">
        <f>Beginning_stock!AT80</f>
        <v/>
      </c>
      <c r="AX52" s="75">
        <f>Beginning_stock!AU80</f>
        <v/>
      </c>
      <c r="AY52" s="75">
        <f>Beginning_stock!AV80</f>
        <v/>
      </c>
      <c r="BA52" s="75" t="n">
        <v>56</v>
      </c>
      <c r="BB52" s="75">
        <f>IF(Demand!AU69=Retailers_Cap!N52,"ret=0",(AW52/(Demand!AU69-Retailers_Cap!N52)))</f>
        <v/>
      </c>
      <c r="BC52" s="75">
        <f>IF(Demand!AV69=Retailers_Cap!O52,"ret=0",(AX52/(Demand!AV69-Retailers_Cap!O52)))</f>
        <v/>
      </c>
      <c r="BD52" s="75">
        <f>IF(Demand!AW69=Retailers_Cap!P52,"ret=0",(AY52/(Demand!AW69-Retailers_Cap!P52)))</f>
        <v/>
      </c>
      <c r="BF52" s="75" t="n">
        <v>56</v>
      </c>
      <c r="BG52" s="2">
        <f>IF(Demand!AU69&lt;=Retailers_Cap!N52,"ret=0",(IF(BB52&lt;=AR52+Distributors_Cap!$P$47,1,0)))</f>
        <v/>
      </c>
      <c r="BH52" s="2">
        <f>IF(Demand!AV69&lt;=Retailers_Cap!O52,"ret=0",(IF(BC52&lt;=AS52+Distributors_Cap!$P$47,1,0)))</f>
        <v/>
      </c>
      <c r="BI52" s="2">
        <f>IF(Demand!AW69&lt;=Retailers_Cap!P52,"ret=0",(IF(BD52&lt;=AT52+Distributors_Cap!$P$47,1,0)))</f>
        <v/>
      </c>
      <c r="BK52" s="75" t="n">
        <v>56</v>
      </c>
      <c r="BL52" s="75">
        <f>Retailers!BH51</f>
        <v/>
      </c>
      <c r="BM52" s="75">
        <f>Retailers!BI51</f>
        <v/>
      </c>
      <c r="BN52" s="75">
        <f>Retailers!BJ51</f>
        <v/>
      </c>
      <c r="BP52" s="75" t="n">
        <v>56</v>
      </c>
      <c r="BQ52" s="75">
        <f>#REF!</f>
        <v/>
      </c>
      <c r="BR52" s="75">
        <f>#REF!</f>
        <v/>
      </c>
      <c r="BS52" s="75">
        <f>#REF!</f>
        <v/>
      </c>
      <c r="BU52" s="75" t="n">
        <v>56</v>
      </c>
      <c r="BV52" s="75">
        <f>Retailers!AS51</f>
        <v/>
      </c>
      <c r="BW52" s="75">
        <f>Retailers!AT51</f>
        <v/>
      </c>
      <c r="BX52" s="75">
        <f>Retailers!AU51</f>
        <v/>
      </c>
      <c r="BZ52" s="75" t="n">
        <v>56</v>
      </c>
      <c r="CA52" s="75">
        <f>Results!#REF!</f>
        <v/>
      </c>
      <c r="CB52" s="75">
        <f>Results!#REF!</f>
        <v/>
      </c>
      <c r="CC52" s="75">
        <f>Results!#REF!</f>
        <v/>
      </c>
      <c r="CE52" s="75" t="n">
        <v>56</v>
      </c>
      <c r="CF52" s="75">
        <f>Retailers!BN51</f>
        <v/>
      </c>
      <c r="CG52" s="75">
        <f>Retailers!BO51</f>
        <v/>
      </c>
      <c r="CH52" s="75">
        <f>Retailers!BP51</f>
        <v/>
      </c>
      <c r="CJ52" s="75" t="n">
        <v>56</v>
      </c>
      <c r="CK52" s="75">
        <f>IF(BB52="ret=0",0,IF(BB52&gt;0,AR52+Distributors_Cap!$P$47-BB52,0))</f>
        <v/>
      </c>
      <c r="CL52" s="75">
        <f>IF(BC52="ret=0",0,IF(BC52&gt;0,AS52+Distributors_Cap!$P$47-BC52,0))</f>
        <v/>
      </c>
      <c r="CM52" s="75">
        <f>IF(BD52="ret=0",0,IF(BD52&gt;0,AT52+Distributors_Cap!$P$47-BD52,0))</f>
        <v/>
      </c>
    </row>
    <row r="53">
      <c r="G53" s="75" t="n">
        <v>57</v>
      </c>
      <c r="H53" s="75" t="n">
        <v>61.562</v>
      </c>
      <c r="I53" s="75" t="n">
        <v>70.205</v>
      </c>
      <c r="J53" s="75" t="n">
        <v>52.015</v>
      </c>
      <c r="L53" s="75">
        <f>TRUNC((_xlfn.NORM.INV((RAND()),$K$7,$K$8)),0)</f>
        <v/>
      </c>
      <c r="M53" s="75" t="n">
        <v>57</v>
      </c>
      <c r="N53" s="5" t="n">
        <v>25</v>
      </c>
      <c r="O53" s="5" t="n">
        <v>13</v>
      </c>
      <c r="P53" s="5" t="n">
        <v>23</v>
      </c>
      <c r="R53" s="2">
        <f>IF(N53&gt;Demand!AU70,0,(IF(((2*(Retailers!AJ52+Distributors_Cap!$P$47)-Retailers_Cap!$BB$7)*(Demand!AU70-Retailers_Cap!N53))&lt;0,0,((IF(BB53&gt;2*(Retailers!AJ52+Distributors_Cap!$P$47),0,(IF(BG53=0,ROUNDUP((2*(Retailers!AJ52+Distributors_Cap!$P$47)-BB53)^0.5,0),ROUNDUP((2*(Retailers!AJ52+Distributors_Cap!$P$47)-BB53)^0.5,0)))))))))</f>
        <v/>
      </c>
      <c r="S53" s="2">
        <f>IF(O53&gt;Demand!AV70,0,(IF(((2*(Retailers!AK52+Distributors_Cap!$P$47)-Retailers_Cap!$BB$7)*(Demand!AV70-Retailers_Cap!O53))&lt;0,0,((IF(BC53&gt;2*(Retailers!AK52+Distributors_Cap!$P$47),0,(IF(BH53=0,ROUNDUP((2*(Retailers!AK52+Distributors_Cap!$P$47)-BC53)^0.5,0),ROUNDUP((2*(Retailers!AK52+Distributors_Cap!$P$47)-BC53)^0.5,0)))))))))</f>
        <v/>
      </c>
      <c r="T53" s="2">
        <f>IF(P53&gt;Demand!AW70,0,(IF(((2*(Retailers!AL52+Distributors_Cap!$P$47)-Retailers_Cap!$BB$7)*(Demand!AW70-Retailers_Cap!P53))&lt;0,0,((IF(BD53&gt;2*(Retailers!AL52+Distributors_Cap!$P$47),0,(IF(BI53=0,ROUNDUP((2*(Retailers!AL52+Distributors_Cap!$P$47)-BD53)^0.5,0),ROUNDUP((2*(Retailers!AL52+Distributors_Cap!$P$47)-BD53)^0.5,0)))))))))</f>
        <v/>
      </c>
      <c r="W53" s="75" t="n">
        <v>57</v>
      </c>
      <c r="X53" s="9" t="n">
        <v>10</v>
      </c>
      <c r="Y53" s="9" t="n">
        <v>14</v>
      </c>
      <c r="Z53" s="9" t="n">
        <v>7</v>
      </c>
      <c r="AB53" s="2">
        <f>ROUNDDOWN(LOG((X53+1),2),0)</f>
        <v/>
      </c>
      <c r="AC53" s="2">
        <f>ROUNDDOWN(LOG((Y53+1),2),0)</f>
        <v/>
      </c>
      <c r="AD53" s="2">
        <f>ROUNDDOWN(LOG((Z53+1),2),0)</f>
        <v/>
      </c>
      <c r="AG53" s="75" t="n">
        <v>57</v>
      </c>
      <c r="AH53" s="9" t="n">
        <v>3</v>
      </c>
      <c r="AI53" s="9" t="n">
        <v>3</v>
      </c>
      <c r="AJ53" s="9" t="n">
        <v>3</v>
      </c>
      <c r="AQ53" s="75" t="n">
        <v>57</v>
      </c>
      <c r="AR53" s="75" t="n">
        <v>61.562</v>
      </c>
      <c r="AS53" s="75" t="n">
        <v>70.205</v>
      </c>
      <c r="AT53" s="75" t="n">
        <v>52.015</v>
      </c>
      <c r="AV53" s="75" t="n">
        <v>57</v>
      </c>
      <c r="AW53" s="75">
        <f>Beginning_stock!AT81</f>
        <v/>
      </c>
      <c r="AX53" s="75">
        <f>Beginning_stock!AU81</f>
        <v/>
      </c>
      <c r="AY53" s="75">
        <f>Beginning_stock!AV81</f>
        <v/>
      </c>
      <c r="BA53" s="75" t="n">
        <v>57</v>
      </c>
      <c r="BB53" s="75">
        <f>IF(Demand!AU70=Retailers_Cap!N53,"ret=0",(AW53/(Demand!AU70-Retailers_Cap!N53)))</f>
        <v/>
      </c>
      <c r="BC53" s="75">
        <f>IF(Demand!AV70=Retailers_Cap!O53,"ret=0",(AX53/(Demand!AV70-Retailers_Cap!O53)))</f>
        <v/>
      </c>
      <c r="BD53" s="75">
        <f>IF(Demand!AW70=Retailers_Cap!P53,"ret=0",(AY53/(Demand!AW70-Retailers_Cap!P53)))</f>
        <v/>
      </c>
      <c r="BF53" s="75" t="n">
        <v>57</v>
      </c>
      <c r="BG53" s="2">
        <f>IF(Demand!AU70&lt;=Retailers_Cap!N53,"ret=0",(IF(BB53&lt;=AR53+Distributors_Cap!$P$47,1,0)))</f>
        <v/>
      </c>
      <c r="BH53" s="2">
        <f>IF(Demand!AV70&lt;=Retailers_Cap!O53,"ret=0",(IF(BC53&lt;=AS53+Distributors_Cap!$P$47,1,0)))</f>
        <v/>
      </c>
      <c r="BI53" s="2">
        <f>IF(Demand!AW70&lt;=Retailers_Cap!P53,"ret=0",(IF(BD53&lt;=AT53+Distributors_Cap!$P$47,1,0)))</f>
        <v/>
      </c>
      <c r="BK53" s="75" t="n">
        <v>57</v>
      </c>
      <c r="BL53" s="75">
        <f>Retailers!BH52</f>
        <v/>
      </c>
      <c r="BM53" s="75">
        <f>Retailers!BI52</f>
        <v/>
      </c>
      <c r="BN53" s="75">
        <f>Retailers!BJ52</f>
        <v/>
      </c>
      <c r="BP53" s="75" t="n">
        <v>57</v>
      </c>
      <c r="BQ53" s="75">
        <f>#REF!</f>
        <v/>
      </c>
      <c r="BR53" s="75">
        <f>#REF!</f>
        <v/>
      </c>
      <c r="BS53" s="75">
        <f>#REF!</f>
        <v/>
      </c>
      <c r="BU53" s="75" t="n">
        <v>57</v>
      </c>
      <c r="BV53" s="75">
        <f>Retailers!AS52</f>
        <v/>
      </c>
      <c r="BW53" s="75">
        <f>Retailers!AT52</f>
        <v/>
      </c>
      <c r="BX53" s="75">
        <f>Retailers!AU52</f>
        <v/>
      </c>
      <c r="BZ53" s="75" t="n">
        <v>57</v>
      </c>
      <c r="CA53" s="75">
        <f>Results!#REF!</f>
        <v/>
      </c>
      <c r="CB53" s="75">
        <f>Results!#REF!</f>
        <v/>
      </c>
      <c r="CC53" s="75">
        <f>Results!#REF!</f>
        <v/>
      </c>
      <c r="CE53" s="75" t="n">
        <v>57</v>
      </c>
      <c r="CF53" s="75">
        <f>Retailers!BN52</f>
        <v/>
      </c>
      <c r="CG53" s="75">
        <f>Retailers!BO52</f>
        <v/>
      </c>
      <c r="CH53" s="75">
        <f>Retailers!BP52</f>
        <v/>
      </c>
      <c r="CJ53" s="75" t="n">
        <v>57</v>
      </c>
      <c r="CK53" s="75">
        <f>IF(BB53="ret=0",0,IF(BB53&gt;0,AR53+Distributors_Cap!$P$47-BB53,0))</f>
        <v/>
      </c>
      <c r="CL53" s="75">
        <f>IF(BC53="ret=0",0,IF(BC53&gt;0,AS53+Distributors_Cap!$P$47-BC53,0))</f>
        <v/>
      </c>
      <c r="CM53" s="75">
        <f>IF(BD53="ret=0",0,IF(BD53&gt;0,AT53+Distributors_Cap!$P$47-BD53,0))</f>
        <v/>
      </c>
    </row>
    <row r="54">
      <c r="G54" s="75" t="n">
        <v>58</v>
      </c>
      <c r="H54" s="75" t="n">
        <v>48.395</v>
      </c>
      <c r="I54" s="75" t="n">
        <v>66.886</v>
      </c>
      <c r="J54" s="75" t="n">
        <v>47.992</v>
      </c>
      <c r="L54" s="75">
        <f>TRUNC((_xlfn.NORM.INV((RAND()),$K$7,$K$8)),0)</f>
        <v/>
      </c>
      <c r="M54" s="75" t="n">
        <v>58</v>
      </c>
      <c r="N54" s="5" t="n">
        <v>17</v>
      </c>
      <c r="O54" s="5" t="n">
        <v>18</v>
      </c>
      <c r="P54" s="5" t="n">
        <v>23</v>
      </c>
      <c r="R54" s="2">
        <f>IF(N54&gt;Demand!AU71,0,(IF(((2*(Retailers!AJ53+Distributors_Cap!$P$47)-Retailers_Cap!$BB$7)*(Demand!AU71-Retailers_Cap!N54))&lt;0,0,((IF(BB54&gt;2*(Retailers!AJ53+Distributors_Cap!$P$47),0,(IF(BG54=0,ROUNDUP((2*(Retailers!AJ53+Distributors_Cap!$P$47)-BB54)^0.5,0),ROUNDUP((2*(Retailers!AJ53+Distributors_Cap!$P$47)-BB54)^0.5,0)))))))))</f>
        <v/>
      </c>
      <c r="S54" s="2">
        <f>IF(O54&gt;Demand!AV71,0,(IF(((2*(Retailers!AK53+Distributors_Cap!$P$47)-Retailers_Cap!$BB$7)*(Demand!AV71-Retailers_Cap!O54))&lt;0,0,((IF(BC54&gt;2*(Retailers!AK53+Distributors_Cap!$P$47),0,(IF(BH54=0,ROUNDUP((2*(Retailers!AK53+Distributors_Cap!$P$47)-BC54)^0.5,0),ROUNDUP((2*(Retailers!AK53+Distributors_Cap!$P$47)-BC54)^0.5,0)))))))))</f>
        <v/>
      </c>
      <c r="T54" s="2">
        <f>IF(P54&gt;Demand!AW71,0,(IF(((2*(Retailers!AL53+Distributors_Cap!$P$47)-Retailers_Cap!$BB$7)*(Demand!AW71-Retailers_Cap!P54))&lt;0,0,((IF(BD54&gt;2*(Retailers!AL53+Distributors_Cap!$P$47),0,(IF(BI54=0,ROUNDUP((2*(Retailers!AL53+Distributors_Cap!$P$47)-BD54)^0.5,0),ROUNDUP((2*(Retailers!AL53+Distributors_Cap!$P$47)-BD54)^0.5,0)))))))))</f>
        <v/>
      </c>
      <c r="W54" s="75" t="n">
        <v>58</v>
      </c>
      <c r="X54" s="9" t="n">
        <v>0</v>
      </c>
      <c r="Y54" s="9" t="n">
        <v>12</v>
      </c>
      <c r="Z54" s="9" t="n">
        <v>12</v>
      </c>
      <c r="AB54" s="2">
        <f>ROUNDDOWN(LOG((X54+1),2),0)</f>
        <v/>
      </c>
      <c r="AC54" s="2">
        <f>ROUNDDOWN(LOG((Y54+1),2),0)</f>
        <v/>
      </c>
      <c r="AD54" s="2">
        <f>ROUNDDOWN(LOG((Z54+1),2),0)</f>
        <v/>
      </c>
      <c r="AG54" s="75" t="n">
        <v>58</v>
      </c>
      <c r="AH54" s="9" t="n">
        <v>0</v>
      </c>
      <c r="AI54" s="9" t="n">
        <v>3</v>
      </c>
      <c r="AJ54" s="9" t="n">
        <v>3</v>
      </c>
      <c r="AQ54" s="75" t="n">
        <v>58</v>
      </c>
      <c r="AR54" s="75" t="n">
        <v>48.395</v>
      </c>
      <c r="AS54" s="75" t="n">
        <v>66.886</v>
      </c>
      <c r="AT54" s="75" t="n">
        <v>47.992</v>
      </c>
      <c r="AV54" s="75" t="n">
        <v>58</v>
      </c>
      <c r="AW54" s="75">
        <f>Beginning_stock!AT82</f>
        <v/>
      </c>
      <c r="AX54" s="75">
        <f>Beginning_stock!AU82</f>
        <v/>
      </c>
      <c r="AY54" s="75">
        <f>Beginning_stock!AV82</f>
        <v/>
      </c>
      <c r="BA54" s="75" t="n">
        <v>58</v>
      </c>
      <c r="BB54" s="75">
        <f>IF(Demand!AU71=Retailers_Cap!N54,"ret=0",(AW54/(Demand!AU71-Retailers_Cap!N54)))</f>
        <v/>
      </c>
      <c r="BC54" s="75">
        <f>IF(Demand!AV71=Retailers_Cap!O54,"ret=0",(AX54/(Demand!AV71-Retailers_Cap!O54)))</f>
        <v/>
      </c>
      <c r="BD54" s="75">
        <f>IF(Demand!AW71=Retailers_Cap!P54,"ret=0",(AY54/(Demand!AW71-Retailers_Cap!P54)))</f>
        <v/>
      </c>
      <c r="BF54" s="75" t="n">
        <v>58</v>
      </c>
      <c r="BG54" s="2">
        <f>IF(Demand!AU71&lt;=Retailers_Cap!N54,"ret=0",(IF(BB54&lt;=AR54+Distributors_Cap!$P$47,1,0)))</f>
        <v/>
      </c>
      <c r="BH54" s="2">
        <f>IF(Demand!AV71&lt;=Retailers_Cap!O54,"ret=0",(IF(BC54&lt;=AS54+Distributors_Cap!$P$47,1,0)))</f>
        <v/>
      </c>
      <c r="BI54" s="2">
        <f>IF(Demand!AW71&lt;=Retailers_Cap!P54,"ret=0",(IF(BD54&lt;=AT54+Distributors_Cap!$P$47,1,0)))</f>
        <v/>
      </c>
      <c r="BK54" s="75" t="n">
        <v>58</v>
      </c>
      <c r="BL54" s="75">
        <f>Retailers!BH53</f>
        <v/>
      </c>
      <c r="BM54" s="75">
        <f>Retailers!BI53</f>
        <v/>
      </c>
      <c r="BN54" s="75">
        <f>Retailers!BJ53</f>
        <v/>
      </c>
      <c r="BP54" s="75" t="n">
        <v>58</v>
      </c>
      <c r="BQ54" s="75">
        <f>#REF!</f>
        <v/>
      </c>
      <c r="BR54" s="75">
        <f>#REF!</f>
        <v/>
      </c>
      <c r="BS54" s="75">
        <f>#REF!</f>
        <v/>
      </c>
      <c r="BU54" s="75" t="n">
        <v>58</v>
      </c>
      <c r="BV54" s="75">
        <f>Retailers!AS53</f>
        <v/>
      </c>
      <c r="BW54" s="75">
        <f>Retailers!AT53</f>
        <v/>
      </c>
      <c r="BX54" s="75">
        <f>Retailers!AU53</f>
        <v/>
      </c>
      <c r="BZ54" s="75" t="n">
        <v>58</v>
      </c>
      <c r="CA54" s="75">
        <f>Results!#REF!</f>
        <v/>
      </c>
      <c r="CB54" s="75">
        <f>Results!#REF!</f>
        <v/>
      </c>
      <c r="CC54" s="75">
        <f>Results!#REF!</f>
        <v/>
      </c>
      <c r="CE54" s="75" t="n">
        <v>58</v>
      </c>
      <c r="CF54" s="75">
        <f>Retailers!BN53</f>
        <v/>
      </c>
      <c r="CG54" s="75">
        <f>Retailers!BO53</f>
        <v/>
      </c>
      <c r="CH54" s="75">
        <f>Retailers!BP53</f>
        <v/>
      </c>
      <c r="CJ54" s="75" t="n">
        <v>58</v>
      </c>
      <c r="CK54" s="75">
        <f>IF(BB54="ret=0",0,IF(BB54&gt;0,AR54+Distributors_Cap!$P$47-BB54,0))</f>
        <v/>
      </c>
      <c r="CL54" s="75">
        <f>IF(BC54="ret=0",0,IF(BC54&gt;0,AS54+Distributors_Cap!$P$47-BC54,0))</f>
        <v/>
      </c>
      <c r="CM54" s="75">
        <f>IF(BD54="ret=0",0,IF(BD54&gt;0,AT54+Distributors_Cap!$P$47-BD54,0))</f>
        <v/>
      </c>
    </row>
    <row r="55">
      <c r="G55" s="75" t="n">
        <v>59</v>
      </c>
      <c r="H55" s="75" t="n">
        <v>61.747</v>
      </c>
      <c r="I55" s="75" t="n">
        <v>51.345</v>
      </c>
      <c r="J55" s="75" t="n">
        <v>59.566</v>
      </c>
      <c r="L55" s="75">
        <f>TRUNC((_xlfn.NORM.INV((RAND()),$K$7,$K$8)),0)</f>
        <v/>
      </c>
      <c r="M55" s="75" t="n">
        <v>59</v>
      </c>
      <c r="N55" s="5" t="n">
        <v>25</v>
      </c>
      <c r="O55" s="5" t="n">
        <v>22</v>
      </c>
      <c r="P55" s="5" t="n">
        <v>29</v>
      </c>
      <c r="R55" s="2">
        <f>IF(N55&gt;Demand!AU72,0,(IF(((2*(Retailers!AJ54+Distributors_Cap!$P$47)-Retailers_Cap!$BB$7)*(Demand!AU72-Retailers_Cap!N55))&lt;0,0,((IF(BB55&gt;2*(Retailers!AJ54+Distributors_Cap!$P$47),0,(IF(BG55=0,ROUNDUP((2*(Retailers!AJ54+Distributors_Cap!$P$47)-BB55)^0.5,0),ROUNDUP((2*(Retailers!AJ54+Distributors_Cap!$P$47)-BB55)^0.5,0)))))))))</f>
        <v/>
      </c>
      <c r="S55" s="2">
        <f>IF(O55&gt;Demand!AV72,0,(IF(((2*(Retailers!AK54+Distributors_Cap!$P$47)-Retailers_Cap!$BB$7)*(Demand!AV72-Retailers_Cap!O55))&lt;0,0,((IF(BC55&gt;2*(Retailers!AK54+Distributors_Cap!$P$47),0,(IF(BH55=0,ROUNDUP((2*(Retailers!AK54+Distributors_Cap!$P$47)-BC55)^0.5,0),ROUNDUP((2*(Retailers!AK54+Distributors_Cap!$P$47)-BC55)^0.5,0)))))))))</f>
        <v/>
      </c>
      <c r="T55" s="2">
        <f>IF(P55&gt;Demand!AW72,0,(IF(((2*(Retailers!AL54+Distributors_Cap!$P$47)-Retailers_Cap!$BB$7)*(Demand!AW72-Retailers_Cap!P55))&lt;0,0,((IF(BD55&gt;2*(Retailers!AL54+Distributors_Cap!$P$47),0,(IF(BI55=0,ROUNDUP((2*(Retailers!AL54+Distributors_Cap!$P$47)-BD55)^0.5,0),ROUNDUP((2*(Retailers!AL54+Distributors_Cap!$P$47)-BD55)^0.5,0)))))))))</f>
        <v/>
      </c>
      <c r="W55" s="75" t="n">
        <v>59</v>
      </c>
      <c r="X55" s="9" t="n">
        <v>0</v>
      </c>
      <c r="Y55" s="9" t="n">
        <v>0</v>
      </c>
      <c r="Z55" s="9" t="n">
        <v>0</v>
      </c>
      <c r="AB55" s="2">
        <f>ROUNDDOWN(LOG((X55+1),2),0)</f>
        <v/>
      </c>
      <c r="AC55" s="2">
        <f>ROUNDDOWN(LOG((Y55+1),2),0)</f>
        <v/>
      </c>
      <c r="AD55" s="2">
        <f>ROUNDDOWN(LOG((Z55+1),2),0)</f>
        <v/>
      </c>
      <c r="AG55" s="75" t="n">
        <v>59</v>
      </c>
      <c r="AH55" s="9" t="n">
        <v>0</v>
      </c>
      <c r="AI55" s="9" t="n">
        <v>0</v>
      </c>
      <c r="AJ55" s="9" t="n">
        <v>0</v>
      </c>
      <c r="AQ55" s="75" t="n">
        <v>59</v>
      </c>
      <c r="AR55" s="75" t="n">
        <v>61.747</v>
      </c>
      <c r="AS55" s="75" t="n">
        <v>51.345</v>
      </c>
      <c r="AT55" s="75" t="n">
        <v>59.566</v>
      </c>
      <c r="AV55" s="75" t="n">
        <v>59</v>
      </c>
      <c r="AW55" s="75">
        <f>Beginning_stock!AT83</f>
        <v/>
      </c>
      <c r="AX55" s="75">
        <f>Beginning_stock!AU83</f>
        <v/>
      </c>
      <c r="AY55" s="75">
        <f>Beginning_stock!AV83</f>
        <v/>
      </c>
      <c r="BA55" s="75" t="n">
        <v>59</v>
      </c>
      <c r="BB55" s="75">
        <f>IF(Demand!AU72=Retailers_Cap!N55,"ret=0",(AW55/(Demand!AU72-Retailers_Cap!N55)))</f>
        <v/>
      </c>
      <c r="BC55" s="75">
        <f>IF(Demand!AV72=Retailers_Cap!O55,"ret=0",(AX55/(Demand!AV72-Retailers_Cap!O55)))</f>
        <v/>
      </c>
      <c r="BD55" s="75">
        <f>IF(Demand!AW72=Retailers_Cap!P55,"ret=0",(AY55/(Demand!AW72-Retailers_Cap!P55)))</f>
        <v/>
      </c>
      <c r="BF55" s="75" t="n">
        <v>59</v>
      </c>
      <c r="BG55" s="2">
        <f>IF(Demand!AU72&lt;=Retailers_Cap!N55,"ret=0",(IF(BB55&lt;=AR55+Distributors_Cap!$P$47,1,0)))</f>
        <v/>
      </c>
      <c r="BH55" s="2">
        <f>IF(Demand!AV72&lt;=Retailers_Cap!O55,"ret=0",(IF(BC55&lt;=AS55+Distributors_Cap!$P$47,1,0)))</f>
        <v/>
      </c>
      <c r="BI55" s="2">
        <f>IF(Demand!AW72&lt;=Retailers_Cap!P55,"ret=0",(IF(BD55&lt;=AT55+Distributors_Cap!$P$47,1,0)))</f>
        <v/>
      </c>
      <c r="BK55" s="75" t="n">
        <v>59</v>
      </c>
      <c r="BL55" s="75">
        <f>Retailers!BH54</f>
        <v/>
      </c>
      <c r="BM55" s="75">
        <f>Retailers!BI54</f>
        <v/>
      </c>
      <c r="BN55" s="75">
        <f>Retailers!BJ54</f>
        <v/>
      </c>
      <c r="BP55" s="75" t="n">
        <v>59</v>
      </c>
      <c r="BQ55" s="75">
        <f>#REF!</f>
        <v/>
      </c>
      <c r="BR55" s="75">
        <f>#REF!</f>
        <v/>
      </c>
      <c r="BS55" s="75">
        <f>#REF!</f>
        <v/>
      </c>
      <c r="BU55" s="75" t="n">
        <v>59</v>
      </c>
      <c r="BV55" s="75">
        <f>Retailers!AS54</f>
        <v/>
      </c>
      <c r="BW55" s="75">
        <f>Retailers!AT54</f>
        <v/>
      </c>
      <c r="BX55" s="75">
        <f>Retailers!AU54</f>
        <v/>
      </c>
      <c r="BZ55" s="75" t="n">
        <v>59</v>
      </c>
      <c r="CA55" s="75">
        <f>Results!#REF!</f>
        <v/>
      </c>
      <c r="CB55" s="75">
        <f>Results!#REF!</f>
        <v/>
      </c>
      <c r="CC55" s="75">
        <f>Results!#REF!</f>
        <v/>
      </c>
      <c r="CE55" s="75" t="n">
        <v>59</v>
      </c>
      <c r="CF55" s="75">
        <f>Retailers!BN54</f>
        <v/>
      </c>
      <c r="CG55" s="75">
        <f>Retailers!BO54</f>
        <v/>
      </c>
      <c r="CH55" s="75">
        <f>Retailers!BP54</f>
        <v/>
      </c>
      <c r="CJ55" s="75" t="n">
        <v>59</v>
      </c>
      <c r="CK55" s="75">
        <f>IF(BB55="ret=0",0,IF(BB55&gt;0,AR55+Distributors_Cap!$P$47-BB55,0))</f>
        <v/>
      </c>
      <c r="CL55" s="75">
        <f>IF(BC55="ret=0",0,IF(BC55&gt;0,AS55+Distributors_Cap!$P$47-BC55,0))</f>
        <v/>
      </c>
      <c r="CM55" s="75">
        <f>IF(BD55="ret=0",0,IF(BD55&gt;0,AT55+Distributors_Cap!$P$47-BD55,0))</f>
        <v/>
      </c>
    </row>
    <row r="56">
      <c r="G56" s="75" t="n">
        <v>60</v>
      </c>
      <c r="H56" s="75" t="n">
        <v>62.542</v>
      </c>
      <c r="I56" s="75" t="n">
        <v>26.582</v>
      </c>
      <c r="J56" s="75" t="n">
        <v>46.146</v>
      </c>
      <c r="L56" s="75">
        <f>TRUNC((_xlfn.NORM.INV((RAND()),$K$7,$K$8)),0)</f>
        <v/>
      </c>
      <c r="M56" s="75" t="n">
        <v>60</v>
      </c>
      <c r="N56" s="5" t="n">
        <v>29</v>
      </c>
      <c r="O56" s="5" t="n">
        <v>35</v>
      </c>
      <c r="P56" s="5" t="n">
        <v>38</v>
      </c>
      <c r="R56" s="2">
        <f>IF(N56&gt;Demand!AU73,0,(IF(((2*(Retailers!AJ55+Distributors_Cap!$P$47)-Retailers_Cap!$BB$7)*(Demand!AU73-Retailers_Cap!N56))&lt;0,0,((IF(BB56&gt;2*(Retailers!AJ55+Distributors_Cap!$P$47),0,(IF(BG56=0,ROUNDUP((2*(Retailers!AJ55+Distributors_Cap!$P$47)-BB56)^0.5,0),ROUNDUP((2*(Retailers!AJ55+Distributors_Cap!$P$47)-BB56)^0.5,0)))))))))</f>
        <v/>
      </c>
      <c r="S56" s="2">
        <f>IF(O56&gt;Demand!AV73,0,(IF(((2*(Retailers!AK55+Distributors_Cap!$P$47)-Retailers_Cap!$BB$7)*(Demand!AV73-Retailers_Cap!O56))&lt;0,0,((IF(BC56&gt;2*(Retailers!AK55+Distributors_Cap!$P$47),0,(IF(BH56=0,ROUNDUP((2*(Retailers!AK55+Distributors_Cap!$P$47)-BC56)^0.5,0),ROUNDUP((2*(Retailers!AK55+Distributors_Cap!$P$47)-BC56)^0.5,0)))))))))</f>
        <v/>
      </c>
      <c r="T56" s="2">
        <f>IF(P56&gt;Demand!AW73,0,(IF(((2*(Retailers!AL55+Distributors_Cap!$P$47)-Retailers_Cap!$BB$7)*(Demand!AW73-Retailers_Cap!P56))&lt;0,0,((IF(BD56&gt;2*(Retailers!AL55+Distributors_Cap!$P$47),0,(IF(BI56=0,ROUNDUP((2*(Retailers!AL55+Distributors_Cap!$P$47)-BD56)^0.5,0),ROUNDUP((2*(Retailers!AL55+Distributors_Cap!$P$47)-BD56)^0.5,0)))))))))</f>
        <v/>
      </c>
      <c r="W56" s="75" t="n">
        <v>60</v>
      </c>
      <c r="X56" s="9" t="n">
        <v>0</v>
      </c>
      <c r="Y56" s="9" t="n">
        <v>0</v>
      </c>
      <c r="Z56" s="9" t="n">
        <v>0</v>
      </c>
      <c r="AB56" s="2">
        <f>ROUNDDOWN(LOG((X56+1),2),0)</f>
        <v/>
      </c>
      <c r="AC56" s="2">
        <f>ROUNDDOWN(LOG((Y56+1),2),0)</f>
        <v/>
      </c>
      <c r="AD56" s="2">
        <f>ROUNDDOWN(LOG((Z56+1),2),0)</f>
        <v/>
      </c>
      <c r="AG56" s="75" t="n">
        <v>60</v>
      </c>
      <c r="AH56" s="9" t="n">
        <v>0</v>
      </c>
      <c r="AI56" s="9" t="n">
        <v>0</v>
      </c>
      <c r="AJ56" s="9" t="n">
        <v>0</v>
      </c>
      <c r="AQ56" s="75" t="n">
        <v>60</v>
      </c>
      <c r="AR56" s="75" t="n">
        <v>62.542</v>
      </c>
      <c r="AS56" s="75" t="n">
        <v>26.582</v>
      </c>
      <c r="AT56" s="75" t="n">
        <v>46.146</v>
      </c>
      <c r="AV56" s="75" t="n">
        <v>60</v>
      </c>
      <c r="AW56" s="75">
        <f>Beginning_stock!AT84</f>
        <v/>
      </c>
      <c r="AX56" s="75">
        <f>Beginning_stock!AU84</f>
        <v/>
      </c>
      <c r="AY56" s="75">
        <f>Beginning_stock!AV84</f>
        <v/>
      </c>
      <c r="BA56" s="75" t="n">
        <v>60</v>
      </c>
      <c r="BB56" s="75">
        <f>IF(Demand!AU73=Retailers_Cap!N56,"ret=0",(AW56/(Demand!AU73-Retailers_Cap!N56)))</f>
        <v/>
      </c>
      <c r="BC56" s="75">
        <f>IF(Demand!AV73=Retailers_Cap!O56,"ret=0",(AX56/(Demand!AV73-Retailers_Cap!O56)))</f>
        <v/>
      </c>
      <c r="BD56" s="75">
        <f>IF(Demand!AW73=Retailers_Cap!P56,"ret=0",(AY56/(Demand!AW73-Retailers_Cap!P56)))</f>
        <v/>
      </c>
      <c r="BF56" s="75" t="n">
        <v>60</v>
      </c>
      <c r="BG56" s="2">
        <f>IF(Demand!AU73&lt;=Retailers_Cap!N56,"ret=0",(IF(BB56&lt;=AR56+Distributors_Cap!$P$47,1,0)))</f>
        <v/>
      </c>
      <c r="BH56" s="2">
        <f>IF(Demand!AV73&lt;=Retailers_Cap!O56,"ret=0",(IF(BC56&lt;=AS56+Distributors_Cap!$P$47,1,0)))</f>
        <v/>
      </c>
      <c r="BI56" s="2">
        <f>IF(Demand!AW73&lt;=Retailers_Cap!P56,"ret=0",(IF(BD56&lt;=AT56+Distributors_Cap!$P$47,1,0)))</f>
        <v/>
      </c>
      <c r="BK56" s="75" t="n">
        <v>60</v>
      </c>
      <c r="BL56" s="75">
        <f>Retailers!BH55</f>
        <v/>
      </c>
      <c r="BM56" s="75">
        <f>Retailers!BI55</f>
        <v/>
      </c>
      <c r="BN56" s="75">
        <f>Retailers!BJ55</f>
        <v/>
      </c>
      <c r="BP56" s="75" t="n">
        <v>60</v>
      </c>
      <c r="BQ56" s="75">
        <f>#REF!</f>
        <v/>
      </c>
      <c r="BR56" s="75">
        <f>#REF!</f>
        <v/>
      </c>
      <c r="BS56" s="75">
        <f>#REF!</f>
        <v/>
      </c>
      <c r="BU56" s="75" t="n">
        <v>60</v>
      </c>
      <c r="BV56" s="75">
        <f>Retailers!AS55</f>
        <v/>
      </c>
      <c r="BW56" s="75">
        <f>Retailers!AT55</f>
        <v/>
      </c>
      <c r="BX56" s="75">
        <f>Retailers!AU55</f>
        <v/>
      </c>
      <c r="BZ56" s="75" t="n">
        <v>60</v>
      </c>
      <c r="CA56" s="75">
        <f>Results!#REF!</f>
        <v/>
      </c>
      <c r="CB56" s="75">
        <f>Results!#REF!</f>
        <v/>
      </c>
      <c r="CC56" s="75">
        <f>Results!#REF!</f>
        <v/>
      </c>
      <c r="CE56" s="75" t="n">
        <v>60</v>
      </c>
      <c r="CF56" s="75">
        <f>Retailers!BN55</f>
        <v/>
      </c>
      <c r="CG56" s="75">
        <f>Retailers!BO55</f>
        <v/>
      </c>
      <c r="CH56" s="75">
        <f>Retailers!BP55</f>
        <v/>
      </c>
      <c r="CJ56" s="75" t="n">
        <v>60</v>
      </c>
      <c r="CK56" s="75">
        <f>IF(BB56="ret=0",0,IF(BB56&gt;0,AR56+Distributors_Cap!$P$47-BB56,0))</f>
        <v/>
      </c>
      <c r="CL56" s="75">
        <f>IF(BC56="ret=0",0,IF(BC56&gt;0,AS56+Distributors_Cap!$P$47-BC56,0))</f>
        <v/>
      </c>
      <c r="CM56" s="75">
        <f>IF(BD56="ret=0",0,IF(BD56&gt;0,AT56+Distributors_Cap!$P$47-BD56,0))</f>
        <v/>
      </c>
    </row>
    <row r="57">
      <c r="G57" s="75" t="n">
        <v>61</v>
      </c>
      <c r="H57" s="75" t="n">
        <v>74.661</v>
      </c>
      <c r="I57" s="75" t="n">
        <v>87.357</v>
      </c>
      <c r="J57" s="75" t="n">
        <v>59.856</v>
      </c>
      <c r="L57" s="75">
        <f>TRUNC((_xlfn.NORM.INV((RAND()),$K$7,$K$8)),0)</f>
        <v/>
      </c>
      <c r="M57" s="75" t="n">
        <v>61</v>
      </c>
      <c r="N57" s="5" t="n">
        <v>29</v>
      </c>
      <c r="O57" s="5" t="n">
        <v>23</v>
      </c>
      <c r="P57" s="5" t="n">
        <v>21</v>
      </c>
      <c r="R57" s="2">
        <f>IF(N57&gt;Demand!AU74,0,(IF(((2*(Retailers!AJ56+Distributors_Cap!$P$47)-Retailers_Cap!$BB$7)*(Demand!AU74-Retailers_Cap!N57))&lt;0,0,((IF(BB57&gt;2*(Retailers!AJ56+Distributors_Cap!$P$47),0,(IF(BG57=0,ROUNDUP((2*(Retailers!AJ56+Distributors_Cap!$P$47)-BB57)^0.5,0),ROUNDUP((2*(Retailers!AJ56+Distributors_Cap!$P$47)-BB57)^0.5,0)))))))))</f>
        <v/>
      </c>
      <c r="S57" s="2">
        <f>IF(O57&gt;Demand!AV74,0,(IF(((2*(Retailers!AK56+Distributors_Cap!$P$47)-Retailers_Cap!$BB$7)*(Demand!AV74-Retailers_Cap!O57))&lt;0,0,((IF(BC57&gt;2*(Retailers!AK56+Distributors_Cap!$P$47),0,(IF(BH57=0,ROUNDUP((2*(Retailers!AK56+Distributors_Cap!$P$47)-BC57)^0.5,0),ROUNDUP((2*(Retailers!AK56+Distributors_Cap!$P$47)-BC57)^0.5,0)))))))))</f>
        <v/>
      </c>
      <c r="T57" s="2">
        <f>IF(P57&gt;Demand!AW74,0,(IF(((2*(Retailers!AL56+Distributors_Cap!$P$47)-Retailers_Cap!$BB$7)*(Demand!AW74-Retailers_Cap!P57))&lt;0,0,((IF(BD57&gt;2*(Retailers!AL56+Distributors_Cap!$P$47),0,(IF(BI57=0,ROUNDUP((2*(Retailers!AL56+Distributors_Cap!$P$47)-BD57)^0.5,0),ROUNDUP((2*(Retailers!AL56+Distributors_Cap!$P$47)-BD57)^0.5,0)))))))))</f>
        <v/>
      </c>
      <c r="W57" s="75" t="n">
        <v>61</v>
      </c>
      <c r="X57" s="9" t="n">
        <v>11</v>
      </c>
      <c r="Y57" s="9" t="n">
        <v>13</v>
      </c>
      <c r="Z57" s="9" t="n">
        <v>13</v>
      </c>
      <c r="AB57" s="2">
        <f>ROUNDDOWN(LOG((X57+1),2),0)</f>
        <v/>
      </c>
      <c r="AC57" s="2">
        <f>ROUNDDOWN(LOG((Y57+1),2),0)</f>
        <v/>
      </c>
      <c r="AD57" s="2">
        <f>ROUNDDOWN(LOG((Z57+1),2),0)</f>
        <v/>
      </c>
      <c r="AG57" s="75" t="n">
        <v>61</v>
      </c>
      <c r="AH57" s="9" t="n">
        <v>3</v>
      </c>
      <c r="AI57" s="9" t="n">
        <v>3</v>
      </c>
      <c r="AJ57" s="9" t="n">
        <v>3</v>
      </c>
      <c r="AQ57" s="75" t="n">
        <v>61</v>
      </c>
      <c r="AR57" s="75" t="n">
        <v>74.661</v>
      </c>
      <c r="AS57" s="75" t="n">
        <v>87.357</v>
      </c>
      <c r="AT57" s="75" t="n">
        <v>59.856</v>
      </c>
      <c r="AV57" s="75" t="n">
        <v>61</v>
      </c>
      <c r="AW57" s="75">
        <f>Beginning_stock!AT85</f>
        <v/>
      </c>
      <c r="AX57" s="75">
        <f>Beginning_stock!AU85</f>
        <v/>
      </c>
      <c r="AY57" s="75">
        <f>Beginning_stock!AV85</f>
        <v/>
      </c>
      <c r="BA57" s="75" t="n">
        <v>61</v>
      </c>
      <c r="BB57" s="75">
        <f>IF(Demand!AU74=Retailers_Cap!N57,"ret=0",(AW57/(Demand!AU74-Retailers_Cap!N57)))</f>
        <v/>
      </c>
      <c r="BC57" s="75">
        <f>IF(Demand!AV74=Retailers_Cap!O57,"ret=0",(AX57/(Demand!AV74-Retailers_Cap!O57)))</f>
        <v/>
      </c>
      <c r="BD57" s="75">
        <f>IF(Demand!AW74=Retailers_Cap!P57,"ret=0",(AY57/(Demand!AW74-Retailers_Cap!P57)))</f>
        <v/>
      </c>
      <c r="BF57" s="75" t="n">
        <v>61</v>
      </c>
      <c r="BG57" s="2">
        <f>IF(Demand!AU74&lt;=Retailers_Cap!N57,"ret=0",(IF(BB57&lt;=AR57+Distributors_Cap!$P$47,1,0)))</f>
        <v/>
      </c>
      <c r="BH57" s="2">
        <f>IF(Demand!AV74&lt;=Retailers_Cap!O57,"ret=0",(IF(BC57&lt;=AS57+Distributors_Cap!$P$47,1,0)))</f>
        <v/>
      </c>
      <c r="BI57" s="2">
        <f>IF(Demand!AW74&lt;=Retailers_Cap!P57,"ret=0",(IF(BD57&lt;=AT57+Distributors_Cap!$P$47,1,0)))</f>
        <v/>
      </c>
      <c r="BK57" s="75" t="n">
        <v>61</v>
      </c>
      <c r="BL57" s="75">
        <f>Retailers!BH56</f>
        <v/>
      </c>
      <c r="BM57" s="75">
        <f>Retailers!BI56</f>
        <v/>
      </c>
      <c r="BN57" s="75">
        <f>Retailers!BJ56</f>
        <v/>
      </c>
      <c r="BP57" s="75" t="n">
        <v>61</v>
      </c>
      <c r="BQ57" s="75">
        <f>#REF!</f>
        <v/>
      </c>
      <c r="BR57" s="75">
        <f>#REF!</f>
        <v/>
      </c>
      <c r="BS57" s="75">
        <f>#REF!</f>
        <v/>
      </c>
      <c r="BU57" s="75" t="n">
        <v>61</v>
      </c>
      <c r="BV57" s="75">
        <f>Retailers!AS56</f>
        <v/>
      </c>
      <c r="BW57" s="75">
        <f>Retailers!AT56</f>
        <v/>
      </c>
      <c r="BX57" s="75">
        <f>Retailers!AU56</f>
        <v/>
      </c>
      <c r="BZ57" s="75" t="n">
        <v>61</v>
      </c>
      <c r="CA57" s="75">
        <f>Results!#REF!</f>
        <v/>
      </c>
      <c r="CB57" s="75">
        <f>Results!#REF!</f>
        <v/>
      </c>
      <c r="CC57" s="75">
        <f>Results!#REF!</f>
        <v/>
      </c>
      <c r="CE57" s="75" t="n">
        <v>61</v>
      </c>
      <c r="CF57" s="75">
        <f>Retailers!BN56</f>
        <v/>
      </c>
      <c r="CG57" s="75">
        <f>Retailers!BO56</f>
        <v/>
      </c>
      <c r="CH57" s="75">
        <f>Retailers!BP56</f>
        <v/>
      </c>
      <c r="CJ57" s="75" t="n">
        <v>61</v>
      </c>
      <c r="CK57" s="75">
        <f>IF(BB57="ret=0",0,IF(BB57&gt;0,AR57+Distributors_Cap!$P$47-BB57,0))</f>
        <v/>
      </c>
      <c r="CL57" s="75">
        <f>IF(BC57="ret=0",0,IF(BC57&gt;0,AS57+Distributors_Cap!$P$47-BC57,0))</f>
        <v/>
      </c>
      <c r="CM57" s="75">
        <f>IF(BD57="ret=0",0,IF(BD57&gt;0,AT57+Distributors_Cap!$P$47-BD57,0))</f>
        <v/>
      </c>
    </row>
    <row r="58">
      <c r="G58" s="75" t="n">
        <v>62</v>
      </c>
      <c r="H58" s="75" t="n">
        <v>65.672</v>
      </c>
      <c r="I58" s="75" t="n">
        <v>61.337</v>
      </c>
      <c r="J58" s="75" t="n">
        <v>64.488</v>
      </c>
      <c r="L58" s="75">
        <f>TRUNC((_xlfn.NORM.INV((RAND()),$K$7,$K$8)),0)</f>
        <v/>
      </c>
      <c r="M58" s="75" t="n">
        <v>62</v>
      </c>
      <c r="N58" s="5" t="n">
        <v>30</v>
      </c>
      <c r="O58" s="5" t="n">
        <v>35</v>
      </c>
      <c r="P58" s="5" t="n">
        <v>34</v>
      </c>
      <c r="R58" s="2">
        <f>IF(N58&gt;Demand!AU75,0,(IF(((2*(Retailers!AJ57+Distributors_Cap!$P$47)-Retailers_Cap!$BB$7)*(Demand!AU75-Retailers_Cap!N58))&lt;0,0,((IF(BB58&gt;2*(Retailers!AJ57+Distributors_Cap!$P$47),0,(IF(BG58=0,ROUNDUP((2*(Retailers!AJ57+Distributors_Cap!$P$47)-BB58)^0.5,0),ROUNDUP((2*(Retailers!AJ57+Distributors_Cap!$P$47)-BB58)^0.5,0)))))))))</f>
        <v/>
      </c>
      <c r="S58" s="2">
        <f>IF(O58&gt;Demand!AV75,0,(IF(((2*(Retailers!AK57+Distributors_Cap!$P$47)-Retailers_Cap!$BB$7)*(Demand!AV75-Retailers_Cap!O58))&lt;0,0,((IF(BC58&gt;2*(Retailers!AK57+Distributors_Cap!$P$47),0,(IF(BH58=0,ROUNDUP((2*(Retailers!AK57+Distributors_Cap!$P$47)-BC58)^0.5,0),ROUNDUP((2*(Retailers!AK57+Distributors_Cap!$P$47)-BC58)^0.5,0)))))))))</f>
        <v/>
      </c>
      <c r="T58" s="2">
        <f>IF(P58&gt;Demand!AW75,0,(IF(((2*(Retailers!AL57+Distributors_Cap!$P$47)-Retailers_Cap!$BB$7)*(Demand!AW75-Retailers_Cap!P58))&lt;0,0,((IF(BD58&gt;2*(Retailers!AL57+Distributors_Cap!$P$47),0,(IF(BI58=0,ROUNDUP((2*(Retailers!AL57+Distributors_Cap!$P$47)-BD58)^0.5,0),ROUNDUP((2*(Retailers!AL57+Distributors_Cap!$P$47)-BD58)^0.5,0)))))))))</f>
        <v/>
      </c>
      <c r="W58" s="75" t="n">
        <v>62</v>
      </c>
      <c r="X58" s="9" t="n">
        <v>0</v>
      </c>
      <c r="Y58" s="9" t="n">
        <v>0</v>
      </c>
      <c r="Z58" s="9" t="n">
        <v>0</v>
      </c>
      <c r="AB58" s="2">
        <f>ROUNDDOWN(LOG((X58+1),2),0)</f>
        <v/>
      </c>
      <c r="AC58" s="2">
        <f>ROUNDDOWN(LOG((Y58+1),2),0)</f>
        <v/>
      </c>
      <c r="AD58" s="2">
        <f>ROUNDDOWN(LOG((Z58+1),2),0)</f>
        <v/>
      </c>
      <c r="AG58" s="75" t="n">
        <v>62</v>
      </c>
      <c r="AH58" s="9" t="n">
        <v>0</v>
      </c>
      <c r="AI58" s="9" t="n">
        <v>0</v>
      </c>
      <c r="AJ58" s="9" t="n">
        <v>0</v>
      </c>
      <c r="AQ58" s="75" t="n">
        <v>62</v>
      </c>
      <c r="AR58" s="75" t="n">
        <v>65.672</v>
      </c>
      <c r="AS58" s="75" t="n">
        <v>61.337</v>
      </c>
      <c r="AT58" s="75" t="n">
        <v>64.488</v>
      </c>
      <c r="AV58" s="75" t="n">
        <v>62</v>
      </c>
      <c r="AW58" s="75">
        <f>Beginning_stock!AT86</f>
        <v/>
      </c>
      <c r="AX58" s="75">
        <f>Beginning_stock!AU86</f>
        <v/>
      </c>
      <c r="AY58" s="75">
        <f>Beginning_stock!AV86</f>
        <v/>
      </c>
      <c r="BA58" s="75" t="n">
        <v>62</v>
      </c>
      <c r="BB58" s="75">
        <f>IF(Demand!AU75=Retailers_Cap!N58,"ret=0",(AW58/(Demand!AU75-Retailers_Cap!N58)))</f>
        <v/>
      </c>
      <c r="BC58" s="75">
        <f>IF(Demand!AV75=Retailers_Cap!O58,"ret=0",(AX58/(Demand!AV75-Retailers_Cap!O58)))</f>
        <v/>
      </c>
      <c r="BD58" s="75">
        <f>IF(Demand!AW75=Retailers_Cap!P58,"ret=0",(AY58/(Demand!AW75-Retailers_Cap!P58)))</f>
        <v/>
      </c>
      <c r="BF58" s="75" t="n">
        <v>62</v>
      </c>
      <c r="BG58" s="2">
        <f>IF(Demand!AU75&lt;=Retailers_Cap!N58,"ret=0",(IF(BB58&lt;=AR58+Distributors_Cap!$P$47,1,0)))</f>
        <v/>
      </c>
      <c r="BH58" s="2">
        <f>IF(Demand!AV75&lt;=Retailers_Cap!O58,"ret=0",(IF(BC58&lt;=AS58+Distributors_Cap!$P$47,1,0)))</f>
        <v/>
      </c>
      <c r="BI58" s="2">
        <f>IF(Demand!AW75&lt;=Retailers_Cap!P58,"ret=0",(IF(BD58&lt;=AT58+Distributors_Cap!$P$47,1,0)))</f>
        <v/>
      </c>
      <c r="BK58" s="75" t="n">
        <v>62</v>
      </c>
      <c r="BL58" s="75">
        <f>Retailers!BH57</f>
        <v/>
      </c>
      <c r="BM58" s="75">
        <f>Retailers!BI57</f>
        <v/>
      </c>
      <c r="BN58" s="75">
        <f>Retailers!BJ57</f>
        <v/>
      </c>
      <c r="BP58" s="75" t="n">
        <v>62</v>
      </c>
      <c r="BQ58" s="75">
        <f>#REF!</f>
        <v/>
      </c>
      <c r="BR58" s="75">
        <f>#REF!</f>
        <v/>
      </c>
      <c r="BS58" s="75">
        <f>#REF!</f>
        <v/>
      </c>
      <c r="BU58" s="75" t="n">
        <v>62</v>
      </c>
      <c r="BV58" s="75">
        <f>Retailers!AS57</f>
        <v/>
      </c>
      <c r="BW58" s="75">
        <f>Retailers!AT57</f>
        <v/>
      </c>
      <c r="BX58" s="75">
        <f>Retailers!AU57</f>
        <v/>
      </c>
      <c r="BZ58" s="75" t="n">
        <v>62</v>
      </c>
      <c r="CA58" s="75">
        <f>Results!#REF!</f>
        <v/>
      </c>
      <c r="CB58" s="75">
        <f>Results!#REF!</f>
        <v/>
      </c>
      <c r="CC58" s="75">
        <f>Results!#REF!</f>
        <v/>
      </c>
      <c r="CE58" s="75" t="n">
        <v>62</v>
      </c>
      <c r="CF58" s="75">
        <f>Retailers!BN57</f>
        <v/>
      </c>
      <c r="CG58" s="75">
        <f>Retailers!BO57</f>
        <v/>
      </c>
      <c r="CH58" s="75">
        <f>Retailers!BP57</f>
        <v/>
      </c>
      <c r="CJ58" s="75" t="n">
        <v>62</v>
      </c>
      <c r="CK58" s="75">
        <f>IF(BB58="ret=0",0,IF(BB58&gt;0,AR58+Distributors_Cap!$P$47-BB58,0))</f>
        <v/>
      </c>
      <c r="CL58" s="75">
        <f>IF(BC58="ret=0",0,IF(BC58&gt;0,AS58+Distributors_Cap!$P$47-BC58,0))</f>
        <v/>
      </c>
      <c r="CM58" s="75">
        <f>IF(BD58="ret=0",0,IF(BD58&gt;0,AT58+Distributors_Cap!$P$47-BD58,0))</f>
        <v/>
      </c>
    </row>
    <row r="59">
      <c r="G59" s="75" t="n">
        <v>63</v>
      </c>
      <c r="H59" s="75" t="n">
        <v>62.047</v>
      </c>
      <c r="I59" s="75" t="n">
        <v>83.80800000000001</v>
      </c>
      <c r="J59" s="75" t="n">
        <v>61.121</v>
      </c>
      <c r="L59" s="75">
        <f>TRUNC((_xlfn.NORM.INV((RAND()),$K$7,$K$8)),0)</f>
        <v/>
      </c>
      <c r="M59" s="75" t="n">
        <v>63</v>
      </c>
      <c r="N59" s="5" t="n">
        <v>27</v>
      </c>
      <c r="O59" s="5" t="n">
        <v>34</v>
      </c>
      <c r="P59" s="5" t="n">
        <v>39</v>
      </c>
      <c r="R59" s="2">
        <f>IF(N59&gt;Demand!AU76,0,(IF(((2*(Retailers!AJ58+Distributors_Cap!$P$47)-Retailers_Cap!$BB$7)*(Demand!AU76-Retailers_Cap!N59))&lt;0,0,((IF(BB59&gt;2*(Retailers!AJ58+Distributors_Cap!$P$47),0,(IF(BG59=0,ROUNDUP((2*(Retailers!AJ58+Distributors_Cap!$P$47)-BB59)^0.5,0),ROUNDUP((2*(Retailers!AJ58+Distributors_Cap!$P$47)-BB59)^0.5,0)))))))))</f>
        <v/>
      </c>
      <c r="S59" s="2">
        <f>IF(O59&gt;Demand!AV76,0,(IF(((2*(Retailers!AK58+Distributors_Cap!$P$47)-Retailers_Cap!$BB$7)*(Demand!AV76-Retailers_Cap!O59))&lt;0,0,((IF(BC59&gt;2*(Retailers!AK58+Distributors_Cap!$P$47),0,(IF(BH59=0,ROUNDUP((2*(Retailers!AK58+Distributors_Cap!$P$47)-BC59)^0.5,0),ROUNDUP((2*(Retailers!AK58+Distributors_Cap!$P$47)-BC59)^0.5,0)))))))))</f>
        <v/>
      </c>
      <c r="T59" s="2">
        <f>IF(P59&gt;Demand!AW76,0,(IF(((2*(Retailers!AL58+Distributors_Cap!$P$47)-Retailers_Cap!$BB$7)*(Demand!AW76-Retailers_Cap!P59))&lt;0,0,((IF(BD59&gt;2*(Retailers!AL58+Distributors_Cap!$P$47),0,(IF(BI59=0,ROUNDUP((2*(Retailers!AL58+Distributors_Cap!$P$47)-BD59)^0.5,0),ROUNDUP((2*(Retailers!AL58+Distributors_Cap!$P$47)-BD59)^0.5,0)))))))))</f>
        <v/>
      </c>
      <c r="W59" s="75" t="n">
        <v>63</v>
      </c>
      <c r="X59" s="9" t="n">
        <v>0</v>
      </c>
      <c r="Y59" s="9" t="n">
        <v>0</v>
      </c>
      <c r="Z59" s="9" t="n">
        <v>0</v>
      </c>
      <c r="AB59" s="2">
        <f>ROUNDDOWN(LOG((X59+1),2),0)</f>
        <v/>
      </c>
      <c r="AC59" s="2">
        <f>ROUNDDOWN(LOG((Y59+1),2),0)</f>
        <v/>
      </c>
      <c r="AD59" s="2">
        <f>ROUNDDOWN(LOG((Z59+1),2),0)</f>
        <v/>
      </c>
      <c r="AG59" s="75" t="n">
        <v>63</v>
      </c>
      <c r="AH59" s="9" t="n">
        <v>0</v>
      </c>
      <c r="AI59" s="9" t="n">
        <v>0</v>
      </c>
      <c r="AJ59" s="9" t="n">
        <v>0</v>
      </c>
      <c r="AQ59" s="75" t="n">
        <v>63</v>
      </c>
      <c r="AR59" s="75" t="n">
        <v>62.047</v>
      </c>
      <c r="AS59" s="75" t="n">
        <v>83.80800000000001</v>
      </c>
      <c r="AT59" s="75" t="n">
        <v>61.121</v>
      </c>
      <c r="AV59" s="75" t="n">
        <v>63</v>
      </c>
      <c r="AW59" s="75">
        <f>Beginning_stock!AT87</f>
        <v/>
      </c>
      <c r="AX59" s="75">
        <f>Beginning_stock!AU87</f>
        <v/>
      </c>
      <c r="AY59" s="75">
        <f>Beginning_stock!AV87</f>
        <v/>
      </c>
      <c r="BA59" s="75" t="n">
        <v>63</v>
      </c>
      <c r="BB59" s="75">
        <f>IF(Demand!AU76=Retailers_Cap!N59,"ret=0",(AW59/(Demand!AU76-Retailers_Cap!N59)))</f>
        <v/>
      </c>
      <c r="BC59" s="75">
        <f>IF(Demand!AV76=Retailers_Cap!O59,"ret=0",(AX59/(Demand!AV76-Retailers_Cap!O59)))</f>
        <v/>
      </c>
      <c r="BD59" s="75">
        <f>IF(Demand!AW76=Retailers_Cap!P59,"ret=0",(AY59/(Demand!AW76-Retailers_Cap!P59)))</f>
        <v/>
      </c>
      <c r="BF59" s="75" t="n">
        <v>63</v>
      </c>
      <c r="BG59" s="2">
        <f>IF(Demand!AU76&lt;=Retailers_Cap!N59,"ret=0",(IF(BB59&lt;=AR59+Distributors_Cap!$P$47,1,0)))</f>
        <v/>
      </c>
      <c r="BH59" s="2">
        <f>IF(Demand!AV76&lt;=Retailers_Cap!O59,"ret=0",(IF(BC59&lt;=AS59+Distributors_Cap!$P$47,1,0)))</f>
        <v/>
      </c>
      <c r="BI59" s="2">
        <f>IF(Demand!AW76&lt;=Retailers_Cap!P59,"ret=0",(IF(BD59&lt;=AT59+Distributors_Cap!$P$47,1,0)))</f>
        <v/>
      </c>
      <c r="BK59" s="75" t="n">
        <v>63</v>
      </c>
      <c r="BL59" s="75">
        <f>Retailers!BH58</f>
        <v/>
      </c>
      <c r="BM59" s="75">
        <f>Retailers!BI58</f>
        <v/>
      </c>
      <c r="BN59" s="75">
        <f>Retailers!BJ58</f>
        <v/>
      </c>
      <c r="BP59" s="75" t="n">
        <v>63</v>
      </c>
      <c r="BQ59" s="75">
        <f>#REF!</f>
        <v/>
      </c>
      <c r="BR59" s="75">
        <f>#REF!</f>
        <v/>
      </c>
      <c r="BS59" s="75">
        <f>#REF!</f>
        <v/>
      </c>
      <c r="BU59" s="75" t="n">
        <v>63</v>
      </c>
      <c r="BV59" s="75">
        <f>Retailers!AS58</f>
        <v/>
      </c>
      <c r="BW59" s="75">
        <f>Retailers!AT58</f>
        <v/>
      </c>
      <c r="BX59" s="75">
        <f>Retailers!AU58</f>
        <v/>
      </c>
      <c r="BZ59" s="75" t="n">
        <v>63</v>
      </c>
      <c r="CA59" s="75">
        <f>Results!#REF!</f>
        <v/>
      </c>
      <c r="CB59" s="75">
        <f>Results!#REF!</f>
        <v/>
      </c>
      <c r="CC59" s="75">
        <f>Results!#REF!</f>
        <v/>
      </c>
      <c r="CE59" s="75" t="n">
        <v>63</v>
      </c>
      <c r="CF59" s="75">
        <f>Retailers!BN58</f>
        <v/>
      </c>
      <c r="CG59" s="75">
        <f>Retailers!BO58</f>
        <v/>
      </c>
      <c r="CH59" s="75">
        <f>Retailers!BP58</f>
        <v/>
      </c>
      <c r="CJ59" s="75" t="n">
        <v>63</v>
      </c>
      <c r="CK59" s="75">
        <f>IF(BB59="ret=0",0,IF(BB59&gt;0,AR59+Distributors_Cap!$P$47-BB59,0))</f>
        <v/>
      </c>
      <c r="CL59" s="75">
        <f>IF(BC59="ret=0",0,IF(BC59&gt;0,AS59+Distributors_Cap!$P$47-BC59,0))</f>
        <v/>
      </c>
      <c r="CM59" s="75">
        <f>IF(BD59="ret=0",0,IF(BD59&gt;0,AT59+Distributors_Cap!$P$47-BD59,0))</f>
        <v/>
      </c>
    </row>
    <row r="60">
      <c r="G60" s="75" t="n">
        <v>64</v>
      </c>
      <c r="H60" s="75" t="n">
        <v>68.32899999999999</v>
      </c>
      <c r="I60" s="75" t="n">
        <v>45.112</v>
      </c>
      <c r="J60" s="75" t="n">
        <v>50.708</v>
      </c>
      <c r="L60" s="75">
        <f>TRUNC((_xlfn.NORM.INV((RAND()),$K$7,$K$8)),0)</f>
        <v/>
      </c>
      <c r="M60" s="75" t="n">
        <v>64</v>
      </c>
      <c r="N60" s="5" t="n">
        <v>22</v>
      </c>
      <c r="O60" s="5" t="n">
        <v>24</v>
      </c>
      <c r="P60" s="5" t="n">
        <v>35</v>
      </c>
      <c r="R60" s="2">
        <f>IF(N60&gt;Demand!AU77,0,(IF(((2*(Retailers!AJ59+Distributors_Cap!$P$47)-Retailers_Cap!$BB$7)*(Demand!AU77-Retailers_Cap!N60))&lt;0,0,((IF(BB60&gt;2*(Retailers!AJ59+Distributors_Cap!$P$47),0,(IF(BG60=0,ROUNDUP((2*(Retailers!AJ59+Distributors_Cap!$P$47)-BB60)^0.5,0),ROUNDUP((2*(Retailers!AJ59+Distributors_Cap!$P$47)-BB60)^0.5,0)))))))))</f>
        <v/>
      </c>
      <c r="S60" s="2">
        <f>IF(O60&gt;Demand!AV77,0,(IF(((2*(Retailers!AK59+Distributors_Cap!$P$47)-Retailers_Cap!$BB$7)*(Demand!AV77-Retailers_Cap!O60))&lt;0,0,((IF(BC60&gt;2*(Retailers!AK59+Distributors_Cap!$P$47),0,(IF(BH60=0,ROUNDUP((2*(Retailers!AK59+Distributors_Cap!$P$47)-BC60)^0.5,0),ROUNDUP((2*(Retailers!AK59+Distributors_Cap!$P$47)-BC60)^0.5,0)))))))))</f>
        <v/>
      </c>
      <c r="T60" s="2">
        <f>IF(P60&gt;Demand!AW77,0,(IF(((2*(Retailers!AL59+Distributors_Cap!$P$47)-Retailers_Cap!$BB$7)*(Demand!AW77-Retailers_Cap!P60))&lt;0,0,((IF(BD60&gt;2*(Retailers!AL59+Distributors_Cap!$P$47),0,(IF(BI60=0,ROUNDUP((2*(Retailers!AL59+Distributors_Cap!$P$47)-BD60)^0.5,0),ROUNDUP((2*(Retailers!AL59+Distributors_Cap!$P$47)-BD60)^0.5,0)))))))))</f>
        <v/>
      </c>
      <c r="W60" s="75" t="n">
        <v>64</v>
      </c>
      <c r="X60" s="9" t="n">
        <v>0</v>
      </c>
      <c r="Y60" s="9" t="n">
        <v>12</v>
      </c>
      <c r="Z60" s="9" t="n">
        <v>0</v>
      </c>
      <c r="AB60" s="2">
        <f>ROUNDDOWN(LOG((X60+1),2),0)</f>
        <v/>
      </c>
      <c r="AC60" s="2">
        <f>ROUNDDOWN(LOG((Y60+1),2),0)</f>
        <v/>
      </c>
      <c r="AD60" s="2">
        <f>ROUNDDOWN(LOG((Z60+1),2),0)</f>
        <v/>
      </c>
      <c r="AG60" s="75" t="n">
        <v>64</v>
      </c>
      <c r="AH60" s="9" t="n">
        <v>0</v>
      </c>
      <c r="AI60" s="9" t="n">
        <v>3</v>
      </c>
      <c r="AJ60" s="9" t="n">
        <v>0</v>
      </c>
      <c r="AQ60" s="75" t="n">
        <v>64</v>
      </c>
      <c r="AR60" s="75" t="n">
        <v>68.32899999999999</v>
      </c>
      <c r="AS60" s="75" t="n">
        <v>45.112</v>
      </c>
      <c r="AT60" s="75" t="n">
        <v>50.708</v>
      </c>
      <c r="AV60" s="75" t="n">
        <v>64</v>
      </c>
      <c r="AW60" s="75">
        <f>Beginning_stock!AT88</f>
        <v/>
      </c>
      <c r="AX60" s="75">
        <f>Beginning_stock!AU88</f>
        <v/>
      </c>
      <c r="AY60" s="75">
        <f>Beginning_stock!AV88</f>
        <v/>
      </c>
      <c r="BA60" s="75" t="n">
        <v>64</v>
      </c>
      <c r="BB60" s="75">
        <f>IF(Demand!AU77=Retailers_Cap!N60,"ret=0",(AW60/(Demand!AU77-Retailers_Cap!N60)))</f>
        <v/>
      </c>
      <c r="BC60" s="75">
        <f>IF(Demand!AV77=Retailers_Cap!O60,"ret=0",(AX60/(Demand!AV77-Retailers_Cap!O60)))</f>
        <v/>
      </c>
      <c r="BD60" s="75">
        <f>IF(Demand!AW77=Retailers_Cap!P60,"ret=0",(AY60/(Demand!AW77-Retailers_Cap!P60)))</f>
        <v/>
      </c>
      <c r="BF60" s="75" t="n">
        <v>64</v>
      </c>
      <c r="BG60" s="2">
        <f>IF(Demand!AU77&lt;=Retailers_Cap!N60,"ret=0",(IF(BB60&lt;=AR60+Distributors_Cap!$P$47,1,0)))</f>
        <v/>
      </c>
      <c r="BH60" s="2">
        <f>IF(Demand!AV77&lt;=Retailers_Cap!O60,"ret=0",(IF(BC60&lt;=AS60+Distributors_Cap!$P$47,1,0)))</f>
        <v/>
      </c>
      <c r="BI60" s="2">
        <f>IF(Demand!AW77&lt;=Retailers_Cap!P60,"ret=0",(IF(BD60&lt;=AT60+Distributors_Cap!$P$47,1,0)))</f>
        <v/>
      </c>
      <c r="BK60" s="75" t="n">
        <v>64</v>
      </c>
      <c r="BL60" s="75">
        <f>Retailers!BH59</f>
        <v/>
      </c>
      <c r="BM60" s="75">
        <f>Retailers!BI59</f>
        <v/>
      </c>
      <c r="BN60" s="75">
        <f>Retailers!BJ59</f>
        <v/>
      </c>
      <c r="BP60" s="75" t="n">
        <v>64</v>
      </c>
      <c r="BQ60" s="75">
        <f>#REF!</f>
        <v/>
      </c>
      <c r="BR60" s="75">
        <f>#REF!</f>
        <v/>
      </c>
      <c r="BS60" s="75">
        <f>#REF!</f>
        <v/>
      </c>
      <c r="BU60" s="75" t="n">
        <v>64</v>
      </c>
      <c r="BV60" s="75">
        <f>Retailers!AS59</f>
        <v/>
      </c>
      <c r="BW60" s="75">
        <f>Retailers!AT59</f>
        <v/>
      </c>
      <c r="BX60" s="75">
        <f>Retailers!AU59</f>
        <v/>
      </c>
      <c r="BZ60" s="75" t="n">
        <v>64</v>
      </c>
      <c r="CA60" s="75">
        <f>Results!#REF!</f>
        <v/>
      </c>
      <c r="CB60" s="75">
        <f>Results!#REF!</f>
        <v/>
      </c>
      <c r="CC60" s="75">
        <f>Results!#REF!</f>
        <v/>
      </c>
      <c r="CE60" s="75" t="n">
        <v>64</v>
      </c>
      <c r="CF60" s="75">
        <f>Retailers!BN59</f>
        <v/>
      </c>
      <c r="CG60" s="75">
        <f>Retailers!BO59</f>
        <v/>
      </c>
      <c r="CH60" s="75">
        <f>Retailers!BP59</f>
        <v/>
      </c>
      <c r="CJ60" s="75" t="n">
        <v>64</v>
      </c>
      <c r="CK60" s="75">
        <f>IF(BB60="ret=0",0,IF(BB60&gt;0,AR60+Distributors_Cap!$P$47-BB60,0))</f>
        <v/>
      </c>
      <c r="CL60" s="75">
        <f>IF(BC60="ret=0",0,IF(BC60&gt;0,AS60+Distributors_Cap!$P$47-BC60,0))</f>
        <v/>
      </c>
      <c r="CM60" s="75">
        <f>IF(BD60="ret=0",0,IF(BD60&gt;0,AT60+Distributors_Cap!$P$47-BD60,0))</f>
        <v/>
      </c>
    </row>
    <row r="61">
      <c r="G61" s="75" t="n">
        <v>65</v>
      </c>
      <c r="H61" s="75" t="n">
        <v>63.759</v>
      </c>
      <c r="I61" s="75" t="n">
        <v>30.786</v>
      </c>
      <c r="J61" s="75" t="n">
        <v>44.338</v>
      </c>
      <c r="L61" s="75">
        <f>TRUNC((_xlfn.NORM.INV((RAND()),$K$7,$K$8)),0)</f>
        <v/>
      </c>
      <c r="M61" s="75" t="n">
        <v>65</v>
      </c>
      <c r="N61" s="5" t="n">
        <v>32</v>
      </c>
      <c r="O61" s="5" t="n">
        <v>43</v>
      </c>
      <c r="P61" s="5" t="n">
        <v>30</v>
      </c>
      <c r="R61" s="2">
        <f>IF(N61&gt;Demand!AU78,0,(IF(((2*(Retailers!AJ60+Distributors_Cap!$P$47)-Retailers_Cap!$BB$7)*(Demand!AU78-Retailers_Cap!N61))&lt;0,0,((IF(BB61&gt;2*(Retailers!AJ60+Distributors_Cap!$P$47),0,(IF(BG61=0,ROUNDUP((2*(Retailers!AJ60+Distributors_Cap!$P$47)-BB61)^0.5,0),ROUNDUP((2*(Retailers!AJ60+Distributors_Cap!$P$47)-BB61)^0.5,0)))))))))</f>
        <v/>
      </c>
      <c r="S61" s="2">
        <f>IF(O61&gt;Demand!AV78,0,(IF(((2*(Retailers!AK60+Distributors_Cap!$P$47)-Retailers_Cap!$BB$7)*(Demand!AV78-Retailers_Cap!O61))&lt;0,0,((IF(BC61&gt;2*(Retailers!AK60+Distributors_Cap!$P$47),0,(IF(BH61=0,ROUNDUP((2*(Retailers!AK60+Distributors_Cap!$P$47)-BC61)^0.5,0),ROUNDUP((2*(Retailers!AK60+Distributors_Cap!$P$47)-BC61)^0.5,0)))))))))</f>
        <v/>
      </c>
      <c r="T61" s="2">
        <f>IF(P61&gt;Demand!AW78,0,(IF(((2*(Retailers!AL60+Distributors_Cap!$P$47)-Retailers_Cap!$BB$7)*(Demand!AW78-Retailers_Cap!P61))&lt;0,0,((IF(BD61&gt;2*(Retailers!AL60+Distributors_Cap!$P$47),0,(IF(BI61=0,ROUNDUP((2*(Retailers!AL60+Distributors_Cap!$P$47)-BD61)^0.5,0),ROUNDUP((2*(Retailers!AL60+Distributors_Cap!$P$47)-BD61)^0.5,0)))))))))</f>
        <v/>
      </c>
      <c r="W61" s="75" t="n">
        <v>65</v>
      </c>
      <c r="X61" s="9" t="n">
        <v>0</v>
      </c>
      <c r="Y61" s="9" t="n">
        <v>0</v>
      </c>
      <c r="Z61" s="9" t="n">
        <v>0</v>
      </c>
      <c r="AB61" s="2">
        <f>ROUNDDOWN(LOG((X61+1),2),0)</f>
        <v/>
      </c>
      <c r="AC61" s="2">
        <f>ROUNDDOWN(LOG((Y61+1),2),0)</f>
        <v/>
      </c>
      <c r="AD61" s="2">
        <f>ROUNDDOWN(LOG((Z61+1),2),0)</f>
        <v/>
      </c>
      <c r="AG61" s="75" t="n">
        <v>65</v>
      </c>
      <c r="AH61" s="9" t="n">
        <v>0</v>
      </c>
      <c r="AI61" s="9" t="n">
        <v>0</v>
      </c>
      <c r="AJ61" s="9" t="n">
        <v>0</v>
      </c>
      <c r="AQ61" s="75" t="n">
        <v>65</v>
      </c>
      <c r="AR61" s="75" t="n">
        <v>63.759</v>
      </c>
      <c r="AS61" s="75" t="n">
        <v>30.786</v>
      </c>
      <c r="AT61" s="75" t="n">
        <v>44.338</v>
      </c>
      <c r="AV61" s="75" t="n">
        <v>65</v>
      </c>
      <c r="AW61" s="75">
        <f>Beginning_stock!AT89</f>
        <v/>
      </c>
      <c r="AX61" s="75">
        <f>Beginning_stock!AU89</f>
        <v/>
      </c>
      <c r="AY61" s="75">
        <f>Beginning_stock!AV89</f>
        <v/>
      </c>
      <c r="BA61" s="75" t="n">
        <v>65</v>
      </c>
      <c r="BB61" s="75">
        <f>IF(Demand!AU78=Retailers_Cap!N61,"ret=0",(AW61/(Demand!AU78-Retailers_Cap!N61)))</f>
        <v/>
      </c>
      <c r="BC61" s="75">
        <f>IF(Demand!AV78=Retailers_Cap!O61,"ret=0",(AX61/(Demand!AV78-Retailers_Cap!O61)))</f>
        <v/>
      </c>
      <c r="BD61" s="75">
        <f>IF(Demand!AW78=Retailers_Cap!P61,"ret=0",(AY61/(Demand!AW78-Retailers_Cap!P61)))</f>
        <v/>
      </c>
      <c r="BF61" s="75" t="n">
        <v>65</v>
      </c>
      <c r="BG61" s="2">
        <f>IF(Demand!AU78&lt;=Retailers_Cap!N61,"ret=0",(IF(BB61&lt;=AR61+Distributors_Cap!$P$47,1,0)))</f>
        <v/>
      </c>
      <c r="BH61" s="2">
        <f>IF(Demand!AV78&lt;=Retailers_Cap!O61,"ret=0",(IF(BC61&lt;=AS61+Distributors_Cap!$P$47,1,0)))</f>
        <v/>
      </c>
      <c r="BI61" s="2">
        <f>IF(Demand!AW78&lt;=Retailers_Cap!P61,"ret=0",(IF(BD61&lt;=AT61+Distributors_Cap!$P$47,1,0)))</f>
        <v/>
      </c>
      <c r="BK61" s="75" t="n">
        <v>65</v>
      </c>
      <c r="BL61" s="75">
        <f>Retailers!BH60</f>
        <v/>
      </c>
      <c r="BM61" s="75">
        <f>Retailers!BI60</f>
        <v/>
      </c>
      <c r="BN61" s="75">
        <f>Retailers!BJ60</f>
        <v/>
      </c>
      <c r="BP61" s="75" t="n">
        <v>65</v>
      </c>
      <c r="BQ61" s="75">
        <f>#REF!</f>
        <v/>
      </c>
      <c r="BR61" s="75">
        <f>#REF!</f>
        <v/>
      </c>
      <c r="BS61" s="75">
        <f>#REF!</f>
        <v/>
      </c>
      <c r="BU61" s="75" t="n">
        <v>65</v>
      </c>
      <c r="BV61" s="75">
        <f>Retailers!AS60</f>
        <v/>
      </c>
      <c r="BW61" s="75">
        <f>Retailers!AT60</f>
        <v/>
      </c>
      <c r="BX61" s="75">
        <f>Retailers!AU60</f>
        <v/>
      </c>
      <c r="BZ61" s="75" t="n">
        <v>65</v>
      </c>
      <c r="CA61" s="75">
        <f>Results!#REF!</f>
        <v/>
      </c>
      <c r="CB61" s="75">
        <f>Results!#REF!</f>
        <v/>
      </c>
      <c r="CC61" s="75">
        <f>Results!#REF!</f>
        <v/>
      </c>
      <c r="CE61" s="75" t="n">
        <v>65</v>
      </c>
      <c r="CF61" s="75">
        <f>Retailers!BN60</f>
        <v/>
      </c>
      <c r="CG61" s="75">
        <f>Retailers!BO60</f>
        <v/>
      </c>
      <c r="CH61" s="75">
        <f>Retailers!BP60</f>
        <v/>
      </c>
      <c r="CJ61" s="75" t="n">
        <v>65</v>
      </c>
      <c r="CK61" s="75">
        <f>IF(BB61="ret=0",0,IF(BB61&gt;0,AR61+Distributors_Cap!$P$47-BB61,0))</f>
        <v/>
      </c>
      <c r="CL61" s="75">
        <f>IF(BC61="ret=0",0,IF(BC61&gt;0,AS61+Distributors_Cap!$P$47-BC61,0))</f>
        <v/>
      </c>
      <c r="CM61" s="75">
        <f>IF(BD61="ret=0",0,IF(BD61&gt;0,AT61+Distributors_Cap!$P$47-BD61,0))</f>
        <v/>
      </c>
    </row>
    <row r="62">
      <c r="G62" s="75" t="n">
        <v>66</v>
      </c>
      <c r="H62" s="75" t="n">
        <v>74.389</v>
      </c>
      <c r="I62" s="75" t="n">
        <v>42.252</v>
      </c>
      <c r="J62" s="75" t="n">
        <v>68.027</v>
      </c>
      <c r="L62" s="75">
        <f>TRUNC((_xlfn.NORM.INV((RAND()),$K$7,$K$8)),0)</f>
        <v/>
      </c>
      <c r="M62" s="75" t="n">
        <v>66</v>
      </c>
      <c r="N62" s="5" t="n">
        <v>26</v>
      </c>
      <c r="O62" s="5" t="n">
        <v>32</v>
      </c>
      <c r="P62" s="5" t="n">
        <v>20</v>
      </c>
      <c r="R62" s="2">
        <f>IF(N62&gt;Demand!AU79,0,(IF(((2*(Retailers!AJ61+Distributors_Cap!$P$47)-Retailers_Cap!$BB$7)*(Demand!AU79-Retailers_Cap!N62))&lt;0,0,((IF(BB62&gt;2*(Retailers!AJ61+Distributors_Cap!$P$47),0,(IF(BG62=0,ROUNDUP((2*(Retailers!AJ61+Distributors_Cap!$P$47)-BB62)^0.5,0),ROUNDUP((2*(Retailers!AJ61+Distributors_Cap!$P$47)-BB62)^0.5,0)))))))))</f>
        <v/>
      </c>
      <c r="S62" s="2">
        <f>IF(O62&gt;Demand!AV79,0,(IF(((2*(Retailers!AK61+Distributors_Cap!$P$47)-Retailers_Cap!$BB$7)*(Demand!AV79-Retailers_Cap!O62))&lt;0,0,((IF(BC62&gt;2*(Retailers!AK61+Distributors_Cap!$P$47),0,(IF(BH62=0,ROUNDUP((2*(Retailers!AK61+Distributors_Cap!$P$47)-BC62)^0.5,0),ROUNDUP((2*(Retailers!AK61+Distributors_Cap!$P$47)-BC62)^0.5,0)))))))))</f>
        <v/>
      </c>
      <c r="T62" s="2">
        <f>IF(P62&gt;Demand!AW79,0,(IF(((2*(Retailers!AL61+Distributors_Cap!$P$47)-Retailers_Cap!$BB$7)*(Demand!AW79-Retailers_Cap!P62))&lt;0,0,((IF(BD62&gt;2*(Retailers!AL61+Distributors_Cap!$P$47),0,(IF(BI62=0,ROUNDUP((2*(Retailers!AL61+Distributors_Cap!$P$47)-BD62)^0.5,0),ROUNDUP((2*(Retailers!AL61+Distributors_Cap!$P$47)-BD62)^0.5,0)))))))))</f>
        <v/>
      </c>
      <c r="W62" s="75" t="n">
        <v>66</v>
      </c>
      <c r="X62" s="9" t="n">
        <v>0</v>
      </c>
      <c r="Y62" s="9" t="n">
        <v>0</v>
      </c>
      <c r="Z62" s="9" t="n">
        <v>14</v>
      </c>
      <c r="AB62" s="2">
        <f>ROUNDDOWN(LOG((X62+1),2),0)</f>
        <v/>
      </c>
      <c r="AC62" s="2">
        <f>ROUNDDOWN(LOG((Y62+1),2),0)</f>
        <v/>
      </c>
      <c r="AD62" s="2">
        <f>ROUNDDOWN(LOG((Z62+1),2),0)</f>
        <v/>
      </c>
      <c r="AG62" s="75" t="n">
        <v>66</v>
      </c>
      <c r="AH62" s="9" t="n">
        <v>0</v>
      </c>
      <c r="AI62" s="9" t="n">
        <v>0</v>
      </c>
      <c r="AJ62" s="9" t="n">
        <v>3</v>
      </c>
      <c r="AQ62" s="75" t="n">
        <v>66</v>
      </c>
      <c r="AR62" s="75" t="n">
        <v>74.389</v>
      </c>
      <c r="AS62" s="75" t="n">
        <v>42.252</v>
      </c>
      <c r="AT62" s="75" t="n">
        <v>68.027</v>
      </c>
      <c r="AV62" s="75" t="n">
        <v>66</v>
      </c>
      <c r="AW62" s="75">
        <f>Beginning_stock!AT90</f>
        <v/>
      </c>
      <c r="AX62" s="75">
        <f>Beginning_stock!AU90</f>
        <v/>
      </c>
      <c r="AY62" s="75">
        <f>Beginning_stock!AV90</f>
        <v/>
      </c>
      <c r="BA62" s="75" t="n">
        <v>66</v>
      </c>
      <c r="BB62" s="75">
        <f>IF(Demand!AU79=Retailers_Cap!N62,"ret=0",(AW62/(Demand!AU79-Retailers_Cap!N62)))</f>
        <v/>
      </c>
      <c r="BC62" s="75">
        <f>IF(Demand!AV79=Retailers_Cap!O62,"ret=0",(AX62/(Demand!AV79-Retailers_Cap!O62)))</f>
        <v/>
      </c>
      <c r="BD62" s="75">
        <f>IF(Demand!AW79=Retailers_Cap!P62,"ret=0",(AY62/(Demand!AW79-Retailers_Cap!P62)))</f>
        <v/>
      </c>
      <c r="BF62" s="75" t="n">
        <v>66</v>
      </c>
      <c r="BG62" s="2">
        <f>IF(Demand!AU79&lt;=Retailers_Cap!N62,"ret=0",(IF(BB62&lt;=AR62+Distributors_Cap!$P$47,1,0)))</f>
        <v/>
      </c>
      <c r="BH62" s="2">
        <f>IF(Demand!AV79&lt;=Retailers_Cap!O62,"ret=0",(IF(BC62&lt;=AS62+Distributors_Cap!$P$47,1,0)))</f>
        <v/>
      </c>
      <c r="BI62" s="2">
        <f>IF(Demand!AW79&lt;=Retailers_Cap!P62,"ret=0",(IF(BD62&lt;=AT62+Distributors_Cap!$P$47,1,0)))</f>
        <v/>
      </c>
      <c r="BK62" s="75" t="n">
        <v>66</v>
      </c>
      <c r="BL62" s="75">
        <f>Retailers!BH61</f>
        <v/>
      </c>
      <c r="BM62" s="75">
        <f>Retailers!BI61</f>
        <v/>
      </c>
      <c r="BN62" s="75">
        <f>Retailers!BJ61</f>
        <v/>
      </c>
      <c r="BP62" s="75" t="n">
        <v>66</v>
      </c>
      <c r="BQ62" s="75">
        <f>#REF!</f>
        <v/>
      </c>
      <c r="BR62" s="75">
        <f>#REF!</f>
        <v/>
      </c>
      <c r="BS62" s="75">
        <f>#REF!</f>
        <v/>
      </c>
      <c r="BU62" s="75" t="n">
        <v>66</v>
      </c>
      <c r="BV62" s="75">
        <f>Retailers!AS61</f>
        <v/>
      </c>
      <c r="BW62" s="75">
        <f>Retailers!AT61</f>
        <v/>
      </c>
      <c r="BX62" s="75">
        <f>Retailers!AU61</f>
        <v/>
      </c>
      <c r="BZ62" s="75" t="n">
        <v>66</v>
      </c>
      <c r="CA62" s="75">
        <f>Results!#REF!</f>
        <v/>
      </c>
      <c r="CB62" s="75">
        <f>Results!#REF!</f>
        <v/>
      </c>
      <c r="CC62" s="75">
        <f>Results!#REF!</f>
        <v/>
      </c>
      <c r="CE62" s="75" t="n">
        <v>66</v>
      </c>
      <c r="CF62" s="75">
        <f>Retailers!BN61</f>
        <v/>
      </c>
      <c r="CG62" s="75">
        <f>Retailers!BO61</f>
        <v/>
      </c>
      <c r="CH62" s="75">
        <f>Retailers!BP61</f>
        <v/>
      </c>
      <c r="CJ62" s="75" t="n">
        <v>66</v>
      </c>
      <c r="CK62" s="75">
        <f>IF(BB62="ret=0",0,IF(BB62&gt;0,AR62+Distributors_Cap!$P$47-BB62,0))</f>
        <v/>
      </c>
      <c r="CL62" s="75">
        <f>IF(BC62="ret=0",0,IF(BC62&gt;0,AS62+Distributors_Cap!$P$47-BC62,0))</f>
        <v/>
      </c>
      <c r="CM62" s="75">
        <f>IF(BD62="ret=0",0,IF(BD62&gt;0,AT62+Distributors_Cap!$P$47-BD62,0))</f>
        <v/>
      </c>
    </row>
    <row r="63">
      <c r="G63" s="75" t="n">
        <v>67</v>
      </c>
      <c r="H63" s="75" t="n">
        <v>75.634</v>
      </c>
      <c r="I63" s="75" t="n">
        <v>67.55500000000001</v>
      </c>
      <c r="J63" s="75" t="n">
        <v>51.78</v>
      </c>
      <c r="L63" s="75">
        <f>TRUNC((_xlfn.NORM.INV((RAND()),$K$7,$K$8)),0)</f>
        <v/>
      </c>
      <c r="M63" s="75" t="n">
        <v>67</v>
      </c>
      <c r="N63" s="5" t="n">
        <v>36</v>
      </c>
      <c r="O63" s="5" t="n">
        <v>27</v>
      </c>
      <c r="P63" s="5" t="n">
        <v>32</v>
      </c>
      <c r="R63" s="2">
        <f>IF(N63&gt;Demand!AU80,0,(IF(((2*(Retailers!AJ62+Distributors_Cap!$P$47)-Retailers_Cap!$BB$7)*(Demand!AU80-Retailers_Cap!N63))&lt;0,0,((IF(BB63&gt;2*(Retailers!AJ62+Distributors_Cap!$P$47),0,(IF(BG63=0,ROUNDUP((2*(Retailers!AJ62+Distributors_Cap!$P$47)-BB63)^0.5,0),ROUNDUP((2*(Retailers!AJ62+Distributors_Cap!$P$47)-BB63)^0.5,0)))))))))</f>
        <v/>
      </c>
      <c r="S63" s="2">
        <f>IF(O63&gt;Demand!AV80,0,(IF(((2*(Retailers!AK62+Distributors_Cap!$P$47)-Retailers_Cap!$BB$7)*(Demand!AV80-Retailers_Cap!O63))&lt;0,0,((IF(BC63&gt;2*(Retailers!AK62+Distributors_Cap!$P$47),0,(IF(BH63=0,ROUNDUP((2*(Retailers!AK62+Distributors_Cap!$P$47)-BC63)^0.5,0),ROUNDUP((2*(Retailers!AK62+Distributors_Cap!$P$47)-BC63)^0.5,0)))))))))</f>
        <v/>
      </c>
      <c r="T63" s="2">
        <f>IF(P63&gt;Demand!AW80,0,(IF(((2*(Retailers!AL62+Distributors_Cap!$P$47)-Retailers_Cap!$BB$7)*(Demand!AW80-Retailers_Cap!P63))&lt;0,0,((IF(BD63&gt;2*(Retailers!AL62+Distributors_Cap!$P$47),0,(IF(BI63=0,ROUNDUP((2*(Retailers!AL62+Distributors_Cap!$P$47)-BD63)^0.5,0),ROUNDUP((2*(Retailers!AL62+Distributors_Cap!$P$47)-BD63)^0.5,0)))))))))</f>
        <v/>
      </c>
      <c r="W63" s="75" t="n">
        <v>67</v>
      </c>
      <c r="X63" s="9" t="n">
        <v>0</v>
      </c>
      <c r="Y63" s="9" t="n">
        <v>0</v>
      </c>
      <c r="Z63" s="9" t="n">
        <v>0</v>
      </c>
      <c r="AB63" s="2">
        <f>ROUNDDOWN(LOG((X63+1),2),0)</f>
        <v/>
      </c>
      <c r="AC63" s="2">
        <f>ROUNDDOWN(LOG((Y63+1),2),0)</f>
        <v/>
      </c>
      <c r="AD63" s="2">
        <f>ROUNDDOWN(LOG((Z63+1),2),0)</f>
        <v/>
      </c>
      <c r="AG63" s="75" t="n">
        <v>67</v>
      </c>
      <c r="AH63" s="9" t="n">
        <v>0</v>
      </c>
      <c r="AI63" s="9" t="n">
        <v>0</v>
      </c>
      <c r="AJ63" s="9" t="n">
        <v>0</v>
      </c>
      <c r="AQ63" s="75" t="n">
        <v>67</v>
      </c>
      <c r="AR63" s="75" t="n">
        <v>75.634</v>
      </c>
      <c r="AS63" s="75" t="n">
        <v>67.55500000000001</v>
      </c>
      <c r="AT63" s="75" t="n">
        <v>51.78</v>
      </c>
      <c r="AV63" s="75" t="n">
        <v>67</v>
      </c>
      <c r="AW63" s="75">
        <f>Beginning_stock!AT91</f>
        <v/>
      </c>
      <c r="AX63" s="75">
        <f>Beginning_stock!AU91</f>
        <v/>
      </c>
      <c r="AY63" s="75">
        <f>Beginning_stock!AV91</f>
        <v/>
      </c>
      <c r="BA63" s="75" t="n">
        <v>67</v>
      </c>
      <c r="BB63" s="75">
        <f>IF(Demand!AU80=Retailers_Cap!N63,"ret=0",(AW63/(Demand!AU80-Retailers_Cap!N63)))</f>
        <v/>
      </c>
      <c r="BC63" s="75">
        <f>IF(Demand!AV80=Retailers_Cap!O63,"ret=0",(AX63/(Demand!AV80-Retailers_Cap!O63)))</f>
        <v/>
      </c>
      <c r="BD63" s="75">
        <f>IF(Demand!AW80=Retailers_Cap!P63,"ret=0",(AY63/(Demand!AW80-Retailers_Cap!P63)))</f>
        <v/>
      </c>
      <c r="BF63" s="75" t="n">
        <v>67</v>
      </c>
      <c r="BG63" s="2">
        <f>IF(Demand!AU80&lt;=Retailers_Cap!N63,"ret=0",(IF(BB63&lt;=AR63+Distributors_Cap!$P$47,1,0)))</f>
        <v/>
      </c>
      <c r="BH63" s="2">
        <f>IF(Demand!AV80&lt;=Retailers_Cap!O63,"ret=0",(IF(BC63&lt;=AS63+Distributors_Cap!$P$47,1,0)))</f>
        <v/>
      </c>
      <c r="BI63" s="2">
        <f>IF(Demand!AW80&lt;=Retailers_Cap!P63,"ret=0",(IF(BD63&lt;=AT63+Distributors_Cap!$P$47,1,0)))</f>
        <v/>
      </c>
      <c r="BK63" s="75" t="n">
        <v>67</v>
      </c>
      <c r="BL63" s="75">
        <f>Retailers!BH62</f>
        <v/>
      </c>
      <c r="BM63" s="75">
        <f>Retailers!BI62</f>
        <v/>
      </c>
      <c r="BN63" s="75">
        <f>Retailers!BJ62</f>
        <v/>
      </c>
      <c r="BP63" s="75" t="n">
        <v>67</v>
      </c>
      <c r="BQ63" s="75">
        <f>#REF!</f>
        <v/>
      </c>
      <c r="BR63" s="75">
        <f>#REF!</f>
        <v/>
      </c>
      <c r="BS63" s="75">
        <f>#REF!</f>
        <v/>
      </c>
      <c r="BU63" s="75" t="n">
        <v>67</v>
      </c>
      <c r="BV63" s="75">
        <f>Retailers!AS62</f>
        <v/>
      </c>
      <c r="BW63" s="75">
        <f>Retailers!AT62</f>
        <v/>
      </c>
      <c r="BX63" s="75">
        <f>Retailers!AU62</f>
        <v/>
      </c>
      <c r="BZ63" s="75" t="n">
        <v>67</v>
      </c>
      <c r="CA63" s="75">
        <f>Results!#REF!</f>
        <v/>
      </c>
      <c r="CB63" s="75">
        <f>Results!#REF!</f>
        <v/>
      </c>
      <c r="CC63" s="75">
        <f>Results!#REF!</f>
        <v/>
      </c>
      <c r="CE63" s="75" t="n">
        <v>67</v>
      </c>
      <c r="CF63" s="75">
        <f>Retailers!BN62</f>
        <v/>
      </c>
      <c r="CG63" s="75">
        <f>Retailers!BO62</f>
        <v/>
      </c>
      <c r="CH63" s="75">
        <f>Retailers!BP62</f>
        <v/>
      </c>
      <c r="CJ63" s="75" t="n">
        <v>67</v>
      </c>
      <c r="CK63" s="75">
        <f>IF(BB63="ret=0",0,IF(BB63&gt;0,AR63+Distributors_Cap!$P$47-BB63,0))</f>
        <v/>
      </c>
      <c r="CL63" s="75">
        <f>IF(BC63="ret=0",0,IF(BC63&gt;0,AS63+Distributors_Cap!$P$47-BC63,0))</f>
        <v/>
      </c>
      <c r="CM63" s="75">
        <f>IF(BD63="ret=0",0,IF(BD63&gt;0,AT63+Distributors_Cap!$P$47-BD63,0))</f>
        <v/>
      </c>
    </row>
    <row r="64">
      <c r="G64" s="75" t="n">
        <v>68</v>
      </c>
      <c r="H64" s="75" t="n">
        <v>44.333</v>
      </c>
      <c r="I64" s="75" t="n">
        <v>80.464</v>
      </c>
      <c r="J64" s="75" t="n">
        <v>68.33499999999999</v>
      </c>
      <c r="L64" s="75">
        <f>TRUNC((_xlfn.NORM.INV((RAND()),$K$7,$K$8)),0)</f>
        <v/>
      </c>
      <c r="M64" s="75" t="n">
        <v>68</v>
      </c>
      <c r="N64" s="5" t="n">
        <v>28</v>
      </c>
      <c r="O64" s="5" t="n">
        <v>38</v>
      </c>
      <c r="P64" s="5" t="n">
        <v>24</v>
      </c>
      <c r="R64" s="2">
        <f>IF(N64&gt;Demand!AU81,0,(IF(((2*(Retailers!AJ63+Distributors_Cap!$P$47)-Retailers_Cap!$BB$7)*(Demand!AU81-Retailers_Cap!N64))&lt;0,0,((IF(BB64&gt;2*(Retailers!AJ63+Distributors_Cap!$P$47),0,(IF(BG64=0,ROUNDUP((2*(Retailers!AJ63+Distributors_Cap!$P$47)-BB64)^0.5,0),ROUNDUP((2*(Retailers!AJ63+Distributors_Cap!$P$47)-BB64)^0.5,0)))))))))</f>
        <v/>
      </c>
      <c r="S64" s="2">
        <f>IF(O64&gt;Demand!AV81,0,(IF(((2*(Retailers!AK63+Distributors_Cap!$P$47)-Retailers_Cap!$BB$7)*(Demand!AV81-Retailers_Cap!O64))&lt;0,0,((IF(BC64&gt;2*(Retailers!AK63+Distributors_Cap!$P$47),0,(IF(BH64=0,ROUNDUP((2*(Retailers!AK63+Distributors_Cap!$P$47)-BC64)^0.5,0),ROUNDUP((2*(Retailers!AK63+Distributors_Cap!$P$47)-BC64)^0.5,0)))))))))</f>
        <v/>
      </c>
      <c r="T64" s="2">
        <f>IF(P64&gt;Demand!AW81,0,(IF(((2*(Retailers!AL63+Distributors_Cap!$P$47)-Retailers_Cap!$BB$7)*(Demand!AW81-Retailers_Cap!P64))&lt;0,0,((IF(BD64&gt;2*(Retailers!AL63+Distributors_Cap!$P$47),0,(IF(BI64=0,ROUNDUP((2*(Retailers!AL63+Distributors_Cap!$P$47)-BD64)^0.5,0),ROUNDUP((2*(Retailers!AL63+Distributors_Cap!$P$47)-BD64)^0.5,0)))))))))</f>
        <v/>
      </c>
      <c r="W64" s="75" t="n">
        <v>68</v>
      </c>
      <c r="X64" s="9" t="n">
        <v>0</v>
      </c>
      <c r="Y64" s="9" t="n">
        <v>0</v>
      </c>
      <c r="Z64" s="9" t="n">
        <v>14</v>
      </c>
      <c r="AB64" s="2">
        <f>ROUNDDOWN(LOG((X64+1),2),0)</f>
        <v/>
      </c>
      <c r="AC64" s="2">
        <f>ROUNDDOWN(LOG((Y64+1),2),0)</f>
        <v/>
      </c>
      <c r="AD64" s="2">
        <f>ROUNDDOWN(LOG((Z64+1),2),0)</f>
        <v/>
      </c>
      <c r="AG64" s="75" t="n">
        <v>68</v>
      </c>
      <c r="AH64" s="9" t="n">
        <v>0</v>
      </c>
      <c r="AI64" s="9" t="n">
        <v>0</v>
      </c>
      <c r="AJ64" s="9" t="n">
        <v>3</v>
      </c>
      <c r="AQ64" s="75" t="n">
        <v>68</v>
      </c>
      <c r="AR64" s="75" t="n">
        <v>44.333</v>
      </c>
      <c r="AS64" s="75" t="n">
        <v>80.464</v>
      </c>
      <c r="AT64" s="75" t="n">
        <v>68.33499999999999</v>
      </c>
      <c r="AV64" s="75" t="n">
        <v>68</v>
      </c>
      <c r="AW64" s="75">
        <f>Beginning_stock!AT92</f>
        <v/>
      </c>
      <c r="AX64" s="75">
        <f>Beginning_stock!AU92</f>
        <v/>
      </c>
      <c r="AY64" s="75">
        <f>Beginning_stock!AV92</f>
        <v/>
      </c>
      <c r="BA64" s="75" t="n">
        <v>68</v>
      </c>
      <c r="BB64" s="75">
        <f>IF(Demand!AU81=Retailers_Cap!N64,"ret=0",(AW64/(Demand!AU81-Retailers_Cap!N64)))</f>
        <v/>
      </c>
      <c r="BC64" s="75">
        <f>IF(Demand!AV81=Retailers_Cap!O64,"ret=0",(AX64/(Demand!AV81-Retailers_Cap!O64)))</f>
        <v/>
      </c>
      <c r="BD64" s="75">
        <f>IF(Demand!AW81=Retailers_Cap!P64,"ret=0",(AY64/(Demand!AW81-Retailers_Cap!P64)))</f>
        <v/>
      </c>
      <c r="BF64" s="75" t="n">
        <v>68</v>
      </c>
      <c r="BG64" s="2">
        <f>IF(Demand!AU81&lt;=Retailers_Cap!N64,"ret=0",(IF(BB64&lt;=AR64+Distributors_Cap!$P$47,1,0)))</f>
        <v/>
      </c>
      <c r="BH64" s="2">
        <f>IF(Demand!AV81&lt;=Retailers_Cap!O64,"ret=0",(IF(BC64&lt;=AS64+Distributors_Cap!$P$47,1,0)))</f>
        <v/>
      </c>
      <c r="BI64" s="2">
        <f>IF(Demand!AW81&lt;=Retailers_Cap!P64,"ret=0",(IF(BD64&lt;=AT64+Distributors_Cap!$P$47,1,0)))</f>
        <v/>
      </c>
      <c r="BK64" s="75" t="n">
        <v>68</v>
      </c>
      <c r="BL64" s="75">
        <f>Retailers!BH63</f>
        <v/>
      </c>
      <c r="BM64" s="75">
        <f>Retailers!BI63</f>
        <v/>
      </c>
      <c r="BN64" s="75">
        <f>Retailers!BJ63</f>
        <v/>
      </c>
      <c r="BP64" s="75" t="n">
        <v>68</v>
      </c>
      <c r="BQ64" s="75">
        <f>#REF!</f>
        <v/>
      </c>
      <c r="BR64" s="75">
        <f>#REF!</f>
        <v/>
      </c>
      <c r="BS64" s="75">
        <f>#REF!</f>
        <v/>
      </c>
      <c r="BU64" s="75" t="n">
        <v>68</v>
      </c>
      <c r="BV64" s="75">
        <f>Retailers!AS63</f>
        <v/>
      </c>
      <c r="BW64" s="75">
        <f>Retailers!AT63</f>
        <v/>
      </c>
      <c r="BX64" s="75">
        <f>Retailers!AU63</f>
        <v/>
      </c>
      <c r="BZ64" s="75" t="n">
        <v>68</v>
      </c>
      <c r="CA64" s="75">
        <f>Results!#REF!</f>
        <v/>
      </c>
      <c r="CB64" s="75">
        <f>Results!#REF!</f>
        <v/>
      </c>
      <c r="CC64" s="75">
        <f>Results!#REF!</f>
        <v/>
      </c>
      <c r="CE64" s="75" t="n">
        <v>68</v>
      </c>
      <c r="CF64" s="75">
        <f>Retailers!BN63</f>
        <v/>
      </c>
      <c r="CG64" s="75">
        <f>Retailers!BO63</f>
        <v/>
      </c>
      <c r="CH64" s="75">
        <f>Retailers!BP63</f>
        <v/>
      </c>
      <c r="CJ64" s="75" t="n">
        <v>68</v>
      </c>
      <c r="CK64" s="75">
        <f>IF(BB64="ret=0",0,IF(BB64&gt;0,AR64+Distributors_Cap!$P$47-BB64,0))</f>
        <v/>
      </c>
      <c r="CL64" s="75">
        <f>IF(BC64="ret=0",0,IF(BC64&gt;0,AS64+Distributors_Cap!$P$47-BC64,0))</f>
        <v/>
      </c>
      <c r="CM64" s="75">
        <f>IF(BD64="ret=0",0,IF(BD64&gt;0,AT64+Distributors_Cap!$P$47-BD64,0))</f>
        <v/>
      </c>
    </row>
    <row r="65">
      <c r="G65" s="75" t="n">
        <v>69</v>
      </c>
      <c r="H65" s="75" t="n">
        <v>52.518</v>
      </c>
      <c r="I65" s="75" t="n">
        <v>46.987</v>
      </c>
      <c r="J65" s="75" t="n">
        <v>71.907</v>
      </c>
      <c r="L65" s="75">
        <f>TRUNC((_xlfn.NORM.INV((RAND()),$K$7,$K$8)),0)</f>
        <v/>
      </c>
      <c r="M65" s="75" t="n">
        <v>69</v>
      </c>
      <c r="N65" s="5" t="n">
        <v>19</v>
      </c>
      <c r="O65" s="5" t="n">
        <v>34</v>
      </c>
      <c r="P65" s="5" t="n">
        <v>19</v>
      </c>
      <c r="R65" s="2">
        <f>IF(N65&gt;Demand!AU82,0,(IF(((2*(Retailers!AJ64+Distributors_Cap!$P$47)-Retailers_Cap!$BB$7)*(Demand!AU82-Retailers_Cap!N65))&lt;0,0,((IF(BB65&gt;2*(Retailers!AJ64+Distributors_Cap!$P$47),0,(IF(BG65=0,ROUNDUP((2*(Retailers!AJ64+Distributors_Cap!$P$47)-BB65)^0.5,0),ROUNDUP((2*(Retailers!AJ64+Distributors_Cap!$P$47)-BB65)^0.5,0)))))))))</f>
        <v/>
      </c>
      <c r="S65" s="2">
        <f>IF(O65&gt;Demand!AV82,0,(IF(((2*(Retailers!AK64+Distributors_Cap!$P$47)-Retailers_Cap!$BB$7)*(Demand!AV82-Retailers_Cap!O65))&lt;0,0,((IF(BC65&gt;2*(Retailers!AK64+Distributors_Cap!$P$47),0,(IF(BH65=0,ROUNDUP((2*(Retailers!AK64+Distributors_Cap!$P$47)-BC65)^0.5,0),ROUNDUP((2*(Retailers!AK64+Distributors_Cap!$P$47)-BC65)^0.5,0)))))))))</f>
        <v/>
      </c>
      <c r="T65" s="2">
        <f>IF(P65&gt;Demand!AW82,0,(IF(((2*(Retailers!AL64+Distributors_Cap!$P$47)-Retailers_Cap!$BB$7)*(Demand!AW82-Retailers_Cap!P65))&lt;0,0,((IF(BD65&gt;2*(Retailers!AL64+Distributors_Cap!$P$47),0,(IF(BI65=0,ROUNDUP((2*(Retailers!AL64+Distributors_Cap!$P$47)-BD65)^0.5,0),ROUNDUP((2*(Retailers!AL64+Distributors_Cap!$P$47)-BD65)^0.5,0)))))))))</f>
        <v/>
      </c>
      <c r="W65" s="75" t="n">
        <v>69</v>
      </c>
      <c r="X65" s="9" t="n">
        <v>12</v>
      </c>
      <c r="Y65" s="9" t="n">
        <v>0</v>
      </c>
      <c r="Z65" s="9" t="n">
        <v>10</v>
      </c>
      <c r="AB65" s="2">
        <f>ROUNDDOWN(LOG((X65+1),2),0)</f>
        <v/>
      </c>
      <c r="AC65" s="2">
        <f>ROUNDDOWN(LOG((Y65+1),2),0)</f>
        <v/>
      </c>
      <c r="AD65" s="2">
        <f>ROUNDDOWN(LOG((Z65+1),2),0)</f>
        <v/>
      </c>
      <c r="AG65" s="75" t="n">
        <v>69</v>
      </c>
      <c r="AH65" s="9" t="n">
        <v>3</v>
      </c>
      <c r="AI65" s="9" t="n">
        <v>0</v>
      </c>
      <c r="AJ65" s="9" t="n">
        <v>3</v>
      </c>
      <c r="AQ65" s="75" t="n">
        <v>69</v>
      </c>
      <c r="AR65" s="75" t="n">
        <v>52.518</v>
      </c>
      <c r="AS65" s="75" t="n">
        <v>46.987</v>
      </c>
      <c r="AT65" s="75" t="n">
        <v>71.907</v>
      </c>
      <c r="AV65" s="75" t="n">
        <v>69</v>
      </c>
      <c r="AW65" s="75">
        <f>Beginning_stock!AT93</f>
        <v/>
      </c>
      <c r="AX65" s="75">
        <f>Beginning_stock!AU93</f>
        <v/>
      </c>
      <c r="AY65" s="75">
        <f>Beginning_stock!AV93</f>
        <v/>
      </c>
      <c r="BA65" s="75" t="n">
        <v>69</v>
      </c>
      <c r="BB65" s="75">
        <f>IF(Demand!AU82=Retailers_Cap!N65,"ret=0",(AW65/(Demand!AU82-Retailers_Cap!N65)))</f>
        <v/>
      </c>
      <c r="BC65" s="75">
        <f>IF(Demand!AV82=Retailers_Cap!O65,"ret=0",(AX65/(Demand!AV82-Retailers_Cap!O65)))</f>
        <v/>
      </c>
      <c r="BD65" s="75">
        <f>IF(Demand!AW82=Retailers_Cap!P65,"ret=0",(AY65/(Demand!AW82-Retailers_Cap!P65)))</f>
        <v/>
      </c>
      <c r="BF65" s="75" t="n">
        <v>69</v>
      </c>
      <c r="BG65" s="2">
        <f>IF(Demand!AU82&lt;=Retailers_Cap!N65,"ret=0",(IF(BB65&lt;=AR65+Distributors_Cap!$P$47,1,0)))</f>
        <v/>
      </c>
      <c r="BH65" s="2">
        <f>IF(Demand!AV82&lt;=Retailers_Cap!O65,"ret=0",(IF(BC65&lt;=AS65+Distributors_Cap!$P$47,1,0)))</f>
        <v/>
      </c>
      <c r="BI65" s="2">
        <f>IF(Demand!AW82&lt;=Retailers_Cap!P65,"ret=0",(IF(BD65&lt;=AT65+Distributors_Cap!$P$47,1,0)))</f>
        <v/>
      </c>
      <c r="BK65" s="75" t="n">
        <v>69</v>
      </c>
      <c r="BL65" s="75">
        <f>Retailers!BH64</f>
        <v/>
      </c>
      <c r="BM65" s="75">
        <f>Retailers!BI64</f>
        <v/>
      </c>
      <c r="BN65" s="75">
        <f>Retailers!BJ64</f>
        <v/>
      </c>
      <c r="BP65" s="75" t="n">
        <v>69</v>
      </c>
      <c r="BQ65" s="75">
        <f>#REF!</f>
        <v/>
      </c>
      <c r="BR65" s="75">
        <f>#REF!</f>
        <v/>
      </c>
      <c r="BS65" s="75">
        <f>#REF!</f>
        <v/>
      </c>
      <c r="BU65" s="75" t="n">
        <v>69</v>
      </c>
      <c r="BV65" s="75">
        <f>Retailers!AS64</f>
        <v/>
      </c>
      <c r="BW65" s="75">
        <f>Retailers!AT64</f>
        <v/>
      </c>
      <c r="BX65" s="75">
        <f>Retailers!AU64</f>
        <v/>
      </c>
      <c r="BZ65" s="75" t="n">
        <v>69</v>
      </c>
      <c r="CA65" s="75">
        <f>Results!#REF!</f>
        <v/>
      </c>
      <c r="CB65" s="75">
        <f>Results!#REF!</f>
        <v/>
      </c>
      <c r="CC65" s="75">
        <f>Results!#REF!</f>
        <v/>
      </c>
      <c r="CE65" s="75" t="n">
        <v>69</v>
      </c>
      <c r="CF65" s="75">
        <f>Retailers!BN64</f>
        <v/>
      </c>
      <c r="CG65" s="75">
        <f>Retailers!BO64</f>
        <v/>
      </c>
      <c r="CH65" s="75">
        <f>Retailers!BP64</f>
        <v/>
      </c>
      <c r="CJ65" s="75" t="n">
        <v>69</v>
      </c>
      <c r="CK65" s="75">
        <f>IF(BB65="ret=0",0,IF(BB65&gt;0,AR65+Distributors_Cap!$P$47-BB65,0))</f>
        <v/>
      </c>
      <c r="CL65" s="75">
        <f>IF(BC65="ret=0",0,IF(BC65&gt;0,AS65+Distributors_Cap!$P$47-BC65,0))</f>
        <v/>
      </c>
      <c r="CM65" s="75">
        <f>IF(BD65="ret=0",0,IF(BD65&gt;0,AT65+Distributors_Cap!$P$47-BD65,0))</f>
        <v/>
      </c>
    </row>
    <row r="66">
      <c r="G66" s="75" t="n">
        <v>70</v>
      </c>
      <c r="H66" s="75" t="n">
        <v>66.559</v>
      </c>
      <c r="I66" s="75" t="n">
        <v>57.061</v>
      </c>
      <c r="J66" s="75" t="n">
        <v>55.862</v>
      </c>
      <c r="L66" s="75">
        <f>TRUNC((_xlfn.NORM.INV((RAND()),$K$7,$K$8)),0)</f>
        <v/>
      </c>
      <c r="M66" s="75" t="n">
        <v>70</v>
      </c>
      <c r="N66" s="5" t="n">
        <v>28</v>
      </c>
      <c r="O66" s="5" t="n">
        <v>23</v>
      </c>
      <c r="P66" s="5" t="n">
        <v>24</v>
      </c>
      <c r="R66" s="2">
        <f>IF(N66&gt;Demand!AU83,0,(IF(((2*(Retailers!AJ65+Distributors_Cap!$P$47)-Retailers_Cap!$BB$7)*(Demand!AU83-Retailers_Cap!N66))&lt;0,0,((IF(BB66&gt;2*(Retailers!AJ65+Distributors_Cap!$P$47),0,(IF(BG66=0,ROUNDUP((2*(Retailers!AJ65+Distributors_Cap!$P$47)-BB66)^0.5,0),ROUNDUP((2*(Retailers!AJ65+Distributors_Cap!$P$47)-BB66)^0.5,0)))))))))</f>
        <v/>
      </c>
      <c r="S66" s="2">
        <f>IF(O66&gt;Demand!AV83,0,(IF(((2*(Retailers!AK65+Distributors_Cap!$P$47)-Retailers_Cap!$BB$7)*(Demand!AV83-Retailers_Cap!O66))&lt;0,0,((IF(BC66&gt;2*(Retailers!AK65+Distributors_Cap!$P$47),0,(IF(BH66=0,ROUNDUP((2*(Retailers!AK65+Distributors_Cap!$P$47)-BC66)^0.5,0),ROUNDUP((2*(Retailers!AK65+Distributors_Cap!$P$47)-BC66)^0.5,0)))))))))</f>
        <v/>
      </c>
      <c r="T66" s="2">
        <f>IF(P66&gt;Demand!AW83,0,(IF(((2*(Retailers!AL65+Distributors_Cap!$P$47)-Retailers_Cap!$BB$7)*(Demand!AW83-Retailers_Cap!P66))&lt;0,0,((IF(BD66&gt;2*(Retailers!AL65+Distributors_Cap!$P$47),0,(IF(BI66=0,ROUNDUP((2*(Retailers!AL65+Distributors_Cap!$P$47)-BD66)^0.5,0),ROUNDUP((2*(Retailers!AL65+Distributors_Cap!$P$47)-BD66)^0.5,0)))))))))</f>
        <v/>
      </c>
      <c r="W66" s="75" t="n">
        <v>70</v>
      </c>
      <c r="X66" s="9" t="n">
        <v>0</v>
      </c>
      <c r="Y66" s="9" t="n">
        <v>0</v>
      </c>
      <c r="Z66" s="9" t="n">
        <v>0</v>
      </c>
      <c r="AB66" s="2">
        <f>ROUNDDOWN(LOG((X66+1),2),0)</f>
        <v/>
      </c>
      <c r="AC66" s="2">
        <f>ROUNDDOWN(LOG((Y66+1),2),0)</f>
        <v/>
      </c>
      <c r="AD66" s="2">
        <f>ROUNDDOWN(LOG((Z66+1),2),0)</f>
        <v/>
      </c>
      <c r="AG66" s="75" t="n">
        <v>70</v>
      </c>
      <c r="AH66" s="9" t="n">
        <v>0</v>
      </c>
      <c r="AI66" s="9" t="n">
        <v>0</v>
      </c>
      <c r="AJ66" s="9" t="n">
        <v>0</v>
      </c>
      <c r="AQ66" s="75" t="n">
        <v>70</v>
      </c>
      <c r="AR66" s="75" t="n">
        <v>66.559</v>
      </c>
      <c r="AS66" s="75" t="n">
        <v>57.061</v>
      </c>
      <c r="AT66" s="75" t="n">
        <v>55.862</v>
      </c>
      <c r="AV66" s="75" t="n">
        <v>70</v>
      </c>
      <c r="AW66" s="75">
        <f>Beginning_stock!AT94</f>
        <v/>
      </c>
      <c r="AX66" s="75">
        <f>Beginning_stock!AU94</f>
        <v/>
      </c>
      <c r="AY66" s="75">
        <f>Beginning_stock!AV94</f>
        <v/>
      </c>
      <c r="BA66" s="75" t="n">
        <v>70</v>
      </c>
      <c r="BB66" s="75">
        <f>IF(Demand!AU83=Retailers_Cap!N66,"ret=0",(AW66/(Demand!AU83-Retailers_Cap!N66)))</f>
        <v/>
      </c>
      <c r="BC66" s="75">
        <f>IF(Demand!AV83=Retailers_Cap!O66,"ret=0",(AX66/(Demand!AV83-Retailers_Cap!O66)))</f>
        <v/>
      </c>
      <c r="BD66" s="75">
        <f>IF(Demand!AW83=Retailers_Cap!P66,"ret=0",(AY66/(Demand!AW83-Retailers_Cap!P66)))</f>
        <v/>
      </c>
      <c r="BF66" s="75" t="n">
        <v>70</v>
      </c>
      <c r="BG66" s="2">
        <f>IF(Demand!AU83&lt;=Retailers_Cap!N66,"ret=0",(IF(BB66&lt;=AR66+Distributors_Cap!$P$47,1,0)))</f>
        <v/>
      </c>
      <c r="BH66" s="2">
        <f>IF(Demand!AV83&lt;=Retailers_Cap!O66,"ret=0",(IF(BC66&lt;=AS66+Distributors_Cap!$P$47,1,0)))</f>
        <v/>
      </c>
      <c r="BI66" s="2">
        <f>IF(Demand!AW83&lt;=Retailers_Cap!P66,"ret=0",(IF(BD66&lt;=AT66+Distributors_Cap!$P$47,1,0)))</f>
        <v/>
      </c>
      <c r="BK66" s="75" t="n">
        <v>70</v>
      </c>
      <c r="BL66" s="75">
        <f>Retailers!BH65</f>
        <v/>
      </c>
      <c r="BM66" s="75">
        <f>Retailers!BI65</f>
        <v/>
      </c>
      <c r="BN66" s="75">
        <f>Retailers!BJ65</f>
        <v/>
      </c>
      <c r="BP66" s="75" t="n">
        <v>70</v>
      </c>
      <c r="BQ66" s="75">
        <f>#REF!</f>
        <v/>
      </c>
      <c r="BR66" s="75">
        <f>#REF!</f>
        <v/>
      </c>
      <c r="BS66" s="75">
        <f>#REF!</f>
        <v/>
      </c>
      <c r="BU66" s="75" t="n">
        <v>70</v>
      </c>
      <c r="BV66" s="75">
        <f>Retailers!AS65</f>
        <v/>
      </c>
      <c r="BW66" s="75">
        <f>Retailers!AT65</f>
        <v/>
      </c>
      <c r="BX66" s="75">
        <f>Retailers!AU65</f>
        <v/>
      </c>
      <c r="BZ66" s="75" t="n">
        <v>70</v>
      </c>
      <c r="CA66" s="75">
        <f>Results!#REF!</f>
        <v/>
      </c>
      <c r="CB66" s="75">
        <f>Results!#REF!</f>
        <v/>
      </c>
      <c r="CC66" s="75">
        <f>Results!#REF!</f>
        <v/>
      </c>
      <c r="CE66" s="75" t="n">
        <v>70</v>
      </c>
      <c r="CF66" s="75">
        <f>Retailers!BN65</f>
        <v/>
      </c>
      <c r="CG66" s="75">
        <f>Retailers!BO65</f>
        <v/>
      </c>
      <c r="CH66" s="75">
        <f>Retailers!BP65</f>
        <v/>
      </c>
      <c r="CJ66" s="75" t="n">
        <v>70</v>
      </c>
      <c r="CK66" s="75">
        <f>IF(BB66="ret=0",0,IF(BB66&gt;0,AR66+Distributors_Cap!$P$47-BB66,0))</f>
        <v/>
      </c>
      <c r="CL66" s="75">
        <f>IF(BC66="ret=0",0,IF(BC66&gt;0,AS66+Distributors_Cap!$P$47-BC66,0))</f>
        <v/>
      </c>
      <c r="CM66" s="75">
        <f>IF(BD66="ret=0",0,IF(BD66&gt;0,AT66+Distributors_Cap!$P$47-BD66,0))</f>
        <v/>
      </c>
    </row>
    <row r="67">
      <c r="G67" s="75" t="n">
        <v>71</v>
      </c>
      <c r="H67" s="75" t="n">
        <v>61.114</v>
      </c>
      <c r="I67" s="75" t="n">
        <v>49.637</v>
      </c>
      <c r="J67" s="75" t="n">
        <v>61.122</v>
      </c>
      <c r="L67" s="75">
        <f>TRUNC((_xlfn.NORM.INV((RAND()),$K$7,$K$8)),0)</f>
        <v/>
      </c>
      <c r="M67" s="75" t="n">
        <v>71</v>
      </c>
      <c r="N67" s="5" t="n">
        <v>44</v>
      </c>
      <c r="O67" s="5" t="n">
        <v>22</v>
      </c>
      <c r="P67" s="5" t="n">
        <v>32</v>
      </c>
      <c r="R67" s="2">
        <f>IF(N67&gt;Demand!AU84,0,(IF(((2*(Retailers!AJ66+Distributors_Cap!$P$47)-Retailers_Cap!$BB$7)*(Demand!AU84-Retailers_Cap!N67))&lt;0,0,((IF(BB67&gt;2*(Retailers!AJ66+Distributors_Cap!$P$47),0,(IF(BG67=0,ROUNDUP((2*(Retailers!AJ66+Distributors_Cap!$P$47)-BB67)^0.5,0),ROUNDUP((2*(Retailers!AJ66+Distributors_Cap!$P$47)-BB67)^0.5,0)))))))))</f>
        <v/>
      </c>
      <c r="S67" s="2">
        <f>IF(O67&gt;Demand!AV84,0,(IF(((2*(Retailers!AK66+Distributors_Cap!$P$47)-Retailers_Cap!$BB$7)*(Demand!AV84-Retailers_Cap!O67))&lt;0,0,((IF(BC67&gt;2*(Retailers!AK66+Distributors_Cap!$P$47),0,(IF(BH67=0,ROUNDUP((2*(Retailers!AK66+Distributors_Cap!$P$47)-BC67)^0.5,0),ROUNDUP((2*(Retailers!AK66+Distributors_Cap!$P$47)-BC67)^0.5,0)))))))))</f>
        <v/>
      </c>
      <c r="T67" s="2">
        <f>IF(P67&gt;Demand!AW84,0,(IF(((2*(Retailers!AL66+Distributors_Cap!$P$47)-Retailers_Cap!$BB$7)*(Demand!AW84-Retailers_Cap!P67))&lt;0,0,((IF(BD67&gt;2*(Retailers!AL66+Distributors_Cap!$P$47),0,(IF(BI67=0,ROUNDUP((2*(Retailers!AL66+Distributors_Cap!$P$47)-BD67)^0.5,0),ROUNDUP((2*(Retailers!AL66+Distributors_Cap!$P$47)-BD67)^0.5,0)))))))))</f>
        <v/>
      </c>
      <c r="W67" s="75" t="n">
        <v>71</v>
      </c>
      <c r="X67" s="9" t="n">
        <v>0</v>
      </c>
      <c r="Y67" s="9" t="n">
        <v>12</v>
      </c>
      <c r="Z67" s="9" t="n">
        <v>4</v>
      </c>
      <c r="AB67" s="2">
        <f>ROUNDDOWN(LOG((X67+1),2),0)</f>
        <v/>
      </c>
      <c r="AC67" s="2">
        <f>ROUNDDOWN(LOG((Y67+1),2),0)</f>
        <v/>
      </c>
      <c r="AD67" s="2">
        <f>ROUNDDOWN(LOG((Z67+1),2),0)</f>
        <v/>
      </c>
      <c r="AG67" s="75" t="n">
        <v>71</v>
      </c>
      <c r="AH67" s="9" t="n">
        <v>0</v>
      </c>
      <c r="AI67" s="9" t="n">
        <v>3</v>
      </c>
      <c r="AJ67" s="9" t="n">
        <v>2</v>
      </c>
      <c r="AQ67" s="75" t="n">
        <v>71</v>
      </c>
      <c r="AR67" s="75" t="n">
        <v>61.114</v>
      </c>
      <c r="AS67" s="75" t="n">
        <v>49.637</v>
      </c>
      <c r="AT67" s="75" t="n">
        <v>61.122</v>
      </c>
      <c r="AV67" s="75" t="n">
        <v>71</v>
      </c>
      <c r="AW67" s="75">
        <f>Beginning_stock!AT95</f>
        <v/>
      </c>
      <c r="AX67" s="75">
        <f>Beginning_stock!AU95</f>
        <v/>
      </c>
      <c r="AY67" s="75">
        <f>Beginning_stock!AV95</f>
        <v/>
      </c>
      <c r="BA67" s="75" t="n">
        <v>71</v>
      </c>
      <c r="BB67" s="75">
        <f>IF(Demand!AU84=Retailers_Cap!N67,"ret=0",(AW67/(Demand!AU84-Retailers_Cap!N67)))</f>
        <v/>
      </c>
      <c r="BC67" s="75">
        <f>IF(Demand!AV84=Retailers_Cap!O67,"ret=0",(AX67/(Demand!AV84-Retailers_Cap!O67)))</f>
        <v/>
      </c>
      <c r="BD67" s="75">
        <f>IF(Demand!AW84=Retailers_Cap!P67,"ret=0",(AY67/(Demand!AW84-Retailers_Cap!P67)))</f>
        <v/>
      </c>
      <c r="BF67" s="75" t="n">
        <v>71</v>
      </c>
      <c r="BG67" s="2">
        <f>IF(Demand!AU84&lt;=Retailers_Cap!N67,"ret=0",(IF(BB67&lt;=AR67+Distributors_Cap!$P$47,1,0)))</f>
        <v/>
      </c>
      <c r="BH67" s="2">
        <f>IF(Demand!AV84&lt;=Retailers_Cap!O67,"ret=0",(IF(BC67&lt;=AS67+Distributors_Cap!$P$47,1,0)))</f>
        <v/>
      </c>
      <c r="BI67" s="2">
        <f>IF(Demand!AW84&lt;=Retailers_Cap!P67,"ret=0",(IF(BD67&lt;=AT67+Distributors_Cap!$P$47,1,0)))</f>
        <v/>
      </c>
      <c r="BK67" s="75" t="n">
        <v>71</v>
      </c>
      <c r="BL67" s="75">
        <f>Retailers!BH66</f>
        <v/>
      </c>
      <c r="BM67" s="75">
        <f>Retailers!BI66</f>
        <v/>
      </c>
      <c r="BN67" s="75">
        <f>Retailers!BJ66</f>
        <v/>
      </c>
      <c r="BP67" s="75" t="n">
        <v>71</v>
      </c>
      <c r="BQ67" s="75">
        <f>#REF!</f>
        <v/>
      </c>
      <c r="BR67" s="75">
        <f>#REF!</f>
        <v/>
      </c>
      <c r="BS67" s="75">
        <f>#REF!</f>
        <v/>
      </c>
      <c r="BU67" s="75" t="n">
        <v>71</v>
      </c>
      <c r="BV67" s="75">
        <f>Retailers!AS66</f>
        <v/>
      </c>
      <c r="BW67" s="75">
        <f>Retailers!AT66</f>
        <v/>
      </c>
      <c r="BX67" s="75">
        <f>Retailers!AU66</f>
        <v/>
      </c>
      <c r="BZ67" s="75" t="n">
        <v>71</v>
      </c>
      <c r="CA67" s="75">
        <f>Results!#REF!</f>
        <v/>
      </c>
      <c r="CB67" s="75">
        <f>Results!#REF!</f>
        <v/>
      </c>
      <c r="CC67" s="75">
        <f>Results!#REF!</f>
        <v/>
      </c>
      <c r="CE67" s="75" t="n">
        <v>71</v>
      </c>
      <c r="CF67" s="75">
        <f>Retailers!BN66</f>
        <v/>
      </c>
      <c r="CG67" s="75">
        <f>Retailers!BO66</f>
        <v/>
      </c>
      <c r="CH67" s="75">
        <f>Retailers!BP66</f>
        <v/>
      </c>
      <c r="CJ67" s="75" t="n">
        <v>71</v>
      </c>
      <c r="CK67" s="75">
        <f>IF(BB67="ret=0",0,IF(BB67&gt;0,AR67+Distributors_Cap!$P$47-BB67,0))</f>
        <v/>
      </c>
      <c r="CL67" s="75">
        <f>IF(BC67="ret=0",0,IF(BC67&gt;0,AS67+Distributors_Cap!$P$47-BC67,0))</f>
        <v/>
      </c>
      <c r="CM67" s="75">
        <f>IF(BD67="ret=0",0,IF(BD67&gt;0,AT67+Distributors_Cap!$P$47-BD67,0))</f>
        <v/>
      </c>
    </row>
    <row r="68">
      <c r="G68" s="75" t="n">
        <v>72</v>
      </c>
      <c r="H68" s="75" t="n">
        <v>59.499</v>
      </c>
      <c r="I68" s="75" t="n">
        <v>47.473</v>
      </c>
      <c r="J68" s="75" t="n">
        <v>72.15000000000001</v>
      </c>
      <c r="L68" s="75">
        <f>TRUNC((_xlfn.NORM.INV((RAND()),$K$7,$K$8)),0)</f>
        <v/>
      </c>
      <c r="M68" s="75" t="n">
        <v>72</v>
      </c>
      <c r="N68" s="5" t="n">
        <v>22</v>
      </c>
      <c r="O68" s="5" t="n">
        <v>35</v>
      </c>
      <c r="P68" s="5" t="n">
        <v>25</v>
      </c>
      <c r="R68" s="2">
        <f>IF(N68&gt;Demand!AU85,0,(IF(((2*(Retailers!AJ67+Distributors_Cap!$P$47)-Retailers_Cap!$BB$7)*(Demand!AU85-Retailers_Cap!N68))&lt;0,0,((IF(BB68&gt;2*(Retailers!AJ67+Distributors_Cap!$P$47),0,(IF(BG68=0,ROUNDUP((2*(Retailers!AJ67+Distributors_Cap!$P$47)-BB68)^0.5,0),ROUNDUP((2*(Retailers!AJ67+Distributors_Cap!$P$47)-BB68)^0.5,0)))))))))</f>
        <v/>
      </c>
      <c r="S68" s="2">
        <f>IF(O68&gt;Demand!AV85,0,(IF(((2*(Retailers!AK67+Distributors_Cap!$P$47)-Retailers_Cap!$BB$7)*(Demand!AV85-Retailers_Cap!O68))&lt;0,0,((IF(BC68&gt;2*(Retailers!AK67+Distributors_Cap!$P$47),0,(IF(BH68=0,ROUNDUP((2*(Retailers!AK67+Distributors_Cap!$P$47)-BC68)^0.5,0),ROUNDUP((2*(Retailers!AK67+Distributors_Cap!$P$47)-BC68)^0.5,0)))))))))</f>
        <v/>
      </c>
      <c r="T68" s="2">
        <f>IF(P68&gt;Demand!AW85,0,(IF(((2*(Retailers!AL67+Distributors_Cap!$P$47)-Retailers_Cap!$BB$7)*(Demand!AW85-Retailers_Cap!P68))&lt;0,0,((IF(BD68&gt;2*(Retailers!AL67+Distributors_Cap!$P$47),0,(IF(BI68=0,ROUNDUP((2*(Retailers!AL67+Distributors_Cap!$P$47)-BD68)^0.5,0),ROUNDUP((2*(Retailers!AL67+Distributors_Cap!$P$47)-BD68)^0.5,0)))))))))</f>
        <v/>
      </c>
      <c r="W68" s="75" t="n">
        <v>72</v>
      </c>
      <c r="X68" s="9" t="n">
        <v>0</v>
      </c>
      <c r="Y68" s="9" t="n">
        <v>0</v>
      </c>
      <c r="Z68" s="9" t="n">
        <v>14</v>
      </c>
      <c r="AB68" s="2">
        <f>ROUNDDOWN(LOG((X68+1),2),0)</f>
        <v/>
      </c>
      <c r="AC68" s="2">
        <f>ROUNDDOWN(LOG((Y68+1),2),0)</f>
        <v/>
      </c>
      <c r="AD68" s="2">
        <f>ROUNDDOWN(LOG((Z68+1),2),0)</f>
        <v/>
      </c>
      <c r="AG68" s="75" t="n">
        <v>72</v>
      </c>
      <c r="AH68" s="9" t="n">
        <v>0</v>
      </c>
      <c r="AI68" s="9" t="n">
        <v>0</v>
      </c>
      <c r="AJ68" s="9" t="n">
        <v>3</v>
      </c>
      <c r="AQ68" s="75" t="n">
        <v>72</v>
      </c>
      <c r="AR68" s="75" t="n">
        <v>59.499</v>
      </c>
      <c r="AS68" s="75" t="n">
        <v>47.473</v>
      </c>
      <c r="AT68" s="75" t="n">
        <v>72.15000000000001</v>
      </c>
      <c r="AV68" s="75" t="n">
        <v>72</v>
      </c>
      <c r="AW68" s="75">
        <f>Beginning_stock!AT96</f>
        <v/>
      </c>
      <c r="AX68" s="75">
        <f>Beginning_stock!AU96</f>
        <v/>
      </c>
      <c r="AY68" s="75">
        <f>Beginning_stock!AV96</f>
        <v/>
      </c>
      <c r="BA68" s="75" t="n">
        <v>72</v>
      </c>
      <c r="BB68" s="75">
        <f>IF(Demand!AU85=Retailers_Cap!N68,"ret=0",(AW68/(Demand!AU85-Retailers_Cap!N68)))</f>
        <v/>
      </c>
      <c r="BC68" s="75">
        <f>IF(Demand!AV85=Retailers_Cap!O68,"ret=0",(AX68/(Demand!AV85-Retailers_Cap!O68)))</f>
        <v/>
      </c>
      <c r="BD68" s="75">
        <f>IF(Demand!AW85=Retailers_Cap!P68,"ret=0",(AY68/(Demand!AW85-Retailers_Cap!P68)))</f>
        <v/>
      </c>
      <c r="BF68" s="75" t="n">
        <v>72</v>
      </c>
      <c r="BG68" s="2">
        <f>IF(Demand!AU85&lt;=Retailers_Cap!N68,"ret=0",(IF(BB68&lt;=AR68+Distributors_Cap!$P$47,1,0)))</f>
        <v/>
      </c>
      <c r="BH68" s="2">
        <f>IF(Demand!AV85&lt;=Retailers_Cap!O68,"ret=0",(IF(BC68&lt;=AS68+Distributors_Cap!$P$47,1,0)))</f>
        <v/>
      </c>
      <c r="BI68" s="2">
        <f>IF(Demand!AW85&lt;=Retailers_Cap!P68,"ret=0",(IF(BD68&lt;=AT68+Distributors_Cap!$P$47,1,0)))</f>
        <v/>
      </c>
      <c r="BK68" s="75" t="n">
        <v>72</v>
      </c>
      <c r="BL68" s="75">
        <f>Retailers!BH67</f>
        <v/>
      </c>
      <c r="BM68" s="75">
        <f>Retailers!BI67</f>
        <v/>
      </c>
      <c r="BN68" s="75">
        <f>Retailers!BJ67</f>
        <v/>
      </c>
      <c r="BP68" s="75" t="n">
        <v>72</v>
      </c>
      <c r="BQ68" s="75">
        <f>#REF!</f>
        <v/>
      </c>
      <c r="BR68" s="75">
        <f>#REF!</f>
        <v/>
      </c>
      <c r="BS68" s="75">
        <f>#REF!</f>
        <v/>
      </c>
      <c r="BU68" s="75" t="n">
        <v>72</v>
      </c>
      <c r="BV68" s="75">
        <f>Retailers!AS67</f>
        <v/>
      </c>
      <c r="BW68" s="75">
        <f>Retailers!AT67</f>
        <v/>
      </c>
      <c r="BX68" s="75">
        <f>Retailers!AU67</f>
        <v/>
      </c>
      <c r="BZ68" s="75" t="n">
        <v>72</v>
      </c>
      <c r="CA68" s="75">
        <f>Results!#REF!</f>
        <v/>
      </c>
      <c r="CB68" s="75">
        <f>Results!#REF!</f>
        <v/>
      </c>
      <c r="CC68" s="75">
        <f>Results!#REF!</f>
        <v/>
      </c>
      <c r="CE68" s="75" t="n">
        <v>72</v>
      </c>
      <c r="CF68" s="75">
        <f>Retailers!BN67</f>
        <v/>
      </c>
      <c r="CG68" s="75">
        <f>Retailers!BO67</f>
        <v/>
      </c>
      <c r="CH68" s="75">
        <f>Retailers!BP67</f>
        <v/>
      </c>
      <c r="CJ68" s="75" t="n">
        <v>72</v>
      </c>
      <c r="CK68" s="75">
        <f>IF(BB68="ret=0",0,IF(BB68&gt;0,AR68+Distributors_Cap!$P$47-BB68,0))</f>
        <v/>
      </c>
      <c r="CL68" s="75">
        <f>IF(BC68="ret=0",0,IF(BC68&gt;0,AS68+Distributors_Cap!$P$47-BC68,0))</f>
        <v/>
      </c>
      <c r="CM68" s="75">
        <f>IF(BD68="ret=0",0,IF(BD68&gt;0,AT68+Distributors_Cap!$P$47-BD68,0))</f>
        <v/>
      </c>
    </row>
    <row r="69">
      <c r="G69" s="75" t="n">
        <v>73</v>
      </c>
      <c r="H69" s="75" t="n">
        <v>63.459</v>
      </c>
      <c r="I69" s="75" t="n">
        <v>73.873</v>
      </c>
      <c r="J69" s="75" t="n">
        <v>65.596</v>
      </c>
      <c r="L69" s="75">
        <f>TRUNC((_xlfn.NORM.INV((RAND()),$K$7,$K$8)),0)</f>
        <v/>
      </c>
      <c r="M69" s="75" t="n">
        <v>73</v>
      </c>
      <c r="N69" s="5" t="n">
        <v>22</v>
      </c>
      <c r="O69" s="5" t="n">
        <v>20</v>
      </c>
      <c r="P69" s="5" t="n">
        <v>23</v>
      </c>
      <c r="R69" s="2">
        <f>IF(N69&gt;Demand!AU86,0,(IF(((2*(Retailers!AJ68+Distributors_Cap!$P$47)-Retailers_Cap!$BB$7)*(Demand!AU86-Retailers_Cap!N69))&lt;0,0,((IF(BB69&gt;2*(Retailers!AJ68+Distributors_Cap!$P$47),0,(IF(BG69=0,ROUNDUP((2*(Retailers!AJ68+Distributors_Cap!$P$47)-BB69)^0.5,0),ROUNDUP((2*(Retailers!AJ68+Distributors_Cap!$P$47)-BB69)^0.5,0)))))))))</f>
        <v/>
      </c>
      <c r="S69" s="2">
        <f>IF(O69&gt;Demand!AV86,0,(IF(((2*(Retailers!AK68+Distributors_Cap!$P$47)-Retailers_Cap!$BB$7)*(Demand!AV86-Retailers_Cap!O69))&lt;0,0,((IF(BC69&gt;2*(Retailers!AK68+Distributors_Cap!$P$47),0,(IF(BH69=0,ROUNDUP((2*(Retailers!AK68+Distributors_Cap!$P$47)-BC69)^0.5,0),ROUNDUP((2*(Retailers!AK68+Distributors_Cap!$P$47)-BC69)^0.5,0)))))))))</f>
        <v/>
      </c>
      <c r="T69" s="2">
        <f>IF(P69&gt;Demand!AW86,0,(IF(((2*(Retailers!AL68+Distributors_Cap!$P$47)-Retailers_Cap!$BB$7)*(Demand!AW86-Retailers_Cap!P69))&lt;0,0,((IF(BD69&gt;2*(Retailers!AL68+Distributors_Cap!$P$47),0,(IF(BI69=0,ROUNDUP((2*(Retailers!AL68+Distributors_Cap!$P$47)-BD69)^0.5,0),ROUNDUP((2*(Retailers!AL68+Distributors_Cap!$P$47)-BD69)^0.5,0)))))))))</f>
        <v/>
      </c>
      <c r="W69" s="75" t="n">
        <v>73</v>
      </c>
      <c r="X69" s="9" t="n">
        <v>13</v>
      </c>
      <c r="Y69" s="9" t="n">
        <v>0</v>
      </c>
      <c r="Z69" s="9" t="n">
        <v>0</v>
      </c>
      <c r="AB69" s="2">
        <f>ROUNDDOWN(LOG((X69+1),2),0)</f>
        <v/>
      </c>
      <c r="AC69" s="2">
        <f>ROUNDDOWN(LOG((Y69+1),2),0)</f>
        <v/>
      </c>
      <c r="AD69" s="2">
        <f>ROUNDDOWN(LOG((Z69+1),2),0)</f>
        <v/>
      </c>
      <c r="AG69" s="75" t="n">
        <v>73</v>
      </c>
      <c r="AH69" s="9" t="n">
        <v>3</v>
      </c>
      <c r="AI69" s="9" t="n">
        <v>0</v>
      </c>
      <c r="AJ69" s="9" t="n">
        <v>0</v>
      </c>
      <c r="AQ69" s="75" t="n">
        <v>73</v>
      </c>
      <c r="AR69" s="75" t="n">
        <v>63.459</v>
      </c>
      <c r="AS69" s="75" t="n">
        <v>73.873</v>
      </c>
      <c r="AT69" s="75" t="n">
        <v>65.596</v>
      </c>
      <c r="AV69" s="75" t="n">
        <v>73</v>
      </c>
      <c r="AW69" s="75">
        <f>Beginning_stock!AT97</f>
        <v/>
      </c>
      <c r="AX69" s="75">
        <f>Beginning_stock!AU97</f>
        <v/>
      </c>
      <c r="AY69" s="75">
        <f>Beginning_stock!AV97</f>
        <v/>
      </c>
      <c r="BA69" s="75" t="n">
        <v>73</v>
      </c>
      <c r="BB69" s="75">
        <f>IF(Demand!AU86=Retailers_Cap!N69,"ret=0",(AW69/(Demand!AU86-Retailers_Cap!N69)))</f>
        <v/>
      </c>
      <c r="BC69" s="75">
        <f>IF(Demand!AV86=Retailers_Cap!O69,"ret=0",(AX69/(Demand!AV86-Retailers_Cap!O69)))</f>
        <v/>
      </c>
      <c r="BD69" s="75">
        <f>IF(Demand!AW86=Retailers_Cap!P69,"ret=0",(AY69/(Demand!AW86-Retailers_Cap!P69)))</f>
        <v/>
      </c>
      <c r="BF69" s="75" t="n">
        <v>73</v>
      </c>
      <c r="BG69" s="2">
        <f>IF(Demand!AU86&lt;=Retailers_Cap!N69,"ret=0",(IF(BB69&lt;=AR69+Distributors_Cap!$P$47,1,0)))</f>
        <v/>
      </c>
      <c r="BH69" s="2">
        <f>IF(Demand!AV86&lt;=Retailers_Cap!O69,"ret=0",(IF(BC69&lt;=AS69+Distributors_Cap!$P$47,1,0)))</f>
        <v/>
      </c>
      <c r="BI69" s="2">
        <f>IF(Demand!AW86&lt;=Retailers_Cap!P69,"ret=0",(IF(BD69&lt;=AT69+Distributors_Cap!$P$47,1,0)))</f>
        <v/>
      </c>
      <c r="BK69" s="75" t="n">
        <v>73</v>
      </c>
      <c r="BL69" s="75">
        <f>Retailers!BH68</f>
        <v/>
      </c>
      <c r="BM69" s="75">
        <f>Retailers!BI68</f>
        <v/>
      </c>
      <c r="BN69" s="75">
        <f>Retailers!BJ68</f>
        <v/>
      </c>
      <c r="BP69" s="75" t="n">
        <v>73</v>
      </c>
      <c r="BQ69" s="75">
        <f>#REF!</f>
        <v/>
      </c>
      <c r="BR69" s="75">
        <f>#REF!</f>
        <v/>
      </c>
      <c r="BS69" s="75">
        <f>#REF!</f>
        <v/>
      </c>
      <c r="BU69" s="75" t="n">
        <v>73</v>
      </c>
      <c r="BV69" s="75">
        <f>Retailers!AS68</f>
        <v/>
      </c>
      <c r="BW69" s="75">
        <f>Retailers!AT68</f>
        <v/>
      </c>
      <c r="BX69" s="75">
        <f>Retailers!AU68</f>
        <v/>
      </c>
      <c r="BZ69" s="75" t="n">
        <v>73</v>
      </c>
      <c r="CA69" s="75">
        <f>Results!#REF!</f>
        <v/>
      </c>
      <c r="CB69" s="75">
        <f>Results!#REF!</f>
        <v/>
      </c>
      <c r="CC69" s="75">
        <f>Results!#REF!</f>
        <v/>
      </c>
      <c r="CE69" s="75" t="n">
        <v>73</v>
      </c>
      <c r="CF69" s="75">
        <f>Retailers!BN68</f>
        <v/>
      </c>
      <c r="CG69" s="75">
        <f>Retailers!BO68</f>
        <v/>
      </c>
      <c r="CH69" s="75">
        <f>Retailers!BP68</f>
        <v/>
      </c>
      <c r="CJ69" s="75" t="n">
        <v>73</v>
      </c>
      <c r="CK69" s="75">
        <f>IF(BB69="ret=0",0,IF(BB69&gt;0,AR69+Distributors_Cap!$P$47-BB69,0))</f>
        <v/>
      </c>
      <c r="CL69" s="75">
        <f>IF(BC69="ret=0",0,IF(BC69&gt;0,AS69+Distributors_Cap!$P$47-BC69,0))</f>
        <v/>
      </c>
      <c r="CM69" s="75">
        <f>IF(BD69="ret=0",0,IF(BD69&gt;0,AT69+Distributors_Cap!$P$47-BD69,0))</f>
        <v/>
      </c>
    </row>
    <row r="70">
      <c r="G70" s="75" t="n">
        <v>74</v>
      </c>
      <c r="H70" s="75" t="n">
        <v>75.883</v>
      </c>
      <c r="I70" s="75" t="n">
        <v>67.568</v>
      </c>
      <c r="J70" s="75" t="n">
        <v>52.956</v>
      </c>
      <c r="L70" s="75">
        <f>TRUNC((_xlfn.NORM.INV((RAND()),$K$7,$K$8)),0)</f>
        <v/>
      </c>
      <c r="M70" s="75" t="n">
        <v>74</v>
      </c>
      <c r="N70" s="5" t="n">
        <v>37</v>
      </c>
      <c r="O70" s="5" t="n">
        <v>28</v>
      </c>
      <c r="P70" s="5" t="n">
        <v>30</v>
      </c>
      <c r="R70" s="2">
        <f>IF(N70&gt;Demand!AU87,0,(IF(((2*(Retailers!AJ69+Distributors_Cap!$P$47)-Retailers_Cap!$BB$7)*(Demand!AU87-Retailers_Cap!N70))&lt;0,0,((IF(BB70&gt;2*(Retailers!AJ69+Distributors_Cap!$P$47),0,(IF(BG70=0,ROUNDUP((2*(Retailers!AJ69+Distributors_Cap!$P$47)-BB70)^0.5,0),ROUNDUP((2*(Retailers!AJ69+Distributors_Cap!$P$47)-BB70)^0.5,0)))))))))</f>
        <v/>
      </c>
      <c r="S70" s="2">
        <f>IF(O70&gt;Demand!AV87,0,(IF(((2*(Retailers!AK69+Distributors_Cap!$P$47)-Retailers_Cap!$BB$7)*(Demand!AV87-Retailers_Cap!O70))&lt;0,0,((IF(BC70&gt;2*(Retailers!AK69+Distributors_Cap!$P$47),0,(IF(BH70=0,ROUNDUP((2*(Retailers!AK69+Distributors_Cap!$P$47)-BC70)^0.5,0),ROUNDUP((2*(Retailers!AK69+Distributors_Cap!$P$47)-BC70)^0.5,0)))))))))</f>
        <v/>
      </c>
      <c r="T70" s="2">
        <f>IF(P70&gt;Demand!AW87,0,(IF(((2*(Retailers!AL69+Distributors_Cap!$P$47)-Retailers_Cap!$BB$7)*(Demand!AW87-Retailers_Cap!P70))&lt;0,0,((IF(BD70&gt;2*(Retailers!AL69+Distributors_Cap!$P$47),0,(IF(BI70=0,ROUNDUP((2*(Retailers!AL69+Distributors_Cap!$P$47)-BD70)^0.5,0),ROUNDUP((2*(Retailers!AL69+Distributors_Cap!$P$47)-BD70)^0.5,0)))))))))</f>
        <v/>
      </c>
      <c r="W70" s="75" t="n">
        <v>74</v>
      </c>
      <c r="X70" s="9" t="n">
        <v>0</v>
      </c>
      <c r="Y70" s="9" t="n">
        <v>11</v>
      </c>
      <c r="Z70" s="9" t="n">
        <v>12</v>
      </c>
      <c r="AB70" s="2">
        <f>ROUNDDOWN(LOG((X70+1),2),0)</f>
        <v/>
      </c>
      <c r="AC70" s="2">
        <f>ROUNDDOWN(LOG((Y70+1),2),0)</f>
        <v/>
      </c>
      <c r="AD70" s="2">
        <f>ROUNDDOWN(LOG((Z70+1),2),0)</f>
        <v/>
      </c>
      <c r="AG70" s="75" t="n">
        <v>74</v>
      </c>
      <c r="AH70" s="9" t="n">
        <v>0</v>
      </c>
      <c r="AI70" s="9" t="n">
        <v>3</v>
      </c>
      <c r="AJ70" s="9" t="n">
        <v>3</v>
      </c>
      <c r="AQ70" s="75" t="n">
        <v>74</v>
      </c>
      <c r="AR70" s="75" t="n">
        <v>75.883</v>
      </c>
      <c r="AS70" s="75" t="n">
        <v>67.568</v>
      </c>
      <c r="AT70" s="75" t="n">
        <v>52.956</v>
      </c>
      <c r="AV70" s="75" t="n">
        <v>74</v>
      </c>
      <c r="AW70" s="75">
        <f>Beginning_stock!AT98</f>
        <v/>
      </c>
      <c r="AX70" s="75">
        <f>Beginning_stock!AU98</f>
        <v/>
      </c>
      <c r="AY70" s="75">
        <f>Beginning_stock!AV98</f>
        <v/>
      </c>
      <c r="BA70" s="75" t="n">
        <v>74</v>
      </c>
      <c r="BB70" s="75">
        <f>IF(Demand!AU87=Retailers_Cap!N70,"ret=0",(AW70/(Demand!AU87-Retailers_Cap!N70)))</f>
        <v/>
      </c>
      <c r="BC70" s="75">
        <f>IF(Demand!AV87=Retailers_Cap!O70,"ret=0",(AX70/(Demand!AV87-Retailers_Cap!O70)))</f>
        <v/>
      </c>
      <c r="BD70" s="75">
        <f>IF(Demand!AW87=Retailers_Cap!P70,"ret=0",(AY70/(Demand!AW87-Retailers_Cap!P70)))</f>
        <v/>
      </c>
      <c r="BF70" s="75" t="n">
        <v>74</v>
      </c>
      <c r="BG70" s="2">
        <f>IF(Demand!AU87&lt;=Retailers_Cap!N70,"ret=0",(IF(BB70&lt;=AR70+Distributors_Cap!$P$47,1,0)))</f>
        <v/>
      </c>
      <c r="BH70" s="2">
        <f>IF(Demand!AV87&lt;=Retailers_Cap!O70,"ret=0",(IF(BC70&lt;=AS70+Distributors_Cap!$P$47,1,0)))</f>
        <v/>
      </c>
      <c r="BI70" s="2">
        <f>IF(Demand!AW87&lt;=Retailers_Cap!P70,"ret=0",(IF(BD70&lt;=AT70+Distributors_Cap!$P$47,1,0)))</f>
        <v/>
      </c>
      <c r="BK70" s="75" t="n">
        <v>74</v>
      </c>
      <c r="BL70" s="75">
        <f>Retailers!BH69</f>
        <v/>
      </c>
      <c r="BM70" s="75">
        <f>Retailers!BI69</f>
        <v/>
      </c>
      <c r="BN70" s="75">
        <f>Retailers!BJ69</f>
        <v/>
      </c>
      <c r="BP70" s="75" t="n">
        <v>74</v>
      </c>
      <c r="BQ70" s="75">
        <f>#REF!</f>
        <v/>
      </c>
      <c r="BR70" s="75">
        <f>#REF!</f>
        <v/>
      </c>
      <c r="BS70" s="75">
        <f>#REF!</f>
        <v/>
      </c>
      <c r="BU70" s="75" t="n">
        <v>74</v>
      </c>
      <c r="BV70" s="75">
        <f>Retailers!AS69</f>
        <v/>
      </c>
      <c r="BW70" s="75">
        <f>Retailers!AT69</f>
        <v/>
      </c>
      <c r="BX70" s="75">
        <f>Retailers!AU69</f>
        <v/>
      </c>
      <c r="BZ70" s="75" t="n">
        <v>74</v>
      </c>
      <c r="CA70" s="75">
        <f>Results!#REF!</f>
        <v/>
      </c>
      <c r="CB70" s="75">
        <f>Results!#REF!</f>
        <v/>
      </c>
      <c r="CC70" s="75">
        <f>Results!#REF!</f>
        <v/>
      </c>
      <c r="CE70" s="75" t="n">
        <v>74</v>
      </c>
      <c r="CF70" s="75">
        <f>Retailers!BN69</f>
        <v/>
      </c>
      <c r="CG70" s="75">
        <f>Retailers!BO69</f>
        <v/>
      </c>
      <c r="CH70" s="75">
        <f>Retailers!BP69</f>
        <v/>
      </c>
      <c r="CJ70" s="75" t="n">
        <v>74</v>
      </c>
      <c r="CK70" s="75">
        <f>IF(BB70="ret=0",0,IF(BB70&gt;0,AR70+Distributors_Cap!$P$47-BB70,0))</f>
        <v/>
      </c>
      <c r="CL70" s="75">
        <f>IF(BC70="ret=0",0,IF(BC70&gt;0,AS70+Distributors_Cap!$P$47-BC70,0))</f>
        <v/>
      </c>
      <c r="CM70" s="75">
        <f>IF(BD70="ret=0",0,IF(BD70&gt;0,AT70+Distributors_Cap!$P$47-BD70,0))</f>
        <v/>
      </c>
    </row>
    <row r="71">
      <c r="G71" s="75" t="n">
        <v>75</v>
      </c>
      <c r="H71" s="75" t="n">
        <v>59.17</v>
      </c>
      <c r="I71" s="75" t="n">
        <v>63.307</v>
      </c>
      <c r="J71" s="75" t="n">
        <v>42.014</v>
      </c>
      <c r="L71" s="75">
        <f>TRUNC((_xlfn.NORM.INV((RAND()),$K$7,$K$8)),0)</f>
        <v/>
      </c>
      <c r="M71" s="75" t="n">
        <v>75</v>
      </c>
      <c r="N71" s="5" t="n">
        <v>33</v>
      </c>
      <c r="O71" s="5" t="n">
        <v>22</v>
      </c>
      <c r="P71" s="5" t="n">
        <v>28</v>
      </c>
      <c r="R71" s="2">
        <f>IF(N71&gt;Demand!AU88,0,(IF(((2*(Retailers!AJ70+Distributors_Cap!$P$47)-Retailers_Cap!$BB$7)*(Demand!AU88-Retailers_Cap!N71))&lt;0,0,((IF(BB71&gt;2*(Retailers!AJ70+Distributors_Cap!$P$47),0,(IF(BG71=0,ROUNDUP((2*(Retailers!AJ70+Distributors_Cap!$P$47)-BB71)^0.5,0),ROUNDUP((2*(Retailers!AJ70+Distributors_Cap!$P$47)-BB71)^0.5,0)))))))))</f>
        <v/>
      </c>
      <c r="S71" s="2">
        <f>IF(O71&gt;Demand!AV88,0,(IF(((2*(Retailers!AK70+Distributors_Cap!$P$47)-Retailers_Cap!$BB$7)*(Demand!AV88-Retailers_Cap!O71))&lt;0,0,((IF(BC71&gt;2*(Retailers!AK70+Distributors_Cap!$P$47),0,(IF(BH71=0,ROUNDUP((2*(Retailers!AK70+Distributors_Cap!$P$47)-BC71)^0.5,0),ROUNDUP((2*(Retailers!AK70+Distributors_Cap!$P$47)-BC71)^0.5,0)))))))))</f>
        <v/>
      </c>
      <c r="T71" s="2">
        <f>IF(P71&gt;Demand!AW88,0,(IF(((2*(Retailers!AL70+Distributors_Cap!$P$47)-Retailers_Cap!$BB$7)*(Demand!AW88-Retailers_Cap!P71))&lt;0,0,((IF(BD71&gt;2*(Retailers!AL70+Distributors_Cap!$P$47),0,(IF(BI71=0,ROUNDUP((2*(Retailers!AL70+Distributors_Cap!$P$47)-BD71)^0.5,0),ROUNDUP((2*(Retailers!AL70+Distributors_Cap!$P$47)-BD71)^0.5,0)))))))))</f>
        <v/>
      </c>
      <c r="W71" s="75" t="n">
        <v>75</v>
      </c>
      <c r="X71" s="9" t="n">
        <v>12</v>
      </c>
      <c r="Y71" s="9" t="n">
        <v>0</v>
      </c>
      <c r="Z71" s="9" t="n">
        <v>12</v>
      </c>
      <c r="AB71" s="2">
        <f>ROUNDDOWN(LOG((X71+1),2),0)</f>
        <v/>
      </c>
      <c r="AC71" s="2">
        <f>ROUNDDOWN(LOG((Y71+1),2),0)</f>
        <v/>
      </c>
      <c r="AD71" s="2">
        <f>ROUNDDOWN(LOG((Z71+1),2),0)</f>
        <v/>
      </c>
      <c r="AG71" s="75" t="n">
        <v>75</v>
      </c>
      <c r="AH71" s="9" t="n">
        <v>3</v>
      </c>
      <c r="AI71" s="9" t="n">
        <v>0</v>
      </c>
      <c r="AJ71" s="9" t="n">
        <v>3</v>
      </c>
      <c r="AQ71" s="75" t="n">
        <v>75</v>
      </c>
      <c r="AR71" s="75" t="n">
        <v>59.17</v>
      </c>
      <c r="AS71" s="75" t="n">
        <v>63.307</v>
      </c>
      <c r="AT71" s="75" t="n">
        <v>42.014</v>
      </c>
      <c r="AV71" s="75" t="n">
        <v>75</v>
      </c>
      <c r="AW71" s="75">
        <f>Beginning_stock!AT99</f>
        <v/>
      </c>
      <c r="AX71" s="75">
        <f>Beginning_stock!AU99</f>
        <v/>
      </c>
      <c r="AY71" s="75">
        <f>Beginning_stock!AV99</f>
        <v/>
      </c>
      <c r="BA71" s="75" t="n">
        <v>75</v>
      </c>
      <c r="BB71" s="75">
        <f>IF(Demand!AU88=Retailers_Cap!N71,"ret=0",(AW71/(Demand!AU88-Retailers_Cap!N71)))</f>
        <v/>
      </c>
      <c r="BC71" s="75">
        <f>IF(Demand!AV88=Retailers_Cap!O71,"ret=0",(AX71/(Demand!AV88-Retailers_Cap!O71)))</f>
        <v/>
      </c>
      <c r="BD71" s="75">
        <f>IF(Demand!AW88=Retailers_Cap!P71,"ret=0",(AY71/(Demand!AW88-Retailers_Cap!P71)))</f>
        <v/>
      </c>
      <c r="BF71" s="75" t="n">
        <v>75</v>
      </c>
      <c r="BG71" s="2">
        <f>IF(Demand!AU88&lt;=Retailers_Cap!N71,"ret=0",(IF(BB71&lt;=AR71+Distributors_Cap!$P$47,1,0)))</f>
        <v/>
      </c>
      <c r="BH71" s="2">
        <f>IF(Demand!AV88&lt;=Retailers_Cap!O71,"ret=0",(IF(BC71&lt;=AS71+Distributors_Cap!$P$47,1,0)))</f>
        <v/>
      </c>
      <c r="BI71" s="2">
        <f>IF(Demand!AW88&lt;=Retailers_Cap!P71,"ret=0",(IF(BD71&lt;=AT71+Distributors_Cap!$P$47,1,0)))</f>
        <v/>
      </c>
      <c r="BK71" s="75" t="n">
        <v>75</v>
      </c>
      <c r="BL71" s="75">
        <f>Retailers!BH70</f>
        <v/>
      </c>
      <c r="BM71" s="75">
        <f>Retailers!BI70</f>
        <v/>
      </c>
      <c r="BN71" s="75">
        <f>Retailers!BJ70</f>
        <v/>
      </c>
      <c r="BP71" s="75" t="n">
        <v>75</v>
      </c>
      <c r="BQ71" s="75">
        <f>#REF!</f>
        <v/>
      </c>
      <c r="BR71" s="75">
        <f>#REF!</f>
        <v/>
      </c>
      <c r="BS71" s="75">
        <f>#REF!</f>
        <v/>
      </c>
      <c r="BU71" s="75" t="n">
        <v>75</v>
      </c>
      <c r="BV71" s="75">
        <f>Retailers!AS70</f>
        <v/>
      </c>
      <c r="BW71" s="75">
        <f>Retailers!AT70</f>
        <v/>
      </c>
      <c r="BX71" s="75">
        <f>Retailers!AU70</f>
        <v/>
      </c>
      <c r="BZ71" s="75" t="n">
        <v>75</v>
      </c>
      <c r="CA71" s="75">
        <f>Results!#REF!</f>
        <v/>
      </c>
      <c r="CB71" s="75">
        <f>Results!#REF!</f>
        <v/>
      </c>
      <c r="CC71" s="75">
        <f>Results!#REF!</f>
        <v/>
      </c>
      <c r="CE71" s="75" t="n">
        <v>75</v>
      </c>
      <c r="CF71" s="75">
        <f>Retailers!BN70</f>
        <v/>
      </c>
      <c r="CG71" s="75">
        <f>Retailers!BO70</f>
        <v/>
      </c>
      <c r="CH71" s="75">
        <f>Retailers!BP70</f>
        <v/>
      </c>
      <c r="CJ71" s="75" t="n">
        <v>75</v>
      </c>
      <c r="CK71" s="75">
        <f>IF(BB71="ret=0",0,IF(BB71&gt;0,AR71+Distributors_Cap!$P$47-BB71,0))</f>
        <v/>
      </c>
      <c r="CL71" s="75">
        <f>IF(BC71="ret=0",0,IF(BC71&gt;0,AS71+Distributors_Cap!$P$47-BC71,0))</f>
        <v/>
      </c>
      <c r="CM71" s="75">
        <f>IF(BD71="ret=0",0,IF(BD71&gt;0,AT71+Distributors_Cap!$P$47-BD71,0))</f>
        <v/>
      </c>
    </row>
    <row r="72">
      <c r="G72" s="75" t="n">
        <v>76</v>
      </c>
      <c r="H72" s="75" t="n">
        <v>59.302</v>
      </c>
      <c r="I72" s="75" t="n">
        <v>59.712</v>
      </c>
      <c r="J72" s="75" t="n">
        <v>58.993</v>
      </c>
      <c r="L72" s="75">
        <f>TRUNC((_xlfn.NORM.INV((RAND()),$K$7,$K$8)),0)</f>
        <v/>
      </c>
      <c r="M72" s="75" t="n">
        <v>76</v>
      </c>
      <c r="N72" s="5" t="n">
        <v>30</v>
      </c>
      <c r="O72" s="5" t="n">
        <v>40</v>
      </c>
      <c r="P72" s="5" t="n">
        <v>12</v>
      </c>
      <c r="R72" s="2">
        <f>IF(N72&gt;Demand!AU89,0,(IF(((2*(Retailers!AJ71+Distributors_Cap!$P$47)-Retailers_Cap!$BB$7)*(Demand!AU89-Retailers_Cap!N72))&lt;0,0,((IF(BB72&gt;2*(Retailers!AJ71+Distributors_Cap!$P$47),0,(IF(BG72=0,ROUNDUP((2*(Retailers!AJ71+Distributors_Cap!$P$47)-BB72)^0.5,0),ROUNDUP((2*(Retailers!AJ71+Distributors_Cap!$P$47)-BB72)^0.5,0)))))))))</f>
        <v/>
      </c>
      <c r="S72" s="2">
        <f>IF(O72&gt;Demand!AV89,0,(IF(((2*(Retailers!AK71+Distributors_Cap!$P$47)-Retailers_Cap!$BB$7)*(Demand!AV89-Retailers_Cap!O72))&lt;0,0,((IF(BC72&gt;2*(Retailers!AK71+Distributors_Cap!$P$47),0,(IF(BH72=0,ROUNDUP((2*(Retailers!AK71+Distributors_Cap!$P$47)-BC72)^0.5,0),ROUNDUP((2*(Retailers!AK71+Distributors_Cap!$P$47)-BC72)^0.5,0)))))))))</f>
        <v/>
      </c>
      <c r="T72" s="2">
        <f>IF(P72&gt;Demand!AW89,0,(IF(((2*(Retailers!AL71+Distributors_Cap!$P$47)-Retailers_Cap!$BB$7)*(Demand!AW89-Retailers_Cap!P72))&lt;0,0,((IF(BD72&gt;2*(Retailers!AL71+Distributors_Cap!$P$47),0,(IF(BI72=0,ROUNDUP((2*(Retailers!AL71+Distributors_Cap!$P$47)-BD72)^0.5,0),ROUNDUP((2*(Retailers!AL71+Distributors_Cap!$P$47)-BD72)^0.5,0)))))))))</f>
        <v/>
      </c>
      <c r="W72" s="75" t="n">
        <v>76</v>
      </c>
      <c r="X72" s="9" t="n">
        <v>5</v>
      </c>
      <c r="Y72" s="9" t="n">
        <v>0</v>
      </c>
      <c r="Z72" s="9" t="n">
        <v>13</v>
      </c>
      <c r="AB72" s="2">
        <f>ROUNDDOWN(LOG((X72+1),2),0)</f>
        <v/>
      </c>
      <c r="AC72" s="2">
        <f>ROUNDDOWN(LOG((Y72+1),2),0)</f>
        <v/>
      </c>
      <c r="AD72" s="2">
        <f>ROUNDDOWN(LOG((Z72+1),2),0)</f>
        <v/>
      </c>
      <c r="AG72" s="75" t="n">
        <v>76</v>
      </c>
      <c r="AH72" s="9" t="n">
        <v>2</v>
      </c>
      <c r="AI72" s="9" t="n">
        <v>0</v>
      </c>
      <c r="AJ72" s="9" t="n">
        <v>3</v>
      </c>
      <c r="AQ72" s="75" t="n">
        <v>76</v>
      </c>
      <c r="AR72" s="75" t="n">
        <v>59.302</v>
      </c>
      <c r="AS72" s="75" t="n">
        <v>59.712</v>
      </c>
      <c r="AT72" s="75" t="n">
        <v>58.993</v>
      </c>
      <c r="AV72" s="75" t="n">
        <v>76</v>
      </c>
      <c r="AW72" s="75">
        <f>Beginning_stock!AT100</f>
        <v/>
      </c>
      <c r="AX72" s="75">
        <f>Beginning_stock!AU100</f>
        <v/>
      </c>
      <c r="AY72" s="75">
        <f>Beginning_stock!AV100</f>
        <v/>
      </c>
      <c r="BA72" s="75" t="n">
        <v>76</v>
      </c>
      <c r="BB72" s="75">
        <f>IF(Demand!AU89=Retailers_Cap!N72,"ret=0",(AW72/(Demand!AU89-Retailers_Cap!N72)))</f>
        <v/>
      </c>
      <c r="BC72" s="75">
        <f>IF(Demand!AV89=Retailers_Cap!O72,"ret=0",(AX72/(Demand!AV89-Retailers_Cap!O72)))</f>
        <v/>
      </c>
      <c r="BD72" s="75">
        <f>IF(Demand!AW89=Retailers_Cap!P72,"ret=0",(AY72/(Demand!AW89-Retailers_Cap!P72)))</f>
        <v/>
      </c>
      <c r="BF72" s="75" t="n">
        <v>76</v>
      </c>
      <c r="BG72" s="2">
        <f>IF(Demand!AU89&lt;=Retailers_Cap!N72,"ret=0",(IF(BB72&lt;=AR72+Distributors_Cap!$P$47,1,0)))</f>
        <v/>
      </c>
      <c r="BH72" s="2">
        <f>IF(Demand!AV89&lt;=Retailers_Cap!O72,"ret=0",(IF(BC72&lt;=AS72+Distributors_Cap!$P$47,1,0)))</f>
        <v/>
      </c>
      <c r="BI72" s="2">
        <f>IF(Demand!AW89&lt;=Retailers_Cap!P72,"ret=0",(IF(BD72&lt;=AT72+Distributors_Cap!$P$47,1,0)))</f>
        <v/>
      </c>
      <c r="BK72" s="75" t="n">
        <v>76</v>
      </c>
      <c r="BL72" s="75">
        <f>Retailers!BH71</f>
        <v/>
      </c>
      <c r="BM72" s="75">
        <f>Retailers!BI71</f>
        <v/>
      </c>
      <c r="BN72" s="75">
        <f>Retailers!BJ71</f>
        <v/>
      </c>
      <c r="BP72" s="75" t="n">
        <v>76</v>
      </c>
      <c r="BQ72" s="75">
        <f>#REF!</f>
        <v/>
      </c>
      <c r="BR72" s="75">
        <f>#REF!</f>
        <v/>
      </c>
      <c r="BS72" s="75">
        <f>#REF!</f>
        <v/>
      </c>
      <c r="BU72" s="75" t="n">
        <v>76</v>
      </c>
      <c r="BV72" s="75">
        <f>Retailers!AS71</f>
        <v/>
      </c>
      <c r="BW72" s="75">
        <f>Retailers!AT71</f>
        <v/>
      </c>
      <c r="BX72" s="75">
        <f>Retailers!AU71</f>
        <v/>
      </c>
      <c r="BZ72" s="75" t="n">
        <v>76</v>
      </c>
      <c r="CA72" s="75">
        <f>Results!#REF!</f>
        <v/>
      </c>
      <c r="CB72" s="75">
        <f>Results!#REF!</f>
        <v/>
      </c>
      <c r="CC72" s="75">
        <f>Results!#REF!</f>
        <v/>
      </c>
      <c r="CE72" s="75" t="n">
        <v>76</v>
      </c>
      <c r="CF72" s="75">
        <f>Retailers!BN71</f>
        <v/>
      </c>
      <c r="CG72" s="75">
        <f>Retailers!BO71</f>
        <v/>
      </c>
      <c r="CH72" s="75">
        <f>Retailers!BP71</f>
        <v/>
      </c>
      <c r="CJ72" s="75" t="n">
        <v>76</v>
      </c>
      <c r="CK72" s="75">
        <f>IF(BB72="ret=0",0,IF(BB72&gt;0,AR72+Distributors_Cap!$P$47-BB72,0))</f>
        <v/>
      </c>
      <c r="CL72" s="75">
        <f>IF(BC72="ret=0",0,IF(BC72&gt;0,AS72+Distributors_Cap!$P$47-BC72,0))</f>
        <v/>
      </c>
      <c r="CM72" s="75">
        <f>IF(BD72="ret=0",0,IF(BD72&gt;0,AT72+Distributors_Cap!$P$47-BD72,0))</f>
        <v/>
      </c>
    </row>
    <row r="73">
      <c r="G73" s="75" t="n">
        <v>77</v>
      </c>
      <c r="H73" s="75" t="n">
        <v>66.357</v>
      </c>
      <c r="I73" s="75" t="n">
        <v>54.774</v>
      </c>
      <c r="J73" s="75" t="n">
        <v>61.446</v>
      </c>
      <c r="L73" s="75">
        <f>TRUNC((_xlfn.NORM.INV((RAND()),$K$7,$K$8)),0)</f>
        <v/>
      </c>
      <c r="M73" s="75" t="n">
        <v>77</v>
      </c>
      <c r="N73" s="5" t="n">
        <v>30</v>
      </c>
      <c r="O73" s="5" t="n">
        <v>24</v>
      </c>
      <c r="P73" s="5" t="n">
        <v>22</v>
      </c>
      <c r="R73" s="2">
        <f>IF(N73&gt;Demand!AU90,0,(IF(((2*(Retailers!AJ72+Distributors_Cap!$P$47)-Retailers_Cap!$BB$7)*(Demand!AU90-Retailers_Cap!N73))&lt;0,0,((IF(BB73&gt;2*(Retailers!AJ72+Distributors_Cap!$P$47),0,(IF(BG73=0,ROUNDUP((2*(Retailers!AJ72+Distributors_Cap!$P$47)-BB73)^0.5,0),ROUNDUP((2*(Retailers!AJ72+Distributors_Cap!$P$47)-BB73)^0.5,0)))))))))</f>
        <v/>
      </c>
      <c r="S73" s="2">
        <f>IF(O73&gt;Demand!AV90,0,(IF(((2*(Retailers!AK72+Distributors_Cap!$P$47)-Retailers_Cap!$BB$7)*(Demand!AV90-Retailers_Cap!O73))&lt;0,0,((IF(BC73&gt;2*(Retailers!AK72+Distributors_Cap!$P$47),0,(IF(BH73=0,ROUNDUP((2*(Retailers!AK72+Distributors_Cap!$P$47)-BC73)^0.5,0),ROUNDUP((2*(Retailers!AK72+Distributors_Cap!$P$47)-BC73)^0.5,0)))))))))</f>
        <v/>
      </c>
      <c r="T73" s="2">
        <f>IF(P73&gt;Demand!AW90,0,(IF(((2*(Retailers!AL72+Distributors_Cap!$P$47)-Retailers_Cap!$BB$7)*(Demand!AW90-Retailers_Cap!P73))&lt;0,0,((IF(BD73&gt;2*(Retailers!AL72+Distributors_Cap!$P$47),0,(IF(BI73=0,ROUNDUP((2*(Retailers!AL72+Distributors_Cap!$P$47)-BD73)^0.5,0),ROUNDUP((2*(Retailers!AL72+Distributors_Cap!$P$47)-BD73)^0.5,0)))))))))</f>
        <v/>
      </c>
      <c r="W73" s="75" t="n">
        <v>77</v>
      </c>
      <c r="X73" s="9" t="n">
        <v>0</v>
      </c>
      <c r="Y73" s="9" t="n">
        <v>0</v>
      </c>
      <c r="Z73" s="9" t="n">
        <v>0</v>
      </c>
      <c r="AB73" s="2">
        <f>ROUNDDOWN(LOG((X73+1),2),0)</f>
        <v/>
      </c>
      <c r="AC73" s="2">
        <f>ROUNDDOWN(LOG((Y73+1),2),0)</f>
        <v/>
      </c>
      <c r="AD73" s="2">
        <f>ROUNDDOWN(LOG((Z73+1),2),0)</f>
        <v/>
      </c>
      <c r="AG73" s="75" t="n">
        <v>77</v>
      </c>
      <c r="AH73" s="9" t="n">
        <v>0</v>
      </c>
      <c r="AI73" s="9" t="n">
        <v>0</v>
      </c>
      <c r="AJ73" s="9" t="n">
        <v>0</v>
      </c>
      <c r="AQ73" s="75" t="n">
        <v>77</v>
      </c>
      <c r="AR73" s="75" t="n">
        <v>66.357</v>
      </c>
      <c r="AS73" s="75" t="n">
        <v>54.774</v>
      </c>
      <c r="AT73" s="75" t="n">
        <v>61.446</v>
      </c>
      <c r="AV73" s="75" t="n">
        <v>77</v>
      </c>
      <c r="AW73" s="75">
        <f>Beginning_stock!AT101</f>
        <v/>
      </c>
      <c r="AX73" s="75">
        <f>Beginning_stock!AU101</f>
        <v/>
      </c>
      <c r="AY73" s="75">
        <f>Beginning_stock!AV101</f>
        <v/>
      </c>
      <c r="BA73" s="75" t="n">
        <v>77</v>
      </c>
      <c r="BB73" s="75">
        <f>IF(Demand!AU90=Retailers_Cap!N73,"ret=0",(AW73/(Demand!AU90-Retailers_Cap!N73)))</f>
        <v/>
      </c>
      <c r="BC73" s="75">
        <f>IF(Demand!AV90=Retailers_Cap!O73,"ret=0",(AX73/(Demand!AV90-Retailers_Cap!O73)))</f>
        <v/>
      </c>
      <c r="BD73" s="75">
        <f>IF(Demand!AW90=Retailers_Cap!P73,"ret=0",(AY73/(Demand!AW90-Retailers_Cap!P73)))</f>
        <v/>
      </c>
      <c r="BF73" s="75" t="n">
        <v>77</v>
      </c>
      <c r="BG73" s="2">
        <f>IF(Demand!AU90&lt;=Retailers_Cap!N73,"ret=0",(IF(BB73&lt;=AR73+Distributors_Cap!$P$47,1,0)))</f>
        <v/>
      </c>
      <c r="BH73" s="2">
        <f>IF(Demand!AV90&lt;=Retailers_Cap!O73,"ret=0",(IF(BC73&lt;=AS73+Distributors_Cap!$P$47,1,0)))</f>
        <v/>
      </c>
      <c r="BI73" s="2">
        <f>IF(Demand!AW90&lt;=Retailers_Cap!P73,"ret=0",(IF(BD73&lt;=AT73+Distributors_Cap!$P$47,1,0)))</f>
        <v/>
      </c>
      <c r="BK73" s="75" t="n">
        <v>77</v>
      </c>
      <c r="BL73" s="75">
        <f>Retailers!BH72</f>
        <v/>
      </c>
      <c r="BM73" s="75">
        <f>Retailers!BI72</f>
        <v/>
      </c>
      <c r="BN73" s="75">
        <f>Retailers!BJ72</f>
        <v/>
      </c>
      <c r="BP73" s="75" t="n">
        <v>77</v>
      </c>
      <c r="BQ73" s="75">
        <f>#REF!</f>
        <v/>
      </c>
      <c r="BR73" s="75">
        <f>#REF!</f>
        <v/>
      </c>
      <c r="BS73" s="75">
        <f>#REF!</f>
        <v/>
      </c>
      <c r="BU73" s="75" t="n">
        <v>77</v>
      </c>
      <c r="BV73" s="75">
        <f>Retailers!AS72</f>
        <v/>
      </c>
      <c r="BW73" s="75">
        <f>Retailers!AT72</f>
        <v/>
      </c>
      <c r="BX73" s="75">
        <f>Retailers!AU72</f>
        <v/>
      </c>
      <c r="BZ73" s="75" t="n">
        <v>77</v>
      </c>
      <c r="CA73" s="75">
        <f>Results!#REF!</f>
        <v/>
      </c>
      <c r="CB73" s="75">
        <f>Results!#REF!</f>
        <v/>
      </c>
      <c r="CC73" s="75">
        <f>Results!#REF!</f>
        <v/>
      </c>
      <c r="CE73" s="75" t="n">
        <v>77</v>
      </c>
      <c r="CF73" s="75">
        <f>Retailers!BN72</f>
        <v/>
      </c>
      <c r="CG73" s="75">
        <f>Retailers!BO72</f>
        <v/>
      </c>
      <c r="CH73" s="75">
        <f>Retailers!BP72</f>
        <v/>
      </c>
      <c r="CJ73" s="75" t="n">
        <v>77</v>
      </c>
      <c r="CK73" s="75">
        <f>IF(BB73="ret=0",0,IF(BB73&gt;0,AR73+Distributors_Cap!$P$47-BB73,0))</f>
        <v/>
      </c>
      <c r="CL73" s="75">
        <f>IF(BC73="ret=0",0,IF(BC73&gt;0,AS73+Distributors_Cap!$P$47-BC73,0))</f>
        <v/>
      </c>
      <c r="CM73" s="75">
        <f>IF(BD73="ret=0",0,IF(BD73&gt;0,AT73+Distributors_Cap!$P$47-BD73,0))</f>
        <v/>
      </c>
    </row>
    <row r="74">
      <c r="G74" s="75" t="n">
        <v>78</v>
      </c>
      <c r="H74" s="75" t="n">
        <v>47.284</v>
      </c>
      <c r="I74" s="75" t="n">
        <v>76.55200000000001</v>
      </c>
      <c r="J74" s="75" t="n">
        <v>51.357</v>
      </c>
      <c r="L74" s="75">
        <f>TRUNC((_xlfn.NORM.INV((RAND()),$K$7,$K$8)),0)</f>
        <v/>
      </c>
      <c r="M74" s="75" t="n">
        <v>78</v>
      </c>
      <c r="N74" s="5" t="n">
        <v>44</v>
      </c>
      <c r="O74" s="5" t="n">
        <v>25</v>
      </c>
      <c r="P74" s="5" t="n">
        <v>29</v>
      </c>
      <c r="R74" s="2">
        <f>IF(N74&gt;Demand!AU91,0,(IF(((2*(Retailers!AJ73+Distributors_Cap!$P$47)-Retailers_Cap!$BB$7)*(Demand!AU91-Retailers_Cap!N74))&lt;0,0,((IF(BB74&gt;2*(Retailers!AJ73+Distributors_Cap!$P$47),0,(IF(BG74=0,ROUNDUP((2*(Retailers!AJ73+Distributors_Cap!$P$47)-BB74)^0.5,0),ROUNDUP((2*(Retailers!AJ73+Distributors_Cap!$P$47)-BB74)^0.5,0)))))))))</f>
        <v/>
      </c>
      <c r="S74" s="2">
        <f>IF(O74&gt;Demand!AV91,0,(IF(((2*(Retailers!AK73+Distributors_Cap!$P$47)-Retailers_Cap!$BB$7)*(Demand!AV91-Retailers_Cap!O74))&lt;0,0,((IF(BC74&gt;2*(Retailers!AK73+Distributors_Cap!$P$47),0,(IF(BH74=0,ROUNDUP((2*(Retailers!AK73+Distributors_Cap!$P$47)-BC74)^0.5,0),ROUNDUP((2*(Retailers!AK73+Distributors_Cap!$P$47)-BC74)^0.5,0)))))))))</f>
        <v/>
      </c>
      <c r="T74" s="2">
        <f>IF(P74&gt;Demand!AW91,0,(IF(((2*(Retailers!AL73+Distributors_Cap!$P$47)-Retailers_Cap!$BB$7)*(Demand!AW91-Retailers_Cap!P74))&lt;0,0,((IF(BD74&gt;2*(Retailers!AL73+Distributors_Cap!$P$47),0,(IF(BI74=0,ROUNDUP((2*(Retailers!AL73+Distributors_Cap!$P$47)-BD74)^0.5,0),ROUNDUP((2*(Retailers!AL73+Distributors_Cap!$P$47)-BD74)^0.5,0)))))))))</f>
        <v/>
      </c>
      <c r="W74" s="75" t="n">
        <v>78</v>
      </c>
      <c r="X74" s="9" t="n">
        <v>0</v>
      </c>
      <c r="Y74" s="9" t="n">
        <v>14</v>
      </c>
      <c r="Z74" s="9" t="n">
        <v>11</v>
      </c>
      <c r="AB74" s="2">
        <f>ROUNDDOWN(LOG((X74+1),2),0)</f>
        <v/>
      </c>
      <c r="AC74" s="2">
        <f>ROUNDDOWN(LOG((Y74+1),2),0)</f>
        <v/>
      </c>
      <c r="AD74" s="2">
        <f>ROUNDDOWN(LOG((Z74+1),2),0)</f>
        <v/>
      </c>
      <c r="AG74" s="75" t="n">
        <v>78</v>
      </c>
      <c r="AH74" s="9" t="n">
        <v>0</v>
      </c>
      <c r="AI74" s="9" t="n">
        <v>3</v>
      </c>
      <c r="AJ74" s="9" t="n">
        <v>3</v>
      </c>
      <c r="AQ74" s="75" t="n">
        <v>78</v>
      </c>
      <c r="AR74" s="75" t="n">
        <v>47.284</v>
      </c>
      <c r="AS74" s="75" t="n">
        <v>76.55200000000001</v>
      </c>
      <c r="AT74" s="75" t="n">
        <v>51.357</v>
      </c>
      <c r="AV74" s="75" t="n">
        <v>78</v>
      </c>
      <c r="AW74" s="75">
        <f>Beginning_stock!AT102</f>
        <v/>
      </c>
      <c r="AX74" s="75">
        <f>Beginning_stock!AU102</f>
        <v/>
      </c>
      <c r="AY74" s="75">
        <f>Beginning_stock!AV102</f>
        <v/>
      </c>
      <c r="BA74" s="75" t="n">
        <v>78</v>
      </c>
      <c r="BB74" s="75">
        <f>IF(Demand!AU91=Retailers_Cap!N74,"ret=0",(AW74/(Demand!AU91-Retailers_Cap!N74)))</f>
        <v/>
      </c>
      <c r="BC74" s="75">
        <f>IF(Demand!AV91=Retailers_Cap!O74,"ret=0",(AX74/(Demand!AV91-Retailers_Cap!O74)))</f>
        <v/>
      </c>
      <c r="BD74" s="75">
        <f>IF(Demand!AW91=Retailers_Cap!P74,"ret=0",(AY74/(Demand!AW91-Retailers_Cap!P74)))</f>
        <v/>
      </c>
      <c r="BF74" s="75" t="n">
        <v>78</v>
      </c>
      <c r="BG74" s="2">
        <f>IF(Demand!AU91&lt;=Retailers_Cap!N74,"ret=0",(IF(BB74&lt;=AR74+Distributors_Cap!$P$47,1,0)))</f>
        <v/>
      </c>
      <c r="BH74" s="2">
        <f>IF(Demand!AV91&lt;=Retailers_Cap!O74,"ret=0",(IF(BC74&lt;=AS74+Distributors_Cap!$P$47,1,0)))</f>
        <v/>
      </c>
      <c r="BI74" s="2">
        <f>IF(Demand!AW91&lt;=Retailers_Cap!P74,"ret=0",(IF(BD74&lt;=AT74+Distributors_Cap!$P$47,1,0)))</f>
        <v/>
      </c>
      <c r="BK74" s="75" t="n">
        <v>78</v>
      </c>
      <c r="BL74" s="75">
        <f>Retailers!BH73</f>
        <v/>
      </c>
      <c r="BM74" s="75">
        <f>Retailers!BI73</f>
        <v/>
      </c>
      <c r="BN74" s="75">
        <f>Retailers!BJ73</f>
        <v/>
      </c>
      <c r="BP74" s="75" t="n">
        <v>78</v>
      </c>
      <c r="BQ74" s="75">
        <f>#REF!</f>
        <v/>
      </c>
      <c r="BR74" s="75">
        <f>#REF!</f>
        <v/>
      </c>
      <c r="BS74" s="75">
        <f>#REF!</f>
        <v/>
      </c>
      <c r="BU74" s="75" t="n">
        <v>78</v>
      </c>
      <c r="BV74" s="75">
        <f>Retailers!AS73</f>
        <v/>
      </c>
      <c r="BW74" s="75">
        <f>Retailers!AT73</f>
        <v/>
      </c>
      <c r="BX74" s="75">
        <f>Retailers!AU73</f>
        <v/>
      </c>
      <c r="BZ74" s="75" t="n">
        <v>78</v>
      </c>
      <c r="CA74" s="75">
        <f>Results!#REF!</f>
        <v/>
      </c>
      <c r="CB74" s="75">
        <f>Results!#REF!</f>
        <v/>
      </c>
      <c r="CC74" s="75">
        <f>Results!#REF!</f>
        <v/>
      </c>
      <c r="CE74" s="75" t="n">
        <v>78</v>
      </c>
      <c r="CF74" s="75">
        <f>Retailers!BN73</f>
        <v/>
      </c>
      <c r="CG74" s="75">
        <f>Retailers!BO73</f>
        <v/>
      </c>
      <c r="CH74" s="75">
        <f>Retailers!BP73</f>
        <v/>
      </c>
      <c r="CJ74" s="75" t="n">
        <v>78</v>
      </c>
      <c r="CK74" s="75">
        <f>IF(BB74="ret=0",0,IF(BB74&gt;0,AR74+Distributors_Cap!$P$47-BB74,0))</f>
        <v/>
      </c>
      <c r="CL74" s="75">
        <f>IF(BC74="ret=0",0,IF(BC74&gt;0,AS74+Distributors_Cap!$P$47-BC74,0))</f>
        <v/>
      </c>
      <c r="CM74" s="75">
        <f>IF(BD74="ret=0",0,IF(BD74&gt;0,AT74+Distributors_Cap!$P$47-BD74,0))</f>
        <v/>
      </c>
    </row>
    <row r="75">
      <c r="G75" s="75" t="n">
        <v>79</v>
      </c>
      <c r="H75" s="75" t="n">
        <v>79.316</v>
      </c>
      <c r="I75" s="75" t="n">
        <v>61.48</v>
      </c>
      <c r="J75" s="75" t="n">
        <v>55.911</v>
      </c>
      <c r="L75" s="75">
        <f>TRUNC((_xlfn.NORM.INV((RAND()),$K$7,$K$8)),0)</f>
        <v/>
      </c>
      <c r="M75" s="75" t="n">
        <v>79</v>
      </c>
      <c r="N75" s="5" t="n">
        <v>25</v>
      </c>
      <c r="O75" s="5" t="n">
        <v>19</v>
      </c>
      <c r="P75" s="5" t="n">
        <v>31</v>
      </c>
      <c r="R75" s="2">
        <f>IF(N75&gt;Demand!AU92,0,(IF(((2*(Retailers!AJ74+Distributors_Cap!$P$47)-Retailers_Cap!$BB$7)*(Demand!AU92-Retailers_Cap!N75))&lt;0,0,((IF(BB75&gt;2*(Retailers!AJ74+Distributors_Cap!$P$47),0,(IF(BG75=0,ROUNDUP((2*(Retailers!AJ74+Distributors_Cap!$P$47)-BB75)^0.5,0),ROUNDUP((2*(Retailers!AJ74+Distributors_Cap!$P$47)-BB75)^0.5,0)))))))))</f>
        <v/>
      </c>
      <c r="S75" s="2">
        <f>IF(O75&gt;Demand!AV92,0,(IF(((2*(Retailers!AK74+Distributors_Cap!$P$47)-Retailers_Cap!$BB$7)*(Demand!AV92-Retailers_Cap!O75))&lt;0,0,((IF(BC75&gt;2*(Retailers!AK74+Distributors_Cap!$P$47),0,(IF(BH75=0,ROUNDUP((2*(Retailers!AK74+Distributors_Cap!$P$47)-BC75)^0.5,0),ROUNDUP((2*(Retailers!AK74+Distributors_Cap!$P$47)-BC75)^0.5,0)))))))))</f>
        <v/>
      </c>
      <c r="T75" s="2">
        <f>IF(P75&gt;Demand!AW92,0,(IF(((2*(Retailers!AL74+Distributors_Cap!$P$47)-Retailers_Cap!$BB$7)*(Demand!AW92-Retailers_Cap!P75))&lt;0,0,((IF(BD75&gt;2*(Retailers!AL74+Distributors_Cap!$P$47),0,(IF(BI75=0,ROUNDUP((2*(Retailers!AL74+Distributors_Cap!$P$47)-BD75)^0.5,0),ROUNDUP((2*(Retailers!AL74+Distributors_Cap!$P$47)-BD75)^0.5,0)))))))))</f>
        <v/>
      </c>
      <c r="W75" s="75" t="n">
        <v>79</v>
      </c>
      <c r="X75" s="9" t="n">
        <v>0</v>
      </c>
      <c r="Y75" s="9" t="n">
        <v>13</v>
      </c>
      <c r="Z75" s="9" t="n">
        <v>0</v>
      </c>
      <c r="AB75" s="2">
        <f>ROUNDDOWN(LOG((X75+1),2),0)</f>
        <v/>
      </c>
      <c r="AC75" s="2">
        <f>ROUNDDOWN(LOG((Y75+1),2),0)</f>
        <v/>
      </c>
      <c r="AD75" s="2">
        <f>ROUNDDOWN(LOG((Z75+1),2),0)</f>
        <v/>
      </c>
      <c r="AG75" s="75" t="n">
        <v>79</v>
      </c>
      <c r="AH75" s="9" t="n">
        <v>0</v>
      </c>
      <c r="AI75" s="9" t="n">
        <v>3</v>
      </c>
      <c r="AJ75" s="9" t="n">
        <v>0</v>
      </c>
      <c r="AQ75" s="75" t="n">
        <v>79</v>
      </c>
      <c r="AR75" s="75" t="n">
        <v>79.316</v>
      </c>
      <c r="AS75" s="75" t="n">
        <v>61.48</v>
      </c>
      <c r="AT75" s="75" t="n">
        <v>55.911</v>
      </c>
      <c r="AV75" s="75" t="n">
        <v>79</v>
      </c>
      <c r="AW75" s="75">
        <f>Beginning_stock!AT103</f>
        <v/>
      </c>
      <c r="AX75" s="75">
        <f>Beginning_stock!AU103</f>
        <v/>
      </c>
      <c r="AY75" s="75">
        <f>Beginning_stock!AV103</f>
        <v/>
      </c>
      <c r="BA75" s="75" t="n">
        <v>79</v>
      </c>
      <c r="BB75" s="75">
        <f>IF(Demand!AU92=Retailers_Cap!N75,"ret=0",(AW75/(Demand!AU92-Retailers_Cap!N75)))</f>
        <v/>
      </c>
      <c r="BC75" s="75">
        <f>IF(Demand!AV92=Retailers_Cap!O75,"ret=0",(AX75/(Demand!AV92-Retailers_Cap!O75)))</f>
        <v/>
      </c>
      <c r="BD75" s="75">
        <f>IF(Demand!AW92=Retailers_Cap!P75,"ret=0",(AY75/(Demand!AW92-Retailers_Cap!P75)))</f>
        <v/>
      </c>
      <c r="BF75" s="75" t="n">
        <v>79</v>
      </c>
      <c r="BG75" s="2">
        <f>IF(Demand!AU92&lt;=Retailers_Cap!N75,"ret=0",(IF(BB75&lt;=AR75+Distributors_Cap!$P$47,1,0)))</f>
        <v/>
      </c>
      <c r="BH75" s="2">
        <f>IF(Demand!AV92&lt;=Retailers_Cap!O75,"ret=0",(IF(BC75&lt;=AS75+Distributors_Cap!$P$47,1,0)))</f>
        <v/>
      </c>
      <c r="BI75" s="2">
        <f>IF(Demand!AW92&lt;=Retailers_Cap!P75,"ret=0",(IF(BD75&lt;=AT75+Distributors_Cap!$P$47,1,0)))</f>
        <v/>
      </c>
      <c r="BK75" s="75" t="n">
        <v>79</v>
      </c>
      <c r="BL75" s="75">
        <f>Retailers!BH74</f>
        <v/>
      </c>
      <c r="BM75" s="75">
        <f>Retailers!BI74</f>
        <v/>
      </c>
      <c r="BN75" s="75">
        <f>Retailers!BJ74</f>
        <v/>
      </c>
      <c r="BP75" s="75" t="n">
        <v>79</v>
      </c>
      <c r="BQ75" s="75">
        <f>#REF!</f>
        <v/>
      </c>
      <c r="BR75" s="75">
        <f>#REF!</f>
        <v/>
      </c>
      <c r="BS75" s="75">
        <f>#REF!</f>
        <v/>
      </c>
      <c r="BU75" s="75" t="n">
        <v>79</v>
      </c>
      <c r="BV75" s="75">
        <f>Retailers!AS74</f>
        <v/>
      </c>
      <c r="BW75" s="75">
        <f>Retailers!AT74</f>
        <v/>
      </c>
      <c r="BX75" s="75">
        <f>Retailers!AU74</f>
        <v/>
      </c>
      <c r="BZ75" s="75" t="n">
        <v>79</v>
      </c>
      <c r="CA75" s="75">
        <f>Results!#REF!</f>
        <v/>
      </c>
      <c r="CB75" s="75">
        <f>Results!#REF!</f>
        <v/>
      </c>
      <c r="CC75" s="75">
        <f>Results!#REF!</f>
        <v/>
      </c>
      <c r="CE75" s="75" t="n">
        <v>79</v>
      </c>
      <c r="CF75" s="75">
        <f>Retailers!BN74</f>
        <v/>
      </c>
      <c r="CG75" s="75">
        <f>Retailers!BO74</f>
        <v/>
      </c>
      <c r="CH75" s="75">
        <f>Retailers!BP74</f>
        <v/>
      </c>
      <c r="CJ75" s="75" t="n">
        <v>79</v>
      </c>
      <c r="CK75" s="75">
        <f>IF(BB75="ret=0",0,IF(BB75&gt;0,AR75+Distributors_Cap!$P$47-BB75,0))</f>
        <v/>
      </c>
      <c r="CL75" s="75">
        <f>IF(BC75="ret=0",0,IF(BC75&gt;0,AS75+Distributors_Cap!$P$47-BC75,0))</f>
        <v/>
      </c>
      <c r="CM75" s="75">
        <f>IF(BD75="ret=0",0,IF(BD75&gt;0,AT75+Distributors_Cap!$P$47-BD75,0))</f>
        <v/>
      </c>
    </row>
    <row r="76">
      <c r="G76" s="75" t="n">
        <v>80</v>
      </c>
      <c r="H76" s="75" t="n">
        <v>44.08</v>
      </c>
      <c r="I76" s="75" t="n">
        <v>41.398</v>
      </c>
      <c r="J76" s="75" t="n">
        <v>78.483</v>
      </c>
      <c r="L76" s="75">
        <f>TRUNC((_xlfn.NORM.INV((RAND()),$K$7,$K$8)),0)</f>
        <v/>
      </c>
      <c r="M76" s="75" t="n">
        <v>80</v>
      </c>
      <c r="N76" s="5" t="n">
        <v>31</v>
      </c>
      <c r="O76" s="5" t="n">
        <v>30</v>
      </c>
      <c r="P76" s="5" t="n">
        <v>26</v>
      </c>
      <c r="R76" s="2">
        <f>IF(N76&gt;Demand!AU93,0,(IF(((2*(Retailers!AJ75+Distributors_Cap!$P$47)-Retailers_Cap!$BB$7)*(Demand!AU93-Retailers_Cap!N76))&lt;0,0,((IF(BB76&gt;2*(Retailers!AJ75+Distributors_Cap!$P$47),0,(IF(BG76=0,ROUNDUP((2*(Retailers!AJ75+Distributors_Cap!$P$47)-BB76)^0.5,0),ROUNDUP((2*(Retailers!AJ75+Distributors_Cap!$P$47)-BB76)^0.5,0)))))))))</f>
        <v/>
      </c>
      <c r="S76" s="2">
        <f>IF(O76&gt;Demand!AV93,0,(IF(((2*(Retailers!AK75+Distributors_Cap!$P$47)-Retailers_Cap!$BB$7)*(Demand!AV93-Retailers_Cap!O76))&lt;0,0,((IF(BC76&gt;2*(Retailers!AK75+Distributors_Cap!$P$47),0,(IF(BH76=0,ROUNDUP((2*(Retailers!AK75+Distributors_Cap!$P$47)-BC76)^0.5,0),ROUNDUP((2*(Retailers!AK75+Distributors_Cap!$P$47)-BC76)^0.5,0)))))))))</f>
        <v/>
      </c>
      <c r="T76" s="2">
        <f>IF(P76&gt;Demand!AW93,0,(IF(((2*(Retailers!AL75+Distributors_Cap!$P$47)-Retailers_Cap!$BB$7)*(Demand!AW93-Retailers_Cap!P76))&lt;0,0,((IF(BD76&gt;2*(Retailers!AL75+Distributors_Cap!$P$47),0,(IF(BI76=0,ROUNDUP((2*(Retailers!AL75+Distributors_Cap!$P$47)-BD76)^0.5,0),ROUNDUP((2*(Retailers!AL75+Distributors_Cap!$P$47)-BD76)^0.5,0)))))))))</f>
        <v/>
      </c>
      <c r="W76" s="75" t="n">
        <v>80</v>
      </c>
      <c r="X76" s="9" t="n">
        <v>0</v>
      </c>
      <c r="Y76" s="9" t="n">
        <v>0</v>
      </c>
      <c r="Z76" s="9" t="n">
        <v>14</v>
      </c>
      <c r="AB76" s="2">
        <f>ROUNDDOWN(LOG((X76+1),2),0)</f>
        <v/>
      </c>
      <c r="AC76" s="2">
        <f>ROUNDDOWN(LOG((Y76+1),2),0)</f>
        <v/>
      </c>
      <c r="AD76" s="2">
        <f>ROUNDDOWN(LOG((Z76+1),2),0)</f>
        <v/>
      </c>
      <c r="AG76" s="75" t="n">
        <v>80</v>
      </c>
      <c r="AH76" s="9" t="n">
        <v>0</v>
      </c>
      <c r="AI76" s="9" t="n">
        <v>0</v>
      </c>
      <c r="AJ76" s="9" t="n">
        <v>3</v>
      </c>
      <c r="AQ76" s="75" t="n">
        <v>80</v>
      </c>
      <c r="AR76" s="75" t="n">
        <v>44.08</v>
      </c>
      <c r="AS76" s="75" t="n">
        <v>41.398</v>
      </c>
      <c r="AT76" s="75" t="n">
        <v>78.483</v>
      </c>
      <c r="AV76" s="75" t="n">
        <v>80</v>
      </c>
      <c r="AW76" s="75">
        <f>Beginning_stock!AT104</f>
        <v/>
      </c>
      <c r="AX76" s="75">
        <f>Beginning_stock!AU104</f>
        <v/>
      </c>
      <c r="AY76" s="75">
        <f>Beginning_stock!AV104</f>
        <v/>
      </c>
      <c r="BA76" s="75" t="n">
        <v>80</v>
      </c>
      <c r="BB76" s="75">
        <f>IF(Demand!AU93=Retailers_Cap!N76,"ret=0",(AW76/(Demand!AU93-Retailers_Cap!N76)))</f>
        <v/>
      </c>
      <c r="BC76" s="75">
        <f>IF(Demand!AV93=Retailers_Cap!O76,"ret=0",(AX76/(Demand!AV93-Retailers_Cap!O76)))</f>
        <v/>
      </c>
      <c r="BD76" s="75">
        <f>IF(Demand!AW93=Retailers_Cap!P76,"ret=0",(AY76/(Demand!AW93-Retailers_Cap!P76)))</f>
        <v/>
      </c>
      <c r="BF76" s="75" t="n">
        <v>80</v>
      </c>
      <c r="BG76" s="2">
        <f>IF(Demand!AU93&lt;=Retailers_Cap!N76,"ret=0",(IF(BB76&lt;=AR76+Distributors_Cap!$P$47,1,0)))</f>
        <v/>
      </c>
      <c r="BH76" s="2">
        <f>IF(Demand!AV93&lt;=Retailers_Cap!O76,"ret=0",(IF(BC76&lt;=AS76+Distributors_Cap!$P$47,1,0)))</f>
        <v/>
      </c>
      <c r="BI76" s="2">
        <f>IF(Demand!AW93&lt;=Retailers_Cap!P76,"ret=0",(IF(BD76&lt;=AT76+Distributors_Cap!$P$47,1,0)))</f>
        <v/>
      </c>
      <c r="BK76" s="75" t="n">
        <v>80</v>
      </c>
      <c r="BL76" s="75">
        <f>Retailers!BH75</f>
        <v/>
      </c>
      <c r="BM76" s="75">
        <f>Retailers!BI75</f>
        <v/>
      </c>
      <c r="BN76" s="75">
        <f>Retailers!BJ75</f>
        <v/>
      </c>
      <c r="BP76" s="75" t="n">
        <v>80</v>
      </c>
      <c r="BQ76" s="75">
        <f>#REF!</f>
        <v/>
      </c>
      <c r="BR76" s="75">
        <f>#REF!</f>
        <v/>
      </c>
      <c r="BS76" s="75">
        <f>#REF!</f>
        <v/>
      </c>
      <c r="BU76" s="75" t="n">
        <v>80</v>
      </c>
      <c r="BV76" s="75">
        <f>Retailers!AS75</f>
        <v/>
      </c>
      <c r="BW76" s="75">
        <f>Retailers!AT75</f>
        <v/>
      </c>
      <c r="BX76" s="75">
        <f>Retailers!AU75</f>
        <v/>
      </c>
      <c r="BZ76" s="75" t="n">
        <v>80</v>
      </c>
      <c r="CA76" s="75">
        <f>Results!#REF!</f>
        <v/>
      </c>
      <c r="CB76" s="75">
        <f>Results!#REF!</f>
        <v/>
      </c>
      <c r="CC76" s="75">
        <f>Results!#REF!</f>
        <v/>
      </c>
      <c r="CE76" s="75" t="n">
        <v>80</v>
      </c>
      <c r="CF76" s="75">
        <f>Retailers!BN75</f>
        <v/>
      </c>
      <c r="CG76" s="75">
        <f>Retailers!BO75</f>
        <v/>
      </c>
      <c r="CH76" s="75">
        <f>Retailers!BP75</f>
        <v/>
      </c>
      <c r="CJ76" s="75" t="n">
        <v>80</v>
      </c>
      <c r="CK76" s="75">
        <f>IF(BB76="ret=0",0,IF(BB76&gt;0,AR76+Distributors_Cap!$P$47-BB76,0))</f>
        <v/>
      </c>
      <c r="CL76" s="75">
        <f>IF(BC76="ret=0",0,IF(BC76&gt;0,AS76+Distributors_Cap!$P$47-BC76,0))</f>
        <v/>
      </c>
      <c r="CM76" s="75">
        <f>IF(BD76="ret=0",0,IF(BD76&gt;0,AT76+Distributors_Cap!$P$47-BD76,0))</f>
        <v/>
      </c>
    </row>
    <row r="77">
      <c r="G77" s="75" t="n">
        <v>81</v>
      </c>
      <c r="H77" s="75" t="n">
        <v>65.432</v>
      </c>
      <c r="I77" s="75" t="n">
        <v>60.978</v>
      </c>
      <c r="J77" s="75" t="n">
        <v>53.082</v>
      </c>
      <c r="L77" s="75">
        <f>TRUNC((_xlfn.NORM.INV((RAND()),$K$7,$K$8)),0)</f>
        <v/>
      </c>
      <c r="M77" s="75" t="n">
        <v>81</v>
      </c>
      <c r="N77" s="5" t="n">
        <v>33</v>
      </c>
      <c r="O77" s="5" t="n">
        <v>25</v>
      </c>
      <c r="P77" s="5" t="n">
        <v>30</v>
      </c>
      <c r="R77" s="2">
        <f>IF(N77&gt;Demand!AU94,0,(IF(((2*(Retailers!AJ76+Distributors_Cap!$P$47)-Retailers_Cap!$BB$7)*(Demand!AU94-Retailers_Cap!N77))&lt;0,0,((IF(BB77&gt;2*(Retailers!AJ76+Distributors_Cap!$P$47),0,(IF(BG77=0,ROUNDUP((2*(Retailers!AJ76+Distributors_Cap!$P$47)-BB77)^0.5,0),ROUNDUP((2*(Retailers!AJ76+Distributors_Cap!$P$47)-BB77)^0.5,0)))))))))</f>
        <v/>
      </c>
      <c r="S77" s="2">
        <f>IF(O77&gt;Demand!AV94,0,(IF(((2*(Retailers!AK76+Distributors_Cap!$P$47)-Retailers_Cap!$BB$7)*(Demand!AV94-Retailers_Cap!O77))&lt;0,0,((IF(BC77&gt;2*(Retailers!AK76+Distributors_Cap!$P$47),0,(IF(BH77=0,ROUNDUP((2*(Retailers!AK76+Distributors_Cap!$P$47)-BC77)^0.5,0),ROUNDUP((2*(Retailers!AK76+Distributors_Cap!$P$47)-BC77)^0.5,0)))))))))</f>
        <v/>
      </c>
      <c r="T77" s="2">
        <f>IF(P77&gt;Demand!AW94,0,(IF(((2*(Retailers!AL76+Distributors_Cap!$P$47)-Retailers_Cap!$BB$7)*(Demand!AW94-Retailers_Cap!P77))&lt;0,0,((IF(BD77&gt;2*(Retailers!AL76+Distributors_Cap!$P$47),0,(IF(BI77=0,ROUNDUP((2*(Retailers!AL76+Distributors_Cap!$P$47)-BD77)^0.5,0),ROUNDUP((2*(Retailers!AL76+Distributors_Cap!$P$47)-BD77)^0.5,0)))))))))</f>
        <v/>
      </c>
      <c r="W77" s="75" t="n">
        <v>81</v>
      </c>
      <c r="X77" s="9" t="n">
        <v>0</v>
      </c>
      <c r="Y77" s="9" t="n">
        <v>0</v>
      </c>
      <c r="Z77" s="9" t="n">
        <v>0</v>
      </c>
      <c r="AB77" s="2">
        <f>ROUNDDOWN(LOG((X77+1),2),0)</f>
        <v/>
      </c>
      <c r="AC77" s="2">
        <f>ROUNDDOWN(LOG((Y77+1),2),0)</f>
        <v/>
      </c>
      <c r="AD77" s="2">
        <f>ROUNDDOWN(LOG((Z77+1),2),0)</f>
        <v/>
      </c>
      <c r="AG77" s="75" t="n">
        <v>81</v>
      </c>
      <c r="AH77" s="9" t="n">
        <v>0</v>
      </c>
      <c r="AI77" s="9" t="n">
        <v>0</v>
      </c>
      <c r="AJ77" s="9" t="n">
        <v>0</v>
      </c>
      <c r="AQ77" s="75" t="n">
        <v>81</v>
      </c>
      <c r="AR77" s="75" t="n">
        <v>65.432</v>
      </c>
      <c r="AS77" s="75" t="n">
        <v>60.978</v>
      </c>
      <c r="AT77" s="75" t="n">
        <v>53.082</v>
      </c>
      <c r="AV77" s="75" t="n">
        <v>81</v>
      </c>
      <c r="AW77" s="75">
        <f>Beginning_stock!AT105</f>
        <v/>
      </c>
      <c r="AX77" s="75">
        <f>Beginning_stock!AU105</f>
        <v/>
      </c>
      <c r="AY77" s="75">
        <f>Beginning_stock!AV105</f>
        <v/>
      </c>
      <c r="BA77" s="75" t="n">
        <v>81</v>
      </c>
      <c r="BB77" s="75">
        <f>IF(Demand!AU94=Retailers_Cap!N77,"ret=0",(AW77/(Demand!AU94-Retailers_Cap!N77)))</f>
        <v/>
      </c>
      <c r="BC77" s="75">
        <f>IF(Demand!AV94=Retailers_Cap!O77,"ret=0",(AX77/(Demand!AV94-Retailers_Cap!O77)))</f>
        <v/>
      </c>
      <c r="BD77" s="75">
        <f>IF(Demand!AW94=Retailers_Cap!P77,"ret=0",(AY77/(Demand!AW94-Retailers_Cap!P77)))</f>
        <v/>
      </c>
      <c r="BF77" s="75" t="n">
        <v>81</v>
      </c>
      <c r="BG77" s="2">
        <f>IF(Demand!AU94&lt;=Retailers_Cap!N77,"ret=0",(IF(BB77&lt;=AR77+Distributors_Cap!$P$47,1,0)))</f>
        <v/>
      </c>
      <c r="BH77" s="2">
        <f>IF(Demand!AV94&lt;=Retailers_Cap!O77,"ret=0",(IF(BC77&lt;=AS77+Distributors_Cap!$P$47,1,0)))</f>
        <v/>
      </c>
      <c r="BI77" s="2">
        <f>IF(Demand!AW94&lt;=Retailers_Cap!P77,"ret=0",(IF(BD77&lt;=AT77+Distributors_Cap!$P$47,1,0)))</f>
        <v/>
      </c>
      <c r="BK77" s="75" t="n">
        <v>81</v>
      </c>
      <c r="BL77" s="75">
        <f>Retailers!BH76</f>
        <v/>
      </c>
      <c r="BM77" s="75">
        <f>Retailers!BI76</f>
        <v/>
      </c>
      <c r="BN77" s="75">
        <f>Retailers!BJ76</f>
        <v/>
      </c>
      <c r="BP77" s="75" t="n">
        <v>81</v>
      </c>
      <c r="BQ77" s="75">
        <f>#REF!</f>
        <v/>
      </c>
      <c r="BR77" s="75">
        <f>#REF!</f>
        <v/>
      </c>
      <c r="BS77" s="75">
        <f>#REF!</f>
        <v/>
      </c>
      <c r="BU77" s="75" t="n">
        <v>81</v>
      </c>
      <c r="BV77" s="75">
        <f>Retailers!AS76</f>
        <v/>
      </c>
      <c r="BW77" s="75">
        <f>Retailers!AT76</f>
        <v/>
      </c>
      <c r="BX77" s="75">
        <f>Retailers!AU76</f>
        <v/>
      </c>
      <c r="BZ77" s="75" t="n">
        <v>81</v>
      </c>
      <c r="CA77" s="75">
        <f>Results!#REF!</f>
        <v/>
      </c>
      <c r="CB77" s="75">
        <f>Results!#REF!</f>
        <v/>
      </c>
      <c r="CC77" s="75">
        <f>Results!#REF!</f>
        <v/>
      </c>
      <c r="CE77" s="75" t="n">
        <v>81</v>
      </c>
      <c r="CF77" s="75">
        <f>Retailers!BN76</f>
        <v/>
      </c>
      <c r="CG77" s="75">
        <f>Retailers!BO76</f>
        <v/>
      </c>
      <c r="CH77" s="75">
        <f>Retailers!BP76</f>
        <v/>
      </c>
      <c r="CJ77" s="75" t="n">
        <v>81</v>
      </c>
      <c r="CK77" s="75">
        <f>IF(BB77="ret=0",0,IF(BB77&gt;0,AR77+Distributors_Cap!$P$47-BB77,0))</f>
        <v/>
      </c>
      <c r="CL77" s="75">
        <f>IF(BC77="ret=0",0,IF(BC77&gt;0,AS77+Distributors_Cap!$P$47-BC77,0))</f>
        <v/>
      </c>
      <c r="CM77" s="75">
        <f>IF(BD77="ret=0",0,IF(BD77&gt;0,AT77+Distributors_Cap!$P$47-BD77,0))</f>
        <v/>
      </c>
    </row>
    <row r="78">
      <c r="G78" s="75" t="n">
        <v>82</v>
      </c>
      <c r="H78" s="75" t="n">
        <v>48.372</v>
      </c>
      <c r="I78" s="75" t="n">
        <v>36.4</v>
      </c>
      <c r="J78" s="75" t="n">
        <v>59.973</v>
      </c>
      <c r="L78" s="75">
        <f>TRUNC((_xlfn.NORM.INV((RAND()),$K$7,$K$8)),0)</f>
        <v/>
      </c>
      <c r="M78" s="75" t="n">
        <v>82</v>
      </c>
      <c r="N78" s="5" t="n">
        <v>21</v>
      </c>
      <c r="O78" s="5" t="n">
        <v>25</v>
      </c>
      <c r="P78" s="5" t="n">
        <v>25</v>
      </c>
      <c r="R78" s="2">
        <f>IF(N78&gt;Demand!AU95,0,(IF(((2*(Retailers!AJ77+Distributors_Cap!$P$47)-Retailers_Cap!$BB$7)*(Demand!AU95-Retailers_Cap!N78))&lt;0,0,((IF(BB78&gt;2*(Retailers!AJ77+Distributors_Cap!$P$47),0,(IF(BG78=0,ROUNDUP((2*(Retailers!AJ77+Distributors_Cap!$P$47)-BB78)^0.5,0),ROUNDUP((2*(Retailers!AJ77+Distributors_Cap!$P$47)-BB78)^0.5,0)))))))))</f>
        <v/>
      </c>
      <c r="S78" s="2">
        <f>IF(O78&gt;Demand!AV95,0,(IF(((2*(Retailers!AK77+Distributors_Cap!$P$47)-Retailers_Cap!$BB$7)*(Demand!AV95-Retailers_Cap!O78))&lt;0,0,((IF(BC78&gt;2*(Retailers!AK77+Distributors_Cap!$P$47),0,(IF(BH78=0,ROUNDUP((2*(Retailers!AK77+Distributors_Cap!$P$47)-BC78)^0.5,0),ROUNDUP((2*(Retailers!AK77+Distributors_Cap!$P$47)-BC78)^0.5,0)))))))))</f>
        <v/>
      </c>
      <c r="T78" s="2">
        <f>IF(P78&gt;Demand!AW95,0,(IF(((2*(Retailers!AL77+Distributors_Cap!$P$47)-Retailers_Cap!$BB$7)*(Demand!AW95-Retailers_Cap!P78))&lt;0,0,((IF(BD78&gt;2*(Retailers!AL77+Distributors_Cap!$P$47),0,(IF(BI78=0,ROUNDUP((2*(Retailers!AL77+Distributors_Cap!$P$47)-BD78)^0.5,0),ROUNDUP((2*(Retailers!AL77+Distributors_Cap!$P$47)-BD78)^0.5,0)))))))))</f>
        <v/>
      </c>
      <c r="W78" s="75" t="n">
        <v>82</v>
      </c>
      <c r="X78" s="9" t="n">
        <v>0</v>
      </c>
      <c r="Y78" s="9" t="n">
        <v>0</v>
      </c>
      <c r="Z78" s="9" t="n">
        <v>0</v>
      </c>
      <c r="AB78" s="2">
        <f>ROUNDDOWN(LOG((X78+1),2),0)</f>
        <v/>
      </c>
      <c r="AC78" s="2">
        <f>ROUNDDOWN(LOG((Y78+1),2),0)</f>
        <v/>
      </c>
      <c r="AD78" s="2">
        <f>ROUNDDOWN(LOG((Z78+1),2),0)</f>
        <v/>
      </c>
      <c r="AG78" s="75" t="n">
        <v>82</v>
      </c>
      <c r="AH78" s="9" t="n">
        <v>0</v>
      </c>
      <c r="AI78" s="9" t="n">
        <v>0</v>
      </c>
      <c r="AJ78" s="9" t="n">
        <v>0</v>
      </c>
      <c r="AQ78" s="75" t="n">
        <v>82</v>
      </c>
      <c r="AR78" s="75" t="n">
        <v>48.372</v>
      </c>
      <c r="AS78" s="75" t="n">
        <v>36.4</v>
      </c>
      <c r="AT78" s="75" t="n">
        <v>59.973</v>
      </c>
      <c r="AV78" s="75" t="n">
        <v>82</v>
      </c>
      <c r="AW78" s="75">
        <f>Beginning_stock!AT106</f>
        <v/>
      </c>
      <c r="AX78" s="75">
        <f>Beginning_stock!AU106</f>
        <v/>
      </c>
      <c r="AY78" s="75">
        <f>Beginning_stock!AV106</f>
        <v/>
      </c>
      <c r="BA78" s="75" t="n">
        <v>82</v>
      </c>
      <c r="BB78" s="75">
        <f>IF(Demand!AU95=Retailers_Cap!N78,"ret=0",(AW78/(Demand!AU95-Retailers_Cap!N78)))</f>
        <v/>
      </c>
      <c r="BC78" s="75">
        <f>IF(Demand!AV95=Retailers_Cap!O78,"ret=0",(AX78/(Demand!AV95-Retailers_Cap!O78)))</f>
        <v/>
      </c>
      <c r="BD78" s="75">
        <f>IF(Demand!AW95=Retailers_Cap!P78,"ret=0",(AY78/(Demand!AW95-Retailers_Cap!P78)))</f>
        <v/>
      </c>
      <c r="BF78" s="75" t="n">
        <v>82</v>
      </c>
      <c r="BG78" s="2">
        <f>IF(Demand!AU95&lt;=Retailers_Cap!N78,"ret=0",(IF(BB78&lt;=AR78+Distributors_Cap!$P$47,1,0)))</f>
        <v/>
      </c>
      <c r="BH78" s="2">
        <f>IF(Demand!AV95&lt;=Retailers_Cap!O78,"ret=0",(IF(BC78&lt;=AS78+Distributors_Cap!$P$47,1,0)))</f>
        <v/>
      </c>
      <c r="BI78" s="2">
        <f>IF(Demand!AW95&lt;=Retailers_Cap!P78,"ret=0",(IF(BD78&lt;=AT78+Distributors_Cap!$P$47,1,0)))</f>
        <v/>
      </c>
      <c r="BK78" s="75" t="n">
        <v>82</v>
      </c>
      <c r="BL78" s="75">
        <f>Retailers!BH77</f>
        <v/>
      </c>
      <c r="BM78" s="75">
        <f>Retailers!BI77</f>
        <v/>
      </c>
      <c r="BN78" s="75">
        <f>Retailers!BJ77</f>
        <v/>
      </c>
      <c r="BP78" s="75" t="n">
        <v>82</v>
      </c>
      <c r="BQ78" s="75">
        <f>#REF!</f>
        <v/>
      </c>
      <c r="BR78" s="75">
        <f>#REF!</f>
        <v/>
      </c>
      <c r="BS78" s="75">
        <f>#REF!</f>
        <v/>
      </c>
      <c r="BU78" s="75" t="n">
        <v>82</v>
      </c>
      <c r="BV78" s="75">
        <f>Retailers!AS77</f>
        <v/>
      </c>
      <c r="BW78" s="75">
        <f>Retailers!AT77</f>
        <v/>
      </c>
      <c r="BX78" s="75">
        <f>Retailers!AU77</f>
        <v/>
      </c>
      <c r="BZ78" s="75" t="n">
        <v>82</v>
      </c>
      <c r="CA78" s="75">
        <f>Results!#REF!</f>
        <v/>
      </c>
      <c r="CB78" s="75">
        <f>Results!#REF!</f>
        <v/>
      </c>
      <c r="CC78" s="75">
        <f>Results!#REF!</f>
        <v/>
      </c>
      <c r="CE78" s="75" t="n">
        <v>82</v>
      </c>
      <c r="CF78" s="75">
        <f>Retailers!BN77</f>
        <v/>
      </c>
      <c r="CG78" s="75">
        <f>Retailers!BO77</f>
        <v/>
      </c>
      <c r="CH78" s="75">
        <f>Retailers!BP77</f>
        <v/>
      </c>
      <c r="CJ78" s="75" t="n">
        <v>82</v>
      </c>
      <c r="CK78" s="75">
        <f>IF(BB78="ret=0",0,IF(BB78&gt;0,AR78+Distributors_Cap!$P$47-BB78,0))</f>
        <v/>
      </c>
      <c r="CL78" s="75">
        <f>IF(BC78="ret=0",0,IF(BC78&gt;0,AS78+Distributors_Cap!$P$47-BC78,0))</f>
        <v/>
      </c>
      <c r="CM78" s="75">
        <f>IF(BD78="ret=0",0,IF(BD78&gt;0,AT78+Distributors_Cap!$P$47-BD78,0))</f>
        <v/>
      </c>
    </row>
    <row r="79">
      <c r="G79" s="75" t="n">
        <v>83</v>
      </c>
      <c r="H79" s="75" t="n">
        <v>58.308</v>
      </c>
      <c r="I79" s="75" t="n">
        <v>40.555</v>
      </c>
      <c r="J79" s="75" t="n">
        <v>54.947</v>
      </c>
      <c r="L79" s="75">
        <f>TRUNC((_xlfn.NORM.INV((RAND()),$K$7,$K$8)),0)</f>
        <v/>
      </c>
      <c r="M79" s="75" t="n">
        <v>83</v>
      </c>
      <c r="N79" s="5" t="n">
        <v>20</v>
      </c>
      <c r="O79" s="5" t="n">
        <v>35</v>
      </c>
      <c r="P79" s="5" t="n">
        <v>20</v>
      </c>
      <c r="R79" s="2">
        <f>IF(N79&gt;Demand!AU96,0,(IF(((2*(Retailers!AJ78+Distributors_Cap!$P$47)-Retailers_Cap!$BB$7)*(Demand!AU96-Retailers_Cap!N79))&lt;0,0,((IF(BB79&gt;2*(Retailers!AJ78+Distributors_Cap!$P$47),0,(IF(BG79=0,ROUNDUP((2*(Retailers!AJ78+Distributors_Cap!$P$47)-BB79)^0.5,0),ROUNDUP((2*(Retailers!AJ78+Distributors_Cap!$P$47)-BB79)^0.5,0)))))))))</f>
        <v/>
      </c>
      <c r="S79" s="2">
        <f>IF(O79&gt;Demand!AV96,0,(IF(((2*(Retailers!AK78+Distributors_Cap!$P$47)-Retailers_Cap!$BB$7)*(Demand!AV96-Retailers_Cap!O79))&lt;0,0,((IF(BC79&gt;2*(Retailers!AK78+Distributors_Cap!$P$47),0,(IF(BH79=0,ROUNDUP((2*(Retailers!AK78+Distributors_Cap!$P$47)-BC79)^0.5,0),ROUNDUP((2*(Retailers!AK78+Distributors_Cap!$P$47)-BC79)^0.5,0)))))))))</f>
        <v/>
      </c>
      <c r="T79" s="2">
        <f>IF(P79&gt;Demand!AW96,0,(IF(((2*(Retailers!AL78+Distributors_Cap!$P$47)-Retailers_Cap!$BB$7)*(Demand!AW96-Retailers_Cap!P79))&lt;0,0,((IF(BD79&gt;2*(Retailers!AL78+Distributors_Cap!$P$47),0,(IF(BI79=0,ROUNDUP((2*(Retailers!AL78+Distributors_Cap!$P$47)-BD79)^0.5,0),ROUNDUP((2*(Retailers!AL78+Distributors_Cap!$P$47)-BD79)^0.5,0)))))))))</f>
        <v/>
      </c>
      <c r="W79" s="75" t="n">
        <v>83</v>
      </c>
      <c r="X79" s="9" t="n">
        <v>10</v>
      </c>
      <c r="Y79" s="9" t="n">
        <v>0</v>
      </c>
      <c r="Z79" s="9" t="n">
        <v>0</v>
      </c>
      <c r="AB79" s="2">
        <f>ROUNDDOWN(LOG((X79+1),2),0)</f>
        <v/>
      </c>
      <c r="AC79" s="2">
        <f>ROUNDDOWN(LOG((Y79+1),2),0)</f>
        <v/>
      </c>
      <c r="AD79" s="2">
        <f>ROUNDDOWN(LOG((Z79+1),2),0)</f>
        <v/>
      </c>
      <c r="AG79" s="75" t="n">
        <v>83</v>
      </c>
      <c r="AH79" s="9" t="n">
        <v>3</v>
      </c>
      <c r="AI79" s="9" t="n">
        <v>0</v>
      </c>
      <c r="AJ79" s="9" t="n">
        <v>0</v>
      </c>
      <c r="AQ79" s="75" t="n">
        <v>83</v>
      </c>
      <c r="AR79" s="75" t="n">
        <v>58.308</v>
      </c>
      <c r="AS79" s="75" t="n">
        <v>40.555</v>
      </c>
      <c r="AT79" s="75" t="n">
        <v>54.947</v>
      </c>
      <c r="AV79" s="75" t="n">
        <v>83</v>
      </c>
      <c r="AW79" s="75">
        <f>Beginning_stock!AT107</f>
        <v/>
      </c>
      <c r="AX79" s="75">
        <f>Beginning_stock!AU107</f>
        <v/>
      </c>
      <c r="AY79" s="75">
        <f>Beginning_stock!AV107</f>
        <v/>
      </c>
      <c r="BA79" s="75" t="n">
        <v>83</v>
      </c>
      <c r="BB79" s="75">
        <f>IF(Demand!AU96=Retailers_Cap!N79,"ret=0",(AW79/(Demand!AU96-Retailers_Cap!N79)))</f>
        <v/>
      </c>
      <c r="BC79" s="75">
        <f>IF(Demand!AV96=Retailers_Cap!O79,"ret=0",(AX79/(Demand!AV96-Retailers_Cap!O79)))</f>
        <v/>
      </c>
      <c r="BD79" s="75">
        <f>IF(Demand!AW96=Retailers_Cap!P79,"ret=0",(AY79/(Demand!AW96-Retailers_Cap!P79)))</f>
        <v/>
      </c>
      <c r="BF79" s="75" t="n">
        <v>83</v>
      </c>
      <c r="BG79" s="2">
        <f>IF(Demand!AU96&lt;=Retailers_Cap!N79,"ret=0",(IF(BB79&lt;=AR79+Distributors_Cap!$P$47,1,0)))</f>
        <v/>
      </c>
      <c r="BH79" s="2">
        <f>IF(Demand!AV96&lt;=Retailers_Cap!O79,"ret=0",(IF(BC79&lt;=AS79+Distributors_Cap!$P$47,1,0)))</f>
        <v/>
      </c>
      <c r="BI79" s="2">
        <f>IF(Demand!AW96&lt;=Retailers_Cap!P79,"ret=0",(IF(BD79&lt;=AT79+Distributors_Cap!$P$47,1,0)))</f>
        <v/>
      </c>
      <c r="BK79" s="75" t="n">
        <v>83</v>
      </c>
      <c r="BL79" s="75">
        <f>Retailers!BH78</f>
        <v/>
      </c>
      <c r="BM79" s="75">
        <f>Retailers!BI78</f>
        <v/>
      </c>
      <c r="BN79" s="75">
        <f>Retailers!BJ78</f>
        <v/>
      </c>
      <c r="BP79" s="75" t="n">
        <v>83</v>
      </c>
      <c r="BQ79" s="75">
        <f>#REF!</f>
        <v/>
      </c>
      <c r="BR79" s="75">
        <f>#REF!</f>
        <v/>
      </c>
      <c r="BS79" s="75">
        <f>#REF!</f>
        <v/>
      </c>
      <c r="BU79" s="75" t="n">
        <v>83</v>
      </c>
      <c r="BV79" s="75">
        <f>Retailers!AS78</f>
        <v/>
      </c>
      <c r="BW79" s="75">
        <f>Retailers!AT78</f>
        <v/>
      </c>
      <c r="BX79" s="75">
        <f>Retailers!AU78</f>
        <v/>
      </c>
      <c r="BZ79" s="75" t="n">
        <v>83</v>
      </c>
      <c r="CA79" s="75">
        <f>Results!#REF!</f>
        <v/>
      </c>
      <c r="CB79" s="75">
        <f>Results!#REF!</f>
        <v/>
      </c>
      <c r="CC79" s="75">
        <f>Results!#REF!</f>
        <v/>
      </c>
      <c r="CE79" s="75" t="n">
        <v>83</v>
      </c>
      <c r="CF79" s="75">
        <f>Retailers!BN78</f>
        <v/>
      </c>
      <c r="CG79" s="75">
        <f>Retailers!BO78</f>
        <v/>
      </c>
      <c r="CH79" s="75">
        <f>Retailers!BP78</f>
        <v/>
      </c>
      <c r="CJ79" s="75" t="n">
        <v>83</v>
      </c>
      <c r="CK79" s="75">
        <f>IF(BB79="ret=0",0,IF(BB79&gt;0,AR79+Distributors_Cap!$P$47-BB79,0))</f>
        <v/>
      </c>
      <c r="CL79" s="75">
        <f>IF(BC79="ret=0",0,IF(BC79&gt;0,AS79+Distributors_Cap!$P$47-BC79,0))</f>
        <v/>
      </c>
      <c r="CM79" s="75">
        <f>IF(BD79="ret=0",0,IF(BD79&gt;0,AT79+Distributors_Cap!$P$47-BD79,0))</f>
        <v/>
      </c>
    </row>
    <row r="80">
      <c r="G80" s="75" t="n">
        <v>84</v>
      </c>
      <c r="H80" s="75" t="n">
        <v>74.29300000000001</v>
      </c>
      <c r="I80" s="75" t="n">
        <v>63.705</v>
      </c>
      <c r="J80" s="75" t="n">
        <v>78.667</v>
      </c>
      <c r="L80" s="75">
        <f>TRUNC((_xlfn.NORM.INV((RAND()),$K$7,$K$8)),0)</f>
        <v/>
      </c>
      <c r="M80" s="75" t="n">
        <v>84</v>
      </c>
      <c r="N80" s="5" t="n">
        <v>14</v>
      </c>
      <c r="O80" s="5" t="n">
        <v>36</v>
      </c>
      <c r="P80" s="5" t="n">
        <v>25</v>
      </c>
      <c r="R80" s="2">
        <f>IF(N80&gt;Demand!AU97,0,(IF(((2*(Retailers!AJ79+Distributors_Cap!$P$47)-Retailers_Cap!$BB$7)*(Demand!AU97-Retailers_Cap!N80))&lt;0,0,((IF(BB80&gt;2*(Retailers!AJ79+Distributors_Cap!$P$47),0,(IF(BG80=0,ROUNDUP((2*(Retailers!AJ79+Distributors_Cap!$P$47)-BB80)^0.5,0),ROUNDUP((2*(Retailers!AJ79+Distributors_Cap!$P$47)-BB80)^0.5,0)))))))))</f>
        <v/>
      </c>
      <c r="S80" s="2">
        <f>IF(O80&gt;Demand!AV97,0,(IF(((2*(Retailers!AK79+Distributors_Cap!$P$47)-Retailers_Cap!$BB$7)*(Demand!AV97-Retailers_Cap!O80))&lt;0,0,((IF(BC80&gt;2*(Retailers!AK79+Distributors_Cap!$P$47),0,(IF(BH80=0,ROUNDUP((2*(Retailers!AK79+Distributors_Cap!$P$47)-BC80)^0.5,0),ROUNDUP((2*(Retailers!AK79+Distributors_Cap!$P$47)-BC80)^0.5,0)))))))))</f>
        <v/>
      </c>
      <c r="T80" s="2">
        <f>IF(P80&gt;Demand!AW97,0,(IF(((2*(Retailers!AL79+Distributors_Cap!$P$47)-Retailers_Cap!$BB$7)*(Demand!AW97-Retailers_Cap!P80))&lt;0,0,((IF(BD80&gt;2*(Retailers!AL79+Distributors_Cap!$P$47),0,(IF(BI80=0,ROUNDUP((2*(Retailers!AL79+Distributors_Cap!$P$47)-BD80)^0.5,0),ROUNDUP((2*(Retailers!AL79+Distributors_Cap!$P$47)-BD80)^0.5,0)))))))))</f>
        <v/>
      </c>
      <c r="W80" s="75" t="n">
        <v>84</v>
      </c>
      <c r="X80" s="9" t="n">
        <v>14</v>
      </c>
      <c r="Y80" s="9" t="n">
        <v>10</v>
      </c>
      <c r="Z80" s="9" t="n">
        <v>7</v>
      </c>
      <c r="AB80" s="2">
        <f>ROUNDDOWN(LOG((X80+1),2),0)</f>
        <v/>
      </c>
      <c r="AC80" s="2">
        <f>ROUNDDOWN(LOG((Y80+1),2),0)</f>
        <v/>
      </c>
      <c r="AD80" s="2">
        <f>ROUNDDOWN(LOG((Z80+1),2),0)</f>
        <v/>
      </c>
      <c r="AG80" s="75" t="n">
        <v>84</v>
      </c>
      <c r="AH80" s="9" t="n">
        <v>3</v>
      </c>
      <c r="AI80" s="9" t="n">
        <v>3</v>
      </c>
      <c r="AJ80" s="9" t="n">
        <v>3</v>
      </c>
      <c r="AQ80" s="75" t="n">
        <v>84</v>
      </c>
      <c r="AR80" s="75" t="n">
        <v>74.29300000000001</v>
      </c>
      <c r="AS80" s="75" t="n">
        <v>63.705</v>
      </c>
      <c r="AT80" s="75" t="n">
        <v>78.667</v>
      </c>
      <c r="AV80" s="75" t="n">
        <v>84</v>
      </c>
      <c r="AW80" s="75">
        <f>Beginning_stock!AT108</f>
        <v/>
      </c>
      <c r="AX80" s="75">
        <f>Beginning_stock!AU108</f>
        <v/>
      </c>
      <c r="AY80" s="75">
        <f>Beginning_stock!AV108</f>
        <v/>
      </c>
      <c r="BA80" s="75" t="n">
        <v>84</v>
      </c>
      <c r="BB80" s="75">
        <f>IF(Demand!AU97=Retailers_Cap!N80,"ret=0",(AW80/(Demand!AU97-Retailers_Cap!N80)))</f>
        <v/>
      </c>
      <c r="BC80" s="75">
        <f>IF(Demand!AV97=Retailers_Cap!O80,"ret=0",(AX80/(Demand!AV97-Retailers_Cap!O80)))</f>
        <v/>
      </c>
      <c r="BD80" s="75">
        <f>IF(Demand!AW97=Retailers_Cap!P80,"ret=0",(AY80/(Demand!AW97-Retailers_Cap!P80)))</f>
        <v/>
      </c>
      <c r="BF80" s="75" t="n">
        <v>84</v>
      </c>
      <c r="BG80" s="2">
        <f>IF(Demand!AU97&lt;=Retailers_Cap!N80,"ret=0",(IF(BB80&lt;=AR80+Distributors_Cap!$P$47,1,0)))</f>
        <v/>
      </c>
      <c r="BH80" s="2">
        <f>IF(Demand!AV97&lt;=Retailers_Cap!O80,"ret=0",(IF(BC80&lt;=AS80+Distributors_Cap!$P$47,1,0)))</f>
        <v/>
      </c>
      <c r="BI80" s="2">
        <f>IF(Demand!AW97&lt;=Retailers_Cap!P80,"ret=0",(IF(BD80&lt;=AT80+Distributors_Cap!$P$47,1,0)))</f>
        <v/>
      </c>
      <c r="BK80" s="75" t="n">
        <v>84</v>
      </c>
      <c r="BL80" s="75">
        <f>Retailers!BH79</f>
        <v/>
      </c>
      <c r="BM80" s="75">
        <f>Retailers!BI79</f>
        <v/>
      </c>
      <c r="BN80" s="75">
        <f>Retailers!BJ79</f>
        <v/>
      </c>
      <c r="BP80" s="75" t="n">
        <v>84</v>
      </c>
      <c r="BQ80" s="75">
        <f>#REF!</f>
        <v/>
      </c>
      <c r="BR80" s="75">
        <f>#REF!</f>
        <v/>
      </c>
      <c r="BS80" s="75">
        <f>#REF!</f>
        <v/>
      </c>
      <c r="BU80" s="75" t="n">
        <v>84</v>
      </c>
      <c r="BV80" s="75">
        <f>Retailers!AS79</f>
        <v/>
      </c>
      <c r="BW80" s="75">
        <f>Retailers!AT79</f>
        <v/>
      </c>
      <c r="BX80" s="75">
        <f>Retailers!AU79</f>
        <v/>
      </c>
      <c r="BZ80" s="75" t="n">
        <v>84</v>
      </c>
      <c r="CA80" s="75">
        <f>Results!#REF!</f>
        <v/>
      </c>
      <c r="CB80" s="75">
        <f>Results!#REF!</f>
        <v/>
      </c>
      <c r="CC80" s="75">
        <f>Results!#REF!</f>
        <v/>
      </c>
      <c r="CE80" s="75" t="n">
        <v>84</v>
      </c>
      <c r="CF80" s="75">
        <f>Retailers!BN79</f>
        <v/>
      </c>
      <c r="CG80" s="75">
        <f>Retailers!BO79</f>
        <v/>
      </c>
      <c r="CH80" s="75">
        <f>Retailers!BP79</f>
        <v/>
      </c>
      <c r="CJ80" s="75" t="n">
        <v>84</v>
      </c>
      <c r="CK80" s="75">
        <f>IF(BB80="ret=0",0,IF(BB80&gt;0,AR80+Distributors_Cap!$P$47-BB80,0))</f>
        <v/>
      </c>
      <c r="CL80" s="75">
        <f>IF(BC80="ret=0",0,IF(BC80&gt;0,AS80+Distributors_Cap!$P$47-BC80,0))</f>
        <v/>
      </c>
      <c r="CM80" s="75">
        <f>IF(BD80="ret=0",0,IF(BD80&gt;0,AT80+Distributors_Cap!$P$47-BD80,0))</f>
        <v/>
      </c>
    </row>
    <row r="81">
      <c r="G81" s="75" t="n">
        <v>85</v>
      </c>
      <c r="H81" s="75" t="n">
        <v>43.88</v>
      </c>
      <c r="I81" s="75" t="n">
        <v>45.26</v>
      </c>
      <c r="J81" s="75" t="n">
        <v>73.002</v>
      </c>
      <c r="L81" s="75">
        <f>TRUNC((_xlfn.NORM.INV((RAND()),$K$7,$K$8)),0)</f>
        <v/>
      </c>
      <c r="M81" s="75" t="n">
        <v>85</v>
      </c>
      <c r="N81" s="5" t="n">
        <v>19</v>
      </c>
      <c r="O81" s="5" t="n">
        <v>28</v>
      </c>
      <c r="P81" s="5" t="n">
        <v>19</v>
      </c>
      <c r="R81" s="2">
        <f>IF(N81&gt;Demand!AU98,0,(IF(((2*(Retailers!AJ80+Distributors_Cap!$P$47)-Retailers_Cap!$BB$7)*(Demand!AU98-Retailers_Cap!N81))&lt;0,0,((IF(BB81&gt;2*(Retailers!AJ80+Distributors_Cap!$P$47),0,(IF(BG81=0,ROUNDUP((2*(Retailers!AJ80+Distributors_Cap!$P$47)-BB81)^0.5,0),ROUNDUP((2*(Retailers!AJ80+Distributors_Cap!$P$47)-BB81)^0.5,0)))))))))</f>
        <v/>
      </c>
      <c r="S81" s="2">
        <f>IF(O81&gt;Demand!AV98,0,(IF(((2*(Retailers!AK80+Distributors_Cap!$P$47)-Retailers_Cap!$BB$7)*(Demand!AV98-Retailers_Cap!O81))&lt;0,0,((IF(BC81&gt;2*(Retailers!AK80+Distributors_Cap!$P$47),0,(IF(BH81=0,ROUNDUP((2*(Retailers!AK80+Distributors_Cap!$P$47)-BC81)^0.5,0),ROUNDUP((2*(Retailers!AK80+Distributors_Cap!$P$47)-BC81)^0.5,0)))))))))</f>
        <v/>
      </c>
      <c r="T81" s="2">
        <f>IF(P81&gt;Demand!AW98,0,(IF(((2*(Retailers!AL80+Distributors_Cap!$P$47)-Retailers_Cap!$BB$7)*(Demand!AW98-Retailers_Cap!P81))&lt;0,0,((IF(BD81&gt;2*(Retailers!AL80+Distributors_Cap!$P$47),0,(IF(BI81=0,ROUNDUP((2*(Retailers!AL80+Distributors_Cap!$P$47)-BD81)^0.5,0),ROUNDUP((2*(Retailers!AL80+Distributors_Cap!$P$47)-BD81)^0.5,0)))))))))</f>
        <v/>
      </c>
      <c r="W81" s="75" t="n">
        <v>85</v>
      </c>
      <c r="X81" s="9" t="n">
        <v>12</v>
      </c>
      <c r="Y81" s="9" t="n">
        <v>4</v>
      </c>
      <c r="Z81" s="9" t="n">
        <v>14</v>
      </c>
      <c r="AB81" s="2">
        <f>ROUNDDOWN(LOG((X81+1),2),0)</f>
        <v/>
      </c>
      <c r="AC81" s="2">
        <f>ROUNDDOWN(LOG((Y81+1),2),0)</f>
        <v/>
      </c>
      <c r="AD81" s="2">
        <f>ROUNDDOWN(LOG((Z81+1),2),0)</f>
        <v/>
      </c>
      <c r="AG81" s="75" t="n">
        <v>85</v>
      </c>
      <c r="AH81" s="9" t="n">
        <v>3</v>
      </c>
      <c r="AI81" s="9" t="n">
        <v>2</v>
      </c>
      <c r="AJ81" s="9" t="n">
        <v>3</v>
      </c>
      <c r="AQ81" s="75" t="n">
        <v>85</v>
      </c>
      <c r="AR81" s="75" t="n">
        <v>43.88</v>
      </c>
      <c r="AS81" s="75" t="n">
        <v>45.26</v>
      </c>
      <c r="AT81" s="75" t="n">
        <v>73.002</v>
      </c>
      <c r="AV81" s="75" t="n">
        <v>85</v>
      </c>
      <c r="AW81" s="75">
        <f>Beginning_stock!AT109</f>
        <v/>
      </c>
      <c r="AX81" s="75">
        <f>Beginning_stock!AU109</f>
        <v/>
      </c>
      <c r="AY81" s="75">
        <f>Beginning_stock!AV109</f>
        <v/>
      </c>
      <c r="BA81" s="75" t="n">
        <v>85</v>
      </c>
      <c r="BB81" s="75">
        <f>IF(Demand!AU98=Retailers_Cap!N81,"ret=0",(AW81/(Demand!AU98-Retailers_Cap!N81)))</f>
        <v/>
      </c>
      <c r="BC81" s="75">
        <f>IF(Demand!AV98=Retailers_Cap!O81,"ret=0",(AX81/(Demand!AV98-Retailers_Cap!O81)))</f>
        <v/>
      </c>
      <c r="BD81" s="75">
        <f>IF(Demand!AW98=Retailers_Cap!P81,"ret=0",(AY81/(Demand!AW98-Retailers_Cap!P81)))</f>
        <v/>
      </c>
      <c r="BF81" s="75" t="n">
        <v>85</v>
      </c>
      <c r="BG81" s="2">
        <f>IF(Demand!AU98&lt;=Retailers_Cap!N81,"ret=0",(IF(BB81&lt;=AR81+Distributors_Cap!$P$47,1,0)))</f>
        <v/>
      </c>
      <c r="BH81" s="2">
        <f>IF(Demand!AV98&lt;=Retailers_Cap!O81,"ret=0",(IF(BC81&lt;=AS81+Distributors_Cap!$P$47,1,0)))</f>
        <v/>
      </c>
      <c r="BI81" s="2">
        <f>IF(Demand!AW98&lt;=Retailers_Cap!P81,"ret=0",(IF(BD81&lt;=AT81+Distributors_Cap!$P$47,1,0)))</f>
        <v/>
      </c>
      <c r="BK81" s="75" t="n">
        <v>85</v>
      </c>
      <c r="BL81" s="75">
        <f>Retailers!BH80</f>
        <v/>
      </c>
      <c r="BM81" s="75">
        <f>Retailers!BI80</f>
        <v/>
      </c>
      <c r="BN81" s="75">
        <f>Retailers!BJ80</f>
        <v/>
      </c>
      <c r="BP81" s="75" t="n">
        <v>85</v>
      </c>
      <c r="BQ81" s="75">
        <f>#REF!</f>
        <v/>
      </c>
      <c r="BR81" s="75">
        <f>#REF!</f>
        <v/>
      </c>
      <c r="BS81" s="75">
        <f>#REF!</f>
        <v/>
      </c>
      <c r="BU81" s="75" t="n">
        <v>85</v>
      </c>
      <c r="BV81" s="75">
        <f>Retailers!AS80</f>
        <v/>
      </c>
      <c r="BW81" s="75">
        <f>Retailers!AT80</f>
        <v/>
      </c>
      <c r="BX81" s="75">
        <f>Retailers!AU80</f>
        <v/>
      </c>
      <c r="BZ81" s="75" t="n">
        <v>85</v>
      </c>
      <c r="CA81" s="75">
        <f>Results!#REF!</f>
        <v/>
      </c>
      <c r="CB81" s="75">
        <f>Results!#REF!</f>
        <v/>
      </c>
      <c r="CC81" s="75">
        <f>Results!#REF!</f>
        <v/>
      </c>
      <c r="CE81" s="75" t="n">
        <v>85</v>
      </c>
      <c r="CF81" s="75">
        <f>Retailers!BN80</f>
        <v/>
      </c>
      <c r="CG81" s="75">
        <f>Retailers!BO80</f>
        <v/>
      </c>
      <c r="CH81" s="75">
        <f>Retailers!BP80</f>
        <v/>
      </c>
      <c r="CJ81" s="75" t="n">
        <v>85</v>
      </c>
      <c r="CK81" s="75">
        <f>IF(BB81="ret=0",0,IF(BB81&gt;0,AR81+Distributors_Cap!$P$47-BB81,0))</f>
        <v/>
      </c>
      <c r="CL81" s="75">
        <f>IF(BC81="ret=0",0,IF(BC81&gt;0,AS81+Distributors_Cap!$P$47-BC81,0))</f>
        <v/>
      </c>
      <c r="CM81" s="75">
        <f>IF(BD81="ret=0",0,IF(BD81&gt;0,AT81+Distributors_Cap!$P$47-BD81,0))</f>
        <v/>
      </c>
    </row>
    <row r="82">
      <c r="G82" s="75" t="n">
        <v>86</v>
      </c>
      <c r="H82" s="75" t="n">
        <v>48.869</v>
      </c>
      <c r="I82" s="75" t="n">
        <v>72.712</v>
      </c>
      <c r="J82" s="75" t="n">
        <v>37.245</v>
      </c>
      <c r="L82" s="75">
        <f>TRUNC((_xlfn.NORM.INV((RAND()),$K$7,$K$8)),0)</f>
        <v/>
      </c>
      <c r="M82" s="75" t="n">
        <v>86</v>
      </c>
      <c r="N82" s="5" t="n">
        <v>36</v>
      </c>
      <c r="O82" s="5" t="n">
        <v>25</v>
      </c>
      <c r="P82" s="5" t="n">
        <v>31</v>
      </c>
      <c r="R82" s="2">
        <f>IF(N82&gt;Demand!AU99,0,(IF(((2*(Retailers!AJ81+Distributors_Cap!$P$47)-Retailers_Cap!$BB$7)*(Demand!AU99-Retailers_Cap!N82))&lt;0,0,((IF(BB82&gt;2*(Retailers!AJ81+Distributors_Cap!$P$47),0,(IF(BG82=0,ROUNDUP((2*(Retailers!AJ81+Distributors_Cap!$P$47)-BB82)^0.5,0),ROUNDUP((2*(Retailers!AJ81+Distributors_Cap!$P$47)-BB82)^0.5,0)))))))))</f>
        <v/>
      </c>
      <c r="S82" s="2">
        <f>IF(O82&gt;Demand!AV99,0,(IF(((2*(Retailers!AK81+Distributors_Cap!$P$47)-Retailers_Cap!$BB$7)*(Demand!AV99-Retailers_Cap!O82))&lt;0,0,((IF(BC82&gt;2*(Retailers!AK81+Distributors_Cap!$P$47),0,(IF(BH82=0,ROUNDUP((2*(Retailers!AK81+Distributors_Cap!$P$47)-BC82)^0.5,0),ROUNDUP((2*(Retailers!AK81+Distributors_Cap!$P$47)-BC82)^0.5,0)))))))))</f>
        <v/>
      </c>
      <c r="T82" s="2">
        <f>IF(P82&gt;Demand!AW99,0,(IF(((2*(Retailers!AL81+Distributors_Cap!$P$47)-Retailers_Cap!$BB$7)*(Demand!AW99-Retailers_Cap!P82))&lt;0,0,((IF(BD82&gt;2*(Retailers!AL81+Distributors_Cap!$P$47),0,(IF(BI82=0,ROUNDUP((2*(Retailers!AL81+Distributors_Cap!$P$47)-BD82)^0.5,0),ROUNDUP((2*(Retailers!AL81+Distributors_Cap!$P$47)-BD82)^0.5,0)))))))))</f>
        <v/>
      </c>
      <c r="W82" s="75" t="n">
        <v>86</v>
      </c>
      <c r="X82" s="9" t="n">
        <v>0</v>
      </c>
      <c r="Y82" s="9" t="n">
        <v>0</v>
      </c>
      <c r="Z82" s="9" t="n">
        <v>0</v>
      </c>
      <c r="AB82" s="2">
        <f>ROUNDDOWN(LOG((X82+1),2),0)</f>
        <v/>
      </c>
      <c r="AC82" s="2">
        <f>ROUNDDOWN(LOG((Y82+1),2),0)</f>
        <v/>
      </c>
      <c r="AD82" s="2">
        <f>ROUNDDOWN(LOG((Z82+1),2),0)</f>
        <v/>
      </c>
      <c r="AG82" s="75" t="n">
        <v>86</v>
      </c>
      <c r="AH82" s="9" t="n">
        <v>0</v>
      </c>
      <c r="AI82" s="9" t="n">
        <v>0</v>
      </c>
      <c r="AJ82" s="9" t="n">
        <v>0</v>
      </c>
      <c r="AQ82" s="75" t="n">
        <v>86</v>
      </c>
      <c r="AR82" s="75" t="n">
        <v>48.869</v>
      </c>
      <c r="AS82" s="75" t="n">
        <v>72.712</v>
      </c>
      <c r="AT82" s="75" t="n">
        <v>37.245</v>
      </c>
      <c r="AV82" s="75" t="n">
        <v>86</v>
      </c>
      <c r="AW82" s="75">
        <f>Beginning_stock!AT110</f>
        <v/>
      </c>
      <c r="AX82" s="75">
        <f>Beginning_stock!AU110</f>
        <v/>
      </c>
      <c r="AY82" s="75">
        <f>Beginning_stock!AV110</f>
        <v/>
      </c>
      <c r="BA82" s="75" t="n">
        <v>86</v>
      </c>
      <c r="BB82" s="75">
        <f>IF(Demand!AU99=Retailers_Cap!N82,"ret=0",(AW82/(Demand!AU99-Retailers_Cap!N82)))</f>
        <v/>
      </c>
      <c r="BC82" s="75">
        <f>IF(Demand!AV99=Retailers_Cap!O82,"ret=0",(AX82/(Demand!AV99-Retailers_Cap!O82)))</f>
        <v/>
      </c>
      <c r="BD82" s="75">
        <f>IF(Demand!AW99=Retailers_Cap!P82,"ret=0",(AY82/(Demand!AW99-Retailers_Cap!P82)))</f>
        <v/>
      </c>
      <c r="BF82" s="75" t="n">
        <v>86</v>
      </c>
      <c r="BG82" s="2">
        <f>IF(Demand!AU99&lt;=Retailers_Cap!N82,"ret=0",(IF(BB82&lt;=AR82+Distributors_Cap!$P$47,1,0)))</f>
        <v/>
      </c>
      <c r="BH82" s="2">
        <f>IF(Demand!AV99&lt;=Retailers_Cap!O82,"ret=0",(IF(BC82&lt;=AS82+Distributors_Cap!$P$47,1,0)))</f>
        <v/>
      </c>
      <c r="BI82" s="2">
        <f>IF(Demand!AW99&lt;=Retailers_Cap!P82,"ret=0",(IF(BD82&lt;=AT82+Distributors_Cap!$P$47,1,0)))</f>
        <v/>
      </c>
      <c r="BK82" s="75" t="n">
        <v>86</v>
      </c>
      <c r="BL82" s="75">
        <f>Retailers!BH81</f>
        <v/>
      </c>
      <c r="BM82" s="75">
        <f>Retailers!BI81</f>
        <v/>
      </c>
      <c r="BN82" s="75">
        <f>Retailers!BJ81</f>
        <v/>
      </c>
      <c r="BP82" s="75" t="n">
        <v>86</v>
      </c>
      <c r="BQ82" s="75">
        <f>#REF!</f>
        <v/>
      </c>
      <c r="BR82" s="75">
        <f>#REF!</f>
        <v/>
      </c>
      <c r="BS82" s="75">
        <f>#REF!</f>
        <v/>
      </c>
      <c r="BU82" s="75" t="n">
        <v>86</v>
      </c>
      <c r="BV82" s="75">
        <f>Retailers!AS81</f>
        <v/>
      </c>
      <c r="BW82" s="75">
        <f>Retailers!AT81</f>
        <v/>
      </c>
      <c r="BX82" s="75">
        <f>Retailers!AU81</f>
        <v/>
      </c>
      <c r="BZ82" s="75" t="n">
        <v>86</v>
      </c>
      <c r="CA82" s="75">
        <f>Results!#REF!</f>
        <v/>
      </c>
      <c r="CB82" s="75">
        <f>Results!#REF!</f>
        <v/>
      </c>
      <c r="CC82" s="75">
        <f>Results!#REF!</f>
        <v/>
      </c>
      <c r="CE82" s="75" t="n">
        <v>86</v>
      </c>
      <c r="CF82" s="75">
        <f>Retailers!BN81</f>
        <v/>
      </c>
      <c r="CG82" s="75">
        <f>Retailers!BO81</f>
        <v/>
      </c>
      <c r="CH82" s="75">
        <f>Retailers!BP81</f>
        <v/>
      </c>
      <c r="CJ82" s="75" t="n">
        <v>86</v>
      </c>
      <c r="CK82" s="75">
        <f>IF(BB82="ret=0",0,IF(BB82&gt;0,AR82+Distributors_Cap!$P$47-BB82,0))</f>
        <v/>
      </c>
      <c r="CL82" s="75">
        <f>IF(BC82="ret=0",0,IF(BC82&gt;0,AS82+Distributors_Cap!$P$47-BC82,0))</f>
        <v/>
      </c>
      <c r="CM82" s="75">
        <f>IF(BD82="ret=0",0,IF(BD82&gt;0,AT82+Distributors_Cap!$P$47-BD82,0))</f>
        <v/>
      </c>
    </row>
    <row r="83">
      <c r="G83" s="75" t="n">
        <v>87</v>
      </c>
      <c r="H83" s="75" t="n">
        <v>49.193</v>
      </c>
      <c r="I83" s="75" t="n">
        <v>60.402</v>
      </c>
      <c r="J83" s="75" t="n">
        <v>54.749</v>
      </c>
      <c r="L83" s="75">
        <f>TRUNC((_xlfn.NORM.INV((RAND()),$K$7,$K$8)),0)</f>
        <v/>
      </c>
      <c r="M83" s="75" t="n">
        <v>87</v>
      </c>
      <c r="N83" s="5" t="n">
        <v>32</v>
      </c>
      <c r="O83" s="5" t="n">
        <v>30</v>
      </c>
      <c r="P83" s="5" t="n">
        <v>29</v>
      </c>
      <c r="R83" s="2">
        <f>IF(N83&gt;Demand!AU100,0,(IF(((2*(Retailers!AJ82+Distributors_Cap!$P$47)-Retailers_Cap!$BB$7)*(Demand!AU100-Retailers_Cap!N83))&lt;0,0,((IF(BB83&gt;2*(Retailers!AJ82+Distributors_Cap!$P$47),0,(IF(BG83=0,ROUNDUP((2*(Retailers!AJ82+Distributors_Cap!$P$47)-BB83)^0.5,0),ROUNDUP((2*(Retailers!AJ82+Distributors_Cap!$P$47)-BB83)^0.5,0)))))))))</f>
        <v/>
      </c>
      <c r="S83" s="2">
        <f>IF(O83&gt;Demand!AV100,0,(IF(((2*(Retailers!AK82+Distributors_Cap!$P$47)-Retailers_Cap!$BB$7)*(Demand!AV100-Retailers_Cap!O83))&lt;0,0,((IF(BC83&gt;2*(Retailers!AK82+Distributors_Cap!$P$47),0,(IF(BH83=0,ROUNDUP((2*(Retailers!AK82+Distributors_Cap!$P$47)-BC83)^0.5,0),ROUNDUP((2*(Retailers!AK82+Distributors_Cap!$P$47)-BC83)^0.5,0)))))))))</f>
        <v/>
      </c>
      <c r="T83" s="2">
        <f>IF(P83&gt;Demand!AW100,0,(IF(((2*(Retailers!AL82+Distributors_Cap!$P$47)-Retailers_Cap!$BB$7)*(Demand!AW100-Retailers_Cap!P83))&lt;0,0,((IF(BD83&gt;2*(Retailers!AL82+Distributors_Cap!$P$47),0,(IF(BI83=0,ROUNDUP((2*(Retailers!AL82+Distributors_Cap!$P$47)-BD83)^0.5,0),ROUNDUP((2*(Retailers!AL82+Distributors_Cap!$P$47)-BD83)^0.5,0)))))))))</f>
        <v/>
      </c>
      <c r="W83" s="75" t="n">
        <v>87</v>
      </c>
      <c r="X83" s="9" t="n">
        <v>0</v>
      </c>
      <c r="Y83" s="9" t="n">
        <v>13</v>
      </c>
      <c r="Z83" s="9" t="n">
        <v>13</v>
      </c>
      <c r="AB83" s="2">
        <f>ROUNDDOWN(LOG((X83+1),2),0)</f>
        <v/>
      </c>
      <c r="AC83" s="2">
        <f>ROUNDDOWN(LOG((Y83+1),2),0)</f>
        <v/>
      </c>
      <c r="AD83" s="2">
        <f>ROUNDDOWN(LOG((Z83+1),2),0)</f>
        <v/>
      </c>
      <c r="AG83" s="75" t="n">
        <v>87</v>
      </c>
      <c r="AH83" s="9" t="n">
        <v>0</v>
      </c>
      <c r="AI83" s="9" t="n">
        <v>3</v>
      </c>
      <c r="AJ83" s="9" t="n">
        <v>3</v>
      </c>
      <c r="AQ83" s="75" t="n">
        <v>87</v>
      </c>
      <c r="AR83" s="75" t="n">
        <v>49.193</v>
      </c>
      <c r="AS83" s="75" t="n">
        <v>60.402</v>
      </c>
      <c r="AT83" s="75" t="n">
        <v>54.749</v>
      </c>
      <c r="AV83" s="75" t="n">
        <v>87</v>
      </c>
      <c r="AW83" s="75">
        <f>Beginning_stock!AT111</f>
        <v/>
      </c>
      <c r="AX83" s="75">
        <f>Beginning_stock!AU111</f>
        <v/>
      </c>
      <c r="AY83" s="75">
        <f>Beginning_stock!AV111</f>
        <v/>
      </c>
      <c r="BA83" s="75" t="n">
        <v>87</v>
      </c>
      <c r="BB83" s="75">
        <f>IF(Demand!AU100=Retailers_Cap!N83,"ret=0",(AW83/(Demand!AU100-Retailers_Cap!N83)))</f>
        <v/>
      </c>
      <c r="BC83" s="75">
        <f>IF(Demand!AV100=Retailers_Cap!O83,"ret=0",(AX83/(Demand!AV100-Retailers_Cap!O83)))</f>
        <v/>
      </c>
      <c r="BD83" s="75">
        <f>IF(Demand!AW100=Retailers_Cap!P83,"ret=0",(AY83/(Demand!AW100-Retailers_Cap!P83)))</f>
        <v/>
      </c>
      <c r="BF83" s="75" t="n">
        <v>87</v>
      </c>
      <c r="BG83" s="2">
        <f>IF(Demand!AU100&lt;=Retailers_Cap!N83,"ret=0",(IF(BB83&lt;=AR83+Distributors_Cap!$P$47,1,0)))</f>
        <v/>
      </c>
      <c r="BH83" s="2">
        <f>IF(Demand!AV100&lt;=Retailers_Cap!O83,"ret=0",(IF(BC83&lt;=AS83+Distributors_Cap!$P$47,1,0)))</f>
        <v/>
      </c>
      <c r="BI83" s="2">
        <f>IF(Demand!AW100&lt;=Retailers_Cap!P83,"ret=0",(IF(BD83&lt;=AT83+Distributors_Cap!$P$47,1,0)))</f>
        <v/>
      </c>
      <c r="BK83" s="75" t="n">
        <v>87</v>
      </c>
      <c r="BL83" s="75">
        <f>Retailers!BH82</f>
        <v/>
      </c>
      <c r="BM83" s="75">
        <f>Retailers!BI82</f>
        <v/>
      </c>
      <c r="BN83" s="75">
        <f>Retailers!BJ82</f>
        <v/>
      </c>
      <c r="BP83" s="75" t="n">
        <v>87</v>
      </c>
      <c r="BQ83" s="75">
        <f>#REF!</f>
        <v/>
      </c>
      <c r="BR83" s="75">
        <f>#REF!</f>
        <v/>
      </c>
      <c r="BS83" s="75">
        <f>#REF!</f>
        <v/>
      </c>
      <c r="BU83" s="75" t="n">
        <v>87</v>
      </c>
      <c r="BV83" s="75">
        <f>Retailers!AS82</f>
        <v/>
      </c>
      <c r="BW83" s="75">
        <f>Retailers!AT82</f>
        <v/>
      </c>
      <c r="BX83" s="75">
        <f>Retailers!AU82</f>
        <v/>
      </c>
      <c r="BZ83" s="75" t="n">
        <v>87</v>
      </c>
      <c r="CA83" s="75">
        <f>Results!#REF!</f>
        <v/>
      </c>
      <c r="CB83" s="75">
        <f>Results!#REF!</f>
        <v/>
      </c>
      <c r="CC83" s="75">
        <f>Results!#REF!</f>
        <v/>
      </c>
      <c r="CE83" s="75" t="n">
        <v>87</v>
      </c>
      <c r="CF83" s="75">
        <f>Retailers!BN82</f>
        <v/>
      </c>
      <c r="CG83" s="75">
        <f>Retailers!BO82</f>
        <v/>
      </c>
      <c r="CH83" s="75">
        <f>Retailers!BP82</f>
        <v/>
      </c>
      <c r="CJ83" s="75" t="n">
        <v>87</v>
      </c>
      <c r="CK83" s="75">
        <f>IF(BB83="ret=0",0,IF(BB83&gt;0,AR83+Distributors_Cap!$P$47-BB83,0))</f>
        <v/>
      </c>
      <c r="CL83" s="75">
        <f>IF(BC83="ret=0",0,IF(BC83&gt;0,AS83+Distributors_Cap!$P$47-BC83,0))</f>
        <v/>
      </c>
      <c r="CM83" s="75">
        <f>IF(BD83="ret=0",0,IF(BD83&gt;0,AT83+Distributors_Cap!$P$47-BD83,0))</f>
        <v/>
      </c>
    </row>
    <row r="84">
      <c r="G84" s="75" t="n">
        <v>88</v>
      </c>
      <c r="H84" s="75" t="n">
        <v>63.535</v>
      </c>
      <c r="I84" s="75" t="n">
        <v>56.853</v>
      </c>
      <c r="J84" s="75" t="n">
        <v>54.955</v>
      </c>
      <c r="L84" s="75">
        <f>TRUNC((_xlfn.NORM.INV((RAND()),$K$7,$K$8)),0)</f>
        <v/>
      </c>
      <c r="M84" s="75" t="n">
        <v>88</v>
      </c>
      <c r="N84" s="5" t="n">
        <v>26</v>
      </c>
      <c r="O84" s="5" t="n">
        <v>32</v>
      </c>
      <c r="P84" s="5" t="n">
        <v>36</v>
      </c>
      <c r="R84" s="2">
        <f>IF(N84&gt;Demand!AU101,0,(IF(((2*(Retailers!AJ83+Distributors_Cap!$P$47)-Retailers_Cap!$BB$7)*(Demand!AU101-Retailers_Cap!N84))&lt;0,0,((IF(BB84&gt;2*(Retailers!AJ83+Distributors_Cap!$P$47),0,(IF(BG84=0,ROUNDUP((2*(Retailers!AJ83+Distributors_Cap!$P$47)-BB84)^0.5,0),ROUNDUP((2*(Retailers!AJ83+Distributors_Cap!$P$47)-BB84)^0.5,0)))))))))</f>
        <v/>
      </c>
      <c r="S84" s="2">
        <f>IF(O84&gt;Demand!AV101,0,(IF(((2*(Retailers!AK83+Distributors_Cap!$P$47)-Retailers_Cap!$BB$7)*(Demand!AV101-Retailers_Cap!O84))&lt;0,0,((IF(BC84&gt;2*(Retailers!AK83+Distributors_Cap!$P$47),0,(IF(BH84=0,ROUNDUP((2*(Retailers!AK83+Distributors_Cap!$P$47)-BC84)^0.5,0),ROUNDUP((2*(Retailers!AK83+Distributors_Cap!$P$47)-BC84)^0.5,0)))))))))</f>
        <v/>
      </c>
      <c r="T84" s="2">
        <f>IF(P84&gt;Demand!AW101,0,(IF(((2*(Retailers!AL83+Distributors_Cap!$P$47)-Retailers_Cap!$BB$7)*(Demand!AW101-Retailers_Cap!P84))&lt;0,0,((IF(BD84&gt;2*(Retailers!AL83+Distributors_Cap!$P$47),0,(IF(BI84=0,ROUNDUP((2*(Retailers!AL83+Distributors_Cap!$P$47)-BD84)^0.5,0),ROUNDUP((2*(Retailers!AL83+Distributors_Cap!$P$47)-BD84)^0.5,0)))))))))</f>
        <v/>
      </c>
      <c r="W84" s="75" t="n">
        <v>88</v>
      </c>
      <c r="X84" s="9" t="n">
        <v>0</v>
      </c>
      <c r="Y84" s="9" t="n">
        <v>0</v>
      </c>
      <c r="Z84" s="9" t="n">
        <v>0</v>
      </c>
      <c r="AB84" s="2">
        <f>ROUNDDOWN(LOG((X84+1),2),0)</f>
        <v/>
      </c>
      <c r="AC84" s="2">
        <f>ROUNDDOWN(LOG((Y84+1),2),0)</f>
        <v/>
      </c>
      <c r="AD84" s="2">
        <f>ROUNDDOWN(LOG((Z84+1),2),0)</f>
        <v/>
      </c>
      <c r="AG84" s="75" t="n">
        <v>88</v>
      </c>
      <c r="AH84" s="9" t="n">
        <v>0</v>
      </c>
      <c r="AI84" s="9" t="n">
        <v>0</v>
      </c>
      <c r="AJ84" s="9" t="n">
        <v>0</v>
      </c>
      <c r="AQ84" s="75" t="n">
        <v>88</v>
      </c>
      <c r="AR84" s="75" t="n">
        <v>63.535</v>
      </c>
      <c r="AS84" s="75" t="n">
        <v>56.853</v>
      </c>
      <c r="AT84" s="75" t="n">
        <v>54.955</v>
      </c>
      <c r="AV84" s="75" t="n">
        <v>88</v>
      </c>
      <c r="AW84" s="75">
        <f>Beginning_stock!AT112</f>
        <v/>
      </c>
      <c r="AX84" s="75">
        <f>Beginning_stock!AU112</f>
        <v/>
      </c>
      <c r="AY84" s="75">
        <f>Beginning_stock!AV112</f>
        <v/>
      </c>
      <c r="BA84" s="75" t="n">
        <v>88</v>
      </c>
      <c r="BB84" s="75">
        <f>IF(Demand!AU101=Retailers_Cap!N84,"ret=0",(AW84/(Demand!AU101-Retailers_Cap!N84)))</f>
        <v/>
      </c>
      <c r="BC84" s="75">
        <f>IF(Demand!AV101=Retailers_Cap!O84,"ret=0",(AX84/(Demand!AV101-Retailers_Cap!O84)))</f>
        <v/>
      </c>
      <c r="BD84" s="75">
        <f>IF(Demand!AW101=Retailers_Cap!P84,"ret=0",(AY84/(Demand!AW101-Retailers_Cap!P84)))</f>
        <v/>
      </c>
      <c r="BF84" s="75" t="n">
        <v>88</v>
      </c>
      <c r="BG84" s="2">
        <f>IF(Demand!AU101&lt;=Retailers_Cap!N84,"ret=0",(IF(BB84&lt;=AR84+Distributors_Cap!$P$47,1,0)))</f>
        <v/>
      </c>
      <c r="BH84" s="2">
        <f>IF(Demand!AV101&lt;=Retailers_Cap!O84,"ret=0",(IF(BC84&lt;=AS84+Distributors_Cap!$P$47,1,0)))</f>
        <v/>
      </c>
      <c r="BI84" s="2">
        <f>IF(Demand!AW101&lt;=Retailers_Cap!P84,"ret=0",(IF(BD84&lt;=AT84+Distributors_Cap!$P$47,1,0)))</f>
        <v/>
      </c>
      <c r="BK84" s="75" t="n">
        <v>88</v>
      </c>
      <c r="BL84" s="75">
        <f>Retailers!BH83</f>
        <v/>
      </c>
      <c r="BM84" s="75">
        <f>Retailers!BI83</f>
        <v/>
      </c>
      <c r="BN84" s="75">
        <f>Retailers!BJ83</f>
        <v/>
      </c>
      <c r="BP84" s="75" t="n">
        <v>88</v>
      </c>
      <c r="BQ84" s="75">
        <f>#REF!</f>
        <v/>
      </c>
      <c r="BR84" s="75">
        <f>#REF!</f>
        <v/>
      </c>
      <c r="BS84" s="75">
        <f>#REF!</f>
        <v/>
      </c>
      <c r="BU84" s="75" t="n">
        <v>88</v>
      </c>
      <c r="BV84" s="75">
        <f>Retailers!AS83</f>
        <v/>
      </c>
      <c r="BW84" s="75">
        <f>Retailers!AT83</f>
        <v/>
      </c>
      <c r="BX84" s="75">
        <f>Retailers!AU83</f>
        <v/>
      </c>
      <c r="BZ84" s="75" t="n">
        <v>88</v>
      </c>
      <c r="CA84" s="75">
        <f>Results!#REF!</f>
        <v/>
      </c>
      <c r="CB84" s="75">
        <f>Results!#REF!</f>
        <v/>
      </c>
      <c r="CC84" s="75">
        <f>Results!#REF!</f>
        <v/>
      </c>
      <c r="CE84" s="75" t="n">
        <v>88</v>
      </c>
      <c r="CF84" s="75">
        <f>Retailers!BN83</f>
        <v/>
      </c>
      <c r="CG84" s="75">
        <f>Retailers!BO83</f>
        <v/>
      </c>
      <c r="CH84" s="75">
        <f>Retailers!BP83</f>
        <v/>
      </c>
      <c r="CJ84" s="75" t="n">
        <v>88</v>
      </c>
      <c r="CK84" s="75">
        <f>IF(BB84="ret=0",0,IF(BB84&gt;0,AR84+Distributors_Cap!$P$47-BB84,0))</f>
        <v/>
      </c>
      <c r="CL84" s="75">
        <f>IF(BC84="ret=0",0,IF(BC84&gt;0,AS84+Distributors_Cap!$P$47-BC84,0))</f>
        <v/>
      </c>
      <c r="CM84" s="75">
        <f>IF(BD84="ret=0",0,IF(BD84&gt;0,AT84+Distributors_Cap!$P$47-BD84,0))</f>
        <v/>
      </c>
    </row>
    <row r="85">
      <c r="G85" s="75" t="n">
        <v>89</v>
      </c>
      <c r="H85" s="75" t="n">
        <v>65.476</v>
      </c>
      <c r="I85" s="75" t="n">
        <v>46.921</v>
      </c>
      <c r="J85" s="75" t="n">
        <v>47.585</v>
      </c>
      <c r="L85" s="75">
        <f>TRUNC((_xlfn.NORM.INV((RAND()),$K$7,$K$8)),0)</f>
        <v/>
      </c>
      <c r="M85" s="75" t="n">
        <v>89</v>
      </c>
      <c r="N85" s="5" t="n">
        <v>26</v>
      </c>
      <c r="O85" s="5" t="n">
        <v>17</v>
      </c>
      <c r="P85" s="5" t="n">
        <v>35</v>
      </c>
      <c r="R85" s="2">
        <f>IF(N85&gt;Demand!AU102,0,(IF(((2*(Retailers!AJ84+Distributors_Cap!$P$47)-Retailers_Cap!$BB$7)*(Demand!AU102-Retailers_Cap!N85))&lt;0,0,((IF(BB85&gt;2*(Retailers!AJ84+Distributors_Cap!$P$47),0,(IF(BG85=0,ROUNDUP((2*(Retailers!AJ84+Distributors_Cap!$P$47)-BB85)^0.5,0),ROUNDUP((2*(Retailers!AJ84+Distributors_Cap!$P$47)-BB85)^0.5,0)))))))))</f>
        <v/>
      </c>
      <c r="S85" s="2">
        <f>IF(O85&gt;Demand!AV102,0,(IF(((2*(Retailers!AK84+Distributors_Cap!$P$47)-Retailers_Cap!$BB$7)*(Demand!AV102-Retailers_Cap!O85))&lt;0,0,((IF(BC85&gt;2*(Retailers!AK84+Distributors_Cap!$P$47),0,(IF(BH85=0,ROUNDUP((2*(Retailers!AK84+Distributors_Cap!$P$47)-BC85)^0.5,0),ROUNDUP((2*(Retailers!AK84+Distributors_Cap!$P$47)-BC85)^0.5,0)))))))))</f>
        <v/>
      </c>
      <c r="T85" s="2">
        <f>IF(P85&gt;Demand!AW102,0,(IF(((2*(Retailers!AL84+Distributors_Cap!$P$47)-Retailers_Cap!$BB$7)*(Demand!AW102-Retailers_Cap!P85))&lt;0,0,((IF(BD85&gt;2*(Retailers!AL84+Distributors_Cap!$P$47),0,(IF(BI85=0,ROUNDUP((2*(Retailers!AL84+Distributors_Cap!$P$47)-BD85)^0.5,0),ROUNDUP((2*(Retailers!AL84+Distributors_Cap!$P$47)-BD85)^0.5,0)))))))))</f>
        <v/>
      </c>
      <c r="W85" s="75" t="n">
        <v>89</v>
      </c>
      <c r="X85" s="9" t="n">
        <v>14</v>
      </c>
      <c r="Y85" s="9" t="n">
        <v>0</v>
      </c>
      <c r="Z85" s="9" t="n">
        <v>0</v>
      </c>
      <c r="AB85" s="2">
        <f>ROUNDDOWN(LOG((X85+1),2),0)</f>
        <v/>
      </c>
      <c r="AC85" s="2">
        <f>ROUNDDOWN(LOG((Y85+1),2),0)</f>
        <v/>
      </c>
      <c r="AD85" s="2">
        <f>ROUNDDOWN(LOG((Z85+1),2),0)</f>
        <v/>
      </c>
      <c r="AG85" s="75" t="n">
        <v>89</v>
      </c>
      <c r="AH85" s="9" t="n">
        <v>3</v>
      </c>
      <c r="AI85" s="9" t="n">
        <v>0</v>
      </c>
      <c r="AJ85" s="9" t="n">
        <v>0</v>
      </c>
      <c r="AQ85" s="75" t="n">
        <v>89</v>
      </c>
      <c r="AR85" s="75" t="n">
        <v>65.476</v>
      </c>
      <c r="AS85" s="75" t="n">
        <v>46.921</v>
      </c>
      <c r="AT85" s="75" t="n">
        <v>47.585</v>
      </c>
      <c r="AV85" s="75" t="n">
        <v>89</v>
      </c>
      <c r="AW85" s="75">
        <f>Beginning_stock!AT113</f>
        <v/>
      </c>
      <c r="AX85" s="75">
        <f>Beginning_stock!AU113</f>
        <v/>
      </c>
      <c r="AY85" s="75">
        <f>Beginning_stock!AV113</f>
        <v/>
      </c>
      <c r="BA85" s="75" t="n">
        <v>89</v>
      </c>
      <c r="BB85" s="75">
        <f>IF(Demand!AU102=Retailers_Cap!N85,"ret=0",(AW85/(Demand!AU102-Retailers_Cap!N85)))</f>
        <v/>
      </c>
      <c r="BC85" s="75">
        <f>IF(Demand!AV102=Retailers_Cap!O85,"ret=0",(AX85/(Demand!AV102-Retailers_Cap!O85)))</f>
        <v/>
      </c>
      <c r="BD85" s="75">
        <f>IF(Demand!AW102=Retailers_Cap!P85,"ret=0",(AY85/(Demand!AW102-Retailers_Cap!P85)))</f>
        <v/>
      </c>
      <c r="BF85" s="75" t="n">
        <v>89</v>
      </c>
      <c r="BG85" s="2">
        <f>IF(Demand!AU102&lt;=Retailers_Cap!N85,"ret=0",(IF(BB85&lt;=AR85+Distributors_Cap!$P$47,1,0)))</f>
        <v/>
      </c>
      <c r="BH85" s="2">
        <f>IF(Demand!AV102&lt;=Retailers_Cap!O85,"ret=0",(IF(BC85&lt;=AS85+Distributors_Cap!$P$47,1,0)))</f>
        <v/>
      </c>
      <c r="BI85" s="2">
        <f>IF(Demand!AW102&lt;=Retailers_Cap!P85,"ret=0",(IF(BD85&lt;=AT85+Distributors_Cap!$P$47,1,0)))</f>
        <v/>
      </c>
      <c r="BK85" s="75" t="n">
        <v>89</v>
      </c>
      <c r="BL85" s="75">
        <f>Retailers!BH84</f>
        <v/>
      </c>
      <c r="BM85" s="75">
        <f>Retailers!BI84</f>
        <v/>
      </c>
      <c r="BN85" s="75">
        <f>Retailers!BJ84</f>
        <v/>
      </c>
      <c r="BP85" s="75" t="n">
        <v>89</v>
      </c>
      <c r="BQ85" s="75">
        <f>#REF!</f>
        <v/>
      </c>
      <c r="BR85" s="75">
        <f>#REF!</f>
        <v/>
      </c>
      <c r="BS85" s="75">
        <f>#REF!</f>
        <v/>
      </c>
      <c r="BU85" s="75" t="n">
        <v>89</v>
      </c>
      <c r="BV85" s="75">
        <f>Retailers!AS84</f>
        <v/>
      </c>
      <c r="BW85" s="75">
        <f>Retailers!AT84</f>
        <v/>
      </c>
      <c r="BX85" s="75">
        <f>Retailers!AU84</f>
        <v/>
      </c>
      <c r="BZ85" s="75" t="n">
        <v>89</v>
      </c>
      <c r="CA85" s="75">
        <f>Results!#REF!</f>
        <v/>
      </c>
      <c r="CB85" s="75">
        <f>Results!#REF!</f>
        <v/>
      </c>
      <c r="CC85" s="75">
        <f>Results!#REF!</f>
        <v/>
      </c>
      <c r="CE85" s="75" t="n">
        <v>89</v>
      </c>
      <c r="CF85" s="75">
        <f>Retailers!BN84</f>
        <v/>
      </c>
      <c r="CG85" s="75">
        <f>Retailers!BO84</f>
        <v/>
      </c>
      <c r="CH85" s="75">
        <f>Retailers!BP84</f>
        <v/>
      </c>
      <c r="CJ85" s="75" t="n">
        <v>89</v>
      </c>
      <c r="CK85" s="75">
        <f>IF(BB85="ret=0",0,IF(BB85&gt;0,AR85+Distributors_Cap!$P$47-BB85,0))</f>
        <v/>
      </c>
      <c r="CL85" s="75">
        <f>IF(BC85="ret=0",0,IF(BC85&gt;0,AS85+Distributors_Cap!$P$47-BC85,0))</f>
        <v/>
      </c>
      <c r="CM85" s="75">
        <f>IF(BD85="ret=0",0,IF(BD85&gt;0,AT85+Distributors_Cap!$P$47-BD85,0))</f>
        <v/>
      </c>
    </row>
    <row r="86">
      <c r="G86" s="75" t="n">
        <v>90</v>
      </c>
      <c r="H86" s="75" t="n">
        <v>43.388</v>
      </c>
      <c r="I86" s="75" t="n">
        <v>75.02800000000001</v>
      </c>
      <c r="J86" s="75" t="n">
        <v>62.04</v>
      </c>
      <c r="L86" s="75">
        <f>TRUNC((_xlfn.NORM.INV((RAND()),$K$7,$K$8)),0)</f>
        <v/>
      </c>
      <c r="M86" s="75" t="n">
        <v>90</v>
      </c>
      <c r="N86" s="5" t="n">
        <v>22</v>
      </c>
      <c r="O86" s="5" t="n">
        <v>31</v>
      </c>
      <c r="P86" s="5" t="n">
        <v>32</v>
      </c>
      <c r="R86" s="2">
        <f>IF(N86&gt;Demand!AU103,0,(IF(((2*(Retailers!AJ85+Distributors_Cap!$P$47)-Retailers_Cap!$BB$7)*(Demand!AU103-Retailers_Cap!N86))&lt;0,0,((IF(BB86&gt;2*(Retailers!AJ85+Distributors_Cap!$P$47),0,(IF(BG86=0,ROUNDUP((2*(Retailers!AJ85+Distributors_Cap!$P$47)-BB86)^0.5,0),ROUNDUP((2*(Retailers!AJ85+Distributors_Cap!$P$47)-BB86)^0.5,0)))))))))</f>
        <v/>
      </c>
      <c r="S86" s="2">
        <f>IF(O86&gt;Demand!AV103,0,(IF(((2*(Retailers!AK85+Distributors_Cap!$P$47)-Retailers_Cap!$BB$7)*(Demand!AV103-Retailers_Cap!O86))&lt;0,0,((IF(BC86&gt;2*(Retailers!AK85+Distributors_Cap!$P$47),0,(IF(BH86=0,ROUNDUP((2*(Retailers!AK85+Distributors_Cap!$P$47)-BC86)^0.5,0),ROUNDUP((2*(Retailers!AK85+Distributors_Cap!$P$47)-BC86)^0.5,0)))))))))</f>
        <v/>
      </c>
      <c r="T86" s="2">
        <f>IF(P86&gt;Demand!AW103,0,(IF(((2*(Retailers!AL85+Distributors_Cap!$P$47)-Retailers_Cap!$BB$7)*(Demand!AW103-Retailers_Cap!P86))&lt;0,0,((IF(BD86&gt;2*(Retailers!AL85+Distributors_Cap!$P$47),0,(IF(BI86=0,ROUNDUP((2*(Retailers!AL85+Distributors_Cap!$P$47)-BD86)^0.5,0),ROUNDUP((2*(Retailers!AL85+Distributors_Cap!$P$47)-BD86)^0.5,0)))))))))</f>
        <v/>
      </c>
      <c r="W86" s="75" t="n">
        <v>90</v>
      </c>
      <c r="X86" s="9" t="n">
        <v>0</v>
      </c>
      <c r="Y86" s="9" t="n">
        <v>0</v>
      </c>
      <c r="Z86" s="9" t="n">
        <v>0</v>
      </c>
      <c r="AB86" s="2">
        <f>ROUNDDOWN(LOG((X86+1),2),0)</f>
        <v/>
      </c>
      <c r="AC86" s="2">
        <f>ROUNDDOWN(LOG((Y86+1),2),0)</f>
        <v/>
      </c>
      <c r="AD86" s="2">
        <f>ROUNDDOWN(LOG((Z86+1),2),0)</f>
        <v/>
      </c>
      <c r="AG86" s="75" t="n">
        <v>90</v>
      </c>
      <c r="AH86" s="9" t="n">
        <v>0</v>
      </c>
      <c r="AI86" s="9" t="n">
        <v>0</v>
      </c>
      <c r="AJ86" s="9" t="n">
        <v>0</v>
      </c>
      <c r="AQ86" s="75" t="n">
        <v>90</v>
      </c>
      <c r="AR86" s="75" t="n">
        <v>43.388</v>
      </c>
      <c r="AS86" s="75" t="n">
        <v>75.02800000000001</v>
      </c>
      <c r="AT86" s="75" t="n">
        <v>62.04</v>
      </c>
      <c r="AV86" s="75" t="n">
        <v>90</v>
      </c>
      <c r="AW86" s="75">
        <f>Beginning_stock!AT114</f>
        <v/>
      </c>
      <c r="AX86" s="75">
        <f>Beginning_stock!AU114</f>
        <v/>
      </c>
      <c r="AY86" s="75">
        <f>Beginning_stock!AV114</f>
        <v/>
      </c>
      <c r="BA86" s="75" t="n">
        <v>90</v>
      </c>
      <c r="BB86" s="75">
        <f>IF(Demand!AU103=Retailers_Cap!N86,"ret=0",(AW86/(Demand!AU103-Retailers_Cap!N86)))</f>
        <v/>
      </c>
      <c r="BC86" s="75">
        <f>IF(Demand!AV103=Retailers_Cap!O86,"ret=0",(AX86/(Demand!AV103-Retailers_Cap!O86)))</f>
        <v/>
      </c>
      <c r="BD86" s="75">
        <f>IF(Demand!AW103=Retailers_Cap!P86,"ret=0",(AY86/(Demand!AW103-Retailers_Cap!P86)))</f>
        <v/>
      </c>
      <c r="BF86" s="75" t="n">
        <v>90</v>
      </c>
      <c r="BG86" s="2">
        <f>IF(Demand!AU103&lt;=Retailers_Cap!N86,"ret=0",(IF(BB86&lt;=AR86+Distributors_Cap!$P$47,1,0)))</f>
        <v/>
      </c>
      <c r="BH86" s="2">
        <f>IF(Demand!AV103&lt;=Retailers_Cap!O86,"ret=0",(IF(BC86&lt;=AS86+Distributors_Cap!$P$47,1,0)))</f>
        <v/>
      </c>
      <c r="BI86" s="2">
        <f>IF(Demand!AW103&lt;=Retailers_Cap!P86,"ret=0",(IF(BD86&lt;=AT86+Distributors_Cap!$P$47,1,0)))</f>
        <v/>
      </c>
      <c r="BK86" s="75" t="n">
        <v>90</v>
      </c>
      <c r="BL86" s="75">
        <f>Retailers!BH85</f>
        <v/>
      </c>
      <c r="BM86" s="75">
        <f>Retailers!BI85</f>
        <v/>
      </c>
      <c r="BN86" s="75">
        <f>Retailers!BJ85</f>
        <v/>
      </c>
      <c r="BP86" s="75" t="n">
        <v>90</v>
      </c>
      <c r="BQ86" s="75">
        <f>#REF!</f>
        <v/>
      </c>
      <c r="BR86" s="75">
        <f>#REF!</f>
        <v/>
      </c>
      <c r="BS86" s="75">
        <f>#REF!</f>
        <v/>
      </c>
      <c r="BU86" s="75" t="n">
        <v>90</v>
      </c>
      <c r="BV86" s="75">
        <f>Retailers!AS85</f>
        <v/>
      </c>
      <c r="BW86" s="75">
        <f>Retailers!AT85</f>
        <v/>
      </c>
      <c r="BX86" s="75">
        <f>Retailers!AU85</f>
        <v/>
      </c>
      <c r="BZ86" s="75" t="n">
        <v>90</v>
      </c>
      <c r="CA86" s="75">
        <f>Results!#REF!</f>
        <v/>
      </c>
      <c r="CB86" s="75">
        <f>Results!#REF!</f>
        <v/>
      </c>
      <c r="CC86" s="75">
        <f>Results!#REF!</f>
        <v/>
      </c>
      <c r="CE86" s="75" t="n">
        <v>90</v>
      </c>
      <c r="CF86" s="75">
        <f>Retailers!BN85</f>
        <v/>
      </c>
      <c r="CG86" s="75">
        <f>Retailers!BO85</f>
        <v/>
      </c>
      <c r="CH86" s="75">
        <f>Retailers!BP85</f>
        <v/>
      </c>
      <c r="CJ86" s="75" t="n">
        <v>90</v>
      </c>
      <c r="CK86" s="75">
        <f>IF(BB86="ret=0",0,IF(BB86&gt;0,AR86+Distributors_Cap!$P$47-BB86,0))</f>
        <v/>
      </c>
      <c r="CL86" s="75">
        <f>IF(BC86="ret=0",0,IF(BC86&gt;0,AS86+Distributors_Cap!$P$47-BC86,0))</f>
        <v/>
      </c>
      <c r="CM86" s="75">
        <f>IF(BD86="ret=0",0,IF(BD86&gt;0,AT86+Distributors_Cap!$P$47-BD86,0))</f>
        <v/>
      </c>
    </row>
    <row r="87">
      <c r="G87" s="75" t="n">
        <v>91</v>
      </c>
      <c r="H87" s="75" t="n">
        <v>68.217</v>
      </c>
      <c r="I87" s="75" t="n">
        <v>59.264</v>
      </c>
      <c r="J87" s="75" t="n">
        <v>71.79300000000001</v>
      </c>
      <c r="L87" s="75">
        <f>TRUNC((_xlfn.NORM.INV((RAND()),$K$7,$K$8)),0)</f>
        <v/>
      </c>
      <c r="M87" s="75" t="n">
        <v>91</v>
      </c>
      <c r="N87" s="5" t="n">
        <v>33</v>
      </c>
      <c r="O87" s="5" t="n">
        <v>27</v>
      </c>
      <c r="P87" s="5" t="n">
        <v>40</v>
      </c>
      <c r="R87" s="2">
        <f>IF(N87&gt;Demand!AU104,0,(IF(((2*(Retailers!AJ86+Distributors_Cap!$P$47)-Retailers_Cap!$BB$7)*(Demand!AU104-Retailers_Cap!N87))&lt;0,0,((IF(BB87&gt;2*(Retailers!AJ86+Distributors_Cap!$P$47),0,(IF(BG87=0,ROUNDUP((2*(Retailers!AJ86+Distributors_Cap!$P$47)-BB87)^0.5,0),ROUNDUP((2*(Retailers!AJ86+Distributors_Cap!$P$47)-BB87)^0.5,0)))))))))</f>
        <v/>
      </c>
      <c r="S87" s="2">
        <f>IF(O87&gt;Demand!AV104,0,(IF(((2*(Retailers!AK86+Distributors_Cap!$P$47)-Retailers_Cap!$BB$7)*(Demand!AV104-Retailers_Cap!O87))&lt;0,0,((IF(BC87&gt;2*(Retailers!AK86+Distributors_Cap!$P$47),0,(IF(BH87=0,ROUNDUP((2*(Retailers!AK86+Distributors_Cap!$P$47)-BC87)^0.5,0),ROUNDUP((2*(Retailers!AK86+Distributors_Cap!$P$47)-BC87)^0.5,0)))))))))</f>
        <v/>
      </c>
      <c r="T87" s="2">
        <f>IF(P87&gt;Demand!AW104,0,(IF(((2*(Retailers!AL86+Distributors_Cap!$P$47)-Retailers_Cap!$BB$7)*(Demand!AW104-Retailers_Cap!P87))&lt;0,0,((IF(BD87&gt;2*(Retailers!AL86+Distributors_Cap!$P$47),0,(IF(BI87=0,ROUNDUP((2*(Retailers!AL86+Distributors_Cap!$P$47)-BD87)^0.5,0),ROUNDUP((2*(Retailers!AL86+Distributors_Cap!$P$47)-BD87)^0.5,0)))))))))</f>
        <v/>
      </c>
      <c r="W87" s="75" t="n">
        <v>91</v>
      </c>
      <c r="X87" s="9" t="n">
        <v>0</v>
      </c>
      <c r="Y87" s="9" t="n">
        <v>0</v>
      </c>
      <c r="Z87" s="9" t="n">
        <v>0</v>
      </c>
      <c r="AB87" s="2">
        <f>ROUNDDOWN(LOG((X87+1),2),0)</f>
        <v/>
      </c>
      <c r="AC87" s="2">
        <f>ROUNDDOWN(LOG((Y87+1),2),0)</f>
        <v/>
      </c>
      <c r="AD87" s="2">
        <f>ROUNDDOWN(LOG((Z87+1),2),0)</f>
        <v/>
      </c>
      <c r="AG87" s="75" t="n">
        <v>91</v>
      </c>
      <c r="AH87" s="9" t="n">
        <v>0</v>
      </c>
      <c r="AI87" s="9" t="n">
        <v>0</v>
      </c>
      <c r="AJ87" s="9" t="n">
        <v>0</v>
      </c>
      <c r="AQ87" s="75" t="n">
        <v>91</v>
      </c>
      <c r="AR87" s="75" t="n">
        <v>68.217</v>
      </c>
      <c r="AS87" s="75" t="n">
        <v>59.264</v>
      </c>
      <c r="AT87" s="75" t="n">
        <v>71.79300000000001</v>
      </c>
      <c r="AV87" s="75" t="n">
        <v>91</v>
      </c>
      <c r="AW87" s="75">
        <f>Beginning_stock!AT115</f>
        <v/>
      </c>
      <c r="AX87" s="75">
        <f>Beginning_stock!AU115</f>
        <v/>
      </c>
      <c r="AY87" s="75">
        <f>Beginning_stock!AV115</f>
        <v/>
      </c>
      <c r="BA87" s="75" t="n">
        <v>91</v>
      </c>
      <c r="BB87" s="75">
        <f>IF(Demand!AU104=Retailers_Cap!N87,"ret=0",(AW87/(Demand!AU104-Retailers_Cap!N87)))</f>
        <v/>
      </c>
      <c r="BC87" s="75">
        <f>IF(Demand!AV104=Retailers_Cap!O87,"ret=0",(AX87/(Demand!AV104-Retailers_Cap!O87)))</f>
        <v/>
      </c>
      <c r="BD87" s="75">
        <f>IF(Demand!AW104=Retailers_Cap!P87,"ret=0",(AY87/(Demand!AW104-Retailers_Cap!P87)))</f>
        <v/>
      </c>
      <c r="BF87" s="75" t="n">
        <v>91</v>
      </c>
      <c r="BG87" s="2">
        <f>IF(Demand!AU104&lt;=Retailers_Cap!N87,"ret=0",(IF(BB87&lt;=AR87+Distributors_Cap!$P$47,1,0)))</f>
        <v/>
      </c>
      <c r="BH87" s="2">
        <f>IF(Demand!AV104&lt;=Retailers_Cap!O87,"ret=0",(IF(BC87&lt;=AS87+Distributors_Cap!$P$47,1,0)))</f>
        <v/>
      </c>
      <c r="BI87" s="2">
        <f>IF(Demand!AW104&lt;=Retailers_Cap!P87,"ret=0",(IF(BD87&lt;=AT87+Distributors_Cap!$P$47,1,0)))</f>
        <v/>
      </c>
      <c r="BK87" s="75" t="n">
        <v>91</v>
      </c>
      <c r="BL87" s="75">
        <f>Retailers!BH86</f>
        <v/>
      </c>
      <c r="BM87" s="75">
        <f>Retailers!BI86</f>
        <v/>
      </c>
      <c r="BN87" s="75">
        <f>Retailers!BJ86</f>
        <v/>
      </c>
      <c r="BP87" s="75" t="n">
        <v>91</v>
      </c>
      <c r="BQ87" s="75">
        <f>#REF!</f>
        <v/>
      </c>
      <c r="BR87" s="75">
        <f>#REF!</f>
        <v/>
      </c>
      <c r="BS87" s="75">
        <f>#REF!</f>
        <v/>
      </c>
      <c r="BU87" s="75" t="n">
        <v>91</v>
      </c>
      <c r="BV87" s="75">
        <f>Retailers!AS86</f>
        <v/>
      </c>
      <c r="BW87" s="75">
        <f>Retailers!AT86</f>
        <v/>
      </c>
      <c r="BX87" s="75">
        <f>Retailers!AU86</f>
        <v/>
      </c>
      <c r="BZ87" s="75" t="n">
        <v>91</v>
      </c>
      <c r="CA87" s="75">
        <f>Results!#REF!</f>
        <v/>
      </c>
      <c r="CB87" s="75">
        <f>Results!#REF!</f>
        <v/>
      </c>
      <c r="CC87" s="75">
        <f>Results!#REF!</f>
        <v/>
      </c>
      <c r="CE87" s="75" t="n">
        <v>91</v>
      </c>
      <c r="CF87" s="75">
        <f>Retailers!BN86</f>
        <v/>
      </c>
      <c r="CG87" s="75">
        <f>Retailers!BO86</f>
        <v/>
      </c>
      <c r="CH87" s="75">
        <f>Retailers!BP86</f>
        <v/>
      </c>
      <c r="CJ87" s="75" t="n">
        <v>91</v>
      </c>
      <c r="CK87" s="75">
        <f>IF(BB87="ret=0",0,IF(BB87&gt;0,AR87+Distributors_Cap!$P$47-BB87,0))</f>
        <v/>
      </c>
      <c r="CL87" s="75">
        <f>IF(BC87="ret=0",0,IF(BC87&gt;0,AS87+Distributors_Cap!$P$47-BC87,0))</f>
        <v/>
      </c>
      <c r="CM87" s="75">
        <f>IF(BD87="ret=0",0,IF(BD87&gt;0,AT87+Distributors_Cap!$P$47-BD87,0))</f>
        <v/>
      </c>
    </row>
    <row r="88">
      <c r="G88" s="75" t="n">
        <v>92</v>
      </c>
      <c r="H88" s="75" t="n">
        <v>51.088</v>
      </c>
      <c r="I88" s="75" t="n">
        <v>58.817</v>
      </c>
      <c r="J88" s="75" t="n">
        <v>68.974</v>
      </c>
      <c r="L88" s="75">
        <f>TRUNC((_xlfn.NORM.INV((RAND()),$K$7,$K$8)),0)</f>
        <v/>
      </c>
      <c r="M88" s="75" t="n">
        <v>92</v>
      </c>
      <c r="N88" s="5" t="n">
        <v>16</v>
      </c>
      <c r="O88" s="5" t="n">
        <v>37</v>
      </c>
      <c r="P88" s="5" t="n">
        <v>41</v>
      </c>
      <c r="R88" s="2">
        <f>IF(N88&gt;Demand!AU105,0,(IF(((2*(Retailers!AJ87+Distributors_Cap!$P$47)-Retailers_Cap!$BB$7)*(Demand!AU105-Retailers_Cap!N88))&lt;0,0,((IF(BB88&gt;2*(Retailers!AJ87+Distributors_Cap!$P$47),0,(IF(BG88=0,ROUNDUP((2*(Retailers!AJ87+Distributors_Cap!$P$47)-BB88)^0.5,0),ROUNDUP((2*(Retailers!AJ87+Distributors_Cap!$P$47)-BB88)^0.5,0)))))))))</f>
        <v/>
      </c>
      <c r="S88" s="2">
        <f>IF(O88&gt;Demand!AV105,0,(IF(((2*(Retailers!AK87+Distributors_Cap!$P$47)-Retailers_Cap!$BB$7)*(Demand!AV105-Retailers_Cap!O88))&lt;0,0,((IF(BC88&gt;2*(Retailers!AK87+Distributors_Cap!$P$47),0,(IF(BH88=0,ROUNDUP((2*(Retailers!AK87+Distributors_Cap!$P$47)-BC88)^0.5,0),ROUNDUP((2*(Retailers!AK87+Distributors_Cap!$P$47)-BC88)^0.5,0)))))))))</f>
        <v/>
      </c>
      <c r="T88" s="2">
        <f>IF(P88&gt;Demand!AW105,0,(IF(((2*(Retailers!AL87+Distributors_Cap!$P$47)-Retailers_Cap!$BB$7)*(Demand!AW105-Retailers_Cap!P88))&lt;0,0,((IF(BD88&gt;2*(Retailers!AL87+Distributors_Cap!$P$47),0,(IF(BI88=0,ROUNDUP((2*(Retailers!AL87+Distributors_Cap!$P$47)-BD88)^0.5,0),ROUNDUP((2*(Retailers!AL87+Distributors_Cap!$P$47)-BD88)^0.5,0)))))))))</f>
        <v/>
      </c>
      <c r="W88" s="75" t="n">
        <v>92</v>
      </c>
      <c r="X88" s="9" t="n">
        <v>13</v>
      </c>
      <c r="Y88" s="9" t="n">
        <v>0</v>
      </c>
      <c r="Z88" s="9" t="n">
        <v>0</v>
      </c>
      <c r="AB88" s="2">
        <f>ROUNDDOWN(LOG((X88+1),2),0)</f>
        <v/>
      </c>
      <c r="AC88" s="2">
        <f>ROUNDDOWN(LOG((Y88+1),2),0)</f>
        <v/>
      </c>
      <c r="AD88" s="2">
        <f>ROUNDDOWN(LOG((Z88+1),2),0)</f>
        <v/>
      </c>
      <c r="AG88" s="75" t="n">
        <v>92</v>
      </c>
      <c r="AH88" s="9" t="n">
        <v>3</v>
      </c>
      <c r="AI88" s="9" t="n">
        <v>0</v>
      </c>
      <c r="AJ88" s="9" t="n">
        <v>0</v>
      </c>
      <c r="AQ88" s="75" t="n">
        <v>92</v>
      </c>
      <c r="AR88" s="75" t="n">
        <v>51.088</v>
      </c>
      <c r="AS88" s="75" t="n">
        <v>58.817</v>
      </c>
      <c r="AT88" s="75" t="n">
        <v>68.974</v>
      </c>
      <c r="AV88" s="75" t="n">
        <v>92</v>
      </c>
      <c r="AW88" s="75">
        <f>Beginning_stock!AT116</f>
        <v/>
      </c>
      <c r="AX88" s="75">
        <f>Beginning_stock!AU116</f>
        <v/>
      </c>
      <c r="AY88" s="75">
        <f>Beginning_stock!AV116</f>
        <v/>
      </c>
      <c r="BA88" s="75" t="n">
        <v>92</v>
      </c>
      <c r="BB88" s="75">
        <f>IF(Demand!AU105=Retailers_Cap!N88,"ret=0",(AW88/(Demand!AU105-Retailers_Cap!N88)))</f>
        <v/>
      </c>
      <c r="BC88" s="75">
        <f>IF(Demand!AV105=Retailers_Cap!O88,"ret=0",(AX88/(Demand!AV105-Retailers_Cap!O88)))</f>
        <v/>
      </c>
      <c r="BD88" s="75">
        <f>IF(Demand!AW105=Retailers_Cap!P88,"ret=0",(AY88/(Demand!AW105-Retailers_Cap!P88)))</f>
        <v/>
      </c>
      <c r="BF88" s="75" t="n">
        <v>92</v>
      </c>
      <c r="BG88" s="2">
        <f>IF(Demand!AU105&lt;=Retailers_Cap!N88,"ret=0",(IF(BB88&lt;=AR88+Distributors_Cap!$P$47,1,0)))</f>
        <v/>
      </c>
      <c r="BH88" s="2">
        <f>IF(Demand!AV105&lt;=Retailers_Cap!O88,"ret=0",(IF(BC88&lt;=AS88+Distributors_Cap!$P$47,1,0)))</f>
        <v/>
      </c>
      <c r="BI88" s="2">
        <f>IF(Demand!AW105&lt;=Retailers_Cap!P88,"ret=0",(IF(BD88&lt;=AT88+Distributors_Cap!$P$47,1,0)))</f>
        <v/>
      </c>
      <c r="BK88" s="75" t="n">
        <v>92</v>
      </c>
      <c r="BL88" s="75">
        <f>Retailers!BH87</f>
        <v/>
      </c>
      <c r="BM88" s="75">
        <f>Retailers!BI87</f>
        <v/>
      </c>
      <c r="BN88" s="75">
        <f>Retailers!BJ87</f>
        <v/>
      </c>
      <c r="BP88" s="75" t="n">
        <v>92</v>
      </c>
      <c r="BQ88" s="75">
        <f>#REF!</f>
        <v/>
      </c>
      <c r="BR88" s="75">
        <f>#REF!</f>
        <v/>
      </c>
      <c r="BS88" s="75">
        <f>#REF!</f>
        <v/>
      </c>
      <c r="BU88" s="75" t="n">
        <v>92</v>
      </c>
      <c r="BV88" s="75">
        <f>Retailers!AS87</f>
        <v/>
      </c>
      <c r="BW88" s="75">
        <f>Retailers!AT87</f>
        <v/>
      </c>
      <c r="BX88" s="75">
        <f>Retailers!AU87</f>
        <v/>
      </c>
      <c r="BZ88" s="75" t="n">
        <v>92</v>
      </c>
      <c r="CA88" s="75">
        <f>Results!#REF!</f>
        <v/>
      </c>
      <c r="CB88" s="75">
        <f>Results!#REF!</f>
        <v/>
      </c>
      <c r="CC88" s="75">
        <f>Results!#REF!</f>
        <v/>
      </c>
      <c r="CE88" s="75" t="n">
        <v>92</v>
      </c>
      <c r="CF88" s="75">
        <f>Retailers!BN87</f>
        <v/>
      </c>
      <c r="CG88" s="75">
        <f>Retailers!BO87</f>
        <v/>
      </c>
      <c r="CH88" s="75">
        <f>Retailers!BP87</f>
        <v/>
      </c>
      <c r="CJ88" s="75" t="n">
        <v>92</v>
      </c>
      <c r="CK88" s="75">
        <f>IF(BB88="ret=0",0,IF(BB88&gt;0,AR88+Distributors_Cap!$P$47-BB88,0))</f>
        <v/>
      </c>
      <c r="CL88" s="75">
        <f>IF(BC88="ret=0",0,IF(BC88&gt;0,AS88+Distributors_Cap!$P$47-BC88,0))</f>
        <v/>
      </c>
      <c r="CM88" s="75">
        <f>IF(BD88="ret=0",0,IF(BD88&gt;0,AT88+Distributors_Cap!$P$47-BD88,0))</f>
        <v/>
      </c>
    </row>
    <row r="89">
      <c r="G89" s="75" t="n">
        <v>93</v>
      </c>
      <c r="H89" s="75" t="n">
        <v>63.733</v>
      </c>
      <c r="I89" s="75" t="n">
        <v>56.199</v>
      </c>
      <c r="J89" s="75" t="n">
        <v>54.766</v>
      </c>
      <c r="L89" s="75">
        <f>TRUNC((_xlfn.NORM.INV((RAND()),$K$7,$K$8)),0)</f>
        <v/>
      </c>
      <c r="M89" s="75" t="n">
        <v>93</v>
      </c>
      <c r="N89" s="5" t="n">
        <v>13</v>
      </c>
      <c r="O89" s="5" t="n">
        <v>33</v>
      </c>
      <c r="P89" s="5" t="n">
        <v>32</v>
      </c>
      <c r="R89" s="2">
        <f>IF(N89&gt;Demand!AU106,0,(IF(((2*(Retailers!AJ88+Distributors_Cap!$P$47)-Retailers_Cap!$BB$7)*(Demand!AU106-Retailers_Cap!N89))&lt;0,0,((IF(BB89&gt;2*(Retailers!AJ88+Distributors_Cap!$P$47),0,(IF(BG89=0,ROUNDUP((2*(Retailers!AJ88+Distributors_Cap!$P$47)-BB89)^0.5,0),ROUNDUP((2*(Retailers!AJ88+Distributors_Cap!$P$47)-BB89)^0.5,0)))))))))</f>
        <v/>
      </c>
      <c r="S89" s="2">
        <f>IF(O89&gt;Demand!AV106,0,(IF(((2*(Retailers!AK88+Distributors_Cap!$P$47)-Retailers_Cap!$BB$7)*(Demand!AV106-Retailers_Cap!O89))&lt;0,0,((IF(BC89&gt;2*(Retailers!AK88+Distributors_Cap!$P$47),0,(IF(BH89=0,ROUNDUP((2*(Retailers!AK88+Distributors_Cap!$P$47)-BC89)^0.5,0),ROUNDUP((2*(Retailers!AK88+Distributors_Cap!$P$47)-BC89)^0.5,0)))))))))</f>
        <v/>
      </c>
      <c r="T89" s="2">
        <f>IF(P89&gt;Demand!AW106,0,(IF(((2*(Retailers!AL88+Distributors_Cap!$P$47)-Retailers_Cap!$BB$7)*(Demand!AW106-Retailers_Cap!P89))&lt;0,0,((IF(BD89&gt;2*(Retailers!AL88+Distributors_Cap!$P$47),0,(IF(BI89=0,ROUNDUP((2*(Retailers!AL88+Distributors_Cap!$P$47)-BD89)^0.5,0),ROUNDUP((2*(Retailers!AL88+Distributors_Cap!$P$47)-BD89)^0.5,0)))))))))</f>
        <v/>
      </c>
      <c r="W89" s="75" t="n">
        <v>93</v>
      </c>
      <c r="X89" s="9" t="n">
        <v>13</v>
      </c>
      <c r="Y89" s="9" t="n">
        <v>0</v>
      </c>
      <c r="Z89" s="9" t="n">
        <v>0</v>
      </c>
      <c r="AB89" s="2">
        <f>ROUNDDOWN(LOG((X89+1),2),0)</f>
        <v/>
      </c>
      <c r="AC89" s="2">
        <f>ROUNDDOWN(LOG((Y89+1),2),0)</f>
        <v/>
      </c>
      <c r="AD89" s="2">
        <f>ROUNDDOWN(LOG((Z89+1),2),0)</f>
        <v/>
      </c>
      <c r="AG89" s="75" t="n">
        <v>93</v>
      </c>
      <c r="AH89" s="9" t="n">
        <v>3</v>
      </c>
      <c r="AI89" s="9" t="n">
        <v>0</v>
      </c>
      <c r="AJ89" s="9" t="n">
        <v>0</v>
      </c>
      <c r="AQ89" s="75" t="n">
        <v>93</v>
      </c>
      <c r="AR89" s="75" t="n">
        <v>63.733</v>
      </c>
      <c r="AS89" s="75" t="n">
        <v>56.199</v>
      </c>
      <c r="AT89" s="75" t="n">
        <v>54.766</v>
      </c>
      <c r="AV89" s="75" t="n">
        <v>93</v>
      </c>
      <c r="AW89" s="75">
        <f>Beginning_stock!AT117</f>
        <v/>
      </c>
      <c r="AX89" s="75">
        <f>Beginning_stock!AU117</f>
        <v/>
      </c>
      <c r="AY89" s="75">
        <f>Beginning_stock!AV117</f>
        <v/>
      </c>
      <c r="BA89" s="75" t="n">
        <v>93</v>
      </c>
      <c r="BB89" s="75">
        <f>IF(Demand!AU106=Retailers_Cap!N89,"ret=0",(AW89/(Demand!AU106-Retailers_Cap!N89)))</f>
        <v/>
      </c>
      <c r="BC89" s="75">
        <f>IF(Demand!AV106=Retailers_Cap!O89,"ret=0",(AX89/(Demand!AV106-Retailers_Cap!O89)))</f>
        <v/>
      </c>
      <c r="BD89" s="75">
        <f>IF(Demand!AW106=Retailers_Cap!P89,"ret=0",(AY89/(Demand!AW106-Retailers_Cap!P89)))</f>
        <v/>
      </c>
      <c r="BF89" s="75" t="n">
        <v>93</v>
      </c>
      <c r="BG89" s="2">
        <f>IF(Demand!AU106&lt;=Retailers_Cap!N89,"ret=0",(IF(BB89&lt;=AR89+Distributors_Cap!$P$47,1,0)))</f>
        <v/>
      </c>
      <c r="BH89" s="2">
        <f>IF(Demand!AV106&lt;=Retailers_Cap!O89,"ret=0",(IF(BC89&lt;=AS89+Distributors_Cap!$P$47,1,0)))</f>
        <v/>
      </c>
      <c r="BI89" s="2">
        <f>IF(Demand!AW106&lt;=Retailers_Cap!P89,"ret=0",(IF(BD89&lt;=AT89+Distributors_Cap!$P$47,1,0)))</f>
        <v/>
      </c>
      <c r="BK89" s="75" t="n">
        <v>93</v>
      </c>
      <c r="BL89" s="75">
        <f>Retailers!BH88</f>
        <v/>
      </c>
      <c r="BM89" s="75">
        <f>Retailers!BI88</f>
        <v/>
      </c>
      <c r="BN89" s="75">
        <f>Retailers!BJ88</f>
        <v/>
      </c>
      <c r="BP89" s="75" t="n">
        <v>93</v>
      </c>
      <c r="BQ89" s="75">
        <f>#REF!</f>
        <v/>
      </c>
      <c r="BR89" s="75">
        <f>#REF!</f>
        <v/>
      </c>
      <c r="BS89" s="75">
        <f>#REF!</f>
        <v/>
      </c>
      <c r="BU89" s="75" t="n">
        <v>93</v>
      </c>
      <c r="BV89" s="75">
        <f>Retailers!AS88</f>
        <v/>
      </c>
      <c r="BW89" s="75">
        <f>Retailers!AT88</f>
        <v/>
      </c>
      <c r="BX89" s="75">
        <f>Retailers!AU88</f>
        <v/>
      </c>
      <c r="BZ89" s="75" t="n">
        <v>93</v>
      </c>
      <c r="CA89" s="75">
        <f>Results!#REF!</f>
        <v/>
      </c>
      <c r="CB89" s="75">
        <f>Results!#REF!</f>
        <v/>
      </c>
      <c r="CC89" s="75">
        <f>Results!#REF!</f>
        <v/>
      </c>
      <c r="CE89" s="75" t="n">
        <v>93</v>
      </c>
      <c r="CF89" s="75">
        <f>Retailers!BN88</f>
        <v/>
      </c>
      <c r="CG89" s="75">
        <f>Retailers!BO88</f>
        <v/>
      </c>
      <c r="CH89" s="75">
        <f>Retailers!BP88</f>
        <v/>
      </c>
      <c r="CJ89" s="75" t="n">
        <v>93</v>
      </c>
      <c r="CK89" s="75">
        <f>IF(BB89="ret=0",0,IF(BB89&gt;0,AR89+Distributors_Cap!$P$47-BB89,0))</f>
        <v/>
      </c>
      <c r="CL89" s="75">
        <f>IF(BC89="ret=0",0,IF(BC89&gt;0,AS89+Distributors_Cap!$P$47-BC89,0))</f>
        <v/>
      </c>
      <c r="CM89" s="75">
        <f>IF(BD89="ret=0",0,IF(BD89&gt;0,AT89+Distributors_Cap!$P$47-BD89,0))</f>
        <v/>
      </c>
    </row>
    <row r="90">
      <c r="G90" s="75" t="n">
        <v>94</v>
      </c>
      <c r="H90" s="75" t="n">
        <v>54.094</v>
      </c>
      <c r="I90" s="75" t="n">
        <v>44.299</v>
      </c>
      <c r="J90" s="75" t="n">
        <v>66.834</v>
      </c>
      <c r="L90" s="75">
        <f>TRUNC((_xlfn.NORM.INV((RAND()),$K$7,$K$8)),0)</f>
        <v/>
      </c>
      <c r="M90" s="75" t="n">
        <v>94</v>
      </c>
      <c r="N90" s="5" t="n">
        <v>25</v>
      </c>
      <c r="O90" s="5" t="n">
        <v>32</v>
      </c>
      <c r="P90" s="5" t="n">
        <v>19</v>
      </c>
      <c r="R90" s="2">
        <f>IF(N90&gt;Demand!AU107,0,(IF(((2*(Retailers!AJ89+Distributors_Cap!$P$47)-Retailers_Cap!$BB$7)*(Demand!AU107-Retailers_Cap!N90))&lt;0,0,((IF(BB90&gt;2*(Retailers!AJ89+Distributors_Cap!$P$47),0,(IF(BG90=0,ROUNDUP((2*(Retailers!AJ89+Distributors_Cap!$P$47)-BB90)^0.5,0),ROUNDUP((2*(Retailers!AJ89+Distributors_Cap!$P$47)-BB90)^0.5,0)))))))))</f>
        <v/>
      </c>
      <c r="S90" s="2">
        <f>IF(O90&gt;Demand!AV107,0,(IF(((2*(Retailers!AK89+Distributors_Cap!$P$47)-Retailers_Cap!$BB$7)*(Demand!AV107-Retailers_Cap!O90))&lt;0,0,((IF(BC90&gt;2*(Retailers!AK89+Distributors_Cap!$P$47),0,(IF(BH90=0,ROUNDUP((2*(Retailers!AK89+Distributors_Cap!$P$47)-BC90)^0.5,0),ROUNDUP((2*(Retailers!AK89+Distributors_Cap!$P$47)-BC90)^0.5,0)))))))))</f>
        <v/>
      </c>
      <c r="T90" s="2">
        <f>IF(P90&gt;Demand!AW107,0,(IF(((2*(Retailers!AL89+Distributors_Cap!$P$47)-Retailers_Cap!$BB$7)*(Demand!AW107-Retailers_Cap!P90))&lt;0,0,((IF(BD90&gt;2*(Retailers!AL89+Distributors_Cap!$P$47),0,(IF(BI90=0,ROUNDUP((2*(Retailers!AL89+Distributors_Cap!$P$47)-BD90)^0.5,0),ROUNDUP((2*(Retailers!AL89+Distributors_Cap!$P$47)-BD90)^0.5,0)))))))))</f>
        <v/>
      </c>
      <c r="W90" s="75" t="n">
        <v>94</v>
      </c>
      <c r="X90" s="9" t="n">
        <v>0</v>
      </c>
      <c r="Y90" s="9" t="n">
        <v>9</v>
      </c>
      <c r="Z90" s="9" t="n">
        <v>13</v>
      </c>
      <c r="AB90" s="2">
        <f>ROUNDDOWN(LOG((X90+1),2),0)</f>
        <v/>
      </c>
      <c r="AC90" s="2">
        <f>ROUNDDOWN(LOG((Y90+1),2),0)</f>
        <v/>
      </c>
      <c r="AD90" s="2">
        <f>ROUNDDOWN(LOG((Z90+1),2),0)</f>
        <v/>
      </c>
      <c r="AG90" s="75" t="n">
        <v>94</v>
      </c>
      <c r="AH90" s="9" t="n">
        <v>0</v>
      </c>
      <c r="AI90" s="9" t="n">
        <v>3</v>
      </c>
      <c r="AJ90" s="9" t="n">
        <v>3</v>
      </c>
      <c r="AQ90" s="75" t="n">
        <v>94</v>
      </c>
      <c r="AR90" s="75" t="n">
        <v>54.094</v>
      </c>
      <c r="AS90" s="75" t="n">
        <v>44.299</v>
      </c>
      <c r="AT90" s="75" t="n">
        <v>66.834</v>
      </c>
      <c r="AV90" s="75" t="n">
        <v>94</v>
      </c>
      <c r="AW90" s="75">
        <f>Beginning_stock!AT118</f>
        <v/>
      </c>
      <c r="AX90" s="75">
        <f>Beginning_stock!AU118</f>
        <v/>
      </c>
      <c r="AY90" s="75">
        <f>Beginning_stock!AV118</f>
        <v/>
      </c>
      <c r="BA90" s="75" t="n">
        <v>94</v>
      </c>
      <c r="BB90" s="75">
        <f>IF(Demand!AU107=Retailers_Cap!N90,"ret=0",(AW90/(Demand!AU107-Retailers_Cap!N90)))</f>
        <v/>
      </c>
      <c r="BC90" s="75">
        <f>IF(Demand!AV107=Retailers_Cap!O90,"ret=0",(AX90/(Demand!AV107-Retailers_Cap!O90)))</f>
        <v/>
      </c>
      <c r="BD90" s="75">
        <f>IF(Demand!AW107=Retailers_Cap!P90,"ret=0",(AY90/(Demand!AW107-Retailers_Cap!P90)))</f>
        <v/>
      </c>
      <c r="BF90" s="75" t="n">
        <v>94</v>
      </c>
      <c r="BG90" s="2">
        <f>IF(Demand!AU107&lt;=Retailers_Cap!N90,"ret=0",(IF(BB90&lt;=AR90+Distributors_Cap!$P$47,1,0)))</f>
        <v/>
      </c>
      <c r="BH90" s="2">
        <f>IF(Demand!AV107&lt;=Retailers_Cap!O90,"ret=0",(IF(BC90&lt;=AS90+Distributors_Cap!$P$47,1,0)))</f>
        <v/>
      </c>
      <c r="BI90" s="2">
        <f>IF(Demand!AW107&lt;=Retailers_Cap!P90,"ret=0",(IF(BD90&lt;=AT90+Distributors_Cap!$P$47,1,0)))</f>
        <v/>
      </c>
      <c r="BK90" s="75" t="n">
        <v>94</v>
      </c>
      <c r="BL90" s="75">
        <f>Retailers!BH89</f>
        <v/>
      </c>
      <c r="BM90" s="75">
        <f>Retailers!BI89</f>
        <v/>
      </c>
      <c r="BN90" s="75">
        <f>Retailers!BJ89</f>
        <v/>
      </c>
      <c r="BP90" s="75" t="n">
        <v>94</v>
      </c>
      <c r="BQ90" s="75">
        <f>#REF!</f>
        <v/>
      </c>
      <c r="BR90" s="75">
        <f>#REF!</f>
        <v/>
      </c>
      <c r="BS90" s="75">
        <f>#REF!</f>
        <v/>
      </c>
      <c r="BU90" s="75" t="n">
        <v>94</v>
      </c>
      <c r="BV90" s="75">
        <f>Retailers!AS89</f>
        <v/>
      </c>
      <c r="BW90" s="75">
        <f>Retailers!AT89</f>
        <v/>
      </c>
      <c r="BX90" s="75">
        <f>Retailers!AU89</f>
        <v/>
      </c>
      <c r="BZ90" s="75" t="n">
        <v>94</v>
      </c>
      <c r="CA90" s="75">
        <f>Results!#REF!</f>
        <v/>
      </c>
      <c r="CB90" s="75">
        <f>Results!#REF!</f>
        <v/>
      </c>
      <c r="CC90" s="75">
        <f>Results!#REF!</f>
        <v/>
      </c>
      <c r="CE90" s="75" t="n">
        <v>94</v>
      </c>
      <c r="CF90" s="75">
        <f>Retailers!BN89</f>
        <v/>
      </c>
      <c r="CG90" s="75">
        <f>Retailers!BO89</f>
        <v/>
      </c>
      <c r="CH90" s="75">
        <f>Retailers!BP89</f>
        <v/>
      </c>
      <c r="CJ90" s="75" t="n">
        <v>94</v>
      </c>
      <c r="CK90" s="75">
        <f>IF(BB90="ret=0",0,IF(BB90&gt;0,AR90+Distributors_Cap!$P$47-BB90,0))</f>
        <v/>
      </c>
      <c r="CL90" s="75">
        <f>IF(BC90="ret=0",0,IF(BC90&gt;0,AS90+Distributors_Cap!$P$47-BC90,0))</f>
        <v/>
      </c>
      <c r="CM90" s="75">
        <f>IF(BD90="ret=0",0,IF(BD90&gt;0,AT90+Distributors_Cap!$P$47-BD90,0))</f>
        <v/>
      </c>
    </row>
    <row r="91">
      <c r="G91" s="75" t="n">
        <v>95</v>
      </c>
      <c r="H91" s="75" t="n">
        <v>65.167</v>
      </c>
      <c r="I91" s="75" t="n">
        <v>53.927</v>
      </c>
      <c r="J91" s="75" t="n">
        <v>50.366</v>
      </c>
      <c r="L91" s="75">
        <f>TRUNC((_xlfn.NORM.INV((RAND()),$K$7,$K$8)),0)</f>
        <v/>
      </c>
      <c r="M91" s="75" t="n">
        <v>95</v>
      </c>
      <c r="N91" s="5" t="n">
        <v>18</v>
      </c>
      <c r="O91" s="5" t="n">
        <v>29</v>
      </c>
      <c r="P91" s="5" t="n">
        <v>19</v>
      </c>
      <c r="R91" s="2">
        <f>IF(N91&gt;Demand!AU108,0,(IF(((2*(Retailers!AJ90+Distributors_Cap!$P$47)-Retailers_Cap!$BB$7)*(Demand!AU108-Retailers_Cap!N91))&lt;0,0,((IF(BB91&gt;2*(Retailers!AJ90+Distributors_Cap!$P$47),0,(IF(BG91=0,ROUNDUP((2*(Retailers!AJ90+Distributors_Cap!$P$47)-BB91)^0.5,0),ROUNDUP((2*(Retailers!AJ90+Distributors_Cap!$P$47)-BB91)^0.5,0)))))))))</f>
        <v/>
      </c>
      <c r="S91" s="2">
        <f>IF(O91&gt;Demand!AV108,0,(IF(((2*(Retailers!AK90+Distributors_Cap!$P$47)-Retailers_Cap!$BB$7)*(Demand!AV108-Retailers_Cap!O91))&lt;0,0,((IF(BC91&gt;2*(Retailers!AK90+Distributors_Cap!$P$47),0,(IF(BH91=0,ROUNDUP((2*(Retailers!AK90+Distributors_Cap!$P$47)-BC91)^0.5,0),ROUNDUP((2*(Retailers!AK90+Distributors_Cap!$P$47)-BC91)^0.5,0)))))))))</f>
        <v/>
      </c>
      <c r="T91" s="2">
        <f>IF(P91&gt;Demand!AW108,0,(IF(((2*(Retailers!AL90+Distributors_Cap!$P$47)-Retailers_Cap!$BB$7)*(Demand!AW108-Retailers_Cap!P91))&lt;0,0,((IF(BD91&gt;2*(Retailers!AL90+Distributors_Cap!$P$47),0,(IF(BI91=0,ROUNDUP((2*(Retailers!AL90+Distributors_Cap!$P$47)-BD91)^0.5,0),ROUNDUP((2*(Retailers!AL90+Distributors_Cap!$P$47)-BD91)^0.5,0)))))))))</f>
        <v/>
      </c>
      <c r="W91" s="75" t="n">
        <v>95</v>
      </c>
      <c r="X91" s="9" t="n">
        <v>0</v>
      </c>
      <c r="Y91" s="9" t="n">
        <v>12</v>
      </c>
      <c r="Z91" s="9" t="n">
        <v>12</v>
      </c>
      <c r="AB91" s="2">
        <f>ROUNDDOWN(LOG((X91+1),2),0)</f>
        <v/>
      </c>
      <c r="AC91" s="2">
        <f>ROUNDDOWN(LOG((Y91+1),2),0)</f>
        <v/>
      </c>
      <c r="AD91" s="2">
        <f>ROUNDDOWN(LOG((Z91+1),2),0)</f>
        <v/>
      </c>
      <c r="AG91" s="75" t="n">
        <v>95</v>
      </c>
      <c r="AH91" s="9" t="n">
        <v>0</v>
      </c>
      <c r="AI91" s="9" t="n">
        <v>3</v>
      </c>
      <c r="AJ91" s="9" t="n">
        <v>3</v>
      </c>
      <c r="AQ91" s="75" t="n">
        <v>95</v>
      </c>
      <c r="AR91" s="75" t="n">
        <v>65.167</v>
      </c>
      <c r="AS91" s="75" t="n">
        <v>53.927</v>
      </c>
      <c r="AT91" s="75" t="n">
        <v>50.366</v>
      </c>
      <c r="AV91" s="75" t="n">
        <v>95</v>
      </c>
      <c r="AW91" s="75">
        <f>Beginning_stock!AT119</f>
        <v/>
      </c>
      <c r="AX91" s="75">
        <f>Beginning_stock!AU119</f>
        <v/>
      </c>
      <c r="AY91" s="75">
        <f>Beginning_stock!AV119</f>
        <v/>
      </c>
      <c r="BA91" s="75" t="n">
        <v>95</v>
      </c>
      <c r="BB91" s="75">
        <f>IF(Demand!AU108=Retailers_Cap!N91,"ret=0",(AW91/(Demand!AU108-Retailers_Cap!N91)))</f>
        <v/>
      </c>
      <c r="BC91" s="75">
        <f>IF(Demand!AV108=Retailers_Cap!O91,"ret=0",(AX91/(Demand!AV108-Retailers_Cap!O91)))</f>
        <v/>
      </c>
      <c r="BD91" s="75">
        <f>IF(Demand!AW108=Retailers_Cap!P91,"ret=0",(AY91/(Demand!AW108-Retailers_Cap!P91)))</f>
        <v/>
      </c>
      <c r="BF91" s="75" t="n">
        <v>95</v>
      </c>
      <c r="BG91" s="2">
        <f>IF(Demand!AU108&lt;=Retailers_Cap!N91,"ret=0",(IF(BB91&lt;=AR91+Distributors_Cap!$P$47,1,0)))</f>
        <v/>
      </c>
      <c r="BH91" s="2">
        <f>IF(Demand!AV108&lt;=Retailers_Cap!O91,"ret=0",(IF(BC91&lt;=AS91+Distributors_Cap!$P$47,1,0)))</f>
        <v/>
      </c>
      <c r="BI91" s="2">
        <f>IF(Demand!AW108&lt;=Retailers_Cap!P91,"ret=0",(IF(BD91&lt;=AT91+Distributors_Cap!$P$47,1,0)))</f>
        <v/>
      </c>
      <c r="BK91" s="75" t="n">
        <v>95</v>
      </c>
      <c r="BL91" s="75">
        <f>Retailers!BH90</f>
        <v/>
      </c>
      <c r="BM91" s="75">
        <f>Retailers!BI90</f>
        <v/>
      </c>
      <c r="BN91" s="75">
        <f>Retailers!BJ90</f>
        <v/>
      </c>
      <c r="BP91" s="75" t="n">
        <v>95</v>
      </c>
      <c r="BQ91" s="75">
        <f>#REF!</f>
        <v/>
      </c>
      <c r="BR91" s="75">
        <f>#REF!</f>
        <v/>
      </c>
      <c r="BS91" s="75">
        <f>#REF!</f>
        <v/>
      </c>
      <c r="BU91" s="75" t="n">
        <v>95</v>
      </c>
      <c r="BV91" s="75">
        <f>Retailers!AS90</f>
        <v/>
      </c>
      <c r="BW91" s="75">
        <f>Retailers!AT90</f>
        <v/>
      </c>
      <c r="BX91" s="75">
        <f>Retailers!AU90</f>
        <v/>
      </c>
      <c r="BZ91" s="75" t="n">
        <v>95</v>
      </c>
      <c r="CA91" s="75">
        <f>Results!#REF!</f>
        <v/>
      </c>
      <c r="CB91" s="75">
        <f>Results!#REF!</f>
        <v/>
      </c>
      <c r="CC91" s="75">
        <f>Results!#REF!</f>
        <v/>
      </c>
      <c r="CE91" s="75" t="n">
        <v>95</v>
      </c>
      <c r="CF91" s="75">
        <f>Retailers!BN90</f>
        <v/>
      </c>
      <c r="CG91" s="75">
        <f>Retailers!BO90</f>
        <v/>
      </c>
      <c r="CH91" s="75">
        <f>Retailers!BP90</f>
        <v/>
      </c>
      <c r="CJ91" s="75" t="n">
        <v>95</v>
      </c>
      <c r="CK91" s="75">
        <f>IF(BB91="ret=0",0,IF(BB91&gt;0,AR91+Distributors_Cap!$P$47-BB91,0))</f>
        <v/>
      </c>
      <c r="CL91" s="75">
        <f>IF(BC91="ret=0",0,IF(BC91&gt;0,AS91+Distributors_Cap!$P$47-BC91,0))</f>
        <v/>
      </c>
      <c r="CM91" s="75">
        <f>IF(BD91="ret=0",0,IF(BD91&gt;0,AT91+Distributors_Cap!$P$47-BD91,0))</f>
        <v/>
      </c>
    </row>
    <row r="92">
      <c r="G92" s="75" t="n">
        <v>96</v>
      </c>
      <c r="H92" s="75" t="n">
        <v>45.181</v>
      </c>
      <c r="I92" s="75" t="n">
        <v>83.289</v>
      </c>
      <c r="J92" s="75" t="n">
        <v>55.479</v>
      </c>
      <c r="L92" s="75">
        <f>TRUNC((_xlfn.NORM.INV((RAND()),$K$7,$K$8)),0)</f>
        <v/>
      </c>
      <c r="M92" s="75" t="n">
        <v>96</v>
      </c>
      <c r="N92" s="5" t="n">
        <v>40</v>
      </c>
      <c r="O92" s="5" t="n">
        <v>22</v>
      </c>
      <c r="P92" s="5" t="n">
        <v>32</v>
      </c>
      <c r="R92" s="2">
        <f>IF(N92&gt;Demand!AU109,0,(IF(((2*(Retailers!AJ91+Distributors_Cap!$P$47)-Retailers_Cap!$BB$7)*(Demand!AU109-Retailers_Cap!N92))&lt;0,0,((IF(BB92&gt;2*(Retailers!AJ91+Distributors_Cap!$P$47),0,(IF(BG92=0,ROUNDUP((2*(Retailers!AJ91+Distributors_Cap!$P$47)-BB92)^0.5,0),ROUNDUP((2*(Retailers!AJ91+Distributors_Cap!$P$47)-BB92)^0.5,0)))))))))</f>
        <v/>
      </c>
      <c r="S92" s="2">
        <f>IF(O92&gt;Demand!AV109,0,(IF(((2*(Retailers!AK91+Distributors_Cap!$P$47)-Retailers_Cap!$BB$7)*(Demand!AV109-Retailers_Cap!O92))&lt;0,0,((IF(BC92&gt;2*(Retailers!AK91+Distributors_Cap!$P$47),0,(IF(BH92=0,ROUNDUP((2*(Retailers!AK91+Distributors_Cap!$P$47)-BC92)^0.5,0),ROUNDUP((2*(Retailers!AK91+Distributors_Cap!$P$47)-BC92)^0.5,0)))))))))</f>
        <v/>
      </c>
      <c r="T92" s="2">
        <f>IF(P92&gt;Demand!AW109,0,(IF(((2*(Retailers!AL91+Distributors_Cap!$P$47)-Retailers_Cap!$BB$7)*(Demand!AW109-Retailers_Cap!P92))&lt;0,0,((IF(BD92&gt;2*(Retailers!AL91+Distributors_Cap!$P$47),0,(IF(BI92=0,ROUNDUP((2*(Retailers!AL91+Distributors_Cap!$P$47)-BD92)^0.5,0),ROUNDUP((2*(Retailers!AL91+Distributors_Cap!$P$47)-BD92)^0.5,0)))))))))</f>
        <v/>
      </c>
      <c r="W92" s="75" t="n">
        <v>96</v>
      </c>
      <c r="X92" s="9" t="n">
        <v>0</v>
      </c>
      <c r="Y92" s="9" t="n">
        <v>0</v>
      </c>
      <c r="Z92" s="9" t="n">
        <v>0</v>
      </c>
      <c r="AB92" s="2">
        <f>ROUNDDOWN(LOG((X92+1),2),0)</f>
        <v/>
      </c>
      <c r="AC92" s="2">
        <f>ROUNDDOWN(LOG((Y92+1),2),0)</f>
        <v/>
      </c>
      <c r="AD92" s="2">
        <f>ROUNDDOWN(LOG((Z92+1),2),0)</f>
        <v/>
      </c>
      <c r="AG92" s="75" t="n">
        <v>96</v>
      </c>
      <c r="AH92" s="9" t="n">
        <v>0</v>
      </c>
      <c r="AI92" s="9" t="n">
        <v>0</v>
      </c>
      <c r="AJ92" s="9" t="n">
        <v>0</v>
      </c>
      <c r="AQ92" s="75" t="n">
        <v>96</v>
      </c>
      <c r="AR92" s="75" t="n">
        <v>45.181</v>
      </c>
      <c r="AS92" s="75" t="n">
        <v>83.289</v>
      </c>
      <c r="AT92" s="75" t="n">
        <v>55.479</v>
      </c>
      <c r="AV92" s="75" t="n">
        <v>96</v>
      </c>
      <c r="AW92" s="75">
        <f>Beginning_stock!AT120</f>
        <v/>
      </c>
      <c r="AX92" s="75">
        <f>Beginning_stock!AU120</f>
        <v/>
      </c>
      <c r="AY92" s="75">
        <f>Beginning_stock!AV120</f>
        <v/>
      </c>
      <c r="BA92" s="75" t="n">
        <v>96</v>
      </c>
      <c r="BB92" s="75">
        <f>IF(Demand!AU109=Retailers_Cap!N92,"ret=0",(AW92/(Demand!AU109-Retailers_Cap!N92)))</f>
        <v/>
      </c>
      <c r="BC92" s="75">
        <f>IF(Demand!AV109=Retailers_Cap!O92,"ret=0",(AX92/(Demand!AV109-Retailers_Cap!O92)))</f>
        <v/>
      </c>
      <c r="BD92" s="75">
        <f>IF(Demand!AW109=Retailers_Cap!P92,"ret=0",(AY92/(Demand!AW109-Retailers_Cap!P92)))</f>
        <v/>
      </c>
      <c r="BF92" s="75" t="n">
        <v>96</v>
      </c>
      <c r="BG92" s="2">
        <f>IF(Demand!AU109&lt;=Retailers_Cap!N92,"ret=0",(IF(BB92&lt;=AR92+Distributors_Cap!$P$47,1,0)))</f>
        <v/>
      </c>
      <c r="BH92" s="2">
        <f>IF(Demand!AV109&lt;=Retailers_Cap!O92,"ret=0",(IF(BC92&lt;=AS92+Distributors_Cap!$P$47,1,0)))</f>
        <v/>
      </c>
      <c r="BI92" s="2">
        <f>IF(Demand!AW109&lt;=Retailers_Cap!P92,"ret=0",(IF(BD92&lt;=AT92+Distributors_Cap!$P$47,1,0)))</f>
        <v/>
      </c>
      <c r="BK92" s="75" t="n">
        <v>96</v>
      </c>
      <c r="BL92" s="75">
        <f>Retailers!BH91</f>
        <v/>
      </c>
      <c r="BM92" s="75">
        <f>Retailers!BI91</f>
        <v/>
      </c>
      <c r="BN92" s="75">
        <f>Retailers!BJ91</f>
        <v/>
      </c>
      <c r="BP92" s="75" t="n">
        <v>96</v>
      </c>
      <c r="BQ92" s="75">
        <f>#REF!</f>
        <v/>
      </c>
      <c r="BR92" s="75">
        <f>#REF!</f>
        <v/>
      </c>
      <c r="BS92" s="75">
        <f>#REF!</f>
        <v/>
      </c>
      <c r="BU92" s="75" t="n">
        <v>96</v>
      </c>
      <c r="BV92" s="75">
        <f>Retailers!AS91</f>
        <v/>
      </c>
      <c r="BW92" s="75">
        <f>Retailers!AT91</f>
        <v/>
      </c>
      <c r="BX92" s="75">
        <f>Retailers!AU91</f>
        <v/>
      </c>
      <c r="BZ92" s="75" t="n">
        <v>96</v>
      </c>
      <c r="CA92" s="75">
        <f>Results!#REF!</f>
        <v/>
      </c>
      <c r="CB92" s="75">
        <f>Results!#REF!</f>
        <v/>
      </c>
      <c r="CC92" s="75">
        <f>Results!#REF!</f>
        <v/>
      </c>
      <c r="CE92" s="75" t="n">
        <v>96</v>
      </c>
      <c r="CF92" s="75">
        <f>Retailers!BN91</f>
        <v/>
      </c>
      <c r="CG92" s="75">
        <f>Retailers!BO91</f>
        <v/>
      </c>
      <c r="CH92" s="75">
        <f>Retailers!BP91</f>
        <v/>
      </c>
      <c r="CJ92" s="75" t="n">
        <v>96</v>
      </c>
      <c r="CK92" s="75">
        <f>IF(BB92="ret=0",0,IF(BB92&gt;0,AR92+Distributors_Cap!$P$47-BB92,0))</f>
        <v/>
      </c>
      <c r="CL92" s="75">
        <f>IF(BC92="ret=0",0,IF(BC92&gt;0,AS92+Distributors_Cap!$P$47-BC92,0))</f>
        <v/>
      </c>
      <c r="CM92" s="75">
        <f>IF(BD92="ret=0",0,IF(BD92&gt;0,AT92+Distributors_Cap!$P$47-BD92,0))</f>
        <v/>
      </c>
    </row>
    <row r="93">
      <c r="G93" s="75" t="n">
        <v>97</v>
      </c>
      <c r="H93" s="75" t="n">
        <v>79.949</v>
      </c>
      <c r="I93" s="75" t="n">
        <v>56.712</v>
      </c>
      <c r="J93" s="75" t="n">
        <v>81.46599999999999</v>
      </c>
      <c r="L93" s="75">
        <f>TRUNC((_xlfn.NORM.INV((RAND()),$K$7,$K$8)),0)</f>
        <v/>
      </c>
      <c r="M93" s="75" t="n">
        <v>97</v>
      </c>
      <c r="N93" s="5" t="n">
        <v>23</v>
      </c>
      <c r="O93" s="5" t="n">
        <v>35</v>
      </c>
      <c r="P93" s="5" t="n">
        <v>24</v>
      </c>
      <c r="R93" s="2">
        <f>IF(N93&gt;Demand!AU110,0,(IF(((2*(Retailers!AJ92+Distributors_Cap!$P$47)-Retailers_Cap!$BB$7)*(Demand!AU110-Retailers_Cap!N93))&lt;0,0,((IF(BB93&gt;2*(Retailers!AJ92+Distributors_Cap!$P$47),0,(IF(BG93=0,ROUNDUP((2*(Retailers!AJ92+Distributors_Cap!$P$47)-BB93)^0.5,0),ROUNDUP((2*(Retailers!AJ92+Distributors_Cap!$P$47)-BB93)^0.5,0)))))))))</f>
        <v/>
      </c>
      <c r="S93" s="2">
        <f>IF(O93&gt;Demand!AV110,0,(IF(((2*(Retailers!AK92+Distributors_Cap!$P$47)-Retailers_Cap!$BB$7)*(Demand!AV110-Retailers_Cap!O93))&lt;0,0,((IF(BC93&gt;2*(Retailers!AK92+Distributors_Cap!$P$47),0,(IF(BH93=0,ROUNDUP((2*(Retailers!AK92+Distributors_Cap!$P$47)-BC93)^0.5,0),ROUNDUP((2*(Retailers!AK92+Distributors_Cap!$P$47)-BC93)^0.5,0)))))))))</f>
        <v/>
      </c>
      <c r="T93" s="2">
        <f>IF(P93&gt;Demand!AW110,0,(IF(((2*(Retailers!AL92+Distributors_Cap!$P$47)-Retailers_Cap!$BB$7)*(Demand!AW110-Retailers_Cap!P93))&lt;0,0,((IF(BD93&gt;2*(Retailers!AL92+Distributors_Cap!$P$47),0,(IF(BI93=0,ROUNDUP((2*(Retailers!AL92+Distributors_Cap!$P$47)-BD93)^0.5,0),ROUNDUP((2*(Retailers!AL92+Distributors_Cap!$P$47)-BD93)^0.5,0)))))))))</f>
        <v/>
      </c>
      <c r="W93" s="75" t="n">
        <v>97</v>
      </c>
      <c r="X93" s="9" t="n">
        <v>15</v>
      </c>
      <c r="Y93" s="9" t="n">
        <v>0</v>
      </c>
      <c r="Z93" s="9" t="n">
        <v>13</v>
      </c>
      <c r="AB93" s="2">
        <f>ROUNDDOWN(LOG((X93+1),2),0)</f>
        <v/>
      </c>
      <c r="AC93" s="2">
        <f>ROUNDDOWN(LOG((Y93+1),2),0)</f>
        <v/>
      </c>
      <c r="AD93" s="2">
        <f>ROUNDDOWN(LOG((Z93+1),2),0)</f>
        <v/>
      </c>
      <c r="AG93" s="75" t="n">
        <v>97</v>
      </c>
      <c r="AH93" s="9" t="n">
        <v>4</v>
      </c>
      <c r="AI93" s="9" t="n">
        <v>0</v>
      </c>
      <c r="AJ93" s="9" t="n">
        <v>3</v>
      </c>
      <c r="AQ93" s="75" t="n">
        <v>97</v>
      </c>
      <c r="AR93" s="75" t="n">
        <v>79.949</v>
      </c>
      <c r="AS93" s="75" t="n">
        <v>56.712</v>
      </c>
      <c r="AT93" s="75" t="n">
        <v>81.46599999999999</v>
      </c>
      <c r="AV93" s="75" t="n">
        <v>97</v>
      </c>
      <c r="AW93" s="75">
        <f>Beginning_stock!AT121</f>
        <v/>
      </c>
      <c r="AX93" s="75">
        <f>Beginning_stock!AU121</f>
        <v/>
      </c>
      <c r="AY93" s="75">
        <f>Beginning_stock!AV121</f>
        <v/>
      </c>
      <c r="BA93" s="75" t="n">
        <v>97</v>
      </c>
      <c r="BB93" s="75">
        <f>IF(Demand!AU110=Retailers_Cap!N93,"ret=0",(AW93/(Demand!AU110-Retailers_Cap!N93)))</f>
        <v/>
      </c>
      <c r="BC93" s="75">
        <f>IF(Demand!AV110=Retailers_Cap!O93,"ret=0",(AX93/(Demand!AV110-Retailers_Cap!O93)))</f>
        <v/>
      </c>
      <c r="BD93" s="75">
        <f>IF(Demand!AW110=Retailers_Cap!P93,"ret=0",(AY93/(Demand!AW110-Retailers_Cap!P93)))</f>
        <v/>
      </c>
      <c r="BF93" s="75" t="n">
        <v>97</v>
      </c>
      <c r="BG93" s="2">
        <f>IF(Demand!AU110&lt;=Retailers_Cap!N93,"ret=0",(IF(BB93&lt;=AR93+Distributors_Cap!$P$47,1,0)))</f>
        <v/>
      </c>
      <c r="BH93" s="2">
        <f>IF(Demand!AV110&lt;=Retailers_Cap!O93,"ret=0",(IF(BC93&lt;=AS93+Distributors_Cap!$P$47,1,0)))</f>
        <v/>
      </c>
      <c r="BI93" s="2">
        <f>IF(Demand!AW110&lt;=Retailers_Cap!P93,"ret=0",(IF(BD93&lt;=AT93+Distributors_Cap!$P$47,1,0)))</f>
        <v/>
      </c>
      <c r="BK93" s="75" t="n">
        <v>97</v>
      </c>
      <c r="BL93" s="75">
        <f>Retailers!BH92</f>
        <v/>
      </c>
      <c r="BM93" s="75">
        <f>Retailers!BI92</f>
        <v/>
      </c>
      <c r="BN93" s="75">
        <f>Retailers!BJ92</f>
        <v/>
      </c>
      <c r="BP93" s="75" t="n">
        <v>97</v>
      </c>
      <c r="BQ93" s="75">
        <f>#REF!</f>
        <v/>
      </c>
      <c r="BR93" s="75">
        <f>#REF!</f>
        <v/>
      </c>
      <c r="BS93" s="75">
        <f>#REF!</f>
        <v/>
      </c>
      <c r="BU93" s="75" t="n">
        <v>97</v>
      </c>
      <c r="BV93" s="75">
        <f>Retailers!AS92</f>
        <v/>
      </c>
      <c r="BW93" s="75">
        <f>Retailers!AT92</f>
        <v/>
      </c>
      <c r="BX93" s="75">
        <f>Retailers!AU92</f>
        <v/>
      </c>
      <c r="BZ93" s="75" t="n">
        <v>97</v>
      </c>
      <c r="CA93" s="75">
        <f>Results!#REF!</f>
        <v/>
      </c>
      <c r="CB93" s="75">
        <f>Results!#REF!</f>
        <v/>
      </c>
      <c r="CC93" s="75">
        <f>Results!#REF!</f>
        <v/>
      </c>
      <c r="CE93" s="75" t="n">
        <v>97</v>
      </c>
      <c r="CF93" s="75">
        <f>Retailers!BN92</f>
        <v/>
      </c>
      <c r="CG93" s="75">
        <f>Retailers!BO92</f>
        <v/>
      </c>
      <c r="CH93" s="75">
        <f>Retailers!BP92</f>
        <v/>
      </c>
      <c r="CJ93" s="75" t="n">
        <v>97</v>
      </c>
      <c r="CK93" s="75">
        <f>IF(BB93="ret=0",0,IF(BB93&gt;0,AR93+Distributors_Cap!$P$47-BB93,0))</f>
        <v/>
      </c>
      <c r="CL93" s="75">
        <f>IF(BC93="ret=0",0,IF(BC93&gt;0,AS93+Distributors_Cap!$P$47-BC93,0))</f>
        <v/>
      </c>
      <c r="CM93" s="75">
        <f>IF(BD93="ret=0",0,IF(BD93&gt;0,AT93+Distributors_Cap!$P$47-BD93,0))</f>
        <v/>
      </c>
    </row>
    <row r="94">
      <c r="G94" s="75" t="n">
        <v>98</v>
      </c>
      <c r="H94" s="75" t="n">
        <v>54.484</v>
      </c>
      <c r="I94" s="75" t="n">
        <v>51.385</v>
      </c>
      <c r="J94" s="75" t="n">
        <v>48.596</v>
      </c>
      <c r="L94" s="75">
        <f>TRUNC((_xlfn.NORM.INV((RAND()),$K$7,$K$8)),0)</f>
        <v/>
      </c>
      <c r="M94" s="75" t="n">
        <v>98</v>
      </c>
      <c r="N94" s="5" t="n">
        <v>37</v>
      </c>
      <c r="O94" s="5" t="n">
        <v>28</v>
      </c>
      <c r="P94" s="5" t="n">
        <v>18</v>
      </c>
      <c r="R94" s="2">
        <f>IF(N94&gt;Demand!AU111,0,(IF(((2*(Retailers!AJ93+Distributors_Cap!$P$47)-Retailers_Cap!$BB$7)*(Demand!AU111-Retailers_Cap!N94))&lt;0,0,((IF(BB94&gt;2*(Retailers!AJ93+Distributors_Cap!$P$47),0,(IF(BG94=0,ROUNDUP((2*(Retailers!AJ93+Distributors_Cap!$P$47)-BB94)^0.5,0),ROUNDUP((2*(Retailers!AJ93+Distributors_Cap!$P$47)-BB94)^0.5,0)))))))))</f>
        <v/>
      </c>
      <c r="S94" s="2">
        <f>IF(O94&gt;Demand!AV111,0,(IF(((2*(Retailers!AK93+Distributors_Cap!$P$47)-Retailers_Cap!$BB$7)*(Demand!AV111-Retailers_Cap!O94))&lt;0,0,((IF(BC94&gt;2*(Retailers!AK93+Distributors_Cap!$P$47),0,(IF(BH94=0,ROUNDUP((2*(Retailers!AK93+Distributors_Cap!$P$47)-BC94)^0.5,0),ROUNDUP((2*(Retailers!AK93+Distributors_Cap!$P$47)-BC94)^0.5,0)))))))))</f>
        <v/>
      </c>
      <c r="T94" s="2">
        <f>IF(P94&gt;Demand!AW111,0,(IF(((2*(Retailers!AL93+Distributors_Cap!$P$47)-Retailers_Cap!$BB$7)*(Demand!AW111-Retailers_Cap!P94))&lt;0,0,((IF(BD94&gt;2*(Retailers!AL93+Distributors_Cap!$P$47),0,(IF(BI94=0,ROUNDUP((2*(Retailers!AL93+Distributors_Cap!$P$47)-BD94)^0.5,0),ROUNDUP((2*(Retailers!AL93+Distributors_Cap!$P$47)-BD94)^0.5,0)))))))))</f>
        <v/>
      </c>
      <c r="W94" s="75" t="n">
        <v>98</v>
      </c>
      <c r="X94" s="9" t="n">
        <v>0</v>
      </c>
      <c r="Y94" s="9" t="n">
        <v>0</v>
      </c>
      <c r="Z94" s="9" t="n">
        <v>12</v>
      </c>
      <c r="AB94" s="2">
        <f>ROUNDDOWN(LOG((X94+1),2),0)</f>
        <v/>
      </c>
      <c r="AC94" s="2">
        <f>ROUNDDOWN(LOG((Y94+1),2),0)</f>
        <v/>
      </c>
      <c r="AD94" s="2">
        <f>ROUNDDOWN(LOG((Z94+1),2),0)</f>
        <v/>
      </c>
      <c r="AG94" s="75" t="n">
        <v>98</v>
      </c>
      <c r="AH94" s="9" t="n">
        <v>0</v>
      </c>
      <c r="AI94" s="9" t="n">
        <v>0</v>
      </c>
      <c r="AJ94" s="9" t="n">
        <v>3</v>
      </c>
      <c r="AQ94" s="75" t="n">
        <v>98</v>
      </c>
      <c r="AR94" s="75" t="n">
        <v>54.484</v>
      </c>
      <c r="AS94" s="75" t="n">
        <v>51.385</v>
      </c>
      <c r="AT94" s="75" t="n">
        <v>48.596</v>
      </c>
      <c r="AV94" s="75" t="n">
        <v>98</v>
      </c>
      <c r="AW94" s="75">
        <f>Beginning_stock!AT122</f>
        <v/>
      </c>
      <c r="AX94" s="75">
        <f>Beginning_stock!AU122</f>
        <v/>
      </c>
      <c r="AY94" s="75">
        <f>Beginning_stock!AV122</f>
        <v/>
      </c>
      <c r="BA94" s="75" t="n">
        <v>98</v>
      </c>
      <c r="BB94" s="75">
        <f>IF(Demand!AU111=Retailers_Cap!N94,"ret=0",(AW94/(Demand!AU111-Retailers_Cap!N94)))</f>
        <v/>
      </c>
      <c r="BC94" s="75">
        <f>IF(Demand!AV111=Retailers_Cap!O94,"ret=0",(AX94/(Demand!AV111-Retailers_Cap!O94)))</f>
        <v/>
      </c>
      <c r="BD94" s="75">
        <f>IF(Demand!AW111=Retailers_Cap!P94,"ret=0",(AY94/(Demand!AW111-Retailers_Cap!P94)))</f>
        <v/>
      </c>
      <c r="BF94" s="75" t="n">
        <v>98</v>
      </c>
      <c r="BG94" s="2">
        <f>IF(Demand!AU111&lt;=Retailers_Cap!N94,"ret=0",(IF(BB94&lt;=AR94+Distributors_Cap!$P$47,1,0)))</f>
        <v/>
      </c>
      <c r="BH94" s="2">
        <f>IF(Demand!AV111&lt;=Retailers_Cap!O94,"ret=0",(IF(BC94&lt;=AS94+Distributors_Cap!$P$47,1,0)))</f>
        <v/>
      </c>
      <c r="BI94" s="2">
        <f>IF(Demand!AW111&lt;=Retailers_Cap!P94,"ret=0",(IF(BD94&lt;=AT94+Distributors_Cap!$P$47,1,0)))</f>
        <v/>
      </c>
      <c r="BK94" s="75" t="n">
        <v>98</v>
      </c>
      <c r="BL94" s="75">
        <f>Retailers!BH93</f>
        <v/>
      </c>
      <c r="BM94" s="75">
        <f>Retailers!BI93</f>
        <v/>
      </c>
      <c r="BN94" s="75">
        <f>Retailers!BJ93</f>
        <v/>
      </c>
      <c r="BP94" s="75" t="n">
        <v>98</v>
      </c>
      <c r="BQ94" s="75">
        <f>#REF!</f>
        <v/>
      </c>
      <c r="BR94" s="75">
        <f>#REF!</f>
        <v/>
      </c>
      <c r="BS94" s="75">
        <f>#REF!</f>
        <v/>
      </c>
      <c r="BU94" s="75" t="n">
        <v>98</v>
      </c>
      <c r="BV94" s="75">
        <f>Retailers!AS93</f>
        <v/>
      </c>
      <c r="BW94" s="75">
        <f>Retailers!AT93</f>
        <v/>
      </c>
      <c r="BX94" s="75">
        <f>Retailers!AU93</f>
        <v/>
      </c>
      <c r="BZ94" s="75" t="n">
        <v>98</v>
      </c>
      <c r="CA94" s="75">
        <f>Results!#REF!</f>
        <v/>
      </c>
      <c r="CB94" s="75">
        <f>Results!#REF!</f>
        <v/>
      </c>
      <c r="CC94" s="75">
        <f>Results!#REF!</f>
        <v/>
      </c>
      <c r="CE94" s="75" t="n">
        <v>98</v>
      </c>
      <c r="CF94" s="75">
        <f>Retailers!BN93</f>
        <v/>
      </c>
      <c r="CG94" s="75">
        <f>Retailers!BO93</f>
        <v/>
      </c>
      <c r="CH94" s="75">
        <f>Retailers!BP93</f>
        <v/>
      </c>
      <c r="CJ94" s="75" t="n">
        <v>98</v>
      </c>
      <c r="CK94" s="75">
        <f>IF(BB94="ret=0",0,IF(BB94&gt;0,AR94+Distributors_Cap!$P$47-BB94,0))</f>
        <v/>
      </c>
      <c r="CL94" s="75">
        <f>IF(BC94="ret=0",0,IF(BC94&gt;0,AS94+Distributors_Cap!$P$47-BC94,0))</f>
        <v/>
      </c>
      <c r="CM94" s="75">
        <f>IF(BD94="ret=0",0,IF(BD94&gt;0,AT94+Distributors_Cap!$P$47-BD94,0))</f>
        <v/>
      </c>
    </row>
    <row r="95">
      <c r="G95" s="75" t="n">
        <v>99</v>
      </c>
      <c r="H95" s="75" t="n">
        <v>76.26000000000001</v>
      </c>
      <c r="I95" s="75" t="n">
        <v>60.901</v>
      </c>
      <c r="J95" s="75" t="n">
        <v>73.62</v>
      </c>
      <c r="L95" s="75">
        <f>TRUNC((_xlfn.NORM.INV((RAND()),$K$7,$K$8)),0)</f>
        <v/>
      </c>
      <c r="M95" s="75" t="n">
        <v>99</v>
      </c>
      <c r="N95" s="5" t="n">
        <v>25</v>
      </c>
      <c r="O95" s="5" t="n">
        <v>27</v>
      </c>
      <c r="P95" s="5" t="n">
        <v>22</v>
      </c>
      <c r="R95" s="2">
        <f>IF(N95&gt;Demand!AU112,0,(IF(((2*(Retailers!AJ94+Distributors_Cap!$P$47)-Retailers_Cap!$BB$7)*(Demand!AU112-Retailers_Cap!N95))&lt;0,0,((IF(BB95&gt;2*(Retailers!AJ94+Distributors_Cap!$P$47),0,(IF(BG95=0,ROUNDUP((2*(Retailers!AJ94+Distributors_Cap!$P$47)-BB95)^0.5,0),ROUNDUP((2*(Retailers!AJ94+Distributors_Cap!$P$47)-BB95)^0.5,0)))))))))</f>
        <v/>
      </c>
      <c r="S95" s="2">
        <f>IF(O95&gt;Demand!AV112,0,(IF(((2*(Retailers!AK94+Distributors_Cap!$P$47)-Retailers_Cap!$BB$7)*(Demand!AV112-Retailers_Cap!O95))&lt;0,0,((IF(BC95&gt;2*(Retailers!AK94+Distributors_Cap!$P$47),0,(IF(BH95=0,ROUNDUP((2*(Retailers!AK94+Distributors_Cap!$P$47)-BC95)^0.5,0),ROUNDUP((2*(Retailers!AK94+Distributors_Cap!$P$47)-BC95)^0.5,0)))))))))</f>
        <v/>
      </c>
      <c r="T95" s="2">
        <f>IF(P95&gt;Demand!AW112,0,(IF(((2*(Retailers!AL94+Distributors_Cap!$P$47)-Retailers_Cap!$BB$7)*(Demand!AW112-Retailers_Cap!P95))&lt;0,0,((IF(BD95&gt;2*(Retailers!AL94+Distributors_Cap!$P$47),0,(IF(BI95=0,ROUNDUP((2*(Retailers!AL94+Distributors_Cap!$P$47)-BD95)^0.5,0),ROUNDUP((2*(Retailers!AL94+Distributors_Cap!$P$47)-BD95)^0.5,0)))))))))</f>
        <v/>
      </c>
      <c r="W95" s="75" t="n">
        <v>99</v>
      </c>
      <c r="X95" s="9" t="n">
        <v>0</v>
      </c>
      <c r="Y95" s="9" t="n">
        <v>11</v>
      </c>
      <c r="Z95" s="9" t="n">
        <v>0</v>
      </c>
      <c r="AB95" s="2">
        <f>ROUNDDOWN(LOG((X95+1),2),0)</f>
        <v/>
      </c>
      <c r="AC95" s="2">
        <f>ROUNDDOWN(LOG((Y95+1),2),0)</f>
        <v/>
      </c>
      <c r="AD95" s="2">
        <f>ROUNDDOWN(LOG((Z95+1),2),0)</f>
        <v/>
      </c>
      <c r="AG95" s="75" t="n">
        <v>99</v>
      </c>
      <c r="AH95" s="9" t="n">
        <v>0</v>
      </c>
      <c r="AI95" s="9" t="n">
        <v>3</v>
      </c>
      <c r="AJ95" s="9" t="n">
        <v>0</v>
      </c>
      <c r="AQ95" s="75" t="n">
        <v>99</v>
      </c>
      <c r="AR95" s="75" t="n">
        <v>76.26000000000001</v>
      </c>
      <c r="AS95" s="75" t="n">
        <v>60.901</v>
      </c>
      <c r="AT95" s="75" t="n">
        <v>73.62</v>
      </c>
      <c r="AV95" s="75" t="n">
        <v>99</v>
      </c>
      <c r="AW95" s="75">
        <f>Beginning_stock!AT123</f>
        <v/>
      </c>
      <c r="AX95" s="75">
        <f>Beginning_stock!AU123</f>
        <v/>
      </c>
      <c r="AY95" s="75">
        <f>Beginning_stock!AV123</f>
        <v/>
      </c>
      <c r="BA95" s="75" t="n">
        <v>99</v>
      </c>
      <c r="BB95" s="75">
        <f>IF(Demand!AU112=Retailers_Cap!N95,"ret=0",(AW95/(Demand!AU112-Retailers_Cap!N95)))</f>
        <v/>
      </c>
      <c r="BC95" s="75">
        <f>IF(Demand!AV112=Retailers_Cap!O95,"ret=0",(AX95/(Demand!AV112-Retailers_Cap!O95)))</f>
        <v/>
      </c>
      <c r="BD95" s="75">
        <f>IF(Demand!AW112=Retailers_Cap!P95,"ret=0",(AY95/(Demand!AW112-Retailers_Cap!P95)))</f>
        <v/>
      </c>
      <c r="BF95" s="75" t="n">
        <v>99</v>
      </c>
      <c r="BG95" s="2">
        <f>IF(Demand!AU112&lt;=Retailers_Cap!N95,"ret=0",(IF(BB95&lt;=AR95+Distributors_Cap!$P$47,1,0)))</f>
        <v/>
      </c>
      <c r="BH95" s="2">
        <f>IF(Demand!AV112&lt;=Retailers_Cap!O95,"ret=0",(IF(BC95&lt;=AS95+Distributors_Cap!$P$47,1,0)))</f>
        <v/>
      </c>
      <c r="BI95" s="2">
        <f>IF(Demand!AW112&lt;=Retailers_Cap!P95,"ret=0",(IF(BD95&lt;=AT95+Distributors_Cap!$P$47,1,0)))</f>
        <v/>
      </c>
      <c r="BK95" s="75" t="n">
        <v>99</v>
      </c>
      <c r="BL95" s="75">
        <f>Retailers!BH94</f>
        <v/>
      </c>
      <c r="BM95" s="75">
        <f>Retailers!BI94</f>
        <v/>
      </c>
      <c r="BN95" s="75">
        <f>Retailers!BJ94</f>
        <v/>
      </c>
      <c r="BP95" s="75" t="n">
        <v>99</v>
      </c>
      <c r="BQ95" s="75">
        <f>#REF!</f>
        <v/>
      </c>
      <c r="BR95" s="75">
        <f>#REF!</f>
        <v/>
      </c>
      <c r="BS95" s="75">
        <f>#REF!</f>
        <v/>
      </c>
      <c r="BU95" s="75" t="n">
        <v>99</v>
      </c>
      <c r="BV95" s="75">
        <f>Retailers!AS94</f>
        <v/>
      </c>
      <c r="BW95" s="75">
        <f>Retailers!AT94</f>
        <v/>
      </c>
      <c r="BX95" s="75">
        <f>Retailers!AU94</f>
        <v/>
      </c>
      <c r="BZ95" s="75" t="n">
        <v>99</v>
      </c>
      <c r="CA95" s="75">
        <f>Results!#REF!</f>
        <v/>
      </c>
      <c r="CB95" s="75">
        <f>Results!#REF!</f>
        <v/>
      </c>
      <c r="CC95" s="75">
        <f>Results!#REF!</f>
        <v/>
      </c>
      <c r="CE95" s="75" t="n">
        <v>99</v>
      </c>
      <c r="CF95" s="75">
        <f>Retailers!BN94</f>
        <v/>
      </c>
      <c r="CG95" s="75">
        <f>Retailers!BO94</f>
        <v/>
      </c>
      <c r="CH95" s="75">
        <f>Retailers!BP94</f>
        <v/>
      </c>
      <c r="CJ95" s="75" t="n">
        <v>99</v>
      </c>
      <c r="CK95" s="75">
        <f>IF(BB95="ret=0",0,IF(BB95&gt;0,AR95+Distributors_Cap!$P$47-BB95,0))</f>
        <v/>
      </c>
      <c r="CL95" s="75">
        <f>IF(BC95="ret=0",0,IF(BC95&gt;0,AS95+Distributors_Cap!$P$47-BC95,0))</f>
        <v/>
      </c>
      <c r="CM95" s="75">
        <f>IF(BD95="ret=0",0,IF(BD95&gt;0,AT95+Distributors_Cap!$P$47-BD95,0))</f>
        <v/>
      </c>
    </row>
    <row r="96">
      <c r="G96" s="75" t="n">
        <v>100</v>
      </c>
      <c r="H96" s="75" t="n">
        <v>53.359</v>
      </c>
      <c r="I96" s="75" t="n">
        <v>64.407</v>
      </c>
      <c r="J96" s="75" t="n">
        <v>60.387</v>
      </c>
      <c r="L96" s="75">
        <f>TRUNC((_xlfn.NORM.INV((RAND()),$K$7,$K$8)),0)</f>
        <v/>
      </c>
      <c r="M96" s="75" t="n">
        <v>100</v>
      </c>
      <c r="N96" s="5" t="n">
        <v>35</v>
      </c>
      <c r="O96" s="5" t="n">
        <v>32</v>
      </c>
      <c r="P96" s="5" t="n">
        <v>26</v>
      </c>
      <c r="R96" s="2">
        <f>IF(N96&gt;Demand!AU113,0,(IF(((2*(Retailers!AJ95+Distributors_Cap!$P$47)-Retailers_Cap!$BB$7)*(Demand!AU113-Retailers_Cap!N96))&lt;0,0,((IF(BB96&gt;2*(Retailers!AJ95+Distributors_Cap!$P$47),0,(IF(BG96=0,ROUNDUP((2*(Retailers!AJ95+Distributors_Cap!$P$47)-BB96)^0.5,0),ROUNDUP((2*(Retailers!AJ95+Distributors_Cap!$P$47)-BB96)^0.5,0)))))))))</f>
        <v/>
      </c>
      <c r="S96" s="2">
        <f>IF(O96&gt;Demand!AV113,0,(IF(((2*(Retailers!AK95+Distributors_Cap!$P$47)-Retailers_Cap!$BB$7)*(Demand!AV113-Retailers_Cap!O96))&lt;0,0,((IF(BC96&gt;2*(Retailers!AK95+Distributors_Cap!$P$47),0,(IF(BH96=0,ROUNDUP((2*(Retailers!AK95+Distributors_Cap!$P$47)-BC96)^0.5,0),ROUNDUP((2*(Retailers!AK95+Distributors_Cap!$P$47)-BC96)^0.5,0)))))))))</f>
        <v/>
      </c>
      <c r="T96" s="2">
        <f>IF(P96&gt;Demand!AW113,0,(IF(((2*(Retailers!AL95+Distributors_Cap!$P$47)-Retailers_Cap!$BB$7)*(Demand!AW113-Retailers_Cap!P96))&lt;0,0,((IF(BD96&gt;2*(Retailers!AL95+Distributors_Cap!$P$47),0,(IF(BI96=0,ROUNDUP((2*(Retailers!AL95+Distributors_Cap!$P$47)-BD96)^0.5,0),ROUNDUP((2*(Retailers!AL95+Distributors_Cap!$P$47)-BD96)^0.5,0)))))))))</f>
        <v/>
      </c>
      <c r="W96" s="75" t="n">
        <v>100</v>
      </c>
      <c r="X96" s="9" t="n">
        <v>0</v>
      </c>
      <c r="Y96" s="9" t="n">
        <v>0</v>
      </c>
      <c r="Z96" s="9" t="n">
        <v>0</v>
      </c>
      <c r="AB96" s="2">
        <f>ROUNDDOWN(LOG((X96+1),2),0)</f>
        <v/>
      </c>
      <c r="AC96" s="2">
        <f>ROUNDDOWN(LOG((Y96+1),2),0)</f>
        <v/>
      </c>
      <c r="AD96" s="2">
        <f>ROUNDDOWN(LOG((Z96+1),2),0)</f>
        <v/>
      </c>
      <c r="AG96" s="75" t="n">
        <v>100</v>
      </c>
      <c r="AH96" s="9" t="n">
        <v>0</v>
      </c>
      <c r="AI96" s="9" t="n">
        <v>0</v>
      </c>
      <c r="AJ96" s="9" t="n">
        <v>0</v>
      </c>
      <c r="AQ96" s="75" t="n">
        <v>100</v>
      </c>
      <c r="AR96" s="75" t="n">
        <v>53.359</v>
      </c>
      <c r="AS96" s="75" t="n">
        <v>64.407</v>
      </c>
      <c r="AT96" s="75" t="n">
        <v>60.387</v>
      </c>
      <c r="AV96" s="75" t="n">
        <v>100</v>
      </c>
      <c r="AW96" s="75">
        <f>Beginning_stock!AT124</f>
        <v/>
      </c>
      <c r="AX96" s="75">
        <f>Beginning_stock!AU124</f>
        <v/>
      </c>
      <c r="AY96" s="75">
        <f>Beginning_stock!AV124</f>
        <v/>
      </c>
      <c r="BA96" s="75" t="n">
        <v>100</v>
      </c>
      <c r="BB96" s="75">
        <f>IF(Demand!AU113=Retailers_Cap!N96,"ret=0",(AW96/(Demand!AU113-Retailers_Cap!N96)))</f>
        <v/>
      </c>
      <c r="BC96" s="75">
        <f>IF(Demand!AV113=Retailers_Cap!O96,"ret=0",(AX96/(Demand!AV113-Retailers_Cap!O96)))</f>
        <v/>
      </c>
      <c r="BD96" s="75">
        <f>IF(Demand!AW113=Retailers_Cap!P96,"ret=0",(AY96/(Demand!AW113-Retailers_Cap!P96)))</f>
        <v/>
      </c>
      <c r="BF96" s="75" t="n">
        <v>100</v>
      </c>
      <c r="BG96" s="2">
        <f>IF(Demand!AU113&lt;=Retailers_Cap!N96,"ret=0",(IF(BB96&lt;=AR96+Distributors_Cap!$P$47,1,0)))</f>
        <v/>
      </c>
      <c r="BH96" s="2">
        <f>IF(Demand!AV113&lt;=Retailers_Cap!O96,"ret=0",(IF(BC96&lt;=AS96+Distributors_Cap!$P$47,1,0)))</f>
        <v/>
      </c>
      <c r="BI96" s="2">
        <f>IF(Demand!AW113&lt;=Retailers_Cap!P96,"ret=0",(IF(BD96&lt;=AT96+Distributors_Cap!$P$47,1,0)))</f>
        <v/>
      </c>
      <c r="BK96" s="75" t="n">
        <v>100</v>
      </c>
      <c r="BL96" s="75">
        <f>Retailers!BH95</f>
        <v/>
      </c>
      <c r="BM96" s="75">
        <f>Retailers!BI95</f>
        <v/>
      </c>
      <c r="BN96" s="75">
        <f>Retailers!BJ95</f>
        <v/>
      </c>
      <c r="BP96" s="75" t="n">
        <v>100</v>
      </c>
      <c r="BQ96" s="75">
        <f>#REF!</f>
        <v/>
      </c>
      <c r="BR96" s="75">
        <f>#REF!</f>
        <v/>
      </c>
      <c r="BS96" s="75">
        <f>#REF!</f>
        <v/>
      </c>
      <c r="BU96" s="75" t="n">
        <v>100</v>
      </c>
      <c r="BV96" s="75">
        <f>Retailers!AS95</f>
        <v/>
      </c>
      <c r="BW96" s="75">
        <f>Retailers!AT95</f>
        <v/>
      </c>
      <c r="BX96" s="75">
        <f>Retailers!AU95</f>
        <v/>
      </c>
      <c r="BZ96" s="75" t="n">
        <v>100</v>
      </c>
      <c r="CA96" s="75">
        <f>Results!#REF!</f>
        <v/>
      </c>
      <c r="CB96" s="75">
        <f>Results!#REF!</f>
        <v/>
      </c>
      <c r="CC96" s="75">
        <f>Results!#REF!</f>
        <v/>
      </c>
      <c r="CE96" s="75" t="n">
        <v>100</v>
      </c>
      <c r="CF96" s="75">
        <f>Retailers!BN95</f>
        <v/>
      </c>
      <c r="CG96" s="75">
        <f>Retailers!BO95</f>
        <v/>
      </c>
      <c r="CH96" s="75">
        <f>Retailers!BP95</f>
        <v/>
      </c>
      <c r="CJ96" s="75" t="n">
        <v>100</v>
      </c>
      <c r="CK96" s="75">
        <f>IF(BB96="ret=0",0,IF(BB96&gt;0,AR96+Distributors_Cap!$P$47-BB96,0))</f>
        <v/>
      </c>
      <c r="CL96" s="75">
        <f>IF(BC96="ret=0",0,IF(BC96&gt;0,AS96+Distributors_Cap!$P$47-BC96,0))</f>
        <v/>
      </c>
      <c r="CM96" s="75">
        <f>IF(BD96="ret=0",0,IF(BD96&gt;0,AT96+Distributors_Cap!$P$47-BD96,0))</f>
        <v/>
      </c>
    </row>
    <row r="97">
      <c r="G97" s="75" t="n">
        <v>101</v>
      </c>
      <c r="H97" s="75" t="n">
        <v>57.974</v>
      </c>
      <c r="I97" s="75" t="n">
        <v>60.294</v>
      </c>
      <c r="J97" s="75" t="n">
        <v>58.822</v>
      </c>
      <c r="L97" s="75">
        <f>TRUNC((_xlfn.NORM.INV((RAND()),$K$7,$K$8)),0)</f>
        <v/>
      </c>
      <c r="M97" s="75" t="n">
        <v>101</v>
      </c>
      <c r="N97" s="5" t="n">
        <v>27</v>
      </c>
      <c r="O97" s="5" t="n">
        <v>24</v>
      </c>
      <c r="P97" s="5" t="n">
        <v>20</v>
      </c>
      <c r="R97" s="2">
        <f>IF(N97&gt;Demand!AU114,0,(IF(((2*(Retailers!AJ96+Distributors_Cap!$P$47)-Retailers_Cap!$BB$7)*(Demand!AU114-Retailers_Cap!N97))&lt;0,0,((IF(BB97&gt;2*(Retailers!AJ96+Distributors_Cap!$P$47),0,(IF(BG97=0,ROUNDUP((2*(Retailers!AJ96+Distributors_Cap!$P$47)-BB97)^0.5,0),ROUNDUP((2*(Retailers!AJ96+Distributors_Cap!$P$47)-BB97)^0.5,0)))))))))</f>
        <v/>
      </c>
      <c r="S97" s="2">
        <f>IF(O97&gt;Demand!AV114,0,(IF(((2*(Retailers!AK96+Distributors_Cap!$P$47)-Retailers_Cap!$BB$7)*(Demand!AV114-Retailers_Cap!O97))&lt;0,0,((IF(BC97&gt;2*(Retailers!AK96+Distributors_Cap!$P$47),0,(IF(BH97=0,ROUNDUP((2*(Retailers!AK96+Distributors_Cap!$P$47)-BC97)^0.5,0),ROUNDUP((2*(Retailers!AK96+Distributors_Cap!$P$47)-BC97)^0.5,0)))))))))</f>
        <v/>
      </c>
      <c r="T97" s="2">
        <f>IF(P97&gt;Demand!AW114,0,(IF(((2*(Retailers!AL96+Distributors_Cap!$P$47)-Retailers_Cap!$BB$7)*(Demand!AW114-Retailers_Cap!P97))&lt;0,0,((IF(BD97&gt;2*(Retailers!AL96+Distributors_Cap!$P$47),0,(IF(BI97=0,ROUNDUP((2*(Retailers!AL96+Distributors_Cap!$P$47)-BD97)^0.5,0),ROUNDUP((2*(Retailers!AL96+Distributors_Cap!$P$47)-BD97)^0.5,0)))))))))</f>
        <v/>
      </c>
      <c r="W97" s="75" t="n">
        <v>101</v>
      </c>
      <c r="X97" s="9" t="n">
        <v>0</v>
      </c>
      <c r="Y97" s="9" t="n">
        <v>0</v>
      </c>
      <c r="Z97" s="9" t="n">
        <v>0</v>
      </c>
      <c r="AB97" s="2">
        <f>ROUNDDOWN(LOG((X97+1),2),0)</f>
        <v/>
      </c>
      <c r="AC97" s="2">
        <f>ROUNDDOWN(LOG((Y97+1),2),0)</f>
        <v/>
      </c>
      <c r="AD97" s="2">
        <f>ROUNDDOWN(LOG((Z97+1),2),0)</f>
        <v/>
      </c>
      <c r="AG97" s="75" t="n">
        <v>101</v>
      </c>
      <c r="AH97" s="9" t="n">
        <v>0</v>
      </c>
      <c r="AI97" s="9" t="n">
        <v>0</v>
      </c>
      <c r="AJ97" s="9" t="n">
        <v>0</v>
      </c>
      <c r="AQ97" s="75" t="n">
        <v>101</v>
      </c>
      <c r="AR97" s="75" t="n">
        <v>57.974</v>
      </c>
      <c r="AS97" s="75" t="n">
        <v>60.294</v>
      </c>
      <c r="AT97" s="75" t="n">
        <v>58.822</v>
      </c>
      <c r="AV97" s="75" t="n">
        <v>101</v>
      </c>
      <c r="AW97" s="75">
        <f>Beginning_stock!AT125</f>
        <v/>
      </c>
      <c r="AX97" s="75">
        <f>Beginning_stock!AU125</f>
        <v/>
      </c>
      <c r="AY97" s="75">
        <f>Beginning_stock!AV125</f>
        <v/>
      </c>
      <c r="BA97" s="75" t="n">
        <v>101</v>
      </c>
      <c r="BB97" s="75">
        <f>IF(Demand!AU114=Retailers_Cap!N97,"ret=0",(AW97/(Demand!AU114-Retailers_Cap!N97)))</f>
        <v/>
      </c>
      <c r="BC97" s="75">
        <f>IF(Demand!AV114=Retailers_Cap!O97,"ret=0",(AX97/(Demand!AV114-Retailers_Cap!O97)))</f>
        <v/>
      </c>
      <c r="BD97" s="75">
        <f>IF(Demand!AW114=Retailers_Cap!P97,"ret=0",(AY97/(Demand!AW114-Retailers_Cap!P97)))</f>
        <v/>
      </c>
      <c r="BF97" s="75" t="n">
        <v>101</v>
      </c>
      <c r="BG97" s="2">
        <f>IF(Demand!AU114&lt;=Retailers_Cap!N97,"ret=0",(IF(BB97&lt;=AR97+Distributors_Cap!$P$47,1,0)))</f>
        <v/>
      </c>
      <c r="BH97" s="2">
        <f>IF(Demand!AV114&lt;=Retailers_Cap!O97,"ret=0",(IF(BC97&lt;=AS97+Distributors_Cap!$P$47,1,0)))</f>
        <v/>
      </c>
      <c r="BI97" s="2">
        <f>IF(Demand!AW114&lt;=Retailers_Cap!P97,"ret=0",(IF(BD97&lt;=AT97+Distributors_Cap!$P$47,1,0)))</f>
        <v/>
      </c>
      <c r="BK97" s="75" t="n">
        <v>101</v>
      </c>
      <c r="BL97" s="75">
        <f>Retailers!BH96</f>
        <v/>
      </c>
      <c r="BM97" s="75">
        <f>Retailers!BI96</f>
        <v/>
      </c>
      <c r="BN97" s="75">
        <f>Retailers!BJ96</f>
        <v/>
      </c>
      <c r="BP97" s="75" t="n">
        <v>101</v>
      </c>
      <c r="BQ97" s="75">
        <f>#REF!</f>
        <v/>
      </c>
      <c r="BR97" s="75">
        <f>#REF!</f>
        <v/>
      </c>
      <c r="BS97" s="75">
        <f>#REF!</f>
        <v/>
      </c>
      <c r="BU97" s="75" t="n">
        <v>101</v>
      </c>
      <c r="BV97" s="75">
        <f>Retailers!AS96</f>
        <v/>
      </c>
      <c r="BW97" s="75">
        <f>Retailers!AT96</f>
        <v/>
      </c>
      <c r="BX97" s="75">
        <f>Retailers!AU96</f>
        <v/>
      </c>
      <c r="BZ97" s="75" t="n">
        <v>101</v>
      </c>
      <c r="CA97" s="75">
        <f>Results!#REF!</f>
        <v/>
      </c>
      <c r="CB97" s="75">
        <f>Results!#REF!</f>
        <v/>
      </c>
      <c r="CC97" s="75">
        <f>Results!#REF!</f>
        <v/>
      </c>
      <c r="CE97" s="75" t="n">
        <v>101</v>
      </c>
      <c r="CF97" s="75">
        <f>Retailers!BN96</f>
        <v/>
      </c>
      <c r="CG97" s="75">
        <f>Retailers!BO96</f>
        <v/>
      </c>
      <c r="CH97" s="75">
        <f>Retailers!BP96</f>
        <v/>
      </c>
      <c r="CJ97" s="75" t="n">
        <v>101</v>
      </c>
      <c r="CK97" s="75">
        <f>IF(BB97="ret=0",0,IF(BB97&gt;0,AR97+Distributors_Cap!$P$47-BB97,0))</f>
        <v/>
      </c>
      <c r="CL97" s="75">
        <f>IF(BC97="ret=0",0,IF(BC97&gt;0,AS97+Distributors_Cap!$P$47-BC97,0))</f>
        <v/>
      </c>
      <c r="CM97" s="75">
        <f>IF(BD97="ret=0",0,IF(BD97&gt;0,AT97+Distributors_Cap!$P$47-BD97,0))</f>
        <v/>
      </c>
    </row>
    <row r="98">
      <c r="G98" s="75" t="n">
        <v>102</v>
      </c>
      <c r="H98" s="75" t="n">
        <v>55.367</v>
      </c>
      <c r="I98" s="75" t="n">
        <v>56.4</v>
      </c>
      <c r="J98" s="75" t="n">
        <v>70.929</v>
      </c>
      <c r="L98" s="75">
        <f>TRUNC((_xlfn.NORM.INV((RAND()),$K$7,$K$8)),0)</f>
        <v/>
      </c>
      <c r="M98" s="75" t="n">
        <v>102</v>
      </c>
      <c r="N98" s="5" t="n">
        <v>26</v>
      </c>
      <c r="O98" s="5" t="n">
        <v>32</v>
      </c>
      <c r="P98" s="5" t="n">
        <v>34</v>
      </c>
      <c r="R98" s="2">
        <f>IF(N98&gt;Demand!AU115,0,(IF(((2*(Retailers!AJ97+Distributors_Cap!$P$47)-Retailers_Cap!$BB$7)*(Demand!AU115-Retailers_Cap!N98))&lt;0,0,((IF(BB98&gt;2*(Retailers!AJ97+Distributors_Cap!$P$47),0,(IF(BG98=0,ROUNDUP((2*(Retailers!AJ97+Distributors_Cap!$P$47)-BB98)^0.5,0),ROUNDUP((2*(Retailers!AJ97+Distributors_Cap!$P$47)-BB98)^0.5,0)))))))))</f>
        <v/>
      </c>
      <c r="S98" s="2">
        <f>IF(O98&gt;Demand!AV115,0,(IF(((2*(Retailers!AK97+Distributors_Cap!$P$47)-Retailers_Cap!$BB$7)*(Demand!AV115-Retailers_Cap!O98))&lt;0,0,((IF(BC98&gt;2*(Retailers!AK97+Distributors_Cap!$P$47),0,(IF(BH98=0,ROUNDUP((2*(Retailers!AK97+Distributors_Cap!$P$47)-BC98)^0.5,0),ROUNDUP((2*(Retailers!AK97+Distributors_Cap!$P$47)-BC98)^0.5,0)))))))))</f>
        <v/>
      </c>
      <c r="T98" s="2">
        <f>IF(P98&gt;Demand!AW115,0,(IF(((2*(Retailers!AL97+Distributors_Cap!$P$47)-Retailers_Cap!$BB$7)*(Demand!AW115-Retailers_Cap!P98))&lt;0,0,((IF(BD98&gt;2*(Retailers!AL97+Distributors_Cap!$P$47),0,(IF(BI98=0,ROUNDUP((2*(Retailers!AL97+Distributors_Cap!$P$47)-BD98)^0.5,0),ROUNDUP((2*(Retailers!AL97+Distributors_Cap!$P$47)-BD98)^0.5,0)))))))))</f>
        <v/>
      </c>
      <c r="W98" s="75" t="n">
        <v>102</v>
      </c>
      <c r="X98" s="9" t="n">
        <v>13</v>
      </c>
      <c r="Y98" s="9" t="n">
        <v>0</v>
      </c>
      <c r="Z98" s="9" t="n">
        <v>8</v>
      </c>
      <c r="AB98" s="2">
        <f>ROUNDDOWN(LOG((X98+1),2),0)</f>
        <v/>
      </c>
      <c r="AC98" s="2">
        <f>ROUNDDOWN(LOG((Y98+1),2),0)</f>
        <v/>
      </c>
      <c r="AD98" s="2">
        <f>ROUNDDOWN(LOG((Z98+1),2),0)</f>
        <v/>
      </c>
      <c r="AG98" s="75" t="n">
        <v>102</v>
      </c>
      <c r="AH98" s="9" t="n">
        <v>3</v>
      </c>
      <c r="AI98" s="9" t="n">
        <v>0</v>
      </c>
      <c r="AJ98" s="9" t="n">
        <v>3</v>
      </c>
      <c r="AQ98" s="75" t="n">
        <v>102</v>
      </c>
      <c r="AR98" s="75" t="n">
        <v>55.367</v>
      </c>
      <c r="AS98" s="75" t="n">
        <v>56.4</v>
      </c>
      <c r="AT98" s="75" t="n">
        <v>70.929</v>
      </c>
      <c r="AV98" s="75" t="n">
        <v>102</v>
      </c>
      <c r="AW98" s="75">
        <f>Beginning_stock!AT126</f>
        <v/>
      </c>
      <c r="AX98" s="75">
        <f>Beginning_stock!AU126</f>
        <v/>
      </c>
      <c r="AY98" s="75">
        <f>Beginning_stock!AV126</f>
        <v/>
      </c>
      <c r="BA98" s="75" t="n">
        <v>102</v>
      </c>
      <c r="BB98" s="75">
        <f>IF(Demand!AU115=Retailers_Cap!N98,"ret=0",(AW98/(Demand!AU115-Retailers_Cap!N98)))</f>
        <v/>
      </c>
      <c r="BC98" s="75">
        <f>IF(Demand!AV115=Retailers_Cap!O98,"ret=0",(AX98/(Demand!AV115-Retailers_Cap!O98)))</f>
        <v/>
      </c>
      <c r="BD98" s="75">
        <f>IF(Demand!AW115=Retailers_Cap!P98,"ret=0",(AY98/(Demand!AW115-Retailers_Cap!P98)))</f>
        <v/>
      </c>
      <c r="BF98" s="75" t="n">
        <v>102</v>
      </c>
      <c r="BG98" s="2">
        <f>IF(Demand!AU115&lt;=Retailers_Cap!N98,"ret=0",(IF(BB98&lt;=AR98+Distributors_Cap!$P$47,1,0)))</f>
        <v/>
      </c>
      <c r="BH98" s="2">
        <f>IF(Demand!AV115&lt;=Retailers_Cap!O98,"ret=0",(IF(BC98&lt;=AS98+Distributors_Cap!$P$47,1,0)))</f>
        <v/>
      </c>
      <c r="BI98" s="2">
        <f>IF(Demand!AW115&lt;=Retailers_Cap!P98,"ret=0",(IF(BD98&lt;=AT98+Distributors_Cap!$P$47,1,0)))</f>
        <v/>
      </c>
      <c r="BK98" s="75" t="n">
        <v>102</v>
      </c>
      <c r="BL98" s="75">
        <f>Retailers!BH97</f>
        <v/>
      </c>
      <c r="BM98" s="75">
        <f>Retailers!BI97</f>
        <v/>
      </c>
      <c r="BN98" s="75">
        <f>Retailers!BJ97</f>
        <v/>
      </c>
      <c r="BP98" s="75" t="n">
        <v>102</v>
      </c>
      <c r="BQ98" s="75">
        <f>#REF!</f>
        <v/>
      </c>
      <c r="BR98" s="75">
        <f>#REF!</f>
        <v/>
      </c>
      <c r="BS98" s="75">
        <f>#REF!</f>
        <v/>
      </c>
      <c r="BU98" s="75" t="n">
        <v>102</v>
      </c>
      <c r="BV98" s="75">
        <f>Retailers!AS97</f>
        <v/>
      </c>
      <c r="BW98" s="75">
        <f>Retailers!AT97</f>
        <v/>
      </c>
      <c r="BX98" s="75">
        <f>Retailers!AU97</f>
        <v/>
      </c>
      <c r="BZ98" s="75" t="n">
        <v>102</v>
      </c>
      <c r="CA98" s="75">
        <f>Results!#REF!</f>
        <v/>
      </c>
      <c r="CB98" s="75">
        <f>Results!#REF!</f>
        <v/>
      </c>
      <c r="CC98" s="75">
        <f>Results!#REF!</f>
        <v/>
      </c>
      <c r="CE98" s="75" t="n">
        <v>102</v>
      </c>
      <c r="CF98" s="75">
        <f>Retailers!BN97</f>
        <v/>
      </c>
      <c r="CG98" s="75">
        <f>Retailers!BO97</f>
        <v/>
      </c>
      <c r="CH98" s="75">
        <f>Retailers!BP97</f>
        <v/>
      </c>
      <c r="CJ98" s="75" t="n">
        <v>102</v>
      </c>
      <c r="CK98" s="75">
        <f>IF(BB98="ret=0",0,IF(BB98&gt;0,AR98+Distributors_Cap!$P$47-BB98,0))</f>
        <v/>
      </c>
      <c r="CL98" s="75">
        <f>IF(BC98="ret=0",0,IF(BC98&gt;0,AS98+Distributors_Cap!$P$47-BC98,0))</f>
        <v/>
      </c>
      <c r="CM98" s="75">
        <f>IF(BD98="ret=0",0,IF(BD98&gt;0,AT98+Distributors_Cap!$P$47-BD98,0))</f>
        <v/>
      </c>
    </row>
    <row r="99">
      <c r="G99" s="75" t="n">
        <v>103</v>
      </c>
      <c r="H99" s="75" t="n">
        <v>70.151</v>
      </c>
      <c r="I99" s="75" t="n">
        <v>70.989</v>
      </c>
      <c r="J99" s="75" t="n">
        <v>48.465</v>
      </c>
      <c r="L99" s="75">
        <f>TRUNC((_xlfn.NORM.INV((RAND()),$K$7,$K$8)),0)</f>
        <v/>
      </c>
      <c r="M99" s="75" t="n">
        <v>103</v>
      </c>
      <c r="N99" s="5" t="n">
        <v>35</v>
      </c>
      <c r="O99" s="5" t="n">
        <v>34</v>
      </c>
      <c r="P99" s="5" t="n">
        <v>28</v>
      </c>
      <c r="R99" s="2">
        <f>IF(N99&gt;Demand!AU116,0,(IF(((2*(Retailers!AJ98+Distributors_Cap!$P$47)-Retailers_Cap!$BB$7)*(Demand!AU116-Retailers_Cap!N99))&lt;0,0,((IF(BB99&gt;2*(Retailers!AJ98+Distributors_Cap!$P$47),0,(IF(BG99=0,ROUNDUP((2*(Retailers!AJ98+Distributors_Cap!$P$47)-BB99)^0.5,0),ROUNDUP((2*(Retailers!AJ98+Distributors_Cap!$P$47)-BB99)^0.5,0)))))))))</f>
        <v/>
      </c>
      <c r="S99" s="2">
        <f>IF(O99&gt;Demand!AV116,0,(IF(((2*(Retailers!AK98+Distributors_Cap!$P$47)-Retailers_Cap!$BB$7)*(Demand!AV116-Retailers_Cap!O99))&lt;0,0,((IF(BC99&gt;2*(Retailers!AK98+Distributors_Cap!$P$47),0,(IF(BH99=0,ROUNDUP((2*(Retailers!AK98+Distributors_Cap!$P$47)-BC99)^0.5,0),ROUNDUP((2*(Retailers!AK98+Distributors_Cap!$P$47)-BC99)^0.5,0)))))))))</f>
        <v/>
      </c>
      <c r="T99" s="2">
        <f>IF(P99&gt;Demand!AW116,0,(IF(((2*(Retailers!AL98+Distributors_Cap!$P$47)-Retailers_Cap!$BB$7)*(Demand!AW116-Retailers_Cap!P99))&lt;0,0,((IF(BD99&gt;2*(Retailers!AL98+Distributors_Cap!$P$47),0,(IF(BI99=0,ROUNDUP((2*(Retailers!AL98+Distributors_Cap!$P$47)-BD99)^0.5,0),ROUNDUP((2*(Retailers!AL98+Distributors_Cap!$P$47)-BD99)^0.5,0)))))))))</f>
        <v/>
      </c>
      <c r="W99" s="75" t="n">
        <v>103</v>
      </c>
      <c r="X99" s="9" t="n">
        <v>0</v>
      </c>
      <c r="Y99" s="9" t="n">
        <v>0</v>
      </c>
      <c r="Z99" s="9" t="n">
        <v>0</v>
      </c>
      <c r="AB99" s="2">
        <f>ROUNDDOWN(LOG((X99+1),2),0)</f>
        <v/>
      </c>
      <c r="AC99" s="2">
        <f>ROUNDDOWN(LOG((Y99+1),2),0)</f>
        <v/>
      </c>
      <c r="AD99" s="2">
        <f>ROUNDDOWN(LOG((Z99+1),2),0)</f>
        <v/>
      </c>
      <c r="AG99" s="75" t="n">
        <v>103</v>
      </c>
      <c r="AH99" s="9" t="n">
        <v>0</v>
      </c>
      <c r="AI99" s="9" t="n">
        <v>0</v>
      </c>
      <c r="AJ99" s="9" t="n">
        <v>0</v>
      </c>
      <c r="AQ99" s="75" t="n">
        <v>103</v>
      </c>
      <c r="AR99" s="75" t="n">
        <v>70.151</v>
      </c>
      <c r="AS99" s="75" t="n">
        <v>70.989</v>
      </c>
      <c r="AT99" s="75" t="n">
        <v>48.465</v>
      </c>
      <c r="AV99" s="75" t="n">
        <v>103</v>
      </c>
      <c r="AW99" s="75">
        <f>Beginning_stock!AT127</f>
        <v/>
      </c>
      <c r="AX99" s="75">
        <f>Beginning_stock!AU127</f>
        <v/>
      </c>
      <c r="AY99" s="75">
        <f>Beginning_stock!AV127</f>
        <v/>
      </c>
      <c r="BA99" s="75" t="n">
        <v>103</v>
      </c>
      <c r="BB99" s="75">
        <f>IF(Demand!AU116=Retailers_Cap!N99,"ret=0",(AW99/(Demand!AU116-Retailers_Cap!N99)))</f>
        <v/>
      </c>
      <c r="BC99" s="75">
        <f>IF(Demand!AV116=Retailers_Cap!O99,"ret=0",(AX99/(Demand!AV116-Retailers_Cap!O99)))</f>
        <v/>
      </c>
      <c r="BD99" s="75">
        <f>IF(Demand!AW116=Retailers_Cap!P99,"ret=0",(AY99/(Demand!AW116-Retailers_Cap!P99)))</f>
        <v/>
      </c>
      <c r="BF99" s="75" t="n">
        <v>103</v>
      </c>
      <c r="BG99" s="2">
        <f>IF(Demand!AU116&lt;=Retailers_Cap!N99,"ret=0",(IF(BB99&lt;=AR99+Distributors_Cap!$P$47,1,0)))</f>
        <v/>
      </c>
      <c r="BH99" s="2">
        <f>IF(Demand!AV116&lt;=Retailers_Cap!O99,"ret=0",(IF(BC99&lt;=AS99+Distributors_Cap!$P$47,1,0)))</f>
        <v/>
      </c>
      <c r="BI99" s="2">
        <f>IF(Demand!AW116&lt;=Retailers_Cap!P99,"ret=0",(IF(BD99&lt;=AT99+Distributors_Cap!$P$47,1,0)))</f>
        <v/>
      </c>
      <c r="BK99" s="75" t="n">
        <v>103</v>
      </c>
      <c r="BL99" s="75">
        <f>Retailers!BH98</f>
        <v/>
      </c>
      <c r="BM99" s="75">
        <f>Retailers!BI98</f>
        <v/>
      </c>
      <c r="BN99" s="75">
        <f>Retailers!BJ98</f>
        <v/>
      </c>
      <c r="BP99" s="75" t="n">
        <v>103</v>
      </c>
      <c r="BQ99" s="75">
        <f>#REF!</f>
        <v/>
      </c>
      <c r="BR99" s="75">
        <f>#REF!</f>
        <v/>
      </c>
      <c r="BS99" s="75">
        <f>#REF!</f>
        <v/>
      </c>
      <c r="BU99" s="75" t="n">
        <v>103</v>
      </c>
      <c r="BV99" s="75">
        <f>Retailers!AS98</f>
        <v/>
      </c>
      <c r="BW99" s="75">
        <f>Retailers!AT98</f>
        <v/>
      </c>
      <c r="BX99" s="75">
        <f>Retailers!AU98</f>
        <v/>
      </c>
      <c r="BZ99" s="75" t="n">
        <v>103</v>
      </c>
      <c r="CA99" s="75">
        <f>Results!#REF!</f>
        <v/>
      </c>
      <c r="CB99" s="75">
        <f>Results!#REF!</f>
        <v/>
      </c>
      <c r="CC99" s="75">
        <f>Results!#REF!</f>
        <v/>
      </c>
      <c r="CE99" s="75" t="n">
        <v>103</v>
      </c>
      <c r="CF99" s="75">
        <f>Retailers!BN98</f>
        <v/>
      </c>
      <c r="CG99" s="75">
        <f>Retailers!BO98</f>
        <v/>
      </c>
      <c r="CH99" s="75">
        <f>Retailers!BP98</f>
        <v/>
      </c>
      <c r="CJ99" s="75" t="n">
        <v>103</v>
      </c>
      <c r="CK99" s="75">
        <f>IF(BB99="ret=0",0,IF(BB99&gt;0,AR99+Distributors_Cap!$P$47-BB99,0))</f>
        <v/>
      </c>
      <c r="CL99" s="75">
        <f>IF(BC99="ret=0",0,IF(BC99&gt;0,AS99+Distributors_Cap!$P$47-BC99,0))</f>
        <v/>
      </c>
      <c r="CM99" s="75">
        <f>IF(BD99="ret=0",0,IF(BD99&gt;0,AT99+Distributors_Cap!$P$47-BD99,0))</f>
        <v/>
      </c>
    </row>
    <row r="100">
      <c r="G100" s="75" t="n">
        <v>104</v>
      </c>
      <c r="H100" s="75" t="n">
        <v>65.705</v>
      </c>
      <c r="I100" s="75" t="n">
        <v>53.26</v>
      </c>
      <c r="J100" s="75" t="n">
        <v>57.275</v>
      </c>
      <c r="L100" s="75">
        <f>TRUNC((_xlfn.NORM.INV((RAND()),$K$7,$K$8)),0)</f>
        <v/>
      </c>
      <c r="M100" s="75" t="n">
        <v>104</v>
      </c>
      <c r="N100" s="5" t="n">
        <v>17</v>
      </c>
      <c r="O100" s="5" t="n">
        <v>32</v>
      </c>
      <c r="P100" s="5" t="n">
        <v>32</v>
      </c>
      <c r="R100" s="2">
        <f>IF(N100&gt;Demand!AU117,0,(IF(((2*(Retailers!AJ99+Distributors_Cap!$P$47)-Retailers_Cap!$BB$7)*(Demand!AU117-Retailers_Cap!N100))&lt;0,0,((IF(BB100&gt;2*(Retailers!AJ99+Distributors_Cap!$P$47),0,(IF(BG100=0,ROUNDUP((2*(Retailers!AJ99+Distributors_Cap!$P$47)-BB100)^0.5,0),ROUNDUP((2*(Retailers!AJ99+Distributors_Cap!$P$47)-BB100)^0.5,0)))))))))</f>
        <v/>
      </c>
      <c r="S100" s="2">
        <f>IF(O100&gt;Demand!AV117,0,(IF(((2*(Retailers!AK99+Distributors_Cap!$P$47)-Retailers_Cap!$BB$7)*(Demand!AV117-Retailers_Cap!O100))&lt;0,0,((IF(BC100&gt;2*(Retailers!AK99+Distributors_Cap!$P$47),0,(IF(BH100=0,ROUNDUP((2*(Retailers!AK99+Distributors_Cap!$P$47)-BC100)^0.5,0),ROUNDUP((2*(Retailers!AK99+Distributors_Cap!$P$47)-BC100)^0.5,0)))))))))</f>
        <v/>
      </c>
      <c r="T100" s="2">
        <f>IF(P100&gt;Demand!AW117,0,(IF(((2*(Retailers!AL99+Distributors_Cap!$P$47)-Retailers_Cap!$BB$7)*(Demand!AW117-Retailers_Cap!P100))&lt;0,0,((IF(BD100&gt;2*(Retailers!AL99+Distributors_Cap!$P$47),0,(IF(BI100=0,ROUNDUP((2*(Retailers!AL99+Distributors_Cap!$P$47)-BD100)^0.5,0),ROUNDUP((2*(Retailers!AL99+Distributors_Cap!$P$47)-BD100)^0.5,0)))))))))</f>
        <v/>
      </c>
      <c r="W100" s="75" t="n">
        <v>104</v>
      </c>
      <c r="X100" s="9" t="n">
        <v>14</v>
      </c>
      <c r="Y100" s="9" t="n">
        <v>0</v>
      </c>
      <c r="Z100" s="9" t="n">
        <v>0</v>
      </c>
      <c r="AB100" s="2">
        <f>ROUNDDOWN(LOG((X100+1),2),0)</f>
        <v/>
      </c>
      <c r="AC100" s="2">
        <f>ROUNDDOWN(LOG((Y100+1),2),0)</f>
        <v/>
      </c>
      <c r="AD100" s="2">
        <f>ROUNDDOWN(LOG((Z100+1),2),0)</f>
        <v/>
      </c>
      <c r="AG100" s="75" t="n">
        <v>104</v>
      </c>
      <c r="AH100" s="9" t="n">
        <v>3</v>
      </c>
      <c r="AI100" s="9" t="n">
        <v>0</v>
      </c>
      <c r="AJ100" s="9" t="n">
        <v>0</v>
      </c>
      <c r="AQ100" s="75" t="n">
        <v>104</v>
      </c>
      <c r="AR100" s="75" t="n">
        <v>65.705</v>
      </c>
      <c r="AS100" s="75" t="n">
        <v>53.26</v>
      </c>
      <c r="AT100" s="75" t="n">
        <v>57.275</v>
      </c>
      <c r="AV100" s="75" t="n">
        <v>104</v>
      </c>
      <c r="AW100" s="75">
        <f>Beginning_stock!AT128</f>
        <v/>
      </c>
      <c r="AX100" s="75">
        <f>Beginning_stock!AU128</f>
        <v/>
      </c>
      <c r="AY100" s="75">
        <f>Beginning_stock!AV128</f>
        <v/>
      </c>
      <c r="BA100" s="75" t="n">
        <v>104</v>
      </c>
      <c r="BB100" s="75">
        <f>IF(Demand!AU117=Retailers_Cap!N100,"ret=0",(AW100/(Demand!AU117-Retailers_Cap!N100)))</f>
        <v/>
      </c>
      <c r="BC100" s="75">
        <f>IF(Demand!AV117=Retailers_Cap!O100,"ret=0",(AX100/(Demand!AV117-Retailers_Cap!O100)))</f>
        <v/>
      </c>
      <c r="BD100" s="75">
        <f>IF(Demand!AW117=Retailers_Cap!P100,"ret=0",(AY100/(Demand!AW117-Retailers_Cap!P100)))</f>
        <v/>
      </c>
      <c r="BF100" s="75" t="n">
        <v>104</v>
      </c>
      <c r="BG100" s="2">
        <f>IF(Demand!AU117&lt;=Retailers_Cap!N100,"ret=0",(IF(BB100&lt;=AR100+Distributors_Cap!$P$47,1,0)))</f>
        <v/>
      </c>
      <c r="BH100" s="2">
        <f>IF(Demand!AV117&lt;=Retailers_Cap!O100,"ret=0",(IF(BC100&lt;=AS100+Distributors_Cap!$P$47,1,0)))</f>
        <v/>
      </c>
      <c r="BI100" s="2">
        <f>IF(Demand!AW117&lt;=Retailers_Cap!P100,"ret=0",(IF(BD100&lt;=AT100+Distributors_Cap!$P$47,1,0)))</f>
        <v/>
      </c>
      <c r="BK100" s="75" t="n">
        <v>104</v>
      </c>
      <c r="BL100" s="75">
        <f>Retailers!BH99</f>
        <v/>
      </c>
      <c r="BM100" s="75">
        <f>Retailers!BI99</f>
        <v/>
      </c>
      <c r="BN100" s="75">
        <f>Retailers!BJ99</f>
        <v/>
      </c>
      <c r="BP100" s="75" t="n">
        <v>104</v>
      </c>
      <c r="BQ100" s="75">
        <f>#REF!</f>
        <v/>
      </c>
      <c r="BR100" s="75">
        <f>#REF!</f>
        <v/>
      </c>
      <c r="BS100" s="75">
        <f>#REF!</f>
        <v/>
      </c>
      <c r="BU100" s="75" t="n">
        <v>104</v>
      </c>
      <c r="BV100" s="75">
        <f>Retailers!AS99</f>
        <v/>
      </c>
      <c r="BW100" s="75">
        <f>Retailers!AT99</f>
        <v/>
      </c>
      <c r="BX100" s="75">
        <f>Retailers!AU99</f>
        <v/>
      </c>
      <c r="BZ100" s="75" t="n">
        <v>104</v>
      </c>
      <c r="CA100" s="75">
        <f>Results!#REF!</f>
        <v/>
      </c>
      <c r="CB100" s="75">
        <f>Results!#REF!</f>
        <v/>
      </c>
      <c r="CC100" s="75">
        <f>Results!#REF!</f>
        <v/>
      </c>
      <c r="CE100" s="75" t="n">
        <v>104</v>
      </c>
      <c r="CF100" s="75">
        <f>Retailers!BN99</f>
        <v/>
      </c>
      <c r="CG100" s="75">
        <f>Retailers!BO99</f>
        <v/>
      </c>
      <c r="CH100" s="75">
        <f>Retailers!BP99</f>
        <v/>
      </c>
      <c r="CJ100" s="75" t="n">
        <v>104</v>
      </c>
      <c r="CK100" s="75">
        <f>IF(BB100="ret=0",0,IF(BB100&gt;0,AR100+Distributors_Cap!$P$47-BB100,0))</f>
        <v/>
      </c>
      <c r="CL100" s="75">
        <f>IF(BC100="ret=0",0,IF(BC100&gt;0,AS100+Distributors_Cap!$P$47-BC100,0))</f>
        <v/>
      </c>
      <c r="CM100" s="75">
        <f>IF(BD100="ret=0",0,IF(BD100&gt;0,AT100+Distributors_Cap!$P$47-BD100,0))</f>
        <v/>
      </c>
    </row>
    <row r="101">
      <c r="G101" s="75" t="n">
        <v>105</v>
      </c>
      <c r="H101" s="75" t="n">
        <v>44.838</v>
      </c>
      <c r="I101" s="75" t="n">
        <v>88.941</v>
      </c>
      <c r="J101" s="75" t="n">
        <v>75.759</v>
      </c>
      <c r="L101" s="75">
        <f>TRUNC((_xlfn.NORM.INV((RAND()),$K$7,$K$8)),0)</f>
        <v/>
      </c>
      <c r="M101" s="75" t="n">
        <v>105</v>
      </c>
      <c r="N101" s="5" t="n">
        <v>21</v>
      </c>
      <c r="O101" s="5" t="n">
        <v>28</v>
      </c>
      <c r="P101" s="5" t="n">
        <v>28</v>
      </c>
      <c r="R101" s="2">
        <f>IF(N101&gt;Demand!AU118,0,(IF(((2*(Retailers!AJ100+Distributors_Cap!$P$47)-Retailers_Cap!$BB$7)*(Demand!AU118-Retailers_Cap!N101))&lt;0,0,((IF(BB101&gt;2*(Retailers!AJ100+Distributors_Cap!$P$47),0,(IF(BG101=0,ROUNDUP((2*(Retailers!AJ100+Distributors_Cap!$P$47)-BB101)^0.5,0),ROUNDUP((2*(Retailers!AJ100+Distributors_Cap!$P$47)-BB101)^0.5,0)))))))))</f>
        <v/>
      </c>
      <c r="S101" s="2">
        <f>IF(O101&gt;Demand!AV118,0,(IF(((2*(Retailers!AK100+Distributors_Cap!$P$47)-Retailers_Cap!$BB$7)*(Demand!AV118-Retailers_Cap!O101))&lt;0,0,((IF(BC101&gt;2*(Retailers!AK100+Distributors_Cap!$P$47),0,(IF(BH101=0,ROUNDUP((2*(Retailers!AK100+Distributors_Cap!$P$47)-BC101)^0.5,0),ROUNDUP((2*(Retailers!AK100+Distributors_Cap!$P$47)-BC101)^0.5,0)))))))))</f>
        <v/>
      </c>
      <c r="T101" s="2">
        <f>IF(P101&gt;Demand!AW118,0,(IF(((2*(Retailers!AL100+Distributors_Cap!$P$47)-Retailers_Cap!$BB$7)*(Demand!AW118-Retailers_Cap!P101))&lt;0,0,((IF(BD101&gt;2*(Retailers!AL100+Distributors_Cap!$P$47),0,(IF(BI101=0,ROUNDUP((2*(Retailers!AL100+Distributors_Cap!$P$47)-BD101)^0.5,0),ROUNDUP((2*(Retailers!AL100+Distributors_Cap!$P$47)-BD101)^0.5,0)))))))))</f>
        <v/>
      </c>
      <c r="W101" s="75" t="n">
        <v>105</v>
      </c>
      <c r="X101" s="9" t="n">
        <v>11</v>
      </c>
      <c r="Y101" s="9" t="n">
        <v>0</v>
      </c>
      <c r="Z101" s="9" t="n">
        <v>13</v>
      </c>
      <c r="AB101" s="2">
        <f>ROUNDDOWN(LOG((X101+1),2),0)</f>
        <v/>
      </c>
      <c r="AC101" s="2">
        <f>ROUNDDOWN(LOG((Y101+1),2),0)</f>
        <v/>
      </c>
      <c r="AD101" s="2">
        <f>ROUNDDOWN(LOG((Z101+1),2),0)</f>
        <v/>
      </c>
      <c r="AG101" s="75" t="n">
        <v>105</v>
      </c>
      <c r="AH101" s="9" t="n">
        <v>3</v>
      </c>
      <c r="AI101" s="9" t="n">
        <v>0</v>
      </c>
      <c r="AJ101" s="9" t="n">
        <v>3</v>
      </c>
      <c r="AQ101" s="75" t="n">
        <v>105</v>
      </c>
      <c r="AR101" s="75" t="n">
        <v>44.838</v>
      </c>
      <c r="AS101" s="75" t="n">
        <v>88.941</v>
      </c>
      <c r="AT101" s="75" t="n">
        <v>75.759</v>
      </c>
      <c r="AV101" s="75" t="n">
        <v>105</v>
      </c>
      <c r="AW101" s="75">
        <f>Beginning_stock!AT129</f>
        <v/>
      </c>
      <c r="AX101" s="75">
        <f>Beginning_stock!AU129</f>
        <v/>
      </c>
      <c r="AY101" s="75">
        <f>Beginning_stock!AV129</f>
        <v/>
      </c>
      <c r="BA101" s="75" t="n">
        <v>105</v>
      </c>
      <c r="BB101" s="75">
        <f>IF(Demand!AU118=Retailers_Cap!N101,"ret=0",(AW101/(Demand!AU118-Retailers_Cap!N101)))</f>
        <v/>
      </c>
      <c r="BC101" s="75">
        <f>IF(Demand!AV118=Retailers_Cap!O101,"ret=0",(AX101/(Demand!AV118-Retailers_Cap!O101)))</f>
        <v/>
      </c>
      <c r="BD101" s="75">
        <f>IF(Demand!AW118=Retailers_Cap!P101,"ret=0",(AY101/(Demand!AW118-Retailers_Cap!P101)))</f>
        <v/>
      </c>
      <c r="BF101" s="75" t="n">
        <v>105</v>
      </c>
      <c r="BG101" s="2">
        <f>IF(Demand!AU118&lt;=Retailers_Cap!N101,"ret=0",(IF(BB101&lt;=AR101+Distributors_Cap!$P$47,1,0)))</f>
        <v/>
      </c>
      <c r="BH101" s="2">
        <f>IF(Demand!AV118&lt;=Retailers_Cap!O101,"ret=0",(IF(BC101&lt;=AS101+Distributors_Cap!$P$47,1,0)))</f>
        <v/>
      </c>
      <c r="BI101" s="2">
        <f>IF(Demand!AW118&lt;=Retailers_Cap!P101,"ret=0",(IF(BD101&lt;=AT101+Distributors_Cap!$P$47,1,0)))</f>
        <v/>
      </c>
      <c r="BK101" s="75" t="n">
        <v>105</v>
      </c>
      <c r="BL101" s="75">
        <f>Retailers!BH100</f>
        <v/>
      </c>
      <c r="BM101" s="75">
        <f>Retailers!BI100</f>
        <v/>
      </c>
      <c r="BN101" s="75">
        <f>Retailers!BJ100</f>
        <v/>
      </c>
      <c r="BP101" s="75" t="n">
        <v>105</v>
      </c>
      <c r="BQ101" s="75">
        <f>#REF!</f>
        <v/>
      </c>
      <c r="BR101" s="75">
        <f>#REF!</f>
        <v/>
      </c>
      <c r="BS101" s="75">
        <f>#REF!</f>
        <v/>
      </c>
      <c r="BU101" s="75" t="n">
        <v>105</v>
      </c>
      <c r="BV101" s="75">
        <f>Retailers!AS100</f>
        <v/>
      </c>
      <c r="BW101" s="75">
        <f>Retailers!AT100</f>
        <v/>
      </c>
      <c r="BX101" s="75">
        <f>Retailers!AU100</f>
        <v/>
      </c>
      <c r="BZ101" s="75" t="n">
        <v>105</v>
      </c>
      <c r="CA101" s="75">
        <f>Results!#REF!</f>
        <v/>
      </c>
      <c r="CB101" s="75">
        <f>Results!#REF!</f>
        <v/>
      </c>
      <c r="CC101" s="75">
        <f>Results!#REF!</f>
        <v/>
      </c>
      <c r="CE101" s="75" t="n">
        <v>105</v>
      </c>
      <c r="CF101" s="75">
        <f>Retailers!BN100</f>
        <v/>
      </c>
      <c r="CG101" s="75">
        <f>Retailers!BO100</f>
        <v/>
      </c>
      <c r="CH101" s="75">
        <f>Retailers!BP100</f>
        <v/>
      </c>
      <c r="CJ101" s="75" t="n">
        <v>105</v>
      </c>
      <c r="CK101" s="75">
        <f>IF(BB101="ret=0",0,IF(BB101&gt;0,AR101+Distributors_Cap!$P$47-BB101,0))</f>
        <v/>
      </c>
      <c r="CL101" s="75">
        <f>IF(BC101="ret=0",0,IF(BC101&gt;0,AS101+Distributors_Cap!$P$47-BC101,0))</f>
        <v/>
      </c>
      <c r="CM101" s="75">
        <f>IF(BD101="ret=0",0,IF(BD101&gt;0,AT101+Distributors_Cap!$P$47-BD101,0))</f>
        <v/>
      </c>
    </row>
    <row r="102">
      <c r="G102" s="75" t="n">
        <v>106</v>
      </c>
      <c r="H102" s="75" t="n">
        <v>62.211</v>
      </c>
      <c r="I102" s="75" t="n">
        <v>61.595</v>
      </c>
      <c r="J102" s="75" t="n">
        <v>54.801</v>
      </c>
      <c r="L102" s="75">
        <f>TRUNC((_xlfn.NORM.INV((RAND()),$K$7,$K$8)),0)</f>
        <v/>
      </c>
      <c r="M102" s="75" t="n">
        <v>106</v>
      </c>
      <c r="N102" s="5" t="n">
        <v>23</v>
      </c>
      <c r="O102" s="5" t="n">
        <v>39</v>
      </c>
      <c r="P102" s="5" t="n">
        <v>27</v>
      </c>
      <c r="R102" s="2">
        <f>IF(N102&gt;Demand!AU119,0,(IF(((2*(Retailers!AJ101+Distributors_Cap!$P$47)-Retailers_Cap!$BB$7)*(Demand!AU119-Retailers_Cap!N102))&lt;0,0,((IF(BB102&gt;2*(Retailers!AJ101+Distributors_Cap!$P$47),0,(IF(BG102=0,ROUNDUP((2*(Retailers!AJ101+Distributors_Cap!$P$47)-BB102)^0.5,0),ROUNDUP((2*(Retailers!AJ101+Distributors_Cap!$P$47)-BB102)^0.5,0)))))))))</f>
        <v/>
      </c>
      <c r="S102" s="2">
        <f>IF(O102&gt;Demand!AV119,0,(IF(((2*(Retailers!AK101+Distributors_Cap!$P$47)-Retailers_Cap!$BB$7)*(Demand!AV119-Retailers_Cap!O102))&lt;0,0,((IF(BC102&gt;2*(Retailers!AK101+Distributors_Cap!$P$47),0,(IF(BH102=0,ROUNDUP((2*(Retailers!AK101+Distributors_Cap!$P$47)-BC102)^0.5,0),ROUNDUP((2*(Retailers!AK101+Distributors_Cap!$P$47)-BC102)^0.5,0)))))))))</f>
        <v/>
      </c>
      <c r="T102" s="2">
        <f>IF(P102&gt;Demand!AW119,0,(IF(((2*(Retailers!AL101+Distributors_Cap!$P$47)-Retailers_Cap!$BB$7)*(Demand!AW119-Retailers_Cap!P102))&lt;0,0,((IF(BD102&gt;2*(Retailers!AL101+Distributors_Cap!$P$47),0,(IF(BI102=0,ROUNDUP((2*(Retailers!AL101+Distributors_Cap!$P$47)-BD102)^0.5,0),ROUNDUP((2*(Retailers!AL101+Distributors_Cap!$P$47)-BD102)^0.5,0)))))))))</f>
        <v/>
      </c>
      <c r="W102" s="75" t="n">
        <v>106</v>
      </c>
      <c r="X102" s="9" t="n">
        <v>13</v>
      </c>
      <c r="Y102" s="9" t="n">
        <v>0</v>
      </c>
      <c r="Z102" s="9" t="n">
        <v>4</v>
      </c>
      <c r="AB102" s="2">
        <f>ROUNDDOWN(LOG((X102+1),2),0)</f>
        <v/>
      </c>
      <c r="AC102" s="2">
        <f>ROUNDDOWN(LOG((Y102+1),2),0)</f>
        <v/>
      </c>
      <c r="AD102" s="2">
        <f>ROUNDDOWN(LOG((Z102+1),2),0)</f>
        <v/>
      </c>
      <c r="AG102" s="75" t="n">
        <v>106</v>
      </c>
      <c r="AH102" s="9" t="n">
        <v>3</v>
      </c>
      <c r="AI102" s="9" t="n">
        <v>0</v>
      </c>
      <c r="AJ102" s="9" t="n">
        <v>2</v>
      </c>
      <c r="AQ102" s="75" t="n">
        <v>106</v>
      </c>
      <c r="AR102" s="75" t="n">
        <v>62.211</v>
      </c>
      <c r="AS102" s="75" t="n">
        <v>61.595</v>
      </c>
      <c r="AT102" s="75" t="n">
        <v>54.801</v>
      </c>
      <c r="AV102" s="75" t="n">
        <v>106</v>
      </c>
      <c r="AW102" s="75">
        <f>Beginning_stock!AT130</f>
        <v/>
      </c>
      <c r="AX102" s="75">
        <f>Beginning_stock!AU130</f>
        <v/>
      </c>
      <c r="AY102" s="75">
        <f>Beginning_stock!AV130</f>
        <v/>
      </c>
      <c r="BA102" s="75" t="n">
        <v>106</v>
      </c>
      <c r="BB102" s="75">
        <f>IF(Demand!AU119=Retailers_Cap!N102,"ret=0",(AW102/(Demand!AU119-Retailers_Cap!N102)))</f>
        <v/>
      </c>
      <c r="BC102" s="75">
        <f>IF(Demand!AV119=Retailers_Cap!O102,"ret=0",(AX102/(Demand!AV119-Retailers_Cap!O102)))</f>
        <v/>
      </c>
      <c r="BD102" s="75">
        <f>IF(Demand!AW119=Retailers_Cap!P102,"ret=0",(AY102/(Demand!AW119-Retailers_Cap!P102)))</f>
        <v/>
      </c>
      <c r="BF102" s="75" t="n">
        <v>106</v>
      </c>
      <c r="BG102" s="2">
        <f>IF(Demand!AU119&lt;=Retailers_Cap!N102,"ret=0",(IF(BB102&lt;=AR102+Distributors_Cap!$P$47,1,0)))</f>
        <v/>
      </c>
      <c r="BH102" s="2">
        <f>IF(Demand!AV119&lt;=Retailers_Cap!O102,"ret=0",(IF(BC102&lt;=AS102+Distributors_Cap!$P$47,1,0)))</f>
        <v/>
      </c>
      <c r="BI102" s="2">
        <f>IF(Demand!AW119&lt;=Retailers_Cap!P102,"ret=0",(IF(BD102&lt;=AT102+Distributors_Cap!$P$47,1,0)))</f>
        <v/>
      </c>
      <c r="BK102" s="75" t="n">
        <v>106</v>
      </c>
      <c r="BL102" s="75">
        <f>Retailers!BH101</f>
        <v/>
      </c>
      <c r="BM102" s="75">
        <f>Retailers!BI101</f>
        <v/>
      </c>
      <c r="BN102" s="75">
        <f>Retailers!BJ101</f>
        <v/>
      </c>
      <c r="BP102" s="75" t="n">
        <v>106</v>
      </c>
      <c r="BQ102" s="75">
        <f>#REF!</f>
        <v/>
      </c>
      <c r="BR102" s="75">
        <f>#REF!</f>
        <v/>
      </c>
      <c r="BS102" s="75">
        <f>#REF!</f>
        <v/>
      </c>
      <c r="BU102" s="75" t="n">
        <v>106</v>
      </c>
      <c r="BV102" s="75">
        <f>Retailers!AS101</f>
        <v/>
      </c>
      <c r="BW102" s="75">
        <f>Retailers!AT101</f>
        <v/>
      </c>
      <c r="BX102" s="75">
        <f>Retailers!AU101</f>
        <v/>
      </c>
      <c r="BZ102" s="75" t="n">
        <v>106</v>
      </c>
      <c r="CA102" s="75">
        <f>Results!#REF!</f>
        <v/>
      </c>
      <c r="CB102" s="75">
        <f>Results!#REF!</f>
        <v/>
      </c>
      <c r="CC102" s="75">
        <f>Results!#REF!</f>
        <v/>
      </c>
      <c r="CE102" s="75" t="n">
        <v>106</v>
      </c>
      <c r="CF102" s="75">
        <f>Retailers!BN101</f>
        <v/>
      </c>
      <c r="CG102" s="75">
        <f>Retailers!BO101</f>
        <v/>
      </c>
      <c r="CH102" s="75">
        <f>Retailers!BP101</f>
        <v/>
      </c>
      <c r="CJ102" s="75" t="n">
        <v>106</v>
      </c>
      <c r="CK102" s="75">
        <f>IF(BB102="ret=0",0,IF(BB102&gt;0,AR102+Distributors_Cap!$P$47-BB102,0))</f>
        <v/>
      </c>
      <c r="CL102" s="75">
        <f>IF(BC102="ret=0",0,IF(BC102&gt;0,AS102+Distributors_Cap!$P$47-BC102,0))</f>
        <v/>
      </c>
      <c r="CM102" s="75">
        <f>IF(BD102="ret=0",0,IF(BD102&gt;0,AT102+Distributors_Cap!$P$47-BD102,0))</f>
        <v/>
      </c>
    </row>
    <row r="103">
      <c r="G103" s="75" t="n">
        <v>107</v>
      </c>
      <c r="H103" s="75" t="n">
        <v>64.729</v>
      </c>
      <c r="I103" s="75" t="n">
        <v>52.756</v>
      </c>
      <c r="J103" s="75" t="n">
        <v>66.333</v>
      </c>
      <c r="L103" s="75">
        <f>TRUNC((_xlfn.NORM.INV((RAND()),$K$7,$K$8)),0)</f>
        <v/>
      </c>
      <c r="M103" s="75" t="n">
        <v>107</v>
      </c>
      <c r="N103" s="5" t="n">
        <v>25</v>
      </c>
      <c r="O103" s="5" t="n">
        <v>22</v>
      </c>
      <c r="P103" s="5" t="n">
        <v>27</v>
      </c>
      <c r="R103" s="2">
        <f>IF(N103&gt;Demand!AU120,0,(IF(((2*(Retailers!AJ102+Distributors_Cap!$P$47)-Retailers_Cap!$BB$7)*(Demand!AU120-Retailers_Cap!N103))&lt;0,0,((IF(BB103&gt;2*(Retailers!AJ102+Distributors_Cap!$P$47),0,(IF(BG103=0,ROUNDUP((2*(Retailers!AJ102+Distributors_Cap!$P$47)-BB103)^0.5,0),ROUNDUP((2*(Retailers!AJ102+Distributors_Cap!$P$47)-BB103)^0.5,0)))))))))</f>
        <v/>
      </c>
      <c r="S103" s="2">
        <f>IF(O103&gt;Demand!AV120,0,(IF(((2*(Retailers!AK102+Distributors_Cap!$P$47)-Retailers_Cap!$BB$7)*(Demand!AV120-Retailers_Cap!O103))&lt;0,0,((IF(BC103&gt;2*(Retailers!AK102+Distributors_Cap!$P$47),0,(IF(BH103=0,ROUNDUP((2*(Retailers!AK102+Distributors_Cap!$P$47)-BC103)^0.5,0),ROUNDUP((2*(Retailers!AK102+Distributors_Cap!$P$47)-BC103)^0.5,0)))))))))</f>
        <v/>
      </c>
      <c r="T103" s="2">
        <f>IF(P103&gt;Demand!AW120,0,(IF(((2*(Retailers!AL102+Distributors_Cap!$P$47)-Retailers_Cap!$BB$7)*(Demand!AW120-Retailers_Cap!P103))&lt;0,0,((IF(BD103&gt;2*(Retailers!AL102+Distributors_Cap!$P$47),0,(IF(BI103=0,ROUNDUP((2*(Retailers!AL102+Distributors_Cap!$P$47)-BD103)^0.5,0),ROUNDUP((2*(Retailers!AL102+Distributors_Cap!$P$47)-BD103)^0.5,0)))))))))</f>
        <v/>
      </c>
      <c r="W103" s="75" t="n">
        <v>107</v>
      </c>
      <c r="X103" s="9" t="n">
        <v>0</v>
      </c>
      <c r="Y103" s="9" t="n">
        <v>0</v>
      </c>
      <c r="Z103" s="9" t="n">
        <v>13</v>
      </c>
      <c r="AB103" s="2">
        <f>ROUNDDOWN(LOG((X103+1),2),0)</f>
        <v/>
      </c>
      <c r="AC103" s="2">
        <f>ROUNDDOWN(LOG((Y103+1),2),0)</f>
        <v/>
      </c>
      <c r="AD103" s="2">
        <f>ROUNDDOWN(LOG((Z103+1),2),0)</f>
        <v/>
      </c>
      <c r="AG103" s="75" t="n">
        <v>107</v>
      </c>
      <c r="AH103" s="9" t="n">
        <v>0</v>
      </c>
      <c r="AI103" s="9" t="n">
        <v>0</v>
      </c>
      <c r="AJ103" s="9" t="n">
        <v>3</v>
      </c>
      <c r="AQ103" s="75" t="n">
        <v>107</v>
      </c>
      <c r="AR103" s="75" t="n">
        <v>64.729</v>
      </c>
      <c r="AS103" s="75" t="n">
        <v>52.756</v>
      </c>
      <c r="AT103" s="75" t="n">
        <v>66.333</v>
      </c>
      <c r="AV103" s="75" t="n">
        <v>107</v>
      </c>
      <c r="AW103" s="75">
        <f>Beginning_stock!AT131</f>
        <v/>
      </c>
      <c r="AX103" s="75">
        <f>Beginning_stock!AU131</f>
        <v/>
      </c>
      <c r="AY103" s="75">
        <f>Beginning_stock!AV131</f>
        <v/>
      </c>
      <c r="BA103" s="75" t="n">
        <v>107</v>
      </c>
      <c r="BB103" s="75">
        <f>IF(Demand!AU120=Retailers_Cap!N103,"ret=0",(AW103/(Demand!AU120-Retailers_Cap!N103)))</f>
        <v/>
      </c>
      <c r="BC103" s="75">
        <f>IF(Demand!AV120=Retailers_Cap!O103,"ret=0",(AX103/(Demand!AV120-Retailers_Cap!O103)))</f>
        <v/>
      </c>
      <c r="BD103" s="75">
        <f>IF(Demand!AW120=Retailers_Cap!P103,"ret=0",(AY103/(Demand!AW120-Retailers_Cap!P103)))</f>
        <v/>
      </c>
      <c r="BF103" s="75" t="n">
        <v>107</v>
      </c>
      <c r="BG103" s="2">
        <f>IF(Demand!AU120&lt;=Retailers_Cap!N103,"ret=0",(IF(BB103&lt;=AR103+Distributors_Cap!$P$47,1,0)))</f>
        <v/>
      </c>
      <c r="BH103" s="2">
        <f>IF(Demand!AV120&lt;=Retailers_Cap!O103,"ret=0",(IF(BC103&lt;=AS103+Distributors_Cap!$P$47,1,0)))</f>
        <v/>
      </c>
      <c r="BI103" s="2">
        <f>IF(Demand!AW120&lt;=Retailers_Cap!P103,"ret=0",(IF(BD103&lt;=AT103+Distributors_Cap!$P$47,1,0)))</f>
        <v/>
      </c>
      <c r="BK103" s="75" t="n">
        <v>107</v>
      </c>
      <c r="BL103" s="75">
        <f>Retailers!BH102</f>
        <v/>
      </c>
      <c r="BM103" s="75">
        <f>Retailers!BI102</f>
        <v/>
      </c>
      <c r="BN103" s="75">
        <f>Retailers!BJ102</f>
        <v/>
      </c>
      <c r="BP103" s="75" t="n">
        <v>107</v>
      </c>
      <c r="BQ103" s="75">
        <f>#REF!</f>
        <v/>
      </c>
      <c r="BR103" s="75">
        <f>#REF!</f>
        <v/>
      </c>
      <c r="BS103" s="75">
        <f>#REF!</f>
        <v/>
      </c>
      <c r="BU103" s="75" t="n">
        <v>107</v>
      </c>
      <c r="BV103" s="75">
        <f>Retailers!AS102</f>
        <v/>
      </c>
      <c r="BW103" s="75">
        <f>Retailers!AT102</f>
        <v/>
      </c>
      <c r="BX103" s="75">
        <f>Retailers!AU102</f>
        <v/>
      </c>
      <c r="BZ103" s="75" t="n">
        <v>107</v>
      </c>
      <c r="CA103" s="75">
        <f>Results!#REF!</f>
        <v/>
      </c>
      <c r="CB103" s="75">
        <f>Results!#REF!</f>
        <v/>
      </c>
      <c r="CC103" s="75">
        <f>Results!#REF!</f>
        <v/>
      </c>
      <c r="CE103" s="75" t="n">
        <v>107</v>
      </c>
      <c r="CF103" s="75">
        <f>Retailers!BN102</f>
        <v/>
      </c>
      <c r="CG103" s="75">
        <f>Retailers!BO102</f>
        <v/>
      </c>
      <c r="CH103" s="75">
        <f>Retailers!BP102</f>
        <v/>
      </c>
      <c r="CJ103" s="75" t="n">
        <v>107</v>
      </c>
      <c r="CK103" s="75">
        <f>IF(BB103="ret=0",0,IF(BB103&gt;0,AR103+Distributors_Cap!$P$47-BB103,0))</f>
        <v/>
      </c>
      <c r="CL103" s="75">
        <f>IF(BC103="ret=0",0,IF(BC103&gt;0,AS103+Distributors_Cap!$P$47-BC103,0))</f>
        <v/>
      </c>
      <c r="CM103" s="75">
        <f>IF(BD103="ret=0",0,IF(BD103&gt;0,AT103+Distributors_Cap!$P$47-BD103,0))</f>
        <v/>
      </c>
    </row>
    <row r="104">
      <c r="G104" s="75" t="n">
        <v>108</v>
      </c>
      <c r="H104" s="75" t="n">
        <v>60.731</v>
      </c>
      <c r="I104" s="75" t="n">
        <v>61.965</v>
      </c>
      <c r="J104" s="75" t="n">
        <v>77.563</v>
      </c>
      <c r="L104" s="75">
        <f>TRUNC((_xlfn.NORM.INV((RAND()),$K$7,$K$8)),0)</f>
        <v/>
      </c>
      <c r="M104" s="75" t="n">
        <v>108</v>
      </c>
      <c r="N104" s="5" t="n">
        <v>35</v>
      </c>
      <c r="O104" s="5" t="n">
        <v>21</v>
      </c>
      <c r="P104" s="5" t="n">
        <v>26</v>
      </c>
      <c r="R104" s="2">
        <f>IF(N104&gt;Demand!AU121,0,(IF(((2*(Retailers!AJ103+Distributors_Cap!$P$47)-Retailers_Cap!$BB$7)*(Demand!AU121-Retailers_Cap!N104))&lt;0,0,((IF(BB104&gt;2*(Retailers!AJ103+Distributors_Cap!$P$47),0,(IF(BG104=0,ROUNDUP((2*(Retailers!AJ103+Distributors_Cap!$P$47)-BB104)^0.5,0),ROUNDUP((2*(Retailers!AJ103+Distributors_Cap!$P$47)-BB104)^0.5,0)))))))))</f>
        <v/>
      </c>
      <c r="S104" s="2">
        <f>IF(O104&gt;Demand!AV121,0,(IF(((2*(Retailers!AK103+Distributors_Cap!$P$47)-Retailers_Cap!$BB$7)*(Demand!AV121-Retailers_Cap!O104))&lt;0,0,((IF(BC104&gt;2*(Retailers!AK103+Distributors_Cap!$P$47),0,(IF(BH104=0,ROUNDUP((2*(Retailers!AK103+Distributors_Cap!$P$47)-BC104)^0.5,0),ROUNDUP((2*(Retailers!AK103+Distributors_Cap!$P$47)-BC104)^0.5,0)))))))))</f>
        <v/>
      </c>
      <c r="T104" s="2">
        <f>IF(P104&gt;Demand!AW121,0,(IF(((2*(Retailers!AL103+Distributors_Cap!$P$47)-Retailers_Cap!$BB$7)*(Demand!AW121-Retailers_Cap!P104))&lt;0,0,((IF(BD104&gt;2*(Retailers!AL103+Distributors_Cap!$P$47),0,(IF(BI104=0,ROUNDUP((2*(Retailers!AL103+Distributors_Cap!$P$47)-BD104)^0.5,0),ROUNDUP((2*(Retailers!AL103+Distributors_Cap!$P$47)-BD104)^0.5,0)))))))))</f>
        <v/>
      </c>
      <c r="W104" s="75" t="n">
        <v>108</v>
      </c>
      <c r="X104" s="9" t="n">
        <v>0</v>
      </c>
      <c r="Y104" s="9" t="n">
        <v>0</v>
      </c>
      <c r="Z104" s="9" t="n">
        <v>0</v>
      </c>
      <c r="AB104" s="2">
        <f>ROUNDDOWN(LOG((X104+1),2),0)</f>
        <v/>
      </c>
      <c r="AC104" s="2">
        <f>ROUNDDOWN(LOG((Y104+1),2),0)</f>
        <v/>
      </c>
      <c r="AD104" s="2">
        <f>ROUNDDOWN(LOG((Z104+1),2),0)</f>
        <v/>
      </c>
      <c r="AG104" s="75" t="n">
        <v>108</v>
      </c>
      <c r="AH104" s="9" t="n">
        <v>0</v>
      </c>
      <c r="AI104" s="9" t="n">
        <v>0</v>
      </c>
      <c r="AJ104" s="9" t="n">
        <v>0</v>
      </c>
      <c r="AQ104" s="75" t="n">
        <v>108</v>
      </c>
      <c r="AR104" s="75" t="n">
        <v>60.731</v>
      </c>
      <c r="AS104" s="75" t="n">
        <v>61.965</v>
      </c>
      <c r="AT104" s="75" t="n">
        <v>77.563</v>
      </c>
      <c r="AV104" s="75" t="n">
        <v>108</v>
      </c>
      <c r="AW104" s="75">
        <f>Beginning_stock!AT132</f>
        <v/>
      </c>
      <c r="AX104" s="75">
        <f>Beginning_stock!AU132</f>
        <v/>
      </c>
      <c r="AY104" s="75">
        <f>Beginning_stock!AV132</f>
        <v/>
      </c>
      <c r="BA104" s="75" t="n">
        <v>108</v>
      </c>
      <c r="BB104" s="75">
        <f>IF(Demand!AU121=Retailers_Cap!N104,"ret=0",(AW104/(Demand!AU121-Retailers_Cap!N104)))</f>
        <v/>
      </c>
      <c r="BC104" s="75">
        <f>IF(Demand!AV121=Retailers_Cap!O104,"ret=0",(AX104/(Demand!AV121-Retailers_Cap!O104)))</f>
        <v/>
      </c>
      <c r="BD104" s="75">
        <f>IF(Demand!AW121=Retailers_Cap!P104,"ret=0",(AY104/(Demand!AW121-Retailers_Cap!P104)))</f>
        <v/>
      </c>
      <c r="BF104" s="75" t="n">
        <v>108</v>
      </c>
      <c r="BG104" s="2">
        <f>IF(Demand!AU121&lt;=Retailers_Cap!N104,"ret=0",(IF(BB104&lt;=AR104+Distributors_Cap!$P$47,1,0)))</f>
        <v/>
      </c>
      <c r="BH104" s="2">
        <f>IF(Demand!AV121&lt;=Retailers_Cap!O104,"ret=0",(IF(BC104&lt;=AS104+Distributors_Cap!$P$47,1,0)))</f>
        <v/>
      </c>
      <c r="BI104" s="2">
        <f>IF(Demand!AW121&lt;=Retailers_Cap!P104,"ret=0",(IF(BD104&lt;=AT104+Distributors_Cap!$P$47,1,0)))</f>
        <v/>
      </c>
      <c r="BK104" s="75" t="n">
        <v>108</v>
      </c>
      <c r="BL104" s="75">
        <f>Retailers!BH103</f>
        <v/>
      </c>
      <c r="BM104" s="75">
        <f>Retailers!BI103</f>
        <v/>
      </c>
      <c r="BN104" s="75">
        <f>Retailers!BJ103</f>
        <v/>
      </c>
      <c r="BP104" s="75" t="n">
        <v>108</v>
      </c>
      <c r="BQ104" s="75">
        <f>#REF!</f>
        <v/>
      </c>
      <c r="BR104" s="75">
        <f>#REF!</f>
        <v/>
      </c>
      <c r="BS104" s="75">
        <f>#REF!</f>
        <v/>
      </c>
      <c r="BU104" s="75" t="n">
        <v>108</v>
      </c>
      <c r="BV104" s="75">
        <f>Retailers!AS103</f>
        <v/>
      </c>
      <c r="BW104" s="75">
        <f>Retailers!AT103</f>
        <v/>
      </c>
      <c r="BX104" s="75">
        <f>Retailers!AU103</f>
        <v/>
      </c>
      <c r="BZ104" s="75" t="n">
        <v>108</v>
      </c>
      <c r="CA104" s="75">
        <f>Results!#REF!</f>
        <v/>
      </c>
      <c r="CB104" s="75">
        <f>Results!#REF!</f>
        <v/>
      </c>
      <c r="CC104" s="75">
        <f>Results!#REF!</f>
        <v/>
      </c>
      <c r="CE104" s="75" t="n">
        <v>108</v>
      </c>
      <c r="CF104" s="75">
        <f>Retailers!BN103</f>
        <v/>
      </c>
      <c r="CG104" s="75">
        <f>Retailers!BO103</f>
        <v/>
      </c>
      <c r="CH104" s="75">
        <f>Retailers!BP103</f>
        <v/>
      </c>
      <c r="CJ104" s="75" t="n">
        <v>108</v>
      </c>
      <c r="CK104" s="75">
        <f>IF(BB104="ret=0",0,IF(BB104&gt;0,AR104+Distributors_Cap!$P$47-BB104,0))</f>
        <v/>
      </c>
      <c r="CL104" s="75">
        <f>IF(BC104="ret=0",0,IF(BC104&gt;0,AS104+Distributors_Cap!$P$47-BC104,0))</f>
        <v/>
      </c>
      <c r="CM104" s="75">
        <f>IF(BD104="ret=0",0,IF(BD104&gt;0,AT104+Distributors_Cap!$P$47-BD104,0))</f>
        <v/>
      </c>
    </row>
    <row r="105">
      <c r="G105" s="75" t="n">
        <v>109</v>
      </c>
      <c r="H105" s="75" t="n">
        <v>54.905</v>
      </c>
      <c r="I105" s="75" t="n">
        <v>45.5</v>
      </c>
      <c r="J105" s="75" t="n">
        <v>42.069</v>
      </c>
      <c r="L105" s="75">
        <f>TRUNC((_xlfn.NORM.INV((RAND()),$K$7,$K$8)),0)</f>
        <v/>
      </c>
      <c r="M105" s="75" t="n">
        <v>109</v>
      </c>
      <c r="N105" s="5" t="n">
        <v>30</v>
      </c>
      <c r="O105" s="5" t="n">
        <v>33</v>
      </c>
      <c r="P105" s="5" t="n">
        <v>28</v>
      </c>
      <c r="R105" s="2">
        <f>IF(N105&gt;Demand!AU122,0,(IF(((2*(Retailers!AJ104+Distributors_Cap!$P$47)-Retailers_Cap!$BB$7)*(Demand!AU122-Retailers_Cap!N105))&lt;0,0,((IF(BB105&gt;2*(Retailers!AJ104+Distributors_Cap!$P$47),0,(IF(BG105=0,ROUNDUP((2*(Retailers!AJ104+Distributors_Cap!$P$47)-BB105)^0.5,0),ROUNDUP((2*(Retailers!AJ104+Distributors_Cap!$P$47)-BB105)^0.5,0)))))))))</f>
        <v/>
      </c>
      <c r="S105" s="2">
        <f>IF(O105&gt;Demand!AV122,0,(IF(((2*(Retailers!AK104+Distributors_Cap!$P$47)-Retailers_Cap!$BB$7)*(Demand!AV122-Retailers_Cap!O105))&lt;0,0,((IF(BC105&gt;2*(Retailers!AK104+Distributors_Cap!$P$47),0,(IF(BH105=0,ROUNDUP((2*(Retailers!AK104+Distributors_Cap!$P$47)-BC105)^0.5,0),ROUNDUP((2*(Retailers!AK104+Distributors_Cap!$P$47)-BC105)^0.5,0)))))))))</f>
        <v/>
      </c>
      <c r="T105" s="2">
        <f>IF(P105&gt;Demand!AW122,0,(IF(((2*(Retailers!AL104+Distributors_Cap!$P$47)-Retailers_Cap!$BB$7)*(Demand!AW122-Retailers_Cap!P105))&lt;0,0,((IF(BD105&gt;2*(Retailers!AL104+Distributors_Cap!$P$47),0,(IF(BI105=0,ROUNDUP((2*(Retailers!AL104+Distributors_Cap!$P$47)-BD105)^0.5,0),ROUNDUP((2*(Retailers!AL104+Distributors_Cap!$P$47)-BD105)^0.5,0)))))))))</f>
        <v/>
      </c>
      <c r="W105" s="75" t="n">
        <v>109</v>
      </c>
      <c r="X105" s="9" t="n">
        <v>12</v>
      </c>
      <c r="Y105" s="9" t="n">
        <v>0</v>
      </c>
      <c r="Z105" s="9" t="n">
        <v>0</v>
      </c>
      <c r="AB105" s="2">
        <f>ROUNDDOWN(LOG((X105+1),2),0)</f>
        <v/>
      </c>
      <c r="AC105" s="2">
        <f>ROUNDDOWN(LOG((Y105+1),2),0)</f>
        <v/>
      </c>
      <c r="AD105" s="2">
        <f>ROUNDDOWN(LOG((Z105+1),2),0)</f>
        <v/>
      </c>
      <c r="AG105" s="75" t="n">
        <v>109</v>
      </c>
      <c r="AH105" s="9" t="n">
        <v>3</v>
      </c>
      <c r="AI105" s="9" t="n">
        <v>0</v>
      </c>
      <c r="AJ105" s="9" t="n">
        <v>0</v>
      </c>
      <c r="AQ105" s="75" t="n">
        <v>109</v>
      </c>
      <c r="AR105" s="75" t="n">
        <v>54.905</v>
      </c>
      <c r="AS105" s="75" t="n">
        <v>45.5</v>
      </c>
      <c r="AT105" s="75" t="n">
        <v>42.069</v>
      </c>
      <c r="AV105" s="75" t="n">
        <v>109</v>
      </c>
      <c r="AW105" s="75">
        <f>Beginning_stock!AT133</f>
        <v/>
      </c>
      <c r="AX105" s="75">
        <f>Beginning_stock!AU133</f>
        <v/>
      </c>
      <c r="AY105" s="75">
        <f>Beginning_stock!AV133</f>
        <v/>
      </c>
      <c r="BA105" s="75" t="n">
        <v>109</v>
      </c>
      <c r="BB105" s="75">
        <f>IF(Demand!AU122=Retailers_Cap!N105,"ret=0",(AW105/(Demand!AU122-Retailers_Cap!N105)))</f>
        <v/>
      </c>
      <c r="BC105" s="75">
        <f>IF(Demand!AV122=Retailers_Cap!O105,"ret=0",(AX105/(Demand!AV122-Retailers_Cap!O105)))</f>
        <v/>
      </c>
      <c r="BD105" s="75">
        <f>IF(Demand!AW122=Retailers_Cap!P105,"ret=0",(AY105/(Demand!AW122-Retailers_Cap!P105)))</f>
        <v/>
      </c>
      <c r="BF105" s="75" t="n">
        <v>109</v>
      </c>
      <c r="BG105" s="2">
        <f>IF(Demand!AU122&lt;=Retailers_Cap!N105,"ret=0",(IF(BB105&lt;=AR105+Distributors_Cap!$P$47,1,0)))</f>
        <v/>
      </c>
      <c r="BH105" s="2">
        <f>IF(Demand!AV122&lt;=Retailers_Cap!O105,"ret=0",(IF(BC105&lt;=AS105+Distributors_Cap!$P$47,1,0)))</f>
        <v/>
      </c>
      <c r="BI105" s="2">
        <f>IF(Demand!AW122&lt;=Retailers_Cap!P105,"ret=0",(IF(BD105&lt;=AT105+Distributors_Cap!$P$47,1,0)))</f>
        <v/>
      </c>
      <c r="BK105" s="75" t="n">
        <v>109</v>
      </c>
      <c r="BL105" s="75">
        <f>Retailers!BH104</f>
        <v/>
      </c>
      <c r="BM105" s="75">
        <f>Retailers!BI104</f>
        <v/>
      </c>
      <c r="BN105" s="75">
        <f>Retailers!BJ104</f>
        <v/>
      </c>
      <c r="BP105" s="75" t="n">
        <v>109</v>
      </c>
      <c r="BQ105" s="75">
        <f>#REF!</f>
        <v/>
      </c>
      <c r="BR105" s="75">
        <f>#REF!</f>
        <v/>
      </c>
      <c r="BS105" s="75">
        <f>#REF!</f>
        <v/>
      </c>
      <c r="BU105" s="75" t="n">
        <v>109</v>
      </c>
      <c r="BV105" s="75">
        <f>Retailers!AS104</f>
        <v/>
      </c>
      <c r="BW105" s="75">
        <f>Retailers!AT104</f>
        <v/>
      </c>
      <c r="BX105" s="75">
        <f>Retailers!AU104</f>
        <v/>
      </c>
      <c r="BZ105" s="75" t="n">
        <v>109</v>
      </c>
      <c r="CA105" s="75">
        <f>Results!#REF!</f>
        <v/>
      </c>
      <c r="CB105" s="75">
        <f>Results!#REF!</f>
        <v/>
      </c>
      <c r="CC105" s="75">
        <f>Results!#REF!</f>
        <v/>
      </c>
      <c r="CE105" s="75" t="n">
        <v>109</v>
      </c>
      <c r="CF105" s="75">
        <f>Retailers!BN104</f>
        <v/>
      </c>
      <c r="CG105" s="75">
        <f>Retailers!BO104</f>
        <v/>
      </c>
      <c r="CH105" s="75">
        <f>Retailers!BP104</f>
        <v/>
      </c>
      <c r="CJ105" s="75" t="n">
        <v>109</v>
      </c>
      <c r="CK105" s="75">
        <f>IF(BB105="ret=0",0,IF(BB105&gt;0,AR105+Distributors_Cap!$P$47-BB105,0))</f>
        <v/>
      </c>
      <c r="CL105" s="75">
        <f>IF(BC105="ret=0",0,IF(BC105&gt;0,AS105+Distributors_Cap!$P$47-BC105,0))</f>
        <v/>
      </c>
      <c r="CM105" s="75">
        <f>IF(BD105="ret=0",0,IF(BD105&gt;0,AT105+Distributors_Cap!$P$47-BD105,0))</f>
        <v/>
      </c>
    </row>
    <row r="106">
      <c r="G106" s="75" t="n">
        <v>110</v>
      </c>
      <c r="H106" s="75" t="n">
        <v>58.68</v>
      </c>
      <c r="I106" s="75" t="n">
        <v>85.105</v>
      </c>
      <c r="J106" s="75" t="n">
        <v>47.229</v>
      </c>
      <c r="L106" s="75">
        <f>TRUNC((_xlfn.NORM.INV((RAND()),$K$7,$K$8)),0)</f>
        <v/>
      </c>
      <c r="M106" s="75" t="n">
        <v>110</v>
      </c>
      <c r="N106" s="5" t="n">
        <v>19</v>
      </c>
      <c r="O106" s="5" t="n">
        <v>28</v>
      </c>
      <c r="P106" s="5" t="n">
        <v>27</v>
      </c>
      <c r="R106" s="2">
        <f>IF(N106&gt;Demand!AU123,0,(IF(((2*(Retailers!AJ105+Distributors_Cap!$P$47)-Retailers_Cap!$BB$7)*(Demand!AU123-Retailers_Cap!N106))&lt;0,0,((IF(BB106&gt;2*(Retailers!AJ105+Distributors_Cap!$P$47),0,(IF(BG106=0,ROUNDUP((2*(Retailers!AJ105+Distributors_Cap!$P$47)-BB106)^0.5,0),ROUNDUP((2*(Retailers!AJ105+Distributors_Cap!$P$47)-BB106)^0.5,0)))))))))</f>
        <v/>
      </c>
      <c r="S106" s="2">
        <f>IF(O106&gt;Demand!AV123,0,(IF(((2*(Retailers!AK105+Distributors_Cap!$P$47)-Retailers_Cap!$BB$7)*(Demand!AV123-Retailers_Cap!O106))&lt;0,0,((IF(BC106&gt;2*(Retailers!AK105+Distributors_Cap!$P$47),0,(IF(BH106=0,ROUNDUP((2*(Retailers!AK105+Distributors_Cap!$P$47)-BC106)^0.5,0),ROUNDUP((2*(Retailers!AK105+Distributors_Cap!$P$47)-BC106)^0.5,0)))))))))</f>
        <v/>
      </c>
      <c r="T106" s="2">
        <f>IF(P106&gt;Demand!AW123,0,(IF(((2*(Retailers!AL105+Distributors_Cap!$P$47)-Retailers_Cap!$BB$7)*(Demand!AW123-Retailers_Cap!P106))&lt;0,0,((IF(BD106&gt;2*(Retailers!AL105+Distributors_Cap!$P$47),0,(IF(BI106=0,ROUNDUP((2*(Retailers!AL105+Distributors_Cap!$P$47)-BD106)^0.5,0),ROUNDUP((2*(Retailers!AL105+Distributors_Cap!$P$47)-BD106)^0.5,0)))))))))</f>
        <v/>
      </c>
      <c r="W106" s="75" t="n">
        <v>110</v>
      </c>
      <c r="X106" s="9" t="n">
        <v>13</v>
      </c>
      <c r="Y106" s="9" t="n">
        <v>0</v>
      </c>
      <c r="Z106" s="9" t="n">
        <v>0</v>
      </c>
      <c r="AB106" s="2">
        <f>ROUNDDOWN(LOG((X106+1),2),0)</f>
        <v/>
      </c>
      <c r="AC106" s="2">
        <f>ROUNDDOWN(LOG((Y106+1),2),0)</f>
        <v/>
      </c>
      <c r="AD106" s="2">
        <f>ROUNDDOWN(LOG((Z106+1),2),0)</f>
        <v/>
      </c>
      <c r="AG106" s="75" t="n">
        <v>110</v>
      </c>
      <c r="AH106" s="9" t="n">
        <v>3</v>
      </c>
      <c r="AI106" s="9" t="n">
        <v>0</v>
      </c>
      <c r="AJ106" s="9" t="n">
        <v>0</v>
      </c>
      <c r="AQ106" s="75" t="n">
        <v>110</v>
      </c>
      <c r="AR106" s="75" t="n">
        <v>58.68</v>
      </c>
      <c r="AS106" s="75" t="n">
        <v>85.105</v>
      </c>
      <c r="AT106" s="75" t="n">
        <v>47.229</v>
      </c>
      <c r="AV106" s="75" t="n">
        <v>110</v>
      </c>
      <c r="AW106" s="75">
        <f>Beginning_stock!AT134</f>
        <v/>
      </c>
      <c r="AX106" s="75">
        <f>Beginning_stock!AU134</f>
        <v/>
      </c>
      <c r="AY106" s="75">
        <f>Beginning_stock!AV134</f>
        <v/>
      </c>
      <c r="BA106" s="75" t="n">
        <v>110</v>
      </c>
      <c r="BB106" s="75">
        <f>IF(Demand!AU123=Retailers_Cap!N106,"ret=0",(AW106/(Demand!AU123-Retailers_Cap!N106)))</f>
        <v/>
      </c>
      <c r="BC106" s="75">
        <f>IF(Demand!AV123=Retailers_Cap!O106,"ret=0",(AX106/(Demand!AV123-Retailers_Cap!O106)))</f>
        <v/>
      </c>
      <c r="BD106" s="75">
        <f>IF(Demand!AW123=Retailers_Cap!P106,"ret=0",(AY106/(Demand!AW123-Retailers_Cap!P106)))</f>
        <v/>
      </c>
      <c r="BF106" s="75" t="n">
        <v>110</v>
      </c>
      <c r="BG106" s="2">
        <f>IF(Demand!AU123&lt;=Retailers_Cap!N106,"ret=0",(IF(BB106&lt;=AR106+Distributors_Cap!$P$47,1,0)))</f>
        <v/>
      </c>
      <c r="BH106" s="2">
        <f>IF(Demand!AV123&lt;=Retailers_Cap!O106,"ret=0",(IF(BC106&lt;=AS106+Distributors_Cap!$P$47,1,0)))</f>
        <v/>
      </c>
      <c r="BI106" s="2">
        <f>IF(Demand!AW123&lt;=Retailers_Cap!P106,"ret=0",(IF(BD106&lt;=AT106+Distributors_Cap!$P$47,1,0)))</f>
        <v/>
      </c>
      <c r="BK106" s="75" t="n">
        <v>110</v>
      </c>
      <c r="BL106" s="75">
        <f>Retailers!BH105</f>
        <v/>
      </c>
      <c r="BM106" s="75">
        <f>Retailers!BI105</f>
        <v/>
      </c>
      <c r="BN106" s="75">
        <f>Retailers!BJ105</f>
        <v/>
      </c>
      <c r="BP106" s="75" t="n">
        <v>110</v>
      </c>
      <c r="BQ106" s="75">
        <f>#REF!</f>
        <v/>
      </c>
      <c r="BR106" s="75">
        <f>#REF!</f>
        <v/>
      </c>
      <c r="BS106" s="75">
        <f>#REF!</f>
        <v/>
      </c>
      <c r="BU106" s="75" t="n">
        <v>110</v>
      </c>
      <c r="BV106" s="75">
        <f>Retailers!AS105</f>
        <v/>
      </c>
      <c r="BW106" s="75">
        <f>Retailers!AT105</f>
        <v/>
      </c>
      <c r="BX106" s="75">
        <f>Retailers!AU105</f>
        <v/>
      </c>
      <c r="BZ106" s="75" t="n">
        <v>110</v>
      </c>
      <c r="CA106" s="75">
        <f>Results!#REF!</f>
        <v/>
      </c>
      <c r="CB106" s="75">
        <f>Results!#REF!</f>
        <v/>
      </c>
      <c r="CC106" s="75">
        <f>Results!#REF!</f>
        <v/>
      </c>
      <c r="CE106" s="75" t="n">
        <v>110</v>
      </c>
      <c r="CF106" s="75">
        <f>Retailers!BN105</f>
        <v/>
      </c>
      <c r="CG106" s="75">
        <f>Retailers!BO105</f>
        <v/>
      </c>
      <c r="CH106" s="75">
        <f>Retailers!BP105</f>
        <v/>
      </c>
      <c r="CJ106" s="75" t="n">
        <v>110</v>
      </c>
      <c r="CK106" s="75">
        <f>IF(BB106="ret=0",0,IF(BB106&gt;0,AR106+Distributors_Cap!$P$47-BB106,0))</f>
        <v/>
      </c>
      <c r="CL106" s="75">
        <f>IF(BC106="ret=0",0,IF(BC106&gt;0,AS106+Distributors_Cap!$P$47-BC106,0))</f>
        <v/>
      </c>
      <c r="CM106" s="75">
        <f>IF(BD106="ret=0",0,IF(BD106&gt;0,AT106+Distributors_Cap!$P$47-BD106,0))</f>
        <v/>
      </c>
    </row>
    <row r="107">
      <c r="G107" s="75" t="n">
        <v>111</v>
      </c>
      <c r="H107" s="75" t="n">
        <v>41.253</v>
      </c>
      <c r="I107" s="75" t="n">
        <v>46.242</v>
      </c>
      <c r="J107" s="75" t="n">
        <v>71.078</v>
      </c>
      <c r="L107" s="75">
        <f>TRUNC((_xlfn.NORM.INV((RAND()),$K$7,$K$8)),0)</f>
        <v/>
      </c>
      <c r="M107" s="75" t="n">
        <v>111</v>
      </c>
      <c r="N107" s="5" t="n">
        <v>37</v>
      </c>
      <c r="O107" s="5" t="n">
        <v>32</v>
      </c>
      <c r="P107" s="5" t="n">
        <v>29</v>
      </c>
      <c r="R107" s="2">
        <f>IF(N107&gt;Demand!AU124,0,(IF(((2*(Retailers!AJ106+Distributors_Cap!$P$47)-Retailers_Cap!$BB$7)*(Demand!AU124-Retailers_Cap!N107))&lt;0,0,((IF(BB107&gt;2*(Retailers!AJ106+Distributors_Cap!$P$47),0,(IF(BG107=0,ROUNDUP((2*(Retailers!AJ106+Distributors_Cap!$P$47)-BB107)^0.5,0),ROUNDUP((2*(Retailers!AJ106+Distributors_Cap!$P$47)-BB107)^0.5,0)))))))))</f>
        <v/>
      </c>
      <c r="S107" s="2">
        <f>IF(O107&gt;Demand!AV124,0,(IF(((2*(Retailers!AK106+Distributors_Cap!$P$47)-Retailers_Cap!$BB$7)*(Demand!AV124-Retailers_Cap!O107))&lt;0,0,((IF(BC107&gt;2*(Retailers!AK106+Distributors_Cap!$P$47),0,(IF(BH107=0,ROUNDUP((2*(Retailers!AK106+Distributors_Cap!$P$47)-BC107)^0.5,0),ROUNDUP((2*(Retailers!AK106+Distributors_Cap!$P$47)-BC107)^0.5,0)))))))))</f>
        <v/>
      </c>
      <c r="T107" s="2">
        <f>IF(P107&gt;Demand!AW124,0,(IF(((2*(Retailers!AL106+Distributors_Cap!$P$47)-Retailers_Cap!$BB$7)*(Demand!AW124-Retailers_Cap!P107))&lt;0,0,((IF(BD107&gt;2*(Retailers!AL106+Distributors_Cap!$P$47),0,(IF(BI107=0,ROUNDUP((2*(Retailers!AL106+Distributors_Cap!$P$47)-BD107)^0.5,0),ROUNDUP((2*(Retailers!AL106+Distributors_Cap!$P$47)-BD107)^0.5,0)))))))))</f>
        <v/>
      </c>
      <c r="W107" s="75" t="n">
        <v>111</v>
      </c>
      <c r="X107" s="9" t="n">
        <v>0</v>
      </c>
      <c r="Y107" s="9" t="n">
        <v>0</v>
      </c>
      <c r="Z107" s="9" t="n">
        <v>0</v>
      </c>
      <c r="AB107" s="2">
        <f>ROUNDDOWN(LOG((X107+1),2),0)</f>
        <v/>
      </c>
      <c r="AC107" s="2">
        <f>ROUNDDOWN(LOG((Y107+1),2),0)</f>
        <v/>
      </c>
      <c r="AD107" s="2">
        <f>ROUNDDOWN(LOG((Z107+1),2),0)</f>
        <v/>
      </c>
      <c r="AG107" s="75" t="n">
        <v>111</v>
      </c>
      <c r="AH107" s="9" t="n">
        <v>0</v>
      </c>
      <c r="AI107" s="9" t="n">
        <v>0</v>
      </c>
      <c r="AJ107" s="9" t="n">
        <v>0</v>
      </c>
      <c r="AQ107" s="75" t="n">
        <v>111</v>
      </c>
      <c r="AR107" s="75" t="n">
        <v>41.253</v>
      </c>
      <c r="AS107" s="75" t="n">
        <v>46.242</v>
      </c>
      <c r="AT107" s="75" t="n">
        <v>71.078</v>
      </c>
      <c r="AV107" s="75" t="n">
        <v>111</v>
      </c>
      <c r="AW107" s="75">
        <f>Beginning_stock!AT135</f>
        <v/>
      </c>
      <c r="AX107" s="75">
        <f>Beginning_stock!AU135</f>
        <v/>
      </c>
      <c r="AY107" s="75">
        <f>Beginning_stock!AV135</f>
        <v/>
      </c>
      <c r="BA107" s="75" t="n">
        <v>111</v>
      </c>
      <c r="BB107" s="75">
        <f>IF(Demand!AU124=Retailers_Cap!N107,"ret=0",(AW107/(Demand!AU124-Retailers_Cap!N107)))</f>
        <v/>
      </c>
      <c r="BC107" s="75">
        <f>IF(Demand!AV124=Retailers_Cap!O107,"ret=0",(AX107/(Demand!AV124-Retailers_Cap!O107)))</f>
        <v/>
      </c>
      <c r="BD107" s="75">
        <f>IF(Demand!AW124=Retailers_Cap!P107,"ret=0",(AY107/(Demand!AW124-Retailers_Cap!P107)))</f>
        <v/>
      </c>
      <c r="BF107" s="75" t="n">
        <v>111</v>
      </c>
      <c r="BG107" s="2">
        <f>IF(Demand!AU124&lt;=Retailers_Cap!N107,"ret=0",(IF(BB107&lt;=AR107+Distributors_Cap!$P$47,1,0)))</f>
        <v/>
      </c>
      <c r="BH107" s="2">
        <f>IF(Demand!AV124&lt;=Retailers_Cap!O107,"ret=0",(IF(BC107&lt;=AS107+Distributors_Cap!$P$47,1,0)))</f>
        <v/>
      </c>
      <c r="BI107" s="2">
        <f>IF(Demand!AW124&lt;=Retailers_Cap!P107,"ret=0",(IF(BD107&lt;=AT107+Distributors_Cap!$P$47,1,0)))</f>
        <v/>
      </c>
      <c r="BK107" s="75" t="n">
        <v>111</v>
      </c>
      <c r="BL107" s="75">
        <f>Retailers!BH106</f>
        <v/>
      </c>
      <c r="BM107" s="75">
        <f>Retailers!BI106</f>
        <v/>
      </c>
      <c r="BN107" s="75">
        <f>Retailers!BJ106</f>
        <v/>
      </c>
      <c r="BP107" s="75" t="n">
        <v>111</v>
      </c>
      <c r="BQ107" s="75">
        <f>#REF!</f>
        <v/>
      </c>
      <c r="BR107" s="75">
        <f>#REF!</f>
        <v/>
      </c>
      <c r="BS107" s="75">
        <f>#REF!</f>
        <v/>
      </c>
      <c r="BU107" s="75" t="n">
        <v>111</v>
      </c>
      <c r="BV107" s="75">
        <f>Retailers!AS106</f>
        <v/>
      </c>
      <c r="BW107" s="75">
        <f>Retailers!AT106</f>
        <v/>
      </c>
      <c r="BX107" s="75">
        <f>Retailers!AU106</f>
        <v/>
      </c>
      <c r="BZ107" s="75" t="n">
        <v>111</v>
      </c>
      <c r="CA107" s="75">
        <f>Results!#REF!</f>
        <v/>
      </c>
      <c r="CB107" s="75">
        <f>Results!#REF!</f>
        <v/>
      </c>
      <c r="CC107" s="75">
        <f>Results!#REF!</f>
        <v/>
      </c>
      <c r="CE107" s="75" t="n">
        <v>111</v>
      </c>
      <c r="CF107" s="75">
        <f>Retailers!BN106</f>
        <v/>
      </c>
      <c r="CG107" s="75">
        <f>Retailers!BO106</f>
        <v/>
      </c>
      <c r="CH107" s="75">
        <f>Retailers!BP106</f>
        <v/>
      </c>
      <c r="CJ107" s="75" t="n">
        <v>111</v>
      </c>
      <c r="CK107" s="75">
        <f>IF(BB107="ret=0",0,IF(BB107&gt;0,AR107+Distributors_Cap!$P$47-BB107,0))</f>
        <v/>
      </c>
      <c r="CL107" s="75">
        <f>IF(BC107="ret=0",0,IF(BC107&gt;0,AS107+Distributors_Cap!$P$47-BC107,0))</f>
        <v/>
      </c>
      <c r="CM107" s="75">
        <f>IF(BD107="ret=0",0,IF(BD107&gt;0,AT107+Distributors_Cap!$P$47-BD107,0))</f>
        <v/>
      </c>
    </row>
    <row r="108">
      <c r="G108" s="75" t="n">
        <v>112</v>
      </c>
      <c r="H108" s="75" t="n">
        <v>44.394</v>
      </c>
      <c r="I108" s="75" t="n">
        <v>66.88800000000001</v>
      </c>
      <c r="J108" s="75" t="n">
        <v>70.797</v>
      </c>
      <c r="L108" s="75">
        <f>TRUNC((_xlfn.NORM.INV((RAND()),$K$7,$K$8)),0)</f>
        <v/>
      </c>
      <c r="M108" s="75" t="n">
        <v>112</v>
      </c>
      <c r="N108" s="5" t="n">
        <v>36</v>
      </c>
      <c r="O108" s="5" t="n">
        <v>29</v>
      </c>
      <c r="P108" s="5" t="n">
        <v>32</v>
      </c>
      <c r="R108" s="2">
        <f>IF(N108&gt;Demand!AU125,0,(IF(((2*(Retailers!AJ107+Distributors_Cap!$P$47)-Retailers_Cap!$BB$7)*(Demand!AU125-Retailers_Cap!N108))&lt;0,0,((IF(BB108&gt;2*(Retailers!AJ107+Distributors_Cap!$P$47),0,(IF(BG108=0,ROUNDUP((2*(Retailers!AJ107+Distributors_Cap!$P$47)-BB108)^0.5,0),ROUNDUP((2*(Retailers!AJ107+Distributors_Cap!$P$47)-BB108)^0.5,0)))))))))</f>
        <v/>
      </c>
      <c r="S108" s="2">
        <f>IF(O108&gt;Demand!AV125,0,(IF(((2*(Retailers!AK107+Distributors_Cap!$P$47)-Retailers_Cap!$BB$7)*(Demand!AV125-Retailers_Cap!O108))&lt;0,0,((IF(BC108&gt;2*(Retailers!AK107+Distributors_Cap!$P$47),0,(IF(BH108=0,ROUNDUP((2*(Retailers!AK107+Distributors_Cap!$P$47)-BC108)^0.5,0),ROUNDUP((2*(Retailers!AK107+Distributors_Cap!$P$47)-BC108)^0.5,0)))))))))</f>
        <v/>
      </c>
      <c r="T108" s="2">
        <f>IF(P108&gt;Demand!AW125,0,(IF(((2*(Retailers!AL107+Distributors_Cap!$P$47)-Retailers_Cap!$BB$7)*(Demand!AW125-Retailers_Cap!P108))&lt;0,0,((IF(BD108&gt;2*(Retailers!AL107+Distributors_Cap!$P$47),0,(IF(BI108=0,ROUNDUP((2*(Retailers!AL107+Distributors_Cap!$P$47)-BD108)^0.5,0),ROUNDUP((2*(Retailers!AL107+Distributors_Cap!$P$47)-BD108)^0.5,0)))))))))</f>
        <v/>
      </c>
      <c r="W108" s="75" t="n">
        <v>112</v>
      </c>
      <c r="X108" s="9" t="n">
        <v>0</v>
      </c>
      <c r="Y108" s="9" t="n">
        <v>0</v>
      </c>
      <c r="Z108" s="9" t="n">
        <v>0</v>
      </c>
      <c r="AB108" s="2">
        <f>ROUNDDOWN(LOG((X108+1),2),0)</f>
        <v/>
      </c>
      <c r="AC108" s="2">
        <f>ROUNDDOWN(LOG((Y108+1),2),0)</f>
        <v/>
      </c>
      <c r="AD108" s="2">
        <f>ROUNDDOWN(LOG((Z108+1),2),0)</f>
        <v/>
      </c>
      <c r="AG108" s="75" t="n">
        <v>112</v>
      </c>
      <c r="AH108" s="9" t="n">
        <v>0</v>
      </c>
      <c r="AI108" s="9" t="n">
        <v>0</v>
      </c>
      <c r="AJ108" s="9" t="n">
        <v>0</v>
      </c>
      <c r="AQ108" s="75" t="n">
        <v>112</v>
      </c>
      <c r="AR108" s="75" t="n">
        <v>44.394</v>
      </c>
      <c r="AS108" s="75" t="n">
        <v>66.88800000000001</v>
      </c>
      <c r="AT108" s="75" t="n">
        <v>70.797</v>
      </c>
      <c r="AV108" s="75" t="n">
        <v>112</v>
      </c>
      <c r="AW108" s="75">
        <f>Beginning_stock!AT136</f>
        <v/>
      </c>
      <c r="AX108" s="75">
        <f>Beginning_stock!AU136</f>
        <v/>
      </c>
      <c r="AY108" s="75">
        <f>Beginning_stock!AV136</f>
        <v/>
      </c>
      <c r="BA108" s="75" t="n">
        <v>112</v>
      </c>
      <c r="BB108" s="75">
        <f>IF(Demand!AU125=Retailers_Cap!N108,"ret=0",(AW108/(Demand!AU125-Retailers_Cap!N108)))</f>
        <v/>
      </c>
      <c r="BC108" s="75">
        <f>IF(Demand!AV125=Retailers_Cap!O108,"ret=0",(AX108/(Demand!AV125-Retailers_Cap!O108)))</f>
        <v/>
      </c>
      <c r="BD108" s="75">
        <f>IF(Demand!AW125=Retailers_Cap!P108,"ret=0",(AY108/(Demand!AW125-Retailers_Cap!P108)))</f>
        <v/>
      </c>
      <c r="BF108" s="75" t="n">
        <v>112</v>
      </c>
      <c r="BG108" s="2">
        <f>IF(Demand!AU125&lt;=Retailers_Cap!N108,"ret=0",(IF(BB108&lt;=AR108+Distributors_Cap!$P$47,1,0)))</f>
        <v/>
      </c>
      <c r="BH108" s="2">
        <f>IF(Demand!AV125&lt;=Retailers_Cap!O108,"ret=0",(IF(BC108&lt;=AS108+Distributors_Cap!$P$47,1,0)))</f>
        <v/>
      </c>
      <c r="BI108" s="2">
        <f>IF(Demand!AW125&lt;=Retailers_Cap!P108,"ret=0",(IF(BD108&lt;=AT108+Distributors_Cap!$P$47,1,0)))</f>
        <v/>
      </c>
      <c r="BK108" s="75" t="n">
        <v>112</v>
      </c>
      <c r="BL108" s="75">
        <f>Retailers!BH107</f>
        <v/>
      </c>
      <c r="BM108" s="75">
        <f>Retailers!BI107</f>
        <v/>
      </c>
      <c r="BN108" s="75">
        <f>Retailers!BJ107</f>
        <v/>
      </c>
      <c r="BP108" s="75" t="n">
        <v>112</v>
      </c>
      <c r="BQ108" s="75">
        <f>#REF!</f>
        <v/>
      </c>
      <c r="BR108" s="75">
        <f>#REF!</f>
        <v/>
      </c>
      <c r="BS108" s="75">
        <f>#REF!</f>
        <v/>
      </c>
      <c r="BU108" s="75" t="n">
        <v>112</v>
      </c>
      <c r="BV108" s="75">
        <f>Retailers!AS107</f>
        <v/>
      </c>
      <c r="BW108" s="75">
        <f>Retailers!AT107</f>
        <v/>
      </c>
      <c r="BX108" s="75">
        <f>Retailers!AU107</f>
        <v/>
      </c>
      <c r="BZ108" s="75" t="n">
        <v>112</v>
      </c>
      <c r="CA108" s="75">
        <f>Results!#REF!</f>
        <v/>
      </c>
      <c r="CB108" s="75">
        <f>Results!#REF!</f>
        <v/>
      </c>
      <c r="CC108" s="75">
        <f>Results!#REF!</f>
        <v/>
      </c>
      <c r="CE108" s="75" t="n">
        <v>112</v>
      </c>
      <c r="CF108" s="75">
        <f>Retailers!BN107</f>
        <v/>
      </c>
      <c r="CG108" s="75">
        <f>Retailers!BO107</f>
        <v/>
      </c>
      <c r="CH108" s="75">
        <f>Retailers!BP107</f>
        <v/>
      </c>
      <c r="CJ108" s="75" t="n">
        <v>112</v>
      </c>
      <c r="CK108" s="75">
        <f>IF(BB108="ret=0",0,IF(BB108&gt;0,AR108+Distributors_Cap!$P$47-BB108,0))</f>
        <v/>
      </c>
      <c r="CL108" s="75">
        <f>IF(BC108="ret=0",0,IF(BC108&gt;0,AS108+Distributors_Cap!$P$47-BC108,0))</f>
        <v/>
      </c>
      <c r="CM108" s="75">
        <f>IF(BD108="ret=0",0,IF(BD108&gt;0,AT108+Distributors_Cap!$P$47-BD108,0))</f>
        <v/>
      </c>
    </row>
    <row r="109">
      <c r="G109" s="75" t="n">
        <v>113</v>
      </c>
      <c r="H109" s="75" t="n">
        <v>82.42700000000001</v>
      </c>
      <c r="I109" s="75" t="n">
        <v>58.659</v>
      </c>
      <c r="J109" s="75" t="n">
        <v>60.28</v>
      </c>
      <c r="L109" s="75">
        <f>TRUNC((_xlfn.NORM.INV((RAND()),$K$7,$K$8)),0)</f>
        <v/>
      </c>
      <c r="M109" s="75" t="n">
        <v>113</v>
      </c>
      <c r="N109" s="5" t="n">
        <v>34</v>
      </c>
      <c r="O109" s="5" t="n">
        <v>25</v>
      </c>
      <c r="P109" s="5" t="n">
        <v>34</v>
      </c>
      <c r="R109" s="2">
        <f>IF(N109&gt;Demand!AU126,0,(IF(((2*(Retailers!AJ108+Distributors_Cap!$P$47)-Retailers_Cap!$BB$7)*(Demand!AU126-Retailers_Cap!N109))&lt;0,0,((IF(BB109&gt;2*(Retailers!AJ108+Distributors_Cap!$P$47),0,(IF(BG109=0,ROUNDUP((2*(Retailers!AJ108+Distributors_Cap!$P$47)-BB109)^0.5,0),ROUNDUP((2*(Retailers!AJ108+Distributors_Cap!$P$47)-BB109)^0.5,0)))))))))</f>
        <v/>
      </c>
      <c r="S109" s="2">
        <f>IF(O109&gt;Demand!AV126,0,(IF(((2*(Retailers!AK108+Distributors_Cap!$P$47)-Retailers_Cap!$BB$7)*(Demand!AV126-Retailers_Cap!O109))&lt;0,0,((IF(BC109&gt;2*(Retailers!AK108+Distributors_Cap!$P$47),0,(IF(BH109=0,ROUNDUP((2*(Retailers!AK108+Distributors_Cap!$P$47)-BC109)^0.5,0),ROUNDUP((2*(Retailers!AK108+Distributors_Cap!$P$47)-BC109)^0.5,0)))))))))</f>
        <v/>
      </c>
      <c r="T109" s="2">
        <f>IF(P109&gt;Demand!AW126,0,(IF(((2*(Retailers!AL108+Distributors_Cap!$P$47)-Retailers_Cap!$BB$7)*(Demand!AW126-Retailers_Cap!P109))&lt;0,0,((IF(BD109&gt;2*(Retailers!AL108+Distributors_Cap!$P$47),0,(IF(BI109=0,ROUNDUP((2*(Retailers!AL108+Distributors_Cap!$P$47)-BD109)^0.5,0),ROUNDUP((2*(Retailers!AL108+Distributors_Cap!$P$47)-BD109)^0.5,0)))))))))</f>
        <v/>
      </c>
      <c r="W109" s="75" t="n">
        <v>113</v>
      </c>
      <c r="X109" s="9" t="n">
        <v>0</v>
      </c>
      <c r="Y109" s="9" t="n">
        <v>13</v>
      </c>
      <c r="Z109" s="9" t="n">
        <v>0</v>
      </c>
      <c r="AB109" s="2">
        <f>ROUNDDOWN(LOG((X109+1),2),0)</f>
        <v/>
      </c>
      <c r="AC109" s="2">
        <f>ROUNDDOWN(LOG((Y109+1),2),0)</f>
        <v/>
      </c>
      <c r="AD109" s="2">
        <f>ROUNDDOWN(LOG((Z109+1),2),0)</f>
        <v/>
      </c>
      <c r="AG109" s="75" t="n">
        <v>113</v>
      </c>
      <c r="AH109" s="9" t="n">
        <v>0</v>
      </c>
      <c r="AI109" s="9" t="n">
        <v>3</v>
      </c>
      <c r="AJ109" s="9" t="n">
        <v>0</v>
      </c>
      <c r="AQ109" s="75" t="n">
        <v>113</v>
      </c>
      <c r="AR109" s="75" t="n">
        <v>82.42700000000001</v>
      </c>
      <c r="AS109" s="75" t="n">
        <v>58.659</v>
      </c>
      <c r="AT109" s="75" t="n">
        <v>60.28</v>
      </c>
      <c r="AV109" s="75" t="n">
        <v>113</v>
      </c>
      <c r="AW109" s="75">
        <f>Beginning_stock!AT137</f>
        <v/>
      </c>
      <c r="AX109" s="75">
        <f>Beginning_stock!AU137</f>
        <v/>
      </c>
      <c r="AY109" s="75">
        <f>Beginning_stock!AV137</f>
        <v/>
      </c>
      <c r="BA109" s="75" t="n">
        <v>113</v>
      </c>
      <c r="BB109" s="75">
        <f>IF(Demand!AU126=Retailers_Cap!N109,"ret=0",(AW109/(Demand!AU126-Retailers_Cap!N109)))</f>
        <v/>
      </c>
      <c r="BC109" s="75">
        <f>IF(Demand!AV126=Retailers_Cap!O109,"ret=0",(AX109/(Demand!AV126-Retailers_Cap!O109)))</f>
        <v/>
      </c>
      <c r="BD109" s="75">
        <f>IF(Demand!AW126=Retailers_Cap!P109,"ret=0",(AY109/(Demand!AW126-Retailers_Cap!P109)))</f>
        <v/>
      </c>
      <c r="BF109" s="75" t="n">
        <v>113</v>
      </c>
      <c r="BG109" s="2">
        <f>IF(Demand!AU126&lt;=Retailers_Cap!N109,"ret=0",(IF(BB109&lt;=AR109+Distributors_Cap!$P$47,1,0)))</f>
        <v/>
      </c>
      <c r="BH109" s="2">
        <f>IF(Demand!AV126&lt;=Retailers_Cap!O109,"ret=0",(IF(BC109&lt;=AS109+Distributors_Cap!$P$47,1,0)))</f>
        <v/>
      </c>
      <c r="BI109" s="2">
        <f>IF(Demand!AW126&lt;=Retailers_Cap!P109,"ret=0",(IF(BD109&lt;=AT109+Distributors_Cap!$P$47,1,0)))</f>
        <v/>
      </c>
      <c r="BK109" s="75" t="n">
        <v>113</v>
      </c>
      <c r="BL109" s="75">
        <f>Retailers!BH108</f>
        <v/>
      </c>
      <c r="BM109" s="75">
        <f>Retailers!BI108</f>
        <v/>
      </c>
      <c r="BN109" s="75">
        <f>Retailers!BJ108</f>
        <v/>
      </c>
      <c r="BP109" s="75" t="n">
        <v>113</v>
      </c>
      <c r="BQ109" s="75">
        <f>#REF!</f>
        <v/>
      </c>
      <c r="BR109" s="75">
        <f>#REF!</f>
        <v/>
      </c>
      <c r="BS109" s="75">
        <f>#REF!</f>
        <v/>
      </c>
      <c r="BU109" s="75" t="n">
        <v>113</v>
      </c>
      <c r="BV109" s="75">
        <f>Retailers!AS108</f>
        <v/>
      </c>
      <c r="BW109" s="75">
        <f>Retailers!AT108</f>
        <v/>
      </c>
      <c r="BX109" s="75">
        <f>Retailers!AU108</f>
        <v/>
      </c>
      <c r="BZ109" s="75" t="n">
        <v>113</v>
      </c>
      <c r="CA109" s="75">
        <f>Results!#REF!</f>
        <v/>
      </c>
      <c r="CB109" s="75">
        <f>Results!#REF!</f>
        <v/>
      </c>
      <c r="CC109" s="75">
        <f>Results!#REF!</f>
        <v/>
      </c>
      <c r="CE109" s="75" t="n">
        <v>113</v>
      </c>
      <c r="CF109" s="75">
        <f>Retailers!BN108</f>
        <v/>
      </c>
      <c r="CG109" s="75">
        <f>Retailers!BO108</f>
        <v/>
      </c>
      <c r="CH109" s="75">
        <f>Retailers!BP108</f>
        <v/>
      </c>
      <c r="CJ109" s="75" t="n">
        <v>113</v>
      </c>
      <c r="CK109" s="75">
        <f>IF(BB109="ret=0",0,IF(BB109&gt;0,AR109+Distributors_Cap!$P$47-BB109,0))</f>
        <v/>
      </c>
      <c r="CL109" s="75">
        <f>IF(BC109="ret=0",0,IF(BC109&gt;0,AS109+Distributors_Cap!$P$47-BC109,0))</f>
        <v/>
      </c>
      <c r="CM109" s="75">
        <f>IF(BD109="ret=0",0,IF(BD109&gt;0,AT109+Distributors_Cap!$P$47-BD109,0))</f>
        <v/>
      </c>
    </row>
    <row r="110">
      <c r="G110" s="75" t="n">
        <v>114</v>
      </c>
      <c r="H110" s="75" t="n">
        <v>78.79900000000001</v>
      </c>
      <c r="I110" s="75" t="n">
        <v>63.099</v>
      </c>
      <c r="J110" s="75" t="n">
        <v>58.378</v>
      </c>
      <c r="L110" s="75">
        <f>TRUNC((_xlfn.NORM.INV((RAND()),$K$7,$K$8)),0)</f>
        <v/>
      </c>
      <c r="M110" s="75" t="n">
        <v>114</v>
      </c>
      <c r="N110" s="5" t="n">
        <v>25</v>
      </c>
      <c r="O110" s="5" t="n">
        <v>26</v>
      </c>
      <c r="P110" s="5" t="n">
        <v>26</v>
      </c>
      <c r="R110" s="2">
        <f>IF(N110&gt;Demand!AU127,0,(IF(((2*(Retailers!AJ109+Distributors_Cap!$P$47)-Retailers_Cap!$BB$7)*(Demand!AU127-Retailers_Cap!N110))&lt;0,0,((IF(BB110&gt;2*(Retailers!AJ109+Distributors_Cap!$P$47),0,(IF(BG110=0,ROUNDUP((2*(Retailers!AJ109+Distributors_Cap!$P$47)-BB110)^0.5,0),ROUNDUP((2*(Retailers!AJ109+Distributors_Cap!$P$47)-BB110)^0.5,0)))))))))</f>
        <v/>
      </c>
      <c r="S110" s="2">
        <f>IF(O110&gt;Demand!AV127,0,(IF(((2*(Retailers!AK109+Distributors_Cap!$P$47)-Retailers_Cap!$BB$7)*(Demand!AV127-Retailers_Cap!O110))&lt;0,0,((IF(BC110&gt;2*(Retailers!AK109+Distributors_Cap!$P$47),0,(IF(BH110=0,ROUNDUP((2*(Retailers!AK109+Distributors_Cap!$P$47)-BC110)^0.5,0),ROUNDUP((2*(Retailers!AK109+Distributors_Cap!$P$47)-BC110)^0.5,0)))))))))</f>
        <v/>
      </c>
      <c r="T110" s="2">
        <f>IF(P110&gt;Demand!AW127,0,(IF(((2*(Retailers!AL109+Distributors_Cap!$P$47)-Retailers_Cap!$BB$7)*(Demand!AW127-Retailers_Cap!P110))&lt;0,0,((IF(BD110&gt;2*(Retailers!AL109+Distributors_Cap!$P$47),0,(IF(BI110=0,ROUNDUP((2*(Retailers!AL109+Distributors_Cap!$P$47)-BD110)^0.5,0),ROUNDUP((2*(Retailers!AL109+Distributors_Cap!$P$47)-BD110)^0.5,0)))))))))</f>
        <v/>
      </c>
      <c r="W110" s="75" t="n">
        <v>114</v>
      </c>
      <c r="X110" s="9" t="n">
        <v>14</v>
      </c>
      <c r="Y110" s="9" t="n">
        <v>0</v>
      </c>
      <c r="Z110" s="9" t="n">
        <v>0</v>
      </c>
      <c r="AB110" s="2">
        <f>ROUNDDOWN(LOG((X110+1),2),0)</f>
        <v/>
      </c>
      <c r="AC110" s="2">
        <f>ROUNDDOWN(LOG((Y110+1),2),0)</f>
        <v/>
      </c>
      <c r="AD110" s="2">
        <f>ROUNDDOWN(LOG((Z110+1),2),0)</f>
        <v/>
      </c>
      <c r="AG110" s="75" t="n">
        <v>114</v>
      </c>
      <c r="AH110" s="9" t="n">
        <v>3</v>
      </c>
      <c r="AI110" s="9" t="n">
        <v>0</v>
      </c>
      <c r="AJ110" s="9" t="n">
        <v>0</v>
      </c>
      <c r="AQ110" s="75" t="n">
        <v>114</v>
      </c>
      <c r="AR110" s="75" t="n">
        <v>78.79900000000001</v>
      </c>
      <c r="AS110" s="75" t="n">
        <v>63.099</v>
      </c>
      <c r="AT110" s="75" t="n">
        <v>58.378</v>
      </c>
      <c r="AV110" s="75" t="n">
        <v>114</v>
      </c>
      <c r="AW110" s="75">
        <f>Beginning_stock!AT138</f>
        <v/>
      </c>
      <c r="AX110" s="75">
        <f>Beginning_stock!AU138</f>
        <v/>
      </c>
      <c r="AY110" s="75">
        <f>Beginning_stock!AV138</f>
        <v/>
      </c>
      <c r="BA110" s="75" t="n">
        <v>114</v>
      </c>
      <c r="BB110" s="75">
        <f>IF(Demand!AU127=Retailers_Cap!N110,"ret=0",(AW110/(Demand!AU127-Retailers_Cap!N110)))</f>
        <v/>
      </c>
      <c r="BC110" s="75">
        <f>IF(Demand!AV127=Retailers_Cap!O110,"ret=0",(AX110/(Demand!AV127-Retailers_Cap!O110)))</f>
        <v/>
      </c>
      <c r="BD110" s="75">
        <f>IF(Demand!AW127=Retailers_Cap!P110,"ret=0",(AY110/(Demand!AW127-Retailers_Cap!P110)))</f>
        <v/>
      </c>
      <c r="BF110" s="75" t="n">
        <v>114</v>
      </c>
      <c r="BG110" s="2">
        <f>IF(Demand!AU127&lt;=Retailers_Cap!N110,"ret=0",(IF(BB110&lt;=AR110+Distributors_Cap!$P$47,1,0)))</f>
        <v/>
      </c>
      <c r="BH110" s="2">
        <f>IF(Demand!AV127&lt;=Retailers_Cap!O110,"ret=0",(IF(BC110&lt;=AS110+Distributors_Cap!$P$47,1,0)))</f>
        <v/>
      </c>
      <c r="BI110" s="2">
        <f>IF(Demand!AW127&lt;=Retailers_Cap!P110,"ret=0",(IF(BD110&lt;=AT110+Distributors_Cap!$P$47,1,0)))</f>
        <v/>
      </c>
      <c r="BK110" s="75" t="n">
        <v>114</v>
      </c>
      <c r="BL110" s="75">
        <f>Retailers!BH109</f>
        <v/>
      </c>
      <c r="BM110" s="75">
        <f>Retailers!BI109</f>
        <v/>
      </c>
      <c r="BN110" s="75">
        <f>Retailers!BJ109</f>
        <v/>
      </c>
      <c r="BP110" s="75" t="n">
        <v>114</v>
      </c>
      <c r="BQ110" s="75">
        <f>#REF!</f>
        <v/>
      </c>
      <c r="BR110" s="75">
        <f>#REF!</f>
        <v/>
      </c>
      <c r="BS110" s="75">
        <f>#REF!</f>
        <v/>
      </c>
      <c r="BU110" s="75" t="n">
        <v>114</v>
      </c>
      <c r="BV110" s="75">
        <f>Retailers!AS109</f>
        <v/>
      </c>
      <c r="BW110" s="75">
        <f>Retailers!AT109</f>
        <v/>
      </c>
      <c r="BX110" s="75">
        <f>Retailers!AU109</f>
        <v/>
      </c>
      <c r="BZ110" s="75" t="n">
        <v>114</v>
      </c>
      <c r="CA110" s="75">
        <f>Results!#REF!</f>
        <v/>
      </c>
      <c r="CB110" s="75">
        <f>Results!#REF!</f>
        <v/>
      </c>
      <c r="CC110" s="75">
        <f>Results!#REF!</f>
        <v/>
      </c>
      <c r="CE110" s="75" t="n">
        <v>114</v>
      </c>
      <c r="CF110" s="75">
        <f>Retailers!BN109</f>
        <v/>
      </c>
      <c r="CG110" s="75">
        <f>Retailers!BO109</f>
        <v/>
      </c>
      <c r="CH110" s="75">
        <f>Retailers!BP109</f>
        <v/>
      </c>
      <c r="CJ110" s="75" t="n">
        <v>114</v>
      </c>
      <c r="CK110" s="75">
        <f>IF(BB110="ret=0",0,IF(BB110&gt;0,AR110+Distributors_Cap!$P$47-BB110,0))</f>
        <v/>
      </c>
      <c r="CL110" s="75">
        <f>IF(BC110="ret=0",0,IF(BC110&gt;0,AS110+Distributors_Cap!$P$47-BC110,0))</f>
        <v/>
      </c>
      <c r="CM110" s="75">
        <f>IF(BD110="ret=0",0,IF(BD110&gt;0,AT110+Distributors_Cap!$P$47-BD110,0))</f>
        <v/>
      </c>
    </row>
    <row r="111">
      <c r="G111" s="75" t="n">
        <v>115</v>
      </c>
      <c r="H111" s="75" t="n">
        <v>72.24299999999999</v>
      </c>
      <c r="I111" s="75" t="n">
        <v>61.343</v>
      </c>
      <c r="J111" s="75" t="n">
        <v>51.138</v>
      </c>
      <c r="L111" s="75">
        <f>TRUNC((_xlfn.NORM.INV((RAND()),$K$7,$K$8)),0)</f>
        <v/>
      </c>
      <c r="M111" s="75" t="n">
        <v>115</v>
      </c>
      <c r="N111" s="5" t="n">
        <v>35</v>
      </c>
      <c r="O111" s="5" t="n">
        <v>40</v>
      </c>
      <c r="P111" s="5" t="n">
        <v>35</v>
      </c>
      <c r="R111" s="2">
        <f>IF(N111&gt;Demand!AU128,0,(IF(((2*(Retailers!AJ110+Distributors_Cap!$P$47)-Retailers_Cap!$BB$7)*(Demand!AU128-Retailers_Cap!N111))&lt;0,0,((IF(BB111&gt;2*(Retailers!AJ110+Distributors_Cap!$P$47),0,(IF(BG111=0,ROUNDUP((2*(Retailers!AJ110+Distributors_Cap!$P$47)-BB111)^0.5,0),ROUNDUP((2*(Retailers!AJ110+Distributors_Cap!$P$47)-BB111)^0.5,0)))))))))</f>
        <v/>
      </c>
      <c r="S111" s="2">
        <f>IF(O111&gt;Demand!AV128,0,(IF(((2*(Retailers!AK110+Distributors_Cap!$P$47)-Retailers_Cap!$BB$7)*(Demand!AV128-Retailers_Cap!O111))&lt;0,0,((IF(BC111&gt;2*(Retailers!AK110+Distributors_Cap!$P$47),0,(IF(BH111=0,ROUNDUP((2*(Retailers!AK110+Distributors_Cap!$P$47)-BC111)^0.5,0),ROUNDUP((2*(Retailers!AK110+Distributors_Cap!$P$47)-BC111)^0.5,0)))))))))</f>
        <v/>
      </c>
      <c r="T111" s="2">
        <f>IF(P111&gt;Demand!AW128,0,(IF(((2*(Retailers!AL110+Distributors_Cap!$P$47)-Retailers_Cap!$BB$7)*(Demand!AW128-Retailers_Cap!P111))&lt;0,0,((IF(BD111&gt;2*(Retailers!AL110+Distributors_Cap!$P$47),0,(IF(BI111=0,ROUNDUP((2*(Retailers!AL110+Distributors_Cap!$P$47)-BD111)^0.5,0),ROUNDUP((2*(Retailers!AL110+Distributors_Cap!$P$47)-BD111)^0.5,0)))))))))</f>
        <v/>
      </c>
      <c r="W111" s="75" t="n">
        <v>115</v>
      </c>
      <c r="X111" s="9" t="n">
        <v>0</v>
      </c>
      <c r="Y111" s="9" t="n">
        <v>0</v>
      </c>
      <c r="Z111" s="9" t="n">
        <v>0</v>
      </c>
      <c r="AB111" s="2">
        <f>ROUNDDOWN(LOG((X111+1),2),0)</f>
        <v/>
      </c>
      <c r="AC111" s="2">
        <f>ROUNDDOWN(LOG((Y111+1),2),0)</f>
        <v/>
      </c>
      <c r="AD111" s="2">
        <f>ROUNDDOWN(LOG((Z111+1),2),0)</f>
        <v/>
      </c>
      <c r="AG111" s="75" t="n">
        <v>115</v>
      </c>
      <c r="AH111" s="9" t="n">
        <v>0</v>
      </c>
      <c r="AI111" s="9" t="n">
        <v>0</v>
      </c>
      <c r="AJ111" s="9" t="n">
        <v>0</v>
      </c>
      <c r="AQ111" s="75" t="n">
        <v>115</v>
      </c>
      <c r="AR111" s="75" t="n">
        <v>72.24299999999999</v>
      </c>
      <c r="AS111" s="75" t="n">
        <v>61.343</v>
      </c>
      <c r="AT111" s="75" t="n">
        <v>51.138</v>
      </c>
      <c r="AV111" s="75" t="n">
        <v>115</v>
      </c>
      <c r="AW111" s="75">
        <f>Beginning_stock!AT139</f>
        <v/>
      </c>
      <c r="AX111" s="75">
        <f>Beginning_stock!AU139</f>
        <v/>
      </c>
      <c r="AY111" s="75">
        <f>Beginning_stock!AV139</f>
        <v/>
      </c>
      <c r="BA111" s="75" t="n">
        <v>115</v>
      </c>
      <c r="BB111" s="75">
        <f>IF(Demand!AU128=Retailers_Cap!N111,"ret=0",(AW111/(Demand!AU128-Retailers_Cap!N111)))</f>
        <v/>
      </c>
      <c r="BC111" s="75">
        <f>IF(Demand!AV128=Retailers_Cap!O111,"ret=0",(AX111/(Demand!AV128-Retailers_Cap!O111)))</f>
        <v/>
      </c>
      <c r="BD111" s="75">
        <f>IF(Demand!AW128=Retailers_Cap!P111,"ret=0",(AY111/(Demand!AW128-Retailers_Cap!P111)))</f>
        <v/>
      </c>
      <c r="BF111" s="75" t="n">
        <v>115</v>
      </c>
      <c r="BG111" s="2">
        <f>IF(Demand!AU128&lt;=Retailers_Cap!N111,"ret=0",(IF(BB111&lt;=AR111+Distributors_Cap!$P$47,1,0)))</f>
        <v/>
      </c>
      <c r="BH111" s="2">
        <f>IF(Demand!AV128&lt;=Retailers_Cap!O111,"ret=0",(IF(BC111&lt;=AS111+Distributors_Cap!$P$47,1,0)))</f>
        <v/>
      </c>
      <c r="BI111" s="2">
        <f>IF(Demand!AW128&lt;=Retailers_Cap!P111,"ret=0",(IF(BD111&lt;=AT111+Distributors_Cap!$P$47,1,0)))</f>
        <v/>
      </c>
      <c r="BK111" s="75" t="n">
        <v>115</v>
      </c>
      <c r="BL111" s="75">
        <f>Retailers!BH110</f>
        <v/>
      </c>
      <c r="BM111" s="75">
        <f>Retailers!BI110</f>
        <v/>
      </c>
      <c r="BN111" s="75">
        <f>Retailers!BJ110</f>
        <v/>
      </c>
      <c r="BP111" s="75" t="n">
        <v>115</v>
      </c>
      <c r="BQ111" s="75">
        <f>#REF!</f>
        <v/>
      </c>
      <c r="BR111" s="75">
        <f>#REF!</f>
        <v/>
      </c>
      <c r="BS111" s="75">
        <f>#REF!</f>
        <v/>
      </c>
      <c r="BU111" s="75" t="n">
        <v>115</v>
      </c>
      <c r="BV111" s="75">
        <f>Retailers!AS110</f>
        <v/>
      </c>
      <c r="BW111" s="75">
        <f>Retailers!AT110</f>
        <v/>
      </c>
      <c r="BX111" s="75">
        <f>Retailers!AU110</f>
        <v/>
      </c>
      <c r="BZ111" s="75" t="n">
        <v>115</v>
      </c>
      <c r="CA111" s="75">
        <f>Results!#REF!</f>
        <v/>
      </c>
      <c r="CB111" s="75">
        <f>Results!#REF!</f>
        <v/>
      </c>
      <c r="CC111" s="75">
        <f>Results!#REF!</f>
        <v/>
      </c>
      <c r="CE111" s="75" t="n">
        <v>115</v>
      </c>
      <c r="CF111" s="75">
        <f>Retailers!BN110</f>
        <v/>
      </c>
      <c r="CG111" s="75">
        <f>Retailers!BO110</f>
        <v/>
      </c>
      <c r="CH111" s="75">
        <f>Retailers!BP110</f>
        <v/>
      </c>
      <c r="CJ111" s="75" t="n">
        <v>115</v>
      </c>
      <c r="CK111" s="75">
        <f>IF(BB111="ret=0",0,IF(BB111&gt;0,AR111+Distributors_Cap!$P$47-BB111,0))</f>
        <v/>
      </c>
      <c r="CL111" s="75">
        <f>IF(BC111="ret=0",0,IF(BC111&gt;0,AS111+Distributors_Cap!$P$47-BC111,0))</f>
        <v/>
      </c>
      <c r="CM111" s="75">
        <f>IF(BD111="ret=0",0,IF(BD111&gt;0,AT111+Distributors_Cap!$P$47-BD111,0))</f>
        <v/>
      </c>
    </row>
    <row r="112">
      <c r="G112" s="75" t="n">
        <v>116</v>
      </c>
      <c r="H112" s="75" t="n">
        <v>55.163</v>
      </c>
      <c r="I112" s="75" t="n">
        <v>50.665</v>
      </c>
      <c r="J112" s="75" t="n">
        <v>68.902</v>
      </c>
      <c r="L112" s="75">
        <f>TRUNC((_xlfn.NORM.INV((RAND()),$K$7,$K$8)),0)</f>
        <v/>
      </c>
      <c r="M112" s="75" t="n">
        <v>116</v>
      </c>
      <c r="N112" s="5" t="n">
        <v>27</v>
      </c>
      <c r="O112" s="5" t="n">
        <v>38</v>
      </c>
      <c r="P112" s="5" t="n">
        <v>28</v>
      </c>
      <c r="R112" s="2">
        <f>IF(N112&gt;Demand!AU129,0,(IF(((2*(Retailers!AJ111+Distributors_Cap!$P$47)-Retailers_Cap!$BB$7)*(Demand!AU129-Retailers_Cap!N112))&lt;0,0,((IF(BB112&gt;2*(Retailers!AJ111+Distributors_Cap!$P$47),0,(IF(BG112=0,ROUNDUP((2*(Retailers!AJ111+Distributors_Cap!$P$47)-BB112)^0.5,0),ROUNDUP((2*(Retailers!AJ111+Distributors_Cap!$P$47)-BB112)^0.5,0)))))))))</f>
        <v/>
      </c>
      <c r="S112" s="2">
        <f>IF(O112&gt;Demand!AV129,0,(IF(((2*(Retailers!AK111+Distributors_Cap!$P$47)-Retailers_Cap!$BB$7)*(Demand!AV129-Retailers_Cap!O112))&lt;0,0,((IF(BC112&gt;2*(Retailers!AK111+Distributors_Cap!$P$47),0,(IF(BH112=0,ROUNDUP((2*(Retailers!AK111+Distributors_Cap!$P$47)-BC112)^0.5,0),ROUNDUP((2*(Retailers!AK111+Distributors_Cap!$P$47)-BC112)^0.5,0)))))))))</f>
        <v/>
      </c>
      <c r="T112" s="2">
        <f>IF(P112&gt;Demand!AW129,0,(IF(((2*(Retailers!AL111+Distributors_Cap!$P$47)-Retailers_Cap!$BB$7)*(Demand!AW129-Retailers_Cap!P112))&lt;0,0,((IF(BD112&gt;2*(Retailers!AL111+Distributors_Cap!$P$47),0,(IF(BI112=0,ROUNDUP((2*(Retailers!AL111+Distributors_Cap!$P$47)-BD112)^0.5,0),ROUNDUP((2*(Retailers!AL111+Distributors_Cap!$P$47)-BD112)^0.5,0)))))))))</f>
        <v/>
      </c>
      <c r="W112" s="75" t="n">
        <v>116</v>
      </c>
      <c r="X112" s="9" t="n">
        <v>0</v>
      </c>
      <c r="Y112" s="9" t="n">
        <v>0</v>
      </c>
      <c r="Z112" s="9" t="n">
        <v>0</v>
      </c>
      <c r="AB112" s="2">
        <f>ROUNDDOWN(LOG((X112+1),2),0)</f>
        <v/>
      </c>
      <c r="AC112" s="2">
        <f>ROUNDDOWN(LOG((Y112+1),2),0)</f>
        <v/>
      </c>
      <c r="AD112" s="2">
        <f>ROUNDDOWN(LOG((Z112+1),2),0)</f>
        <v/>
      </c>
      <c r="AG112" s="75" t="n">
        <v>116</v>
      </c>
      <c r="AH112" s="9" t="n">
        <v>0</v>
      </c>
      <c r="AI112" s="9" t="n">
        <v>0</v>
      </c>
      <c r="AJ112" s="9" t="n">
        <v>0</v>
      </c>
      <c r="AQ112" s="75" t="n">
        <v>116</v>
      </c>
      <c r="AR112" s="75" t="n">
        <v>55.163</v>
      </c>
      <c r="AS112" s="75" t="n">
        <v>50.665</v>
      </c>
      <c r="AT112" s="75" t="n">
        <v>68.902</v>
      </c>
      <c r="AV112" s="75" t="n">
        <v>116</v>
      </c>
      <c r="AW112" s="75">
        <f>Beginning_stock!AT140</f>
        <v/>
      </c>
      <c r="AX112" s="75">
        <f>Beginning_stock!AU140</f>
        <v/>
      </c>
      <c r="AY112" s="75">
        <f>Beginning_stock!AV140</f>
        <v/>
      </c>
      <c r="BA112" s="75" t="n">
        <v>116</v>
      </c>
      <c r="BB112" s="75">
        <f>IF(Demand!AU129=Retailers_Cap!N112,"ret=0",(AW112/(Demand!AU129-Retailers_Cap!N112)))</f>
        <v/>
      </c>
      <c r="BC112" s="75">
        <f>IF(Demand!AV129=Retailers_Cap!O112,"ret=0",(AX112/(Demand!AV129-Retailers_Cap!O112)))</f>
        <v/>
      </c>
      <c r="BD112" s="75">
        <f>IF(Demand!AW129=Retailers_Cap!P112,"ret=0",(AY112/(Demand!AW129-Retailers_Cap!P112)))</f>
        <v/>
      </c>
      <c r="BF112" s="75" t="n">
        <v>116</v>
      </c>
      <c r="BG112" s="2">
        <f>IF(Demand!AU129&lt;=Retailers_Cap!N112,"ret=0",(IF(BB112&lt;=AR112+Distributors_Cap!$P$47,1,0)))</f>
        <v/>
      </c>
      <c r="BH112" s="2">
        <f>IF(Demand!AV129&lt;=Retailers_Cap!O112,"ret=0",(IF(BC112&lt;=AS112+Distributors_Cap!$P$47,1,0)))</f>
        <v/>
      </c>
      <c r="BI112" s="2">
        <f>IF(Demand!AW129&lt;=Retailers_Cap!P112,"ret=0",(IF(BD112&lt;=AT112+Distributors_Cap!$P$47,1,0)))</f>
        <v/>
      </c>
      <c r="BK112" s="75" t="n">
        <v>116</v>
      </c>
      <c r="BL112" s="75">
        <f>Retailers!BH111</f>
        <v/>
      </c>
      <c r="BM112" s="75">
        <f>Retailers!BI111</f>
        <v/>
      </c>
      <c r="BN112" s="75">
        <f>Retailers!BJ111</f>
        <v/>
      </c>
      <c r="BP112" s="75" t="n">
        <v>116</v>
      </c>
      <c r="BQ112" s="75">
        <f>#REF!</f>
        <v/>
      </c>
      <c r="BR112" s="75">
        <f>#REF!</f>
        <v/>
      </c>
      <c r="BS112" s="75">
        <f>#REF!</f>
        <v/>
      </c>
      <c r="BU112" s="75" t="n">
        <v>116</v>
      </c>
      <c r="BV112" s="75">
        <f>Retailers!AS111</f>
        <v/>
      </c>
      <c r="BW112" s="75">
        <f>Retailers!AT111</f>
        <v/>
      </c>
      <c r="BX112" s="75">
        <f>Retailers!AU111</f>
        <v/>
      </c>
      <c r="BZ112" s="75" t="n">
        <v>116</v>
      </c>
      <c r="CA112" s="75">
        <f>Results!#REF!</f>
        <v/>
      </c>
      <c r="CB112" s="75">
        <f>Results!#REF!</f>
        <v/>
      </c>
      <c r="CC112" s="75">
        <f>Results!#REF!</f>
        <v/>
      </c>
      <c r="CE112" s="75" t="n">
        <v>116</v>
      </c>
      <c r="CF112" s="75">
        <f>Retailers!BN111</f>
        <v/>
      </c>
      <c r="CG112" s="75">
        <f>Retailers!BO111</f>
        <v/>
      </c>
      <c r="CH112" s="75">
        <f>Retailers!BP111</f>
        <v/>
      </c>
      <c r="CJ112" s="75" t="n">
        <v>116</v>
      </c>
      <c r="CK112" s="75">
        <f>IF(BB112="ret=0",0,IF(BB112&gt;0,AR112+Distributors_Cap!$P$47-BB112,0))</f>
        <v/>
      </c>
      <c r="CL112" s="75">
        <f>IF(BC112="ret=0",0,IF(BC112&gt;0,AS112+Distributors_Cap!$P$47-BC112,0))</f>
        <v/>
      </c>
      <c r="CM112" s="75">
        <f>IF(BD112="ret=0",0,IF(BD112&gt;0,AT112+Distributors_Cap!$P$47-BD112,0))</f>
        <v/>
      </c>
    </row>
    <row r="113">
      <c r="G113" s="75" t="n">
        <v>117</v>
      </c>
      <c r="H113" s="75" t="n">
        <v>50.155</v>
      </c>
      <c r="I113" s="75" t="n">
        <v>80.922</v>
      </c>
      <c r="J113" s="75" t="n">
        <v>64.733</v>
      </c>
      <c r="L113" s="75">
        <f>TRUNC((_xlfn.NORM.INV((RAND()),$K$7,$K$8)),0)</f>
        <v/>
      </c>
      <c r="M113" s="75" t="n">
        <v>117</v>
      </c>
      <c r="N113" s="5" t="n">
        <v>28</v>
      </c>
      <c r="O113" s="5" t="n">
        <v>24</v>
      </c>
      <c r="P113" s="5" t="n">
        <v>30</v>
      </c>
      <c r="R113" s="2">
        <f>IF(N113&gt;Demand!AU130,0,(IF(((2*(Retailers!AJ112+Distributors_Cap!$P$47)-Retailers_Cap!$BB$7)*(Demand!AU130-Retailers_Cap!N113))&lt;0,0,((IF(BB113&gt;2*(Retailers!AJ112+Distributors_Cap!$P$47),0,(IF(BG113=0,ROUNDUP((2*(Retailers!AJ112+Distributors_Cap!$P$47)-BB113)^0.5,0),ROUNDUP((2*(Retailers!AJ112+Distributors_Cap!$P$47)-BB113)^0.5,0)))))))))</f>
        <v/>
      </c>
      <c r="S113" s="2">
        <f>IF(O113&gt;Demand!AV130,0,(IF(((2*(Retailers!AK112+Distributors_Cap!$P$47)-Retailers_Cap!$BB$7)*(Demand!AV130-Retailers_Cap!O113))&lt;0,0,((IF(BC113&gt;2*(Retailers!AK112+Distributors_Cap!$P$47),0,(IF(BH113=0,ROUNDUP((2*(Retailers!AK112+Distributors_Cap!$P$47)-BC113)^0.5,0),ROUNDUP((2*(Retailers!AK112+Distributors_Cap!$P$47)-BC113)^0.5,0)))))))))</f>
        <v/>
      </c>
      <c r="T113" s="2">
        <f>IF(P113&gt;Demand!AW130,0,(IF(((2*(Retailers!AL112+Distributors_Cap!$P$47)-Retailers_Cap!$BB$7)*(Demand!AW130-Retailers_Cap!P113))&lt;0,0,((IF(BD113&gt;2*(Retailers!AL112+Distributors_Cap!$P$47),0,(IF(BI113=0,ROUNDUP((2*(Retailers!AL112+Distributors_Cap!$P$47)-BD113)^0.5,0),ROUNDUP((2*(Retailers!AL112+Distributors_Cap!$P$47)-BD113)^0.5,0)))))))))</f>
        <v/>
      </c>
      <c r="W113" s="75" t="n">
        <v>117</v>
      </c>
      <c r="X113" s="9" t="n">
        <v>0</v>
      </c>
      <c r="Y113" s="9" t="n">
        <v>0</v>
      </c>
      <c r="Z113" s="9" t="n">
        <v>10</v>
      </c>
      <c r="AB113" s="2">
        <f>ROUNDDOWN(LOG((X113+1),2),0)</f>
        <v/>
      </c>
      <c r="AC113" s="2">
        <f>ROUNDDOWN(LOG((Y113+1),2),0)</f>
        <v/>
      </c>
      <c r="AD113" s="2">
        <f>ROUNDDOWN(LOG((Z113+1),2),0)</f>
        <v/>
      </c>
      <c r="AG113" s="75" t="n">
        <v>117</v>
      </c>
      <c r="AH113" s="9" t="n">
        <v>0</v>
      </c>
      <c r="AI113" s="9" t="n">
        <v>0</v>
      </c>
      <c r="AJ113" s="9" t="n">
        <v>3</v>
      </c>
      <c r="AQ113" s="75" t="n">
        <v>117</v>
      </c>
      <c r="AR113" s="75" t="n">
        <v>50.155</v>
      </c>
      <c r="AS113" s="75" t="n">
        <v>80.922</v>
      </c>
      <c r="AT113" s="75" t="n">
        <v>64.733</v>
      </c>
      <c r="AV113" s="75" t="n">
        <v>117</v>
      </c>
      <c r="AW113" s="75">
        <f>Beginning_stock!AT141</f>
        <v/>
      </c>
      <c r="AX113" s="75">
        <f>Beginning_stock!AU141</f>
        <v/>
      </c>
      <c r="AY113" s="75">
        <f>Beginning_stock!AV141</f>
        <v/>
      </c>
      <c r="BA113" s="75" t="n">
        <v>117</v>
      </c>
      <c r="BB113" s="75">
        <f>IF(Demand!AU130=Retailers_Cap!N113,"ret=0",(AW113/(Demand!AU130-Retailers_Cap!N113)))</f>
        <v/>
      </c>
      <c r="BC113" s="75">
        <f>IF(Demand!AV130=Retailers_Cap!O113,"ret=0",(AX113/(Demand!AV130-Retailers_Cap!O113)))</f>
        <v/>
      </c>
      <c r="BD113" s="75">
        <f>IF(Demand!AW130=Retailers_Cap!P113,"ret=0",(AY113/(Demand!AW130-Retailers_Cap!P113)))</f>
        <v/>
      </c>
      <c r="BF113" s="75" t="n">
        <v>117</v>
      </c>
      <c r="BG113" s="2">
        <f>IF(Demand!AU130&lt;=Retailers_Cap!N113,"ret=0",(IF(BB113&lt;=AR113+Distributors_Cap!$P$47,1,0)))</f>
        <v/>
      </c>
      <c r="BH113" s="2">
        <f>IF(Demand!AV130&lt;=Retailers_Cap!O113,"ret=0",(IF(BC113&lt;=AS113+Distributors_Cap!$P$47,1,0)))</f>
        <v/>
      </c>
      <c r="BI113" s="2">
        <f>IF(Demand!AW130&lt;=Retailers_Cap!P113,"ret=0",(IF(BD113&lt;=AT113+Distributors_Cap!$P$47,1,0)))</f>
        <v/>
      </c>
      <c r="BK113" s="75" t="n">
        <v>117</v>
      </c>
      <c r="BL113" s="75">
        <f>Retailers!BH112</f>
        <v/>
      </c>
      <c r="BM113" s="75">
        <f>Retailers!BI112</f>
        <v/>
      </c>
      <c r="BN113" s="75">
        <f>Retailers!BJ112</f>
        <v/>
      </c>
      <c r="BP113" s="75" t="n">
        <v>117</v>
      </c>
      <c r="BQ113" s="75">
        <f>#REF!</f>
        <v/>
      </c>
      <c r="BR113" s="75">
        <f>#REF!</f>
        <v/>
      </c>
      <c r="BS113" s="75">
        <f>#REF!</f>
        <v/>
      </c>
      <c r="BU113" s="75" t="n">
        <v>117</v>
      </c>
      <c r="BV113" s="75">
        <f>Retailers!AS112</f>
        <v/>
      </c>
      <c r="BW113" s="75">
        <f>Retailers!AT112</f>
        <v/>
      </c>
      <c r="BX113" s="75">
        <f>Retailers!AU112</f>
        <v/>
      </c>
      <c r="BZ113" s="75" t="n">
        <v>117</v>
      </c>
      <c r="CA113" s="75">
        <f>Results!#REF!</f>
        <v/>
      </c>
      <c r="CB113" s="75">
        <f>Results!#REF!</f>
        <v/>
      </c>
      <c r="CC113" s="75">
        <f>Results!#REF!</f>
        <v/>
      </c>
      <c r="CE113" s="75" t="n">
        <v>117</v>
      </c>
      <c r="CF113" s="75">
        <f>Retailers!BN112</f>
        <v/>
      </c>
      <c r="CG113" s="75">
        <f>Retailers!BO112</f>
        <v/>
      </c>
      <c r="CH113" s="75">
        <f>Retailers!BP112</f>
        <v/>
      </c>
      <c r="CJ113" s="75" t="n">
        <v>117</v>
      </c>
      <c r="CK113" s="75">
        <f>IF(BB113="ret=0",0,IF(BB113&gt;0,AR113+Distributors_Cap!$P$47-BB113,0))</f>
        <v/>
      </c>
      <c r="CL113" s="75">
        <f>IF(BC113="ret=0",0,IF(BC113&gt;0,AS113+Distributors_Cap!$P$47-BC113,0))</f>
        <v/>
      </c>
      <c r="CM113" s="75">
        <f>IF(BD113="ret=0",0,IF(BD113&gt;0,AT113+Distributors_Cap!$P$47-BD113,0))</f>
        <v/>
      </c>
    </row>
    <row r="114">
      <c r="G114" s="75" t="n">
        <v>118</v>
      </c>
      <c r="H114" s="75" t="n">
        <v>74.36</v>
      </c>
      <c r="I114" s="75" t="n">
        <v>59.638</v>
      </c>
      <c r="J114" s="75" t="n">
        <v>63.48</v>
      </c>
      <c r="L114" s="75">
        <f>TRUNC((_xlfn.NORM.INV((RAND()),$K$7,$K$8)),0)</f>
        <v/>
      </c>
      <c r="M114" s="75" t="n">
        <v>118</v>
      </c>
      <c r="N114" s="5" t="n">
        <v>22</v>
      </c>
      <c r="O114" s="5" t="n">
        <v>34</v>
      </c>
      <c r="P114" s="5" t="n">
        <v>28</v>
      </c>
      <c r="R114" s="2">
        <f>IF(N114&gt;Demand!AU131,0,(IF(((2*(Retailers!AJ113+Distributors_Cap!$P$47)-Retailers_Cap!$BB$7)*(Demand!AU131-Retailers_Cap!N114))&lt;0,0,((IF(BB114&gt;2*(Retailers!AJ113+Distributors_Cap!$P$47),0,(IF(BG114=0,ROUNDUP((2*(Retailers!AJ113+Distributors_Cap!$P$47)-BB114)^0.5,0),ROUNDUP((2*(Retailers!AJ113+Distributors_Cap!$P$47)-BB114)^0.5,0)))))))))</f>
        <v/>
      </c>
      <c r="S114" s="2">
        <f>IF(O114&gt;Demand!AV131,0,(IF(((2*(Retailers!AK113+Distributors_Cap!$P$47)-Retailers_Cap!$BB$7)*(Demand!AV131-Retailers_Cap!O114))&lt;0,0,((IF(BC114&gt;2*(Retailers!AK113+Distributors_Cap!$P$47),0,(IF(BH114=0,ROUNDUP((2*(Retailers!AK113+Distributors_Cap!$P$47)-BC114)^0.5,0),ROUNDUP((2*(Retailers!AK113+Distributors_Cap!$P$47)-BC114)^0.5,0)))))))))</f>
        <v/>
      </c>
      <c r="T114" s="2">
        <f>IF(P114&gt;Demand!AW131,0,(IF(((2*(Retailers!AL113+Distributors_Cap!$P$47)-Retailers_Cap!$BB$7)*(Demand!AW131-Retailers_Cap!P114))&lt;0,0,((IF(BD114&gt;2*(Retailers!AL113+Distributors_Cap!$P$47),0,(IF(BI114=0,ROUNDUP((2*(Retailers!AL113+Distributors_Cap!$P$47)-BD114)^0.5,0),ROUNDUP((2*(Retailers!AL113+Distributors_Cap!$P$47)-BD114)^0.5,0)))))))))</f>
        <v/>
      </c>
      <c r="W114" s="75" t="n">
        <v>118</v>
      </c>
      <c r="X114" s="9" t="n">
        <v>14</v>
      </c>
      <c r="Y114" s="9" t="n">
        <v>0</v>
      </c>
      <c r="Z114" s="9" t="n">
        <v>0</v>
      </c>
      <c r="AB114" s="2">
        <f>ROUNDDOWN(LOG((X114+1),2),0)</f>
        <v/>
      </c>
      <c r="AC114" s="2">
        <f>ROUNDDOWN(LOG((Y114+1),2),0)</f>
        <v/>
      </c>
      <c r="AD114" s="2">
        <f>ROUNDDOWN(LOG((Z114+1),2),0)</f>
        <v/>
      </c>
      <c r="AG114" s="75" t="n">
        <v>118</v>
      </c>
      <c r="AH114" s="9" t="n">
        <v>3</v>
      </c>
      <c r="AI114" s="9" t="n">
        <v>0</v>
      </c>
      <c r="AJ114" s="9" t="n">
        <v>0</v>
      </c>
      <c r="AQ114" s="75" t="n">
        <v>118</v>
      </c>
      <c r="AR114" s="75" t="n">
        <v>74.36</v>
      </c>
      <c r="AS114" s="75" t="n">
        <v>59.638</v>
      </c>
      <c r="AT114" s="75" t="n">
        <v>63.48</v>
      </c>
      <c r="AV114" s="75" t="n">
        <v>118</v>
      </c>
      <c r="AW114" s="75">
        <f>Beginning_stock!AT142</f>
        <v/>
      </c>
      <c r="AX114" s="75">
        <f>Beginning_stock!AU142</f>
        <v/>
      </c>
      <c r="AY114" s="75">
        <f>Beginning_stock!AV142</f>
        <v/>
      </c>
      <c r="BA114" s="75" t="n">
        <v>118</v>
      </c>
      <c r="BB114" s="75">
        <f>IF(Demand!AU131=Retailers_Cap!N114,"ret=0",(AW114/(Demand!AU131-Retailers_Cap!N114)))</f>
        <v/>
      </c>
      <c r="BC114" s="75">
        <f>IF(Demand!AV131=Retailers_Cap!O114,"ret=0",(AX114/(Demand!AV131-Retailers_Cap!O114)))</f>
        <v/>
      </c>
      <c r="BD114" s="75">
        <f>IF(Demand!AW131=Retailers_Cap!P114,"ret=0",(AY114/(Demand!AW131-Retailers_Cap!P114)))</f>
        <v/>
      </c>
      <c r="BF114" s="75" t="n">
        <v>118</v>
      </c>
      <c r="BG114" s="2">
        <f>IF(Demand!AU131&lt;=Retailers_Cap!N114,"ret=0",(IF(BB114&lt;=AR114+Distributors_Cap!$P$47,1,0)))</f>
        <v/>
      </c>
      <c r="BH114" s="2">
        <f>IF(Demand!AV131&lt;=Retailers_Cap!O114,"ret=0",(IF(BC114&lt;=AS114+Distributors_Cap!$P$47,1,0)))</f>
        <v/>
      </c>
      <c r="BI114" s="2">
        <f>IF(Demand!AW131&lt;=Retailers_Cap!P114,"ret=0",(IF(BD114&lt;=AT114+Distributors_Cap!$P$47,1,0)))</f>
        <v/>
      </c>
      <c r="BK114" s="75" t="n">
        <v>118</v>
      </c>
      <c r="BL114" s="75">
        <f>Retailers!BH113</f>
        <v/>
      </c>
      <c r="BM114" s="75">
        <f>Retailers!BI113</f>
        <v/>
      </c>
      <c r="BN114" s="75">
        <f>Retailers!BJ113</f>
        <v/>
      </c>
      <c r="BP114" s="75" t="n">
        <v>118</v>
      </c>
      <c r="BQ114" s="75">
        <f>#REF!</f>
        <v/>
      </c>
      <c r="BR114" s="75">
        <f>#REF!</f>
        <v/>
      </c>
      <c r="BS114" s="75">
        <f>#REF!</f>
        <v/>
      </c>
      <c r="BU114" s="75" t="n">
        <v>118</v>
      </c>
      <c r="BV114" s="75">
        <f>Retailers!AS113</f>
        <v/>
      </c>
      <c r="BW114" s="75">
        <f>Retailers!AT113</f>
        <v/>
      </c>
      <c r="BX114" s="75">
        <f>Retailers!AU113</f>
        <v/>
      </c>
      <c r="BZ114" s="75" t="n">
        <v>118</v>
      </c>
      <c r="CA114" s="75">
        <f>Results!#REF!</f>
        <v/>
      </c>
      <c r="CB114" s="75">
        <f>Results!#REF!</f>
        <v/>
      </c>
      <c r="CC114" s="75">
        <f>Results!#REF!</f>
        <v/>
      </c>
      <c r="CE114" s="75" t="n">
        <v>118</v>
      </c>
      <c r="CF114" s="75">
        <f>Retailers!BN113</f>
        <v/>
      </c>
      <c r="CG114" s="75">
        <f>Retailers!BO113</f>
        <v/>
      </c>
      <c r="CH114" s="75">
        <f>Retailers!BP113</f>
        <v/>
      </c>
      <c r="CJ114" s="75" t="n">
        <v>118</v>
      </c>
      <c r="CK114" s="75">
        <f>IF(BB114="ret=0",0,IF(BB114&gt;0,AR114+Distributors_Cap!$P$47-BB114,0))</f>
        <v/>
      </c>
      <c r="CL114" s="75">
        <f>IF(BC114="ret=0",0,IF(BC114&gt;0,AS114+Distributors_Cap!$P$47-BC114,0))</f>
        <v/>
      </c>
      <c r="CM114" s="75">
        <f>IF(BD114="ret=0",0,IF(BD114&gt;0,AT114+Distributors_Cap!$P$47-BD114,0))</f>
        <v/>
      </c>
    </row>
    <row r="115">
      <c r="G115" s="75" t="n">
        <v>119</v>
      </c>
      <c r="H115" s="75" t="n">
        <v>74.07599999999999</v>
      </c>
      <c r="I115" s="75" t="n">
        <v>82.202</v>
      </c>
      <c r="J115" s="75" t="n">
        <v>33.994</v>
      </c>
      <c r="L115" s="75">
        <f>TRUNC((_xlfn.NORM.INV((RAND()),$K$7,$K$8)),0)</f>
        <v/>
      </c>
      <c r="M115" s="75" t="n">
        <v>119</v>
      </c>
      <c r="N115" s="5" t="n">
        <v>17</v>
      </c>
      <c r="O115" s="5" t="n">
        <v>40</v>
      </c>
      <c r="P115" s="5" t="n">
        <v>27</v>
      </c>
      <c r="R115" s="2">
        <f>IF(N115&gt;Demand!AU132,0,(IF(((2*(Retailers!AJ114+Distributors_Cap!$P$47)-Retailers_Cap!$BB$7)*(Demand!AU132-Retailers_Cap!N115))&lt;0,0,((IF(BB115&gt;2*(Retailers!AJ114+Distributors_Cap!$P$47),0,(IF(BG115=0,ROUNDUP((2*(Retailers!AJ114+Distributors_Cap!$P$47)-BB115)^0.5,0),ROUNDUP((2*(Retailers!AJ114+Distributors_Cap!$P$47)-BB115)^0.5,0)))))))))</f>
        <v/>
      </c>
      <c r="S115" s="2">
        <f>IF(O115&gt;Demand!AV132,0,(IF(((2*(Retailers!AK114+Distributors_Cap!$P$47)-Retailers_Cap!$BB$7)*(Demand!AV132-Retailers_Cap!O115))&lt;0,0,((IF(BC115&gt;2*(Retailers!AK114+Distributors_Cap!$P$47),0,(IF(BH115=0,ROUNDUP((2*(Retailers!AK114+Distributors_Cap!$P$47)-BC115)^0.5,0),ROUNDUP((2*(Retailers!AK114+Distributors_Cap!$P$47)-BC115)^0.5,0)))))))))</f>
        <v/>
      </c>
      <c r="T115" s="2">
        <f>IF(P115&gt;Demand!AW132,0,(IF(((2*(Retailers!AL114+Distributors_Cap!$P$47)-Retailers_Cap!$BB$7)*(Demand!AW132-Retailers_Cap!P115))&lt;0,0,((IF(BD115&gt;2*(Retailers!AL114+Distributors_Cap!$P$47),0,(IF(BI115=0,ROUNDUP((2*(Retailers!AL114+Distributors_Cap!$P$47)-BD115)^0.5,0),ROUNDUP((2*(Retailers!AL114+Distributors_Cap!$P$47)-BD115)^0.5,0)))))))))</f>
        <v/>
      </c>
      <c r="W115" s="75" t="n">
        <v>119</v>
      </c>
      <c r="X115" s="9" t="n">
        <v>14</v>
      </c>
      <c r="Y115" s="9" t="n">
        <v>0</v>
      </c>
      <c r="Z115" s="9" t="n">
        <v>7</v>
      </c>
      <c r="AB115" s="2">
        <f>ROUNDDOWN(LOG((X115+1),2),0)</f>
        <v/>
      </c>
      <c r="AC115" s="2">
        <f>ROUNDDOWN(LOG((Y115+1),2),0)</f>
        <v/>
      </c>
      <c r="AD115" s="2">
        <f>ROUNDDOWN(LOG((Z115+1),2),0)</f>
        <v/>
      </c>
      <c r="AG115" s="75" t="n">
        <v>119</v>
      </c>
      <c r="AH115" s="9" t="n">
        <v>3</v>
      </c>
      <c r="AI115" s="9" t="n">
        <v>0</v>
      </c>
      <c r="AJ115" s="9" t="n">
        <v>3</v>
      </c>
      <c r="AQ115" s="75" t="n">
        <v>119</v>
      </c>
      <c r="AR115" s="75" t="n">
        <v>74.07599999999999</v>
      </c>
      <c r="AS115" s="75" t="n">
        <v>82.202</v>
      </c>
      <c r="AT115" s="75" t="n">
        <v>33.994</v>
      </c>
      <c r="AV115" s="75" t="n">
        <v>119</v>
      </c>
      <c r="AW115" s="75">
        <f>Beginning_stock!AT143</f>
        <v/>
      </c>
      <c r="AX115" s="75">
        <f>Beginning_stock!AU143</f>
        <v/>
      </c>
      <c r="AY115" s="75">
        <f>Beginning_stock!AV143</f>
        <v/>
      </c>
      <c r="BA115" s="75" t="n">
        <v>119</v>
      </c>
      <c r="BB115" s="75">
        <f>IF(Demand!AU132=Retailers_Cap!N115,"ret=0",(AW115/(Demand!AU132-Retailers_Cap!N115)))</f>
        <v/>
      </c>
      <c r="BC115" s="75">
        <f>IF(Demand!AV132=Retailers_Cap!O115,"ret=0",(AX115/(Demand!AV132-Retailers_Cap!O115)))</f>
        <v/>
      </c>
      <c r="BD115" s="75">
        <f>IF(Demand!AW132=Retailers_Cap!P115,"ret=0",(AY115/(Demand!AW132-Retailers_Cap!P115)))</f>
        <v/>
      </c>
      <c r="BF115" s="75" t="n">
        <v>119</v>
      </c>
      <c r="BG115" s="2">
        <f>IF(Demand!AU132&lt;=Retailers_Cap!N115,"ret=0",(IF(BB115&lt;=AR115+Distributors_Cap!$P$47,1,0)))</f>
        <v/>
      </c>
      <c r="BH115" s="2">
        <f>IF(Demand!AV132&lt;=Retailers_Cap!O115,"ret=0",(IF(BC115&lt;=AS115+Distributors_Cap!$P$47,1,0)))</f>
        <v/>
      </c>
      <c r="BI115" s="2">
        <f>IF(Demand!AW132&lt;=Retailers_Cap!P115,"ret=0",(IF(BD115&lt;=AT115+Distributors_Cap!$P$47,1,0)))</f>
        <v/>
      </c>
      <c r="BK115" s="75" t="n">
        <v>119</v>
      </c>
      <c r="BL115" s="75">
        <f>Retailers!BH114</f>
        <v/>
      </c>
      <c r="BM115" s="75">
        <f>Retailers!BI114</f>
        <v/>
      </c>
      <c r="BN115" s="75">
        <f>Retailers!BJ114</f>
        <v/>
      </c>
      <c r="BP115" s="75" t="n">
        <v>119</v>
      </c>
      <c r="BQ115" s="75">
        <f>#REF!</f>
        <v/>
      </c>
      <c r="BR115" s="75">
        <f>#REF!</f>
        <v/>
      </c>
      <c r="BS115" s="75">
        <f>#REF!</f>
        <v/>
      </c>
      <c r="BU115" s="75" t="n">
        <v>119</v>
      </c>
      <c r="BV115" s="75">
        <f>Retailers!AS114</f>
        <v/>
      </c>
      <c r="BW115" s="75">
        <f>Retailers!AT114</f>
        <v/>
      </c>
      <c r="BX115" s="75">
        <f>Retailers!AU114</f>
        <v/>
      </c>
      <c r="BZ115" s="75" t="n">
        <v>119</v>
      </c>
      <c r="CA115" s="75">
        <f>Results!#REF!</f>
        <v/>
      </c>
      <c r="CB115" s="75">
        <f>Results!#REF!</f>
        <v/>
      </c>
      <c r="CC115" s="75">
        <f>Results!#REF!</f>
        <v/>
      </c>
      <c r="CE115" s="75" t="n">
        <v>119</v>
      </c>
      <c r="CF115" s="75">
        <f>Retailers!BN114</f>
        <v/>
      </c>
      <c r="CG115" s="75">
        <f>Retailers!BO114</f>
        <v/>
      </c>
      <c r="CH115" s="75">
        <f>Retailers!BP114</f>
        <v/>
      </c>
      <c r="CJ115" s="75" t="n">
        <v>119</v>
      </c>
      <c r="CK115" s="75">
        <f>IF(BB115="ret=0",0,IF(BB115&gt;0,AR115+Distributors_Cap!$P$47-BB115,0))</f>
        <v/>
      </c>
      <c r="CL115" s="75">
        <f>IF(BC115="ret=0",0,IF(BC115&gt;0,AS115+Distributors_Cap!$P$47-BC115,0))</f>
        <v/>
      </c>
      <c r="CM115" s="75">
        <f>IF(BD115="ret=0",0,IF(BD115&gt;0,AT115+Distributors_Cap!$P$47-BD115,0))</f>
        <v/>
      </c>
    </row>
    <row r="116">
      <c r="G116" s="75" t="n">
        <v>120</v>
      </c>
      <c r="H116" s="75" t="n">
        <v>46.669</v>
      </c>
      <c r="I116" s="75" t="n">
        <v>78.35899999999999</v>
      </c>
      <c r="J116" s="75" t="n">
        <v>74.94</v>
      </c>
      <c r="L116" s="75">
        <f>TRUNC((_xlfn.NORM.INV((RAND()),$K$7,$K$8)),0)</f>
        <v/>
      </c>
      <c r="M116" s="75" t="n">
        <v>120</v>
      </c>
      <c r="N116" s="5" t="n">
        <v>34</v>
      </c>
      <c r="O116" s="5" t="n">
        <v>19</v>
      </c>
      <c r="P116" s="5" t="n">
        <v>22</v>
      </c>
      <c r="R116" s="2">
        <f>IF(N116&gt;Demand!AU133,0,(IF(((2*(Retailers!AJ115+Distributors_Cap!$P$47)-Retailers_Cap!$BB$7)*(Demand!AU133-Retailers_Cap!N116))&lt;0,0,((IF(BB116&gt;2*(Retailers!AJ115+Distributors_Cap!$P$47),0,(IF(BG116=0,ROUNDUP((2*(Retailers!AJ115+Distributors_Cap!$P$47)-BB116)^0.5,0),ROUNDUP((2*(Retailers!AJ115+Distributors_Cap!$P$47)-BB116)^0.5,0)))))))))</f>
        <v/>
      </c>
      <c r="S116" s="2">
        <f>IF(O116&gt;Demand!AV133,0,(IF(((2*(Retailers!AK115+Distributors_Cap!$P$47)-Retailers_Cap!$BB$7)*(Demand!AV133-Retailers_Cap!O116))&lt;0,0,((IF(BC116&gt;2*(Retailers!AK115+Distributors_Cap!$P$47),0,(IF(BH116=0,ROUNDUP((2*(Retailers!AK115+Distributors_Cap!$P$47)-BC116)^0.5,0),ROUNDUP((2*(Retailers!AK115+Distributors_Cap!$P$47)-BC116)^0.5,0)))))))))</f>
        <v/>
      </c>
      <c r="T116" s="2">
        <f>IF(P116&gt;Demand!AW133,0,(IF(((2*(Retailers!AL115+Distributors_Cap!$P$47)-Retailers_Cap!$BB$7)*(Demand!AW133-Retailers_Cap!P116))&lt;0,0,((IF(BD116&gt;2*(Retailers!AL115+Distributors_Cap!$P$47),0,(IF(BI116=0,ROUNDUP((2*(Retailers!AL115+Distributors_Cap!$P$47)-BD116)^0.5,0),ROUNDUP((2*(Retailers!AL115+Distributors_Cap!$P$47)-BD116)^0.5,0)))))))))</f>
        <v/>
      </c>
      <c r="W116" s="75" t="n">
        <v>120</v>
      </c>
      <c r="X116" s="9" t="n">
        <v>0</v>
      </c>
      <c r="Y116" s="9" t="n">
        <v>14</v>
      </c>
      <c r="Z116" s="9" t="n">
        <v>13</v>
      </c>
      <c r="AB116" s="2">
        <f>ROUNDDOWN(LOG((X116+1),2),0)</f>
        <v/>
      </c>
      <c r="AC116" s="2">
        <f>ROUNDDOWN(LOG((Y116+1),2),0)</f>
        <v/>
      </c>
      <c r="AD116" s="2">
        <f>ROUNDDOWN(LOG((Z116+1),2),0)</f>
        <v/>
      </c>
      <c r="AG116" s="75" t="n">
        <v>120</v>
      </c>
      <c r="AH116" s="9" t="n">
        <v>0</v>
      </c>
      <c r="AI116" s="9" t="n">
        <v>3</v>
      </c>
      <c r="AJ116" s="9" t="n">
        <v>3</v>
      </c>
      <c r="AQ116" s="75" t="n">
        <v>120</v>
      </c>
      <c r="AR116" s="75" t="n">
        <v>46.669</v>
      </c>
      <c r="AS116" s="75" t="n">
        <v>78.35899999999999</v>
      </c>
      <c r="AT116" s="75" t="n">
        <v>74.94</v>
      </c>
      <c r="AV116" s="75" t="n">
        <v>120</v>
      </c>
      <c r="AW116" s="75">
        <f>Beginning_stock!AT144</f>
        <v/>
      </c>
      <c r="AX116" s="75">
        <f>Beginning_stock!AU144</f>
        <v/>
      </c>
      <c r="AY116" s="75">
        <f>Beginning_stock!AV144</f>
        <v/>
      </c>
      <c r="BA116" s="75" t="n">
        <v>120</v>
      </c>
      <c r="BB116" s="75">
        <f>IF(Demand!AU133=Retailers_Cap!N116,"ret=0",(AW116/(Demand!AU133-Retailers_Cap!N116)))</f>
        <v/>
      </c>
      <c r="BC116" s="75">
        <f>IF(Demand!AV133=Retailers_Cap!O116,"ret=0",(AX116/(Demand!AV133-Retailers_Cap!O116)))</f>
        <v/>
      </c>
      <c r="BD116" s="75">
        <f>IF(Demand!AW133=Retailers_Cap!P116,"ret=0",(AY116/(Demand!AW133-Retailers_Cap!P116)))</f>
        <v/>
      </c>
      <c r="BF116" s="75" t="n">
        <v>120</v>
      </c>
      <c r="BG116" s="2">
        <f>IF(Demand!AU133&lt;=Retailers_Cap!N116,"ret=0",(IF(BB116&lt;=AR116+Distributors_Cap!$P$47,1,0)))</f>
        <v/>
      </c>
      <c r="BH116" s="2">
        <f>IF(Demand!AV133&lt;=Retailers_Cap!O116,"ret=0",(IF(BC116&lt;=AS116+Distributors_Cap!$P$47,1,0)))</f>
        <v/>
      </c>
      <c r="BI116" s="2">
        <f>IF(Demand!AW133&lt;=Retailers_Cap!P116,"ret=0",(IF(BD116&lt;=AT116+Distributors_Cap!$P$47,1,0)))</f>
        <v/>
      </c>
      <c r="BK116" s="75" t="n">
        <v>120</v>
      </c>
      <c r="BL116" s="75">
        <f>Retailers!BH115</f>
        <v/>
      </c>
      <c r="BM116" s="75">
        <f>Retailers!BI115</f>
        <v/>
      </c>
      <c r="BN116" s="75">
        <f>Retailers!BJ115</f>
        <v/>
      </c>
      <c r="BP116" s="75" t="n">
        <v>120</v>
      </c>
      <c r="BQ116" s="75">
        <f>#REF!</f>
        <v/>
      </c>
      <c r="BR116" s="75">
        <f>#REF!</f>
        <v/>
      </c>
      <c r="BS116" s="75">
        <f>#REF!</f>
        <v/>
      </c>
      <c r="BU116" s="75" t="n">
        <v>120</v>
      </c>
      <c r="BV116" s="75">
        <f>Retailers!AS115</f>
        <v/>
      </c>
      <c r="BW116" s="75">
        <f>Retailers!AT115</f>
        <v/>
      </c>
      <c r="BX116" s="75">
        <f>Retailers!AU115</f>
        <v/>
      </c>
      <c r="BZ116" s="75" t="n">
        <v>120</v>
      </c>
      <c r="CA116" s="75">
        <f>Results!#REF!</f>
        <v/>
      </c>
      <c r="CB116" s="75">
        <f>Results!#REF!</f>
        <v/>
      </c>
      <c r="CC116" s="75">
        <f>Results!#REF!</f>
        <v/>
      </c>
      <c r="CE116" s="75" t="n">
        <v>120</v>
      </c>
      <c r="CF116" s="75">
        <f>Retailers!BN115</f>
        <v/>
      </c>
      <c r="CG116" s="75">
        <f>Retailers!BO115</f>
        <v/>
      </c>
      <c r="CH116" s="75">
        <f>Retailers!BP115</f>
        <v/>
      </c>
      <c r="CJ116" s="75" t="n">
        <v>120</v>
      </c>
      <c r="CK116" s="75">
        <f>IF(BB116="ret=0",0,IF(BB116&gt;0,AR116+Distributors_Cap!$P$47-BB116,0))</f>
        <v/>
      </c>
      <c r="CL116" s="75">
        <f>IF(BC116="ret=0",0,IF(BC116&gt;0,AS116+Distributors_Cap!$P$47-BC116,0))</f>
        <v/>
      </c>
      <c r="CM116" s="75">
        <f>IF(BD116="ret=0",0,IF(BD116&gt;0,AT116+Distributors_Cap!$P$47-BD116,0))</f>
        <v/>
      </c>
    </row>
    <row r="117">
      <c r="G117" s="75" t="n">
        <v>121</v>
      </c>
      <c r="H117" s="75" t="n">
        <v>56.824</v>
      </c>
      <c r="I117" s="75" t="n">
        <v>73.136</v>
      </c>
      <c r="J117" s="75" t="n">
        <v>53.779</v>
      </c>
      <c r="L117" s="75">
        <f>TRUNC((_xlfn.NORM.INV((RAND()),$K$7,$K$8)),0)</f>
        <v/>
      </c>
      <c r="M117" s="75" t="n">
        <v>121</v>
      </c>
      <c r="N117" s="5" t="n">
        <v>29</v>
      </c>
      <c r="O117" s="5" t="n">
        <v>23</v>
      </c>
      <c r="P117" s="5" t="n">
        <v>32</v>
      </c>
      <c r="R117" s="2">
        <f>IF(N117&gt;Demand!AU134,0,(IF(((2*(Retailers!AJ116+Distributors_Cap!$P$47)-Retailers_Cap!$BB$7)*(Demand!AU134-Retailers_Cap!N117))&lt;0,0,((IF(BB117&gt;2*(Retailers!AJ116+Distributors_Cap!$P$47),0,(IF(BG117=0,ROUNDUP((2*(Retailers!AJ116+Distributors_Cap!$P$47)-BB117)^0.5,0),ROUNDUP((2*(Retailers!AJ116+Distributors_Cap!$P$47)-BB117)^0.5,0)))))))))</f>
        <v/>
      </c>
      <c r="S117" s="2">
        <f>IF(O117&gt;Demand!AV134,0,(IF(((2*(Retailers!AK116+Distributors_Cap!$P$47)-Retailers_Cap!$BB$7)*(Demand!AV134-Retailers_Cap!O117))&lt;0,0,((IF(BC117&gt;2*(Retailers!AK116+Distributors_Cap!$P$47),0,(IF(BH117=0,ROUNDUP((2*(Retailers!AK116+Distributors_Cap!$P$47)-BC117)^0.5,0),ROUNDUP((2*(Retailers!AK116+Distributors_Cap!$P$47)-BC117)^0.5,0)))))))))</f>
        <v/>
      </c>
      <c r="T117" s="2">
        <f>IF(P117&gt;Demand!AW134,0,(IF(((2*(Retailers!AL116+Distributors_Cap!$P$47)-Retailers_Cap!$BB$7)*(Demand!AW134-Retailers_Cap!P117))&lt;0,0,((IF(BD117&gt;2*(Retailers!AL116+Distributors_Cap!$P$47),0,(IF(BI117=0,ROUNDUP((2*(Retailers!AL116+Distributors_Cap!$P$47)-BD117)^0.5,0),ROUNDUP((2*(Retailers!AL116+Distributors_Cap!$P$47)-BD117)^0.5,0)))))))))</f>
        <v/>
      </c>
      <c r="W117" s="75" t="n">
        <v>121</v>
      </c>
      <c r="X117" s="9" t="n">
        <v>13</v>
      </c>
      <c r="Y117" s="9" t="n">
        <v>0</v>
      </c>
      <c r="Z117" s="9" t="n">
        <v>0</v>
      </c>
      <c r="AB117" s="2">
        <f>ROUNDDOWN(LOG((X117+1),2),0)</f>
        <v/>
      </c>
      <c r="AC117" s="2">
        <f>ROUNDDOWN(LOG((Y117+1),2),0)</f>
        <v/>
      </c>
      <c r="AD117" s="2">
        <f>ROUNDDOWN(LOG((Z117+1),2),0)</f>
        <v/>
      </c>
      <c r="AG117" s="75" t="n">
        <v>121</v>
      </c>
      <c r="AH117" s="9" t="n">
        <v>3</v>
      </c>
      <c r="AI117" s="9" t="n">
        <v>0</v>
      </c>
      <c r="AJ117" s="9" t="n">
        <v>0</v>
      </c>
      <c r="AQ117" s="75" t="n">
        <v>121</v>
      </c>
      <c r="AR117" s="75" t="n">
        <v>56.824</v>
      </c>
      <c r="AS117" s="75" t="n">
        <v>73.136</v>
      </c>
      <c r="AT117" s="75" t="n">
        <v>53.779</v>
      </c>
      <c r="AV117" s="75" t="n">
        <v>121</v>
      </c>
      <c r="AW117" s="75">
        <f>Beginning_stock!AT145</f>
        <v/>
      </c>
      <c r="AX117" s="75">
        <f>Beginning_stock!AU145</f>
        <v/>
      </c>
      <c r="AY117" s="75">
        <f>Beginning_stock!AV145</f>
        <v/>
      </c>
      <c r="BA117" s="75" t="n">
        <v>121</v>
      </c>
      <c r="BB117" s="75">
        <f>IF(Demand!AU134=Retailers_Cap!N117,"ret=0",(AW117/(Demand!AU134-Retailers_Cap!N117)))</f>
        <v/>
      </c>
      <c r="BC117" s="75">
        <f>IF(Demand!AV134=Retailers_Cap!O117,"ret=0",(AX117/(Demand!AV134-Retailers_Cap!O117)))</f>
        <v/>
      </c>
      <c r="BD117" s="75">
        <f>IF(Demand!AW134=Retailers_Cap!P117,"ret=0",(AY117/(Demand!AW134-Retailers_Cap!P117)))</f>
        <v/>
      </c>
      <c r="BF117" s="75" t="n">
        <v>121</v>
      </c>
      <c r="BG117" s="2">
        <f>IF(Demand!AU134&lt;=Retailers_Cap!N117,"ret=0",(IF(BB117&lt;=AR117+Distributors_Cap!$P$47,1,0)))</f>
        <v/>
      </c>
      <c r="BH117" s="2">
        <f>IF(Demand!AV134&lt;=Retailers_Cap!O117,"ret=0",(IF(BC117&lt;=AS117+Distributors_Cap!$P$47,1,0)))</f>
        <v/>
      </c>
      <c r="BI117" s="2">
        <f>IF(Demand!AW134&lt;=Retailers_Cap!P117,"ret=0",(IF(BD117&lt;=AT117+Distributors_Cap!$P$47,1,0)))</f>
        <v/>
      </c>
      <c r="BK117" s="75" t="n">
        <v>121</v>
      </c>
      <c r="BL117" s="75">
        <f>Retailers!BH116</f>
        <v/>
      </c>
      <c r="BM117" s="75">
        <f>Retailers!BI116</f>
        <v/>
      </c>
      <c r="BN117" s="75">
        <f>Retailers!BJ116</f>
        <v/>
      </c>
      <c r="BP117" s="75" t="n">
        <v>121</v>
      </c>
      <c r="BQ117" s="75">
        <f>#REF!</f>
        <v/>
      </c>
      <c r="BR117" s="75">
        <f>#REF!</f>
        <v/>
      </c>
      <c r="BS117" s="75">
        <f>#REF!</f>
        <v/>
      </c>
      <c r="BU117" s="75" t="n">
        <v>121</v>
      </c>
      <c r="BV117" s="75">
        <f>Retailers!AS116</f>
        <v/>
      </c>
      <c r="BW117" s="75">
        <f>Retailers!AT116</f>
        <v/>
      </c>
      <c r="BX117" s="75">
        <f>Retailers!AU116</f>
        <v/>
      </c>
      <c r="BZ117" s="75" t="n">
        <v>121</v>
      </c>
      <c r="CA117" s="75">
        <f>Results!#REF!</f>
        <v/>
      </c>
      <c r="CB117" s="75">
        <f>Results!#REF!</f>
        <v/>
      </c>
      <c r="CC117" s="75">
        <f>Results!#REF!</f>
        <v/>
      </c>
      <c r="CE117" s="75" t="n">
        <v>121</v>
      </c>
      <c r="CF117" s="75">
        <f>Retailers!BN116</f>
        <v/>
      </c>
      <c r="CG117" s="75">
        <f>Retailers!BO116</f>
        <v/>
      </c>
      <c r="CH117" s="75">
        <f>Retailers!BP116</f>
        <v/>
      </c>
      <c r="CJ117" s="75" t="n">
        <v>121</v>
      </c>
      <c r="CK117" s="75">
        <f>IF(BB117="ret=0",0,IF(BB117&gt;0,AR117+Distributors_Cap!$P$47-BB117,0))</f>
        <v/>
      </c>
      <c r="CL117" s="75">
        <f>IF(BC117="ret=0",0,IF(BC117&gt;0,AS117+Distributors_Cap!$P$47-BC117,0))</f>
        <v/>
      </c>
      <c r="CM117" s="75">
        <f>IF(BD117="ret=0",0,IF(BD117&gt;0,AT117+Distributors_Cap!$P$47-BD117,0))</f>
        <v/>
      </c>
    </row>
    <row r="118">
      <c r="G118" s="75" t="n">
        <v>122</v>
      </c>
      <c r="H118" s="75" t="n">
        <v>47.044</v>
      </c>
      <c r="I118" s="75" t="n">
        <v>48.311</v>
      </c>
      <c r="J118" s="75" t="n">
        <v>63.514</v>
      </c>
      <c r="L118" s="75">
        <f>TRUNC((_xlfn.NORM.INV((RAND()),$K$7,$K$8)),0)</f>
        <v/>
      </c>
      <c r="M118" s="75" t="n">
        <v>122</v>
      </c>
      <c r="N118" s="5" t="n">
        <v>24</v>
      </c>
      <c r="O118" s="5" t="n">
        <v>36</v>
      </c>
      <c r="P118" s="5" t="n">
        <v>38</v>
      </c>
      <c r="R118" s="2">
        <f>IF(N118&gt;Demand!AU135,0,(IF(((2*(Retailers!AJ117+Distributors_Cap!$P$47)-Retailers_Cap!$BB$7)*(Demand!AU135-Retailers_Cap!N118))&lt;0,0,((IF(BB118&gt;2*(Retailers!AJ117+Distributors_Cap!$P$47),0,(IF(BG118=0,ROUNDUP((2*(Retailers!AJ117+Distributors_Cap!$P$47)-BB118)^0.5,0),ROUNDUP((2*(Retailers!AJ117+Distributors_Cap!$P$47)-BB118)^0.5,0)))))))))</f>
        <v/>
      </c>
      <c r="S118" s="2">
        <f>IF(O118&gt;Demand!AV135,0,(IF(((2*(Retailers!AK117+Distributors_Cap!$P$47)-Retailers_Cap!$BB$7)*(Demand!AV135-Retailers_Cap!O118))&lt;0,0,((IF(BC118&gt;2*(Retailers!AK117+Distributors_Cap!$P$47),0,(IF(BH118=0,ROUNDUP((2*(Retailers!AK117+Distributors_Cap!$P$47)-BC118)^0.5,0),ROUNDUP((2*(Retailers!AK117+Distributors_Cap!$P$47)-BC118)^0.5,0)))))))))</f>
        <v/>
      </c>
      <c r="T118" s="2">
        <f>IF(P118&gt;Demand!AW135,0,(IF(((2*(Retailers!AL117+Distributors_Cap!$P$47)-Retailers_Cap!$BB$7)*(Demand!AW135-Retailers_Cap!P118))&lt;0,0,((IF(BD118&gt;2*(Retailers!AL117+Distributors_Cap!$P$47),0,(IF(BI118=0,ROUNDUP((2*(Retailers!AL117+Distributors_Cap!$P$47)-BD118)^0.5,0),ROUNDUP((2*(Retailers!AL117+Distributors_Cap!$P$47)-BD118)^0.5,0)))))))))</f>
        <v/>
      </c>
      <c r="W118" s="75" t="n">
        <v>122</v>
      </c>
      <c r="X118" s="9" t="n">
        <v>10</v>
      </c>
      <c r="Y118" s="9" t="n">
        <v>0</v>
      </c>
      <c r="Z118" s="9" t="n">
        <v>0</v>
      </c>
      <c r="AB118" s="2">
        <f>ROUNDDOWN(LOG((X118+1),2),0)</f>
        <v/>
      </c>
      <c r="AC118" s="2">
        <f>ROUNDDOWN(LOG((Y118+1),2),0)</f>
        <v/>
      </c>
      <c r="AD118" s="2">
        <f>ROUNDDOWN(LOG((Z118+1),2),0)</f>
        <v/>
      </c>
      <c r="AG118" s="75" t="n">
        <v>122</v>
      </c>
      <c r="AH118" s="9" t="n">
        <v>3</v>
      </c>
      <c r="AI118" s="9" t="n">
        <v>0</v>
      </c>
      <c r="AJ118" s="9" t="n">
        <v>0</v>
      </c>
      <c r="AQ118" s="75" t="n">
        <v>122</v>
      </c>
      <c r="AR118" s="75" t="n">
        <v>47.044</v>
      </c>
      <c r="AS118" s="75" t="n">
        <v>48.311</v>
      </c>
      <c r="AT118" s="75" t="n">
        <v>63.514</v>
      </c>
      <c r="AV118" s="75" t="n">
        <v>122</v>
      </c>
      <c r="AW118" s="75">
        <f>Beginning_stock!AT146</f>
        <v/>
      </c>
      <c r="AX118" s="75">
        <f>Beginning_stock!AU146</f>
        <v/>
      </c>
      <c r="AY118" s="75">
        <f>Beginning_stock!AV146</f>
        <v/>
      </c>
      <c r="BA118" s="75" t="n">
        <v>122</v>
      </c>
      <c r="BB118" s="75">
        <f>IF(Demand!AU135=Retailers_Cap!N118,"ret=0",(AW118/(Demand!AU135-Retailers_Cap!N118)))</f>
        <v/>
      </c>
      <c r="BC118" s="75">
        <f>IF(Demand!AV135=Retailers_Cap!O118,"ret=0",(AX118/(Demand!AV135-Retailers_Cap!O118)))</f>
        <v/>
      </c>
      <c r="BD118" s="75">
        <f>IF(Demand!AW135=Retailers_Cap!P118,"ret=0",(AY118/(Demand!AW135-Retailers_Cap!P118)))</f>
        <v/>
      </c>
      <c r="BF118" s="75" t="n">
        <v>122</v>
      </c>
      <c r="BG118" s="2">
        <f>IF(Demand!AU135&lt;=Retailers_Cap!N118,"ret=0",(IF(BB118&lt;=AR118+Distributors_Cap!$P$47,1,0)))</f>
        <v/>
      </c>
      <c r="BH118" s="2">
        <f>IF(Demand!AV135&lt;=Retailers_Cap!O118,"ret=0",(IF(BC118&lt;=AS118+Distributors_Cap!$P$47,1,0)))</f>
        <v/>
      </c>
      <c r="BI118" s="2">
        <f>IF(Demand!AW135&lt;=Retailers_Cap!P118,"ret=0",(IF(BD118&lt;=AT118+Distributors_Cap!$P$47,1,0)))</f>
        <v/>
      </c>
      <c r="BK118" s="75" t="n">
        <v>122</v>
      </c>
      <c r="BL118" s="75">
        <f>Retailers!BH117</f>
        <v/>
      </c>
      <c r="BM118" s="75">
        <f>Retailers!BI117</f>
        <v/>
      </c>
      <c r="BN118" s="75">
        <f>Retailers!BJ117</f>
        <v/>
      </c>
      <c r="BP118" s="75" t="n">
        <v>122</v>
      </c>
      <c r="BQ118" s="75">
        <f>#REF!</f>
        <v/>
      </c>
      <c r="BR118" s="75">
        <f>#REF!</f>
        <v/>
      </c>
      <c r="BS118" s="75">
        <f>#REF!</f>
        <v/>
      </c>
      <c r="BU118" s="75" t="n">
        <v>122</v>
      </c>
      <c r="BV118" s="75">
        <f>Retailers!AS117</f>
        <v/>
      </c>
      <c r="BW118" s="75">
        <f>Retailers!AT117</f>
        <v/>
      </c>
      <c r="BX118" s="75">
        <f>Retailers!AU117</f>
        <v/>
      </c>
      <c r="BZ118" s="75" t="n">
        <v>122</v>
      </c>
      <c r="CA118" s="75">
        <f>Results!#REF!</f>
        <v/>
      </c>
      <c r="CB118" s="75">
        <f>Results!#REF!</f>
        <v/>
      </c>
      <c r="CC118" s="75">
        <f>Results!#REF!</f>
        <v/>
      </c>
      <c r="CE118" s="75" t="n">
        <v>122</v>
      </c>
      <c r="CF118" s="75">
        <f>Retailers!BN117</f>
        <v/>
      </c>
      <c r="CG118" s="75">
        <f>Retailers!BO117</f>
        <v/>
      </c>
      <c r="CH118" s="75">
        <f>Retailers!BP117</f>
        <v/>
      </c>
      <c r="CJ118" s="75" t="n">
        <v>122</v>
      </c>
      <c r="CK118" s="75">
        <f>IF(BB118="ret=0",0,IF(BB118&gt;0,AR118+Distributors_Cap!$P$47-BB118,0))</f>
        <v/>
      </c>
      <c r="CL118" s="75">
        <f>IF(BC118="ret=0",0,IF(BC118&gt;0,AS118+Distributors_Cap!$P$47-BC118,0))</f>
        <v/>
      </c>
      <c r="CM118" s="75">
        <f>IF(BD118="ret=0",0,IF(BD118&gt;0,AT118+Distributors_Cap!$P$47-BD118,0))</f>
        <v/>
      </c>
    </row>
    <row r="119">
      <c r="G119" s="75" t="n">
        <v>123</v>
      </c>
      <c r="H119" s="75" t="n">
        <v>55.637</v>
      </c>
      <c r="I119" s="75" t="n">
        <v>52.979</v>
      </c>
      <c r="J119" s="75" t="n">
        <v>45.17</v>
      </c>
      <c r="L119" s="75">
        <f>TRUNC((_xlfn.NORM.INV((RAND()),$K$7,$K$8)),0)</f>
        <v/>
      </c>
      <c r="M119" s="75" t="n">
        <v>123</v>
      </c>
      <c r="N119" s="5" t="n">
        <v>32</v>
      </c>
      <c r="O119" s="5" t="n">
        <v>32</v>
      </c>
      <c r="P119" s="5" t="n">
        <v>25</v>
      </c>
      <c r="R119" s="2">
        <f>IF(N119&gt;Demand!AU136,0,(IF(((2*(Retailers!AJ118+Distributors_Cap!$P$47)-Retailers_Cap!$BB$7)*(Demand!AU136-Retailers_Cap!N119))&lt;0,0,((IF(BB119&gt;2*(Retailers!AJ118+Distributors_Cap!$P$47),0,(IF(BG119=0,ROUNDUP((2*(Retailers!AJ118+Distributors_Cap!$P$47)-BB119)^0.5,0),ROUNDUP((2*(Retailers!AJ118+Distributors_Cap!$P$47)-BB119)^0.5,0)))))))))</f>
        <v/>
      </c>
      <c r="S119" s="2">
        <f>IF(O119&gt;Demand!AV136,0,(IF(((2*(Retailers!AK118+Distributors_Cap!$P$47)-Retailers_Cap!$BB$7)*(Demand!AV136-Retailers_Cap!O119))&lt;0,0,((IF(BC119&gt;2*(Retailers!AK118+Distributors_Cap!$P$47),0,(IF(BH119=0,ROUNDUP((2*(Retailers!AK118+Distributors_Cap!$P$47)-BC119)^0.5,0),ROUNDUP((2*(Retailers!AK118+Distributors_Cap!$P$47)-BC119)^0.5,0)))))))))</f>
        <v/>
      </c>
      <c r="T119" s="2">
        <f>IF(P119&gt;Demand!AW136,0,(IF(((2*(Retailers!AL118+Distributors_Cap!$P$47)-Retailers_Cap!$BB$7)*(Demand!AW136-Retailers_Cap!P119))&lt;0,0,((IF(BD119&gt;2*(Retailers!AL118+Distributors_Cap!$P$47),0,(IF(BI119=0,ROUNDUP((2*(Retailers!AL118+Distributors_Cap!$P$47)-BD119)^0.5,0),ROUNDUP((2*(Retailers!AL118+Distributors_Cap!$P$47)-BD119)^0.5,0)))))))))</f>
        <v/>
      </c>
      <c r="W119" s="75" t="n">
        <v>123</v>
      </c>
      <c r="X119" s="9" t="n">
        <v>0</v>
      </c>
      <c r="Y119" s="9" t="n">
        <v>2</v>
      </c>
      <c r="Z119" s="9" t="n">
        <v>0</v>
      </c>
      <c r="AB119" s="2">
        <f>ROUNDDOWN(LOG((X119+1),2),0)</f>
        <v/>
      </c>
      <c r="AC119" s="2">
        <f>ROUNDDOWN(LOG((Y119+1),2),0)</f>
        <v/>
      </c>
      <c r="AD119" s="2">
        <f>ROUNDDOWN(LOG((Z119+1),2),0)</f>
        <v/>
      </c>
      <c r="AG119" s="75" t="n">
        <v>123</v>
      </c>
      <c r="AH119" s="9" t="n">
        <v>0</v>
      </c>
      <c r="AI119" s="9" t="n">
        <v>1</v>
      </c>
      <c r="AJ119" s="9" t="n">
        <v>0</v>
      </c>
      <c r="AQ119" s="75" t="n">
        <v>123</v>
      </c>
      <c r="AR119" s="75" t="n">
        <v>55.637</v>
      </c>
      <c r="AS119" s="75" t="n">
        <v>52.979</v>
      </c>
      <c r="AT119" s="75" t="n">
        <v>45.17</v>
      </c>
      <c r="AV119" s="75" t="n">
        <v>123</v>
      </c>
      <c r="AW119" s="75">
        <f>Beginning_stock!AT147</f>
        <v/>
      </c>
      <c r="AX119" s="75">
        <f>Beginning_stock!AU147</f>
        <v/>
      </c>
      <c r="AY119" s="75">
        <f>Beginning_stock!AV147</f>
        <v/>
      </c>
      <c r="BA119" s="75" t="n">
        <v>123</v>
      </c>
      <c r="BB119" s="75">
        <f>IF(Demand!AU136=Retailers_Cap!N119,"ret=0",(AW119/(Demand!AU136-Retailers_Cap!N119)))</f>
        <v/>
      </c>
      <c r="BC119" s="75">
        <f>IF(Demand!AV136=Retailers_Cap!O119,"ret=0",(AX119/(Demand!AV136-Retailers_Cap!O119)))</f>
        <v/>
      </c>
      <c r="BD119" s="75">
        <f>IF(Demand!AW136=Retailers_Cap!P119,"ret=0",(AY119/(Demand!AW136-Retailers_Cap!P119)))</f>
        <v/>
      </c>
      <c r="BF119" s="75" t="n">
        <v>123</v>
      </c>
      <c r="BG119" s="2">
        <f>IF(Demand!AU136&lt;=Retailers_Cap!N119,"ret=0",(IF(BB119&lt;=AR119+Distributors_Cap!$P$47,1,0)))</f>
        <v/>
      </c>
      <c r="BH119" s="2">
        <f>IF(Demand!AV136&lt;=Retailers_Cap!O119,"ret=0",(IF(BC119&lt;=AS119+Distributors_Cap!$P$47,1,0)))</f>
        <v/>
      </c>
      <c r="BI119" s="2">
        <f>IF(Demand!AW136&lt;=Retailers_Cap!P119,"ret=0",(IF(BD119&lt;=AT119+Distributors_Cap!$P$47,1,0)))</f>
        <v/>
      </c>
      <c r="BK119" s="75" t="n">
        <v>123</v>
      </c>
      <c r="BL119" s="75">
        <f>Retailers!BH118</f>
        <v/>
      </c>
      <c r="BM119" s="75">
        <f>Retailers!BI118</f>
        <v/>
      </c>
      <c r="BN119" s="75">
        <f>Retailers!BJ118</f>
        <v/>
      </c>
      <c r="BP119" s="75" t="n">
        <v>123</v>
      </c>
      <c r="BQ119" s="75">
        <f>#REF!</f>
        <v/>
      </c>
      <c r="BR119" s="75">
        <f>#REF!</f>
        <v/>
      </c>
      <c r="BS119" s="75">
        <f>#REF!</f>
        <v/>
      </c>
      <c r="BU119" s="75" t="n">
        <v>123</v>
      </c>
      <c r="BV119" s="75">
        <f>Retailers!AS118</f>
        <v/>
      </c>
      <c r="BW119" s="75">
        <f>Retailers!AT118</f>
        <v/>
      </c>
      <c r="BX119" s="75">
        <f>Retailers!AU118</f>
        <v/>
      </c>
      <c r="BZ119" s="75" t="n">
        <v>123</v>
      </c>
      <c r="CA119" s="75">
        <f>Results!#REF!</f>
        <v/>
      </c>
      <c r="CB119" s="75">
        <f>Results!#REF!</f>
        <v/>
      </c>
      <c r="CC119" s="75">
        <f>Results!#REF!</f>
        <v/>
      </c>
      <c r="CE119" s="75" t="n">
        <v>123</v>
      </c>
      <c r="CF119" s="75">
        <f>Retailers!BN118</f>
        <v/>
      </c>
      <c r="CG119" s="75">
        <f>Retailers!BO118</f>
        <v/>
      </c>
      <c r="CH119" s="75">
        <f>Retailers!BP118</f>
        <v/>
      </c>
      <c r="CJ119" s="75" t="n">
        <v>123</v>
      </c>
      <c r="CK119" s="75">
        <f>IF(BB119="ret=0",0,IF(BB119&gt;0,AR119+Distributors_Cap!$P$47-BB119,0))</f>
        <v/>
      </c>
      <c r="CL119" s="75">
        <f>IF(BC119="ret=0",0,IF(BC119&gt;0,AS119+Distributors_Cap!$P$47-BC119,0))</f>
        <v/>
      </c>
      <c r="CM119" s="75">
        <f>IF(BD119="ret=0",0,IF(BD119&gt;0,AT119+Distributors_Cap!$P$47-BD119,0))</f>
        <v/>
      </c>
    </row>
    <row r="120">
      <c r="G120" s="75" t="n">
        <v>124</v>
      </c>
      <c r="H120" s="75" t="n">
        <v>77.369</v>
      </c>
      <c r="I120" s="75" t="n">
        <v>61.853</v>
      </c>
      <c r="J120" s="75" t="n">
        <v>64.526</v>
      </c>
      <c r="L120" s="75">
        <f>TRUNC((_xlfn.NORM.INV((RAND()),$K$7,$K$8)),0)</f>
        <v/>
      </c>
      <c r="M120" s="75" t="n">
        <v>124</v>
      </c>
      <c r="N120" s="5" t="n">
        <v>27</v>
      </c>
      <c r="O120" s="5" t="n">
        <v>30</v>
      </c>
      <c r="P120" s="5" t="n">
        <v>41</v>
      </c>
      <c r="R120" s="2">
        <f>IF(N120&gt;Demand!AU137,0,(IF(((2*(Retailers!AJ119+Distributors_Cap!$P$47)-Retailers_Cap!$BB$7)*(Demand!AU137-Retailers_Cap!N120))&lt;0,0,((IF(BB120&gt;2*(Retailers!AJ119+Distributors_Cap!$P$47),0,(IF(BG120=0,ROUNDUP((2*(Retailers!AJ119+Distributors_Cap!$P$47)-BB120)^0.5,0),ROUNDUP((2*(Retailers!AJ119+Distributors_Cap!$P$47)-BB120)^0.5,0)))))))))</f>
        <v/>
      </c>
      <c r="S120" s="2">
        <f>IF(O120&gt;Demand!AV137,0,(IF(((2*(Retailers!AK119+Distributors_Cap!$P$47)-Retailers_Cap!$BB$7)*(Demand!AV137-Retailers_Cap!O120))&lt;0,0,((IF(BC120&gt;2*(Retailers!AK119+Distributors_Cap!$P$47),0,(IF(BH120=0,ROUNDUP((2*(Retailers!AK119+Distributors_Cap!$P$47)-BC120)^0.5,0),ROUNDUP((2*(Retailers!AK119+Distributors_Cap!$P$47)-BC120)^0.5,0)))))))))</f>
        <v/>
      </c>
      <c r="T120" s="2">
        <f>IF(P120&gt;Demand!AW137,0,(IF(((2*(Retailers!AL119+Distributors_Cap!$P$47)-Retailers_Cap!$BB$7)*(Demand!AW137-Retailers_Cap!P120))&lt;0,0,((IF(BD120&gt;2*(Retailers!AL119+Distributors_Cap!$P$47),0,(IF(BI120=0,ROUNDUP((2*(Retailers!AL119+Distributors_Cap!$P$47)-BD120)^0.5,0),ROUNDUP((2*(Retailers!AL119+Distributors_Cap!$P$47)-BD120)^0.5,0)))))))))</f>
        <v/>
      </c>
      <c r="W120" s="75" t="n">
        <v>124</v>
      </c>
      <c r="X120" s="9" t="n">
        <v>0</v>
      </c>
      <c r="Y120" s="9" t="n">
        <v>0</v>
      </c>
      <c r="Z120" s="9" t="n">
        <v>0</v>
      </c>
      <c r="AB120" s="2">
        <f>ROUNDDOWN(LOG((X120+1),2),0)</f>
        <v/>
      </c>
      <c r="AC120" s="2">
        <f>ROUNDDOWN(LOG((Y120+1),2),0)</f>
        <v/>
      </c>
      <c r="AD120" s="2">
        <f>ROUNDDOWN(LOG((Z120+1),2),0)</f>
        <v/>
      </c>
      <c r="AG120" s="75" t="n">
        <v>124</v>
      </c>
      <c r="AH120" s="9" t="n">
        <v>0</v>
      </c>
      <c r="AI120" s="9" t="n">
        <v>0</v>
      </c>
      <c r="AJ120" s="9" t="n">
        <v>0</v>
      </c>
      <c r="AQ120" s="75" t="n">
        <v>124</v>
      </c>
      <c r="AR120" s="75" t="n">
        <v>77.369</v>
      </c>
      <c r="AS120" s="75" t="n">
        <v>61.853</v>
      </c>
      <c r="AT120" s="75" t="n">
        <v>64.526</v>
      </c>
      <c r="AV120" s="75" t="n">
        <v>124</v>
      </c>
      <c r="AW120" s="75">
        <f>Beginning_stock!AT148</f>
        <v/>
      </c>
      <c r="AX120" s="75">
        <f>Beginning_stock!AU148</f>
        <v/>
      </c>
      <c r="AY120" s="75">
        <f>Beginning_stock!AV148</f>
        <v/>
      </c>
      <c r="BA120" s="75" t="n">
        <v>124</v>
      </c>
      <c r="BB120" s="75">
        <f>IF(Demand!AU137=Retailers_Cap!N120,"ret=0",(AW120/(Demand!AU137-Retailers_Cap!N120)))</f>
        <v/>
      </c>
      <c r="BC120" s="75">
        <f>IF(Demand!AV137=Retailers_Cap!O120,"ret=0",(AX120/(Demand!AV137-Retailers_Cap!O120)))</f>
        <v/>
      </c>
      <c r="BD120" s="75">
        <f>IF(Demand!AW137=Retailers_Cap!P120,"ret=0",(AY120/(Demand!AW137-Retailers_Cap!P120)))</f>
        <v/>
      </c>
      <c r="BF120" s="75" t="n">
        <v>124</v>
      </c>
      <c r="BG120" s="2">
        <f>IF(Demand!AU137&lt;=Retailers_Cap!N120,"ret=0",(IF(BB120&lt;=AR120+Distributors_Cap!$P$47,1,0)))</f>
        <v/>
      </c>
      <c r="BH120" s="2">
        <f>IF(Demand!AV137&lt;=Retailers_Cap!O120,"ret=0",(IF(BC120&lt;=AS120+Distributors_Cap!$P$47,1,0)))</f>
        <v/>
      </c>
      <c r="BI120" s="2">
        <f>IF(Demand!AW137&lt;=Retailers_Cap!P120,"ret=0",(IF(BD120&lt;=AT120+Distributors_Cap!$P$47,1,0)))</f>
        <v/>
      </c>
      <c r="BK120" s="75" t="n">
        <v>124</v>
      </c>
      <c r="BL120" s="75">
        <f>Retailers!BH119</f>
        <v/>
      </c>
      <c r="BM120" s="75">
        <f>Retailers!BI119</f>
        <v/>
      </c>
      <c r="BN120" s="75">
        <f>Retailers!BJ119</f>
        <v/>
      </c>
      <c r="BP120" s="75" t="n">
        <v>124</v>
      </c>
      <c r="BQ120" s="75">
        <f>#REF!</f>
        <v/>
      </c>
      <c r="BR120" s="75">
        <f>#REF!</f>
        <v/>
      </c>
      <c r="BS120" s="75">
        <f>#REF!</f>
        <v/>
      </c>
      <c r="BU120" s="75" t="n">
        <v>124</v>
      </c>
      <c r="BV120" s="75">
        <f>Retailers!AS119</f>
        <v/>
      </c>
      <c r="BW120" s="75">
        <f>Retailers!AT119</f>
        <v/>
      </c>
      <c r="BX120" s="75">
        <f>Retailers!AU119</f>
        <v/>
      </c>
      <c r="BZ120" s="75" t="n">
        <v>124</v>
      </c>
      <c r="CA120" s="75">
        <f>Results!#REF!</f>
        <v/>
      </c>
      <c r="CB120" s="75">
        <f>Results!#REF!</f>
        <v/>
      </c>
      <c r="CC120" s="75">
        <f>Results!#REF!</f>
        <v/>
      </c>
      <c r="CE120" s="75" t="n">
        <v>124</v>
      </c>
      <c r="CF120" s="75">
        <f>Retailers!BN119</f>
        <v/>
      </c>
      <c r="CG120" s="75">
        <f>Retailers!BO119</f>
        <v/>
      </c>
      <c r="CH120" s="75">
        <f>Retailers!BP119</f>
        <v/>
      </c>
      <c r="CJ120" s="75" t="n">
        <v>124</v>
      </c>
      <c r="CK120" s="75">
        <f>IF(BB120="ret=0",0,IF(BB120&gt;0,AR120+Distributors_Cap!$P$47-BB120,0))</f>
        <v/>
      </c>
      <c r="CL120" s="75">
        <f>IF(BC120="ret=0",0,IF(BC120&gt;0,AS120+Distributors_Cap!$P$47-BC120,0))</f>
        <v/>
      </c>
      <c r="CM120" s="75">
        <f>IF(BD120="ret=0",0,IF(BD120&gt;0,AT120+Distributors_Cap!$P$47-BD120,0))</f>
        <v/>
      </c>
    </row>
    <row r="121">
      <c r="G121" s="75" t="n">
        <v>125</v>
      </c>
      <c r="H121" s="75" t="n">
        <v>64.322</v>
      </c>
      <c r="I121" s="75" t="n">
        <v>50.551</v>
      </c>
      <c r="J121" s="75" t="n">
        <v>55.886</v>
      </c>
      <c r="L121" s="75">
        <f>TRUNC((_xlfn.NORM.INV((RAND()),$K$7,$K$8)),0)</f>
        <v/>
      </c>
      <c r="M121" s="75" t="n">
        <v>125</v>
      </c>
      <c r="N121" s="5" t="n">
        <v>34</v>
      </c>
      <c r="O121" s="5" t="n">
        <v>35</v>
      </c>
      <c r="P121" s="5" t="n">
        <v>15</v>
      </c>
      <c r="R121" s="2">
        <f>IF(N121&gt;Demand!AU138,0,(IF(((2*(Retailers!AJ120+Distributors_Cap!$P$47)-Retailers_Cap!$BB$7)*(Demand!AU138-Retailers_Cap!N121))&lt;0,0,((IF(BB121&gt;2*(Retailers!AJ120+Distributors_Cap!$P$47),0,(IF(BG121=0,ROUNDUP((2*(Retailers!AJ120+Distributors_Cap!$P$47)-BB121)^0.5,0),ROUNDUP((2*(Retailers!AJ120+Distributors_Cap!$P$47)-BB121)^0.5,0)))))))))</f>
        <v/>
      </c>
      <c r="S121" s="2">
        <f>IF(O121&gt;Demand!AV138,0,(IF(((2*(Retailers!AK120+Distributors_Cap!$P$47)-Retailers_Cap!$BB$7)*(Demand!AV138-Retailers_Cap!O121))&lt;0,0,((IF(BC121&gt;2*(Retailers!AK120+Distributors_Cap!$P$47),0,(IF(BH121=0,ROUNDUP((2*(Retailers!AK120+Distributors_Cap!$P$47)-BC121)^0.5,0),ROUNDUP((2*(Retailers!AK120+Distributors_Cap!$P$47)-BC121)^0.5,0)))))))))</f>
        <v/>
      </c>
      <c r="T121" s="2">
        <f>IF(P121&gt;Demand!AW138,0,(IF(((2*(Retailers!AL120+Distributors_Cap!$P$47)-Retailers_Cap!$BB$7)*(Demand!AW138-Retailers_Cap!P121))&lt;0,0,((IF(BD121&gt;2*(Retailers!AL120+Distributors_Cap!$P$47),0,(IF(BI121=0,ROUNDUP((2*(Retailers!AL120+Distributors_Cap!$P$47)-BD121)^0.5,0),ROUNDUP((2*(Retailers!AL120+Distributors_Cap!$P$47)-BD121)^0.5,0)))))))))</f>
        <v/>
      </c>
      <c r="W121" s="75" t="n">
        <v>125</v>
      </c>
      <c r="X121" s="9" t="n">
        <v>0</v>
      </c>
      <c r="Y121" s="9" t="n">
        <v>10</v>
      </c>
      <c r="Z121" s="9" t="n">
        <v>9</v>
      </c>
      <c r="AB121" s="2">
        <f>ROUNDDOWN(LOG((X121+1),2),0)</f>
        <v/>
      </c>
      <c r="AC121" s="2">
        <f>ROUNDDOWN(LOG((Y121+1),2),0)</f>
        <v/>
      </c>
      <c r="AD121" s="2">
        <f>ROUNDDOWN(LOG((Z121+1),2),0)</f>
        <v/>
      </c>
      <c r="AG121" s="75" t="n">
        <v>125</v>
      </c>
      <c r="AH121" s="9" t="n">
        <v>0</v>
      </c>
      <c r="AI121" s="9" t="n">
        <v>3</v>
      </c>
      <c r="AJ121" s="9" t="n">
        <v>3</v>
      </c>
      <c r="AQ121" s="75" t="n">
        <v>125</v>
      </c>
      <c r="AR121" s="75" t="n">
        <v>64.322</v>
      </c>
      <c r="AS121" s="75" t="n">
        <v>50.551</v>
      </c>
      <c r="AT121" s="75" t="n">
        <v>55.886</v>
      </c>
      <c r="AV121" s="75" t="n">
        <v>125</v>
      </c>
      <c r="AW121" s="75">
        <f>Beginning_stock!AT149</f>
        <v/>
      </c>
      <c r="AX121" s="75">
        <f>Beginning_stock!AU149</f>
        <v/>
      </c>
      <c r="AY121" s="75">
        <f>Beginning_stock!AV149</f>
        <v/>
      </c>
      <c r="BA121" s="75" t="n">
        <v>125</v>
      </c>
      <c r="BB121" s="75">
        <f>IF(Demand!AU138=Retailers_Cap!N121,"ret=0",(AW121/(Demand!AU138-Retailers_Cap!N121)))</f>
        <v/>
      </c>
      <c r="BC121" s="75">
        <f>IF(Demand!AV138=Retailers_Cap!O121,"ret=0",(AX121/(Demand!AV138-Retailers_Cap!O121)))</f>
        <v/>
      </c>
      <c r="BD121" s="75">
        <f>IF(Demand!AW138=Retailers_Cap!P121,"ret=0",(AY121/(Demand!AW138-Retailers_Cap!P121)))</f>
        <v/>
      </c>
      <c r="BF121" s="75" t="n">
        <v>125</v>
      </c>
      <c r="BG121" s="2">
        <f>IF(Demand!AU138&lt;=Retailers_Cap!N121,"ret=0",(IF(BB121&lt;=AR121+Distributors_Cap!$P$47,1,0)))</f>
        <v/>
      </c>
      <c r="BH121" s="2">
        <f>IF(Demand!AV138&lt;=Retailers_Cap!O121,"ret=0",(IF(BC121&lt;=AS121+Distributors_Cap!$P$47,1,0)))</f>
        <v/>
      </c>
      <c r="BI121" s="2">
        <f>IF(Demand!AW138&lt;=Retailers_Cap!P121,"ret=0",(IF(BD121&lt;=AT121+Distributors_Cap!$P$47,1,0)))</f>
        <v/>
      </c>
      <c r="BK121" s="75" t="n">
        <v>125</v>
      </c>
      <c r="BL121" s="75">
        <f>Retailers!BH120</f>
        <v/>
      </c>
      <c r="BM121" s="75">
        <f>Retailers!BI120</f>
        <v/>
      </c>
      <c r="BN121" s="75">
        <f>Retailers!BJ120</f>
        <v/>
      </c>
      <c r="BP121" s="75" t="n">
        <v>125</v>
      </c>
      <c r="BQ121" s="75">
        <f>#REF!</f>
        <v/>
      </c>
      <c r="BR121" s="75">
        <f>#REF!</f>
        <v/>
      </c>
      <c r="BS121" s="75">
        <f>#REF!</f>
        <v/>
      </c>
      <c r="BU121" s="75" t="n">
        <v>125</v>
      </c>
      <c r="BV121" s="75">
        <f>Retailers!AS120</f>
        <v/>
      </c>
      <c r="BW121" s="75">
        <f>Retailers!AT120</f>
        <v/>
      </c>
      <c r="BX121" s="75">
        <f>Retailers!AU120</f>
        <v/>
      </c>
      <c r="BZ121" s="75" t="n">
        <v>125</v>
      </c>
      <c r="CA121" s="75">
        <f>Results!#REF!</f>
        <v/>
      </c>
      <c r="CB121" s="75">
        <f>Results!#REF!</f>
        <v/>
      </c>
      <c r="CC121" s="75">
        <f>Results!#REF!</f>
        <v/>
      </c>
      <c r="CE121" s="75" t="n">
        <v>125</v>
      </c>
      <c r="CF121" s="75">
        <f>Retailers!BN120</f>
        <v/>
      </c>
      <c r="CG121" s="75">
        <f>Retailers!BO120</f>
        <v/>
      </c>
      <c r="CH121" s="75">
        <f>Retailers!BP120</f>
        <v/>
      </c>
      <c r="CJ121" s="75" t="n">
        <v>125</v>
      </c>
      <c r="CK121" s="75">
        <f>IF(BB121="ret=0",0,IF(BB121&gt;0,AR121+Distributors_Cap!$P$47-BB121,0))</f>
        <v/>
      </c>
      <c r="CL121" s="75">
        <f>IF(BC121="ret=0",0,IF(BC121&gt;0,AS121+Distributors_Cap!$P$47-BC121,0))</f>
        <v/>
      </c>
      <c r="CM121" s="75">
        <f>IF(BD121="ret=0",0,IF(BD121&gt;0,AT121+Distributors_Cap!$P$47-BD121,0))</f>
        <v/>
      </c>
    </row>
    <row r="122">
      <c r="G122" s="75" t="n">
        <v>126</v>
      </c>
      <c r="H122" s="75" t="n">
        <v>58.5</v>
      </c>
      <c r="I122" s="75" t="n">
        <v>65.29300000000001</v>
      </c>
      <c r="J122" s="75" t="n">
        <v>71.91</v>
      </c>
      <c r="L122" s="75">
        <f>TRUNC((_xlfn.NORM.INV((RAND()),$K$7,$K$8)),0)</f>
        <v/>
      </c>
      <c r="M122" s="75" t="n">
        <v>126</v>
      </c>
      <c r="N122" s="5" t="n">
        <v>27</v>
      </c>
      <c r="O122" s="5" t="n">
        <v>45</v>
      </c>
      <c r="P122" s="5" t="n">
        <v>20</v>
      </c>
      <c r="R122" s="2">
        <f>IF(N122&gt;Demand!AU139,0,(IF(((2*(Retailers!AJ121+Distributors_Cap!$P$47)-Retailers_Cap!$BB$7)*(Demand!AU139-Retailers_Cap!N122))&lt;0,0,((IF(BB122&gt;2*(Retailers!AJ121+Distributors_Cap!$P$47),0,(IF(BG122=0,ROUNDUP((2*(Retailers!AJ121+Distributors_Cap!$P$47)-BB122)^0.5,0),ROUNDUP((2*(Retailers!AJ121+Distributors_Cap!$P$47)-BB122)^0.5,0)))))))))</f>
        <v/>
      </c>
      <c r="S122" s="2">
        <f>IF(O122&gt;Demand!AV139,0,(IF(((2*(Retailers!AK121+Distributors_Cap!$P$47)-Retailers_Cap!$BB$7)*(Demand!AV139-Retailers_Cap!O122))&lt;0,0,((IF(BC122&gt;2*(Retailers!AK121+Distributors_Cap!$P$47),0,(IF(BH122=0,ROUNDUP((2*(Retailers!AK121+Distributors_Cap!$P$47)-BC122)^0.5,0),ROUNDUP((2*(Retailers!AK121+Distributors_Cap!$P$47)-BC122)^0.5,0)))))))))</f>
        <v/>
      </c>
      <c r="T122" s="2">
        <f>IF(P122&gt;Demand!AW139,0,(IF(((2*(Retailers!AL121+Distributors_Cap!$P$47)-Retailers_Cap!$BB$7)*(Demand!AW139-Retailers_Cap!P122))&lt;0,0,((IF(BD122&gt;2*(Retailers!AL121+Distributors_Cap!$P$47),0,(IF(BI122=0,ROUNDUP((2*(Retailers!AL121+Distributors_Cap!$P$47)-BD122)^0.5,0),ROUNDUP((2*(Retailers!AL121+Distributors_Cap!$P$47)-BD122)^0.5,0)))))))))</f>
        <v/>
      </c>
      <c r="W122" s="75" t="n">
        <v>126</v>
      </c>
      <c r="X122" s="9" t="n">
        <v>0</v>
      </c>
      <c r="Y122" s="9" t="n">
        <v>0</v>
      </c>
      <c r="Z122" s="9" t="n">
        <v>13</v>
      </c>
      <c r="AB122" s="2">
        <f>ROUNDDOWN(LOG((X122+1),2),0)</f>
        <v/>
      </c>
      <c r="AC122" s="2">
        <f>ROUNDDOWN(LOG((Y122+1),2),0)</f>
        <v/>
      </c>
      <c r="AD122" s="2">
        <f>ROUNDDOWN(LOG((Z122+1),2),0)</f>
        <v/>
      </c>
      <c r="AG122" s="75" t="n">
        <v>126</v>
      </c>
      <c r="AH122" s="9" t="n">
        <v>0</v>
      </c>
      <c r="AI122" s="9" t="n">
        <v>0</v>
      </c>
      <c r="AJ122" s="9" t="n">
        <v>3</v>
      </c>
      <c r="AQ122" s="75" t="n">
        <v>126</v>
      </c>
      <c r="AR122" s="75" t="n">
        <v>58.5</v>
      </c>
      <c r="AS122" s="75" t="n">
        <v>65.29300000000001</v>
      </c>
      <c r="AT122" s="75" t="n">
        <v>71.91</v>
      </c>
      <c r="AV122" s="75" t="n">
        <v>126</v>
      </c>
      <c r="AW122" s="75">
        <f>Beginning_stock!AT150</f>
        <v/>
      </c>
      <c r="AX122" s="75">
        <f>Beginning_stock!AU150</f>
        <v/>
      </c>
      <c r="AY122" s="75">
        <f>Beginning_stock!AV150</f>
        <v/>
      </c>
      <c r="BA122" s="75" t="n">
        <v>126</v>
      </c>
      <c r="BB122" s="75">
        <f>IF(Demand!AU139=Retailers_Cap!N122,"ret=0",(AW122/(Demand!AU139-Retailers_Cap!N122)))</f>
        <v/>
      </c>
      <c r="BC122" s="75">
        <f>IF(Demand!AV139=Retailers_Cap!O122,"ret=0",(AX122/(Demand!AV139-Retailers_Cap!O122)))</f>
        <v/>
      </c>
      <c r="BD122" s="75">
        <f>IF(Demand!AW139=Retailers_Cap!P122,"ret=0",(AY122/(Demand!AW139-Retailers_Cap!P122)))</f>
        <v/>
      </c>
      <c r="BF122" s="75" t="n">
        <v>126</v>
      </c>
      <c r="BG122" s="2">
        <f>IF(Demand!AU139&lt;=Retailers_Cap!N122,"ret=0",(IF(BB122&lt;=AR122+Distributors_Cap!$P$47,1,0)))</f>
        <v/>
      </c>
      <c r="BH122" s="2">
        <f>IF(Demand!AV139&lt;=Retailers_Cap!O122,"ret=0",(IF(BC122&lt;=AS122+Distributors_Cap!$P$47,1,0)))</f>
        <v/>
      </c>
      <c r="BI122" s="2">
        <f>IF(Demand!AW139&lt;=Retailers_Cap!P122,"ret=0",(IF(BD122&lt;=AT122+Distributors_Cap!$P$47,1,0)))</f>
        <v/>
      </c>
      <c r="BK122" s="75" t="n">
        <v>126</v>
      </c>
      <c r="BL122" s="75">
        <f>Retailers!BH121</f>
        <v/>
      </c>
      <c r="BM122" s="75">
        <f>Retailers!BI121</f>
        <v/>
      </c>
      <c r="BN122" s="75">
        <f>Retailers!BJ121</f>
        <v/>
      </c>
      <c r="BP122" s="75" t="n">
        <v>126</v>
      </c>
      <c r="BQ122" s="75">
        <f>#REF!</f>
        <v/>
      </c>
      <c r="BR122" s="75">
        <f>#REF!</f>
        <v/>
      </c>
      <c r="BS122" s="75">
        <f>#REF!</f>
        <v/>
      </c>
      <c r="BU122" s="75" t="n">
        <v>126</v>
      </c>
      <c r="BV122" s="75">
        <f>Retailers!AS121</f>
        <v/>
      </c>
      <c r="BW122" s="75">
        <f>Retailers!AT121</f>
        <v/>
      </c>
      <c r="BX122" s="75">
        <f>Retailers!AU121</f>
        <v/>
      </c>
      <c r="BZ122" s="75" t="n">
        <v>126</v>
      </c>
      <c r="CA122" s="75">
        <f>Results!#REF!</f>
        <v/>
      </c>
      <c r="CB122" s="75">
        <f>Results!#REF!</f>
        <v/>
      </c>
      <c r="CC122" s="75">
        <f>Results!#REF!</f>
        <v/>
      </c>
      <c r="CE122" s="75" t="n">
        <v>126</v>
      </c>
      <c r="CF122" s="75">
        <f>Retailers!BN121</f>
        <v/>
      </c>
      <c r="CG122" s="75">
        <f>Retailers!BO121</f>
        <v/>
      </c>
      <c r="CH122" s="75">
        <f>Retailers!BP121</f>
        <v/>
      </c>
      <c r="CJ122" s="75" t="n">
        <v>126</v>
      </c>
      <c r="CK122" s="75">
        <f>IF(BB122="ret=0",0,IF(BB122&gt;0,AR122+Distributors_Cap!$P$47-BB122,0))</f>
        <v/>
      </c>
      <c r="CL122" s="75">
        <f>IF(BC122="ret=0",0,IF(BC122&gt;0,AS122+Distributors_Cap!$P$47-BC122,0))</f>
        <v/>
      </c>
      <c r="CM122" s="75">
        <f>IF(BD122="ret=0",0,IF(BD122&gt;0,AT122+Distributors_Cap!$P$47-BD122,0))</f>
        <v/>
      </c>
    </row>
    <row r="123">
      <c r="G123" s="75" t="n">
        <v>127</v>
      </c>
      <c r="H123" s="75" t="n">
        <v>82.133</v>
      </c>
      <c r="I123" s="75" t="n">
        <v>58.774</v>
      </c>
      <c r="J123" s="75" t="n">
        <v>75.09099999999999</v>
      </c>
      <c r="L123" s="75">
        <f>TRUNC((_xlfn.NORM.INV((RAND()),$K$7,$K$8)),0)</f>
        <v/>
      </c>
      <c r="M123" s="75" t="n">
        <v>127</v>
      </c>
      <c r="N123" s="5" t="n">
        <v>24</v>
      </c>
      <c r="O123" s="5" t="n">
        <v>32</v>
      </c>
      <c r="P123" s="5" t="n">
        <v>37</v>
      </c>
      <c r="R123" s="2">
        <f>IF(N123&gt;Demand!AU140,0,(IF(((2*(Retailers!AJ122+Distributors_Cap!$P$47)-Retailers_Cap!$BB$7)*(Demand!AU140-Retailers_Cap!N123))&lt;0,0,((IF(BB123&gt;2*(Retailers!AJ122+Distributors_Cap!$P$47),0,(IF(BG123=0,ROUNDUP((2*(Retailers!AJ122+Distributors_Cap!$P$47)-BB123)^0.5,0),ROUNDUP((2*(Retailers!AJ122+Distributors_Cap!$P$47)-BB123)^0.5,0)))))))))</f>
        <v/>
      </c>
      <c r="S123" s="2">
        <f>IF(O123&gt;Demand!AV140,0,(IF(((2*(Retailers!AK122+Distributors_Cap!$P$47)-Retailers_Cap!$BB$7)*(Demand!AV140-Retailers_Cap!O123))&lt;0,0,((IF(BC123&gt;2*(Retailers!AK122+Distributors_Cap!$P$47),0,(IF(BH123=0,ROUNDUP((2*(Retailers!AK122+Distributors_Cap!$P$47)-BC123)^0.5,0),ROUNDUP((2*(Retailers!AK122+Distributors_Cap!$P$47)-BC123)^0.5,0)))))))))</f>
        <v/>
      </c>
      <c r="T123" s="2">
        <f>IF(P123&gt;Demand!AW140,0,(IF(((2*(Retailers!AL122+Distributors_Cap!$P$47)-Retailers_Cap!$BB$7)*(Demand!AW140-Retailers_Cap!P123))&lt;0,0,((IF(BD123&gt;2*(Retailers!AL122+Distributors_Cap!$P$47),0,(IF(BI123=0,ROUNDUP((2*(Retailers!AL122+Distributors_Cap!$P$47)-BD123)^0.5,0),ROUNDUP((2*(Retailers!AL122+Distributors_Cap!$P$47)-BD123)^0.5,0)))))))))</f>
        <v/>
      </c>
      <c r="W123" s="75" t="n">
        <v>127</v>
      </c>
      <c r="X123" s="9" t="n">
        <v>15</v>
      </c>
      <c r="Y123" s="9" t="n">
        <v>0</v>
      </c>
      <c r="Z123" s="9" t="n">
        <v>0</v>
      </c>
      <c r="AB123" s="2">
        <f>ROUNDDOWN(LOG((X123+1),2),0)</f>
        <v/>
      </c>
      <c r="AC123" s="2">
        <f>ROUNDDOWN(LOG((Y123+1),2),0)</f>
        <v/>
      </c>
      <c r="AD123" s="2">
        <f>ROUNDDOWN(LOG((Z123+1),2),0)</f>
        <v/>
      </c>
      <c r="AG123" s="75" t="n">
        <v>127</v>
      </c>
      <c r="AH123" s="9" t="n">
        <v>4</v>
      </c>
      <c r="AI123" s="9" t="n">
        <v>0</v>
      </c>
      <c r="AJ123" s="9" t="n">
        <v>0</v>
      </c>
      <c r="AQ123" s="75" t="n">
        <v>127</v>
      </c>
      <c r="AR123" s="75" t="n">
        <v>82.133</v>
      </c>
      <c r="AS123" s="75" t="n">
        <v>58.774</v>
      </c>
      <c r="AT123" s="75" t="n">
        <v>75.09099999999999</v>
      </c>
      <c r="AV123" s="75" t="n">
        <v>127</v>
      </c>
      <c r="AW123" s="75">
        <f>Beginning_stock!AT151</f>
        <v/>
      </c>
      <c r="AX123" s="75">
        <f>Beginning_stock!AU151</f>
        <v/>
      </c>
      <c r="AY123" s="75">
        <f>Beginning_stock!AV151</f>
        <v/>
      </c>
      <c r="BA123" s="75" t="n">
        <v>127</v>
      </c>
      <c r="BB123" s="75">
        <f>IF(Demand!AU140=Retailers_Cap!N123,"ret=0",(AW123/(Demand!AU140-Retailers_Cap!N123)))</f>
        <v/>
      </c>
      <c r="BC123" s="75">
        <f>IF(Demand!AV140=Retailers_Cap!O123,"ret=0",(AX123/(Demand!AV140-Retailers_Cap!O123)))</f>
        <v/>
      </c>
      <c r="BD123" s="75">
        <f>IF(Demand!AW140=Retailers_Cap!P123,"ret=0",(AY123/(Demand!AW140-Retailers_Cap!P123)))</f>
        <v/>
      </c>
      <c r="BF123" s="75" t="n">
        <v>127</v>
      </c>
      <c r="BG123" s="2">
        <f>IF(Demand!AU140&lt;=Retailers_Cap!N123,"ret=0",(IF(BB123&lt;=AR123+Distributors_Cap!$P$47,1,0)))</f>
        <v/>
      </c>
      <c r="BH123" s="2">
        <f>IF(Demand!AV140&lt;=Retailers_Cap!O123,"ret=0",(IF(BC123&lt;=AS123+Distributors_Cap!$P$47,1,0)))</f>
        <v/>
      </c>
      <c r="BI123" s="2">
        <f>IF(Demand!AW140&lt;=Retailers_Cap!P123,"ret=0",(IF(BD123&lt;=AT123+Distributors_Cap!$P$47,1,0)))</f>
        <v/>
      </c>
      <c r="BK123" s="75" t="n">
        <v>127</v>
      </c>
      <c r="BL123" s="75">
        <f>Retailers!BH122</f>
        <v/>
      </c>
      <c r="BM123" s="75">
        <f>Retailers!BI122</f>
        <v/>
      </c>
      <c r="BN123" s="75">
        <f>Retailers!BJ122</f>
        <v/>
      </c>
      <c r="BP123" s="75" t="n">
        <v>127</v>
      </c>
      <c r="BQ123" s="75">
        <f>#REF!</f>
        <v/>
      </c>
      <c r="BR123" s="75">
        <f>#REF!</f>
        <v/>
      </c>
      <c r="BS123" s="75">
        <f>#REF!</f>
        <v/>
      </c>
      <c r="BU123" s="75" t="n">
        <v>127</v>
      </c>
      <c r="BV123" s="75">
        <f>Retailers!AS122</f>
        <v/>
      </c>
      <c r="BW123" s="75">
        <f>Retailers!AT122</f>
        <v/>
      </c>
      <c r="BX123" s="75">
        <f>Retailers!AU122</f>
        <v/>
      </c>
      <c r="BZ123" s="75" t="n">
        <v>127</v>
      </c>
      <c r="CA123" s="75">
        <f>Results!#REF!</f>
        <v/>
      </c>
      <c r="CB123" s="75">
        <f>Results!#REF!</f>
        <v/>
      </c>
      <c r="CC123" s="75">
        <f>Results!#REF!</f>
        <v/>
      </c>
      <c r="CE123" s="75" t="n">
        <v>127</v>
      </c>
      <c r="CF123" s="75">
        <f>Retailers!BN122</f>
        <v/>
      </c>
      <c r="CG123" s="75">
        <f>Retailers!BO122</f>
        <v/>
      </c>
      <c r="CH123" s="75">
        <f>Retailers!BP122</f>
        <v/>
      </c>
      <c r="CJ123" s="75" t="n">
        <v>127</v>
      </c>
      <c r="CK123" s="75">
        <f>IF(BB123="ret=0",0,IF(BB123&gt;0,AR123+Distributors_Cap!$P$47-BB123,0))</f>
        <v/>
      </c>
      <c r="CL123" s="75">
        <f>IF(BC123="ret=0",0,IF(BC123&gt;0,AS123+Distributors_Cap!$P$47-BC123,0))</f>
        <v/>
      </c>
      <c r="CM123" s="75">
        <f>IF(BD123="ret=0",0,IF(BD123&gt;0,AT123+Distributors_Cap!$P$47-BD123,0))</f>
        <v/>
      </c>
    </row>
    <row r="124">
      <c r="G124" s="75" t="n">
        <v>128</v>
      </c>
      <c r="H124" s="75" t="n">
        <v>40.735</v>
      </c>
      <c r="I124" s="75" t="n">
        <v>46.714</v>
      </c>
      <c r="J124" s="75" t="n">
        <v>59.459</v>
      </c>
      <c r="L124" s="75">
        <f>TRUNC((_xlfn.NORM.INV((RAND()),$K$7,$K$8)),0)</f>
        <v/>
      </c>
      <c r="M124" s="75" t="n">
        <v>128</v>
      </c>
      <c r="N124" s="5" t="n">
        <v>31</v>
      </c>
      <c r="O124" s="5" t="n">
        <v>36</v>
      </c>
      <c r="P124" s="5" t="n">
        <v>22</v>
      </c>
      <c r="R124" s="2">
        <f>IF(N124&gt;Demand!AU141,0,(IF(((2*(Retailers!AJ123+Distributors_Cap!$P$47)-Retailers_Cap!$BB$7)*(Demand!AU141-Retailers_Cap!N124))&lt;0,0,((IF(BB124&gt;2*(Retailers!AJ123+Distributors_Cap!$P$47),0,(IF(BG124=0,ROUNDUP((2*(Retailers!AJ123+Distributors_Cap!$P$47)-BB124)^0.5,0),ROUNDUP((2*(Retailers!AJ123+Distributors_Cap!$P$47)-BB124)^0.5,0)))))))))</f>
        <v/>
      </c>
      <c r="S124" s="2">
        <f>IF(O124&gt;Demand!AV141,0,(IF(((2*(Retailers!AK123+Distributors_Cap!$P$47)-Retailers_Cap!$BB$7)*(Demand!AV141-Retailers_Cap!O124))&lt;0,0,((IF(BC124&gt;2*(Retailers!AK123+Distributors_Cap!$P$47),0,(IF(BH124=0,ROUNDUP((2*(Retailers!AK123+Distributors_Cap!$P$47)-BC124)^0.5,0),ROUNDUP((2*(Retailers!AK123+Distributors_Cap!$P$47)-BC124)^0.5,0)))))))))</f>
        <v/>
      </c>
      <c r="T124" s="2">
        <f>IF(P124&gt;Demand!AW141,0,(IF(((2*(Retailers!AL123+Distributors_Cap!$P$47)-Retailers_Cap!$BB$7)*(Demand!AW141-Retailers_Cap!P124))&lt;0,0,((IF(BD124&gt;2*(Retailers!AL123+Distributors_Cap!$P$47),0,(IF(BI124=0,ROUNDUP((2*(Retailers!AL123+Distributors_Cap!$P$47)-BD124)^0.5,0),ROUNDUP((2*(Retailers!AL123+Distributors_Cap!$P$47)-BD124)^0.5,0)))))))))</f>
        <v/>
      </c>
      <c r="W124" s="75" t="n">
        <v>128</v>
      </c>
      <c r="X124" s="9" t="n">
        <v>0</v>
      </c>
      <c r="Y124" s="9" t="n">
        <v>0</v>
      </c>
      <c r="Z124" s="9" t="n">
        <v>0</v>
      </c>
      <c r="AB124" s="2">
        <f>ROUNDDOWN(LOG((X124+1),2),0)</f>
        <v/>
      </c>
      <c r="AC124" s="2">
        <f>ROUNDDOWN(LOG((Y124+1),2),0)</f>
        <v/>
      </c>
      <c r="AD124" s="2">
        <f>ROUNDDOWN(LOG((Z124+1),2),0)</f>
        <v/>
      </c>
      <c r="AG124" s="75" t="n">
        <v>128</v>
      </c>
      <c r="AH124" s="9" t="n">
        <v>0</v>
      </c>
      <c r="AI124" s="9" t="n">
        <v>0</v>
      </c>
      <c r="AJ124" s="9" t="n">
        <v>0</v>
      </c>
      <c r="AQ124" s="75" t="n">
        <v>128</v>
      </c>
      <c r="AR124" s="75" t="n">
        <v>40.735</v>
      </c>
      <c r="AS124" s="75" t="n">
        <v>46.714</v>
      </c>
      <c r="AT124" s="75" t="n">
        <v>59.459</v>
      </c>
      <c r="AV124" s="75" t="n">
        <v>128</v>
      </c>
      <c r="AW124" s="75">
        <f>Beginning_stock!AT152</f>
        <v/>
      </c>
      <c r="AX124" s="75">
        <f>Beginning_stock!AU152</f>
        <v/>
      </c>
      <c r="AY124" s="75">
        <f>Beginning_stock!AV152</f>
        <v/>
      </c>
      <c r="BA124" s="75" t="n">
        <v>128</v>
      </c>
      <c r="BB124" s="75">
        <f>IF(Demand!AU141=Retailers_Cap!N124,"ret=0",(AW124/(Demand!AU141-Retailers_Cap!N124)))</f>
        <v/>
      </c>
      <c r="BC124" s="75">
        <f>IF(Demand!AV141=Retailers_Cap!O124,"ret=0",(AX124/(Demand!AV141-Retailers_Cap!O124)))</f>
        <v/>
      </c>
      <c r="BD124" s="75">
        <f>IF(Demand!AW141=Retailers_Cap!P124,"ret=0",(AY124/(Demand!AW141-Retailers_Cap!P124)))</f>
        <v/>
      </c>
      <c r="BF124" s="75" t="n">
        <v>128</v>
      </c>
      <c r="BG124" s="2">
        <f>IF(Demand!AU141&lt;=Retailers_Cap!N124,"ret=0",(IF(BB124&lt;=AR124+Distributors_Cap!$P$47,1,0)))</f>
        <v/>
      </c>
      <c r="BH124" s="2">
        <f>IF(Demand!AV141&lt;=Retailers_Cap!O124,"ret=0",(IF(BC124&lt;=AS124+Distributors_Cap!$P$47,1,0)))</f>
        <v/>
      </c>
      <c r="BI124" s="2">
        <f>IF(Demand!AW141&lt;=Retailers_Cap!P124,"ret=0",(IF(BD124&lt;=AT124+Distributors_Cap!$P$47,1,0)))</f>
        <v/>
      </c>
      <c r="BK124" s="75" t="n">
        <v>128</v>
      </c>
      <c r="BL124" s="75">
        <f>Retailers!BH123</f>
        <v/>
      </c>
      <c r="BM124" s="75">
        <f>Retailers!BI123</f>
        <v/>
      </c>
      <c r="BN124" s="75">
        <f>Retailers!BJ123</f>
        <v/>
      </c>
      <c r="BP124" s="75" t="n">
        <v>128</v>
      </c>
      <c r="BQ124" s="75">
        <f>#REF!</f>
        <v/>
      </c>
      <c r="BR124" s="75">
        <f>#REF!</f>
        <v/>
      </c>
      <c r="BS124" s="75">
        <f>#REF!</f>
        <v/>
      </c>
      <c r="BU124" s="75" t="n">
        <v>128</v>
      </c>
      <c r="BV124" s="75">
        <f>Retailers!AS123</f>
        <v/>
      </c>
      <c r="BW124" s="75">
        <f>Retailers!AT123</f>
        <v/>
      </c>
      <c r="BX124" s="75">
        <f>Retailers!AU123</f>
        <v/>
      </c>
      <c r="BZ124" s="75" t="n">
        <v>128</v>
      </c>
      <c r="CA124" s="75">
        <f>Results!#REF!</f>
        <v/>
      </c>
      <c r="CB124" s="75">
        <f>Results!#REF!</f>
        <v/>
      </c>
      <c r="CC124" s="75">
        <f>Results!#REF!</f>
        <v/>
      </c>
      <c r="CE124" s="75" t="n">
        <v>128</v>
      </c>
      <c r="CF124" s="75">
        <f>Retailers!BN123</f>
        <v/>
      </c>
      <c r="CG124" s="75">
        <f>Retailers!BO123</f>
        <v/>
      </c>
      <c r="CH124" s="75">
        <f>Retailers!BP123</f>
        <v/>
      </c>
      <c r="CJ124" s="75" t="n">
        <v>128</v>
      </c>
      <c r="CK124" s="75">
        <f>IF(BB124="ret=0",0,IF(BB124&gt;0,AR124+Distributors_Cap!$P$47-BB124,0))</f>
        <v/>
      </c>
      <c r="CL124" s="75">
        <f>IF(BC124="ret=0",0,IF(BC124&gt;0,AS124+Distributors_Cap!$P$47-BC124,0))</f>
        <v/>
      </c>
      <c r="CM124" s="75">
        <f>IF(BD124="ret=0",0,IF(BD124&gt;0,AT124+Distributors_Cap!$P$47-BD124,0))</f>
        <v/>
      </c>
    </row>
    <row r="125">
      <c r="G125" s="75" t="n">
        <v>129</v>
      </c>
      <c r="H125" s="75" t="n">
        <v>52.521</v>
      </c>
      <c r="I125" s="75" t="n">
        <v>44.615</v>
      </c>
      <c r="J125" s="75" t="n">
        <v>62.786</v>
      </c>
      <c r="L125" s="75">
        <f>TRUNC((_xlfn.NORM.INV((RAND()),$K$7,$K$8)),0)</f>
        <v/>
      </c>
      <c r="M125" s="75" t="n">
        <v>129</v>
      </c>
      <c r="N125" s="5" t="n">
        <v>35</v>
      </c>
      <c r="O125" s="5" t="n">
        <v>15</v>
      </c>
      <c r="P125" s="5" t="n">
        <v>33</v>
      </c>
      <c r="R125" s="2">
        <f>IF(N125&gt;Demand!AU142,0,(IF(((2*(Retailers!AJ124+Distributors_Cap!$P$47)-Retailers_Cap!$BB$7)*(Demand!AU142-Retailers_Cap!N125))&lt;0,0,((IF(BB125&gt;2*(Retailers!AJ124+Distributors_Cap!$P$47),0,(IF(BG125=0,ROUNDUP((2*(Retailers!AJ124+Distributors_Cap!$P$47)-BB125)^0.5,0),ROUNDUP((2*(Retailers!AJ124+Distributors_Cap!$P$47)-BB125)^0.5,0)))))))))</f>
        <v/>
      </c>
      <c r="S125" s="2">
        <f>IF(O125&gt;Demand!AV142,0,(IF(((2*(Retailers!AK124+Distributors_Cap!$P$47)-Retailers_Cap!$BB$7)*(Demand!AV142-Retailers_Cap!O125))&lt;0,0,((IF(BC125&gt;2*(Retailers!AK124+Distributors_Cap!$P$47),0,(IF(BH125=0,ROUNDUP((2*(Retailers!AK124+Distributors_Cap!$P$47)-BC125)^0.5,0),ROUNDUP((2*(Retailers!AK124+Distributors_Cap!$P$47)-BC125)^0.5,0)))))))))</f>
        <v/>
      </c>
      <c r="T125" s="2">
        <f>IF(P125&gt;Demand!AW142,0,(IF(((2*(Retailers!AL124+Distributors_Cap!$P$47)-Retailers_Cap!$BB$7)*(Demand!AW142-Retailers_Cap!P125))&lt;0,0,((IF(BD125&gt;2*(Retailers!AL124+Distributors_Cap!$P$47),0,(IF(BI125=0,ROUNDUP((2*(Retailers!AL124+Distributors_Cap!$P$47)-BD125)^0.5,0),ROUNDUP((2*(Retailers!AL124+Distributors_Cap!$P$47)-BD125)^0.5,0)))))))))</f>
        <v/>
      </c>
      <c r="W125" s="75" t="n">
        <v>129</v>
      </c>
      <c r="X125" s="9" t="n">
        <v>0</v>
      </c>
      <c r="Y125" s="9" t="n">
        <v>11</v>
      </c>
      <c r="Z125" s="9" t="n">
        <v>0</v>
      </c>
      <c r="AB125" s="2">
        <f>ROUNDDOWN(LOG((X125+1),2),0)</f>
        <v/>
      </c>
      <c r="AC125" s="2">
        <f>ROUNDDOWN(LOG((Y125+1),2),0)</f>
        <v/>
      </c>
      <c r="AD125" s="2">
        <f>ROUNDDOWN(LOG((Z125+1),2),0)</f>
        <v/>
      </c>
      <c r="AG125" s="75" t="n">
        <v>129</v>
      </c>
      <c r="AH125" s="9" t="n">
        <v>0</v>
      </c>
      <c r="AI125" s="9" t="n">
        <v>3</v>
      </c>
      <c r="AJ125" s="9" t="n">
        <v>0</v>
      </c>
      <c r="AQ125" s="75" t="n">
        <v>129</v>
      </c>
      <c r="AR125" s="75" t="n">
        <v>52.521</v>
      </c>
      <c r="AS125" s="75" t="n">
        <v>44.615</v>
      </c>
      <c r="AT125" s="75" t="n">
        <v>62.786</v>
      </c>
      <c r="AV125" s="75" t="n">
        <v>129</v>
      </c>
      <c r="AW125" s="75">
        <f>Beginning_stock!AT153</f>
        <v/>
      </c>
      <c r="AX125" s="75">
        <f>Beginning_stock!AU153</f>
        <v/>
      </c>
      <c r="AY125" s="75">
        <f>Beginning_stock!AV153</f>
        <v/>
      </c>
      <c r="BA125" s="75" t="n">
        <v>129</v>
      </c>
      <c r="BB125" s="75">
        <f>IF(Demand!AU142=Retailers_Cap!N125,"ret=0",(AW125/(Demand!AU142-Retailers_Cap!N125)))</f>
        <v/>
      </c>
      <c r="BC125" s="75">
        <f>IF(Demand!AV142=Retailers_Cap!O125,"ret=0",(AX125/(Demand!AV142-Retailers_Cap!O125)))</f>
        <v/>
      </c>
      <c r="BD125" s="75">
        <f>IF(Demand!AW142=Retailers_Cap!P125,"ret=0",(AY125/(Demand!AW142-Retailers_Cap!P125)))</f>
        <v/>
      </c>
      <c r="BF125" s="75" t="n">
        <v>129</v>
      </c>
      <c r="BG125" s="2">
        <f>IF(Demand!AU142&lt;=Retailers_Cap!N125,"ret=0",(IF(BB125&lt;=AR125+Distributors_Cap!$P$47,1,0)))</f>
        <v/>
      </c>
      <c r="BH125" s="2">
        <f>IF(Demand!AV142&lt;=Retailers_Cap!O125,"ret=0",(IF(BC125&lt;=AS125+Distributors_Cap!$P$47,1,0)))</f>
        <v/>
      </c>
      <c r="BI125" s="2">
        <f>IF(Demand!AW142&lt;=Retailers_Cap!P125,"ret=0",(IF(BD125&lt;=AT125+Distributors_Cap!$P$47,1,0)))</f>
        <v/>
      </c>
      <c r="BK125" s="75" t="n">
        <v>129</v>
      </c>
      <c r="BL125" s="75">
        <f>Retailers!BH124</f>
        <v/>
      </c>
      <c r="BM125" s="75">
        <f>Retailers!BI124</f>
        <v/>
      </c>
      <c r="BN125" s="75">
        <f>Retailers!BJ124</f>
        <v/>
      </c>
      <c r="BP125" s="75" t="n">
        <v>129</v>
      </c>
      <c r="BQ125" s="75">
        <f>#REF!</f>
        <v/>
      </c>
      <c r="BR125" s="75">
        <f>#REF!</f>
        <v/>
      </c>
      <c r="BS125" s="75">
        <f>#REF!</f>
        <v/>
      </c>
      <c r="BU125" s="75" t="n">
        <v>129</v>
      </c>
      <c r="BV125" s="75">
        <f>Retailers!AS124</f>
        <v/>
      </c>
      <c r="BW125" s="75">
        <f>Retailers!AT124</f>
        <v/>
      </c>
      <c r="BX125" s="75">
        <f>Retailers!AU124</f>
        <v/>
      </c>
      <c r="BZ125" s="75" t="n">
        <v>129</v>
      </c>
      <c r="CA125" s="75">
        <f>Results!#REF!</f>
        <v/>
      </c>
      <c r="CB125" s="75">
        <f>Results!#REF!</f>
        <v/>
      </c>
      <c r="CC125" s="75">
        <f>Results!#REF!</f>
        <v/>
      </c>
      <c r="CE125" s="75" t="n">
        <v>129</v>
      </c>
      <c r="CF125" s="75">
        <f>Retailers!BN124</f>
        <v/>
      </c>
      <c r="CG125" s="75">
        <f>Retailers!BO124</f>
        <v/>
      </c>
      <c r="CH125" s="75">
        <f>Retailers!BP124</f>
        <v/>
      </c>
      <c r="CJ125" s="75" t="n">
        <v>129</v>
      </c>
      <c r="CK125" s="75">
        <f>IF(BB125="ret=0",0,IF(BB125&gt;0,AR125+Distributors_Cap!$P$47-BB125,0))</f>
        <v/>
      </c>
      <c r="CL125" s="75">
        <f>IF(BC125="ret=0",0,IF(BC125&gt;0,AS125+Distributors_Cap!$P$47-BC125,0))</f>
        <v/>
      </c>
      <c r="CM125" s="75">
        <f>IF(BD125="ret=0",0,IF(BD125&gt;0,AT125+Distributors_Cap!$P$47-BD125,0))</f>
        <v/>
      </c>
    </row>
    <row r="126">
      <c r="G126" s="75" t="n">
        <v>130</v>
      </c>
      <c r="H126" s="75" t="n">
        <v>63.304</v>
      </c>
      <c r="I126" s="75" t="n">
        <v>52.59</v>
      </c>
      <c r="J126" s="75" t="n">
        <v>64.55</v>
      </c>
      <c r="L126" s="75">
        <f>TRUNC((_xlfn.NORM.INV((RAND()),$K$7,$K$8)),0)</f>
        <v/>
      </c>
      <c r="M126" s="75" t="n">
        <v>130</v>
      </c>
      <c r="N126" s="5" t="n">
        <v>34</v>
      </c>
      <c r="O126" s="5" t="n">
        <v>36</v>
      </c>
      <c r="P126" s="5" t="n">
        <v>33</v>
      </c>
      <c r="R126" s="2">
        <f>IF(N126&gt;Demand!AU143,0,(IF(((2*(Retailers!AJ125+Distributors_Cap!$P$47)-Retailers_Cap!$BB$7)*(Demand!AU143-Retailers_Cap!N126))&lt;0,0,((IF(BB126&gt;2*(Retailers!AJ125+Distributors_Cap!$P$47),0,(IF(BG126=0,ROUNDUP((2*(Retailers!AJ125+Distributors_Cap!$P$47)-BB126)^0.5,0),ROUNDUP((2*(Retailers!AJ125+Distributors_Cap!$P$47)-BB126)^0.5,0)))))))))</f>
        <v/>
      </c>
      <c r="S126" s="2">
        <f>IF(O126&gt;Demand!AV143,0,(IF(((2*(Retailers!AK125+Distributors_Cap!$P$47)-Retailers_Cap!$BB$7)*(Demand!AV143-Retailers_Cap!O126))&lt;0,0,((IF(BC126&gt;2*(Retailers!AK125+Distributors_Cap!$P$47),0,(IF(BH126=0,ROUNDUP((2*(Retailers!AK125+Distributors_Cap!$P$47)-BC126)^0.5,0),ROUNDUP((2*(Retailers!AK125+Distributors_Cap!$P$47)-BC126)^0.5,0)))))))))</f>
        <v/>
      </c>
      <c r="T126" s="2">
        <f>IF(P126&gt;Demand!AW143,0,(IF(((2*(Retailers!AL125+Distributors_Cap!$P$47)-Retailers_Cap!$BB$7)*(Demand!AW143-Retailers_Cap!P126))&lt;0,0,((IF(BD126&gt;2*(Retailers!AL125+Distributors_Cap!$P$47),0,(IF(BI126=0,ROUNDUP((2*(Retailers!AL125+Distributors_Cap!$P$47)-BD126)^0.5,0),ROUNDUP((2*(Retailers!AL125+Distributors_Cap!$P$47)-BD126)^0.5,0)))))))))</f>
        <v/>
      </c>
      <c r="W126" s="75" t="n">
        <v>130</v>
      </c>
      <c r="X126" s="9" t="n">
        <v>0</v>
      </c>
      <c r="Y126" s="9" t="n">
        <v>0</v>
      </c>
      <c r="Z126" s="9" t="n">
        <v>0</v>
      </c>
      <c r="AB126" s="2">
        <f>ROUNDDOWN(LOG((X126+1),2),0)</f>
        <v/>
      </c>
      <c r="AC126" s="2">
        <f>ROUNDDOWN(LOG((Y126+1),2),0)</f>
        <v/>
      </c>
      <c r="AD126" s="2">
        <f>ROUNDDOWN(LOG((Z126+1),2),0)</f>
        <v/>
      </c>
      <c r="AG126" s="75" t="n">
        <v>130</v>
      </c>
      <c r="AH126" s="9" t="n">
        <v>0</v>
      </c>
      <c r="AI126" s="9" t="n">
        <v>0</v>
      </c>
      <c r="AJ126" s="9" t="n">
        <v>0</v>
      </c>
      <c r="AQ126" s="75" t="n">
        <v>130</v>
      </c>
      <c r="AR126" s="75" t="n">
        <v>63.304</v>
      </c>
      <c r="AS126" s="75" t="n">
        <v>52.59</v>
      </c>
      <c r="AT126" s="75" t="n">
        <v>64.55</v>
      </c>
      <c r="AV126" s="75" t="n">
        <v>130</v>
      </c>
      <c r="AW126" s="75">
        <f>Beginning_stock!AT154</f>
        <v/>
      </c>
      <c r="AX126" s="75">
        <f>Beginning_stock!AU154</f>
        <v/>
      </c>
      <c r="AY126" s="75">
        <f>Beginning_stock!AV154</f>
        <v/>
      </c>
      <c r="BA126" s="75" t="n">
        <v>130</v>
      </c>
      <c r="BB126" s="75">
        <f>IF(Demand!AU143=Retailers_Cap!N126,"ret=0",(AW126/(Demand!AU143-Retailers_Cap!N126)))</f>
        <v/>
      </c>
      <c r="BC126" s="75">
        <f>IF(Demand!AV143=Retailers_Cap!O126,"ret=0",(AX126/(Demand!AV143-Retailers_Cap!O126)))</f>
        <v/>
      </c>
      <c r="BD126" s="75">
        <f>IF(Demand!AW143=Retailers_Cap!P126,"ret=0",(AY126/(Demand!AW143-Retailers_Cap!P126)))</f>
        <v/>
      </c>
      <c r="BF126" s="75" t="n">
        <v>130</v>
      </c>
      <c r="BG126" s="2">
        <f>IF(Demand!AU143&lt;=Retailers_Cap!N126,"ret=0",(IF(BB126&lt;=AR126+Distributors_Cap!$P$47,1,0)))</f>
        <v/>
      </c>
      <c r="BH126" s="2">
        <f>IF(Demand!AV143&lt;=Retailers_Cap!O126,"ret=0",(IF(BC126&lt;=AS126+Distributors_Cap!$P$47,1,0)))</f>
        <v/>
      </c>
      <c r="BI126" s="2">
        <f>IF(Demand!AW143&lt;=Retailers_Cap!P126,"ret=0",(IF(BD126&lt;=AT126+Distributors_Cap!$P$47,1,0)))</f>
        <v/>
      </c>
      <c r="BK126" s="75" t="n">
        <v>130</v>
      </c>
      <c r="BL126" s="75">
        <f>Retailers!BH125</f>
        <v/>
      </c>
      <c r="BM126" s="75">
        <f>Retailers!BI125</f>
        <v/>
      </c>
      <c r="BN126" s="75">
        <f>Retailers!BJ125</f>
        <v/>
      </c>
      <c r="BP126" s="75" t="n">
        <v>130</v>
      </c>
      <c r="BQ126" s="75">
        <f>#REF!</f>
        <v/>
      </c>
      <c r="BR126" s="75">
        <f>#REF!</f>
        <v/>
      </c>
      <c r="BS126" s="75">
        <f>#REF!</f>
        <v/>
      </c>
      <c r="BU126" s="75" t="n">
        <v>130</v>
      </c>
      <c r="BV126" s="75">
        <f>Retailers!AS125</f>
        <v/>
      </c>
      <c r="BW126" s="75">
        <f>Retailers!AT125</f>
        <v/>
      </c>
      <c r="BX126" s="75">
        <f>Retailers!AU125</f>
        <v/>
      </c>
      <c r="BZ126" s="75" t="n">
        <v>130</v>
      </c>
      <c r="CA126" s="75">
        <f>Results!#REF!</f>
        <v/>
      </c>
      <c r="CB126" s="75">
        <f>Results!#REF!</f>
        <v/>
      </c>
      <c r="CC126" s="75">
        <f>Results!#REF!</f>
        <v/>
      </c>
      <c r="CE126" s="75" t="n">
        <v>130</v>
      </c>
      <c r="CF126" s="75">
        <f>Retailers!BN125</f>
        <v/>
      </c>
      <c r="CG126" s="75">
        <f>Retailers!BO125</f>
        <v/>
      </c>
      <c r="CH126" s="75">
        <f>Retailers!BP125</f>
        <v/>
      </c>
      <c r="CJ126" s="75" t="n">
        <v>130</v>
      </c>
      <c r="CK126" s="75">
        <f>IF(BB126="ret=0",0,IF(BB126&gt;0,AR126+Distributors_Cap!$P$47-BB126,0))</f>
        <v/>
      </c>
      <c r="CL126" s="75">
        <f>IF(BC126="ret=0",0,IF(BC126&gt;0,AS126+Distributors_Cap!$P$47-BC126,0))</f>
        <v/>
      </c>
      <c r="CM126" s="75">
        <f>IF(BD126="ret=0",0,IF(BD126&gt;0,AT126+Distributors_Cap!$P$47-BD126,0))</f>
        <v/>
      </c>
    </row>
    <row r="127">
      <c r="G127" s="75" t="n">
        <v>131</v>
      </c>
      <c r="H127" s="75" t="n">
        <v>51.298</v>
      </c>
      <c r="I127" s="75" t="n">
        <v>53.645</v>
      </c>
      <c r="J127" s="75" t="n">
        <v>66.53</v>
      </c>
      <c r="L127" s="75">
        <f>TRUNC((_xlfn.NORM.INV((RAND()),$K$7,$K$8)),0)</f>
        <v/>
      </c>
      <c r="M127" s="75" t="n">
        <v>131</v>
      </c>
      <c r="N127" s="5" t="n">
        <v>40</v>
      </c>
      <c r="O127" s="5" t="n">
        <v>28</v>
      </c>
      <c r="P127" s="5" t="n">
        <v>19</v>
      </c>
      <c r="R127" s="2">
        <f>IF(N127&gt;Demand!AU144,0,(IF(((2*(Retailers!AJ126+Distributors_Cap!$P$47)-Retailers_Cap!$BB$7)*(Demand!AU144-Retailers_Cap!N127))&lt;0,0,((IF(BB127&gt;2*(Retailers!AJ126+Distributors_Cap!$P$47),0,(IF(BG127=0,ROUNDUP((2*(Retailers!AJ126+Distributors_Cap!$P$47)-BB127)^0.5,0),ROUNDUP((2*(Retailers!AJ126+Distributors_Cap!$P$47)-BB127)^0.5,0)))))))))</f>
        <v/>
      </c>
      <c r="S127" s="2">
        <f>IF(O127&gt;Demand!AV144,0,(IF(((2*(Retailers!AK126+Distributors_Cap!$P$47)-Retailers_Cap!$BB$7)*(Demand!AV144-Retailers_Cap!O127))&lt;0,0,((IF(BC127&gt;2*(Retailers!AK126+Distributors_Cap!$P$47),0,(IF(BH127=0,ROUNDUP((2*(Retailers!AK126+Distributors_Cap!$P$47)-BC127)^0.5,0),ROUNDUP((2*(Retailers!AK126+Distributors_Cap!$P$47)-BC127)^0.5,0)))))))))</f>
        <v/>
      </c>
      <c r="T127" s="2">
        <f>IF(P127&gt;Demand!AW144,0,(IF(((2*(Retailers!AL126+Distributors_Cap!$P$47)-Retailers_Cap!$BB$7)*(Demand!AW144-Retailers_Cap!P127))&lt;0,0,((IF(BD127&gt;2*(Retailers!AL126+Distributors_Cap!$P$47),0,(IF(BI127=0,ROUNDUP((2*(Retailers!AL126+Distributors_Cap!$P$47)-BD127)^0.5,0),ROUNDUP((2*(Retailers!AL126+Distributors_Cap!$P$47)-BD127)^0.5,0)))))))))</f>
        <v/>
      </c>
      <c r="W127" s="75" t="n">
        <v>131</v>
      </c>
      <c r="X127" s="9" t="n">
        <v>0</v>
      </c>
      <c r="Y127" s="9" t="n">
        <v>12</v>
      </c>
      <c r="Z127" s="9" t="n">
        <v>14</v>
      </c>
      <c r="AB127" s="2">
        <f>ROUNDDOWN(LOG((X127+1),2),0)</f>
        <v/>
      </c>
      <c r="AC127" s="2">
        <f>ROUNDDOWN(LOG((Y127+1),2),0)</f>
        <v/>
      </c>
      <c r="AD127" s="2">
        <f>ROUNDDOWN(LOG((Z127+1),2),0)</f>
        <v/>
      </c>
      <c r="AG127" s="75" t="n">
        <v>131</v>
      </c>
      <c r="AH127" s="9" t="n">
        <v>0</v>
      </c>
      <c r="AI127" s="9" t="n">
        <v>3</v>
      </c>
      <c r="AJ127" s="9" t="n">
        <v>3</v>
      </c>
      <c r="AQ127" s="75" t="n">
        <v>131</v>
      </c>
      <c r="AR127" s="75" t="n">
        <v>51.298</v>
      </c>
      <c r="AS127" s="75" t="n">
        <v>53.645</v>
      </c>
      <c r="AT127" s="75" t="n">
        <v>66.53</v>
      </c>
      <c r="AV127" s="75" t="n">
        <v>131</v>
      </c>
      <c r="AW127" s="75">
        <f>Beginning_stock!AT155</f>
        <v/>
      </c>
      <c r="AX127" s="75">
        <f>Beginning_stock!AU155</f>
        <v/>
      </c>
      <c r="AY127" s="75">
        <f>Beginning_stock!AV155</f>
        <v/>
      </c>
      <c r="BA127" s="75" t="n">
        <v>131</v>
      </c>
      <c r="BB127" s="75">
        <f>IF(Demand!AU144=Retailers_Cap!N127,"ret=0",(AW127/(Demand!AU144-Retailers_Cap!N127)))</f>
        <v/>
      </c>
      <c r="BC127" s="75">
        <f>IF(Demand!AV144=Retailers_Cap!O127,"ret=0",(AX127/(Demand!AV144-Retailers_Cap!O127)))</f>
        <v/>
      </c>
      <c r="BD127" s="75">
        <f>IF(Demand!AW144=Retailers_Cap!P127,"ret=0",(AY127/(Demand!AW144-Retailers_Cap!P127)))</f>
        <v/>
      </c>
      <c r="BF127" s="75" t="n">
        <v>131</v>
      </c>
      <c r="BG127" s="2">
        <f>IF(Demand!AU144&lt;=Retailers_Cap!N127,"ret=0",(IF(BB127&lt;=AR127+Distributors_Cap!$P$47,1,0)))</f>
        <v/>
      </c>
      <c r="BH127" s="2">
        <f>IF(Demand!AV144&lt;=Retailers_Cap!O127,"ret=0",(IF(BC127&lt;=AS127+Distributors_Cap!$P$47,1,0)))</f>
        <v/>
      </c>
      <c r="BI127" s="2">
        <f>IF(Demand!AW144&lt;=Retailers_Cap!P127,"ret=0",(IF(BD127&lt;=AT127+Distributors_Cap!$P$47,1,0)))</f>
        <v/>
      </c>
      <c r="BK127" s="75" t="n">
        <v>131</v>
      </c>
      <c r="BL127" s="75">
        <f>Retailers!BH126</f>
        <v/>
      </c>
      <c r="BM127" s="75">
        <f>Retailers!BI126</f>
        <v/>
      </c>
      <c r="BN127" s="75">
        <f>Retailers!BJ126</f>
        <v/>
      </c>
      <c r="BP127" s="75" t="n">
        <v>131</v>
      </c>
      <c r="BQ127" s="75">
        <f>#REF!</f>
        <v/>
      </c>
      <c r="BR127" s="75">
        <f>#REF!</f>
        <v/>
      </c>
      <c r="BS127" s="75">
        <f>#REF!</f>
        <v/>
      </c>
      <c r="BU127" s="75" t="n">
        <v>131</v>
      </c>
      <c r="BV127" s="75">
        <f>Retailers!AS126</f>
        <v/>
      </c>
      <c r="BW127" s="75">
        <f>Retailers!AT126</f>
        <v/>
      </c>
      <c r="BX127" s="75">
        <f>Retailers!AU126</f>
        <v/>
      </c>
      <c r="BZ127" s="75" t="n">
        <v>131</v>
      </c>
      <c r="CA127" s="75">
        <f>Results!#REF!</f>
        <v/>
      </c>
      <c r="CB127" s="75">
        <f>Results!#REF!</f>
        <v/>
      </c>
      <c r="CC127" s="75">
        <f>Results!#REF!</f>
        <v/>
      </c>
      <c r="CE127" s="75" t="n">
        <v>131</v>
      </c>
      <c r="CF127" s="75">
        <f>Retailers!BN126</f>
        <v/>
      </c>
      <c r="CG127" s="75">
        <f>Retailers!BO126</f>
        <v/>
      </c>
      <c r="CH127" s="75">
        <f>Retailers!BP126</f>
        <v/>
      </c>
      <c r="CJ127" s="75" t="n">
        <v>131</v>
      </c>
      <c r="CK127" s="75">
        <f>IF(BB127="ret=0",0,IF(BB127&gt;0,AR127+Distributors_Cap!$P$47-BB127,0))</f>
        <v/>
      </c>
      <c r="CL127" s="75">
        <f>IF(BC127="ret=0",0,IF(BC127&gt;0,AS127+Distributors_Cap!$P$47-BC127,0))</f>
        <v/>
      </c>
      <c r="CM127" s="75">
        <f>IF(BD127="ret=0",0,IF(BD127&gt;0,AT127+Distributors_Cap!$P$47-BD127,0))</f>
        <v/>
      </c>
    </row>
    <row r="128">
      <c r="G128" s="75" t="n">
        <v>132</v>
      </c>
      <c r="H128" s="75" t="n">
        <v>42.887</v>
      </c>
      <c r="I128" s="75" t="n">
        <v>71.17</v>
      </c>
      <c r="J128" s="75" t="n">
        <v>46.726</v>
      </c>
      <c r="L128" s="75">
        <f>TRUNC((_xlfn.NORM.INV((RAND()),$K$7,$K$8)),0)</f>
        <v/>
      </c>
      <c r="M128" s="75" t="n">
        <v>132</v>
      </c>
      <c r="N128" s="5" t="n">
        <v>13</v>
      </c>
      <c r="O128" s="5" t="n">
        <v>40</v>
      </c>
      <c r="P128" s="5" t="n">
        <v>36</v>
      </c>
      <c r="R128" s="2">
        <f>IF(N128&gt;Demand!AU145,0,(IF(((2*(Retailers!AJ127+Distributors_Cap!$P$47)-Retailers_Cap!$BB$7)*(Demand!AU145-Retailers_Cap!N128))&lt;0,0,((IF(BB128&gt;2*(Retailers!AJ127+Distributors_Cap!$P$47),0,(IF(BG128=0,ROUNDUP((2*(Retailers!AJ127+Distributors_Cap!$P$47)-BB128)^0.5,0),ROUNDUP((2*(Retailers!AJ127+Distributors_Cap!$P$47)-BB128)^0.5,0)))))))))</f>
        <v/>
      </c>
      <c r="S128" s="2">
        <f>IF(O128&gt;Demand!AV145,0,(IF(((2*(Retailers!AK127+Distributors_Cap!$P$47)-Retailers_Cap!$BB$7)*(Demand!AV145-Retailers_Cap!O128))&lt;0,0,((IF(BC128&gt;2*(Retailers!AK127+Distributors_Cap!$P$47),0,(IF(BH128=0,ROUNDUP((2*(Retailers!AK127+Distributors_Cap!$P$47)-BC128)^0.5,0),ROUNDUP((2*(Retailers!AK127+Distributors_Cap!$P$47)-BC128)^0.5,0)))))))))</f>
        <v/>
      </c>
      <c r="T128" s="2">
        <f>IF(P128&gt;Demand!AW145,0,(IF(((2*(Retailers!AL127+Distributors_Cap!$P$47)-Retailers_Cap!$BB$7)*(Demand!AW145-Retailers_Cap!P128))&lt;0,0,((IF(BD128&gt;2*(Retailers!AL127+Distributors_Cap!$P$47),0,(IF(BI128=0,ROUNDUP((2*(Retailers!AL127+Distributors_Cap!$P$47)-BD128)^0.5,0),ROUNDUP((2*(Retailers!AL127+Distributors_Cap!$P$47)-BD128)^0.5,0)))))))))</f>
        <v/>
      </c>
      <c r="W128" s="75" t="n">
        <v>132</v>
      </c>
      <c r="X128" s="9" t="n">
        <v>12</v>
      </c>
      <c r="Y128" s="9" t="n">
        <v>0</v>
      </c>
      <c r="Z128" s="9" t="n">
        <v>0</v>
      </c>
      <c r="AB128" s="2">
        <f>ROUNDDOWN(LOG((X128+1),2),0)</f>
        <v/>
      </c>
      <c r="AC128" s="2">
        <f>ROUNDDOWN(LOG((Y128+1),2),0)</f>
        <v/>
      </c>
      <c r="AD128" s="2">
        <f>ROUNDDOWN(LOG((Z128+1),2),0)</f>
        <v/>
      </c>
      <c r="AG128" s="75" t="n">
        <v>132</v>
      </c>
      <c r="AH128" s="9" t="n">
        <v>3</v>
      </c>
      <c r="AI128" s="9" t="n">
        <v>0</v>
      </c>
      <c r="AJ128" s="9" t="n">
        <v>0</v>
      </c>
      <c r="AQ128" s="75" t="n">
        <v>132</v>
      </c>
      <c r="AR128" s="75" t="n">
        <v>42.887</v>
      </c>
      <c r="AS128" s="75" t="n">
        <v>71.17</v>
      </c>
      <c r="AT128" s="75" t="n">
        <v>46.726</v>
      </c>
      <c r="AV128" s="75" t="n">
        <v>132</v>
      </c>
      <c r="AW128" s="75">
        <f>Beginning_stock!AT156</f>
        <v/>
      </c>
      <c r="AX128" s="75">
        <f>Beginning_stock!AU156</f>
        <v/>
      </c>
      <c r="AY128" s="75">
        <f>Beginning_stock!AV156</f>
        <v/>
      </c>
      <c r="BA128" s="75" t="n">
        <v>132</v>
      </c>
      <c r="BB128" s="75">
        <f>IF(Demand!AU145=Retailers_Cap!N128,"ret=0",(AW128/(Demand!AU145-Retailers_Cap!N128)))</f>
        <v/>
      </c>
      <c r="BC128" s="75">
        <f>IF(Demand!AV145=Retailers_Cap!O128,"ret=0",(AX128/(Demand!AV145-Retailers_Cap!O128)))</f>
        <v/>
      </c>
      <c r="BD128" s="75">
        <f>IF(Demand!AW145=Retailers_Cap!P128,"ret=0",(AY128/(Demand!AW145-Retailers_Cap!P128)))</f>
        <v/>
      </c>
      <c r="BF128" s="75" t="n">
        <v>132</v>
      </c>
      <c r="BG128" s="2">
        <f>IF(Demand!AU145&lt;=Retailers_Cap!N128,"ret=0",(IF(BB128&lt;=AR128+Distributors_Cap!$P$47,1,0)))</f>
        <v/>
      </c>
      <c r="BH128" s="2">
        <f>IF(Demand!AV145&lt;=Retailers_Cap!O128,"ret=0",(IF(BC128&lt;=AS128+Distributors_Cap!$P$47,1,0)))</f>
        <v/>
      </c>
      <c r="BI128" s="2">
        <f>IF(Demand!AW145&lt;=Retailers_Cap!P128,"ret=0",(IF(BD128&lt;=AT128+Distributors_Cap!$P$47,1,0)))</f>
        <v/>
      </c>
      <c r="BK128" s="75" t="n">
        <v>132</v>
      </c>
      <c r="BL128" s="75">
        <f>Retailers!BH127</f>
        <v/>
      </c>
      <c r="BM128" s="75">
        <f>Retailers!BI127</f>
        <v/>
      </c>
      <c r="BN128" s="75">
        <f>Retailers!BJ127</f>
        <v/>
      </c>
      <c r="BP128" s="75" t="n">
        <v>132</v>
      </c>
      <c r="BQ128" s="75">
        <f>#REF!</f>
        <v/>
      </c>
      <c r="BR128" s="75">
        <f>#REF!</f>
        <v/>
      </c>
      <c r="BS128" s="75">
        <f>#REF!</f>
        <v/>
      </c>
      <c r="BU128" s="75" t="n">
        <v>132</v>
      </c>
      <c r="BV128" s="75">
        <f>Retailers!AS127</f>
        <v/>
      </c>
      <c r="BW128" s="75">
        <f>Retailers!AT127</f>
        <v/>
      </c>
      <c r="BX128" s="75">
        <f>Retailers!AU127</f>
        <v/>
      </c>
      <c r="BZ128" s="75" t="n">
        <v>132</v>
      </c>
      <c r="CA128" s="75">
        <f>Results!#REF!</f>
        <v/>
      </c>
      <c r="CB128" s="75">
        <f>Results!#REF!</f>
        <v/>
      </c>
      <c r="CC128" s="75">
        <f>Results!#REF!</f>
        <v/>
      </c>
      <c r="CE128" s="75" t="n">
        <v>132</v>
      </c>
      <c r="CF128" s="75">
        <f>Retailers!BN127</f>
        <v/>
      </c>
      <c r="CG128" s="75">
        <f>Retailers!BO127</f>
        <v/>
      </c>
      <c r="CH128" s="75">
        <f>Retailers!BP127</f>
        <v/>
      </c>
      <c r="CJ128" s="75" t="n">
        <v>132</v>
      </c>
      <c r="CK128" s="75">
        <f>IF(BB128="ret=0",0,IF(BB128&gt;0,AR128+Distributors_Cap!$P$47-BB128,0))</f>
        <v/>
      </c>
      <c r="CL128" s="75">
        <f>IF(BC128="ret=0",0,IF(BC128&gt;0,AS128+Distributors_Cap!$P$47-BC128,0))</f>
        <v/>
      </c>
      <c r="CM128" s="75">
        <f>IF(BD128="ret=0",0,IF(BD128&gt;0,AT128+Distributors_Cap!$P$47-BD128,0))</f>
        <v/>
      </c>
    </row>
    <row r="129">
      <c r="G129" s="75" t="n">
        <v>133</v>
      </c>
      <c r="H129" s="75" t="n">
        <v>60.239</v>
      </c>
      <c r="I129" s="75" t="n">
        <v>72.152</v>
      </c>
      <c r="J129" s="75" t="n">
        <v>72.804</v>
      </c>
      <c r="L129" s="75">
        <f>TRUNC((_xlfn.NORM.INV((RAND()),$K$7,$K$8)),0)</f>
        <v/>
      </c>
      <c r="M129" s="75" t="n">
        <v>133</v>
      </c>
      <c r="N129" s="5" t="n">
        <v>33</v>
      </c>
      <c r="O129" s="5" t="n">
        <v>25</v>
      </c>
      <c r="P129" s="5" t="n">
        <v>13</v>
      </c>
      <c r="R129" s="2">
        <f>IF(N129&gt;Demand!AU146,0,(IF(((2*(Retailers!AJ128+Distributors_Cap!$P$47)-Retailers_Cap!$BB$7)*(Demand!AU146-Retailers_Cap!N129))&lt;0,0,((IF(BB129&gt;2*(Retailers!AJ128+Distributors_Cap!$P$47),0,(IF(BG129=0,ROUNDUP((2*(Retailers!AJ128+Distributors_Cap!$P$47)-BB129)^0.5,0),ROUNDUP((2*(Retailers!AJ128+Distributors_Cap!$P$47)-BB129)^0.5,0)))))))))</f>
        <v/>
      </c>
      <c r="S129" s="2">
        <f>IF(O129&gt;Demand!AV146,0,(IF(((2*(Retailers!AK128+Distributors_Cap!$P$47)-Retailers_Cap!$BB$7)*(Demand!AV146-Retailers_Cap!O129))&lt;0,0,((IF(BC129&gt;2*(Retailers!AK128+Distributors_Cap!$P$47),0,(IF(BH129=0,ROUNDUP((2*(Retailers!AK128+Distributors_Cap!$P$47)-BC129)^0.5,0),ROUNDUP((2*(Retailers!AK128+Distributors_Cap!$P$47)-BC129)^0.5,0)))))))))</f>
        <v/>
      </c>
      <c r="T129" s="2">
        <f>IF(P129&gt;Demand!AW146,0,(IF(((2*(Retailers!AL128+Distributors_Cap!$P$47)-Retailers_Cap!$BB$7)*(Demand!AW146-Retailers_Cap!P129))&lt;0,0,((IF(BD129&gt;2*(Retailers!AL128+Distributors_Cap!$P$47),0,(IF(BI129=0,ROUNDUP((2*(Retailers!AL128+Distributors_Cap!$P$47)-BD129)^0.5,0),ROUNDUP((2*(Retailers!AL128+Distributors_Cap!$P$47)-BD129)^0.5,0)))))))))</f>
        <v/>
      </c>
      <c r="W129" s="75" t="n">
        <v>133</v>
      </c>
      <c r="X129" s="9" t="n">
        <v>8</v>
      </c>
      <c r="Y129" s="9" t="n">
        <v>14</v>
      </c>
      <c r="Z129" s="9" t="n">
        <v>14</v>
      </c>
      <c r="AB129" s="2">
        <f>ROUNDDOWN(LOG((X129+1),2),0)</f>
        <v/>
      </c>
      <c r="AC129" s="2">
        <f>ROUNDDOWN(LOG((Y129+1),2),0)</f>
        <v/>
      </c>
      <c r="AD129" s="2">
        <f>ROUNDDOWN(LOG((Z129+1),2),0)</f>
        <v/>
      </c>
      <c r="AG129" s="75" t="n">
        <v>133</v>
      </c>
      <c r="AH129" s="9" t="n">
        <v>3</v>
      </c>
      <c r="AI129" s="9" t="n">
        <v>3</v>
      </c>
      <c r="AJ129" s="9" t="n">
        <v>3</v>
      </c>
      <c r="AQ129" s="75" t="n">
        <v>133</v>
      </c>
      <c r="AR129" s="75" t="n">
        <v>60.239</v>
      </c>
      <c r="AS129" s="75" t="n">
        <v>72.152</v>
      </c>
      <c r="AT129" s="75" t="n">
        <v>72.804</v>
      </c>
      <c r="AV129" s="75" t="n">
        <v>133</v>
      </c>
      <c r="AW129" s="75">
        <f>Beginning_stock!AT157</f>
        <v/>
      </c>
      <c r="AX129" s="75">
        <f>Beginning_stock!AU157</f>
        <v/>
      </c>
      <c r="AY129" s="75">
        <f>Beginning_stock!AV157</f>
        <v/>
      </c>
      <c r="BA129" s="75" t="n">
        <v>133</v>
      </c>
      <c r="BB129" s="75">
        <f>IF(Demand!AU146=Retailers_Cap!N129,"ret=0",(AW129/(Demand!AU146-Retailers_Cap!N129)))</f>
        <v/>
      </c>
      <c r="BC129" s="75">
        <f>IF(Demand!AV146=Retailers_Cap!O129,"ret=0",(AX129/(Demand!AV146-Retailers_Cap!O129)))</f>
        <v/>
      </c>
      <c r="BD129" s="75">
        <f>IF(Demand!AW146=Retailers_Cap!P129,"ret=0",(AY129/(Demand!AW146-Retailers_Cap!P129)))</f>
        <v/>
      </c>
      <c r="BF129" s="75" t="n">
        <v>133</v>
      </c>
      <c r="BG129" s="2">
        <f>IF(Demand!AU146&lt;=Retailers_Cap!N129,"ret=0",(IF(BB129&lt;=AR129+Distributors_Cap!$P$47,1,0)))</f>
        <v/>
      </c>
      <c r="BH129" s="2">
        <f>IF(Demand!AV146&lt;=Retailers_Cap!O129,"ret=0",(IF(BC129&lt;=AS129+Distributors_Cap!$P$47,1,0)))</f>
        <v/>
      </c>
      <c r="BI129" s="2">
        <f>IF(Demand!AW146&lt;=Retailers_Cap!P129,"ret=0",(IF(BD129&lt;=AT129+Distributors_Cap!$P$47,1,0)))</f>
        <v/>
      </c>
      <c r="BK129" s="75" t="n">
        <v>133</v>
      </c>
      <c r="BL129" s="75">
        <f>Retailers!BH128</f>
        <v/>
      </c>
      <c r="BM129" s="75">
        <f>Retailers!BI128</f>
        <v/>
      </c>
      <c r="BN129" s="75">
        <f>Retailers!BJ128</f>
        <v/>
      </c>
      <c r="BP129" s="75" t="n">
        <v>133</v>
      </c>
      <c r="BQ129" s="75">
        <f>#REF!</f>
        <v/>
      </c>
      <c r="BR129" s="75">
        <f>#REF!</f>
        <v/>
      </c>
      <c r="BS129" s="75">
        <f>#REF!</f>
        <v/>
      </c>
      <c r="BU129" s="75" t="n">
        <v>133</v>
      </c>
      <c r="BV129" s="75">
        <f>Retailers!AS128</f>
        <v/>
      </c>
      <c r="BW129" s="75">
        <f>Retailers!AT128</f>
        <v/>
      </c>
      <c r="BX129" s="75">
        <f>Retailers!AU128</f>
        <v/>
      </c>
      <c r="BZ129" s="75" t="n">
        <v>133</v>
      </c>
      <c r="CA129" s="75">
        <f>Results!#REF!</f>
        <v/>
      </c>
      <c r="CB129" s="75">
        <f>Results!#REF!</f>
        <v/>
      </c>
      <c r="CC129" s="75">
        <f>Results!#REF!</f>
        <v/>
      </c>
      <c r="CE129" s="75" t="n">
        <v>133</v>
      </c>
      <c r="CF129" s="75">
        <f>Retailers!BN128</f>
        <v/>
      </c>
      <c r="CG129" s="75">
        <f>Retailers!BO128</f>
        <v/>
      </c>
      <c r="CH129" s="75">
        <f>Retailers!BP128</f>
        <v/>
      </c>
      <c r="CJ129" s="75" t="n">
        <v>133</v>
      </c>
      <c r="CK129" s="75">
        <f>IF(BB129="ret=0",0,IF(BB129&gt;0,AR129+Distributors_Cap!$P$47-BB129,0))</f>
        <v/>
      </c>
      <c r="CL129" s="75">
        <f>IF(BC129="ret=0",0,IF(BC129&gt;0,AS129+Distributors_Cap!$P$47-BC129,0))</f>
        <v/>
      </c>
      <c r="CM129" s="75">
        <f>IF(BD129="ret=0",0,IF(BD129&gt;0,AT129+Distributors_Cap!$P$47-BD129,0))</f>
        <v/>
      </c>
    </row>
    <row r="130">
      <c r="G130" s="75" t="n">
        <v>134</v>
      </c>
      <c r="H130" s="75" t="n">
        <v>72.489</v>
      </c>
      <c r="I130" s="75" t="n">
        <v>56.559</v>
      </c>
      <c r="J130" s="75" t="n">
        <v>49.761</v>
      </c>
      <c r="L130" s="75">
        <f>TRUNC((_xlfn.NORM.INV((RAND()),$K$7,$K$8)),0)</f>
        <v/>
      </c>
      <c r="M130" s="75" t="n">
        <v>134</v>
      </c>
      <c r="N130" s="5" t="n">
        <v>40</v>
      </c>
      <c r="O130" s="5" t="n">
        <v>23</v>
      </c>
      <c r="P130" s="5" t="n">
        <v>23</v>
      </c>
      <c r="R130" s="2">
        <f>IF(N130&gt;Demand!AU147,0,(IF(((2*(Retailers!AJ129+Distributors_Cap!$P$47)-Retailers_Cap!$BB$7)*(Demand!AU147-Retailers_Cap!N130))&lt;0,0,((IF(BB130&gt;2*(Retailers!AJ129+Distributors_Cap!$P$47),0,(IF(BG130=0,ROUNDUP((2*(Retailers!AJ129+Distributors_Cap!$P$47)-BB130)^0.5,0),ROUNDUP((2*(Retailers!AJ129+Distributors_Cap!$P$47)-BB130)^0.5,0)))))))))</f>
        <v/>
      </c>
      <c r="S130" s="2">
        <f>IF(O130&gt;Demand!AV147,0,(IF(((2*(Retailers!AK129+Distributors_Cap!$P$47)-Retailers_Cap!$BB$7)*(Demand!AV147-Retailers_Cap!O130))&lt;0,0,((IF(BC130&gt;2*(Retailers!AK129+Distributors_Cap!$P$47),0,(IF(BH130=0,ROUNDUP((2*(Retailers!AK129+Distributors_Cap!$P$47)-BC130)^0.5,0),ROUNDUP((2*(Retailers!AK129+Distributors_Cap!$P$47)-BC130)^0.5,0)))))))))</f>
        <v/>
      </c>
      <c r="T130" s="2">
        <f>IF(P130&gt;Demand!AW147,0,(IF(((2*(Retailers!AL129+Distributors_Cap!$P$47)-Retailers_Cap!$BB$7)*(Demand!AW147-Retailers_Cap!P130))&lt;0,0,((IF(BD130&gt;2*(Retailers!AL129+Distributors_Cap!$P$47),0,(IF(BI130=0,ROUNDUP((2*(Retailers!AL129+Distributors_Cap!$P$47)-BD130)^0.5,0),ROUNDUP((2*(Retailers!AL129+Distributors_Cap!$P$47)-BD130)^0.5,0)))))))))</f>
        <v/>
      </c>
      <c r="W130" s="75" t="n">
        <v>134</v>
      </c>
      <c r="X130" s="9" t="n">
        <v>0</v>
      </c>
      <c r="Y130" s="9" t="n">
        <v>12</v>
      </c>
      <c r="Z130" s="9" t="n">
        <v>11</v>
      </c>
      <c r="AB130" s="2">
        <f>ROUNDDOWN(LOG((X130+1),2),0)</f>
        <v/>
      </c>
      <c r="AC130" s="2">
        <f>ROUNDDOWN(LOG((Y130+1),2),0)</f>
        <v/>
      </c>
      <c r="AD130" s="2">
        <f>ROUNDDOWN(LOG((Z130+1),2),0)</f>
        <v/>
      </c>
      <c r="AG130" s="75" t="n">
        <v>134</v>
      </c>
      <c r="AH130" s="9" t="n">
        <v>0</v>
      </c>
      <c r="AI130" s="9" t="n">
        <v>3</v>
      </c>
      <c r="AJ130" s="9" t="n">
        <v>3</v>
      </c>
      <c r="AQ130" s="75" t="n">
        <v>134</v>
      </c>
      <c r="AR130" s="75" t="n">
        <v>72.489</v>
      </c>
      <c r="AS130" s="75" t="n">
        <v>56.559</v>
      </c>
      <c r="AT130" s="75" t="n">
        <v>49.761</v>
      </c>
      <c r="AV130" s="75" t="n">
        <v>134</v>
      </c>
      <c r="AW130" s="75">
        <f>Beginning_stock!AT158</f>
        <v/>
      </c>
      <c r="AX130" s="75">
        <f>Beginning_stock!AU158</f>
        <v/>
      </c>
      <c r="AY130" s="75">
        <f>Beginning_stock!AV158</f>
        <v/>
      </c>
      <c r="BA130" s="75" t="n">
        <v>134</v>
      </c>
      <c r="BB130" s="75">
        <f>IF(Demand!AU147=Retailers_Cap!N130,"ret=0",(AW130/(Demand!AU147-Retailers_Cap!N130)))</f>
        <v/>
      </c>
      <c r="BC130" s="75">
        <f>IF(Demand!AV147=Retailers_Cap!O130,"ret=0",(AX130/(Demand!AV147-Retailers_Cap!O130)))</f>
        <v/>
      </c>
      <c r="BD130" s="75">
        <f>IF(Demand!AW147=Retailers_Cap!P130,"ret=0",(AY130/(Demand!AW147-Retailers_Cap!P130)))</f>
        <v/>
      </c>
      <c r="BF130" s="75" t="n">
        <v>134</v>
      </c>
      <c r="BG130" s="2">
        <f>IF(Demand!AU147&lt;=Retailers_Cap!N130,"ret=0",(IF(BB130&lt;=AR130+Distributors_Cap!$P$47,1,0)))</f>
        <v/>
      </c>
      <c r="BH130" s="2">
        <f>IF(Demand!AV147&lt;=Retailers_Cap!O130,"ret=0",(IF(BC130&lt;=AS130+Distributors_Cap!$P$47,1,0)))</f>
        <v/>
      </c>
      <c r="BI130" s="2">
        <f>IF(Demand!AW147&lt;=Retailers_Cap!P130,"ret=0",(IF(BD130&lt;=AT130+Distributors_Cap!$P$47,1,0)))</f>
        <v/>
      </c>
      <c r="BK130" s="75" t="n">
        <v>134</v>
      </c>
      <c r="BL130" s="75">
        <f>Retailers!BH129</f>
        <v/>
      </c>
      <c r="BM130" s="75">
        <f>Retailers!BI129</f>
        <v/>
      </c>
      <c r="BN130" s="75">
        <f>Retailers!BJ129</f>
        <v/>
      </c>
      <c r="BP130" s="75" t="n">
        <v>134</v>
      </c>
      <c r="BQ130" s="75">
        <f>#REF!</f>
        <v/>
      </c>
      <c r="BR130" s="75">
        <f>#REF!</f>
        <v/>
      </c>
      <c r="BS130" s="75">
        <f>#REF!</f>
        <v/>
      </c>
      <c r="BU130" s="75" t="n">
        <v>134</v>
      </c>
      <c r="BV130" s="75">
        <f>Retailers!AS129</f>
        <v/>
      </c>
      <c r="BW130" s="75">
        <f>Retailers!AT129</f>
        <v/>
      </c>
      <c r="BX130" s="75">
        <f>Retailers!AU129</f>
        <v/>
      </c>
      <c r="BZ130" s="75" t="n">
        <v>134</v>
      </c>
      <c r="CA130" s="75">
        <f>Results!#REF!</f>
        <v/>
      </c>
      <c r="CB130" s="75">
        <f>Results!#REF!</f>
        <v/>
      </c>
      <c r="CC130" s="75">
        <f>Results!#REF!</f>
        <v/>
      </c>
      <c r="CE130" s="75" t="n">
        <v>134</v>
      </c>
      <c r="CF130" s="75">
        <f>Retailers!BN129</f>
        <v/>
      </c>
      <c r="CG130" s="75">
        <f>Retailers!BO129</f>
        <v/>
      </c>
      <c r="CH130" s="75">
        <f>Retailers!BP129</f>
        <v/>
      </c>
      <c r="CJ130" s="75" t="n">
        <v>134</v>
      </c>
      <c r="CK130" s="75">
        <f>IF(BB130="ret=0",0,IF(BB130&gt;0,AR130+Distributors_Cap!$P$47-BB130,0))</f>
        <v/>
      </c>
      <c r="CL130" s="75">
        <f>IF(BC130="ret=0",0,IF(BC130&gt;0,AS130+Distributors_Cap!$P$47-BC130,0))</f>
        <v/>
      </c>
      <c r="CM130" s="75">
        <f>IF(BD130="ret=0",0,IF(BD130&gt;0,AT130+Distributors_Cap!$P$47-BD130,0))</f>
        <v/>
      </c>
    </row>
    <row r="131">
      <c r="G131" s="75" t="n">
        <v>135</v>
      </c>
      <c r="H131" s="75" t="n">
        <v>45.852</v>
      </c>
      <c r="I131" s="75" t="n">
        <v>50.194</v>
      </c>
      <c r="J131" s="75" t="n">
        <v>55.767</v>
      </c>
      <c r="L131" s="75">
        <f>TRUNC((_xlfn.NORM.INV((RAND()),$K$7,$K$8)),0)</f>
        <v/>
      </c>
      <c r="M131" s="75" t="n">
        <v>135</v>
      </c>
      <c r="N131" s="5" t="n">
        <v>36</v>
      </c>
      <c r="O131" s="5" t="n">
        <v>16</v>
      </c>
      <c r="P131" s="5" t="n">
        <v>17</v>
      </c>
      <c r="R131" s="2">
        <f>IF(N131&gt;Demand!AU148,0,(IF(((2*(Retailers!AJ130+Distributors_Cap!$P$47)-Retailers_Cap!$BB$7)*(Demand!AU148-Retailers_Cap!N131))&lt;0,0,((IF(BB131&gt;2*(Retailers!AJ130+Distributors_Cap!$P$47),0,(IF(BG131=0,ROUNDUP((2*(Retailers!AJ130+Distributors_Cap!$P$47)-BB131)^0.5,0),ROUNDUP((2*(Retailers!AJ130+Distributors_Cap!$P$47)-BB131)^0.5,0)))))))))</f>
        <v/>
      </c>
      <c r="S131" s="2">
        <f>IF(O131&gt;Demand!AV148,0,(IF(((2*(Retailers!AK130+Distributors_Cap!$P$47)-Retailers_Cap!$BB$7)*(Demand!AV148-Retailers_Cap!O131))&lt;0,0,((IF(BC131&gt;2*(Retailers!AK130+Distributors_Cap!$P$47),0,(IF(BH131=0,ROUNDUP((2*(Retailers!AK130+Distributors_Cap!$P$47)-BC131)^0.5,0),ROUNDUP((2*(Retailers!AK130+Distributors_Cap!$P$47)-BC131)^0.5,0)))))))))</f>
        <v/>
      </c>
      <c r="T131" s="2">
        <f>IF(P131&gt;Demand!AW148,0,(IF(((2*(Retailers!AL130+Distributors_Cap!$P$47)-Retailers_Cap!$BB$7)*(Demand!AW148-Retailers_Cap!P131))&lt;0,0,((IF(BD131&gt;2*(Retailers!AL130+Distributors_Cap!$P$47),0,(IF(BI131=0,ROUNDUP((2*(Retailers!AL130+Distributors_Cap!$P$47)-BD131)^0.5,0),ROUNDUP((2*(Retailers!AL130+Distributors_Cap!$P$47)-BD131)^0.5,0)))))))))</f>
        <v/>
      </c>
      <c r="W131" s="75" t="n">
        <v>135</v>
      </c>
      <c r="X131" s="9" t="n">
        <v>0</v>
      </c>
      <c r="Y131" s="9" t="n">
        <v>12</v>
      </c>
      <c r="Z131" s="9" t="n">
        <v>13</v>
      </c>
      <c r="AB131" s="2">
        <f>ROUNDDOWN(LOG((X131+1),2),0)</f>
        <v/>
      </c>
      <c r="AC131" s="2">
        <f>ROUNDDOWN(LOG((Y131+1),2),0)</f>
        <v/>
      </c>
      <c r="AD131" s="2">
        <f>ROUNDDOWN(LOG((Z131+1),2),0)</f>
        <v/>
      </c>
      <c r="AG131" s="75" t="n">
        <v>135</v>
      </c>
      <c r="AH131" s="9" t="n">
        <v>0</v>
      </c>
      <c r="AI131" s="9" t="n">
        <v>3</v>
      </c>
      <c r="AJ131" s="9" t="n">
        <v>3</v>
      </c>
      <c r="AQ131" s="75" t="n">
        <v>135</v>
      </c>
      <c r="AR131" s="75" t="n">
        <v>45.852</v>
      </c>
      <c r="AS131" s="75" t="n">
        <v>50.194</v>
      </c>
      <c r="AT131" s="75" t="n">
        <v>55.767</v>
      </c>
      <c r="AV131" s="75" t="n">
        <v>135</v>
      </c>
      <c r="AW131" s="75">
        <f>Beginning_stock!AT159</f>
        <v/>
      </c>
      <c r="AX131" s="75">
        <f>Beginning_stock!AU159</f>
        <v/>
      </c>
      <c r="AY131" s="75">
        <f>Beginning_stock!AV159</f>
        <v/>
      </c>
      <c r="BA131" s="75" t="n">
        <v>135</v>
      </c>
      <c r="BB131" s="75">
        <f>IF(Demand!AU148=Retailers_Cap!N131,"ret=0",(AW131/(Demand!AU148-Retailers_Cap!N131)))</f>
        <v/>
      </c>
      <c r="BC131" s="75">
        <f>IF(Demand!AV148=Retailers_Cap!O131,"ret=0",(AX131/(Demand!AV148-Retailers_Cap!O131)))</f>
        <v/>
      </c>
      <c r="BD131" s="75">
        <f>IF(Demand!AW148=Retailers_Cap!P131,"ret=0",(AY131/(Demand!AW148-Retailers_Cap!P131)))</f>
        <v/>
      </c>
      <c r="BF131" s="75" t="n">
        <v>135</v>
      </c>
      <c r="BG131" s="2">
        <f>IF(Demand!AU148&lt;=Retailers_Cap!N131,"ret=0",(IF(BB131&lt;=AR131+Distributors_Cap!$P$47,1,0)))</f>
        <v/>
      </c>
      <c r="BH131" s="2">
        <f>IF(Demand!AV148&lt;=Retailers_Cap!O131,"ret=0",(IF(BC131&lt;=AS131+Distributors_Cap!$P$47,1,0)))</f>
        <v/>
      </c>
      <c r="BI131" s="2">
        <f>IF(Demand!AW148&lt;=Retailers_Cap!P131,"ret=0",(IF(BD131&lt;=AT131+Distributors_Cap!$P$47,1,0)))</f>
        <v/>
      </c>
      <c r="BK131" s="75" t="n">
        <v>135</v>
      </c>
      <c r="BL131" s="75">
        <f>Retailers!BH130</f>
        <v/>
      </c>
      <c r="BM131" s="75">
        <f>Retailers!BI130</f>
        <v/>
      </c>
      <c r="BN131" s="75">
        <f>Retailers!BJ130</f>
        <v/>
      </c>
      <c r="BP131" s="75" t="n">
        <v>135</v>
      </c>
      <c r="BQ131" s="75">
        <f>#REF!</f>
        <v/>
      </c>
      <c r="BR131" s="75">
        <f>#REF!</f>
        <v/>
      </c>
      <c r="BS131" s="75">
        <f>#REF!</f>
        <v/>
      </c>
      <c r="BU131" s="75" t="n">
        <v>135</v>
      </c>
      <c r="BV131" s="75">
        <f>Retailers!AS130</f>
        <v/>
      </c>
      <c r="BW131" s="75">
        <f>Retailers!AT130</f>
        <v/>
      </c>
      <c r="BX131" s="75">
        <f>Retailers!AU130</f>
        <v/>
      </c>
      <c r="BZ131" s="75" t="n">
        <v>135</v>
      </c>
      <c r="CA131" s="75">
        <f>Results!#REF!</f>
        <v/>
      </c>
      <c r="CB131" s="75">
        <f>Results!#REF!</f>
        <v/>
      </c>
      <c r="CC131" s="75">
        <f>Results!#REF!</f>
        <v/>
      </c>
      <c r="CE131" s="75" t="n">
        <v>135</v>
      </c>
      <c r="CF131" s="75">
        <f>Retailers!BN130</f>
        <v/>
      </c>
      <c r="CG131" s="75">
        <f>Retailers!BO130</f>
        <v/>
      </c>
      <c r="CH131" s="75">
        <f>Retailers!BP130</f>
        <v/>
      </c>
      <c r="CJ131" s="75" t="n">
        <v>135</v>
      </c>
      <c r="CK131" s="75">
        <f>IF(BB131="ret=0",0,IF(BB131&gt;0,AR131+Distributors_Cap!$P$47-BB131,0))</f>
        <v/>
      </c>
      <c r="CL131" s="75">
        <f>IF(BC131="ret=0",0,IF(BC131&gt;0,AS131+Distributors_Cap!$P$47-BC131,0))</f>
        <v/>
      </c>
      <c r="CM131" s="75">
        <f>IF(BD131="ret=0",0,IF(BD131&gt;0,AT131+Distributors_Cap!$P$47-BD131,0))</f>
        <v/>
      </c>
    </row>
    <row r="132">
      <c r="G132" s="75" t="n">
        <v>136</v>
      </c>
      <c r="H132" s="75" t="n">
        <v>75.611</v>
      </c>
      <c r="I132" s="75" t="n">
        <v>75.97799999999999</v>
      </c>
      <c r="J132" s="75" t="n">
        <v>80.19799999999999</v>
      </c>
      <c r="L132" s="75">
        <f>TRUNC((_xlfn.NORM.INV((RAND()),$K$7,$K$8)),0)</f>
        <v/>
      </c>
      <c r="M132" s="75" t="n">
        <v>136</v>
      </c>
      <c r="N132" s="5" t="n">
        <v>20</v>
      </c>
      <c r="O132" s="5" t="n">
        <v>29</v>
      </c>
      <c r="P132" s="5" t="n">
        <v>25</v>
      </c>
      <c r="R132" s="2">
        <f>IF(N132&gt;Demand!AU149,0,(IF(((2*(Retailers!AJ131+Distributors_Cap!$P$47)-Retailers_Cap!$BB$7)*(Demand!AU149-Retailers_Cap!N132))&lt;0,0,((IF(BB132&gt;2*(Retailers!AJ131+Distributors_Cap!$P$47),0,(IF(BG132=0,ROUNDUP((2*(Retailers!AJ131+Distributors_Cap!$P$47)-BB132)^0.5,0),ROUNDUP((2*(Retailers!AJ131+Distributors_Cap!$P$47)-BB132)^0.5,0)))))))))</f>
        <v/>
      </c>
      <c r="S132" s="2">
        <f>IF(O132&gt;Demand!AV149,0,(IF(((2*(Retailers!AK131+Distributors_Cap!$P$47)-Retailers_Cap!$BB$7)*(Demand!AV149-Retailers_Cap!O132))&lt;0,0,((IF(BC132&gt;2*(Retailers!AK131+Distributors_Cap!$P$47),0,(IF(BH132=0,ROUNDUP((2*(Retailers!AK131+Distributors_Cap!$P$47)-BC132)^0.5,0),ROUNDUP((2*(Retailers!AK131+Distributors_Cap!$P$47)-BC132)^0.5,0)))))))))</f>
        <v/>
      </c>
      <c r="T132" s="2">
        <f>IF(P132&gt;Demand!AW149,0,(IF(((2*(Retailers!AL131+Distributors_Cap!$P$47)-Retailers_Cap!$BB$7)*(Demand!AW149-Retailers_Cap!P132))&lt;0,0,((IF(BD132&gt;2*(Retailers!AL131+Distributors_Cap!$P$47),0,(IF(BI132=0,ROUNDUP((2*(Retailers!AL131+Distributors_Cap!$P$47)-BD132)^0.5,0),ROUNDUP((2*(Retailers!AL131+Distributors_Cap!$P$47)-BD132)^0.5,0)))))))))</f>
        <v/>
      </c>
      <c r="W132" s="75" t="n">
        <v>136</v>
      </c>
      <c r="X132" s="9" t="n">
        <v>0</v>
      </c>
      <c r="Y132" s="9" t="n">
        <v>13</v>
      </c>
      <c r="Z132" s="9" t="n">
        <v>15</v>
      </c>
      <c r="AB132" s="2">
        <f>ROUNDDOWN(LOG((X132+1),2),0)</f>
        <v/>
      </c>
      <c r="AC132" s="2">
        <f>ROUNDDOWN(LOG((Y132+1),2),0)</f>
        <v/>
      </c>
      <c r="AD132" s="2">
        <f>ROUNDDOWN(LOG((Z132+1),2),0)</f>
        <v/>
      </c>
      <c r="AG132" s="75" t="n">
        <v>136</v>
      </c>
      <c r="AH132" s="9" t="n">
        <v>0</v>
      </c>
      <c r="AI132" s="9" t="n">
        <v>3</v>
      </c>
      <c r="AJ132" s="9" t="n">
        <v>4</v>
      </c>
      <c r="AQ132" s="75" t="n">
        <v>136</v>
      </c>
      <c r="AR132" s="75" t="n">
        <v>75.611</v>
      </c>
      <c r="AS132" s="75" t="n">
        <v>75.97799999999999</v>
      </c>
      <c r="AT132" s="75" t="n">
        <v>80.19799999999999</v>
      </c>
      <c r="AV132" s="75" t="n">
        <v>136</v>
      </c>
      <c r="AW132" s="75">
        <f>Beginning_stock!AT160</f>
        <v/>
      </c>
      <c r="AX132" s="75">
        <f>Beginning_stock!AU160</f>
        <v/>
      </c>
      <c r="AY132" s="75">
        <f>Beginning_stock!AV160</f>
        <v/>
      </c>
      <c r="BA132" s="75" t="n">
        <v>136</v>
      </c>
      <c r="BB132" s="75">
        <f>IF(Demand!AU149=Retailers_Cap!N132,"ret=0",(AW132/(Demand!AU149-Retailers_Cap!N132)))</f>
        <v/>
      </c>
      <c r="BC132" s="75">
        <f>IF(Demand!AV149=Retailers_Cap!O132,"ret=0",(AX132/(Demand!AV149-Retailers_Cap!O132)))</f>
        <v/>
      </c>
      <c r="BD132" s="75">
        <f>IF(Demand!AW149=Retailers_Cap!P132,"ret=0",(AY132/(Demand!AW149-Retailers_Cap!P132)))</f>
        <v/>
      </c>
      <c r="BF132" s="75" t="n">
        <v>136</v>
      </c>
      <c r="BG132" s="2">
        <f>IF(Demand!AU149&lt;=Retailers_Cap!N132,"ret=0",(IF(BB132&lt;=AR132+Distributors_Cap!$P$47,1,0)))</f>
        <v/>
      </c>
      <c r="BH132" s="2">
        <f>IF(Demand!AV149&lt;=Retailers_Cap!O132,"ret=0",(IF(BC132&lt;=AS132+Distributors_Cap!$P$47,1,0)))</f>
        <v/>
      </c>
      <c r="BI132" s="2">
        <f>IF(Demand!AW149&lt;=Retailers_Cap!P132,"ret=0",(IF(BD132&lt;=AT132+Distributors_Cap!$P$47,1,0)))</f>
        <v/>
      </c>
      <c r="BK132" s="75" t="n">
        <v>136</v>
      </c>
      <c r="BL132" s="75">
        <f>Retailers!BH131</f>
        <v/>
      </c>
      <c r="BM132" s="75">
        <f>Retailers!BI131</f>
        <v/>
      </c>
      <c r="BN132" s="75">
        <f>Retailers!BJ131</f>
        <v/>
      </c>
      <c r="BP132" s="75" t="n">
        <v>136</v>
      </c>
      <c r="BQ132" s="75">
        <f>#REF!</f>
        <v/>
      </c>
      <c r="BR132" s="75">
        <f>#REF!</f>
        <v/>
      </c>
      <c r="BS132" s="75">
        <f>#REF!</f>
        <v/>
      </c>
      <c r="BU132" s="75" t="n">
        <v>136</v>
      </c>
      <c r="BV132" s="75">
        <f>Retailers!AS131</f>
        <v/>
      </c>
      <c r="BW132" s="75">
        <f>Retailers!AT131</f>
        <v/>
      </c>
      <c r="BX132" s="75">
        <f>Retailers!AU131</f>
        <v/>
      </c>
      <c r="BZ132" s="75" t="n">
        <v>136</v>
      </c>
      <c r="CA132" s="75">
        <f>Results!#REF!</f>
        <v/>
      </c>
      <c r="CB132" s="75">
        <f>Results!#REF!</f>
        <v/>
      </c>
      <c r="CC132" s="75">
        <f>Results!#REF!</f>
        <v/>
      </c>
      <c r="CE132" s="75" t="n">
        <v>136</v>
      </c>
      <c r="CF132" s="75">
        <f>Retailers!BN131</f>
        <v/>
      </c>
      <c r="CG132" s="75">
        <f>Retailers!BO131</f>
        <v/>
      </c>
      <c r="CH132" s="75">
        <f>Retailers!BP131</f>
        <v/>
      </c>
      <c r="CJ132" s="75" t="n">
        <v>136</v>
      </c>
      <c r="CK132" s="75">
        <f>IF(BB132="ret=0",0,IF(BB132&gt;0,AR132+Distributors_Cap!$P$47-BB132,0))</f>
        <v/>
      </c>
      <c r="CL132" s="75">
        <f>IF(BC132="ret=0",0,IF(BC132&gt;0,AS132+Distributors_Cap!$P$47-BC132,0))</f>
        <v/>
      </c>
      <c r="CM132" s="75">
        <f>IF(BD132="ret=0",0,IF(BD132&gt;0,AT132+Distributors_Cap!$P$47-BD132,0))</f>
        <v/>
      </c>
    </row>
    <row r="133">
      <c r="G133" s="75" t="n">
        <v>137</v>
      </c>
      <c r="H133" s="75" t="n">
        <v>82.556</v>
      </c>
      <c r="I133" s="75" t="n">
        <v>63.18</v>
      </c>
      <c r="J133" s="75" t="n">
        <v>46.581</v>
      </c>
      <c r="L133" s="75">
        <f>TRUNC((_xlfn.NORM.INV((RAND()),$K$7,$K$8)),0)</f>
        <v/>
      </c>
      <c r="M133" s="75" t="n">
        <v>137</v>
      </c>
      <c r="N133" s="5" t="n">
        <v>18</v>
      </c>
      <c r="O133" s="5" t="n">
        <v>36</v>
      </c>
      <c r="P133" s="5" t="n">
        <v>23</v>
      </c>
      <c r="R133" s="2">
        <f>IF(N133&gt;Demand!AU150,0,(IF(((2*(Retailers!AJ132+Distributors_Cap!$P$47)-Retailers_Cap!$BB$7)*(Demand!AU150-Retailers_Cap!N133))&lt;0,0,((IF(BB133&gt;2*(Retailers!AJ132+Distributors_Cap!$P$47),0,(IF(BG133=0,ROUNDUP((2*(Retailers!AJ132+Distributors_Cap!$P$47)-BB133)^0.5,0),ROUNDUP((2*(Retailers!AJ132+Distributors_Cap!$P$47)-BB133)^0.5,0)))))))))</f>
        <v/>
      </c>
      <c r="S133" s="2">
        <f>IF(O133&gt;Demand!AV150,0,(IF(((2*(Retailers!AK132+Distributors_Cap!$P$47)-Retailers_Cap!$BB$7)*(Demand!AV150-Retailers_Cap!O133))&lt;0,0,((IF(BC133&gt;2*(Retailers!AK132+Distributors_Cap!$P$47),0,(IF(BH133=0,ROUNDUP((2*(Retailers!AK132+Distributors_Cap!$P$47)-BC133)^0.5,0),ROUNDUP((2*(Retailers!AK132+Distributors_Cap!$P$47)-BC133)^0.5,0)))))))))</f>
        <v/>
      </c>
      <c r="T133" s="2">
        <f>IF(P133&gt;Demand!AW150,0,(IF(((2*(Retailers!AL132+Distributors_Cap!$P$47)-Retailers_Cap!$BB$7)*(Demand!AW150-Retailers_Cap!P133))&lt;0,0,((IF(BD133&gt;2*(Retailers!AL132+Distributors_Cap!$P$47),0,(IF(BI133=0,ROUNDUP((2*(Retailers!AL132+Distributors_Cap!$P$47)-BD133)^0.5,0),ROUNDUP((2*(Retailers!AL132+Distributors_Cap!$P$47)-BD133)^0.5,0)))))))))</f>
        <v/>
      </c>
      <c r="W133" s="75" t="n">
        <v>137</v>
      </c>
      <c r="X133" s="9" t="n">
        <v>15</v>
      </c>
      <c r="Y133" s="9" t="n">
        <v>0</v>
      </c>
      <c r="Z133" s="9" t="n">
        <v>12</v>
      </c>
      <c r="AB133" s="2">
        <f>ROUNDDOWN(LOG((X133+1),2),0)</f>
        <v/>
      </c>
      <c r="AC133" s="2">
        <f>ROUNDDOWN(LOG((Y133+1),2),0)</f>
        <v/>
      </c>
      <c r="AD133" s="2">
        <f>ROUNDDOWN(LOG((Z133+1),2),0)</f>
        <v/>
      </c>
      <c r="AG133" s="75" t="n">
        <v>137</v>
      </c>
      <c r="AH133" s="9" t="n">
        <v>4</v>
      </c>
      <c r="AI133" s="9" t="n">
        <v>0</v>
      </c>
      <c r="AJ133" s="9" t="n">
        <v>3</v>
      </c>
      <c r="AQ133" s="75" t="n">
        <v>137</v>
      </c>
      <c r="AR133" s="75" t="n">
        <v>82.556</v>
      </c>
      <c r="AS133" s="75" t="n">
        <v>63.18</v>
      </c>
      <c r="AT133" s="75" t="n">
        <v>46.581</v>
      </c>
      <c r="AV133" s="75" t="n">
        <v>137</v>
      </c>
      <c r="AW133" s="75">
        <f>Beginning_stock!AT161</f>
        <v/>
      </c>
      <c r="AX133" s="75">
        <f>Beginning_stock!AU161</f>
        <v/>
      </c>
      <c r="AY133" s="75">
        <f>Beginning_stock!AV161</f>
        <v/>
      </c>
      <c r="BA133" s="75" t="n">
        <v>137</v>
      </c>
      <c r="BB133" s="75">
        <f>IF(Demand!AU150=Retailers_Cap!N133,"ret=0",(AW133/(Demand!AU150-Retailers_Cap!N133)))</f>
        <v/>
      </c>
      <c r="BC133" s="75">
        <f>IF(Demand!AV150=Retailers_Cap!O133,"ret=0",(AX133/(Demand!AV150-Retailers_Cap!O133)))</f>
        <v/>
      </c>
      <c r="BD133" s="75">
        <f>IF(Demand!AW150=Retailers_Cap!P133,"ret=0",(AY133/(Demand!AW150-Retailers_Cap!P133)))</f>
        <v/>
      </c>
      <c r="BF133" s="75" t="n">
        <v>137</v>
      </c>
      <c r="BG133" s="2">
        <f>IF(Demand!AU150&lt;=Retailers_Cap!N133,"ret=0",(IF(BB133&lt;=AR133+Distributors_Cap!$P$47,1,0)))</f>
        <v/>
      </c>
      <c r="BH133" s="2">
        <f>IF(Demand!AV150&lt;=Retailers_Cap!O133,"ret=0",(IF(BC133&lt;=AS133+Distributors_Cap!$P$47,1,0)))</f>
        <v/>
      </c>
      <c r="BI133" s="2">
        <f>IF(Demand!AW150&lt;=Retailers_Cap!P133,"ret=0",(IF(BD133&lt;=AT133+Distributors_Cap!$P$47,1,0)))</f>
        <v/>
      </c>
      <c r="BK133" s="75" t="n">
        <v>137</v>
      </c>
      <c r="BL133" s="75">
        <f>Retailers!BH132</f>
        <v/>
      </c>
      <c r="BM133" s="75">
        <f>Retailers!BI132</f>
        <v/>
      </c>
      <c r="BN133" s="75">
        <f>Retailers!BJ132</f>
        <v/>
      </c>
      <c r="BP133" s="75" t="n">
        <v>137</v>
      </c>
      <c r="BQ133" s="75">
        <f>#REF!</f>
        <v/>
      </c>
      <c r="BR133" s="75">
        <f>#REF!</f>
        <v/>
      </c>
      <c r="BS133" s="75">
        <f>#REF!</f>
        <v/>
      </c>
      <c r="BU133" s="75" t="n">
        <v>137</v>
      </c>
      <c r="BV133" s="75">
        <f>Retailers!AS132</f>
        <v/>
      </c>
      <c r="BW133" s="75">
        <f>Retailers!AT132</f>
        <v/>
      </c>
      <c r="BX133" s="75">
        <f>Retailers!AU132</f>
        <v/>
      </c>
      <c r="BZ133" s="75" t="n">
        <v>137</v>
      </c>
      <c r="CA133" s="75">
        <f>Results!#REF!</f>
        <v/>
      </c>
      <c r="CB133" s="75">
        <f>Results!#REF!</f>
        <v/>
      </c>
      <c r="CC133" s="75">
        <f>Results!#REF!</f>
        <v/>
      </c>
      <c r="CE133" s="75" t="n">
        <v>137</v>
      </c>
      <c r="CF133" s="75">
        <f>Retailers!BN132</f>
        <v/>
      </c>
      <c r="CG133" s="75">
        <f>Retailers!BO132</f>
        <v/>
      </c>
      <c r="CH133" s="75">
        <f>Retailers!BP132</f>
        <v/>
      </c>
      <c r="CJ133" s="75" t="n">
        <v>137</v>
      </c>
      <c r="CK133" s="75">
        <f>IF(BB133="ret=0",0,IF(BB133&gt;0,AR133+Distributors_Cap!$P$47-BB133,0))</f>
        <v/>
      </c>
      <c r="CL133" s="75">
        <f>IF(BC133="ret=0",0,IF(BC133&gt;0,AS133+Distributors_Cap!$P$47-BC133,0))</f>
        <v/>
      </c>
      <c r="CM133" s="75">
        <f>IF(BD133="ret=0",0,IF(BD133&gt;0,AT133+Distributors_Cap!$P$47-BD133,0))</f>
        <v/>
      </c>
    </row>
    <row r="134">
      <c r="G134" s="75" t="n">
        <v>138</v>
      </c>
      <c r="H134" s="75" t="n">
        <v>47.403</v>
      </c>
      <c r="I134" s="75" t="n">
        <v>73.078</v>
      </c>
      <c r="J134" s="75" t="n">
        <v>66.361</v>
      </c>
      <c r="L134" s="75">
        <f>TRUNC((_xlfn.NORM.INV((RAND()),$K$7,$K$8)),0)</f>
        <v/>
      </c>
      <c r="M134" s="75" t="n">
        <v>138</v>
      </c>
      <c r="N134" s="5" t="n">
        <v>33</v>
      </c>
      <c r="O134" s="5" t="n">
        <v>13</v>
      </c>
      <c r="P134" s="5" t="n">
        <v>18</v>
      </c>
      <c r="R134" s="2">
        <f>IF(N134&gt;Demand!AU151,0,(IF(((2*(Retailers!AJ133+Distributors_Cap!$P$47)-Retailers_Cap!$BB$7)*(Demand!AU151-Retailers_Cap!N134))&lt;0,0,((IF(BB134&gt;2*(Retailers!AJ133+Distributors_Cap!$P$47),0,(IF(BG134=0,ROUNDUP((2*(Retailers!AJ133+Distributors_Cap!$P$47)-BB134)^0.5,0),ROUNDUP((2*(Retailers!AJ133+Distributors_Cap!$P$47)-BB134)^0.5,0)))))))))</f>
        <v/>
      </c>
      <c r="S134" s="2">
        <f>IF(O134&gt;Demand!AV151,0,(IF(((2*(Retailers!AK133+Distributors_Cap!$P$47)-Retailers_Cap!$BB$7)*(Demand!AV151-Retailers_Cap!O134))&lt;0,0,((IF(BC134&gt;2*(Retailers!AK133+Distributors_Cap!$P$47),0,(IF(BH134=0,ROUNDUP((2*(Retailers!AK133+Distributors_Cap!$P$47)-BC134)^0.5,0),ROUNDUP((2*(Retailers!AK133+Distributors_Cap!$P$47)-BC134)^0.5,0)))))))))</f>
        <v/>
      </c>
      <c r="T134" s="2">
        <f>IF(P134&gt;Demand!AW151,0,(IF(((2*(Retailers!AL133+Distributors_Cap!$P$47)-Retailers_Cap!$BB$7)*(Demand!AW151-Retailers_Cap!P134))&lt;0,0,((IF(BD134&gt;2*(Retailers!AL133+Distributors_Cap!$P$47),0,(IF(BI134=0,ROUNDUP((2*(Retailers!AL133+Distributors_Cap!$P$47)-BD134)^0.5,0),ROUNDUP((2*(Retailers!AL133+Distributors_Cap!$P$47)-BD134)^0.5,0)))))))))</f>
        <v/>
      </c>
      <c r="W134" s="75" t="n">
        <v>138</v>
      </c>
      <c r="X134" s="9" t="n">
        <v>0</v>
      </c>
      <c r="Y134" s="9" t="n">
        <v>14</v>
      </c>
      <c r="Z134" s="9" t="n">
        <v>14</v>
      </c>
      <c r="AB134" s="2">
        <f>ROUNDDOWN(LOG((X134+1),2),0)</f>
        <v/>
      </c>
      <c r="AC134" s="2">
        <f>ROUNDDOWN(LOG((Y134+1),2),0)</f>
        <v/>
      </c>
      <c r="AD134" s="2">
        <f>ROUNDDOWN(LOG((Z134+1),2),0)</f>
        <v/>
      </c>
      <c r="AG134" s="75" t="n">
        <v>138</v>
      </c>
      <c r="AH134" s="9" t="n">
        <v>0</v>
      </c>
      <c r="AI134" s="9" t="n">
        <v>3</v>
      </c>
      <c r="AJ134" s="9" t="n">
        <v>3</v>
      </c>
      <c r="AQ134" s="75" t="n">
        <v>138</v>
      </c>
      <c r="AR134" s="75" t="n">
        <v>47.403</v>
      </c>
      <c r="AS134" s="75" t="n">
        <v>73.078</v>
      </c>
      <c r="AT134" s="75" t="n">
        <v>66.361</v>
      </c>
      <c r="AV134" s="75" t="n">
        <v>138</v>
      </c>
      <c r="AW134" s="75">
        <f>Beginning_stock!AT162</f>
        <v/>
      </c>
      <c r="AX134" s="75">
        <f>Beginning_stock!AU162</f>
        <v/>
      </c>
      <c r="AY134" s="75">
        <f>Beginning_stock!AV162</f>
        <v/>
      </c>
      <c r="BA134" s="75" t="n">
        <v>138</v>
      </c>
      <c r="BB134" s="75">
        <f>IF(Demand!AU151=Retailers_Cap!N134,"ret=0",(AW134/(Demand!AU151-Retailers_Cap!N134)))</f>
        <v/>
      </c>
      <c r="BC134" s="75">
        <f>IF(Demand!AV151=Retailers_Cap!O134,"ret=0",(AX134/(Demand!AV151-Retailers_Cap!O134)))</f>
        <v/>
      </c>
      <c r="BD134" s="75">
        <f>IF(Demand!AW151=Retailers_Cap!P134,"ret=0",(AY134/(Demand!AW151-Retailers_Cap!P134)))</f>
        <v/>
      </c>
      <c r="BF134" s="75" t="n">
        <v>138</v>
      </c>
      <c r="BG134" s="2">
        <f>IF(Demand!AU151&lt;=Retailers_Cap!N134,"ret=0",(IF(BB134&lt;=AR134+Distributors_Cap!$P$47,1,0)))</f>
        <v/>
      </c>
      <c r="BH134" s="2">
        <f>IF(Demand!AV151&lt;=Retailers_Cap!O134,"ret=0",(IF(BC134&lt;=AS134+Distributors_Cap!$P$47,1,0)))</f>
        <v/>
      </c>
      <c r="BI134" s="2">
        <f>IF(Demand!AW151&lt;=Retailers_Cap!P134,"ret=0",(IF(BD134&lt;=AT134+Distributors_Cap!$P$47,1,0)))</f>
        <v/>
      </c>
      <c r="BK134" s="75" t="n">
        <v>138</v>
      </c>
      <c r="BL134" s="75">
        <f>Retailers!BH133</f>
        <v/>
      </c>
      <c r="BM134" s="75">
        <f>Retailers!BI133</f>
        <v/>
      </c>
      <c r="BN134" s="75">
        <f>Retailers!BJ133</f>
        <v/>
      </c>
      <c r="BP134" s="75" t="n">
        <v>138</v>
      </c>
      <c r="BQ134" s="75">
        <f>#REF!</f>
        <v/>
      </c>
      <c r="BR134" s="75">
        <f>#REF!</f>
        <v/>
      </c>
      <c r="BS134" s="75">
        <f>#REF!</f>
        <v/>
      </c>
      <c r="BU134" s="75" t="n">
        <v>138</v>
      </c>
      <c r="BV134" s="75">
        <f>Retailers!AS133</f>
        <v/>
      </c>
      <c r="BW134" s="75">
        <f>Retailers!AT133</f>
        <v/>
      </c>
      <c r="BX134" s="75">
        <f>Retailers!AU133</f>
        <v/>
      </c>
      <c r="BZ134" s="75" t="n">
        <v>138</v>
      </c>
      <c r="CA134" s="75">
        <f>Results!#REF!</f>
        <v/>
      </c>
      <c r="CB134" s="75">
        <f>Results!#REF!</f>
        <v/>
      </c>
      <c r="CC134" s="75">
        <f>Results!#REF!</f>
        <v/>
      </c>
      <c r="CE134" s="75" t="n">
        <v>138</v>
      </c>
      <c r="CF134" s="75">
        <f>Retailers!BN133</f>
        <v/>
      </c>
      <c r="CG134" s="75">
        <f>Retailers!BO133</f>
        <v/>
      </c>
      <c r="CH134" s="75">
        <f>Retailers!BP133</f>
        <v/>
      </c>
      <c r="CJ134" s="75" t="n">
        <v>138</v>
      </c>
      <c r="CK134" s="75">
        <f>IF(BB134="ret=0",0,IF(BB134&gt;0,AR134+Distributors_Cap!$P$47-BB134,0))</f>
        <v/>
      </c>
      <c r="CL134" s="75">
        <f>IF(BC134="ret=0",0,IF(BC134&gt;0,AS134+Distributors_Cap!$P$47-BC134,0))</f>
        <v/>
      </c>
      <c r="CM134" s="75">
        <f>IF(BD134="ret=0",0,IF(BD134&gt;0,AT134+Distributors_Cap!$P$47-BD134,0))</f>
        <v/>
      </c>
    </row>
    <row r="135">
      <c r="G135" s="75" t="n">
        <v>139</v>
      </c>
      <c r="H135" s="75" t="n">
        <v>49.062</v>
      </c>
      <c r="I135" s="75" t="n">
        <v>79.155</v>
      </c>
      <c r="J135" s="75" t="n">
        <v>49.729</v>
      </c>
      <c r="L135" s="75">
        <f>TRUNC((_xlfn.NORM.INV((RAND()),$K$7,$K$8)),0)</f>
        <v/>
      </c>
      <c r="M135" s="75" t="n">
        <v>139</v>
      </c>
      <c r="N135" s="5" t="n">
        <v>43</v>
      </c>
      <c r="O135" s="5" t="n">
        <v>33</v>
      </c>
      <c r="P135" s="5" t="n">
        <v>10</v>
      </c>
      <c r="R135" s="2">
        <f>IF(N135&gt;Demand!AU152,0,(IF(((2*(Retailers!AJ134+Distributors_Cap!$P$47)-Retailers_Cap!$BB$7)*(Demand!AU152-Retailers_Cap!N135))&lt;0,0,((IF(BB135&gt;2*(Retailers!AJ134+Distributors_Cap!$P$47),0,(IF(BG135=0,ROUNDUP((2*(Retailers!AJ134+Distributors_Cap!$P$47)-BB135)^0.5,0),ROUNDUP((2*(Retailers!AJ134+Distributors_Cap!$P$47)-BB135)^0.5,0)))))))))</f>
        <v/>
      </c>
      <c r="S135" s="2">
        <f>IF(O135&gt;Demand!AV152,0,(IF(((2*(Retailers!AK134+Distributors_Cap!$P$47)-Retailers_Cap!$BB$7)*(Demand!AV152-Retailers_Cap!O135))&lt;0,0,((IF(BC135&gt;2*(Retailers!AK134+Distributors_Cap!$P$47),0,(IF(BH135=0,ROUNDUP((2*(Retailers!AK134+Distributors_Cap!$P$47)-BC135)^0.5,0),ROUNDUP((2*(Retailers!AK134+Distributors_Cap!$P$47)-BC135)^0.5,0)))))))))</f>
        <v/>
      </c>
      <c r="T135" s="2">
        <f>IF(P135&gt;Demand!AW152,0,(IF(((2*(Retailers!AL134+Distributors_Cap!$P$47)-Retailers_Cap!$BB$7)*(Demand!AW152-Retailers_Cap!P135))&lt;0,0,((IF(BD135&gt;2*(Retailers!AL134+Distributors_Cap!$P$47),0,(IF(BI135=0,ROUNDUP((2*(Retailers!AL134+Distributors_Cap!$P$47)-BD135)^0.5,0),ROUNDUP((2*(Retailers!AL134+Distributors_Cap!$P$47)-BD135)^0.5,0)))))))))</f>
        <v/>
      </c>
      <c r="W135" s="75" t="n">
        <v>139</v>
      </c>
      <c r="X135" s="9" t="n">
        <v>0</v>
      </c>
      <c r="Y135" s="9" t="n">
        <v>0</v>
      </c>
      <c r="Z135" s="9" t="n">
        <v>12</v>
      </c>
      <c r="AB135" s="2">
        <f>ROUNDDOWN(LOG((X135+1),2),0)</f>
        <v/>
      </c>
      <c r="AC135" s="2">
        <f>ROUNDDOWN(LOG((Y135+1),2),0)</f>
        <v/>
      </c>
      <c r="AD135" s="2">
        <f>ROUNDDOWN(LOG((Z135+1),2),0)</f>
        <v/>
      </c>
      <c r="AG135" s="75" t="n">
        <v>139</v>
      </c>
      <c r="AH135" s="9" t="n">
        <v>0</v>
      </c>
      <c r="AI135" s="9" t="n">
        <v>0</v>
      </c>
      <c r="AJ135" s="9" t="n">
        <v>3</v>
      </c>
      <c r="AQ135" s="75" t="n">
        <v>139</v>
      </c>
      <c r="AR135" s="75" t="n">
        <v>49.062</v>
      </c>
      <c r="AS135" s="75" t="n">
        <v>79.155</v>
      </c>
      <c r="AT135" s="75" t="n">
        <v>49.729</v>
      </c>
      <c r="AV135" s="75" t="n">
        <v>139</v>
      </c>
      <c r="AW135" s="75">
        <f>Beginning_stock!AT163</f>
        <v/>
      </c>
      <c r="AX135" s="75">
        <f>Beginning_stock!AU163</f>
        <v/>
      </c>
      <c r="AY135" s="75">
        <f>Beginning_stock!AV163</f>
        <v/>
      </c>
      <c r="BA135" s="75" t="n">
        <v>139</v>
      </c>
      <c r="BB135" s="75">
        <f>IF(Demand!AU152=Retailers_Cap!N135,"ret=0",(AW135/(Demand!AU152-Retailers_Cap!N135)))</f>
        <v/>
      </c>
      <c r="BC135" s="75">
        <f>IF(Demand!AV152=Retailers_Cap!O135,"ret=0",(AX135/(Demand!AV152-Retailers_Cap!O135)))</f>
        <v/>
      </c>
      <c r="BD135" s="75">
        <f>IF(Demand!AW152=Retailers_Cap!P135,"ret=0",(AY135/(Demand!AW152-Retailers_Cap!P135)))</f>
        <v/>
      </c>
      <c r="BF135" s="75" t="n">
        <v>139</v>
      </c>
      <c r="BG135" s="2">
        <f>IF(Demand!AU152&lt;=Retailers_Cap!N135,"ret=0",(IF(BB135&lt;=AR135+Distributors_Cap!$P$47,1,0)))</f>
        <v/>
      </c>
      <c r="BH135" s="2">
        <f>IF(Demand!AV152&lt;=Retailers_Cap!O135,"ret=0",(IF(BC135&lt;=AS135+Distributors_Cap!$P$47,1,0)))</f>
        <v/>
      </c>
      <c r="BI135" s="2">
        <f>IF(Demand!AW152&lt;=Retailers_Cap!P135,"ret=0",(IF(BD135&lt;=AT135+Distributors_Cap!$P$47,1,0)))</f>
        <v/>
      </c>
      <c r="BK135" s="75" t="n">
        <v>139</v>
      </c>
      <c r="BL135" s="75">
        <f>Retailers!BH134</f>
        <v/>
      </c>
      <c r="BM135" s="75">
        <f>Retailers!BI134</f>
        <v/>
      </c>
      <c r="BN135" s="75">
        <f>Retailers!BJ134</f>
        <v/>
      </c>
      <c r="BP135" s="75" t="n">
        <v>139</v>
      </c>
      <c r="BQ135" s="75">
        <f>#REF!</f>
        <v/>
      </c>
      <c r="BR135" s="75">
        <f>#REF!</f>
        <v/>
      </c>
      <c r="BS135" s="75">
        <f>#REF!</f>
        <v/>
      </c>
      <c r="BU135" s="75" t="n">
        <v>139</v>
      </c>
      <c r="BV135" s="75">
        <f>Retailers!AS134</f>
        <v/>
      </c>
      <c r="BW135" s="75">
        <f>Retailers!AT134</f>
        <v/>
      </c>
      <c r="BX135" s="75">
        <f>Retailers!AU134</f>
        <v/>
      </c>
      <c r="BZ135" s="75" t="n">
        <v>139</v>
      </c>
      <c r="CA135" s="75">
        <f>Results!#REF!</f>
        <v/>
      </c>
      <c r="CB135" s="75">
        <f>Results!#REF!</f>
        <v/>
      </c>
      <c r="CC135" s="75">
        <f>Results!#REF!</f>
        <v/>
      </c>
      <c r="CE135" s="75" t="n">
        <v>139</v>
      </c>
      <c r="CF135" s="75">
        <f>Retailers!BN134</f>
        <v/>
      </c>
      <c r="CG135" s="75">
        <f>Retailers!BO134</f>
        <v/>
      </c>
      <c r="CH135" s="75">
        <f>Retailers!BP134</f>
        <v/>
      </c>
      <c r="CJ135" s="75" t="n">
        <v>139</v>
      </c>
      <c r="CK135" s="75">
        <f>IF(BB135="ret=0",0,IF(BB135&gt;0,AR135+Distributors_Cap!$P$47-BB135,0))</f>
        <v/>
      </c>
      <c r="CL135" s="75">
        <f>IF(BC135="ret=0",0,IF(BC135&gt;0,AS135+Distributors_Cap!$P$47-BC135,0))</f>
        <v/>
      </c>
      <c r="CM135" s="75">
        <f>IF(BD135="ret=0",0,IF(BD135&gt;0,AT135+Distributors_Cap!$P$47-BD135,0))</f>
        <v/>
      </c>
    </row>
    <row r="136">
      <c r="G136" s="75" t="n">
        <v>140</v>
      </c>
      <c r="H136" s="75" t="n">
        <v>50.541</v>
      </c>
      <c r="I136" s="75" t="n">
        <v>48.226</v>
      </c>
      <c r="J136" s="75" t="n">
        <v>67.995</v>
      </c>
      <c r="L136" s="75">
        <f>TRUNC((_xlfn.NORM.INV((RAND()),$K$7,$K$8)),0)</f>
        <v/>
      </c>
      <c r="M136" s="75" t="n">
        <v>140</v>
      </c>
      <c r="N136" s="5" t="n">
        <v>17</v>
      </c>
      <c r="O136" s="5" t="n">
        <v>13</v>
      </c>
      <c r="P136" s="5" t="n">
        <v>33</v>
      </c>
      <c r="R136" s="2">
        <f>IF(N136&gt;Demand!AU153,0,(IF(((2*(Retailers!AJ135+Distributors_Cap!$P$47)-Retailers_Cap!$BB$7)*(Demand!AU153-Retailers_Cap!N136))&lt;0,0,((IF(BB136&gt;2*(Retailers!AJ135+Distributors_Cap!$P$47),0,(IF(BG136=0,ROUNDUP((2*(Retailers!AJ135+Distributors_Cap!$P$47)-BB136)^0.5,0),ROUNDUP((2*(Retailers!AJ135+Distributors_Cap!$P$47)-BB136)^0.5,0)))))))))</f>
        <v/>
      </c>
      <c r="S136" s="2">
        <f>IF(O136&gt;Demand!AV153,0,(IF(((2*(Retailers!AK135+Distributors_Cap!$P$47)-Retailers_Cap!$BB$7)*(Demand!AV153-Retailers_Cap!O136))&lt;0,0,((IF(BC136&gt;2*(Retailers!AK135+Distributors_Cap!$P$47),0,(IF(BH136=0,ROUNDUP((2*(Retailers!AK135+Distributors_Cap!$P$47)-BC136)^0.5,0),ROUNDUP((2*(Retailers!AK135+Distributors_Cap!$P$47)-BC136)^0.5,0)))))))))</f>
        <v/>
      </c>
      <c r="T136" s="2">
        <f>IF(P136&gt;Demand!AW153,0,(IF(((2*(Retailers!AL135+Distributors_Cap!$P$47)-Retailers_Cap!$BB$7)*(Demand!AW153-Retailers_Cap!P136))&lt;0,0,((IF(BD136&gt;2*(Retailers!AL135+Distributors_Cap!$P$47),0,(IF(BI136=0,ROUNDUP((2*(Retailers!AL135+Distributors_Cap!$P$47)-BD136)^0.5,0),ROUNDUP((2*(Retailers!AL135+Distributors_Cap!$P$47)-BD136)^0.5,0)))))))))</f>
        <v/>
      </c>
      <c r="W136" s="75" t="n">
        <v>140</v>
      </c>
      <c r="X136" s="9" t="n">
        <v>12</v>
      </c>
      <c r="Y136" s="9" t="n">
        <v>12</v>
      </c>
      <c r="Z136" s="9" t="n">
        <v>0</v>
      </c>
      <c r="AB136" s="2">
        <f>ROUNDDOWN(LOG((X136+1),2),0)</f>
        <v/>
      </c>
      <c r="AC136" s="2">
        <f>ROUNDDOWN(LOG((Y136+1),2),0)</f>
        <v/>
      </c>
      <c r="AD136" s="2">
        <f>ROUNDDOWN(LOG((Z136+1),2),0)</f>
        <v/>
      </c>
      <c r="AG136" s="75" t="n">
        <v>140</v>
      </c>
      <c r="AH136" s="9" t="n">
        <v>3</v>
      </c>
      <c r="AI136" s="9" t="n">
        <v>3</v>
      </c>
      <c r="AJ136" s="9" t="n">
        <v>0</v>
      </c>
      <c r="AQ136" s="75" t="n">
        <v>140</v>
      </c>
      <c r="AR136" s="75" t="n">
        <v>50.541</v>
      </c>
      <c r="AS136" s="75" t="n">
        <v>48.226</v>
      </c>
      <c r="AT136" s="75" t="n">
        <v>67.995</v>
      </c>
      <c r="AV136" s="75" t="n">
        <v>140</v>
      </c>
      <c r="AW136" s="75">
        <f>Beginning_stock!AT164</f>
        <v/>
      </c>
      <c r="AX136" s="75">
        <f>Beginning_stock!AU164</f>
        <v/>
      </c>
      <c r="AY136" s="75">
        <f>Beginning_stock!AV164</f>
        <v/>
      </c>
      <c r="BA136" s="75" t="n">
        <v>140</v>
      </c>
      <c r="BB136" s="75">
        <f>IF(Demand!AU153=Retailers_Cap!N136,"ret=0",(AW136/(Demand!AU153-Retailers_Cap!N136)))</f>
        <v/>
      </c>
      <c r="BC136" s="75">
        <f>IF(Demand!AV153=Retailers_Cap!O136,"ret=0",(AX136/(Demand!AV153-Retailers_Cap!O136)))</f>
        <v/>
      </c>
      <c r="BD136" s="75">
        <f>IF(Demand!AW153=Retailers_Cap!P136,"ret=0",(AY136/(Demand!AW153-Retailers_Cap!P136)))</f>
        <v/>
      </c>
      <c r="BF136" s="75" t="n">
        <v>140</v>
      </c>
      <c r="BG136" s="2">
        <f>IF(Demand!AU153&lt;=Retailers_Cap!N136,"ret=0",(IF(BB136&lt;=AR136+Distributors_Cap!$P$47,1,0)))</f>
        <v/>
      </c>
      <c r="BH136" s="2">
        <f>IF(Demand!AV153&lt;=Retailers_Cap!O136,"ret=0",(IF(BC136&lt;=AS136+Distributors_Cap!$P$47,1,0)))</f>
        <v/>
      </c>
      <c r="BI136" s="2">
        <f>IF(Demand!AW153&lt;=Retailers_Cap!P136,"ret=0",(IF(BD136&lt;=AT136+Distributors_Cap!$P$47,1,0)))</f>
        <v/>
      </c>
      <c r="BK136" s="75" t="n">
        <v>140</v>
      </c>
      <c r="BL136" s="75">
        <f>Retailers!BH135</f>
        <v/>
      </c>
      <c r="BM136" s="75">
        <f>Retailers!BI135</f>
        <v/>
      </c>
      <c r="BN136" s="75">
        <f>Retailers!BJ135</f>
        <v/>
      </c>
      <c r="BP136" s="75" t="n">
        <v>140</v>
      </c>
      <c r="BQ136" s="75">
        <f>#REF!</f>
        <v/>
      </c>
      <c r="BR136" s="75">
        <f>#REF!</f>
        <v/>
      </c>
      <c r="BS136" s="75">
        <f>#REF!</f>
        <v/>
      </c>
      <c r="BU136" s="75" t="n">
        <v>140</v>
      </c>
      <c r="BV136" s="75">
        <f>Retailers!AS135</f>
        <v/>
      </c>
      <c r="BW136" s="75">
        <f>Retailers!AT135</f>
        <v/>
      </c>
      <c r="BX136" s="75">
        <f>Retailers!AU135</f>
        <v/>
      </c>
      <c r="BZ136" s="75" t="n">
        <v>140</v>
      </c>
      <c r="CA136" s="75">
        <f>Results!#REF!</f>
        <v/>
      </c>
      <c r="CB136" s="75">
        <f>Results!#REF!</f>
        <v/>
      </c>
      <c r="CC136" s="75">
        <f>Results!#REF!</f>
        <v/>
      </c>
      <c r="CE136" s="75" t="n">
        <v>140</v>
      </c>
      <c r="CF136" s="75">
        <f>Retailers!BN135</f>
        <v/>
      </c>
      <c r="CG136" s="75">
        <f>Retailers!BO135</f>
        <v/>
      </c>
      <c r="CH136" s="75">
        <f>Retailers!BP135</f>
        <v/>
      </c>
      <c r="CJ136" s="75" t="n">
        <v>140</v>
      </c>
      <c r="CK136" s="75">
        <f>IF(BB136="ret=0",0,IF(BB136&gt;0,AR136+Distributors_Cap!$P$47-BB136,0))</f>
        <v/>
      </c>
      <c r="CL136" s="75">
        <f>IF(BC136="ret=0",0,IF(BC136&gt;0,AS136+Distributors_Cap!$P$47-BC136,0))</f>
        <v/>
      </c>
      <c r="CM136" s="75">
        <f>IF(BD136="ret=0",0,IF(BD136&gt;0,AT136+Distributors_Cap!$P$47-BD136,0))</f>
        <v/>
      </c>
    </row>
    <row r="137">
      <c r="G137" s="75" t="n">
        <v>141</v>
      </c>
      <c r="H137" s="75" t="n">
        <v>76.11</v>
      </c>
      <c r="I137" s="75" t="n">
        <v>57.858</v>
      </c>
      <c r="J137" s="75" t="n">
        <v>46.855</v>
      </c>
      <c r="L137" s="75">
        <f>TRUNC((_xlfn.NORM.INV((RAND()),$K$7,$K$8)),0)</f>
        <v/>
      </c>
      <c r="M137" s="75" t="n">
        <v>141</v>
      </c>
      <c r="N137" s="5" t="n">
        <v>15</v>
      </c>
      <c r="O137" s="5" t="n">
        <v>24</v>
      </c>
      <c r="P137" s="5" t="n">
        <v>34</v>
      </c>
      <c r="R137" s="2">
        <f>IF(N137&gt;Demand!AU154,0,(IF(((2*(Retailers!AJ136+Distributors_Cap!$P$47)-Retailers_Cap!$BB$7)*(Demand!AU154-Retailers_Cap!N137))&lt;0,0,((IF(BB137&gt;2*(Retailers!AJ136+Distributors_Cap!$P$47),0,(IF(BG137=0,ROUNDUP((2*(Retailers!AJ136+Distributors_Cap!$P$47)-BB137)^0.5,0),ROUNDUP((2*(Retailers!AJ136+Distributors_Cap!$P$47)-BB137)^0.5,0)))))))))</f>
        <v/>
      </c>
      <c r="S137" s="2">
        <f>IF(O137&gt;Demand!AV154,0,(IF(((2*(Retailers!AK136+Distributors_Cap!$P$47)-Retailers_Cap!$BB$7)*(Demand!AV154-Retailers_Cap!O137))&lt;0,0,((IF(BC137&gt;2*(Retailers!AK136+Distributors_Cap!$P$47),0,(IF(BH137=0,ROUNDUP((2*(Retailers!AK136+Distributors_Cap!$P$47)-BC137)^0.5,0),ROUNDUP((2*(Retailers!AK136+Distributors_Cap!$P$47)-BC137)^0.5,0)))))))))</f>
        <v/>
      </c>
      <c r="T137" s="2">
        <f>IF(P137&gt;Demand!AW154,0,(IF(((2*(Retailers!AL136+Distributors_Cap!$P$47)-Retailers_Cap!$BB$7)*(Demand!AW154-Retailers_Cap!P137))&lt;0,0,((IF(BD137&gt;2*(Retailers!AL136+Distributors_Cap!$P$47),0,(IF(BI137=0,ROUNDUP((2*(Retailers!AL136+Distributors_Cap!$P$47)-BD137)^0.5,0),ROUNDUP((2*(Retailers!AL136+Distributors_Cap!$P$47)-BD137)^0.5,0)))))))))</f>
        <v/>
      </c>
      <c r="W137" s="75" t="n">
        <v>141</v>
      </c>
      <c r="X137" s="9" t="n">
        <v>14</v>
      </c>
      <c r="Y137" s="9" t="n">
        <v>12</v>
      </c>
      <c r="Z137" s="9" t="n">
        <v>0</v>
      </c>
      <c r="AB137" s="2">
        <f>ROUNDDOWN(LOG((X137+1),2),0)</f>
        <v/>
      </c>
      <c r="AC137" s="2">
        <f>ROUNDDOWN(LOG((Y137+1),2),0)</f>
        <v/>
      </c>
      <c r="AD137" s="2">
        <f>ROUNDDOWN(LOG((Z137+1),2),0)</f>
        <v/>
      </c>
      <c r="AG137" s="75" t="n">
        <v>141</v>
      </c>
      <c r="AH137" s="9" t="n">
        <v>3</v>
      </c>
      <c r="AI137" s="9" t="n">
        <v>3</v>
      </c>
      <c r="AJ137" s="9" t="n">
        <v>0</v>
      </c>
      <c r="AQ137" s="75" t="n">
        <v>141</v>
      </c>
      <c r="AR137" s="75" t="n">
        <v>76.11</v>
      </c>
      <c r="AS137" s="75" t="n">
        <v>57.858</v>
      </c>
      <c r="AT137" s="75" t="n">
        <v>46.855</v>
      </c>
      <c r="AV137" s="75" t="n">
        <v>141</v>
      </c>
      <c r="AW137" s="75">
        <f>Beginning_stock!AT165</f>
        <v/>
      </c>
      <c r="AX137" s="75">
        <f>Beginning_stock!AU165</f>
        <v/>
      </c>
      <c r="AY137" s="75">
        <f>Beginning_stock!AV165</f>
        <v/>
      </c>
      <c r="BA137" s="75" t="n">
        <v>141</v>
      </c>
      <c r="BB137" s="75">
        <f>IF(Demand!AU154=Retailers_Cap!N137,"ret=0",(AW137/(Demand!AU154-Retailers_Cap!N137)))</f>
        <v/>
      </c>
      <c r="BC137" s="75">
        <f>IF(Demand!AV154=Retailers_Cap!O137,"ret=0",(AX137/(Demand!AV154-Retailers_Cap!O137)))</f>
        <v/>
      </c>
      <c r="BD137" s="75">
        <f>IF(Demand!AW154=Retailers_Cap!P137,"ret=0",(AY137/(Demand!AW154-Retailers_Cap!P137)))</f>
        <v/>
      </c>
      <c r="BF137" s="75" t="n">
        <v>141</v>
      </c>
      <c r="BG137" s="2">
        <f>IF(Demand!AU154&lt;=Retailers_Cap!N137,"ret=0",(IF(BB137&lt;=AR137+Distributors_Cap!$P$47,1,0)))</f>
        <v/>
      </c>
      <c r="BH137" s="2">
        <f>IF(Demand!AV154&lt;=Retailers_Cap!O137,"ret=0",(IF(BC137&lt;=AS137+Distributors_Cap!$P$47,1,0)))</f>
        <v/>
      </c>
      <c r="BI137" s="2">
        <f>IF(Demand!AW154&lt;=Retailers_Cap!P137,"ret=0",(IF(BD137&lt;=AT137+Distributors_Cap!$P$47,1,0)))</f>
        <v/>
      </c>
      <c r="BK137" s="75" t="n">
        <v>141</v>
      </c>
      <c r="BL137" s="75">
        <f>Retailers!BH136</f>
        <v/>
      </c>
      <c r="BM137" s="75">
        <f>Retailers!BI136</f>
        <v/>
      </c>
      <c r="BN137" s="75">
        <f>Retailers!BJ136</f>
        <v/>
      </c>
      <c r="BP137" s="75" t="n">
        <v>141</v>
      </c>
      <c r="BQ137" s="75">
        <f>#REF!</f>
        <v/>
      </c>
      <c r="BR137" s="75">
        <f>#REF!</f>
        <v/>
      </c>
      <c r="BS137" s="75">
        <f>#REF!</f>
        <v/>
      </c>
      <c r="BU137" s="75" t="n">
        <v>141</v>
      </c>
      <c r="BV137" s="75">
        <f>Retailers!AS136</f>
        <v/>
      </c>
      <c r="BW137" s="75">
        <f>Retailers!AT136</f>
        <v/>
      </c>
      <c r="BX137" s="75">
        <f>Retailers!AU136</f>
        <v/>
      </c>
      <c r="BZ137" s="75" t="n">
        <v>141</v>
      </c>
      <c r="CA137" s="75">
        <f>Results!#REF!</f>
        <v/>
      </c>
      <c r="CB137" s="75">
        <f>Results!#REF!</f>
        <v/>
      </c>
      <c r="CC137" s="75">
        <f>Results!#REF!</f>
        <v/>
      </c>
      <c r="CE137" s="75" t="n">
        <v>141</v>
      </c>
      <c r="CF137" s="75">
        <f>Retailers!BN136</f>
        <v/>
      </c>
      <c r="CG137" s="75">
        <f>Retailers!BO136</f>
        <v/>
      </c>
      <c r="CH137" s="75">
        <f>Retailers!BP136</f>
        <v/>
      </c>
      <c r="CJ137" s="75" t="n">
        <v>141</v>
      </c>
      <c r="CK137" s="75">
        <f>IF(BB137="ret=0",0,IF(BB137&gt;0,AR137+Distributors_Cap!$P$47-BB137,0))</f>
        <v/>
      </c>
      <c r="CL137" s="75">
        <f>IF(BC137="ret=0",0,IF(BC137&gt;0,AS137+Distributors_Cap!$P$47-BC137,0))</f>
        <v/>
      </c>
      <c r="CM137" s="75">
        <f>IF(BD137="ret=0",0,IF(BD137&gt;0,AT137+Distributors_Cap!$P$47-BD137,0))</f>
        <v/>
      </c>
    </row>
    <row r="138">
      <c r="G138" s="75" t="n">
        <v>142</v>
      </c>
      <c r="H138" s="75" t="n">
        <v>67.871</v>
      </c>
      <c r="I138" s="75" t="n">
        <v>57.163</v>
      </c>
      <c r="J138" s="75" t="n">
        <v>66.72199999999999</v>
      </c>
      <c r="L138" s="75">
        <f>TRUNC((_xlfn.NORM.INV((RAND()),$K$7,$K$8)),0)</f>
        <v/>
      </c>
      <c r="M138" s="75" t="n">
        <v>142</v>
      </c>
      <c r="N138" s="5" t="n">
        <v>36</v>
      </c>
      <c r="O138" s="5" t="n">
        <v>30</v>
      </c>
      <c r="P138" s="5" t="n">
        <v>13</v>
      </c>
      <c r="R138" s="2">
        <f>IF(N138&gt;Demand!AU155,0,(IF(((2*(Retailers!AJ137+Distributors_Cap!$P$47)-Retailers_Cap!$BB$7)*(Demand!AU155-Retailers_Cap!N138))&lt;0,0,((IF(BB138&gt;2*(Retailers!AJ137+Distributors_Cap!$P$47),0,(IF(BG138=0,ROUNDUP((2*(Retailers!AJ137+Distributors_Cap!$P$47)-BB138)^0.5,0),ROUNDUP((2*(Retailers!AJ137+Distributors_Cap!$P$47)-BB138)^0.5,0)))))))))</f>
        <v/>
      </c>
      <c r="S138" s="2">
        <f>IF(O138&gt;Demand!AV155,0,(IF(((2*(Retailers!AK137+Distributors_Cap!$P$47)-Retailers_Cap!$BB$7)*(Demand!AV155-Retailers_Cap!O138))&lt;0,0,((IF(BC138&gt;2*(Retailers!AK137+Distributors_Cap!$P$47),0,(IF(BH138=0,ROUNDUP((2*(Retailers!AK137+Distributors_Cap!$P$47)-BC138)^0.5,0),ROUNDUP((2*(Retailers!AK137+Distributors_Cap!$P$47)-BC138)^0.5,0)))))))))</f>
        <v/>
      </c>
      <c r="T138" s="2">
        <f>IF(P138&gt;Demand!AW155,0,(IF(((2*(Retailers!AL137+Distributors_Cap!$P$47)-Retailers_Cap!$BB$7)*(Demand!AW155-Retailers_Cap!P138))&lt;0,0,((IF(BD138&gt;2*(Retailers!AL137+Distributors_Cap!$P$47),0,(IF(BI138=0,ROUNDUP((2*(Retailers!AL137+Distributors_Cap!$P$47)-BD138)^0.5,0),ROUNDUP((2*(Retailers!AL137+Distributors_Cap!$P$47)-BD138)^0.5,0)))))))))</f>
        <v/>
      </c>
      <c r="W138" s="75" t="n">
        <v>142</v>
      </c>
      <c r="X138" s="9" t="n">
        <v>0</v>
      </c>
      <c r="Y138" s="9" t="n">
        <v>0</v>
      </c>
      <c r="Z138" s="9" t="n">
        <v>13</v>
      </c>
      <c r="AB138" s="2">
        <f>ROUNDDOWN(LOG((X138+1),2),0)</f>
        <v/>
      </c>
      <c r="AC138" s="2">
        <f>ROUNDDOWN(LOG((Y138+1),2),0)</f>
        <v/>
      </c>
      <c r="AD138" s="2">
        <f>ROUNDDOWN(LOG((Z138+1),2),0)</f>
        <v/>
      </c>
      <c r="AG138" s="75" t="n">
        <v>142</v>
      </c>
      <c r="AH138" s="9" t="n">
        <v>0</v>
      </c>
      <c r="AI138" s="9" t="n">
        <v>0</v>
      </c>
      <c r="AJ138" s="9" t="n">
        <v>3</v>
      </c>
      <c r="AQ138" s="75" t="n">
        <v>142</v>
      </c>
      <c r="AR138" s="75" t="n">
        <v>67.871</v>
      </c>
      <c r="AS138" s="75" t="n">
        <v>57.163</v>
      </c>
      <c r="AT138" s="75" t="n">
        <v>66.72199999999999</v>
      </c>
      <c r="AV138" s="75" t="n">
        <v>142</v>
      </c>
      <c r="AW138" s="75">
        <f>Beginning_stock!AT166</f>
        <v/>
      </c>
      <c r="AX138" s="75">
        <f>Beginning_stock!AU166</f>
        <v/>
      </c>
      <c r="AY138" s="75">
        <f>Beginning_stock!AV166</f>
        <v/>
      </c>
      <c r="BA138" s="75" t="n">
        <v>142</v>
      </c>
      <c r="BB138" s="75">
        <f>IF(Demand!AU155=Retailers_Cap!N138,"ret=0",(AW138/(Demand!AU155-Retailers_Cap!N138)))</f>
        <v/>
      </c>
      <c r="BC138" s="75">
        <f>IF(Demand!AV155=Retailers_Cap!O138,"ret=0",(AX138/(Demand!AV155-Retailers_Cap!O138)))</f>
        <v/>
      </c>
      <c r="BD138" s="75">
        <f>IF(Demand!AW155=Retailers_Cap!P138,"ret=0",(AY138/(Demand!AW155-Retailers_Cap!P138)))</f>
        <v/>
      </c>
      <c r="BF138" s="75" t="n">
        <v>142</v>
      </c>
      <c r="BG138" s="2">
        <f>IF(Demand!AU155&lt;=Retailers_Cap!N138,"ret=0",(IF(BB138&lt;=AR138+Distributors_Cap!$P$47,1,0)))</f>
        <v/>
      </c>
      <c r="BH138" s="2">
        <f>IF(Demand!AV155&lt;=Retailers_Cap!O138,"ret=0",(IF(BC138&lt;=AS138+Distributors_Cap!$P$47,1,0)))</f>
        <v/>
      </c>
      <c r="BI138" s="2">
        <f>IF(Demand!AW155&lt;=Retailers_Cap!P138,"ret=0",(IF(BD138&lt;=AT138+Distributors_Cap!$P$47,1,0)))</f>
        <v/>
      </c>
      <c r="BK138" s="75" t="n">
        <v>142</v>
      </c>
      <c r="BL138" s="75">
        <f>Retailers!BH137</f>
        <v/>
      </c>
      <c r="BM138" s="75">
        <f>Retailers!BI137</f>
        <v/>
      </c>
      <c r="BN138" s="75">
        <f>Retailers!BJ137</f>
        <v/>
      </c>
      <c r="BP138" s="75" t="n">
        <v>142</v>
      </c>
      <c r="BQ138" s="75">
        <f>#REF!</f>
        <v/>
      </c>
      <c r="BR138" s="75">
        <f>#REF!</f>
        <v/>
      </c>
      <c r="BS138" s="75">
        <f>#REF!</f>
        <v/>
      </c>
      <c r="BU138" s="75" t="n">
        <v>142</v>
      </c>
      <c r="BV138" s="75">
        <f>Retailers!AS137</f>
        <v/>
      </c>
      <c r="BW138" s="75">
        <f>Retailers!AT137</f>
        <v/>
      </c>
      <c r="BX138" s="75">
        <f>Retailers!AU137</f>
        <v/>
      </c>
      <c r="BZ138" s="75" t="n">
        <v>142</v>
      </c>
      <c r="CA138" s="75">
        <f>Results!#REF!</f>
        <v/>
      </c>
      <c r="CB138" s="75">
        <f>Results!#REF!</f>
        <v/>
      </c>
      <c r="CC138" s="75">
        <f>Results!#REF!</f>
        <v/>
      </c>
      <c r="CE138" s="75" t="n">
        <v>142</v>
      </c>
      <c r="CF138" s="75">
        <f>Retailers!BN137</f>
        <v/>
      </c>
      <c r="CG138" s="75">
        <f>Retailers!BO137</f>
        <v/>
      </c>
      <c r="CH138" s="75">
        <f>Retailers!BP137</f>
        <v/>
      </c>
      <c r="CJ138" s="75" t="n">
        <v>142</v>
      </c>
      <c r="CK138" s="75">
        <f>IF(BB138="ret=0",0,IF(BB138&gt;0,AR138+Distributors_Cap!$P$47-BB138,0))</f>
        <v/>
      </c>
      <c r="CL138" s="75">
        <f>IF(BC138="ret=0",0,IF(BC138&gt;0,AS138+Distributors_Cap!$P$47-BC138,0))</f>
        <v/>
      </c>
      <c r="CM138" s="75">
        <f>IF(BD138="ret=0",0,IF(BD138&gt;0,AT138+Distributors_Cap!$P$47-BD138,0))</f>
        <v/>
      </c>
    </row>
    <row r="139">
      <c r="G139" s="75" t="n">
        <v>143</v>
      </c>
      <c r="H139" s="75" t="n">
        <v>63.995</v>
      </c>
      <c r="I139" s="75" t="n">
        <v>70.626</v>
      </c>
      <c r="J139" s="75" t="n">
        <v>54.772</v>
      </c>
      <c r="L139" s="75">
        <f>TRUNC((_xlfn.NORM.INV((RAND()),$K$7,$K$8)),0)</f>
        <v/>
      </c>
      <c r="M139" s="75" t="n">
        <v>143</v>
      </c>
      <c r="N139" s="5" t="n">
        <v>21</v>
      </c>
      <c r="O139" s="5" t="n">
        <v>25</v>
      </c>
      <c r="P139" s="5" t="n">
        <v>17</v>
      </c>
      <c r="R139" s="2">
        <f>IF(N139&gt;Demand!AU156,0,(IF(((2*(Retailers!AJ138+Distributors_Cap!$P$47)-Retailers_Cap!$BB$7)*(Demand!AU156-Retailers_Cap!N139))&lt;0,0,((IF(BB139&gt;2*(Retailers!AJ138+Distributors_Cap!$P$47),0,(IF(BG139=0,ROUNDUP((2*(Retailers!AJ138+Distributors_Cap!$P$47)-BB139)^0.5,0),ROUNDUP((2*(Retailers!AJ138+Distributors_Cap!$P$47)-BB139)^0.5,0)))))))))</f>
        <v/>
      </c>
      <c r="S139" s="2">
        <f>IF(O139&gt;Demand!AV156,0,(IF(((2*(Retailers!AK138+Distributors_Cap!$P$47)-Retailers_Cap!$BB$7)*(Demand!AV156-Retailers_Cap!O139))&lt;0,0,((IF(BC139&gt;2*(Retailers!AK138+Distributors_Cap!$P$47),0,(IF(BH139=0,ROUNDUP((2*(Retailers!AK138+Distributors_Cap!$P$47)-BC139)^0.5,0),ROUNDUP((2*(Retailers!AK138+Distributors_Cap!$P$47)-BC139)^0.5,0)))))))))</f>
        <v/>
      </c>
      <c r="T139" s="2">
        <f>IF(P139&gt;Demand!AW156,0,(IF(((2*(Retailers!AL138+Distributors_Cap!$P$47)-Retailers_Cap!$BB$7)*(Demand!AW156-Retailers_Cap!P139))&lt;0,0,((IF(BD139&gt;2*(Retailers!AL138+Distributors_Cap!$P$47),0,(IF(BI139=0,ROUNDUP((2*(Retailers!AL138+Distributors_Cap!$P$47)-BD139)^0.5,0),ROUNDUP((2*(Retailers!AL138+Distributors_Cap!$P$47)-BD139)^0.5,0)))))))))</f>
        <v/>
      </c>
      <c r="W139" s="75" t="n">
        <v>143</v>
      </c>
      <c r="X139" s="9" t="n">
        <v>0</v>
      </c>
      <c r="Y139" s="9" t="n">
        <v>0</v>
      </c>
      <c r="Z139" s="9" t="n">
        <v>12</v>
      </c>
      <c r="AB139" s="2">
        <f>ROUNDDOWN(LOG((X139+1),2),0)</f>
        <v/>
      </c>
      <c r="AC139" s="2">
        <f>ROUNDDOWN(LOG((Y139+1),2),0)</f>
        <v/>
      </c>
      <c r="AD139" s="2">
        <f>ROUNDDOWN(LOG((Z139+1),2),0)</f>
        <v/>
      </c>
      <c r="AG139" s="75" t="n">
        <v>143</v>
      </c>
      <c r="AH139" s="9" t="n">
        <v>0</v>
      </c>
      <c r="AI139" s="9" t="n">
        <v>0</v>
      </c>
      <c r="AJ139" s="9" t="n">
        <v>3</v>
      </c>
      <c r="AQ139" s="75" t="n">
        <v>143</v>
      </c>
      <c r="AR139" s="75" t="n">
        <v>63.995</v>
      </c>
      <c r="AS139" s="75" t="n">
        <v>70.626</v>
      </c>
      <c r="AT139" s="75" t="n">
        <v>54.772</v>
      </c>
      <c r="AV139" s="75" t="n">
        <v>143</v>
      </c>
      <c r="AW139" s="75">
        <f>Beginning_stock!AT167</f>
        <v/>
      </c>
      <c r="AX139" s="75">
        <f>Beginning_stock!AU167</f>
        <v/>
      </c>
      <c r="AY139" s="75">
        <f>Beginning_stock!AV167</f>
        <v/>
      </c>
      <c r="BA139" s="75" t="n">
        <v>143</v>
      </c>
      <c r="BB139" s="75">
        <f>IF(Demand!AU156=Retailers_Cap!N139,"ret=0",(AW139/(Demand!AU156-Retailers_Cap!N139)))</f>
        <v/>
      </c>
      <c r="BC139" s="75">
        <f>IF(Demand!AV156=Retailers_Cap!O139,"ret=0",(AX139/(Demand!AV156-Retailers_Cap!O139)))</f>
        <v/>
      </c>
      <c r="BD139" s="75">
        <f>IF(Demand!AW156=Retailers_Cap!P139,"ret=0",(AY139/(Demand!AW156-Retailers_Cap!P139)))</f>
        <v/>
      </c>
      <c r="BF139" s="75" t="n">
        <v>143</v>
      </c>
      <c r="BG139" s="2">
        <f>IF(Demand!AU156&lt;=Retailers_Cap!N139,"ret=0",(IF(BB139&lt;=AR139+Distributors_Cap!$P$47,1,0)))</f>
        <v/>
      </c>
      <c r="BH139" s="2">
        <f>IF(Demand!AV156&lt;=Retailers_Cap!O139,"ret=0",(IF(BC139&lt;=AS139+Distributors_Cap!$P$47,1,0)))</f>
        <v/>
      </c>
      <c r="BI139" s="2">
        <f>IF(Demand!AW156&lt;=Retailers_Cap!P139,"ret=0",(IF(BD139&lt;=AT139+Distributors_Cap!$P$47,1,0)))</f>
        <v/>
      </c>
      <c r="BK139" s="75" t="n">
        <v>143</v>
      </c>
      <c r="BL139" s="75">
        <f>Retailers!BH138</f>
        <v/>
      </c>
      <c r="BM139" s="75">
        <f>Retailers!BI138</f>
        <v/>
      </c>
      <c r="BN139" s="75">
        <f>Retailers!BJ138</f>
        <v/>
      </c>
      <c r="BP139" s="75" t="n">
        <v>143</v>
      </c>
      <c r="BQ139" s="75">
        <f>#REF!</f>
        <v/>
      </c>
      <c r="BR139" s="75">
        <f>#REF!</f>
        <v/>
      </c>
      <c r="BS139" s="75">
        <f>#REF!</f>
        <v/>
      </c>
      <c r="BU139" s="75" t="n">
        <v>143</v>
      </c>
      <c r="BV139" s="75">
        <f>Retailers!AS138</f>
        <v/>
      </c>
      <c r="BW139" s="75">
        <f>Retailers!AT138</f>
        <v/>
      </c>
      <c r="BX139" s="75">
        <f>Retailers!AU138</f>
        <v/>
      </c>
      <c r="BZ139" s="75" t="n">
        <v>143</v>
      </c>
      <c r="CA139" s="75">
        <f>Results!#REF!</f>
        <v/>
      </c>
      <c r="CB139" s="75">
        <f>Results!#REF!</f>
        <v/>
      </c>
      <c r="CC139" s="75">
        <f>Results!#REF!</f>
        <v/>
      </c>
      <c r="CE139" s="75" t="n">
        <v>143</v>
      </c>
      <c r="CF139" s="75">
        <f>Retailers!BN138</f>
        <v/>
      </c>
      <c r="CG139" s="75">
        <f>Retailers!BO138</f>
        <v/>
      </c>
      <c r="CH139" s="75">
        <f>Retailers!BP138</f>
        <v/>
      </c>
      <c r="CJ139" s="75" t="n">
        <v>143</v>
      </c>
      <c r="CK139" s="75">
        <f>IF(BB139="ret=0",0,IF(BB139&gt;0,AR139+Distributors_Cap!$P$47-BB139,0))</f>
        <v/>
      </c>
      <c r="CL139" s="75">
        <f>IF(BC139="ret=0",0,IF(BC139&gt;0,AS139+Distributors_Cap!$P$47-BC139,0))</f>
        <v/>
      </c>
      <c r="CM139" s="75">
        <f>IF(BD139="ret=0",0,IF(BD139&gt;0,AT139+Distributors_Cap!$P$47-BD139,0))</f>
        <v/>
      </c>
    </row>
    <row r="140">
      <c r="G140" s="75" t="n">
        <v>144</v>
      </c>
      <c r="H140" s="75" t="n">
        <v>74.295</v>
      </c>
      <c r="I140" s="75" t="n">
        <v>82.404</v>
      </c>
      <c r="J140" s="75" t="n">
        <v>57.133</v>
      </c>
      <c r="L140" s="75">
        <f>TRUNC((_xlfn.NORM.INV((RAND()),$K$7,$K$8)),0)</f>
        <v/>
      </c>
      <c r="M140" s="75" t="n">
        <v>144</v>
      </c>
      <c r="N140" s="5" t="n">
        <v>24</v>
      </c>
      <c r="O140" s="5" t="n">
        <v>27</v>
      </c>
      <c r="P140" s="5" t="n">
        <v>29</v>
      </c>
      <c r="R140" s="2">
        <f>IF(N140&gt;Demand!AU157,0,(IF(((2*(Retailers!AJ139+Distributors_Cap!$P$47)-Retailers_Cap!$BB$7)*(Demand!AU157-Retailers_Cap!N140))&lt;0,0,((IF(BB140&gt;2*(Retailers!AJ139+Distributors_Cap!$P$47),0,(IF(BG140=0,ROUNDUP((2*(Retailers!AJ139+Distributors_Cap!$P$47)-BB140)^0.5,0),ROUNDUP((2*(Retailers!AJ139+Distributors_Cap!$P$47)-BB140)^0.5,0)))))))))</f>
        <v/>
      </c>
      <c r="S140" s="2">
        <f>IF(O140&gt;Demand!AV157,0,(IF(((2*(Retailers!AK139+Distributors_Cap!$P$47)-Retailers_Cap!$BB$7)*(Demand!AV157-Retailers_Cap!O140))&lt;0,0,((IF(BC140&gt;2*(Retailers!AK139+Distributors_Cap!$P$47),0,(IF(BH140=0,ROUNDUP((2*(Retailers!AK139+Distributors_Cap!$P$47)-BC140)^0.5,0),ROUNDUP((2*(Retailers!AK139+Distributors_Cap!$P$47)-BC140)^0.5,0)))))))))</f>
        <v/>
      </c>
      <c r="T140" s="2">
        <f>IF(P140&gt;Demand!AW157,0,(IF(((2*(Retailers!AL139+Distributors_Cap!$P$47)-Retailers_Cap!$BB$7)*(Demand!AW157-Retailers_Cap!P140))&lt;0,0,((IF(BD140&gt;2*(Retailers!AL139+Distributors_Cap!$P$47),0,(IF(BI140=0,ROUNDUP((2*(Retailers!AL139+Distributors_Cap!$P$47)-BD140)^0.5,0),ROUNDUP((2*(Retailers!AL139+Distributors_Cap!$P$47)-BD140)^0.5,0)))))))))</f>
        <v/>
      </c>
      <c r="W140" s="75" t="n">
        <v>144</v>
      </c>
      <c r="X140" s="9" t="n">
        <v>15</v>
      </c>
      <c r="Y140" s="9" t="n">
        <v>10</v>
      </c>
      <c r="Z140" s="9" t="n">
        <v>0</v>
      </c>
      <c r="AB140" s="2">
        <f>ROUNDDOWN(LOG((X140+1),2),0)</f>
        <v/>
      </c>
      <c r="AC140" s="2">
        <f>ROUNDDOWN(LOG((Y140+1),2),0)</f>
        <v/>
      </c>
      <c r="AD140" s="2">
        <f>ROUNDDOWN(LOG((Z140+1),2),0)</f>
        <v/>
      </c>
      <c r="AG140" s="75" t="n">
        <v>144</v>
      </c>
      <c r="AH140" s="9" t="n">
        <v>4</v>
      </c>
      <c r="AI140" s="9" t="n">
        <v>3</v>
      </c>
      <c r="AJ140" s="9" t="n">
        <v>0</v>
      </c>
      <c r="AQ140" s="75" t="n">
        <v>144</v>
      </c>
      <c r="AR140" s="75" t="n">
        <v>74.295</v>
      </c>
      <c r="AS140" s="75" t="n">
        <v>82.404</v>
      </c>
      <c r="AT140" s="75" t="n">
        <v>57.133</v>
      </c>
      <c r="AV140" s="75" t="n">
        <v>144</v>
      </c>
      <c r="AW140" s="75">
        <f>Beginning_stock!AT168</f>
        <v/>
      </c>
      <c r="AX140" s="75">
        <f>Beginning_stock!AU168</f>
        <v/>
      </c>
      <c r="AY140" s="75">
        <f>Beginning_stock!AV168</f>
        <v/>
      </c>
      <c r="BA140" s="75" t="n">
        <v>144</v>
      </c>
      <c r="BB140" s="75">
        <f>IF(Demand!AU157=Retailers_Cap!N140,"ret=0",(AW140/(Demand!AU157-Retailers_Cap!N140)))</f>
        <v/>
      </c>
      <c r="BC140" s="75">
        <f>IF(Demand!AV157=Retailers_Cap!O140,"ret=0",(AX140/(Demand!AV157-Retailers_Cap!O140)))</f>
        <v/>
      </c>
      <c r="BD140" s="75">
        <f>IF(Demand!AW157=Retailers_Cap!P140,"ret=0",(AY140/(Demand!AW157-Retailers_Cap!P140)))</f>
        <v/>
      </c>
      <c r="BF140" s="75" t="n">
        <v>144</v>
      </c>
      <c r="BG140" s="2">
        <f>IF(Demand!AU157&lt;=Retailers_Cap!N140,"ret=0",(IF(BB140&lt;=AR140+Distributors_Cap!$P$47,1,0)))</f>
        <v/>
      </c>
      <c r="BH140" s="2">
        <f>IF(Demand!AV157&lt;=Retailers_Cap!O140,"ret=0",(IF(BC140&lt;=AS140+Distributors_Cap!$P$47,1,0)))</f>
        <v/>
      </c>
      <c r="BI140" s="2">
        <f>IF(Demand!AW157&lt;=Retailers_Cap!P140,"ret=0",(IF(BD140&lt;=AT140+Distributors_Cap!$P$47,1,0)))</f>
        <v/>
      </c>
      <c r="BK140" s="75" t="n">
        <v>144</v>
      </c>
      <c r="BL140" s="75">
        <f>Retailers!BH139</f>
        <v/>
      </c>
      <c r="BM140" s="75">
        <f>Retailers!BI139</f>
        <v/>
      </c>
      <c r="BN140" s="75">
        <f>Retailers!BJ139</f>
        <v/>
      </c>
      <c r="BP140" s="75" t="n">
        <v>144</v>
      </c>
      <c r="BQ140" s="75">
        <f>#REF!</f>
        <v/>
      </c>
      <c r="BR140" s="75">
        <f>#REF!</f>
        <v/>
      </c>
      <c r="BS140" s="75">
        <f>#REF!</f>
        <v/>
      </c>
      <c r="BU140" s="75" t="n">
        <v>144</v>
      </c>
      <c r="BV140" s="75">
        <f>Retailers!AS139</f>
        <v/>
      </c>
      <c r="BW140" s="75">
        <f>Retailers!AT139</f>
        <v/>
      </c>
      <c r="BX140" s="75">
        <f>Retailers!AU139</f>
        <v/>
      </c>
      <c r="BZ140" s="75" t="n">
        <v>144</v>
      </c>
      <c r="CA140" s="75">
        <f>Results!#REF!</f>
        <v/>
      </c>
      <c r="CB140" s="75">
        <f>Results!#REF!</f>
        <v/>
      </c>
      <c r="CC140" s="75">
        <f>Results!#REF!</f>
        <v/>
      </c>
      <c r="CE140" s="75" t="n">
        <v>144</v>
      </c>
      <c r="CF140" s="75">
        <f>Retailers!BN139</f>
        <v/>
      </c>
      <c r="CG140" s="75">
        <f>Retailers!BO139</f>
        <v/>
      </c>
      <c r="CH140" s="75">
        <f>Retailers!BP139</f>
        <v/>
      </c>
      <c r="CJ140" s="75" t="n">
        <v>144</v>
      </c>
      <c r="CK140" s="75">
        <f>IF(BB140="ret=0",0,IF(BB140&gt;0,AR140+Distributors_Cap!$P$47-BB140,0))</f>
        <v/>
      </c>
      <c r="CL140" s="75">
        <f>IF(BC140="ret=0",0,IF(BC140&gt;0,AS140+Distributors_Cap!$P$47-BC140,0))</f>
        <v/>
      </c>
      <c r="CM140" s="75">
        <f>IF(BD140="ret=0",0,IF(BD140&gt;0,AT140+Distributors_Cap!$P$47-BD140,0))</f>
        <v/>
      </c>
    </row>
    <row r="141">
      <c r="G141" s="75" t="n">
        <v>145</v>
      </c>
      <c r="H141" s="75" t="n">
        <v>75.38500000000001</v>
      </c>
      <c r="I141" s="75" t="n">
        <v>70.164</v>
      </c>
      <c r="J141" s="75" t="n">
        <v>59.14</v>
      </c>
      <c r="L141" s="75">
        <f>TRUNC((_xlfn.NORM.INV((RAND()),$K$7,$K$8)),0)</f>
        <v/>
      </c>
      <c r="M141" s="75" t="n">
        <v>145</v>
      </c>
      <c r="N141" s="5" t="n">
        <v>21</v>
      </c>
      <c r="O141" s="5" t="n">
        <v>30</v>
      </c>
      <c r="P141" s="5" t="n">
        <v>23</v>
      </c>
      <c r="R141" s="2">
        <f>IF(N141&gt;Demand!AU158,0,(IF(((2*(Retailers!AJ140+Distributors_Cap!$P$47)-Retailers_Cap!$BB$7)*(Demand!AU158-Retailers_Cap!N141))&lt;0,0,((IF(BB141&gt;2*(Retailers!AJ140+Distributors_Cap!$P$47),0,(IF(BG141=0,ROUNDUP((2*(Retailers!AJ140+Distributors_Cap!$P$47)-BB141)^0.5,0),ROUNDUP((2*(Retailers!AJ140+Distributors_Cap!$P$47)-BB141)^0.5,0)))))))))</f>
        <v/>
      </c>
      <c r="S141" s="2">
        <f>IF(O141&gt;Demand!AV158,0,(IF(((2*(Retailers!AK140+Distributors_Cap!$P$47)-Retailers_Cap!$BB$7)*(Demand!AV158-Retailers_Cap!O141))&lt;0,0,((IF(BC141&gt;2*(Retailers!AK140+Distributors_Cap!$P$47),0,(IF(BH141=0,ROUNDUP((2*(Retailers!AK140+Distributors_Cap!$P$47)-BC141)^0.5,0),ROUNDUP((2*(Retailers!AK140+Distributors_Cap!$P$47)-BC141)^0.5,0)))))))))</f>
        <v/>
      </c>
      <c r="T141" s="2">
        <f>IF(P141&gt;Demand!AW158,0,(IF(((2*(Retailers!AL140+Distributors_Cap!$P$47)-Retailers_Cap!$BB$7)*(Demand!AW158-Retailers_Cap!P141))&lt;0,0,((IF(BD141&gt;2*(Retailers!AL140+Distributors_Cap!$P$47),0,(IF(BI141=0,ROUNDUP((2*(Retailers!AL140+Distributors_Cap!$P$47)-BD141)^0.5,0),ROUNDUP((2*(Retailers!AL140+Distributors_Cap!$P$47)-BD141)^0.5,0)))))))))</f>
        <v/>
      </c>
      <c r="W141" s="75" t="n">
        <v>145</v>
      </c>
      <c r="X141" s="9" t="n">
        <v>14</v>
      </c>
      <c r="Y141" s="9" t="n">
        <v>13</v>
      </c>
      <c r="Z141" s="9" t="n">
        <v>0</v>
      </c>
      <c r="AB141" s="2">
        <f>ROUNDDOWN(LOG((X141+1),2),0)</f>
        <v/>
      </c>
      <c r="AC141" s="2">
        <f>ROUNDDOWN(LOG((Y141+1),2),0)</f>
        <v/>
      </c>
      <c r="AD141" s="2">
        <f>ROUNDDOWN(LOG((Z141+1),2),0)</f>
        <v/>
      </c>
      <c r="AG141" s="75" t="n">
        <v>145</v>
      </c>
      <c r="AH141" s="9" t="n">
        <v>3</v>
      </c>
      <c r="AI141" s="9" t="n">
        <v>3</v>
      </c>
      <c r="AJ141" s="9" t="n">
        <v>0</v>
      </c>
      <c r="AQ141" s="75" t="n">
        <v>145</v>
      </c>
      <c r="AR141" s="75" t="n">
        <v>75.38500000000001</v>
      </c>
      <c r="AS141" s="75" t="n">
        <v>70.164</v>
      </c>
      <c r="AT141" s="75" t="n">
        <v>59.14</v>
      </c>
      <c r="AV141" s="75" t="n">
        <v>145</v>
      </c>
      <c r="AW141" s="75">
        <f>Beginning_stock!AT169</f>
        <v/>
      </c>
      <c r="AX141" s="75">
        <f>Beginning_stock!AU169</f>
        <v/>
      </c>
      <c r="AY141" s="75">
        <f>Beginning_stock!AV169</f>
        <v/>
      </c>
      <c r="BA141" s="75" t="n">
        <v>145</v>
      </c>
      <c r="BB141" s="75">
        <f>IF(Demand!AU158=Retailers_Cap!N141,"ret=0",(AW141/(Demand!AU158-Retailers_Cap!N141)))</f>
        <v/>
      </c>
      <c r="BC141" s="75">
        <f>IF(Demand!AV158=Retailers_Cap!O141,"ret=0",(AX141/(Demand!AV158-Retailers_Cap!O141)))</f>
        <v/>
      </c>
      <c r="BD141" s="75">
        <f>IF(Demand!AW158=Retailers_Cap!P141,"ret=0",(AY141/(Demand!AW158-Retailers_Cap!P141)))</f>
        <v/>
      </c>
      <c r="BF141" s="75" t="n">
        <v>145</v>
      </c>
      <c r="BG141" s="2">
        <f>IF(Demand!AU158&lt;=Retailers_Cap!N141,"ret=0",(IF(BB141&lt;=AR141+Distributors_Cap!$P$47,1,0)))</f>
        <v/>
      </c>
      <c r="BH141" s="2">
        <f>IF(Demand!AV158&lt;=Retailers_Cap!O141,"ret=0",(IF(BC141&lt;=AS141+Distributors_Cap!$P$47,1,0)))</f>
        <v/>
      </c>
      <c r="BI141" s="2">
        <f>IF(Demand!AW158&lt;=Retailers_Cap!P141,"ret=0",(IF(BD141&lt;=AT141+Distributors_Cap!$P$47,1,0)))</f>
        <v/>
      </c>
      <c r="BK141" s="75" t="n">
        <v>145</v>
      </c>
      <c r="BL141" s="75">
        <f>Retailers!BH140</f>
        <v/>
      </c>
      <c r="BM141" s="75">
        <f>Retailers!BI140</f>
        <v/>
      </c>
      <c r="BN141" s="75">
        <f>Retailers!BJ140</f>
        <v/>
      </c>
      <c r="BP141" s="75" t="n">
        <v>145</v>
      </c>
      <c r="BQ141" s="75">
        <f>#REF!</f>
        <v/>
      </c>
      <c r="BR141" s="75">
        <f>#REF!</f>
        <v/>
      </c>
      <c r="BS141" s="75">
        <f>#REF!</f>
        <v/>
      </c>
      <c r="BU141" s="75" t="n">
        <v>145</v>
      </c>
      <c r="BV141" s="75">
        <f>Retailers!AS140</f>
        <v/>
      </c>
      <c r="BW141" s="75">
        <f>Retailers!AT140</f>
        <v/>
      </c>
      <c r="BX141" s="75">
        <f>Retailers!AU140</f>
        <v/>
      </c>
      <c r="BZ141" s="75" t="n">
        <v>145</v>
      </c>
      <c r="CA141" s="75">
        <f>Results!#REF!</f>
        <v/>
      </c>
      <c r="CB141" s="75">
        <f>Results!#REF!</f>
        <v/>
      </c>
      <c r="CC141" s="75">
        <f>Results!#REF!</f>
        <v/>
      </c>
      <c r="CE141" s="75" t="n">
        <v>145</v>
      </c>
      <c r="CF141" s="75">
        <f>Retailers!BN140</f>
        <v/>
      </c>
      <c r="CG141" s="75">
        <f>Retailers!BO140</f>
        <v/>
      </c>
      <c r="CH141" s="75">
        <f>Retailers!BP140</f>
        <v/>
      </c>
      <c r="CJ141" s="75" t="n">
        <v>145</v>
      </c>
      <c r="CK141" s="75">
        <f>IF(BB141="ret=0",0,IF(BB141&gt;0,AR141+Distributors_Cap!$P$47-BB141,0))</f>
        <v/>
      </c>
      <c r="CL141" s="75">
        <f>IF(BC141="ret=0",0,IF(BC141&gt;0,AS141+Distributors_Cap!$P$47-BC141,0))</f>
        <v/>
      </c>
      <c r="CM141" s="75">
        <f>IF(BD141="ret=0",0,IF(BD141&gt;0,AT141+Distributors_Cap!$P$47-BD141,0))</f>
        <v/>
      </c>
    </row>
    <row r="142">
      <c r="G142" s="75" t="n">
        <v>146</v>
      </c>
      <c r="H142" s="75" t="n">
        <v>43.344</v>
      </c>
      <c r="I142" s="75" t="n">
        <v>69.349</v>
      </c>
      <c r="J142" s="75" t="n">
        <v>40.613</v>
      </c>
      <c r="L142" s="75">
        <f>TRUNC((_xlfn.NORM.INV((RAND()),$K$7,$K$8)),0)</f>
        <v/>
      </c>
      <c r="M142" s="75" t="n">
        <v>146</v>
      </c>
      <c r="N142" s="5" t="n">
        <v>24</v>
      </c>
      <c r="O142" s="5" t="n">
        <v>35</v>
      </c>
      <c r="P142" s="5" t="n">
        <v>20</v>
      </c>
      <c r="R142" s="2">
        <f>IF(N142&gt;Demand!AU159,0,(IF(((2*(Retailers!AJ141+Distributors_Cap!$P$47)-Retailers_Cap!$BB$7)*(Demand!AU159-Retailers_Cap!N142))&lt;0,0,((IF(BB142&gt;2*(Retailers!AJ141+Distributors_Cap!$P$47),0,(IF(BG142=0,ROUNDUP((2*(Retailers!AJ141+Distributors_Cap!$P$47)-BB142)^0.5,0),ROUNDUP((2*(Retailers!AJ141+Distributors_Cap!$P$47)-BB142)^0.5,0)))))))))</f>
        <v/>
      </c>
      <c r="S142" s="2">
        <f>IF(O142&gt;Demand!AV159,0,(IF(((2*(Retailers!AK141+Distributors_Cap!$P$47)-Retailers_Cap!$BB$7)*(Demand!AV159-Retailers_Cap!O142))&lt;0,0,((IF(BC142&gt;2*(Retailers!AK141+Distributors_Cap!$P$47),0,(IF(BH142=0,ROUNDUP((2*(Retailers!AK141+Distributors_Cap!$P$47)-BC142)^0.5,0),ROUNDUP((2*(Retailers!AK141+Distributors_Cap!$P$47)-BC142)^0.5,0)))))))))</f>
        <v/>
      </c>
      <c r="T142" s="2">
        <f>IF(P142&gt;Demand!AW159,0,(IF(((2*(Retailers!AL141+Distributors_Cap!$P$47)-Retailers_Cap!$BB$7)*(Demand!AW159-Retailers_Cap!P142))&lt;0,0,((IF(BD142&gt;2*(Retailers!AL141+Distributors_Cap!$P$47),0,(IF(BI142=0,ROUNDUP((2*(Retailers!AL141+Distributors_Cap!$P$47)-BD142)^0.5,0),ROUNDUP((2*(Retailers!AL141+Distributors_Cap!$P$47)-BD142)^0.5,0)))))))))</f>
        <v/>
      </c>
      <c r="W142" s="75" t="n">
        <v>146</v>
      </c>
      <c r="X142" s="9" t="n">
        <v>10</v>
      </c>
      <c r="Y142" s="9" t="n">
        <v>14</v>
      </c>
      <c r="Z142" s="9" t="n">
        <v>11</v>
      </c>
      <c r="AB142" s="2">
        <f>ROUNDDOWN(LOG((X142+1),2),0)</f>
        <v/>
      </c>
      <c r="AC142" s="2">
        <f>ROUNDDOWN(LOG((Y142+1),2),0)</f>
        <v/>
      </c>
      <c r="AD142" s="2">
        <f>ROUNDDOWN(LOG((Z142+1),2),0)</f>
        <v/>
      </c>
      <c r="AG142" s="75" t="n">
        <v>146</v>
      </c>
      <c r="AH142" s="9" t="n">
        <v>3</v>
      </c>
      <c r="AI142" s="9" t="n">
        <v>3</v>
      </c>
      <c r="AJ142" s="9" t="n">
        <v>3</v>
      </c>
      <c r="AQ142" s="75" t="n">
        <v>146</v>
      </c>
      <c r="AR142" s="75" t="n">
        <v>43.344</v>
      </c>
      <c r="AS142" s="75" t="n">
        <v>69.349</v>
      </c>
      <c r="AT142" s="75" t="n">
        <v>40.613</v>
      </c>
      <c r="AV142" s="75" t="n">
        <v>146</v>
      </c>
      <c r="AW142" s="75">
        <f>Beginning_stock!AT170</f>
        <v/>
      </c>
      <c r="AX142" s="75">
        <f>Beginning_stock!AU170</f>
        <v/>
      </c>
      <c r="AY142" s="75">
        <f>Beginning_stock!AV170</f>
        <v/>
      </c>
      <c r="BA142" s="75" t="n">
        <v>146</v>
      </c>
      <c r="BB142" s="75">
        <f>IF(Demand!AU159=Retailers_Cap!N142,"ret=0",(AW142/(Demand!AU159-Retailers_Cap!N142)))</f>
        <v/>
      </c>
      <c r="BC142" s="75">
        <f>IF(Demand!AV159=Retailers_Cap!O142,"ret=0",(AX142/(Demand!AV159-Retailers_Cap!O142)))</f>
        <v/>
      </c>
      <c r="BD142" s="75">
        <f>IF(Demand!AW159=Retailers_Cap!P142,"ret=0",(AY142/(Demand!AW159-Retailers_Cap!P142)))</f>
        <v/>
      </c>
      <c r="BF142" s="75" t="n">
        <v>146</v>
      </c>
      <c r="BG142" s="2">
        <f>IF(Demand!AU159&lt;=Retailers_Cap!N142,"ret=0",(IF(BB142&lt;=AR142+Distributors_Cap!$P$47,1,0)))</f>
        <v/>
      </c>
      <c r="BH142" s="2">
        <f>IF(Demand!AV159&lt;=Retailers_Cap!O142,"ret=0",(IF(BC142&lt;=AS142+Distributors_Cap!$P$47,1,0)))</f>
        <v/>
      </c>
      <c r="BI142" s="2">
        <f>IF(Demand!AW159&lt;=Retailers_Cap!P142,"ret=0",(IF(BD142&lt;=AT142+Distributors_Cap!$P$47,1,0)))</f>
        <v/>
      </c>
      <c r="BK142" s="75" t="n">
        <v>146</v>
      </c>
      <c r="BL142" s="75">
        <f>Retailers!BH141</f>
        <v/>
      </c>
      <c r="BM142" s="75">
        <f>Retailers!BI141</f>
        <v/>
      </c>
      <c r="BN142" s="75">
        <f>Retailers!BJ141</f>
        <v/>
      </c>
      <c r="BP142" s="75" t="n">
        <v>146</v>
      </c>
      <c r="BQ142" s="75">
        <f>#REF!</f>
        <v/>
      </c>
      <c r="BR142" s="75">
        <f>#REF!</f>
        <v/>
      </c>
      <c r="BS142" s="75">
        <f>#REF!</f>
        <v/>
      </c>
      <c r="BU142" s="75" t="n">
        <v>146</v>
      </c>
      <c r="BV142" s="75">
        <f>Retailers!AS141</f>
        <v/>
      </c>
      <c r="BW142" s="75">
        <f>Retailers!AT141</f>
        <v/>
      </c>
      <c r="BX142" s="75">
        <f>Retailers!AU141</f>
        <v/>
      </c>
      <c r="BZ142" s="75" t="n">
        <v>146</v>
      </c>
      <c r="CA142" s="75">
        <f>Results!#REF!</f>
        <v/>
      </c>
      <c r="CB142" s="75">
        <f>Results!#REF!</f>
        <v/>
      </c>
      <c r="CC142" s="75">
        <f>Results!#REF!</f>
        <v/>
      </c>
      <c r="CE142" s="75" t="n">
        <v>146</v>
      </c>
      <c r="CF142" s="75">
        <f>Retailers!BN141</f>
        <v/>
      </c>
      <c r="CG142" s="75">
        <f>Retailers!BO141</f>
        <v/>
      </c>
      <c r="CH142" s="75">
        <f>Retailers!BP141</f>
        <v/>
      </c>
      <c r="CJ142" s="75" t="n">
        <v>146</v>
      </c>
      <c r="CK142" s="75">
        <f>IF(BB142="ret=0",0,IF(BB142&gt;0,AR142+Distributors_Cap!$P$47-BB142,0))</f>
        <v/>
      </c>
      <c r="CL142" s="75">
        <f>IF(BC142="ret=0",0,IF(BC142&gt;0,AS142+Distributors_Cap!$P$47-BC142,0))</f>
        <v/>
      </c>
      <c r="CM142" s="75">
        <f>IF(BD142="ret=0",0,IF(BD142&gt;0,AT142+Distributors_Cap!$P$47-BD142,0))</f>
        <v/>
      </c>
    </row>
    <row r="143">
      <c r="G143" s="75" t="n">
        <v>147</v>
      </c>
      <c r="H143" s="75" t="n">
        <v>51.188</v>
      </c>
      <c r="I143" s="75" t="n">
        <v>63.994</v>
      </c>
      <c r="J143" s="75" t="n">
        <v>40.286</v>
      </c>
      <c r="L143" s="75">
        <f>TRUNC((_xlfn.NORM.INV((RAND()),$K$7,$K$8)),0)</f>
        <v/>
      </c>
      <c r="M143" s="75" t="n">
        <v>147</v>
      </c>
      <c r="N143" s="5" t="n">
        <v>26</v>
      </c>
      <c r="O143" s="5" t="n">
        <v>21</v>
      </c>
      <c r="P143" s="5" t="n">
        <v>30</v>
      </c>
      <c r="R143" s="2">
        <f>IF(N143&gt;Demand!AU160,0,(IF(((2*(Retailers!AJ142+Distributors_Cap!$P$47)-Retailers_Cap!$BB$7)*(Demand!AU160-Retailers_Cap!N143))&lt;0,0,((IF(BB143&gt;2*(Retailers!AJ142+Distributors_Cap!$P$47),0,(IF(BG143=0,ROUNDUP((2*(Retailers!AJ142+Distributors_Cap!$P$47)-BB143)^0.5,0),ROUNDUP((2*(Retailers!AJ142+Distributors_Cap!$P$47)-BB143)^0.5,0)))))))))</f>
        <v/>
      </c>
      <c r="S143" s="2">
        <f>IF(O143&gt;Demand!AV160,0,(IF(((2*(Retailers!AK142+Distributors_Cap!$P$47)-Retailers_Cap!$BB$7)*(Demand!AV160-Retailers_Cap!O143))&lt;0,0,((IF(BC143&gt;2*(Retailers!AK142+Distributors_Cap!$P$47),0,(IF(BH143=0,ROUNDUP((2*(Retailers!AK142+Distributors_Cap!$P$47)-BC143)^0.5,0),ROUNDUP((2*(Retailers!AK142+Distributors_Cap!$P$47)-BC143)^0.5,0)))))))))</f>
        <v/>
      </c>
      <c r="T143" s="2">
        <f>IF(P143&gt;Demand!AW160,0,(IF(((2*(Retailers!AL142+Distributors_Cap!$P$47)-Retailers_Cap!$BB$7)*(Demand!AW160-Retailers_Cap!P143))&lt;0,0,((IF(BD143&gt;2*(Retailers!AL142+Distributors_Cap!$P$47),0,(IF(BI143=0,ROUNDUP((2*(Retailers!AL142+Distributors_Cap!$P$47)-BD143)^0.5,0),ROUNDUP((2*(Retailers!AL142+Distributors_Cap!$P$47)-BD143)^0.5,0)))))))))</f>
        <v/>
      </c>
      <c r="W143" s="75" t="n">
        <v>147</v>
      </c>
      <c r="X143" s="9" t="n">
        <v>0</v>
      </c>
      <c r="Y143" s="9" t="n">
        <v>0</v>
      </c>
      <c r="Z143" s="9" t="n">
        <v>0</v>
      </c>
      <c r="AB143" s="2">
        <f>ROUNDDOWN(LOG((X143+1),2),0)</f>
        <v/>
      </c>
      <c r="AC143" s="2">
        <f>ROUNDDOWN(LOG((Y143+1),2),0)</f>
        <v/>
      </c>
      <c r="AD143" s="2">
        <f>ROUNDDOWN(LOG((Z143+1),2),0)</f>
        <v/>
      </c>
      <c r="AG143" s="75" t="n">
        <v>147</v>
      </c>
      <c r="AH143" s="9" t="n">
        <v>0</v>
      </c>
      <c r="AI143" s="9" t="n">
        <v>0</v>
      </c>
      <c r="AJ143" s="9" t="n">
        <v>0</v>
      </c>
      <c r="AQ143" s="75" t="n">
        <v>147</v>
      </c>
      <c r="AR143" s="75" t="n">
        <v>51.188</v>
      </c>
      <c r="AS143" s="75" t="n">
        <v>63.994</v>
      </c>
      <c r="AT143" s="75" t="n">
        <v>40.286</v>
      </c>
      <c r="AV143" s="75" t="n">
        <v>147</v>
      </c>
      <c r="AW143" s="75">
        <f>Beginning_stock!AT171</f>
        <v/>
      </c>
      <c r="AX143" s="75">
        <f>Beginning_stock!AU171</f>
        <v/>
      </c>
      <c r="AY143" s="75">
        <f>Beginning_stock!AV171</f>
        <v/>
      </c>
      <c r="BA143" s="75" t="n">
        <v>147</v>
      </c>
      <c r="BB143" s="75">
        <f>IF(Demand!AU160=Retailers_Cap!N143,"ret=0",(AW143/(Demand!AU160-Retailers_Cap!N143)))</f>
        <v/>
      </c>
      <c r="BC143" s="75">
        <f>IF(Demand!AV160=Retailers_Cap!O143,"ret=0",(AX143/(Demand!AV160-Retailers_Cap!O143)))</f>
        <v/>
      </c>
      <c r="BD143" s="75">
        <f>IF(Demand!AW160=Retailers_Cap!P143,"ret=0",(AY143/(Demand!AW160-Retailers_Cap!P143)))</f>
        <v/>
      </c>
      <c r="BF143" s="75" t="n">
        <v>147</v>
      </c>
      <c r="BG143" s="2">
        <f>IF(Demand!AU160&lt;=Retailers_Cap!N143,"ret=0",(IF(BB143&lt;=AR143+Distributors_Cap!$P$47,1,0)))</f>
        <v/>
      </c>
      <c r="BH143" s="2">
        <f>IF(Demand!AV160&lt;=Retailers_Cap!O143,"ret=0",(IF(BC143&lt;=AS143+Distributors_Cap!$P$47,1,0)))</f>
        <v/>
      </c>
      <c r="BI143" s="2">
        <f>IF(Demand!AW160&lt;=Retailers_Cap!P143,"ret=0",(IF(BD143&lt;=AT143+Distributors_Cap!$P$47,1,0)))</f>
        <v/>
      </c>
      <c r="BK143" s="75" t="n">
        <v>147</v>
      </c>
      <c r="BL143" s="75">
        <f>Retailers!BH142</f>
        <v/>
      </c>
      <c r="BM143" s="75">
        <f>Retailers!BI142</f>
        <v/>
      </c>
      <c r="BN143" s="75">
        <f>Retailers!BJ142</f>
        <v/>
      </c>
      <c r="BP143" s="75" t="n">
        <v>147</v>
      </c>
      <c r="BQ143" s="75">
        <f>#REF!</f>
        <v/>
      </c>
      <c r="BR143" s="75">
        <f>#REF!</f>
        <v/>
      </c>
      <c r="BS143" s="75">
        <f>#REF!</f>
        <v/>
      </c>
      <c r="BU143" s="75" t="n">
        <v>147</v>
      </c>
      <c r="BV143" s="75">
        <f>Retailers!AS142</f>
        <v/>
      </c>
      <c r="BW143" s="75">
        <f>Retailers!AT142</f>
        <v/>
      </c>
      <c r="BX143" s="75">
        <f>Retailers!AU142</f>
        <v/>
      </c>
      <c r="BZ143" s="75" t="n">
        <v>147</v>
      </c>
      <c r="CA143" s="75">
        <f>Results!#REF!</f>
        <v/>
      </c>
      <c r="CB143" s="75">
        <f>Results!#REF!</f>
        <v/>
      </c>
      <c r="CC143" s="75">
        <f>Results!#REF!</f>
        <v/>
      </c>
      <c r="CE143" s="75" t="n">
        <v>147</v>
      </c>
      <c r="CF143" s="75">
        <f>Retailers!BN142</f>
        <v/>
      </c>
      <c r="CG143" s="75">
        <f>Retailers!BO142</f>
        <v/>
      </c>
      <c r="CH143" s="75">
        <f>Retailers!BP142</f>
        <v/>
      </c>
      <c r="CJ143" s="75" t="n">
        <v>147</v>
      </c>
      <c r="CK143" s="75">
        <f>IF(BB143="ret=0",0,IF(BB143&gt;0,AR143+Distributors_Cap!$P$47-BB143,0))</f>
        <v/>
      </c>
      <c r="CL143" s="75">
        <f>IF(BC143="ret=0",0,IF(BC143&gt;0,AS143+Distributors_Cap!$P$47-BC143,0))</f>
        <v/>
      </c>
      <c r="CM143" s="75">
        <f>IF(BD143="ret=0",0,IF(BD143&gt;0,AT143+Distributors_Cap!$P$47-BD143,0))</f>
        <v/>
      </c>
    </row>
    <row r="144">
      <c r="G144" s="75" t="n">
        <v>148</v>
      </c>
      <c r="H144" s="75" t="n">
        <v>44.197</v>
      </c>
      <c r="I144" s="75" t="n">
        <v>62.191</v>
      </c>
      <c r="J144" s="75" t="n">
        <v>39.225</v>
      </c>
      <c r="L144" s="75">
        <f>TRUNC((_xlfn.NORM.INV((RAND()),$K$7,$K$8)),0)</f>
        <v/>
      </c>
      <c r="M144" s="75" t="n">
        <v>148</v>
      </c>
      <c r="N144" s="5" t="n">
        <v>30</v>
      </c>
      <c r="O144" s="5" t="n">
        <v>43</v>
      </c>
      <c r="P144" s="5" t="n">
        <v>28</v>
      </c>
      <c r="R144" s="2">
        <f>IF(N144&gt;Demand!AU161,0,(IF(((2*(Retailers!AJ143+Distributors_Cap!$P$47)-Retailers_Cap!$BB$7)*(Demand!AU161-Retailers_Cap!N144))&lt;0,0,((IF(BB144&gt;2*(Retailers!AJ143+Distributors_Cap!$P$47),0,(IF(BG144=0,ROUNDUP((2*(Retailers!AJ143+Distributors_Cap!$P$47)-BB144)^0.5,0),ROUNDUP((2*(Retailers!AJ143+Distributors_Cap!$P$47)-BB144)^0.5,0)))))))))</f>
        <v/>
      </c>
      <c r="S144" s="2">
        <f>IF(O144&gt;Demand!AV161,0,(IF(((2*(Retailers!AK143+Distributors_Cap!$P$47)-Retailers_Cap!$BB$7)*(Demand!AV161-Retailers_Cap!O144))&lt;0,0,((IF(BC144&gt;2*(Retailers!AK143+Distributors_Cap!$P$47),0,(IF(BH144=0,ROUNDUP((2*(Retailers!AK143+Distributors_Cap!$P$47)-BC144)^0.5,0),ROUNDUP((2*(Retailers!AK143+Distributors_Cap!$P$47)-BC144)^0.5,0)))))))))</f>
        <v/>
      </c>
      <c r="T144" s="2">
        <f>IF(P144&gt;Demand!AW161,0,(IF(((2*(Retailers!AL143+Distributors_Cap!$P$47)-Retailers_Cap!$BB$7)*(Demand!AW161-Retailers_Cap!P144))&lt;0,0,((IF(BD144&gt;2*(Retailers!AL143+Distributors_Cap!$P$47),0,(IF(BI144=0,ROUNDUP((2*(Retailers!AL143+Distributors_Cap!$P$47)-BD144)^0.5,0),ROUNDUP((2*(Retailers!AL143+Distributors_Cap!$P$47)-BD144)^0.5,0)))))))))</f>
        <v/>
      </c>
      <c r="W144" s="75" t="n">
        <v>148</v>
      </c>
      <c r="X144" s="9" t="n">
        <v>8</v>
      </c>
      <c r="Y144" s="9" t="n">
        <v>0</v>
      </c>
      <c r="Z144" s="9" t="n">
        <v>0</v>
      </c>
      <c r="AB144" s="2">
        <f>ROUNDDOWN(LOG((X144+1),2),0)</f>
        <v/>
      </c>
      <c r="AC144" s="2">
        <f>ROUNDDOWN(LOG((Y144+1),2),0)</f>
        <v/>
      </c>
      <c r="AD144" s="2">
        <f>ROUNDDOWN(LOG((Z144+1),2),0)</f>
        <v/>
      </c>
      <c r="AG144" s="75" t="n">
        <v>148</v>
      </c>
      <c r="AH144" s="9" t="n">
        <v>3</v>
      </c>
      <c r="AI144" s="9" t="n">
        <v>0</v>
      </c>
      <c r="AJ144" s="9" t="n">
        <v>0</v>
      </c>
      <c r="AQ144" s="75" t="n">
        <v>148</v>
      </c>
      <c r="AR144" s="75" t="n">
        <v>44.197</v>
      </c>
      <c r="AS144" s="75" t="n">
        <v>62.191</v>
      </c>
      <c r="AT144" s="75" t="n">
        <v>39.225</v>
      </c>
      <c r="AV144" s="75" t="n">
        <v>148</v>
      </c>
      <c r="AW144" s="75">
        <f>Beginning_stock!AT172</f>
        <v/>
      </c>
      <c r="AX144" s="75">
        <f>Beginning_stock!AU172</f>
        <v/>
      </c>
      <c r="AY144" s="75">
        <f>Beginning_stock!AV172</f>
        <v/>
      </c>
      <c r="BA144" s="75" t="n">
        <v>148</v>
      </c>
      <c r="BB144" s="75">
        <f>IF(Demand!AU161=Retailers_Cap!N144,"ret=0",(AW144/(Demand!AU161-Retailers_Cap!N144)))</f>
        <v/>
      </c>
      <c r="BC144" s="75">
        <f>IF(Demand!AV161=Retailers_Cap!O144,"ret=0",(AX144/(Demand!AV161-Retailers_Cap!O144)))</f>
        <v/>
      </c>
      <c r="BD144" s="75">
        <f>IF(Demand!AW161=Retailers_Cap!P144,"ret=0",(AY144/(Demand!AW161-Retailers_Cap!P144)))</f>
        <v/>
      </c>
      <c r="BF144" s="75" t="n">
        <v>148</v>
      </c>
      <c r="BG144" s="2">
        <f>IF(Demand!AU161&lt;=Retailers_Cap!N144,"ret=0",(IF(BB144&lt;=AR144+Distributors_Cap!$P$47,1,0)))</f>
        <v/>
      </c>
      <c r="BH144" s="2">
        <f>IF(Demand!AV161&lt;=Retailers_Cap!O144,"ret=0",(IF(BC144&lt;=AS144+Distributors_Cap!$P$47,1,0)))</f>
        <v/>
      </c>
      <c r="BI144" s="2">
        <f>IF(Demand!AW161&lt;=Retailers_Cap!P144,"ret=0",(IF(BD144&lt;=AT144+Distributors_Cap!$P$47,1,0)))</f>
        <v/>
      </c>
      <c r="BK144" s="75" t="n">
        <v>148</v>
      </c>
      <c r="BL144" s="75">
        <f>Retailers!BH143</f>
        <v/>
      </c>
      <c r="BM144" s="75">
        <f>Retailers!BI143</f>
        <v/>
      </c>
      <c r="BN144" s="75">
        <f>Retailers!BJ143</f>
        <v/>
      </c>
      <c r="BP144" s="75" t="n">
        <v>148</v>
      </c>
      <c r="BQ144" s="75">
        <f>#REF!</f>
        <v/>
      </c>
      <c r="BR144" s="75">
        <f>#REF!</f>
        <v/>
      </c>
      <c r="BS144" s="75">
        <f>#REF!</f>
        <v/>
      </c>
      <c r="BU144" s="75" t="n">
        <v>148</v>
      </c>
      <c r="BV144" s="75">
        <f>Retailers!AS143</f>
        <v/>
      </c>
      <c r="BW144" s="75">
        <f>Retailers!AT143</f>
        <v/>
      </c>
      <c r="BX144" s="75">
        <f>Retailers!AU143</f>
        <v/>
      </c>
      <c r="BZ144" s="75" t="n">
        <v>148</v>
      </c>
      <c r="CA144" s="75">
        <f>Results!#REF!</f>
        <v/>
      </c>
      <c r="CB144" s="75">
        <f>Results!#REF!</f>
        <v/>
      </c>
      <c r="CC144" s="75">
        <f>Results!#REF!</f>
        <v/>
      </c>
      <c r="CE144" s="75" t="n">
        <v>148</v>
      </c>
      <c r="CF144" s="75">
        <f>Retailers!BN143</f>
        <v/>
      </c>
      <c r="CG144" s="75">
        <f>Retailers!BO143</f>
        <v/>
      </c>
      <c r="CH144" s="75">
        <f>Retailers!BP143</f>
        <v/>
      </c>
      <c r="CJ144" s="75" t="n">
        <v>148</v>
      </c>
      <c r="CK144" s="75">
        <f>IF(BB144="ret=0",0,IF(BB144&gt;0,AR144+Distributors_Cap!$P$47-BB144,0))</f>
        <v/>
      </c>
      <c r="CL144" s="75">
        <f>IF(BC144="ret=0",0,IF(BC144&gt;0,AS144+Distributors_Cap!$P$47-BC144,0))</f>
        <v/>
      </c>
      <c r="CM144" s="75">
        <f>IF(BD144="ret=0",0,IF(BD144&gt;0,AT144+Distributors_Cap!$P$47-BD144,0))</f>
        <v/>
      </c>
    </row>
    <row r="145">
      <c r="G145" s="75" t="n">
        <v>149</v>
      </c>
      <c r="H145" s="75" t="n">
        <v>65.712</v>
      </c>
      <c r="I145" s="75" t="n">
        <v>58.954</v>
      </c>
      <c r="J145" s="75" t="n">
        <v>59.24</v>
      </c>
      <c r="L145" s="75">
        <f>TRUNC((_xlfn.NORM.INV((RAND()),$K$7,$K$8)),0)</f>
        <v/>
      </c>
      <c r="M145" s="75" t="n">
        <v>149</v>
      </c>
      <c r="N145" s="5" t="n">
        <v>17</v>
      </c>
      <c r="O145" s="5" t="n">
        <v>29</v>
      </c>
      <c r="P145" s="5" t="n">
        <v>27</v>
      </c>
      <c r="R145" s="2">
        <f>IF(N145&gt;Demand!AU162,0,(IF(((2*(Retailers!AJ144+Distributors_Cap!$P$47)-Retailers_Cap!$BB$7)*(Demand!AU162-Retailers_Cap!N145))&lt;0,0,((IF(BB145&gt;2*(Retailers!AJ144+Distributors_Cap!$P$47),0,(IF(BG145=0,ROUNDUP((2*(Retailers!AJ144+Distributors_Cap!$P$47)-BB145)^0.5,0),ROUNDUP((2*(Retailers!AJ144+Distributors_Cap!$P$47)-BB145)^0.5,0)))))))))</f>
        <v/>
      </c>
      <c r="S145" s="2">
        <f>IF(O145&gt;Demand!AV162,0,(IF(((2*(Retailers!AK144+Distributors_Cap!$P$47)-Retailers_Cap!$BB$7)*(Demand!AV162-Retailers_Cap!O145))&lt;0,0,((IF(BC145&gt;2*(Retailers!AK144+Distributors_Cap!$P$47),0,(IF(BH145=0,ROUNDUP((2*(Retailers!AK144+Distributors_Cap!$P$47)-BC145)^0.5,0),ROUNDUP((2*(Retailers!AK144+Distributors_Cap!$P$47)-BC145)^0.5,0)))))))))</f>
        <v/>
      </c>
      <c r="T145" s="2">
        <f>IF(P145&gt;Demand!AW162,0,(IF(((2*(Retailers!AL144+Distributors_Cap!$P$47)-Retailers_Cap!$BB$7)*(Demand!AW162-Retailers_Cap!P145))&lt;0,0,((IF(BD145&gt;2*(Retailers!AL144+Distributors_Cap!$P$47),0,(IF(BI145=0,ROUNDUP((2*(Retailers!AL144+Distributors_Cap!$P$47)-BD145)^0.5,0),ROUNDUP((2*(Retailers!AL144+Distributors_Cap!$P$47)-BD145)^0.5,0)))))))))</f>
        <v/>
      </c>
      <c r="W145" s="75" t="n">
        <v>149</v>
      </c>
      <c r="X145" s="9" t="n">
        <v>14</v>
      </c>
      <c r="Y145" s="9" t="n">
        <v>0</v>
      </c>
      <c r="Z145" s="9" t="n">
        <v>10</v>
      </c>
      <c r="AB145" s="2">
        <f>ROUNDDOWN(LOG((X145+1),2),0)</f>
        <v/>
      </c>
      <c r="AC145" s="2">
        <f>ROUNDDOWN(LOG((Y145+1),2),0)</f>
        <v/>
      </c>
      <c r="AD145" s="2">
        <f>ROUNDDOWN(LOG((Z145+1),2),0)</f>
        <v/>
      </c>
      <c r="AG145" s="75" t="n">
        <v>149</v>
      </c>
      <c r="AH145" s="9" t="n">
        <v>3</v>
      </c>
      <c r="AI145" s="9" t="n">
        <v>0</v>
      </c>
      <c r="AJ145" s="9" t="n">
        <v>3</v>
      </c>
      <c r="AQ145" s="75" t="n">
        <v>149</v>
      </c>
      <c r="AR145" s="75" t="n">
        <v>65.712</v>
      </c>
      <c r="AS145" s="75" t="n">
        <v>58.954</v>
      </c>
      <c r="AT145" s="75" t="n">
        <v>59.24</v>
      </c>
      <c r="AV145" s="75" t="n">
        <v>149</v>
      </c>
      <c r="AW145" s="75">
        <f>Beginning_stock!AT173</f>
        <v/>
      </c>
      <c r="AX145" s="75">
        <f>Beginning_stock!AU173</f>
        <v/>
      </c>
      <c r="AY145" s="75">
        <f>Beginning_stock!AV173</f>
        <v/>
      </c>
      <c r="BA145" s="75" t="n">
        <v>149</v>
      </c>
      <c r="BB145" s="75">
        <f>IF(Demand!AU162=Retailers_Cap!N145,"ret=0",(AW145/(Demand!AU162-Retailers_Cap!N145)))</f>
        <v/>
      </c>
      <c r="BC145" s="75">
        <f>IF(Demand!AV162=Retailers_Cap!O145,"ret=0",(AX145/(Demand!AV162-Retailers_Cap!O145)))</f>
        <v/>
      </c>
      <c r="BD145" s="75">
        <f>IF(Demand!AW162=Retailers_Cap!P145,"ret=0",(AY145/(Demand!AW162-Retailers_Cap!P145)))</f>
        <v/>
      </c>
      <c r="BF145" s="75" t="n">
        <v>149</v>
      </c>
      <c r="BG145" s="2">
        <f>IF(Demand!AU162&lt;=Retailers_Cap!N145,"ret=0",(IF(BB145&lt;=AR145+Distributors_Cap!$P$47,1,0)))</f>
        <v/>
      </c>
      <c r="BH145" s="2">
        <f>IF(Demand!AV162&lt;=Retailers_Cap!O145,"ret=0",(IF(BC145&lt;=AS145+Distributors_Cap!$P$47,1,0)))</f>
        <v/>
      </c>
      <c r="BI145" s="2">
        <f>IF(Demand!AW162&lt;=Retailers_Cap!P145,"ret=0",(IF(BD145&lt;=AT145+Distributors_Cap!$P$47,1,0)))</f>
        <v/>
      </c>
      <c r="BK145" s="75" t="n">
        <v>149</v>
      </c>
      <c r="BL145" s="75">
        <f>Retailers!BH144</f>
        <v/>
      </c>
      <c r="BM145" s="75">
        <f>Retailers!BI144</f>
        <v/>
      </c>
      <c r="BN145" s="75">
        <f>Retailers!BJ144</f>
        <v/>
      </c>
      <c r="BP145" s="75" t="n">
        <v>149</v>
      </c>
      <c r="BQ145" s="75">
        <f>#REF!</f>
        <v/>
      </c>
      <c r="BR145" s="75">
        <f>#REF!</f>
        <v/>
      </c>
      <c r="BS145" s="75">
        <f>#REF!</f>
        <v/>
      </c>
      <c r="BU145" s="75" t="n">
        <v>149</v>
      </c>
      <c r="BV145" s="75">
        <f>Retailers!AS144</f>
        <v/>
      </c>
      <c r="BW145" s="75">
        <f>Retailers!AT144</f>
        <v/>
      </c>
      <c r="BX145" s="75">
        <f>Retailers!AU144</f>
        <v/>
      </c>
      <c r="BZ145" s="75" t="n">
        <v>149</v>
      </c>
      <c r="CA145" s="75">
        <f>Results!#REF!</f>
        <v/>
      </c>
      <c r="CB145" s="75">
        <f>Results!#REF!</f>
        <v/>
      </c>
      <c r="CC145" s="75">
        <f>Results!#REF!</f>
        <v/>
      </c>
      <c r="CE145" s="75" t="n">
        <v>149</v>
      </c>
      <c r="CF145" s="75">
        <f>Retailers!BN144</f>
        <v/>
      </c>
      <c r="CG145" s="75">
        <f>Retailers!BO144</f>
        <v/>
      </c>
      <c r="CH145" s="75">
        <f>Retailers!BP144</f>
        <v/>
      </c>
      <c r="CJ145" s="75" t="n">
        <v>149</v>
      </c>
      <c r="CK145" s="75">
        <f>IF(BB145="ret=0",0,IF(BB145&gt;0,AR145+Distributors_Cap!$P$47-BB145,0))</f>
        <v/>
      </c>
      <c r="CL145" s="75">
        <f>IF(BC145="ret=0",0,IF(BC145&gt;0,AS145+Distributors_Cap!$P$47-BC145,0))</f>
        <v/>
      </c>
      <c r="CM145" s="75">
        <f>IF(BD145="ret=0",0,IF(BD145&gt;0,AT145+Distributors_Cap!$P$47-BD145,0))</f>
        <v/>
      </c>
    </row>
    <row r="146">
      <c r="G146" s="75" t="n">
        <v>150</v>
      </c>
      <c r="H146" s="75" t="n">
        <v>59.492</v>
      </c>
      <c r="I146" s="75" t="n">
        <v>58.161</v>
      </c>
      <c r="J146" s="75" t="n">
        <v>69.736</v>
      </c>
      <c r="L146" s="75">
        <f>TRUNC((_xlfn.NORM.INV((RAND()),$K$7,$K$8)),0)</f>
        <v/>
      </c>
      <c r="M146" s="75" t="n">
        <v>150</v>
      </c>
      <c r="N146" s="5" t="n">
        <v>30</v>
      </c>
      <c r="O146" s="5" t="n">
        <v>36</v>
      </c>
      <c r="P146" s="5" t="n">
        <v>22</v>
      </c>
      <c r="R146" s="2">
        <f>IF(N146&gt;Demand!AU163,0,(IF(((2*(Retailers!AJ145+Distributors_Cap!$P$47)-Retailers_Cap!$BB$7)*(Demand!AU163-Retailers_Cap!N146))&lt;0,0,((IF(BB146&gt;2*(Retailers!AJ145+Distributors_Cap!$P$47),0,(IF(BG146=0,ROUNDUP((2*(Retailers!AJ145+Distributors_Cap!$P$47)-BB146)^0.5,0),ROUNDUP((2*(Retailers!AJ145+Distributors_Cap!$P$47)-BB146)^0.5,0)))))))))</f>
        <v/>
      </c>
      <c r="S146" s="2">
        <f>IF(O146&gt;Demand!AV163,0,(IF(((2*(Retailers!AK145+Distributors_Cap!$P$47)-Retailers_Cap!$BB$7)*(Demand!AV163-Retailers_Cap!O146))&lt;0,0,((IF(BC146&gt;2*(Retailers!AK145+Distributors_Cap!$P$47),0,(IF(BH146=0,ROUNDUP((2*(Retailers!AK145+Distributors_Cap!$P$47)-BC146)^0.5,0),ROUNDUP((2*(Retailers!AK145+Distributors_Cap!$P$47)-BC146)^0.5,0)))))))))</f>
        <v/>
      </c>
      <c r="T146" s="2">
        <f>IF(P146&gt;Demand!AW163,0,(IF(((2*(Retailers!AL145+Distributors_Cap!$P$47)-Retailers_Cap!$BB$7)*(Demand!AW163-Retailers_Cap!P146))&lt;0,0,((IF(BD146&gt;2*(Retailers!AL145+Distributors_Cap!$P$47),0,(IF(BI146=0,ROUNDUP((2*(Retailers!AL145+Distributors_Cap!$P$47)-BD146)^0.5,0),ROUNDUP((2*(Retailers!AL145+Distributors_Cap!$P$47)-BD146)^0.5,0)))))))))</f>
        <v/>
      </c>
      <c r="W146" s="75" t="n">
        <v>150</v>
      </c>
      <c r="X146" s="9" t="n">
        <v>0</v>
      </c>
      <c r="Y146" s="9" t="n">
        <v>0</v>
      </c>
      <c r="Z146" s="9" t="n">
        <v>8</v>
      </c>
      <c r="AB146" s="2">
        <f>ROUNDDOWN(LOG((X146+1),2),0)</f>
        <v/>
      </c>
      <c r="AC146" s="2">
        <f>ROUNDDOWN(LOG((Y146+1),2),0)</f>
        <v/>
      </c>
      <c r="AD146" s="2">
        <f>ROUNDDOWN(LOG((Z146+1),2),0)</f>
        <v/>
      </c>
      <c r="AG146" s="75" t="n">
        <v>150</v>
      </c>
      <c r="AH146" s="9" t="n">
        <v>0</v>
      </c>
      <c r="AI146" s="9" t="n">
        <v>0</v>
      </c>
      <c r="AJ146" s="9" t="n">
        <v>3</v>
      </c>
      <c r="AQ146" s="75" t="n">
        <v>150</v>
      </c>
      <c r="AR146" s="75" t="n">
        <v>59.492</v>
      </c>
      <c r="AS146" s="75" t="n">
        <v>58.161</v>
      </c>
      <c r="AT146" s="75" t="n">
        <v>69.736</v>
      </c>
      <c r="AV146" s="75" t="n">
        <v>150</v>
      </c>
      <c r="AW146" s="75">
        <f>Beginning_stock!AT174</f>
        <v/>
      </c>
      <c r="AX146" s="75">
        <f>Beginning_stock!AU174</f>
        <v/>
      </c>
      <c r="AY146" s="75">
        <f>Beginning_stock!AV174</f>
        <v/>
      </c>
      <c r="BA146" s="75" t="n">
        <v>150</v>
      </c>
      <c r="BB146" s="75">
        <f>IF(Demand!AU163=Retailers_Cap!N146,"ret=0",(AW146/(Demand!AU163-Retailers_Cap!N146)))</f>
        <v/>
      </c>
      <c r="BC146" s="75">
        <f>IF(Demand!AV163=Retailers_Cap!O146,"ret=0",(AX146/(Demand!AV163-Retailers_Cap!O146)))</f>
        <v/>
      </c>
      <c r="BD146" s="75">
        <f>IF(Demand!AW163=Retailers_Cap!P146,"ret=0",(AY146/(Demand!AW163-Retailers_Cap!P146)))</f>
        <v/>
      </c>
      <c r="BF146" s="75" t="n">
        <v>150</v>
      </c>
      <c r="BG146" s="2">
        <f>IF(Demand!AU163&lt;=Retailers_Cap!N146,"ret=0",(IF(BB146&lt;=AR146+Distributors_Cap!$P$47,1,0)))</f>
        <v/>
      </c>
      <c r="BH146" s="2">
        <f>IF(Demand!AV163&lt;=Retailers_Cap!O146,"ret=0",(IF(BC146&lt;=AS146+Distributors_Cap!$P$47,1,0)))</f>
        <v/>
      </c>
      <c r="BI146" s="2">
        <f>IF(Demand!AW163&lt;=Retailers_Cap!P146,"ret=0",(IF(BD146&lt;=AT146+Distributors_Cap!$P$47,1,0)))</f>
        <v/>
      </c>
      <c r="BK146" s="75" t="n">
        <v>150</v>
      </c>
      <c r="BL146" s="75">
        <f>Retailers!BH145</f>
        <v/>
      </c>
      <c r="BM146" s="75">
        <f>Retailers!BI145</f>
        <v/>
      </c>
      <c r="BN146" s="75">
        <f>Retailers!BJ145</f>
        <v/>
      </c>
      <c r="BP146" s="75" t="n">
        <v>150</v>
      </c>
      <c r="BQ146" s="75">
        <f>#REF!</f>
        <v/>
      </c>
      <c r="BR146" s="75">
        <f>#REF!</f>
        <v/>
      </c>
      <c r="BS146" s="75">
        <f>#REF!</f>
        <v/>
      </c>
      <c r="BU146" s="75" t="n">
        <v>150</v>
      </c>
      <c r="BV146" s="75">
        <f>Retailers!AS145</f>
        <v/>
      </c>
      <c r="BW146" s="75">
        <f>Retailers!AT145</f>
        <v/>
      </c>
      <c r="BX146" s="75">
        <f>Retailers!AU145</f>
        <v/>
      </c>
      <c r="BZ146" s="75" t="n">
        <v>150</v>
      </c>
      <c r="CA146" s="75">
        <f>Results!#REF!</f>
        <v/>
      </c>
      <c r="CB146" s="75">
        <f>Results!#REF!</f>
        <v/>
      </c>
      <c r="CC146" s="75">
        <f>Results!#REF!</f>
        <v/>
      </c>
      <c r="CE146" s="75" t="n">
        <v>150</v>
      </c>
      <c r="CF146" s="75">
        <f>Retailers!BN145</f>
        <v/>
      </c>
      <c r="CG146" s="75">
        <f>Retailers!BO145</f>
        <v/>
      </c>
      <c r="CH146" s="75">
        <f>Retailers!BP145</f>
        <v/>
      </c>
      <c r="CJ146" s="75" t="n">
        <v>150</v>
      </c>
      <c r="CK146" s="75">
        <f>IF(BB146="ret=0",0,IF(BB146&gt;0,AR146+Distributors_Cap!$P$47-BB146,0))</f>
        <v/>
      </c>
      <c r="CL146" s="75">
        <f>IF(BC146="ret=0",0,IF(BC146&gt;0,AS146+Distributors_Cap!$P$47-BC146,0))</f>
        <v/>
      </c>
      <c r="CM146" s="75">
        <f>IF(BD146="ret=0",0,IF(BD146&gt;0,AT146+Distributors_Cap!$P$47-BD146,0))</f>
        <v/>
      </c>
    </row>
    <row r="147">
      <c r="G147" s="75" t="n">
        <v>151</v>
      </c>
      <c r="H147" s="75" t="n">
        <v>67.889</v>
      </c>
      <c r="I147" s="75" t="n">
        <v>56.829</v>
      </c>
      <c r="J147" s="75" t="n">
        <v>52.156</v>
      </c>
      <c r="L147" s="75">
        <f>TRUNC((_xlfn.NORM.INV((RAND()),$K$7,$K$8)),0)</f>
        <v/>
      </c>
      <c r="M147" s="75" t="n">
        <v>151</v>
      </c>
      <c r="N147" s="5" t="n">
        <v>37</v>
      </c>
      <c r="O147" s="5" t="n">
        <v>38</v>
      </c>
      <c r="P147" s="5" t="n">
        <v>28</v>
      </c>
      <c r="R147" s="2">
        <f>IF(N147&gt;Demand!AU164,0,(IF(((2*(Retailers!AJ146+Distributors_Cap!$P$47)-Retailers_Cap!$BB$7)*(Demand!AU164-Retailers_Cap!N147))&lt;0,0,((IF(BB147&gt;2*(Retailers!AJ146+Distributors_Cap!$P$47),0,(IF(BG147=0,ROUNDUP((2*(Retailers!AJ146+Distributors_Cap!$P$47)-BB147)^0.5,0),ROUNDUP((2*(Retailers!AJ146+Distributors_Cap!$P$47)-BB147)^0.5,0)))))))))</f>
        <v/>
      </c>
      <c r="S147" s="2">
        <f>IF(O147&gt;Demand!AV164,0,(IF(((2*(Retailers!AK146+Distributors_Cap!$P$47)-Retailers_Cap!$BB$7)*(Demand!AV164-Retailers_Cap!O147))&lt;0,0,((IF(BC147&gt;2*(Retailers!AK146+Distributors_Cap!$P$47),0,(IF(BH147=0,ROUNDUP((2*(Retailers!AK146+Distributors_Cap!$P$47)-BC147)^0.5,0),ROUNDUP((2*(Retailers!AK146+Distributors_Cap!$P$47)-BC147)^0.5,0)))))))))</f>
        <v/>
      </c>
      <c r="T147" s="2">
        <f>IF(P147&gt;Demand!AW164,0,(IF(((2*(Retailers!AL146+Distributors_Cap!$P$47)-Retailers_Cap!$BB$7)*(Demand!AW164-Retailers_Cap!P147))&lt;0,0,((IF(BD147&gt;2*(Retailers!AL146+Distributors_Cap!$P$47),0,(IF(BI147=0,ROUNDUP((2*(Retailers!AL146+Distributors_Cap!$P$47)-BD147)^0.5,0),ROUNDUP((2*(Retailers!AL146+Distributors_Cap!$P$47)-BD147)^0.5,0)))))))))</f>
        <v/>
      </c>
      <c r="W147" s="75" t="n">
        <v>151</v>
      </c>
      <c r="X147" s="9" t="n">
        <v>0</v>
      </c>
      <c r="Y147" s="9" t="n">
        <v>0</v>
      </c>
      <c r="Z147" s="9" t="n">
        <v>0</v>
      </c>
      <c r="AB147" s="2">
        <f>ROUNDDOWN(LOG((X147+1),2),0)</f>
        <v/>
      </c>
      <c r="AC147" s="2">
        <f>ROUNDDOWN(LOG((Y147+1),2),0)</f>
        <v/>
      </c>
      <c r="AD147" s="2">
        <f>ROUNDDOWN(LOG((Z147+1),2),0)</f>
        <v/>
      </c>
      <c r="AG147" s="75" t="n">
        <v>151</v>
      </c>
      <c r="AH147" s="9" t="n">
        <v>0</v>
      </c>
      <c r="AI147" s="9" t="n">
        <v>0</v>
      </c>
      <c r="AJ147" s="9" t="n">
        <v>0</v>
      </c>
      <c r="AQ147" s="75" t="n">
        <v>151</v>
      </c>
      <c r="AR147" s="75" t="n">
        <v>67.889</v>
      </c>
      <c r="AS147" s="75" t="n">
        <v>56.829</v>
      </c>
      <c r="AT147" s="75" t="n">
        <v>52.156</v>
      </c>
      <c r="AV147" s="75" t="n">
        <v>151</v>
      </c>
      <c r="AW147" s="75">
        <f>Beginning_stock!AT175</f>
        <v/>
      </c>
      <c r="AX147" s="75">
        <f>Beginning_stock!AU175</f>
        <v/>
      </c>
      <c r="AY147" s="75">
        <f>Beginning_stock!AV175</f>
        <v/>
      </c>
      <c r="BA147" s="75" t="n">
        <v>151</v>
      </c>
      <c r="BB147" s="75">
        <f>IF(Demand!AU164=Retailers_Cap!N147,"ret=0",(AW147/(Demand!AU164-Retailers_Cap!N147)))</f>
        <v/>
      </c>
      <c r="BC147" s="75">
        <f>IF(Demand!AV164=Retailers_Cap!O147,"ret=0",(AX147/(Demand!AV164-Retailers_Cap!O147)))</f>
        <v/>
      </c>
      <c r="BD147" s="75">
        <f>IF(Demand!AW164=Retailers_Cap!P147,"ret=0",(AY147/(Demand!AW164-Retailers_Cap!P147)))</f>
        <v/>
      </c>
      <c r="BF147" s="75" t="n">
        <v>151</v>
      </c>
      <c r="BG147" s="2">
        <f>IF(Demand!AU164&lt;=Retailers_Cap!N147,"ret=0",(IF(BB147&lt;=AR147+Distributors_Cap!$P$47,1,0)))</f>
        <v/>
      </c>
      <c r="BH147" s="2">
        <f>IF(Demand!AV164&lt;=Retailers_Cap!O147,"ret=0",(IF(BC147&lt;=AS147+Distributors_Cap!$P$47,1,0)))</f>
        <v/>
      </c>
      <c r="BI147" s="2">
        <f>IF(Demand!AW164&lt;=Retailers_Cap!P147,"ret=0",(IF(BD147&lt;=AT147+Distributors_Cap!$P$47,1,0)))</f>
        <v/>
      </c>
      <c r="BK147" s="75" t="n">
        <v>151</v>
      </c>
      <c r="BL147" s="75">
        <f>Retailers!BH146</f>
        <v/>
      </c>
      <c r="BM147" s="75">
        <f>Retailers!BI146</f>
        <v/>
      </c>
      <c r="BN147" s="75">
        <f>Retailers!BJ146</f>
        <v/>
      </c>
      <c r="BP147" s="75" t="n">
        <v>151</v>
      </c>
      <c r="BQ147" s="75">
        <f>#REF!</f>
        <v/>
      </c>
      <c r="BR147" s="75">
        <f>#REF!</f>
        <v/>
      </c>
      <c r="BS147" s="75">
        <f>#REF!</f>
        <v/>
      </c>
      <c r="BU147" s="75" t="n">
        <v>151</v>
      </c>
      <c r="BV147" s="75">
        <f>Retailers!AS146</f>
        <v/>
      </c>
      <c r="BW147" s="75">
        <f>Retailers!AT146</f>
        <v/>
      </c>
      <c r="BX147" s="75">
        <f>Retailers!AU146</f>
        <v/>
      </c>
      <c r="BZ147" s="75" t="n">
        <v>151</v>
      </c>
      <c r="CA147" s="75">
        <f>Results!#REF!</f>
        <v/>
      </c>
      <c r="CB147" s="75">
        <f>Results!#REF!</f>
        <v/>
      </c>
      <c r="CC147" s="75">
        <f>Results!#REF!</f>
        <v/>
      </c>
      <c r="CE147" s="75" t="n">
        <v>151</v>
      </c>
      <c r="CF147" s="75">
        <f>Retailers!BN146</f>
        <v/>
      </c>
      <c r="CG147" s="75">
        <f>Retailers!BO146</f>
        <v/>
      </c>
      <c r="CH147" s="75">
        <f>Retailers!BP146</f>
        <v/>
      </c>
      <c r="CJ147" s="75" t="n">
        <v>151</v>
      </c>
      <c r="CK147" s="75">
        <f>IF(BB147="ret=0",0,IF(BB147&gt;0,AR147+Distributors_Cap!$P$47-BB147,0))</f>
        <v/>
      </c>
      <c r="CL147" s="75">
        <f>IF(BC147="ret=0",0,IF(BC147&gt;0,AS147+Distributors_Cap!$P$47-BC147,0))</f>
        <v/>
      </c>
      <c r="CM147" s="75">
        <f>IF(BD147="ret=0",0,IF(BD147&gt;0,AT147+Distributors_Cap!$P$47-BD147,0))</f>
        <v/>
      </c>
    </row>
    <row r="148">
      <c r="G148" s="75" t="n">
        <v>152</v>
      </c>
      <c r="H148" s="75" t="n">
        <v>61.733</v>
      </c>
      <c r="I148" s="75" t="n">
        <v>56.835</v>
      </c>
      <c r="J148" s="75" t="n">
        <v>60.962</v>
      </c>
      <c r="L148" s="75">
        <f>TRUNC((_xlfn.NORM.INV((RAND()),$K$7,$K$8)),0)</f>
        <v/>
      </c>
      <c r="M148" s="75" t="n">
        <v>152</v>
      </c>
      <c r="N148" s="5" t="n">
        <v>15</v>
      </c>
      <c r="O148" s="5" t="n">
        <v>36</v>
      </c>
      <c r="P148" s="5" t="n">
        <v>27</v>
      </c>
      <c r="R148" s="2">
        <f>IF(N148&gt;Demand!AU165,0,(IF(((2*(Retailers!AJ147+Distributors_Cap!$P$47)-Retailers_Cap!$BB$7)*(Demand!AU165-Retailers_Cap!N148))&lt;0,0,((IF(BB148&gt;2*(Retailers!AJ147+Distributors_Cap!$P$47),0,(IF(BG148=0,ROUNDUP((2*(Retailers!AJ147+Distributors_Cap!$P$47)-BB148)^0.5,0),ROUNDUP((2*(Retailers!AJ147+Distributors_Cap!$P$47)-BB148)^0.5,0)))))))))</f>
        <v/>
      </c>
      <c r="S148" s="2">
        <f>IF(O148&gt;Demand!AV165,0,(IF(((2*(Retailers!AK147+Distributors_Cap!$P$47)-Retailers_Cap!$BB$7)*(Demand!AV165-Retailers_Cap!O148))&lt;0,0,((IF(BC148&gt;2*(Retailers!AK147+Distributors_Cap!$P$47),0,(IF(BH148=0,ROUNDUP((2*(Retailers!AK147+Distributors_Cap!$P$47)-BC148)^0.5,0),ROUNDUP((2*(Retailers!AK147+Distributors_Cap!$P$47)-BC148)^0.5,0)))))))))</f>
        <v/>
      </c>
      <c r="T148" s="2">
        <f>IF(P148&gt;Demand!AW165,0,(IF(((2*(Retailers!AL147+Distributors_Cap!$P$47)-Retailers_Cap!$BB$7)*(Demand!AW165-Retailers_Cap!P148))&lt;0,0,((IF(BD148&gt;2*(Retailers!AL147+Distributors_Cap!$P$47),0,(IF(BI148=0,ROUNDUP((2*(Retailers!AL147+Distributors_Cap!$P$47)-BD148)^0.5,0),ROUNDUP((2*(Retailers!AL147+Distributors_Cap!$P$47)-BD148)^0.5,0)))))))))</f>
        <v/>
      </c>
      <c r="W148" s="75" t="n">
        <v>152</v>
      </c>
      <c r="X148" s="9" t="n">
        <v>14</v>
      </c>
      <c r="Y148" s="9" t="n">
        <v>0</v>
      </c>
      <c r="Z148" s="9" t="n">
        <v>0</v>
      </c>
      <c r="AB148" s="2">
        <f>ROUNDDOWN(LOG((X148+1),2),0)</f>
        <v/>
      </c>
      <c r="AC148" s="2">
        <f>ROUNDDOWN(LOG((Y148+1),2),0)</f>
        <v/>
      </c>
      <c r="AD148" s="2">
        <f>ROUNDDOWN(LOG((Z148+1),2),0)</f>
        <v/>
      </c>
      <c r="AG148" s="75" t="n">
        <v>152</v>
      </c>
      <c r="AH148" s="9" t="n">
        <v>3</v>
      </c>
      <c r="AI148" s="9" t="n">
        <v>0</v>
      </c>
      <c r="AJ148" s="9" t="n">
        <v>0</v>
      </c>
      <c r="AQ148" s="75" t="n">
        <v>152</v>
      </c>
      <c r="AR148" s="75" t="n">
        <v>61.733</v>
      </c>
      <c r="AS148" s="75" t="n">
        <v>56.835</v>
      </c>
      <c r="AT148" s="75" t="n">
        <v>60.962</v>
      </c>
      <c r="AV148" s="75" t="n">
        <v>152</v>
      </c>
      <c r="AW148" s="75">
        <f>Beginning_stock!AT176</f>
        <v/>
      </c>
      <c r="AX148" s="75">
        <f>Beginning_stock!AU176</f>
        <v/>
      </c>
      <c r="AY148" s="75">
        <f>Beginning_stock!AV176</f>
        <v/>
      </c>
      <c r="BA148" s="75" t="n">
        <v>152</v>
      </c>
      <c r="BB148" s="75">
        <f>IF(Demand!AU165=Retailers_Cap!N148,"ret=0",(AW148/(Demand!AU165-Retailers_Cap!N148)))</f>
        <v/>
      </c>
      <c r="BC148" s="75">
        <f>IF(Demand!AV165=Retailers_Cap!O148,"ret=0",(AX148/(Demand!AV165-Retailers_Cap!O148)))</f>
        <v/>
      </c>
      <c r="BD148" s="75">
        <f>IF(Demand!AW165=Retailers_Cap!P148,"ret=0",(AY148/(Demand!AW165-Retailers_Cap!P148)))</f>
        <v/>
      </c>
      <c r="BF148" s="75" t="n">
        <v>152</v>
      </c>
      <c r="BG148" s="2">
        <f>IF(Demand!AU165&lt;=Retailers_Cap!N148,"ret=0",(IF(BB148&lt;=AR148+Distributors_Cap!$P$47,1,0)))</f>
        <v/>
      </c>
      <c r="BH148" s="2">
        <f>IF(Demand!AV165&lt;=Retailers_Cap!O148,"ret=0",(IF(BC148&lt;=AS148+Distributors_Cap!$P$47,1,0)))</f>
        <v/>
      </c>
      <c r="BI148" s="2">
        <f>IF(Demand!AW165&lt;=Retailers_Cap!P148,"ret=0",(IF(BD148&lt;=AT148+Distributors_Cap!$P$47,1,0)))</f>
        <v/>
      </c>
      <c r="BK148" s="75" t="n">
        <v>152</v>
      </c>
      <c r="BL148" s="75">
        <f>Retailers!BH147</f>
        <v/>
      </c>
      <c r="BM148" s="75">
        <f>Retailers!BI147</f>
        <v/>
      </c>
      <c r="BN148" s="75">
        <f>Retailers!BJ147</f>
        <v/>
      </c>
      <c r="BP148" s="75" t="n">
        <v>152</v>
      </c>
      <c r="BQ148" s="75">
        <f>#REF!</f>
        <v/>
      </c>
      <c r="BR148" s="75">
        <f>#REF!</f>
        <v/>
      </c>
      <c r="BS148" s="75">
        <f>#REF!</f>
        <v/>
      </c>
      <c r="BU148" s="75" t="n">
        <v>152</v>
      </c>
      <c r="BV148" s="75">
        <f>Retailers!AS147</f>
        <v/>
      </c>
      <c r="BW148" s="75">
        <f>Retailers!AT147</f>
        <v/>
      </c>
      <c r="BX148" s="75">
        <f>Retailers!AU147</f>
        <v/>
      </c>
      <c r="BZ148" s="75" t="n">
        <v>152</v>
      </c>
      <c r="CA148" s="75">
        <f>Results!#REF!</f>
        <v/>
      </c>
      <c r="CB148" s="75">
        <f>Results!#REF!</f>
        <v/>
      </c>
      <c r="CC148" s="75">
        <f>Results!#REF!</f>
        <v/>
      </c>
      <c r="CE148" s="75" t="n">
        <v>152</v>
      </c>
      <c r="CF148" s="75">
        <f>Retailers!BN147</f>
        <v/>
      </c>
      <c r="CG148" s="75">
        <f>Retailers!BO147</f>
        <v/>
      </c>
      <c r="CH148" s="75">
        <f>Retailers!BP147</f>
        <v/>
      </c>
      <c r="CJ148" s="75" t="n">
        <v>152</v>
      </c>
      <c r="CK148" s="75">
        <f>IF(BB148="ret=0",0,IF(BB148&gt;0,AR148+Distributors_Cap!$P$47-BB148,0))</f>
        <v/>
      </c>
      <c r="CL148" s="75">
        <f>IF(BC148="ret=0",0,IF(BC148&gt;0,AS148+Distributors_Cap!$P$47-BC148,0))</f>
        <v/>
      </c>
      <c r="CM148" s="75">
        <f>IF(BD148="ret=0",0,IF(BD148&gt;0,AT148+Distributors_Cap!$P$47-BD148,0))</f>
        <v/>
      </c>
    </row>
    <row r="149">
      <c r="G149" s="75" t="n">
        <v>153</v>
      </c>
      <c r="H149" s="75" t="n">
        <v>53.804</v>
      </c>
      <c r="I149" s="75" t="n">
        <v>71.146</v>
      </c>
      <c r="J149" s="75" t="n">
        <v>45.06</v>
      </c>
      <c r="L149" s="75">
        <f>TRUNC((_xlfn.NORM.INV((RAND()),$K$7,$K$8)),0)</f>
        <v/>
      </c>
      <c r="M149" s="75" t="n">
        <v>153</v>
      </c>
      <c r="N149" s="5" t="n">
        <v>26</v>
      </c>
      <c r="O149" s="5" t="n">
        <v>33</v>
      </c>
      <c r="P149" s="5" t="n">
        <v>28</v>
      </c>
      <c r="R149" s="2">
        <f>IF(N149&gt;Demand!AU166,0,(IF(((2*(Retailers!AJ148+Distributors_Cap!$P$47)-Retailers_Cap!$BB$7)*(Demand!AU166-Retailers_Cap!N149))&lt;0,0,((IF(BB149&gt;2*(Retailers!AJ148+Distributors_Cap!$P$47),0,(IF(BG149=0,ROUNDUP((2*(Retailers!AJ148+Distributors_Cap!$P$47)-BB149)^0.5,0),ROUNDUP((2*(Retailers!AJ148+Distributors_Cap!$P$47)-BB149)^0.5,0)))))))))</f>
        <v/>
      </c>
      <c r="S149" s="2">
        <f>IF(O149&gt;Demand!AV166,0,(IF(((2*(Retailers!AK148+Distributors_Cap!$P$47)-Retailers_Cap!$BB$7)*(Demand!AV166-Retailers_Cap!O149))&lt;0,0,((IF(BC149&gt;2*(Retailers!AK148+Distributors_Cap!$P$47),0,(IF(BH149=0,ROUNDUP((2*(Retailers!AK148+Distributors_Cap!$P$47)-BC149)^0.5,0),ROUNDUP((2*(Retailers!AK148+Distributors_Cap!$P$47)-BC149)^0.5,0)))))))))</f>
        <v/>
      </c>
      <c r="T149" s="2">
        <f>IF(P149&gt;Demand!AW166,0,(IF(((2*(Retailers!AL148+Distributors_Cap!$P$47)-Retailers_Cap!$BB$7)*(Demand!AW166-Retailers_Cap!P149))&lt;0,0,((IF(BD149&gt;2*(Retailers!AL148+Distributors_Cap!$P$47),0,(IF(BI149=0,ROUNDUP((2*(Retailers!AL148+Distributors_Cap!$P$47)-BD149)^0.5,0),ROUNDUP((2*(Retailers!AL148+Distributors_Cap!$P$47)-BD149)^0.5,0)))))))))</f>
        <v/>
      </c>
      <c r="W149" s="75" t="n">
        <v>153</v>
      </c>
      <c r="X149" s="9" t="n">
        <v>0</v>
      </c>
      <c r="Y149" s="9" t="n">
        <v>0</v>
      </c>
      <c r="Z149" s="9" t="n">
        <v>0</v>
      </c>
      <c r="AB149" s="2">
        <f>ROUNDDOWN(LOG((X149+1),2),0)</f>
        <v/>
      </c>
      <c r="AC149" s="2">
        <f>ROUNDDOWN(LOG((Y149+1),2),0)</f>
        <v/>
      </c>
      <c r="AD149" s="2">
        <f>ROUNDDOWN(LOG((Z149+1),2),0)</f>
        <v/>
      </c>
      <c r="AG149" s="75" t="n">
        <v>153</v>
      </c>
      <c r="AH149" s="9" t="n">
        <v>0</v>
      </c>
      <c r="AI149" s="9" t="n">
        <v>0</v>
      </c>
      <c r="AJ149" s="9" t="n">
        <v>0</v>
      </c>
      <c r="AQ149" s="75" t="n">
        <v>153</v>
      </c>
      <c r="AR149" s="75" t="n">
        <v>53.804</v>
      </c>
      <c r="AS149" s="75" t="n">
        <v>71.146</v>
      </c>
      <c r="AT149" s="75" t="n">
        <v>45.06</v>
      </c>
      <c r="AV149" s="75" t="n">
        <v>153</v>
      </c>
      <c r="AW149" s="75">
        <f>Beginning_stock!AT177</f>
        <v/>
      </c>
      <c r="AX149" s="75">
        <f>Beginning_stock!AU177</f>
        <v/>
      </c>
      <c r="AY149" s="75">
        <f>Beginning_stock!AV177</f>
        <v/>
      </c>
      <c r="BA149" s="75" t="n">
        <v>153</v>
      </c>
      <c r="BB149" s="75">
        <f>IF(Demand!AU166=Retailers_Cap!N149,"ret=0",(AW149/(Demand!AU166-Retailers_Cap!N149)))</f>
        <v/>
      </c>
      <c r="BC149" s="75">
        <f>IF(Demand!AV166=Retailers_Cap!O149,"ret=0",(AX149/(Demand!AV166-Retailers_Cap!O149)))</f>
        <v/>
      </c>
      <c r="BD149" s="75">
        <f>IF(Demand!AW166=Retailers_Cap!P149,"ret=0",(AY149/(Demand!AW166-Retailers_Cap!P149)))</f>
        <v/>
      </c>
      <c r="BF149" s="75" t="n">
        <v>153</v>
      </c>
      <c r="BG149" s="2">
        <f>IF(Demand!AU166&lt;=Retailers_Cap!N149,"ret=0",(IF(BB149&lt;=AR149+Distributors_Cap!$P$47,1,0)))</f>
        <v/>
      </c>
      <c r="BH149" s="2">
        <f>IF(Demand!AV166&lt;=Retailers_Cap!O149,"ret=0",(IF(BC149&lt;=AS149+Distributors_Cap!$P$47,1,0)))</f>
        <v/>
      </c>
      <c r="BI149" s="2">
        <f>IF(Demand!AW166&lt;=Retailers_Cap!P149,"ret=0",(IF(BD149&lt;=AT149+Distributors_Cap!$P$47,1,0)))</f>
        <v/>
      </c>
      <c r="BK149" s="75" t="n">
        <v>153</v>
      </c>
      <c r="BL149" s="75">
        <f>Retailers!BH148</f>
        <v/>
      </c>
      <c r="BM149" s="75">
        <f>Retailers!BI148</f>
        <v/>
      </c>
      <c r="BN149" s="75">
        <f>Retailers!BJ148</f>
        <v/>
      </c>
      <c r="BP149" s="75" t="n">
        <v>153</v>
      </c>
      <c r="BQ149" s="75">
        <f>#REF!</f>
        <v/>
      </c>
      <c r="BR149" s="75">
        <f>#REF!</f>
        <v/>
      </c>
      <c r="BS149" s="75">
        <f>#REF!</f>
        <v/>
      </c>
      <c r="BU149" s="75" t="n">
        <v>153</v>
      </c>
      <c r="BV149" s="75">
        <f>Retailers!AS148</f>
        <v/>
      </c>
      <c r="BW149" s="75">
        <f>Retailers!AT148</f>
        <v/>
      </c>
      <c r="BX149" s="75">
        <f>Retailers!AU148</f>
        <v/>
      </c>
      <c r="BZ149" s="75" t="n">
        <v>153</v>
      </c>
      <c r="CA149" s="75">
        <f>Results!#REF!</f>
        <v/>
      </c>
      <c r="CB149" s="75">
        <f>Results!#REF!</f>
        <v/>
      </c>
      <c r="CC149" s="75">
        <f>Results!#REF!</f>
        <v/>
      </c>
      <c r="CE149" s="75" t="n">
        <v>153</v>
      </c>
      <c r="CF149" s="75">
        <f>Retailers!BN148</f>
        <v/>
      </c>
      <c r="CG149" s="75">
        <f>Retailers!BO148</f>
        <v/>
      </c>
      <c r="CH149" s="75">
        <f>Retailers!BP148</f>
        <v/>
      </c>
      <c r="CJ149" s="75" t="n">
        <v>153</v>
      </c>
      <c r="CK149" s="75">
        <f>IF(BB149="ret=0",0,IF(BB149&gt;0,AR149+Distributors_Cap!$P$47-BB149,0))</f>
        <v/>
      </c>
      <c r="CL149" s="75">
        <f>IF(BC149="ret=0",0,IF(BC149&gt;0,AS149+Distributors_Cap!$P$47-BC149,0))</f>
        <v/>
      </c>
      <c r="CM149" s="75">
        <f>IF(BD149="ret=0",0,IF(BD149&gt;0,AT149+Distributors_Cap!$P$47-BD149,0))</f>
        <v/>
      </c>
    </row>
    <row r="150">
      <c r="G150" s="75" t="n">
        <v>154</v>
      </c>
      <c r="H150" s="75" t="n">
        <v>81.836</v>
      </c>
      <c r="I150" s="75" t="n">
        <v>69.60299999999999</v>
      </c>
      <c r="J150" s="75" t="n">
        <v>79.04600000000001</v>
      </c>
      <c r="L150" s="75">
        <f>TRUNC((_xlfn.NORM.INV((RAND()),$K$7,$K$8)),0)</f>
        <v/>
      </c>
      <c r="M150" s="75" t="n">
        <v>154</v>
      </c>
      <c r="N150" s="5" t="n">
        <v>39</v>
      </c>
      <c r="O150" s="5" t="n">
        <v>19</v>
      </c>
      <c r="P150" s="5" t="n">
        <v>25</v>
      </c>
      <c r="R150" s="2">
        <f>IF(N150&gt;Demand!AU167,0,(IF(((2*(Retailers!AJ149+Distributors_Cap!$P$47)-Retailers_Cap!$BB$7)*(Demand!AU167-Retailers_Cap!N150))&lt;0,0,((IF(BB150&gt;2*(Retailers!AJ149+Distributors_Cap!$P$47),0,(IF(BG150=0,ROUNDUP((2*(Retailers!AJ149+Distributors_Cap!$P$47)-BB150)^0.5,0),ROUNDUP((2*(Retailers!AJ149+Distributors_Cap!$P$47)-BB150)^0.5,0)))))))))</f>
        <v/>
      </c>
      <c r="S150" s="2">
        <f>IF(O150&gt;Demand!AV167,0,(IF(((2*(Retailers!AK149+Distributors_Cap!$P$47)-Retailers_Cap!$BB$7)*(Demand!AV167-Retailers_Cap!O150))&lt;0,0,((IF(BC150&gt;2*(Retailers!AK149+Distributors_Cap!$P$47),0,(IF(BH150=0,ROUNDUP((2*(Retailers!AK149+Distributors_Cap!$P$47)-BC150)^0.5,0),ROUNDUP((2*(Retailers!AK149+Distributors_Cap!$P$47)-BC150)^0.5,0)))))))))</f>
        <v/>
      </c>
      <c r="T150" s="2">
        <f>IF(P150&gt;Demand!AW167,0,(IF(((2*(Retailers!AL149+Distributors_Cap!$P$47)-Retailers_Cap!$BB$7)*(Demand!AW167-Retailers_Cap!P150))&lt;0,0,((IF(BD150&gt;2*(Retailers!AL149+Distributors_Cap!$P$47),0,(IF(BI150=0,ROUNDUP((2*(Retailers!AL149+Distributors_Cap!$P$47)-BD150)^0.5,0),ROUNDUP((2*(Retailers!AL149+Distributors_Cap!$P$47)-BD150)^0.5,0)))))))))</f>
        <v/>
      </c>
      <c r="W150" s="75" t="n">
        <v>154</v>
      </c>
      <c r="X150" s="9" t="n">
        <v>0</v>
      </c>
      <c r="Y150" s="9" t="n">
        <v>14</v>
      </c>
      <c r="Z150" s="9" t="n">
        <v>15</v>
      </c>
      <c r="AB150" s="2">
        <f>ROUNDDOWN(LOG((X150+1),2),0)</f>
        <v/>
      </c>
      <c r="AC150" s="2">
        <f>ROUNDDOWN(LOG((Y150+1),2),0)</f>
        <v/>
      </c>
      <c r="AD150" s="2">
        <f>ROUNDDOWN(LOG((Z150+1),2),0)</f>
        <v/>
      </c>
      <c r="AG150" s="75" t="n">
        <v>154</v>
      </c>
      <c r="AH150" s="9" t="n">
        <v>0</v>
      </c>
      <c r="AI150" s="9" t="n">
        <v>3</v>
      </c>
      <c r="AJ150" s="9" t="n">
        <v>4</v>
      </c>
      <c r="AQ150" s="75" t="n">
        <v>154</v>
      </c>
      <c r="AR150" s="75" t="n">
        <v>81.836</v>
      </c>
      <c r="AS150" s="75" t="n">
        <v>69.60299999999999</v>
      </c>
      <c r="AT150" s="75" t="n">
        <v>79.04600000000001</v>
      </c>
      <c r="AV150" s="75" t="n">
        <v>154</v>
      </c>
      <c r="AW150" s="75">
        <f>Beginning_stock!AT178</f>
        <v/>
      </c>
      <c r="AX150" s="75">
        <f>Beginning_stock!AU178</f>
        <v/>
      </c>
      <c r="AY150" s="75">
        <f>Beginning_stock!AV178</f>
        <v/>
      </c>
      <c r="BA150" s="75" t="n">
        <v>154</v>
      </c>
      <c r="BB150" s="75">
        <f>IF(Demand!AU167=Retailers_Cap!N150,"ret=0",(AW150/(Demand!AU167-Retailers_Cap!N150)))</f>
        <v/>
      </c>
      <c r="BC150" s="75">
        <f>IF(Demand!AV167=Retailers_Cap!O150,"ret=0",(AX150/(Demand!AV167-Retailers_Cap!O150)))</f>
        <v/>
      </c>
      <c r="BD150" s="75">
        <f>IF(Demand!AW167=Retailers_Cap!P150,"ret=0",(AY150/(Demand!AW167-Retailers_Cap!P150)))</f>
        <v/>
      </c>
      <c r="BF150" s="75" t="n">
        <v>154</v>
      </c>
      <c r="BG150" s="2">
        <f>IF(Demand!AU167&lt;=Retailers_Cap!N150,"ret=0",(IF(BB150&lt;=AR150+Distributors_Cap!$P$47,1,0)))</f>
        <v/>
      </c>
      <c r="BH150" s="2">
        <f>IF(Demand!AV167&lt;=Retailers_Cap!O150,"ret=0",(IF(BC150&lt;=AS150+Distributors_Cap!$P$47,1,0)))</f>
        <v/>
      </c>
      <c r="BI150" s="2">
        <f>IF(Demand!AW167&lt;=Retailers_Cap!P150,"ret=0",(IF(BD150&lt;=AT150+Distributors_Cap!$P$47,1,0)))</f>
        <v/>
      </c>
      <c r="BK150" s="75" t="n">
        <v>154</v>
      </c>
      <c r="BL150" s="75">
        <f>Retailers!BH149</f>
        <v/>
      </c>
      <c r="BM150" s="75">
        <f>Retailers!BI149</f>
        <v/>
      </c>
      <c r="BN150" s="75">
        <f>Retailers!BJ149</f>
        <v/>
      </c>
      <c r="BP150" s="75" t="n">
        <v>154</v>
      </c>
      <c r="BQ150" s="75">
        <f>#REF!</f>
        <v/>
      </c>
      <c r="BR150" s="75">
        <f>#REF!</f>
        <v/>
      </c>
      <c r="BS150" s="75">
        <f>#REF!</f>
        <v/>
      </c>
      <c r="BU150" s="75" t="n">
        <v>154</v>
      </c>
      <c r="BV150" s="75">
        <f>Retailers!AS149</f>
        <v/>
      </c>
      <c r="BW150" s="75">
        <f>Retailers!AT149</f>
        <v/>
      </c>
      <c r="BX150" s="75">
        <f>Retailers!AU149</f>
        <v/>
      </c>
      <c r="BZ150" s="75" t="n">
        <v>154</v>
      </c>
      <c r="CA150" s="75">
        <f>Results!#REF!</f>
        <v/>
      </c>
      <c r="CB150" s="75">
        <f>Results!#REF!</f>
        <v/>
      </c>
      <c r="CC150" s="75">
        <f>Results!#REF!</f>
        <v/>
      </c>
      <c r="CE150" s="75" t="n">
        <v>154</v>
      </c>
      <c r="CF150" s="75">
        <f>Retailers!BN149</f>
        <v/>
      </c>
      <c r="CG150" s="75">
        <f>Retailers!BO149</f>
        <v/>
      </c>
      <c r="CH150" s="75">
        <f>Retailers!BP149</f>
        <v/>
      </c>
      <c r="CJ150" s="75" t="n">
        <v>154</v>
      </c>
      <c r="CK150" s="75">
        <f>IF(BB150="ret=0",0,IF(BB150&gt;0,AR150+Distributors_Cap!$P$47-BB150,0))</f>
        <v/>
      </c>
      <c r="CL150" s="75">
        <f>IF(BC150="ret=0",0,IF(BC150&gt;0,AS150+Distributors_Cap!$P$47-BC150,0))</f>
        <v/>
      </c>
      <c r="CM150" s="75">
        <f>IF(BD150="ret=0",0,IF(BD150&gt;0,AT150+Distributors_Cap!$P$47-BD150,0))</f>
        <v/>
      </c>
    </row>
    <row r="151">
      <c r="G151" s="75" t="n">
        <v>155</v>
      </c>
      <c r="H151" s="75" t="n">
        <v>69.47</v>
      </c>
      <c r="I151" s="75" t="n">
        <v>55.503</v>
      </c>
      <c r="J151" s="75" t="n">
        <v>66.381</v>
      </c>
      <c r="L151" s="75">
        <f>TRUNC((_xlfn.NORM.INV((RAND()),$K$7,$K$8)),0)</f>
        <v/>
      </c>
      <c r="M151" s="75" t="n">
        <v>155</v>
      </c>
      <c r="N151" s="5" t="n">
        <v>31</v>
      </c>
      <c r="O151" s="5" t="n">
        <v>27</v>
      </c>
      <c r="P151" s="5" t="n">
        <v>20</v>
      </c>
      <c r="R151" s="2">
        <f>IF(N151&gt;Demand!AU168,0,(IF(((2*(Retailers!AJ150+Distributors_Cap!$P$47)-Retailers_Cap!$BB$7)*(Demand!AU168-Retailers_Cap!N151))&lt;0,0,((IF(BB151&gt;2*(Retailers!AJ150+Distributors_Cap!$P$47),0,(IF(BG151=0,ROUNDUP((2*(Retailers!AJ150+Distributors_Cap!$P$47)-BB151)^0.5,0),ROUNDUP((2*(Retailers!AJ150+Distributors_Cap!$P$47)-BB151)^0.5,0)))))))))</f>
        <v/>
      </c>
      <c r="S151" s="2">
        <f>IF(O151&gt;Demand!AV168,0,(IF(((2*(Retailers!AK150+Distributors_Cap!$P$47)-Retailers_Cap!$BB$7)*(Demand!AV168-Retailers_Cap!O151))&lt;0,0,((IF(BC151&gt;2*(Retailers!AK150+Distributors_Cap!$P$47),0,(IF(BH151=0,ROUNDUP((2*(Retailers!AK150+Distributors_Cap!$P$47)-BC151)^0.5,0),ROUNDUP((2*(Retailers!AK150+Distributors_Cap!$P$47)-BC151)^0.5,0)))))))))</f>
        <v/>
      </c>
      <c r="T151" s="2">
        <f>IF(P151&gt;Demand!AW168,0,(IF(((2*(Retailers!AL150+Distributors_Cap!$P$47)-Retailers_Cap!$BB$7)*(Demand!AW168-Retailers_Cap!P151))&lt;0,0,((IF(BD151&gt;2*(Retailers!AL150+Distributors_Cap!$P$47),0,(IF(BI151=0,ROUNDUP((2*(Retailers!AL150+Distributors_Cap!$P$47)-BD151)^0.5,0),ROUNDUP((2*(Retailers!AL150+Distributors_Cap!$P$47)-BD151)^0.5,0)))))))))</f>
        <v/>
      </c>
      <c r="W151" s="75" t="n">
        <v>155</v>
      </c>
      <c r="X151" s="9" t="n">
        <v>0</v>
      </c>
      <c r="Y151" s="9" t="n">
        <v>0</v>
      </c>
      <c r="Z151" s="9" t="n">
        <v>13</v>
      </c>
      <c r="AB151" s="2">
        <f>ROUNDDOWN(LOG((X151+1),2),0)</f>
        <v/>
      </c>
      <c r="AC151" s="2">
        <f>ROUNDDOWN(LOG((Y151+1),2),0)</f>
        <v/>
      </c>
      <c r="AD151" s="2">
        <f>ROUNDDOWN(LOG((Z151+1),2),0)</f>
        <v/>
      </c>
      <c r="AG151" s="75" t="n">
        <v>155</v>
      </c>
      <c r="AH151" s="9" t="n">
        <v>0</v>
      </c>
      <c r="AI151" s="9" t="n">
        <v>0</v>
      </c>
      <c r="AJ151" s="9" t="n">
        <v>3</v>
      </c>
      <c r="AQ151" s="75" t="n">
        <v>155</v>
      </c>
      <c r="AR151" s="75" t="n">
        <v>69.47</v>
      </c>
      <c r="AS151" s="75" t="n">
        <v>55.503</v>
      </c>
      <c r="AT151" s="75" t="n">
        <v>66.381</v>
      </c>
      <c r="AV151" s="75" t="n">
        <v>155</v>
      </c>
      <c r="AW151" s="75">
        <f>Beginning_stock!AT179</f>
        <v/>
      </c>
      <c r="AX151" s="75">
        <f>Beginning_stock!AU179</f>
        <v/>
      </c>
      <c r="AY151" s="75">
        <f>Beginning_stock!AV179</f>
        <v/>
      </c>
      <c r="BA151" s="75" t="n">
        <v>155</v>
      </c>
      <c r="BB151" s="75">
        <f>IF(Demand!AU168=Retailers_Cap!N151,"ret=0",(AW151/(Demand!AU168-Retailers_Cap!N151)))</f>
        <v/>
      </c>
      <c r="BC151" s="75">
        <f>IF(Demand!AV168=Retailers_Cap!O151,"ret=0",(AX151/(Demand!AV168-Retailers_Cap!O151)))</f>
        <v/>
      </c>
      <c r="BD151" s="75">
        <f>IF(Demand!AW168=Retailers_Cap!P151,"ret=0",(AY151/(Demand!AW168-Retailers_Cap!P151)))</f>
        <v/>
      </c>
      <c r="BF151" s="75" t="n">
        <v>155</v>
      </c>
      <c r="BG151" s="2">
        <f>IF(Demand!AU168&lt;=Retailers_Cap!N151,"ret=0",(IF(BB151&lt;=AR151+Distributors_Cap!$P$47,1,0)))</f>
        <v/>
      </c>
      <c r="BH151" s="2">
        <f>IF(Demand!AV168&lt;=Retailers_Cap!O151,"ret=0",(IF(BC151&lt;=AS151+Distributors_Cap!$P$47,1,0)))</f>
        <v/>
      </c>
      <c r="BI151" s="2">
        <f>IF(Demand!AW168&lt;=Retailers_Cap!P151,"ret=0",(IF(BD151&lt;=AT151+Distributors_Cap!$P$47,1,0)))</f>
        <v/>
      </c>
      <c r="BK151" s="75" t="n">
        <v>155</v>
      </c>
      <c r="BL151" s="75">
        <f>Retailers!BH150</f>
        <v/>
      </c>
      <c r="BM151" s="75">
        <f>Retailers!BI150</f>
        <v/>
      </c>
      <c r="BN151" s="75">
        <f>Retailers!BJ150</f>
        <v/>
      </c>
      <c r="BP151" s="75" t="n">
        <v>155</v>
      </c>
      <c r="BQ151" s="75">
        <f>#REF!</f>
        <v/>
      </c>
      <c r="BR151" s="75">
        <f>#REF!</f>
        <v/>
      </c>
      <c r="BS151" s="75">
        <f>#REF!</f>
        <v/>
      </c>
      <c r="BU151" s="75" t="n">
        <v>155</v>
      </c>
      <c r="BV151" s="75">
        <f>Retailers!AS150</f>
        <v/>
      </c>
      <c r="BW151" s="75">
        <f>Retailers!AT150</f>
        <v/>
      </c>
      <c r="BX151" s="75">
        <f>Retailers!AU150</f>
        <v/>
      </c>
      <c r="BZ151" s="75" t="n">
        <v>155</v>
      </c>
      <c r="CA151" s="75">
        <f>Results!#REF!</f>
        <v/>
      </c>
      <c r="CB151" s="75">
        <f>Results!#REF!</f>
        <v/>
      </c>
      <c r="CC151" s="75">
        <f>Results!#REF!</f>
        <v/>
      </c>
      <c r="CE151" s="75" t="n">
        <v>155</v>
      </c>
      <c r="CF151" s="75">
        <f>Retailers!BN150</f>
        <v/>
      </c>
      <c r="CG151" s="75">
        <f>Retailers!BO150</f>
        <v/>
      </c>
      <c r="CH151" s="75">
        <f>Retailers!BP150</f>
        <v/>
      </c>
      <c r="CJ151" s="75" t="n">
        <v>155</v>
      </c>
      <c r="CK151" s="75">
        <f>IF(BB151="ret=0",0,IF(BB151&gt;0,AR151+Distributors_Cap!$P$47-BB151,0))</f>
        <v/>
      </c>
      <c r="CL151" s="75">
        <f>IF(BC151="ret=0",0,IF(BC151&gt;0,AS151+Distributors_Cap!$P$47-BC151,0))</f>
        <v/>
      </c>
      <c r="CM151" s="75">
        <f>IF(BD151="ret=0",0,IF(BD151&gt;0,AT151+Distributors_Cap!$P$47-BD151,0))</f>
        <v/>
      </c>
    </row>
    <row r="152">
      <c r="G152" s="75" t="n">
        <v>156</v>
      </c>
      <c r="H152" s="75" t="n">
        <v>53.739</v>
      </c>
      <c r="I152" s="75" t="n">
        <v>59.548</v>
      </c>
      <c r="J152" s="75" t="n">
        <v>37.537</v>
      </c>
      <c r="L152" s="75">
        <f>TRUNC((_xlfn.NORM.INV((RAND()),$K$7,$K$8)),0)</f>
        <v/>
      </c>
      <c r="M152" s="75" t="n">
        <v>156</v>
      </c>
      <c r="N152" s="5" t="n">
        <v>32</v>
      </c>
      <c r="O152" s="5" t="n">
        <v>18</v>
      </c>
      <c r="P152" s="5" t="n">
        <v>33</v>
      </c>
      <c r="R152" s="2">
        <f>IF(N152&gt;Demand!AU169,0,(IF(((2*(Retailers!AJ151+Distributors_Cap!$P$47)-Retailers_Cap!$BB$7)*(Demand!AU169-Retailers_Cap!N152))&lt;0,0,((IF(BB152&gt;2*(Retailers!AJ151+Distributors_Cap!$P$47),0,(IF(BG152=0,ROUNDUP((2*(Retailers!AJ151+Distributors_Cap!$P$47)-BB152)^0.5,0),ROUNDUP((2*(Retailers!AJ151+Distributors_Cap!$P$47)-BB152)^0.5,0)))))))))</f>
        <v/>
      </c>
      <c r="S152" s="2">
        <f>IF(O152&gt;Demand!AV169,0,(IF(((2*(Retailers!AK151+Distributors_Cap!$P$47)-Retailers_Cap!$BB$7)*(Demand!AV169-Retailers_Cap!O152))&lt;0,0,((IF(BC152&gt;2*(Retailers!AK151+Distributors_Cap!$P$47),0,(IF(BH152=0,ROUNDUP((2*(Retailers!AK151+Distributors_Cap!$P$47)-BC152)^0.5,0),ROUNDUP((2*(Retailers!AK151+Distributors_Cap!$P$47)-BC152)^0.5,0)))))))))</f>
        <v/>
      </c>
      <c r="T152" s="2">
        <f>IF(P152&gt;Demand!AW169,0,(IF(((2*(Retailers!AL151+Distributors_Cap!$P$47)-Retailers_Cap!$BB$7)*(Demand!AW169-Retailers_Cap!P152))&lt;0,0,((IF(BD152&gt;2*(Retailers!AL151+Distributors_Cap!$P$47),0,(IF(BI152=0,ROUNDUP((2*(Retailers!AL151+Distributors_Cap!$P$47)-BD152)^0.5,0),ROUNDUP((2*(Retailers!AL151+Distributors_Cap!$P$47)-BD152)^0.5,0)))))))))</f>
        <v/>
      </c>
      <c r="W152" s="75" t="n">
        <v>156</v>
      </c>
      <c r="X152" s="9" t="n">
        <v>10</v>
      </c>
      <c r="Y152" s="9" t="n">
        <v>12</v>
      </c>
      <c r="Z152" s="9" t="n">
        <v>0</v>
      </c>
      <c r="AB152" s="2">
        <f>ROUNDDOWN(LOG((X152+1),2),0)</f>
        <v/>
      </c>
      <c r="AC152" s="2">
        <f>ROUNDDOWN(LOG((Y152+1),2),0)</f>
        <v/>
      </c>
      <c r="AD152" s="2">
        <f>ROUNDDOWN(LOG((Z152+1),2),0)</f>
        <v/>
      </c>
      <c r="AG152" s="75" t="n">
        <v>156</v>
      </c>
      <c r="AH152" s="9" t="n">
        <v>3</v>
      </c>
      <c r="AI152" s="9" t="n">
        <v>3</v>
      </c>
      <c r="AJ152" s="9" t="n">
        <v>0</v>
      </c>
      <c r="AQ152" s="75" t="n">
        <v>156</v>
      </c>
      <c r="AR152" s="75" t="n">
        <v>53.739</v>
      </c>
      <c r="AS152" s="75" t="n">
        <v>59.548</v>
      </c>
      <c r="AT152" s="75" t="n">
        <v>37.537</v>
      </c>
      <c r="AV152" s="75" t="n">
        <v>156</v>
      </c>
      <c r="AW152" s="75">
        <f>Beginning_stock!AT180</f>
        <v/>
      </c>
      <c r="AX152" s="75">
        <f>Beginning_stock!AU180</f>
        <v/>
      </c>
      <c r="AY152" s="75">
        <f>Beginning_stock!AV180</f>
        <v/>
      </c>
      <c r="BA152" s="75" t="n">
        <v>156</v>
      </c>
      <c r="BB152" s="75">
        <f>IF(Demand!AU169=Retailers_Cap!N152,"ret=0",(AW152/(Demand!AU169-Retailers_Cap!N152)))</f>
        <v/>
      </c>
      <c r="BC152" s="75">
        <f>IF(Demand!AV169=Retailers_Cap!O152,"ret=0",(AX152/(Demand!AV169-Retailers_Cap!O152)))</f>
        <v/>
      </c>
      <c r="BD152" s="75">
        <f>IF(Demand!AW169=Retailers_Cap!P152,"ret=0",(AY152/(Demand!AW169-Retailers_Cap!P152)))</f>
        <v/>
      </c>
      <c r="BF152" s="75" t="n">
        <v>156</v>
      </c>
      <c r="BG152" s="2">
        <f>IF(Demand!AU169&lt;=Retailers_Cap!N152,"ret=0",(IF(BB152&lt;=AR152+Distributors_Cap!$P$47,1,0)))</f>
        <v/>
      </c>
      <c r="BH152" s="2">
        <f>IF(Demand!AV169&lt;=Retailers_Cap!O152,"ret=0",(IF(BC152&lt;=AS152+Distributors_Cap!$P$47,1,0)))</f>
        <v/>
      </c>
      <c r="BI152" s="2">
        <f>IF(Demand!AW169&lt;=Retailers_Cap!P152,"ret=0",(IF(BD152&lt;=AT152+Distributors_Cap!$P$47,1,0)))</f>
        <v/>
      </c>
      <c r="BK152" s="75" t="n">
        <v>156</v>
      </c>
      <c r="BL152" s="75">
        <f>Retailers!BH151</f>
        <v/>
      </c>
      <c r="BM152" s="75">
        <f>Retailers!BI151</f>
        <v/>
      </c>
      <c r="BN152" s="75">
        <f>Retailers!BJ151</f>
        <v/>
      </c>
      <c r="BP152" s="75" t="n">
        <v>156</v>
      </c>
      <c r="BQ152" s="75">
        <f>#REF!</f>
        <v/>
      </c>
      <c r="BR152" s="75">
        <f>#REF!</f>
        <v/>
      </c>
      <c r="BS152" s="75">
        <f>#REF!</f>
        <v/>
      </c>
      <c r="BU152" s="75" t="n">
        <v>156</v>
      </c>
      <c r="BV152" s="75">
        <f>Retailers!AS151</f>
        <v/>
      </c>
      <c r="BW152" s="75">
        <f>Retailers!AT151</f>
        <v/>
      </c>
      <c r="BX152" s="75">
        <f>Retailers!AU151</f>
        <v/>
      </c>
      <c r="BZ152" s="75" t="n">
        <v>156</v>
      </c>
      <c r="CA152" s="75">
        <f>Results!#REF!</f>
        <v/>
      </c>
      <c r="CB152" s="75">
        <f>Results!#REF!</f>
        <v/>
      </c>
      <c r="CC152" s="75">
        <f>Results!#REF!</f>
        <v/>
      </c>
      <c r="CE152" s="75" t="n">
        <v>156</v>
      </c>
      <c r="CF152" s="75">
        <f>Retailers!BN151</f>
        <v/>
      </c>
      <c r="CG152" s="75">
        <f>Retailers!BO151</f>
        <v/>
      </c>
      <c r="CH152" s="75">
        <f>Retailers!BP151</f>
        <v/>
      </c>
      <c r="CJ152" s="75" t="n">
        <v>156</v>
      </c>
      <c r="CK152" s="75">
        <f>IF(BB152="ret=0",0,IF(BB152&gt;0,AR152+Distributors_Cap!$P$47-BB152,0))</f>
        <v/>
      </c>
      <c r="CL152" s="75">
        <f>IF(BC152="ret=0",0,IF(BC152&gt;0,AS152+Distributors_Cap!$P$47-BC152,0))</f>
        <v/>
      </c>
      <c r="CM152" s="75">
        <f>IF(BD152="ret=0",0,IF(BD152&gt;0,AT152+Distributors_Cap!$P$47-BD152,0))</f>
        <v/>
      </c>
    </row>
    <row r="153">
      <c r="G153" s="75" t="n">
        <v>157</v>
      </c>
      <c r="H153" s="75" t="n">
        <v>60.445</v>
      </c>
      <c r="I153" s="75" t="n">
        <v>74.61499999999999</v>
      </c>
      <c r="J153" s="75" t="n">
        <v>63.054</v>
      </c>
      <c r="L153" s="75">
        <f>TRUNC((_xlfn.NORM.INV((RAND()),$K$7,$K$8)),0)</f>
        <v/>
      </c>
      <c r="M153" s="75" t="n">
        <v>157</v>
      </c>
      <c r="N153" s="5" t="n">
        <v>40</v>
      </c>
      <c r="O153" s="5" t="n">
        <v>36</v>
      </c>
      <c r="P153" s="5" t="n">
        <v>17</v>
      </c>
      <c r="R153" s="2">
        <f>IF(N153&gt;Demand!AU170,0,(IF(((2*(Retailers!AJ152+Distributors_Cap!$P$47)-Retailers_Cap!$BB$7)*(Demand!AU170-Retailers_Cap!N153))&lt;0,0,((IF(BB153&gt;2*(Retailers!AJ152+Distributors_Cap!$P$47),0,(IF(BG153=0,ROUNDUP((2*(Retailers!AJ152+Distributors_Cap!$P$47)-BB153)^0.5,0),ROUNDUP((2*(Retailers!AJ152+Distributors_Cap!$P$47)-BB153)^0.5,0)))))))))</f>
        <v/>
      </c>
      <c r="S153" s="2">
        <f>IF(O153&gt;Demand!AV170,0,(IF(((2*(Retailers!AK152+Distributors_Cap!$P$47)-Retailers_Cap!$BB$7)*(Demand!AV170-Retailers_Cap!O153))&lt;0,0,((IF(BC153&gt;2*(Retailers!AK152+Distributors_Cap!$P$47),0,(IF(BH153=0,ROUNDUP((2*(Retailers!AK152+Distributors_Cap!$P$47)-BC153)^0.5,0),ROUNDUP((2*(Retailers!AK152+Distributors_Cap!$P$47)-BC153)^0.5,0)))))))))</f>
        <v/>
      </c>
      <c r="T153" s="2">
        <f>IF(P153&gt;Demand!AW170,0,(IF(((2*(Retailers!AL152+Distributors_Cap!$P$47)-Retailers_Cap!$BB$7)*(Demand!AW170-Retailers_Cap!P153))&lt;0,0,((IF(BD153&gt;2*(Retailers!AL152+Distributors_Cap!$P$47),0,(IF(BI153=0,ROUNDUP((2*(Retailers!AL152+Distributors_Cap!$P$47)-BD153)^0.5,0),ROUNDUP((2*(Retailers!AL152+Distributors_Cap!$P$47)-BD153)^0.5,0)))))))))</f>
        <v/>
      </c>
      <c r="W153" s="75" t="n">
        <v>157</v>
      </c>
      <c r="X153" s="9" t="n">
        <v>0</v>
      </c>
      <c r="Y153" s="9" t="n">
        <v>13</v>
      </c>
      <c r="Z153" s="9" t="n">
        <v>13</v>
      </c>
      <c r="AB153" s="2">
        <f>ROUNDDOWN(LOG((X153+1),2),0)</f>
        <v/>
      </c>
      <c r="AC153" s="2">
        <f>ROUNDDOWN(LOG((Y153+1),2),0)</f>
        <v/>
      </c>
      <c r="AD153" s="2">
        <f>ROUNDDOWN(LOG((Z153+1),2),0)</f>
        <v/>
      </c>
      <c r="AG153" s="75" t="n">
        <v>157</v>
      </c>
      <c r="AH153" s="9" t="n">
        <v>0</v>
      </c>
      <c r="AI153" s="9" t="n">
        <v>3</v>
      </c>
      <c r="AJ153" s="9" t="n">
        <v>3</v>
      </c>
      <c r="AQ153" s="75" t="n">
        <v>157</v>
      </c>
      <c r="AR153" s="75" t="n">
        <v>60.445</v>
      </c>
      <c r="AS153" s="75" t="n">
        <v>74.61499999999999</v>
      </c>
      <c r="AT153" s="75" t="n">
        <v>63.054</v>
      </c>
      <c r="AV153" s="75" t="n">
        <v>157</v>
      </c>
      <c r="AW153" s="75">
        <f>Beginning_stock!AT181</f>
        <v/>
      </c>
      <c r="AX153" s="75">
        <f>Beginning_stock!AU181</f>
        <v/>
      </c>
      <c r="AY153" s="75">
        <f>Beginning_stock!AV181</f>
        <v/>
      </c>
      <c r="BA153" s="75" t="n">
        <v>157</v>
      </c>
      <c r="BB153" s="75">
        <f>IF(Demand!AU170=Retailers_Cap!N153,"ret=0",(AW153/(Demand!AU170-Retailers_Cap!N153)))</f>
        <v/>
      </c>
      <c r="BC153" s="75">
        <f>IF(Demand!AV170=Retailers_Cap!O153,"ret=0",(AX153/(Demand!AV170-Retailers_Cap!O153)))</f>
        <v/>
      </c>
      <c r="BD153" s="75">
        <f>IF(Demand!AW170=Retailers_Cap!P153,"ret=0",(AY153/(Demand!AW170-Retailers_Cap!P153)))</f>
        <v/>
      </c>
      <c r="BF153" s="75" t="n">
        <v>157</v>
      </c>
      <c r="BG153" s="2">
        <f>IF(Demand!AU170&lt;=Retailers_Cap!N153,"ret=0",(IF(BB153&lt;=AR153+Distributors_Cap!$P$47,1,0)))</f>
        <v/>
      </c>
      <c r="BH153" s="2">
        <f>IF(Demand!AV170&lt;=Retailers_Cap!O153,"ret=0",(IF(BC153&lt;=AS153+Distributors_Cap!$P$47,1,0)))</f>
        <v/>
      </c>
      <c r="BI153" s="2">
        <f>IF(Demand!AW170&lt;=Retailers_Cap!P153,"ret=0",(IF(BD153&lt;=AT153+Distributors_Cap!$P$47,1,0)))</f>
        <v/>
      </c>
      <c r="BK153" s="75" t="n">
        <v>157</v>
      </c>
      <c r="BL153" s="75">
        <f>Retailers!BH152</f>
        <v/>
      </c>
      <c r="BM153" s="75">
        <f>Retailers!BI152</f>
        <v/>
      </c>
      <c r="BN153" s="75">
        <f>Retailers!BJ152</f>
        <v/>
      </c>
      <c r="BP153" s="75" t="n">
        <v>157</v>
      </c>
      <c r="BQ153" s="75">
        <f>#REF!</f>
        <v/>
      </c>
      <c r="BR153" s="75">
        <f>#REF!</f>
        <v/>
      </c>
      <c r="BS153" s="75">
        <f>#REF!</f>
        <v/>
      </c>
      <c r="BU153" s="75" t="n">
        <v>157</v>
      </c>
      <c r="BV153" s="75">
        <f>Retailers!AS152</f>
        <v/>
      </c>
      <c r="BW153" s="75">
        <f>Retailers!AT152</f>
        <v/>
      </c>
      <c r="BX153" s="75">
        <f>Retailers!AU152</f>
        <v/>
      </c>
      <c r="BZ153" s="75" t="n">
        <v>157</v>
      </c>
      <c r="CA153" s="75">
        <f>Results!#REF!</f>
        <v/>
      </c>
      <c r="CB153" s="75">
        <f>Results!#REF!</f>
        <v/>
      </c>
      <c r="CC153" s="75">
        <f>Results!#REF!</f>
        <v/>
      </c>
      <c r="CE153" s="75" t="n">
        <v>157</v>
      </c>
      <c r="CF153" s="75">
        <f>Retailers!BN152</f>
        <v/>
      </c>
      <c r="CG153" s="75">
        <f>Retailers!BO152</f>
        <v/>
      </c>
      <c r="CH153" s="75">
        <f>Retailers!BP152</f>
        <v/>
      </c>
      <c r="CJ153" s="75" t="n">
        <v>157</v>
      </c>
      <c r="CK153" s="75">
        <f>IF(BB153="ret=0",0,IF(BB153&gt;0,AR153+Distributors_Cap!$P$47-BB153,0))</f>
        <v/>
      </c>
      <c r="CL153" s="75">
        <f>IF(BC153="ret=0",0,IF(BC153&gt;0,AS153+Distributors_Cap!$P$47-BC153,0))</f>
        <v/>
      </c>
      <c r="CM153" s="75">
        <f>IF(BD153="ret=0",0,IF(BD153&gt;0,AT153+Distributors_Cap!$P$47-BD153,0))</f>
        <v/>
      </c>
    </row>
    <row r="154">
      <c r="G154" s="75" t="n">
        <v>158</v>
      </c>
      <c r="H154" s="75" t="n">
        <v>71.498</v>
      </c>
      <c r="I154" s="75" t="n">
        <v>49.595</v>
      </c>
      <c r="J154" s="75" t="n">
        <v>41.072</v>
      </c>
      <c r="L154" s="75">
        <f>TRUNC((_xlfn.NORM.INV((RAND()),$K$7,$K$8)),0)</f>
        <v/>
      </c>
      <c r="M154" s="75" t="n">
        <v>158</v>
      </c>
      <c r="N154" s="5" t="n">
        <v>21</v>
      </c>
      <c r="O154" s="5" t="n">
        <v>24</v>
      </c>
      <c r="P154" s="5" t="n">
        <v>32</v>
      </c>
      <c r="R154" s="2">
        <f>IF(N154&gt;Demand!AU171,0,(IF(((2*(Retailers!AJ153+Distributors_Cap!$P$47)-Retailers_Cap!$BB$7)*(Demand!AU171-Retailers_Cap!N154))&lt;0,0,((IF(BB154&gt;2*(Retailers!AJ153+Distributors_Cap!$P$47),0,(IF(BG154=0,ROUNDUP((2*(Retailers!AJ153+Distributors_Cap!$P$47)-BB154)^0.5,0),ROUNDUP((2*(Retailers!AJ153+Distributors_Cap!$P$47)-BB154)^0.5,0)))))))))</f>
        <v/>
      </c>
      <c r="S154" s="2">
        <f>IF(O154&gt;Demand!AV171,0,(IF(((2*(Retailers!AK153+Distributors_Cap!$P$47)-Retailers_Cap!$BB$7)*(Demand!AV171-Retailers_Cap!O154))&lt;0,0,((IF(BC154&gt;2*(Retailers!AK153+Distributors_Cap!$P$47),0,(IF(BH154=0,ROUNDUP((2*(Retailers!AK153+Distributors_Cap!$P$47)-BC154)^0.5,0),ROUNDUP((2*(Retailers!AK153+Distributors_Cap!$P$47)-BC154)^0.5,0)))))))))</f>
        <v/>
      </c>
      <c r="T154" s="2">
        <f>IF(P154&gt;Demand!AW171,0,(IF(((2*(Retailers!AL153+Distributors_Cap!$P$47)-Retailers_Cap!$BB$7)*(Demand!AW171-Retailers_Cap!P154))&lt;0,0,((IF(BD154&gt;2*(Retailers!AL153+Distributors_Cap!$P$47),0,(IF(BI154=0,ROUNDUP((2*(Retailers!AL153+Distributors_Cap!$P$47)-BD154)^0.5,0),ROUNDUP((2*(Retailers!AL153+Distributors_Cap!$P$47)-BD154)^0.5,0)))))))))</f>
        <v/>
      </c>
      <c r="W154" s="75" t="n">
        <v>158</v>
      </c>
      <c r="X154" s="9" t="n">
        <v>14</v>
      </c>
      <c r="Y154" s="9" t="n">
        <v>12</v>
      </c>
      <c r="Z154" s="9" t="n">
        <v>0</v>
      </c>
      <c r="AB154" s="2">
        <f>ROUNDDOWN(LOG((X154+1),2),0)</f>
        <v/>
      </c>
      <c r="AC154" s="2">
        <f>ROUNDDOWN(LOG((Y154+1),2),0)</f>
        <v/>
      </c>
      <c r="AD154" s="2">
        <f>ROUNDDOWN(LOG((Z154+1),2),0)</f>
        <v/>
      </c>
      <c r="AG154" s="75" t="n">
        <v>158</v>
      </c>
      <c r="AH154" s="9" t="n">
        <v>3</v>
      </c>
      <c r="AI154" s="9" t="n">
        <v>3</v>
      </c>
      <c r="AJ154" s="9" t="n">
        <v>0</v>
      </c>
      <c r="AQ154" s="75" t="n">
        <v>158</v>
      </c>
      <c r="AR154" s="75" t="n">
        <v>71.498</v>
      </c>
      <c r="AS154" s="75" t="n">
        <v>49.595</v>
      </c>
      <c r="AT154" s="75" t="n">
        <v>41.072</v>
      </c>
      <c r="AV154" s="75" t="n">
        <v>158</v>
      </c>
      <c r="AW154" s="75">
        <f>Beginning_stock!AT182</f>
        <v/>
      </c>
      <c r="AX154" s="75">
        <f>Beginning_stock!AU182</f>
        <v/>
      </c>
      <c r="AY154" s="75">
        <f>Beginning_stock!AV182</f>
        <v/>
      </c>
      <c r="BA154" s="75" t="n">
        <v>158</v>
      </c>
      <c r="BB154" s="75">
        <f>IF(Demand!AU171=Retailers_Cap!N154,"ret=0",(AW154/(Demand!AU171-Retailers_Cap!N154)))</f>
        <v/>
      </c>
      <c r="BC154" s="75">
        <f>IF(Demand!AV171=Retailers_Cap!O154,"ret=0",(AX154/(Demand!AV171-Retailers_Cap!O154)))</f>
        <v/>
      </c>
      <c r="BD154" s="75">
        <f>IF(Demand!AW171=Retailers_Cap!P154,"ret=0",(AY154/(Demand!AW171-Retailers_Cap!P154)))</f>
        <v/>
      </c>
      <c r="BF154" s="75" t="n">
        <v>158</v>
      </c>
      <c r="BG154" s="2">
        <f>IF(Demand!AU171&lt;=Retailers_Cap!N154,"ret=0",(IF(BB154&lt;=AR154+Distributors_Cap!$P$47,1,0)))</f>
        <v/>
      </c>
      <c r="BH154" s="2">
        <f>IF(Demand!AV171&lt;=Retailers_Cap!O154,"ret=0",(IF(BC154&lt;=AS154+Distributors_Cap!$P$47,1,0)))</f>
        <v/>
      </c>
      <c r="BI154" s="2">
        <f>IF(Demand!AW171&lt;=Retailers_Cap!P154,"ret=0",(IF(BD154&lt;=AT154+Distributors_Cap!$P$47,1,0)))</f>
        <v/>
      </c>
      <c r="BK154" s="75" t="n">
        <v>158</v>
      </c>
      <c r="BL154" s="75">
        <f>Retailers!BH153</f>
        <v/>
      </c>
      <c r="BM154" s="75">
        <f>Retailers!BI153</f>
        <v/>
      </c>
      <c r="BN154" s="75">
        <f>Retailers!BJ153</f>
        <v/>
      </c>
      <c r="BP154" s="75" t="n">
        <v>158</v>
      </c>
      <c r="BQ154" s="75">
        <f>#REF!</f>
        <v/>
      </c>
      <c r="BR154" s="75">
        <f>#REF!</f>
        <v/>
      </c>
      <c r="BS154" s="75">
        <f>#REF!</f>
        <v/>
      </c>
      <c r="BU154" s="75" t="n">
        <v>158</v>
      </c>
      <c r="BV154" s="75">
        <f>Retailers!AS153</f>
        <v/>
      </c>
      <c r="BW154" s="75">
        <f>Retailers!AT153</f>
        <v/>
      </c>
      <c r="BX154" s="75">
        <f>Retailers!AU153</f>
        <v/>
      </c>
      <c r="BZ154" s="75" t="n">
        <v>158</v>
      </c>
      <c r="CA154" s="75">
        <f>Results!#REF!</f>
        <v/>
      </c>
      <c r="CB154" s="75">
        <f>Results!#REF!</f>
        <v/>
      </c>
      <c r="CC154" s="75">
        <f>Results!#REF!</f>
        <v/>
      </c>
      <c r="CE154" s="75" t="n">
        <v>158</v>
      </c>
      <c r="CF154" s="75">
        <f>Retailers!BN153</f>
        <v/>
      </c>
      <c r="CG154" s="75">
        <f>Retailers!BO153</f>
        <v/>
      </c>
      <c r="CH154" s="75">
        <f>Retailers!BP153</f>
        <v/>
      </c>
      <c r="CJ154" s="75" t="n">
        <v>158</v>
      </c>
      <c r="CK154" s="75">
        <f>IF(BB154="ret=0",0,IF(BB154&gt;0,AR154+Distributors_Cap!$P$47-BB154,0))</f>
        <v/>
      </c>
      <c r="CL154" s="75">
        <f>IF(BC154="ret=0",0,IF(BC154&gt;0,AS154+Distributors_Cap!$P$47-BC154,0))</f>
        <v/>
      </c>
      <c r="CM154" s="75">
        <f>IF(BD154="ret=0",0,IF(BD154&gt;0,AT154+Distributors_Cap!$P$47-BD154,0))</f>
        <v/>
      </c>
    </row>
    <row r="155">
      <c r="G155" s="75" t="n">
        <v>159</v>
      </c>
      <c r="H155" s="75" t="n">
        <v>87.414</v>
      </c>
      <c r="I155" s="75" t="n">
        <v>79.72499999999999</v>
      </c>
      <c r="J155" s="75" t="n">
        <v>66.57599999999999</v>
      </c>
      <c r="L155" s="75">
        <f>TRUNC((_xlfn.NORM.INV((RAND()),$K$7,$K$8)),0)</f>
        <v/>
      </c>
      <c r="M155" s="75" t="n">
        <v>159</v>
      </c>
      <c r="N155" s="5" t="n">
        <v>33</v>
      </c>
      <c r="O155" s="5" t="n">
        <v>31</v>
      </c>
      <c r="P155" s="5" t="n">
        <v>20</v>
      </c>
      <c r="R155" s="2">
        <f>IF(N155&gt;Demand!AU172,0,(IF(((2*(Retailers!AJ154+Distributors_Cap!$P$47)-Retailers_Cap!$BB$7)*(Demand!AU172-Retailers_Cap!N155))&lt;0,0,((IF(BB155&gt;2*(Retailers!AJ154+Distributors_Cap!$P$47),0,(IF(BG155=0,ROUNDUP((2*(Retailers!AJ154+Distributors_Cap!$P$47)-BB155)^0.5,0),ROUNDUP((2*(Retailers!AJ154+Distributors_Cap!$P$47)-BB155)^0.5,0)))))))))</f>
        <v/>
      </c>
      <c r="S155" s="2">
        <f>IF(O155&gt;Demand!AV172,0,(IF(((2*(Retailers!AK154+Distributors_Cap!$P$47)-Retailers_Cap!$BB$7)*(Demand!AV172-Retailers_Cap!O155))&lt;0,0,((IF(BC155&gt;2*(Retailers!AK154+Distributors_Cap!$P$47),0,(IF(BH155=0,ROUNDUP((2*(Retailers!AK154+Distributors_Cap!$P$47)-BC155)^0.5,0),ROUNDUP((2*(Retailers!AK154+Distributors_Cap!$P$47)-BC155)^0.5,0)))))))))</f>
        <v/>
      </c>
      <c r="T155" s="2">
        <f>IF(P155&gt;Demand!AW172,0,(IF(((2*(Retailers!AL154+Distributors_Cap!$P$47)-Retailers_Cap!$BB$7)*(Demand!AW172-Retailers_Cap!P155))&lt;0,0,((IF(BD155&gt;2*(Retailers!AL154+Distributors_Cap!$P$47),0,(IF(BI155=0,ROUNDUP((2*(Retailers!AL154+Distributors_Cap!$P$47)-BD155)^0.5,0),ROUNDUP((2*(Retailers!AL154+Distributors_Cap!$P$47)-BD155)^0.5,0)))))))))</f>
        <v/>
      </c>
      <c r="W155" s="75" t="n">
        <v>159</v>
      </c>
      <c r="X155" s="9" t="n">
        <v>0</v>
      </c>
      <c r="Y155" s="9" t="n">
        <v>0</v>
      </c>
      <c r="Z155" s="9" t="n">
        <v>0</v>
      </c>
      <c r="AB155" s="2">
        <f>ROUNDDOWN(LOG((X155+1),2),0)</f>
        <v/>
      </c>
      <c r="AC155" s="2">
        <f>ROUNDDOWN(LOG((Y155+1),2),0)</f>
        <v/>
      </c>
      <c r="AD155" s="2">
        <f>ROUNDDOWN(LOG((Z155+1),2),0)</f>
        <v/>
      </c>
      <c r="AG155" s="75" t="n">
        <v>159</v>
      </c>
      <c r="AH155" s="9" t="n">
        <v>0</v>
      </c>
      <c r="AI155" s="9" t="n">
        <v>0</v>
      </c>
      <c r="AJ155" s="9" t="n">
        <v>0</v>
      </c>
      <c r="AQ155" s="75" t="n">
        <v>159</v>
      </c>
      <c r="AR155" s="75" t="n">
        <v>87.414</v>
      </c>
      <c r="AS155" s="75" t="n">
        <v>79.72499999999999</v>
      </c>
      <c r="AT155" s="75" t="n">
        <v>66.57599999999999</v>
      </c>
      <c r="AV155" s="75" t="n">
        <v>159</v>
      </c>
      <c r="AW155" s="75">
        <f>Beginning_stock!AT183</f>
        <v/>
      </c>
      <c r="AX155" s="75">
        <f>Beginning_stock!AU183</f>
        <v/>
      </c>
      <c r="AY155" s="75">
        <f>Beginning_stock!AV183</f>
        <v/>
      </c>
      <c r="BA155" s="75" t="n">
        <v>159</v>
      </c>
      <c r="BB155" s="75">
        <f>IF(Demand!AU172=Retailers_Cap!N155,"ret=0",(AW155/(Demand!AU172-Retailers_Cap!N155)))</f>
        <v/>
      </c>
      <c r="BC155" s="75">
        <f>IF(Demand!AV172=Retailers_Cap!O155,"ret=0",(AX155/(Demand!AV172-Retailers_Cap!O155)))</f>
        <v/>
      </c>
      <c r="BD155" s="75">
        <f>IF(Demand!AW172=Retailers_Cap!P155,"ret=0",(AY155/(Demand!AW172-Retailers_Cap!P155)))</f>
        <v/>
      </c>
      <c r="BF155" s="75" t="n">
        <v>159</v>
      </c>
      <c r="BG155" s="2">
        <f>IF(Demand!AU172&lt;=Retailers_Cap!N155,"ret=0",(IF(BB155&lt;=AR155+Distributors_Cap!$P$47,1,0)))</f>
        <v/>
      </c>
      <c r="BH155" s="2">
        <f>IF(Demand!AV172&lt;=Retailers_Cap!O155,"ret=0",(IF(BC155&lt;=AS155+Distributors_Cap!$P$47,1,0)))</f>
        <v/>
      </c>
      <c r="BI155" s="2">
        <f>IF(Demand!AW172&lt;=Retailers_Cap!P155,"ret=0",(IF(BD155&lt;=AT155+Distributors_Cap!$P$47,1,0)))</f>
        <v/>
      </c>
      <c r="BK155" s="75" t="n">
        <v>159</v>
      </c>
      <c r="BL155" s="75">
        <f>Retailers!BH154</f>
        <v/>
      </c>
      <c r="BM155" s="75">
        <f>Retailers!BI154</f>
        <v/>
      </c>
      <c r="BN155" s="75">
        <f>Retailers!BJ154</f>
        <v/>
      </c>
      <c r="BP155" s="75" t="n">
        <v>159</v>
      </c>
      <c r="BQ155" s="75">
        <f>#REF!</f>
        <v/>
      </c>
      <c r="BR155" s="75">
        <f>#REF!</f>
        <v/>
      </c>
      <c r="BS155" s="75">
        <f>#REF!</f>
        <v/>
      </c>
      <c r="BU155" s="75" t="n">
        <v>159</v>
      </c>
      <c r="BV155" s="75">
        <f>Retailers!AS154</f>
        <v/>
      </c>
      <c r="BW155" s="75">
        <f>Retailers!AT154</f>
        <v/>
      </c>
      <c r="BX155" s="75">
        <f>Retailers!AU154</f>
        <v/>
      </c>
      <c r="BZ155" s="75" t="n">
        <v>159</v>
      </c>
      <c r="CA155" s="75">
        <f>Results!#REF!</f>
        <v/>
      </c>
      <c r="CB155" s="75">
        <f>Results!#REF!</f>
        <v/>
      </c>
      <c r="CC155" s="75">
        <f>Results!#REF!</f>
        <v/>
      </c>
      <c r="CE155" s="75" t="n">
        <v>159</v>
      </c>
      <c r="CF155" s="75">
        <f>Retailers!BN154</f>
        <v/>
      </c>
      <c r="CG155" s="75">
        <f>Retailers!BO154</f>
        <v/>
      </c>
      <c r="CH155" s="75">
        <f>Retailers!BP154</f>
        <v/>
      </c>
      <c r="CJ155" s="75" t="n">
        <v>159</v>
      </c>
      <c r="CK155" s="75">
        <f>IF(BB155="ret=0",0,IF(BB155&gt;0,AR155+Distributors_Cap!$P$47-BB155,0))</f>
        <v/>
      </c>
      <c r="CL155" s="75">
        <f>IF(BC155="ret=0",0,IF(BC155&gt;0,AS155+Distributors_Cap!$P$47-BC155,0))</f>
        <v/>
      </c>
      <c r="CM155" s="75">
        <f>IF(BD155="ret=0",0,IF(BD155&gt;0,AT155+Distributors_Cap!$P$47-BD155,0))</f>
        <v/>
      </c>
    </row>
    <row r="156">
      <c r="G156" s="75" t="n">
        <v>160</v>
      </c>
      <c r="H156" s="75" t="n">
        <v>43.405</v>
      </c>
      <c r="I156" s="75" t="n">
        <v>62.765</v>
      </c>
      <c r="J156" s="75" t="n">
        <v>77.17100000000001</v>
      </c>
      <c r="L156" s="75">
        <f>TRUNC((_xlfn.NORM.INV((RAND()),$K$7,$K$8)),0)</f>
        <v/>
      </c>
      <c r="M156" s="75" t="n">
        <v>160</v>
      </c>
      <c r="N156" s="5" t="n">
        <v>21</v>
      </c>
      <c r="O156" s="5" t="n">
        <v>20</v>
      </c>
      <c r="P156" s="5" t="n">
        <v>22</v>
      </c>
      <c r="R156" s="2">
        <f>IF(N156&gt;Demand!AU173,0,(IF(((2*(Retailers!AJ155+Distributors_Cap!$P$47)-Retailers_Cap!$BB$7)*(Demand!AU173-Retailers_Cap!N156))&lt;0,0,((IF(BB156&gt;2*(Retailers!AJ155+Distributors_Cap!$P$47),0,(IF(BG156=0,ROUNDUP((2*(Retailers!AJ155+Distributors_Cap!$P$47)-BB156)^0.5,0),ROUNDUP((2*(Retailers!AJ155+Distributors_Cap!$P$47)-BB156)^0.5,0)))))))))</f>
        <v/>
      </c>
      <c r="S156" s="2">
        <f>IF(O156&gt;Demand!AV173,0,(IF(((2*(Retailers!AK155+Distributors_Cap!$P$47)-Retailers_Cap!$BB$7)*(Demand!AV173-Retailers_Cap!O156))&lt;0,0,((IF(BC156&gt;2*(Retailers!AK155+Distributors_Cap!$P$47),0,(IF(BH156=0,ROUNDUP((2*(Retailers!AK155+Distributors_Cap!$P$47)-BC156)^0.5,0),ROUNDUP((2*(Retailers!AK155+Distributors_Cap!$P$47)-BC156)^0.5,0)))))))))</f>
        <v/>
      </c>
      <c r="T156" s="2">
        <f>IF(P156&gt;Demand!AW173,0,(IF(((2*(Retailers!AL155+Distributors_Cap!$P$47)-Retailers_Cap!$BB$7)*(Demand!AW173-Retailers_Cap!P156))&lt;0,0,((IF(BD156&gt;2*(Retailers!AL155+Distributors_Cap!$P$47),0,(IF(BI156=0,ROUNDUP((2*(Retailers!AL155+Distributors_Cap!$P$47)-BD156)^0.5,0),ROUNDUP((2*(Retailers!AL155+Distributors_Cap!$P$47)-BD156)^0.5,0)))))))))</f>
        <v/>
      </c>
      <c r="W156" s="75" t="n">
        <v>160</v>
      </c>
      <c r="X156" s="9" t="n">
        <v>10</v>
      </c>
      <c r="Y156" s="9" t="n">
        <v>12</v>
      </c>
      <c r="Z156" s="9" t="n">
        <v>13</v>
      </c>
      <c r="AB156" s="2">
        <f>ROUNDDOWN(LOG((X156+1),2),0)</f>
        <v/>
      </c>
      <c r="AC156" s="2">
        <f>ROUNDDOWN(LOG((Y156+1),2),0)</f>
        <v/>
      </c>
      <c r="AD156" s="2">
        <f>ROUNDDOWN(LOG((Z156+1),2),0)</f>
        <v/>
      </c>
      <c r="AG156" s="75" t="n">
        <v>160</v>
      </c>
      <c r="AH156" s="9" t="n">
        <v>3</v>
      </c>
      <c r="AI156" s="9" t="n">
        <v>3</v>
      </c>
      <c r="AJ156" s="9" t="n">
        <v>3</v>
      </c>
      <c r="AQ156" s="75" t="n">
        <v>160</v>
      </c>
      <c r="AR156" s="75" t="n">
        <v>43.405</v>
      </c>
      <c r="AS156" s="75" t="n">
        <v>62.765</v>
      </c>
      <c r="AT156" s="75" t="n">
        <v>77.17100000000001</v>
      </c>
      <c r="AV156" s="75" t="n">
        <v>160</v>
      </c>
      <c r="AW156" s="75">
        <f>Beginning_stock!AT184</f>
        <v/>
      </c>
      <c r="AX156" s="75">
        <f>Beginning_stock!AU184</f>
        <v/>
      </c>
      <c r="AY156" s="75">
        <f>Beginning_stock!AV184</f>
        <v/>
      </c>
      <c r="BA156" s="75" t="n">
        <v>160</v>
      </c>
      <c r="BB156" s="75">
        <f>IF(Demand!AU173=Retailers_Cap!N156,"ret=0",(AW156/(Demand!AU173-Retailers_Cap!N156)))</f>
        <v/>
      </c>
      <c r="BC156" s="75">
        <f>IF(Demand!AV173=Retailers_Cap!O156,"ret=0",(AX156/(Demand!AV173-Retailers_Cap!O156)))</f>
        <v/>
      </c>
      <c r="BD156" s="75">
        <f>IF(Demand!AW173=Retailers_Cap!P156,"ret=0",(AY156/(Demand!AW173-Retailers_Cap!P156)))</f>
        <v/>
      </c>
      <c r="BF156" s="75" t="n">
        <v>160</v>
      </c>
      <c r="BG156" s="2">
        <f>IF(Demand!AU173&lt;=Retailers_Cap!N156,"ret=0",(IF(BB156&lt;=AR156+Distributors_Cap!$P$47,1,0)))</f>
        <v/>
      </c>
      <c r="BH156" s="2">
        <f>IF(Demand!AV173&lt;=Retailers_Cap!O156,"ret=0",(IF(BC156&lt;=AS156+Distributors_Cap!$P$47,1,0)))</f>
        <v/>
      </c>
      <c r="BI156" s="2">
        <f>IF(Demand!AW173&lt;=Retailers_Cap!P156,"ret=0",(IF(BD156&lt;=AT156+Distributors_Cap!$P$47,1,0)))</f>
        <v/>
      </c>
      <c r="BK156" s="75" t="n">
        <v>160</v>
      </c>
      <c r="BL156" s="75">
        <f>Retailers!BH155</f>
        <v/>
      </c>
      <c r="BM156" s="75">
        <f>Retailers!BI155</f>
        <v/>
      </c>
      <c r="BN156" s="75">
        <f>Retailers!BJ155</f>
        <v/>
      </c>
      <c r="BP156" s="75" t="n">
        <v>160</v>
      </c>
      <c r="BQ156" s="75">
        <f>#REF!</f>
        <v/>
      </c>
      <c r="BR156" s="75">
        <f>#REF!</f>
        <v/>
      </c>
      <c r="BS156" s="75">
        <f>#REF!</f>
        <v/>
      </c>
      <c r="BU156" s="75" t="n">
        <v>160</v>
      </c>
      <c r="BV156" s="75">
        <f>Retailers!AS155</f>
        <v/>
      </c>
      <c r="BW156" s="75">
        <f>Retailers!AT155</f>
        <v/>
      </c>
      <c r="BX156" s="75">
        <f>Retailers!AU155</f>
        <v/>
      </c>
      <c r="BZ156" s="75" t="n">
        <v>160</v>
      </c>
      <c r="CA156" s="75">
        <f>Results!#REF!</f>
        <v/>
      </c>
      <c r="CB156" s="75">
        <f>Results!#REF!</f>
        <v/>
      </c>
      <c r="CC156" s="75">
        <f>Results!#REF!</f>
        <v/>
      </c>
      <c r="CE156" s="75" t="n">
        <v>160</v>
      </c>
      <c r="CF156" s="75">
        <f>Retailers!BN155</f>
        <v/>
      </c>
      <c r="CG156" s="75">
        <f>Retailers!BO155</f>
        <v/>
      </c>
      <c r="CH156" s="75">
        <f>Retailers!BP155</f>
        <v/>
      </c>
      <c r="CJ156" s="75" t="n">
        <v>160</v>
      </c>
      <c r="CK156" s="75">
        <f>IF(BB156="ret=0",0,IF(BB156&gt;0,AR156+Distributors_Cap!$P$47-BB156,0))</f>
        <v/>
      </c>
      <c r="CL156" s="75">
        <f>IF(BC156="ret=0",0,IF(BC156&gt;0,AS156+Distributors_Cap!$P$47-BC156,0))</f>
        <v/>
      </c>
      <c r="CM156" s="75">
        <f>IF(BD156="ret=0",0,IF(BD156&gt;0,AT156+Distributors_Cap!$P$47-BD156,0))</f>
        <v/>
      </c>
    </row>
    <row r="157">
      <c r="G157" s="75" t="n">
        <v>161</v>
      </c>
      <c r="H157" s="75" t="n">
        <v>60.751</v>
      </c>
      <c r="I157" s="75" t="n">
        <v>59.798</v>
      </c>
      <c r="J157" s="75" t="n">
        <v>70.583</v>
      </c>
      <c r="L157" s="75">
        <f>TRUNC((_xlfn.NORM.INV((RAND()),$K$7,$K$8)),0)</f>
        <v/>
      </c>
      <c r="M157" s="75" t="n">
        <v>161</v>
      </c>
      <c r="N157" s="5" t="n">
        <v>17</v>
      </c>
      <c r="O157" s="5" t="n">
        <v>17</v>
      </c>
      <c r="P157" s="5" t="n">
        <v>33</v>
      </c>
      <c r="R157" s="2">
        <f>IF(N157&gt;Demand!AU174,0,(IF(((2*(Retailers!AJ156+Distributors_Cap!$P$47)-Retailers_Cap!$BB$7)*(Demand!AU174-Retailers_Cap!N157))&lt;0,0,((IF(BB157&gt;2*(Retailers!AJ156+Distributors_Cap!$P$47),0,(IF(BG157=0,ROUNDUP((2*(Retailers!AJ156+Distributors_Cap!$P$47)-BB157)^0.5,0),ROUNDUP((2*(Retailers!AJ156+Distributors_Cap!$P$47)-BB157)^0.5,0)))))))))</f>
        <v/>
      </c>
      <c r="S157" s="2">
        <f>IF(O157&gt;Demand!AV174,0,(IF(((2*(Retailers!AK156+Distributors_Cap!$P$47)-Retailers_Cap!$BB$7)*(Demand!AV174-Retailers_Cap!O157))&lt;0,0,((IF(BC157&gt;2*(Retailers!AK156+Distributors_Cap!$P$47),0,(IF(BH157=0,ROUNDUP((2*(Retailers!AK156+Distributors_Cap!$P$47)-BC157)^0.5,0),ROUNDUP((2*(Retailers!AK156+Distributors_Cap!$P$47)-BC157)^0.5,0)))))))))</f>
        <v/>
      </c>
      <c r="T157" s="2">
        <f>IF(P157&gt;Demand!AW174,0,(IF(((2*(Retailers!AL156+Distributors_Cap!$P$47)-Retailers_Cap!$BB$7)*(Demand!AW174-Retailers_Cap!P157))&lt;0,0,((IF(BD157&gt;2*(Retailers!AL156+Distributors_Cap!$P$47),0,(IF(BI157=0,ROUNDUP((2*(Retailers!AL156+Distributors_Cap!$P$47)-BD157)^0.5,0),ROUNDUP((2*(Retailers!AL156+Distributors_Cap!$P$47)-BD157)^0.5,0)))))))))</f>
        <v/>
      </c>
      <c r="W157" s="75" t="n">
        <v>161</v>
      </c>
      <c r="X157" s="9" t="n">
        <v>0</v>
      </c>
      <c r="Y157" s="9" t="n">
        <v>13</v>
      </c>
      <c r="Z157" s="9" t="n">
        <v>0</v>
      </c>
      <c r="AB157" s="2">
        <f>ROUNDDOWN(LOG((X157+1),2),0)</f>
        <v/>
      </c>
      <c r="AC157" s="2">
        <f>ROUNDDOWN(LOG((Y157+1),2),0)</f>
        <v/>
      </c>
      <c r="AD157" s="2">
        <f>ROUNDDOWN(LOG((Z157+1),2),0)</f>
        <v/>
      </c>
      <c r="AG157" s="75" t="n">
        <v>161</v>
      </c>
      <c r="AH157" s="9" t="n">
        <v>0</v>
      </c>
      <c r="AI157" s="9" t="n">
        <v>3</v>
      </c>
      <c r="AJ157" s="9" t="n">
        <v>0</v>
      </c>
      <c r="AQ157" s="75" t="n">
        <v>161</v>
      </c>
      <c r="AR157" s="75" t="n">
        <v>60.751</v>
      </c>
      <c r="AS157" s="75" t="n">
        <v>59.798</v>
      </c>
      <c r="AT157" s="75" t="n">
        <v>70.583</v>
      </c>
      <c r="AV157" s="75" t="n">
        <v>161</v>
      </c>
      <c r="AW157" s="75">
        <f>Beginning_stock!AT185</f>
        <v/>
      </c>
      <c r="AX157" s="75">
        <f>Beginning_stock!AU185</f>
        <v/>
      </c>
      <c r="AY157" s="75">
        <f>Beginning_stock!AV185</f>
        <v/>
      </c>
      <c r="BA157" s="75" t="n">
        <v>161</v>
      </c>
      <c r="BB157" s="75">
        <f>IF(Demand!AU174=Retailers_Cap!N157,"ret=0",(AW157/(Demand!AU174-Retailers_Cap!N157)))</f>
        <v/>
      </c>
      <c r="BC157" s="75">
        <f>IF(Demand!AV174=Retailers_Cap!O157,"ret=0",(AX157/(Demand!AV174-Retailers_Cap!O157)))</f>
        <v/>
      </c>
      <c r="BD157" s="75">
        <f>IF(Demand!AW174=Retailers_Cap!P157,"ret=0",(AY157/(Demand!AW174-Retailers_Cap!P157)))</f>
        <v/>
      </c>
      <c r="BF157" s="75" t="n">
        <v>161</v>
      </c>
      <c r="BG157" s="2">
        <f>IF(Demand!AU174&lt;=Retailers_Cap!N157,"ret=0",(IF(BB157&lt;=AR157+Distributors_Cap!$P$47,1,0)))</f>
        <v/>
      </c>
      <c r="BH157" s="2">
        <f>IF(Demand!AV174&lt;=Retailers_Cap!O157,"ret=0",(IF(BC157&lt;=AS157+Distributors_Cap!$P$47,1,0)))</f>
        <v/>
      </c>
      <c r="BI157" s="2">
        <f>IF(Demand!AW174&lt;=Retailers_Cap!P157,"ret=0",(IF(BD157&lt;=AT157+Distributors_Cap!$P$47,1,0)))</f>
        <v/>
      </c>
      <c r="BK157" s="75" t="n">
        <v>161</v>
      </c>
      <c r="BL157" s="75">
        <f>Retailers!BH156</f>
        <v/>
      </c>
      <c r="BM157" s="75">
        <f>Retailers!BI156</f>
        <v/>
      </c>
      <c r="BN157" s="75">
        <f>Retailers!BJ156</f>
        <v/>
      </c>
      <c r="BP157" s="75" t="n">
        <v>161</v>
      </c>
      <c r="BQ157" s="75">
        <f>#REF!</f>
        <v/>
      </c>
      <c r="BR157" s="75">
        <f>#REF!</f>
        <v/>
      </c>
      <c r="BS157" s="75">
        <f>#REF!</f>
        <v/>
      </c>
      <c r="BU157" s="75" t="n">
        <v>161</v>
      </c>
      <c r="BV157" s="75">
        <f>Retailers!AS156</f>
        <v/>
      </c>
      <c r="BW157" s="75">
        <f>Retailers!AT156</f>
        <v/>
      </c>
      <c r="BX157" s="75">
        <f>Retailers!AU156</f>
        <v/>
      </c>
      <c r="BZ157" s="75" t="n">
        <v>161</v>
      </c>
      <c r="CA157" s="75">
        <f>Results!#REF!</f>
        <v/>
      </c>
      <c r="CB157" s="75">
        <f>Results!#REF!</f>
        <v/>
      </c>
      <c r="CC157" s="75">
        <f>Results!#REF!</f>
        <v/>
      </c>
      <c r="CE157" s="75" t="n">
        <v>161</v>
      </c>
      <c r="CF157" s="75">
        <f>Retailers!BN156</f>
        <v/>
      </c>
      <c r="CG157" s="75">
        <f>Retailers!BO156</f>
        <v/>
      </c>
      <c r="CH157" s="75">
        <f>Retailers!BP156</f>
        <v/>
      </c>
      <c r="CJ157" s="75" t="n">
        <v>161</v>
      </c>
      <c r="CK157" s="75">
        <f>IF(BB157="ret=0",0,IF(BB157&gt;0,AR157+Distributors_Cap!$P$47-BB157,0))</f>
        <v/>
      </c>
      <c r="CL157" s="75">
        <f>IF(BC157="ret=0",0,IF(BC157&gt;0,AS157+Distributors_Cap!$P$47-BC157,0))</f>
        <v/>
      </c>
      <c r="CM157" s="75">
        <f>IF(BD157="ret=0",0,IF(BD157&gt;0,AT157+Distributors_Cap!$P$47-BD157,0))</f>
        <v/>
      </c>
    </row>
    <row r="158">
      <c r="G158" s="75" t="n">
        <v>162</v>
      </c>
      <c r="H158" s="75" t="n">
        <v>61.856</v>
      </c>
      <c r="I158" s="75" t="n">
        <v>52.404</v>
      </c>
      <c r="J158" s="75" t="n">
        <v>67.47499999999999</v>
      </c>
      <c r="L158" s="75">
        <f>TRUNC((_xlfn.NORM.INV((RAND()),$K$7,$K$8)),0)</f>
        <v/>
      </c>
      <c r="M158" s="75" t="n">
        <v>162</v>
      </c>
      <c r="N158" s="5" t="n">
        <v>21</v>
      </c>
      <c r="O158" s="5" t="n">
        <v>21</v>
      </c>
      <c r="P158" s="5" t="n">
        <v>29</v>
      </c>
      <c r="R158" s="2">
        <f>IF(N158&gt;Demand!AU175,0,(IF(((2*(Retailers!AJ157+Distributors_Cap!$P$47)-Retailers_Cap!$BB$7)*(Demand!AU175-Retailers_Cap!N158))&lt;0,0,((IF(BB158&gt;2*(Retailers!AJ157+Distributors_Cap!$P$47),0,(IF(BG158=0,ROUNDUP((2*(Retailers!AJ157+Distributors_Cap!$P$47)-BB158)^0.5,0),ROUNDUP((2*(Retailers!AJ157+Distributors_Cap!$P$47)-BB158)^0.5,0)))))))))</f>
        <v/>
      </c>
      <c r="S158" s="2">
        <f>IF(O158&gt;Demand!AV175,0,(IF(((2*(Retailers!AK157+Distributors_Cap!$P$47)-Retailers_Cap!$BB$7)*(Demand!AV175-Retailers_Cap!O158))&lt;0,0,((IF(BC158&gt;2*(Retailers!AK157+Distributors_Cap!$P$47),0,(IF(BH158=0,ROUNDUP((2*(Retailers!AK157+Distributors_Cap!$P$47)-BC158)^0.5,0),ROUNDUP((2*(Retailers!AK157+Distributors_Cap!$P$47)-BC158)^0.5,0)))))))))</f>
        <v/>
      </c>
      <c r="T158" s="2">
        <f>IF(P158&gt;Demand!AW175,0,(IF(((2*(Retailers!AL157+Distributors_Cap!$P$47)-Retailers_Cap!$BB$7)*(Demand!AW175-Retailers_Cap!P158))&lt;0,0,((IF(BD158&gt;2*(Retailers!AL157+Distributors_Cap!$P$47),0,(IF(BI158=0,ROUNDUP((2*(Retailers!AL157+Distributors_Cap!$P$47)-BD158)^0.5,0),ROUNDUP((2*(Retailers!AL157+Distributors_Cap!$P$47)-BD158)^0.5,0)))))))))</f>
        <v/>
      </c>
      <c r="W158" s="75" t="n">
        <v>162</v>
      </c>
      <c r="X158" s="9" t="n">
        <v>13</v>
      </c>
      <c r="Y158" s="9" t="n">
        <v>12</v>
      </c>
      <c r="Z158" s="9" t="n">
        <v>13</v>
      </c>
      <c r="AB158" s="2">
        <f>ROUNDDOWN(LOG((X158+1),2),0)</f>
        <v/>
      </c>
      <c r="AC158" s="2">
        <f>ROUNDDOWN(LOG((Y158+1),2),0)</f>
        <v/>
      </c>
      <c r="AD158" s="2">
        <f>ROUNDDOWN(LOG((Z158+1),2),0)</f>
        <v/>
      </c>
      <c r="AG158" s="75" t="n">
        <v>162</v>
      </c>
      <c r="AH158" s="9" t="n">
        <v>3</v>
      </c>
      <c r="AI158" s="9" t="n">
        <v>3</v>
      </c>
      <c r="AJ158" s="9" t="n">
        <v>3</v>
      </c>
      <c r="AQ158" s="75" t="n">
        <v>162</v>
      </c>
      <c r="AR158" s="75" t="n">
        <v>61.856</v>
      </c>
      <c r="AS158" s="75" t="n">
        <v>52.404</v>
      </c>
      <c r="AT158" s="75" t="n">
        <v>67.47499999999999</v>
      </c>
      <c r="AV158" s="75" t="n">
        <v>162</v>
      </c>
      <c r="AW158" s="75">
        <f>Beginning_stock!AT186</f>
        <v/>
      </c>
      <c r="AX158" s="75">
        <f>Beginning_stock!AU186</f>
        <v/>
      </c>
      <c r="AY158" s="75">
        <f>Beginning_stock!AV186</f>
        <v/>
      </c>
      <c r="BA158" s="75" t="n">
        <v>162</v>
      </c>
      <c r="BB158" s="75">
        <f>IF(Demand!AU175=Retailers_Cap!N158,"ret=0",(AW158/(Demand!AU175-Retailers_Cap!N158)))</f>
        <v/>
      </c>
      <c r="BC158" s="75">
        <f>IF(Demand!AV175=Retailers_Cap!O158,"ret=0",(AX158/(Demand!AV175-Retailers_Cap!O158)))</f>
        <v/>
      </c>
      <c r="BD158" s="75">
        <f>IF(Demand!AW175=Retailers_Cap!P158,"ret=0",(AY158/(Demand!AW175-Retailers_Cap!P158)))</f>
        <v/>
      </c>
      <c r="BF158" s="75" t="n">
        <v>162</v>
      </c>
      <c r="BG158" s="2">
        <f>IF(Demand!AU175&lt;=Retailers_Cap!N158,"ret=0",(IF(BB158&lt;=AR158+Distributors_Cap!$P$47,1,0)))</f>
        <v/>
      </c>
      <c r="BH158" s="2">
        <f>IF(Demand!AV175&lt;=Retailers_Cap!O158,"ret=0",(IF(BC158&lt;=AS158+Distributors_Cap!$P$47,1,0)))</f>
        <v/>
      </c>
      <c r="BI158" s="2">
        <f>IF(Demand!AW175&lt;=Retailers_Cap!P158,"ret=0",(IF(BD158&lt;=AT158+Distributors_Cap!$P$47,1,0)))</f>
        <v/>
      </c>
      <c r="BK158" s="75" t="n">
        <v>162</v>
      </c>
      <c r="BL158" s="75">
        <f>Retailers!BH157</f>
        <v/>
      </c>
      <c r="BM158" s="75">
        <f>Retailers!BI157</f>
        <v/>
      </c>
      <c r="BN158" s="75">
        <f>Retailers!BJ157</f>
        <v/>
      </c>
      <c r="BP158" s="75" t="n">
        <v>162</v>
      </c>
      <c r="BQ158" s="75">
        <f>#REF!</f>
        <v/>
      </c>
      <c r="BR158" s="75">
        <f>#REF!</f>
        <v/>
      </c>
      <c r="BS158" s="75">
        <f>#REF!</f>
        <v/>
      </c>
      <c r="BU158" s="75" t="n">
        <v>162</v>
      </c>
      <c r="BV158" s="75">
        <f>Retailers!AS157</f>
        <v/>
      </c>
      <c r="BW158" s="75">
        <f>Retailers!AT157</f>
        <v/>
      </c>
      <c r="BX158" s="75">
        <f>Retailers!AU157</f>
        <v/>
      </c>
      <c r="BZ158" s="75" t="n">
        <v>162</v>
      </c>
      <c r="CA158" s="75">
        <f>Results!#REF!</f>
        <v/>
      </c>
      <c r="CB158" s="75">
        <f>Results!#REF!</f>
        <v/>
      </c>
      <c r="CC158" s="75">
        <f>Results!#REF!</f>
        <v/>
      </c>
      <c r="CE158" s="75" t="n">
        <v>162</v>
      </c>
      <c r="CF158" s="75">
        <f>Retailers!BN157</f>
        <v/>
      </c>
      <c r="CG158" s="75">
        <f>Retailers!BO157</f>
        <v/>
      </c>
      <c r="CH158" s="75">
        <f>Retailers!BP157</f>
        <v/>
      </c>
      <c r="CJ158" s="75" t="n">
        <v>162</v>
      </c>
      <c r="CK158" s="75">
        <f>IF(BB158="ret=0",0,IF(BB158&gt;0,AR158+Distributors_Cap!$P$47-BB158,0))</f>
        <v/>
      </c>
      <c r="CL158" s="75">
        <f>IF(BC158="ret=0",0,IF(BC158&gt;0,AS158+Distributors_Cap!$P$47-BC158,0))</f>
        <v/>
      </c>
      <c r="CM158" s="75">
        <f>IF(BD158="ret=0",0,IF(BD158&gt;0,AT158+Distributors_Cap!$P$47-BD158,0))</f>
        <v/>
      </c>
    </row>
    <row r="159">
      <c r="G159" s="75" t="n">
        <v>163</v>
      </c>
      <c r="H159" s="75" t="n">
        <v>64.47199999999999</v>
      </c>
      <c r="I159" s="75" t="n">
        <v>52.843</v>
      </c>
      <c r="J159" s="75" t="n">
        <v>79.592</v>
      </c>
      <c r="L159" s="75">
        <f>TRUNC((_xlfn.NORM.INV((RAND()),$K$7,$K$8)),0)</f>
        <v/>
      </c>
      <c r="M159" s="75" t="n">
        <v>163</v>
      </c>
      <c r="N159" s="5" t="n">
        <v>21</v>
      </c>
      <c r="O159" s="5" t="n">
        <v>27</v>
      </c>
      <c r="P159" s="5" t="n">
        <v>27</v>
      </c>
      <c r="R159" s="2">
        <f>IF(N159&gt;Demand!AU176,0,(IF(((2*(Retailers!AJ158+Distributors_Cap!$P$47)-Retailers_Cap!$BB$7)*(Demand!AU176-Retailers_Cap!N159))&lt;0,0,((IF(BB159&gt;2*(Retailers!AJ158+Distributors_Cap!$P$47),0,(IF(BG159=0,ROUNDUP((2*(Retailers!AJ158+Distributors_Cap!$P$47)-BB159)^0.5,0),ROUNDUP((2*(Retailers!AJ158+Distributors_Cap!$P$47)-BB159)^0.5,0)))))))))</f>
        <v/>
      </c>
      <c r="S159" s="2">
        <f>IF(O159&gt;Demand!AV176,0,(IF(((2*(Retailers!AK158+Distributors_Cap!$P$47)-Retailers_Cap!$BB$7)*(Demand!AV176-Retailers_Cap!O159))&lt;0,0,((IF(BC159&gt;2*(Retailers!AK158+Distributors_Cap!$P$47),0,(IF(BH159=0,ROUNDUP((2*(Retailers!AK158+Distributors_Cap!$P$47)-BC159)^0.5,0),ROUNDUP((2*(Retailers!AK158+Distributors_Cap!$P$47)-BC159)^0.5,0)))))))))</f>
        <v/>
      </c>
      <c r="T159" s="2">
        <f>IF(P159&gt;Demand!AW176,0,(IF(((2*(Retailers!AL158+Distributors_Cap!$P$47)-Retailers_Cap!$BB$7)*(Demand!AW176-Retailers_Cap!P159))&lt;0,0,((IF(BD159&gt;2*(Retailers!AL158+Distributors_Cap!$P$47),0,(IF(BI159=0,ROUNDUP((2*(Retailers!AL158+Distributors_Cap!$P$47)-BD159)^0.5,0),ROUNDUP((2*(Retailers!AL158+Distributors_Cap!$P$47)-BD159)^0.5,0)))))))))</f>
        <v/>
      </c>
      <c r="W159" s="75" t="n">
        <v>163</v>
      </c>
      <c r="X159" s="9" t="n">
        <v>13</v>
      </c>
      <c r="Y159" s="9" t="n">
        <v>12</v>
      </c>
      <c r="Z159" s="9" t="n">
        <v>0</v>
      </c>
      <c r="AB159" s="2">
        <f>ROUNDDOWN(LOG((X159+1),2),0)</f>
        <v/>
      </c>
      <c r="AC159" s="2">
        <f>ROUNDDOWN(LOG((Y159+1),2),0)</f>
        <v/>
      </c>
      <c r="AD159" s="2">
        <f>ROUNDDOWN(LOG((Z159+1),2),0)</f>
        <v/>
      </c>
      <c r="AG159" s="75" t="n">
        <v>163</v>
      </c>
      <c r="AH159" s="9" t="n">
        <v>3</v>
      </c>
      <c r="AI159" s="9" t="n">
        <v>3</v>
      </c>
      <c r="AJ159" s="9" t="n">
        <v>0</v>
      </c>
      <c r="AQ159" s="75" t="n">
        <v>163</v>
      </c>
      <c r="AR159" s="75" t="n">
        <v>64.47199999999999</v>
      </c>
      <c r="AS159" s="75" t="n">
        <v>52.843</v>
      </c>
      <c r="AT159" s="75" t="n">
        <v>79.592</v>
      </c>
      <c r="AV159" s="75" t="n">
        <v>163</v>
      </c>
      <c r="AW159" s="75">
        <f>Beginning_stock!AT187</f>
        <v/>
      </c>
      <c r="AX159" s="75">
        <f>Beginning_stock!AU187</f>
        <v/>
      </c>
      <c r="AY159" s="75">
        <f>Beginning_stock!AV187</f>
        <v/>
      </c>
      <c r="BA159" s="75" t="n">
        <v>163</v>
      </c>
      <c r="BB159" s="75">
        <f>IF(Demand!AU176=Retailers_Cap!N159,"ret=0",(AW159/(Demand!AU176-Retailers_Cap!N159)))</f>
        <v/>
      </c>
      <c r="BC159" s="75">
        <f>IF(Demand!AV176=Retailers_Cap!O159,"ret=0",(AX159/(Demand!AV176-Retailers_Cap!O159)))</f>
        <v/>
      </c>
      <c r="BD159" s="75">
        <f>IF(Demand!AW176=Retailers_Cap!P159,"ret=0",(AY159/(Demand!AW176-Retailers_Cap!P159)))</f>
        <v/>
      </c>
      <c r="BF159" s="75" t="n">
        <v>163</v>
      </c>
      <c r="BG159" s="2">
        <f>IF(Demand!AU176&lt;=Retailers_Cap!N159,"ret=0",(IF(BB159&lt;=AR159+Distributors_Cap!$P$47,1,0)))</f>
        <v/>
      </c>
      <c r="BH159" s="2">
        <f>IF(Demand!AV176&lt;=Retailers_Cap!O159,"ret=0",(IF(BC159&lt;=AS159+Distributors_Cap!$P$47,1,0)))</f>
        <v/>
      </c>
      <c r="BI159" s="2">
        <f>IF(Demand!AW176&lt;=Retailers_Cap!P159,"ret=0",(IF(BD159&lt;=AT159+Distributors_Cap!$P$47,1,0)))</f>
        <v/>
      </c>
      <c r="BK159" s="75" t="n">
        <v>163</v>
      </c>
      <c r="BL159" s="75">
        <f>Retailers!BH158</f>
        <v/>
      </c>
      <c r="BM159" s="75">
        <f>Retailers!BI158</f>
        <v/>
      </c>
      <c r="BN159" s="75">
        <f>Retailers!BJ158</f>
        <v/>
      </c>
      <c r="BP159" s="75" t="n">
        <v>163</v>
      </c>
      <c r="BQ159" s="75">
        <f>#REF!</f>
        <v/>
      </c>
      <c r="BR159" s="75">
        <f>#REF!</f>
        <v/>
      </c>
      <c r="BS159" s="75">
        <f>#REF!</f>
        <v/>
      </c>
      <c r="BU159" s="75" t="n">
        <v>163</v>
      </c>
      <c r="BV159" s="75">
        <f>Retailers!AS158</f>
        <v/>
      </c>
      <c r="BW159" s="75">
        <f>Retailers!AT158</f>
        <v/>
      </c>
      <c r="BX159" s="75">
        <f>Retailers!AU158</f>
        <v/>
      </c>
      <c r="BZ159" s="75" t="n">
        <v>163</v>
      </c>
      <c r="CA159" s="75">
        <f>Results!#REF!</f>
        <v/>
      </c>
      <c r="CB159" s="75">
        <f>Results!#REF!</f>
        <v/>
      </c>
      <c r="CC159" s="75">
        <f>Results!#REF!</f>
        <v/>
      </c>
      <c r="CE159" s="75" t="n">
        <v>163</v>
      </c>
      <c r="CF159" s="75">
        <f>Retailers!BN158</f>
        <v/>
      </c>
      <c r="CG159" s="75">
        <f>Retailers!BO158</f>
        <v/>
      </c>
      <c r="CH159" s="75">
        <f>Retailers!BP158</f>
        <v/>
      </c>
      <c r="CJ159" s="75" t="n">
        <v>163</v>
      </c>
      <c r="CK159" s="75">
        <f>IF(BB159="ret=0",0,IF(BB159&gt;0,AR159+Distributors_Cap!$P$47-BB159,0))</f>
        <v/>
      </c>
      <c r="CL159" s="75">
        <f>IF(BC159="ret=0",0,IF(BC159&gt;0,AS159+Distributors_Cap!$P$47-BC159,0))</f>
        <v/>
      </c>
      <c r="CM159" s="75">
        <f>IF(BD159="ret=0",0,IF(BD159&gt;0,AT159+Distributors_Cap!$P$47-BD159,0))</f>
        <v/>
      </c>
    </row>
    <row r="160">
      <c r="G160" s="75" t="n">
        <v>164</v>
      </c>
      <c r="H160" s="75" t="n">
        <v>65.876</v>
      </c>
      <c r="I160" s="75" t="n">
        <v>75.011</v>
      </c>
      <c r="J160" s="75" t="n">
        <v>68.511</v>
      </c>
      <c r="L160" s="75">
        <f>TRUNC((_xlfn.NORM.INV((RAND()),$K$7,$K$8)),0)</f>
        <v/>
      </c>
      <c r="M160" s="75" t="n">
        <v>164</v>
      </c>
      <c r="N160" s="5" t="n">
        <v>36</v>
      </c>
      <c r="O160" s="5" t="n">
        <v>24</v>
      </c>
      <c r="P160" s="5" t="n">
        <v>31</v>
      </c>
      <c r="R160" s="2">
        <f>IF(N160&gt;Demand!AU177,0,(IF(((2*(Retailers!AJ159+Distributors_Cap!$P$47)-Retailers_Cap!$BB$7)*(Demand!AU177-Retailers_Cap!N160))&lt;0,0,((IF(BB160&gt;2*(Retailers!AJ159+Distributors_Cap!$P$47),0,(IF(BG160=0,ROUNDUP((2*(Retailers!AJ159+Distributors_Cap!$P$47)-BB160)^0.5,0),ROUNDUP((2*(Retailers!AJ159+Distributors_Cap!$P$47)-BB160)^0.5,0)))))))))</f>
        <v/>
      </c>
      <c r="S160" s="2">
        <f>IF(O160&gt;Demand!AV177,0,(IF(((2*(Retailers!AK159+Distributors_Cap!$P$47)-Retailers_Cap!$BB$7)*(Demand!AV177-Retailers_Cap!O160))&lt;0,0,((IF(BC160&gt;2*(Retailers!AK159+Distributors_Cap!$P$47),0,(IF(BH160=0,ROUNDUP((2*(Retailers!AK159+Distributors_Cap!$P$47)-BC160)^0.5,0),ROUNDUP((2*(Retailers!AK159+Distributors_Cap!$P$47)-BC160)^0.5,0)))))))))</f>
        <v/>
      </c>
      <c r="T160" s="2">
        <f>IF(P160&gt;Demand!AW177,0,(IF(((2*(Retailers!AL159+Distributors_Cap!$P$47)-Retailers_Cap!$BB$7)*(Demand!AW177-Retailers_Cap!P160))&lt;0,0,((IF(BD160&gt;2*(Retailers!AL159+Distributors_Cap!$P$47),0,(IF(BI160=0,ROUNDUP((2*(Retailers!AL159+Distributors_Cap!$P$47)-BD160)^0.5,0),ROUNDUP((2*(Retailers!AL159+Distributors_Cap!$P$47)-BD160)^0.5,0)))))))))</f>
        <v/>
      </c>
      <c r="W160" s="75" t="n">
        <v>164</v>
      </c>
      <c r="X160" s="9" t="n">
        <v>0</v>
      </c>
      <c r="Y160" s="9" t="n">
        <v>13</v>
      </c>
      <c r="Z160" s="9" t="n">
        <v>0</v>
      </c>
      <c r="AB160" s="2">
        <f>ROUNDDOWN(LOG((X160+1),2),0)</f>
        <v/>
      </c>
      <c r="AC160" s="2">
        <f>ROUNDDOWN(LOG((Y160+1),2),0)</f>
        <v/>
      </c>
      <c r="AD160" s="2">
        <f>ROUNDDOWN(LOG((Z160+1),2),0)</f>
        <v/>
      </c>
      <c r="AG160" s="75" t="n">
        <v>164</v>
      </c>
      <c r="AH160" s="9" t="n">
        <v>0</v>
      </c>
      <c r="AI160" s="9" t="n">
        <v>3</v>
      </c>
      <c r="AJ160" s="9" t="n">
        <v>0</v>
      </c>
      <c r="AQ160" s="75" t="n">
        <v>164</v>
      </c>
      <c r="AR160" s="75" t="n">
        <v>65.876</v>
      </c>
      <c r="AS160" s="75" t="n">
        <v>75.011</v>
      </c>
      <c r="AT160" s="75" t="n">
        <v>68.511</v>
      </c>
      <c r="AV160" s="75" t="n">
        <v>164</v>
      </c>
      <c r="AW160" s="75">
        <f>Beginning_stock!AT188</f>
        <v/>
      </c>
      <c r="AX160" s="75">
        <f>Beginning_stock!AU188</f>
        <v/>
      </c>
      <c r="AY160" s="75">
        <f>Beginning_stock!AV188</f>
        <v/>
      </c>
      <c r="BA160" s="75" t="n">
        <v>164</v>
      </c>
      <c r="BB160" s="75">
        <f>IF(Demand!AU177=Retailers_Cap!N160,"ret=0",(AW160/(Demand!AU177-Retailers_Cap!N160)))</f>
        <v/>
      </c>
      <c r="BC160" s="75">
        <f>IF(Demand!AV177=Retailers_Cap!O160,"ret=0",(AX160/(Demand!AV177-Retailers_Cap!O160)))</f>
        <v/>
      </c>
      <c r="BD160" s="75">
        <f>IF(Demand!AW177=Retailers_Cap!P160,"ret=0",(AY160/(Demand!AW177-Retailers_Cap!P160)))</f>
        <v/>
      </c>
      <c r="BF160" s="75" t="n">
        <v>164</v>
      </c>
      <c r="BG160" s="2">
        <f>IF(Demand!AU177&lt;=Retailers_Cap!N160,"ret=0",(IF(BB160&lt;=AR160+Distributors_Cap!$P$47,1,0)))</f>
        <v/>
      </c>
      <c r="BH160" s="2">
        <f>IF(Demand!AV177&lt;=Retailers_Cap!O160,"ret=0",(IF(BC160&lt;=AS160+Distributors_Cap!$P$47,1,0)))</f>
        <v/>
      </c>
      <c r="BI160" s="2">
        <f>IF(Demand!AW177&lt;=Retailers_Cap!P160,"ret=0",(IF(BD160&lt;=AT160+Distributors_Cap!$P$47,1,0)))</f>
        <v/>
      </c>
      <c r="BK160" s="75" t="n">
        <v>164</v>
      </c>
      <c r="BL160" s="75">
        <f>Retailers!BH159</f>
        <v/>
      </c>
      <c r="BM160" s="75">
        <f>Retailers!BI159</f>
        <v/>
      </c>
      <c r="BN160" s="75">
        <f>Retailers!BJ159</f>
        <v/>
      </c>
      <c r="BP160" s="75" t="n">
        <v>164</v>
      </c>
      <c r="BQ160" s="75">
        <f>#REF!</f>
        <v/>
      </c>
      <c r="BR160" s="75">
        <f>#REF!</f>
        <v/>
      </c>
      <c r="BS160" s="75">
        <f>#REF!</f>
        <v/>
      </c>
      <c r="BU160" s="75" t="n">
        <v>164</v>
      </c>
      <c r="BV160" s="75">
        <f>Retailers!AS159</f>
        <v/>
      </c>
      <c r="BW160" s="75">
        <f>Retailers!AT159</f>
        <v/>
      </c>
      <c r="BX160" s="75">
        <f>Retailers!AU159</f>
        <v/>
      </c>
      <c r="BZ160" s="75" t="n">
        <v>164</v>
      </c>
      <c r="CA160" s="75">
        <f>Results!#REF!</f>
        <v/>
      </c>
      <c r="CB160" s="75">
        <f>Results!#REF!</f>
        <v/>
      </c>
      <c r="CC160" s="75">
        <f>Results!#REF!</f>
        <v/>
      </c>
      <c r="CE160" s="75" t="n">
        <v>164</v>
      </c>
      <c r="CF160" s="75">
        <f>Retailers!BN159</f>
        <v/>
      </c>
      <c r="CG160" s="75">
        <f>Retailers!BO159</f>
        <v/>
      </c>
      <c r="CH160" s="75">
        <f>Retailers!BP159</f>
        <v/>
      </c>
      <c r="CJ160" s="75" t="n">
        <v>164</v>
      </c>
      <c r="CK160" s="75">
        <f>IF(BB160="ret=0",0,IF(BB160&gt;0,AR160+Distributors_Cap!$P$47-BB160,0))</f>
        <v/>
      </c>
      <c r="CL160" s="75">
        <f>IF(BC160="ret=0",0,IF(BC160&gt;0,AS160+Distributors_Cap!$P$47-BC160,0))</f>
        <v/>
      </c>
      <c r="CM160" s="75">
        <f>IF(BD160="ret=0",0,IF(BD160&gt;0,AT160+Distributors_Cap!$P$47-BD160,0))</f>
        <v/>
      </c>
    </row>
    <row r="161">
      <c r="G161" s="75" t="n">
        <v>165</v>
      </c>
      <c r="H161" s="75" t="n">
        <v>72.83</v>
      </c>
      <c r="I161" s="75" t="n">
        <v>58.869</v>
      </c>
      <c r="J161" s="75" t="n">
        <v>49.788</v>
      </c>
      <c r="L161" s="75">
        <f>TRUNC((_xlfn.NORM.INV((RAND()),$K$7,$K$8)),0)</f>
        <v/>
      </c>
      <c r="M161" s="75" t="n">
        <v>165</v>
      </c>
      <c r="N161" s="5" t="n">
        <v>35</v>
      </c>
      <c r="O161" s="5" t="n">
        <v>31</v>
      </c>
      <c r="P161" s="5" t="n">
        <v>32</v>
      </c>
      <c r="R161" s="2">
        <f>IF(N161&gt;Demand!AU178,0,(IF(((2*(Retailers!AJ160+Distributors_Cap!$P$47)-Retailers_Cap!$BB$7)*(Demand!AU178-Retailers_Cap!N161))&lt;0,0,((IF(BB161&gt;2*(Retailers!AJ160+Distributors_Cap!$P$47),0,(IF(BG161=0,ROUNDUP((2*(Retailers!AJ160+Distributors_Cap!$P$47)-BB161)^0.5,0),ROUNDUP((2*(Retailers!AJ160+Distributors_Cap!$P$47)-BB161)^0.5,0)))))))))</f>
        <v/>
      </c>
      <c r="S161" s="2">
        <f>IF(O161&gt;Demand!AV178,0,(IF(((2*(Retailers!AK160+Distributors_Cap!$P$47)-Retailers_Cap!$BB$7)*(Demand!AV178-Retailers_Cap!O161))&lt;0,0,((IF(BC161&gt;2*(Retailers!AK160+Distributors_Cap!$P$47),0,(IF(BH161=0,ROUNDUP((2*(Retailers!AK160+Distributors_Cap!$P$47)-BC161)^0.5,0),ROUNDUP((2*(Retailers!AK160+Distributors_Cap!$P$47)-BC161)^0.5,0)))))))))</f>
        <v/>
      </c>
      <c r="T161" s="2">
        <f>IF(P161&gt;Demand!AW178,0,(IF(((2*(Retailers!AL160+Distributors_Cap!$P$47)-Retailers_Cap!$BB$7)*(Demand!AW178-Retailers_Cap!P161))&lt;0,0,((IF(BD161&gt;2*(Retailers!AL160+Distributors_Cap!$P$47),0,(IF(BI161=0,ROUNDUP((2*(Retailers!AL160+Distributors_Cap!$P$47)-BD161)^0.5,0),ROUNDUP((2*(Retailers!AL160+Distributors_Cap!$P$47)-BD161)^0.5,0)))))))))</f>
        <v/>
      </c>
      <c r="W161" s="75" t="n">
        <v>165</v>
      </c>
      <c r="X161" s="9" t="n">
        <v>0</v>
      </c>
      <c r="Y161" s="9" t="n">
        <v>0</v>
      </c>
      <c r="Z161" s="9" t="n">
        <v>0</v>
      </c>
      <c r="AB161" s="2">
        <f>ROUNDDOWN(LOG((X161+1),2),0)</f>
        <v/>
      </c>
      <c r="AC161" s="2">
        <f>ROUNDDOWN(LOG((Y161+1),2),0)</f>
        <v/>
      </c>
      <c r="AD161" s="2">
        <f>ROUNDDOWN(LOG((Z161+1),2),0)</f>
        <v/>
      </c>
      <c r="AG161" s="75" t="n">
        <v>165</v>
      </c>
      <c r="AH161" s="9" t="n">
        <v>0</v>
      </c>
      <c r="AI161" s="9" t="n">
        <v>0</v>
      </c>
      <c r="AJ161" s="9" t="n">
        <v>0</v>
      </c>
      <c r="AQ161" s="75" t="n">
        <v>165</v>
      </c>
      <c r="AR161" s="75" t="n">
        <v>72.83</v>
      </c>
      <c r="AS161" s="75" t="n">
        <v>58.869</v>
      </c>
      <c r="AT161" s="75" t="n">
        <v>49.788</v>
      </c>
      <c r="AV161" s="75" t="n">
        <v>165</v>
      </c>
      <c r="AW161" s="75">
        <f>Beginning_stock!AT189</f>
        <v/>
      </c>
      <c r="AX161" s="75">
        <f>Beginning_stock!AU189</f>
        <v/>
      </c>
      <c r="AY161" s="75">
        <f>Beginning_stock!AV189</f>
        <v/>
      </c>
      <c r="BA161" s="75" t="n">
        <v>165</v>
      </c>
      <c r="BB161" s="75">
        <f>IF(Demand!AU178=Retailers_Cap!N161,"ret=0",(AW161/(Demand!AU178-Retailers_Cap!N161)))</f>
        <v/>
      </c>
      <c r="BC161" s="75">
        <f>IF(Demand!AV178=Retailers_Cap!O161,"ret=0",(AX161/(Demand!AV178-Retailers_Cap!O161)))</f>
        <v/>
      </c>
      <c r="BD161" s="75">
        <f>IF(Demand!AW178=Retailers_Cap!P161,"ret=0",(AY161/(Demand!AW178-Retailers_Cap!P161)))</f>
        <v/>
      </c>
      <c r="BF161" s="75" t="n">
        <v>165</v>
      </c>
      <c r="BG161" s="2">
        <f>IF(Demand!AU178&lt;=Retailers_Cap!N161,"ret=0",(IF(BB161&lt;=AR161+Distributors_Cap!$P$47,1,0)))</f>
        <v/>
      </c>
      <c r="BH161" s="2">
        <f>IF(Demand!AV178&lt;=Retailers_Cap!O161,"ret=0",(IF(BC161&lt;=AS161+Distributors_Cap!$P$47,1,0)))</f>
        <v/>
      </c>
      <c r="BI161" s="2">
        <f>IF(Demand!AW178&lt;=Retailers_Cap!P161,"ret=0",(IF(BD161&lt;=AT161+Distributors_Cap!$P$47,1,0)))</f>
        <v/>
      </c>
      <c r="BK161" s="75" t="n">
        <v>165</v>
      </c>
      <c r="BL161" s="75">
        <f>Retailers!BH160</f>
        <v/>
      </c>
      <c r="BM161" s="75">
        <f>Retailers!BI160</f>
        <v/>
      </c>
      <c r="BN161" s="75">
        <f>Retailers!BJ160</f>
        <v/>
      </c>
      <c r="BP161" s="75" t="n">
        <v>165</v>
      </c>
      <c r="BQ161" s="75">
        <f>#REF!</f>
        <v/>
      </c>
      <c r="BR161" s="75">
        <f>#REF!</f>
        <v/>
      </c>
      <c r="BS161" s="75">
        <f>#REF!</f>
        <v/>
      </c>
      <c r="BU161" s="75" t="n">
        <v>165</v>
      </c>
      <c r="BV161" s="75">
        <f>Retailers!AS160</f>
        <v/>
      </c>
      <c r="BW161" s="75">
        <f>Retailers!AT160</f>
        <v/>
      </c>
      <c r="BX161" s="75">
        <f>Retailers!AU160</f>
        <v/>
      </c>
      <c r="BZ161" s="75" t="n">
        <v>165</v>
      </c>
      <c r="CA161" s="75">
        <f>Results!#REF!</f>
        <v/>
      </c>
      <c r="CB161" s="75">
        <f>Results!#REF!</f>
        <v/>
      </c>
      <c r="CC161" s="75">
        <f>Results!#REF!</f>
        <v/>
      </c>
      <c r="CE161" s="75" t="n">
        <v>165</v>
      </c>
      <c r="CF161" s="75">
        <f>Retailers!BN160</f>
        <v/>
      </c>
      <c r="CG161" s="75">
        <f>Retailers!BO160</f>
        <v/>
      </c>
      <c r="CH161" s="75">
        <f>Retailers!BP160</f>
        <v/>
      </c>
      <c r="CJ161" s="75" t="n">
        <v>165</v>
      </c>
      <c r="CK161" s="75">
        <f>IF(BB161="ret=0",0,IF(BB161&gt;0,AR161+Distributors_Cap!$P$47-BB161,0))</f>
        <v/>
      </c>
      <c r="CL161" s="75">
        <f>IF(BC161="ret=0",0,IF(BC161&gt;0,AS161+Distributors_Cap!$P$47-BC161,0))</f>
        <v/>
      </c>
      <c r="CM161" s="75">
        <f>IF(BD161="ret=0",0,IF(BD161&gt;0,AT161+Distributors_Cap!$P$47-BD161,0))</f>
        <v/>
      </c>
    </row>
    <row r="162">
      <c r="G162" s="75" t="n">
        <v>166</v>
      </c>
      <c r="H162" s="75" t="n">
        <v>76.506</v>
      </c>
      <c r="I162" s="75" t="n">
        <v>50.165</v>
      </c>
      <c r="J162" s="75" t="n">
        <v>50.533</v>
      </c>
      <c r="L162" s="75">
        <f>TRUNC((_xlfn.NORM.INV((RAND()),$K$7,$K$8)),0)</f>
        <v/>
      </c>
      <c r="M162" s="75" t="n">
        <v>166</v>
      </c>
      <c r="N162" s="5" t="n">
        <v>33</v>
      </c>
      <c r="O162" s="5" t="n">
        <v>29</v>
      </c>
      <c r="P162" s="5" t="n">
        <v>28</v>
      </c>
      <c r="R162" s="2">
        <f>IF(N162&gt;Demand!AU179,0,(IF(((2*(Retailers!AJ161+Distributors_Cap!$P$47)-Retailers_Cap!$BB$7)*(Demand!AU179-Retailers_Cap!N162))&lt;0,0,((IF(BB162&gt;2*(Retailers!AJ161+Distributors_Cap!$P$47),0,(IF(BG162=0,ROUNDUP((2*(Retailers!AJ161+Distributors_Cap!$P$47)-BB162)^0.5,0),ROUNDUP((2*(Retailers!AJ161+Distributors_Cap!$P$47)-BB162)^0.5,0)))))))))</f>
        <v/>
      </c>
      <c r="S162" s="2">
        <f>IF(O162&gt;Demand!AV179,0,(IF(((2*(Retailers!AK161+Distributors_Cap!$P$47)-Retailers_Cap!$BB$7)*(Demand!AV179-Retailers_Cap!O162))&lt;0,0,((IF(BC162&gt;2*(Retailers!AK161+Distributors_Cap!$P$47),0,(IF(BH162=0,ROUNDUP((2*(Retailers!AK161+Distributors_Cap!$P$47)-BC162)^0.5,0),ROUNDUP((2*(Retailers!AK161+Distributors_Cap!$P$47)-BC162)^0.5,0)))))))))</f>
        <v/>
      </c>
      <c r="T162" s="2">
        <f>IF(P162&gt;Demand!AW179,0,(IF(((2*(Retailers!AL161+Distributors_Cap!$P$47)-Retailers_Cap!$BB$7)*(Demand!AW179-Retailers_Cap!P162))&lt;0,0,((IF(BD162&gt;2*(Retailers!AL161+Distributors_Cap!$P$47),0,(IF(BI162=0,ROUNDUP((2*(Retailers!AL161+Distributors_Cap!$P$47)-BD162)^0.5,0),ROUNDUP((2*(Retailers!AL161+Distributors_Cap!$P$47)-BD162)^0.5,0)))))))))</f>
        <v/>
      </c>
      <c r="W162" s="75" t="n">
        <v>166</v>
      </c>
      <c r="X162" s="9" t="n">
        <v>12</v>
      </c>
      <c r="Y162" s="9" t="n">
        <v>10</v>
      </c>
      <c r="Z162" s="9" t="n">
        <v>0</v>
      </c>
      <c r="AB162" s="2">
        <f>ROUNDDOWN(LOG((X162+1),2),0)</f>
        <v/>
      </c>
      <c r="AC162" s="2">
        <f>ROUNDDOWN(LOG((Y162+1),2),0)</f>
        <v/>
      </c>
      <c r="AD162" s="2">
        <f>ROUNDDOWN(LOG((Z162+1),2),0)</f>
        <v/>
      </c>
      <c r="AG162" s="75" t="n">
        <v>166</v>
      </c>
      <c r="AH162" s="9" t="n">
        <v>3</v>
      </c>
      <c r="AI162" s="9" t="n">
        <v>3</v>
      </c>
      <c r="AJ162" s="9" t="n">
        <v>0</v>
      </c>
      <c r="AQ162" s="75" t="n">
        <v>166</v>
      </c>
      <c r="AR162" s="75" t="n">
        <v>76.506</v>
      </c>
      <c r="AS162" s="75" t="n">
        <v>50.165</v>
      </c>
      <c r="AT162" s="75" t="n">
        <v>50.533</v>
      </c>
      <c r="AV162" s="75" t="n">
        <v>166</v>
      </c>
      <c r="AW162" s="75">
        <f>Beginning_stock!AT190</f>
        <v/>
      </c>
      <c r="AX162" s="75">
        <f>Beginning_stock!AU190</f>
        <v/>
      </c>
      <c r="AY162" s="75">
        <f>Beginning_stock!AV190</f>
        <v/>
      </c>
      <c r="BA162" s="75" t="n">
        <v>166</v>
      </c>
      <c r="BB162" s="75">
        <f>IF(Demand!AU179=Retailers_Cap!N162,"ret=0",(AW162/(Demand!AU179-Retailers_Cap!N162)))</f>
        <v/>
      </c>
      <c r="BC162" s="75">
        <f>IF(Demand!AV179=Retailers_Cap!O162,"ret=0",(AX162/(Demand!AV179-Retailers_Cap!O162)))</f>
        <v/>
      </c>
      <c r="BD162" s="75">
        <f>IF(Demand!AW179=Retailers_Cap!P162,"ret=0",(AY162/(Demand!AW179-Retailers_Cap!P162)))</f>
        <v/>
      </c>
      <c r="BF162" s="75" t="n">
        <v>166</v>
      </c>
      <c r="BG162" s="2">
        <f>IF(Demand!AU179&lt;=Retailers_Cap!N162,"ret=0",(IF(BB162&lt;=AR162+Distributors_Cap!$P$47,1,0)))</f>
        <v/>
      </c>
      <c r="BH162" s="2">
        <f>IF(Demand!AV179&lt;=Retailers_Cap!O162,"ret=0",(IF(BC162&lt;=AS162+Distributors_Cap!$P$47,1,0)))</f>
        <v/>
      </c>
      <c r="BI162" s="2">
        <f>IF(Demand!AW179&lt;=Retailers_Cap!P162,"ret=0",(IF(BD162&lt;=AT162+Distributors_Cap!$P$47,1,0)))</f>
        <v/>
      </c>
      <c r="BK162" s="75" t="n">
        <v>166</v>
      </c>
      <c r="BL162" s="75">
        <f>Retailers!BH161</f>
        <v/>
      </c>
      <c r="BM162" s="75">
        <f>Retailers!BI161</f>
        <v/>
      </c>
      <c r="BN162" s="75">
        <f>Retailers!BJ161</f>
        <v/>
      </c>
      <c r="BP162" s="75" t="n">
        <v>166</v>
      </c>
      <c r="BQ162" s="75">
        <f>#REF!</f>
        <v/>
      </c>
      <c r="BR162" s="75">
        <f>#REF!</f>
        <v/>
      </c>
      <c r="BS162" s="75">
        <f>#REF!</f>
        <v/>
      </c>
      <c r="BU162" s="75" t="n">
        <v>166</v>
      </c>
      <c r="BV162" s="75">
        <f>Retailers!AS161</f>
        <v/>
      </c>
      <c r="BW162" s="75">
        <f>Retailers!AT161</f>
        <v/>
      </c>
      <c r="BX162" s="75">
        <f>Retailers!AU161</f>
        <v/>
      </c>
      <c r="BZ162" s="75" t="n">
        <v>166</v>
      </c>
      <c r="CA162" s="75">
        <f>Results!#REF!</f>
        <v/>
      </c>
      <c r="CB162" s="75">
        <f>Results!#REF!</f>
        <v/>
      </c>
      <c r="CC162" s="75">
        <f>Results!#REF!</f>
        <v/>
      </c>
      <c r="CE162" s="75" t="n">
        <v>166</v>
      </c>
      <c r="CF162" s="75">
        <f>Retailers!BN161</f>
        <v/>
      </c>
      <c r="CG162" s="75">
        <f>Retailers!BO161</f>
        <v/>
      </c>
      <c r="CH162" s="75">
        <f>Retailers!BP161</f>
        <v/>
      </c>
      <c r="CJ162" s="75" t="n">
        <v>166</v>
      </c>
      <c r="CK162" s="75">
        <f>IF(BB162="ret=0",0,IF(BB162&gt;0,AR162+Distributors_Cap!$P$47-BB162,0))</f>
        <v/>
      </c>
      <c r="CL162" s="75">
        <f>IF(BC162="ret=0",0,IF(BC162&gt;0,AS162+Distributors_Cap!$P$47-BC162,0))</f>
        <v/>
      </c>
      <c r="CM162" s="75">
        <f>IF(BD162="ret=0",0,IF(BD162&gt;0,AT162+Distributors_Cap!$P$47-BD162,0))</f>
        <v/>
      </c>
    </row>
    <row r="163">
      <c r="G163" s="75" t="n">
        <v>167</v>
      </c>
      <c r="H163" s="75" t="n">
        <v>45.813</v>
      </c>
      <c r="I163" s="75" t="n">
        <v>41.149</v>
      </c>
      <c r="J163" s="75" t="n">
        <v>77.059</v>
      </c>
      <c r="L163" s="75">
        <f>TRUNC((_xlfn.NORM.INV((RAND()),$K$7,$K$8)),0)</f>
        <v/>
      </c>
      <c r="M163" s="75" t="n">
        <v>167</v>
      </c>
      <c r="N163" s="5" t="n">
        <v>30</v>
      </c>
      <c r="O163" s="5" t="n">
        <v>20</v>
      </c>
      <c r="P163" s="5" t="n">
        <v>20</v>
      </c>
      <c r="R163" s="2">
        <f>IF(N163&gt;Demand!AU180,0,(IF(((2*(Retailers!AJ162+Distributors_Cap!$P$47)-Retailers_Cap!$BB$7)*(Demand!AU180-Retailers_Cap!N163))&lt;0,0,((IF(BB163&gt;2*(Retailers!AJ162+Distributors_Cap!$P$47),0,(IF(BG163=0,ROUNDUP((2*(Retailers!AJ162+Distributors_Cap!$P$47)-BB163)^0.5,0),ROUNDUP((2*(Retailers!AJ162+Distributors_Cap!$P$47)-BB163)^0.5,0)))))))))</f>
        <v/>
      </c>
      <c r="S163" s="2">
        <f>IF(O163&gt;Demand!AV180,0,(IF(((2*(Retailers!AK162+Distributors_Cap!$P$47)-Retailers_Cap!$BB$7)*(Demand!AV180-Retailers_Cap!O163))&lt;0,0,((IF(BC163&gt;2*(Retailers!AK162+Distributors_Cap!$P$47),0,(IF(BH163=0,ROUNDUP((2*(Retailers!AK162+Distributors_Cap!$P$47)-BC163)^0.5,0),ROUNDUP((2*(Retailers!AK162+Distributors_Cap!$P$47)-BC163)^0.5,0)))))))))</f>
        <v/>
      </c>
      <c r="T163" s="2">
        <f>IF(P163&gt;Demand!AW180,0,(IF(((2*(Retailers!AL162+Distributors_Cap!$P$47)-Retailers_Cap!$BB$7)*(Demand!AW180-Retailers_Cap!P163))&lt;0,0,((IF(BD163&gt;2*(Retailers!AL162+Distributors_Cap!$P$47),0,(IF(BI163=0,ROUNDUP((2*(Retailers!AL162+Distributors_Cap!$P$47)-BD163)^0.5,0),ROUNDUP((2*(Retailers!AL162+Distributors_Cap!$P$47)-BD163)^0.5,0)))))))))</f>
        <v/>
      </c>
      <c r="W163" s="75" t="n">
        <v>167</v>
      </c>
      <c r="X163" s="9" t="n">
        <v>0</v>
      </c>
      <c r="Y163" s="9" t="n">
        <v>0</v>
      </c>
      <c r="Z163" s="9" t="n">
        <v>14</v>
      </c>
      <c r="AB163" s="2">
        <f>ROUNDDOWN(LOG((X163+1),2),0)</f>
        <v/>
      </c>
      <c r="AC163" s="2">
        <f>ROUNDDOWN(LOG((Y163+1),2),0)</f>
        <v/>
      </c>
      <c r="AD163" s="2">
        <f>ROUNDDOWN(LOG((Z163+1),2),0)</f>
        <v/>
      </c>
      <c r="AG163" s="75" t="n">
        <v>167</v>
      </c>
      <c r="AH163" s="9" t="n">
        <v>0</v>
      </c>
      <c r="AI163" s="9" t="n">
        <v>0</v>
      </c>
      <c r="AJ163" s="9" t="n">
        <v>3</v>
      </c>
      <c r="AQ163" s="75" t="n">
        <v>167</v>
      </c>
      <c r="AR163" s="75" t="n">
        <v>45.813</v>
      </c>
      <c r="AS163" s="75" t="n">
        <v>41.149</v>
      </c>
      <c r="AT163" s="75" t="n">
        <v>77.059</v>
      </c>
      <c r="AV163" s="75" t="n">
        <v>167</v>
      </c>
      <c r="AW163" s="75">
        <f>Beginning_stock!AT191</f>
        <v/>
      </c>
      <c r="AX163" s="75">
        <f>Beginning_stock!AU191</f>
        <v/>
      </c>
      <c r="AY163" s="75">
        <f>Beginning_stock!AV191</f>
        <v/>
      </c>
      <c r="BA163" s="75" t="n">
        <v>167</v>
      </c>
      <c r="BB163" s="75">
        <f>IF(Demand!AU180=Retailers_Cap!N163,"ret=0",(AW163/(Demand!AU180-Retailers_Cap!N163)))</f>
        <v/>
      </c>
      <c r="BC163" s="75">
        <f>IF(Demand!AV180=Retailers_Cap!O163,"ret=0",(AX163/(Demand!AV180-Retailers_Cap!O163)))</f>
        <v/>
      </c>
      <c r="BD163" s="75">
        <f>IF(Demand!AW180=Retailers_Cap!P163,"ret=0",(AY163/(Demand!AW180-Retailers_Cap!P163)))</f>
        <v/>
      </c>
      <c r="BF163" s="75" t="n">
        <v>167</v>
      </c>
      <c r="BG163" s="2">
        <f>IF(Demand!AU180&lt;=Retailers_Cap!N163,"ret=0",(IF(BB163&lt;=AR163+Distributors_Cap!$P$47,1,0)))</f>
        <v/>
      </c>
      <c r="BH163" s="2">
        <f>IF(Demand!AV180&lt;=Retailers_Cap!O163,"ret=0",(IF(BC163&lt;=AS163+Distributors_Cap!$P$47,1,0)))</f>
        <v/>
      </c>
      <c r="BI163" s="2">
        <f>IF(Demand!AW180&lt;=Retailers_Cap!P163,"ret=0",(IF(BD163&lt;=AT163+Distributors_Cap!$P$47,1,0)))</f>
        <v/>
      </c>
      <c r="BK163" s="75" t="n">
        <v>167</v>
      </c>
      <c r="BL163" s="75">
        <f>Retailers!BH162</f>
        <v/>
      </c>
      <c r="BM163" s="75">
        <f>Retailers!BI162</f>
        <v/>
      </c>
      <c r="BN163" s="75">
        <f>Retailers!BJ162</f>
        <v/>
      </c>
      <c r="BP163" s="75" t="n">
        <v>167</v>
      </c>
      <c r="BQ163" s="75">
        <f>#REF!</f>
        <v/>
      </c>
      <c r="BR163" s="75">
        <f>#REF!</f>
        <v/>
      </c>
      <c r="BS163" s="75">
        <f>#REF!</f>
        <v/>
      </c>
      <c r="BU163" s="75" t="n">
        <v>167</v>
      </c>
      <c r="BV163" s="75">
        <f>Retailers!AS162</f>
        <v/>
      </c>
      <c r="BW163" s="75">
        <f>Retailers!AT162</f>
        <v/>
      </c>
      <c r="BX163" s="75">
        <f>Retailers!AU162</f>
        <v/>
      </c>
      <c r="BZ163" s="75" t="n">
        <v>167</v>
      </c>
      <c r="CA163" s="75">
        <f>Results!#REF!</f>
        <v/>
      </c>
      <c r="CB163" s="75">
        <f>Results!#REF!</f>
        <v/>
      </c>
      <c r="CC163" s="75">
        <f>Results!#REF!</f>
        <v/>
      </c>
      <c r="CE163" s="75" t="n">
        <v>167</v>
      </c>
      <c r="CF163" s="75">
        <f>Retailers!BN162</f>
        <v/>
      </c>
      <c r="CG163" s="75">
        <f>Retailers!BO162</f>
        <v/>
      </c>
      <c r="CH163" s="75">
        <f>Retailers!BP162</f>
        <v/>
      </c>
      <c r="CJ163" s="75" t="n">
        <v>167</v>
      </c>
      <c r="CK163" s="75">
        <f>IF(BB163="ret=0",0,IF(BB163&gt;0,AR163+Distributors_Cap!$P$47-BB163,0))</f>
        <v/>
      </c>
      <c r="CL163" s="75">
        <f>IF(BC163="ret=0",0,IF(BC163&gt;0,AS163+Distributors_Cap!$P$47-BC163,0))</f>
        <v/>
      </c>
      <c r="CM163" s="75">
        <f>IF(BD163="ret=0",0,IF(BD163&gt;0,AT163+Distributors_Cap!$P$47-BD163,0))</f>
        <v/>
      </c>
    </row>
    <row r="164">
      <c r="G164" s="75" t="n">
        <v>168</v>
      </c>
      <c r="H164" s="75" t="n">
        <v>74.404</v>
      </c>
      <c r="I164" s="75" t="n">
        <v>58.803</v>
      </c>
      <c r="J164" s="75" t="n">
        <v>49.815</v>
      </c>
      <c r="L164" s="75">
        <f>TRUNC((_xlfn.NORM.INV((RAND()),$K$7,$K$8)),0)</f>
        <v/>
      </c>
      <c r="M164" s="75" t="n">
        <v>168</v>
      </c>
      <c r="N164" s="5" t="n">
        <v>32</v>
      </c>
      <c r="O164" s="5" t="n">
        <v>35</v>
      </c>
      <c r="P164" s="5" t="n">
        <v>21</v>
      </c>
      <c r="R164" s="2">
        <f>IF(N164&gt;Demand!AU181,0,(IF(((2*(Retailers!AJ163+Distributors_Cap!$P$47)-Retailers_Cap!$BB$7)*(Demand!AU181-Retailers_Cap!N164))&lt;0,0,((IF(BB164&gt;2*(Retailers!AJ163+Distributors_Cap!$P$47),0,(IF(BG164=0,ROUNDUP((2*(Retailers!AJ163+Distributors_Cap!$P$47)-BB164)^0.5,0),ROUNDUP((2*(Retailers!AJ163+Distributors_Cap!$P$47)-BB164)^0.5,0)))))))))</f>
        <v/>
      </c>
      <c r="S164" s="2">
        <f>IF(O164&gt;Demand!AV181,0,(IF(((2*(Retailers!AK163+Distributors_Cap!$P$47)-Retailers_Cap!$BB$7)*(Demand!AV181-Retailers_Cap!O164))&lt;0,0,((IF(BC164&gt;2*(Retailers!AK163+Distributors_Cap!$P$47),0,(IF(BH164=0,ROUNDUP((2*(Retailers!AK163+Distributors_Cap!$P$47)-BC164)^0.5,0),ROUNDUP((2*(Retailers!AK163+Distributors_Cap!$P$47)-BC164)^0.5,0)))))))))</f>
        <v/>
      </c>
      <c r="T164" s="2">
        <f>IF(P164&gt;Demand!AW181,0,(IF(((2*(Retailers!AL163+Distributors_Cap!$P$47)-Retailers_Cap!$BB$7)*(Demand!AW181-Retailers_Cap!P164))&lt;0,0,((IF(BD164&gt;2*(Retailers!AL163+Distributors_Cap!$P$47),0,(IF(BI164=0,ROUNDUP((2*(Retailers!AL163+Distributors_Cap!$P$47)-BD164)^0.5,0),ROUNDUP((2*(Retailers!AL163+Distributors_Cap!$P$47)-BD164)^0.5,0)))))))))</f>
        <v/>
      </c>
      <c r="W164" s="75" t="n">
        <v>168</v>
      </c>
      <c r="X164" s="9" t="n">
        <v>0</v>
      </c>
      <c r="Y164" s="9" t="n">
        <v>0</v>
      </c>
      <c r="Z164" s="9" t="n">
        <v>12</v>
      </c>
      <c r="AB164" s="2">
        <f>ROUNDDOWN(LOG((X164+1),2),0)</f>
        <v/>
      </c>
      <c r="AC164" s="2">
        <f>ROUNDDOWN(LOG((Y164+1),2),0)</f>
        <v/>
      </c>
      <c r="AD164" s="2">
        <f>ROUNDDOWN(LOG((Z164+1),2),0)</f>
        <v/>
      </c>
      <c r="AG164" s="75" t="n">
        <v>168</v>
      </c>
      <c r="AH164" s="9" t="n">
        <v>0</v>
      </c>
      <c r="AI164" s="9" t="n">
        <v>0</v>
      </c>
      <c r="AJ164" s="9" t="n">
        <v>3</v>
      </c>
      <c r="AQ164" s="75" t="n">
        <v>168</v>
      </c>
      <c r="AR164" s="75" t="n">
        <v>74.404</v>
      </c>
      <c r="AS164" s="75" t="n">
        <v>58.803</v>
      </c>
      <c r="AT164" s="75" t="n">
        <v>49.815</v>
      </c>
      <c r="AV164" s="75" t="n">
        <v>168</v>
      </c>
      <c r="AW164" s="75">
        <f>Beginning_stock!AT192</f>
        <v/>
      </c>
      <c r="AX164" s="75">
        <f>Beginning_stock!AU192</f>
        <v/>
      </c>
      <c r="AY164" s="75">
        <f>Beginning_stock!AV192</f>
        <v/>
      </c>
      <c r="BA164" s="75" t="n">
        <v>168</v>
      </c>
      <c r="BB164" s="75">
        <f>IF(Demand!AU181=Retailers_Cap!N164,"ret=0",(AW164/(Demand!AU181-Retailers_Cap!N164)))</f>
        <v/>
      </c>
      <c r="BC164" s="75">
        <f>IF(Demand!AV181=Retailers_Cap!O164,"ret=0",(AX164/(Demand!AV181-Retailers_Cap!O164)))</f>
        <v/>
      </c>
      <c r="BD164" s="75">
        <f>IF(Demand!AW181=Retailers_Cap!P164,"ret=0",(AY164/(Demand!AW181-Retailers_Cap!P164)))</f>
        <v/>
      </c>
      <c r="BF164" s="75" t="n">
        <v>168</v>
      </c>
      <c r="BG164" s="2">
        <f>IF(Demand!AU181&lt;=Retailers_Cap!N164,"ret=0",(IF(BB164&lt;=AR164+Distributors_Cap!$P$47,1,0)))</f>
        <v/>
      </c>
      <c r="BH164" s="2">
        <f>IF(Demand!AV181&lt;=Retailers_Cap!O164,"ret=0",(IF(BC164&lt;=AS164+Distributors_Cap!$P$47,1,0)))</f>
        <v/>
      </c>
      <c r="BI164" s="2">
        <f>IF(Demand!AW181&lt;=Retailers_Cap!P164,"ret=0",(IF(BD164&lt;=AT164+Distributors_Cap!$P$47,1,0)))</f>
        <v/>
      </c>
      <c r="BK164" s="75" t="n">
        <v>168</v>
      </c>
      <c r="BL164" s="75">
        <f>Retailers!BH163</f>
        <v/>
      </c>
      <c r="BM164" s="75">
        <f>Retailers!BI163</f>
        <v/>
      </c>
      <c r="BN164" s="75">
        <f>Retailers!BJ163</f>
        <v/>
      </c>
      <c r="BP164" s="75" t="n">
        <v>168</v>
      </c>
      <c r="BQ164" s="75">
        <f>#REF!</f>
        <v/>
      </c>
      <c r="BR164" s="75">
        <f>#REF!</f>
        <v/>
      </c>
      <c r="BS164" s="75">
        <f>#REF!</f>
        <v/>
      </c>
      <c r="BU164" s="75" t="n">
        <v>168</v>
      </c>
      <c r="BV164" s="75">
        <f>Retailers!AS163</f>
        <v/>
      </c>
      <c r="BW164" s="75">
        <f>Retailers!AT163</f>
        <v/>
      </c>
      <c r="BX164" s="75">
        <f>Retailers!AU163</f>
        <v/>
      </c>
      <c r="BZ164" s="75" t="n">
        <v>168</v>
      </c>
      <c r="CA164" s="75">
        <f>Results!#REF!</f>
        <v/>
      </c>
      <c r="CB164" s="75">
        <f>Results!#REF!</f>
        <v/>
      </c>
      <c r="CC164" s="75">
        <f>Results!#REF!</f>
        <v/>
      </c>
      <c r="CE164" s="75" t="n">
        <v>168</v>
      </c>
      <c r="CF164" s="75">
        <f>Retailers!BN163</f>
        <v/>
      </c>
      <c r="CG164" s="75">
        <f>Retailers!BO163</f>
        <v/>
      </c>
      <c r="CH164" s="75">
        <f>Retailers!BP163</f>
        <v/>
      </c>
      <c r="CJ164" s="75" t="n">
        <v>168</v>
      </c>
      <c r="CK164" s="75">
        <f>IF(BB164="ret=0",0,IF(BB164&gt;0,AR164+Distributors_Cap!$P$47-BB164,0))</f>
        <v/>
      </c>
      <c r="CL164" s="75">
        <f>IF(BC164="ret=0",0,IF(BC164&gt;0,AS164+Distributors_Cap!$P$47-BC164,0))</f>
        <v/>
      </c>
      <c r="CM164" s="75">
        <f>IF(BD164="ret=0",0,IF(BD164&gt;0,AT164+Distributors_Cap!$P$47-BD164,0))</f>
        <v/>
      </c>
    </row>
    <row r="165">
      <c r="G165" s="75" t="n">
        <v>169</v>
      </c>
      <c r="H165" s="75" t="n">
        <v>74.321</v>
      </c>
      <c r="I165" s="75" t="n">
        <v>49.833</v>
      </c>
      <c r="J165" s="75" t="n">
        <v>44.144</v>
      </c>
      <c r="L165" s="75">
        <f>TRUNC((_xlfn.NORM.INV((RAND()),$K$7,$K$8)),0)</f>
        <v/>
      </c>
      <c r="M165" s="75" t="n">
        <v>169</v>
      </c>
      <c r="N165" s="5" t="n">
        <v>27</v>
      </c>
      <c r="O165" s="5" t="n">
        <v>21</v>
      </c>
      <c r="P165" s="5" t="n">
        <v>23</v>
      </c>
      <c r="R165" s="2">
        <f>IF(N165&gt;Demand!AU182,0,(IF(((2*(Retailers!AJ164+Distributors_Cap!$P$47)-Retailers_Cap!$BB$7)*(Demand!AU182-Retailers_Cap!N165))&lt;0,0,((IF(BB165&gt;2*(Retailers!AJ164+Distributors_Cap!$P$47),0,(IF(BG165=0,ROUNDUP((2*(Retailers!AJ164+Distributors_Cap!$P$47)-BB165)^0.5,0),ROUNDUP((2*(Retailers!AJ164+Distributors_Cap!$P$47)-BB165)^0.5,0)))))))))</f>
        <v/>
      </c>
      <c r="S165" s="2">
        <f>IF(O165&gt;Demand!AV182,0,(IF(((2*(Retailers!AK164+Distributors_Cap!$P$47)-Retailers_Cap!$BB$7)*(Demand!AV182-Retailers_Cap!O165))&lt;0,0,((IF(BC165&gt;2*(Retailers!AK164+Distributors_Cap!$P$47),0,(IF(BH165=0,ROUNDUP((2*(Retailers!AK164+Distributors_Cap!$P$47)-BC165)^0.5,0),ROUNDUP((2*(Retailers!AK164+Distributors_Cap!$P$47)-BC165)^0.5,0)))))))))</f>
        <v/>
      </c>
      <c r="T165" s="2">
        <f>IF(P165&gt;Demand!AW182,0,(IF(((2*(Retailers!AL164+Distributors_Cap!$P$47)-Retailers_Cap!$BB$7)*(Demand!AW182-Retailers_Cap!P165))&lt;0,0,((IF(BD165&gt;2*(Retailers!AL164+Distributors_Cap!$P$47),0,(IF(BI165=0,ROUNDUP((2*(Retailers!AL164+Distributors_Cap!$P$47)-BD165)^0.5,0),ROUNDUP((2*(Retailers!AL164+Distributors_Cap!$P$47)-BD165)^0.5,0)))))))))</f>
        <v/>
      </c>
      <c r="W165" s="75" t="n">
        <v>169</v>
      </c>
      <c r="X165" s="9" t="n">
        <v>12</v>
      </c>
      <c r="Y165" s="9" t="n">
        <v>0</v>
      </c>
      <c r="Z165" s="9" t="n">
        <v>12</v>
      </c>
      <c r="AB165" s="2">
        <f>ROUNDDOWN(LOG((X165+1),2),0)</f>
        <v/>
      </c>
      <c r="AC165" s="2">
        <f>ROUNDDOWN(LOG((Y165+1),2),0)</f>
        <v/>
      </c>
      <c r="AD165" s="2">
        <f>ROUNDDOWN(LOG((Z165+1),2),0)</f>
        <v/>
      </c>
      <c r="AG165" s="75" t="n">
        <v>169</v>
      </c>
      <c r="AH165" s="9" t="n">
        <v>3</v>
      </c>
      <c r="AI165" s="9" t="n">
        <v>0</v>
      </c>
      <c r="AJ165" s="9" t="n">
        <v>3</v>
      </c>
      <c r="AQ165" s="75" t="n">
        <v>169</v>
      </c>
      <c r="AR165" s="75" t="n">
        <v>74.321</v>
      </c>
      <c r="AS165" s="75" t="n">
        <v>49.833</v>
      </c>
      <c r="AT165" s="75" t="n">
        <v>44.144</v>
      </c>
      <c r="AV165" s="75" t="n">
        <v>169</v>
      </c>
      <c r="AW165" s="75">
        <f>Beginning_stock!AT193</f>
        <v/>
      </c>
      <c r="AX165" s="75">
        <f>Beginning_stock!AU193</f>
        <v/>
      </c>
      <c r="AY165" s="75">
        <f>Beginning_stock!AV193</f>
        <v/>
      </c>
      <c r="BA165" s="75" t="n">
        <v>169</v>
      </c>
      <c r="BB165" s="75">
        <f>IF(Demand!AU182=Retailers_Cap!N165,"ret=0",(AW165/(Demand!AU182-Retailers_Cap!N165)))</f>
        <v/>
      </c>
      <c r="BC165" s="75">
        <f>IF(Demand!AV182=Retailers_Cap!O165,"ret=0",(AX165/(Demand!AV182-Retailers_Cap!O165)))</f>
        <v/>
      </c>
      <c r="BD165" s="75">
        <f>IF(Demand!AW182=Retailers_Cap!P165,"ret=0",(AY165/(Demand!AW182-Retailers_Cap!P165)))</f>
        <v/>
      </c>
      <c r="BF165" s="75" t="n">
        <v>169</v>
      </c>
      <c r="BG165" s="2">
        <f>IF(Demand!AU182&lt;=Retailers_Cap!N165,"ret=0",(IF(BB165&lt;=AR165+Distributors_Cap!$P$47,1,0)))</f>
        <v/>
      </c>
      <c r="BH165" s="2">
        <f>IF(Demand!AV182&lt;=Retailers_Cap!O165,"ret=0",(IF(BC165&lt;=AS165+Distributors_Cap!$P$47,1,0)))</f>
        <v/>
      </c>
      <c r="BI165" s="2">
        <f>IF(Demand!AW182&lt;=Retailers_Cap!P165,"ret=0",(IF(BD165&lt;=AT165+Distributors_Cap!$P$47,1,0)))</f>
        <v/>
      </c>
      <c r="BK165" s="75" t="n">
        <v>169</v>
      </c>
      <c r="BL165" s="75">
        <f>Retailers!BH164</f>
        <v/>
      </c>
      <c r="BM165" s="75">
        <f>Retailers!BI164</f>
        <v/>
      </c>
      <c r="BN165" s="75">
        <f>Retailers!BJ164</f>
        <v/>
      </c>
      <c r="BP165" s="75" t="n">
        <v>169</v>
      </c>
      <c r="BQ165" s="75">
        <f>#REF!</f>
        <v/>
      </c>
      <c r="BR165" s="75">
        <f>#REF!</f>
        <v/>
      </c>
      <c r="BS165" s="75">
        <f>#REF!</f>
        <v/>
      </c>
      <c r="BU165" s="75" t="n">
        <v>169</v>
      </c>
      <c r="BV165" s="75">
        <f>Retailers!AS164</f>
        <v/>
      </c>
      <c r="BW165" s="75">
        <f>Retailers!AT164</f>
        <v/>
      </c>
      <c r="BX165" s="75">
        <f>Retailers!AU164</f>
        <v/>
      </c>
      <c r="BZ165" s="75" t="n">
        <v>169</v>
      </c>
      <c r="CA165" s="75">
        <f>Results!#REF!</f>
        <v/>
      </c>
      <c r="CB165" s="75">
        <f>Results!#REF!</f>
        <v/>
      </c>
      <c r="CC165" s="75">
        <f>Results!#REF!</f>
        <v/>
      </c>
      <c r="CE165" s="75" t="n">
        <v>169</v>
      </c>
      <c r="CF165" s="75">
        <f>Retailers!BN164</f>
        <v/>
      </c>
      <c r="CG165" s="75">
        <f>Retailers!BO164</f>
        <v/>
      </c>
      <c r="CH165" s="75">
        <f>Retailers!BP164</f>
        <v/>
      </c>
      <c r="CJ165" s="75" t="n">
        <v>169</v>
      </c>
      <c r="CK165" s="75">
        <f>IF(BB165="ret=0",0,IF(BB165&gt;0,AR165+Distributors_Cap!$P$47-BB165,0))</f>
        <v/>
      </c>
      <c r="CL165" s="75">
        <f>IF(BC165="ret=0",0,IF(BC165&gt;0,AS165+Distributors_Cap!$P$47-BC165,0))</f>
        <v/>
      </c>
      <c r="CM165" s="75">
        <f>IF(BD165="ret=0",0,IF(BD165&gt;0,AT165+Distributors_Cap!$P$47-BD165,0))</f>
        <v/>
      </c>
    </row>
    <row r="166">
      <c r="G166" s="75" t="n">
        <v>170</v>
      </c>
      <c r="H166" s="75" t="n">
        <v>60.961</v>
      </c>
      <c r="I166" s="75" t="n">
        <v>62.96</v>
      </c>
      <c r="J166" s="75" t="n">
        <v>80.188</v>
      </c>
      <c r="L166" s="75">
        <f>TRUNC((_xlfn.NORM.INV((RAND()),$K$7,$K$8)),0)</f>
        <v/>
      </c>
      <c r="M166" s="75" t="n">
        <v>170</v>
      </c>
      <c r="N166" s="5" t="n">
        <v>34</v>
      </c>
      <c r="O166" s="5" t="n">
        <v>23</v>
      </c>
      <c r="P166" s="5" t="n">
        <v>28</v>
      </c>
      <c r="R166" s="2">
        <f>IF(N166&gt;Demand!AU183,0,(IF(((2*(Retailers!AJ165+Distributors_Cap!$P$47)-Retailers_Cap!$BB$7)*(Demand!AU183-Retailers_Cap!N166))&lt;0,0,((IF(BB166&gt;2*(Retailers!AJ165+Distributors_Cap!$P$47),0,(IF(BG166=0,ROUNDUP((2*(Retailers!AJ165+Distributors_Cap!$P$47)-BB166)^0.5,0),ROUNDUP((2*(Retailers!AJ165+Distributors_Cap!$P$47)-BB166)^0.5,0)))))))))</f>
        <v/>
      </c>
      <c r="S166" s="2">
        <f>IF(O166&gt;Demand!AV183,0,(IF(((2*(Retailers!AK165+Distributors_Cap!$P$47)-Retailers_Cap!$BB$7)*(Demand!AV183-Retailers_Cap!O166))&lt;0,0,((IF(BC166&gt;2*(Retailers!AK165+Distributors_Cap!$P$47),0,(IF(BH166=0,ROUNDUP((2*(Retailers!AK165+Distributors_Cap!$P$47)-BC166)^0.5,0),ROUNDUP((2*(Retailers!AK165+Distributors_Cap!$P$47)-BC166)^0.5,0)))))))))</f>
        <v/>
      </c>
      <c r="T166" s="2">
        <f>IF(P166&gt;Demand!AW183,0,(IF(((2*(Retailers!AL165+Distributors_Cap!$P$47)-Retailers_Cap!$BB$7)*(Demand!AW183-Retailers_Cap!P166))&lt;0,0,((IF(BD166&gt;2*(Retailers!AL165+Distributors_Cap!$P$47),0,(IF(BI166=0,ROUNDUP((2*(Retailers!AL165+Distributors_Cap!$P$47)-BD166)^0.5,0),ROUNDUP((2*(Retailers!AL165+Distributors_Cap!$P$47)-BD166)^0.5,0)))))))))</f>
        <v/>
      </c>
      <c r="W166" s="75" t="n">
        <v>170</v>
      </c>
      <c r="X166" s="9" t="n">
        <v>0</v>
      </c>
      <c r="Y166" s="9" t="n">
        <v>0</v>
      </c>
      <c r="Z166" s="9" t="n">
        <v>15</v>
      </c>
      <c r="AB166" s="2">
        <f>ROUNDDOWN(LOG((X166+1),2),0)</f>
        <v/>
      </c>
      <c r="AC166" s="2">
        <f>ROUNDDOWN(LOG((Y166+1),2),0)</f>
        <v/>
      </c>
      <c r="AD166" s="2">
        <f>ROUNDDOWN(LOG((Z166+1),2),0)</f>
        <v/>
      </c>
      <c r="AG166" s="75" t="n">
        <v>170</v>
      </c>
      <c r="AH166" s="9" t="n">
        <v>0</v>
      </c>
      <c r="AI166" s="9" t="n">
        <v>0</v>
      </c>
      <c r="AJ166" s="9" t="n">
        <v>4</v>
      </c>
      <c r="AQ166" s="75" t="n">
        <v>170</v>
      </c>
      <c r="AR166" s="75" t="n">
        <v>60.961</v>
      </c>
      <c r="AS166" s="75" t="n">
        <v>62.96</v>
      </c>
      <c r="AT166" s="75" t="n">
        <v>80.188</v>
      </c>
      <c r="AV166" s="75" t="n">
        <v>170</v>
      </c>
      <c r="AW166" s="75">
        <f>Beginning_stock!AT194</f>
        <v/>
      </c>
      <c r="AX166" s="75">
        <f>Beginning_stock!AU194</f>
        <v/>
      </c>
      <c r="AY166" s="75">
        <f>Beginning_stock!AV194</f>
        <v/>
      </c>
      <c r="BA166" s="75" t="n">
        <v>170</v>
      </c>
      <c r="BB166" s="75">
        <f>IF(Demand!AU183=Retailers_Cap!N166,"ret=0",(AW166/(Demand!AU183-Retailers_Cap!N166)))</f>
        <v/>
      </c>
      <c r="BC166" s="75">
        <f>IF(Demand!AV183=Retailers_Cap!O166,"ret=0",(AX166/(Demand!AV183-Retailers_Cap!O166)))</f>
        <v/>
      </c>
      <c r="BD166" s="75">
        <f>IF(Demand!AW183=Retailers_Cap!P166,"ret=0",(AY166/(Demand!AW183-Retailers_Cap!P166)))</f>
        <v/>
      </c>
      <c r="BF166" s="75" t="n">
        <v>170</v>
      </c>
      <c r="BG166" s="2">
        <f>IF(Demand!AU183&lt;=Retailers_Cap!N166,"ret=0",(IF(BB166&lt;=AR166+Distributors_Cap!$P$47,1,0)))</f>
        <v/>
      </c>
      <c r="BH166" s="2">
        <f>IF(Demand!AV183&lt;=Retailers_Cap!O166,"ret=0",(IF(BC166&lt;=AS166+Distributors_Cap!$P$47,1,0)))</f>
        <v/>
      </c>
      <c r="BI166" s="2">
        <f>IF(Demand!AW183&lt;=Retailers_Cap!P166,"ret=0",(IF(BD166&lt;=AT166+Distributors_Cap!$P$47,1,0)))</f>
        <v/>
      </c>
      <c r="BK166" s="75" t="n">
        <v>170</v>
      </c>
      <c r="BL166" s="75">
        <f>Retailers!BH165</f>
        <v/>
      </c>
      <c r="BM166" s="75">
        <f>Retailers!BI165</f>
        <v/>
      </c>
      <c r="BN166" s="75">
        <f>Retailers!BJ165</f>
        <v/>
      </c>
      <c r="BP166" s="75" t="n">
        <v>170</v>
      </c>
      <c r="BQ166" s="75">
        <f>#REF!</f>
        <v/>
      </c>
      <c r="BR166" s="75">
        <f>#REF!</f>
        <v/>
      </c>
      <c r="BS166" s="75">
        <f>#REF!</f>
        <v/>
      </c>
      <c r="BU166" s="75" t="n">
        <v>170</v>
      </c>
      <c r="BV166" s="75">
        <f>Retailers!AS165</f>
        <v/>
      </c>
      <c r="BW166" s="75">
        <f>Retailers!AT165</f>
        <v/>
      </c>
      <c r="BX166" s="75">
        <f>Retailers!AU165</f>
        <v/>
      </c>
      <c r="BZ166" s="75" t="n">
        <v>170</v>
      </c>
      <c r="CA166" s="75">
        <f>Results!#REF!</f>
        <v/>
      </c>
      <c r="CB166" s="75">
        <f>Results!#REF!</f>
        <v/>
      </c>
      <c r="CC166" s="75">
        <f>Results!#REF!</f>
        <v/>
      </c>
      <c r="CE166" s="75" t="n">
        <v>170</v>
      </c>
      <c r="CF166" s="75">
        <f>Retailers!BN165</f>
        <v/>
      </c>
      <c r="CG166" s="75">
        <f>Retailers!BO165</f>
        <v/>
      </c>
      <c r="CH166" s="75">
        <f>Retailers!BP165</f>
        <v/>
      </c>
      <c r="CJ166" s="75" t="n">
        <v>170</v>
      </c>
      <c r="CK166" s="75">
        <f>IF(BB166="ret=0",0,IF(BB166&gt;0,AR166+Distributors_Cap!$P$47-BB166,0))</f>
        <v/>
      </c>
      <c r="CL166" s="75">
        <f>IF(BC166="ret=0",0,IF(BC166&gt;0,AS166+Distributors_Cap!$P$47-BC166,0))</f>
        <v/>
      </c>
      <c r="CM166" s="75">
        <f>IF(BD166="ret=0",0,IF(BD166&gt;0,AT166+Distributors_Cap!$P$47-BD166,0))</f>
        <v/>
      </c>
    </row>
    <row r="167">
      <c r="G167" s="75" t="n">
        <v>171</v>
      </c>
      <c r="H167" s="75" t="n">
        <v>63.182</v>
      </c>
      <c r="I167" s="75" t="n">
        <v>85.98399999999999</v>
      </c>
      <c r="J167" s="75" t="n">
        <v>51.093</v>
      </c>
      <c r="L167" s="75">
        <f>TRUNC((_xlfn.NORM.INV((RAND()),$K$7,$K$8)),0)</f>
        <v/>
      </c>
      <c r="M167" s="75" t="n">
        <v>171</v>
      </c>
      <c r="N167" s="5" t="n">
        <v>14</v>
      </c>
      <c r="O167" s="5" t="n">
        <v>30</v>
      </c>
      <c r="P167" s="5" t="n">
        <v>27</v>
      </c>
      <c r="R167" s="2">
        <f>IF(N167&gt;Demand!AU184,0,(IF(((2*(Retailers!AJ166+Distributors_Cap!$P$47)-Retailers_Cap!$BB$7)*(Demand!AU184-Retailers_Cap!N167))&lt;0,0,((IF(BB167&gt;2*(Retailers!AJ166+Distributors_Cap!$P$47),0,(IF(BG167=0,ROUNDUP((2*(Retailers!AJ166+Distributors_Cap!$P$47)-BB167)^0.5,0),ROUNDUP((2*(Retailers!AJ166+Distributors_Cap!$P$47)-BB167)^0.5,0)))))))))</f>
        <v/>
      </c>
      <c r="S167" s="2">
        <f>IF(O167&gt;Demand!AV184,0,(IF(((2*(Retailers!AK166+Distributors_Cap!$P$47)-Retailers_Cap!$BB$7)*(Demand!AV184-Retailers_Cap!O167))&lt;0,0,((IF(BC167&gt;2*(Retailers!AK166+Distributors_Cap!$P$47),0,(IF(BH167=0,ROUNDUP((2*(Retailers!AK166+Distributors_Cap!$P$47)-BC167)^0.5,0),ROUNDUP((2*(Retailers!AK166+Distributors_Cap!$P$47)-BC167)^0.5,0)))))))))</f>
        <v/>
      </c>
      <c r="T167" s="2">
        <f>IF(P167&gt;Demand!AW184,0,(IF(((2*(Retailers!AL166+Distributors_Cap!$P$47)-Retailers_Cap!$BB$7)*(Demand!AW184-Retailers_Cap!P167))&lt;0,0,((IF(BD167&gt;2*(Retailers!AL166+Distributors_Cap!$P$47),0,(IF(BI167=0,ROUNDUP((2*(Retailers!AL166+Distributors_Cap!$P$47)-BD167)^0.5,0),ROUNDUP((2*(Retailers!AL166+Distributors_Cap!$P$47)-BD167)^0.5,0)))))))))</f>
        <v/>
      </c>
      <c r="W167" s="75" t="n">
        <v>171</v>
      </c>
      <c r="X167" s="9" t="n">
        <v>14</v>
      </c>
      <c r="Y167" s="9" t="n">
        <v>14</v>
      </c>
      <c r="Z167" s="9" t="n">
        <v>0</v>
      </c>
      <c r="AB167" s="2">
        <f>ROUNDDOWN(LOG((X167+1),2),0)</f>
        <v/>
      </c>
      <c r="AC167" s="2">
        <f>ROUNDDOWN(LOG((Y167+1),2),0)</f>
        <v/>
      </c>
      <c r="AD167" s="2">
        <f>ROUNDDOWN(LOG((Z167+1),2),0)</f>
        <v/>
      </c>
      <c r="AG167" s="75" t="n">
        <v>171</v>
      </c>
      <c r="AH167" s="9" t="n">
        <v>3</v>
      </c>
      <c r="AI167" s="9" t="n">
        <v>3</v>
      </c>
      <c r="AJ167" s="9" t="n">
        <v>0</v>
      </c>
      <c r="AQ167" s="75" t="n">
        <v>171</v>
      </c>
      <c r="AR167" s="75" t="n">
        <v>63.182</v>
      </c>
      <c r="AS167" s="75" t="n">
        <v>85.98399999999999</v>
      </c>
      <c r="AT167" s="75" t="n">
        <v>51.093</v>
      </c>
      <c r="AV167" s="75" t="n">
        <v>171</v>
      </c>
      <c r="AW167" s="75">
        <f>Beginning_stock!AT195</f>
        <v/>
      </c>
      <c r="AX167" s="75">
        <f>Beginning_stock!AU195</f>
        <v/>
      </c>
      <c r="AY167" s="75">
        <f>Beginning_stock!AV195</f>
        <v/>
      </c>
      <c r="BA167" s="75" t="n">
        <v>171</v>
      </c>
      <c r="BB167" s="75">
        <f>IF(Demand!AU184=Retailers_Cap!N167,"ret=0",(AW167/(Demand!AU184-Retailers_Cap!N167)))</f>
        <v/>
      </c>
      <c r="BC167" s="75">
        <f>IF(Demand!AV184=Retailers_Cap!O167,"ret=0",(AX167/(Demand!AV184-Retailers_Cap!O167)))</f>
        <v/>
      </c>
      <c r="BD167" s="75">
        <f>IF(Demand!AW184=Retailers_Cap!P167,"ret=0",(AY167/(Demand!AW184-Retailers_Cap!P167)))</f>
        <v/>
      </c>
      <c r="BF167" s="75" t="n">
        <v>171</v>
      </c>
      <c r="BG167" s="2">
        <f>IF(Demand!AU184&lt;=Retailers_Cap!N167,"ret=0",(IF(BB167&lt;=AR167+Distributors_Cap!$P$47,1,0)))</f>
        <v/>
      </c>
      <c r="BH167" s="2">
        <f>IF(Demand!AV184&lt;=Retailers_Cap!O167,"ret=0",(IF(BC167&lt;=AS167+Distributors_Cap!$P$47,1,0)))</f>
        <v/>
      </c>
      <c r="BI167" s="2">
        <f>IF(Demand!AW184&lt;=Retailers_Cap!P167,"ret=0",(IF(BD167&lt;=AT167+Distributors_Cap!$P$47,1,0)))</f>
        <v/>
      </c>
      <c r="BK167" s="75" t="n">
        <v>171</v>
      </c>
      <c r="BL167" s="75">
        <f>Retailers!BH166</f>
        <v/>
      </c>
      <c r="BM167" s="75">
        <f>Retailers!BI166</f>
        <v/>
      </c>
      <c r="BN167" s="75">
        <f>Retailers!BJ166</f>
        <v/>
      </c>
      <c r="BP167" s="75" t="n">
        <v>171</v>
      </c>
      <c r="BQ167" s="75">
        <f>#REF!</f>
        <v/>
      </c>
      <c r="BR167" s="75">
        <f>#REF!</f>
        <v/>
      </c>
      <c r="BS167" s="75">
        <f>#REF!</f>
        <v/>
      </c>
      <c r="BU167" s="75" t="n">
        <v>171</v>
      </c>
      <c r="BV167" s="75">
        <f>Retailers!AS166</f>
        <v/>
      </c>
      <c r="BW167" s="75">
        <f>Retailers!AT166</f>
        <v/>
      </c>
      <c r="BX167" s="75">
        <f>Retailers!AU166</f>
        <v/>
      </c>
      <c r="BZ167" s="75" t="n">
        <v>171</v>
      </c>
      <c r="CA167" s="75">
        <f>Results!#REF!</f>
        <v/>
      </c>
      <c r="CB167" s="75">
        <f>Results!#REF!</f>
        <v/>
      </c>
      <c r="CC167" s="75">
        <f>Results!#REF!</f>
        <v/>
      </c>
      <c r="CE167" s="75" t="n">
        <v>171</v>
      </c>
      <c r="CF167" s="75">
        <f>Retailers!BN166</f>
        <v/>
      </c>
      <c r="CG167" s="75">
        <f>Retailers!BO166</f>
        <v/>
      </c>
      <c r="CH167" s="75">
        <f>Retailers!BP166</f>
        <v/>
      </c>
      <c r="CJ167" s="75" t="n">
        <v>171</v>
      </c>
      <c r="CK167" s="75">
        <f>IF(BB167="ret=0",0,IF(BB167&gt;0,AR167+Distributors_Cap!$P$47-BB167,0))</f>
        <v/>
      </c>
      <c r="CL167" s="75">
        <f>IF(BC167="ret=0",0,IF(BC167&gt;0,AS167+Distributors_Cap!$P$47-BC167,0))</f>
        <v/>
      </c>
      <c r="CM167" s="75">
        <f>IF(BD167="ret=0",0,IF(BD167&gt;0,AT167+Distributors_Cap!$P$47-BD167,0))</f>
        <v/>
      </c>
    </row>
    <row r="168">
      <c r="G168" s="75" t="n">
        <v>172</v>
      </c>
      <c r="H168" s="75" t="n">
        <v>66.661</v>
      </c>
      <c r="I168" s="75" t="n">
        <v>46.471</v>
      </c>
      <c r="J168" s="75" t="n">
        <v>78.14700000000001</v>
      </c>
      <c r="L168" s="75">
        <f>TRUNC((_xlfn.NORM.INV((RAND()),$K$7,$K$8)),0)</f>
        <v/>
      </c>
      <c r="M168" s="75" t="n">
        <v>172</v>
      </c>
      <c r="N168" s="5" t="n">
        <v>24</v>
      </c>
      <c r="O168" s="5" t="n">
        <v>30</v>
      </c>
      <c r="P168" s="5" t="n">
        <v>29</v>
      </c>
      <c r="R168" s="2">
        <f>IF(N168&gt;Demand!AU185,0,(IF(((2*(Retailers!AJ167+Distributors_Cap!$P$47)-Retailers_Cap!$BB$7)*(Demand!AU185-Retailers_Cap!N168))&lt;0,0,((IF(BB168&gt;2*(Retailers!AJ167+Distributors_Cap!$P$47),0,(IF(BG168=0,ROUNDUP((2*(Retailers!AJ167+Distributors_Cap!$P$47)-BB168)^0.5,0),ROUNDUP((2*(Retailers!AJ167+Distributors_Cap!$P$47)-BB168)^0.5,0)))))))))</f>
        <v/>
      </c>
      <c r="S168" s="2">
        <f>IF(O168&gt;Demand!AV185,0,(IF(((2*(Retailers!AK167+Distributors_Cap!$P$47)-Retailers_Cap!$BB$7)*(Demand!AV185-Retailers_Cap!O168))&lt;0,0,((IF(BC168&gt;2*(Retailers!AK167+Distributors_Cap!$P$47),0,(IF(BH168=0,ROUNDUP((2*(Retailers!AK167+Distributors_Cap!$P$47)-BC168)^0.5,0),ROUNDUP((2*(Retailers!AK167+Distributors_Cap!$P$47)-BC168)^0.5,0)))))))))</f>
        <v/>
      </c>
      <c r="T168" s="2">
        <f>IF(P168&gt;Demand!AW185,0,(IF(((2*(Retailers!AL167+Distributors_Cap!$P$47)-Retailers_Cap!$BB$7)*(Demand!AW185-Retailers_Cap!P168))&lt;0,0,((IF(BD168&gt;2*(Retailers!AL167+Distributors_Cap!$P$47),0,(IF(BI168=0,ROUNDUP((2*(Retailers!AL167+Distributors_Cap!$P$47)-BD168)^0.5,0),ROUNDUP((2*(Retailers!AL167+Distributors_Cap!$P$47)-BD168)^0.5,0)))))))))</f>
        <v/>
      </c>
      <c r="W168" s="75" t="n">
        <v>172</v>
      </c>
      <c r="X168" s="9" t="n">
        <v>0</v>
      </c>
      <c r="Y168" s="9" t="n">
        <v>8</v>
      </c>
      <c r="Z168" s="9" t="n">
        <v>0</v>
      </c>
      <c r="AB168" s="2">
        <f>ROUNDDOWN(LOG((X168+1),2),0)</f>
        <v/>
      </c>
      <c r="AC168" s="2">
        <f>ROUNDDOWN(LOG((Y168+1),2),0)</f>
        <v/>
      </c>
      <c r="AD168" s="2">
        <f>ROUNDDOWN(LOG((Z168+1),2),0)</f>
        <v/>
      </c>
      <c r="AG168" s="75" t="n">
        <v>172</v>
      </c>
      <c r="AH168" s="9" t="n">
        <v>0</v>
      </c>
      <c r="AI168" s="9" t="n">
        <v>3</v>
      </c>
      <c r="AJ168" s="9" t="n">
        <v>0</v>
      </c>
      <c r="AQ168" s="75" t="n">
        <v>172</v>
      </c>
      <c r="AR168" s="75" t="n">
        <v>66.661</v>
      </c>
      <c r="AS168" s="75" t="n">
        <v>46.471</v>
      </c>
      <c r="AT168" s="75" t="n">
        <v>78.14700000000001</v>
      </c>
      <c r="AV168" s="75" t="n">
        <v>172</v>
      </c>
      <c r="AW168" s="75">
        <f>Beginning_stock!AT196</f>
        <v/>
      </c>
      <c r="AX168" s="75">
        <f>Beginning_stock!AU196</f>
        <v/>
      </c>
      <c r="AY168" s="75">
        <f>Beginning_stock!AV196</f>
        <v/>
      </c>
      <c r="BA168" s="75" t="n">
        <v>172</v>
      </c>
      <c r="BB168" s="75">
        <f>IF(Demand!AU185=Retailers_Cap!N168,"ret=0",(AW168/(Demand!AU185-Retailers_Cap!N168)))</f>
        <v/>
      </c>
      <c r="BC168" s="75">
        <f>IF(Demand!AV185=Retailers_Cap!O168,"ret=0",(AX168/(Demand!AV185-Retailers_Cap!O168)))</f>
        <v/>
      </c>
      <c r="BD168" s="75">
        <f>IF(Demand!AW185=Retailers_Cap!P168,"ret=0",(AY168/(Demand!AW185-Retailers_Cap!P168)))</f>
        <v/>
      </c>
      <c r="BF168" s="75" t="n">
        <v>172</v>
      </c>
      <c r="BG168" s="2">
        <f>IF(Demand!AU185&lt;=Retailers_Cap!N168,"ret=0",(IF(BB168&lt;=AR168+Distributors_Cap!$P$47,1,0)))</f>
        <v/>
      </c>
      <c r="BH168" s="2">
        <f>IF(Demand!AV185&lt;=Retailers_Cap!O168,"ret=0",(IF(BC168&lt;=AS168+Distributors_Cap!$P$47,1,0)))</f>
        <v/>
      </c>
      <c r="BI168" s="2">
        <f>IF(Demand!AW185&lt;=Retailers_Cap!P168,"ret=0",(IF(BD168&lt;=AT168+Distributors_Cap!$P$47,1,0)))</f>
        <v/>
      </c>
      <c r="BK168" s="75" t="n">
        <v>172</v>
      </c>
      <c r="BL168" s="75">
        <f>Retailers!BH167</f>
        <v/>
      </c>
      <c r="BM168" s="75">
        <f>Retailers!BI167</f>
        <v/>
      </c>
      <c r="BN168" s="75">
        <f>Retailers!BJ167</f>
        <v/>
      </c>
      <c r="BP168" s="75" t="n">
        <v>172</v>
      </c>
      <c r="BQ168" s="75">
        <f>#REF!</f>
        <v/>
      </c>
      <c r="BR168" s="75">
        <f>#REF!</f>
        <v/>
      </c>
      <c r="BS168" s="75">
        <f>#REF!</f>
        <v/>
      </c>
      <c r="BU168" s="75" t="n">
        <v>172</v>
      </c>
      <c r="BV168" s="75">
        <f>Retailers!AS167</f>
        <v/>
      </c>
      <c r="BW168" s="75">
        <f>Retailers!AT167</f>
        <v/>
      </c>
      <c r="BX168" s="75">
        <f>Retailers!AU167</f>
        <v/>
      </c>
      <c r="BZ168" s="75" t="n">
        <v>172</v>
      </c>
      <c r="CA168" s="75">
        <f>Results!#REF!</f>
        <v/>
      </c>
      <c r="CB168" s="75">
        <f>Results!#REF!</f>
        <v/>
      </c>
      <c r="CC168" s="75">
        <f>Results!#REF!</f>
        <v/>
      </c>
      <c r="CE168" s="75" t="n">
        <v>172</v>
      </c>
      <c r="CF168" s="75">
        <f>Retailers!BN167</f>
        <v/>
      </c>
      <c r="CG168" s="75">
        <f>Retailers!BO167</f>
        <v/>
      </c>
      <c r="CH168" s="75">
        <f>Retailers!BP167</f>
        <v/>
      </c>
      <c r="CJ168" s="75" t="n">
        <v>172</v>
      </c>
      <c r="CK168" s="75">
        <f>IF(BB168="ret=0",0,IF(BB168&gt;0,AR168+Distributors_Cap!$P$47-BB168,0))</f>
        <v/>
      </c>
      <c r="CL168" s="75">
        <f>IF(BC168="ret=0",0,IF(BC168&gt;0,AS168+Distributors_Cap!$P$47-BC168,0))</f>
        <v/>
      </c>
      <c r="CM168" s="75">
        <f>IF(BD168="ret=0",0,IF(BD168&gt;0,AT168+Distributors_Cap!$P$47-BD168,0))</f>
        <v/>
      </c>
    </row>
    <row r="169">
      <c r="G169" s="75" t="n">
        <v>173</v>
      </c>
      <c r="H169" s="75" t="n">
        <v>55.997</v>
      </c>
      <c r="I169" s="75" t="n">
        <v>62.861</v>
      </c>
      <c r="J169" s="75" t="n">
        <v>94.697</v>
      </c>
      <c r="L169" s="75">
        <f>TRUNC((_xlfn.NORM.INV((RAND()),$K$7,$K$8)),0)</f>
        <v/>
      </c>
      <c r="M169" s="75" t="n">
        <v>173</v>
      </c>
      <c r="N169" s="5" t="n">
        <v>20</v>
      </c>
      <c r="O169" s="5" t="n">
        <v>36</v>
      </c>
      <c r="P169" s="5" t="n">
        <v>32</v>
      </c>
      <c r="R169" s="2">
        <f>IF(N169&gt;Demand!AU186,0,(IF(((2*(Retailers!AJ168+Distributors_Cap!$P$47)-Retailers_Cap!$BB$7)*(Demand!AU186-Retailers_Cap!N169))&lt;0,0,((IF(BB169&gt;2*(Retailers!AJ168+Distributors_Cap!$P$47),0,(IF(BG169=0,ROUNDUP((2*(Retailers!AJ168+Distributors_Cap!$P$47)-BB169)^0.5,0),ROUNDUP((2*(Retailers!AJ168+Distributors_Cap!$P$47)-BB169)^0.5,0)))))))))</f>
        <v/>
      </c>
      <c r="S169" s="2">
        <f>IF(O169&gt;Demand!AV186,0,(IF(((2*(Retailers!AK168+Distributors_Cap!$P$47)-Retailers_Cap!$BB$7)*(Demand!AV186-Retailers_Cap!O169))&lt;0,0,((IF(BC169&gt;2*(Retailers!AK168+Distributors_Cap!$P$47),0,(IF(BH169=0,ROUNDUP((2*(Retailers!AK168+Distributors_Cap!$P$47)-BC169)^0.5,0),ROUNDUP((2*(Retailers!AK168+Distributors_Cap!$P$47)-BC169)^0.5,0)))))))))</f>
        <v/>
      </c>
      <c r="T169" s="2">
        <f>IF(P169&gt;Demand!AW186,0,(IF(((2*(Retailers!AL168+Distributors_Cap!$P$47)-Retailers_Cap!$BB$7)*(Demand!AW186-Retailers_Cap!P169))&lt;0,0,((IF(BD169&gt;2*(Retailers!AL168+Distributors_Cap!$P$47),0,(IF(BI169=0,ROUNDUP((2*(Retailers!AL168+Distributors_Cap!$P$47)-BD169)^0.5,0),ROUNDUP((2*(Retailers!AL168+Distributors_Cap!$P$47)-BD169)^0.5,0)))))))))</f>
        <v/>
      </c>
      <c r="W169" s="75" t="n">
        <v>173</v>
      </c>
      <c r="X169" s="9" t="n">
        <v>5</v>
      </c>
      <c r="Y169" s="9" t="n">
        <v>0</v>
      </c>
      <c r="Z169" s="9" t="n">
        <v>0</v>
      </c>
      <c r="AB169" s="2">
        <f>ROUNDDOWN(LOG((X169+1),2),0)</f>
        <v/>
      </c>
      <c r="AC169" s="2">
        <f>ROUNDDOWN(LOG((Y169+1),2),0)</f>
        <v/>
      </c>
      <c r="AD169" s="2">
        <f>ROUNDDOWN(LOG((Z169+1),2),0)</f>
        <v/>
      </c>
      <c r="AG169" s="75" t="n">
        <v>173</v>
      </c>
      <c r="AH169" s="9" t="n">
        <v>2</v>
      </c>
      <c r="AI169" s="9" t="n">
        <v>0</v>
      </c>
      <c r="AJ169" s="9" t="n">
        <v>0</v>
      </c>
      <c r="AQ169" s="75" t="n">
        <v>173</v>
      </c>
      <c r="AR169" s="75" t="n">
        <v>55.997</v>
      </c>
      <c r="AS169" s="75" t="n">
        <v>62.861</v>
      </c>
      <c r="AT169" s="75" t="n">
        <v>94.697</v>
      </c>
      <c r="AV169" s="75" t="n">
        <v>173</v>
      </c>
      <c r="AW169" s="75">
        <f>Beginning_stock!AT197</f>
        <v/>
      </c>
      <c r="AX169" s="75">
        <f>Beginning_stock!AU197</f>
        <v/>
      </c>
      <c r="AY169" s="75">
        <f>Beginning_stock!AV197</f>
        <v/>
      </c>
      <c r="BA169" s="75" t="n">
        <v>173</v>
      </c>
      <c r="BB169" s="75">
        <f>IF(Demand!AU186=Retailers_Cap!N169,"ret=0",(AW169/(Demand!AU186-Retailers_Cap!N169)))</f>
        <v/>
      </c>
      <c r="BC169" s="75">
        <f>IF(Demand!AV186=Retailers_Cap!O169,"ret=0",(AX169/(Demand!AV186-Retailers_Cap!O169)))</f>
        <v/>
      </c>
      <c r="BD169" s="75">
        <f>IF(Demand!AW186=Retailers_Cap!P169,"ret=0",(AY169/(Demand!AW186-Retailers_Cap!P169)))</f>
        <v/>
      </c>
      <c r="BF169" s="75" t="n">
        <v>173</v>
      </c>
      <c r="BG169" s="2">
        <f>IF(Demand!AU186&lt;=Retailers_Cap!N169,"ret=0",(IF(BB169&lt;=AR169+Distributors_Cap!$P$47,1,0)))</f>
        <v/>
      </c>
      <c r="BH169" s="2">
        <f>IF(Demand!AV186&lt;=Retailers_Cap!O169,"ret=0",(IF(BC169&lt;=AS169+Distributors_Cap!$P$47,1,0)))</f>
        <v/>
      </c>
      <c r="BI169" s="2">
        <f>IF(Demand!AW186&lt;=Retailers_Cap!P169,"ret=0",(IF(BD169&lt;=AT169+Distributors_Cap!$P$47,1,0)))</f>
        <v/>
      </c>
      <c r="BK169" s="75" t="n">
        <v>173</v>
      </c>
      <c r="BL169" s="75">
        <f>Retailers!BH168</f>
        <v/>
      </c>
      <c r="BM169" s="75">
        <f>Retailers!BI168</f>
        <v/>
      </c>
      <c r="BN169" s="75">
        <f>Retailers!BJ168</f>
        <v/>
      </c>
      <c r="BP169" s="75" t="n">
        <v>173</v>
      </c>
      <c r="BQ169" s="75">
        <f>#REF!</f>
        <v/>
      </c>
      <c r="BR169" s="75">
        <f>#REF!</f>
        <v/>
      </c>
      <c r="BS169" s="75">
        <f>#REF!</f>
        <v/>
      </c>
      <c r="BU169" s="75" t="n">
        <v>173</v>
      </c>
      <c r="BV169" s="75">
        <f>Retailers!AS168</f>
        <v/>
      </c>
      <c r="BW169" s="75">
        <f>Retailers!AT168</f>
        <v/>
      </c>
      <c r="BX169" s="75">
        <f>Retailers!AU168</f>
        <v/>
      </c>
      <c r="BZ169" s="75" t="n">
        <v>173</v>
      </c>
      <c r="CA169" s="75">
        <f>Results!#REF!</f>
        <v/>
      </c>
      <c r="CB169" s="75">
        <f>Results!#REF!</f>
        <v/>
      </c>
      <c r="CC169" s="75">
        <f>Results!#REF!</f>
        <v/>
      </c>
      <c r="CE169" s="75" t="n">
        <v>173</v>
      </c>
      <c r="CF169" s="75">
        <f>Retailers!BN168</f>
        <v/>
      </c>
      <c r="CG169" s="75">
        <f>Retailers!BO168</f>
        <v/>
      </c>
      <c r="CH169" s="75">
        <f>Retailers!BP168</f>
        <v/>
      </c>
      <c r="CJ169" s="75" t="n">
        <v>173</v>
      </c>
      <c r="CK169" s="75">
        <f>IF(BB169="ret=0",0,IF(BB169&gt;0,AR169+Distributors_Cap!$P$47-BB169,0))</f>
        <v/>
      </c>
      <c r="CL169" s="75">
        <f>IF(BC169="ret=0",0,IF(BC169&gt;0,AS169+Distributors_Cap!$P$47-BC169,0))</f>
        <v/>
      </c>
      <c r="CM169" s="75">
        <f>IF(BD169="ret=0",0,IF(BD169&gt;0,AT169+Distributors_Cap!$P$47-BD169,0))</f>
        <v/>
      </c>
    </row>
    <row r="170">
      <c r="G170" s="75" t="n">
        <v>174</v>
      </c>
      <c r="H170" s="75" t="n">
        <v>62.222</v>
      </c>
      <c r="I170" s="75" t="n">
        <v>53.686</v>
      </c>
      <c r="J170" s="75" t="n">
        <v>67.50700000000001</v>
      </c>
      <c r="L170" s="75">
        <f>TRUNC((_xlfn.NORM.INV((RAND()),$K$7,$K$8)),0)</f>
        <v/>
      </c>
      <c r="M170" s="75" t="n">
        <v>174</v>
      </c>
      <c r="N170" s="5" t="n">
        <v>35</v>
      </c>
      <c r="O170" s="5" t="n">
        <v>27</v>
      </c>
      <c r="P170" s="5" t="n">
        <v>20</v>
      </c>
      <c r="R170" s="2">
        <f>IF(N170&gt;Demand!AU187,0,(IF(((2*(Retailers!AJ169+Distributors_Cap!$P$47)-Retailers_Cap!$BB$7)*(Demand!AU187-Retailers_Cap!N170))&lt;0,0,((IF(BB170&gt;2*(Retailers!AJ169+Distributors_Cap!$P$47),0,(IF(BG170=0,ROUNDUP((2*(Retailers!AJ169+Distributors_Cap!$P$47)-BB170)^0.5,0),ROUNDUP((2*(Retailers!AJ169+Distributors_Cap!$P$47)-BB170)^0.5,0)))))))))</f>
        <v/>
      </c>
      <c r="S170" s="2">
        <f>IF(O170&gt;Demand!AV187,0,(IF(((2*(Retailers!AK169+Distributors_Cap!$P$47)-Retailers_Cap!$BB$7)*(Demand!AV187-Retailers_Cap!O170))&lt;0,0,((IF(BC170&gt;2*(Retailers!AK169+Distributors_Cap!$P$47),0,(IF(BH170=0,ROUNDUP((2*(Retailers!AK169+Distributors_Cap!$P$47)-BC170)^0.5,0),ROUNDUP((2*(Retailers!AK169+Distributors_Cap!$P$47)-BC170)^0.5,0)))))))))</f>
        <v/>
      </c>
      <c r="T170" s="2">
        <f>IF(P170&gt;Demand!AW187,0,(IF(((2*(Retailers!AL169+Distributors_Cap!$P$47)-Retailers_Cap!$BB$7)*(Demand!AW187-Retailers_Cap!P170))&lt;0,0,((IF(BD170&gt;2*(Retailers!AL169+Distributors_Cap!$P$47),0,(IF(BI170=0,ROUNDUP((2*(Retailers!AL169+Distributors_Cap!$P$47)-BD170)^0.5,0),ROUNDUP((2*(Retailers!AL169+Distributors_Cap!$P$47)-BD170)^0.5,0)))))))))</f>
        <v/>
      </c>
      <c r="W170" s="75" t="n">
        <v>174</v>
      </c>
      <c r="X170" s="9" t="n">
        <v>0</v>
      </c>
      <c r="Y170" s="9" t="n">
        <v>0</v>
      </c>
      <c r="Z170" s="9" t="n">
        <v>0</v>
      </c>
      <c r="AB170" s="2">
        <f>ROUNDDOWN(LOG((X170+1),2),0)</f>
        <v/>
      </c>
      <c r="AC170" s="2">
        <f>ROUNDDOWN(LOG((Y170+1),2),0)</f>
        <v/>
      </c>
      <c r="AD170" s="2">
        <f>ROUNDDOWN(LOG((Z170+1),2),0)</f>
        <v/>
      </c>
      <c r="AG170" s="75" t="n">
        <v>174</v>
      </c>
      <c r="AH170" s="9" t="n">
        <v>0</v>
      </c>
      <c r="AI170" s="9" t="n">
        <v>0</v>
      </c>
      <c r="AJ170" s="9" t="n">
        <v>0</v>
      </c>
      <c r="AQ170" s="75" t="n">
        <v>174</v>
      </c>
      <c r="AR170" s="75" t="n">
        <v>62.222</v>
      </c>
      <c r="AS170" s="75" t="n">
        <v>53.686</v>
      </c>
      <c r="AT170" s="75" t="n">
        <v>67.50700000000001</v>
      </c>
      <c r="AV170" s="75" t="n">
        <v>174</v>
      </c>
      <c r="AW170" s="75">
        <f>Beginning_stock!AT198</f>
        <v/>
      </c>
      <c r="AX170" s="75">
        <f>Beginning_stock!AU198</f>
        <v/>
      </c>
      <c r="AY170" s="75">
        <f>Beginning_stock!AV198</f>
        <v/>
      </c>
      <c r="BA170" s="75" t="n">
        <v>174</v>
      </c>
      <c r="BB170" s="75">
        <f>IF(Demand!AU187=Retailers_Cap!N170,"ret=0",(AW170/(Demand!AU187-Retailers_Cap!N170)))</f>
        <v/>
      </c>
      <c r="BC170" s="75">
        <f>IF(Demand!AV187=Retailers_Cap!O170,"ret=0",(AX170/(Demand!AV187-Retailers_Cap!O170)))</f>
        <v/>
      </c>
      <c r="BD170" s="75">
        <f>IF(Demand!AW187=Retailers_Cap!P170,"ret=0",(AY170/(Demand!AW187-Retailers_Cap!P170)))</f>
        <v/>
      </c>
      <c r="BF170" s="75" t="n">
        <v>174</v>
      </c>
      <c r="BG170" s="2">
        <f>IF(Demand!AU187&lt;=Retailers_Cap!N170,"ret=0",(IF(BB170&lt;=AR170+Distributors_Cap!$P$47,1,0)))</f>
        <v/>
      </c>
      <c r="BH170" s="2">
        <f>IF(Demand!AV187&lt;=Retailers_Cap!O170,"ret=0",(IF(BC170&lt;=AS170+Distributors_Cap!$P$47,1,0)))</f>
        <v/>
      </c>
      <c r="BI170" s="2">
        <f>IF(Demand!AW187&lt;=Retailers_Cap!P170,"ret=0",(IF(BD170&lt;=AT170+Distributors_Cap!$P$47,1,0)))</f>
        <v/>
      </c>
      <c r="BK170" s="75" t="n">
        <v>174</v>
      </c>
      <c r="BL170" s="75">
        <f>Retailers!BH169</f>
        <v/>
      </c>
      <c r="BM170" s="75">
        <f>Retailers!BI169</f>
        <v/>
      </c>
      <c r="BN170" s="75">
        <f>Retailers!BJ169</f>
        <v/>
      </c>
      <c r="BP170" s="75" t="n">
        <v>174</v>
      </c>
      <c r="BQ170" s="75">
        <f>#REF!</f>
        <v/>
      </c>
      <c r="BR170" s="75">
        <f>#REF!</f>
        <v/>
      </c>
      <c r="BS170" s="75">
        <f>#REF!</f>
        <v/>
      </c>
      <c r="BU170" s="75" t="n">
        <v>174</v>
      </c>
      <c r="BV170" s="75">
        <f>Retailers!AS169</f>
        <v/>
      </c>
      <c r="BW170" s="75">
        <f>Retailers!AT169</f>
        <v/>
      </c>
      <c r="BX170" s="75">
        <f>Retailers!AU169</f>
        <v/>
      </c>
      <c r="BZ170" s="75" t="n">
        <v>174</v>
      </c>
      <c r="CA170" s="75">
        <f>Results!#REF!</f>
        <v/>
      </c>
      <c r="CB170" s="75">
        <f>Results!#REF!</f>
        <v/>
      </c>
      <c r="CC170" s="75">
        <f>Results!#REF!</f>
        <v/>
      </c>
      <c r="CE170" s="75" t="n">
        <v>174</v>
      </c>
      <c r="CF170" s="75">
        <f>Retailers!BN169</f>
        <v/>
      </c>
      <c r="CG170" s="75">
        <f>Retailers!BO169</f>
        <v/>
      </c>
      <c r="CH170" s="75">
        <f>Retailers!BP169</f>
        <v/>
      </c>
      <c r="CJ170" s="75" t="n">
        <v>174</v>
      </c>
      <c r="CK170" s="75">
        <f>IF(BB170="ret=0",0,IF(BB170&gt;0,AR170+Distributors_Cap!$P$47-BB170,0))</f>
        <v/>
      </c>
      <c r="CL170" s="75">
        <f>IF(BC170="ret=0",0,IF(BC170&gt;0,AS170+Distributors_Cap!$P$47-BC170,0))</f>
        <v/>
      </c>
      <c r="CM170" s="75">
        <f>IF(BD170="ret=0",0,IF(BD170&gt;0,AT170+Distributors_Cap!$P$47-BD170,0))</f>
        <v/>
      </c>
    </row>
    <row r="171">
      <c r="G171" s="75" t="n">
        <v>175</v>
      </c>
      <c r="H171" s="75" t="n">
        <v>51.259</v>
      </c>
      <c r="I171" s="75" t="n">
        <v>47.085</v>
      </c>
      <c r="J171" s="75" t="n">
        <v>74.723</v>
      </c>
      <c r="L171" s="75">
        <f>TRUNC((_xlfn.NORM.INV((RAND()),$K$7,$K$8)),0)</f>
        <v/>
      </c>
      <c r="M171" s="75" t="n">
        <v>175</v>
      </c>
      <c r="N171" s="5" t="n">
        <v>32</v>
      </c>
      <c r="O171" s="5" t="n">
        <v>23</v>
      </c>
      <c r="P171" s="5" t="n">
        <v>22</v>
      </c>
      <c r="R171" s="2">
        <f>IF(N171&gt;Demand!AU188,0,(IF(((2*(Retailers!AJ170+Distributors_Cap!$P$47)-Retailers_Cap!$BB$7)*(Demand!AU188-Retailers_Cap!N171))&lt;0,0,((IF(BB171&gt;2*(Retailers!AJ170+Distributors_Cap!$P$47),0,(IF(BG171=0,ROUNDUP((2*(Retailers!AJ170+Distributors_Cap!$P$47)-BB171)^0.5,0),ROUNDUP((2*(Retailers!AJ170+Distributors_Cap!$P$47)-BB171)^0.5,0)))))))))</f>
        <v/>
      </c>
      <c r="S171" s="2">
        <f>IF(O171&gt;Demand!AV188,0,(IF(((2*(Retailers!AK170+Distributors_Cap!$P$47)-Retailers_Cap!$BB$7)*(Demand!AV188-Retailers_Cap!O171))&lt;0,0,((IF(BC171&gt;2*(Retailers!AK170+Distributors_Cap!$P$47),0,(IF(BH171=0,ROUNDUP((2*(Retailers!AK170+Distributors_Cap!$P$47)-BC171)^0.5,0),ROUNDUP((2*(Retailers!AK170+Distributors_Cap!$P$47)-BC171)^0.5,0)))))))))</f>
        <v/>
      </c>
      <c r="T171" s="2">
        <f>IF(P171&gt;Demand!AW188,0,(IF(((2*(Retailers!AL170+Distributors_Cap!$P$47)-Retailers_Cap!$BB$7)*(Demand!AW188-Retailers_Cap!P171))&lt;0,0,((IF(BD171&gt;2*(Retailers!AL170+Distributors_Cap!$P$47),0,(IF(BI171=0,ROUNDUP((2*(Retailers!AL170+Distributors_Cap!$P$47)-BD171)^0.5,0),ROUNDUP((2*(Retailers!AL170+Distributors_Cap!$P$47)-BD171)^0.5,0)))))))))</f>
        <v/>
      </c>
      <c r="W171" s="75" t="n">
        <v>175</v>
      </c>
      <c r="X171" s="9" t="n">
        <v>0</v>
      </c>
      <c r="Y171" s="9" t="n">
        <v>0</v>
      </c>
      <c r="Z171" s="9" t="n">
        <v>0</v>
      </c>
      <c r="AB171" s="2">
        <f>ROUNDDOWN(LOG((X171+1),2),0)</f>
        <v/>
      </c>
      <c r="AC171" s="2">
        <f>ROUNDDOWN(LOG((Y171+1),2),0)</f>
        <v/>
      </c>
      <c r="AD171" s="2">
        <f>ROUNDDOWN(LOG((Z171+1),2),0)</f>
        <v/>
      </c>
      <c r="AG171" s="75" t="n">
        <v>175</v>
      </c>
      <c r="AH171" s="9" t="n">
        <v>0</v>
      </c>
      <c r="AI171" s="9" t="n">
        <v>0</v>
      </c>
      <c r="AJ171" s="9" t="n">
        <v>0</v>
      </c>
      <c r="AQ171" s="75" t="n">
        <v>175</v>
      </c>
      <c r="AR171" s="75" t="n">
        <v>51.259</v>
      </c>
      <c r="AS171" s="75" t="n">
        <v>47.085</v>
      </c>
      <c r="AT171" s="75" t="n">
        <v>74.723</v>
      </c>
      <c r="AV171" s="75" t="n">
        <v>175</v>
      </c>
      <c r="AW171" s="75">
        <f>Beginning_stock!AT199</f>
        <v/>
      </c>
      <c r="AX171" s="75">
        <f>Beginning_stock!AU199</f>
        <v/>
      </c>
      <c r="AY171" s="75">
        <f>Beginning_stock!AV199</f>
        <v/>
      </c>
      <c r="BA171" s="75" t="n">
        <v>175</v>
      </c>
      <c r="BB171" s="75">
        <f>IF(Demand!AU188=Retailers_Cap!N171,"ret=0",(AW171/(Demand!AU188-Retailers_Cap!N171)))</f>
        <v/>
      </c>
      <c r="BC171" s="75">
        <f>IF(Demand!AV188=Retailers_Cap!O171,"ret=0",(AX171/(Demand!AV188-Retailers_Cap!O171)))</f>
        <v/>
      </c>
      <c r="BD171" s="75">
        <f>IF(Demand!AW188=Retailers_Cap!P171,"ret=0",(AY171/(Demand!AW188-Retailers_Cap!P171)))</f>
        <v/>
      </c>
      <c r="BF171" s="75" t="n">
        <v>175</v>
      </c>
      <c r="BG171" s="2">
        <f>IF(Demand!AU188&lt;=Retailers_Cap!N171,"ret=0",(IF(BB171&lt;=AR171+Distributors_Cap!$P$47,1,0)))</f>
        <v/>
      </c>
      <c r="BH171" s="2">
        <f>IF(Demand!AV188&lt;=Retailers_Cap!O171,"ret=0",(IF(BC171&lt;=AS171+Distributors_Cap!$P$47,1,0)))</f>
        <v/>
      </c>
      <c r="BI171" s="2">
        <f>IF(Demand!AW188&lt;=Retailers_Cap!P171,"ret=0",(IF(BD171&lt;=AT171+Distributors_Cap!$P$47,1,0)))</f>
        <v/>
      </c>
      <c r="BK171" s="75" t="n">
        <v>175</v>
      </c>
      <c r="BL171" s="75">
        <f>Retailers!BH170</f>
        <v/>
      </c>
      <c r="BM171" s="75">
        <f>Retailers!BI170</f>
        <v/>
      </c>
      <c r="BN171" s="75">
        <f>Retailers!BJ170</f>
        <v/>
      </c>
      <c r="BP171" s="75" t="n">
        <v>175</v>
      </c>
      <c r="BQ171" s="75">
        <f>#REF!</f>
        <v/>
      </c>
      <c r="BR171" s="75">
        <f>#REF!</f>
        <v/>
      </c>
      <c r="BS171" s="75">
        <f>#REF!</f>
        <v/>
      </c>
      <c r="BU171" s="75" t="n">
        <v>175</v>
      </c>
      <c r="BV171" s="75">
        <f>Retailers!AS170</f>
        <v/>
      </c>
      <c r="BW171" s="75">
        <f>Retailers!AT170</f>
        <v/>
      </c>
      <c r="BX171" s="75">
        <f>Retailers!AU170</f>
        <v/>
      </c>
      <c r="BZ171" s="75" t="n">
        <v>175</v>
      </c>
      <c r="CA171" s="75">
        <f>Results!#REF!</f>
        <v/>
      </c>
      <c r="CB171" s="75">
        <f>Results!#REF!</f>
        <v/>
      </c>
      <c r="CC171" s="75">
        <f>Results!#REF!</f>
        <v/>
      </c>
      <c r="CE171" s="75" t="n">
        <v>175</v>
      </c>
      <c r="CF171" s="75">
        <f>Retailers!BN170</f>
        <v/>
      </c>
      <c r="CG171" s="75">
        <f>Retailers!BO170</f>
        <v/>
      </c>
      <c r="CH171" s="75">
        <f>Retailers!BP170</f>
        <v/>
      </c>
      <c r="CJ171" s="75" t="n">
        <v>175</v>
      </c>
      <c r="CK171" s="75">
        <f>IF(BB171="ret=0",0,IF(BB171&gt;0,AR171+Distributors_Cap!$P$47-BB171,0))</f>
        <v/>
      </c>
      <c r="CL171" s="75">
        <f>IF(BC171="ret=0",0,IF(BC171&gt;0,AS171+Distributors_Cap!$P$47-BC171,0))</f>
        <v/>
      </c>
      <c r="CM171" s="75">
        <f>IF(BD171="ret=0",0,IF(BD171&gt;0,AT171+Distributors_Cap!$P$47-BD171,0))</f>
        <v/>
      </c>
    </row>
    <row r="172">
      <c r="G172" s="75" t="n">
        <v>176</v>
      </c>
      <c r="H172" s="75" t="n">
        <v>76.328</v>
      </c>
      <c r="I172" s="75" t="n">
        <v>59.529</v>
      </c>
      <c r="J172" s="75" t="n">
        <v>78.256</v>
      </c>
      <c r="L172" s="75">
        <f>TRUNC((_xlfn.NORM.INV((RAND()),$K$7,$K$8)),0)</f>
        <v/>
      </c>
      <c r="M172" s="75" t="n">
        <v>176</v>
      </c>
      <c r="N172" s="5" t="n">
        <v>16</v>
      </c>
      <c r="O172" s="5" t="n">
        <v>15</v>
      </c>
      <c r="P172" s="5" t="n">
        <v>28</v>
      </c>
      <c r="R172" s="2">
        <f>IF(N172&gt;Demand!AU189,0,(IF(((2*(Retailers!AJ171+Distributors_Cap!$P$47)-Retailers_Cap!$BB$7)*(Demand!AU189-Retailers_Cap!N172))&lt;0,0,((IF(BB172&gt;2*(Retailers!AJ171+Distributors_Cap!$P$47),0,(IF(BG172=0,ROUNDUP((2*(Retailers!AJ171+Distributors_Cap!$P$47)-BB172)^0.5,0),ROUNDUP((2*(Retailers!AJ171+Distributors_Cap!$P$47)-BB172)^0.5,0)))))))))</f>
        <v/>
      </c>
      <c r="S172" s="2">
        <f>IF(O172&gt;Demand!AV189,0,(IF(((2*(Retailers!AK171+Distributors_Cap!$P$47)-Retailers_Cap!$BB$7)*(Demand!AV189-Retailers_Cap!O172))&lt;0,0,((IF(BC172&gt;2*(Retailers!AK171+Distributors_Cap!$P$47),0,(IF(BH172=0,ROUNDUP((2*(Retailers!AK171+Distributors_Cap!$P$47)-BC172)^0.5,0),ROUNDUP((2*(Retailers!AK171+Distributors_Cap!$P$47)-BC172)^0.5,0)))))))))</f>
        <v/>
      </c>
      <c r="T172" s="2">
        <f>IF(P172&gt;Demand!AW189,0,(IF(((2*(Retailers!AL171+Distributors_Cap!$P$47)-Retailers_Cap!$BB$7)*(Demand!AW189-Retailers_Cap!P172))&lt;0,0,((IF(BD172&gt;2*(Retailers!AL171+Distributors_Cap!$P$47),0,(IF(BI172=0,ROUNDUP((2*(Retailers!AL171+Distributors_Cap!$P$47)-BD172)^0.5,0),ROUNDUP((2*(Retailers!AL171+Distributors_Cap!$P$47)-BD172)^0.5,0)))))))))</f>
        <v/>
      </c>
      <c r="W172" s="75" t="n">
        <v>176</v>
      </c>
      <c r="X172" s="9" t="n">
        <v>14</v>
      </c>
      <c r="Y172" s="9" t="n">
        <v>13</v>
      </c>
      <c r="Z172" s="9" t="n">
        <v>13</v>
      </c>
      <c r="AB172" s="2">
        <f>ROUNDDOWN(LOG((X172+1),2),0)</f>
        <v/>
      </c>
      <c r="AC172" s="2">
        <f>ROUNDDOWN(LOG((Y172+1),2),0)</f>
        <v/>
      </c>
      <c r="AD172" s="2">
        <f>ROUNDDOWN(LOG((Z172+1),2),0)</f>
        <v/>
      </c>
      <c r="AG172" s="75" t="n">
        <v>176</v>
      </c>
      <c r="AH172" s="9" t="n">
        <v>3</v>
      </c>
      <c r="AI172" s="9" t="n">
        <v>3</v>
      </c>
      <c r="AJ172" s="9" t="n">
        <v>3</v>
      </c>
      <c r="AQ172" s="75" t="n">
        <v>176</v>
      </c>
      <c r="AR172" s="75" t="n">
        <v>76.328</v>
      </c>
      <c r="AS172" s="75" t="n">
        <v>59.529</v>
      </c>
      <c r="AT172" s="75" t="n">
        <v>78.256</v>
      </c>
      <c r="AV172" s="75" t="n">
        <v>176</v>
      </c>
      <c r="AW172" s="75">
        <f>Beginning_stock!AT200</f>
        <v/>
      </c>
      <c r="AX172" s="75">
        <f>Beginning_stock!AU200</f>
        <v/>
      </c>
      <c r="AY172" s="75">
        <f>Beginning_stock!AV200</f>
        <v/>
      </c>
      <c r="BA172" s="75" t="n">
        <v>176</v>
      </c>
      <c r="BB172" s="75">
        <f>IF(Demand!AU189=Retailers_Cap!N172,"ret=0",(AW172/(Demand!AU189-Retailers_Cap!N172)))</f>
        <v/>
      </c>
      <c r="BC172" s="75">
        <f>IF(Demand!AV189=Retailers_Cap!O172,"ret=0",(AX172/(Demand!AV189-Retailers_Cap!O172)))</f>
        <v/>
      </c>
      <c r="BD172" s="75">
        <f>IF(Demand!AW189=Retailers_Cap!P172,"ret=0",(AY172/(Demand!AW189-Retailers_Cap!P172)))</f>
        <v/>
      </c>
      <c r="BF172" s="75" t="n">
        <v>176</v>
      </c>
      <c r="BG172" s="2">
        <f>IF(Demand!AU189&lt;=Retailers_Cap!N172,"ret=0",(IF(BB172&lt;=AR172+Distributors_Cap!$P$47,1,0)))</f>
        <v/>
      </c>
      <c r="BH172" s="2">
        <f>IF(Demand!AV189&lt;=Retailers_Cap!O172,"ret=0",(IF(BC172&lt;=AS172+Distributors_Cap!$P$47,1,0)))</f>
        <v/>
      </c>
      <c r="BI172" s="2">
        <f>IF(Demand!AW189&lt;=Retailers_Cap!P172,"ret=0",(IF(BD172&lt;=AT172+Distributors_Cap!$P$47,1,0)))</f>
        <v/>
      </c>
      <c r="BK172" s="75" t="n">
        <v>176</v>
      </c>
      <c r="BL172" s="75">
        <f>Retailers!BH171</f>
        <v/>
      </c>
      <c r="BM172" s="75">
        <f>Retailers!BI171</f>
        <v/>
      </c>
      <c r="BN172" s="75">
        <f>Retailers!BJ171</f>
        <v/>
      </c>
      <c r="BP172" s="75" t="n">
        <v>176</v>
      </c>
      <c r="BQ172" s="75">
        <f>#REF!</f>
        <v/>
      </c>
      <c r="BR172" s="75">
        <f>#REF!</f>
        <v/>
      </c>
      <c r="BS172" s="75">
        <f>#REF!</f>
        <v/>
      </c>
      <c r="BU172" s="75" t="n">
        <v>176</v>
      </c>
      <c r="BV172" s="75">
        <f>Retailers!AS171</f>
        <v/>
      </c>
      <c r="BW172" s="75">
        <f>Retailers!AT171</f>
        <v/>
      </c>
      <c r="BX172" s="75">
        <f>Retailers!AU171</f>
        <v/>
      </c>
      <c r="BZ172" s="75" t="n">
        <v>176</v>
      </c>
      <c r="CA172" s="75">
        <f>Results!#REF!</f>
        <v/>
      </c>
      <c r="CB172" s="75">
        <f>Results!#REF!</f>
        <v/>
      </c>
      <c r="CC172" s="75">
        <f>Results!#REF!</f>
        <v/>
      </c>
      <c r="CE172" s="75" t="n">
        <v>176</v>
      </c>
      <c r="CF172" s="75">
        <f>Retailers!BN171</f>
        <v/>
      </c>
      <c r="CG172" s="75">
        <f>Retailers!BO171</f>
        <v/>
      </c>
      <c r="CH172" s="75">
        <f>Retailers!BP171</f>
        <v/>
      </c>
      <c r="CJ172" s="75" t="n">
        <v>176</v>
      </c>
      <c r="CK172" s="75">
        <f>IF(BB172="ret=0",0,IF(BB172&gt;0,AR172+Distributors_Cap!$P$47-BB172,0))</f>
        <v/>
      </c>
      <c r="CL172" s="75">
        <f>IF(BC172="ret=0",0,IF(BC172&gt;0,AS172+Distributors_Cap!$P$47-BC172,0))</f>
        <v/>
      </c>
      <c r="CM172" s="75">
        <f>IF(BD172="ret=0",0,IF(BD172&gt;0,AT172+Distributors_Cap!$P$47-BD172,0))</f>
        <v/>
      </c>
    </row>
    <row r="173">
      <c r="G173" s="75" t="n">
        <v>177</v>
      </c>
      <c r="H173" s="75" t="n">
        <v>61.991</v>
      </c>
      <c r="I173" s="75" t="n">
        <v>50.447</v>
      </c>
      <c r="J173" s="75" t="n">
        <v>44.912</v>
      </c>
      <c r="L173" s="75">
        <f>TRUNC((_xlfn.NORM.INV((RAND()),$K$7,$K$8)),0)</f>
        <v/>
      </c>
      <c r="M173" s="75" t="n">
        <v>177</v>
      </c>
      <c r="N173" s="5" t="n">
        <v>27</v>
      </c>
      <c r="O173" s="5" t="n">
        <v>22</v>
      </c>
      <c r="P173" s="5" t="n">
        <v>28</v>
      </c>
      <c r="R173" s="2">
        <f>IF(N173&gt;Demand!AU190,0,(IF(((2*(Retailers!AJ172+Distributors_Cap!$P$47)-Retailers_Cap!$BB$7)*(Demand!AU190-Retailers_Cap!N173))&lt;0,0,((IF(BB173&gt;2*(Retailers!AJ172+Distributors_Cap!$P$47),0,(IF(BG173=0,ROUNDUP((2*(Retailers!AJ172+Distributors_Cap!$P$47)-BB173)^0.5,0),ROUNDUP((2*(Retailers!AJ172+Distributors_Cap!$P$47)-BB173)^0.5,0)))))))))</f>
        <v/>
      </c>
      <c r="S173" s="2">
        <f>IF(O173&gt;Demand!AV190,0,(IF(((2*(Retailers!AK172+Distributors_Cap!$P$47)-Retailers_Cap!$BB$7)*(Demand!AV190-Retailers_Cap!O173))&lt;0,0,((IF(BC173&gt;2*(Retailers!AK172+Distributors_Cap!$P$47),0,(IF(BH173=0,ROUNDUP((2*(Retailers!AK172+Distributors_Cap!$P$47)-BC173)^0.5,0),ROUNDUP((2*(Retailers!AK172+Distributors_Cap!$P$47)-BC173)^0.5,0)))))))))</f>
        <v/>
      </c>
      <c r="T173" s="2">
        <f>IF(P173&gt;Demand!AW190,0,(IF(((2*(Retailers!AL172+Distributors_Cap!$P$47)-Retailers_Cap!$BB$7)*(Demand!AW190-Retailers_Cap!P173))&lt;0,0,((IF(BD173&gt;2*(Retailers!AL172+Distributors_Cap!$P$47),0,(IF(BI173=0,ROUNDUP((2*(Retailers!AL172+Distributors_Cap!$P$47)-BD173)^0.5,0),ROUNDUP((2*(Retailers!AL172+Distributors_Cap!$P$47)-BD173)^0.5,0)))))))))</f>
        <v/>
      </c>
      <c r="W173" s="75" t="n">
        <v>177</v>
      </c>
      <c r="X173" s="9" t="n">
        <v>0</v>
      </c>
      <c r="Y173" s="9" t="n">
        <v>10</v>
      </c>
      <c r="Z173" s="9" t="n">
        <v>0</v>
      </c>
      <c r="AB173" s="2">
        <f>ROUNDDOWN(LOG((X173+1),2),0)</f>
        <v/>
      </c>
      <c r="AC173" s="2">
        <f>ROUNDDOWN(LOG((Y173+1),2),0)</f>
        <v/>
      </c>
      <c r="AD173" s="2">
        <f>ROUNDDOWN(LOG((Z173+1),2),0)</f>
        <v/>
      </c>
      <c r="AG173" s="75" t="n">
        <v>177</v>
      </c>
      <c r="AH173" s="9" t="n">
        <v>0</v>
      </c>
      <c r="AI173" s="9" t="n">
        <v>3</v>
      </c>
      <c r="AJ173" s="9" t="n">
        <v>0</v>
      </c>
      <c r="AQ173" s="75" t="n">
        <v>177</v>
      </c>
      <c r="AR173" s="75" t="n">
        <v>61.991</v>
      </c>
      <c r="AS173" s="75" t="n">
        <v>50.447</v>
      </c>
      <c r="AT173" s="75" t="n">
        <v>44.912</v>
      </c>
      <c r="AV173" s="75" t="n">
        <v>177</v>
      </c>
      <c r="AW173" s="75">
        <f>Beginning_stock!AT201</f>
        <v/>
      </c>
      <c r="AX173" s="75">
        <f>Beginning_stock!AU201</f>
        <v/>
      </c>
      <c r="AY173" s="75">
        <f>Beginning_stock!AV201</f>
        <v/>
      </c>
      <c r="BA173" s="75" t="n">
        <v>177</v>
      </c>
      <c r="BB173" s="75">
        <f>IF(Demand!AU190=Retailers_Cap!N173,"ret=0",(AW173/(Demand!AU190-Retailers_Cap!N173)))</f>
        <v/>
      </c>
      <c r="BC173" s="75">
        <f>IF(Demand!AV190=Retailers_Cap!O173,"ret=0",(AX173/(Demand!AV190-Retailers_Cap!O173)))</f>
        <v/>
      </c>
      <c r="BD173" s="75">
        <f>IF(Demand!AW190=Retailers_Cap!P173,"ret=0",(AY173/(Demand!AW190-Retailers_Cap!P173)))</f>
        <v/>
      </c>
      <c r="BF173" s="75" t="n">
        <v>177</v>
      </c>
      <c r="BG173" s="2">
        <f>IF(Demand!AU190&lt;=Retailers_Cap!N173,"ret=0",(IF(BB173&lt;=AR173+Distributors_Cap!$P$47,1,0)))</f>
        <v/>
      </c>
      <c r="BH173" s="2">
        <f>IF(Demand!AV190&lt;=Retailers_Cap!O173,"ret=0",(IF(BC173&lt;=AS173+Distributors_Cap!$P$47,1,0)))</f>
        <v/>
      </c>
      <c r="BI173" s="2">
        <f>IF(Demand!AW190&lt;=Retailers_Cap!P173,"ret=0",(IF(BD173&lt;=AT173+Distributors_Cap!$P$47,1,0)))</f>
        <v/>
      </c>
      <c r="BK173" s="75" t="n">
        <v>177</v>
      </c>
      <c r="BL173" s="75">
        <f>Retailers!BH172</f>
        <v/>
      </c>
      <c r="BM173" s="75">
        <f>Retailers!BI172</f>
        <v/>
      </c>
      <c r="BN173" s="75">
        <f>Retailers!BJ172</f>
        <v/>
      </c>
      <c r="BP173" s="75" t="n">
        <v>177</v>
      </c>
      <c r="BQ173" s="75">
        <f>#REF!</f>
        <v/>
      </c>
      <c r="BR173" s="75">
        <f>#REF!</f>
        <v/>
      </c>
      <c r="BS173" s="75">
        <f>#REF!</f>
        <v/>
      </c>
      <c r="BU173" s="75" t="n">
        <v>177</v>
      </c>
      <c r="BV173" s="75">
        <f>Retailers!AS172</f>
        <v/>
      </c>
      <c r="BW173" s="75">
        <f>Retailers!AT172</f>
        <v/>
      </c>
      <c r="BX173" s="75">
        <f>Retailers!AU172</f>
        <v/>
      </c>
      <c r="BZ173" s="75" t="n">
        <v>177</v>
      </c>
      <c r="CA173" s="75">
        <f>Results!#REF!</f>
        <v/>
      </c>
      <c r="CB173" s="75">
        <f>Results!#REF!</f>
        <v/>
      </c>
      <c r="CC173" s="75">
        <f>Results!#REF!</f>
        <v/>
      </c>
      <c r="CE173" s="75" t="n">
        <v>177</v>
      </c>
      <c r="CF173" s="75">
        <f>Retailers!BN172</f>
        <v/>
      </c>
      <c r="CG173" s="75">
        <f>Retailers!BO172</f>
        <v/>
      </c>
      <c r="CH173" s="75">
        <f>Retailers!BP172</f>
        <v/>
      </c>
      <c r="CJ173" s="75" t="n">
        <v>177</v>
      </c>
      <c r="CK173" s="75">
        <f>IF(BB173="ret=0",0,IF(BB173&gt;0,AR173+Distributors_Cap!$P$47-BB173,0))</f>
        <v/>
      </c>
      <c r="CL173" s="75">
        <f>IF(BC173="ret=0",0,IF(BC173&gt;0,AS173+Distributors_Cap!$P$47-BC173,0))</f>
        <v/>
      </c>
      <c r="CM173" s="75">
        <f>IF(BD173="ret=0",0,IF(BD173&gt;0,AT173+Distributors_Cap!$P$47-BD173,0))</f>
        <v/>
      </c>
    </row>
    <row r="174">
      <c r="G174" s="75" t="n">
        <v>178</v>
      </c>
      <c r="H174" s="75" t="n">
        <v>70.702</v>
      </c>
      <c r="I174" s="75" t="n">
        <v>62.289</v>
      </c>
      <c r="J174" s="75" t="n">
        <v>57.974</v>
      </c>
      <c r="L174" s="75">
        <f>TRUNC((_xlfn.NORM.INV((RAND()),$K$7,$K$8)),0)</f>
        <v/>
      </c>
      <c r="M174" s="75" t="n">
        <v>178</v>
      </c>
      <c r="N174" s="5" t="n">
        <v>44</v>
      </c>
      <c r="O174" s="5" t="n">
        <v>36</v>
      </c>
      <c r="P174" s="5" t="n">
        <v>25</v>
      </c>
      <c r="R174" s="2">
        <f>IF(N174&gt;Demand!AU191,0,(IF(((2*(Retailers!AJ173+Distributors_Cap!$P$47)-Retailers_Cap!$BB$7)*(Demand!AU191-Retailers_Cap!N174))&lt;0,0,((IF(BB174&gt;2*(Retailers!AJ173+Distributors_Cap!$P$47),0,(IF(BG174=0,ROUNDUP((2*(Retailers!AJ173+Distributors_Cap!$P$47)-BB174)^0.5,0),ROUNDUP((2*(Retailers!AJ173+Distributors_Cap!$P$47)-BB174)^0.5,0)))))))))</f>
        <v/>
      </c>
      <c r="S174" s="2">
        <f>IF(O174&gt;Demand!AV191,0,(IF(((2*(Retailers!AK173+Distributors_Cap!$P$47)-Retailers_Cap!$BB$7)*(Demand!AV191-Retailers_Cap!O174))&lt;0,0,((IF(BC174&gt;2*(Retailers!AK173+Distributors_Cap!$P$47),0,(IF(BH174=0,ROUNDUP((2*(Retailers!AK173+Distributors_Cap!$P$47)-BC174)^0.5,0),ROUNDUP((2*(Retailers!AK173+Distributors_Cap!$P$47)-BC174)^0.5,0)))))))))</f>
        <v/>
      </c>
      <c r="T174" s="2">
        <f>IF(P174&gt;Demand!AW191,0,(IF(((2*(Retailers!AL173+Distributors_Cap!$P$47)-Retailers_Cap!$BB$7)*(Demand!AW191-Retailers_Cap!P174))&lt;0,0,((IF(BD174&gt;2*(Retailers!AL173+Distributors_Cap!$P$47),0,(IF(BI174=0,ROUNDUP((2*(Retailers!AL173+Distributors_Cap!$P$47)-BD174)^0.5,0),ROUNDUP((2*(Retailers!AL173+Distributors_Cap!$P$47)-BD174)^0.5,0)))))))))</f>
        <v/>
      </c>
      <c r="W174" s="75" t="n">
        <v>178</v>
      </c>
      <c r="X174" s="9" t="n">
        <v>0</v>
      </c>
      <c r="Y174" s="9" t="n">
        <v>13</v>
      </c>
      <c r="Z174" s="9" t="n">
        <v>10</v>
      </c>
      <c r="AB174" s="2">
        <f>ROUNDDOWN(LOG((X174+1),2),0)</f>
        <v/>
      </c>
      <c r="AC174" s="2">
        <f>ROUNDDOWN(LOG((Y174+1),2),0)</f>
        <v/>
      </c>
      <c r="AD174" s="2">
        <f>ROUNDDOWN(LOG((Z174+1),2),0)</f>
        <v/>
      </c>
      <c r="AG174" s="75" t="n">
        <v>178</v>
      </c>
      <c r="AH174" s="9" t="n">
        <v>0</v>
      </c>
      <c r="AI174" s="9" t="n">
        <v>3</v>
      </c>
      <c r="AJ174" s="9" t="n">
        <v>3</v>
      </c>
      <c r="AQ174" s="75" t="n">
        <v>178</v>
      </c>
      <c r="AR174" s="75" t="n">
        <v>70.702</v>
      </c>
      <c r="AS174" s="75" t="n">
        <v>62.289</v>
      </c>
      <c r="AT174" s="75" t="n">
        <v>57.974</v>
      </c>
      <c r="AV174" s="75" t="n">
        <v>178</v>
      </c>
      <c r="AW174" s="75">
        <f>Beginning_stock!AT202</f>
        <v/>
      </c>
      <c r="AX174" s="75">
        <f>Beginning_stock!AU202</f>
        <v/>
      </c>
      <c r="AY174" s="75">
        <f>Beginning_stock!AV202</f>
        <v/>
      </c>
      <c r="BA174" s="75" t="n">
        <v>178</v>
      </c>
      <c r="BB174" s="75">
        <f>IF(Demand!AU191=Retailers_Cap!N174,"ret=0",(AW174/(Demand!AU191-Retailers_Cap!N174)))</f>
        <v/>
      </c>
      <c r="BC174" s="75">
        <f>IF(Demand!AV191=Retailers_Cap!O174,"ret=0",(AX174/(Demand!AV191-Retailers_Cap!O174)))</f>
        <v/>
      </c>
      <c r="BD174" s="75">
        <f>IF(Demand!AW191=Retailers_Cap!P174,"ret=0",(AY174/(Demand!AW191-Retailers_Cap!P174)))</f>
        <v/>
      </c>
      <c r="BF174" s="75" t="n">
        <v>178</v>
      </c>
      <c r="BG174" s="2">
        <f>IF(Demand!AU191&lt;=Retailers_Cap!N174,"ret=0",(IF(BB174&lt;=AR174+Distributors_Cap!$P$47,1,0)))</f>
        <v/>
      </c>
      <c r="BH174" s="2">
        <f>IF(Demand!AV191&lt;=Retailers_Cap!O174,"ret=0",(IF(BC174&lt;=AS174+Distributors_Cap!$P$47,1,0)))</f>
        <v/>
      </c>
      <c r="BI174" s="2">
        <f>IF(Demand!AW191&lt;=Retailers_Cap!P174,"ret=0",(IF(BD174&lt;=AT174+Distributors_Cap!$P$47,1,0)))</f>
        <v/>
      </c>
      <c r="BK174" s="75" t="n">
        <v>178</v>
      </c>
      <c r="BL174" s="75">
        <f>Retailers!BH173</f>
        <v/>
      </c>
      <c r="BM174" s="75">
        <f>Retailers!BI173</f>
        <v/>
      </c>
      <c r="BN174" s="75">
        <f>Retailers!BJ173</f>
        <v/>
      </c>
      <c r="BP174" s="75" t="n">
        <v>178</v>
      </c>
      <c r="BQ174" s="75">
        <f>#REF!</f>
        <v/>
      </c>
      <c r="BR174" s="75">
        <f>#REF!</f>
        <v/>
      </c>
      <c r="BS174" s="75">
        <f>#REF!</f>
        <v/>
      </c>
      <c r="BU174" s="75" t="n">
        <v>178</v>
      </c>
      <c r="BV174" s="75">
        <f>Retailers!AS173</f>
        <v/>
      </c>
      <c r="BW174" s="75">
        <f>Retailers!AT173</f>
        <v/>
      </c>
      <c r="BX174" s="75">
        <f>Retailers!AU173</f>
        <v/>
      </c>
      <c r="BZ174" s="75" t="n">
        <v>178</v>
      </c>
      <c r="CA174" s="75">
        <f>Results!#REF!</f>
        <v/>
      </c>
      <c r="CB174" s="75">
        <f>Results!#REF!</f>
        <v/>
      </c>
      <c r="CC174" s="75">
        <f>Results!#REF!</f>
        <v/>
      </c>
      <c r="CE174" s="75" t="n">
        <v>178</v>
      </c>
      <c r="CF174" s="75">
        <f>Retailers!BN173</f>
        <v/>
      </c>
      <c r="CG174" s="75">
        <f>Retailers!BO173</f>
        <v/>
      </c>
      <c r="CH174" s="75">
        <f>Retailers!BP173</f>
        <v/>
      </c>
      <c r="CJ174" s="75" t="n">
        <v>178</v>
      </c>
      <c r="CK174" s="75">
        <f>IF(BB174="ret=0",0,IF(BB174&gt;0,AR174+Distributors_Cap!$P$47-BB174,0))</f>
        <v/>
      </c>
      <c r="CL174" s="75">
        <f>IF(BC174="ret=0",0,IF(BC174&gt;0,AS174+Distributors_Cap!$P$47-BC174,0))</f>
        <v/>
      </c>
      <c r="CM174" s="75">
        <f>IF(BD174="ret=0",0,IF(BD174&gt;0,AT174+Distributors_Cap!$P$47-BD174,0))</f>
        <v/>
      </c>
    </row>
    <row r="175">
      <c r="G175" s="75" t="n">
        <v>179</v>
      </c>
      <c r="H175" s="75" t="n">
        <v>49.258</v>
      </c>
      <c r="I175" s="75" t="n">
        <v>86.279</v>
      </c>
      <c r="J175" s="75" t="n">
        <v>81.41200000000001</v>
      </c>
      <c r="L175" s="75">
        <f>TRUNC((_xlfn.NORM.INV((RAND()),$K$7,$K$8)),0)</f>
        <v/>
      </c>
      <c r="M175" s="75" t="n">
        <v>179</v>
      </c>
      <c r="N175" s="5" t="n">
        <v>32</v>
      </c>
      <c r="O175" s="5" t="n">
        <v>28</v>
      </c>
      <c r="P175" s="5" t="n">
        <v>18</v>
      </c>
      <c r="R175" s="2">
        <f>IF(N175&gt;Demand!AU192,0,(IF(((2*(Retailers!AJ174+Distributors_Cap!$P$47)-Retailers_Cap!$BB$7)*(Demand!AU192-Retailers_Cap!N175))&lt;0,0,((IF(BB175&gt;2*(Retailers!AJ174+Distributors_Cap!$P$47),0,(IF(BG175=0,ROUNDUP((2*(Retailers!AJ174+Distributors_Cap!$P$47)-BB175)^0.5,0),ROUNDUP((2*(Retailers!AJ174+Distributors_Cap!$P$47)-BB175)^0.5,0)))))))))</f>
        <v/>
      </c>
      <c r="S175" s="2">
        <f>IF(O175&gt;Demand!AV192,0,(IF(((2*(Retailers!AK174+Distributors_Cap!$P$47)-Retailers_Cap!$BB$7)*(Demand!AV192-Retailers_Cap!O175))&lt;0,0,((IF(BC175&gt;2*(Retailers!AK174+Distributors_Cap!$P$47),0,(IF(BH175=0,ROUNDUP((2*(Retailers!AK174+Distributors_Cap!$P$47)-BC175)^0.5,0),ROUNDUP((2*(Retailers!AK174+Distributors_Cap!$P$47)-BC175)^0.5,0)))))))))</f>
        <v/>
      </c>
      <c r="T175" s="2">
        <f>IF(P175&gt;Demand!AW192,0,(IF(((2*(Retailers!AL174+Distributors_Cap!$P$47)-Retailers_Cap!$BB$7)*(Demand!AW192-Retailers_Cap!P175))&lt;0,0,((IF(BD175&gt;2*(Retailers!AL174+Distributors_Cap!$P$47),0,(IF(BI175=0,ROUNDUP((2*(Retailers!AL174+Distributors_Cap!$P$47)-BD175)^0.5,0),ROUNDUP((2*(Retailers!AL174+Distributors_Cap!$P$47)-BD175)^0.5,0)))))))))</f>
        <v/>
      </c>
      <c r="W175" s="75" t="n">
        <v>179</v>
      </c>
      <c r="X175" s="9" t="n">
        <v>0</v>
      </c>
      <c r="Y175" s="9" t="n">
        <v>0</v>
      </c>
      <c r="Z175" s="9" t="n">
        <v>0</v>
      </c>
      <c r="AB175" s="2">
        <f>ROUNDDOWN(LOG((X175+1),2),0)</f>
        <v/>
      </c>
      <c r="AC175" s="2">
        <f>ROUNDDOWN(LOG((Y175+1),2),0)</f>
        <v/>
      </c>
      <c r="AD175" s="2">
        <f>ROUNDDOWN(LOG((Z175+1),2),0)</f>
        <v/>
      </c>
      <c r="AG175" s="75" t="n">
        <v>179</v>
      </c>
      <c r="AH175" s="9" t="n">
        <v>0</v>
      </c>
      <c r="AI175" s="9" t="n">
        <v>0</v>
      </c>
      <c r="AJ175" s="9" t="n">
        <v>0</v>
      </c>
      <c r="AQ175" s="75" t="n">
        <v>179</v>
      </c>
      <c r="AR175" s="75" t="n">
        <v>49.258</v>
      </c>
      <c r="AS175" s="75" t="n">
        <v>86.279</v>
      </c>
      <c r="AT175" s="75" t="n">
        <v>81.41200000000001</v>
      </c>
      <c r="AV175" s="75" t="n">
        <v>179</v>
      </c>
      <c r="AW175" s="75">
        <f>Beginning_stock!AT203</f>
        <v/>
      </c>
      <c r="AX175" s="75">
        <f>Beginning_stock!AU203</f>
        <v/>
      </c>
      <c r="AY175" s="75">
        <f>Beginning_stock!AV203</f>
        <v/>
      </c>
      <c r="BA175" s="75" t="n">
        <v>179</v>
      </c>
      <c r="BB175" s="75">
        <f>IF(Demand!AU192=Retailers_Cap!N175,"ret=0",(AW175/(Demand!AU192-Retailers_Cap!N175)))</f>
        <v/>
      </c>
      <c r="BC175" s="75">
        <f>IF(Demand!AV192=Retailers_Cap!O175,"ret=0",(AX175/(Demand!AV192-Retailers_Cap!O175)))</f>
        <v/>
      </c>
      <c r="BD175" s="75">
        <f>IF(Demand!AW192=Retailers_Cap!P175,"ret=0",(AY175/(Demand!AW192-Retailers_Cap!P175)))</f>
        <v/>
      </c>
      <c r="BF175" s="75" t="n">
        <v>179</v>
      </c>
      <c r="BG175" s="2">
        <f>IF(Demand!AU192&lt;=Retailers_Cap!N175,"ret=0",(IF(BB175&lt;=AR175+Distributors_Cap!$P$47,1,0)))</f>
        <v/>
      </c>
      <c r="BH175" s="2">
        <f>IF(Demand!AV192&lt;=Retailers_Cap!O175,"ret=0",(IF(BC175&lt;=AS175+Distributors_Cap!$P$47,1,0)))</f>
        <v/>
      </c>
      <c r="BI175" s="2">
        <f>IF(Demand!AW192&lt;=Retailers_Cap!P175,"ret=0",(IF(BD175&lt;=AT175+Distributors_Cap!$P$47,1,0)))</f>
        <v/>
      </c>
      <c r="BK175" s="75" t="n">
        <v>179</v>
      </c>
      <c r="BL175" s="75">
        <f>Retailers!BH174</f>
        <v/>
      </c>
      <c r="BM175" s="75">
        <f>Retailers!BI174</f>
        <v/>
      </c>
      <c r="BN175" s="75">
        <f>Retailers!BJ174</f>
        <v/>
      </c>
      <c r="BP175" s="75" t="n">
        <v>179</v>
      </c>
      <c r="BQ175" s="75">
        <f>#REF!</f>
        <v/>
      </c>
      <c r="BR175" s="75">
        <f>#REF!</f>
        <v/>
      </c>
      <c r="BS175" s="75">
        <f>#REF!</f>
        <v/>
      </c>
      <c r="BU175" s="75" t="n">
        <v>179</v>
      </c>
      <c r="BV175" s="75">
        <f>Retailers!AS174</f>
        <v/>
      </c>
      <c r="BW175" s="75">
        <f>Retailers!AT174</f>
        <v/>
      </c>
      <c r="BX175" s="75">
        <f>Retailers!AU174</f>
        <v/>
      </c>
      <c r="BZ175" s="75" t="n">
        <v>179</v>
      </c>
      <c r="CA175" s="75">
        <f>Results!#REF!</f>
        <v/>
      </c>
      <c r="CB175" s="75">
        <f>Results!#REF!</f>
        <v/>
      </c>
      <c r="CC175" s="75">
        <f>Results!#REF!</f>
        <v/>
      </c>
      <c r="CE175" s="75" t="n">
        <v>179</v>
      </c>
      <c r="CF175" s="75">
        <f>Retailers!BN174</f>
        <v/>
      </c>
      <c r="CG175" s="75">
        <f>Retailers!BO174</f>
        <v/>
      </c>
      <c r="CH175" s="75">
        <f>Retailers!BP174</f>
        <v/>
      </c>
      <c r="CJ175" s="75" t="n">
        <v>179</v>
      </c>
      <c r="CK175" s="75">
        <f>IF(BB175="ret=0",0,IF(BB175&gt;0,AR175+Distributors_Cap!$P$47-BB175,0))</f>
        <v/>
      </c>
      <c r="CL175" s="75">
        <f>IF(BC175="ret=0",0,IF(BC175&gt;0,AS175+Distributors_Cap!$P$47-BC175,0))</f>
        <v/>
      </c>
      <c r="CM175" s="75">
        <f>IF(BD175="ret=0",0,IF(BD175&gt;0,AT175+Distributors_Cap!$P$47-BD175,0))</f>
        <v/>
      </c>
    </row>
    <row r="176">
      <c r="G176" s="75" t="n">
        <v>180</v>
      </c>
      <c r="H176" s="75" t="n">
        <v>54.315</v>
      </c>
      <c r="I176" s="75" t="n">
        <v>69.72799999999999</v>
      </c>
      <c r="J176" s="75" t="n">
        <v>66.7</v>
      </c>
      <c r="L176" s="75">
        <f>TRUNC((_xlfn.NORM.INV((RAND()),$K$7,$K$8)),0)</f>
        <v/>
      </c>
      <c r="M176" s="75" t="n">
        <v>180</v>
      </c>
      <c r="N176" s="5" t="n">
        <v>33</v>
      </c>
      <c r="O176" s="5" t="n">
        <v>19</v>
      </c>
      <c r="P176" s="5" t="n">
        <v>23</v>
      </c>
      <c r="R176" s="2">
        <f>IF(N176&gt;Demand!AU193,0,(IF(((2*(Retailers!AJ175+Distributors_Cap!$P$47)-Retailers_Cap!$BB$7)*(Demand!AU193-Retailers_Cap!N176))&lt;0,0,((IF(BB176&gt;2*(Retailers!AJ175+Distributors_Cap!$P$47),0,(IF(BG176=0,ROUNDUP((2*(Retailers!AJ175+Distributors_Cap!$P$47)-BB176)^0.5,0),ROUNDUP((2*(Retailers!AJ175+Distributors_Cap!$P$47)-BB176)^0.5,0)))))))))</f>
        <v/>
      </c>
      <c r="S176" s="2">
        <f>IF(O176&gt;Demand!AV193,0,(IF(((2*(Retailers!AK175+Distributors_Cap!$P$47)-Retailers_Cap!$BB$7)*(Demand!AV193-Retailers_Cap!O176))&lt;0,0,((IF(BC176&gt;2*(Retailers!AK175+Distributors_Cap!$P$47),0,(IF(BH176=0,ROUNDUP((2*(Retailers!AK175+Distributors_Cap!$P$47)-BC176)^0.5,0),ROUNDUP((2*(Retailers!AK175+Distributors_Cap!$P$47)-BC176)^0.5,0)))))))))</f>
        <v/>
      </c>
      <c r="T176" s="2">
        <f>IF(P176&gt;Demand!AW193,0,(IF(((2*(Retailers!AL175+Distributors_Cap!$P$47)-Retailers_Cap!$BB$7)*(Demand!AW193-Retailers_Cap!P176))&lt;0,0,((IF(BD176&gt;2*(Retailers!AL175+Distributors_Cap!$P$47),0,(IF(BI176=0,ROUNDUP((2*(Retailers!AL175+Distributors_Cap!$P$47)-BD176)^0.5,0),ROUNDUP((2*(Retailers!AL175+Distributors_Cap!$P$47)-BD176)^0.5,0)))))))))</f>
        <v/>
      </c>
      <c r="W176" s="75" t="n">
        <v>180</v>
      </c>
      <c r="X176" s="9" t="n">
        <v>0</v>
      </c>
      <c r="Y176" s="9" t="n">
        <v>11</v>
      </c>
      <c r="Z176" s="9" t="n">
        <v>10</v>
      </c>
      <c r="AB176" s="2">
        <f>ROUNDDOWN(LOG((X176+1),2),0)</f>
        <v/>
      </c>
      <c r="AC176" s="2">
        <f>ROUNDDOWN(LOG((Y176+1),2),0)</f>
        <v/>
      </c>
      <c r="AD176" s="2">
        <f>ROUNDDOWN(LOG((Z176+1),2),0)</f>
        <v/>
      </c>
      <c r="AG176" s="75" t="n">
        <v>180</v>
      </c>
      <c r="AH176" s="9" t="n">
        <v>0</v>
      </c>
      <c r="AI176" s="9" t="n">
        <v>3</v>
      </c>
      <c r="AJ176" s="9" t="n">
        <v>3</v>
      </c>
      <c r="AQ176" s="75" t="n">
        <v>180</v>
      </c>
      <c r="AR176" s="75" t="n">
        <v>54.315</v>
      </c>
      <c r="AS176" s="75" t="n">
        <v>69.72799999999999</v>
      </c>
      <c r="AT176" s="75" t="n">
        <v>66.7</v>
      </c>
      <c r="AV176" s="75" t="n">
        <v>180</v>
      </c>
      <c r="AW176" s="75">
        <f>Beginning_stock!AT204</f>
        <v/>
      </c>
      <c r="AX176" s="75">
        <f>Beginning_stock!AU204</f>
        <v/>
      </c>
      <c r="AY176" s="75">
        <f>Beginning_stock!AV204</f>
        <v/>
      </c>
      <c r="BA176" s="75" t="n">
        <v>180</v>
      </c>
      <c r="BB176" s="75">
        <f>IF(Demand!AU193=Retailers_Cap!N176,"ret=0",(AW176/(Demand!AU193-Retailers_Cap!N176)))</f>
        <v/>
      </c>
      <c r="BC176" s="75">
        <f>IF(Demand!AV193=Retailers_Cap!O176,"ret=0",(AX176/(Demand!AV193-Retailers_Cap!O176)))</f>
        <v/>
      </c>
      <c r="BD176" s="75">
        <f>IF(Demand!AW193=Retailers_Cap!P176,"ret=0",(AY176/(Demand!AW193-Retailers_Cap!P176)))</f>
        <v/>
      </c>
      <c r="BF176" s="75" t="n">
        <v>180</v>
      </c>
      <c r="BG176" s="2">
        <f>IF(Demand!AU193&lt;=Retailers_Cap!N176,"ret=0",(IF(BB176&lt;=AR176+Distributors_Cap!$P$47,1,0)))</f>
        <v/>
      </c>
      <c r="BH176" s="2">
        <f>IF(Demand!AV193&lt;=Retailers_Cap!O176,"ret=0",(IF(BC176&lt;=AS176+Distributors_Cap!$P$47,1,0)))</f>
        <v/>
      </c>
      <c r="BI176" s="2">
        <f>IF(Demand!AW193&lt;=Retailers_Cap!P176,"ret=0",(IF(BD176&lt;=AT176+Distributors_Cap!$P$47,1,0)))</f>
        <v/>
      </c>
      <c r="BK176" s="75" t="n">
        <v>180</v>
      </c>
      <c r="BL176" s="75">
        <f>Retailers!BH175</f>
        <v/>
      </c>
      <c r="BM176" s="75">
        <f>Retailers!BI175</f>
        <v/>
      </c>
      <c r="BN176" s="75">
        <f>Retailers!BJ175</f>
        <v/>
      </c>
      <c r="BP176" s="75" t="n">
        <v>180</v>
      </c>
      <c r="BQ176" s="75">
        <f>#REF!</f>
        <v/>
      </c>
      <c r="BR176" s="75">
        <f>#REF!</f>
        <v/>
      </c>
      <c r="BS176" s="75">
        <f>#REF!</f>
        <v/>
      </c>
      <c r="BU176" s="75" t="n">
        <v>180</v>
      </c>
      <c r="BV176" s="75">
        <f>Retailers!AS175</f>
        <v/>
      </c>
      <c r="BW176" s="75">
        <f>Retailers!AT175</f>
        <v/>
      </c>
      <c r="BX176" s="75">
        <f>Retailers!AU175</f>
        <v/>
      </c>
      <c r="BZ176" s="75" t="n">
        <v>180</v>
      </c>
      <c r="CA176" s="75">
        <f>Results!#REF!</f>
        <v/>
      </c>
      <c r="CB176" s="75">
        <f>Results!#REF!</f>
        <v/>
      </c>
      <c r="CC176" s="75">
        <f>Results!#REF!</f>
        <v/>
      </c>
      <c r="CE176" s="75" t="n">
        <v>180</v>
      </c>
      <c r="CF176" s="75">
        <f>Retailers!BN175</f>
        <v/>
      </c>
      <c r="CG176" s="75">
        <f>Retailers!BO175</f>
        <v/>
      </c>
      <c r="CH176" s="75">
        <f>Retailers!BP175</f>
        <v/>
      </c>
      <c r="CJ176" s="75" t="n">
        <v>180</v>
      </c>
      <c r="CK176" s="75">
        <f>IF(BB176="ret=0",0,IF(BB176&gt;0,AR176+Distributors_Cap!$P$47-BB176,0))</f>
        <v/>
      </c>
      <c r="CL176" s="75">
        <f>IF(BC176="ret=0",0,IF(BC176&gt;0,AS176+Distributors_Cap!$P$47-BC176,0))</f>
        <v/>
      </c>
      <c r="CM176" s="75">
        <f>IF(BD176="ret=0",0,IF(BD176&gt;0,AT176+Distributors_Cap!$P$47-BD176,0))</f>
        <v/>
      </c>
    </row>
    <row r="177">
      <c r="G177" s="75" t="n">
        <v>181</v>
      </c>
      <c r="H177" s="75" t="n">
        <v>56.533</v>
      </c>
      <c r="I177" s="75" t="n">
        <v>65.581</v>
      </c>
      <c r="J177" s="75" t="n">
        <v>66.003</v>
      </c>
      <c r="L177" s="75">
        <f>TRUNC((_xlfn.NORM.INV((RAND()),$K$7,$K$8)),0)</f>
        <v/>
      </c>
      <c r="M177" s="75" t="n">
        <v>181</v>
      </c>
      <c r="N177" s="5" t="n">
        <v>31</v>
      </c>
      <c r="O177" s="5" t="n">
        <v>41</v>
      </c>
      <c r="P177" s="5" t="n">
        <v>19</v>
      </c>
      <c r="R177" s="2">
        <f>IF(N177&gt;Demand!AU194,0,(IF(((2*(Retailers!AJ176+Distributors_Cap!$P$47)-Retailers_Cap!$BB$7)*(Demand!AU194-Retailers_Cap!N177))&lt;0,0,((IF(BB177&gt;2*(Retailers!AJ176+Distributors_Cap!$P$47),0,(IF(BG177=0,ROUNDUP((2*(Retailers!AJ176+Distributors_Cap!$P$47)-BB177)^0.5,0),ROUNDUP((2*(Retailers!AJ176+Distributors_Cap!$P$47)-BB177)^0.5,0)))))))))</f>
        <v/>
      </c>
      <c r="S177" s="2">
        <f>IF(O177&gt;Demand!AV194,0,(IF(((2*(Retailers!AK176+Distributors_Cap!$P$47)-Retailers_Cap!$BB$7)*(Demand!AV194-Retailers_Cap!O177))&lt;0,0,((IF(BC177&gt;2*(Retailers!AK176+Distributors_Cap!$P$47),0,(IF(BH177=0,ROUNDUP((2*(Retailers!AK176+Distributors_Cap!$P$47)-BC177)^0.5,0),ROUNDUP((2*(Retailers!AK176+Distributors_Cap!$P$47)-BC177)^0.5,0)))))))))</f>
        <v/>
      </c>
      <c r="T177" s="2">
        <f>IF(P177&gt;Demand!AW194,0,(IF(((2*(Retailers!AL176+Distributors_Cap!$P$47)-Retailers_Cap!$BB$7)*(Demand!AW194-Retailers_Cap!P177))&lt;0,0,((IF(BD177&gt;2*(Retailers!AL176+Distributors_Cap!$P$47),0,(IF(BI177=0,ROUNDUP((2*(Retailers!AL176+Distributors_Cap!$P$47)-BD177)^0.5,0),ROUNDUP((2*(Retailers!AL176+Distributors_Cap!$P$47)-BD177)^0.5,0)))))))))</f>
        <v/>
      </c>
      <c r="W177" s="75" t="n">
        <v>181</v>
      </c>
      <c r="X177" s="9" t="n">
        <v>0</v>
      </c>
      <c r="Y177" s="9" t="n">
        <v>0</v>
      </c>
      <c r="Z177" s="9" t="n">
        <v>0</v>
      </c>
      <c r="AB177" s="2">
        <f>ROUNDDOWN(LOG((X177+1),2),0)</f>
        <v/>
      </c>
      <c r="AC177" s="2">
        <f>ROUNDDOWN(LOG((Y177+1),2),0)</f>
        <v/>
      </c>
      <c r="AD177" s="2">
        <f>ROUNDDOWN(LOG((Z177+1),2),0)</f>
        <v/>
      </c>
      <c r="AG177" s="75" t="n">
        <v>181</v>
      </c>
      <c r="AH177" s="9" t="n">
        <v>0</v>
      </c>
      <c r="AI177" s="9" t="n">
        <v>0</v>
      </c>
      <c r="AJ177" s="9" t="n">
        <v>0</v>
      </c>
      <c r="AQ177" s="75" t="n">
        <v>181</v>
      </c>
      <c r="AR177" s="75" t="n">
        <v>56.533</v>
      </c>
      <c r="AS177" s="75" t="n">
        <v>65.581</v>
      </c>
      <c r="AT177" s="75" t="n">
        <v>66.003</v>
      </c>
      <c r="AV177" s="75" t="n">
        <v>181</v>
      </c>
      <c r="AW177" s="75">
        <f>Beginning_stock!AT205</f>
        <v/>
      </c>
      <c r="AX177" s="75">
        <f>Beginning_stock!AU205</f>
        <v/>
      </c>
      <c r="AY177" s="75">
        <f>Beginning_stock!AV205</f>
        <v/>
      </c>
      <c r="BA177" s="75" t="n">
        <v>181</v>
      </c>
      <c r="BB177" s="75">
        <f>IF(Demand!AU194=Retailers_Cap!N177,"ret=0",(AW177/(Demand!AU194-Retailers_Cap!N177)))</f>
        <v/>
      </c>
      <c r="BC177" s="75">
        <f>IF(Demand!AV194=Retailers_Cap!O177,"ret=0",(AX177/(Demand!AV194-Retailers_Cap!O177)))</f>
        <v/>
      </c>
      <c r="BD177" s="75">
        <f>IF(Demand!AW194=Retailers_Cap!P177,"ret=0",(AY177/(Demand!AW194-Retailers_Cap!P177)))</f>
        <v/>
      </c>
      <c r="BF177" s="75" t="n">
        <v>181</v>
      </c>
      <c r="BG177" s="2">
        <f>IF(Demand!AU194&lt;=Retailers_Cap!N177,"ret=0",(IF(BB177&lt;=AR177+Distributors_Cap!$P$47,1,0)))</f>
        <v/>
      </c>
      <c r="BH177" s="2">
        <f>IF(Demand!AV194&lt;=Retailers_Cap!O177,"ret=0",(IF(BC177&lt;=AS177+Distributors_Cap!$P$47,1,0)))</f>
        <v/>
      </c>
      <c r="BI177" s="2">
        <f>IF(Demand!AW194&lt;=Retailers_Cap!P177,"ret=0",(IF(BD177&lt;=AT177+Distributors_Cap!$P$47,1,0)))</f>
        <v/>
      </c>
      <c r="BK177" s="75" t="n">
        <v>181</v>
      </c>
      <c r="BL177" s="75">
        <f>Retailers!BH176</f>
        <v/>
      </c>
      <c r="BM177" s="75">
        <f>Retailers!BI176</f>
        <v/>
      </c>
      <c r="BN177" s="75">
        <f>Retailers!BJ176</f>
        <v/>
      </c>
      <c r="BP177" s="75" t="n">
        <v>181</v>
      </c>
      <c r="BQ177" s="75">
        <f>#REF!</f>
        <v/>
      </c>
      <c r="BR177" s="75">
        <f>#REF!</f>
        <v/>
      </c>
      <c r="BS177" s="75">
        <f>#REF!</f>
        <v/>
      </c>
      <c r="BU177" s="75" t="n">
        <v>181</v>
      </c>
      <c r="BV177" s="75">
        <f>Retailers!AS176</f>
        <v/>
      </c>
      <c r="BW177" s="75">
        <f>Retailers!AT176</f>
        <v/>
      </c>
      <c r="BX177" s="75">
        <f>Retailers!AU176</f>
        <v/>
      </c>
      <c r="BZ177" s="75" t="n">
        <v>181</v>
      </c>
      <c r="CA177" s="75">
        <f>Results!#REF!</f>
        <v/>
      </c>
      <c r="CB177" s="75">
        <f>Results!#REF!</f>
        <v/>
      </c>
      <c r="CC177" s="75">
        <f>Results!#REF!</f>
        <v/>
      </c>
      <c r="CE177" s="75" t="n">
        <v>181</v>
      </c>
      <c r="CF177" s="75">
        <f>Retailers!BN176</f>
        <v/>
      </c>
      <c r="CG177" s="75">
        <f>Retailers!BO176</f>
        <v/>
      </c>
      <c r="CH177" s="75">
        <f>Retailers!BP176</f>
        <v/>
      </c>
      <c r="CJ177" s="75" t="n">
        <v>181</v>
      </c>
      <c r="CK177" s="75">
        <f>IF(BB177="ret=0",0,IF(BB177&gt;0,AR177+Distributors_Cap!$P$47-BB177,0))</f>
        <v/>
      </c>
      <c r="CL177" s="75">
        <f>IF(BC177="ret=0",0,IF(BC177&gt;0,AS177+Distributors_Cap!$P$47-BC177,0))</f>
        <v/>
      </c>
      <c r="CM177" s="75">
        <f>IF(BD177="ret=0",0,IF(BD177&gt;0,AT177+Distributors_Cap!$P$47-BD177,0))</f>
        <v/>
      </c>
    </row>
    <row r="178">
      <c r="G178" s="75" t="n">
        <v>182</v>
      </c>
      <c r="H178" s="75" t="n">
        <v>56.555</v>
      </c>
      <c r="I178" s="75" t="n">
        <v>63.908</v>
      </c>
      <c r="J178" s="75" t="n">
        <v>69.252</v>
      </c>
      <c r="L178" s="75">
        <f>TRUNC((_xlfn.NORM.INV((RAND()),$K$7,$K$8)),0)</f>
        <v/>
      </c>
      <c r="M178" s="75" t="n">
        <v>182</v>
      </c>
      <c r="N178" s="5" t="n">
        <v>26</v>
      </c>
      <c r="O178" s="5" t="n">
        <v>35</v>
      </c>
      <c r="P178" s="5" t="n">
        <v>24</v>
      </c>
      <c r="R178" s="2">
        <f>IF(N178&gt;Demand!AU195,0,(IF(((2*(Retailers!AJ177+Distributors_Cap!$P$47)-Retailers_Cap!$BB$7)*(Demand!AU195-Retailers_Cap!N178))&lt;0,0,((IF(BB178&gt;2*(Retailers!AJ177+Distributors_Cap!$P$47),0,(IF(BG178=0,ROUNDUP((2*(Retailers!AJ177+Distributors_Cap!$P$47)-BB178)^0.5,0),ROUNDUP((2*(Retailers!AJ177+Distributors_Cap!$P$47)-BB178)^0.5,0)))))))))</f>
        <v/>
      </c>
      <c r="S178" s="2">
        <f>IF(O178&gt;Demand!AV195,0,(IF(((2*(Retailers!AK177+Distributors_Cap!$P$47)-Retailers_Cap!$BB$7)*(Demand!AV195-Retailers_Cap!O178))&lt;0,0,((IF(BC178&gt;2*(Retailers!AK177+Distributors_Cap!$P$47),0,(IF(BH178=0,ROUNDUP((2*(Retailers!AK177+Distributors_Cap!$P$47)-BC178)^0.5,0),ROUNDUP((2*(Retailers!AK177+Distributors_Cap!$P$47)-BC178)^0.5,0)))))))))</f>
        <v/>
      </c>
      <c r="T178" s="2">
        <f>IF(P178&gt;Demand!AW195,0,(IF(((2*(Retailers!AL177+Distributors_Cap!$P$47)-Retailers_Cap!$BB$7)*(Demand!AW195-Retailers_Cap!P178))&lt;0,0,((IF(BD178&gt;2*(Retailers!AL177+Distributors_Cap!$P$47),0,(IF(BI178=0,ROUNDUP((2*(Retailers!AL177+Distributors_Cap!$P$47)-BD178)^0.5,0),ROUNDUP((2*(Retailers!AL177+Distributors_Cap!$P$47)-BD178)^0.5,0)))))))))</f>
        <v/>
      </c>
      <c r="W178" s="75" t="n">
        <v>182</v>
      </c>
      <c r="X178" s="9" t="n">
        <v>0</v>
      </c>
      <c r="Y178" s="9" t="n">
        <v>0</v>
      </c>
      <c r="Z178" s="9" t="n">
        <v>14</v>
      </c>
      <c r="AB178" s="2">
        <f>ROUNDDOWN(LOG((X178+1),2),0)</f>
        <v/>
      </c>
      <c r="AC178" s="2">
        <f>ROUNDDOWN(LOG((Y178+1),2),0)</f>
        <v/>
      </c>
      <c r="AD178" s="2">
        <f>ROUNDDOWN(LOG((Z178+1),2),0)</f>
        <v/>
      </c>
      <c r="AG178" s="75" t="n">
        <v>182</v>
      </c>
      <c r="AH178" s="9" t="n">
        <v>0</v>
      </c>
      <c r="AI178" s="9" t="n">
        <v>0</v>
      </c>
      <c r="AJ178" s="9" t="n">
        <v>3</v>
      </c>
      <c r="AQ178" s="75" t="n">
        <v>182</v>
      </c>
      <c r="AR178" s="75" t="n">
        <v>56.555</v>
      </c>
      <c r="AS178" s="75" t="n">
        <v>63.908</v>
      </c>
      <c r="AT178" s="75" t="n">
        <v>69.252</v>
      </c>
      <c r="AV178" s="75" t="n">
        <v>182</v>
      </c>
      <c r="AW178" s="75">
        <f>Beginning_stock!AT206</f>
        <v/>
      </c>
      <c r="AX178" s="75">
        <f>Beginning_stock!AU206</f>
        <v/>
      </c>
      <c r="AY178" s="75">
        <f>Beginning_stock!AV206</f>
        <v/>
      </c>
      <c r="BA178" s="75" t="n">
        <v>182</v>
      </c>
      <c r="BB178" s="75">
        <f>IF(Demand!AU195=Retailers_Cap!N178,"ret=0",(AW178/(Demand!AU195-Retailers_Cap!N178)))</f>
        <v/>
      </c>
      <c r="BC178" s="75">
        <f>IF(Demand!AV195=Retailers_Cap!O178,"ret=0",(AX178/(Demand!AV195-Retailers_Cap!O178)))</f>
        <v/>
      </c>
      <c r="BD178" s="75">
        <f>IF(Demand!AW195=Retailers_Cap!P178,"ret=0",(AY178/(Demand!AW195-Retailers_Cap!P178)))</f>
        <v/>
      </c>
      <c r="BF178" s="75" t="n">
        <v>182</v>
      </c>
      <c r="BG178" s="2">
        <f>IF(Demand!AU195&lt;=Retailers_Cap!N178,"ret=0",(IF(BB178&lt;=AR178+Distributors_Cap!$P$47,1,0)))</f>
        <v/>
      </c>
      <c r="BH178" s="2">
        <f>IF(Demand!AV195&lt;=Retailers_Cap!O178,"ret=0",(IF(BC178&lt;=AS178+Distributors_Cap!$P$47,1,0)))</f>
        <v/>
      </c>
      <c r="BI178" s="2">
        <f>IF(Demand!AW195&lt;=Retailers_Cap!P178,"ret=0",(IF(BD178&lt;=AT178+Distributors_Cap!$P$47,1,0)))</f>
        <v/>
      </c>
      <c r="BK178" s="75" t="n">
        <v>182</v>
      </c>
      <c r="BL178" s="75">
        <f>Retailers!BH177</f>
        <v/>
      </c>
      <c r="BM178" s="75">
        <f>Retailers!BI177</f>
        <v/>
      </c>
      <c r="BN178" s="75">
        <f>Retailers!BJ177</f>
        <v/>
      </c>
      <c r="BP178" s="75" t="n">
        <v>182</v>
      </c>
      <c r="BQ178" s="75">
        <f>#REF!</f>
        <v/>
      </c>
      <c r="BR178" s="75">
        <f>#REF!</f>
        <v/>
      </c>
      <c r="BS178" s="75">
        <f>#REF!</f>
        <v/>
      </c>
      <c r="BU178" s="75" t="n">
        <v>182</v>
      </c>
      <c r="BV178" s="75">
        <f>Retailers!AS177</f>
        <v/>
      </c>
      <c r="BW178" s="75">
        <f>Retailers!AT177</f>
        <v/>
      </c>
      <c r="BX178" s="75">
        <f>Retailers!AU177</f>
        <v/>
      </c>
      <c r="BZ178" s="75" t="n">
        <v>182</v>
      </c>
      <c r="CA178" s="75">
        <f>Results!#REF!</f>
        <v/>
      </c>
      <c r="CB178" s="75">
        <f>Results!#REF!</f>
        <v/>
      </c>
      <c r="CC178" s="75">
        <f>Results!#REF!</f>
        <v/>
      </c>
      <c r="CE178" s="75" t="n">
        <v>182</v>
      </c>
      <c r="CF178" s="75">
        <f>Retailers!BN177</f>
        <v/>
      </c>
      <c r="CG178" s="75">
        <f>Retailers!BO177</f>
        <v/>
      </c>
      <c r="CH178" s="75">
        <f>Retailers!BP177</f>
        <v/>
      </c>
      <c r="CJ178" s="75" t="n">
        <v>182</v>
      </c>
      <c r="CK178" s="75">
        <f>IF(BB178="ret=0",0,IF(BB178&gt;0,AR178+Distributors_Cap!$P$47-BB178,0))</f>
        <v/>
      </c>
      <c r="CL178" s="75">
        <f>IF(BC178="ret=0",0,IF(BC178&gt;0,AS178+Distributors_Cap!$P$47-BC178,0))</f>
        <v/>
      </c>
      <c r="CM178" s="75">
        <f>IF(BD178="ret=0",0,IF(BD178&gt;0,AT178+Distributors_Cap!$P$47-BD178,0))</f>
        <v/>
      </c>
    </row>
    <row r="179">
      <c r="G179" s="75" t="n">
        <v>183</v>
      </c>
      <c r="H179" s="75" t="n">
        <v>67.679</v>
      </c>
      <c r="I179" s="75" t="n">
        <v>31.107</v>
      </c>
      <c r="J179" s="75" t="n">
        <v>59.942</v>
      </c>
      <c r="L179" s="75">
        <f>TRUNC((_xlfn.NORM.INV((RAND()),$K$7,$K$8)),0)</f>
        <v/>
      </c>
      <c r="M179" s="75" t="n">
        <v>183</v>
      </c>
      <c r="N179" s="5" t="n">
        <v>27</v>
      </c>
      <c r="O179" s="5" t="n">
        <v>26</v>
      </c>
      <c r="P179" s="5" t="n">
        <v>32</v>
      </c>
      <c r="R179" s="2">
        <f>IF(N179&gt;Demand!AU196,0,(IF(((2*(Retailers!AJ178+Distributors_Cap!$P$47)-Retailers_Cap!$BB$7)*(Demand!AU196-Retailers_Cap!N179))&lt;0,0,((IF(BB179&gt;2*(Retailers!AJ178+Distributors_Cap!$P$47),0,(IF(BG179=0,ROUNDUP((2*(Retailers!AJ178+Distributors_Cap!$P$47)-BB179)^0.5,0),ROUNDUP((2*(Retailers!AJ178+Distributors_Cap!$P$47)-BB179)^0.5,0)))))))))</f>
        <v/>
      </c>
      <c r="S179" s="2">
        <f>IF(O179&gt;Demand!AV196,0,(IF(((2*(Retailers!AK178+Distributors_Cap!$P$47)-Retailers_Cap!$BB$7)*(Demand!AV196-Retailers_Cap!O179))&lt;0,0,((IF(BC179&gt;2*(Retailers!AK178+Distributors_Cap!$P$47),0,(IF(BH179=0,ROUNDUP((2*(Retailers!AK178+Distributors_Cap!$P$47)-BC179)^0.5,0),ROUNDUP((2*(Retailers!AK178+Distributors_Cap!$P$47)-BC179)^0.5,0)))))))))</f>
        <v/>
      </c>
      <c r="T179" s="2">
        <f>IF(P179&gt;Demand!AW196,0,(IF(((2*(Retailers!AL178+Distributors_Cap!$P$47)-Retailers_Cap!$BB$7)*(Demand!AW196-Retailers_Cap!P179))&lt;0,0,((IF(BD179&gt;2*(Retailers!AL178+Distributors_Cap!$P$47),0,(IF(BI179=0,ROUNDUP((2*(Retailers!AL178+Distributors_Cap!$P$47)-BD179)^0.5,0),ROUNDUP((2*(Retailers!AL178+Distributors_Cap!$P$47)-BD179)^0.5,0)))))))))</f>
        <v/>
      </c>
      <c r="W179" s="75" t="n">
        <v>183</v>
      </c>
      <c r="X179" s="9" t="n">
        <v>11</v>
      </c>
      <c r="Y179" s="9" t="n">
        <v>10</v>
      </c>
      <c r="Z179" s="9" t="n">
        <v>0</v>
      </c>
      <c r="AB179" s="2">
        <f>ROUNDDOWN(LOG((X179+1),2),0)</f>
        <v/>
      </c>
      <c r="AC179" s="2">
        <f>ROUNDDOWN(LOG((Y179+1),2),0)</f>
        <v/>
      </c>
      <c r="AD179" s="2">
        <f>ROUNDDOWN(LOG((Z179+1),2),0)</f>
        <v/>
      </c>
      <c r="AG179" s="75" t="n">
        <v>183</v>
      </c>
      <c r="AH179" s="9" t="n">
        <v>3</v>
      </c>
      <c r="AI179" s="9" t="n">
        <v>3</v>
      </c>
      <c r="AJ179" s="9" t="n">
        <v>0</v>
      </c>
      <c r="AQ179" s="75" t="n">
        <v>183</v>
      </c>
      <c r="AR179" s="75" t="n">
        <v>67.679</v>
      </c>
      <c r="AS179" s="75" t="n">
        <v>31.107</v>
      </c>
      <c r="AT179" s="75" t="n">
        <v>59.942</v>
      </c>
      <c r="AV179" s="75" t="n">
        <v>183</v>
      </c>
      <c r="AW179" s="75">
        <f>Beginning_stock!AT207</f>
        <v/>
      </c>
      <c r="AX179" s="75">
        <f>Beginning_stock!AU207</f>
        <v/>
      </c>
      <c r="AY179" s="75">
        <f>Beginning_stock!AV207</f>
        <v/>
      </c>
      <c r="BA179" s="75" t="n">
        <v>183</v>
      </c>
      <c r="BB179" s="75">
        <f>IF(Demand!AU196=Retailers_Cap!N179,"ret=0",(AW179/(Demand!AU196-Retailers_Cap!N179)))</f>
        <v/>
      </c>
      <c r="BC179" s="75">
        <f>IF(Demand!AV196=Retailers_Cap!O179,"ret=0",(AX179/(Demand!AV196-Retailers_Cap!O179)))</f>
        <v/>
      </c>
      <c r="BD179" s="75">
        <f>IF(Demand!AW196=Retailers_Cap!P179,"ret=0",(AY179/(Demand!AW196-Retailers_Cap!P179)))</f>
        <v/>
      </c>
      <c r="BF179" s="75" t="n">
        <v>183</v>
      </c>
      <c r="BG179" s="2">
        <f>IF(Demand!AU196&lt;=Retailers_Cap!N179,"ret=0",(IF(BB179&lt;=AR179+Distributors_Cap!$P$47,1,0)))</f>
        <v/>
      </c>
      <c r="BH179" s="2">
        <f>IF(Demand!AV196&lt;=Retailers_Cap!O179,"ret=0",(IF(BC179&lt;=AS179+Distributors_Cap!$P$47,1,0)))</f>
        <v/>
      </c>
      <c r="BI179" s="2">
        <f>IF(Demand!AW196&lt;=Retailers_Cap!P179,"ret=0",(IF(BD179&lt;=AT179+Distributors_Cap!$P$47,1,0)))</f>
        <v/>
      </c>
      <c r="BK179" s="75" t="n">
        <v>183</v>
      </c>
      <c r="BL179" s="75">
        <f>Retailers!BH178</f>
        <v/>
      </c>
      <c r="BM179" s="75">
        <f>Retailers!BI178</f>
        <v/>
      </c>
      <c r="BN179" s="75">
        <f>Retailers!BJ178</f>
        <v/>
      </c>
      <c r="BP179" s="75" t="n">
        <v>183</v>
      </c>
      <c r="BQ179" s="75">
        <f>#REF!</f>
        <v/>
      </c>
      <c r="BR179" s="75">
        <f>#REF!</f>
        <v/>
      </c>
      <c r="BS179" s="75">
        <f>#REF!</f>
        <v/>
      </c>
      <c r="BU179" s="75" t="n">
        <v>183</v>
      </c>
      <c r="BV179" s="75">
        <f>Retailers!AS178</f>
        <v/>
      </c>
      <c r="BW179" s="75">
        <f>Retailers!AT178</f>
        <v/>
      </c>
      <c r="BX179" s="75">
        <f>Retailers!AU178</f>
        <v/>
      </c>
      <c r="BZ179" s="75" t="n">
        <v>183</v>
      </c>
      <c r="CA179" s="75">
        <f>Results!#REF!</f>
        <v/>
      </c>
      <c r="CB179" s="75">
        <f>Results!#REF!</f>
        <v/>
      </c>
      <c r="CC179" s="75">
        <f>Results!#REF!</f>
        <v/>
      </c>
      <c r="CE179" s="75" t="n">
        <v>183</v>
      </c>
      <c r="CF179" s="75">
        <f>Retailers!BN178</f>
        <v/>
      </c>
      <c r="CG179" s="75">
        <f>Retailers!BO178</f>
        <v/>
      </c>
      <c r="CH179" s="75">
        <f>Retailers!BP178</f>
        <v/>
      </c>
      <c r="CJ179" s="75" t="n">
        <v>183</v>
      </c>
      <c r="CK179" s="75">
        <f>IF(BB179="ret=0",0,IF(BB179&gt;0,AR179+Distributors_Cap!$P$47-BB179,0))</f>
        <v/>
      </c>
      <c r="CL179" s="75">
        <f>IF(BC179="ret=0",0,IF(BC179&gt;0,AS179+Distributors_Cap!$P$47-BC179,0))</f>
        <v/>
      </c>
      <c r="CM179" s="75">
        <f>IF(BD179="ret=0",0,IF(BD179&gt;0,AT179+Distributors_Cap!$P$47-BD179,0))</f>
        <v/>
      </c>
    </row>
    <row r="180">
      <c r="G180" s="75" t="n">
        <v>184</v>
      </c>
      <c r="H180" s="75" t="n">
        <v>59.455</v>
      </c>
      <c r="I180" s="75" t="n">
        <v>56.377</v>
      </c>
      <c r="J180" s="75" t="n">
        <v>66.08799999999999</v>
      </c>
      <c r="L180" s="75">
        <f>TRUNC((_xlfn.NORM.INV((RAND()),$K$7,$K$8)),0)</f>
        <v/>
      </c>
      <c r="M180" s="75" t="n">
        <v>184</v>
      </c>
      <c r="N180" s="5" t="n">
        <v>26</v>
      </c>
      <c r="O180" s="5" t="n">
        <v>20</v>
      </c>
      <c r="P180" s="5" t="n">
        <v>20</v>
      </c>
      <c r="R180" s="2">
        <f>IF(N180&gt;Demand!AU197,0,(IF(((2*(Retailers!AJ179+Distributors_Cap!$P$47)-Retailers_Cap!$BB$7)*(Demand!AU197-Retailers_Cap!N180))&lt;0,0,((IF(BB180&gt;2*(Retailers!AJ179+Distributors_Cap!$P$47),0,(IF(BG180=0,ROUNDUP((2*(Retailers!AJ179+Distributors_Cap!$P$47)-BB180)^0.5,0),ROUNDUP((2*(Retailers!AJ179+Distributors_Cap!$P$47)-BB180)^0.5,0)))))))))</f>
        <v/>
      </c>
      <c r="S180" s="2">
        <f>IF(O180&gt;Demand!AV197,0,(IF(((2*(Retailers!AK179+Distributors_Cap!$P$47)-Retailers_Cap!$BB$7)*(Demand!AV197-Retailers_Cap!O180))&lt;0,0,((IF(BC180&gt;2*(Retailers!AK179+Distributors_Cap!$P$47),0,(IF(BH180=0,ROUNDUP((2*(Retailers!AK179+Distributors_Cap!$P$47)-BC180)^0.5,0),ROUNDUP((2*(Retailers!AK179+Distributors_Cap!$P$47)-BC180)^0.5,0)))))))))</f>
        <v/>
      </c>
      <c r="T180" s="2">
        <f>IF(P180&gt;Demand!AW197,0,(IF(((2*(Retailers!AL179+Distributors_Cap!$P$47)-Retailers_Cap!$BB$7)*(Demand!AW197-Retailers_Cap!P180))&lt;0,0,((IF(BD180&gt;2*(Retailers!AL179+Distributors_Cap!$P$47),0,(IF(BI180=0,ROUNDUP((2*(Retailers!AL179+Distributors_Cap!$P$47)-BD180)^0.5,0),ROUNDUP((2*(Retailers!AL179+Distributors_Cap!$P$47)-BD180)^0.5,0)))))))))</f>
        <v/>
      </c>
      <c r="W180" s="75" t="n">
        <v>184</v>
      </c>
      <c r="X180" s="9" t="n">
        <v>13</v>
      </c>
      <c r="Y180" s="9" t="n">
        <v>13</v>
      </c>
      <c r="Z180" s="9" t="n">
        <v>14</v>
      </c>
      <c r="AB180" s="2">
        <f>ROUNDDOWN(LOG((X180+1),2),0)</f>
        <v/>
      </c>
      <c r="AC180" s="2">
        <f>ROUNDDOWN(LOG((Y180+1),2),0)</f>
        <v/>
      </c>
      <c r="AD180" s="2">
        <f>ROUNDDOWN(LOG((Z180+1),2),0)</f>
        <v/>
      </c>
      <c r="AG180" s="75" t="n">
        <v>184</v>
      </c>
      <c r="AH180" s="9" t="n">
        <v>3</v>
      </c>
      <c r="AI180" s="9" t="n">
        <v>3</v>
      </c>
      <c r="AJ180" s="9" t="n">
        <v>3</v>
      </c>
      <c r="AQ180" s="75" t="n">
        <v>184</v>
      </c>
      <c r="AR180" s="75" t="n">
        <v>59.455</v>
      </c>
      <c r="AS180" s="75" t="n">
        <v>56.377</v>
      </c>
      <c r="AT180" s="75" t="n">
        <v>66.08799999999999</v>
      </c>
      <c r="AV180" s="75" t="n">
        <v>184</v>
      </c>
      <c r="AW180" s="75">
        <f>Beginning_stock!AT208</f>
        <v/>
      </c>
      <c r="AX180" s="75">
        <f>Beginning_stock!AU208</f>
        <v/>
      </c>
      <c r="AY180" s="75">
        <f>Beginning_stock!AV208</f>
        <v/>
      </c>
      <c r="BA180" s="75" t="n">
        <v>184</v>
      </c>
      <c r="BB180" s="75">
        <f>IF(Demand!AU197=Retailers_Cap!N180,"ret=0",(AW180/(Demand!AU197-Retailers_Cap!N180)))</f>
        <v/>
      </c>
      <c r="BC180" s="75">
        <f>IF(Demand!AV197=Retailers_Cap!O180,"ret=0",(AX180/(Demand!AV197-Retailers_Cap!O180)))</f>
        <v/>
      </c>
      <c r="BD180" s="75">
        <f>IF(Demand!AW197=Retailers_Cap!P180,"ret=0",(AY180/(Demand!AW197-Retailers_Cap!P180)))</f>
        <v/>
      </c>
      <c r="BF180" s="75" t="n">
        <v>184</v>
      </c>
      <c r="BG180" s="2">
        <f>IF(Demand!AU197&lt;=Retailers_Cap!N180,"ret=0",(IF(BB180&lt;=AR180+Distributors_Cap!$P$47,1,0)))</f>
        <v/>
      </c>
      <c r="BH180" s="2">
        <f>IF(Demand!AV197&lt;=Retailers_Cap!O180,"ret=0",(IF(BC180&lt;=AS180+Distributors_Cap!$P$47,1,0)))</f>
        <v/>
      </c>
      <c r="BI180" s="2">
        <f>IF(Demand!AW197&lt;=Retailers_Cap!P180,"ret=0",(IF(BD180&lt;=AT180+Distributors_Cap!$P$47,1,0)))</f>
        <v/>
      </c>
      <c r="BK180" s="75" t="n">
        <v>184</v>
      </c>
      <c r="BL180" s="75">
        <f>Retailers!BH179</f>
        <v/>
      </c>
      <c r="BM180" s="75">
        <f>Retailers!BI179</f>
        <v/>
      </c>
      <c r="BN180" s="75">
        <f>Retailers!BJ179</f>
        <v/>
      </c>
      <c r="BP180" s="75" t="n">
        <v>184</v>
      </c>
      <c r="BQ180" s="75">
        <f>#REF!</f>
        <v/>
      </c>
      <c r="BR180" s="75">
        <f>#REF!</f>
        <v/>
      </c>
      <c r="BS180" s="75">
        <f>#REF!</f>
        <v/>
      </c>
      <c r="BU180" s="75" t="n">
        <v>184</v>
      </c>
      <c r="BV180" s="75">
        <f>Retailers!AS179</f>
        <v/>
      </c>
      <c r="BW180" s="75">
        <f>Retailers!AT179</f>
        <v/>
      </c>
      <c r="BX180" s="75">
        <f>Retailers!AU179</f>
        <v/>
      </c>
      <c r="BZ180" s="75" t="n">
        <v>184</v>
      </c>
      <c r="CA180" s="75">
        <f>Results!#REF!</f>
        <v/>
      </c>
      <c r="CB180" s="75">
        <f>Results!#REF!</f>
        <v/>
      </c>
      <c r="CC180" s="75">
        <f>Results!#REF!</f>
        <v/>
      </c>
      <c r="CE180" s="75" t="n">
        <v>184</v>
      </c>
      <c r="CF180" s="75">
        <f>Retailers!BN179</f>
        <v/>
      </c>
      <c r="CG180" s="75">
        <f>Retailers!BO179</f>
        <v/>
      </c>
      <c r="CH180" s="75">
        <f>Retailers!BP179</f>
        <v/>
      </c>
      <c r="CJ180" s="75" t="n">
        <v>184</v>
      </c>
      <c r="CK180" s="75">
        <f>IF(BB180="ret=0",0,IF(BB180&gt;0,AR180+Distributors_Cap!$P$47-BB180,0))</f>
        <v/>
      </c>
      <c r="CL180" s="75">
        <f>IF(BC180="ret=0",0,IF(BC180&gt;0,AS180+Distributors_Cap!$P$47-BC180,0))</f>
        <v/>
      </c>
      <c r="CM180" s="75">
        <f>IF(BD180="ret=0",0,IF(BD180&gt;0,AT180+Distributors_Cap!$P$47-BD180,0))</f>
        <v/>
      </c>
    </row>
    <row r="181">
      <c r="G181" s="75" t="n">
        <v>185</v>
      </c>
      <c r="H181" s="75" t="n">
        <v>58.842</v>
      </c>
      <c r="I181" s="75" t="n">
        <v>39.305</v>
      </c>
      <c r="J181" s="75" t="n">
        <v>56.79</v>
      </c>
      <c r="L181" s="75">
        <f>TRUNC((_xlfn.NORM.INV((RAND()),$K$7,$K$8)),0)</f>
        <v/>
      </c>
      <c r="M181" s="75" t="n">
        <v>185</v>
      </c>
      <c r="N181" s="5" t="n">
        <v>20</v>
      </c>
      <c r="O181" s="5" t="n">
        <v>34</v>
      </c>
      <c r="P181" s="5" t="n">
        <v>30</v>
      </c>
      <c r="R181" s="2">
        <f>IF(N181&gt;Demand!AU198,0,(IF(((2*(Retailers!AJ180+Distributors_Cap!$P$47)-Retailers_Cap!$BB$7)*(Demand!AU198-Retailers_Cap!N181))&lt;0,0,((IF(BB181&gt;2*(Retailers!AJ180+Distributors_Cap!$P$47),0,(IF(BG181=0,ROUNDUP((2*(Retailers!AJ180+Distributors_Cap!$P$47)-BB181)^0.5,0),ROUNDUP((2*(Retailers!AJ180+Distributors_Cap!$P$47)-BB181)^0.5,0)))))))))</f>
        <v/>
      </c>
      <c r="S181" s="2">
        <f>IF(O181&gt;Demand!AV198,0,(IF(((2*(Retailers!AK180+Distributors_Cap!$P$47)-Retailers_Cap!$BB$7)*(Demand!AV198-Retailers_Cap!O181))&lt;0,0,((IF(BC181&gt;2*(Retailers!AK180+Distributors_Cap!$P$47),0,(IF(BH181=0,ROUNDUP((2*(Retailers!AK180+Distributors_Cap!$P$47)-BC181)^0.5,0),ROUNDUP((2*(Retailers!AK180+Distributors_Cap!$P$47)-BC181)^0.5,0)))))))))</f>
        <v/>
      </c>
      <c r="T181" s="2">
        <f>IF(P181&gt;Demand!AW198,0,(IF(((2*(Retailers!AL180+Distributors_Cap!$P$47)-Retailers_Cap!$BB$7)*(Demand!AW198-Retailers_Cap!P181))&lt;0,0,((IF(BD181&gt;2*(Retailers!AL180+Distributors_Cap!$P$47),0,(IF(BI181=0,ROUNDUP((2*(Retailers!AL180+Distributors_Cap!$P$47)-BD181)^0.5,0),ROUNDUP((2*(Retailers!AL180+Distributors_Cap!$P$47)-BD181)^0.5,0)))))))))</f>
        <v/>
      </c>
      <c r="W181" s="75" t="n">
        <v>185</v>
      </c>
      <c r="X181" s="9" t="n">
        <v>12</v>
      </c>
      <c r="Y181" s="9" t="n">
        <v>0</v>
      </c>
      <c r="Z181" s="9" t="n">
        <v>0</v>
      </c>
      <c r="AB181" s="2">
        <f>ROUNDDOWN(LOG((X181+1),2),0)</f>
        <v/>
      </c>
      <c r="AC181" s="2">
        <f>ROUNDDOWN(LOG((Y181+1),2),0)</f>
        <v/>
      </c>
      <c r="AD181" s="2">
        <f>ROUNDDOWN(LOG((Z181+1),2),0)</f>
        <v/>
      </c>
      <c r="AG181" s="75" t="n">
        <v>185</v>
      </c>
      <c r="AH181" s="9" t="n">
        <v>3</v>
      </c>
      <c r="AI181" s="9" t="n">
        <v>0</v>
      </c>
      <c r="AJ181" s="9" t="n">
        <v>0</v>
      </c>
      <c r="AQ181" s="75" t="n">
        <v>185</v>
      </c>
      <c r="AR181" s="75" t="n">
        <v>58.842</v>
      </c>
      <c r="AS181" s="75" t="n">
        <v>39.305</v>
      </c>
      <c r="AT181" s="75" t="n">
        <v>56.79</v>
      </c>
      <c r="AV181" s="75" t="n">
        <v>185</v>
      </c>
      <c r="AW181" s="75">
        <f>Beginning_stock!AT209</f>
        <v/>
      </c>
      <c r="AX181" s="75">
        <f>Beginning_stock!AU209</f>
        <v/>
      </c>
      <c r="AY181" s="75">
        <f>Beginning_stock!AV209</f>
        <v/>
      </c>
      <c r="BA181" s="75" t="n">
        <v>185</v>
      </c>
      <c r="BB181" s="75">
        <f>IF(Demand!AU198=Retailers_Cap!N181,"ret=0",(AW181/(Demand!AU198-Retailers_Cap!N181)))</f>
        <v/>
      </c>
      <c r="BC181" s="75">
        <f>IF(Demand!AV198=Retailers_Cap!O181,"ret=0",(AX181/(Demand!AV198-Retailers_Cap!O181)))</f>
        <v/>
      </c>
      <c r="BD181" s="75">
        <f>IF(Demand!AW198=Retailers_Cap!P181,"ret=0",(AY181/(Demand!AW198-Retailers_Cap!P181)))</f>
        <v/>
      </c>
      <c r="BF181" s="75" t="n">
        <v>185</v>
      </c>
      <c r="BG181" s="2">
        <f>IF(Demand!AU198&lt;=Retailers_Cap!N181,"ret=0",(IF(BB181&lt;=AR181+Distributors_Cap!$P$47,1,0)))</f>
        <v/>
      </c>
      <c r="BH181" s="2">
        <f>IF(Demand!AV198&lt;=Retailers_Cap!O181,"ret=0",(IF(BC181&lt;=AS181+Distributors_Cap!$P$47,1,0)))</f>
        <v/>
      </c>
      <c r="BI181" s="2">
        <f>IF(Demand!AW198&lt;=Retailers_Cap!P181,"ret=0",(IF(BD181&lt;=AT181+Distributors_Cap!$P$47,1,0)))</f>
        <v/>
      </c>
      <c r="BK181" s="75" t="n">
        <v>185</v>
      </c>
      <c r="BL181" s="75">
        <f>Retailers!BH180</f>
        <v/>
      </c>
      <c r="BM181" s="75">
        <f>Retailers!BI180</f>
        <v/>
      </c>
      <c r="BN181" s="75">
        <f>Retailers!BJ180</f>
        <v/>
      </c>
      <c r="BP181" s="75" t="n">
        <v>185</v>
      </c>
      <c r="BQ181" s="75">
        <f>#REF!</f>
        <v/>
      </c>
      <c r="BR181" s="75">
        <f>#REF!</f>
        <v/>
      </c>
      <c r="BS181" s="75">
        <f>#REF!</f>
        <v/>
      </c>
      <c r="BU181" s="75" t="n">
        <v>185</v>
      </c>
      <c r="BV181" s="75">
        <f>Retailers!AS180</f>
        <v/>
      </c>
      <c r="BW181" s="75">
        <f>Retailers!AT180</f>
        <v/>
      </c>
      <c r="BX181" s="75">
        <f>Retailers!AU180</f>
        <v/>
      </c>
      <c r="BZ181" s="75" t="n">
        <v>185</v>
      </c>
      <c r="CA181" s="75">
        <f>Results!#REF!</f>
        <v/>
      </c>
      <c r="CB181" s="75">
        <f>Results!#REF!</f>
        <v/>
      </c>
      <c r="CC181" s="75">
        <f>Results!#REF!</f>
        <v/>
      </c>
      <c r="CE181" s="75" t="n">
        <v>185</v>
      </c>
      <c r="CF181" s="75">
        <f>Retailers!BN180</f>
        <v/>
      </c>
      <c r="CG181" s="75">
        <f>Retailers!BO180</f>
        <v/>
      </c>
      <c r="CH181" s="75">
        <f>Retailers!BP180</f>
        <v/>
      </c>
      <c r="CJ181" s="75" t="n">
        <v>185</v>
      </c>
      <c r="CK181" s="75">
        <f>IF(BB181="ret=0",0,IF(BB181&gt;0,AR181+Distributors_Cap!$P$47-BB181,0))</f>
        <v/>
      </c>
      <c r="CL181" s="75">
        <f>IF(BC181="ret=0",0,IF(BC181&gt;0,AS181+Distributors_Cap!$P$47-BC181,0))</f>
        <v/>
      </c>
      <c r="CM181" s="75">
        <f>IF(BD181="ret=0",0,IF(BD181&gt;0,AT181+Distributors_Cap!$P$47-BD181,0))</f>
        <v/>
      </c>
    </row>
    <row r="182">
      <c r="G182" s="75" t="n">
        <v>186</v>
      </c>
      <c r="H182" s="75" t="n">
        <v>45.586</v>
      </c>
      <c r="I182" s="75" t="n">
        <v>68.288</v>
      </c>
      <c r="J182" s="75" t="n">
        <v>71.79600000000001</v>
      </c>
      <c r="L182" s="75">
        <f>TRUNC((_xlfn.NORM.INV((RAND()),$K$7,$K$8)),0)</f>
        <v/>
      </c>
      <c r="M182" s="75" t="n">
        <v>186</v>
      </c>
      <c r="N182" s="5" t="n">
        <v>30</v>
      </c>
      <c r="O182" s="5" t="n">
        <v>18</v>
      </c>
      <c r="P182" s="5" t="n">
        <v>26</v>
      </c>
      <c r="R182" s="2">
        <f>IF(N182&gt;Demand!AU199,0,(IF(((2*(Retailers!AJ181+Distributors_Cap!$P$47)-Retailers_Cap!$BB$7)*(Demand!AU199-Retailers_Cap!N182))&lt;0,0,((IF(BB182&gt;2*(Retailers!AJ181+Distributors_Cap!$P$47),0,(IF(BG182=0,ROUNDUP((2*(Retailers!AJ181+Distributors_Cap!$P$47)-BB182)^0.5,0),ROUNDUP((2*(Retailers!AJ181+Distributors_Cap!$P$47)-BB182)^0.5,0)))))))))</f>
        <v/>
      </c>
      <c r="S182" s="2">
        <f>IF(O182&gt;Demand!AV199,0,(IF(((2*(Retailers!AK181+Distributors_Cap!$P$47)-Retailers_Cap!$BB$7)*(Demand!AV199-Retailers_Cap!O182))&lt;0,0,((IF(BC182&gt;2*(Retailers!AK181+Distributors_Cap!$P$47),0,(IF(BH182=0,ROUNDUP((2*(Retailers!AK181+Distributors_Cap!$P$47)-BC182)^0.5,0),ROUNDUP((2*(Retailers!AK181+Distributors_Cap!$P$47)-BC182)^0.5,0)))))))))</f>
        <v/>
      </c>
      <c r="T182" s="2">
        <f>IF(P182&gt;Demand!AW199,0,(IF(((2*(Retailers!AL181+Distributors_Cap!$P$47)-Retailers_Cap!$BB$7)*(Demand!AW199-Retailers_Cap!P182))&lt;0,0,((IF(BD182&gt;2*(Retailers!AL181+Distributors_Cap!$P$47),0,(IF(BI182=0,ROUNDUP((2*(Retailers!AL181+Distributors_Cap!$P$47)-BD182)^0.5,0),ROUNDUP((2*(Retailers!AL181+Distributors_Cap!$P$47)-BD182)^0.5,0)))))))))</f>
        <v/>
      </c>
      <c r="W182" s="75" t="n">
        <v>186</v>
      </c>
      <c r="X182" s="9" t="n">
        <v>0</v>
      </c>
      <c r="Y182" s="9" t="n">
        <v>12</v>
      </c>
      <c r="Z182" s="9" t="n">
        <v>0</v>
      </c>
      <c r="AB182" s="2">
        <f>ROUNDDOWN(LOG((X182+1),2),0)</f>
        <v/>
      </c>
      <c r="AC182" s="2">
        <f>ROUNDDOWN(LOG((Y182+1),2),0)</f>
        <v/>
      </c>
      <c r="AD182" s="2">
        <f>ROUNDDOWN(LOG((Z182+1),2),0)</f>
        <v/>
      </c>
      <c r="AG182" s="75" t="n">
        <v>186</v>
      </c>
      <c r="AH182" s="9" t="n">
        <v>0</v>
      </c>
      <c r="AI182" s="9" t="n">
        <v>3</v>
      </c>
      <c r="AJ182" s="9" t="n">
        <v>0</v>
      </c>
      <c r="AQ182" s="75" t="n">
        <v>186</v>
      </c>
      <c r="AR182" s="75" t="n">
        <v>45.586</v>
      </c>
      <c r="AS182" s="75" t="n">
        <v>68.288</v>
      </c>
      <c r="AT182" s="75" t="n">
        <v>71.79600000000001</v>
      </c>
      <c r="AV182" s="75" t="n">
        <v>186</v>
      </c>
      <c r="AW182" s="75">
        <f>Beginning_stock!AT210</f>
        <v/>
      </c>
      <c r="AX182" s="75">
        <f>Beginning_stock!AU210</f>
        <v/>
      </c>
      <c r="AY182" s="75">
        <f>Beginning_stock!AV210</f>
        <v/>
      </c>
      <c r="BA182" s="75" t="n">
        <v>186</v>
      </c>
      <c r="BB182" s="75">
        <f>IF(Demand!AU199=Retailers_Cap!N182,"ret=0",(AW182/(Demand!AU199-Retailers_Cap!N182)))</f>
        <v/>
      </c>
      <c r="BC182" s="75">
        <f>IF(Demand!AV199=Retailers_Cap!O182,"ret=0",(AX182/(Demand!AV199-Retailers_Cap!O182)))</f>
        <v/>
      </c>
      <c r="BD182" s="75">
        <f>IF(Demand!AW199=Retailers_Cap!P182,"ret=0",(AY182/(Demand!AW199-Retailers_Cap!P182)))</f>
        <v/>
      </c>
      <c r="BF182" s="75" t="n">
        <v>186</v>
      </c>
      <c r="BG182" s="2">
        <f>IF(Demand!AU199&lt;=Retailers_Cap!N182,"ret=0",(IF(BB182&lt;=AR182+Distributors_Cap!$P$47,1,0)))</f>
        <v/>
      </c>
      <c r="BH182" s="2">
        <f>IF(Demand!AV199&lt;=Retailers_Cap!O182,"ret=0",(IF(BC182&lt;=AS182+Distributors_Cap!$P$47,1,0)))</f>
        <v/>
      </c>
      <c r="BI182" s="2">
        <f>IF(Demand!AW199&lt;=Retailers_Cap!P182,"ret=0",(IF(BD182&lt;=AT182+Distributors_Cap!$P$47,1,0)))</f>
        <v/>
      </c>
      <c r="BK182" s="75" t="n">
        <v>186</v>
      </c>
      <c r="BL182" s="75">
        <f>Retailers!BH181</f>
        <v/>
      </c>
      <c r="BM182" s="75">
        <f>Retailers!BI181</f>
        <v/>
      </c>
      <c r="BN182" s="75">
        <f>Retailers!BJ181</f>
        <v/>
      </c>
      <c r="BP182" s="75" t="n">
        <v>186</v>
      </c>
      <c r="BQ182" s="75">
        <f>#REF!</f>
        <v/>
      </c>
      <c r="BR182" s="75">
        <f>#REF!</f>
        <v/>
      </c>
      <c r="BS182" s="75">
        <f>#REF!</f>
        <v/>
      </c>
      <c r="BU182" s="75" t="n">
        <v>186</v>
      </c>
      <c r="BV182" s="75">
        <f>Retailers!AS181</f>
        <v/>
      </c>
      <c r="BW182" s="75">
        <f>Retailers!AT181</f>
        <v/>
      </c>
      <c r="BX182" s="75">
        <f>Retailers!AU181</f>
        <v/>
      </c>
      <c r="BZ182" s="75" t="n">
        <v>186</v>
      </c>
      <c r="CA182" s="75">
        <f>Results!#REF!</f>
        <v/>
      </c>
      <c r="CB182" s="75">
        <f>Results!#REF!</f>
        <v/>
      </c>
      <c r="CC182" s="75">
        <f>Results!#REF!</f>
        <v/>
      </c>
      <c r="CE182" s="75" t="n">
        <v>186</v>
      </c>
      <c r="CF182" s="75">
        <f>Retailers!BN181</f>
        <v/>
      </c>
      <c r="CG182" s="75">
        <f>Retailers!BO181</f>
        <v/>
      </c>
      <c r="CH182" s="75">
        <f>Retailers!BP181</f>
        <v/>
      </c>
      <c r="CJ182" s="75" t="n">
        <v>186</v>
      </c>
      <c r="CK182" s="75">
        <f>IF(BB182="ret=0",0,IF(BB182&gt;0,AR182+Distributors_Cap!$P$47-BB182,0))</f>
        <v/>
      </c>
      <c r="CL182" s="75">
        <f>IF(BC182="ret=0",0,IF(BC182&gt;0,AS182+Distributors_Cap!$P$47-BC182,0))</f>
        <v/>
      </c>
      <c r="CM182" s="75">
        <f>IF(BD182="ret=0",0,IF(BD182&gt;0,AT182+Distributors_Cap!$P$47-BD182,0))</f>
        <v/>
      </c>
    </row>
    <row r="183">
      <c r="G183" s="75" t="n">
        <v>187</v>
      </c>
      <c r="H183" s="75" t="n">
        <v>65.64400000000001</v>
      </c>
      <c r="I183" s="75" t="n">
        <v>71.682</v>
      </c>
      <c r="J183" s="75" t="n">
        <v>49.387</v>
      </c>
      <c r="L183" s="75">
        <f>TRUNC((_xlfn.NORM.INV((RAND()),$K$7,$K$8)),0)</f>
        <v/>
      </c>
      <c r="M183" s="75" t="n">
        <v>187</v>
      </c>
      <c r="N183" s="5" t="n">
        <v>9</v>
      </c>
      <c r="O183" s="5" t="n">
        <v>34</v>
      </c>
      <c r="P183" s="5" t="n">
        <v>39</v>
      </c>
      <c r="R183" s="2">
        <f>IF(N183&gt;Demand!AU200,0,(IF(((2*(Retailers!AJ182+Distributors_Cap!$P$47)-Retailers_Cap!$BB$7)*(Demand!AU200-Retailers_Cap!N183))&lt;0,0,((IF(BB183&gt;2*(Retailers!AJ182+Distributors_Cap!$P$47),0,(IF(BG183=0,ROUNDUP((2*(Retailers!AJ182+Distributors_Cap!$P$47)-BB183)^0.5,0),ROUNDUP((2*(Retailers!AJ182+Distributors_Cap!$P$47)-BB183)^0.5,0)))))))))</f>
        <v/>
      </c>
      <c r="S183" s="2">
        <f>IF(O183&gt;Demand!AV200,0,(IF(((2*(Retailers!AK182+Distributors_Cap!$P$47)-Retailers_Cap!$BB$7)*(Demand!AV200-Retailers_Cap!O183))&lt;0,0,((IF(BC183&gt;2*(Retailers!AK182+Distributors_Cap!$P$47),0,(IF(BH183=0,ROUNDUP((2*(Retailers!AK182+Distributors_Cap!$P$47)-BC183)^0.5,0),ROUNDUP((2*(Retailers!AK182+Distributors_Cap!$P$47)-BC183)^0.5,0)))))))))</f>
        <v/>
      </c>
      <c r="T183" s="2">
        <f>IF(P183&gt;Demand!AW200,0,(IF(((2*(Retailers!AL182+Distributors_Cap!$P$47)-Retailers_Cap!$BB$7)*(Demand!AW200-Retailers_Cap!P183))&lt;0,0,((IF(BD183&gt;2*(Retailers!AL182+Distributors_Cap!$P$47),0,(IF(BI183=0,ROUNDUP((2*(Retailers!AL182+Distributors_Cap!$P$47)-BD183)^0.5,0),ROUNDUP((2*(Retailers!AL182+Distributors_Cap!$P$47)-BD183)^0.5,0)))))))))</f>
        <v/>
      </c>
      <c r="W183" s="75" t="n">
        <v>187</v>
      </c>
      <c r="X183" s="9" t="n">
        <v>14</v>
      </c>
      <c r="Y183" s="9" t="n">
        <v>0</v>
      </c>
      <c r="Z183" s="9" t="n">
        <v>0</v>
      </c>
      <c r="AB183" s="2">
        <f>ROUNDDOWN(LOG((X183+1),2),0)</f>
        <v/>
      </c>
      <c r="AC183" s="2">
        <f>ROUNDDOWN(LOG((Y183+1),2),0)</f>
        <v/>
      </c>
      <c r="AD183" s="2">
        <f>ROUNDDOWN(LOG((Z183+1),2),0)</f>
        <v/>
      </c>
      <c r="AG183" s="75" t="n">
        <v>187</v>
      </c>
      <c r="AH183" s="9" t="n">
        <v>3</v>
      </c>
      <c r="AI183" s="9" t="n">
        <v>0</v>
      </c>
      <c r="AJ183" s="9" t="n">
        <v>0</v>
      </c>
      <c r="AQ183" s="75" t="n">
        <v>187</v>
      </c>
      <c r="AR183" s="75" t="n">
        <v>65.64400000000001</v>
      </c>
      <c r="AS183" s="75" t="n">
        <v>71.682</v>
      </c>
      <c r="AT183" s="75" t="n">
        <v>49.387</v>
      </c>
      <c r="AV183" s="75" t="n">
        <v>187</v>
      </c>
      <c r="AW183" s="75">
        <f>Beginning_stock!AT211</f>
        <v/>
      </c>
      <c r="AX183" s="75">
        <f>Beginning_stock!AU211</f>
        <v/>
      </c>
      <c r="AY183" s="75">
        <f>Beginning_stock!AV211</f>
        <v/>
      </c>
      <c r="BA183" s="75" t="n">
        <v>187</v>
      </c>
      <c r="BB183" s="75">
        <f>IF(Demand!AU200=Retailers_Cap!N183,"ret=0",(AW183/(Demand!AU200-Retailers_Cap!N183)))</f>
        <v/>
      </c>
      <c r="BC183" s="75">
        <f>IF(Demand!AV200=Retailers_Cap!O183,"ret=0",(AX183/(Demand!AV200-Retailers_Cap!O183)))</f>
        <v/>
      </c>
      <c r="BD183" s="75">
        <f>IF(Demand!AW200=Retailers_Cap!P183,"ret=0",(AY183/(Demand!AW200-Retailers_Cap!P183)))</f>
        <v/>
      </c>
      <c r="BF183" s="75" t="n">
        <v>187</v>
      </c>
      <c r="BG183" s="2">
        <f>IF(Demand!AU200&lt;=Retailers_Cap!N183,"ret=0",(IF(BB183&lt;=AR183+Distributors_Cap!$P$47,1,0)))</f>
        <v/>
      </c>
      <c r="BH183" s="2">
        <f>IF(Demand!AV200&lt;=Retailers_Cap!O183,"ret=0",(IF(BC183&lt;=AS183+Distributors_Cap!$P$47,1,0)))</f>
        <v/>
      </c>
      <c r="BI183" s="2">
        <f>IF(Demand!AW200&lt;=Retailers_Cap!P183,"ret=0",(IF(BD183&lt;=AT183+Distributors_Cap!$P$47,1,0)))</f>
        <v/>
      </c>
      <c r="BK183" s="75" t="n">
        <v>187</v>
      </c>
      <c r="BL183" s="75">
        <f>Retailers!BH182</f>
        <v/>
      </c>
      <c r="BM183" s="75">
        <f>Retailers!BI182</f>
        <v/>
      </c>
      <c r="BN183" s="75">
        <f>Retailers!BJ182</f>
        <v/>
      </c>
      <c r="BP183" s="75" t="n">
        <v>187</v>
      </c>
      <c r="BQ183" s="75">
        <f>#REF!</f>
        <v/>
      </c>
      <c r="BR183" s="75">
        <f>#REF!</f>
        <v/>
      </c>
      <c r="BS183" s="75">
        <f>#REF!</f>
        <v/>
      </c>
      <c r="BU183" s="75" t="n">
        <v>187</v>
      </c>
      <c r="BV183" s="75">
        <f>Retailers!AS182</f>
        <v/>
      </c>
      <c r="BW183" s="75">
        <f>Retailers!AT182</f>
        <v/>
      </c>
      <c r="BX183" s="75">
        <f>Retailers!AU182</f>
        <v/>
      </c>
      <c r="BZ183" s="75" t="n">
        <v>187</v>
      </c>
      <c r="CA183" s="75">
        <f>Results!#REF!</f>
        <v/>
      </c>
      <c r="CB183" s="75">
        <f>Results!#REF!</f>
        <v/>
      </c>
      <c r="CC183" s="75">
        <f>Results!#REF!</f>
        <v/>
      </c>
      <c r="CE183" s="75" t="n">
        <v>187</v>
      </c>
      <c r="CF183" s="75">
        <f>Retailers!BN182</f>
        <v/>
      </c>
      <c r="CG183" s="75">
        <f>Retailers!BO182</f>
        <v/>
      </c>
      <c r="CH183" s="75">
        <f>Retailers!BP182</f>
        <v/>
      </c>
      <c r="CJ183" s="75" t="n">
        <v>187</v>
      </c>
      <c r="CK183" s="75">
        <f>IF(BB183="ret=0",0,IF(BB183&gt;0,AR183+Distributors_Cap!$P$47-BB183,0))</f>
        <v/>
      </c>
      <c r="CL183" s="75">
        <f>IF(BC183="ret=0",0,IF(BC183&gt;0,AS183+Distributors_Cap!$P$47-BC183,0))</f>
        <v/>
      </c>
      <c r="CM183" s="75">
        <f>IF(BD183="ret=0",0,IF(BD183&gt;0,AT183+Distributors_Cap!$P$47-BD183,0))</f>
        <v/>
      </c>
    </row>
    <row r="184">
      <c r="G184" s="75" t="n">
        <v>188</v>
      </c>
      <c r="H184" s="75" t="n">
        <v>43.098</v>
      </c>
      <c r="I184" s="75" t="n">
        <v>69.706</v>
      </c>
      <c r="J184" s="75" t="n">
        <v>62.839</v>
      </c>
      <c r="L184" s="75">
        <f>TRUNC((_xlfn.NORM.INV((RAND()),$K$7,$K$8)),0)</f>
        <v/>
      </c>
      <c r="M184" s="75" t="n">
        <v>188</v>
      </c>
      <c r="N184" s="5" t="n">
        <v>38</v>
      </c>
      <c r="O184" s="5" t="n">
        <v>21</v>
      </c>
      <c r="P184" s="5" t="n">
        <v>35</v>
      </c>
      <c r="R184" s="2">
        <f>IF(N184&gt;Demand!AU201,0,(IF(((2*(Retailers!AJ183+Distributors_Cap!$P$47)-Retailers_Cap!$BB$7)*(Demand!AU201-Retailers_Cap!N184))&lt;0,0,((IF(BB184&gt;2*(Retailers!AJ183+Distributors_Cap!$P$47),0,(IF(BG184=0,ROUNDUP((2*(Retailers!AJ183+Distributors_Cap!$P$47)-BB184)^0.5,0),ROUNDUP((2*(Retailers!AJ183+Distributors_Cap!$P$47)-BB184)^0.5,0)))))))))</f>
        <v/>
      </c>
      <c r="S184" s="2">
        <f>IF(O184&gt;Demand!AV201,0,(IF(((2*(Retailers!AK183+Distributors_Cap!$P$47)-Retailers_Cap!$BB$7)*(Demand!AV201-Retailers_Cap!O184))&lt;0,0,((IF(BC184&gt;2*(Retailers!AK183+Distributors_Cap!$P$47),0,(IF(BH184=0,ROUNDUP((2*(Retailers!AK183+Distributors_Cap!$P$47)-BC184)^0.5,0),ROUNDUP((2*(Retailers!AK183+Distributors_Cap!$P$47)-BC184)^0.5,0)))))))))</f>
        <v/>
      </c>
      <c r="T184" s="2">
        <f>IF(P184&gt;Demand!AW201,0,(IF(((2*(Retailers!AL183+Distributors_Cap!$P$47)-Retailers_Cap!$BB$7)*(Demand!AW201-Retailers_Cap!P184))&lt;0,0,((IF(BD184&gt;2*(Retailers!AL183+Distributors_Cap!$P$47),0,(IF(BI184=0,ROUNDUP((2*(Retailers!AL183+Distributors_Cap!$P$47)-BD184)^0.5,0),ROUNDUP((2*(Retailers!AL183+Distributors_Cap!$P$47)-BD184)^0.5,0)))))))))</f>
        <v/>
      </c>
      <c r="W184" s="75" t="n">
        <v>188</v>
      </c>
      <c r="X184" s="9" t="n">
        <v>0</v>
      </c>
      <c r="Y184" s="9" t="n">
        <v>13</v>
      </c>
      <c r="Z184" s="9" t="n">
        <v>13</v>
      </c>
      <c r="AB184" s="2">
        <f>ROUNDDOWN(LOG((X184+1),2),0)</f>
        <v/>
      </c>
      <c r="AC184" s="2">
        <f>ROUNDDOWN(LOG((Y184+1),2),0)</f>
        <v/>
      </c>
      <c r="AD184" s="2">
        <f>ROUNDDOWN(LOG((Z184+1),2),0)</f>
        <v/>
      </c>
      <c r="AG184" s="75" t="n">
        <v>188</v>
      </c>
      <c r="AH184" s="9" t="n">
        <v>0</v>
      </c>
      <c r="AI184" s="9" t="n">
        <v>3</v>
      </c>
      <c r="AJ184" s="9" t="n">
        <v>3</v>
      </c>
      <c r="AQ184" s="75" t="n">
        <v>188</v>
      </c>
      <c r="AR184" s="75" t="n">
        <v>43.098</v>
      </c>
      <c r="AS184" s="75" t="n">
        <v>69.706</v>
      </c>
      <c r="AT184" s="75" t="n">
        <v>62.839</v>
      </c>
      <c r="AV184" s="75" t="n">
        <v>188</v>
      </c>
      <c r="AW184" s="75">
        <f>Beginning_stock!AT212</f>
        <v/>
      </c>
      <c r="AX184" s="75">
        <f>Beginning_stock!AU212</f>
        <v/>
      </c>
      <c r="AY184" s="75">
        <f>Beginning_stock!AV212</f>
        <v/>
      </c>
      <c r="BA184" s="75" t="n">
        <v>188</v>
      </c>
      <c r="BB184" s="75">
        <f>IF(Demand!AU201=Retailers_Cap!N184,"ret=0",(AW184/(Demand!AU201-Retailers_Cap!N184)))</f>
        <v/>
      </c>
      <c r="BC184" s="75">
        <f>IF(Demand!AV201=Retailers_Cap!O184,"ret=0",(AX184/(Demand!AV201-Retailers_Cap!O184)))</f>
        <v/>
      </c>
      <c r="BD184" s="75">
        <f>IF(Demand!AW201=Retailers_Cap!P184,"ret=0",(AY184/(Demand!AW201-Retailers_Cap!P184)))</f>
        <v/>
      </c>
      <c r="BF184" s="75" t="n">
        <v>188</v>
      </c>
      <c r="BG184" s="2">
        <f>IF(Demand!AU201&lt;=Retailers_Cap!N184,"ret=0",(IF(BB184&lt;=AR184+Distributors_Cap!$P$47,1,0)))</f>
        <v/>
      </c>
      <c r="BH184" s="2">
        <f>IF(Demand!AV201&lt;=Retailers_Cap!O184,"ret=0",(IF(BC184&lt;=AS184+Distributors_Cap!$P$47,1,0)))</f>
        <v/>
      </c>
      <c r="BI184" s="2">
        <f>IF(Demand!AW201&lt;=Retailers_Cap!P184,"ret=0",(IF(BD184&lt;=AT184+Distributors_Cap!$P$47,1,0)))</f>
        <v/>
      </c>
      <c r="BK184" s="75" t="n">
        <v>188</v>
      </c>
      <c r="BL184" s="75">
        <f>Retailers!BH183</f>
        <v/>
      </c>
      <c r="BM184" s="75">
        <f>Retailers!BI183</f>
        <v/>
      </c>
      <c r="BN184" s="75">
        <f>Retailers!BJ183</f>
        <v/>
      </c>
      <c r="BP184" s="75" t="n">
        <v>188</v>
      </c>
      <c r="BQ184" s="75">
        <f>#REF!</f>
        <v/>
      </c>
      <c r="BR184" s="75">
        <f>#REF!</f>
        <v/>
      </c>
      <c r="BS184" s="75">
        <f>#REF!</f>
        <v/>
      </c>
      <c r="BU184" s="75" t="n">
        <v>188</v>
      </c>
      <c r="BV184" s="75">
        <f>Retailers!AS183</f>
        <v/>
      </c>
      <c r="BW184" s="75">
        <f>Retailers!AT183</f>
        <v/>
      </c>
      <c r="BX184" s="75">
        <f>Retailers!AU183</f>
        <v/>
      </c>
      <c r="BZ184" s="75" t="n">
        <v>188</v>
      </c>
      <c r="CA184" s="75">
        <f>Results!#REF!</f>
        <v/>
      </c>
      <c r="CB184" s="75">
        <f>Results!#REF!</f>
        <v/>
      </c>
      <c r="CC184" s="75">
        <f>Results!#REF!</f>
        <v/>
      </c>
      <c r="CE184" s="75" t="n">
        <v>188</v>
      </c>
      <c r="CF184" s="75">
        <f>Retailers!BN183</f>
        <v/>
      </c>
      <c r="CG184" s="75">
        <f>Retailers!BO183</f>
        <v/>
      </c>
      <c r="CH184" s="75">
        <f>Retailers!BP183</f>
        <v/>
      </c>
      <c r="CJ184" s="75" t="n">
        <v>188</v>
      </c>
      <c r="CK184" s="75">
        <f>IF(BB184="ret=0",0,IF(BB184&gt;0,AR184+Distributors_Cap!$P$47-BB184,0))</f>
        <v/>
      </c>
      <c r="CL184" s="75">
        <f>IF(BC184="ret=0",0,IF(BC184&gt;0,AS184+Distributors_Cap!$P$47-BC184,0))</f>
        <v/>
      </c>
      <c r="CM184" s="75">
        <f>IF(BD184="ret=0",0,IF(BD184&gt;0,AT184+Distributors_Cap!$P$47-BD184,0))</f>
        <v/>
      </c>
    </row>
    <row r="185">
      <c r="G185" s="75" t="n">
        <v>189</v>
      </c>
      <c r="H185" s="75" t="n">
        <v>56.564</v>
      </c>
      <c r="I185" s="75" t="n">
        <v>62.17</v>
      </c>
      <c r="J185" s="75" t="n">
        <v>57.854</v>
      </c>
      <c r="L185" s="75">
        <f>TRUNC((_xlfn.NORM.INV((RAND()),$K$7,$K$8)),0)</f>
        <v/>
      </c>
      <c r="M185" s="75" t="n">
        <v>189</v>
      </c>
      <c r="N185" s="5" t="n">
        <v>29</v>
      </c>
      <c r="O185" s="5" t="n">
        <v>40</v>
      </c>
      <c r="P185" s="5" t="n">
        <v>35</v>
      </c>
      <c r="R185" s="2">
        <f>IF(N185&gt;Demand!AU202,0,(IF(((2*(Retailers!AJ184+Distributors_Cap!$P$47)-Retailers_Cap!$BB$7)*(Demand!AU202-Retailers_Cap!N185))&lt;0,0,((IF(BB185&gt;2*(Retailers!AJ184+Distributors_Cap!$P$47),0,(IF(BG185=0,ROUNDUP((2*(Retailers!AJ184+Distributors_Cap!$P$47)-BB185)^0.5,0),ROUNDUP((2*(Retailers!AJ184+Distributors_Cap!$P$47)-BB185)^0.5,0)))))))))</f>
        <v/>
      </c>
      <c r="S185" s="2">
        <f>IF(O185&gt;Demand!AV202,0,(IF(((2*(Retailers!AK184+Distributors_Cap!$P$47)-Retailers_Cap!$BB$7)*(Demand!AV202-Retailers_Cap!O185))&lt;0,0,((IF(BC185&gt;2*(Retailers!AK184+Distributors_Cap!$P$47),0,(IF(BH185=0,ROUNDUP((2*(Retailers!AK184+Distributors_Cap!$P$47)-BC185)^0.5,0),ROUNDUP((2*(Retailers!AK184+Distributors_Cap!$P$47)-BC185)^0.5,0)))))))))</f>
        <v/>
      </c>
      <c r="T185" s="2">
        <f>IF(P185&gt;Demand!AW202,0,(IF(((2*(Retailers!AL184+Distributors_Cap!$P$47)-Retailers_Cap!$BB$7)*(Demand!AW202-Retailers_Cap!P185))&lt;0,0,((IF(BD185&gt;2*(Retailers!AL184+Distributors_Cap!$P$47),0,(IF(BI185=0,ROUNDUP((2*(Retailers!AL184+Distributors_Cap!$P$47)-BD185)^0.5,0),ROUNDUP((2*(Retailers!AL184+Distributors_Cap!$P$47)-BD185)^0.5,0)))))))))</f>
        <v/>
      </c>
      <c r="W185" s="75" t="n">
        <v>189</v>
      </c>
      <c r="X185" s="9" t="n">
        <v>0</v>
      </c>
      <c r="Y185" s="9" t="n">
        <v>0</v>
      </c>
      <c r="Z185" s="9" t="n">
        <v>0</v>
      </c>
      <c r="AB185" s="2">
        <f>ROUNDDOWN(LOG((X185+1),2),0)</f>
        <v/>
      </c>
      <c r="AC185" s="2">
        <f>ROUNDDOWN(LOG((Y185+1),2),0)</f>
        <v/>
      </c>
      <c r="AD185" s="2">
        <f>ROUNDDOWN(LOG((Z185+1),2),0)</f>
        <v/>
      </c>
      <c r="AG185" s="75" t="n">
        <v>189</v>
      </c>
      <c r="AH185" s="9" t="n">
        <v>0</v>
      </c>
      <c r="AI185" s="9" t="n">
        <v>0</v>
      </c>
      <c r="AJ185" s="9" t="n">
        <v>0</v>
      </c>
      <c r="AQ185" s="75" t="n">
        <v>189</v>
      </c>
      <c r="AR185" s="75" t="n">
        <v>56.564</v>
      </c>
      <c r="AS185" s="75" t="n">
        <v>62.17</v>
      </c>
      <c r="AT185" s="75" t="n">
        <v>57.854</v>
      </c>
      <c r="AV185" s="75" t="n">
        <v>189</v>
      </c>
      <c r="AW185" s="75">
        <f>Beginning_stock!AT213</f>
        <v/>
      </c>
      <c r="AX185" s="75">
        <f>Beginning_stock!AU213</f>
        <v/>
      </c>
      <c r="AY185" s="75">
        <f>Beginning_stock!AV213</f>
        <v/>
      </c>
      <c r="BA185" s="75" t="n">
        <v>189</v>
      </c>
      <c r="BB185" s="75">
        <f>IF(Demand!AU202=Retailers_Cap!N185,"ret=0",(AW185/(Demand!AU202-Retailers_Cap!N185)))</f>
        <v/>
      </c>
      <c r="BC185" s="75">
        <f>IF(Demand!AV202=Retailers_Cap!O185,"ret=0",(AX185/(Demand!AV202-Retailers_Cap!O185)))</f>
        <v/>
      </c>
      <c r="BD185" s="75">
        <f>IF(Demand!AW202=Retailers_Cap!P185,"ret=0",(AY185/(Demand!AW202-Retailers_Cap!P185)))</f>
        <v/>
      </c>
      <c r="BF185" s="75" t="n">
        <v>189</v>
      </c>
      <c r="BG185" s="2">
        <f>IF(Demand!AU202&lt;=Retailers_Cap!N185,"ret=0",(IF(BB185&lt;=AR185+Distributors_Cap!$P$47,1,0)))</f>
        <v/>
      </c>
      <c r="BH185" s="2">
        <f>IF(Demand!AV202&lt;=Retailers_Cap!O185,"ret=0",(IF(BC185&lt;=AS185+Distributors_Cap!$P$47,1,0)))</f>
        <v/>
      </c>
      <c r="BI185" s="2">
        <f>IF(Demand!AW202&lt;=Retailers_Cap!P185,"ret=0",(IF(BD185&lt;=AT185+Distributors_Cap!$P$47,1,0)))</f>
        <v/>
      </c>
      <c r="BK185" s="75" t="n">
        <v>189</v>
      </c>
      <c r="BL185" s="75">
        <f>Retailers!BH184</f>
        <v/>
      </c>
      <c r="BM185" s="75">
        <f>Retailers!BI184</f>
        <v/>
      </c>
      <c r="BN185" s="75">
        <f>Retailers!BJ184</f>
        <v/>
      </c>
      <c r="BP185" s="75" t="n">
        <v>189</v>
      </c>
      <c r="BQ185" s="75">
        <f>#REF!</f>
        <v/>
      </c>
      <c r="BR185" s="75">
        <f>#REF!</f>
        <v/>
      </c>
      <c r="BS185" s="75">
        <f>#REF!</f>
        <v/>
      </c>
      <c r="BU185" s="75" t="n">
        <v>189</v>
      </c>
      <c r="BV185" s="75">
        <f>Retailers!AS184</f>
        <v/>
      </c>
      <c r="BW185" s="75">
        <f>Retailers!AT184</f>
        <v/>
      </c>
      <c r="BX185" s="75">
        <f>Retailers!AU184</f>
        <v/>
      </c>
      <c r="BZ185" s="75" t="n">
        <v>189</v>
      </c>
      <c r="CA185" s="75">
        <f>Results!#REF!</f>
        <v/>
      </c>
      <c r="CB185" s="75">
        <f>Results!#REF!</f>
        <v/>
      </c>
      <c r="CC185" s="75">
        <f>Results!#REF!</f>
        <v/>
      </c>
      <c r="CE185" s="75" t="n">
        <v>189</v>
      </c>
      <c r="CF185" s="75">
        <f>Retailers!BN184</f>
        <v/>
      </c>
      <c r="CG185" s="75">
        <f>Retailers!BO184</f>
        <v/>
      </c>
      <c r="CH185" s="75">
        <f>Retailers!BP184</f>
        <v/>
      </c>
      <c r="CJ185" s="75" t="n">
        <v>189</v>
      </c>
      <c r="CK185" s="75">
        <f>IF(BB185="ret=0",0,IF(BB185&gt;0,AR185+Distributors_Cap!$P$47-BB185,0))</f>
        <v/>
      </c>
      <c r="CL185" s="75">
        <f>IF(BC185="ret=0",0,IF(BC185&gt;0,AS185+Distributors_Cap!$P$47-BC185,0))</f>
        <v/>
      </c>
      <c r="CM185" s="75">
        <f>IF(BD185="ret=0",0,IF(BD185&gt;0,AT185+Distributors_Cap!$P$47-BD185,0))</f>
        <v/>
      </c>
    </row>
    <row r="186">
      <c r="G186" s="75" t="n">
        <v>190</v>
      </c>
      <c r="H186" s="75" t="n">
        <v>39.428</v>
      </c>
      <c r="I186" s="75" t="n">
        <v>66.18899999999999</v>
      </c>
      <c r="J186" s="75" t="n">
        <v>60.83</v>
      </c>
      <c r="L186" s="75">
        <f>TRUNC((_xlfn.NORM.INV((RAND()),$K$7,$K$8)),0)</f>
        <v/>
      </c>
      <c r="M186" s="75" t="n">
        <v>190</v>
      </c>
      <c r="N186" s="5" t="n">
        <v>34</v>
      </c>
      <c r="O186" s="5" t="n">
        <v>26</v>
      </c>
      <c r="P186" s="5" t="n">
        <v>32</v>
      </c>
      <c r="R186" s="2">
        <f>IF(N186&gt;Demand!AU203,0,(IF(((2*(Retailers!AJ185+Distributors_Cap!$P$47)-Retailers_Cap!$BB$7)*(Demand!AU203-Retailers_Cap!N186))&lt;0,0,((IF(BB186&gt;2*(Retailers!AJ185+Distributors_Cap!$P$47),0,(IF(BG186=0,ROUNDUP((2*(Retailers!AJ185+Distributors_Cap!$P$47)-BB186)^0.5,0),ROUNDUP((2*(Retailers!AJ185+Distributors_Cap!$P$47)-BB186)^0.5,0)))))))))</f>
        <v/>
      </c>
      <c r="S186" s="2">
        <f>IF(O186&gt;Demand!AV203,0,(IF(((2*(Retailers!AK185+Distributors_Cap!$P$47)-Retailers_Cap!$BB$7)*(Demand!AV203-Retailers_Cap!O186))&lt;0,0,((IF(BC186&gt;2*(Retailers!AK185+Distributors_Cap!$P$47),0,(IF(BH186=0,ROUNDUP((2*(Retailers!AK185+Distributors_Cap!$P$47)-BC186)^0.5,0),ROUNDUP((2*(Retailers!AK185+Distributors_Cap!$P$47)-BC186)^0.5,0)))))))))</f>
        <v/>
      </c>
      <c r="T186" s="2">
        <f>IF(P186&gt;Demand!AW203,0,(IF(((2*(Retailers!AL185+Distributors_Cap!$P$47)-Retailers_Cap!$BB$7)*(Demand!AW203-Retailers_Cap!P186))&lt;0,0,((IF(BD186&gt;2*(Retailers!AL185+Distributors_Cap!$P$47),0,(IF(BI186=0,ROUNDUP((2*(Retailers!AL185+Distributors_Cap!$P$47)-BD186)^0.5,0),ROUNDUP((2*(Retailers!AL185+Distributors_Cap!$P$47)-BD186)^0.5,0)))))))))</f>
        <v/>
      </c>
      <c r="W186" s="75" t="n">
        <v>190</v>
      </c>
      <c r="X186" s="9" t="n">
        <v>0</v>
      </c>
      <c r="Y186" s="9" t="n">
        <v>13</v>
      </c>
      <c r="Z186" s="9" t="n">
        <v>0</v>
      </c>
      <c r="AB186" s="2">
        <f>ROUNDDOWN(LOG((X186+1),2),0)</f>
        <v/>
      </c>
      <c r="AC186" s="2">
        <f>ROUNDDOWN(LOG((Y186+1),2),0)</f>
        <v/>
      </c>
      <c r="AD186" s="2">
        <f>ROUNDDOWN(LOG((Z186+1),2),0)</f>
        <v/>
      </c>
      <c r="AG186" s="75" t="n">
        <v>190</v>
      </c>
      <c r="AH186" s="9" t="n">
        <v>0</v>
      </c>
      <c r="AI186" s="9" t="n">
        <v>3</v>
      </c>
      <c r="AJ186" s="9" t="n">
        <v>0</v>
      </c>
      <c r="AQ186" s="75" t="n">
        <v>190</v>
      </c>
      <c r="AR186" s="75" t="n">
        <v>39.428</v>
      </c>
      <c r="AS186" s="75" t="n">
        <v>66.18899999999999</v>
      </c>
      <c r="AT186" s="75" t="n">
        <v>60.83</v>
      </c>
      <c r="AV186" s="75" t="n">
        <v>190</v>
      </c>
      <c r="AW186" s="75">
        <f>Beginning_stock!AT214</f>
        <v/>
      </c>
      <c r="AX186" s="75">
        <f>Beginning_stock!AU214</f>
        <v/>
      </c>
      <c r="AY186" s="75">
        <f>Beginning_stock!AV214</f>
        <v/>
      </c>
      <c r="BA186" s="75" t="n">
        <v>190</v>
      </c>
      <c r="BB186" s="75">
        <f>IF(Demand!AU203=Retailers_Cap!N186,"ret=0",(AW186/(Demand!AU203-Retailers_Cap!N186)))</f>
        <v/>
      </c>
      <c r="BC186" s="75">
        <f>IF(Demand!AV203=Retailers_Cap!O186,"ret=0",(AX186/(Demand!AV203-Retailers_Cap!O186)))</f>
        <v/>
      </c>
      <c r="BD186" s="75">
        <f>IF(Demand!AW203=Retailers_Cap!P186,"ret=0",(AY186/(Demand!AW203-Retailers_Cap!P186)))</f>
        <v/>
      </c>
      <c r="BF186" s="75" t="n">
        <v>190</v>
      </c>
      <c r="BG186" s="2">
        <f>IF(Demand!AU203&lt;=Retailers_Cap!N186,"ret=0",(IF(BB186&lt;=AR186+Distributors_Cap!$P$47,1,0)))</f>
        <v/>
      </c>
      <c r="BH186" s="2">
        <f>IF(Demand!AV203&lt;=Retailers_Cap!O186,"ret=0",(IF(BC186&lt;=AS186+Distributors_Cap!$P$47,1,0)))</f>
        <v/>
      </c>
      <c r="BI186" s="2">
        <f>IF(Demand!AW203&lt;=Retailers_Cap!P186,"ret=0",(IF(BD186&lt;=AT186+Distributors_Cap!$P$47,1,0)))</f>
        <v/>
      </c>
      <c r="BK186" s="75" t="n">
        <v>190</v>
      </c>
      <c r="BL186" s="75">
        <f>Retailers!BH185</f>
        <v/>
      </c>
      <c r="BM186" s="75">
        <f>Retailers!BI185</f>
        <v/>
      </c>
      <c r="BN186" s="75">
        <f>Retailers!BJ185</f>
        <v/>
      </c>
      <c r="BP186" s="75" t="n">
        <v>190</v>
      </c>
      <c r="BQ186" s="75">
        <f>#REF!</f>
        <v/>
      </c>
      <c r="BR186" s="75">
        <f>#REF!</f>
        <v/>
      </c>
      <c r="BS186" s="75">
        <f>#REF!</f>
        <v/>
      </c>
      <c r="BU186" s="75" t="n">
        <v>190</v>
      </c>
      <c r="BV186" s="75">
        <f>Retailers!AS185</f>
        <v/>
      </c>
      <c r="BW186" s="75">
        <f>Retailers!AT185</f>
        <v/>
      </c>
      <c r="BX186" s="75">
        <f>Retailers!AU185</f>
        <v/>
      </c>
      <c r="BZ186" s="75" t="n">
        <v>190</v>
      </c>
      <c r="CA186" s="75">
        <f>Results!#REF!</f>
        <v/>
      </c>
      <c r="CB186" s="75">
        <f>Results!#REF!</f>
        <v/>
      </c>
      <c r="CC186" s="75">
        <f>Results!#REF!</f>
        <v/>
      </c>
      <c r="CE186" s="75" t="n">
        <v>190</v>
      </c>
      <c r="CF186" s="75">
        <f>Retailers!BN185</f>
        <v/>
      </c>
      <c r="CG186" s="75">
        <f>Retailers!BO185</f>
        <v/>
      </c>
      <c r="CH186" s="75">
        <f>Retailers!BP185</f>
        <v/>
      </c>
      <c r="CJ186" s="75" t="n">
        <v>190</v>
      </c>
      <c r="CK186" s="75">
        <f>IF(BB186="ret=0",0,IF(BB186&gt;0,AR186+Distributors_Cap!$P$47-BB186,0))</f>
        <v/>
      </c>
      <c r="CL186" s="75">
        <f>IF(BC186="ret=0",0,IF(BC186&gt;0,AS186+Distributors_Cap!$P$47-BC186,0))</f>
        <v/>
      </c>
      <c r="CM186" s="75">
        <f>IF(BD186="ret=0",0,IF(BD186&gt;0,AT186+Distributors_Cap!$P$47-BD186,0))</f>
        <v/>
      </c>
    </row>
    <row r="187">
      <c r="G187" s="75" t="n">
        <v>191</v>
      </c>
      <c r="H187" s="75" t="n">
        <v>67.929</v>
      </c>
      <c r="I187" s="75" t="n">
        <v>58.746</v>
      </c>
      <c r="J187" s="75" t="n">
        <v>67.633</v>
      </c>
      <c r="L187" s="75">
        <f>TRUNC((_xlfn.NORM.INV((RAND()),$K$7,$K$8)),0)</f>
        <v/>
      </c>
      <c r="M187" s="75" t="n">
        <v>191</v>
      </c>
      <c r="N187" s="5" t="n">
        <v>20</v>
      </c>
      <c r="O187" s="5" t="n">
        <v>20</v>
      </c>
      <c r="P187" s="5" t="n">
        <v>15</v>
      </c>
      <c r="R187" s="2">
        <f>IF(N187&gt;Demand!AU204,0,(IF(((2*(Retailers!AJ186+Distributors_Cap!$P$47)-Retailers_Cap!$BB$7)*(Demand!AU204-Retailers_Cap!N187))&lt;0,0,((IF(BB187&gt;2*(Retailers!AJ186+Distributors_Cap!$P$47),0,(IF(BG187=0,ROUNDUP((2*(Retailers!AJ186+Distributors_Cap!$P$47)-BB187)^0.5,0),ROUNDUP((2*(Retailers!AJ186+Distributors_Cap!$P$47)-BB187)^0.5,0)))))))))</f>
        <v/>
      </c>
      <c r="S187" s="2">
        <f>IF(O187&gt;Demand!AV204,0,(IF(((2*(Retailers!AK186+Distributors_Cap!$P$47)-Retailers_Cap!$BB$7)*(Demand!AV204-Retailers_Cap!O187))&lt;0,0,((IF(BC187&gt;2*(Retailers!AK186+Distributors_Cap!$P$47),0,(IF(BH187=0,ROUNDUP((2*(Retailers!AK186+Distributors_Cap!$P$47)-BC187)^0.5,0),ROUNDUP((2*(Retailers!AK186+Distributors_Cap!$P$47)-BC187)^0.5,0)))))))))</f>
        <v/>
      </c>
      <c r="T187" s="2">
        <f>IF(P187&gt;Demand!AW204,0,(IF(((2*(Retailers!AL186+Distributors_Cap!$P$47)-Retailers_Cap!$BB$7)*(Demand!AW204-Retailers_Cap!P187))&lt;0,0,((IF(BD187&gt;2*(Retailers!AL186+Distributors_Cap!$P$47),0,(IF(BI187=0,ROUNDUP((2*(Retailers!AL186+Distributors_Cap!$P$47)-BD187)^0.5,0),ROUNDUP((2*(Retailers!AL186+Distributors_Cap!$P$47)-BD187)^0.5,0)))))))))</f>
        <v/>
      </c>
      <c r="W187" s="75" t="n">
        <v>191</v>
      </c>
      <c r="X187" s="9" t="n">
        <v>12</v>
      </c>
      <c r="Y187" s="9" t="n">
        <v>13</v>
      </c>
      <c r="Z187" s="9" t="n">
        <v>13</v>
      </c>
      <c r="AB187" s="2">
        <f>ROUNDDOWN(LOG((X187+1),2),0)</f>
        <v/>
      </c>
      <c r="AC187" s="2">
        <f>ROUNDDOWN(LOG((Y187+1),2),0)</f>
        <v/>
      </c>
      <c r="AD187" s="2">
        <f>ROUNDDOWN(LOG((Z187+1),2),0)</f>
        <v/>
      </c>
      <c r="AG187" s="75" t="n">
        <v>191</v>
      </c>
      <c r="AH187" s="9" t="n">
        <v>3</v>
      </c>
      <c r="AI187" s="9" t="n">
        <v>3</v>
      </c>
      <c r="AJ187" s="9" t="n">
        <v>3</v>
      </c>
      <c r="AQ187" s="75" t="n">
        <v>191</v>
      </c>
      <c r="AR187" s="75" t="n">
        <v>67.929</v>
      </c>
      <c r="AS187" s="75" t="n">
        <v>58.746</v>
      </c>
      <c r="AT187" s="75" t="n">
        <v>67.633</v>
      </c>
      <c r="AV187" s="75" t="n">
        <v>191</v>
      </c>
      <c r="AW187" s="75">
        <f>Beginning_stock!AT215</f>
        <v/>
      </c>
      <c r="AX187" s="75">
        <f>Beginning_stock!AU215</f>
        <v/>
      </c>
      <c r="AY187" s="75">
        <f>Beginning_stock!AV215</f>
        <v/>
      </c>
      <c r="BA187" s="75" t="n">
        <v>191</v>
      </c>
      <c r="BB187" s="75">
        <f>IF(Demand!AU204=Retailers_Cap!N187,"ret=0",(AW187/(Demand!AU204-Retailers_Cap!N187)))</f>
        <v/>
      </c>
      <c r="BC187" s="75">
        <f>IF(Demand!AV204=Retailers_Cap!O187,"ret=0",(AX187/(Demand!AV204-Retailers_Cap!O187)))</f>
        <v/>
      </c>
      <c r="BD187" s="75">
        <f>IF(Demand!AW204=Retailers_Cap!P187,"ret=0",(AY187/(Demand!AW204-Retailers_Cap!P187)))</f>
        <v/>
      </c>
      <c r="BF187" s="75" t="n">
        <v>191</v>
      </c>
      <c r="BG187" s="2">
        <f>IF(Demand!AU204&lt;=Retailers_Cap!N187,"ret=0",(IF(BB187&lt;=AR187+Distributors_Cap!$P$47,1,0)))</f>
        <v/>
      </c>
      <c r="BH187" s="2">
        <f>IF(Demand!AV204&lt;=Retailers_Cap!O187,"ret=0",(IF(BC187&lt;=AS187+Distributors_Cap!$P$47,1,0)))</f>
        <v/>
      </c>
      <c r="BI187" s="2">
        <f>IF(Demand!AW204&lt;=Retailers_Cap!P187,"ret=0",(IF(BD187&lt;=AT187+Distributors_Cap!$P$47,1,0)))</f>
        <v/>
      </c>
      <c r="BK187" s="75" t="n">
        <v>191</v>
      </c>
      <c r="BL187" s="75">
        <f>Retailers!BH186</f>
        <v/>
      </c>
      <c r="BM187" s="75">
        <f>Retailers!BI186</f>
        <v/>
      </c>
      <c r="BN187" s="75">
        <f>Retailers!BJ186</f>
        <v/>
      </c>
      <c r="BP187" s="75" t="n">
        <v>191</v>
      </c>
      <c r="BQ187" s="75">
        <f>#REF!</f>
        <v/>
      </c>
      <c r="BR187" s="75">
        <f>#REF!</f>
        <v/>
      </c>
      <c r="BS187" s="75">
        <f>#REF!</f>
        <v/>
      </c>
      <c r="BU187" s="75" t="n">
        <v>191</v>
      </c>
      <c r="BV187" s="75">
        <f>Retailers!AS186</f>
        <v/>
      </c>
      <c r="BW187" s="75">
        <f>Retailers!AT186</f>
        <v/>
      </c>
      <c r="BX187" s="75">
        <f>Retailers!AU186</f>
        <v/>
      </c>
      <c r="BZ187" s="75" t="n">
        <v>191</v>
      </c>
      <c r="CA187" s="75">
        <f>Results!#REF!</f>
        <v/>
      </c>
      <c r="CB187" s="75">
        <f>Results!#REF!</f>
        <v/>
      </c>
      <c r="CC187" s="75">
        <f>Results!#REF!</f>
        <v/>
      </c>
      <c r="CE187" s="75" t="n">
        <v>191</v>
      </c>
      <c r="CF187" s="75">
        <f>Retailers!BN186</f>
        <v/>
      </c>
      <c r="CG187" s="75">
        <f>Retailers!BO186</f>
        <v/>
      </c>
      <c r="CH187" s="75">
        <f>Retailers!BP186</f>
        <v/>
      </c>
      <c r="CJ187" s="75" t="n">
        <v>191</v>
      </c>
      <c r="CK187" s="75">
        <f>IF(BB187="ret=0",0,IF(BB187&gt;0,AR187+Distributors_Cap!$P$47-BB187,0))</f>
        <v/>
      </c>
      <c r="CL187" s="75">
        <f>IF(BC187="ret=0",0,IF(BC187&gt;0,AS187+Distributors_Cap!$P$47-BC187,0))</f>
        <v/>
      </c>
      <c r="CM187" s="75">
        <f>IF(BD187="ret=0",0,IF(BD187&gt;0,AT187+Distributors_Cap!$P$47-BD187,0))</f>
        <v/>
      </c>
    </row>
    <row r="188">
      <c r="G188" s="75" t="n">
        <v>192</v>
      </c>
      <c r="H188" s="75" t="n">
        <v>71.443</v>
      </c>
      <c r="I188" s="75" t="n">
        <v>54.613</v>
      </c>
      <c r="J188" s="75" t="n">
        <v>60.529</v>
      </c>
      <c r="L188" s="75">
        <f>TRUNC((_xlfn.NORM.INV((RAND()),$K$7,$K$8)),0)</f>
        <v/>
      </c>
      <c r="M188" s="75" t="n">
        <v>192</v>
      </c>
      <c r="N188" s="5" t="n">
        <v>32</v>
      </c>
      <c r="O188" s="5" t="n">
        <v>29</v>
      </c>
      <c r="P188" s="5" t="n">
        <v>27</v>
      </c>
      <c r="R188" s="2">
        <f>IF(N188&gt;Demand!AU205,0,(IF(((2*(Retailers!AJ187+Distributors_Cap!$P$47)-Retailers_Cap!$BB$7)*(Demand!AU205-Retailers_Cap!N188))&lt;0,0,((IF(BB188&gt;2*(Retailers!AJ187+Distributors_Cap!$P$47),0,(IF(BG188=0,ROUNDUP((2*(Retailers!AJ187+Distributors_Cap!$P$47)-BB188)^0.5,0),ROUNDUP((2*(Retailers!AJ187+Distributors_Cap!$P$47)-BB188)^0.5,0)))))))))</f>
        <v/>
      </c>
      <c r="S188" s="2">
        <f>IF(O188&gt;Demand!AV205,0,(IF(((2*(Retailers!AK187+Distributors_Cap!$P$47)-Retailers_Cap!$BB$7)*(Demand!AV205-Retailers_Cap!O188))&lt;0,0,((IF(BC188&gt;2*(Retailers!AK187+Distributors_Cap!$P$47),0,(IF(BH188=0,ROUNDUP((2*(Retailers!AK187+Distributors_Cap!$P$47)-BC188)^0.5,0),ROUNDUP((2*(Retailers!AK187+Distributors_Cap!$P$47)-BC188)^0.5,0)))))))))</f>
        <v/>
      </c>
      <c r="T188" s="2">
        <f>IF(P188&gt;Demand!AW205,0,(IF(((2*(Retailers!AL187+Distributors_Cap!$P$47)-Retailers_Cap!$BB$7)*(Demand!AW205-Retailers_Cap!P188))&lt;0,0,((IF(BD188&gt;2*(Retailers!AL187+Distributors_Cap!$P$47),0,(IF(BI188=0,ROUNDUP((2*(Retailers!AL187+Distributors_Cap!$P$47)-BD188)^0.5,0),ROUNDUP((2*(Retailers!AL187+Distributors_Cap!$P$47)-BD188)^0.5,0)))))))))</f>
        <v/>
      </c>
      <c r="W188" s="75" t="n">
        <v>192</v>
      </c>
      <c r="X188" s="9" t="n">
        <v>0</v>
      </c>
      <c r="Y188" s="9" t="n">
        <v>0</v>
      </c>
      <c r="Z188" s="9" t="n">
        <v>0</v>
      </c>
      <c r="AB188" s="2">
        <f>ROUNDDOWN(LOG((X188+1),2),0)</f>
        <v/>
      </c>
      <c r="AC188" s="2">
        <f>ROUNDDOWN(LOG((Y188+1),2),0)</f>
        <v/>
      </c>
      <c r="AD188" s="2">
        <f>ROUNDDOWN(LOG((Z188+1),2),0)</f>
        <v/>
      </c>
      <c r="AG188" s="75" t="n">
        <v>192</v>
      </c>
      <c r="AH188" s="9" t="n">
        <v>0</v>
      </c>
      <c r="AI188" s="9" t="n">
        <v>0</v>
      </c>
      <c r="AJ188" s="9" t="n">
        <v>0</v>
      </c>
      <c r="AQ188" s="75" t="n">
        <v>192</v>
      </c>
      <c r="AR188" s="75" t="n">
        <v>71.443</v>
      </c>
      <c r="AS188" s="75" t="n">
        <v>54.613</v>
      </c>
      <c r="AT188" s="75" t="n">
        <v>60.529</v>
      </c>
      <c r="AV188" s="75" t="n">
        <v>192</v>
      </c>
      <c r="AW188" s="75">
        <f>Beginning_stock!AT216</f>
        <v/>
      </c>
      <c r="AX188" s="75">
        <f>Beginning_stock!AU216</f>
        <v/>
      </c>
      <c r="AY188" s="75">
        <f>Beginning_stock!AV216</f>
        <v/>
      </c>
      <c r="BA188" s="75" t="n">
        <v>192</v>
      </c>
      <c r="BB188" s="75">
        <f>IF(Demand!AU205=Retailers_Cap!N188,"ret=0",(AW188/(Demand!AU205-Retailers_Cap!N188)))</f>
        <v/>
      </c>
      <c r="BC188" s="75">
        <f>IF(Demand!AV205=Retailers_Cap!O188,"ret=0",(AX188/(Demand!AV205-Retailers_Cap!O188)))</f>
        <v/>
      </c>
      <c r="BD188" s="75">
        <f>IF(Demand!AW205=Retailers_Cap!P188,"ret=0",(AY188/(Demand!AW205-Retailers_Cap!P188)))</f>
        <v/>
      </c>
      <c r="BF188" s="75" t="n">
        <v>192</v>
      </c>
      <c r="BG188" s="2">
        <f>IF(Demand!AU205&lt;=Retailers_Cap!N188,"ret=0",(IF(BB188&lt;=AR188+Distributors_Cap!$P$47,1,0)))</f>
        <v/>
      </c>
      <c r="BH188" s="2">
        <f>IF(Demand!AV205&lt;=Retailers_Cap!O188,"ret=0",(IF(BC188&lt;=AS188+Distributors_Cap!$P$47,1,0)))</f>
        <v/>
      </c>
      <c r="BI188" s="2">
        <f>IF(Demand!AW205&lt;=Retailers_Cap!P188,"ret=0",(IF(BD188&lt;=AT188+Distributors_Cap!$P$47,1,0)))</f>
        <v/>
      </c>
      <c r="BK188" s="75" t="n">
        <v>192</v>
      </c>
      <c r="BL188" s="75">
        <f>Retailers!BH187</f>
        <v/>
      </c>
      <c r="BM188" s="75">
        <f>Retailers!BI187</f>
        <v/>
      </c>
      <c r="BN188" s="75">
        <f>Retailers!BJ187</f>
        <v/>
      </c>
      <c r="BP188" s="75" t="n">
        <v>192</v>
      </c>
      <c r="BQ188" s="75">
        <f>#REF!</f>
        <v/>
      </c>
      <c r="BR188" s="75">
        <f>#REF!</f>
        <v/>
      </c>
      <c r="BS188" s="75">
        <f>#REF!</f>
        <v/>
      </c>
      <c r="BU188" s="75" t="n">
        <v>192</v>
      </c>
      <c r="BV188" s="75">
        <f>Retailers!AS187</f>
        <v/>
      </c>
      <c r="BW188" s="75">
        <f>Retailers!AT187</f>
        <v/>
      </c>
      <c r="BX188" s="75">
        <f>Retailers!AU187</f>
        <v/>
      </c>
      <c r="BZ188" s="75" t="n">
        <v>192</v>
      </c>
      <c r="CA188" s="75">
        <f>Results!#REF!</f>
        <v/>
      </c>
      <c r="CB188" s="75">
        <f>Results!#REF!</f>
        <v/>
      </c>
      <c r="CC188" s="75">
        <f>Results!#REF!</f>
        <v/>
      </c>
      <c r="CE188" s="75" t="n">
        <v>192</v>
      </c>
      <c r="CF188" s="75">
        <f>Retailers!BN187</f>
        <v/>
      </c>
      <c r="CG188" s="75">
        <f>Retailers!BO187</f>
        <v/>
      </c>
      <c r="CH188" s="75">
        <f>Retailers!BP187</f>
        <v/>
      </c>
      <c r="CJ188" s="75" t="n">
        <v>192</v>
      </c>
      <c r="CK188" s="75">
        <f>IF(BB188="ret=0",0,IF(BB188&gt;0,AR188+Distributors_Cap!$P$47-BB188,0))</f>
        <v/>
      </c>
      <c r="CL188" s="75">
        <f>IF(BC188="ret=0",0,IF(BC188&gt;0,AS188+Distributors_Cap!$P$47-BC188,0))</f>
        <v/>
      </c>
      <c r="CM188" s="75">
        <f>IF(BD188="ret=0",0,IF(BD188&gt;0,AT188+Distributors_Cap!$P$47-BD188,0))</f>
        <v/>
      </c>
    </row>
    <row r="189">
      <c r="G189" s="75" t="n">
        <v>193</v>
      </c>
      <c r="H189" s="75" t="n">
        <v>39.353</v>
      </c>
      <c r="I189" s="75" t="n">
        <v>32.532</v>
      </c>
      <c r="J189" s="75" t="n">
        <v>67.015</v>
      </c>
      <c r="L189" s="75">
        <f>TRUNC((_xlfn.NORM.INV((RAND()),$K$7,$K$8)),0)</f>
        <v/>
      </c>
      <c r="M189" s="75" t="n">
        <v>193</v>
      </c>
      <c r="N189" s="5" t="n">
        <v>26</v>
      </c>
      <c r="O189" s="5" t="n">
        <v>26</v>
      </c>
      <c r="P189" s="5" t="n">
        <v>24</v>
      </c>
      <c r="R189" s="2">
        <f>IF(N189&gt;Demand!AU206,0,(IF(((2*(Retailers!AJ188+Distributors_Cap!$P$47)-Retailers_Cap!$BB$7)*(Demand!AU206-Retailers_Cap!N189))&lt;0,0,((IF(BB189&gt;2*(Retailers!AJ188+Distributors_Cap!$P$47),0,(IF(BG189=0,ROUNDUP((2*(Retailers!AJ188+Distributors_Cap!$P$47)-BB189)^0.5,0),ROUNDUP((2*(Retailers!AJ188+Distributors_Cap!$P$47)-BB189)^0.5,0)))))))))</f>
        <v/>
      </c>
      <c r="S189" s="2">
        <f>IF(O189&gt;Demand!AV206,0,(IF(((2*(Retailers!AK188+Distributors_Cap!$P$47)-Retailers_Cap!$BB$7)*(Demand!AV206-Retailers_Cap!O189))&lt;0,0,((IF(BC189&gt;2*(Retailers!AK188+Distributors_Cap!$P$47),0,(IF(BH189=0,ROUNDUP((2*(Retailers!AK188+Distributors_Cap!$P$47)-BC189)^0.5,0),ROUNDUP((2*(Retailers!AK188+Distributors_Cap!$P$47)-BC189)^0.5,0)))))))))</f>
        <v/>
      </c>
      <c r="T189" s="2">
        <f>IF(P189&gt;Demand!AW206,0,(IF(((2*(Retailers!AL188+Distributors_Cap!$P$47)-Retailers_Cap!$BB$7)*(Demand!AW206-Retailers_Cap!P189))&lt;0,0,((IF(BD189&gt;2*(Retailers!AL188+Distributors_Cap!$P$47),0,(IF(BI189=0,ROUNDUP((2*(Retailers!AL188+Distributors_Cap!$P$47)-BD189)^0.5,0),ROUNDUP((2*(Retailers!AL188+Distributors_Cap!$P$47)-BD189)^0.5,0)))))))))</f>
        <v/>
      </c>
      <c r="W189" s="75" t="n">
        <v>193</v>
      </c>
      <c r="X189" s="9" t="n">
        <v>12</v>
      </c>
      <c r="Y189" s="9" t="n">
        <v>10</v>
      </c>
      <c r="Z189" s="9" t="n">
        <v>10</v>
      </c>
      <c r="AB189" s="2">
        <f>ROUNDDOWN(LOG((X189+1),2),0)</f>
        <v/>
      </c>
      <c r="AC189" s="2">
        <f>ROUNDDOWN(LOG((Y189+1),2),0)</f>
        <v/>
      </c>
      <c r="AD189" s="2">
        <f>ROUNDDOWN(LOG((Z189+1),2),0)</f>
        <v/>
      </c>
      <c r="AG189" s="75" t="n">
        <v>193</v>
      </c>
      <c r="AH189" s="9" t="n">
        <v>3</v>
      </c>
      <c r="AI189" s="9" t="n">
        <v>3</v>
      </c>
      <c r="AJ189" s="9" t="n">
        <v>3</v>
      </c>
      <c r="AQ189" s="75" t="n">
        <v>193</v>
      </c>
      <c r="AR189" s="75" t="n">
        <v>39.353</v>
      </c>
      <c r="AS189" s="75" t="n">
        <v>32.532</v>
      </c>
      <c r="AT189" s="75" t="n">
        <v>67.015</v>
      </c>
      <c r="AV189" s="75" t="n">
        <v>193</v>
      </c>
      <c r="AW189" s="75">
        <f>Beginning_stock!AT217</f>
        <v/>
      </c>
      <c r="AX189" s="75">
        <f>Beginning_stock!AU217</f>
        <v/>
      </c>
      <c r="AY189" s="75">
        <f>Beginning_stock!AV217</f>
        <v/>
      </c>
      <c r="BA189" s="75" t="n">
        <v>193</v>
      </c>
      <c r="BB189" s="75">
        <f>IF(Demand!AU206=Retailers_Cap!N189,"ret=0",(AW189/(Demand!AU206-Retailers_Cap!N189)))</f>
        <v/>
      </c>
      <c r="BC189" s="75">
        <f>IF(Demand!AV206=Retailers_Cap!O189,"ret=0",(AX189/(Demand!AV206-Retailers_Cap!O189)))</f>
        <v/>
      </c>
      <c r="BD189" s="75">
        <f>IF(Demand!AW206=Retailers_Cap!P189,"ret=0",(AY189/(Demand!AW206-Retailers_Cap!P189)))</f>
        <v/>
      </c>
      <c r="BF189" s="75" t="n">
        <v>193</v>
      </c>
      <c r="BG189" s="2">
        <f>IF(Demand!AU206&lt;=Retailers_Cap!N189,"ret=0",(IF(BB189&lt;=AR189+Distributors_Cap!$P$47,1,0)))</f>
        <v/>
      </c>
      <c r="BH189" s="2">
        <f>IF(Demand!AV206&lt;=Retailers_Cap!O189,"ret=0",(IF(BC189&lt;=AS189+Distributors_Cap!$P$47,1,0)))</f>
        <v/>
      </c>
      <c r="BI189" s="2">
        <f>IF(Demand!AW206&lt;=Retailers_Cap!P189,"ret=0",(IF(BD189&lt;=AT189+Distributors_Cap!$P$47,1,0)))</f>
        <v/>
      </c>
      <c r="BK189" s="75" t="n">
        <v>193</v>
      </c>
      <c r="BL189" s="75">
        <f>Retailers!BH188</f>
        <v/>
      </c>
      <c r="BM189" s="75">
        <f>Retailers!BI188</f>
        <v/>
      </c>
      <c r="BN189" s="75">
        <f>Retailers!BJ188</f>
        <v/>
      </c>
      <c r="BP189" s="75" t="n">
        <v>193</v>
      </c>
      <c r="BQ189" s="75">
        <f>#REF!</f>
        <v/>
      </c>
      <c r="BR189" s="75">
        <f>#REF!</f>
        <v/>
      </c>
      <c r="BS189" s="75">
        <f>#REF!</f>
        <v/>
      </c>
      <c r="BU189" s="75" t="n">
        <v>193</v>
      </c>
      <c r="BV189" s="75">
        <f>Retailers!AS188</f>
        <v/>
      </c>
      <c r="BW189" s="75">
        <f>Retailers!AT188</f>
        <v/>
      </c>
      <c r="BX189" s="75">
        <f>Retailers!AU188</f>
        <v/>
      </c>
      <c r="BZ189" s="75" t="n">
        <v>193</v>
      </c>
      <c r="CA189" s="75">
        <f>Results!#REF!</f>
        <v/>
      </c>
      <c r="CB189" s="75">
        <f>Results!#REF!</f>
        <v/>
      </c>
      <c r="CC189" s="75">
        <f>Results!#REF!</f>
        <v/>
      </c>
      <c r="CE189" s="75" t="n">
        <v>193</v>
      </c>
      <c r="CF189" s="75">
        <f>Retailers!BN188</f>
        <v/>
      </c>
      <c r="CG189" s="75">
        <f>Retailers!BO188</f>
        <v/>
      </c>
      <c r="CH189" s="75">
        <f>Retailers!BP188</f>
        <v/>
      </c>
      <c r="CJ189" s="75" t="n">
        <v>193</v>
      </c>
      <c r="CK189" s="75">
        <f>IF(BB189="ret=0",0,IF(BB189&gt;0,AR189+Distributors_Cap!$P$47-BB189,0))</f>
        <v/>
      </c>
      <c r="CL189" s="75">
        <f>IF(BC189="ret=0",0,IF(BC189&gt;0,AS189+Distributors_Cap!$P$47-BC189,0))</f>
        <v/>
      </c>
      <c r="CM189" s="75">
        <f>IF(BD189="ret=0",0,IF(BD189&gt;0,AT189+Distributors_Cap!$P$47-BD189,0))</f>
        <v/>
      </c>
    </row>
    <row r="190">
      <c r="G190" s="75" t="n">
        <v>194</v>
      </c>
      <c r="H190" s="75" t="n">
        <v>62.43</v>
      </c>
      <c r="I190" s="75" t="n">
        <v>37.211</v>
      </c>
      <c r="J190" s="75" t="n">
        <v>64.06399999999999</v>
      </c>
      <c r="L190" s="75">
        <f>TRUNC((_xlfn.NORM.INV((RAND()),$K$7,$K$8)),0)</f>
        <v/>
      </c>
      <c r="M190" s="75" t="n">
        <v>194</v>
      </c>
      <c r="N190" s="5" t="n">
        <v>26</v>
      </c>
      <c r="O190" s="5" t="n">
        <v>30</v>
      </c>
      <c r="P190" s="5" t="n">
        <v>16</v>
      </c>
      <c r="R190" s="2">
        <f>IF(N190&gt;Demand!AU207,0,(IF(((2*(Retailers!AJ189+Distributors_Cap!$P$47)-Retailers_Cap!$BB$7)*(Demand!AU207-Retailers_Cap!N190))&lt;0,0,((IF(BB190&gt;2*(Retailers!AJ189+Distributors_Cap!$P$47),0,(IF(BG190=0,ROUNDUP((2*(Retailers!AJ189+Distributors_Cap!$P$47)-BB190)^0.5,0),ROUNDUP((2*(Retailers!AJ189+Distributors_Cap!$P$47)-BB190)^0.5,0)))))))))</f>
        <v/>
      </c>
      <c r="S190" s="2">
        <f>IF(O190&gt;Demand!AV207,0,(IF(((2*(Retailers!AK189+Distributors_Cap!$P$47)-Retailers_Cap!$BB$7)*(Demand!AV207-Retailers_Cap!O190))&lt;0,0,((IF(BC190&gt;2*(Retailers!AK189+Distributors_Cap!$P$47),0,(IF(BH190=0,ROUNDUP((2*(Retailers!AK189+Distributors_Cap!$P$47)-BC190)^0.5,0),ROUNDUP((2*(Retailers!AK189+Distributors_Cap!$P$47)-BC190)^0.5,0)))))))))</f>
        <v/>
      </c>
      <c r="T190" s="2">
        <f>IF(P190&gt;Demand!AW207,0,(IF(((2*(Retailers!AL189+Distributors_Cap!$P$47)-Retailers_Cap!$BB$7)*(Demand!AW207-Retailers_Cap!P190))&lt;0,0,((IF(BD190&gt;2*(Retailers!AL189+Distributors_Cap!$P$47),0,(IF(BI190=0,ROUNDUP((2*(Retailers!AL189+Distributors_Cap!$P$47)-BD190)^0.5,0),ROUNDUP((2*(Retailers!AL189+Distributors_Cap!$P$47)-BD190)^0.5,0)))))))))</f>
        <v/>
      </c>
      <c r="W190" s="75" t="n">
        <v>194</v>
      </c>
      <c r="X190" s="9" t="n">
        <v>12</v>
      </c>
      <c r="Y190" s="9" t="n">
        <v>0</v>
      </c>
      <c r="Z190" s="9" t="n">
        <v>13</v>
      </c>
      <c r="AB190" s="2">
        <f>ROUNDDOWN(LOG((X190+1),2),0)</f>
        <v/>
      </c>
      <c r="AC190" s="2">
        <f>ROUNDDOWN(LOG((Y190+1),2),0)</f>
        <v/>
      </c>
      <c r="AD190" s="2">
        <f>ROUNDDOWN(LOG((Z190+1),2),0)</f>
        <v/>
      </c>
      <c r="AG190" s="75" t="n">
        <v>194</v>
      </c>
      <c r="AH190" s="9" t="n">
        <v>3</v>
      </c>
      <c r="AI190" s="9" t="n">
        <v>0</v>
      </c>
      <c r="AJ190" s="9" t="n">
        <v>3</v>
      </c>
      <c r="AQ190" s="75" t="n">
        <v>194</v>
      </c>
      <c r="AR190" s="75" t="n">
        <v>62.43</v>
      </c>
      <c r="AS190" s="75" t="n">
        <v>37.211</v>
      </c>
      <c r="AT190" s="75" t="n">
        <v>64.06399999999999</v>
      </c>
      <c r="AV190" s="75" t="n">
        <v>194</v>
      </c>
      <c r="AW190" s="75">
        <f>Beginning_stock!AT218</f>
        <v/>
      </c>
      <c r="AX190" s="75">
        <f>Beginning_stock!AU218</f>
        <v/>
      </c>
      <c r="AY190" s="75">
        <f>Beginning_stock!AV218</f>
        <v/>
      </c>
      <c r="BA190" s="75" t="n">
        <v>194</v>
      </c>
      <c r="BB190" s="75">
        <f>IF(Demand!AU207=Retailers_Cap!N190,"ret=0",(AW190/(Demand!AU207-Retailers_Cap!N190)))</f>
        <v/>
      </c>
      <c r="BC190" s="75">
        <f>IF(Demand!AV207=Retailers_Cap!O190,"ret=0",(AX190/(Demand!AV207-Retailers_Cap!O190)))</f>
        <v/>
      </c>
      <c r="BD190" s="75">
        <f>IF(Demand!AW207=Retailers_Cap!P190,"ret=0",(AY190/(Demand!AW207-Retailers_Cap!P190)))</f>
        <v/>
      </c>
      <c r="BF190" s="75" t="n">
        <v>194</v>
      </c>
      <c r="BG190" s="2">
        <f>IF(Demand!AU207&lt;=Retailers_Cap!N190,"ret=0",(IF(BB190&lt;=AR190+Distributors_Cap!$P$47,1,0)))</f>
        <v/>
      </c>
      <c r="BH190" s="2">
        <f>IF(Demand!AV207&lt;=Retailers_Cap!O190,"ret=0",(IF(BC190&lt;=AS190+Distributors_Cap!$P$47,1,0)))</f>
        <v/>
      </c>
      <c r="BI190" s="2">
        <f>IF(Demand!AW207&lt;=Retailers_Cap!P190,"ret=0",(IF(BD190&lt;=AT190+Distributors_Cap!$P$47,1,0)))</f>
        <v/>
      </c>
      <c r="BK190" s="75" t="n">
        <v>194</v>
      </c>
      <c r="BL190" s="75">
        <f>Retailers!BH189</f>
        <v/>
      </c>
      <c r="BM190" s="75">
        <f>Retailers!BI189</f>
        <v/>
      </c>
      <c r="BN190" s="75">
        <f>Retailers!BJ189</f>
        <v/>
      </c>
      <c r="BP190" s="75" t="n">
        <v>194</v>
      </c>
      <c r="BQ190" s="75">
        <f>#REF!</f>
        <v/>
      </c>
      <c r="BR190" s="75">
        <f>#REF!</f>
        <v/>
      </c>
      <c r="BS190" s="75">
        <f>#REF!</f>
        <v/>
      </c>
      <c r="BU190" s="75" t="n">
        <v>194</v>
      </c>
      <c r="BV190" s="75">
        <f>Retailers!AS189</f>
        <v/>
      </c>
      <c r="BW190" s="75">
        <f>Retailers!AT189</f>
        <v/>
      </c>
      <c r="BX190" s="75">
        <f>Retailers!AU189</f>
        <v/>
      </c>
      <c r="BZ190" s="75" t="n">
        <v>194</v>
      </c>
      <c r="CA190" s="75">
        <f>Results!#REF!</f>
        <v/>
      </c>
      <c r="CB190" s="75">
        <f>Results!#REF!</f>
        <v/>
      </c>
      <c r="CC190" s="75">
        <f>Results!#REF!</f>
        <v/>
      </c>
      <c r="CE190" s="75" t="n">
        <v>194</v>
      </c>
      <c r="CF190" s="75">
        <f>Retailers!BN189</f>
        <v/>
      </c>
      <c r="CG190" s="75">
        <f>Retailers!BO189</f>
        <v/>
      </c>
      <c r="CH190" s="75">
        <f>Retailers!BP189</f>
        <v/>
      </c>
      <c r="CJ190" s="75" t="n">
        <v>194</v>
      </c>
      <c r="CK190" s="75">
        <f>IF(BB190="ret=0",0,IF(BB190&gt;0,AR190+Distributors_Cap!$P$47-BB190,0))</f>
        <v/>
      </c>
      <c r="CL190" s="75">
        <f>IF(BC190="ret=0",0,IF(BC190&gt;0,AS190+Distributors_Cap!$P$47-BC190,0))</f>
        <v/>
      </c>
      <c r="CM190" s="75">
        <f>IF(BD190="ret=0",0,IF(BD190&gt;0,AT190+Distributors_Cap!$P$47-BD190,0))</f>
        <v/>
      </c>
    </row>
    <row r="191">
      <c r="G191" s="75" t="n">
        <v>195</v>
      </c>
      <c r="H191" s="75" t="n">
        <v>71.324</v>
      </c>
      <c r="I191" s="75" t="n">
        <v>66.39100000000001</v>
      </c>
      <c r="J191" s="75" t="n">
        <v>59.448</v>
      </c>
      <c r="L191" s="75">
        <f>TRUNC((_xlfn.NORM.INV((RAND()),$K$7,$K$8)),0)</f>
        <v/>
      </c>
      <c r="M191" s="75" t="n">
        <v>195</v>
      </c>
      <c r="N191" s="5" t="n">
        <v>27</v>
      </c>
      <c r="O191" s="5" t="n">
        <v>24</v>
      </c>
      <c r="P191" s="5" t="n">
        <v>39</v>
      </c>
      <c r="R191" s="2">
        <f>IF(N191&gt;Demand!AU208,0,(IF(((2*(Retailers!AJ190+Distributors_Cap!$P$47)-Retailers_Cap!$BB$7)*(Demand!AU208-Retailers_Cap!N191))&lt;0,0,((IF(BB191&gt;2*(Retailers!AJ190+Distributors_Cap!$P$47),0,(IF(BG191=0,ROUNDUP((2*(Retailers!AJ190+Distributors_Cap!$P$47)-BB191)^0.5,0),ROUNDUP((2*(Retailers!AJ190+Distributors_Cap!$P$47)-BB191)^0.5,0)))))))))</f>
        <v/>
      </c>
      <c r="S191" s="2">
        <f>IF(O191&gt;Demand!AV208,0,(IF(((2*(Retailers!AK190+Distributors_Cap!$P$47)-Retailers_Cap!$BB$7)*(Demand!AV208-Retailers_Cap!O191))&lt;0,0,((IF(BC191&gt;2*(Retailers!AK190+Distributors_Cap!$P$47),0,(IF(BH191=0,ROUNDUP((2*(Retailers!AK190+Distributors_Cap!$P$47)-BC191)^0.5,0),ROUNDUP((2*(Retailers!AK190+Distributors_Cap!$P$47)-BC191)^0.5,0)))))))))</f>
        <v/>
      </c>
      <c r="T191" s="2">
        <f>IF(P191&gt;Demand!AW208,0,(IF(((2*(Retailers!AL190+Distributors_Cap!$P$47)-Retailers_Cap!$BB$7)*(Demand!AW208-Retailers_Cap!P191))&lt;0,0,((IF(BD191&gt;2*(Retailers!AL190+Distributors_Cap!$P$47),0,(IF(BI191=0,ROUNDUP((2*(Retailers!AL190+Distributors_Cap!$P$47)-BD191)^0.5,0),ROUNDUP((2*(Retailers!AL190+Distributors_Cap!$P$47)-BD191)^0.5,0)))))))))</f>
        <v/>
      </c>
      <c r="W191" s="75" t="n">
        <v>195</v>
      </c>
      <c r="X191" s="9" t="n">
        <v>13</v>
      </c>
      <c r="Y191" s="9" t="n">
        <v>0</v>
      </c>
      <c r="Z191" s="9" t="n">
        <v>0</v>
      </c>
      <c r="AB191" s="2">
        <f>ROUNDDOWN(LOG((X191+1),2),0)</f>
        <v/>
      </c>
      <c r="AC191" s="2">
        <f>ROUNDDOWN(LOG((Y191+1),2),0)</f>
        <v/>
      </c>
      <c r="AD191" s="2">
        <f>ROUNDDOWN(LOG((Z191+1),2),0)</f>
        <v/>
      </c>
      <c r="AG191" s="75" t="n">
        <v>195</v>
      </c>
      <c r="AH191" s="9" t="n">
        <v>3</v>
      </c>
      <c r="AI191" s="9" t="n">
        <v>0</v>
      </c>
      <c r="AJ191" s="9" t="n">
        <v>0</v>
      </c>
      <c r="AQ191" s="75" t="n">
        <v>195</v>
      </c>
      <c r="AR191" s="75" t="n">
        <v>71.324</v>
      </c>
      <c r="AS191" s="75" t="n">
        <v>66.39100000000001</v>
      </c>
      <c r="AT191" s="75" t="n">
        <v>59.448</v>
      </c>
      <c r="AV191" s="75" t="n">
        <v>195</v>
      </c>
      <c r="AW191" s="75">
        <f>Beginning_stock!AT219</f>
        <v/>
      </c>
      <c r="AX191" s="75">
        <f>Beginning_stock!AU219</f>
        <v/>
      </c>
      <c r="AY191" s="75">
        <f>Beginning_stock!AV219</f>
        <v/>
      </c>
      <c r="BA191" s="75" t="n">
        <v>195</v>
      </c>
      <c r="BB191" s="75">
        <f>IF(Demand!AU208=Retailers_Cap!N191,"ret=0",(AW191/(Demand!AU208-Retailers_Cap!N191)))</f>
        <v/>
      </c>
      <c r="BC191" s="75">
        <f>IF(Demand!AV208=Retailers_Cap!O191,"ret=0",(AX191/(Demand!AV208-Retailers_Cap!O191)))</f>
        <v/>
      </c>
      <c r="BD191" s="75">
        <f>IF(Demand!AW208=Retailers_Cap!P191,"ret=0",(AY191/(Demand!AW208-Retailers_Cap!P191)))</f>
        <v/>
      </c>
      <c r="BF191" s="75" t="n">
        <v>195</v>
      </c>
      <c r="BG191" s="2">
        <f>IF(Demand!AU208&lt;=Retailers_Cap!N191,"ret=0",(IF(BB191&lt;=AR191+Distributors_Cap!$P$47,1,0)))</f>
        <v/>
      </c>
      <c r="BH191" s="2">
        <f>IF(Demand!AV208&lt;=Retailers_Cap!O191,"ret=0",(IF(BC191&lt;=AS191+Distributors_Cap!$P$47,1,0)))</f>
        <v/>
      </c>
      <c r="BI191" s="2">
        <f>IF(Demand!AW208&lt;=Retailers_Cap!P191,"ret=0",(IF(BD191&lt;=AT191+Distributors_Cap!$P$47,1,0)))</f>
        <v/>
      </c>
      <c r="BK191" s="75" t="n">
        <v>195</v>
      </c>
      <c r="BL191" s="75">
        <f>Retailers!BH190</f>
        <v/>
      </c>
      <c r="BM191" s="75">
        <f>Retailers!BI190</f>
        <v/>
      </c>
      <c r="BN191" s="75">
        <f>Retailers!BJ190</f>
        <v/>
      </c>
      <c r="BP191" s="75" t="n">
        <v>195</v>
      </c>
      <c r="BQ191" s="75">
        <f>#REF!</f>
        <v/>
      </c>
      <c r="BR191" s="75">
        <f>#REF!</f>
        <v/>
      </c>
      <c r="BS191" s="75">
        <f>#REF!</f>
        <v/>
      </c>
      <c r="BU191" s="75" t="n">
        <v>195</v>
      </c>
      <c r="BV191" s="75">
        <f>Retailers!AS190</f>
        <v/>
      </c>
      <c r="BW191" s="75">
        <f>Retailers!AT190</f>
        <v/>
      </c>
      <c r="BX191" s="75">
        <f>Retailers!AU190</f>
        <v/>
      </c>
      <c r="BZ191" s="75" t="n">
        <v>195</v>
      </c>
      <c r="CA191" s="75">
        <f>Results!#REF!</f>
        <v/>
      </c>
      <c r="CB191" s="75">
        <f>Results!#REF!</f>
        <v/>
      </c>
      <c r="CC191" s="75">
        <f>Results!#REF!</f>
        <v/>
      </c>
      <c r="CE191" s="75" t="n">
        <v>195</v>
      </c>
      <c r="CF191" s="75">
        <f>Retailers!BN190</f>
        <v/>
      </c>
      <c r="CG191" s="75">
        <f>Retailers!BO190</f>
        <v/>
      </c>
      <c r="CH191" s="75">
        <f>Retailers!BP190</f>
        <v/>
      </c>
      <c r="CJ191" s="75" t="n">
        <v>195</v>
      </c>
      <c r="CK191" s="75">
        <f>IF(BB191="ret=0",0,IF(BB191&gt;0,AR191+Distributors_Cap!$P$47-BB191,0))</f>
        <v/>
      </c>
      <c r="CL191" s="75">
        <f>IF(BC191="ret=0",0,IF(BC191&gt;0,AS191+Distributors_Cap!$P$47-BC191,0))</f>
        <v/>
      </c>
      <c r="CM191" s="75">
        <f>IF(BD191="ret=0",0,IF(BD191&gt;0,AT191+Distributors_Cap!$P$47-BD191,0))</f>
        <v/>
      </c>
    </row>
    <row r="192">
      <c r="G192" s="75" t="n">
        <v>196</v>
      </c>
      <c r="H192" s="75" t="n">
        <v>66.685</v>
      </c>
      <c r="I192" s="75" t="n">
        <v>44.804</v>
      </c>
      <c r="J192" s="75" t="n">
        <v>58.699</v>
      </c>
      <c r="L192" s="75">
        <f>TRUNC((_xlfn.NORM.INV((RAND()),$K$7,$K$8)),0)</f>
        <v/>
      </c>
      <c r="M192" s="75" t="n">
        <v>196</v>
      </c>
      <c r="N192" s="5" t="n">
        <v>32</v>
      </c>
      <c r="O192" s="5" t="n">
        <v>26</v>
      </c>
      <c r="P192" s="5" t="n">
        <v>34</v>
      </c>
      <c r="R192" s="2">
        <f>IF(N192&gt;Demand!AU209,0,(IF(((2*(Retailers!AJ191+Distributors_Cap!$P$47)-Retailers_Cap!$BB$7)*(Demand!AU209-Retailers_Cap!N192))&lt;0,0,((IF(BB192&gt;2*(Retailers!AJ191+Distributors_Cap!$P$47),0,(IF(BG192=0,ROUNDUP((2*(Retailers!AJ191+Distributors_Cap!$P$47)-BB192)^0.5,0),ROUNDUP((2*(Retailers!AJ191+Distributors_Cap!$P$47)-BB192)^0.5,0)))))))))</f>
        <v/>
      </c>
      <c r="S192" s="2">
        <f>IF(O192&gt;Demand!AV209,0,(IF(((2*(Retailers!AK191+Distributors_Cap!$P$47)-Retailers_Cap!$BB$7)*(Demand!AV209-Retailers_Cap!O192))&lt;0,0,((IF(BC192&gt;2*(Retailers!AK191+Distributors_Cap!$P$47),0,(IF(BH192=0,ROUNDUP((2*(Retailers!AK191+Distributors_Cap!$P$47)-BC192)^0.5,0),ROUNDUP((2*(Retailers!AK191+Distributors_Cap!$P$47)-BC192)^0.5,0)))))))))</f>
        <v/>
      </c>
      <c r="T192" s="2">
        <f>IF(P192&gt;Demand!AW209,0,(IF(((2*(Retailers!AL191+Distributors_Cap!$P$47)-Retailers_Cap!$BB$7)*(Demand!AW209-Retailers_Cap!P192))&lt;0,0,((IF(BD192&gt;2*(Retailers!AL191+Distributors_Cap!$P$47),0,(IF(BI192=0,ROUNDUP((2*(Retailers!AL191+Distributors_Cap!$P$47)-BD192)^0.5,0),ROUNDUP((2*(Retailers!AL191+Distributors_Cap!$P$47)-BD192)^0.5,0)))))))))</f>
        <v/>
      </c>
      <c r="W192" s="75" t="n">
        <v>196</v>
      </c>
      <c r="X192" s="9" t="n">
        <v>0</v>
      </c>
      <c r="Y192" s="9" t="n">
        <v>0</v>
      </c>
      <c r="Z192" s="9" t="n">
        <v>0</v>
      </c>
      <c r="AB192" s="2">
        <f>ROUNDDOWN(LOG((X192+1),2),0)</f>
        <v/>
      </c>
      <c r="AC192" s="2">
        <f>ROUNDDOWN(LOG((Y192+1),2),0)</f>
        <v/>
      </c>
      <c r="AD192" s="2">
        <f>ROUNDDOWN(LOG((Z192+1),2),0)</f>
        <v/>
      </c>
      <c r="AG192" s="75" t="n">
        <v>196</v>
      </c>
      <c r="AH192" s="9" t="n">
        <v>0</v>
      </c>
      <c r="AI192" s="9" t="n">
        <v>0</v>
      </c>
      <c r="AJ192" s="9" t="n">
        <v>0</v>
      </c>
      <c r="AQ192" s="75" t="n">
        <v>196</v>
      </c>
      <c r="AR192" s="75" t="n">
        <v>66.685</v>
      </c>
      <c r="AS192" s="75" t="n">
        <v>44.804</v>
      </c>
      <c r="AT192" s="75" t="n">
        <v>58.699</v>
      </c>
      <c r="AV192" s="75" t="n">
        <v>196</v>
      </c>
      <c r="AW192" s="75">
        <f>Beginning_stock!AT220</f>
        <v/>
      </c>
      <c r="AX192" s="75">
        <f>Beginning_stock!AU220</f>
        <v/>
      </c>
      <c r="AY192" s="75">
        <f>Beginning_stock!AV220</f>
        <v/>
      </c>
      <c r="BA192" s="75" t="n">
        <v>196</v>
      </c>
      <c r="BB192" s="75">
        <f>IF(Demand!AU209=Retailers_Cap!N192,"ret=0",(AW192/(Demand!AU209-Retailers_Cap!N192)))</f>
        <v/>
      </c>
      <c r="BC192" s="75">
        <f>IF(Demand!AV209=Retailers_Cap!O192,"ret=0",(AX192/(Demand!AV209-Retailers_Cap!O192)))</f>
        <v/>
      </c>
      <c r="BD192" s="75">
        <f>IF(Demand!AW209=Retailers_Cap!P192,"ret=0",(AY192/(Demand!AW209-Retailers_Cap!P192)))</f>
        <v/>
      </c>
      <c r="BF192" s="75" t="n">
        <v>196</v>
      </c>
      <c r="BG192" s="2">
        <f>IF(Demand!AU209&lt;=Retailers_Cap!N192,"ret=0",(IF(BB192&lt;=AR192+Distributors_Cap!$P$47,1,0)))</f>
        <v/>
      </c>
      <c r="BH192" s="2">
        <f>IF(Demand!AV209&lt;=Retailers_Cap!O192,"ret=0",(IF(BC192&lt;=AS192+Distributors_Cap!$P$47,1,0)))</f>
        <v/>
      </c>
      <c r="BI192" s="2">
        <f>IF(Demand!AW209&lt;=Retailers_Cap!P192,"ret=0",(IF(BD192&lt;=AT192+Distributors_Cap!$P$47,1,0)))</f>
        <v/>
      </c>
      <c r="BK192" s="75" t="n">
        <v>196</v>
      </c>
      <c r="BL192" s="75">
        <f>Retailers!BH191</f>
        <v/>
      </c>
      <c r="BM192" s="75">
        <f>Retailers!BI191</f>
        <v/>
      </c>
      <c r="BN192" s="75">
        <f>Retailers!BJ191</f>
        <v/>
      </c>
      <c r="BP192" s="75" t="n">
        <v>196</v>
      </c>
      <c r="BQ192" s="75">
        <f>#REF!</f>
        <v/>
      </c>
      <c r="BR192" s="75">
        <f>#REF!</f>
        <v/>
      </c>
      <c r="BS192" s="75">
        <f>#REF!</f>
        <v/>
      </c>
      <c r="BU192" s="75" t="n">
        <v>196</v>
      </c>
      <c r="BV192" s="75">
        <f>Retailers!AS191</f>
        <v/>
      </c>
      <c r="BW192" s="75">
        <f>Retailers!AT191</f>
        <v/>
      </c>
      <c r="BX192" s="75">
        <f>Retailers!AU191</f>
        <v/>
      </c>
      <c r="BZ192" s="75" t="n">
        <v>196</v>
      </c>
      <c r="CA192" s="75">
        <f>Results!#REF!</f>
        <v/>
      </c>
      <c r="CB192" s="75">
        <f>Results!#REF!</f>
        <v/>
      </c>
      <c r="CC192" s="75">
        <f>Results!#REF!</f>
        <v/>
      </c>
      <c r="CE192" s="75" t="n">
        <v>196</v>
      </c>
      <c r="CF192" s="75">
        <f>Retailers!BN191</f>
        <v/>
      </c>
      <c r="CG192" s="75">
        <f>Retailers!BO191</f>
        <v/>
      </c>
      <c r="CH192" s="75">
        <f>Retailers!BP191</f>
        <v/>
      </c>
      <c r="CJ192" s="75" t="n">
        <v>196</v>
      </c>
      <c r="CK192" s="75">
        <f>IF(BB192="ret=0",0,IF(BB192&gt;0,AR192+Distributors_Cap!$P$47-BB192,0))</f>
        <v/>
      </c>
      <c r="CL192" s="75">
        <f>IF(BC192="ret=0",0,IF(BC192&gt;0,AS192+Distributors_Cap!$P$47-BC192,0))</f>
        <v/>
      </c>
      <c r="CM192" s="75">
        <f>IF(BD192="ret=0",0,IF(BD192&gt;0,AT192+Distributors_Cap!$P$47-BD192,0))</f>
        <v/>
      </c>
    </row>
    <row r="193">
      <c r="G193" s="75" t="n">
        <v>197</v>
      </c>
      <c r="H193" s="75" t="n">
        <v>76.777</v>
      </c>
      <c r="I193" s="75" t="n">
        <v>46.92</v>
      </c>
      <c r="J193" s="75" t="n">
        <v>37.603</v>
      </c>
      <c r="L193" s="75">
        <f>TRUNC((_xlfn.NORM.INV((RAND()),$K$7,$K$8)),0)</f>
        <v/>
      </c>
      <c r="M193" s="75" t="n">
        <v>197</v>
      </c>
      <c r="N193" s="5" t="n">
        <v>20</v>
      </c>
      <c r="O193" s="5" t="n">
        <v>23</v>
      </c>
      <c r="P193" s="5" t="n">
        <v>27</v>
      </c>
      <c r="R193" s="2">
        <f>IF(N193&gt;Demand!AU210,0,(IF(((2*(Retailers!AJ192+Distributors_Cap!$P$47)-Retailers_Cap!$BB$7)*(Demand!AU210-Retailers_Cap!N193))&lt;0,0,((IF(BB193&gt;2*(Retailers!AJ192+Distributors_Cap!$P$47),0,(IF(BG193=0,ROUNDUP((2*(Retailers!AJ192+Distributors_Cap!$P$47)-BB193)^0.5,0),ROUNDUP((2*(Retailers!AJ192+Distributors_Cap!$P$47)-BB193)^0.5,0)))))))))</f>
        <v/>
      </c>
      <c r="S193" s="2">
        <f>IF(O193&gt;Demand!AV210,0,(IF(((2*(Retailers!AK192+Distributors_Cap!$P$47)-Retailers_Cap!$BB$7)*(Demand!AV210-Retailers_Cap!O193))&lt;0,0,((IF(BC193&gt;2*(Retailers!AK192+Distributors_Cap!$P$47),0,(IF(BH193=0,ROUNDUP((2*(Retailers!AK192+Distributors_Cap!$P$47)-BC193)^0.5,0),ROUNDUP((2*(Retailers!AK192+Distributors_Cap!$P$47)-BC193)^0.5,0)))))))))</f>
        <v/>
      </c>
      <c r="T193" s="2">
        <f>IF(P193&gt;Demand!AW210,0,(IF(((2*(Retailers!AL192+Distributors_Cap!$P$47)-Retailers_Cap!$BB$7)*(Demand!AW210-Retailers_Cap!P193))&lt;0,0,((IF(BD193&gt;2*(Retailers!AL192+Distributors_Cap!$P$47),0,(IF(BI193=0,ROUNDUP((2*(Retailers!AL192+Distributors_Cap!$P$47)-BD193)^0.5,0),ROUNDUP((2*(Retailers!AL192+Distributors_Cap!$P$47)-BD193)^0.5,0)))))))))</f>
        <v/>
      </c>
      <c r="W193" s="75" t="n">
        <v>197</v>
      </c>
      <c r="X193" s="9" t="n">
        <v>13</v>
      </c>
      <c r="Y193" s="9" t="n">
        <v>9</v>
      </c>
      <c r="Z193" s="9" t="n">
        <v>0</v>
      </c>
      <c r="AB193" s="2">
        <f>ROUNDDOWN(LOG((X193+1),2),0)</f>
        <v/>
      </c>
      <c r="AC193" s="2">
        <f>ROUNDDOWN(LOG((Y193+1),2),0)</f>
        <v/>
      </c>
      <c r="AD193" s="2">
        <f>ROUNDDOWN(LOG((Z193+1),2),0)</f>
        <v/>
      </c>
      <c r="AG193" s="75" t="n">
        <v>197</v>
      </c>
      <c r="AH193" s="9" t="n">
        <v>3</v>
      </c>
      <c r="AI193" s="9" t="n">
        <v>3</v>
      </c>
      <c r="AJ193" s="9" t="n">
        <v>0</v>
      </c>
      <c r="AQ193" s="75" t="n">
        <v>197</v>
      </c>
      <c r="AR193" s="75" t="n">
        <v>76.777</v>
      </c>
      <c r="AS193" s="75" t="n">
        <v>46.92</v>
      </c>
      <c r="AT193" s="75" t="n">
        <v>37.603</v>
      </c>
      <c r="AV193" s="75" t="n">
        <v>197</v>
      </c>
      <c r="AW193" s="75">
        <f>Beginning_stock!AT221</f>
        <v/>
      </c>
      <c r="AX193" s="75">
        <f>Beginning_stock!AU221</f>
        <v/>
      </c>
      <c r="AY193" s="75">
        <f>Beginning_stock!AV221</f>
        <v/>
      </c>
      <c r="BA193" s="75" t="n">
        <v>197</v>
      </c>
      <c r="BB193" s="75">
        <f>IF(Demand!AU210=Retailers_Cap!N193,"ret=0",(AW193/(Demand!AU210-Retailers_Cap!N193)))</f>
        <v/>
      </c>
      <c r="BC193" s="75">
        <f>IF(Demand!AV210=Retailers_Cap!O193,"ret=0",(AX193/(Demand!AV210-Retailers_Cap!O193)))</f>
        <v/>
      </c>
      <c r="BD193" s="75">
        <f>IF(Demand!AW210=Retailers_Cap!P193,"ret=0",(AY193/(Demand!AW210-Retailers_Cap!P193)))</f>
        <v/>
      </c>
      <c r="BF193" s="75" t="n">
        <v>197</v>
      </c>
      <c r="BG193" s="2">
        <f>IF(Demand!AU210&lt;=Retailers_Cap!N193,"ret=0",(IF(BB193&lt;=AR193+Distributors_Cap!$P$47,1,0)))</f>
        <v/>
      </c>
      <c r="BH193" s="2">
        <f>IF(Demand!AV210&lt;=Retailers_Cap!O193,"ret=0",(IF(BC193&lt;=AS193+Distributors_Cap!$P$47,1,0)))</f>
        <v/>
      </c>
      <c r="BI193" s="2">
        <f>IF(Demand!AW210&lt;=Retailers_Cap!P193,"ret=0",(IF(BD193&lt;=AT193+Distributors_Cap!$P$47,1,0)))</f>
        <v/>
      </c>
      <c r="BK193" s="75" t="n">
        <v>197</v>
      </c>
      <c r="BL193" s="75">
        <f>Retailers!BH192</f>
        <v/>
      </c>
      <c r="BM193" s="75">
        <f>Retailers!BI192</f>
        <v/>
      </c>
      <c r="BN193" s="75">
        <f>Retailers!BJ192</f>
        <v/>
      </c>
      <c r="BP193" s="75" t="n">
        <v>197</v>
      </c>
      <c r="BQ193" s="75">
        <f>#REF!</f>
        <v/>
      </c>
      <c r="BR193" s="75">
        <f>#REF!</f>
        <v/>
      </c>
      <c r="BS193" s="75">
        <f>#REF!</f>
        <v/>
      </c>
      <c r="BU193" s="75" t="n">
        <v>197</v>
      </c>
      <c r="BV193" s="75">
        <f>Retailers!AS192</f>
        <v/>
      </c>
      <c r="BW193" s="75">
        <f>Retailers!AT192</f>
        <v/>
      </c>
      <c r="BX193" s="75">
        <f>Retailers!AU192</f>
        <v/>
      </c>
      <c r="BZ193" s="75" t="n">
        <v>197</v>
      </c>
      <c r="CA193" s="75">
        <f>Results!#REF!</f>
        <v/>
      </c>
      <c r="CB193" s="75">
        <f>Results!#REF!</f>
        <v/>
      </c>
      <c r="CC193" s="75">
        <f>Results!#REF!</f>
        <v/>
      </c>
      <c r="CE193" s="75" t="n">
        <v>197</v>
      </c>
      <c r="CF193" s="75">
        <f>Retailers!BN192</f>
        <v/>
      </c>
      <c r="CG193" s="75">
        <f>Retailers!BO192</f>
        <v/>
      </c>
      <c r="CH193" s="75">
        <f>Retailers!BP192</f>
        <v/>
      </c>
      <c r="CJ193" s="75" t="n">
        <v>197</v>
      </c>
      <c r="CK193" s="75">
        <f>IF(BB193="ret=0",0,IF(BB193&gt;0,AR193+Distributors_Cap!$P$47-BB193,0))</f>
        <v/>
      </c>
      <c r="CL193" s="75">
        <f>IF(BC193="ret=0",0,IF(BC193&gt;0,AS193+Distributors_Cap!$P$47-BC193,0))</f>
        <v/>
      </c>
      <c r="CM193" s="75">
        <f>IF(BD193="ret=0",0,IF(BD193&gt;0,AT193+Distributors_Cap!$P$47-BD193,0))</f>
        <v/>
      </c>
    </row>
    <row r="194">
      <c r="G194" s="75" t="n">
        <v>198</v>
      </c>
      <c r="H194" s="75" t="n">
        <v>67.12</v>
      </c>
      <c r="I194" s="75" t="n">
        <v>55.253</v>
      </c>
      <c r="J194" s="75" t="n">
        <v>76.435</v>
      </c>
      <c r="L194" s="75">
        <f>TRUNC((_xlfn.NORM.INV((RAND()),$K$7,$K$8)),0)</f>
        <v/>
      </c>
      <c r="M194" s="75" t="n">
        <v>198</v>
      </c>
      <c r="N194" s="5" t="n">
        <v>32</v>
      </c>
      <c r="O194" s="5" t="n">
        <v>31</v>
      </c>
      <c r="P194" s="5" t="n">
        <v>29</v>
      </c>
      <c r="R194" s="2">
        <f>IF(N194&gt;Demand!AU211,0,(IF(((2*(Retailers!AJ193+Distributors_Cap!$P$47)-Retailers_Cap!$BB$7)*(Demand!AU211-Retailers_Cap!N194))&lt;0,0,((IF(BB194&gt;2*(Retailers!AJ193+Distributors_Cap!$P$47),0,(IF(BG194=0,ROUNDUP((2*(Retailers!AJ193+Distributors_Cap!$P$47)-BB194)^0.5,0),ROUNDUP((2*(Retailers!AJ193+Distributors_Cap!$P$47)-BB194)^0.5,0)))))))))</f>
        <v/>
      </c>
      <c r="S194" s="2">
        <f>IF(O194&gt;Demand!AV211,0,(IF(((2*(Retailers!AK193+Distributors_Cap!$P$47)-Retailers_Cap!$BB$7)*(Demand!AV211-Retailers_Cap!O194))&lt;0,0,((IF(BC194&gt;2*(Retailers!AK193+Distributors_Cap!$P$47),0,(IF(BH194=0,ROUNDUP((2*(Retailers!AK193+Distributors_Cap!$P$47)-BC194)^0.5,0),ROUNDUP((2*(Retailers!AK193+Distributors_Cap!$P$47)-BC194)^0.5,0)))))))))</f>
        <v/>
      </c>
      <c r="T194" s="2">
        <f>IF(P194&gt;Demand!AW211,0,(IF(((2*(Retailers!AL193+Distributors_Cap!$P$47)-Retailers_Cap!$BB$7)*(Demand!AW211-Retailers_Cap!P194))&lt;0,0,((IF(BD194&gt;2*(Retailers!AL193+Distributors_Cap!$P$47),0,(IF(BI194=0,ROUNDUP((2*(Retailers!AL193+Distributors_Cap!$P$47)-BD194)^0.5,0),ROUNDUP((2*(Retailers!AL193+Distributors_Cap!$P$47)-BD194)^0.5,0)))))))))</f>
        <v/>
      </c>
      <c r="W194" s="75" t="n">
        <v>198</v>
      </c>
      <c r="X194" s="9" t="n">
        <v>0</v>
      </c>
      <c r="Y194" s="9" t="n">
        <v>0</v>
      </c>
      <c r="Z194" s="9" t="n">
        <v>0</v>
      </c>
      <c r="AB194" s="2">
        <f>ROUNDDOWN(LOG((X194+1),2),0)</f>
        <v/>
      </c>
      <c r="AC194" s="2">
        <f>ROUNDDOWN(LOG((Y194+1),2),0)</f>
        <v/>
      </c>
      <c r="AD194" s="2">
        <f>ROUNDDOWN(LOG((Z194+1),2),0)</f>
        <v/>
      </c>
      <c r="AG194" s="75" t="n">
        <v>198</v>
      </c>
      <c r="AH194" s="9" t="n">
        <v>0</v>
      </c>
      <c r="AI194" s="9" t="n">
        <v>0</v>
      </c>
      <c r="AJ194" s="9" t="n">
        <v>0</v>
      </c>
      <c r="AQ194" s="75" t="n">
        <v>198</v>
      </c>
      <c r="AR194" s="75" t="n">
        <v>67.12</v>
      </c>
      <c r="AS194" s="75" t="n">
        <v>55.253</v>
      </c>
      <c r="AT194" s="75" t="n">
        <v>76.435</v>
      </c>
      <c r="AV194" s="75" t="n">
        <v>198</v>
      </c>
      <c r="AW194" s="75">
        <f>Beginning_stock!AT222</f>
        <v/>
      </c>
      <c r="AX194" s="75">
        <f>Beginning_stock!AU222</f>
        <v/>
      </c>
      <c r="AY194" s="75">
        <f>Beginning_stock!AV222</f>
        <v/>
      </c>
      <c r="BA194" s="75" t="n">
        <v>198</v>
      </c>
      <c r="BB194" s="75">
        <f>IF(Demand!AU211=Retailers_Cap!N194,"ret=0",(AW194/(Demand!AU211-Retailers_Cap!N194)))</f>
        <v/>
      </c>
      <c r="BC194" s="75">
        <f>IF(Demand!AV211=Retailers_Cap!O194,"ret=0",(AX194/(Demand!AV211-Retailers_Cap!O194)))</f>
        <v/>
      </c>
      <c r="BD194" s="75">
        <f>IF(Demand!AW211=Retailers_Cap!P194,"ret=0",(AY194/(Demand!AW211-Retailers_Cap!P194)))</f>
        <v/>
      </c>
      <c r="BF194" s="75" t="n">
        <v>198</v>
      </c>
      <c r="BG194" s="2">
        <f>IF(Demand!AU211&lt;=Retailers_Cap!N194,"ret=0",(IF(BB194&lt;=AR194+Distributors_Cap!$P$47,1,0)))</f>
        <v/>
      </c>
      <c r="BH194" s="2">
        <f>IF(Demand!AV211&lt;=Retailers_Cap!O194,"ret=0",(IF(BC194&lt;=AS194+Distributors_Cap!$P$47,1,0)))</f>
        <v/>
      </c>
      <c r="BI194" s="2">
        <f>IF(Demand!AW211&lt;=Retailers_Cap!P194,"ret=0",(IF(BD194&lt;=AT194+Distributors_Cap!$P$47,1,0)))</f>
        <v/>
      </c>
      <c r="BK194" s="75" t="n">
        <v>198</v>
      </c>
      <c r="BL194" s="75">
        <f>Retailers!BH193</f>
        <v/>
      </c>
      <c r="BM194" s="75">
        <f>Retailers!BI193</f>
        <v/>
      </c>
      <c r="BN194" s="75">
        <f>Retailers!BJ193</f>
        <v/>
      </c>
      <c r="BP194" s="75" t="n">
        <v>198</v>
      </c>
      <c r="BQ194" s="75">
        <f>#REF!</f>
        <v/>
      </c>
      <c r="BR194" s="75">
        <f>#REF!</f>
        <v/>
      </c>
      <c r="BS194" s="75">
        <f>#REF!</f>
        <v/>
      </c>
      <c r="BU194" s="75" t="n">
        <v>198</v>
      </c>
      <c r="BV194" s="75">
        <f>Retailers!AS193</f>
        <v/>
      </c>
      <c r="BW194" s="75">
        <f>Retailers!AT193</f>
        <v/>
      </c>
      <c r="BX194" s="75">
        <f>Retailers!AU193</f>
        <v/>
      </c>
      <c r="BZ194" s="75" t="n">
        <v>198</v>
      </c>
      <c r="CA194" s="75">
        <f>Results!#REF!</f>
        <v/>
      </c>
      <c r="CB194" s="75">
        <f>Results!#REF!</f>
        <v/>
      </c>
      <c r="CC194" s="75">
        <f>Results!#REF!</f>
        <v/>
      </c>
      <c r="CE194" s="75" t="n">
        <v>198</v>
      </c>
      <c r="CF194" s="75">
        <f>Retailers!BN193</f>
        <v/>
      </c>
      <c r="CG194" s="75">
        <f>Retailers!BO193</f>
        <v/>
      </c>
      <c r="CH194" s="75">
        <f>Retailers!BP193</f>
        <v/>
      </c>
      <c r="CJ194" s="75" t="n">
        <v>198</v>
      </c>
      <c r="CK194" s="75">
        <f>IF(BB194="ret=0",0,IF(BB194&gt;0,AR194+Distributors_Cap!$P$47-BB194,0))</f>
        <v/>
      </c>
      <c r="CL194" s="75">
        <f>IF(BC194="ret=0",0,IF(BC194&gt;0,AS194+Distributors_Cap!$P$47-BC194,0))</f>
        <v/>
      </c>
      <c r="CM194" s="75">
        <f>IF(BD194="ret=0",0,IF(BD194&gt;0,AT194+Distributors_Cap!$P$47-BD194,0))</f>
        <v/>
      </c>
    </row>
    <row r="195">
      <c r="G195" s="75" t="n">
        <v>199</v>
      </c>
      <c r="H195" s="75" t="n">
        <v>60.404</v>
      </c>
      <c r="I195" s="75" t="n">
        <v>41.633</v>
      </c>
      <c r="J195" s="75" t="n">
        <v>44.725</v>
      </c>
      <c r="L195" s="75">
        <f>TRUNC((_xlfn.NORM.INV((RAND()),$K$7,$K$8)),0)</f>
        <v/>
      </c>
      <c r="M195" s="75" t="n">
        <v>199</v>
      </c>
      <c r="N195" s="5" t="n">
        <v>38</v>
      </c>
      <c r="O195" s="5" t="n">
        <v>22</v>
      </c>
      <c r="P195" s="5" t="n">
        <v>29</v>
      </c>
      <c r="R195" s="2">
        <f>IF(N195&gt;Demand!AU212,0,(IF(((2*(Retailers!AJ194+Distributors_Cap!$P$47)-Retailers_Cap!$BB$7)*(Demand!AU212-Retailers_Cap!N195))&lt;0,0,((IF(BB195&gt;2*(Retailers!AJ194+Distributors_Cap!$P$47),0,(IF(BG195=0,ROUNDUP((2*(Retailers!AJ194+Distributors_Cap!$P$47)-BB195)^0.5,0),ROUNDUP((2*(Retailers!AJ194+Distributors_Cap!$P$47)-BB195)^0.5,0)))))))))</f>
        <v/>
      </c>
      <c r="S195" s="2">
        <f>IF(O195&gt;Demand!AV212,0,(IF(((2*(Retailers!AK194+Distributors_Cap!$P$47)-Retailers_Cap!$BB$7)*(Demand!AV212-Retailers_Cap!O195))&lt;0,0,((IF(BC195&gt;2*(Retailers!AK194+Distributors_Cap!$P$47),0,(IF(BH195=0,ROUNDUP((2*(Retailers!AK194+Distributors_Cap!$P$47)-BC195)^0.5,0),ROUNDUP((2*(Retailers!AK194+Distributors_Cap!$P$47)-BC195)^0.5,0)))))))))</f>
        <v/>
      </c>
      <c r="T195" s="2">
        <f>IF(P195&gt;Demand!AW212,0,(IF(((2*(Retailers!AL194+Distributors_Cap!$P$47)-Retailers_Cap!$BB$7)*(Demand!AW212-Retailers_Cap!P195))&lt;0,0,((IF(BD195&gt;2*(Retailers!AL194+Distributors_Cap!$P$47),0,(IF(BI195=0,ROUNDUP((2*(Retailers!AL194+Distributors_Cap!$P$47)-BD195)^0.5,0),ROUNDUP((2*(Retailers!AL194+Distributors_Cap!$P$47)-BD195)^0.5,0)))))))))</f>
        <v/>
      </c>
      <c r="W195" s="75" t="n">
        <v>199</v>
      </c>
      <c r="X195" s="9" t="n">
        <v>0</v>
      </c>
      <c r="Y195" s="9" t="n">
        <v>10</v>
      </c>
      <c r="Z195" s="9" t="n">
        <v>11</v>
      </c>
      <c r="AB195" s="2">
        <f>ROUNDDOWN(LOG((X195+1),2),0)</f>
        <v/>
      </c>
      <c r="AC195" s="2">
        <f>ROUNDDOWN(LOG((Y195+1),2),0)</f>
        <v/>
      </c>
      <c r="AD195" s="2">
        <f>ROUNDDOWN(LOG((Z195+1),2),0)</f>
        <v/>
      </c>
      <c r="AG195" s="75" t="n">
        <v>199</v>
      </c>
      <c r="AH195" s="9" t="n">
        <v>0</v>
      </c>
      <c r="AI195" s="9" t="n">
        <v>3</v>
      </c>
      <c r="AJ195" s="9" t="n">
        <v>3</v>
      </c>
      <c r="AQ195" s="75" t="n">
        <v>199</v>
      </c>
      <c r="AR195" s="75" t="n">
        <v>60.404</v>
      </c>
      <c r="AS195" s="75" t="n">
        <v>41.633</v>
      </c>
      <c r="AT195" s="75" t="n">
        <v>44.725</v>
      </c>
      <c r="AV195" s="75" t="n">
        <v>199</v>
      </c>
      <c r="AW195" s="75">
        <f>Beginning_stock!AT223</f>
        <v/>
      </c>
      <c r="AX195" s="75">
        <f>Beginning_stock!AU223</f>
        <v/>
      </c>
      <c r="AY195" s="75">
        <f>Beginning_stock!AV223</f>
        <v/>
      </c>
      <c r="BA195" s="75" t="n">
        <v>199</v>
      </c>
      <c r="BB195" s="75">
        <f>IF(Demand!AU212=Retailers_Cap!N195,"ret=0",(AW195/(Demand!AU212-Retailers_Cap!N195)))</f>
        <v/>
      </c>
      <c r="BC195" s="75">
        <f>IF(Demand!AV212=Retailers_Cap!O195,"ret=0",(AX195/(Demand!AV212-Retailers_Cap!O195)))</f>
        <v/>
      </c>
      <c r="BD195" s="75">
        <f>IF(Demand!AW212=Retailers_Cap!P195,"ret=0",(AY195/(Demand!AW212-Retailers_Cap!P195)))</f>
        <v/>
      </c>
      <c r="BF195" s="75" t="n">
        <v>199</v>
      </c>
      <c r="BG195" s="2">
        <f>IF(Demand!AU212&lt;=Retailers_Cap!N195,"ret=0",(IF(BB195&lt;=AR195+Distributors_Cap!$P$47,1,0)))</f>
        <v/>
      </c>
      <c r="BH195" s="2">
        <f>IF(Demand!AV212&lt;=Retailers_Cap!O195,"ret=0",(IF(BC195&lt;=AS195+Distributors_Cap!$P$47,1,0)))</f>
        <v/>
      </c>
      <c r="BI195" s="2">
        <f>IF(Demand!AW212&lt;=Retailers_Cap!P195,"ret=0",(IF(BD195&lt;=AT195+Distributors_Cap!$P$47,1,0)))</f>
        <v/>
      </c>
      <c r="BK195" s="75" t="n">
        <v>199</v>
      </c>
      <c r="BL195" s="75">
        <f>Retailers!BH194</f>
        <v/>
      </c>
      <c r="BM195" s="75">
        <f>Retailers!BI194</f>
        <v/>
      </c>
      <c r="BN195" s="75">
        <f>Retailers!BJ194</f>
        <v/>
      </c>
      <c r="BP195" s="75" t="n">
        <v>199</v>
      </c>
      <c r="BQ195" s="75">
        <f>#REF!</f>
        <v/>
      </c>
      <c r="BR195" s="75">
        <f>#REF!</f>
        <v/>
      </c>
      <c r="BS195" s="75">
        <f>#REF!</f>
        <v/>
      </c>
      <c r="BU195" s="75" t="n">
        <v>199</v>
      </c>
      <c r="BV195" s="75">
        <f>Retailers!AS194</f>
        <v/>
      </c>
      <c r="BW195" s="75">
        <f>Retailers!AT194</f>
        <v/>
      </c>
      <c r="BX195" s="75">
        <f>Retailers!AU194</f>
        <v/>
      </c>
      <c r="BZ195" s="75" t="n">
        <v>199</v>
      </c>
      <c r="CA195" s="75">
        <f>Results!#REF!</f>
        <v/>
      </c>
      <c r="CB195" s="75">
        <f>Results!#REF!</f>
        <v/>
      </c>
      <c r="CC195" s="75">
        <f>Results!#REF!</f>
        <v/>
      </c>
      <c r="CE195" s="75" t="n">
        <v>199</v>
      </c>
      <c r="CF195" s="75">
        <f>Retailers!BN194</f>
        <v/>
      </c>
      <c r="CG195" s="75">
        <f>Retailers!BO194</f>
        <v/>
      </c>
      <c r="CH195" s="75">
        <f>Retailers!BP194</f>
        <v/>
      </c>
      <c r="CJ195" s="75" t="n">
        <v>199</v>
      </c>
      <c r="CK195" s="75">
        <f>IF(BB195="ret=0",0,IF(BB195&gt;0,AR195+Distributors_Cap!$P$47-BB195,0))</f>
        <v/>
      </c>
      <c r="CL195" s="75">
        <f>IF(BC195="ret=0",0,IF(BC195&gt;0,AS195+Distributors_Cap!$P$47-BC195,0))</f>
        <v/>
      </c>
      <c r="CM195" s="75">
        <f>IF(BD195="ret=0",0,IF(BD195&gt;0,AT195+Distributors_Cap!$P$47-BD195,0))</f>
        <v/>
      </c>
    </row>
    <row r="196">
      <c r="G196" s="75" t="n">
        <v>200</v>
      </c>
      <c r="H196" s="75" t="n">
        <v>58.3</v>
      </c>
      <c r="I196" s="75" t="n">
        <v>59.975</v>
      </c>
      <c r="J196" s="75" t="n">
        <v>66.089</v>
      </c>
      <c r="L196" s="75">
        <f>TRUNC((_xlfn.NORM.INV((RAND()),$K$7,$K$8)),0)</f>
        <v/>
      </c>
      <c r="M196" s="75" t="n">
        <v>200</v>
      </c>
      <c r="N196" s="5" t="n">
        <v>21</v>
      </c>
      <c r="O196" s="5" t="n">
        <v>18</v>
      </c>
      <c r="P196" s="5" t="n">
        <v>39</v>
      </c>
      <c r="R196" s="2">
        <f>IF(N196&gt;Demand!AU213,0,(IF(((2*(Retailers!AJ195+Distributors_Cap!$P$47)-Retailers_Cap!$BB$7)*(Demand!AU213-Retailers_Cap!N196))&lt;0,0,((IF(BB196&gt;2*(Retailers!AJ195+Distributors_Cap!$P$47),0,(IF(BG196=0,ROUNDUP((2*(Retailers!AJ195+Distributors_Cap!$P$47)-BB196)^0.5,0),ROUNDUP((2*(Retailers!AJ195+Distributors_Cap!$P$47)-BB196)^0.5,0)))))))))</f>
        <v/>
      </c>
      <c r="S196" s="2">
        <f>IF(O196&gt;Demand!AV213,0,(IF(((2*(Retailers!AK195+Distributors_Cap!$P$47)-Retailers_Cap!$BB$7)*(Demand!AV213-Retailers_Cap!O196))&lt;0,0,((IF(BC196&gt;2*(Retailers!AK195+Distributors_Cap!$P$47),0,(IF(BH196=0,ROUNDUP((2*(Retailers!AK195+Distributors_Cap!$P$47)-BC196)^0.5,0),ROUNDUP((2*(Retailers!AK195+Distributors_Cap!$P$47)-BC196)^0.5,0)))))))))</f>
        <v/>
      </c>
      <c r="T196" s="2">
        <f>IF(P196&gt;Demand!AW213,0,(IF(((2*(Retailers!AL195+Distributors_Cap!$P$47)-Retailers_Cap!$BB$7)*(Demand!AW213-Retailers_Cap!P196))&lt;0,0,((IF(BD196&gt;2*(Retailers!AL195+Distributors_Cap!$P$47),0,(IF(BI196=0,ROUNDUP((2*(Retailers!AL195+Distributors_Cap!$P$47)-BD196)^0.5,0),ROUNDUP((2*(Retailers!AL195+Distributors_Cap!$P$47)-BD196)^0.5,0)))))))))</f>
        <v/>
      </c>
      <c r="W196" s="75" t="n">
        <v>200</v>
      </c>
      <c r="X196" s="9" t="n">
        <v>13</v>
      </c>
      <c r="Y196" s="9" t="n">
        <v>13</v>
      </c>
      <c r="Z196" s="9" t="n">
        <v>0</v>
      </c>
      <c r="AB196" s="2">
        <f>ROUNDDOWN(LOG((X196+1),2),0)</f>
        <v/>
      </c>
      <c r="AC196" s="2">
        <f>ROUNDDOWN(LOG((Y196+1),2),0)</f>
        <v/>
      </c>
      <c r="AD196" s="2">
        <f>ROUNDDOWN(LOG((Z196+1),2),0)</f>
        <v/>
      </c>
      <c r="AG196" s="75" t="n">
        <v>200</v>
      </c>
      <c r="AH196" s="9" t="n">
        <v>3</v>
      </c>
      <c r="AI196" s="9" t="n">
        <v>3</v>
      </c>
      <c r="AJ196" s="9" t="n">
        <v>0</v>
      </c>
      <c r="AQ196" s="75" t="n">
        <v>200</v>
      </c>
      <c r="AR196" s="75" t="n">
        <v>58.3</v>
      </c>
      <c r="AS196" s="75" t="n">
        <v>59.975</v>
      </c>
      <c r="AT196" s="75" t="n">
        <v>66.089</v>
      </c>
      <c r="AV196" s="75" t="n">
        <v>200</v>
      </c>
      <c r="AW196" s="75">
        <f>Beginning_stock!AT224</f>
        <v/>
      </c>
      <c r="AX196" s="75">
        <f>Beginning_stock!AU224</f>
        <v/>
      </c>
      <c r="AY196" s="75">
        <f>Beginning_stock!AV224</f>
        <v/>
      </c>
      <c r="BA196" s="75" t="n">
        <v>200</v>
      </c>
      <c r="BB196" s="75">
        <f>IF(Demand!AU213=Retailers_Cap!N196,"ret=0",(AW196/(Demand!AU213-Retailers_Cap!N196)))</f>
        <v/>
      </c>
      <c r="BC196" s="75">
        <f>IF(Demand!AV213=Retailers_Cap!O196,"ret=0",(AX196/(Demand!AV213-Retailers_Cap!O196)))</f>
        <v/>
      </c>
      <c r="BD196" s="75">
        <f>IF(Demand!AW213=Retailers_Cap!P196,"ret=0",(AY196/(Demand!AW213-Retailers_Cap!P196)))</f>
        <v/>
      </c>
      <c r="BF196" s="75" t="n">
        <v>200</v>
      </c>
      <c r="BG196" s="2">
        <f>IF(Demand!AU213&lt;=Retailers_Cap!N196,"ret=0",(IF(BB196&lt;=AR196+Distributors_Cap!$P$47,1,0)))</f>
        <v/>
      </c>
      <c r="BH196" s="2">
        <f>IF(Demand!AV213&lt;=Retailers_Cap!O196,"ret=0",(IF(BC196&lt;=AS196+Distributors_Cap!$P$47,1,0)))</f>
        <v/>
      </c>
      <c r="BI196" s="2">
        <f>IF(Demand!AW213&lt;=Retailers_Cap!P196,"ret=0",(IF(BD196&lt;=AT196+Distributors_Cap!$P$47,1,0)))</f>
        <v/>
      </c>
      <c r="BK196" s="75" t="n">
        <v>200</v>
      </c>
      <c r="BL196" s="75">
        <f>Retailers!BH195</f>
        <v/>
      </c>
      <c r="BM196" s="75">
        <f>Retailers!BI195</f>
        <v/>
      </c>
      <c r="BN196" s="75">
        <f>Retailers!BJ195</f>
        <v/>
      </c>
      <c r="BP196" s="75" t="n">
        <v>200</v>
      </c>
      <c r="BQ196" s="75">
        <f>#REF!</f>
        <v/>
      </c>
      <c r="BR196" s="75">
        <f>#REF!</f>
        <v/>
      </c>
      <c r="BS196" s="75">
        <f>#REF!</f>
        <v/>
      </c>
      <c r="BU196" s="75" t="n">
        <v>200</v>
      </c>
      <c r="BV196" s="75">
        <f>Retailers!AS195</f>
        <v/>
      </c>
      <c r="BW196" s="75">
        <f>Retailers!AT195</f>
        <v/>
      </c>
      <c r="BX196" s="75">
        <f>Retailers!AU195</f>
        <v/>
      </c>
      <c r="BZ196" s="75" t="n">
        <v>200</v>
      </c>
      <c r="CA196" s="75">
        <f>Results!#REF!</f>
        <v/>
      </c>
      <c r="CB196" s="75">
        <f>Results!#REF!</f>
        <v/>
      </c>
      <c r="CC196" s="75">
        <f>Results!#REF!</f>
        <v/>
      </c>
      <c r="CE196" s="75" t="n">
        <v>200</v>
      </c>
      <c r="CF196" s="75">
        <f>Retailers!BN195</f>
        <v/>
      </c>
      <c r="CG196" s="75">
        <f>Retailers!BO195</f>
        <v/>
      </c>
      <c r="CH196" s="75">
        <f>Retailers!BP195</f>
        <v/>
      </c>
      <c r="CJ196" s="75" t="n">
        <v>200</v>
      </c>
      <c r="CK196" s="75">
        <f>IF(BB196="ret=0",0,IF(BB196&gt;0,AR196+Distributors_Cap!$P$47-BB196,0))</f>
        <v/>
      </c>
      <c r="CL196" s="75">
        <f>IF(BC196="ret=0",0,IF(BC196&gt;0,AS196+Distributors_Cap!$P$47-BC196,0))</f>
        <v/>
      </c>
      <c r="CM196" s="75">
        <f>IF(BD196="ret=0",0,IF(BD196&gt;0,AT196+Distributors_Cap!$P$47-BD196,0))</f>
        <v/>
      </c>
    </row>
    <row r="197">
      <c r="A197" s="75" t="inlineStr">
        <is>
          <t>*</t>
        </is>
      </c>
      <c r="B197" s="75" t="inlineStr">
        <is>
          <t>*</t>
        </is>
      </c>
      <c r="C197" s="75" t="inlineStr">
        <is>
          <t>*</t>
        </is>
      </c>
      <c r="D197" s="75" t="inlineStr">
        <is>
          <t>*</t>
        </is>
      </c>
      <c r="E197" s="75" t="inlineStr">
        <is>
          <t>*</t>
        </is>
      </c>
      <c r="F197" s="75" t="inlineStr">
        <is>
          <t>*</t>
        </is>
      </c>
      <c r="G197" s="75" t="inlineStr">
        <is>
          <t>*</t>
        </is>
      </c>
      <c r="H197" s="75" t="inlineStr">
        <is>
          <t>*</t>
        </is>
      </c>
      <c r="I197" s="75" t="inlineStr">
        <is>
          <t>*</t>
        </is>
      </c>
      <c r="J197" s="75" t="inlineStr">
        <is>
          <t>*</t>
        </is>
      </c>
      <c r="K197" s="75" t="inlineStr">
        <is>
          <t>*</t>
        </is>
      </c>
      <c r="L197" s="75" t="inlineStr">
        <is>
          <t>*</t>
        </is>
      </c>
      <c r="M197" s="75" t="inlineStr">
        <is>
          <t>*</t>
        </is>
      </c>
      <c r="N197" s="75" t="inlineStr">
        <is>
          <t>*</t>
        </is>
      </c>
      <c r="O197" s="75" t="inlineStr">
        <is>
          <t>*</t>
        </is>
      </c>
      <c r="P197" s="75" t="inlineStr">
        <is>
          <t>*</t>
        </is>
      </c>
      <c r="Q197" s="75" t="inlineStr">
        <is>
          <t>*</t>
        </is>
      </c>
      <c r="R197" s="75" t="inlineStr">
        <is>
          <t>*</t>
        </is>
      </c>
      <c r="S197" s="75" t="inlineStr">
        <is>
          <t>*</t>
        </is>
      </c>
      <c r="T197" s="75" t="inlineStr">
        <is>
          <t>*</t>
        </is>
      </c>
      <c r="U197" s="75" t="inlineStr">
        <is>
          <t>*</t>
        </is>
      </c>
      <c r="V197" s="75" t="inlineStr">
        <is>
          <t>*</t>
        </is>
      </c>
      <c r="W197" s="75" t="inlineStr">
        <is>
          <t>*</t>
        </is>
      </c>
      <c r="X197" s="75" t="inlineStr">
        <is>
          <t>*</t>
        </is>
      </c>
      <c r="Y197" s="75" t="inlineStr">
        <is>
          <t>*</t>
        </is>
      </c>
      <c r="Z197" s="75" t="inlineStr">
        <is>
          <t>*</t>
        </is>
      </c>
      <c r="AA197" s="75" t="inlineStr">
        <is>
          <t>*</t>
        </is>
      </c>
      <c r="AB197" s="75" t="inlineStr">
        <is>
          <t>*</t>
        </is>
      </c>
      <c r="AC197" s="75" t="inlineStr">
        <is>
          <t>*</t>
        </is>
      </c>
      <c r="AD197" s="75" t="inlineStr">
        <is>
          <t>*</t>
        </is>
      </c>
      <c r="AE197" s="75" t="inlineStr">
        <is>
          <t>*</t>
        </is>
      </c>
      <c r="AF197" s="75" t="inlineStr">
        <is>
          <t>*</t>
        </is>
      </c>
      <c r="AG197" s="75" t="inlineStr">
        <is>
          <t>*</t>
        </is>
      </c>
      <c r="AH197" s="75" t="inlineStr">
        <is>
          <t>*</t>
        </is>
      </c>
      <c r="AI197" s="75" t="inlineStr">
        <is>
          <t>*</t>
        </is>
      </c>
      <c r="AJ197" s="75" t="inlineStr">
        <is>
          <t>*</t>
        </is>
      </c>
      <c r="AK197" s="75" t="inlineStr">
        <is>
          <t>*</t>
        </is>
      </c>
      <c r="AL197" s="75" t="inlineStr">
        <is>
          <t>*</t>
        </is>
      </c>
      <c r="AM197" s="75" t="inlineStr">
        <is>
          <t>*</t>
        </is>
      </c>
      <c r="AN197" s="75" t="inlineStr">
        <is>
          <t>*</t>
        </is>
      </c>
      <c r="AO197" s="75" t="inlineStr">
        <is>
          <t>*</t>
        </is>
      </c>
      <c r="AP197" s="75" t="inlineStr">
        <is>
          <t>*</t>
        </is>
      </c>
      <c r="AQ197" s="75" t="inlineStr">
        <is>
          <t>*</t>
        </is>
      </c>
      <c r="AR197" s="75" t="inlineStr">
        <is>
          <t>*</t>
        </is>
      </c>
      <c r="AS197" s="75" t="inlineStr">
        <is>
          <t>*</t>
        </is>
      </c>
      <c r="AT197" s="75" t="inlineStr">
        <is>
          <t>*</t>
        </is>
      </c>
      <c r="AU197" s="75" t="inlineStr">
        <is>
          <t>*</t>
        </is>
      </c>
      <c r="AV197" s="75" t="inlineStr">
        <is>
          <t>*</t>
        </is>
      </c>
      <c r="AW197" s="75" t="inlineStr">
        <is>
          <t>*</t>
        </is>
      </c>
      <c r="AX197" s="75" t="inlineStr">
        <is>
          <t>*</t>
        </is>
      </c>
      <c r="AY197" s="75" t="inlineStr">
        <is>
          <t>*</t>
        </is>
      </c>
      <c r="AZ197" s="75" t="inlineStr">
        <is>
          <t>*</t>
        </is>
      </c>
      <c r="BA197" s="75" t="inlineStr">
        <is>
          <t>*</t>
        </is>
      </c>
      <c r="BB197" s="75" t="inlineStr">
        <is>
          <t>*</t>
        </is>
      </c>
      <c r="BC197" s="75" t="inlineStr">
        <is>
          <t>*</t>
        </is>
      </c>
      <c r="BD197" s="75" t="inlineStr">
        <is>
          <t>*</t>
        </is>
      </c>
      <c r="BE197" s="75" t="inlineStr">
        <is>
          <t>*</t>
        </is>
      </c>
      <c r="BF197" s="75" t="inlineStr">
        <is>
          <t>*</t>
        </is>
      </c>
      <c r="BG197" s="75" t="inlineStr">
        <is>
          <t>*</t>
        </is>
      </c>
      <c r="BH197" s="75" t="inlineStr">
        <is>
          <t>*</t>
        </is>
      </c>
      <c r="BI197" s="75" t="inlineStr">
        <is>
          <t>*</t>
        </is>
      </c>
      <c r="BJ197" s="75" t="inlineStr">
        <is>
          <t>*</t>
        </is>
      </c>
      <c r="BK197" s="75" t="inlineStr">
        <is>
          <t>*</t>
        </is>
      </c>
      <c r="BL197" s="75" t="inlineStr">
        <is>
          <t>*</t>
        </is>
      </c>
      <c r="BM197" s="75" t="inlineStr">
        <is>
          <t>*</t>
        </is>
      </c>
      <c r="BN197" s="75" t="inlineStr">
        <is>
          <t>*</t>
        </is>
      </c>
      <c r="BO197" s="75" t="inlineStr">
        <is>
          <t>*</t>
        </is>
      </c>
      <c r="BP197" s="75" t="inlineStr">
        <is>
          <t>*</t>
        </is>
      </c>
      <c r="BQ197" s="75" t="inlineStr">
        <is>
          <t>*</t>
        </is>
      </c>
      <c r="BR197" s="75" t="inlineStr">
        <is>
          <t>*</t>
        </is>
      </c>
      <c r="BS197" s="75" t="inlineStr">
        <is>
          <t>*</t>
        </is>
      </c>
      <c r="BT197" s="75" t="inlineStr">
        <is>
          <t>*</t>
        </is>
      </c>
      <c r="BU197" s="75" t="inlineStr">
        <is>
          <t>*</t>
        </is>
      </c>
      <c r="BV197" s="75" t="inlineStr">
        <is>
          <t>*</t>
        </is>
      </c>
      <c r="BW197" s="75" t="inlineStr">
        <is>
          <t>*</t>
        </is>
      </c>
      <c r="BX197" s="75" t="inlineStr">
        <is>
          <t>*</t>
        </is>
      </c>
      <c r="BY197" s="75" t="inlineStr">
        <is>
          <t>*</t>
        </is>
      </c>
      <c r="BZ197" s="75" t="inlineStr">
        <is>
          <t>*</t>
        </is>
      </c>
      <c r="CA197" s="75" t="inlineStr">
        <is>
          <t>*</t>
        </is>
      </c>
      <c r="CB197" s="75" t="inlineStr">
        <is>
          <t>*</t>
        </is>
      </c>
      <c r="CC197" s="75" t="inlineStr">
        <is>
          <t>*</t>
        </is>
      </c>
      <c r="CD197" s="75" t="inlineStr">
        <is>
          <t>*</t>
        </is>
      </c>
      <c r="CE197" s="75" t="inlineStr">
        <is>
          <t>*</t>
        </is>
      </c>
      <c r="CF197" s="75" t="inlineStr">
        <is>
          <t>*</t>
        </is>
      </c>
      <c r="CG197" s="75" t="inlineStr">
        <is>
          <t>*</t>
        </is>
      </c>
      <c r="CH197" s="75" t="inlineStr">
        <is>
          <t>*</t>
        </is>
      </c>
      <c r="CI197" s="75" t="inlineStr">
        <is>
          <t>*</t>
        </is>
      </c>
      <c r="CJ197" s="75" t="inlineStr">
        <is>
          <t>*</t>
        </is>
      </c>
      <c r="CK197" s="75" t="inlineStr">
        <is>
          <t>*</t>
        </is>
      </c>
      <c r="CL197" s="75" t="inlineStr">
        <is>
          <t>*</t>
        </is>
      </c>
      <c r="CM197" s="75" t="inlineStr">
        <is>
          <t>*</t>
        </is>
      </c>
      <c r="CQ197" s="75" t="inlineStr">
        <is>
          <t>*</t>
        </is>
      </c>
      <c r="CR197" s="75" t="inlineStr">
        <is>
          <t>*</t>
        </is>
      </c>
      <c r="CS197" s="75" t="inlineStr">
        <is>
          <t>*</t>
        </is>
      </c>
      <c r="CT197" s="75" t="inlineStr">
        <is>
          <t>*</t>
        </is>
      </c>
      <c r="CU197" s="75" t="inlineStr">
        <is>
          <t>*</t>
        </is>
      </c>
      <c r="CV197" s="75" t="inlineStr">
        <is>
          <t>*</t>
        </is>
      </c>
      <c r="CW197" s="75" t="inlineStr">
        <is>
          <t>*</t>
        </is>
      </c>
      <c r="CX197" s="75" t="inlineStr">
        <is>
          <t>*</t>
        </is>
      </c>
      <c r="CY197" s="75" t="inlineStr">
        <is>
          <t>*</t>
        </is>
      </c>
      <c r="CZ197" s="75" t="inlineStr">
        <is>
          <t>*</t>
        </is>
      </c>
      <c r="DA197" s="75" t="inlineStr">
        <is>
          <t>*</t>
        </is>
      </c>
      <c r="DB197" s="75" t="inlineStr">
        <is>
          <t>*</t>
        </is>
      </c>
      <c r="DC197" s="75" t="inlineStr">
        <is>
          <t>*</t>
        </is>
      </c>
      <c r="DD197" s="75" t="inlineStr">
        <is>
          <t>*</t>
        </is>
      </c>
      <c r="DE197" s="75" t="inlineStr">
        <is>
          <t>*</t>
        </is>
      </c>
      <c r="DF197" s="75" t="inlineStr">
        <is>
          <t>*</t>
        </is>
      </c>
      <c r="DG197" s="75" t="inlineStr">
        <is>
          <t>*</t>
        </is>
      </c>
      <c r="DH197" s="75" t="inlineStr">
        <is>
          <t>*</t>
        </is>
      </c>
      <c r="DI197" s="75" t="inlineStr">
        <is>
          <t>*</t>
        </is>
      </c>
      <c r="DJ197" s="75" t="inlineStr">
        <is>
          <t>*</t>
        </is>
      </c>
      <c r="DK197" s="75" t="inlineStr">
        <is>
          <t>*</t>
        </is>
      </c>
      <c r="DL197" s="75" t="inlineStr">
        <is>
          <t>*</t>
        </is>
      </c>
      <c r="DM197" s="75" t="inlineStr">
        <is>
          <t>*</t>
        </is>
      </c>
      <c r="DN197" s="75" t="inlineStr">
        <is>
          <t>*</t>
        </is>
      </c>
      <c r="DO197" s="75" t="inlineStr">
        <is>
          <t>*</t>
        </is>
      </c>
      <c r="DP197" s="75" t="inlineStr">
        <is>
          <t>*</t>
        </is>
      </c>
      <c r="DQ197" s="75" t="inlineStr">
        <is>
          <t>*</t>
        </is>
      </c>
      <c r="DR197" s="75" t="inlineStr">
        <is>
          <t>*</t>
        </is>
      </c>
      <c r="DS197" s="75" t="inlineStr">
        <is>
          <t>*</t>
        </is>
      </c>
      <c r="DT197" s="75" t="inlineStr">
        <is>
          <t>*</t>
        </is>
      </c>
      <c r="DU197" s="75" t="inlineStr">
        <is>
          <t>*</t>
        </is>
      </c>
      <c r="DV197" s="75" t="inlineStr">
        <is>
          <t>*</t>
        </is>
      </c>
      <c r="DW197" s="75" t="inlineStr">
        <is>
          <t>*</t>
        </is>
      </c>
      <c r="DX197" s="75" t="inlineStr">
        <is>
          <t>*</t>
        </is>
      </c>
      <c r="DY197" s="75" t="inlineStr">
        <is>
          <t>*</t>
        </is>
      </c>
      <c r="DZ197" s="75" t="inlineStr">
        <is>
          <t>*</t>
        </is>
      </c>
      <c r="EA197" s="75" t="inlineStr">
        <is>
          <t>*</t>
        </is>
      </c>
      <c r="EB197" s="75" t="inlineStr">
        <is>
          <t>*</t>
        </is>
      </c>
      <c r="EC197" s="75" t="inlineStr">
        <is>
          <t>*</t>
        </is>
      </c>
      <c r="ED197" s="75" t="inlineStr">
        <is>
          <t>*</t>
        </is>
      </c>
      <c r="EE197" s="75" t="inlineStr">
        <is>
          <t>*</t>
        </is>
      </c>
      <c r="EF197" s="75" t="inlineStr">
        <is>
          <t>*</t>
        </is>
      </c>
    </row>
  </sheetData>
  <mergeCells count="3">
    <mergeCell ref="K5:L5"/>
    <mergeCell ref="AB5:AD5"/>
    <mergeCell ref="Q5:T5"/>
  </mergeCells>
  <pageMargins left="0.511811024" right="0.511811024" top="0.787401575" bottom="0.787401575" header="0.31496062" footer="0.31496062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C2:F23"/>
  <sheetViews>
    <sheetView zoomScale="90" zoomScaleNormal="90" workbookViewId="0">
      <selection activeCell="A1" sqref="A1"/>
    </sheetView>
  </sheetViews>
  <sheetFormatPr baseColWidth="8" defaultRowHeight="14.4"/>
  <cols>
    <col width="9.6640625" bestFit="1" customWidth="1" min="3" max="3"/>
  </cols>
  <sheetData>
    <row r="2">
      <c r="C2" t="inlineStr">
        <is>
          <t>Stockpoint</t>
        </is>
      </c>
    </row>
    <row r="3">
      <c r="C3" t="inlineStr">
        <is>
          <t>nw</t>
        </is>
      </c>
      <c r="D3" t="n">
        <v>3</v>
      </c>
      <c r="F3" t="inlineStr">
        <is>
          <t>//Number of raw materials warehouses</t>
        </is>
      </c>
    </row>
    <row r="4">
      <c r="C4" t="inlineStr">
        <is>
          <t>nf</t>
        </is>
      </c>
      <c r="D4" t="n">
        <v>5</v>
      </c>
      <c r="F4" t="inlineStr">
        <is>
          <t>//Number of factories</t>
        </is>
      </c>
    </row>
    <row r="5">
      <c r="C5" t="inlineStr">
        <is>
          <t>nd</t>
        </is>
      </c>
      <c r="D5" t="n">
        <v>2</v>
      </c>
      <c r="F5" t="inlineStr">
        <is>
          <t>//Number of distributors</t>
        </is>
      </c>
    </row>
    <row r="6">
      <c r="C6" t="inlineStr">
        <is>
          <t>nr</t>
        </is>
      </c>
      <c r="D6" t="n">
        <v>190</v>
      </c>
      <c r="F6" t="inlineStr">
        <is>
          <t>//Number of retailers</t>
        </is>
      </c>
    </row>
    <row r="8">
      <c r="C8" t="inlineStr">
        <is>
          <t>Products</t>
        </is>
      </c>
    </row>
    <row r="9">
      <c r="C9" t="inlineStr">
        <is>
          <t>nm</t>
        </is>
      </c>
      <c r="D9" t="n">
        <v>15</v>
      </c>
      <c r="F9" t="inlineStr">
        <is>
          <t>//Number of raw materials</t>
        </is>
      </c>
    </row>
    <row r="10">
      <c r="C10" t="inlineStr">
        <is>
          <t>np</t>
        </is>
      </c>
      <c r="D10" t="n">
        <v>3</v>
      </c>
      <c r="F10" t="inlineStr">
        <is>
          <t>//Number of products</t>
        </is>
      </c>
    </row>
    <row r="12">
      <c r="C12" t="inlineStr">
        <is>
          <t>Stockpoint</t>
        </is>
      </c>
    </row>
    <row r="13">
      <c r="C13" t="n">
        <v>1</v>
      </c>
      <c r="D13">
        <f>D3</f>
        <v/>
      </c>
      <c r="F13" t="inlineStr">
        <is>
          <t>//range W = 1..nw;</t>
        </is>
      </c>
    </row>
    <row r="14">
      <c r="C14">
        <f>D3+1</f>
        <v/>
      </c>
      <c r="D14">
        <f>D3+D4</f>
        <v/>
      </c>
      <c r="F14" t="inlineStr">
        <is>
          <t>//range F = (nw+1)..(nw+nf);</t>
        </is>
      </c>
    </row>
    <row r="15">
      <c r="C15">
        <f>D3+D4+1</f>
        <v/>
      </c>
      <c r="D15">
        <f>D3+D4+D5</f>
        <v/>
      </c>
      <c r="F15" t="inlineStr">
        <is>
          <t>//range D = (nw+nf+1)..(nw+nf+nd);</t>
        </is>
      </c>
    </row>
    <row r="16">
      <c r="C16">
        <f>D3+D4+D5+1</f>
        <v/>
      </c>
      <c r="D16">
        <f>D3+D4+D5+D6</f>
        <v/>
      </c>
      <c r="F16" t="inlineStr">
        <is>
          <t>//range R = (nw+nf+nd+1)..(nw+nf+nd+nr);</t>
        </is>
      </c>
    </row>
    <row r="19">
      <c r="C19" t="inlineStr">
        <is>
          <t>Products</t>
        </is>
      </c>
    </row>
    <row r="20">
      <c r="C20" t="n">
        <v>1</v>
      </c>
      <c r="D20">
        <f>D9</f>
        <v/>
      </c>
      <c r="F20" t="inlineStr">
        <is>
          <t>//range M = 1..nm;</t>
        </is>
      </c>
    </row>
    <row r="21">
      <c r="C21">
        <f>D9+1</f>
        <v/>
      </c>
      <c r="D21">
        <f>D9+D10</f>
        <v/>
      </c>
      <c r="F21" t="inlineStr">
        <is>
          <t>//range PF = (nm+1)..(nm+np);</t>
        </is>
      </c>
    </row>
    <row r="22">
      <c r="C22">
        <f>D9+D10+1</f>
        <v/>
      </c>
      <c r="D22">
        <f>D9+D10+D10</f>
        <v/>
      </c>
      <c r="F22" t="inlineStr">
        <is>
          <t>//range PD = (nm+np+1)..(nm+np+np);</t>
        </is>
      </c>
    </row>
    <row r="23">
      <c r="C23">
        <f>D9+D10+D10+1</f>
        <v/>
      </c>
      <c r="D23">
        <f>D9+D10+D10+D10</f>
        <v/>
      </c>
      <c r="F23" t="inlineStr">
        <is>
          <t>//range PR = (nm+np+np+1)..(nm+np+np+np);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Antonio Marinho</dc:creator>
  <dcterms:created xmlns:dcterms="http://purl.org/dc/terms/" xmlns:xsi="http://www.w3.org/2001/XMLSchema-instance" xsi:type="dcterms:W3CDTF">2024-08-02T12:13:51Z</dcterms:created>
  <dcterms:modified xmlns:dcterms="http://purl.org/dc/terms/" xmlns:xsi="http://www.w3.org/2001/XMLSchema-instance" xsi:type="dcterms:W3CDTF">2025-10-15T14:19:44Z</dcterms:modified>
  <cp:lastModifiedBy>Antonio Marinho</cp:lastModifiedBy>
</cp:coreProperties>
</file>